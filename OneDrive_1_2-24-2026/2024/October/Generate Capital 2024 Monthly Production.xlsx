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0"/>
  <workbookPr codeName="ThisWorkbook" defaultThemeVersion="166925"/>
  <mc:AlternateContent xmlns:mc="http://schemas.openxmlformats.org/markup-compatibility/2006">
    <mc:Choice Requires="x15">
      <x15ac:absPath xmlns:x15ac="http://schemas.microsoft.com/office/spreadsheetml/2010/11/ac" url="https://libsysit-my.sharepoint.com/personal/dileeps_amgsol_com/Documents/Microsoft Teams Chat Files/"/>
    </mc:Choice>
  </mc:AlternateContent>
  <xr:revisionPtr revIDLastSave="1224" documentId="8_{B9630679-F87A-4576-AF63-E323A6CA19D9}" xr6:coauthVersionLast="47" xr6:coauthVersionMax="47" xr10:uidLastSave="{36E42963-6A1A-4903-A620-0CDB78A6DFE8}"/>
  <bookViews>
    <workbookView xWindow="-98" yWindow="-98" windowWidth="21795" windowHeight="12975" tabRatio="866" firstSheet="17" activeTab="1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Mar!$A$2:$J$2</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4" l="1"/>
  <c r="H2" i="1"/>
  <c r="D2" i="1"/>
  <c r="H2" i="18"/>
  <c r="D2" i="18"/>
  <c r="H2" i="29"/>
  <c r="D2" i="29"/>
  <c r="H2" i="30" l="1"/>
  <c r="D2" i="30"/>
  <c r="H2" i="26"/>
  <c r="D2" i="26"/>
  <c r="H2" i="27"/>
  <c r="D2" i="27"/>
  <c r="H2" i="28"/>
  <c r="D2" i="28"/>
  <c r="H2" i="31"/>
  <c r="D2" i="31"/>
  <c r="I18" i="31"/>
  <c r="J18" i="31" s="1"/>
  <c r="I19" i="31"/>
  <c r="J19" i="31"/>
  <c r="I20" i="31"/>
  <c r="J20" i="31"/>
  <c r="I21" i="31"/>
  <c r="I21" i="30" s="1"/>
  <c r="J21" i="31"/>
  <c r="I22" i="31"/>
  <c r="J22" i="31"/>
  <c r="I23" i="31"/>
  <c r="J23" i="31"/>
  <c r="I24" i="31"/>
  <c r="J24" i="31"/>
  <c r="I25" i="31"/>
  <c r="I25" i="30" s="1"/>
  <c r="J25" i="31"/>
  <c r="I26" i="31"/>
  <c r="J26" i="31"/>
  <c r="I27" i="31"/>
  <c r="J27" i="31"/>
  <c r="I28" i="31"/>
  <c r="J28" i="31"/>
  <c r="I29" i="31"/>
  <c r="J29" i="31"/>
  <c r="I30" i="31"/>
  <c r="J30" i="31"/>
  <c r="I31" i="31"/>
  <c r="J31" i="31"/>
  <c r="I32" i="31"/>
  <c r="J32" i="31"/>
  <c r="I33" i="31"/>
  <c r="I33" i="30" s="1"/>
  <c r="J33" i="31"/>
  <c r="I34" i="31"/>
  <c r="J34" i="31"/>
  <c r="I35" i="31"/>
  <c r="J35" i="31"/>
  <c r="I36" i="31"/>
  <c r="J36" i="31"/>
  <c r="I37" i="31"/>
  <c r="J37" i="31"/>
  <c r="I38" i="31"/>
  <c r="J38" i="31"/>
  <c r="I39" i="31"/>
  <c r="J39" i="31"/>
  <c r="I40" i="31"/>
  <c r="J40" i="31"/>
  <c r="I41" i="31"/>
  <c r="I41" i="30" s="1"/>
  <c r="J41" i="31"/>
  <c r="I42" i="31"/>
  <c r="J42" i="31"/>
  <c r="I43" i="31"/>
  <c r="J43" i="31"/>
  <c r="I44" i="31"/>
  <c r="J44" i="31"/>
  <c r="I45" i="31"/>
  <c r="J45" i="31"/>
  <c r="I46" i="31"/>
  <c r="J46" i="31"/>
  <c r="I47" i="31"/>
  <c r="J47" i="31"/>
  <c r="I48" i="31"/>
  <c r="J48" i="31"/>
  <c r="I49" i="31"/>
  <c r="I49" i="30" s="1"/>
  <c r="J49" i="31"/>
  <c r="I50" i="31"/>
  <c r="J50" i="31" s="1"/>
  <c r="I51" i="31"/>
  <c r="J51" i="31"/>
  <c r="I52" i="31"/>
  <c r="J52" i="31"/>
  <c r="I53" i="31"/>
  <c r="J53" i="31"/>
  <c r="I54" i="31"/>
  <c r="J54" i="31" s="1"/>
  <c r="I55" i="31"/>
  <c r="J55" i="31"/>
  <c r="I56" i="31"/>
  <c r="J56" i="31"/>
  <c r="I57" i="31"/>
  <c r="I57" i="30" s="1"/>
  <c r="J57" i="31"/>
  <c r="I58" i="31"/>
  <c r="J58" i="31" s="1"/>
  <c r="I59" i="31"/>
  <c r="J59" i="31"/>
  <c r="I60" i="31"/>
  <c r="J60" i="31"/>
  <c r="I61" i="31"/>
  <c r="J61" i="31"/>
  <c r="I62" i="31"/>
  <c r="J62" i="31" s="1"/>
  <c r="I63" i="31"/>
  <c r="J63" i="31"/>
  <c r="I64" i="31"/>
  <c r="J64" i="31"/>
  <c r="I65" i="31"/>
  <c r="I65" i="30" s="1"/>
  <c r="J65" i="31"/>
  <c r="I66" i="31"/>
  <c r="J66" i="31" s="1"/>
  <c r="I67" i="31"/>
  <c r="J67" i="31"/>
  <c r="I68" i="31"/>
  <c r="J68" i="31"/>
  <c r="I69" i="31"/>
  <c r="I69" i="30" s="1"/>
  <c r="J69" i="31"/>
  <c r="I70" i="31"/>
  <c r="J70" i="31" s="1"/>
  <c r="I71" i="31"/>
  <c r="J71" i="31"/>
  <c r="I72" i="31"/>
  <c r="J72" i="31"/>
  <c r="I73" i="31"/>
  <c r="I73" i="30" s="1"/>
  <c r="J73" i="31"/>
  <c r="I74" i="31"/>
  <c r="J74" i="31" s="1"/>
  <c r="I75" i="31"/>
  <c r="J75" i="31"/>
  <c r="I76" i="31"/>
  <c r="J76" i="31"/>
  <c r="I77" i="31"/>
  <c r="I77" i="30" s="1"/>
  <c r="J77" i="31"/>
  <c r="I78" i="31"/>
  <c r="J78" i="31" s="1"/>
  <c r="I79" i="31"/>
  <c r="J79" i="31"/>
  <c r="I80" i="31"/>
  <c r="J80" i="31"/>
  <c r="I81" i="31"/>
  <c r="J81" i="31"/>
  <c r="I82" i="31"/>
  <c r="J82" i="31" s="1"/>
  <c r="I83" i="31"/>
  <c r="J83" i="31"/>
  <c r="I84" i="31"/>
  <c r="J84" i="31"/>
  <c r="I85" i="31"/>
  <c r="J85" i="31"/>
  <c r="I86" i="31"/>
  <c r="J86" i="31" s="1"/>
  <c r="I87" i="31"/>
  <c r="J87" i="31"/>
  <c r="I88" i="31"/>
  <c r="J88" i="31"/>
  <c r="I89" i="31"/>
  <c r="I89" i="30" s="1"/>
  <c r="J89" i="31"/>
  <c r="I90" i="31"/>
  <c r="J90" i="31" s="1"/>
  <c r="I91" i="31"/>
  <c r="J91" i="31"/>
  <c r="I92" i="31"/>
  <c r="J92" i="31"/>
  <c r="I93" i="31"/>
  <c r="I93" i="30" s="1"/>
  <c r="J93" i="31"/>
  <c r="I94" i="31"/>
  <c r="J94" i="31" s="1"/>
  <c r="I95" i="31"/>
  <c r="J95" i="31"/>
  <c r="I96" i="31"/>
  <c r="J96" i="31"/>
  <c r="I97" i="31"/>
  <c r="J97" i="31"/>
  <c r="I98" i="31"/>
  <c r="J98" i="31" s="1"/>
  <c r="I99" i="31"/>
  <c r="J99" i="31"/>
  <c r="I100" i="31"/>
  <c r="J100" i="31"/>
  <c r="I101" i="31"/>
  <c r="I101" i="30" s="1"/>
  <c r="J101" i="31"/>
  <c r="I102" i="31"/>
  <c r="J102" i="31" s="1"/>
  <c r="I103" i="31"/>
  <c r="J103" i="31"/>
  <c r="I104" i="31"/>
  <c r="J104" i="31"/>
  <c r="I105" i="31"/>
  <c r="I105" i="30" s="1"/>
  <c r="J105" i="31"/>
  <c r="I106" i="31"/>
  <c r="J106" i="31" s="1"/>
  <c r="I107" i="31"/>
  <c r="J107" i="31"/>
  <c r="I108" i="31"/>
  <c r="J108" i="31"/>
  <c r="I109" i="31"/>
  <c r="I109" i="30" s="1"/>
  <c r="J109" i="31"/>
  <c r="I110" i="31"/>
  <c r="J110" i="31" s="1"/>
  <c r="I111" i="31"/>
  <c r="J111" i="31"/>
  <c r="I112" i="31"/>
  <c r="J112" i="31"/>
  <c r="I113" i="31"/>
  <c r="I113" i="30" s="1"/>
  <c r="J113" i="31"/>
  <c r="I114" i="31"/>
  <c r="J114" i="31" s="1"/>
  <c r="I115" i="31"/>
  <c r="J115" i="31"/>
  <c r="I116" i="31"/>
  <c r="J116" i="31"/>
  <c r="I117" i="31"/>
  <c r="I117" i="30" s="1"/>
  <c r="J117" i="31"/>
  <c r="I118" i="31"/>
  <c r="J118" i="31" s="1"/>
  <c r="I119" i="31"/>
  <c r="J119" i="31"/>
  <c r="I120" i="31"/>
  <c r="J120" i="31"/>
  <c r="I121" i="31"/>
  <c r="J121" i="31"/>
  <c r="I122" i="31"/>
  <c r="J122" i="31" s="1"/>
  <c r="I123" i="31"/>
  <c r="J123" i="31"/>
  <c r="I124" i="31"/>
  <c r="J124" i="31"/>
  <c r="I125" i="31"/>
  <c r="I125" i="30" s="1"/>
  <c r="J125" i="31"/>
  <c r="I126" i="31"/>
  <c r="J126" i="31" s="1"/>
  <c r="I127" i="31"/>
  <c r="J127" i="31"/>
  <c r="I128" i="31"/>
  <c r="J128" i="31"/>
  <c r="I129" i="31"/>
  <c r="I129" i="30" s="1"/>
  <c r="J129" i="31"/>
  <c r="I130" i="31"/>
  <c r="J130" i="31" s="1"/>
  <c r="I131" i="31"/>
  <c r="J131" i="31"/>
  <c r="I132" i="31"/>
  <c r="J132" i="31"/>
  <c r="I133" i="31"/>
  <c r="J133" i="31"/>
  <c r="I134" i="31"/>
  <c r="J134" i="31" s="1"/>
  <c r="I135" i="31"/>
  <c r="J135" i="31"/>
  <c r="I136" i="31"/>
  <c r="J136" i="31"/>
  <c r="I137" i="31"/>
  <c r="I137" i="30" s="1"/>
  <c r="J137" i="31"/>
  <c r="I138" i="31"/>
  <c r="J138" i="31" s="1"/>
  <c r="I139" i="31"/>
  <c r="J139" i="31"/>
  <c r="I140" i="31"/>
  <c r="J140" i="31"/>
  <c r="I141" i="31"/>
  <c r="I141" i="30" s="1"/>
  <c r="J141" i="31"/>
  <c r="I142" i="31"/>
  <c r="J142" i="31" s="1"/>
  <c r="I143" i="31"/>
  <c r="J143" i="31"/>
  <c r="I144" i="31"/>
  <c r="J144" i="31"/>
  <c r="I145" i="31"/>
  <c r="J145" i="31"/>
  <c r="I146" i="31"/>
  <c r="J146" i="31" s="1"/>
  <c r="I147" i="31"/>
  <c r="J147" i="31"/>
  <c r="I148" i="31"/>
  <c r="J148" i="31"/>
  <c r="I149" i="31"/>
  <c r="I149" i="30" s="1"/>
  <c r="J149" i="31"/>
  <c r="I150" i="31"/>
  <c r="J150" i="31" s="1"/>
  <c r="I151" i="31"/>
  <c r="J151" i="31"/>
  <c r="I152" i="31"/>
  <c r="J152" i="31"/>
  <c r="I153" i="31"/>
  <c r="J153" i="31"/>
  <c r="I154" i="31"/>
  <c r="J154" i="31" s="1"/>
  <c r="I155" i="31"/>
  <c r="J155" i="31"/>
  <c r="I156" i="31"/>
  <c r="J156" i="31"/>
  <c r="I157" i="31"/>
  <c r="J157" i="31"/>
  <c r="I158" i="31"/>
  <c r="J158" i="31" s="1"/>
  <c r="I159" i="31"/>
  <c r="J159" i="31"/>
  <c r="I160" i="31"/>
  <c r="J160" i="31"/>
  <c r="I161" i="31"/>
  <c r="I161" i="30" s="1"/>
  <c r="J161" i="31"/>
  <c r="F18" i="31"/>
  <c r="G18" i="31" s="1"/>
  <c r="F19" i="31"/>
  <c r="G19" i="31" s="1"/>
  <c r="F20" i="31"/>
  <c r="G20" i="31"/>
  <c r="F21" i="31"/>
  <c r="G21" i="31"/>
  <c r="F22" i="31"/>
  <c r="G22" i="31" s="1"/>
  <c r="F23" i="31"/>
  <c r="G23" i="31" s="1"/>
  <c r="F24" i="31"/>
  <c r="G24" i="31"/>
  <c r="F25" i="31"/>
  <c r="G25" i="31"/>
  <c r="F26" i="31"/>
  <c r="G26" i="31" s="1"/>
  <c r="F27" i="31"/>
  <c r="G27" i="31" s="1"/>
  <c r="F28" i="31"/>
  <c r="G28" i="31"/>
  <c r="F29" i="31"/>
  <c r="G29" i="31"/>
  <c r="F30" i="31"/>
  <c r="G30" i="31" s="1"/>
  <c r="F31" i="31"/>
  <c r="G31" i="31" s="1"/>
  <c r="F32" i="31"/>
  <c r="G32" i="31"/>
  <c r="F33" i="31"/>
  <c r="G33" i="31"/>
  <c r="F34" i="31"/>
  <c r="G34" i="31" s="1"/>
  <c r="F35" i="31"/>
  <c r="G35" i="31" s="1"/>
  <c r="F36" i="31"/>
  <c r="G36" i="31"/>
  <c r="F37" i="31"/>
  <c r="G37" i="31"/>
  <c r="F38" i="31"/>
  <c r="G38" i="31" s="1"/>
  <c r="F39" i="31"/>
  <c r="G39" i="31" s="1"/>
  <c r="F40" i="31"/>
  <c r="G40" i="31"/>
  <c r="F41" i="31"/>
  <c r="G41" i="31"/>
  <c r="F42" i="31"/>
  <c r="G42" i="31" s="1"/>
  <c r="F43" i="31"/>
  <c r="G43" i="31" s="1"/>
  <c r="F44" i="31"/>
  <c r="G44" i="31"/>
  <c r="F45" i="31"/>
  <c r="G45" i="31"/>
  <c r="F46" i="31"/>
  <c r="G46" i="31" s="1"/>
  <c r="F47" i="31"/>
  <c r="G47" i="31" s="1"/>
  <c r="F48" i="31"/>
  <c r="G48" i="31"/>
  <c r="F49" i="31"/>
  <c r="G49" i="31"/>
  <c r="F50" i="31"/>
  <c r="G50" i="31" s="1"/>
  <c r="F51" i="31"/>
  <c r="G51" i="31" s="1"/>
  <c r="F52" i="31"/>
  <c r="G52" i="31"/>
  <c r="F53" i="31"/>
  <c r="G53" i="31"/>
  <c r="F54" i="31"/>
  <c r="G54" i="31" s="1"/>
  <c r="F55" i="31"/>
  <c r="G55" i="31" s="1"/>
  <c r="F56" i="31"/>
  <c r="G56" i="31"/>
  <c r="F57" i="31"/>
  <c r="G57" i="31"/>
  <c r="F58" i="31"/>
  <c r="G58" i="31" s="1"/>
  <c r="F59" i="31"/>
  <c r="G59" i="31" s="1"/>
  <c r="F60" i="31"/>
  <c r="G60" i="31"/>
  <c r="F61" i="31"/>
  <c r="G61" i="31"/>
  <c r="F62" i="31"/>
  <c r="G62" i="31" s="1"/>
  <c r="F63" i="31"/>
  <c r="G63" i="31" s="1"/>
  <c r="F64" i="31"/>
  <c r="G64" i="31"/>
  <c r="F65" i="31"/>
  <c r="G65" i="31"/>
  <c r="F66" i="31"/>
  <c r="G66" i="31" s="1"/>
  <c r="F67" i="31"/>
  <c r="G67" i="31" s="1"/>
  <c r="F68" i="31"/>
  <c r="G68" i="31"/>
  <c r="F69" i="31"/>
  <c r="G69" i="31"/>
  <c r="F70" i="31"/>
  <c r="G70" i="31" s="1"/>
  <c r="F71" i="31"/>
  <c r="G71" i="31" s="1"/>
  <c r="F72" i="31"/>
  <c r="G72" i="31"/>
  <c r="F73" i="31"/>
  <c r="G73" i="31"/>
  <c r="F74" i="31"/>
  <c r="G74" i="31" s="1"/>
  <c r="F75" i="31"/>
  <c r="G75" i="31" s="1"/>
  <c r="F76" i="31"/>
  <c r="G76" i="31"/>
  <c r="F77" i="31"/>
  <c r="G77" i="31"/>
  <c r="F78" i="31"/>
  <c r="G78" i="31" s="1"/>
  <c r="F79" i="31"/>
  <c r="G79" i="31" s="1"/>
  <c r="F80" i="31"/>
  <c r="G80" i="31"/>
  <c r="F81" i="31"/>
  <c r="G81" i="31"/>
  <c r="F82" i="31"/>
  <c r="G82" i="31" s="1"/>
  <c r="F83" i="31"/>
  <c r="G83" i="31" s="1"/>
  <c r="F84" i="31"/>
  <c r="G84" i="31"/>
  <c r="F85" i="31"/>
  <c r="G85" i="31"/>
  <c r="F86" i="31"/>
  <c r="G86" i="31" s="1"/>
  <c r="F87" i="31"/>
  <c r="G87" i="31" s="1"/>
  <c r="F88" i="31"/>
  <c r="G88" i="31"/>
  <c r="F89" i="31"/>
  <c r="G89" i="31"/>
  <c r="F90" i="31"/>
  <c r="G90" i="31" s="1"/>
  <c r="F91" i="31"/>
  <c r="G91" i="31" s="1"/>
  <c r="F92" i="31"/>
  <c r="G92" i="31"/>
  <c r="F93" i="31"/>
  <c r="G93" i="31"/>
  <c r="F94" i="31"/>
  <c r="G94" i="31" s="1"/>
  <c r="F95" i="31"/>
  <c r="G95" i="31" s="1"/>
  <c r="F96" i="31"/>
  <c r="G96" i="31"/>
  <c r="F97" i="31"/>
  <c r="G97" i="31"/>
  <c r="F98" i="31"/>
  <c r="G98" i="31" s="1"/>
  <c r="F99" i="31"/>
  <c r="G99" i="31" s="1"/>
  <c r="F100" i="31"/>
  <c r="G100" i="31"/>
  <c r="F101" i="31"/>
  <c r="G101" i="31"/>
  <c r="F102" i="31"/>
  <c r="G102" i="31" s="1"/>
  <c r="F103" i="31"/>
  <c r="G103" i="31" s="1"/>
  <c r="F104" i="31"/>
  <c r="G104" i="31"/>
  <c r="F105" i="31"/>
  <c r="G105" i="31"/>
  <c r="F106" i="31"/>
  <c r="G106" i="31" s="1"/>
  <c r="F107" i="31"/>
  <c r="G107" i="31" s="1"/>
  <c r="F108" i="31"/>
  <c r="G108" i="31"/>
  <c r="F109" i="31"/>
  <c r="G109" i="31"/>
  <c r="F110" i="31"/>
  <c r="G110" i="31" s="1"/>
  <c r="F111" i="31"/>
  <c r="G111" i="31" s="1"/>
  <c r="F112" i="31"/>
  <c r="G112" i="31"/>
  <c r="F113" i="31"/>
  <c r="G113" i="31"/>
  <c r="F114" i="31"/>
  <c r="G114" i="31" s="1"/>
  <c r="F115" i="31"/>
  <c r="G115" i="31" s="1"/>
  <c r="F116" i="31"/>
  <c r="G116" i="31"/>
  <c r="F117" i="31"/>
  <c r="G117" i="31"/>
  <c r="F118" i="31"/>
  <c r="G118" i="31" s="1"/>
  <c r="F119" i="31"/>
  <c r="G119" i="31" s="1"/>
  <c r="F120" i="31"/>
  <c r="G120" i="31"/>
  <c r="F121" i="31"/>
  <c r="G121" i="31"/>
  <c r="F122" i="31"/>
  <c r="G122" i="31" s="1"/>
  <c r="F123" i="31"/>
  <c r="G123" i="31" s="1"/>
  <c r="F124" i="31"/>
  <c r="G124" i="31"/>
  <c r="F125" i="31"/>
  <c r="G125" i="31"/>
  <c r="F126" i="31"/>
  <c r="G126" i="31" s="1"/>
  <c r="F127" i="31"/>
  <c r="G127" i="31" s="1"/>
  <c r="F128" i="31"/>
  <c r="G128" i="31"/>
  <c r="F129" i="31"/>
  <c r="G129" i="31"/>
  <c r="F130" i="31"/>
  <c r="G130" i="31" s="1"/>
  <c r="F131" i="31"/>
  <c r="G131" i="31" s="1"/>
  <c r="F132" i="31"/>
  <c r="G132" i="31"/>
  <c r="F133" i="31"/>
  <c r="G133" i="31"/>
  <c r="F134" i="31"/>
  <c r="G134" i="31" s="1"/>
  <c r="F135" i="31"/>
  <c r="G135" i="31" s="1"/>
  <c r="F136" i="31"/>
  <c r="G136" i="31"/>
  <c r="F137" i="31"/>
  <c r="G137" i="31"/>
  <c r="F138" i="31"/>
  <c r="G138" i="31" s="1"/>
  <c r="F139" i="31"/>
  <c r="G139" i="31" s="1"/>
  <c r="F140" i="31"/>
  <c r="G140" i="31"/>
  <c r="F141" i="31"/>
  <c r="G141" i="31"/>
  <c r="F142" i="31"/>
  <c r="G142" i="31" s="1"/>
  <c r="F143" i="31"/>
  <c r="G143" i="31" s="1"/>
  <c r="F144" i="31"/>
  <c r="G144" i="31"/>
  <c r="F145" i="31"/>
  <c r="G145" i="31"/>
  <c r="F146" i="31"/>
  <c r="G146" i="31" s="1"/>
  <c r="F147" i="31"/>
  <c r="G147" i="31" s="1"/>
  <c r="F148" i="31"/>
  <c r="G148" i="31"/>
  <c r="F149" i="31"/>
  <c r="G149" i="31"/>
  <c r="F150" i="31"/>
  <c r="G150" i="31" s="1"/>
  <c r="F151" i="31"/>
  <c r="G151" i="31" s="1"/>
  <c r="F152" i="31"/>
  <c r="G152" i="31"/>
  <c r="F153" i="31"/>
  <c r="G153" i="31"/>
  <c r="F154" i="31"/>
  <c r="G154" i="31" s="1"/>
  <c r="F155" i="31"/>
  <c r="G155" i="31" s="1"/>
  <c r="F156" i="31"/>
  <c r="G156" i="31"/>
  <c r="F157" i="31"/>
  <c r="G157" i="31"/>
  <c r="F158" i="31"/>
  <c r="G158" i="31" s="1"/>
  <c r="F159" i="31"/>
  <c r="G159" i="31" s="1"/>
  <c r="F160" i="31"/>
  <c r="G160" i="31"/>
  <c r="F161" i="31"/>
  <c r="G161" i="31"/>
  <c r="F136" i="28"/>
  <c r="I136" i="28"/>
  <c r="F60" i="28"/>
  <c r="I18" i="28"/>
  <c r="J18" i="28" s="1"/>
  <c r="I19" i="28"/>
  <c r="J19" i="28" s="1"/>
  <c r="I20" i="28"/>
  <c r="J20" i="28" s="1"/>
  <c r="I21" i="28"/>
  <c r="J21" i="28" s="1"/>
  <c r="I22" i="28"/>
  <c r="J22" i="28" s="1"/>
  <c r="I23" i="28"/>
  <c r="J23" i="28" s="1"/>
  <c r="I24" i="28"/>
  <c r="J24" i="28" s="1"/>
  <c r="I25" i="28"/>
  <c r="J25" i="28" s="1"/>
  <c r="I26" i="28"/>
  <c r="J26" i="28" s="1"/>
  <c r="I27" i="28"/>
  <c r="J27" i="28" s="1"/>
  <c r="I28" i="28"/>
  <c r="J28" i="28" s="1"/>
  <c r="I29" i="28"/>
  <c r="J29" i="28" s="1"/>
  <c r="I30" i="28"/>
  <c r="J30" i="28" s="1"/>
  <c r="I31" i="28"/>
  <c r="J31" i="28" s="1"/>
  <c r="I32" i="28"/>
  <c r="J32" i="28" s="1"/>
  <c r="I33" i="28"/>
  <c r="J33" i="28" s="1"/>
  <c r="I34" i="28"/>
  <c r="J34" i="28" s="1"/>
  <c r="I35" i="28"/>
  <c r="J35" i="28" s="1"/>
  <c r="I36" i="28"/>
  <c r="J36" i="28" s="1"/>
  <c r="I37" i="28"/>
  <c r="J37" i="28" s="1"/>
  <c r="I38" i="28"/>
  <c r="J38" i="28" s="1"/>
  <c r="I39" i="28"/>
  <c r="J39" i="28" s="1"/>
  <c r="I40" i="28"/>
  <c r="J40" i="28" s="1"/>
  <c r="I41" i="28"/>
  <c r="J41" i="28" s="1"/>
  <c r="I42" i="28"/>
  <c r="J42" i="28" s="1"/>
  <c r="I43" i="28"/>
  <c r="J43" i="28" s="1"/>
  <c r="I44" i="28"/>
  <c r="J44" i="28" s="1"/>
  <c r="I45" i="28"/>
  <c r="J45" i="28" s="1"/>
  <c r="I46" i="28"/>
  <c r="J46" i="28" s="1"/>
  <c r="I47" i="28"/>
  <c r="J47" i="28" s="1"/>
  <c r="I48" i="28"/>
  <c r="J48" i="28" s="1"/>
  <c r="I49" i="28"/>
  <c r="J49" i="28" s="1"/>
  <c r="I50" i="28"/>
  <c r="J50" i="28" s="1"/>
  <c r="I51" i="28"/>
  <c r="J51" i="28" s="1"/>
  <c r="I52" i="28"/>
  <c r="J52" i="28" s="1"/>
  <c r="I53" i="28"/>
  <c r="J53" i="28" s="1"/>
  <c r="I54" i="28"/>
  <c r="J54" i="28" s="1"/>
  <c r="I55" i="28"/>
  <c r="J55" i="28" s="1"/>
  <c r="I56" i="28"/>
  <c r="J56" i="28" s="1"/>
  <c r="I57" i="28"/>
  <c r="J57" i="28" s="1"/>
  <c r="I58" i="28"/>
  <c r="J58" i="28" s="1"/>
  <c r="I59" i="28"/>
  <c r="J59" i="28" s="1"/>
  <c r="I60" i="28"/>
  <c r="J60" i="28" s="1"/>
  <c r="I61" i="28"/>
  <c r="J61" i="28" s="1"/>
  <c r="I62" i="28"/>
  <c r="J62" i="28" s="1"/>
  <c r="I63" i="28"/>
  <c r="J63" i="28" s="1"/>
  <c r="I64" i="28"/>
  <c r="J64" i="28" s="1"/>
  <c r="I65" i="28"/>
  <c r="J65" i="28" s="1"/>
  <c r="I66" i="28"/>
  <c r="J66" i="28" s="1"/>
  <c r="I67" i="28"/>
  <c r="J67" i="28" s="1"/>
  <c r="I68" i="28"/>
  <c r="J68" i="28" s="1"/>
  <c r="I69" i="28"/>
  <c r="J69" i="28" s="1"/>
  <c r="I70" i="28"/>
  <c r="J70" i="28" s="1"/>
  <c r="I71" i="28"/>
  <c r="J71" i="28" s="1"/>
  <c r="I72" i="28"/>
  <c r="J72" i="28" s="1"/>
  <c r="I73" i="28"/>
  <c r="J73" i="28" s="1"/>
  <c r="I74" i="28"/>
  <c r="J74" i="28" s="1"/>
  <c r="I75" i="28"/>
  <c r="J75" i="28" s="1"/>
  <c r="I76" i="28"/>
  <c r="J76" i="28" s="1"/>
  <c r="I77" i="28"/>
  <c r="J77" i="28" s="1"/>
  <c r="I78" i="28"/>
  <c r="J78" i="28" s="1"/>
  <c r="I79" i="28"/>
  <c r="J79" i="28" s="1"/>
  <c r="I80" i="28"/>
  <c r="J80" i="28" s="1"/>
  <c r="I81" i="28"/>
  <c r="J81" i="28" s="1"/>
  <c r="I82" i="28"/>
  <c r="J82" i="28" s="1"/>
  <c r="I83" i="28"/>
  <c r="J83" i="28" s="1"/>
  <c r="I84" i="28"/>
  <c r="J84" i="28" s="1"/>
  <c r="I85" i="28"/>
  <c r="J85" i="28" s="1"/>
  <c r="I86" i="28"/>
  <c r="J86" i="28" s="1"/>
  <c r="I87" i="28"/>
  <c r="J87" i="28" s="1"/>
  <c r="I88" i="28"/>
  <c r="J88" i="28" s="1"/>
  <c r="I89" i="28"/>
  <c r="J89" i="28" s="1"/>
  <c r="I90" i="28"/>
  <c r="J90" i="28" s="1"/>
  <c r="I91" i="28"/>
  <c r="J91" i="28" s="1"/>
  <c r="I92" i="28"/>
  <c r="J92" i="28" s="1"/>
  <c r="I93" i="28"/>
  <c r="J93" i="28" s="1"/>
  <c r="I94" i="28"/>
  <c r="J94" i="28" s="1"/>
  <c r="I95" i="28"/>
  <c r="J95" i="28" s="1"/>
  <c r="I96" i="28"/>
  <c r="J96" i="28" s="1"/>
  <c r="I97" i="28"/>
  <c r="J97" i="28" s="1"/>
  <c r="I98" i="28"/>
  <c r="J98" i="28" s="1"/>
  <c r="I99" i="28"/>
  <c r="J99" i="28" s="1"/>
  <c r="I100" i="28"/>
  <c r="J100" i="28" s="1"/>
  <c r="I101" i="28"/>
  <c r="J101" i="28" s="1"/>
  <c r="I102" i="28"/>
  <c r="J102" i="28" s="1"/>
  <c r="I103" i="28"/>
  <c r="J103" i="28" s="1"/>
  <c r="I104" i="28"/>
  <c r="J104" i="28" s="1"/>
  <c r="I105" i="28"/>
  <c r="J105" i="28" s="1"/>
  <c r="I106" i="28"/>
  <c r="J106" i="28" s="1"/>
  <c r="I107" i="28"/>
  <c r="J107" i="28" s="1"/>
  <c r="I108" i="28"/>
  <c r="J108" i="28" s="1"/>
  <c r="I109" i="28"/>
  <c r="J109" i="28" s="1"/>
  <c r="I110" i="28"/>
  <c r="J110" i="28" s="1"/>
  <c r="I111" i="28"/>
  <c r="J111" i="28" s="1"/>
  <c r="I112" i="28"/>
  <c r="J112" i="28" s="1"/>
  <c r="I113" i="28"/>
  <c r="J113" i="28" s="1"/>
  <c r="I114" i="28"/>
  <c r="J114" i="28" s="1"/>
  <c r="I115" i="28"/>
  <c r="J115" i="28" s="1"/>
  <c r="I116" i="28"/>
  <c r="J116" i="28" s="1"/>
  <c r="I117" i="28"/>
  <c r="J117" i="28" s="1"/>
  <c r="I118" i="28"/>
  <c r="J118" i="28" s="1"/>
  <c r="I119" i="28"/>
  <c r="J119" i="28" s="1"/>
  <c r="I120" i="28"/>
  <c r="J120" i="28" s="1"/>
  <c r="I121" i="28"/>
  <c r="J121" i="28" s="1"/>
  <c r="I122" i="28"/>
  <c r="J122" i="28" s="1"/>
  <c r="I123" i="28"/>
  <c r="J123" i="28" s="1"/>
  <c r="I124" i="28"/>
  <c r="J124" i="28" s="1"/>
  <c r="I125" i="28"/>
  <c r="J125" i="28" s="1"/>
  <c r="I126" i="28"/>
  <c r="J126" i="28" s="1"/>
  <c r="I127" i="28"/>
  <c r="J127" i="28" s="1"/>
  <c r="I128" i="28"/>
  <c r="J128" i="28" s="1"/>
  <c r="I129" i="28"/>
  <c r="J129" i="28" s="1"/>
  <c r="I130" i="28"/>
  <c r="J130" i="28" s="1"/>
  <c r="I131" i="28"/>
  <c r="J131" i="28" s="1"/>
  <c r="I132" i="28"/>
  <c r="J132" i="28" s="1"/>
  <c r="J133" i="28"/>
  <c r="I134" i="28"/>
  <c r="J134" i="28" s="1"/>
  <c r="I135" i="28"/>
  <c r="J135" i="28" s="1"/>
  <c r="J136" i="28"/>
  <c r="I137" i="28"/>
  <c r="J137" i="28" s="1"/>
  <c r="I138" i="28"/>
  <c r="J138" i="28" s="1"/>
  <c r="I139" i="28"/>
  <c r="J139" i="28" s="1"/>
  <c r="I140" i="28"/>
  <c r="J140" i="28" s="1"/>
  <c r="I141" i="28"/>
  <c r="J141" i="28" s="1"/>
  <c r="I142" i="28"/>
  <c r="J142" i="28" s="1"/>
  <c r="I143" i="28"/>
  <c r="J143" i="28" s="1"/>
  <c r="I144" i="28"/>
  <c r="J144" i="28" s="1"/>
  <c r="I145" i="28"/>
  <c r="J145" i="28" s="1"/>
  <c r="I146" i="28"/>
  <c r="J146" i="28" s="1"/>
  <c r="I147" i="28"/>
  <c r="J147" i="28" s="1"/>
  <c r="I148" i="28"/>
  <c r="J148" i="28" s="1"/>
  <c r="I149" i="28"/>
  <c r="J149" i="28" s="1"/>
  <c r="I150" i="28"/>
  <c r="J150" i="28" s="1"/>
  <c r="I151" i="28"/>
  <c r="J151" i="28" s="1"/>
  <c r="I152" i="28"/>
  <c r="J152" i="28" s="1"/>
  <c r="I153" i="28"/>
  <c r="J153" i="28" s="1"/>
  <c r="I154" i="28"/>
  <c r="J154" i="28" s="1"/>
  <c r="I155" i="28"/>
  <c r="J155" i="28" s="1"/>
  <c r="I156" i="28"/>
  <c r="J156" i="28" s="1"/>
  <c r="I157" i="28"/>
  <c r="J157" i="28" s="1"/>
  <c r="I158" i="28"/>
  <c r="J158" i="28" s="1"/>
  <c r="I159" i="28"/>
  <c r="J159" i="28" s="1"/>
  <c r="I160" i="28"/>
  <c r="J160" i="28" s="1"/>
  <c r="I161" i="28"/>
  <c r="J161" i="28" s="1"/>
  <c r="F18" i="28"/>
  <c r="G18" i="28" s="1"/>
  <c r="F19" i="28"/>
  <c r="G19" i="28" s="1"/>
  <c r="F20" i="28"/>
  <c r="G20" i="28" s="1"/>
  <c r="F21" i="28"/>
  <c r="G21" i="28" s="1"/>
  <c r="F22" i="28"/>
  <c r="G22" i="28" s="1"/>
  <c r="F23" i="28"/>
  <c r="G23" i="28" s="1"/>
  <c r="F24" i="28"/>
  <c r="G24" i="28" s="1"/>
  <c r="F25" i="28"/>
  <c r="G25" i="28" s="1"/>
  <c r="F26" i="28"/>
  <c r="G26" i="28" s="1"/>
  <c r="F27" i="28"/>
  <c r="G27" i="28" s="1"/>
  <c r="F28" i="28"/>
  <c r="G28" i="28" s="1"/>
  <c r="F29" i="28"/>
  <c r="G29" i="28" s="1"/>
  <c r="F30" i="28"/>
  <c r="G30" i="28" s="1"/>
  <c r="F31" i="28"/>
  <c r="G31" i="28" s="1"/>
  <c r="F32" i="28"/>
  <c r="G32" i="28" s="1"/>
  <c r="F33" i="28"/>
  <c r="G33" i="28" s="1"/>
  <c r="F34" i="28"/>
  <c r="G34" i="28" s="1"/>
  <c r="F35" i="28"/>
  <c r="G35" i="28" s="1"/>
  <c r="F36" i="28"/>
  <c r="G36" i="28" s="1"/>
  <c r="F37" i="28"/>
  <c r="G37" i="28" s="1"/>
  <c r="F38" i="28"/>
  <c r="G38" i="28" s="1"/>
  <c r="F39" i="28"/>
  <c r="G39" i="28" s="1"/>
  <c r="F40" i="28"/>
  <c r="G40" i="28" s="1"/>
  <c r="F41" i="28"/>
  <c r="G41" i="28" s="1"/>
  <c r="F42" i="28"/>
  <c r="G42" i="28" s="1"/>
  <c r="F43" i="28"/>
  <c r="G43" i="28" s="1"/>
  <c r="F44" i="28"/>
  <c r="G44" i="28" s="1"/>
  <c r="F45" i="28"/>
  <c r="G45" i="28" s="1"/>
  <c r="F46" i="28"/>
  <c r="G46" i="28" s="1"/>
  <c r="F47" i="28"/>
  <c r="G47" i="28" s="1"/>
  <c r="F48" i="28"/>
  <c r="G48" i="28" s="1"/>
  <c r="F49" i="28"/>
  <c r="G49" i="28" s="1"/>
  <c r="F50" i="28"/>
  <c r="G50" i="28" s="1"/>
  <c r="F51" i="28"/>
  <c r="G51" i="28" s="1"/>
  <c r="F52" i="28"/>
  <c r="G52" i="28" s="1"/>
  <c r="F53" i="28"/>
  <c r="G53" i="28" s="1"/>
  <c r="F54" i="28"/>
  <c r="G54" i="28" s="1"/>
  <c r="F55" i="28"/>
  <c r="G55" i="28" s="1"/>
  <c r="F56" i="28"/>
  <c r="G56" i="28" s="1"/>
  <c r="F57" i="28"/>
  <c r="G57" i="28" s="1"/>
  <c r="F58" i="28"/>
  <c r="G58" i="28" s="1"/>
  <c r="F59" i="28"/>
  <c r="G59" i="28" s="1"/>
  <c r="G60" i="28"/>
  <c r="F61" i="28"/>
  <c r="G61" i="28" s="1"/>
  <c r="F62" i="28"/>
  <c r="G62" i="28" s="1"/>
  <c r="F63" i="28"/>
  <c r="G63" i="28" s="1"/>
  <c r="F64" i="28"/>
  <c r="G64" i="28" s="1"/>
  <c r="F65" i="28"/>
  <c r="G65" i="28" s="1"/>
  <c r="F66" i="28"/>
  <c r="G66" i="28" s="1"/>
  <c r="F67" i="28"/>
  <c r="G67" i="28" s="1"/>
  <c r="F68" i="28"/>
  <c r="G68" i="28" s="1"/>
  <c r="F69" i="28"/>
  <c r="G69" i="28" s="1"/>
  <c r="F70" i="28"/>
  <c r="G70" i="28" s="1"/>
  <c r="F71" i="28"/>
  <c r="G71" i="28" s="1"/>
  <c r="F72" i="28"/>
  <c r="G72" i="28" s="1"/>
  <c r="F73" i="28"/>
  <c r="G73" i="28" s="1"/>
  <c r="F74" i="28"/>
  <c r="G74" i="28" s="1"/>
  <c r="F75" i="28"/>
  <c r="G75" i="28" s="1"/>
  <c r="F76" i="28"/>
  <c r="G76" i="28" s="1"/>
  <c r="F77" i="28"/>
  <c r="G77" i="28" s="1"/>
  <c r="F78" i="28"/>
  <c r="G78" i="28" s="1"/>
  <c r="F79" i="28"/>
  <c r="G79" i="28" s="1"/>
  <c r="F80" i="28"/>
  <c r="G80" i="28" s="1"/>
  <c r="F81" i="28"/>
  <c r="G81" i="28" s="1"/>
  <c r="F82" i="28"/>
  <c r="G82" i="28" s="1"/>
  <c r="F83" i="28"/>
  <c r="G83" i="28" s="1"/>
  <c r="F84" i="28"/>
  <c r="G84" i="28" s="1"/>
  <c r="F85" i="28"/>
  <c r="G85" i="28" s="1"/>
  <c r="F86" i="28"/>
  <c r="G86" i="28" s="1"/>
  <c r="F87" i="28"/>
  <c r="G87" i="28" s="1"/>
  <c r="F88" i="28"/>
  <c r="G88" i="28" s="1"/>
  <c r="F89" i="28"/>
  <c r="G89" i="28" s="1"/>
  <c r="F90" i="28"/>
  <c r="G90" i="28" s="1"/>
  <c r="F91" i="28"/>
  <c r="G91" i="28" s="1"/>
  <c r="F92" i="28"/>
  <c r="G92" i="28" s="1"/>
  <c r="F93" i="28"/>
  <c r="G93" i="28" s="1"/>
  <c r="F94" i="28"/>
  <c r="G94" i="28" s="1"/>
  <c r="F95" i="28"/>
  <c r="G95" i="28" s="1"/>
  <c r="F96" i="28"/>
  <c r="G96" i="28" s="1"/>
  <c r="F97" i="28"/>
  <c r="G97" i="28" s="1"/>
  <c r="F98" i="28"/>
  <c r="G98" i="28" s="1"/>
  <c r="F99" i="28"/>
  <c r="G99" i="28" s="1"/>
  <c r="F100" i="28"/>
  <c r="G100" i="28" s="1"/>
  <c r="F101" i="28"/>
  <c r="G101" i="28" s="1"/>
  <c r="F102" i="28"/>
  <c r="G102" i="28" s="1"/>
  <c r="F103" i="28"/>
  <c r="G103" i="28" s="1"/>
  <c r="F104" i="28"/>
  <c r="G104" i="28" s="1"/>
  <c r="F105" i="28"/>
  <c r="G105" i="28" s="1"/>
  <c r="F106" i="28"/>
  <c r="G106" i="28" s="1"/>
  <c r="F107" i="28"/>
  <c r="G107" i="28" s="1"/>
  <c r="F108" i="28"/>
  <c r="G108" i="28" s="1"/>
  <c r="F109" i="28"/>
  <c r="G109" i="28" s="1"/>
  <c r="F110" i="28"/>
  <c r="G110" i="28" s="1"/>
  <c r="F111" i="28"/>
  <c r="G111" i="28" s="1"/>
  <c r="F112" i="28"/>
  <c r="G112" i="28" s="1"/>
  <c r="F113" i="28"/>
  <c r="G113" i="28" s="1"/>
  <c r="F114" i="28"/>
  <c r="G114" i="28" s="1"/>
  <c r="F115" i="28"/>
  <c r="G115" i="28" s="1"/>
  <c r="F116" i="28"/>
  <c r="G116" i="28" s="1"/>
  <c r="F117" i="28"/>
  <c r="G117" i="28" s="1"/>
  <c r="F118" i="28"/>
  <c r="G118" i="28" s="1"/>
  <c r="F119" i="28"/>
  <c r="G119" i="28" s="1"/>
  <c r="F120" i="28"/>
  <c r="G120" i="28" s="1"/>
  <c r="F121" i="28"/>
  <c r="G121" i="28" s="1"/>
  <c r="F122" i="28"/>
  <c r="G122" i="28" s="1"/>
  <c r="F123" i="28"/>
  <c r="G123" i="28" s="1"/>
  <c r="F124" i="28"/>
  <c r="G124" i="28" s="1"/>
  <c r="F125" i="28"/>
  <c r="G125" i="28" s="1"/>
  <c r="F126" i="28"/>
  <c r="G126" i="28" s="1"/>
  <c r="F127" i="28"/>
  <c r="G127" i="28" s="1"/>
  <c r="F128" i="28"/>
  <c r="G128" i="28" s="1"/>
  <c r="F129" i="28"/>
  <c r="G129" i="28" s="1"/>
  <c r="F130" i="28"/>
  <c r="G130" i="28" s="1"/>
  <c r="F131" i="28"/>
  <c r="G131" i="28" s="1"/>
  <c r="F132" i="28"/>
  <c r="G132" i="28" s="1"/>
  <c r="F133" i="28"/>
  <c r="G133" i="28" s="1"/>
  <c r="F134" i="28"/>
  <c r="G134" i="28" s="1"/>
  <c r="F135" i="28"/>
  <c r="G135" i="28" s="1"/>
  <c r="G136" i="28"/>
  <c r="F137" i="28"/>
  <c r="G137" i="28" s="1"/>
  <c r="F138" i="28"/>
  <c r="G138" i="28" s="1"/>
  <c r="F139" i="28"/>
  <c r="G139" i="28" s="1"/>
  <c r="F140" i="28"/>
  <c r="G140" i="28" s="1"/>
  <c r="F141" i="28"/>
  <c r="G141" i="28" s="1"/>
  <c r="F142" i="28"/>
  <c r="G142" i="28" s="1"/>
  <c r="F143" i="28"/>
  <c r="G143" i="28" s="1"/>
  <c r="F144" i="28"/>
  <c r="G144" i="28" s="1"/>
  <c r="F145" i="28"/>
  <c r="G145" i="28" s="1"/>
  <c r="F146" i="28"/>
  <c r="G146" i="28" s="1"/>
  <c r="F147" i="28"/>
  <c r="G147" i="28" s="1"/>
  <c r="F148" i="28"/>
  <c r="G148" i="28" s="1"/>
  <c r="F149" i="28"/>
  <c r="G149" i="28" s="1"/>
  <c r="F150" i="28"/>
  <c r="G150" i="28" s="1"/>
  <c r="F151" i="28"/>
  <c r="G151" i="28" s="1"/>
  <c r="F152" i="28"/>
  <c r="G152" i="28" s="1"/>
  <c r="F153" i="28"/>
  <c r="G153" i="28" s="1"/>
  <c r="F154" i="28"/>
  <c r="G154" i="28" s="1"/>
  <c r="F155" i="28"/>
  <c r="G155" i="28" s="1"/>
  <c r="F156" i="28"/>
  <c r="G156" i="28" s="1"/>
  <c r="F157" i="28"/>
  <c r="G157" i="28" s="1"/>
  <c r="F158" i="28"/>
  <c r="G158" i="28" s="1"/>
  <c r="F159" i="28"/>
  <c r="G159" i="28" s="1"/>
  <c r="F160" i="28"/>
  <c r="G160" i="28" s="1"/>
  <c r="F161" i="28"/>
  <c r="G161" i="28" s="1"/>
  <c r="G18" i="27"/>
  <c r="I18" i="27"/>
  <c r="J18" i="27" s="1"/>
  <c r="I19" i="27"/>
  <c r="J19" i="27" s="1"/>
  <c r="I20" i="27"/>
  <c r="J20" i="27" s="1"/>
  <c r="I21" i="27"/>
  <c r="J21" i="27"/>
  <c r="I22" i="27"/>
  <c r="J22" i="27" s="1"/>
  <c r="I23" i="27"/>
  <c r="J23" i="27" s="1"/>
  <c r="I24" i="27"/>
  <c r="J24" i="27" s="1"/>
  <c r="I25" i="27"/>
  <c r="I25" i="29" s="1"/>
  <c r="J25" i="27"/>
  <c r="I26" i="27"/>
  <c r="J26" i="27" s="1"/>
  <c r="I27" i="27"/>
  <c r="J27" i="27" s="1"/>
  <c r="I28" i="27"/>
  <c r="J28" i="27" s="1"/>
  <c r="I29" i="27"/>
  <c r="J29" i="27" s="1"/>
  <c r="I30" i="27"/>
  <c r="J30" i="27" s="1"/>
  <c r="I31" i="27"/>
  <c r="J31" i="27" s="1"/>
  <c r="I32" i="27"/>
  <c r="J32" i="27" s="1"/>
  <c r="I33" i="27"/>
  <c r="J33" i="27" s="1"/>
  <c r="I34" i="27"/>
  <c r="J34" i="27" s="1"/>
  <c r="I35" i="27"/>
  <c r="J35" i="27" s="1"/>
  <c r="I36" i="27"/>
  <c r="J36" i="27" s="1"/>
  <c r="I37" i="27"/>
  <c r="J37" i="27" s="1"/>
  <c r="I38" i="27"/>
  <c r="J38" i="27" s="1"/>
  <c r="I39" i="27"/>
  <c r="J39" i="27" s="1"/>
  <c r="I40" i="27"/>
  <c r="J40" i="27" s="1"/>
  <c r="I41" i="27"/>
  <c r="J41" i="27" s="1"/>
  <c r="I42" i="27"/>
  <c r="J42" i="27" s="1"/>
  <c r="I43" i="27"/>
  <c r="J43" i="27" s="1"/>
  <c r="I44" i="27"/>
  <c r="J44" i="27" s="1"/>
  <c r="I45" i="27"/>
  <c r="J45" i="27" s="1"/>
  <c r="I46" i="27"/>
  <c r="J46" i="27" s="1"/>
  <c r="I47" i="27"/>
  <c r="J47" i="27" s="1"/>
  <c r="I48" i="27"/>
  <c r="J48" i="27" s="1"/>
  <c r="I49" i="27"/>
  <c r="J49" i="27"/>
  <c r="I50" i="27"/>
  <c r="J50" i="27" s="1"/>
  <c r="I51" i="27"/>
  <c r="J51" i="27" s="1"/>
  <c r="I52" i="27"/>
  <c r="J52" i="27" s="1"/>
  <c r="I53" i="27"/>
  <c r="J53" i="27" s="1"/>
  <c r="I54" i="27"/>
  <c r="J54" i="27" s="1"/>
  <c r="I55" i="27"/>
  <c r="J55" i="27" s="1"/>
  <c r="I56" i="27"/>
  <c r="J56" i="27" s="1"/>
  <c r="I57" i="27"/>
  <c r="I57" i="29" s="1"/>
  <c r="I58" i="27"/>
  <c r="I58" i="29" s="1"/>
  <c r="I59" i="27"/>
  <c r="J59" i="27" s="1"/>
  <c r="I60" i="27"/>
  <c r="J60" i="27" s="1"/>
  <c r="I61" i="27"/>
  <c r="J61" i="27" s="1"/>
  <c r="I62" i="27"/>
  <c r="J62" i="27" s="1"/>
  <c r="I63" i="27"/>
  <c r="J63" i="27" s="1"/>
  <c r="I64" i="27"/>
  <c r="J64" i="27" s="1"/>
  <c r="I65" i="27"/>
  <c r="J65" i="27" s="1"/>
  <c r="I66" i="27"/>
  <c r="J66" i="27" s="1"/>
  <c r="I67" i="27"/>
  <c r="J67" i="27" s="1"/>
  <c r="I68" i="27"/>
  <c r="J68" i="27" s="1"/>
  <c r="I69" i="27"/>
  <c r="J69" i="27"/>
  <c r="I70" i="27"/>
  <c r="J70" i="27" s="1"/>
  <c r="I71" i="27"/>
  <c r="J71" i="27" s="1"/>
  <c r="I72" i="27"/>
  <c r="J72" i="27" s="1"/>
  <c r="I73" i="27"/>
  <c r="J73" i="27" s="1"/>
  <c r="I74" i="27"/>
  <c r="J74" i="27" s="1"/>
  <c r="I75" i="27"/>
  <c r="J75" i="27" s="1"/>
  <c r="I76" i="27"/>
  <c r="J76" i="27" s="1"/>
  <c r="I77" i="27"/>
  <c r="J77" i="27" s="1"/>
  <c r="I78" i="27"/>
  <c r="J78" i="27" s="1"/>
  <c r="I79" i="27"/>
  <c r="J79" i="27" s="1"/>
  <c r="I80" i="27"/>
  <c r="J80" i="27" s="1"/>
  <c r="I81" i="27"/>
  <c r="J81" i="27" s="1"/>
  <c r="I82" i="27"/>
  <c r="I82" i="29" s="1"/>
  <c r="I83" i="27"/>
  <c r="J83" i="27" s="1"/>
  <c r="I84" i="27"/>
  <c r="J84" i="27" s="1"/>
  <c r="I85" i="27"/>
  <c r="J85" i="27" s="1"/>
  <c r="I86" i="27"/>
  <c r="J86" i="27" s="1"/>
  <c r="I87" i="27"/>
  <c r="J87" i="27" s="1"/>
  <c r="I88" i="27"/>
  <c r="J88" i="27" s="1"/>
  <c r="I89" i="27"/>
  <c r="I89" i="29" s="1"/>
  <c r="I90" i="27"/>
  <c r="J90" i="27" s="1"/>
  <c r="I91" i="27"/>
  <c r="J91" i="27" s="1"/>
  <c r="I92" i="27"/>
  <c r="J92" i="27" s="1"/>
  <c r="I93" i="27"/>
  <c r="J93" i="27" s="1"/>
  <c r="I94" i="27"/>
  <c r="J94" i="27" s="1"/>
  <c r="I95" i="27"/>
  <c r="J95" i="27" s="1"/>
  <c r="I96" i="27"/>
  <c r="J96" i="27" s="1"/>
  <c r="I97" i="27"/>
  <c r="J97" i="27" s="1"/>
  <c r="I98" i="27"/>
  <c r="J98" i="27" s="1"/>
  <c r="I99" i="27"/>
  <c r="J99" i="27" s="1"/>
  <c r="I100" i="27"/>
  <c r="J100" i="27" s="1"/>
  <c r="I101" i="27"/>
  <c r="J101" i="27" s="1"/>
  <c r="I102" i="27"/>
  <c r="J102" i="27" s="1"/>
  <c r="I103" i="27"/>
  <c r="J103" i="27" s="1"/>
  <c r="I104" i="27"/>
  <c r="J104" i="27" s="1"/>
  <c r="I105" i="27"/>
  <c r="J105" i="27" s="1"/>
  <c r="I106" i="27"/>
  <c r="J106" i="27" s="1"/>
  <c r="I107" i="27"/>
  <c r="J107" i="27" s="1"/>
  <c r="I108" i="27"/>
  <c r="J108" i="27" s="1"/>
  <c r="I109" i="27"/>
  <c r="J109" i="27" s="1"/>
  <c r="I110" i="27"/>
  <c r="J110" i="27" s="1"/>
  <c r="I111" i="27"/>
  <c r="J111" i="27" s="1"/>
  <c r="I112" i="27"/>
  <c r="J112" i="27" s="1"/>
  <c r="I113" i="27"/>
  <c r="J113" i="27" s="1"/>
  <c r="I114" i="27"/>
  <c r="J114" i="27" s="1"/>
  <c r="I115" i="27"/>
  <c r="J115" i="27" s="1"/>
  <c r="I116" i="27"/>
  <c r="J116" i="27" s="1"/>
  <c r="I117" i="27"/>
  <c r="J117" i="27" s="1"/>
  <c r="I118" i="27"/>
  <c r="J118" i="27" s="1"/>
  <c r="I119" i="27"/>
  <c r="J119" i="27" s="1"/>
  <c r="I120" i="27"/>
  <c r="J120" i="27" s="1"/>
  <c r="I121" i="27"/>
  <c r="I121" i="29" s="1"/>
  <c r="J121" i="27"/>
  <c r="I122" i="27"/>
  <c r="J122" i="27" s="1"/>
  <c r="I123" i="27"/>
  <c r="J123" i="27" s="1"/>
  <c r="I124" i="27"/>
  <c r="J124" i="27" s="1"/>
  <c r="I125" i="27"/>
  <c r="J125" i="27" s="1"/>
  <c r="I126" i="27"/>
  <c r="J126" i="27" s="1"/>
  <c r="I127" i="27"/>
  <c r="I127" i="29" s="1"/>
  <c r="I128" i="27"/>
  <c r="J128" i="27" s="1"/>
  <c r="I129" i="27"/>
  <c r="J129" i="27" s="1"/>
  <c r="I130" i="27"/>
  <c r="J130" i="27" s="1"/>
  <c r="I131" i="27"/>
  <c r="J131" i="27" s="1"/>
  <c r="I132" i="27"/>
  <c r="I132" i="29" s="1"/>
  <c r="I133" i="27"/>
  <c r="J133" i="27" s="1"/>
  <c r="I134" i="27"/>
  <c r="J134" i="27" s="1"/>
  <c r="I135" i="27"/>
  <c r="J135" i="27" s="1"/>
  <c r="I136" i="27"/>
  <c r="I136" i="29" s="1"/>
  <c r="I137" i="27"/>
  <c r="J137" i="27" s="1"/>
  <c r="I138" i="27"/>
  <c r="J138" i="27" s="1"/>
  <c r="I139" i="27"/>
  <c r="J139" i="27" s="1"/>
  <c r="I140" i="27"/>
  <c r="J140" i="27" s="1"/>
  <c r="I141" i="27"/>
  <c r="J141" i="27" s="1"/>
  <c r="I142" i="27"/>
  <c r="J142" i="27" s="1"/>
  <c r="I143" i="27"/>
  <c r="J143" i="27"/>
  <c r="I144" i="27"/>
  <c r="J144" i="27" s="1"/>
  <c r="I145" i="27"/>
  <c r="I145" i="29" s="1"/>
  <c r="I146" i="27"/>
  <c r="J146" i="27" s="1"/>
  <c r="I147" i="27"/>
  <c r="J147" i="27" s="1"/>
  <c r="I148" i="27"/>
  <c r="J148" i="27" s="1"/>
  <c r="I149" i="27"/>
  <c r="J149" i="27"/>
  <c r="I150" i="27"/>
  <c r="J150" i="27" s="1"/>
  <c r="I151" i="27"/>
  <c r="J151" i="27" s="1"/>
  <c r="I152" i="27"/>
  <c r="J152" i="27"/>
  <c r="I153" i="27"/>
  <c r="I153" i="29" s="1"/>
  <c r="I154" i="27"/>
  <c r="J154" i="27" s="1"/>
  <c r="I155" i="27"/>
  <c r="I155" i="29" s="1"/>
  <c r="I156" i="27"/>
  <c r="J156" i="27" s="1"/>
  <c r="I157" i="27"/>
  <c r="J157" i="27" s="1"/>
  <c r="I158" i="27"/>
  <c r="J158" i="27" s="1"/>
  <c r="I159" i="27"/>
  <c r="I159" i="29" s="1"/>
  <c r="I160" i="27"/>
  <c r="J160" i="27" s="1"/>
  <c r="I161" i="27"/>
  <c r="J161" i="27" s="1"/>
  <c r="F18" i="27"/>
  <c r="F19" i="27"/>
  <c r="G19" i="27"/>
  <c r="F20" i="27"/>
  <c r="G20" i="27" s="1"/>
  <c r="F21" i="27"/>
  <c r="G21" i="27" s="1"/>
  <c r="F22" i="27"/>
  <c r="G22" i="27" s="1"/>
  <c r="F23" i="27"/>
  <c r="G23" i="27"/>
  <c r="F24" i="27"/>
  <c r="G24" i="27"/>
  <c r="F25" i="27"/>
  <c r="G25" i="27" s="1"/>
  <c r="F26" i="27"/>
  <c r="G26" i="27" s="1"/>
  <c r="F27" i="27"/>
  <c r="G27" i="27" s="1"/>
  <c r="F28" i="27"/>
  <c r="G28" i="27" s="1"/>
  <c r="F29" i="27"/>
  <c r="G29" i="27" s="1"/>
  <c r="F30" i="27"/>
  <c r="G30" i="27" s="1"/>
  <c r="F31" i="27"/>
  <c r="G31" i="27" s="1"/>
  <c r="F32" i="27"/>
  <c r="G32" i="27"/>
  <c r="F33" i="27"/>
  <c r="G33" i="27"/>
  <c r="F34" i="27"/>
  <c r="G34" i="27" s="1"/>
  <c r="F35" i="27"/>
  <c r="G35" i="27" s="1"/>
  <c r="F36" i="27"/>
  <c r="G36" i="27" s="1"/>
  <c r="F37" i="27"/>
  <c r="G37" i="27"/>
  <c r="F38" i="27"/>
  <c r="G38" i="27" s="1"/>
  <c r="F39" i="27"/>
  <c r="G39" i="27" s="1"/>
  <c r="F40" i="27"/>
  <c r="G40" i="27" s="1"/>
  <c r="F41" i="27"/>
  <c r="G41" i="27"/>
  <c r="F42" i="27"/>
  <c r="G42" i="27" s="1"/>
  <c r="F43" i="27"/>
  <c r="G43" i="27"/>
  <c r="F44" i="27"/>
  <c r="G44" i="27" s="1"/>
  <c r="F45" i="27"/>
  <c r="G45" i="27" s="1"/>
  <c r="F46" i="27"/>
  <c r="G46" i="27" s="1"/>
  <c r="F47" i="27"/>
  <c r="G47" i="27"/>
  <c r="F48" i="27"/>
  <c r="G48" i="27" s="1"/>
  <c r="F49" i="27"/>
  <c r="G49" i="27"/>
  <c r="F50" i="27"/>
  <c r="G50" i="27" s="1"/>
  <c r="F51" i="27"/>
  <c r="G51" i="27" s="1"/>
  <c r="F52" i="27"/>
  <c r="G52" i="27"/>
  <c r="F53" i="27"/>
  <c r="G53" i="27" s="1"/>
  <c r="F54" i="27"/>
  <c r="G54" i="27" s="1"/>
  <c r="F55" i="27"/>
  <c r="G55" i="27" s="1"/>
  <c r="F56" i="27"/>
  <c r="G56" i="27" s="1"/>
  <c r="F57" i="27"/>
  <c r="G57" i="27" s="1"/>
  <c r="F58" i="27"/>
  <c r="G58" i="27" s="1"/>
  <c r="F59" i="27"/>
  <c r="G59" i="27" s="1"/>
  <c r="F60" i="27"/>
  <c r="G60" i="27"/>
  <c r="F61" i="27"/>
  <c r="G61" i="27"/>
  <c r="F62" i="27"/>
  <c r="G62" i="27" s="1"/>
  <c r="F63" i="27"/>
  <c r="G63" i="27"/>
  <c r="F64" i="27"/>
  <c r="G64" i="27"/>
  <c r="F65" i="27"/>
  <c r="G65" i="27" s="1"/>
  <c r="F66" i="27"/>
  <c r="G66" i="27" s="1"/>
  <c r="F67" i="27"/>
  <c r="G67" i="27" s="1"/>
  <c r="F68" i="27"/>
  <c r="G68" i="27" s="1"/>
  <c r="F69" i="27"/>
  <c r="G69" i="27" s="1"/>
  <c r="F70" i="27"/>
  <c r="G70" i="27" s="1"/>
  <c r="F71" i="27"/>
  <c r="G71" i="27" s="1"/>
  <c r="F72" i="27"/>
  <c r="G72" i="27"/>
  <c r="F73" i="27"/>
  <c r="G73" i="27"/>
  <c r="F74" i="27"/>
  <c r="G74" i="27" s="1"/>
  <c r="F75" i="27"/>
  <c r="G75" i="27"/>
  <c r="F76" i="27"/>
  <c r="G76" i="27" s="1"/>
  <c r="F77" i="27"/>
  <c r="G77" i="27" s="1"/>
  <c r="F78" i="27"/>
  <c r="G78" i="27" s="1"/>
  <c r="F79" i="27"/>
  <c r="G79" i="27"/>
  <c r="F80" i="27"/>
  <c r="G80" i="27" s="1"/>
  <c r="F81" i="27"/>
  <c r="G81" i="27"/>
  <c r="F82" i="27"/>
  <c r="G82" i="27" s="1"/>
  <c r="F83" i="27"/>
  <c r="G83" i="27" s="1"/>
  <c r="F84" i="27"/>
  <c r="G84" i="27" s="1"/>
  <c r="F85" i="27"/>
  <c r="G85" i="27" s="1"/>
  <c r="F86" i="27"/>
  <c r="G86" i="27" s="1"/>
  <c r="F87" i="27"/>
  <c r="G87" i="27" s="1"/>
  <c r="F88" i="27"/>
  <c r="G88" i="27" s="1"/>
  <c r="F89" i="27"/>
  <c r="G89" i="27" s="1"/>
  <c r="F90" i="27"/>
  <c r="G90" i="27" s="1"/>
  <c r="F91" i="27"/>
  <c r="G91" i="27"/>
  <c r="F92" i="27"/>
  <c r="G92" i="27"/>
  <c r="F93" i="27"/>
  <c r="G93" i="27" s="1"/>
  <c r="F94" i="27"/>
  <c r="G94" i="27" s="1"/>
  <c r="F95" i="27"/>
  <c r="G95" i="27" s="1"/>
  <c r="F96" i="27"/>
  <c r="G96" i="27" s="1"/>
  <c r="F97" i="27"/>
  <c r="G97" i="27"/>
  <c r="F98" i="27"/>
  <c r="G98" i="27" s="1"/>
  <c r="F99" i="27"/>
  <c r="G99" i="27" s="1"/>
  <c r="F100" i="27"/>
  <c r="G100" i="27" s="1"/>
  <c r="F101" i="27"/>
  <c r="G101" i="27"/>
  <c r="F102" i="27"/>
  <c r="G102" i="27" s="1"/>
  <c r="F103" i="27"/>
  <c r="G103" i="27" s="1"/>
  <c r="F104" i="27"/>
  <c r="G104" i="27" s="1"/>
  <c r="F105" i="27"/>
  <c r="G105" i="27" s="1"/>
  <c r="F106" i="27"/>
  <c r="G106" i="27" s="1"/>
  <c r="F107" i="27"/>
  <c r="G107" i="27"/>
  <c r="F108" i="27"/>
  <c r="G108" i="27" s="1"/>
  <c r="F109" i="27"/>
  <c r="G109" i="27"/>
  <c r="F110" i="27"/>
  <c r="G110" i="27" s="1"/>
  <c r="F111" i="27"/>
  <c r="G111" i="27"/>
  <c r="F112" i="27"/>
  <c r="G112" i="27" s="1"/>
  <c r="F113" i="27"/>
  <c r="G113" i="27"/>
  <c r="F114" i="27"/>
  <c r="G114" i="27" s="1"/>
  <c r="F115" i="27"/>
  <c r="G115" i="27" s="1"/>
  <c r="F116" i="27"/>
  <c r="G116" i="27" s="1"/>
  <c r="F117" i="27"/>
  <c r="G117" i="27" s="1"/>
  <c r="F118" i="27"/>
  <c r="G118" i="27" s="1"/>
  <c r="F119" i="27"/>
  <c r="G119" i="27" s="1"/>
  <c r="F120" i="27"/>
  <c r="G120" i="27" s="1"/>
  <c r="F121" i="27"/>
  <c r="G121" i="27" s="1"/>
  <c r="F122" i="27"/>
  <c r="G122" i="27"/>
  <c r="F123" i="27"/>
  <c r="G123" i="27" s="1"/>
  <c r="F124" i="27"/>
  <c r="G124" i="27" s="1"/>
  <c r="F125" i="27"/>
  <c r="G125" i="27" s="1"/>
  <c r="F126" i="27"/>
  <c r="G126" i="27" s="1"/>
  <c r="F127" i="27"/>
  <c r="G127" i="27" s="1"/>
  <c r="F128" i="27"/>
  <c r="G128" i="27" s="1"/>
  <c r="F129" i="27"/>
  <c r="G129" i="27" s="1"/>
  <c r="F130" i="27"/>
  <c r="G130" i="27" s="1"/>
  <c r="F131" i="27"/>
  <c r="G131" i="27" s="1"/>
  <c r="F132" i="27"/>
  <c r="G132" i="27" s="1"/>
  <c r="F133" i="27"/>
  <c r="G133" i="27" s="1"/>
  <c r="F134" i="27"/>
  <c r="G134" i="27" s="1"/>
  <c r="F135" i="27"/>
  <c r="G135" i="27" s="1"/>
  <c r="F136" i="27"/>
  <c r="G136" i="27" s="1"/>
  <c r="F137" i="27"/>
  <c r="G137" i="27" s="1"/>
  <c r="F138" i="27"/>
  <c r="G138" i="27" s="1"/>
  <c r="F139" i="27"/>
  <c r="G139" i="27" s="1"/>
  <c r="F140" i="27"/>
  <c r="G140" i="27" s="1"/>
  <c r="F141" i="27"/>
  <c r="G141" i="27" s="1"/>
  <c r="F142" i="27"/>
  <c r="G142" i="27" s="1"/>
  <c r="F143" i="27"/>
  <c r="G143" i="27" s="1"/>
  <c r="F144" i="27"/>
  <c r="G144" i="27"/>
  <c r="F145" i="27"/>
  <c r="G145" i="27" s="1"/>
  <c r="F146" i="27"/>
  <c r="G146" i="27"/>
  <c r="F147" i="27"/>
  <c r="G147" i="27"/>
  <c r="F148" i="27"/>
  <c r="G148" i="27" s="1"/>
  <c r="F149" i="27"/>
  <c r="G149" i="27" s="1"/>
  <c r="F150" i="27"/>
  <c r="G150" i="27" s="1"/>
  <c r="F151" i="27"/>
  <c r="G151" i="27"/>
  <c r="F152" i="27"/>
  <c r="G152" i="27" s="1"/>
  <c r="F153" i="27"/>
  <c r="G153" i="27" s="1"/>
  <c r="F154" i="27"/>
  <c r="G154" i="27" s="1"/>
  <c r="F155" i="27"/>
  <c r="G155" i="27"/>
  <c r="F156" i="27"/>
  <c r="G156" i="27"/>
  <c r="F157" i="27"/>
  <c r="G157" i="27" s="1"/>
  <c r="F158" i="27"/>
  <c r="G158" i="27"/>
  <c r="F159" i="27"/>
  <c r="G159" i="27" s="1"/>
  <c r="F160" i="27"/>
  <c r="G160" i="27"/>
  <c r="F161" i="27"/>
  <c r="G161" i="27" s="1"/>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4" i="30"/>
  <c r="H5" i="29"/>
  <c r="H6" i="29"/>
  <c r="H7" i="29"/>
  <c r="H8" i="29"/>
  <c r="H9" i="29"/>
  <c r="H10" i="29"/>
  <c r="H11" i="29"/>
  <c r="H12" i="29"/>
  <c r="H13" i="29"/>
  <c r="H14" i="29"/>
  <c r="H15" i="29"/>
  <c r="H16" i="29"/>
  <c r="H17" i="29"/>
  <c r="H18" i="29"/>
  <c r="H19" i="29"/>
  <c r="H20" i="29"/>
  <c r="H21" i="29"/>
  <c r="H22" i="29"/>
  <c r="H23" i="29"/>
  <c r="H24" i="29"/>
  <c r="H25" i="29"/>
  <c r="J25" i="29" s="1"/>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J57" i="29" s="1"/>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H157" i="29"/>
  <c r="H158" i="29"/>
  <c r="H159" i="29"/>
  <c r="H160" i="29"/>
  <c r="H161" i="29"/>
  <c r="H4" i="29"/>
  <c r="D16" i="30"/>
  <c r="E16" i="30"/>
  <c r="D17" i="30"/>
  <c r="E17" i="30"/>
  <c r="D18" i="30"/>
  <c r="E18" i="30"/>
  <c r="I18" i="30"/>
  <c r="D19" i="30"/>
  <c r="E19" i="30"/>
  <c r="I19" i="30"/>
  <c r="D20" i="30"/>
  <c r="E20" i="30"/>
  <c r="I20" i="30"/>
  <c r="D21" i="30"/>
  <c r="E21" i="30"/>
  <c r="D22" i="30"/>
  <c r="E22" i="30"/>
  <c r="I22" i="30"/>
  <c r="J22" i="30" s="1"/>
  <c r="D23" i="30"/>
  <c r="E23" i="30"/>
  <c r="I23" i="30"/>
  <c r="J23" i="30" s="1"/>
  <c r="D24" i="30"/>
  <c r="E24" i="30"/>
  <c r="I24" i="30"/>
  <c r="D25" i="30"/>
  <c r="E25" i="30"/>
  <c r="D26" i="30"/>
  <c r="E26" i="30"/>
  <c r="I26" i="30"/>
  <c r="J26" i="30" s="1"/>
  <c r="D27" i="30"/>
  <c r="E27" i="30"/>
  <c r="I27" i="30"/>
  <c r="D28" i="30"/>
  <c r="E28" i="30"/>
  <c r="I28" i="30"/>
  <c r="D29" i="30"/>
  <c r="E29" i="30"/>
  <c r="I29" i="30"/>
  <c r="D30" i="30"/>
  <c r="E30" i="30"/>
  <c r="I30" i="30"/>
  <c r="D31" i="30"/>
  <c r="E31" i="30"/>
  <c r="F31" i="30"/>
  <c r="G31" i="30" s="1"/>
  <c r="I31" i="30"/>
  <c r="D32" i="30"/>
  <c r="E32" i="30"/>
  <c r="I32" i="30"/>
  <c r="D33" i="30"/>
  <c r="E33" i="30"/>
  <c r="D34" i="30"/>
  <c r="E34" i="30"/>
  <c r="I34" i="30"/>
  <c r="J34" i="30" s="1"/>
  <c r="D35" i="30"/>
  <c r="E35" i="30"/>
  <c r="I35" i="30"/>
  <c r="D36" i="30"/>
  <c r="E36" i="30"/>
  <c r="I36" i="30"/>
  <c r="D37" i="30"/>
  <c r="E37" i="30"/>
  <c r="I37" i="30"/>
  <c r="D38" i="30"/>
  <c r="E38" i="30"/>
  <c r="I38" i="30"/>
  <c r="J38" i="30" s="1"/>
  <c r="D39" i="30"/>
  <c r="E39" i="30"/>
  <c r="I39" i="30"/>
  <c r="D40" i="30"/>
  <c r="E40" i="30"/>
  <c r="I40" i="30"/>
  <c r="J40" i="30" s="1"/>
  <c r="D41" i="30"/>
  <c r="E41" i="30"/>
  <c r="D42" i="30"/>
  <c r="E42" i="30"/>
  <c r="I42" i="30"/>
  <c r="J42" i="30" s="1"/>
  <c r="D43" i="30"/>
  <c r="E43" i="30"/>
  <c r="F43" i="30"/>
  <c r="G43" i="30" s="1"/>
  <c r="I43" i="30"/>
  <c r="J43" i="30" s="1"/>
  <c r="D44" i="30"/>
  <c r="E44" i="30"/>
  <c r="I44" i="30"/>
  <c r="D45" i="30"/>
  <c r="E45" i="30"/>
  <c r="I45" i="30"/>
  <c r="D46" i="30"/>
  <c r="E46" i="30"/>
  <c r="I46" i="30"/>
  <c r="D47" i="30"/>
  <c r="E47" i="30"/>
  <c r="I47" i="30"/>
  <c r="D48" i="30"/>
  <c r="E48" i="30"/>
  <c r="I48" i="30"/>
  <c r="D49" i="30"/>
  <c r="E49" i="30"/>
  <c r="D50" i="30"/>
  <c r="E50" i="30"/>
  <c r="I50" i="30"/>
  <c r="J50" i="30" s="1"/>
  <c r="D51" i="30"/>
  <c r="E51" i="30"/>
  <c r="F51" i="30" s="1"/>
  <c r="G51" i="30" s="1"/>
  <c r="I51" i="30"/>
  <c r="D52" i="30"/>
  <c r="E52" i="30"/>
  <c r="I52" i="30"/>
  <c r="D53" i="30"/>
  <c r="E53" i="30"/>
  <c r="I53" i="30"/>
  <c r="J53" i="30" s="1"/>
  <c r="D54" i="30"/>
  <c r="E54" i="30"/>
  <c r="I54" i="30"/>
  <c r="D55" i="30"/>
  <c r="E55" i="30"/>
  <c r="I55" i="30"/>
  <c r="D56" i="30"/>
  <c r="E56" i="30"/>
  <c r="I56" i="30"/>
  <c r="D57" i="30"/>
  <c r="E57" i="30"/>
  <c r="D58" i="30"/>
  <c r="E58" i="30"/>
  <c r="I58" i="30"/>
  <c r="J58" i="30" s="1"/>
  <c r="D59" i="30"/>
  <c r="E59" i="30"/>
  <c r="I59" i="30"/>
  <c r="D60" i="30"/>
  <c r="E60" i="30"/>
  <c r="I60" i="30"/>
  <c r="D61" i="30"/>
  <c r="E61" i="30"/>
  <c r="I61" i="30"/>
  <c r="J61" i="30" s="1"/>
  <c r="D62" i="30"/>
  <c r="E62" i="30"/>
  <c r="I62" i="30"/>
  <c r="J62" i="30" s="1"/>
  <c r="D63" i="30"/>
  <c r="E63" i="30"/>
  <c r="I63" i="30"/>
  <c r="D64" i="30"/>
  <c r="E64" i="30"/>
  <c r="I64" i="30"/>
  <c r="D65" i="30"/>
  <c r="E65" i="30"/>
  <c r="D66" i="30"/>
  <c r="E66" i="30"/>
  <c r="I66" i="30"/>
  <c r="J66" i="30" s="1"/>
  <c r="D67" i="30"/>
  <c r="E67" i="30"/>
  <c r="F67" i="30" s="1"/>
  <c r="G67" i="30" s="1"/>
  <c r="I67" i="30"/>
  <c r="D68" i="30"/>
  <c r="E68" i="30"/>
  <c r="I68" i="30"/>
  <c r="D69" i="30"/>
  <c r="E69" i="30"/>
  <c r="D70" i="30"/>
  <c r="E70" i="30"/>
  <c r="I70" i="30"/>
  <c r="D71" i="30"/>
  <c r="E71" i="30"/>
  <c r="I71" i="30"/>
  <c r="D72" i="30"/>
  <c r="E72" i="30"/>
  <c r="I72" i="30"/>
  <c r="D73" i="30"/>
  <c r="E73" i="30"/>
  <c r="D74" i="30"/>
  <c r="E74" i="30"/>
  <c r="I74" i="30"/>
  <c r="D75" i="30"/>
  <c r="E75" i="30"/>
  <c r="F75" i="30"/>
  <c r="G75" i="30" s="1"/>
  <c r="I75" i="30"/>
  <c r="J75" i="30" s="1"/>
  <c r="D76" i="30"/>
  <c r="E76" i="30"/>
  <c r="I76" i="30"/>
  <c r="D77" i="30"/>
  <c r="E77" i="30"/>
  <c r="D78" i="30"/>
  <c r="E78" i="30"/>
  <c r="I78" i="30"/>
  <c r="J78" i="30" s="1"/>
  <c r="D79" i="30"/>
  <c r="E79" i="30"/>
  <c r="I79" i="30"/>
  <c r="D80" i="30"/>
  <c r="E80" i="30"/>
  <c r="F80" i="30"/>
  <c r="G80" i="30" s="1"/>
  <c r="I80" i="30"/>
  <c r="D81" i="30"/>
  <c r="E81" i="30"/>
  <c r="I81" i="30"/>
  <c r="J81" i="30" s="1"/>
  <c r="D82" i="30"/>
  <c r="E82" i="30"/>
  <c r="I82" i="30"/>
  <c r="J82" i="30" s="1"/>
  <c r="D83" i="30"/>
  <c r="E83" i="30"/>
  <c r="F83" i="30"/>
  <c r="G83" i="30" s="1"/>
  <c r="I83" i="30"/>
  <c r="D84" i="30"/>
  <c r="E84" i="30"/>
  <c r="I84" i="30"/>
  <c r="J84" i="30" s="1"/>
  <c r="D85" i="30"/>
  <c r="E85" i="30"/>
  <c r="I85" i="30"/>
  <c r="J85" i="30" s="1"/>
  <c r="D86" i="30"/>
  <c r="E86" i="30"/>
  <c r="I86" i="30"/>
  <c r="J86" i="30" s="1"/>
  <c r="D87" i="30"/>
  <c r="E87" i="30"/>
  <c r="F87" i="30"/>
  <c r="G87" i="30" s="1"/>
  <c r="I87" i="30"/>
  <c r="D88" i="30"/>
  <c r="E88" i="30"/>
  <c r="I88" i="30"/>
  <c r="D89" i="30"/>
  <c r="E89" i="30"/>
  <c r="D90" i="30"/>
  <c r="E90" i="30"/>
  <c r="I90" i="30"/>
  <c r="J90" i="30" s="1"/>
  <c r="D91" i="30"/>
  <c r="E91" i="30"/>
  <c r="I91" i="30"/>
  <c r="D92" i="30"/>
  <c r="E92" i="30"/>
  <c r="F92" i="30"/>
  <c r="G92" i="30" s="1"/>
  <c r="I92" i="30"/>
  <c r="D93" i="30"/>
  <c r="E93" i="30"/>
  <c r="D94" i="30"/>
  <c r="E94" i="30"/>
  <c r="I94" i="30"/>
  <c r="J94" i="30" s="1"/>
  <c r="D95" i="30"/>
  <c r="E95" i="30"/>
  <c r="F95" i="30" s="1"/>
  <c r="G95" i="30" s="1"/>
  <c r="I95" i="30"/>
  <c r="J95" i="30" s="1"/>
  <c r="D96" i="30"/>
  <c r="E96" i="30"/>
  <c r="I96" i="30"/>
  <c r="D97" i="30"/>
  <c r="E97" i="30"/>
  <c r="I97" i="30"/>
  <c r="J97" i="30" s="1"/>
  <c r="D98" i="30"/>
  <c r="E98" i="30"/>
  <c r="I98" i="30"/>
  <c r="J98" i="30" s="1"/>
  <c r="D99" i="30"/>
  <c r="E99" i="30"/>
  <c r="F99" i="30"/>
  <c r="G99" i="30" s="1"/>
  <c r="I99" i="30"/>
  <c r="J99" i="30" s="1"/>
  <c r="D100" i="30"/>
  <c r="E100" i="30"/>
  <c r="F100" i="30"/>
  <c r="G100" i="30" s="1"/>
  <c r="I100" i="30"/>
  <c r="D101" i="30"/>
  <c r="E101" i="30"/>
  <c r="D102" i="30"/>
  <c r="E102" i="30"/>
  <c r="I102" i="30"/>
  <c r="J102" i="30" s="1"/>
  <c r="D103" i="30"/>
  <c r="E103" i="30"/>
  <c r="I103" i="30"/>
  <c r="D104" i="30"/>
  <c r="E104" i="30"/>
  <c r="F104" i="30"/>
  <c r="G104" i="30" s="1"/>
  <c r="I104" i="30"/>
  <c r="D105" i="30"/>
  <c r="E105" i="30"/>
  <c r="D106" i="30"/>
  <c r="E106" i="30"/>
  <c r="I106" i="30"/>
  <c r="J106" i="30" s="1"/>
  <c r="D107" i="30"/>
  <c r="E107" i="30"/>
  <c r="F107" i="30" s="1"/>
  <c r="G107" i="30" s="1"/>
  <c r="I107" i="30"/>
  <c r="D108" i="30"/>
  <c r="E108" i="30"/>
  <c r="I108" i="30"/>
  <c r="D109" i="30"/>
  <c r="E109" i="30"/>
  <c r="D110" i="30"/>
  <c r="E110" i="30"/>
  <c r="I110" i="30"/>
  <c r="J110" i="30" s="1"/>
  <c r="D111" i="30"/>
  <c r="E111" i="30"/>
  <c r="I111" i="30"/>
  <c r="D112" i="30"/>
  <c r="E112" i="30"/>
  <c r="F112" i="30" s="1"/>
  <c r="G112" i="30" s="1"/>
  <c r="I112" i="30"/>
  <c r="D113" i="30"/>
  <c r="E113" i="30"/>
  <c r="D114" i="30"/>
  <c r="E114" i="30"/>
  <c r="I114" i="30"/>
  <c r="J114" i="30" s="1"/>
  <c r="D115" i="30"/>
  <c r="E115" i="30"/>
  <c r="I115" i="30"/>
  <c r="D116" i="30"/>
  <c r="E116" i="30"/>
  <c r="I116" i="30"/>
  <c r="D117" i="30"/>
  <c r="E117" i="30"/>
  <c r="D118" i="30"/>
  <c r="E118" i="30"/>
  <c r="I118" i="30"/>
  <c r="J118" i="30" s="1"/>
  <c r="D119" i="30"/>
  <c r="E119" i="30"/>
  <c r="I119" i="30"/>
  <c r="D120" i="30"/>
  <c r="E120" i="30"/>
  <c r="F120" i="30"/>
  <c r="G120" i="30" s="1"/>
  <c r="I120" i="30"/>
  <c r="D121" i="30"/>
  <c r="E121" i="30"/>
  <c r="I121" i="30"/>
  <c r="J121" i="30" s="1"/>
  <c r="D122" i="30"/>
  <c r="E122" i="30"/>
  <c r="I122" i="30"/>
  <c r="J122" i="30" s="1"/>
  <c r="D123" i="30"/>
  <c r="E123" i="30"/>
  <c r="I123" i="30"/>
  <c r="J123" i="30" s="1"/>
  <c r="D124" i="30"/>
  <c r="E124" i="30"/>
  <c r="I124" i="30"/>
  <c r="D125" i="30"/>
  <c r="E125" i="30"/>
  <c r="D126" i="30"/>
  <c r="E126" i="30"/>
  <c r="I126" i="30"/>
  <c r="J126" i="30" s="1"/>
  <c r="D127" i="30"/>
  <c r="E127" i="30"/>
  <c r="I127" i="30"/>
  <c r="D128" i="30"/>
  <c r="E128" i="30"/>
  <c r="F128" i="30" s="1"/>
  <c r="G128" i="30" s="1"/>
  <c r="I128" i="30"/>
  <c r="D129" i="30"/>
  <c r="E129" i="30"/>
  <c r="D130" i="30"/>
  <c r="E130" i="30"/>
  <c r="I130" i="30"/>
  <c r="J130" i="30" s="1"/>
  <c r="D131" i="30"/>
  <c r="E131" i="30"/>
  <c r="I131" i="30"/>
  <c r="D132" i="30"/>
  <c r="E132" i="30"/>
  <c r="I132" i="30"/>
  <c r="D133" i="30"/>
  <c r="E133" i="30"/>
  <c r="I133" i="30"/>
  <c r="J133" i="30" s="1"/>
  <c r="D134" i="30"/>
  <c r="E134" i="30"/>
  <c r="I134" i="30"/>
  <c r="J134" i="30" s="1"/>
  <c r="D135" i="30"/>
  <c r="E135" i="30"/>
  <c r="I135" i="30"/>
  <c r="D136" i="30"/>
  <c r="E136" i="30"/>
  <c r="F136" i="30"/>
  <c r="G136" i="30" s="1"/>
  <c r="I136" i="30"/>
  <c r="J136" i="30" s="1"/>
  <c r="D137" i="30"/>
  <c r="E137" i="30"/>
  <c r="D138" i="30"/>
  <c r="E138" i="30"/>
  <c r="I138" i="30"/>
  <c r="J138" i="30" s="1"/>
  <c r="D139" i="30"/>
  <c r="E139" i="30"/>
  <c r="I139" i="30"/>
  <c r="J139" i="30" s="1"/>
  <c r="D140" i="30"/>
  <c r="E140" i="30"/>
  <c r="I140" i="30"/>
  <c r="D141" i="30"/>
  <c r="E141" i="30"/>
  <c r="D142" i="30"/>
  <c r="E142" i="30"/>
  <c r="I142" i="30"/>
  <c r="D143" i="30"/>
  <c r="E143" i="30"/>
  <c r="I143" i="30"/>
  <c r="D144" i="30"/>
  <c r="E144" i="30"/>
  <c r="F144" i="30"/>
  <c r="G144" i="30" s="1"/>
  <c r="I144" i="30"/>
  <c r="J144" i="30" s="1"/>
  <c r="D145" i="30"/>
  <c r="E145" i="30"/>
  <c r="I145" i="30"/>
  <c r="D146" i="30"/>
  <c r="E146" i="30"/>
  <c r="I146" i="30"/>
  <c r="J146" i="30" s="1"/>
  <c r="D147" i="30"/>
  <c r="E147" i="30"/>
  <c r="I147" i="30"/>
  <c r="D148" i="30"/>
  <c r="E148" i="30"/>
  <c r="F148" i="30"/>
  <c r="G148" i="30" s="1"/>
  <c r="I148" i="30"/>
  <c r="D149" i="30"/>
  <c r="E149" i="30"/>
  <c r="D150" i="30"/>
  <c r="E150" i="30"/>
  <c r="I150" i="30"/>
  <c r="J150" i="30" s="1"/>
  <c r="D151" i="30"/>
  <c r="E151" i="30"/>
  <c r="I151" i="30"/>
  <c r="D152" i="30"/>
  <c r="E152" i="30"/>
  <c r="F152" i="30"/>
  <c r="G152" i="30" s="1"/>
  <c r="I152" i="30"/>
  <c r="J152" i="30" s="1"/>
  <c r="D153" i="30"/>
  <c r="E153" i="30"/>
  <c r="I153" i="30"/>
  <c r="D154" i="30"/>
  <c r="E154" i="30"/>
  <c r="I154" i="30"/>
  <c r="J154" i="30" s="1"/>
  <c r="D155" i="30"/>
  <c r="E155" i="30"/>
  <c r="I155" i="30"/>
  <c r="J155" i="30" s="1"/>
  <c r="D156" i="30"/>
  <c r="E156" i="30"/>
  <c r="F156" i="30"/>
  <c r="G156" i="30" s="1"/>
  <c r="I156" i="30"/>
  <c r="D157" i="30"/>
  <c r="E157" i="30"/>
  <c r="I157" i="30"/>
  <c r="J157" i="30" s="1"/>
  <c r="D158" i="30"/>
  <c r="E158" i="30"/>
  <c r="I158" i="30"/>
  <c r="J158" i="30" s="1"/>
  <c r="D159" i="30"/>
  <c r="E159" i="30"/>
  <c r="I159" i="30"/>
  <c r="J159" i="30" s="1"/>
  <c r="D160" i="30"/>
  <c r="E160" i="30"/>
  <c r="I160" i="30"/>
  <c r="D161" i="30"/>
  <c r="E161" i="30"/>
  <c r="D17" i="29"/>
  <c r="E17" i="29"/>
  <c r="D18" i="29"/>
  <c r="E18" i="29"/>
  <c r="D19" i="29"/>
  <c r="E19" i="29"/>
  <c r="D20" i="29"/>
  <c r="E20" i="29"/>
  <c r="I20" i="29"/>
  <c r="D21" i="29"/>
  <c r="E21" i="29"/>
  <c r="I21" i="29"/>
  <c r="D22" i="29"/>
  <c r="E22" i="29"/>
  <c r="D23" i="29"/>
  <c r="E23" i="29"/>
  <c r="I23" i="29"/>
  <c r="D24" i="29"/>
  <c r="E24" i="29"/>
  <c r="D25" i="29"/>
  <c r="E25" i="29"/>
  <c r="D26" i="29"/>
  <c r="E26" i="29"/>
  <c r="D27" i="29"/>
  <c r="E27" i="29"/>
  <c r="I27" i="29"/>
  <c r="J27" i="29" s="1"/>
  <c r="D28" i="29"/>
  <c r="E28" i="29"/>
  <c r="I28" i="29"/>
  <c r="D29" i="29"/>
  <c r="E29" i="29"/>
  <c r="I29" i="29"/>
  <c r="D30" i="29"/>
  <c r="E30" i="29"/>
  <c r="D31" i="29"/>
  <c r="E31" i="29"/>
  <c r="D32" i="29"/>
  <c r="E32" i="29"/>
  <c r="I32" i="29"/>
  <c r="J32" i="29" s="1"/>
  <c r="D33" i="29"/>
  <c r="E33" i="29"/>
  <c r="I33" i="29"/>
  <c r="D34" i="29"/>
  <c r="E34" i="29"/>
  <c r="D35" i="29"/>
  <c r="E35" i="29"/>
  <c r="I35" i="29"/>
  <c r="J35" i="29" s="1"/>
  <c r="D36" i="29"/>
  <c r="E36" i="29"/>
  <c r="I36" i="29"/>
  <c r="J36" i="29" s="1"/>
  <c r="D37" i="29"/>
  <c r="E37" i="29"/>
  <c r="I37" i="29"/>
  <c r="D38" i="29"/>
  <c r="E38" i="29"/>
  <c r="D39" i="29"/>
  <c r="E39" i="29"/>
  <c r="I39" i="29"/>
  <c r="D40" i="29"/>
  <c r="E40" i="29"/>
  <c r="I40" i="29"/>
  <c r="D41" i="29"/>
  <c r="E41" i="29"/>
  <c r="I41" i="29"/>
  <c r="D42" i="29"/>
  <c r="E42" i="29"/>
  <c r="I42" i="29"/>
  <c r="D43" i="29"/>
  <c r="E43" i="29"/>
  <c r="I43" i="29"/>
  <c r="J43" i="29" s="1"/>
  <c r="D44" i="29"/>
  <c r="E44" i="29"/>
  <c r="D45" i="29"/>
  <c r="E45" i="29"/>
  <c r="D46" i="29"/>
  <c r="E46" i="29"/>
  <c r="D47" i="29"/>
  <c r="E47" i="29"/>
  <c r="I47" i="29"/>
  <c r="D48" i="29"/>
  <c r="E48" i="29"/>
  <c r="I48" i="29"/>
  <c r="D49" i="29"/>
  <c r="E49" i="29"/>
  <c r="I49" i="29"/>
  <c r="D50" i="29"/>
  <c r="E50" i="29"/>
  <c r="D51" i="29"/>
  <c r="E51" i="29"/>
  <c r="I51" i="29"/>
  <c r="D52" i="29"/>
  <c r="E52" i="29"/>
  <c r="I52" i="29"/>
  <c r="D53" i="29"/>
  <c r="E53" i="29"/>
  <c r="I53" i="29"/>
  <c r="D54" i="29"/>
  <c r="E54" i="29"/>
  <c r="I54" i="29"/>
  <c r="D55" i="29"/>
  <c r="E55" i="29"/>
  <c r="I55" i="29"/>
  <c r="D56" i="29"/>
  <c r="E56" i="29"/>
  <c r="I56" i="29"/>
  <c r="J56" i="29"/>
  <c r="D57" i="29"/>
  <c r="E57" i="29"/>
  <c r="D58" i="29"/>
  <c r="E58" i="29"/>
  <c r="D59" i="29"/>
  <c r="E59" i="29"/>
  <c r="I59" i="29"/>
  <c r="D60" i="29"/>
  <c r="E60" i="29"/>
  <c r="I60" i="29"/>
  <c r="D61" i="29"/>
  <c r="E61" i="29"/>
  <c r="I61" i="29"/>
  <c r="D62" i="29"/>
  <c r="E62" i="29"/>
  <c r="D63" i="29"/>
  <c r="E63" i="29"/>
  <c r="F63" i="29" s="1"/>
  <c r="G63" i="29" s="1"/>
  <c r="D64" i="29"/>
  <c r="E64" i="29"/>
  <c r="F64" i="29" s="1"/>
  <c r="G64" i="29" s="1"/>
  <c r="I64" i="29"/>
  <c r="D65" i="29"/>
  <c r="E65" i="29"/>
  <c r="I65" i="29"/>
  <c r="J65" i="29" s="1"/>
  <c r="D66" i="29"/>
  <c r="E66" i="29"/>
  <c r="D67" i="29"/>
  <c r="E67" i="29"/>
  <c r="I67" i="29"/>
  <c r="J67" i="29" s="1"/>
  <c r="D68" i="29"/>
  <c r="E68" i="29"/>
  <c r="I68" i="29"/>
  <c r="D69" i="29"/>
  <c r="E69" i="29"/>
  <c r="I69" i="29"/>
  <c r="D70" i="29"/>
  <c r="E70" i="29"/>
  <c r="D71" i="29"/>
  <c r="E71" i="29"/>
  <c r="I71" i="29"/>
  <c r="J71" i="29" s="1"/>
  <c r="D72" i="29"/>
  <c r="E72" i="29"/>
  <c r="I72" i="29"/>
  <c r="D73" i="29"/>
  <c r="E73" i="29"/>
  <c r="I73" i="29"/>
  <c r="D74" i="29"/>
  <c r="E74" i="29"/>
  <c r="D75" i="29"/>
  <c r="E75" i="29"/>
  <c r="D76" i="29"/>
  <c r="E76" i="29"/>
  <c r="D77" i="29"/>
  <c r="E77" i="29"/>
  <c r="D78" i="29"/>
  <c r="E78" i="29"/>
  <c r="I78" i="29"/>
  <c r="D79" i="29"/>
  <c r="E79" i="29"/>
  <c r="I79" i="29"/>
  <c r="D80" i="29"/>
  <c r="E80" i="29"/>
  <c r="I80" i="29"/>
  <c r="J80" i="29" s="1"/>
  <c r="D81" i="29"/>
  <c r="E81" i="29"/>
  <c r="I81" i="29"/>
  <c r="J81" i="29" s="1"/>
  <c r="D82" i="29"/>
  <c r="E82" i="29"/>
  <c r="D83" i="29"/>
  <c r="E83" i="29"/>
  <c r="D84" i="29"/>
  <c r="E84" i="29"/>
  <c r="I84" i="29"/>
  <c r="J84" i="29" s="1"/>
  <c r="D85" i="29"/>
  <c r="E85" i="29"/>
  <c r="I85" i="29"/>
  <c r="D86" i="29"/>
  <c r="E86" i="29"/>
  <c r="D87" i="29"/>
  <c r="E87" i="29"/>
  <c r="I87" i="29"/>
  <c r="D88" i="29"/>
  <c r="E88" i="29"/>
  <c r="D89" i="29"/>
  <c r="E89" i="29"/>
  <c r="J89" i="29"/>
  <c r="D90" i="29"/>
  <c r="E90" i="29"/>
  <c r="D91" i="29"/>
  <c r="E91" i="29"/>
  <c r="I91" i="29"/>
  <c r="J91" i="29" s="1"/>
  <c r="D92" i="29"/>
  <c r="E92" i="29"/>
  <c r="F92" i="29" s="1"/>
  <c r="G92" i="29" s="1"/>
  <c r="I92" i="29"/>
  <c r="J92" i="29" s="1"/>
  <c r="D93" i="29"/>
  <c r="E93" i="29"/>
  <c r="D94" i="29"/>
  <c r="E94" i="29"/>
  <c r="D95" i="29"/>
  <c r="E95" i="29"/>
  <c r="D96" i="29"/>
  <c r="E96" i="29"/>
  <c r="D97" i="29"/>
  <c r="E97" i="29"/>
  <c r="I97" i="29"/>
  <c r="J97" i="29" s="1"/>
  <c r="D98" i="29"/>
  <c r="E98" i="29"/>
  <c r="D99" i="29"/>
  <c r="E99" i="29"/>
  <c r="I99" i="29"/>
  <c r="J99" i="29" s="1"/>
  <c r="D100" i="29"/>
  <c r="E100" i="29"/>
  <c r="D101" i="29"/>
  <c r="E101" i="29"/>
  <c r="I101" i="29"/>
  <c r="D102" i="29"/>
  <c r="E102" i="29"/>
  <c r="D103" i="29"/>
  <c r="E103" i="29"/>
  <c r="I103" i="29"/>
  <c r="D104" i="29"/>
  <c r="E104" i="29"/>
  <c r="I104" i="29"/>
  <c r="D105" i="29"/>
  <c r="E105" i="29"/>
  <c r="I105" i="29"/>
  <c r="J105" i="29" s="1"/>
  <c r="D106" i="29"/>
  <c r="E106" i="29"/>
  <c r="D107" i="29"/>
  <c r="E107" i="29"/>
  <c r="D108" i="29"/>
  <c r="E108" i="29"/>
  <c r="D109" i="29"/>
  <c r="E109" i="29"/>
  <c r="I109" i="29"/>
  <c r="J109" i="29"/>
  <c r="D110" i="29"/>
  <c r="E110" i="29"/>
  <c r="D111" i="29"/>
  <c r="E111" i="29"/>
  <c r="I111" i="29"/>
  <c r="D112" i="29"/>
  <c r="E112" i="29"/>
  <c r="I112" i="29"/>
  <c r="D113" i="29"/>
  <c r="E113" i="29"/>
  <c r="I113" i="29"/>
  <c r="D114" i="29"/>
  <c r="E114" i="29"/>
  <c r="D115" i="29"/>
  <c r="E115" i="29"/>
  <c r="D116" i="29"/>
  <c r="E116" i="29"/>
  <c r="D117" i="29"/>
  <c r="E117" i="29"/>
  <c r="I117" i="29"/>
  <c r="J117" i="29" s="1"/>
  <c r="D118" i="29"/>
  <c r="E118" i="29"/>
  <c r="I118" i="29"/>
  <c r="J118" i="29" s="1"/>
  <c r="D119" i="29"/>
  <c r="E119" i="29"/>
  <c r="D120" i="29"/>
  <c r="E120" i="29"/>
  <c r="I120" i="29"/>
  <c r="D121" i="29"/>
  <c r="E121" i="29"/>
  <c r="D122" i="29"/>
  <c r="E122" i="29"/>
  <c r="D123" i="29"/>
  <c r="E123" i="29"/>
  <c r="I123" i="29"/>
  <c r="D124" i="29"/>
  <c r="E124" i="29"/>
  <c r="I124" i="29"/>
  <c r="D125" i="29"/>
  <c r="E125" i="29"/>
  <c r="D126" i="29"/>
  <c r="E126" i="29"/>
  <c r="D127" i="29"/>
  <c r="E127" i="29"/>
  <c r="D128" i="29"/>
  <c r="E128" i="29"/>
  <c r="D129" i="29"/>
  <c r="E129" i="29"/>
  <c r="I129" i="29"/>
  <c r="D130" i="29"/>
  <c r="E130" i="29"/>
  <c r="I130" i="29"/>
  <c r="D131" i="29"/>
  <c r="E131" i="29"/>
  <c r="I131" i="29"/>
  <c r="J131" i="29" s="1"/>
  <c r="D132" i="29"/>
  <c r="E132" i="29"/>
  <c r="D133" i="29"/>
  <c r="E133" i="29"/>
  <c r="D134" i="29"/>
  <c r="E134" i="29"/>
  <c r="D135" i="29"/>
  <c r="E135" i="29"/>
  <c r="F135" i="29" s="1"/>
  <c r="G135" i="29" s="1"/>
  <c r="I135" i="29"/>
  <c r="D136" i="29"/>
  <c r="E136" i="29"/>
  <c r="D137" i="29"/>
  <c r="E137" i="29"/>
  <c r="D138" i="29"/>
  <c r="E138" i="29"/>
  <c r="I138" i="29"/>
  <c r="D139" i="29"/>
  <c r="D139" i="34" s="1"/>
  <c r="E139" i="29"/>
  <c r="D140" i="29"/>
  <c r="E140" i="29"/>
  <c r="I140" i="29"/>
  <c r="J140" i="29" s="1"/>
  <c r="D141" i="29"/>
  <c r="E141" i="29"/>
  <c r="D142" i="29"/>
  <c r="E142" i="29"/>
  <c r="I142" i="29"/>
  <c r="D143" i="29"/>
  <c r="E143" i="29"/>
  <c r="I143" i="29"/>
  <c r="D144" i="29"/>
  <c r="E144" i="29"/>
  <c r="D145" i="29"/>
  <c r="E145" i="29"/>
  <c r="D146" i="29"/>
  <c r="E146" i="29"/>
  <c r="I146" i="29"/>
  <c r="D147" i="29"/>
  <c r="E147" i="29"/>
  <c r="D148" i="29"/>
  <c r="D148" i="34" s="1"/>
  <c r="E148" i="29"/>
  <c r="I148" i="29"/>
  <c r="J148" i="29" s="1"/>
  <c r="D149" i="29"/>
  <c r="E149" i="29"/>
  <c r="I149" i="29"/>
  <c r="D150" i="29"/>
  <c r="E150" i="29"/>
  <c r="D151" i="29"/>
  <c r="E151" i="29"/>
  <c r="I151" i="29"/>
  <c r="J151" i="29" s="1"/>
  <c r="D152" i="29"/>
  <c r="E152" i="29"/>
  <c r="F152" i="29" s="1"/>
  <c r="G152" i="29" s="1"/>
  <c r="I152" i="29"/>
  <c r="D153" i="29"/>
  <c r="E153" i="29"/>
  <c r="E153" i="34" s="1"/>
  <c r="D154" i="29"/>
  <c r="E154" i="29"/>
  <c r="D155" i="29"/>
  <c r="E155" i="29"/>
  <c r="D156" i="29"/>
  <c r="E156" i="29"/>
  <c r="I156" i="29"/>
  <c r="J156" i="29" s="1"/>
  <c r="D157" i="29"/>
  <c r="E157" i="29"/>
  <c r="I157" i="29"/>
  <c r="D158" i="29"/>
  <c r="E158" i="29"/>
  <c r="I158" i="29"/>
  <c r="D159" i="29"/>
  <c r="E159" i="29"/>
  <c r="D160" i="29"/>
  <c r="E160" i="29"/>
  <c r="D161" i="29"/>
  <c r="E161" i="29"/>
  <c r="I161" i="29"/>
  <c r="D161" i="18"/>
  <c r="E161" i="18"/>
  <c r="F161" i="18" s="1"/>
  <c r="G161" i="18" s="1"/>
  <c r="H161" i="18"/>
  <c r="I161" i="18"/>
  <c r="J161" i="18" s="1"/>
  <c r="D160" i="1"/>
  <c r="F160" i="1" s="1"/>
  <c r="G160" i="1" s="1"/>
  <c r="E160" i="1"/>
  <c r="H160" i="1"/>
  <c r="I160" i="1"/>
  <c r="J160" i="1" s="1"/>
  <c r="D161" i="1"/>
  <c r="E161" i="1"/>
  <c r="F161" i="1" s="1"/>
  <c r="G161" i="1" s="1"/>
  <c r="H161" i="1"/>
  <c r="I161" i="1"/>
  <c r="J161" i="1"/>
  <c r="C160" i="18"/>
  <c r="C159" i="18"/>
  <c r="C158" i="18"/>
  <c r="C157" i="18"/>
  <c r="C156" i="18"/>
  <c r="C155" i="18"/>
  <c r="C154" i="18"/>
  <c r="C153" i="18"/>
  <c r="C152" i="18"/>
  <c r="C151" i="18"/>
  <c r="C150" i="18"/>
  <c r="C149" i="18"/>
  <c r="C148" i="18"/>
  <c r="C147" i="18"/>
  <c r="C146" i="18"/>
  <c r="C145" i="18"/>
  <c r="C144" i="18"/>
  <c r="C143" i="18"/>
  <c r="C142" i="18"/>
  <c r="C141" i="18"/>
  <c r="C140" i="18"/>
  <c r="C160" i="26"/>
  <c r="I160" i="26"/>
  <c r="J160" i="26" s="1"/>
  <c r="C158" i="33"/>
  <c r="C159" i="33"/>
  <c r="C160" i="33"/>
  <c r="I145" i="26"/>
  <c r="J145" i="26"/>
  <c r="F91" i="26"/>
  <c r="G91" i="26" s="1"/>
  <c r="I91" i="26"/>
  <c r="G84" i="26"/>
  <c r="G81" i="26"/>
  <c r="G76" i="26"/>
  <c r="G77" i="26"/>
  <c r="G78" i="26"/>
  <c r="G79" i="26"/>
  <c r="G80" i="26"/>
  <c r="G82" i="26"/>
  <c r="G83" i="26"/>
  <c r="G34" i="26"/>
  <c r="G75" i="26"/>
  <c r="F74" i="26"/>
  <c r="I63" i="26"/>
  <c r="I62" i="26"/>
  <c r="F159" i="26"/>
  <c r="G159" i="26"/>
  <c r="I159" i="26"/>
  <c r="J159" i="26" s="1"/>
  <c r="I123" i="26"/>
  <c r="J123" i="26" s="1"/>
  <c r="F123" i="26"/>
  <c r="G123" i="26" s="1"/>
  <c r="F110" i="26"/>
  <c r="G110" i="26" s="1"/>
  <c r="D5" i="29"/>
  <c r="D6" i="29"/>
  <c r="D7" i="29"/>
  <c r="D8" i="29"/>
  <c r="D9" i="29"/>
  <c r="D10" i="29"/>
  <c r="D11" i="29"/>
  <c r="D12" i="29"/>
  <c r="D13" i="29"/>
  <c r="D14" i="29"/>
  <c r="D15" i="29"/>
  <c r="D16" i="29"/>
  <c r="D156" i="34"/>
  <c r="F130" i="26"/>
  <c r="G130" i="26" s="1"/>
  <c r="F131" i="26"/>
  <c r="G131" i="26" s="1"/>
  <c r="I18" i="26"/>
  <c r="J18" i="26" s="1"/>
  <c r="I19" i="26"/>
  <c r="J19" i="26" s="1"/>
  <c r="I20" i="26"/>
  <c r="J20" i="26" s="1"/>
  <c r="I21" i="26"/>
  <c r="J21" i="26" s="1"/>
  <c r="I22" i="26"/>
  <c r="J22" i="26" s="1"/>
  <c r="I23" i="26"/>
  <c r="J23" i="26" s="1"/>
  <c r="I24" i="26"/>
  <c r="J24" i="26" s="1"/>
  <c r="I25" i="26"/>
  <c r="J25" i="26" s="1"/>
  <c r="I26" i="26"/>
  <c r="J26" i="26" s="1"/>
  <c r="I27" i="26"/>
  <c r="J27" i="26" s="1"/>
  <c r="I28" i="26"/>
  <c r="J28" i="26" s="1"/>
  <c r="I29" i="26"/>
  <c r="J29" i="26" s="1"/>
  <c r="I30" i="26"/>
  <c r="J30" i="26" s="1"/>
  <c r="I31" i="26"/>
  <c r="J31" i="26" s="1"/>
  <c r="I32" i="26"/>
  <c r="J32" i="26" s="1"/>
  <c r="I33" i="26"/>
  <c r="J33" i="26" s="1"/>
  <c r="I35" i="26"/>
  <c r="J35" i="26" s="1"/>
  <c r="I36" i="26"/>
  <c r="J36" i="26" s="1"/>
  <c r="I37" i="26"/>
  <c r="J37" i="26" s="1"/>
  <c r="I38" i="26"/>
  <c r="J38" i="26" s="1"/>
  <c r="I39" i="26"/>
  <c r="J39" i="26" s="1"/>
  <c r="I40" i="26"/>
  <c r="J40" i="26" s="1"/>
  <c r="I41" i="26"/>
  <c r="J41" i="26" s="1"/>
  <c r="I42" i="26"/>
  <c r="J42" i="26" s="1"/>
  <c r="I43" i="26"/>
  <c r="J43" i="26" s="1"/>
  <c r="I44" i="26"/>
  <c r="J44" i="26" s="1"/>
  <c r="I45" i="26"/>
  <c r="J45" i="26" s="1"/>
  <c r="I46" i="26"/>
  <c r="J46" i="26" s="1"/>
  <c r="I47" i="26"/>
  <c r="J47" i="26" s="1"/>
  <c r="I48" i="26"/>
  <c r="J48" i="26" s="1"/>
  <c r="I49" i="26"/>
  <c r="J49" i="26" s="1"/>
  <c r="I50" i="26"/>
  <c r="J50" i="26" s="1"/>
  <c r="I51" i="26"/>
  <c r="J51" i="26" s="1"/>
  <c r="I52" i="26"/>
  <c r="J52" i="26" s="1"/>
  <c r="I53" i="26"/>
  <c r="J53" i="26" s="1"/>
  <c r="I54" i="26"/>
  <c r="J54" i="26" s="1"/>
  <c r="I55" i="26"/>
  <c r="J55" i="26" s="1"/>
  <c r="I56" i="26"/>
  <c r="J56" i="26" s="1"/>
  <c r="I57" i="26"/>
  <c r="J57" i="26" s="1"/>
  <c r="I58" i="26"/>
  <c r="J58" i="26" s="1"/>
  <c r="I59" i="26"/>
  <c r="J59" i="26" s="1"/>
  <c r="I60" i="26"/>
  <c r="J60" i="26" s="1"/>
  <c r="I61" i="26"/>
  <c r="J61" i="26" s="1"/>
  <c r="J62" i="26"/>
  <c r="J63" i="26"/>
  <c r="I64" i="26"/>
  <c r="J64" i="26" s="1"/>
  <c r="I65" i="26"/>
  <c r="J65" i="26" s="1"/>
  <c r="I66" i="26"/>
  <c r="J66" i="26" s="1"/>
  <c r="I67" i="26"/>
  <c r="J67" i="26" s="1"/>
  <c r="I68" i="26"/>
  <c r="J68" i="26" s="1"/>
  <c r="I69" i="26"/>
  <c r="J69" i="26" s="1"/>
  <c r="I70" i="26"/>
  <c r="J70" i="26" s="1"/>
  <c r="I71" i="26"/>
  <c r="J71" i="26" s="1"/>
  <c r="I72" i="26"/>
  <c r="J72" i="26" s="1"/>
  <c r="I73" i="26"/>
  <c r="J73" i="26" s="1"/>
  <c r="I74" i="26"/>
  <c r="J74" i="26" s="1"/>
  <c r="I85" i="26"/>
  <c r="J85" i="26" s="1"/>
  <c r="I86" i="26"/>
  <c r="J86" i="26" s="1"/>
  <c r="I87" i="26"/>
  <c r="J87" i="26" s="1"/>
  <c r="I88" i="26"/>
  <c r="J88" i="26" s="1"/>
  <c r="I89" i="26"/>
  <c r="J89" i="26" s="1"/>
  <c r="I90" i="26"/>
  <c r="J90" i="26" s="1"/>
  <c r="I92" i="26"/>
  <c r="J92" i="26" s="1"/>
  <c r="I93" i="26"/>
  <c r="J93" i="26" s="1"/>
  <c r="I94" i="26"/>
  <c r="J94" i="26" s="1"/>
  <c r="I95" i="26"/>
  <c r="J95" i="26" s="1"/>
  <c r="I96" i="26"/>
  <c r="J96" i="26" s="1"/>
  <c r="I97" i="26"/>
  <c r="J97" i="26" s="1"/>
  <c r="I98" i="26"/>
  <c r="J98" i="26" s="1"/>
  <c r="I99" i="26"/>
  <c r="J99" i="26" s="1"/>
  <c r="I100" i="26"/>
  <c r="J100" i="26" s="1"/>
  <c r="I101" i="26"/>
  <c r="J101" i="26" s="1"/>
  <c r="I102" i="26"/>
  <c r="J102" i="26" s="1"/>
  <c r="I103" i="26"/>
  <c r="J103" i="26" s="1"/>
  <c r="I104" i="26"/>
  <c r="J104" i="26" s="1"/>
  <c r="I105" i="26"/>
  <c r="J105" i="26" s="1"/>
  <c r="I106" i="26"/>
  <c r="J106" i="26" s="1"/>
  <c r="I107" i="26"/>
  <c r="J107" i="26" s="1"/>
  <c r="I108" i="26"/>
  <c r="J108" i="26" s="1"/>
  <c r="I109" i="26"/>
  <c r="J109" i="26" s="1"/>
  <c r="I110" i="26"/>
  <c r="J110" i="26" s="1"/>
  <c r="I111" i="26"/>
  <c r="J111" i="26" s="1"/>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J122" i="26" s="1"/>
  <c r="I124" i="26"/>
  <c r="J124" i="26" s="1"/>
  <c r="I125" i="26"/>
  <c r="J125" i="26" s="1"/>
  <c r="I126" i="26"/>
  <c r="J126" i="26" s="1"/>
  <c r="I127" i="26"/>
  <c r="J127" i="26" s="1"/>
  <c r="I128" i="26"/>
  <c r="J128" i="26" s="1"/>
  <c r="I129" i="26"/>
  <c r="J129" i="26" s="1"/>
  <c r="I130" i="26"/>
  <c r="J130" i="26" s="1"/>
  <c r="I131" i="26"/>
  <c r="J131" i="26" s="1"/>
  <c r="I132" i="26"/>
  <c r="J132" i="26" s="1"/>
  <c r="I133" i="26"/>
  <c r="J133" i="26" s="1"/>
  <c r="I134" i="26"/>
  <c r="J134" i="26" s="1"/>
  <c r="I135" i="26"/>
  <c r="J135" i="26" s="1"/>
  <c r="I136" i="26"/>
  <c r="J136" i="26" s="1"/>
  <c r="I137" i="26"/>
  <c r="J137" i="26" s="1"/>
  <c r="I138" i="26"/>
  <c r="J138" i="26" s="1"/>
  <c r="I139" i="26"/>
  <c r="J139" i="26" s="1"/>
  <c r="I140" i="26"/>
  <c r="J140" i="26" s="1"/>
  <c r="I141" i="26"/>
  <c r="J141" i="26" s="1"/>
  <c r="I142" i="26"/>
  <c r="J142" i="26" s="1"/>
  <c r="I143" i="26"/>
  <c r="J143" i="26" s="1"/>
  <c r="I144" i="26"/>
  <c r="J144" i="26" s="1"/>
  <c r="I147" i="26"/>
  <c r="J147" i="26" s="1"/>
  <c r="I148" i="26"/>
  <c r="J148" i="26" s="1"/>
  <c r="I149" i="26"/>
  <c r="J149" i="26" s="1"/>
  <c r="I150" i="26"/>
  <c r="J150" i="26" s="1"/>
  <c r="I151" i="26"/>
  <c r="J151" i="26" s="1"/>
  <c r="I152" i="26"/>
  <c r="J152" i="26" s="1"/>
  <c r="I153" i="26"/>
  <c r="J153" i="26" s="1"/>
  <c r="I154" i="26"/>
  <c r="J154" i="26" s="1"/>
  <c r="I155" i="26"/>
  <c r="J155" i="26" s="1"/>
  <c r="I156" i="26"/>
  <c r="J156" i="26" s="1"/>
  <c r="I157" i="26"/>
  <c r="J157" i="26" s="1"/>
  <c r="I158" i="26"/>
  <c r="J158"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s="1"/>
  <c r="F50" i="26"/>
  <c r="G50" i="26" s="1"/>
  <c r="F51" i="26"/>
  <c r="G51" i="26" s="1"/>
  <c r="F52" i="26"/>
  <c r="G52" i="26" s="1"/>
  <c r="F53" i="26"/>
  <c r="G53" i="26" s="1"/>
  <c r="F54" i="26"/>
  <c r="G54" i="26" s="1"/>
  <c r="F55" i="26"/>
  <c r="G55" i="26" s="1"/>
  <c r="F56" i="26"/>
  <c r="G56" i="26" s="1"/>
  <c r="F57" i="26"/>
  <c r="G57" i="26" s="1"/>
  <c r="F58" i="26"/>
  <c r="G58" i="26" s="1"/>
  <c r="F59" i="26"/>
  <c r="G59" i="26" s="1"/>
  <c r="F60" i="26"/>
  <c r="G60" i="26" s="1"/>
  <c r="F61" i="26"/>
  <c r="G61" i="26" s="1"/>
  <c r="F62" i="26"/>
  <c r="G62" i="26" s="1"/>
  <c r="F63" i="26"/>
  <c r="G63" i="26" s="1"/>
  <c r="F64" i="26"/>
  <c r="G64" i="26" s="1"/>
  <c r="F65" i="26"/>
  <c r="G65" i="26" s="1"/>
  <c r="F66" i="26"/>
  <c r="G66" i="26" s="1"/>
  <c r="F67" i="26"/>
  <c r="G67" i="26" s="1"/>
  <c r="F68" i="26"/>
  <c r="G68" i="26" s="1"/>
  <c r="F69" i="26"/>
  <c r="G69" i="26" s="1"/>
  <c r="F70" i="26"/>
  <c r="G70" i="26" s="1"/>
  <c r="F71" i="26"/>
  <c r="G71" i="26" s="1"/>
  <c r="F72" i="26"/>
  <c r="G72" i="26" s="1"/>
  <c r="F73" i="26"/>
  <c r="G73" i="26" s="1"/>
  <c r="G74" i="26"/>
  <c r="F85" i="26"/>
  <c r="G85" i="26" s="1"/>
  <c r="F86" i="26"/>
  <c r="G86" i="26" s="1"/>
  <c r="F87" i="26"/>
  <c r="G87" i="26" s="1"/>
  <c r="F88" i="26"/>
  <c r="G88" i="26" s="1"/>
  <c r="F89" i="26"/>
  <c r="G89" i="26" s="1"/>
  <c r="F90" i="26"/>
  <c r="G90" i="26" s="1"/>
  <c r="F92" i="26"/>
  <c r="G92" i="26" s="1"/>
  <c r="F93" i="26"/>
  <c r="G93" i="26" s="1"/>
  <c r="F94" i="26"/>
  <c r="G94" i="26" s="1"/>
  <c r="F95" i="26"/>
  <c r="G95" i="26" s="1"/>
  <c r="F96" i="26"/>
  <c r="G96" i="26" s="1"/>
  <c r="F97" i="26"/>
  <c r="G97" i="26" s="1"/>
  <c r="F98" i="26"/>
  <c r="G98" i="26" s="1"/>
  <c r="F99" i="26"/>
  <c r="G99" i="26" s="1"/>
  <c r="F100" i="26"/>
  <c r="G100" i="26" s="1"/>
  <c r="F101" i="26"/>
  <c r="G101" i="26" s="1"/>
  <c r="F102" i="26"/>
  <c r="G102" i="26" s="1"/>
  <c r="F103" i="26"/>
  <c r="G103" i="26" s="1"/>
  <c r="F104" i="26"/>
  <c r="G104" i="26" s="1"/>
  <c r="F105" i="26"/>
  <c r="G105" i="26" s="1"/>
  <c r="F106" i="26"/>
  <c r="G106" i="26" s="1"/>
  <c r="F107" i="26"/>
  <c r="G107" i="26" s="1"/>
  <c r="F108" i="26"/>
  <c r="G108" i="26" s="1"/>
  <c r="F109" i="26"/>
  <c r="G109" i="26" s="1"/>
  <c r="F111" i="26"/>
  <c r="G111" i="26" s="1"/>
  <c r="F112" i="26"/>
  <c r="G112" i="26" s="1"/>
  <c r="F113" i="26"/>
  <c r="G113" i="26" s="1"/>
  <c r="F114" i="26"/>
  <c r="G114" i="26" s="1"/>
  <c r="F115" i="26"/>
  <c r="G115" i="26" s="1"/>
  <c r="F116" i="26"/>
  <c r="G116" i="26" s="1"/>
  <c r="F117" i="26"/>
  <c r="G117" i="26" s="1"/>
  <c r="F118" i="26"/>
  <c r="G118" i="26" s="1"/>
  <c r="F119" i="26"/>
  <c r="G119" i="26" s="1"/>
  <c r="F120" i="26"/>
  <c r="G120" i="26" s="1"/>
  <c r="F121" i="26"/>
  <c r="G121" i="26" s="1"/>
  <c r="F122" i="26"/>
  <c r="G122" i="26" s="1"/>
  <c r="F124" i="26"/>
  <c r="G124" i="26" s="1"/>
  <c r="F125" i="26"/>
  <c r="G125" i="26" s="1"/>
  <c r="F126" i="26"/>
  <c r="G126" i="26" s="1"/>
  <c r="F127" i="26"/>
  <c r="G127" i="26" s="1"/>
  <c r="F128" i="26"/>
  <c r="G128" i="26" s="1"/>
  <c r="F129" i="26"/>
  <c r="G129" i="26" s="1"/>
  <c r="F132" i="26"/>
  <c r="G132" i="26" s="1"/>
  <c r="F133" i="26"/>
  <c r="G133" i="26" s="1"/>
  <c r="F134" i="26"/>
  <c r="G134" i="26" s="1"/>
  <c r="F135" i="26"/>
  <c r="G135" i="26" s="1"/>
  <c r="F136" i="26"/>
  <c r="G136" i="26" s="1"/>
  <c r="F137" i="26"/>
  <c r="G137" i="26" s="1"/>
  <c r="F138" i="26"/>
  <c r="G138" i="26" s="1"/>
  <c r="F139" i="26"/>
  <c r="G139" i="26" s="1"/>
  <c r="F140" i="26"/>
  <c r="G140" i="26" s="1"/>
  <c r="F141" i="26"/>
  <c r="G141" i="26" s="1"/>
  <c r="F142" i="26"/>
  <c r="G142" i="26" s="1"/>
  <c r="F143" i="26"/>
  <c r="G143" i="26" s="1"/>
  <c r="F144" i="26"/>
  <c r="G144" i="26" s="1"/>
  <c r="F147" i="26"/>
  <c r="G147" i="26" s="1"/>
  <c r="F148" i="26"/>
  <c r="G148" i="26" s="1"/>
  <c r="F149" i="26"/>
  <c r="G149" i="26" s="1"/>
  <c r="F150" i="26"/>
  <c r="G150" i="26" s="1"/>
  <c r="F151" i="26"/>
  <c r="G151" i="26" s="1"/>
  <c r="F152" i="26"/>
  <c r="G152" i="26" s="1"/>
  <c r="F153" i="26"/>
  <c r="G153" i="26" s="1"/>
  <c r="F154" i="26"/>
  <c r="G154" i="26" s="1"/>
  <c r="F155" i="26"/>
  <c r="G155" i="26" s="1"/>
  <c r="F156" i="26"/>
  <c r="G156" i="26" s="1"/>
  <c r="F157" i="26"/>
  <c r="G157" i="26" s="1"/>
  <c r="F158" i="26"/>
  <c r="G158" i="26" s="1"/>
  <c r="C139" i="30"/>
  <c r="C140" i="30"/>
  <c r="C141" i="30"/>
  <c r="C142" i="30"/>
  <c r="C143" i="30"/>
  <c r="C144" i="30"/>
  <c r="C145" i="30"/>
  <c r="C146" i="30"/>
  <c r="C147" i="30"/>
  <c r="C148" i="30"/>
  <c r="C149" i="30"/>
  <c r="C150" i="30"/>
  <c r="C151" i="30"/>
  <c r="C152" i="30"/>
  <c r="C153" i="30"/>
  <c r="C154" i="30"/>
  <c r="C155" i="30"/>
  <c r="C156" i="30"/>
  <c r="C157" i="30"/>
  <c r="C158" i="30"/>
  <c r="C159" i="30"/>
  <c r="C160" i="30"/>
  <c r="C138" i="30"/>
  <c r="C139" i="29"/>
  <c r="C140" i="29"/>
  <c r="C141" i="29"/>
  <c r="C142" i="29"/>
  <c r="C143" i="29"/>
  <c r="C144" i="29"/>
  <c r="C145" i="29"/>
  <c r="C146" i="29"/>
  <c r="C147" i="29"/>
  <c r="C148" i="29"/>
  <c r="C149" i="29"/>
  <c r="C150" i="29"/>
  <c r="C151" i="29"/>
  <c r="C152" i="29"/>
  <c r="C153" i="29"/>
  <c r="C154" i="29"/>
  <c r="C155" i="29"/>
  <c r="C156" i="29"/>
  <c r="C157" i="29"/>
  <c r="C158" i="29"/>
  <c r="C159" i="29"/>
  <c r="C160" i="29"/>
  <c r="C137" i="29"/>
  <c r="C160" i="34"/>
  <c r="C159" i="34"/>
  <c r="C158" i="34"/>
  <c r="C157" i="34"/>
  <c r="C156" i="34"/>
  <c r="C155" i="34"/>
  <c r="C154" i="34"/>
  <c r="C153" i="34"/>
  <c r="C152" i="34"/>
  <c r="C151" i="34"/>
  <c r="C150" i="34"/>
  <c r="C149" i="34"/>
  <c r="C148" i="34"/>
  <c r="C147" i="34"/>
  <c r="C146" i="34"/>
  <c r="C145" i="34"/>
  <c r="C144" i="34"/>
  <c r="C143" i="34"/>
  <c r="C142" i="34"/>
  <c r="C141" i="34"/>
  <c r="C140" i="34"/>
  <c r="C140" i="1"/>
  <c r="C160" i="1"/>
  <c r="C159" i="1"/>
  <c r="C158" i="1"/>
  <c r="C157" i="1"/>
  <c r="C156" i="1"/>
  <c r="C155" i="1"/>
  <c r="C154" i="1"/>
  <c r="C153" i="1"/>
  <c r="C152" i="1"/>
  <c r="C151" i="1"/>
  <c r="C150" i="1"/>
  <c r="C149" i="1"/>
  <c r="C148" i="1"/>
  <c r="C147" i="1"/>
  <c r="C146" i="1"/>
  <c r="C145" i="1"/>
  <c r="C144" i="1"/>
  <c r="C143" i="1"/>
  <c r="C142" i="1"/>
  <c r="C141" i="1"/>
  <c r="F75" i="19"/>
  <c r="G75" i="19" s="1"/>
  <c r="H2" i="19"/>
  <c r="D2" i="19"/>
  <c r="I18" i="19"/>
  <c r="J18" i="19" s="1"/>
  <c r="I19" i="19"/>
  <c r="J19" i="19" s="1"/>
  <c r="I20" i="19"/>
  <c r="J20" i="19" s="1"/>
  <c r="I21" i="19"/>
  <c r="J21" i="19" s="1"/>
  <c r="I22" i="19"/>
  <c r="J22" i="19" s="1"/>
  <c r="I23" i="19"/>
  <c r="J23" i="19" s="1"/>
  <c r="I24" i="19"/>
  <c r="J24" i="19" s="1"/>
  <c r="I25" i="19"/>
  <c r="J25" i="19" s="1"/>
  <c r="I26" i="19"/>
  <c r="J26" i="19" s="1"/>
  <c r="I27" i="19"/>
  <c r="J27" i="19" s="1"/>
  <c r="I28" i="19"/>
  <c r="J28" i="19" s="1"/>
  <c r="I29" i="19"/>
  <c r="J29" i="19"/>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c r="I46" i="19"/>
  <c r="J46" i="19" s="1"/>
  <c r="I47" i="19"/>
  <c r="J47" i="19" s="1"/>
  <c r="I48" i="19"/>
  <c r="J48" i="19" s="1"/>
  <c r="I49" i="19"/>
  <c r="I49" i="18" s="1"/>
  <c r="I50" i="19"/>
  <c r="J50" i="19" s="1"/>
  <c r="I51" i="19"/>
  <c r="J51" i="19" s="1"/>
  <c r="I52" i="19"/>
  <c r="J52" i="19" s="1"/>
  <c r="I53" i="19"/>
  <c r="J53" i="19"/>
  <c r="I54" i="19"/>
  <c r="J54" i="19" s="1"/>
  <c r="I55" i="19"/>
  <c r="J55" i="19" s="1"/>
  <c r="I56" i="19"/>
  <c r="J56" i="19" s="1"/>
  <c r="I57" i="19"/>
  <c r="J57" i="19" s="1"/>
  <c r="I58" i="19"/>
  <c r="J58" i="19" s="1"/>
  <c r="I59" i="19"/>
  <c r="J59" i="19" s="1"/>
  <c r="I60" i="19"/>
  <c r="J60" i="19" s="1"/>
  <c r="I61" i="19"/>
  <c r="J61" i="19"/>
  <c r="I62" i="19"/>
  <c r="J62" i="19" s="1"/>
  <c r="I63" i="19"/>
  <c r="J63" i="19" s="1"/>
  <c r="I64" i="19"/>
  <c r="J64" i="19" s="1"/>
  <c r="I65" i="19"/>
  <c r="J65" i="19" s="1"/>
  <c r="I66" i="19"/>
  <c r="J66" i="19" s="1"/>
  <c r="I67" i="19"/>
  <c r="J67" i="19" s="1"/>
  <c r="I68" i="19"/>
  <c r="J68" i="19" s="1"/>
  <c r="I69" i="19"/>
  <c r="J69" i="19" s="1"/>
  <c r="I70" i="19"/>
  <c r="J70" i="19" s="1"/>
  <c r="I71" i="19"/>
  <c r="J71" i="19" s="1"/>
  <c r="I72" i="19"/>
  <c r="J72" i="19" s="1"/>
  <c r="I73" i="19"/>
  <c r="J73" i="19" s="1"/>
  <c r="I74" i="19"/>
  <c r="J74" i="19" s="1"/>
  <c r="I75" i="19"/>
  <c r="J75" i="19" s="1"/>
  <c r="I76" i="19"/>
  <c r="J76" i="19" s="1"/>
  <c r="I77" i="19"/>
  <c r="J77" i="19" s="1"/>
  <c r="I78" i="19"/>
  <c r="J78" i="19" s="1"/>
  <c r="I79" i="19"/>
  <c r="J79" i="19" s="1"/>
  <c r="I80" i="19"/>
  <c r="J80" i="19" s="1"/>
  <c r="I81" i="19"/>
  <c r="J81" i="19" s="1"/>
  <c r="I82" i="19"/>
  <c r="J82" i="19" s="1"/>
  <c r="I83" i="19"/>
  <c r="J83" i="19" s="1"/>
  <c r="I84" i="19"/>
  <c r="J84" i="19" s="1"/>
  <c r="I85" i="19"/>
  <c r="J85" i="19" s="1"/>
  <c r="I86" i="19"/>
  <c r="J86" i="19" s="1"/>
  <c r="I87" i="19"/>
  <c r="J87" i="19" s="1"/>
  <c r="I88" i="19"/>
  <c r="J88" i="19" s="1"/>
  <c r="I89" i="19"/>
  <c r="J89" i="19" s="1"/>
  <c r="I90" i="19"/>
  <c r="J90" i="19" s="1"/>
  <c r="I91" i="19"/>
  <c r="J91" i="19" s="1"/>
  <c r="I92" i="19"/>
  <c r="J92" i="19" s="1"/>
  <c r="I93" i="19"/>
  <c r="I93" i="18" s="1"/>
  <c r="I94" i="19"/>
  <c r="J94" i="19" s="1"/>
  <c r="I95" i="19"/>
  <c r="J95" i="19" s="1"/>
  <c r="I96" i="19"/>
  <c r="J96" i="19" s="1"/>
  <c r="I97" i="19"/>
  <c r="J97" i="19" s="1"/>
  <c r="I98" i="19"/>
  <c r="J98" i="19" s="1"/>
  <c r="I99" i="19"/>
  <c r="J99" i="19" s="1"/>
  <c r="I100" i="19"/>
  <c r="J100" i="19" s="1"/>
  <c r="I101" i="19"/>
  <c r="J101" i="19" s="1"/>
  <c r="I102" i="19"/>
  <c r="J102" i="19" s="1"/>
  <c r="I103" i="19"/>
  <c r="J103" i="19" s="1"/>
  <c r="I104" i="19"/>
  <c r="J104" i="19" s="1"/>
  <c r="I105" i="19"/>
  <c r="I105" i="18" s="1"/>
  <c r="I106" i="19"/>
  <c r="J106" i="19" s="1"/>
  <c r="I107" i="19"/>
  <c r="J107" i="19" s="1"/>
  <c r="I108" i="19"/>
  <c r="J108" i="19" s="1"/>
  <c r="I109" i="19"/>
  <c r="J109" i="19" s="1"/>
  <c r="I110" i="19"/>
  <c r="J110" i="19" s="1"/>
  <c r="I111" i="19"/>
  <c r="J111" i="19" s="1"/>
  <c r="I112" i="19"/>
  <c r="J112" i="19" s="1"/>
  <c r="I113" i="19"/>
  <c r="J113" i="19" s="1"/>
  <c r="I114" i="19"/>
  <c r="J114" i="19" s="1"/>
  <c r="I115" i="19"/>
  <c r="J115" i="19" s="1"/>
  <c r="I116" i="19"/>
  <c r="J116" i="19" s="1"/>
  <c r="I117" i="19"/>
  <c r="J117" i="19" s="1"/>
  <c r="I118" i="19"/>
  <c r="J118" i="19" s="1"/>
  <c r="I119" i="19"/>
  <c r="J119" i="19" s="1"/>
  <c r="I120" i="19"/>
  <c r="J120" i="19" s="1"/>
  <c r="I121" i="19"/>
  <c r="J121" i="19" s="1"/>
  <c r="I122" i="19"/>
  <c r="J122" i="19" s="1"/>
  <c r="I123" i="19"/>
  <c r="J123" i="19" s="1"/>
  <c r="I124" i="19"/>
  <c r="J124" i="19" s="1"/>
  <c r="I125" i="19"/>
  <c r="J125" i="19" s="1"/>
  <c r="I126" i="19"/>
  <c r="J126" i="19" s="1"/>
  <c r="I127" i="19"/>
  <c r="J127" i="19" s="1"/>
  <c r="I128" i="19"/>
  <c r="J128" i="19" s="1"/>
  <c r="I129" i="19"/>
  <c r="J129" i="19" s="1"/>
  <c r="I130" i="19"/>
  <c r="J130" i="19" s="1"/>
  <c r="I131" i="19"/>
  <c r="J131" i="19" s="1"/>
  <c r="I132" i="19"/>
  <c r="J132" i="19" s="1"/>
  <c r="I133" i="19"/>
  <c r="J133" i="19" s="1"/>
  <c r="I134" i="19"/>
  <c r="J134" i="19" s="1"/>
  <c r="I135" i="19"/>
  <c r="J135" i="19" s="1"/>
  <c r="I136" i="19"/>
  <c r="J136" i="19" s="1"/>
  <c r="I137" i="19"/>
  <c r="J137" i="19" s="1"/>
  <c r="I138" i="19"/>
  <c r="J138" i="19" s="1"/>
  <c r="I139" i="19"/>
  <c r="J139" i="19" s="1"/>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c r="I154" i="19"/>
  <c r="J154" i="19" s="1"/>
  <c r="I155" i="19"/>
  <c r="J155" i="19" s="1"/>
  <c r="I156" i="19"/>
  <c r="J156" i="19" s="1"/>
  <c r="I157" i="19"/>
  <c r="J157" i="19" s="1"/>
  <c r="I158" i="19"/>
  <c r="J158" i="19" s="1"/>
  <c r="I159" i="19"/>
  <c r="J159" i="19" s="1"/>
  <c r="I160" i="19"/>
  <c r="J160" i="19" s="1"/>
  <c r="I29" i="18"/>
  <c r="I37" i="18"/>
  <c r="I45" i="18"/>
  <c r="I53" i="18"/>
  <c r="I61" i="18"/>
  <c r="I81" i="18"/>
  <c r="G21" i="19"/>
  <c r="G23" i="19"/>
  <c r="G25" i="19"/>
  <c r="G26" i="19"/>
  <c r="G30" i="19"/>
  <c r="G31" i="19"/>
  <c r="G33" i="19"/>
  <c r="G34" i="19"/>
  <c r="G39" i="19"/>
  <c r="G42" i="19"/>
  <c r="G47" i="19"/>
  <c r="G50" i="19"/>
  <c r="G55" i="19"/>
  <c r="G58" i="19"/>
  <c r="G71" i="19"/>
  <c r="G80" i="19"/>
  <c r="G125" i="19"/>
  <c r="G147" i="19"/>
  <c r="F18" i="19"/>
  <c r="G18" i="19" s="1"/>
  <c r="F19" i="19"/>
  <c r="G19" i="19" s="1"/>
  <c r="F20" i="19"/>
  <c r="G20" i="19" s="1"/>
  <c r="F21" i="19"/>
  <c r="F22" i="19"/>
  <c r="G22" i="19" s="1"/>
  <c r="F23" i="19"/>
  <c r="F24" i="19"/>
  <c r="G24" i="19" s="1"/>
  <c r="F25" i="19"/>
  <c r="F26" i="19"/>
  <c r="F27" i="19"/>
  <c r="G27" i="19" s="1"/>
  <c r="F28" i="19"/>
  <c r="G28" i="19" s="1"/>
  <c r="F29" i="19"/>
  <c r="G29" i="19" s="1"/>
  <c r="F30" i="19"/>
  <c r="F31" i="19"/>
  <c r="F32" i="19"/>
  <c r="G32" i="19" s="1"/>
  <c r="F33" i="19"/>
  <c r="F34" i="19"/>
  <c r="F35" i="19"/>
  <c r="G35" i="19" s="1"/>
  <c r="F36" i="19"/>
  <c r="G36" i="19" s="1"/>
  <c r="F37" i="19"/>
  <c r="G37" i="19" s="1"/>
  <c r="F38" i="19"/>
  <c r="G38" i="19" s="1"/>
  <c r="F39" i="19"/>
  <c r="F40" i="19"/>
  <c r="G40" i="19" s="1"/>
  <c r="F41" i="19"/>
  <c r="G41" i="19" s="1"/>
  <c r="F42" i="19"/>
  <c r="F43" i="19"/>
  <c r="G43" i="19" s="1"/>
  <c r="F44" i="19"/>
  <c r="G44" i="19" s="1"/>
  <c r="F45" i="19"/>
  <c r="G45" i="19" s="1"/>
  <c r="F46" i="19"/>
  <c r="G46" i="19" s="1"/>
  <c r="F47" i="19"/>
  <c r="F48" i="19"/>
  <c r="G48" i="19" s="1"/>
  <c r="F49" i="19"/>
  <c r="G49" i="19" s="1"/>
  <c r="F50" i="19"/>
  <c r="F51" i="19"/>
  <c r="G51" i="19" s="1"/>
  <c r="F52" i="19"/>
  <c r="G52" i="19" s="1"/>
  <c r="F53" i="19"/>
  <c r="G53" i="19" s="1"/>
  <c r="F54" i="19"/>
  <c r="G54" i="19" s="1"/>
  <c r="F55" i="19"/>
  <c r="F56" i="19"/>
  <c r="G56" i="19" s="1"/>
  <c r="F57" i="19"/>
  <c r="G57" i="19" s="1"/>
  <c r="F58" i="19"/>
  <c r="F59" i="19"/>
  <c r="G59" i="19" s="1"/>
  <c r="F60" i="19"/>
  <c r="G60" i="19" s="1"/>
  <c r="F61" i="19"/>
  <c r="G61" i="19" s="1"/>
  <c r="F62" i="19"/>
  <c r="G62" i="19" s="1"/>
  <c r="F63" i="19"/>
  <c r="G63" i="19" s="1"/>
  <c r="F64" i="19"/>
  <c r="G64" i="19" s="1"/>
  <c r="F65" i="19"/>
  <c r="G65" i="19" s="1"/>
  <c r="F66" i="19"/>
  <c r="G66" i="19" s="1"/>
  <c r="F67" i="19"/>
  <c r="G67" i="19" s="1"/>
  <c r="F68" i="19"/>
  <c r="G68" i="19" s="1"/>
  <c r="F69" i="19"/>
  <c r="G69" i="19" s="1"/>
  <c r="F70" i="19"/>
  <c r="G70" i="19" s="1"/>
  <c r="F71" i="19"/>
  <c r="F72" i="19"/>
  <c r="G72" i="19" s="1"/>
  <c r="F73" i="19"/>
  <c r="G73" i="19" s="1"/>
  <c r="F74" i="19"/>
  <c r="G74" i="19" s="1"/>
  <c r="F76" i="19"/>
  <c r="G76" i="19" s="1"/>
  <c r="F77" i="19"/>
  <c r="G77" i="19" s="1"/>
  <c r="F78" i="19"/>
  <c r="G78" i="19" s="1"/>
  <c r="F79" i="19"/>
  <c r="G79" i="19" s="1"/>
  <c r="F80" i="19"/>
  <c r="F81" i="19"/>
  <c r="G81" i="19" s="1"/>
  <c r="F82" i="19"/>
  <c r="G82" i="19" s="1"/>
  <c r="F83" i="19"/>
  <c r="G83" i="19" s="1"/>
  <c r="F84" i="19"/>
  <c r="G84" i="19" s="1"/>
  <c r="F85" i="19"/>
  <c r="G85" i="19" s="1"/>
  <c r="F86" i="19"/>
  <c r="G86" i="19" s="1"/>
  <c r="F87" i="19"/>
  <c r="G87" i="19" s="1"/>
  <c r="F88" i="19"/>
  <c r="G88" i="19" s="1"/>
  <c r="F89" i="19"/>
  <c r="G89" i="19" s="1"/>
  <c r="F90" i="19"/>
  <c r="G90" i="19" s="1"/>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G108" i="19" s="1"/>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F126" i="19"/>
  <c r="G126" i="19" s="1"/>
  <c r="F127" i="19"/>
  <c r="G127" i="19" s="1"/>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G140" i="19" s="1"/>
  <c r="F141" i="19"/>
  <c r="G141" i="19" s="1"/>
  <c r="F142" i="19"/>
  <c r="G142" i="19" s="1"/>
  <c r="F143" i="19"/>
  <c r="G143" i="19" s="1"/>
  <c r="F144" i="19"/>
  <c r="G144" i="19" s="1"/>
  <c r="F145" i="19"/>
  <c r="G145" i="19" s="1"/>
  <c r="F146" i="19"/>
  <c r="G146" i="19" s="1"/>
  <c r="F147" i="19"/>
  <c r="F148" i="19"/>
  <c r="G148" i="19" s="1"/>
  <c r="F149" i="19"/>
  <c r="G149" i="19" s="1"/>
  <c r="F150" i="19"/>
  <c r="G150" i="19" s="1"/>
  <c r="F151" i="19"/>
  <c r="G151" i="19" s="1"/>
  <c r="F152" i="19"/>
  <c r="G152" i="19" s="1"/>
  <c r="F153" i="19"/>
  <c r="G153" i="19" s="1"/>
  <c r="F154" i="19"/>
  <c r="G154" i="19" s="1"/>
  <c r="F155" i="19"/>
  <c r="G155" i="19" s="1"/>
  <c r="F156" i="19"/>
  <c r="G156" i="19" s="1"/>
  <c r="F157" i="19"/>
  <c r="G157" i="19" s="1"/>
  <c r="F158" i="19"/>
  <c r="G158" i="19" s="1"/>
  <c r="F159" i="19"/>
  <c r="G159" i="19" s="1"/>
  <c r="F160" i="19"/>
  <c r="G160" i="19" s="1"/>
  <c r="J137" i="1"/>
  <c r="J138" i="1"/>
  <c r="J139" i="1"/>
  <c r="J140" i="1"/>
  <c r="J141" i="1"/>
  <c r="J142" i="1"/>
  <c r="J143" i="1"/>
  <c r="J144" i="1"/>
  <c r="J145" i="1"/>
  <c r="J146" i="1"/>
  <c r="J147" i="1"/>
  <c r="J148" i="1"/>
  <c r="J149" i="1"/>
  <c r="J150" i="1"/>
  <c r="J151" i="1"/>
  <c r="J152" i="1"/>
  <c r="J153" i="1"/>
  <c r="J154" i="1"/>
  <c r="J155" i="1"/>
  <c r="J156" i="1"/>
  <c r="J157" i="1"/>
  <c r="J158" i="1"/>
  <c r="J159" i="1"/>
  <c r="I139" i="1"/>
  <c r="I140" i="1"/>
  <c r="I141" i="1"/>
  <c r="I142" i="1"/>
  <c r="I143" i="1"/>
  <c r="I144" i="1"/>
  <c r="I145" i="1"/>
  <c r="I146" i="1"/>
  <c r="I147" i="1"/>
  <c r="I148" i="1"/>
  <c r="I149" i="1"/>
  <c r="I150" i="1"/>
  <c r="I151" i="1"/>
  <c r="I152" i="1"/>
  <c r="I153" i="1"/>
  <c r="I154" i="1"/>
  <c r="I155" i="1"/>
  <c r="I156" i="1"/>
  <c r="I157" i="1"/>
  <c r="I158" i="1"/>
  <c r="I159" i="1"/>
  <c r="H138" i="1"/>
  <c r="H139" i="1"/>
  <c r="H140" i="1"/>
  <c r="H141" i="1"/>
  <c r="H142" i="1"/>
  <c r="H143" i="1"/>
  <c r="H144" i="1"/>
  <c r="H145" i="1"/>
  <c r="H146" i="1"/>
  <c r="H147" i="1"/>
  <c r="H148" i="1"/>
  <c r="H149" i="1"/>
  <c r="H150" i="1"/>
  <c r="H151" i="1"/>
  <c r="H152" i="1"/>
  <c r="H153" i="1"/>
  <c r="H154" i="1"/>
  <c r="H155" i="1"/>
  <c r="H156" i="1"/>
  <c r="H157" i="1"/>
  <c r="H158" i="1"/>
  <c r="H159" i="1"/>
  <c r="G138" i="1"/>
  <c r="G139" i="1"/>
  <c r="G140" i="1"/>
  <c r="G141" i="1"/>
  <c r="G142" i="1"/>
  <c r="G143" i="1"/>
  <c r="G144" i="1"/>
  <c r="G145" i="1"/>
  <c r="G146" i="1"/>
  <c r="G147" i="1"/>
  <c r="G148" i="1"/>
  <c r="G149" i="1"/>
  <c r="G150" i="1"/>
  <c r="G151" i="1"/>
  <c r="G152" i="1"/>
  <c r="G153" i="1"/>
  <c r="G154" i="1"/>
  <c r="G155" i="1"/>
  <c r="G156" i="1"/>
  <c r="G157" i="1"/>
  <c r="G158" i="1"/>
  <c r="G159" i="1"/>
  <c r="F138" i="1"/>
  <c r="F139" i="1"/>
  <c r="F140" i="1"/>
  <c r="F141" i="1"/>
  <c r="F142" i="1"/>
  <c r="F143" i="1"/>
  <c r="F144" i="1"/>
  <c r="F145" i="1"/>
  <c r="F146" i="1"/>
  <c r="F147" i="1"/>
  <c r="F148" i="1"/>
  <c r="F149" i="1"/>
  <c r="F150" i="1"/>
  <c r="F151" i="1"/>
  <c r="F152" i="1"/>
  <c r="F153" i="1"/>
  <c r="F154" i="1"/>
  <c r="F155" i="1"/>
  <c r="F156" i="1"/>
  <c r="F157" i="1"/>
  <c r="F158" i="1"/>
  <c r="F159" i="1"/>
  <c r="E137" i="1"/>
  <c r="E138" i="1"/>
  <c r="E139" i="1"/>
  <c r="E140" i="1"/>
  <c r="E141" i="1"/>
  <c r="E142" i="1"/>
  <c r="E143" i="1"/>
  <c r="E144" i="1"/>
  <c r="E145" i="1"/>
  <c r="E146" i="1"/>
  <c r="E147" i="1"/>
  <c r="E148" i="1"/>
  <c r="E149" i="1"/>
  <c r="E150" i="1"/>
  <c r="E151" i="1"/>
  <c r="E152" i="1"/>
  <c r="E153" i="1"/>
  <c r="E154" i="1"/>
  <c r="E155" i="1"/>
  <c r="E156" i="1"/>
  <c r="E157" i="1"/>
  <c r="E158" i="1"/>
  <c r="E159" i="1"/>
  <c r="D139" i="1"/>
  <c r="D140" i="1"/>
  <c r="D141" i="1"/>
  <c r="D142" i="1"/>
  <c r="D143" i="1"/>
  <c r="D144" i="1"/>
  <c r="D145" i="1"/>
  <c r="D146" i="1"/>
  <c r="D147" i="1"/>
  <c r="D148" i="1"/>
  <c r="D149" i="1"/>
  <c r="D150" i="1"/>
  <c r="D151" i="1"/>
  <c r="D152" i="1"/>
  <c r="D153" i="1"/>
  <c r="D154" i="1"/>
  <c r="D155" i="1"/>
  <c r="D156" i="1"/>
  <c r="D157" i="1"/>
  <c r="D158" i="1"/>
  <c r="D159" i="1"/>
  <c r="E138" i="18"/>
  <c r="E139" i="18"/>
  <c r="E139" i="34" s="1"/>
  <c r="E140" i="18"/>
  <c r="E140" i="34" s="1"/>
  <c r="E141" i="18"/>
  <c r="E142" i="18"/>
  <c r="E143" i="18"/>
  <c r="E144" i="18"/>
  <c r="E145" i="18"/>
  <c r="E146" i="18"/>
  <c r="E147" i="18"/>
  <c r="E148" i="18"/>
  <c r="E149" i="18"/>
  <c r="E150" i="18"/>
  <c r="E151" i="18"/>
  <c r="E152" i="18"/>
  <c r="E153" i="18"/>
  <c r="E154" i="18"/>
  <c r="E155" i="18"/>
  <c r="E156" i="18"/>
  <c r="E157" i="18"/>
  <c r="E158" i="18"/>
  <c r="E159" i="18"/>
  <c r="E160" i="18"/>
  <c r="D138" i="18"/>
  <c r="F138" i="18" s="1"/>
  <c r="G138" i="18" s="1"/>
  <c r="D139" i="18"/>
  <c r="D140" i="18"/>
  <c r="D141" i="18"/>
  <c r="F141" i="18" s="1"/>
  <c r="G141" i="18" s="1"/>
  <c r="D142" i="18"/>
  <c r="F142" i="18" s="1"/>
  <c r="G142" i="18" s="1"/>
  <c r="D143" i="18"/>
  <c r="D144" i="18"/>
  <c r="D145" i="18"/>
  <c r="D146" i="18"/>
  <c r="D147" i="18"/>
  <c r="D148" i="18"/>
  <c r="D149" i="18"/>
  <c r="D150" i="18"/>
  <c r="D151" i="18"/>
  <c r="D152" i="18"/>
  <c r="D153" i="18"/>
  <c r="D154" i="18"/>
  <c r="D155" i="18"/>
  <c r="F155" i="18" s="1"/>
  <c r="G155" i="18" s="1"/>
  <c r="D156" i="18"/>
  <c r="D157" i="18"/>
  <c r="D158" i="18"/>
  <c r="D159" i="18"/>
  <c r="D160" i="18"/>
  <c r="I18" i="18"/>
  <c r="I19" i="18"/>
  <c r="I20" i="18"/>
  <c r="I21" i="18"/>
  <c r="I22" i="18"/>
  <c r="I23" i="18"/>
  <c r="I23" i="34" s="1"/>
  <c r="I24" i="18"/>
  <c r="I25" i="18"/>
  <c r="I26" i="18"/>
  <c r="I27" i="18"/>
  <c r="I28" i="18"/>
  <c r="I30" i="18"/>
  <c r="I31" i="18"/>
  <c r="I32" i="18"/>
  <c r="I33" i="18"/>
  <c r="I34" i="18"/>
  <c r="I35" i="18"/>
  <c r="I36" i="18"/>
  <c r="I38" i="18"/>
  <c r="I39" i="18"/>
  <c r="I40" i="18"/>
  <c r="I41" i="18"/>
  <c r="I43" i="18"/>
  <c r="I44" i="18"/>
  <c r="I46" i="18"/>
  <c r="I48" i="18"/>
  <c r="I50" i="18"/>
  <c r="I51" i="18"/>
  <c r="I52" i="18"/>
  <c r="I54" i="18"/>
  <c r="I56" i="18"/>
  <c r="I57" i="18"/>
  <c r="I58" i="18"/>
  <c r="I59" i="18"/>
  <c r="I60" i="18"/>
  <c r="I62" i="18"/>
  <c r="I63" i="18"/>
  <c r="I64" i="18"/>
  <c r="I65" i="18"/>
  <c r="I66" i="18"/>
  <c r="I67" i="18"/>
  <c r="I70" i="18"/>
  <c r="I71" i="18"/>
  <c r="I71" i="34" s="1"/>
  <c r="I72" i="18"/>
  <c r="I73" i="18"/>
  <c r="I74" i="18"/>
  <c r="I76" i="18"/>
  <c r="I82" i="18"/>
  <c r="I83" i="18"/>
  <c r="I85" i="18"/>
  <c r="I86" i="18"/>
  <c r="I87" i="18"/>
  <c r="I89" i="18"/>
  <c r="I90" i="18"/>
  <c r="I91" i="18"/>
  <c r="I94" i="18"/>
  <c r="I95" i="18"/>
  <c r="I97" i="18"/>
  <c r="I98" i="18"/>
  <c r="I102" i="18"/>
  <c r="I103" i="18"/>
  <c r="I110" i="18"/>
  <c r="I111" i="18"/>
  <c r="I112" i="18"/>
  <c r="I113" i="18"/>
  <c r="I114" i="18"/>
  <c r="I116" i="18"/>
  <c r="I117" i="18"/>
  <c r="I119" i="18"/>
  <c r="I121" i="18"/>
  <c r="I122" i="18"/>
  <c r="I123" i="18"/>
  <c r="I124" i="18"/>
  <c r="I127" i="18"/>
  <c r="I128" i="18"/>
  <c r="I129" i="18"/>
  <c r="I130" i="18"/>
  <c r="I133" i="18"/>
  <c r="I134" i="18"/>
  <c r="I136" i="18"/>
  <c r="I137" i="18"/>
  <c r="I140" i="18"/>
  <c r="I141" i="18"/>
  <c r="I142" i="18"/>
  <c r="I143" i="18"/>
  <c r="I144" i="18"/>
  <c r="I145" i="18"/>
  <c r="I147" i="18"/>
  <c r="I150" i="18"/>
  <c r="I151" i="18"/>
  <c r="I152" i="18"/>
  <c r="I153" i="18"/>
  <c r="I155" i="18"/>
  <c r="I156" i="18"/>
  <c r="I157" i="18"/>
  <c r="I158" i="18"/>
  <c r="I159" i="18"/>
  <c r="I160"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J113" i="18" s="1"/>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3" i="34" s="1"/>
  <c r="H144" i="18"/>
  <c r="H145" i="18"/>
  <c r="H145" i="34" s="1"/>
  <c r="H146" i="18"/>
  <c r="H147" i="18"/>
  <c r="H148" i="18"/>
  <c r="H149" i="18"/>
  <c r="H150" i="18"/>
  <c r="H151" i="18"/>
  <c r="H151" i="34" s="1"/>
  <c r="H152" i="18"/>
  <c r="H153" i="18"/>
  <c r="H153" i="34" s="1"/>
  <c r="H154" i="18"/>
  <c r="H155" i="18"/>
  <c r="H156" i="18"/>
  <c r="H157" i="18"/>
  <c r="H158" i="18"/>
  <c r="H159" i="18"/>
  <c r="H160" i="18"/>
  <c r="H4" i="18"/>
  <c r="H4" i="34" s="1"/>
  <c r="I18" i="20"/>
  <c r="J18" i="20" s="1"/>
  <c r="I19" i="20"/>
  <c r="J19" i="20" s="1"/>
  <c r="I20" i="20"/>
  <c r="J20" i="20" s="1"/>
  <c r="I21" i="20"/>
  <c r="J21" i="20" s="1"/>
  <c r="I22" i="20"/>
  <c r="J22" i="20" s="1"/>
  <c r="I23" i="20"/>
  <c r="J23" i="20" s="1"/>
  <c r="I24" i="20"/>
  <c r="J24" i="20" s="1"/>
  <c r="I25" i="20"/>
  <c r="J25" i="20" s="1"/>
  <c r="I26" i="20"/>
  <c r="J26" i="20" s="1"/>
  <c r="I27" i="20"/>
  <c r="J27" i="20" s="1"/>
  <c r="I28" i="20"/>
  <c r="J28" i="20" s="1"/>
  <c r="I29" i="20"/>
  <c r="J29" i="20" s="1"/>
  <c r="I30" i="20"/>
  <c r="J30" i="20" s="1"/>
  <c r="I31" i="20"/>
  <c r="J31" i="20" s="1"/>
  <c r="I32" i="20"/>
  <c r="J32" i="20" s="1"/>
  <c r="I33" i="20"/>
  <c r="J33" i="20"/>
  <c r="I34" i="20"/>
  <c r="J34" i="20" s="1"/>
  <c r="I35" i="20"/>
  <c r="J35" i="20" s="1"/>
  <c r="I36" i="20"/>
  <c r="J36" i="20" s="1"/>
  <c r="I37" i="20"/>
  <c r="J37" i="20" s="1"/>
  <c r="I38" i="20"/>
  <c r="J38" i="20" s="1"/>
  <c r="I39" i="20"/>
  <c r="J39" i="20" s="1"/>
  <c r="I40" i="20"/>
  <c r="J40" i="20" s="1"/>
  <c r="I41" i="20"/>
  <c r="J41" i="20" s="1"/>
  <c r="I42" i="20"/>
  <c r="J42" i="20" s="1"/>
  <c r="I43" i="20"/>
  <c r="J43" i="20" s="1"/>
  <c r="I44" i="20"/>
  <c r="J44" i="20" s="1"/>
  <c r="I45" i="20"/>
  <c r="J45" i="20" s="1"/>
  <c r="I46" i="20"/>
  <c r="J46" i="20" s="1"/>
  <c r="I47" i="20"/>
  <c r="J47" i="20" s="1"/>
  <c r="I48" i="20"/>
  <c r="J48" i="20" s="1"/>
  <c r="I49" i="20"/>
  <c r="J49" i="20" s="1"/>
  <c r="I50" i="20"/>
  <c r="J50" i="20" s="1"/>
  <c r="I51" i="20"/>
  <c r="J51" i="20" s="1"/>
  <c r="I52" i="20"/>
  <c r="J52" i="20" s="1"/>
  <c r="I53" i="20"/>
  <c r="J53" i="20" s="1"/>
  <c r="I54" i="20"/>
  <c r="J54" i="20" s="1"/>
  <c r="I55" i="20"/>
  <c r="J55" i="20" s="1"/>
  <c r="I56" i="20"/>
  <c r="J56" i="20" s="1"/>
  <c r="I57" i="20"/>
  <c r="J57" i="20" s="1"/>
  <c r="I58" i="20"/>
  <c r="J58" i="20" s="1"/>
  <c r="I59" i="20"/>
  <c r="J59" i="20" s="1"/>
  <c r="I60" i="20"/>
  <c r="J60" i="20" s="1"/>
  <c r="I61" i="20"/>
  <c r="J61" i="20" s="1"/>
  <c r="I62" i="20"/>
  <c r="J62" i="20" s="1"/>
  <c r="I63" i="20"/>
  <c r="J63" i="20" s="1"/>
  <c r="I64" i="20"/>
  <c r="J64" i="20" s="1"/>
  <c r="I65" i="20"/>
  <c r="J65" i="20"/>
  <c r="I66" i="20"/>
  <c r="J66" i="20" s="1"/>
  <c r="I67" i="20"/>
  <c r="J67" i="20" s="1"/>
  <c r="I68" i="20"/>
  <c r="J68" i="20"/>
  <c r="I69" i="20"/>
  <c r="J69" i="20" s="1"/>
  <c r="I70" i="20"/>
  <c r="J70" i="20" s="1"/>
  <c r="I71" i="20"/>
  <c r="J71" i="20" s="1"/>
  <c r="I72" i="20"/>
  <c r="J72" i="20" s="1"/>
  <c r="I73" i="20"/>
  <c r="J73" i="20" s="1"/>
  <c r="I74" i="20"/>
  <c r="J74" i="20" s="1"/>
  <c r="I75" i="20"/>
  <c r="J75" i="20" s="1"/>
  <c r="I76" i="20"/>
  <c r="J76" i="20" s="1"/>
  <c r="I77" i="20"/>
  <c r="J77" i="20" s="1"/>
  <c r="I78" i="20"/>
  <c r="J78" i="20" s="1"/>
  <c r="I79" i="20"/>
  <c r="J79" i="20" s="1"/>
  <c r="I80" i="20"/>
  <c r="J80" i="20" s="1"/>
  <c r="I81" i="20"/>
  <c r="J81" i="20" s="1"/>
  <c r="I82" i="20"/>
  <c r="J82" i="20" s="1"/>
  <c r="I83" i="20"/>
  <c r="J83" i="20" s="1"/>
  <c r="I84" i="20"/>
  <c r="J84" i="20" s="1"/>
  <c r="I85" i="20"/>
  <c r="J85" i="20" s="1"/>
  <c r="I86" i="20"/>
  <c r="J86" i="20" s="1"/>
  <c r="I87" i="20"/>
  <c r="J87" i="20" s="1"/>
  <c r="I88" i="20"/>
  <c r="J88" i="20" s="1"/>
  <c r="I89" i="20"/>
  <c r="J89" i="20" s="1"/>
  <c r="I90" i="20"/>
  <c r="J90" i="20" s="1"/>
  <c r="I91" i="20"/>
  <c r="J91" i="20" s="1"/>
  <c r="I92" i="20"/>
  <c r="J92" i="20" s="1"/>
  <c r="I93" i="20"/>
  <c r="J93" i="20" s="1"/>
  <c r="I94" i="20"/>
  <c r="J94" i="20" s="1"/>
  <c r="I95" i="20"/>
  <c r="J95" i="20" s="1"/>
  <c r="I96" i="20"/>
  <c r="J96" i="20" s="1"/>
  <c r="I97" i="20"/>
  <c r="J97" i="20" s="1"/>
  <c r="I98" i="20"/>
  <c r="J98" i="20" s="1"/>
  <c r="I99" i="20"/>
  <c r="J99" i="20" s="1"/>
  <c r="I100" i="20"/>
  <c r="J100" i="20" s="1"/>
  <c r="I101" i="20"/>
  <c r="J101" i="20" s="1"/>
  <c r="I102" i="20"/>
  <c r="J102" i="20" s="1"/>
  <c r="I103" i="20"/>
  <c r="J103" i="20" s="1"/>
  <c r="I104" i="20"/>
  <c r="J104" i="20" s="1"/>
  <c r="I105" i="20"/>
  <c r="J105" i="20" s="1"/>
  <c r="I106" i="20"/>
  <c r="J106" i="20" s="1"/>
  <c r="I107" i="20"/>
  <c r="J107" i="20" s="1"/>
  <c r="I108" i="20"/>
  <c r="J108" i="20" s="1"/>
  <c r="I109" i="20"/>
  <c r="J109" i="20" s="1"/>
  <c r="I110" i="20"/>
  <c r="J110" i="20" s="1"/>
  <c r="I111" i="20"/>
  <c r="J111" i="20" s="1"/>
  <c r="I112" i="20"/>
  <c r="J112" i="20" s="1"/>
  <c r="I113" i="20"/>
  <c r="J113" i="20" s="1"/>
  <c r="I114" i="20"/>
  <c r="J114" i="20" s="1"/>
  <c r="I115" i="20"/>
  <c r="J115" i="20" s="1"/>
  <c r="I116" i="20"/>
  <c r="J116" i="20" s="1"/>
  <c r="I117" i="20"/>
  <c r="J117" i="20" s="1"/>
  <c r="I118" i="20"/>
  <c r="J118" i="20" s="1"/>
  <c r="I119" i="20"/>
  <c r="J119" i="20" s="1"/>
  <c r="I120" i="20"/>
  <c r="J120" i="20" s="1"/>
  <c r="I121" i="20"/>
  <c r="J121" i="20" s="1"/>
  <c r="I122" i="20"/>
  <c r="J122" i="20" s="1"/>
  <c r="I123" i="20"/>
  <c r="J123" i="20" s="1"/>
  <c r="I124" i="20"/>
  <c r="J124" i="20" s="1"/>
  <c r="I125" i="20"/>
  <c r="J125" i="20" s="1"/>
  <c r="I126" i="20"/>
  <c r="J126" i="20" s="1"/>
  <c r="I127" i="20"/>
  <c r="J127" i="20" s="1"/>
  <c r="I128" i="20"/>
  <c r="J128" i="20" s="1"/>
  <c r="I129" i="20"/>
  <c r="J129" i="20" s="1"/>
  <c r="I130" i="20"/>
  <c r="J130" i="20" s="1"/>
  <c r="I131" i="20"/>
  <c r="J131" i="20" s="1"/>
  <c r="I132" i="20"/>
  <c r="J132" i="20" s="1"/>
  <c r="I133" i="20"/>
  <c r="J133" i="20" s="1"/>
  <c r="I134" i="20"/>
  <c r="J134" i="20" s="1"/>
  <c r="I135" i="20"/>
  <c r="J135" i="20" s="1"/>
  <c r="I136" i="20"/>
  <c r="J136" i="20" s="1"/>
  <c r="I137" i="20"/>
  <c r="J137" i="20" s="1"/>
  <c r="I138" i="20"/>
  <c r="J138" i="20" s="1"/>
  <c r="I139" i="20"/>
  <c r="J139" i="20" s="1"/>
  <c r="I140" i="20"/>
  <c r="J140" i="20" s="1"/>
  <c r="I141" i="20"/>
  <c r="J141" i="20" s="1"/>
  <c r="I142" i="20"/>
  <c r="J142" i="20" s="1"/>
  <c r="I143" i="20"/>
  <c r="J143" i="20" s="1"/>
  <c r="I144" i="20"/>
  <c r="J144" i="20" s="1"/>
  <c r="I145" i="20"/>
  <c r="J145" i="20" s="1"/>
  <c r="I146" i="20"/>
  <c r="J146" i="20" s="1"/>
  <c r="I147" i="20"/>
  <c r="J147" i="20" s="1"/>
  <c r="I148" i="20"/>
  <c r="J148" i="20" s="1"/>
  <c r="I149" i="20"/>
  <c r="J149" i="20" s="1"/>
  <c r="I150" i="20"/>
  <c r="J150" i="20" s="1"/>
  <c r="I151" i="20"/>
  <c r="J151" i="20" s="1"/>
  <c r="I152" i="20"/>
  <c r="J152" i="20" s="1"/>
  <c r="I153" i="20"/>
  <c r="J153" i="20" s="1"/>
  <c r="I154" i="20"/>
  <c r="J154" i="20" s="1"/>
  <c r="I155" i="20"/>
  <c r="J155" i="20" s="1"/>
  <c r="I156" i="20"/>
  <c r="J156" i="20" s="1"/>
  <c r="I157" i="20"/>
  <c r="J157" i="20" s="1"/>
  <c r="I158" i="20"/>
  <c r="J158" i="20" s="1"/>
  <c r="I159" i="20"/>
  <c r="J159" i="20" s="1"/>
  <c r="I160" i="20"/>
  <c r="J160" i="20" s="1"/>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s="1"/>
  <c r="F49" i="20"/>
  <c r="G49" i="20" s="1"/>
  <c r="F50" i="20"/>
  <c r="G50" i="20" s="1"/>
  <c r="F51" i="20"/>
  <c r="G51" i="20" s="1"/>
  <c r="F52" i="20"/>
  <c r="G52" i="20" s="1"/>
  <c r="F53" i="20"/>
  <c r="G53" i="20" s="1"/>
  <c r="F54" i="20"/>
  <c r="G54" i="20" s="1"/>
  <c r="F55" i="20"/>
  <c r="G55" i="20" s="1"/>
  <c r="F56" i="20"/>
  <c r="G56" i="20" s="1"/>
  <c r="F57" i="20"/>
  <c r="G57" i="20" s="1"/>
  <c r="F58" i="20"/>
  <c r="G58" i="20" s="1"/>
  <c r="F59" i="20"/>
  <c r="G59" i="20" s="1"/>
  <c r="F60" i="20"/>
  <c r="G60" i="20" s="1"/>
  <c r="F61" i="20"/>
  <c r="G61" i="20" s="1"/>
  <c r="F62" i="20"/>
  <c r="G62" i="20" s="1"/>
  <c r="F63" i="20"/>
  <c r="G63" i="20" s="1"/>
  <c r="F64" i="20"/>
  <c r="G64" i="20" s="1"/>
  <c r="F65" i="20"/>
  <c r="G65" i="20" s="1"/>
  <c r="F66" i="20"/>
  <c r="G66" i="20" s="1"/>
  <c r="F67" i="20"/>
  <c r="G67" i="20" s="1"/>
  <c r="F68" i="20"/>
  <c r="G68" i="20" s="1"/>
  <c r="F69" i="20"/>
  <c r="G69" i="20" s="1"/>
  <c r="F70" i="20"/>
  <c r="G70" i="20" s="1"/>
  <c r="F71" i="20"/>
  <c r="G71" i="20" s="1"/>
  <c r="F72" i="20"/>
  <c r="G72" i="20" s="1"/>
  <c r="F73" i="20"/>
  <c r="G73" i="20" s="1"/>
  <c r="F74" i="20"/>
  <c r="G74" i="20" s="1"/>
  <c r="F75" i="20"/>
  <c r="G75" i="20" s="1"/>
  <c r="F76" i="20"/>
  <c r="G76" i="20" s="1"/>
  <c r="F77" i="20"/>
  <c r="G77" i="20" s="1"/>
  <c r="F78" i="20"/>
  <c r="G78" i="20" s="1"/>
  <c r="F79" i="20"/>
  <c r="G79" i="20" s="1"/>
  <c r="F80" i="20"/>
  <c r="G80" i="20" s="1"/>
  <c r="F81" i="20"/>
  <c r="G81" i="20" s="1"/>
  <c r="F82" i="20"/>
  <c r="G82" i="20" s="1"/>
  <c r="F83" i="20"/>
  <c r="G83" i="20" s="1"/>
  <c r="F84" i="20"/>
  <c r="G84" i="20" s="1"/>
  <c r="F85" i="20"/>
  <c r="G85" i="20" s="1"/>
  <c r="F86" i="20"/>
  <c r="G86" i="20" s="1"/>
  <c r="F87" i="20"/>
  <c r="G87" i="20" s="1"/>
  <c r="F88" i="20"/>
  <c r="G88" i="20" s="1"/>
  <c r="F89" i="20"/>
  <c r="G89" i="20" s="1"/>
  <c r="F90" i="20"/>
  <c r="G90" i="20" s="1"/>
  <c r="F91" i="20"/>
  <c r="G91" i="20" s="1"/>
  <c r="F92" i="20"/>
  <c r="G92" i="20" s="1"/>
  <c r="F93" i="20"/>
  <c r="G93" i="20" s="1"/>
  <c r="F94" i="20"/>
  <c r="G94" i="20" s="1"/>
  <c r="F95" i="20"/>
  <c r="G95" i="20" s="1"/>
  <c r="F96" i="20"/>
  <c r="G96" i="20" s="1"/>
  <c r="F97" i="20"/>
  <c r="G97" i="20" s="1"/>
  <c r="F98" i="20"/>
  <c r="G98" i="20" s="1"/>
  <c r="F99" i="20"/>
  <c r="G99" i="20" s="1"/>
  <c r="F100" i="20"/>
  <c r="G100" i="20" s="1"/>
  <c r="F101" i="20"/>
  <c r="G101" i="20" s="1"/>
  <c r="F102" i="20"/>
  <c r="G102" i="20" s="1"/>
  <c r="F103" i="20"/>
  <c r="G103" i="20" s="1"/>
  <c r="F104" i="20"/>
  <c r="G104" i="20" s="1"/>
  <c r="F105" i="20"/>
  <c r="G105" i="20" s="1"/>
  <c r="F106" i="20"/>
  <c r="G106" i="20" s="1"/>
  <c r="F107" i="20"/>
  <c r="G107" i="20" s="1"/>
  <c r="F108" i="20"/>
  <c r="G108" i="20" s="1"/>
  <c r="F109" i="20"/>
  <c r="G109" i="20" s="1"/>
  <c r="F110" i="20"/>
  <c r="G110" i="20" s="1"/>
  <c r="F111" i="20"/>
  <c r="G111" i="20" s="1"/>
  <c r="F112" i="20"/>
  <c r="G112" i="20" s="1"/>
  <c r="F113" i="20"/>
  <c r="G113" i="20" s="1"/>
  <c r="F114" i="20"/>
  <c r="G114" i="20" s="1"/>
  <c r="F115" i="20"/>
  <c r="G115" i="20" s="1"/>
  <c r="F116" i="20"/>
  <c r="G116" i="20" s="1"/>
  <c r="F117" i="20"/>
  <c r="G117" i="20" s="1"/>
  <c r="F118" i="20"/>
  <c r="G118" i="20" s="1"/>
  <c r="F119" i="20"/>
  <c r="G119" i="20" s="1"/>
  <c r="F120" i="20"/>
  <c r="G120" i="20" s="1"/>
  <c r="F121" i="20"/>
  <c r="G121" i="20" s="1"/>
  <c r="F122" i="20"/>
  <c r="G122" i="20" s="1"/>
  <c r="F123" i="20"/>
  <c r="G123" i="20" s="1"/>
  <c r="F124" i="20"/>
  <c r="G124" i="20" s="1"/>
  <c r="F125" i="20"/>
  <c r="G125" i="20" s="1"/>
  <c r="F126" i="20"/>
  <c r="G126" i="20" s="1"/>
  <c r="F127" i="20"/>
  <c r="G127" i="20" s="1"/>
  <c r="F128" i="20"/>
  <c r="G128" i="20" s="1"/>
  <c r="F129" i="20"/>
  <c r="G129" i="20" s="1"/>
  <c r="F130" i="20"/>
  <c r="G130" i="20" s="1"/>
  <c r="F131" i="20"/>
  <c r="G131" i="20" s="1"/>
  <c r="F132" i="20"/>
  <c r="G132" i="20" s="1"/>
  <c r="F133" i="20"/>
  <c r="G133" i="20" s="1"/>
  <c r="F134" i="20"/>
  <c r="G134" i="20" s="1"/>
  <c r="F135" i="20"/>
  <c r="G135" i="20" s="1"/>
  <c r="F136" i="20"/>
  <c r="G136" i="20" s="1"/>
  <c r="F137" i="20"/>
  <c r="G137" i="20" s="1"/>
  <c r="F138" i="20"/>
  <c r="G138" i="20" s="1"/>
  <c r="F139" i="20"/>
  <c r="G139" i="20" s="1"/>
  <c r="F140" i="20"/>
  <c r="G140" i="20" s="1"/>
  <c r="F141" i="20"/>
  <c r="G141" i="20" s="1"/>
  <c r="F142" i="20"/>
  <c r="G142" i="20" s="1"/>
  <c r="F143" i="20"/>
  <c r="G143" i="20" s="1"/>
  <c r="F144" i="20"/>
  <c r="G144" i="20" s="1"/>
  <c r="F145" i="20"/>
  <c r="G145" i="20" s="1"/>
  <c r="F146" i="20"/>
  <c r="G146" i="20" s="1"/>
  <c r="F147" i="20"/>
  <c r="G147" i="20" s="1"/>
  <c r="F148" i="20"/>
  <c r="G148" i="20" s="1"/>
  <c r="F149" i="20"/>
  <c r="G149" i="20" s="1"/>
  <c r="F150" i="20"/>
  <c r="G150" i="20" s="1"/>
  <c r="F151" i="20"/>
  <c r="G151" i="20" s="1"/>
  <c r="F152" i="20"/>
  <c r="G152" i="20" s="1"/>
  <c r="F153" i="20"/>
  <c r="G153" i="20" s="1"/>
  <c r="F154" i="20"/>
  <c r="G154" i="20" s="1"/>
  <c r="F155" i="20"/>
  <c r="G155" i="20" s="1"/>
  <c r="F156" i="20"/>
  <c r="G156" i="20" s="1"/>
  <c r="F157" i="20"/>
  <c r="G157" i="20" s="1"/>
  <c r="F158" i="20"/>
  <c r="G158" i="20" s="1"/>
  <c r="F159" i="20"/>
  <c r="G159" i="20" s="1"/>
  <c r="F160" i="20"/>
  <c r="G160" i="20" s="1"/>
  <c r="H2" i="21"/>
  <c r="E2" i="21"/>
  <c r="H2" i="20"/>
  <c r="E2" i="20"/>
  <c r="D2" i="20"/>
  <c r="D2" i="21"/>
  <c r="C140" i="33"/>
  <c r="C141" i="33"/>
  <c r="C142" i="33"/>
  <c r="C143" i="33"/>
  <c r="C144" i="33"/>
  <c r="C145" i="33"/>
  <c r="C146" i="33"/>
  <c r="C147" i="33"/>
  <c r="C148" i="33"/>
  <c r="C149" i="33"/>
  <c r="C150" i="33"/>
  <c r="C151" i="33"/>
  <c r="C152" i="33"/>
  <c r="C153" i="33"/>
  <c r="C154" i="33"/>
  <c r="C155" i="33"/>
  <c r="C156" i="33"/>
  <c r="C157" i="33"/>
  <c r="C140" i="32"/>
  <c r="C141" i="32"/>
  <c r="C142" i="32"/>
  <c r="C143" i="32"/>
  <c r="C144" i="32"/>
  <c r="C145" i="32"/>
  <c r="C146" i="32"/>
  <c r="C147" i="32"/>
  <c r="C148" i="32"/>
  <c r="C149" i="32"/>
  <c r="C150" i="32"/>
  <c r="C151" i="32"/>
  <c r="C152" i="32"/>
  <c r="C153" i="32"/>
  <c r="C154" i="32"/>
  <c r="C155" i="32"/>
  <c r="C156" i="32"/>
  <c r="C157" i="32"/>
  <c r="C158" i="32"/>
  <c r="C159" i="32"/>
  <c r="C160" i="32"/>
  <c r="C140" i="31"/>
  <c r="C141" i="31"/>
  <c r="C142" i="31"/>
  <c r="C143" i="31"/>
  <c r="C144" i="31"/>
  <c r="C145" i="31"/>
  <c r="C146" i="31"/>
  <c r="C147" i="31"/>
  <c r="C148" i="31"/>
  <c r="C149" i="31"/>
  <c r="C150" i="31"/>
  <c r="C151" i="31"/>
  <c r="C152" i="31"/>
  <c r="C153" i="31"/>
  <c r="C154" i="31"/>
  <c r="C155" i="31"/>
  <c r="C156" i="31"/>
  <c r="C157" i="31"/>
  <c r="C158" i="31"/>
  <c r="C159" i="31"/>
  <c r="C160" i="31"/>
  <c r="C140" i="28"/>
  <c r="C141" i="28"/>
  <c r="C142" i="28"/>
  <c r="C143" i="28"/>
  <c r="C144" i="28"/>
  <c r="C145" i="28"/>
  <c r="C146" i="28"/>
  <c r="C147" i="28"/>
  <c r="C148" i="28"/>
  <c r="C149" i="28"/>
  <c r="C150" i="28"/>
  <c r="C151" i="28"/>
  <c r="C152" i="28"/>
  <c r="C153" i="28"/>
  <c r="C154" i="28"/>
  <c r="C155" i="28"/>
  <c r="C156" i="28"/>
  <c r="C157" i="28"/>
  <c r="C158" i="28"/>
  <c r="C159" i="28"/>
  <c r="C160" i="28"/>
  <c r="C160" i="27"/>
  <c r="C140" i="27"/>
  <c r="C141" i="27"/>
  <c r="C142" i="27"/>
  <c r="C143" i="27"/>
  <c r="C144" i="27"/>
  <c r="C145" i="27"/>
  <c r="C146" i="27"/>
  <c r="C147" i="27"/>
  <c r="C148" i="27"/>
  <c r="C149" i="27"/>
  <c r="C150" i="27"/>
  <c r="C151" i="27"/>
  <c r="C152" i="27"/>
  <c r="C153" i="27"/>
  <c r="C154" i="27"/>
  <c r="C155" i="27"/>
  <c r="C156" i="27"/>
  <c r="C157" i="27"/>
  <c r="C158" i="27"/>
  <c r="C159" i="27"/>
  <c r="C141" i="26"/>
  <c r="C142" i="26"/>
  <c r="C143" i="26"/>
  <c r="C144" i="26"/>
  <c r="C145" i="26"/>
  <c r="C146" i="26"/>
  <c r="C147" i="26"/>
  <c r="C148" i="26"/>
  <c r="C149" i="26"/>
  <c r="C150" i="26"/>
  <c r="C151" i="26"/>
  <c r="C152" i="26"/>
  <c r="C153" i="26"/>
  <c r="C154" i="26"/>
  <c r="C155" i="26"/>
  <c r="C156" i="26"/>
  <c r="C157" i="26"/>
  <c r="C158" i="26"/>
  <c r="C159" i="26"/>
  <c r="C140" i="19"/>
  <c r="C141" i="19"/>
  <c r="C142" i="19"/>
  <c r="C143" i="19"/>
  <c r="C144" i="19"/>
  <c r="C145" i="19"/>
  <c r="C146" i="19"/>
  <c r="C147" i="19"/>
  <c r="C148" i="19"/>
  <c r="C149" i="19"/>
  <c r="C150" i="19"/>
  <c r="C151" i="19"/>
  <c r="C152" i="19"/>
  <c r="C153" i="19"/>
  <c r="C154" i="19"/>
  <c r="C155" i="19"/>
  <c r="C156" i="19"/>
  <c r="C157" i="19"/>
  <c r="C158" i="19"/>
  <c r="C159" i="19"/>
  <c r="C160" i="19"/>
  <c r="C140" i="20"/>
  <c r="C141" i="20"/>
  <c r="C142" i="20"/>
  <c r="C143" i="20"/>
  <c r="C144" i="20"/>
  <c r="C145" i="20"/>
  <c r="C146" i="20"/>
  <c r="C147" i="20"/>
  <c r="C148" i="20"/>
  <c r="C149" i="20"/>
  <c r="C150" i="20"/>
  <c r="C151" i="20"/>
  <c r="C152" i="20"/>
  <c r="C153" i="20"/>
  <c r="C154" i="20"/>
  <c r="C155" i="20"/>
  <c r="C156" i="20"/>
  <c r="C157" i="20"/>
  <c r="C158" i="20"/>
  <c r="C159" i="20"/>
  <c r="C160" i="20"/>
  <c r="C140" i="21"/>
  <c r="C141" i="21"/>
  <c r="C142" i="21"/>
  <c r="C143" i="21"/>
  <c r="C144" i="21"/>
  <c r="C145" i="21"/>
  <c r="C146" i="21"/>
  <c r="C147" i="21"/>
  <c r="C148" i="21"/>
  <c r="C149" i="21"/>
  <c r="C150" i="21"/>
  <c r="C151" i="21"/>
  <c r="C152" i="21"/>
  <c r="C153" i="21"/>
  <c r="C154" i="21"/>
  <c r="C155" i="21"/>
  <c r="C156" i="21"/>
  <c r="C157" i="21"/>
  <c r="C158" i="21"/>
  <c r="C159" i="21"/>
  <c r="C160" i="21"/>
  <c r="C140" i="3"/>
  <c r="C141" i="3"/>
  <c r="C142" i="3"/>
  <c r="C143" i="3"/>
  <c r="C144" i="3"/>
  <c r="C145" i="3"/>
  <c r="C146" i="3"/>
  <c r="C147" i="3"/>
  <c r="C148" i="3"/>
  <c r="C149" i="3"/>
  <c r="C150" i="3"/>
  <c r="C151" i="3"/>
  <c r="C152" i="3"/>
  <c r="C153" i="3"/>
  <c r="C154" i="3"/>
  <c r="C155" i="3"/>
  <c r="C156" i="3"/>
  <c r="C157" i="3"/>
  <c r="C158" i="3"/>
  <c r="C159" i="3"/>
  <c r="C160" i="3"/>
  <c r="C140" i="72"/>
  <c r="C141" i="72"/>
  <c r="C142" i="72"/>
  <c r="C143" i="72"/>
  <c r="C144" i="72"/>
  <c r="C145" i="72"/>
  <c r="C146" i="72"/>
  <c r="C147" i="72"/>
  <c r="C148" i="72"/>
  <c r="C149" i="72"/>
  <c r="C150" i="72"/>
  <c r="C151" i="72"/>
  <c r="C152" i="72"/>
  <c r="C153" i="72"/>
  <c r="C154" i="72"/>
  <c r="C155" i="72"/>
  <c r="C156" i="72"/>
  <c r="C157" i="72"/>
  <c r="C158" i="72"/>
  <c r="C159" i="72"/>
  <c r="C160" i="72"/>
  <c r="C140" i="4"/>
  <c r="C141" i="4"/>
  <c r="C142" i="4"/>
  <c r="C143" i="4"/>
  <c r="C144" i="4"/>
  <c r="C145" i="4"/>
  <c r="C146" i="4"/>
  <c r="C147" i="4"/>
  <c r="C148" i="4"/>
  <c r="C149" i="4"/>
  <c r="C150" i="4"/>
  <c r="C151" i="4"/>
  <c r="C152" i="4"/>
  <c r="C153" i="4"/>
  <c r="C154" i="4"/>
  <c r="C155" i="4"/>
  <c r="C156" i="4"/>
  <c r="C157" i="4"/>
  <c r="C158" i="4"/>
  <c r="C159" i="4"/>
  <c r="C160" i="4"/>
  <c r="J24" i="21"/>
  <c r="J29" i="21"/>
  <c r="J32" i="21"/>
  <c r="J37" i="21"/>
  <c r="J40" i="21"/>
  <c r="J45" i="21"/>
  <c r="J48" i="21"/>
  <c r="J53" i="21"/>
  <c r="J56" i="21"/>
  <c r="J61" i="21"/>
  <c r="J64" i="21"/>
  <c r="J69" i="21"/>
  <c r="J72" i="21"/>
  <c r="J77" i="21"/>
  <c r="J80" i="21"/>
  <c r="J85" i="21"/>
  <c r="J88" i="21"/>
  <c r="J93" i="21"/>
  <c r="J96" i="21"/>
  <c r="J101" i="21"/>
  <c r="J104" i="21"/>
  <c r="J109" i="21"/>
  <c r="J112" i="21"/>
  <c r="J117" i="21"/>
  <c r="J120" i="21"/>
  <c r="J125" i="21"/>
  <c r="J128" i="21"/>
  <c r="J133" i="21"/>
  <c r="J136" i="21"/>
  <c r="I18" i="21"/>
  <c r="J18" i="21" s="1"/>
  <c r="I19" i="21"/>
  <c r="J19" i="21" s="1"/>
  <c r="I20" i="21"/>
  <c r="J20" i="21" s="1"/>
  <c r="I21" i="21"/>
  <c r="J21" i="21" s="1"/>
  <c r="I22" i="21"/>
  <c r="J22" i="21" s="1"/>
  <c r="I23" i="21"/>
  <c r="J23" i="21" s="1"/>
  <c r="I24" i="21"/>
  <c r="I25" i="21"/>
  <c r="J25" i="21" s="1"/>
  <c r="I26" i="21"/>
  <c r="J26" i="21" s="1"/>
  <c r="I27" i="21"/>
  <c r="J27" i="21" s="1"/>
  <c r="I28" i="21"/>
  <c r="J28" i="21" s="1"/>
  <c r="I29" i="21"/>
  <c r="I30" i="21"/>
  <c r="J30" i="21" s="1"/>
  <c r="I31" i="21"/>
  <c r="J31" i="21" s="1"/>
  <c r="I32" i="21"/>
  <c r="I33" i="21"/>
  <c r="J33" i="21" s="1"/>
  <c r="I34" i="21"/>
  <c r="J34" i="21" s="1"/>
  <c r="I35" i="21"/>
  <c r="J35" i="21" s="1"/>
  <c r="I36" i="21"/>
  <c r="J36" i="21" s="1"/>
  <c r="I37" i="21"/>
  <c r="I38" i="21"/>
  <c r="J38" i="21" s="1"/>
  <c r="I39" i="21"/>
  <c r="J39" i="21" s="1"/>
  <c r="I40" i="21"/>
  <c r="I41" i="21"/>
  <c r="J41" i="21" s="1"/>
  <c r="I42" i="21"/>
  <c r="J42" i="21" s="1"/>
  <c r="I43" i="21"/>
  <c r="J43" i="21" s="1"/>
  <c r="I44" i="21"/>
  <c r="J44" i="21" s="1"/>
  <c r="I45" i="21"/>
  <c r="I46" i="21"/>
  <c r="J46" i="21" s="1"/>
  <c r="I47" i="21"/>
  <c r="I48" i="21"/>
  <c r="I49" i="21"/>
  <c r="J49" i="21" s="1"/>
  <c r="I50" i="21"/>
  <c r="J50" i="21" s="1"/>
  <c r="I51" i="21"/>
  <c r="J51" i="21" s="1"/>
  <c r="I52" i="21"/>
  <c r="J52" i="21" s="1"/>
  <c r="I53" i="21"/>
  <c r="I54" i="21"/>
  <c r="J54" i="21" s="1"/>
  <c r="I55" i="21"/>
  <c r="J55" i="21" s="1"/>
  <c r="I56" i="21"/>
  <c r="I57" i="21"/>
  <c r="J57" i="21" s="1"/>
  <c r="I58" i="21"/>
  <c r="J58" i="21" s="1"/>
  <c r="I59" i="21"/>
  <c r="J59" i="21" s="1"/>
  <c r="I60" i="21"/>
  <c r="J60" i="21" s="1"/>
  <c r="I61" i="21"/>
  <c r="I62" i="21"/>
  <c r="J62" i="21" s="1"/>
  <c r="I63" i="21"/>
  <c r="J63" i="21" s="1"/>
  <c r="I64" i="21"/>
  <c r="I65" i="21"/>
  <c r="J65" i="21" s="1"/>
  <c r="I66" i="21"/>
  <c r="J66" i="21" s="1"/>
  <c r="I67" i="21"/>
  <c r="J67" i="21" s="1"/>
  <c r="I68" i="21"/>
  <c r="J68" i="21" s="1"/>
  <c r="I69" i="21"/>
  <c r="I70" i="21"/>
  <c r="J70" i="21" s="1"/>
  <c r="I71" i="21"/>
  <c r="J71" i="21" s="1"/>
  <c r="I72" i="21"/>
  <c r="I73" i="21"/>
  <c r="J73" i="21" s="1"/>
  <c r="I74" i="21"/>
  <c r="J74" i="21" s="1"/>
  <c r="I75" i="21"/>
  <c r="J75" i="21" s="1"/>
  <c r="I76" i="21"/>
  <c r="J76" i="21" s="1"/>
  <c r="I77" i="21"/>
  <c r="I78" i="21"/>
  <c r="J78" i="21" s="1"/>
  <c r="I79" i="21"/>
  <c r="J79" i="21" s="1"/>
  <c r="I80" i="21"/>
  <c r="I81" i="21"/>
  <c r="J81" i="21" s="1"/>
  <c r="I82" i="21"/>
  <c r="J82" i="21" s="1"/>
  <c r="I83" i="21"/>
  <c r="J83" i="21" s="1"/>
  <c r="I84" i="21"/>
  <c r="J84" i="21" s="1"/>
  <c r="I85" i="21"/>
  <c r="I86" i="21"/>
  <c r="J86" i="21" s="1"/>
  <c r="I87" i="21"/>
  <c r="J87" i="21" s="1"/>
  <c r="I88" i="21"/>
  <c r="I89" i="21"/>
  <c r="J89" i="21" s="1"/>
  <c r="I90" i="21"/>
  <c r="J90" i="21" s="1"/>
  <c r="I91" i="21"/>
  <c r="J91" i="21" s="1"/>
  <c r="I92" i="21"/>
  <c r="J92" i="21" s="1"/>
  <c r="I93" i="21"/>
  <c r="I94" i="21"/>
  <c r="J94" i="21" s="1"/>
  <c r="I95" i="21"/>
  <c r="J95" i="21" s="1"/>
  <c r="I96" i="21"/>
  <c r="I97" i="21"/>
  <c r="J97" i="21" s="1"/>
  <c r="I98" i="21"/>
  <c r="J98" i="21" s="1"/>
  <c r="I99" i="21"/>
  <c r="J99" i="21" s="1"/>
  <c r="I100" i="21"/>
  <c r="J100" i="21" s="1"/>
  <c r="I101" i="21"/>
  <c r="I102" i="21"/>
  <c r="J102" i="21" s="1"/>
  <c r="I103" i="21"/>
  <c r="J103" i="21" s="1"/>
  <c r="I104" i="21"/>
  <c r="I105" i="21"/>
  <c r="J105" i="21" s="1"/>
  <c r="I106" i="21"/>
  <c r="J106" i="21" s="1"/>
  <c r="I107" i="21"/>
  <c r="J107" i="21" s="1"/>
  <c r="I108" i="21"/>
  <c r="J108" i="21" s="1"/>
  <c r="I109" i="21"/>
  <c r="I110" i="21"/>
  <c r="J110" i="21" s="1"/>
  <c r="I111" i="21"/>
  <c r="J111" i="21" s="1"/>
  <c r="I112" i="21"/>
  <c r="I113" i="21"/>
  <c r="J113" i="21" s="1"/>
  <c r="I114" i="21"/>
  <c r="J114" i="21" s="1"/>
  <c r="I115" i="21"/>
  <c r="J115" i="21" s="1"/>
  <c r="I116" i="21"/>
  <c r="J116" i="21" s="1"/>
  <c r="I117" i="21"/>
  <c r="I118" i="21"/>
  <c r="J118" i="21" s="1"/>
  <c r="I119" i="21"/>
  <c r="J119" i="21" s="1"/>
  <c r="I120" i="21"/>
  <c r="I121" i="21"/>
  <c r="J121" i="21" s="1"/>
  <c r="I122" i="21"/>
  <c r="J122" i="21" s="1"/>
  <c r="I123" i="21"/>
  <c r="J123" i="21" s="1"/>
  <c r="I124" i="21"/>
  <c r="J124" i="21" s="1"/>
  <c r="I125" i="21"/>
  <c r="I126" i="21"/>
  <c r="J126" i="21" s="1"/>
  <c r="I127" i="21"/>
  <c r="J127" i="21" s="1"/>
  <c r="I128" i="21"/>
  <c r="I129" i="21"/>
  <c r="J129" i="21" s="1"/>
  <c r="I130" i="21"/>
  <c r="J130" i="21" s="1"/>
  <c r="I131" i="21"/>
  <c r="J131" i="21" s="1"/>
  <c r="I132" i="21"/>
  <c r="J132" i="21" s="1"/>
  <c r="I133" i="21"/>
  <c r="I134" i="21"/>
  <c r="J134" i="21" s="1"/>
  <c r="I135" i="21"/>
  <c r="J135" i="21" s="1"/>
  <c r="I136" i="21"/>
  <c r="I137" i="21"/>
  <c r="J137" i="21" s="1"/>
  <c r="I138" i="21"/>
  <c r="J138" i="21" s="1"/>
  <c r="I139" i="21"/>
  <c r="J139" i="21" s="1"/>
  <c r="G19" i="21"/>
  <c r="G21" i="21"/>
  <c r="G24" i="21"/>
  <c r="G27" i="21"/>
  <c r="G29" i="21"/>
  <c r="G32" i="21"/>
  <c r="G35" i="21"/>
  <c r="G37" i="21"/>
  <c r="G40" i="21"/>
  <c r="G43" i="21"/>
  <c r="G45" i="21"/>
  <c r="G48" i="21"/>
  <c r="G51" i="21"/>
  <c r="G53" i="21"/>
  <c r="G56" i="21"/>
  <c r="G59" i="21"/>
  <c r="G61" i="21"/>
  <c r="G64" i="21"/>
  <c r="G67" i="21"/>
  <c r="G69" i="21"/>
  <c r="G72" i="21"/>
  <c r="G75" i="21"/>
  <c r="G77" i="21"/>
  <c r="G80" i="21"/>
  <c r="G83" i="21"/>
  <c r="G85" i="21"/>
  <c r="G88" i="21"/>
  <c r="G91" i="21"/>
  <c r="G93" i="21"/>
  <c r="G96" i="21"/>
  <c r="G99" i="21"/>
  <c r="G101" i="21"/>
  <c r="G104" i="21"/>
  <c r="G107" i="21"/>
  <c r="G109" i="21"/>
  <c r="G112" i="21"/>
  <c r="G115" i="21"/>
  <c r="G117" i="21"/>
  <c r="G120" i="21"/>
  <c r="G123" i="21"/>
  <c r="G125" i="21"/>
  <c r="G128" i="21"/>
  <c r="G131" i="21"/>
  <c r="G133" i="21"/>
  <c r="G136" i="21"/>
  <c r="F18" i="21"/>
  <c r="G18" i="21" s="1"/>
  <c r="F19" i="21"/>
  <c r="F20" i="21"/>
  <c r="G20" i="21" s="1"/>
  <c r="F21" i="21"/>
  <c r="F22" i="21"/>
  <c r="G22" i="21" s="1"/>
  <c r="F23" i="21"/>
  <c r="G23" i="21" s="1"/>
  <c r="F24" i="21"/>
  <c r="F25" i="21"/>
  <c r="G25" i="21" s="1"/>
  <c r="F26" i="21"/>
  <c r="G26" i="21" s="1"/>
  <c r="F27" i="21"/>
  <c r="F28" i="21"/>
  <c r="G28" i="21" s="1"/>
  <c r="F29" i="21"/>
  <c r="F30" i="21"/>
  <c r="G30" i="21" s="1"/>
  <c r="F31" i="21"/>
  <c r="G31" i="21" s="1"/>
  <c r="F32" i="21"/>
  <c r="F33" i="21"/>
  <c r="G33" i="21" s="1"/>
  <c r="F34" i="21"/>
  <c r="G34" i="21" s="1"/>
  <c r="F35" i="21"/>
  <c r="F36" i="21"/>
  <c r="G36" i="21" s="1"/>
  <c r="F37" i="21"/>
  <c r="F38" i="21"/>
  <c r="G38" i="21" s="1"/>
  <c r="F39" i="21"/>
  <c r="G39" i="21" s="1"/>
  <c r="F40" i="21"/>
  <c r="F41" i="21"/>
  <c r="G41" i="21" s="1"/>
  <c r="F42" i="21"/>
  <c r="G42" i="21" s="1"/>
  <c r="F43" i="21"/>
  <c r="F44" i="21"/>
  <c r="G44" i="21" s="1"/>
  <c r="F45" i="21"/>
  <c r="F46" i="21"/>
  <c r="G46" i="21" s="1"/>
  <c r="F47" i="21"/>
  <c r="G47" i="21" s="1"/>
  <c r="F48" i="21"/>
  <c r="F49" i="21"/>
  <c r="G49" i="21" s="1"/>
  <c r="F50" i="21"/>
  <c r="G50" i="21" s="1"/>
  <c r="F51" i="21"/>
  <c r="F52" i="21"/>
  <c r="G52" i="21" s="1"/>
  <c r="F53" i="21"/>
  <c r="F54" i="21"/>
  <c r="G54" i="21" s="1"/>
  <c r="F55" i="21"/>
  <c r="G55" i="21" s="1"/>
  <c r="F56" i="21"/>
  <c r="F57" i="21"/>
  <c r="G57" i="21" s="1"/>
  <c r="F58" i="21"/>
  <c r="G58" i="21" s="1"/>
  <c r="F59" i="21"/>
  <c r="F60" i="21"/>
  <c r="G60" i="21" s="1"/>
  <c r="F61" i="21"/>
  <c r="F62" i="21"/>
  <c r="G62" i="21" s="1"/>
  <c r="F63" i="21"/>
  <c r="G63" i="21" s="1"/>
  <c r="F64" i="21"/>
  <c r="F65" i="21"/>
  <c r="G65" i="21" s="1"/>
  <c r="F66" i="21"/>
  <c r="G66" i="21" s="1"/>
  <c r="F67" i="21"/>
  <c r="F68" i="21"/>
  <c r="G68" i="21" s="1"/>
  <c r="F69" i="21"/>
  <c r="F70" i="21"/>
  <c r="G70" i="21" s="1"/>
  <c r="F71" i="21"/>
  <c r="G71" i="21" s="1"/>
  <c r="F72" i="21"/>
  <c r="F73" i="21"/>
  <c r="G73" i="21" s="1"/>
  <c r="F74" i="21"/>
  <c r="G74" i="21" s="1"/>
  <c r="F75" i="21"/>
  <c r="F76" i="21"/>
  <c r="G76" i="21" s="1"/>
  <c r="F77" i="21"/>
  <c r="F78" i="21"/>
  <c r="G78" i="21" s="1"/>
  <c r="F79" i="21"/>
  <c r="G79" i="21" s="1"/>
  <c r="F80" i="21"/>
  <c r="F81" i="21"/>
  <c r="G81" i="21" s="1"/>
  <c r="F82" i="21"/>
  <c r="G82" i="21" s="1"/>
  <c r="F83" i="21"/>
  <c r="F84" i="21"/>
  <c r="G84" i="21" s="1"/>
  <c r="F85" i="21"/>
  <c r="F86" i="21"/>
  <c r="G86" i="21" s="1"/>
  <c r="F87" i="21"/>
  <c r="G87" i="21" s="1"/>
  <c r="F88" i="21"/>
  <c r="F89" i="21"/>
  <c r="G89" i="21" s="1"/>
  <c r="F90" i="21"/>
  <c r="G90" i="21" s="1"/>
  <c r="F91" i="21"/>
  <c r="F92" i="21"/>
  <c r="G92" i="21" s="1"/>
  <c r="F93" i="21"/>
  <c r="F94" i="21"/>
  <c r="G94" i="21" s="1"/>
  <c r="F95" i="21"/>
  <c r="G95" i="21" s="1"/>
  <c r="F96" i="21"/>
  <c r="F97" i="21"/>
  <c r="G97" i="21" s="1"/>
  <c r="F98" i="21"/>
  <c r="G98" i="21" s="1"/>
  <c r="F99" i="21"/>
  <c r="F100" i="21"/>
  <c r="G100" i="21" s="1"/>
  <c r="F101" i="21"/>
  <c r="F102" i="21"/>
  <c r="G102" i="21" s="1"/>
  <c r="F103" i="21"/>
  <c r="G103" i="21" s="1"/>
  <c r="F104" i="21"/>
  <c r="F105" i="21"/>
  <c r="G105" i="21" s="1"/>
  <c r="F106" i="21"/>
  <c r="G106" i="21" s="1"/>
  <c r="F107" i="21"/>
  <c r="F108" i="21"/>
  <c r="G108" i="21" s="1"/>
  <c r="F109" i="21"/>
  <c r="F110" i="21"/>
  <c r="G110" i="21" s="1"/>
  <c r="F111" i="21"/>
  <c r="G111" i="21" s="1"/>
  <c r="F112" i="21"/>
  <c r="F113" i="21"/>
  <c r="G113" i="21" s="1"/>
  <c r="F114" i="21"/>
  <c r="G114" i="21" s="1"/>
  <c r="F115" i="21"/>
  <c r="F116" i="21"/>
  <c r="G116" i="21" s="1"/>
  <c r="F117" i="21"/>
  <c r="F118" i="21"/>
  <c r="G118" i="21" s="1"/>
  <c r="F119" i="21"/>
  <c r="G119" i="21" s="1"/>
  <c r="F120" i="21"/>
  <c r="F121" i="21"/>
  <c r="G121" i="21" s="1"/>
  <c r="F122" i="21"/>
  <c r="G122" i="21" s="1"/>
  <c r="F123" i="21"/>
  <c r="F124" i="21"/>
  <c r="G124" i="21" s="1"/>
  <c r="F125" i="21"/>
  <c r="F126" i="21"/>
  <c r="G126" i="21" s="1"/>
  <c r="F127" i="21"/>
  <c r="G127" i="21" s="1"/>
  <c r="F128" i="21"/>
  <c r="F129" i="21"/>
  <c r="G129" i="21" s="1"/>
  <c r="F130" i="21"/>
  <c r="G130" i="21" s="1"/>
  <c r="F131" i="21"/>
  <c r="F132" i="21"/>
  <c r="G132" i="21" s="1"/>
  <c r="F133" i="21"/>
  <c r="F134" i="21"/>
  <c r="G134" i="21" s="1"/>
  <c r="F135" i="21"/>
  <c r="G135" i="21" s="1"/>
  <c r="F136" i="21"/>
  <c r="F137" i="21"/>
  <c r="G137" i="21" s="1"/>
  <c r="F138" i="21"/>
  <c r="G138" i="21" s="1"/>
  <c r="F139" i="21"/>
  <c r="G139" i="21" s="1"/>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3" i="72"/>
  <c r="C94" i="72"/>
  <c r="C95" i="72"/>
  <c r="C96" i="72"/>
  <c r="C97" i="72"/>
  <c r="C98" i="72"/>
  <c r="C99" i="72"/>
  <c r="C100" i="72"/>
  <c r="C101" i="72"/>
  <c r="C102" i="72"/>
  <c r="C103" i="72"/>
  <c r="C104" i="72"/>
  <c r="C105" i="72"/>
  <c r="C106" i="72"/>
  <c r="C107" i="72"/>
  <c r="C108" i="72"/>
  <c r="C109" i="72"/>
  <c r="C110" i="72"/>
  <c r="C111" i="72"/>
  <c r="C112" i="72"/>
  <c r="C113" i="72"/>
  <c r="C114" i="72"/>
  <c r="C115" i="72"/>
  <c r="C116" i="72"/>
  <c r="C117" i="72"/>
  <c r="C118" i="72"/>
  <c r="C119" i="72"/>
  <c r="C120" i="72"/>
  <c r="C121" i="72"/>
  <c r="C122" i="72"/>
  <c r="C123" i="72"/>
  <c r="C124" i="72"/>
  <c r="C125" i="72"/>
  <c r="C126" i="72"/>
  <c r="C127" i="72"/>
  <c r="C128" i="72"/>
  <c r="C129" i="72"/>
  <c r="C130" i="72"/>
  <c r="C131" i="72"/>
  <c r="C132" i="72"/>
  <c r="C133" i="72"/>
  <c r="C134" i="72"/>
  <c r="C135" i="72"/>
  <c r="C136" i="72"/>
  <c r="C137" i="72"/>
  <c r="C138" i="72"/>
  <c r="C139" i="72"/>
  <c r="C4" i="3"/>
  <c r="C4" i="4"/>
  <c r="C4" i="21"/>
  <c r="C4" i="20"/>
  <c r="C4" i="19"/>
  <c r="C4" i="26"/>
  <c r="C4" i="27"/>
  <c r="C4" i="28"/>
  <c r="C4" i="31"/>
  <c r="C4" i="32"/>
  <c r="C4" i="33"/>
  <c r="C4" i="72"/>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4" i="30"/>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8" i="29"/>
  <c r="C4"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4" i="34"/>
  <c r="F138" i="4"/>
  <c r="G138" i="4" s="1"/>
  <c r="I138" i="4"/>
  <c r="J138" i="4" s="1"/>
  <c r="F139" i="4"/>
  <c r="D138" i="1"/>
  <c r="I138" i="1"/>
  <c r="H2" i="4"/>
  <c r="E2" i="4"/>
  <c r="D2" i="4"/>
  <c r="E18" i="18"/>
  <c r="E19" i="18"/>
  <c r="E20" i="18"/>
  <c r="E21" i="18"/>
  <c r="E22" i="18"/>
  <c r="E23" i="18"/>
  <c r="E24" i="18"/>
  <c r="E24" i="34" s="1"/>
  <c r="E25" i="18"/>
  <c r="E26" i="18"/>
  <c r="E27" i="18"/>
  <c r="E28" i="18"/>
  <c r="E29" i="18"/>
  <c r="E30" i="18"/>
  <c r="E31" i="18"/>
  <c r="E32" i="18"/>
  <c r="E33" i="18"/>
  <c r="E33" i="34" s="1"/>
  <c r="E34" i="18"/>
  <c r="E35" i="18"/>
  <c r="E36" i="18"/>
  <c r="E36" i="34" s="1"/>
  <c r="E37" i="18"/>
  <c r="E38" i="18"/>
  <c r="E38" i="34" s="1"/>
  <c r="E39" i="18"/>
  <c r="E40" i="18"/>
  <c r="E41" i="18"/>
  <c r="E41" i="34" s="1"/>
  <c r="E42" i="18"/>
  <c r="E43" i="18"/>
  <c r="E44" i="18"/>
  <c r="E45" i="18"/>
  <c r="E46" i="18"/>
  <c r="E47" i="18"/>
  <c r="E48" i="18"/>
  <c r="E49" i="18"/>
  <c r="E50" i="18"/>
  <c r="E51" i="18"/>
  <c r="E52" i="18"/>
  <c r="E53" i="18"/>
  <c r="E54" i="18"/>
  <c r="E55" i="18"/>
  <c r="E55" i="34" s="1"/>
  <c r="E56" i="18"/>
  <c r="E57" i="18"/>
  <c r="E58" i="18"/>
  <c r="E59" i="18"/>
  <c r="E60" i="18"/>
  <c r="E60" i="34" s="1"/>
  <c r="E61" i="18"/>
  <c r="E62" i="18"/>
  <c r="E63" i="18"/>
  <c r="E63" i="34" s="1"/>
  <c r="E64" i="18"/>
  <c r="E65" i="18"/>
  <c r="E66" i="18"/>
  <c r="E67" i="18"/>
  <c r="E68" i="18"/>
  <c r="E69" i="18"/>
  <c r="E70" i="18"/>
  <c r="E71" i="18"/>
  <c r="E72" i="18"/>
  <c r="E72" i="34" s="1"/>
  <c r="E73" i="18"/>
  <c r="E74" i="18"/>
  <c r="E76" i="18"/>
  <c r="E77" i="18"/>
  <c r="E78" i="18"/>
  <c r="E79" i="18"/>
  <c r="E80" i="18"/>
  <c r="E80" i="34" s="1"/>
  <c r="E81" i="18"/>
  <c r="E82" i="18"/>
  <c r="E83" i="18"/>
  <c r="E84" i="18"/>
  <c r="E84" i="34" s="1"/>
  <c r="E85" i="18"/>
  <c r="E86" i="18"/>
  <c r="E87" i="18"/>
  <c r="E88" i="18"/>
  <c r="E88" i="34" s="1"/>
  <c r="E89" i="18"/>
  <c r="E90" i="18"/>
  <c r="E91" i="18"/>
  <c r="E92" i="18"/>
  <c r="E92" i="34" s="1"/>
  <c r="E93" i="18"/>
  <c r="E94" i="18"/>
  <c r="E94" i="34" s="1"/>
  <c r="E95" i="18"/>
  <c r="E96" i="18"/>
  <c r="E96" i="34" s="1"/>
  <c r="E97" i="18"/>
  <c r="E98" i="18"/>
  <c r="E99" i="18"/>
  <c r="E100" i="18"/>
  <c r="E101" i="18"/>
  <c r="E102" i="18"/>
  <c r="E103" i="18"/>
  <c r="E104" i="18"/>
  <c r="E105" i="18"/>
  <c r="E106" i="18"/>
  <c r="E107" i="18"/>
  <c r="E108" i="18"/>
  <c r="E109" i="18"/>
  <c r="E110" i="18"/>
  <c r="E111" i="18"/>
  <c r="E111" i="34" s="1"/>
  <c r="E112" i="18"/>
  <c r="E112" i="34" s="1"/>
  <c r="E113" i="18"/>
  <c r="E114" i="18"/>
  <c r="E115" i="18"/>
  <c r="E116" i="18"/>
  <c r="E117" i="18"/>
  <c r="E118" i="18"/>
  <c r="E118" i="34" s="1"/>
  <c r="E119" i="18"/>
  <c r="E120" i="18"/>
  <c r="E121" i="18"/>
  <c r="E122" i="18"/>
  <c r="E123" i="18"/>
  <c r="E124" i="18"/>
  <c r="E125" i="18"/>
  <c r="E126" i="18"/>
  <c r="E127" i="18"/>
  <c r="E128" i="18"/>
  <c r="E129" i="18"/>
  <c r="E130" i="18"/>
  <c r="E131" i="18"/>
  <c r="E132" i="18"/>
  <c r="E133" i="18"/>
  <c r="E134" i="18"/>
  <c r="E135" i="18"/>
  <c r="E136" i="18"/>
  <c r="E136" i="34" s="1"/>
  <c r="E137" i="18"/>
  <c r="D18" i="18"/>
  <c r="F18" i="18" s="1"/>
  <c r="G18" i="18" s="1"/>
  <c r="D19" i="18"/>
  <c r="D20" i="18"/>
  <c r="D21" i="18"/>
  <c r="D22" i="18"/>
  <c r="D23" i="18"/>
  <c r="D24" i="18"/>
  <c r="D25" i="18"/>
  <c r="D26" i="18"/>
  <c r="F26" i="18" s="1"/>
  <c r="G26" i="18" s="1"/>
  <c r="D27" i="18"/>
  <c r="F27" i="18" s="1"/>
  <c r="G27" i="18" s="1"/>
  <c r="D28" i="18"/>
  <c r="D29" i="18"/>
  <c r="D30" i="18"/>
  <c r="D31" i="18"/>
  <c r="D32" i="18"/>
  <c r="D33" i="18"/>
  <c r="F33" i="18" s="1"/>
  <c r="G33" i="18" s="1"/>
  <c r="D34" i="18"/>
  <c r="F34" i="18" s="1"/>
  <c r="G34" i="18" s="1"/>
  <c r="D35" i="18"/>
  <c r="F35" i="18" s="1"/>
  <c r="G35" i="18" s="1"/>
  <c r="D36" i="18"/>
  <c r="D37" i="18"/>
  <c r="D38" i="18"/>
  <c r="D39" i="18"/>
  <c r="D40" i="18"/>
  <c r="D41" i="18"/>
  <c r="D42" i="18"/>
  <c r="F42" i="18" s="1"/>
  <c r="G42" i="18" s="1"/>
  <c r="D43" i="18"/>
  <c r="D44" i="18"/>
  <c r="D45" i="18"/>
  <c r="D46" i="18"/>
  <c r="D47" i="18"/>
  <c r="D48" i="18"/>
  <c r="D49" i="18"/>
  <c r="F49" i="18" s="1"/>
  <c r="G49" i="18" s="1"/>
  <c r="D50" i="18"/>
  <c r="F50" i="18" s="1"/>
  <c r="G50" i="18" s="1"/>
  <c r="D51" i="18"/>
  <c r="D52" i="18"/>
  <c r="D53" i="18"/>
  <c r="D54" i="18"/>
  <c r="D55" i="18"/>
  <c r="D56" i="18"/>
  <c r="D57" i="18"/>
  <c r="F57" i="18" s="1"/>
  <c r="G57" i="18" s="1"/>
  <c r="D58" i="18"/>
  <c r="F58" i="18" s="1"/>
  <c r="G58" i="18" s="1"/>
  <c r="D59" i="18"/>
  <c r="F59" i="18" s="1"/>
  <c r="G59" i="18" s="1"/>
  <c r="D60" i="18"/>
  <c r="D61" i="18"/>
  <c r="D62" i="18"/>
  <c r="D63" i="18"/>
  <c r="D64" i="18"/>
  <c r="D65" i="18"/>
  <c r="F65" i="18" s="1"/>
  <c r="G65" i="18" s="1"/>
  <c r="D66" i="18"/>
  <c r="D67" i="18"/>
  <c r="D68" i="18"/>
  <c r="D69" i="18"/>
  <c r="D70" i="18"/>
  <c r="D71" i="18"/>
  <c r="D72" i="18"/>
  <c r="D73" i="18"/>
  <c r="F73" i="18" s="1"/>
  <c r="G73" i="18" s="1"/>
  <c r="D74" i="18"/>
  <c r="F74" i="18" s="1"/>
  <c r="G74" i="18" s="1"/>
  <c r="D75" i="18"/>
  <c r="D76" i="18"/>
  <c r="D77" i="18"/>
  <c r="D78" i="18"/>
  <c r="D79" i="18"/>
  <c r="D80" i="18"/>
  <c r="D81" i="18"/>
  <c r="D82" i="18"/>
  <c r="D83" i="18"/>
  <c r="D84" i="18"/>
  <c r="D85" i="18"/>
  <c r="D86" i="18"/>
  <c r="D87" i="18"/>
  <c r="D88" i="18"/>
  <c r="D89" i="18"/>
  <c r="D90" i="18"/>
  <c r="D91" i="18"/>
  <c r="D92" i="18"/>
  <c r="D93" i="18"/>
  <c r="D94" i="18"/>
  <c r="F94" i="18" s="1"/>
  <c r="G94" i="18" s="1"/>
  <c r="D95" i="18"/>
  <c r="F95" i="18" s="1"/>
  <c r="G95" i="18" s="1"/>
  <c r="D96" i="18"/>
  <c r="F96" i="18" s="1"/>
  <c r="G96" i="18" s="1"/>
  <c r="D97" i="18"/>
  <c r="F97" i="18" s="1"/>
  <c r="G97" i="18" s="1"/>
  <c r="D98" i="18"/>
  <c r="D99" i="18"/>
  <c r="D100" i="18"/>
  <c r="D101" i="18"/>
  <c r="D102" i="18"/>
  <c r="D103" i="18"/>
  <c r="F103" i="18" s="1"/>
  <c r="G103" i="18" s="1"/>
  <c r="D104" i="18"/>
  <c r="D105" i="18"/>
  <c r="F105" i="18" s="1"/>
  <c r="G105" i="18" s="1"/>
  <c r="D106" i="18"/>
  <c r="F106" i="18" s="1"/>
  <c r="G106" i="18" s="1"/>
  <c r="D107" i="18"/>
  <c r="D108" i="18"/>
  <c r="D109" i="18"/>
  <c r="F109" i="18" s="1"/>
  <c r="G109" i="18" s="1"/>
  <c r="D110" i="18"/>
  <c r="D111" i="18"/>
  <c r="D112" i="18"/>
  <c r="D113" i="18"/>
  <c r="D114" i="18"/>
  <c r="D115" i="18"/>
  <c r="D116" i="18"/>
  <c r="D117" i="18"/>
  <c r="D118" i="18"/>
  <c r="D119" i="18"/>
  <c r="F119" i="18" s="1"/>
  <c r="G119" i="18" s="1"/>
  <c r="D120" i="18"/>
  <c r="D121" i="18"/>
  <c r="F121" i="18" s="1"/>
  <c r="G121" i="18" s="1"/>
  <c r="D122" i="18"/>
  <c r="D123" i="18"/>
  <c r="F123" i="18" s="1"/>
  <c r="G123" i="18" s="1"/>
  <c r="D124" i="18"/>
  <c r="D125" i="18"/>
  <c r="D126" i="18"/>
  <c r="D127" i="18"/>
  <c r="D128" i="18"/>
  <c r="D129" i="18"/>
  <c r="D130" i="18"/>
  <c r="D131" i="18"/>
  <c r="D132" i="18"/>
  <c r="D133" i="18"/>
  <c r="D134" i="18"/>
  <c r="D135" i="18"/>
  <c r="D136" i="18"/>
  <c r="D137" i="18"/>
  <c r="I18" i="4"/>
  <c r="J18" i="4" s="1"/>
  <c r="I19" i="4"/>
  <c r="J19" i="4" s="1"/>
  <c r="I20" i="4"/>
  <c r="J20" i="4" s="1"/>
  <c r="I21" i="4"/>
  <c r="J21" i="4" s="1"/>
  <c r="I22" i="4"/>
  <c r="J22" i="4" s="1"/>
  <c r="I23" i="4"/>
  <c r="J23" i="4" s="1"/>
  <c r="I24" i="4"/>
  <c r="J24" i="4" s="1"/>
  <c r="I25" i="4"/>
  <c r="J25" i="4" s="1"/>
  <c r="I26" i="4"/>
  <c r="J26" i="4"/>
  <c r="I27" i="4"/>
  <c r="J27" i="4" s="1"/>
  <c r="I28" i="4"/>
  <c r="J28" i="4" s="1"/>
  <c r="I29" i="4"/>
  <c r="J29" i="4" s="1"/>
  <c r="I30" i="4"/>
  <c r="J30" i="4" s="1"/>
  <c r="I31" i="4"/>
  <c r="J31" i="4" s="1"/>
  <c r="I32" i="4"/>
  <c r="J32" i="4" s="1"/>
  <c r="I33" i="4"/>
  <c r="J33" i="4" s="1"/>
  <c r="I34" i="4"/>
  <c r="J34" i="4" s="1"/>
  <c r="I35" i="4"/>
  <c r="J35" i="4" s="1"/>
  <c r="I36" i="4"/>
  <c r="J36" i="4" s="1"/>
  <c r="I37" i="4"/>
  <c r="J37" i="4" s="1"/>
  <c r="I38" i="4"/>
  <c r="J38" i="4" s="1"/>
  <c r="I39" i="4"/>
  <c r="J39" i="4" s="1"/>
  <c r="I40" i="4"/>
  <c r="J40" i="4" s="1"/>
  <c r="I41" i="4"/>
  <c r="J41" i="4" s="1"/>
  <c r="I42" i="4"/>
  <c r="J42" i="4" s="1"/>
  <c r="I43" i="4"/>
  <c r="J43" i="4" s="1"/>
  <c r="I44" i="4"/>
  <c r="J44" i="4" s="1"/>
  <c r="I45" i="4"/>
  <c r="J45" i="4"/>
  <c r="I46" i="4"/>
  <c r="J46" i="4" s="1"/>
  <c r="I47" i="4"/>
  <c r="J47" i="4" s="1"/>
  <c r="I48" i="4"/>
  <c r="J48" i="4" s="1"/>
  <c r="I49" i="4"/>
  <c r="J49" i="4"/>
  <c r="I50" i="4"/>
  <c r="J50" i="4"/>
  <c r="I51" i="4"/>
  <c r="J51" i="4" s="1"/>
  <c r="I52" i="4"/>
  <c r="J52" i="4"/>
  <c r="I53" i="4"/>
  <c r="J53" i="4" s="1"/>
  <c r="I54" i="4"/>
  <c r="J54" i="4"/>
  <c r="I55" i="4"/>
  <c r="J55" i="4" s="1"/>
  <c r="I56" i="4"/>
  <c r="J56" i="4" s="1"/>
  <c r="I57" i="4"/>
  <c r="J57" i="4" s="1"/>
  <c r="I58" i="4"/>
  <c r="J58" i="4"/>
  <c r="I59" i="4"/>
  <c r="J59" i="4" s="1"/>
  <c r="I60" i="4"/>
  <c r="J60" i="4" s="1"/>
  <c r="I61" i="4"/>
  <c r="J61" i="4" s="1"/>
  <c r="I62" i="4"/>
  <c r="J62" i="4"/>
  <c r="I63" i="4"/>
  <c r="J63" i="4" s="1"/>
  <c r="I64" i="4"/>
  <c r="J64" i="4" s="1"/>
  <c r="I65" i="4"/>
  <c r="J65" i="4" s="1"/>
  <c r="I66" i="4"/>
  <c r="J66" i="4" s="1"/>
  <c r="I67" i="4"/>
  <c r="J67" i="4" s="1"/>
  <c r="I68" i="4"/>
  <c r="J68" i="4"/>
  <c r="I69" i="4"/>
  <c r="J69" i="4" s="1"/>
  <c r="I70" i="4"/>
  <c r="J70" i="4" s="1"/>
  <c r="I71" i="4"/>
  <c r="J71" i="4" s="1"/>
  <c r="I72" i="4"/>
  <c r="J72" i="4" s="1"/>
  <c r="I73" i="4"/>
  <c r="J73" i="4"/>
  <c r="I74" i="4"/>
  <c r="J74" i="4" s="1"/>
  <c r="I75" i="4"/>
  <c r="J75" i="4" s="1"/>
  <c r="I76" i="4"/>
  <c r="J76" i="4" s="1"/>
  <c r="I77" i="4"/>
  <c r="J77" i="4" s="1"/>
  <c r="I78" i="4"/>
  <c r="J78" i="4" s="1"/>
  <c r="I79" i="4"/>
  <c r="J79" i="4" s="1"/>
  <c r="I80" i="4"/>
  <c r="J80" i="4" s="1"/>
  <c r="I81" i="4"/>
  <c r="J81" i="4" s="1"/>
  <c r="I82" i="4"/>
  <c r="J82" i="4" s="1"/>
  <c r="I83" i="4"/>
  <c r="J83" i="4" s="1"/>
  <c r="I84" i="4"/>
  <c r="J84" i="4"/>
  <c r="I85" i="4"/>
  <c r="J85" i="4" s="1"/>
  <c r="I86" i="4"/>
  <c r="J86" i="4" s="1"/>
  <c r="I87" i="4"/>
  <c r="J87" i="4" s="1"/>
  <c r="I88" i="4"/>
  <c r="J88" i="4"/>
  <c r="I89" i="4"/>
  <c r="J89" i="4" s="1"/>
  <c r="I90" i="4"/>
  <c r="J90" i="4"/>
  <c r="I91" i="4"/>
  <c r="J91" i="4" s="1"/>
  <c r="I92" i="4"/>
  <c r="J92" i="4" s="1"/>
  <c r="I93" i="4"/>
  <c r="J93" i="4" s="1"/>
  <c r="I94" i="4"/>
  <c r="J94" i="4" s="1"/>
  <c r="I95" i="4"/>
  <c r="J95" i="4" s="1"/>
  <c r="I96" i="4"/>
  <c r="J96" i="4" s="1"/>
  <c r="I97" i="4"/>
  <c r="J97" i="4"/>
  <c r="I98" i="4"/>
  <c r="J98" i="4" s="1"/>
  <c r="I99" i="4"/>
  <c r="J99" i="4" s="1"/>
  <c r="I100" i="4"/>
  <c r="J100" i="4" s="1"/>
  <c r="I101" i="4"/>
  <c r="J101" i="4" s="1"/>
  <c r="I102" i="4"/>
  <c r="J102" i="4" s="1"/>
  <c r="I103" i="4"/>
  <c r="J103" i="4" s="1"/>
  <c r="I104" i="4"/>
  <c r="J104" i="4" s="1"/>
  <c r="I105" i="4"/>
  <c r="J105" i="4" s="1"/>
  <c r="I106" i="4"/>
  <c r="J106" i="4"/>
  <c r="I107" i="4"/>
  <c r="J107" i="4" s="1"/>
  <c r="I108" i="4"/>
  <c r="J108" i="4" s="1"/>
  <c r="I109" i="4"/>
  <c r="J109" i="4" s="1"/>
  <c r="I110" i="4"/>
  <c r="J110" i="4" s="1"/>
  <c r="I111" i="4"/>
  <c r="J111" i="4" s="1"/>
  <c r="I112" i="4"/>
  <c r="J112" i="4" s="1"/>
  <c r="I113" i="4"/>
  <c r="J113" i="4" s="1"/>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c r="I130" i="4"/>
  <c r="J130" i="4" s="1"/>
  <c r="I131" i="4"/>
  <c r="J131" i="4" s="1"/>
  <c r="I132" i="4"/>
  <c r="J132" i="4" s="1"/>
  <c r="I133" i="4"/>
  <c r="J133" i="4" s="1"/>
  <c r="I134" i="4"/>
  <c r="J134" i="4" s="1"/>
  <c r="I135" i="4"/>
  <c r="J135" i="4" s="1"/>
  <c r="I136" i="4"/>
  <c r="J136" i="4" s="1"/>
  <c r="I137" i="4"/>
  <c r="J137" i="4" s="1"/>
  <c r="F14" i="4"/>
  <c r="G14" i="4" s="1"/>
  <c r="F15" i="4"/>
  <c r="G15" i="4" s="1"/>
  <c r="F16" i="4"/>
  <c r="G16" i="4" s="1"/>
  <c r="F17" i="4"/>
  <c r="G17" i="4" s="1"/>
  <c r="F18" i="4"/>
  <c r="G18" i="4" s="1"/>
  <c r="F19" i="4"/>
  <c r="G19" i="4" s="1"/>
  <c r="F20" i="4"/>
  <c r="G20" i="4" s="1"/>
  <c r="F21" i="4"/>
  <c r="G21" i="4" s="1"/>
  <c r="F22" i="4"/>
  <c r="G22" i="4" s="1"/>
  <c r="F23" i="4"/>
  <c r="G23" i="4" s="1"/>
  <c r="F24" i="4"/>
  <c r="G24" i="4" s="1"/>
  <c r="F25" i="4"/>
  <c r="G25" i="4" s="1"/>
  <c r="F26" i="4"/>
  <c r="G26" i="4" s="1"/>
  <c r="F27" i="4"/>
  <c r="G27" i="4" s="1"/>
  <c r="F28" i="4"/>
  <c r="G28" i="4" s="1"/>
  <c r="F29" i="4"/>
  <c r="G29" i="4" s="1"/>
  <c r="F30" i="4"/>
  <c r="G30" i="4" s="1"/>
  <c r="F31" i="4"/>
  <c r="G31" i="4" s="1"/>
  <c r="F32" i="4"/>
  <c r="G32" i="4" s="1"/>
  <c r="F33" i="4"/>
  <c r="G33" i="4" s="1"/>
  <c r="F34" i="4"/>
  <c r="G34" i="4" s="1"/>
  <c r="F35" i="4"/>
  <c r="G35" i="4" s="1"/>
  <c r="F36" i="4"/>
  <c r="G36" i="4" s="1"/>
  <c r="F37" i="4"/>
  <c r="G37" i="4" s="1"/>
  <c r="F38" i="4"/>
  <c r="G38" i="4" s="1"/>
  <c r="F39" i="4"/>
  <c r="G39" i="4" s="1"/>
  <c r="F40" i="4"/>
  <c r="G40" i="4" s="1"/>
  <c r="F41" i="4"/>
  <c r="G41" i="4" s="1"/>
  <c r="F42" i="4"/>
  <c r="G42" i="4" s="1"/>
  <c r="F43" i="4"/>
  <c r="G43" i="4" s="1"/>
  <c r="F44" i="4"/>
  <c r="G44" i="4" s="1"/>
  <c r="F45" i="4"/>
  <c r="G45" i="4" s="1"/>
  <c r="F46" i="4"/>
  <c r="G46" i="4" s="1"/>
  <c r="F47" i="4"/>
  <c r="G47" i="4" s="1"/>
  <c r="F48" i="4"/>
  <c r="G48" i="4" s="1"/>
  <c r="F49" i="4"/>
  <c r="G49" i="4" s="1"/>
  <c r="F50" i="4"/>
  <c r="G50" i="4" s="1"/>
  <c r="F51" i="4"/>
  <c r="G51" i="4" s="1"/>
  <c r="F52" i="4"/>
  <c r="G52" i="4" s="1"/>
  <c r="F53" i="4"/>
  <c r="G53" i="4" s="1"/>
  <c r="F54" i="4"/>
  <c r="G54" i="4" s="1"/>
  <c r="F55" i="4"/>
  <c r="G55" i="4" s="1"/>
  <c r="F56" i="4"/>
  <c r="G56" i="4" s="1"/>
  <c r="F57" i="4"/>
  <c r="G57" i="4"/>
  <c r="F58" i="4"/>
  <c r="G58" i="4" s="1"/>
  <c r="F59" i="4"/>
  <c r="G59" i="4" s="1"/>
  <c r="F60" i="4"/>
  <c r="G60" i="4" s="1"/>
  <c r="F61" i="4"/>
  <c r="G61" i="4" s="1"/>
  <c r="F62" i="4"/>
  <c r="G62" i="4" s="1"/>
  <c r="F63" i="4"/>
  <c r="G63" i="4" s="1"/>
  <c r="F64" i="4"/>
  <c r="G64" i="4" s="1"/>
  <c r="F65" i="4"/>
  <c r="G65" i="4" s="1"/>
  <c r="F66" i="4"/>
  <c r="G66" i="4" s="1"/>
  <c r="F67" i="4"/>
  <c r="G67" i="4" s="1"/>
  <c r="F68" i="4"/>
  <c r="G68" i="4" s="1"/>
  <c r="F69" i="4"/>
  <c r="G69" i="4"/>
  <c r="F70" i="4"/>
  <c r="G70" i="4" s="1"/>
  <c r="F71" i="4"/>
  <c r="G71" i="4" s="1"/>
  <c r="F72" i="4"/>
  <c r="G72" i="4" s="1"/>
  <c r="F73" i="4"/>
  <c r="G73" i="4" s="1"/>
  <c r="F74" i="4"/>
  <c r="G74" i="4" s="1"/>
  <c r="F75" i="4"/>
  <c r="G75" i="4" s="1"/>
  <c r="F76" i="4"/>
  <c r="G76" i="4" s="1"/>
  <c r="F77" i="4"/>
  <c r="G77" i="4"/>
  <c r="F78" i="4"/>
  <c r="G78" i="4" s="1"/>
  <c r="F79" i="4"/>
  <c r="G79" i="4" s="1"/>
  <c r="F80" i="4"/>
  <c r="G80" i="4" s="1"/>
  <c r="F81" i="4"/>
  <c r="G81" i="4"/>
  <c r="F82" i="4"/>
  <c r="G82" i="4" s="1"/>
  <c r="F83" i="4"/>
  <c r="G83" i="4" s="1"/>
  <c r="F84" i="4"/>
  <c r="G84" i="4" s="1"/>
  <c r="F85" i="4"/>
  <c r="G85" i="4" s="1"/>
  <c r="F86" i="4"/>
  <c r="G86" i="4" s="1"/>
  <c r="F87" i="4"/>
  <c r="G87" i="4" s="1"/>
  <c r="F88" i="4"/>
  <c r="G88" i="4" s="1"/>
  <c r="F89" i="4"/>
  <c r="G89" i="4" s="1"/>
  <c r="F90" i="4"/>
  <c r="G90" i="4" s="1"/>
  <c r="F91" i="4"/>
  <c r="G91" i="4" s="1"/>
  <c r="F92" i="4"/>
  <c r="G92" i="4" s="1"/>
  <c r="F93" i="4"/>
  <c r="G93" i="4" s="1"/>
  <c r="F94" i="4"/>
  <c r="G94" i="4" s="1"/>
  <c r="F95" i="4"/>
  <c r="G95" i="4" s="1"/>
  <c r="F96" i="4"/>
  <c r="G96" i="4" s="1"/>
  <c r="F97" i="4"/>
  <c r="G97" i="4" s="1"/>
  <c r="F98" i="4"/>
  <c r="G98" i="4" s="1"/>
  <c r="F99" i="4"/>
  <c r="G99" i="4" s="1"/>
  <c r="F100" i="4"/>
  <c r="G100" i="4" s="1"/>
  <c r="F101" i="4"/>
  <c r="G101" i="4" s="1"/>
  <c r="F102" i="4"/>
  <c r="G102" i="4" s="1"/>
  <c r="F103" i="4"/>
  <c r="G103" i="4" s="1"/>
  <c r="F104" i="4"/>
  <c r="G104" i="4" s="1"/>
  <c r="F105" i="4"/>
  <c r="G105" i="4" s="1"/>
  <c r="F106" i="4"/>
  <c r="G106" i="4" s="1"/>
  <c r="F107" i="4"/>
  <c r="G107" i="4" s="1"/>
  <c r="F108" i="4"/>
  <c r="G108" i="4" s="1"/>
  <c r="F109" i="4"/>
  <c r="G109" i="4" s="1"/>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G121" i="4" s="1"/>
  <c r="F122" i="4"/>
  <c r="G122" i="4" s="1"/>
  <c r="F123" i="4"/>
  <c r="G123" i="4" s="1"/>
  <c r="F124" i="4"/>
  <c r="G124" i="4" s="1"/>
  <c r="F125" i="4"/>
  <c r="G125" i="4" s="1"/>
  <c r="F126" i="4"/>
  <c r="G126" i="4" s="1"/>
  <c r="F127" i="4"/>
  <c r="G127" i="4" s="1"/>
  <c r="F128" i="4"/>
  <c r="G128" i="4" s="1"/>
  <c r="F129" i="4"/>
  <c r="G129" i="4" s="1"/>
  <c r="F130" i="4"/>
  <c r="G130" i="4" s="1"/>
  <c r="F131" i="4"/>
  <c r="G131" i="4" s="1"/>
  <c r="F132" i="4"/>
  <c r="G132" i="4" s="1"/>
  <c r="F133" i="4"/>
  <c r="G133" i="4" s="1"/>
  <c r="F134" i="4"/>
  <c r="G134" i="4" s="1"/>
  <c r="F135" i="4"/>
  <c r="G135" i="4" s="1"/>
  <c r="F136" i="4"/>
  <c r="G136" i="4" s="1"/>
  <c r="F137" i="4"/>
  <c r="G137" i="4" s="1"/>
  <c r="H2" i="3"/>
  <c r="E2" i="3"/>
  <c r="E2" i="72"/>
  <c r="H2" i="72"/>
  <c r="D2" i="3"/>
  <c r="D2" i="72"/>
  <c r="F132" i="30" l="1"/>
  <c r="G132" i="30" s="1"/>
  <c r="F124" i="30"/>
  <c r="G124" i="30" s="1"/>
  <c r="F116" i="30"/>
  <c r="G116" i="30" s="1"/>
  <c r="F160" i="30"/>
  <c r="G160" i="30" s="1"/>
  <c r="F96" i="30"/>
  <c r="G96" i="30" s="1"/>
  <c r="F108" i="30"/>
  <c r="G108" i="30" s="1"/>
  <c r="F88" i="30"/>
  <c r="G88" i="30" s="1"/>
  <c r="F103" i="30"/>
  <c r="G103" i="30" s="1"/>
  <c r="F84" i="30"/>
  <c r="G84" i="30" s="1"/>
  <c r="F140" i="30"/>
  <c r="G140" i="30" s="1"/>
  <c r="F79" i="30"/>
  <c r="G79" i="30" s="1"/>
  <c r="E103" i="34"/>
  <c r="J128" i="30"/>
  <c r="J56" i="30"/>
  <c r="E134" i="34"/>
  <c r="E110" i="34"/>
  <c r="E102" i="34"/>
  <c r="E86" i="34"/>
  <c r="D155" i="34"/>
  <c r="J120" i="30"/>
  <c r="J112" i="30"/>
  <c r="J104" i="30"/>
  <c r="J87" i="30"/>
  <c r="J80" i="30"/>
  <c r="J64" i="30"/>
  <c r="J31" i="30"/>
  <c r="J72" i="30"/>
  <c r="J47" i="30"/>
  <c r="J39" i="30"/>
  <c r="E116" i="34"/>
  <c r="E76" i="34"/>
  <c r="J153" i="30"/>
  <c r="J143" i="30"/>
  <c r="J135" i="30"/>
  <c r="J55" i="30"/>
  <c r="J151" i="30"/>
  <c r="E107" i="34"/>
  <c r="E147" i="34"/>
  <c r="J160" i="30"/>
  <c r="J145" i="30"/>
  <c r="J127" i="30"/>
  <c r="J96" i="30"/>
  <c r="J63" i="30"/>
  <c r="E124" i="34"/>
  <c r="I43" i="34"/>
  <c r="D147" i="34"/>
  <c r="J119" i="30"/>
  <c r="J103" i="30"/>
  <c r="J88" i="30"/>
  <c r="J79" i="30"/>
  <c r="J71" i="30"/>
  <c r="F91" i="30"/>
  <c r="G91" i="30" s="1"/>
  <c r="J32" i="30"/>
  <c r="F19" i="30"/>
  <c r="G19" i="30" s="1"/>
  <c r="F158" i="30"/>
  <c r="G158" i="30" s="1"/>
  <c r="F157" i="30"/>
  <c r="G157" i="30" s="1"/>
  <c r="F155" i="30"/>
  <c r="G155" i="30" s="1"/>
  <c r="F154" i="30"/>
  <c r="G154" i="30" s="1"/>
  <c r="F153" i="30"/>
  <c r="G153" i="30" s="1"/>
  <c r="F151" i="30"/>
  <c r="G151" i="30" s="1"/>
  <c r="F150" i="30"/>
  <c r="G150" i="30" s="1"/>
  <c r="F147" i="30"/>
  <c r="G147" i="30" s="1"/>
  <c r="F146" i="30"/>
  <c r="G146" i="30" s="1"/>
  <c r="F143" i="30"/>
  <c r="G143" i="30" s="1"/>
  <c r="F142" i="30"/>
  <c r="G142" i="30" s="1"/>
  <c r="F141" i="30"/>
  <c r="G141" i="30" s="1"/>
  <c r="F139" i="30"/>
  <c r="G139" i="30" s="1"/>
  <c r="F138" i="30"/>
  <c r="G138" i="30" s="1"/>
  <c r="F135" i="30"/>
  <c r="G135" i="30" s="1"/>
  <c r="F134" i="30"/>
  <c r="G134" i="30" s="1"/>
  <c r="F133" i="30"/>
  <c r="G133" i="30" s="1"/>
  <c r="F131" i="30"/>
  <c r="G131" i="30" s="1"/>
  <c r="F130" i="30"/>
  <c r="G130" i="30" s="1"/>
  <c r="F127" i="30"/>
  <c r="G127" i="30" s="1"/>
  <c r="F126" i="30"/>
  <c r="G126" i="30" s="1"/>
  <c r="F125" i="30"/>
  <c r="G125" i="30" s="1"/>
  <c r="F123" i="30"/>
  <c r="G123" i="30" s="1"/>
  <c r="F122" i="30"/>
  <c r="G122" i="30" s="1"/>
  <c r="F121" i="30"/>
  <c r="G121" i="30" s="1"/>
  <c r="F119" i="30"/>
  <c r="G119" i="30" s="1"/>
  <c r="F118" i="30"/>
  <c r="G118" i="30" s="1"/>
  <c r="F115" i="30"/>
  <c r="G115" i="30" s="1"/>
  <c r="F110" i="30"/>
  <c r="G110" i="30" s="1"/>
  <c r="F109" i="30"/>
  <c r="G109" i="30" s="1"/>
  <c r="F106" i="30"/>
  <c r="G106" i="30" s="1"/>
  <c r="F105" i="30"/>
  <c r="G105" i="30" s="1"/>
  <c r="F102" i="30"/>
  <c r="G102" i="30" s="1"/>
  <c r="F101" i="30"/>
  <c r="G101" i="30" s="1"/>
  <c r="F98" i="30"/>
  <c r="G98" i="30" s="1"/>
  <c r="F97" i="30"/>
  <c r="G97" i="30" s="1"/>
  <c r="F94" i="30"/>
  <c r="G94" i="30" s="1"/>
  <c r="F93" i="30"/>
  <c r="G93" i="30" s="1"/>
  <c r="F90" i="30"/>
  <c r="G90" i="30" s="1"/>
  <c r="F89" i="30"/>
  <c r="G89" i="30" s="1"/>
  <c r="F86" i="30"/>
  <c r="G86" i="30" s="1"/>
  <c r="F85" i="30"/>
  <c r="G85" i="30" s="1"/>
  <c r="F82" i="30"/>
  <c r="G82" i="30" s="1"/>
  <c r="F81" i="30"/>
  <c r="G81" i="30" s="1"/>
  <c r="F78" i="30"/>
  <c r="G78" i="30" s="1"/>
  <c r="F77" i="30"/>
  <c r="G77" i="30" s="1"/>
  <c r="F76" i="30"/>
  <c r="G76" i="30" s="1"/>
  <c r="F74" i="30"/>
  <c r="G74" i="30" s="1"/>
  <c r="F72" i="30"/>
  <c r="G72" i="30" s="1"/>
  <c r="F71" i="30"/>
  <c r="G71" i="30" s="1"/>
  <c r="F69" i="30"/>
  <c r="G69" i="30" s="1"/>
  <c r="F68" i="30"/>
  <c r="G68" i="30" s="1"/>
  <c r="F66" i="30"/>
  <c r="G66" i="30" s="1"/>
  <c r="F64" i="30"/>
  <c r="G64" i="30" s="1"/>
  <c r="F62" i="30"/>
  <c r="G62" i="30" s="1"/>
  <c r="F59" i="30"/>
  <c r="G59" i="30" s="1"/>
  <c r="F58" i="30"/>
  <c r="G58" i="30" s="1"/>
  <c r="F57" i="30"/>
  <c r="G57" i="30" s="1"/>
  <c r="F54" i="30"/>
  <c r="G54" i="30" s="1"/>
  <c r="F53" i="30"/>
  <c r="G53" i="30" s="1"/>
  <c r="F50" i="30"/>
  <c r="G50" i="30" s="1"/>
  <c r="F46" i="30"/>
  <c r="G46" i="30" s="1"/>
  <c r="F41" i="30"/>
  <c r="G41" i="30" s="1"/>
  <c r="F40" i="30"/>
  <c r="G40" i="30" s="1"/>
  <c r="F38" i="30"/>
  <c r="G38" i="30" s="1"/>
  <c r="F35" i="30"/>
  <c r="G35" i="30" s="1"/>
  <c r="F34" i="30"/>
  <c r="G34" i="30" s="1"/>
  <c r="F28" i="30"/>
  <c r="G28" i="30" s="1"/>
  <c r="F26" i="30"/>
  <c r="G26" i="30" s="1"/>
  <c r="F25" i="30"/>
  <c r="G25" i="30" s="1"/>
  <c r="F18" i="30"/>
  <c r="G18" i="30" s="1"/>
  <c r="F17" i="30"/>
  <c r="G17" i="30" s="1"/>
  <c r="J147" i="30"/>
  <c r="J107" i="30"/>
  <c r="J67" i="30"/>
  <c r="J59" i="30"/>
  <c r="J51" i="30"/>
  <c r="J35" i="30"/>
  <c r="J19" i="30"/>
  <c r="J149" i="30"/>
  <c r="J141" i="30"/>
  <c r="J137" i="30"/>
  <c r="J129" i="30"/>
  <c r="J125" i="30"/>
  <c r="J117" i="30"/>
  <c r="J109" i="30"/>
  <c r="J105" i="30"/>
  <c r="J101" i="30"/>
  <c r="J93" i="30"/>
  <c r="J89" i="30"/>
  <c r="J77" i="30"/>
  <c r="J73" i="30"/>
  <c r="J69" i="30"/>
  <c r="J65" i="30"/>
  <c r="J57" i="30"/>
  <c r="J161" i="30"/>
  <c r="I161" i="34"/>
  <c r="I89" i="34"/>
  <c r="I41" i="34"/>
  <c r="I57" i="34"/>
  <c r="I25" i="34"/>
  <c r="I117" i="34"/>
  <c r="J91" i="30"/>
  <c r="J131" i="30"/>
  <c r="I37" i="34"/>
  <c r="J111" i="30"/>
  <c r="J115" i="30"/>
  <c r="J27" i="30"/>
  <c r="I27" i="34"/>
  <c r="J83" i="30"/>
  <c r="J70" i="30"/>
  <c r="F70" i="30"/>
  <c r="G70" i="30" s="1"/>
  <c r="F63" i="30"/>
  <c r="G63" i="30" s="1"/>
  <c r="J113" i="30"/>
  <c r="J74" i="30"/>
  <c r="F114" i="30"/>
  <c r="G114" i="30" s="1"/>
  <c r="J18" i="30"/>
  <c r="F111" i="30"/>
  <c r="G111" i="30" s="1"/>
  <c r="F61" i="30"/>
  <c r="G61" i="30" s="1"/>
  <c r="F60" i="30"/>
  <c r="G60" i="30" s="1"/>
  <c r="F56" i="30"/>
  <c r="G56" i="30" s="1"/>
  <c r="F55" i="30"/>
  <c r="G55" i="30" s="1"/>
  <c r="J54" i="30"/>
  <c r="F52" i="30"/>
  <c r="G52" i="30" s="1"/>
  <c r="J49" i="30"/>
  <c r="F49" i="30"/>
  <c r="G49" i="30" s="1"/>
  <c r="J48" i="30"/>
  <c r="F48" i="30"/>
  <c r="G48" i="30" s="1"/>
  <c r="F47" i="30"/>
  <c r="G47" i="30" s="1"/>
  <c r="J46" i="30"/>
  <c r="J45" i="30"/>
  <c r="F45" i="30"/>
  <c r="G45" i="30" s="1"/>
  <c r="F42" i="30"/>
  <c r="G42" i="30" s="1"/>
  <c r="J41" i="30"/>
  <c r="F39" i="30"/>
  <c r="G39" i="30" s="1"/>
  <c r="F159" i="30"/>
  <c r="G159" i="30" s="1"/>
  <c r="J37" i="30"/>
  <c r="F37" i="30"/>
  <c r="G37" i="30" s="1"/>
  <c r="F36" i="30"/>
  <c r="G36" i="30" s="1"/>
  <c r="J33" i="30"/>
  <c r="F33" i="30"/>
  <c r="G33" i="30" s="1"/>
  <c r="F32" i="30"/>
  <c r="G32" i="30" s="1"/>
  <c r="J30" i="30"/>
  <c r="F30" i="30"/>
  <c r="G30" i="30" s="1"/>
  <c r="J29" i="30"/>
  <c r="F29" i="30"/>
  <c r="G29" i="30" s="1"/>
  <c r="F27" i="30"/>
  <c r="G27" i="30" s="1"/>
  <c r="J25" i="30"/>
  <c r="J24" i="30"/>
  <c r="F24" i="30"/>
  <c r="G24" i="30" s="1"/>
  <c r="F23" i="30"/>
  <c r="G23" i="30" s="1"/>
  <c r="F22" i="30"/>
  <c r="G22" i="30" s="1"/>
  <c r="J21" i="30"/>
  <c r="F21" i="30"/>
  <c r="G21" i="30" s="1"/>
  <c r="F16" i="30"/>
  <c r="G16" i="30" s="1"/>
  <c r="F44" i="30"/>
  <c r="G44" i="30" s="1"/>
  <c r="J142" i="30"/>
  <c r="F20" i="30"/>
  <c r="G20" i="30" s="1"/>
  <c r="H161" i="34"/>
  <c r="J113" i="29"/>
  <c r="J112" i="29"/>
  <c r="J111" i="29"/>
  <c r="J59" i="29"/>
  <c r="E57" i="34"/>
  <c r="E54" i="34"/>
  <c r="J51" i="29"/>
  <c r="J73" i="29"/>
  <c r="J41" i="29"/>
  <c r="J40" i="29"/>
  <c r="J39" i="29"/>
  <c r="H159" i="34"/>
  <c r="J33" i="29"/>
  <c r="E30" i="34"/>
  <c r="J28" i="29"/>
  <c r="E28" i="34"/>
  <c r="J23" i="29"/>
  <c r="E23" i="34"/>
  <c r="E22" i="34"/>
  <c r="E44" i="34"/>
  <c r="E20" i="34"/>
  <c r="J161" i="29"/>
  <c r="F140" i="29"/>
  <c r="G140" i="29" s="1"/>
  <c r="F111" i="29"/>
  <c r="G111" i="29" s="1"/>
  <c r="F48" i="29"/>
  <c r="G48" i="29" s="1"/>
  <c r="J153" i="29"/>
  <c r="F96" i="29"/>
  <c r="G96" i="29" s="1"/>
  <c r="F88" i="29"/>
  <c r="G88" i="29" s="1"/>
  <c r="F72" i="29"/>
  <c r="G72" i="29" s="1"/>
  <c r="J69" i="29"/>
  <c r="J135" i="29"/>
  <c r="E135" i="34"/>
  <c r="J129" i="29"/>
  <c r="J127" i="27"/>
  <c r="F127" i="29"/>
  <c r="G127" i="29" s="1"/>
  <c r="I126" i="29"/>
  <c r="J126" i="29" s="1"/>
  <c r="E126" i="34"/>
  <c r="I125" i="29"/>
  <c r="J125" i="29" s="1"/>
  <c r="F156" i="29"/>
  <c r="G156" i="29" s="1"/>
  <c r="F144" i="29"/>
  <c r="G144" i="29" s="1"/>
  <c r="J85" i="29"/>
  <c r="F76" i="29"/>
  <c r="G76" i="29" s="1"/>
  <c r="F68" i="29"/>
  <c r="G68" i="29" s="1"/>
  <c r="J61" i="29"/>
  <c r="F20" i="29"/>
  <c r="G20" i="29" s="1"/>
  <c r="J155" i="27"/>
  <c r="I159" i="34"/>
  <c r="J149" i="29"/>
  <c r="I134" i="29"/>
  <c r="J134" i="29" s="1"/>
  <c r="J101" i="29"/>
  <c r="J155" i="29"/>
  <c r="J57" i="27"/>
  <c r="J37" i="29"/>
  <c r="D140" i="34"/>
  <c r="F140" i="34" s="1"/>
  <c r="G140" i="34" s="1"/>
  <c r="J157" i="29"/>
  <c r="F107" i="29"/>
  <c r="G107" i="29" s="1"/>
  <c r="F40" i="29"/>
  <c r="G40" i="29" s="1"/>
  <c r="J159" i="27"/>
  <c r="J153" i="27"/>
  <c r="F100" i="29"/>
  <c r="G100" i="29" s="1"/>
  <c r="I142" i="34"/>
  <c r="F39" i="29"/>
  <c r="G39" i="29" s="1"/>
  <c r="F27" i="29"/>
  <c r="G27" i="29" s="1"/>
  <c r="J145" i="27"/>
  <c r="J132" i="27"/>
  <c r="H157" i="34"/>
  <c r="H149" i="34"/>
  <c r="H141" i="34"/>
  <c r="I147" i="29"/>
  <c r="J147" i="29" s="1"/>
  <c r="I141" i="29"/>
  <c r="J141" i="29" s="1"/>
  <c r="J53" i="29"/>
  <c r="I61" i="34"/>
  <c r="F104" i="29"/>
  <c r="G104" i="29" s="1"/>
  <c r="F99" i="29"/>
  <c r="G99" i="29" s="1"/>
  <c r="F56" i="29"/>
  <c r="G56" i="29" s="1"/>
  <c r="J121" i="29"/>
  <c r="E48" i="34"/>
  <c r="F115" i="29"/>
  <c r="G115" i="29" s="1"/>
  <c r="F24" i="29"/>
  <c r="G24" i="29" s="1"/>
  <c r="J127" i="29"/>
  <c r="F80" i="29"/>
  <c r="G80" i="29" s="1"/>
  <c r="J49" i="29"/>
  <c r="F47" i="29"/>
  <c r="G47" i="29" s="1"/>
  <c r="J20" i="29"/>
  <c r="J159" i="29"/>
  <c r="J136" i="27"/>
  <c r="E127" i="34"/>
  <c r="H158" i="34"/>
  <c r="H150" i="34"/>
  <c r="H142" i="34"/>
  <c r="F159" i="29"/>
  <c r="G159" i="29" s="1"/>
  <c r="J142" i="29"/>
  <c r="F131" i="29"/>
  <c r="G131" i="29" s="1"/>
  <c r="F103" i="29"/>
  <c r="G103" i="29" s="1"/>
  <c r="I100" i="29"/>
  <c r="J100" i="29" s="1"/>
  <c r="F91" i="29"/>
  <c r="G91" i="29" s="1"/>
  <c r="F71" i="29"/>
  <c r="G71" i="29" s="1"/>
  <c r="F60" i="29"/>
  <c r="G60" i="29" s="1"/>
  <c r="J89" i="27"/>
  <c r="I141" i="34"/>
  <c r="I128" i="29"/>
  <c r="I128" i="34" s="1"/>
  <c r="I93" i="29"/>
  <c r="J93" i="29" s="1"/>
  <c r="F79" i="29"/>
  <c r="G79" i="29" s="1"/>
  <c r="J54" i="29"/>
  <c r="F43" i="29"/>
  <c r="G43" i="29" s="1"/>
  <c r="J82" i="29"/>
  <c r="J158" i="29"/>
  <c r="I144" i="29"/>
  <c r="I144" i="34" s="1"/>
  <c r="I139" i="29"/>
  <c r="J139" i="29" s="1"/>
  <c r="I133" i="29"/>
  <c r="J133" i="29" s="1"/>
  <c r="J120" i="29"/>
  <c r="J145" i="29"/>
  <c r="F155" i="29"/>
  <c r="G155" i="29" s="1"/>
  <c r="F139" i="29"/>
  <c r="G139" i="29" s="1"/>
  <c r="F136" i="29"/>
  <c r="G136" i="29" s="1"/>
  <c r="F87" i="29"/>
  <c r="G87" i="29" s="1"/>
  <c r="F84" i="29"/>
  <c r="G84" i="29" s="1"/>
  <c r="J78" i="29"/>
  <c r="F28" i="29"/>
  <c r="G28" i="29" s="1"/>
  <c r="F19" i="29"/>
  <c r="G19" i="29" s="1"/>
  <c r="I150" i="29"/>
  <c r="J150" i="29" s="1"/>
  <c r="I108" i="29"/>
  <c r="J108" i="29" s="1"/>
  <c r="I63" i="29"/>
  <c r="J63" i="29" s="1"/>
  <c r="I31" i="29"/>
  <c r="J31" i="29" s="1"/>
  <c r="I160" i="29"/>
  <c r="J160" i="29" s="1"/>
  <c r="I137" i="29"/>
  <c r="J137" i="29" s="1"/>
  <c r="I45" i="29"/>
  <c r="J45" i="29" s="1"/>
  <c r="I83" i="29"/>
  <c r="J83" i="29" s="1"/>
  <c r="I44" i="29"/>
  <c r="J44" i="29" s="1"/>
  <c r="I154" i="29"/>
  <c r="J154" i="29" s="1"/>
  <c r="I115" i="29"/>
  <c r="J115" i="29" s="1"/>
  <c r="I107" i="29"/>
  <c r="J107" i="29" s="1"/>
  <c r="I88" i="29"/>
  <c r="I19" i="29"/>
  <c r="I19" i="34" s="1"/>
  <c r="I95" i="29"/>
  <c r="J95" i="29" s="1"/>
  <c r="I76" i="29"/>
  <c r="I96" i="29"/>
  <c r="J96" i="29" s="1"/>
  <c r="I77" i="29"/>
  <c r="J77" i="29" s="1"/>
  <c r="I75" i="29"/>
  <c r="J75" i="29" s="1"/>
  <c r="I24" i="29"/>
  <c r="J24" i="29" s="1"/>
  <c r="J123" i="29"/>
  <c r="F123" i="29"/>
  <c r="G123" i="29" s="1"/>
  <c r="I122" i="29"/>
  <c r="J122" i="29" s="1"/>
  <c r="J136" i="29"/>
  <c r="E68" i="34"/>
  <c r="I97" i="34"/>
  <c r="F160" i="29"/>
  <c r="G160" i="29" s="1"/>
  <c r="J152" i="29"/>
  <c r="F148" i="29"/>
  <c r="G148" i="29" s="1"/>
  <c r="J143" i="29"/>
  <c r="J124" i="29"/>
  <c r="I119" i="29"/>
  <c r="J119" i="29" s="1"/>
  <c r="I114" i="29"/>
  <c r="F112" i="29"/>
  <c r="G112" i="29" s="1"/>
  <c r="F108" i="29"/>
  <c r="G108" i="29" s="1"/>
  <c r="J103" i="29"/>
  <c r="F95" i="29"/>
  <c r="G95" i="29" s="1"/>
  <c r="J88" i="29"/>
  <c r="I86" i="29"/>
  <c r="J86" i="29" s="1"/>
  <c r="J60" i="29"/>
  <c r="I46" i="29"/>
  <c r="F35" i="29"/>
  <c r="G35" i="29" s="1"/>
  <c r="I30" i="29"/>
  <c r="J30" i="29" s="1"/>
  <c r="I18" i="29"/>
  <c r="J18" i="29" s="1"/>
  <c r="F132" i="29"/>
  <c r="G132" i="29" s="1"/>
  <c r="F120" i="29"/>
  <c r="G120" i="29" s="1"/>
  <c r="F124" i="29"/>
  <c r="G124" i="29" s="1"/>
  <c r="F119" i="29"/>
  <c r="G119" i="29" s="1"/>
  <c r="I90" i="29"/>
  <c r="J90" i="29" s="1"/>
  <c r="F67" i="29"/>
  <c r="G67" i="29" s="1"/>
  <c r="I62" i="29"/>
  <c r="J62" i="29" s="1"/>
  <c r="F51" i="29"/>
  <c r="G51" i="29" s="1"/>
  <c r="J48" i="29"/>
  <c r="F44" i="29"/>
  <c r="G44" i="29" s="1"/>
  <c r="I112" i="34"/>
  <c r="I98" i="29"/>
  <c r="I94" i="29"/>
  <c r="J94" i="29" s="1"/>
  <c r="J64" i="29"/>
  <c r="I34" i="29"/>
  <c r="I22" i="29"/>
  <c r="J22" i="29" s="1"/>
  <c r="E122" i="34"/>
  <c r="I65" i="34"/>
  <c r="I102" i="29"/>
  <c r="J102" i="29" s="1"/>
  <c r="J79" i="29"/>
  <c r="F75" i="29"/>
  <c r="G75" i="29" s="1"/>
  <c r="J68" i="29"/>
  <c r="I66" i="29"/>
  <c r="J66" i="29" s="1"/>
  <c r="J55" i="29"/>
  <c r="I50" i="29"/>
  <c r="J50" i="29" s="1"/>
  <c r="F32" i="29"/>
  <c r="G32" i="29" s="1"/>
  <c r="J29" i="29"/>
  <c r="H160" i="34"/>
  <c r="H152" i="34"/>
  <c r="H144" i="34"/>
  <c r="J104" i="29"/>
  <c r="J72" i="29"/>
  <c r="I70" i="29"/>
  <c r="J70" i="29" s="1"/>
  <c r="I38" i="29"/>
  <c r="J38" i="29" s="1"/>
  <c r="I26" i="29"/>
  <c r="I110" i="29"/>
  <c r="J110" i="29" s="1"/>
  <c r="E120" i="34"/>
  <c r="E104" i="34"/>
  <c r="E47" i="34"/>
  <c r="E31" i="34"/>
  <c r="I63" i="34"/>
  <c r="E156" i="34"/>
  <c r="F156" i="34" s="1"/>
  <c r="G156" i="34" s="1"/>
  <c r="E148" i="34"/>
  <c r="F151" i="29"/>
  <c r="G151" i="29" s="1"/>
  <c r="J132" i="29"/>
  <c r="F128" i="29"/>
  <c r="G128" i="29" s="1"/>
  <c r="I106" i="29"/>
  <c r="J106" i="29" s="1"/>
  <c r="J87" i="29"/>
  <c r="F83" i="29"/>
  <c r="G83" i="29" s="1"/>
  <c r="J76" i="29"/>
  <c r="I74" i="29"/>
  <c r="J74" i="29" s="1"/>
  <c r="J52" i="29"/>
  <c r="J47" i="29"/>
  <c r="F36" i="29"/>
  <c r="G36" i="29" s="1"/>
  <c r="J21" i="29"/>
  <c r="J82" i="27"/>
  <c r="J58" i="27"/>
  <c r="F52" i="29"/>
  <c r="G52" i="29" s="1"/>
  <c r="I116" i="29"/>
  <c r="J116" i="29" s="1"/>
  <c r="F116" i="29"/>
  <c r="G116" i="29" s="1"/>
  <c r="F31" i="29"/>
  <c r="G31" i="29" s="1"/>
  <c r="I70" i="34"/>
  <c r="E108" i="34"/>
  <c r="E100" i="34"/>
  <c r="I113" i="34"/>
  <c r="E123" i="34"/>
  <c r="E91" i="34"/>
  <c r="E83" i="34"/>
  <c r="E155" i="34"/>
  <c r="E145" i="34"/>
  <c r="E130" i="34"/>
  <c r="E114" i="34"/>
  <c r="E106" i="34"/>
  <c r="E98" i="34"/>
  <c r="E90" i="34"/>
  <c r="E82" i="34"/>
  <c r="E73" i="34"/>
  <c r="E49" i="34"/>
  <c r="E25" i="34"/>
  <c r="I111" i="34"/>
  <c r="I56" i="34"/>
  <c r="I33" i="34"/>
  <c r="E160" i="34"/>
  <c r="E152" i="34"/>
  <c r="E144" i="34"/>
  <c r="F55" i="29"/>
  <c r="G55" i="29" s="1"/>
  <c r="J46" i="29"/>
  <c r="E132" i="34"/>
  <c r="E64" i="34"/>
  <c r="E56" i="34"/>
  <c r="E40" i="34"/>
  <c r="E32" i="34"/>
  <c r="I133" i="34"/>
  <c r="I49" i="34"/>
  <c r="F143" i="29"/>
  <c r="G143" i="29" s="1"/>
  <c r="F59" i="29"/>
  <c r="G59" i="29" s="1"/>
  <c r="J19" i="29"/>
  <c r="E52" i="34"/>
  <c r="E128" i="34"/>
  <c r="F147" i="29"/>
  <c r="G147" i="29" s="1"/>
  <c r="E119" i="34"/>
  <c r="E95" i="34"/>
  <c r="E87" i="34"/>
  <c r="E79" i="34"/>
  <c r="E70" i="34"/>
  <c r="E62" i="34"/>
  <c r="I129" i="34"/>
  <c r="I53" i="34"/>
  <c r="F23" i="29"/>
  <c r="G23" i="29" s="1"/>
  <c r="F161" i="29"/>
  <c r="G161" i="29" s="1"/>
  <c r="F157" i="29"/>
  <c r="G157" i="29" s="1"/>
  <c r="F153" i="29"/>
  <c r="G153" i="29" s="1"/>
  <c r="F150" i="29"/>
  <c r="G150" i="29" s="1"/>
  <c r="F149" i="29"/>
  <c r="G149" i="29" s="1"/>
  <c r="F146" i="29"/>
  <c r="G146" i="29" s="1"/>
  <c r="F145" i="29"/>
  <c r="G145" i="29" s="1"/>
  <c r="F141" i="29"/>
  <c r="G141" i="29" s="1"/>
  <c r="F137" i="29"/>
  <c r="G137" i="29" s="1"/>
  <c r="F134" i="29"/>
  <c r="G134" i="29" s="1"/>
  <c r="F133" i="29"/>
  <c r="G133" i="29" s="1"/>
  <c r="F130" i="29"/>
  <c r="G130" i="29" s="1"/>
  <c r="F129" i="29"/>
  <c r="G129" i="29" s="1"/>
  <c r="F125" i="29"/>
  <c r="G125" i="29" s="1"/>
  <c r="F121" i="29"/>
  <c r="G121" i="29" s="1"/>
  <c r="F117" i="29"/>
  <c r="G117" i="29" s="1"/>
  <c r="F113" i="29"/>
  <c r="G113" i="29" s="1"/>
  <c r="F109" i="29"/>
  <c r="G109" i="29" s="1"/>
  <c r="F105" i="29"/>
  <c r="G105" i="29" s="1"/>
  <c r="F101" i="29"/>
  <c r="G101" i="29" s="1"/>
  <c r="F97" i="29"/>
  <c r="G97" i="29" s="1"/>
  <c r="F94" i="29"/>
  <c r="G94" i="29" s="1"/>
  <c r="F93" i="29"/>
  <c r="G93" i="29" s="1"/>
  <c r="F89" i="29"/>
  <c r="G89" i="29" s="1"/>
  <c r="F86" i="29"/>
  <c r="G86" i="29" s="1"/>
  <c r="F85" i="29"/>
  <c r="G85" i="29" s="1"/>
  <c r="F81" i="29"/>
  <c r="G81" i="29" s="1"/>
  <c r="F77" i="29"/>
  <c r="G77" i="29" s="1"/>
  <c r="F73" i="29"/>
  <c r="G73" i="29" s="1"/>
  <c r="F70" i="29"/>
  <c r="G70" i="29" s="1"/>
  <c r="F69" i="29"/>
  <c r="G69" i="29" s="1"/>
  <c r="F65" i="29"/>
  <c r="G65" i="29" s="1"/>
  <c r="F62" i="29"/>
  <c r="G62" i="29" s="1"/>
  <c r="F61" i="29"/>
  <c r="G61" i="29" s="1"/>
  <c r="F57" i="29"/>
  <c r="G57" i="29" s="1"/>
  <c r="F54" i="29"/>
  <c r="G54" i="29" s="1"/>
  <c r="F53" i="29"/>
  <c r="G53" i="29" s="1"/>
  <c r="F49" i="29"/>
  <c r="G49" i="29" s="1"/>
  <c r="F45" i="29"/>
  <c r="G45" i="29" s="1"/>
  <c r="F41" i="29"/>
  <c r="G41" i="29" s="1"/>
  <c r="F38" i="29"/>
  <c r="G38" i="29" s="1"/>
  <c r="F37" i="29"/>
  <c r="G37" i="29" s="1"/>
  <c r="F33" i="29"/>
  <c r="G33" i="29" s="1"/>
  <c r="F30" i="29"/>
  <c r="G30" i="29" s="1"/>
  <c r="F29" i="29"/>
  <c r="G29" i="29" s="1"/>
  <c r="F25" i="29"/>
  <c r="G25" i="29" s="1"/>
  <c r="F22" i="29"/>
  <c r="G22" i="29" s="1"/>
  <c r="F21" i="29"/>
  <c r="G21" i="29" s="1"/>
  <c r="F17" i="29"/>
  <c r="G17" i="29" s="1"/>
  <c r="E129" i="34"/>
  <c r="J116" i="30"/>
  <c r="J92" i="30"/>
  <c r="J68" i="30"/>
  <c r="J52" i="30"/>
  <c r="J36" i="30"/>
  <c r="J20" i="30"/>
  <c r="J132" i="30"/>
  <c r="J156" i="30"/>
  <c r="J100" i="30"/>
  <c r="J148" i="30"/>
  <c r="H156" i="34"/>
  <c r="H148" i="34"/>
  <c r="H140" i="34"/>
  <c r="J140" i="30"/>
  <c r="J124" i="30"/>
  <c r="H155" i="34"/>
  <c r="H147" i="34"/>
  <c r="H139" i="34"/>
  <c r="J108" i="30"/>
  <c r="J76" i="30"/>
  <c r="J60" i="30"/>
  <c r="J44" i="30"/>
  <c r="J28" i="30"/>
  <c r="J130" i="29"/>
  <c r="J98" i="29"/>
  <c r="J58" i="29"/>
  <c r="J146" i="29"/>
  <c r="J26" i="29"/>
  <c r="H154" i="34"/>
  <c r="H146" i="34"/>
  <c r="H138" i="34"/>
  <c r="J42" i="29"/>
  <c r="J34" i="29"/>
  <c r="J114" i="29"/>
  <c r="J138" i="29"/>
  <c r="F161" i="30"/>
  <c r="G161" i="30" s="1"/>
  <c r="F129" i="30"/>
  <c r="G129" i="30" s="1"/>
  <c r="F65" i="30"/>
  <c r="G65" i="30" s="1"/>
  <c r="F137" i="30"/>
  <c r="G137" i="30" s="1"/>
  <c r="F73" i="30"/>
  <c r="G73" i="30" s="1"/>
  <c r="E65" i="34"/>
  <c r="F145" i="30"/>
  <c r="G145" i="30" s="1"/>
  <c r="F113" i="30"/>
  <c r="G113" i="30" s="1"/>
  <c r="F149" i="30"/>
  <c r="G149" i="30" s="1"/>
  <c r="F117" i="30"/>
  <c r="G117" i="30" s="1"/>
  <c r="E137" i="34"/>
  <c r="E121" i="34"/>
  <c r="E113" i="34"/>
  <c r="E105" i="34"/>
  <c r="E97" i="34"/>
  <c r="E89" i="34"/>
  <c r="E81" i="34"/>
  <c r="E69" i="34"/>
  <c r="E61" i="34"/>
  <c r="E53" i="34"/>
  <c r="E45" i="34"/>
  <c r="E37" i="34"/>
  <c r="E29" i="34"/>
  <c r="E21" i="34"/>
  <c r="E157" i="34"/>
  <c r="E149" i="34"/>
  <c r="E141" i="34"/>
  <c r="E133" i="34"/>
  <c r="E117" i="34"/>
  <c r="E101" i="34"/>
  <c r="E93" i="34"/>
  <c r="E85" i="34"/>
  <c r="E77" i="34"/>
  <c r="E125" i="34"/>
  <c r="E109" i="34"/>
  <c r="F106" i="29"/>
  <c r="G106" i="29" s="1"/>
  <c r="F82" i="29"/>
  <c r="G82" i="29" s="1"/>
  <c r="F50" i="29"/>
  <c r="G50" i="29" s="1"/>
  <c r="E131" i="34"/>
  <c r="E115" i="34"/>
  <c r="E99" i="34"/>
  <c r="F158" i="29"/>
  <c r="G158" i="29" s="1"/>
  <c r="F142" i="29"/>
  <c r="G142" i="29" s="1"/>
  <c r="F126" i="29"/>
  <c r="G126" i="29" s="1"/>
  <c r="F110" i="29"/>
  <c r="G110" i="29" s="1"/>
  <c r="F90" i="29"/>
  <c r="G90" i="29" s="1"/>
  <c r="F58" i="29"/>
  <c r="G58" i="29" s="1"/>
  <c r="F26" i="29"/>
  <c r="G26" i="29" s="1"/>
  <c r="E138" i="34"/>
  <c r="F18" i="29"/>
  <c r="G18" i="29" s="1"/>
  <c r="E71" i="34"/>
  <c r="E39" i="34"/>
  <c r="F78" i="29"/>
  <c r="G78" i="29" s="1"/>
  <c r="F46" i="29"/>
  <c r="G46" i="29" s="1"/>
  <c r="F154" i="29"/>
  <c r="G154" i="29" s="1"/>
  <c r="F138" i="29"/>
  <c r="G138" i="29" s="1"/>
  <c r="D138" i="34"/>
  <c r="F138" i="34" s="1"/>
  <c r="G138" i="34" s="1"/>
  <c r="E46" i="34"/>
  <c r="F118" i="29"/>
  <c r="G118" i="29" s="1"/>
  <c r="F102" i="29"/>
  <c r="G102" i="29" s="1"/>
  <c r="F74" i="29"/>
  <c r="G74" i="29" s="1"/>
  <c r="F42" i="29"/>
  <c r="G42" i="29" s="1"/>
  <c r="E154" i="34"/>
  <c r="E78" i="34"/>
  <c r="F122" i="29"/>
  <c r="G122" i="29" s="1"/>
  <c r="F114" i="29"/>
  <c r="G114" i="29" s="1"/>
  <c r="F98" i="29"/>
  <c r="G98" i="29" s="1"/>
  <c r="F66" i="29"/>
  <c r="G66" i="29" s="1"/>
  <c r="F34" i="29"/>
  <c r="G34" i="29" s="1"/>
  <c r="I32" i="34"/>
  <c r="D26" i="34"/>
  <c r="E159" i="34"/>
  <c r="E151" i="34"/>
  <c r="E143" i="34"/>
  <c r="E67" i="34"/>
  <c r="E59" i="34"/>
  <c r="E51" i="34"/>
  <c r="E43" i="34"/>
  <c r="E35" i="34"/>
  <c r="E27" i="34"/>
  <c r="I60" i="34"/>
  <c r="I28" i="34"/>
  <c r="I20" i="34"/>
  <c r="E158" i="34"/>
  <c r="E150" i="34"/>
  <c r="E142" i="34"/>
  <c r="E74" i="34"/>
  <c r="E66" i="34"/>
  <c r="E58" i="34"/>
  <c r="E50" i="34"/>
  <c r="E42" i="34"/>
  <c r="E34" i="34"/>
  <c r="E26" i="34"/>
  <c r="I48" i="34"/>
  <c r="I36" i="34"/>
  <c r="D161" i="34"/>
  <c r="E161" i="34"/>
  <c r="E18" i="34"/>
  <c r="E19" i="34"/>
  <c r="D22" i="34"/>
  <c r="D157" i="34"/>
  <c r="F157" i="34" s="1"/>
  <c r="G157" i="34" s="1"/>
  <c r="D149" i="34"/>
  <c r="D102" i="34"/>
  <c r="D70" i="34"/>
  <c r="D46" i="34"/>
  <c r="D125" i="34"/>
  <c r="D77" i="34"/>
  <c r="D69" i="34"/>
  <c r="D45" i="34"/>
  <c r="D158" i="34"/>
  <c r="D134" i="34"/>
  <c r="D86" i="34"/>
  <c r="D54" i="34"/>
  <c r="D30" i="34"/>
  <c r="D85" i="34"/>
  <c r="D29" i="34"/>
  <c r="D150" i="34"/>
  <c r="F150" i="34" s="1"/>
  <c r="G150" i="34" s="1"/>
  <c r="D126" i="34"/>
  <c r="D78" i="34"/>
  <c r="D38" i="34"/>
  <c r="D133" i="34"/>
  <c r="D53" i="34"/>
  <c r="D135" i="34"/>
  <c r="D127" i="34"/>
  <c r="D111" i="34"/>
  <c r="D87" i="34"/>
  <c r="D79" i="34"/>
  <c r="D71" i="34"/>
  <c r="D63" i="34"/>
  <c r="D55" i="34"/>
  <c r="D47" i="34"/>
  <c r="D39" i="34"/>
  <c r="D31" i="34"/>
  <c r="D23" i="34"/>
  <c r="D151" i="34"/>
  <c r="D146" i="34"/>
  <c r="D153" i="34"/>
  <c r="F153" i="34" s="1"/>
  <c r="G153" i="34" s="1"/>
  <c r="D145" i="34"/>
  <c r="D154" i="34"/>
  <c r="D160" i="34"/>
  <c r="F160" i="34" s="1"/>
  <c r="G160" i="34" s="1"/>
  <c r="D144" i="34"/>
  <c r="F144" i="34" s="1"/>
  <c r="G144" i="34" s="1"/>
  <c r="D124" i="34"/>
  <c r="D76" i="34"/>
  <c r="D20" i="34"/>
  <c r="D115" i="34"/>
  <c r="D91" i="34"/>
  <c r="D67" i="34"/>
  <c r="D51" i="34"/>
  <c r="D130" i="34"/>
  <c r="D114" i="34"/>
  <c r="D129" i="34"/>
  <c r="D81" i="34"/>
  <c r="D136" i="34"/>
  <c r="D128" i="34"/>
  <c r="D112" i="34"/>
  <c r="D88" i="34"/>
  <c r="D80" i="34"/>
  <c r="D72" i="34"/>
  <c r="D64" i="34"/>
  <c r="D56" i="34"/>
  <c r="D48" i="34"/>
  <c r="D40" i="34"/>
  <c r="D32" i="34"/>
  <c r="D24" i="34"/>
  <c r="D92" i="34"/>
  <c r="D60" i="34"/>
  <c r="D131" i="34"/>
  <c r="D99" i="34"/>
  <c r="D83" i="34"/>
  <c r="D43" i="34"/>
  <c r="D98" i="34"/>
  <c r="D113" i="34"/>
  <c r="D41" i="34"/>
  <c r="D116" i="34"/>
  <c r="D84" i="34"/>
  <c r="D68" i="34"/>
  <c r="D107" i="34"/>
  <c r="D75" i="34"/>
  <c r="D19" i="34"/>
  <c r="D122" i="34"/>
  <c r="D82" i="34"/>
  <c r="D89" i="34"/>
  <c r="D25" i="34"/>
  <c r="I42" i="18"/>
  <c r="I42" i="34" s="1"/>
  <c r="J49" i="19"/>
  <c r="J153" i="18"/>
  <c r="J143" i="18"/>
  <c r="I84" i="18"/>
  <c r="J59" i="18"/>
  <c r="J40" i="18"/>
  <c r="J31" i="18"/>
  <c r="F156" i="18"/>
  <c r="G156" i="18" s="1"/>
  <c r="I131" i="18"/>
  <c r="J131" i="18" s="1"/>
  <c r="J121" i="18"/>
  <c r="I92" i="18"/>
  <c r="J92" i="18" s="1"/>
  <c r="J83" i="18"/>
  <c r="J67" i="18"/>
  <c r="J58" i="18"/>
  <c r="J39" i="18"/>
  <c r="I108" i="18"/>
  <c r="J91" i="18"/>
  <c r="D65" i="34"/>
  <c r="F52" i="18"/>
  <c r="G52" i="18" s="1"/>
  <c r="F44" i="18"/>
  <c r="G44" i="18" s="1"/>
  <c r="F36" i="18"/>
  <c r="G36" i="18" s="1"/>
  <c r="F28" i="18"/>
  <c r="G28" i="18" s="1"/>
  <c r="I138" i="18"/>
  <c r="J138" i="18" s="1"/>
  <c r="I55" i="18"/>
  <c r="J55" i="18" s="1"/>
  <c r="J35" i="18"/>
  <c r="F152" i="18"/>
  <c r="G152" i="18" s="1"/>
  <c r="F93" i="18"/>
  <c r="G93" i="18" s="1"/>
  <c r="I146" i="18"/>
  <c r="J146" i="18" s="1"/>
  <c r="F159" i="18"/>
  <c r="G159" i="18" s="1"/>
  <c r="J21" i="18"/>
  <c r="F61" i="18"/>
  <c r="G61" i="18" s="1"/>
  <c r="F21" i="18"/>
  <c r="G21" i="18" s="1"/>
  <c r="J150" i="18"/>
  <c r="J46" i="18"/>
  <c r="D52" i="34"/>
  <c r="F143" i="18"/>
  <c r="G143" i="18" s="1"/>
  <c r="J116" i="18"/>
  <c r="J26" i="18"/>
  <c r="D143" i="34"/>
  <c r="J157" i="18"/>
  <c r="J127" i="18"/>
  <c r="J114" i="18"/>
  <c r="J73" i="18"/>
  <c r="J54" i="18"/>
  <c r="J34" i="18"/>
  <c r="D152" i="34"/>
  <c r="D142" i="34"/>
  <c r="F147" i="18"/>
  <c r="G147" i="18" s="1"/>
  <c r="J136" i="18"/>
  <c r="J52" i="18"/>
  <c r="D159" i="34"/>
  <c r="D141" i="34"/>
  <c r="F146" i="18"/>
  <c r="G146" i="18" s="1"/>
  <c r="J155" i="18"/>
  <c r="J144" i="18"/>
  <c r="J95" i="18"/>
  <c r="J51" i="18"/>
  <c r="D123" i="34"/>
  <c r="D28" i="34"/>
  <c r="J94" i="18"/>
  <c r="J50" i="18"/>
  <c r="J22" i="18"/>
  <c r="D27" i="34"/>
  <c r="J160" i="18"/>
  <c r="J158" i="18"/>
  <c r="I154" i="18"/>
  <c r="J154" i="18" s="1"/>
  <c r="J152" i="18"/>
  <c r="I149" i="18"/>
  <c r="I149" i="34" s="1"/>
  <c r="J145" i="18"/>
  <c r="F160" i="18"/>
  <c r="G160" i="18" s="1"/>
  <c r="F158" i="18"/>
  <c r="G158" i="18" s="1"/>
  <c r="F157" i="18"/>
  <c r="G157" i="18" s="1"/>
  <c r="F154" i="18"/>
  <c r="G154" i="18" s="1"/>
  <c r="F153" i="18"/>
  <c r="G153" i="18" s="1"/>
  <c r="F150" i="18"/>
  <c r="G150" i="18" s="1"/>
  <c r="F149" i="18"/>
  <c r="G149" i="18" s="1"/>
  <c r="F145" i="18"/>
  <c r="G145" i="18" s="1"/>
  <c r="F144" i="18"/>
  <c r="G144" i="18" s="1"/>
  <c r="I139" i="18"/>
  <c r="J139" i="18" s="1"/>
  <c r="J110" i="18"/>
  <c r="I109" i="18"/>
  <c r="I109" i="34" s="1"/>
  <c r="I104" i="18"/>
  <c r="I104" i="34" s="1"/>
  <c r="I100" i="18"/>
  <c r="J100" i="18" s="1"/>
  <c r="F110" i="18"/>
  <c r="G110" i="18" s="1"/>
  <c r="F108" i="18"/>
  <c r="G108" i="18" s="1"/>
  <c r="F104" i="18"/>
  <c r="G104" i="18" s="1"/>
  <c r="F101" i="18"/>
  <c r="G101" i="18" s="1"/>
  <c r="F100" i="18"/>
  <c r="G100" i="18" s="1"/>
  <c r="I96" i="18"/>
  <c r="J96" i="18" s="1"/>
  <c r="D96" i="34"/>
  <c r="D95" i="34"/>
  <c r="F140" i="18"/>
  <c r="G140" i="18" s="1"/>
  <c r="F148" i="18"/>
  <c r="G148" i="18" s="1"/>
  <c r="F148" i="34"/>
  <c r="G148" i="34" s="1"/>
  <c r="I148" i="18"/>
  <c r="J148" i="18" s="1"/>
  <c r="J147" i="18"/>
  <c r="F147" i="34"/>
  <c r="G147" i="34" s="1"/>
  <c r="J137" i="18"/>
  <c r="F137" i="18"/>
  <c r="G137" i="18" s="1"/>
  <c r="D137" i="34"/>
  <c r="I135" i="18"/>
  <c r="J135" i="18" s="1"/>
  <c r="J134" i="18"/>
  <c r="F132" i="18"/>
  <c r="G132" i="18" s="1"/>
  <c r="I132" i="18"/>
  <c r="J132" i="18" s="1"/>
  <c r="D132" i="34"/>
  <c r="F118" i="18"/>
  <c r="G118" i="18" s="1"/>
  <c r="I118" i="18"/>
  <c r="J118" i="18" s="1"/>
  <c r="D118" i="34"/>
  <c r="F120" i="18"/>
  <c r="G120" i="18" s="1"/>
  <c r="I120" i="18"/>
  <c r="J120" i="18" s="1"/>
  <c r="D120" i="34"/>
  <c r="F131" i="18"/>
  <c r="G131" i="18" s="1"/>
  <c r="J130" i="18"/>
  <c r="J128" i="18"/>
  <c r="I126" i="18"/>
  <c r="J126" i="18" s="1"/>
  <c r="I125" i="18"/>
  <c r="J125" i="18" s="1"/>
  <c r="J124" i="18"/>
  <c r="J123" i="18"/>
  <c r="J122" i="18"/>
  <c r="D121" i="34"/>
  <c r="J119" i="18"/>
  <c r="D119" i="34"/>
  <c r="D93" i="34"/>
  <c r="J93" i="19"/>
  <c r="F117" i="18"/>
  <c r="G117" i="18" s="1"/>
  <c r="J117" i="18"/>
  <c r="D117" i="34"/>
  <c r="I115" i="18"/>
  <c r="J115" i="18" s="1"/>
  <c r="F90" i="18"/>
  <c r="G90" i="18" s="1"/>
  <c r="J90" i="18"/>
  <c r="J86" i="18"/>
  <c r="J85" i="18"/>
  <c r="F139" i="34"/>
  <c r="G139" i="34" s="1"/>
  <c r="F139" i="18"/>
  <c r="G139" i="18" s="1"/>
  <c r="D110" i="34"/>
  <c r="D94" i="34"/>
  <c r="J72" i="18"/>
  <c r="I69" i="18"/>
  <c r="J69" i="18" s="1"/>
  <c r="I68" i="18"/>
  <c r="J68" i="18" s="1"/>
  <c r="J66" i="18"/>
  <c r="F66" i="18"/>
  <c r="G66" i="18" s="1"/>
  <c r="D66" i="34"/>
  <c r="J64" i="18"/>
  <c r="F62" i="18"/>
  <c r="G62" i="18" s="1"/>
  <c r="F37" i="18"/>
  <c r="G37" i="18" s="1"/>
  <c r="J156" i="18"/>
  <c r="J151" i="18"/>
  <c r="F151" i="18"/>
  <c r="G151" i="18" s="1"/>
  <c r="E146" i="34"/>
  <c r="J140" i="18"/>
  <c r="J84" i="18"/>
  <c r="J82" i="18"/>
  <c r="I80" i="18"/>
  <c r="J80" i="18" s="1"/>
  <c r="E75" i="18"/>
  <c r="E75" i="34" s="1"/>
  <c r="E2" i="19"/>
  <c r="J108" i="18"/>
  <c r="J105" i="18"/>
  <c r="I78" i="18"/>
  <c r="J78" i="18" s="1"/>
  <c r="J103" i="18"/>
  <c r="I77" i="18"/>
  <c r="I77" i="34" s="1"/>
  <c r="J76" i="18"/>
  <c r="J98" i="18"/>
  <c r="D109" i="34"/>
  <c r="J87" i="18"/>
  <c r="D108" i="34"/>
  <c r="I79" i="18"/>
  <c r="J79" i="18" s="1"/>
  <c r="D90" i="34"/>
  <c r="I88" i="18"/>
  <c r="J88" i="18" s="1"/>
  <c r="I107" i="18"/>
  <c r="J107" i="18" s="1"/>
  <c r="D106" i="34"/>
  <c r="I106" i="18"/>
  <c r="J106" i="18" s="1"/>
  <c r="D105" i="34"/>
  <c r="J105" i="19"/>
  <c r="D100" i="34"/>
  <c r="I99" i="18"/>
  <c r="J99" i="18" s="1"/>
  <c r="D104" i="34"/>
  <c r="J104" i="18"/>
  <c r="D103" i="34"/>
  <c r="D97" i="34"/>
  <c r="J102" i="18"/>
  <c r="I101" i="18"/>
  <c r="J101" i="18" s="1"/>
  <c r="D101" i="34"/>
  <c r="I75" i="18"/>
  <c r="J75" i="18" s="1"/>
  <c r="I160" i="34"/>
  <c r="J97" i="18"/>
  <c r="J89" i="18"/>
  <c r="I153" i="34"/>
  <c r="I98" i="34"/>
  <c r="J141" i="18"/>
  <c r="I136" i="34"/>
  <c r="I73" i="34"/>
  <c r="I154" i="34"/>
  <c r="I105" i="34"/>
  <c r="I66" i="34"/>
  <c r="I152" i="34"/>
  <c r="I121" i="34"/>
  <c r="I90" i="34"/>
  <c r="I26" i="34"/>
  <c r="I146" i="34"/>
  <c r="I145" i="34"/>
  <c r="I114" i="34"/>
  <c r="I82" i="34"/>
  <c r="I80" i="34"/>
  <c r="J65" i="18"/>
  <c r="I138" i="34"/>
  <c r="J81" i="18"/>
  <c r="I81" i="34"/>
  <c r="I93" i="34"/>
  <c r="J93" i="18"/>
  <c r="I45" i="34"/>
  <c r="J45" i="18"/>
  <c r="J29" i="18"/>
  <c r="I29" i="34"/>
  <c r="I130" i="34"/>
  <c r="I58" i="34"/>
  <c r="I34" i="34"/>
  <c r="J129" i="18"/>
  <c r="J109" i="18"/>
  <c r="J33" i="18"/>
  <c r="J61" i="18"/>
  <c r="I64" i="34"/>
  <c r="I40" i="34"/>
  <c r="I151" i="34"/>
  <c r="I143" i="34"/>
  <c r="I127" i="34"/>
  <c r="I119" i="34"/>
  <c r="I103" i="34"/>
  <c r="I95" i="34"/>
  <c r="I87" i="34"/>
  <c r="I55" i="34"/>
  <c r="I39" i="34"/>
  <c r="J133" i="18"/>
  <c r="I158" i="34"/>
  <c r="I150" i="34"/>
  <c r="I102" i="34"/>
  <c r="I94" i="34"/>
  <c r="I86" i="34"/>
  <c r="I54" i="34"/>
  <c r="I46" i="34"/>
  <c r="J37" i="18"/>
  <c r="I72" i="34"/>
  <c r="I157" i="34"/>
  <c r="I85" i="34"/>
  <c r="I21" i="34"/>
  <c r="J57" i="18"/>
  <c r="J49" i="18"/>
  <c r="J41" i="18"/>
  <c r="J25" i="18"/>
  <c r="I156" i="34"/>
  <c r="I148" i="34"/>
  <c r="I140" i="34"/>
  <c r="I124" i="34"/>
  <c r="I108" i="34"/>
  <c r="I100" i="34"/>
  <c r="I92" i="34"/>
  <c r="I84" i="34"/>
  <c r="I76" i="34"/>
  <c r="I52" i="34"/>
  <c r="J53" i="18"/>
  <c r="I155" i="34"/>
  <c r="I147" i="34"/>
  <c r="I139" i="34"/>
  <c r="I123" i="34"/>
  <c r="I91" i="34"/>
  <c r="I83" i="34"/>
  <c r="I67" i="34"/>
  <c r="I59" i="34"/>
  <c r="I51" i="34"/>
  <c r="I35" i="34"/>
  <c r="J71" i="18"/>
  <c r="J70" i="18"/>
  <c r="J63" i="18"/>
  <c r="J74" i="18"/>
  <c r="D74" i="34"/>
  <c r="J18" i="18"/>
  <c r="D18" i="34"/>
  <c r="J112" i="18"/>
  <c r="J111" i="18"/>
  <c r="J19" i="18"/>
  <c r="J62" i="18"/>
  <c r="D62" i="34"/>
  <c r="D61" i="34"/>
  <c r="J60" i="18"/>
  <c r="D59" i="34"/>
  <c r="D58" i="34"/>
  <c r="D57" i="34"/>
  <c r="J56" i="18"/>
  <c r="D50" i="34"/>
  <c r="D49" i="34"/>
  <c r="J48" i="18"/>
  <c r="D73" i="34"/>
  <c r="J43" i="18"/>
  <c r="J42" i="18"/>
  <c r="D42" i="34"/>
  <c r="J38" i="18"/>
  <c r="J159" i="18"/>
  <c r="D37" i="34"/>
  <c r="J36" i="18"/>
  <c r="D36" i="34"/>
  <c r="D35" i="34"/>
  <c r="D34" i="34"/>
  <c r="D33" i="34"/>
  <c r="J32" i="18"/>
  <c r="J30" i="18"/>
  <c r="J28" i="18"/>
  <c r="J27" i="18"/>
  <c r="J24" i="18"/>
  <c r="J23" i="18"/>
  <c r="D21" i="34"/>
  <c r="J44" i="18"/>
  <c r="D44" i="34"/>
  <c r="J142" i="18"/>
  <c r="J20" i="18"/>
  <c r="J47" i="21"/>
  <c r="I47" i="18"/>
  <c r="F102" i="18"/>
  <c r="G102" i="18" s="1"/>
  <c r="F99" i="18"/>
  <c r="G99" i="18" s="1"/>
  <c r="F89" i="18"/>
  <c r="G89" i="18" s="1"/>
  <c r="F88" i="18"/>
  <c r="G88" i="18" s="1"/>
  <c r="F87" i="18"/>
  <c r="G87" i="18" s="1"/>
  <c r="F86" i="18"/>
  <c r="G86" i="18" s="1"/>
  <c r="F85" i="18"/>
  <c r="G85" i="18" s="1"/>
  <c r="F134" i="18"/>
  <c r="G134" i="18" s="1"/>
  <c r="F133" i="18"/>
  <c r="G133" i="18" s="1"/>
  <c r="F136" i="18"/>
  <c r="G136" i="18" s="1"/>
  <c r="F129" i="18"/>
  <c r="G129" i="18" s="1"/>
  <c r="F72" i="18"/>
  <c r="G72" i="18" s="1"/>
  <c r="F69" i="18"/>
  <c r="G69" i="18" s="1"/>
  <c r="F43" i="18"/>
  <c r="G43" i="18" s="1"/>
  <c r="F41" i="18"/>
  <c r="G41" i="18" s="1"/>
  <c r="F67" i="18"/>
  <c r="G67" i="18" s="1"/>
  <c r="F80" i="18"/>
  <c r="G80" i="18" s="1"/>
  <c r="F81" i="18"/>
  <c r="G81" i="18" s="1"/>
  <c r="F77" i="18"/>
  <c r="G77" i="18" s="1"/>
  <c r="F76" i="18"/>
  <c r="G76" i="18" s="1"/>
  <c r="F71" i="18"/>
  <c r="G71" i="18" s="1"/>
  <c r="F70" i="18"/>
  <c r="G70" i="18" s="1"/>
  <c r="F127" i="18"/>
  <c r="G127" i="18" s="1"/>
  <c r="F112" i="18"/>
  <c r="G112" i="18" s="1"/>
  <c r="F55" i="18"/>
  <c r="G55" i="18" s="1"/>
  <c r="F54" i="18"/>
  <c r="G54" i="18" s="1"/>
  <c r="F53" i="18"/>
  <c r="G53" i="18" s="1"/>
  <c r="F48" i="18"/>
  <c r="G48" i="18" s="1"/>
  <c r="F47" i="18"/>
  <c r="G47" i="18" s="1"/>
  <c r="F38" i="18"/>
  <c r="G38" i="18" s="1"/>
  <c r="F31" i="18"/>
  <c r="G31" i="18" s="1"/>
  <c r="F29" i="18"/>
  <c r="G29" i="18" s="1"/>
  <c r="F24" i="18"/>
  <c r="G24" i="18" s="1"/>
  <c r="F130" i="18"/>
  <c r="G130" i="18" s="1"/>
  <c r="F128" i="18"/>
  <c r="G128" i="18" s="1"/>
  <c r="F64" i="18"/>
  <c r="G64" i="18" s="1"/>
  <c r="F63" i="18"/>
  <c r="G63" i="18" s="1"/>
  <c r="F116" i="18"/>
  <c r="G116" i="18" s="1"/>
  <c r="F115" i="18"/>
  <c r="G115" i="18" s="1"/>
  <c r="F113" i="18"/>
  <c r="G113" i="18" s="1"/>
  <c r="F124" i="18"/>
  <c r="G124" i="18" s="1"/>
  <c r="F114" i="18"/>
  <c r="G114" i="18" s="1"/>
  <c r="F111" i="18"/>
  <c r="G111" i="18" s="1"/>
  <c r="F91" i="18"/>
  <c r="G91" i="18" s="1"/>
  <c r="F19" i="18"/>
  <c r="G19" i="18" s="1"/>
  <c r="F56" i="18"/>
  <c r="G56" i="18" s="1"/>
  <c r="F51" i="18"/>
  <c r="G51" i="18" s="1"/>
  <c r="F46" i="18"/>
  <c r="G46" i="18" s="1"/>
  <c r="F45" i="18"/>
  <c r="G45" i="18" s="1"/>
  <c r="F40" i="18"/>
  <c r="G40" i="18" s="1"/>
  <c r="F39" i="18"/>
  <c r="G39" i="18" s="1"/>
  <c r="F32" i="18"/>
  <c r="G32" i="18" s="1"/>
  <c r="F30" i="18"/>
  <c r="G30" i="18" s="1"/>
  <c r="F25" i="18"/>
  <c r="G25" i="18" s="1"/>
  <c r="F23" i="18"/>
  <c r="G23" i="18" s="1"/>
  <c r="F135" i="18"/>
  <c r="G135" i="18" s="1"/>
  <c r="F126" i="18"/>
  <c r="G126" i="18" s="1"/>
  <c r="F125" i="18"/>
  <c r="G125" i="18" s="1"/>
  <c r="F20" i="18"/>
  <c r="G20" i="18" s="1"/>
  <c r="F84" i="18"/>
  <c r="G84" i="18" s="1"/>
  <c r="F83" i="18"/>
  <c r="G83" i="18" s="1"/>
  <c r="F82" i="18"/>
  <c r="G82" i="18" s="1"/>
  <c r="F78" i="18"/>
  <c r="G78" i="18" s="1"/>
  <c r="F79" i="18"/>
  <c r="G79" i="18" s="1"/>
  <c r="F22" i="18"/>
  <c r="G22" i="18" s="1"/>
  <c r="F60" i="18"/>
  <c r="G60" i="18" s="1"/>
  <c r="F107" i="18"/>
  <c r="G107" i="18" s="1"/>
  <c r="F122" i="18"/>
  <c r="G122" i="18" s="1"/>
  <c r="F68" i="18"/>
  <c r="G68" i="18" s="1"/>
  <c r="F98" i="18"/>
  <c r="G98" i="18" s="1"/>
  <c r="F92" i="18"/>
  <c r="G92" i="18" s="1"/>
  <c r="F76" i="3"/>
  <c r="F155" i="34" l="1"/>
  <c r="G155" i="34" s="1"/>
  <c r="I137" i="34"/>
  <c r="I134" i="34"/>
  <c r="I74" i="34"/>
  <c r="J144" i="29"/>
  <c r="I22" i="34"/>
  <c r="F141" i="34"/>
  <c r="G141" i="34" s="1"/>
  <c r="I31" i="34"/>
  <c r="J128" i="29"/>
  <c r="I18" i="34"/>
  <c r="I110" i="34"/>
  <c r="F149" i="34"/>
  <c r="G149" i="34" s="1"/>
  <c r="I44" i="34"/>
  <c r="I38" i="34"/>
  <c r="I24" i="34"/>
  <c r="I122" i="34"/>
  <c r="I50" i="34"/>
  <c r="I62" i="34"/>
  <c r="F154" i="34"/>
  <c r="G154" i="34" s="1"/>
  <c r="F145" i="34"/>
  <c r="G145" i="34" s="1"/>
  <c r="I30" i="34"/>
  <c r="I116" i="34"/>
  <c r="F152" i="34"/>
  <c r="G152" i="34" s="1"/>
  <c r="F158" i="34"/>
  <c r="G158" i="34" s="1"/>
  <c r="J138" i="34"/>
  <c r="F142" i="34"/>
  <c r="G142" i="34" s="1"/>
  <c r="F143" i="34"/>
  <c r="G143" i="34" s="1"/>
  <c r="F159" i="34"/>
  <c r="G159" i="34" s="1"/>
  <c r="F151" i="34"/>
  <c r="G151" i="34" s="1"/>
  <c r="F161" i="34"/>
  <c r="G161" i="34" s="1"/>
  <c r="F146" i="34"/>
  <c r="G146" i="34" s="1"/>
  <c r="I106" i="34"/>
  <c r="I68" i="34"/>
  <c r="I131" i="34"/>
  <c r="I101" i="34"/>
  <c r="I69" i="34"/>
  <c r="J77" i="18"/>
  <c r="J149" i="18"/>
  <c r="I96" i="34"/>
  <c r="I135" i="34"/>
  <c r="I132" i="34"/>
  <c r="I118" i="34"/>
  <c r="I120" i="34"/>
  <c r="I126" i="34"/>
  <c r="I125" i="34"/>
  <c r="I115" i="34"/>
  <c r="F75" i="18"/>
  <c r="G75" i="18" s="1"/>
  <c r="I79" i="34"/>
  <c r="I107" i="34"/>
  <c r="I99" i="34"/>
  <c r="I78" i="34"/>
  <c r="I75" i="34"/>
  <c r="I88" i="34"/>
  <c r="J47" i="18"/>
  <c r="I47" i="34"/>
  <c r="D18" i="1"/>
  <c r="E18" i="1"/>
  <c r="H18" i="1"/>
  <c r="H18" i="34" s="1"/>
  <c r="D19" i="1"/>
  <c r="E19" i="1"/>
  <c r="H19" i="1"/>
  <c r="H19" i="34" s="1"/>
  <c r="D20" i="1"/>
  <c r="E20" i="1"/>
  <c r="H20" i="1"/>
  <c r="H20" i="34" s="1"/>
  <c r="D21" i="1"/>
  <c r="E21" i="1"/>
  <c r="H21" i="1"/>
  <c r="H21" i="34" s="1"/>
  <c r="D22" i="1"/>
  <c r="E22" i="1"/>
  <c r="H22" i="1"/>
  <c r="H22" i="34" s="1"/>
  <c r="D23" i="1"/>
  <c r="E23" i="1"/>
  <c r="H23" i="1"/>
  <c r="H23" i="34" s="1"/>
  <c r="D24" i="1"/>
  <c r="E24" i="1"/>
  <c r="H24" i="1"/>
  <c r="H24" i="34" s="1"/>
  <c r="D25" i="1"/>
  <c r="E25" i="1"/>
  <c r="H25" i="1"/>
  <c r="H25" i="34" s="1"/>
  <c r="D26" i="1"/>
  <c r="E26" i="1"/>
  <c r="H26" i="1"/>
  <c r="H26" i="34" s="1"/>
  <c r="D27" i="1"/>
  <c r="E27" i="1"/>
  <c r="H27" i="1"/>
  <c r="H27" i="34" s="1"/>
  <c r="D28" i="1"/>
  <c r="E28" i="1"/>
  <c r="H28" i="1"/>
  <c r="H28" i="34" s="1"/>
  <c r="D29" i="1"/>
  <c r="E29" i="1"/>
  <c r="H29" i="1"/>
  <c r="H29" i="34" s="1"/>
  <c r="D30" i="1"/>
  <c r="E30" i="1"/>
  <c r="H30" i="1"/>
  <c r="H30" i="34" s="1"/>
  <c r="D31" i="1"/>
  <c r="E31" i="1"/>
  <c r="H31" i="1"/>
  <c r="H31" i="34" s="1"/>
  <c r="D32" i="1"/>
  <c r="E32" i="1"/>
  <c r="H32" i="1"/>
  <c r="H32" i="34" s="1"/>
  <c r="D33" i="1"/>
  <c r="E33" i="1"/>
  <c r="H33" i="1"/>
  <c r="H33" i="34" s="1"/>
  <c r="D34" i="1"/>
  <c r="E34" i="1"/>
  <c r="H34" i="1"/>
  <c r="H34" i="34" s="1"/>
  <c r="D35" i="1"/>
  <c r="E35" i="1"/>
  <c r="H35" i="1"/>
  <c r="H35" i="34" s="1"/>
  <c r="D36" i="1"/>
  <c r="E36" i="1"/>
  <c r="H36" i="1"/>
  <c r="H36" i="34" s="1"/>
  <c r="D37" i="1"/>
  <c r="E37" i="1"/>
  <c r="H37" i="1"/>
  <c r="H37" i="34" s="1"/>
  <c r="D38" i="1"/>
  <c r="E38" i="1"/>
  <c r="H38" i="1"/>
  <c r="H38" i="34" s="1"/>
  <c r="D39" i="1"/>
  <c r="E39" i="1"/>
  <c r="H39" i="1"/>
  <c r="H39" i="34" s="1"/>
  <c r="D40" i="1"/>
  <c r="E40" i="1"/>
  <c r="H40" i="1"/>
  <c r="H40" i="34" s="1"/>
  <c r="D41" i="1"/>
  <c r="E41" i="1"/>
  <c r="H41" i="1"/>
  <c r="H41" i="34" s="1"/>
  <c r="D42" i="1"/>
  <c r="E42" i="1"/>
  <c r="H42" i="1"/>
  <c r="H42" i="34" s="1"/>
  <c r="D43" i="1"/>
  <c r="E43" i="1"/>
  <c r="H43" i="1"/>
  <c r="H43" i="34" s="1"/>
  <c r="D44" i="1"/>
  <c r="E44" i="1"/>
  <c r="H44" i="1"/>
  <c r="H44" i="34" s="1"/>
  <c r="D45" i="1"/>
  <c r="E45" i="1"/>
  <c r="H45" i="1"/>
  <c r="H45" i="34" s="1"/>
  <c r="D46" i="1"/>
  <c r="E46" i="1"/>
  <c r="H46" i="1"/>
  <c r="H46" i="34" s="1"/>
  <c r="D47" i="1"/>
  <c r="E47" i="1"/>
  <c r="H47" i="1"/>
  <c r="H47" i="34" s="1"/>
  <c r="D48" i="1"/>
  <c r="E48" i="1"/>
  <c r="H48" i="1"/>
  <c r="H48" i="34" s="1"/>
  <c r="D49" i="1"/>
  <c r="E49" i="1"/>
  <c r="H49" i="1"/>
  <c r="H49" i="34" s="1"/>
  <c r="D50" i="1"/>
  <c r="E50" i="1"/>
  <c r="H50" i="1"/>
  <c r="H50" i="34" s="1"/>
  <c r="D51" i="1"/>
  <c r="E51" i="1"/>
  <c r="H51" i="1"/>
  <c r="H51" i="34" s="1"/>
  <c r="D52" i="1"/>
  <c r="E52" i="1"/>
  <c r="H52" i="1"/>
  <c r="H52" i="34" s="1"/>
  <c r="D53" i="1"/>
  <c r="E53" i="1"/>
  <c r="H53" i="1"/>
  <c r="H53" i="34" s="1"/>
  <c r="D54" i="1"/>
  <c r="E54" i="1"/>
  <c r="H54" i="1"/>
  <c r="H54" i="34" s="1"/>
  <c r="D55" i="1"/>
  <c r="E55" i="1"/>
  <c r="H55" i="1"/>
  <c r="H55" i="34" s="1"/>
  <c r="D56" i="1"/>
  <c r="E56" i="1"/>
  <c r="H56" i="1"/>
  <c r="H56" i="34" s="1"/>
  <c r="D57" i="1"/>
  <c r="E57" i="1"/>
  <c r="H57" i="1"/>
  <c r="H57" i="34" s="1"/>
  <c r="D58" i="1"/>
  <c r="E58" i="1"/>
  <c r="H58" i="1"/>
  <c r="H58" i="34" s="1"/>
  <c r="D59" i="1"/>
  <c r="E59" i="1"/>
  <c r="H59" i="1"/>
  <c r="H59" i="34" s="1"/>
  <c r="D60" i="1"/>
  <c r="E60" i="1"/>
  <c r="H60" i="1"/>
  <c r="H60" i="34" s="1"/>
  <c r="D61" i="1"/>
  <c r="E61" i="1"/>
  <c r="H61" i="1"/>
  <c r="H61" i="34" s="1"/>
  <c r="D62" i="1"/>
  <c r="E62" i="1"/>
  <c r="H62" i="1"/>
  <c r="H62" i="34" s="1"/>
  <c r="D63" i="1"/>
  <c r="E63" i="1"/>
  <c r="H63" i="1"/>
  <c r="H63" i="34" s="1"/>
  <c r="D64" i="1"/>
  <c r="E64" i="1"/>
  <c r="H64" i="1"/>
  <c r="H64" i="34" s="1"/>
  <c r="D65" i="1"/>
  <c r="E65" i="1"/>
  <c r="H65" i="1"/>
  <c r="H65" i="34" s="1"/>
  <c r="D66" i="1"/>
  <c r="E66" i="1"/>
  <c r="H66" i="1"/>
  <c r="H66" i="34" s="1"/>
  <c r="D67" i="1"/>
  <c r="E67" i="1"/>
  <c r="H67" i="1"/>
  <c r="H67" i="34" s="1"/>
  <c r="D68" i="1"/>
  <c r="E68" i="1"/>
  <c r="H68" i="1"/>
  <c r="H68" i="34" s="1"/>
  <c r="D69" i="1"/>
  <c r="E69" i="1"/>
  <c r="H69" i="1"/>
  <c r="H69" i="34" s="1"/>
  <c r="D70" i="1"/>
  <c r="E70" i="1"/>
  <c r="H70" i="1"/>
  <c r="H70" i="34" s="1"/>
  <c r="D71" i="1"/>
  <c r="E71" i="1"/>
  <c r="H71" i="1"/>
  <c r="H71" i="34" s="1"/>
  <c r="D72" i="1"/>
  <c r="E72" i="1"/>
  <c r="H72" i="1"/>
  <c r="H72" i="34" s="1"/>
  <c r="D73" i="1"/>
  <c r="E73" i="1"/>
  <c r="H73" i="1"/>
  <c r="H73" i="34" s="1"/>
  <c r="D74" i="1"/>
  <c r="E74" i="1"/>
  <c r="H74" i="1"/>
  <c r="H74" i="34" s="1"/>
  <c r="D75" i="1"/>
  <c r="E75" i="1"/>
  <c r="H75" i="1"/>
  <c r="H75" i="34" s="1"/>
  <c r="D76" i="1"/>
  <c r="E76" i="1"/>
  <c r="H76" i="1"/>
  <c r="H76" i="34" s="1"/>
  <c r="D77" i="1"/>
  <c r="E77" i="1"/>
  <c r="H77" i="1"/>
  <c r="H77" i="34" s="1"/>
  <c r="D78" i="1"/>
  <c r="E78" i="1"/>
  <c r="H78" i="1"/>
  <c r="H78" i="34" s="1"/>
  <c r="D79" i="1"/>
  <c r="E79" i="1"/>
  <c r="H79" i="1"/>
  <c r="H79" i="34" s="1"/>
  <c r="D80" i="1"/>
  <c r="E80" i="1"/>
  <c r="H80" i="1"/>
  <c r="H80" i="34" s="1"/>
  <c r="D81" i="1"/>
  <c r="E81" i="1"/>
  <c r="H81" i="1"/>
  <c r="H81" i="34" s="1"/>
  <c r="D82" i="1"/>
  <c r="E82" i="1"/>
  <c r="H82" i="1"/>
  <c r="H82" i="34" s="1"/>
  <c r="D83" i="1"/>
  <c r="E83" i="1"/>
  <c r="H83" i="1"/>
  <c r="H83" i="34" s="1"/>
  <c r="D84" i="1"/>
  <c r="E84" i="1"/>
  <c r="H84" i="1"/>
  <c r="H84" i="34" s="1"/>
  <c r="D85" i="1"/>
  <c r="E85" i="1"/>
  <c r="H85" i="1"/>
  <c r="H85" i="34" s="1"/>
  <c r="D86" i="1"/>
  <c r="E86" i="1"/>
  <c r="H86" i="1"/>
  <c r="H86" i="34" s="1"/>
  <c r="D87" i="1"/>
  <c r="E87" i="1"/>
  <c r="H87" i="1"/>
  <c r="H87" i="34" s="1"/>
  <c r="D88" i="1"/>
  <c r="E88" i="1"/>
  <c r="H88" i="1"/>
  <c r="H88" i="34" s="1"/>
  <c r="D89" i="1"/>
  <c r="E89" i="1"/>
  <c r="H89" i="1"/>
  <c r="H89" i="34" s="1"/>
  <c r="D90" i="1"/>
  <c r="E90" i="1"/>
  <c r="H90" i="1"/>
  <c r="H90" i="34" s="1"/>
  <c r="D91" i="1"/>
  <c r="E91" i="1"/>
  <c r="H91" i="1"/>
  <c r="H91" i="34" s="1"/>
  <c r="D92" i="1"/>
  <c r="E92" i="1"/>
  <c r="H92" i="1"/>
  <c r="H92" i="34" s="1"/>
  <c r="D93" i="1"/>
  <c r="E93" i="1"/>
  <c r="H93" i="1"/>
  <c r="H93" i="34" s="1"/>
  <c r="D94" i="1"/>
  <c r="E94" i="1"/>
  <c r="H94" i="1"/>
  <c r="H94" i="34" s="1"/>
  <c r="D95" i="1"/>
  <c r="E95" i="1"/>
  <c r="H95" i="1"/>
  <c r="H95" i="34" s="1"/>
  <c r="D96" i="1"/>
  <c r="E96" i="1"/>
  <c r="H96" i="1"/>
  <c r="H96" i="34" s="1"/>
  <c r="D97" i="1"/>
  <c r="E97" i="1"/>
  <c r="H97" i="1"/>
  <c r="H97" i="34" s="1"/>
  <c r="D98" i="1"/>
  <c r="E98" i="1"/>
  <c r="H98" i="1"/>
  <c r="H98" i="34" s="1"/>
  <c r="D99" i="1"/>
  <c r="E99" i="1"/>
  <c r="H99" i="1"/>
  <c r="H99" i="34" s="1"/>
  <c r="D100" i="1"/>
  <c r="E100" i="1"/>
  <c r="H100" i="1"/>
  <c r="H100" i="34" s="1"/>
  <c r="D101" i="1"/>
  <c r="E101" i="1"/>
  <c r="F101" i="1" s="1"/>
  <c r="G101" i="1" s="1"/>
  <c r="H101" i="1"/>
  <c r="H101" i="34" s="1"/>
  <c r="D102" i="1"/>
  <c r="E102" i="1"/>
  <c r="H102" i="1"/>
  <c r="H102" i="34" s="1"/>
  <c r="D103" i="1"/>
  <c r="E103" i="1"/>
  <c r="H103" i="1"/>
  <c r="H103" i="34" s="1"/>
  <c r="D104" i="1"/>
  <c r="E104" i="1"/>
  <c r="H104" i="1"/>
  <c r="H104" i="34" s="1"/>
  <c r="D105" i="1"/>
  <c r="E105" i="1"/>
  <c r="H105" i="1"/>
  <c r="H105" i="34" s="1"/>
  <c r="D106" i="1"/>
  <c r="E106" i="1"/>
  <c r="H106" i="1"/>
  <c r="H106" i="34" s="1"/>
  <c r="D107" i="1"/>
  <c r="E107" i="1"/>
  <c r="H107" i="1"/>
  <c r="H107" i="34" s="1"/>
  <c r="D108" i="1"/>
  <c r="E108" i="1"/>
  <c r="H108" i="1"/>
  <c r="H108" i="34" s="1"/>
  <c r="D109" i="1"/>
  <c r="E109" i="1"/>
  <c r="H109" i="1"/>
  <c r="H109" i="34" s="1"/>
  <c r="D110" i="1"/>
  <c r="E110" i="1"/>
  <c r="H110" i="1"/>
  <c r="H110" i="34" s="1"/>
  <c r="D111" i="1"/>
  <c r="E111" i="1"/>
  <c r="H111" i="1"/>
  <c r="H111" i="34" s="1"/>
  <c r="D112" i="1"/>
  <c r="E112" i="1"/>
  <c r="H112" i="1"/>
  <c r="H112" i="34" s="1"/>
  <c r="D113" i="1"/>
  <c r="E113" i="1"/>
  <c r="H113" i="1"/>
  <c r="H113" i="34" s="1"/>
  <c r="D114" i="1"/>
  <c r="E114" i="1"/>
  <c r="H114" i="1"/>
  <c r="H114" i="34" s="1"/>
  <c r="D115" i="1"/>
  <c r="E115" i="1"/>
  <c r="H115" i="1"/>
  <c r="H115" i="34" s="1"/>
  <c r="D116" i="1"/>
  <c r="E116" i="1"/>
  <c r="H116" i="1"/>
  <c r="H116" i="34" s="1"/>
  <c r="D117" i="1"/>
  <c r="E117" i="1"/>
  <c r="H117" i="1"/>
  <c r="H117" i="34" s="1"/>
  <c r="D118" i="1"/>
  <c r="E118" i="1"/>
  <c r="H118" i="1"/>
  <c r="H118" i="34" s="1"/>
  <c r="D119" i="1"/>
  <c r="E119" i="1"/>
  <c r="H119" i="1"/>
  <c r="H119" i="34" s="1"/>
  <c r="D120" i="1"/>
  <c r="E120" i="1"/>
  <c r="H120" i="1"/>
  <c r="H120" i="34" s="1"/>
  <c r="D121" i="1"/>
  <c r="E121" i="1"/>
  <c r="H121" i="1"/>
  <c r="H121" i="34" s="1"/>
  <c r="D122" i="1"/>
  <c r="E122" i="1"/>
  <c r="H122" i="1"/>
  <c r="H122" i="34" s="1"/>
  <c r="D123" i="1"/>
  <c r="E123" i="1"/>
  <c r="H123" i="1"/>
  <c r="H123" i="34" s="1"/>
  <c r="D124" i="1"/>
  <c r="E124" i="1"/>
  <c r="H124" i="1"/>
  <c r="H124" i="34" s="1"/>
  <c r="D125" i="1"/>
  <c r="E125" i="1"/>
  <c r="H125" i="1"/>
  <c r="H125" i="34" s="1"/>
  <c r="D126" i="1"/>
  <c r="E126" i="1"/>
  <c r="H126" i="1"/>
  <c r="H126" i="34" s="1"/>
  <c r="D127" i="1"/>
  <c r="E127" i="1"/>
  <c r="H127" i="1"/>
  <c r="H127" i="34" s="1"/>
  <c r="D128" i="1"/>
  <c r="E128" i="1"/>
  <c r="H128" i="1"/>
  <c r="H128" i="34" s="1"/>
  <c r="D129" i="1"/>
  <c r="E129" i="1"/>
  <c r="H129" i="1"/>
  <c r="H129" i="34" s="1"/>
  <c r="D130" i="1"/>
  <c r="E130" i="1"/>
  <c r="H130" i="1"/>
  <c r="H130" i="34" s="1"/>
  <c r="D131" i="1"/>
  <c r="E131" i="1"/>
  <c r="H131" i="1"/>
  <c r="H131" i="34" s="1"/>
  <c r="D132" i="1"/>
  <c r="E132" i="1"/>
  <c r="H132" i="1"/>
  <c r="H132" i="34" s="1"/>
  <c r="D133" i="1"/>
  <c r="E133" i="1"/>
  <c r="H133" i="1"/>
  <c r="H133" i="34" s="1"/>
  <c r="D134" i="1"/>
  <c r="E134" i="1"/>
  <c r="H134" i="1"/>
  <c r="H134" i="34" s="1"/>
  <c r="D135" i="1"/>
  <c r="E135" i="1"/>
  <c r="H135" i="1"/>
  <c r="H135" i="34" s="1"/>
  <c r="D136" i="1"/>
  <c r="E136" i="1"/>
  <c r="H136" i="1"/>
  <c r="H136" i="34" s="1"/>
  <c r="D137" i="1"/>
  <c r="H137" i="1"/>
  <c r="H137" i="34" s="1"/>
  <c r="F127" i="1" l="1"/>
  <c r="G127" i="1" s="1"/>
  <c r="F19" i="1"/>
  <c r="G19" i="1" s="1"/>
  <c r="F113" i="34"/>
  <c r="G113" i="34" s="1"/>
  <c r="F25" i="34"/>
  <c r="G25" i="34" s="1"/>
  <c r="F57" i="34"/>
  <c r="G57" i="34" s="1"/>
  <c r="F53" i="34"/>
  <c r="G53" i="34" s="1"/>
  <c r="F126" i="1"/>
  <c r="G126" i="1" s="1"/>
  <c r="F112" i="34"/>
  <c r="G112" i="34" s="1"/>
  <c r="F64" i="34"/>
  <c r="G64" i="34" s="1"/>
  <c r="F40" i="34"/>
  <c r="G40" i="34" s="1"/>
  <c r="F77" i="34"/>
  <c r="G77" i="34" s="1"/>
  <c r="F33" i="34"/>
  <c r="G33" i="34" s="1"/>
  <c r="F128" i="1"/>
  <c r="G128" i="1" s="1"/>
  <c r="F65" i="34"/>
  <c r="G65" i="34" s="1"/>
  <c r="F26" i="1"/>
  <c r="G26" i="1" s="1"/>
  <c r="F114" i="34"/>
  <c r="G114" i="34" s="1"/>
  <c r="F66" i="34"/>
  <c r="G66" i="34" s="1"/>
  <c r="F46" i="34"/>
  <c r="G46" i="34" s="1"/>
  <c r="F34" i="34"/>
  <c r="G34" i="34" s="1"/>
  <c r="F18" i="34"/>
  <c r="G18" i="34" s="1"/>
  <c r="F70" i="1"/>
  <c r="G70" i="1" s="1"/>
  <c r="F127" i="34"/>
  <c r="G127" i="34" s="1"/>
  <c r="F36" i="1"/>
  <c r="G36" i="1" s="1"/>
  <c r="F125" i="34"/>
  <c r="G125" i="34" s="1"/>
  <c r="F105" i="1"/>
  <c r="G105" i="1" s="1"/>
  <c r="F97" i="1"/>
  <c r="G97" i="1" s="1"/>
  <c r="F73" i="1"/>
  <c r="G73" i="1" s="1"/>
  <c r="F65" i="1"/>
  <c r="G65" i="1" s="1"/>
  <c r="F54" i="1"/>
  <c r="G54" i="1" s="1"/>
  <c r="F46" i="1"/>
  <c r="G46" i="1" s="1"/>
  <c r="F38" i="1"/>
  <c r="G38" i="1" s="1"/>
  <c r="F112" i="1"/>
  <c r="G112" i="1" s="1"/>
  <c r="F72" i="1"/>
  <c r="G72" i="1" s="1"/>
  <c r="F64" i="1"/>
  <c r="G64" i="1" s="1"/>
  <c r="F24" i="1"/>
  <c r="G24" i="1" s="1"/>
  <c r="F123" i="34"/>
  <c r="G123" i="34" s="1"/>
  <c r="F53" i="1"/>
  <c r="G53" i="1" s="1"/>
  <c r="F45" i="1"/>
  <c r="G45" i="1" s="1"/>
  <c r="F55" i="34"/>
  <c r="G55" i="34" s="1"/>
  <c r="F51" i="34"/>
  <c r="G51" i="34" s="1"/>
  <c r="F35" i="34"/>
  <c r="G35" i="34" s="1"/>
  <c r="F23" i="34"/>
  <c r="G23" i="34" s="1"/>
  <c r="F19" i="34"/>
  <c r="G19" i="34" s="1"/>
  <c r="F23" i="1"/>
  <c r="G23" i="1" s="1"/>
  <c r="F124" i="1"/>
  <c r="G124" i="1" s="1"/>
  <c r="F68" i="1"/>
  <c r="G68" i="1" s="1"/>
  <c r="F63" i="1"/>
  <c r="G63" i="1" s="1"/>
  <c r="F55" i="1"/>
  <c r="G55" i="1" s="1"/>
  <c r="F50" i="1"/>
  <c r="G50" i="1" s="1"/>
  <c r="F39" i="1"/>
  <c r="G39" i="1" s="1"/>
  <c r="F37" i="1"/>
  <c r="G37" i="1" s="1"/>
  <c r="F29" i="1"/>
  <c r="G29" i="1" s="1"/>
  <c r="F21" i="1"/>
  <c r="G21" i="1" s="1"/>
  <c r="F135" i="34"/>
  <c r="G135" i="34" s="1"/>
  <c r="F131" i="34"/>
  <c r="G131" i="34" s="1"/>
  <c r="F73" i="34"/>
  <c r="G73" i="34" s="1"/>
  <c r="F47" i="34"/>
  <c r="G47" i="34" s="1"/>
  <c r="F39" i="34"/>
  <c r="G39" i="34" s="1"/>
  <c r="F31" i="34"/>
  <c r="G31" i="34" s="1"/>
  <c r="F52" i="1"/>
  <c r="G52" i="1" s="1"/>
  <c r="F123" i="1"/>
  <c r="G123" i="1" s="1"/>
  <c r="F67" i="1"/>
  <c r="G67" i="1" s="1"/>
  <c r="F27" i="34"/>
  <c r="G27" i="34" s="1"/>
  <c r="F25" i="1"/>
  <c r="G25" i="1" s="1"/>
  <c r="F71" i="34"/>
  <c r="G71" i="34" s="1"/>
  <c r="F56" i="34"/>
  <c r="G56" i="34" s="1"/>
  <c r="F117" i="1"/>
  <c r="G117" i="1" s="1"/>
  <c r="F56" i="1"/>
  <c r="G56" i="1" s="1"/>
  <c r="F51" i="1"/>
  <c r="G51" i="1" s="1"/>
  <c r="F26" i="34"/>
  <c r="G26" i="34" s="1"/>
  <c r="F111" i="1"/>
  <c r="G111" i="1" s="1"/>
  <c r="F66" i="1"/>
  <c r="G66" i="1" s="1"/>
  <c r="F61" i="1"/>
  <c r="G61" i="1" s="1"/>
  <c r="F40" i="1"/>
  <c r="G40" i="1" s="1"/>
  <c r="F35" i="1"/>
  <c r="G35" i="1" s="1"/>
  <c r="F128" i="34"/>
  <c r="G128" i="34" s="1"/>
  <c r="F124" i="34"/>
  <c r="G124" i="34" s="1"/>
  <c r="F133" i="1"/>
  <c r="G133" i="1" s="1"/>
  <c r="F113" i="1"/>
  <c r="G113" i="1" s="1"/>
  <c r="F84" i="1"/>
  <c r="G84" i="1" s="1"/>
  <c r="F48" i="1"/>
  <c r="G48" i="1" s="1"/>
  <c r="F33" i="1"/>
  <c r="G33" i="1" s="1"/>
  <c r="F30" i="1"/>
  <c r="G30" i="1" s="1"/>
  <c r="F137" i="34"/>
  <c r="G137" i="34" s="1"/>
  <c r="F91" i="34"/>
  <c r="G91" i="34" s="1"/>
  <c r="F79" i="34"/>
  <c r="G79" i="34" s="1"/>
  <c r="F70" i="34"/>
  <c r="G70" i="34" s="1"/>
  <c r="F49" i="34"/>
  <c r="G49" i="34" s="1"/>
  <c r="F20" i="1"/>
  <c r="G20" i="1" s="1"/>
  <c r="F134" i="34"/>
  <c r="G134" i="34" s="1"/>
  <c r="F121" i="34"/>
  <c r="G121" i="34" s="1"/>
  <c r="F115" i="34"/>
  <c r="G115" i="34" s="1"/>
  <c r="F72" i="34"/>
  <c r="G72" i="34" s="1"/>
  <c r="F67" i="34"/>
  <c r="G67" i="34" s="1"/>
  <c r="F59" i="34"/>
  <c r="G59" i="34" s="1"/>
  <c r="F54" i="34"/>
  <c r="G54" i="34" s="1"/>
  <c r="F130" i="1"/>
  <c r="G130" i="1" s="1"/>
  <c r="F115" i="1"/>
  <c r="G115" i="1" s="1"/>
  <c r="F102" i="1"/>
  <c r="G102" i="1" s="1"/>
  <c r="F135" i="1"/>
  <c r="G135" i="1" s="1"/>
  <c r="F125" i="1"/>
  <c r="G125" i="1" s="1"/>
  <c r="F99" i="1"/>
  <c r="G99" i="1" s="1"/>
  <c r="F96" i="1"/>
  <c r="G96" i="1" s="1"/>
  <c r="F91" i="1"/>
  <c r="G91" i="1" s="1"/>
  <c r="F88" i="1"/>
  <c r="G88" i="1" s="1"/>
  <c r="F57" i="1"/>
  <c r="G57" i="1" s="1"/>
  <c r="F42" i="1"/>
  <c r="G42" i="1" s="1"/>
  <c r="F32" i="1"/>
  <c r="G32" i="1" s="1"/>
  <c r="F27" i="1"/>
  <c r="G27" i="1" s="1"/>
  <c r="F133" i="34"/>
  <c r="G133" i="34" s="1"/>
  <c r="F126" i="34"/>
  <c r="G126" i="34" s="1"/>
  <c r="F117" i="34"/>
  <c r="G117" i="34" s="1"/>
  <c r="F102" i="34"/>
  <c r="G102" i="34" s="1"/>
  <c r="F74" i="34"/>
  <c r="G74" i="34" s="1"/>
  <c r="F61" i="34"/>
  <c r="G61" i="34" s="1"/>
  <c r="F48" i="34"/>
  <c r="G48" i="34" s="1"/>
  <c r="F43" i="34"/>
  <c r="G43" i="34" s="1"/>
  <c r="F38" i="34"/>
  <c r="G38" i="34" s="1"/>
  <c r="F137" i="1"/>
  <c r="G137" i="1" s="1"/>
  <c r="F114" i="1"/>
  <c r="G114" i="1" s="1"/>
  <c r="F109" i="1"/>
  <c r="G109" i="1" s="1"/>
  <c r="F82" i="1"/>
  <c r="G82" i="1" s="1"/>
  <c r="F69" i="1"/>
  <c r="G69" i="1" s="1"/>
  <c r="F59" i="1"/>
  <c r="G59" i="1" s="1"/>
  <c r="F49" i="1"/>
  <c r="G49" i="1" s="1"/>
  <c r="F44" i="1"/>
  <c r="G44" i="1" s="1"/>
  <c r="F34" i="1"/>
  <c r="G34" i="1" s="1"/>
  <c r="F130" i="34"/>
  <c r="G130" i="34" s="1"/>
  <c r="F116" i="34"/>
  <c r="G116" i="34" s="1"/>
  <c r="F111" i="34"/>
  <c r="G111" i="34" s="1"/>
  <c r="F50" i="34"/>
  <c r="G50" i="34" s="1"/>
  <c r="F45" i="34"/>
  <c r="G45" i="34" s="1"/>
  <c r="F32" i="34"/>
  <c r="G32" i="34" s="1"/>
  <c r="F24" i="34"/>
  <c r="G24" i="34" s="1"/>
  <c r="F79" i="1"/>
  <c r="G79" i="1" s="1"/>
  <c r="F71" i="1"/>
  <c r="G71" i="1" s="1"/>
  <c r="F42" i="34"/>
  <c r="G42" i="34" s="1"/>
  <c r="F29" i="34"/>
  <c r="G29" i="34" s="1"/>
  <c r="F21" i="34"/>
  <c r="G21" i="34" s="1"/>
  <c r="F131" i="1"/>
  <c r="G131" i="1" s="1"/>
  <c r="F116" i="1"/>
  <c r="G116" i="1" s="1"/>
  <c r="F28" i="1"/>
  <c r="G28" i="1" s="1"/>
  <c r="F30" i="34"/>
  <c r="G30" i="34" s="1"/>
  <c r="F41" i="1"/>
  <c r="G41" i="1" s="1"/>
  <c r="F41" i="34"/>
  <c r="G41" i="34" s="1"/>
  <c r="F37" i="34"/>
  <c r="G37" i="34" s="1"/>
  <c r="F43" i="1"/>
  <c r="G43" i="1" s="1"/>
  <c r="F60" i="1"/>
  <c r="G60" i="1" s="1"/>
  <c r="F63" i="34"/>
  <c r="G63" i="34" s="1"/>
  <c r="F62" i="34"/>
  <c r="G62" i="34" s="1"/>
  <c r="F62" i="1"/>
  <c r="G62" i="1" s="1"/>
  <c r="F69" i="34"/>
  <c r="G69" i="34" s="1"/>
  <c r="F119" i="34"/>
  <c r="G119" i="34" s="1"/>
  <c r="F118" i="1"/>
  <c r="G118" i="1" s="1"/>
  <c r="F136" i="1"/>
  <c r="G136" i="1" s="1"/>
  <c r="F136" i="34"/>
  <c r="G136" i="34" s="1"/>
  <c r="F134" i="1"/>
  <c r="G134" i="1" s="1"/>
  <c r="F132" i="1"/>
  <c r="G132" i="1" s="1"/>
  <c r="F129" i="1"/>
  <c r="G129" i="1" s="1"/>
  <c r="F129" i="34"/>
  <c r="G129" i="34" s="1"/>
  <c r="F122" i="34"/>
  <c r="G122" i="34" s="1"/>
  <c r="F122" i="1"/>
  <c r="G122" i="1" s="1"/>
  <c r="F121" i="1"/>
  <c r="G121" i="1" s="1"/>
  <c r="F120" i="1"/>
  <c r="G120" i="1" s="1"/>
  <c r="F120" i="34"/>
  <c r="G120" i="34" s="1"/>
  <c r="F118" i="34"/>
  <c r="G118" i="34" s="1"/>
  <c r="F58" i="34"/>
  <c r="G58" i="34" s="1"/>
  <c r="F58" i="1"/>
  <c r="G58" i="1" s="1"/>
  <c r="F18" i="1"/>
  <c r="G18" i="1" s="1"/>
  <c r="F22" i="1"/>
  <c r="G22" i="1" s="1"/>
  <c r="F22" i="34"/>
  <c r="G22" i="34" s="1"/>
  <c r="F110" i="1"/>
  <c r="G110" i="1" s="1"/>
  <c r="F110" i="34"/>
  <c r="G110" i="34" s="1"/>
  <c r="F109" i="34"/>
  <c r="G109" i="34" s="1"/>
  <c r="F108" i="1"/>
  <c r="G108" i="1" s="1"/>
  <c r="F107" i="1"/>
  <c r="G107" i="1" s="1"/>
  <c r="F107" i="34"/>
  <c r="G107" i="34" s="1"/>
  <c r="F106" i="34"/>
  <c r="G106" i="34" s="1"/>
  <c r="F105" i="34"/>
  <c r="G105" i="34" s="1"/>
  <c r="F104" i="1"/>
  <c r="G104" i="1" s="1"/>
  <c r="F104" i="34"/>
  <c r="G104" i="34" s="1"/>
  <c r="F103" i="34"/>
  <c r="G103" i="34" s="1"/>
  <c r="F101" i="34"/>
  <c r="G101" i="34" s="1"/>
  <c r="F100" i="1"/>
  <c r="G100" i="1" s="1"/>
  <c r="F99" i="34"/>
  <c r="G99" i="34" s="1"/>
  <c r="F98" i="34"/>
  <c r="G98" i="34" s="1"/>
  <c r="F97" i="34"/>
  <c r="G97" i="34" s="1"/>
  <c r="F96" i="34"/>
  <c r="G96" i="34" s="1"/>
  <c r="F95" i="34"/>
  <c r="G95" i="34" s="1"/>
  <c r="F94" i="1"/>
  <c r="G94" i="1" s="1"/>
  <c r="F94" i="34"/>
  <c r="G94" i="34" s="1"/>
  <c r="F93" i="1"/>
  <c r="G93" i="1" s="1"/>
  <c r="F93" i="34"/>
  <c r="G93" i="34" s="1"/>
  <c r="F92" i="1"/>
  <c r="G92" i="1" s="1"/>
  <c r="F88" i="34"/>
  <c r="G88" i="34" s="1"/>
  <c r="F90" i="34"/>
  <c r="G90" i="34" s="1"/>
  <c r="F86" i="1"/>
  <c r="G86" i="1" s="1"/>
  <c r="F87" i="34"/>
  <c r="G87" i="34" s="1"/>
  <c r="F89" i="34"/>
  <c r="G89" i="34" s="1"/>
  <c r="F86" i="34"/>
  <c r="G86" i="34" s="1"/>
  <c r="F89" i="1"/>
  <c r="G89" i="1" s="1"/>
  <c r="F95" i="1"/>
  <c r="G95" i="1" s="1"/>
  <c r="F92" i="34"/>
  <c r="G92" i="34" s="1"/>
  <c r="F87" i="1"/>
  <c r="G87" i="1" s="1"/>
  <c r="F85" i="1"/>
  <c r="G85" i="1" s="1"/>
  <c r="F85" i="34"/>
  <c r="G85" i="34" s="1"/>
  <c r="F119" i="1"/>
  <c r="G119" i="1" s="1"/>
  <c r="F90" i="1"/>
  <c r="G90" i="1" s="1"/>
  <c r="F31" i="1"/>
  <c r="G31" i="1" s="1"/>
  <c r="F84" i="34"/>
  <c r="G84" i="34" s="1"/>
  <c r="F60" i="34"/>
  <c r="G60" i="34" s="1"/>
  <c r="F44" i="34"/>
  <c r="G44" i="34" s="1"/>
  <c r="F28" i="34"/>
  <c r="G28" i="34" s="1"/>
  <c r="F74" i="1"/>
  <c r="G74" i="1" s="1"/>
  <c r="F132" i="34"/>
  <c r="G132" i="34" s="1"/>
  <c r="F47" i="1"/>
  <c r="G47" i="1" s="1"/>
  <c r="F68" i="34"/>
  <c r="G68" i="34" s="1"/>
  <c r="F52" i="34"/>
  <c r="G52" i="34" s="1"/>
  <c r="F36" i="34"/>
  <c r="G36" i="34" s="1"/>
  <c r="F20" i="34"/>
  <c r="G20" i="34" s="1"/>
  <c r="F75" i="34"/>
  <c r="G75" i="34" s="1"/>
  <c r="F75" i="1"/>
  <c r="G75" i="1" s="1"/>
  <c r="F76" i="1"/>
  <c r="G76" i="1" s="1"/>
  <c r="F77" i="1"/>
  <c r="G77" i="1" s="1"/>
  <c r="F83" i="34"/>
  <c r="G83" i="34" s="1"/>
  <c r="F83" i="1"/>
  <c r="G83" i="1" s="1"/>
  <c r="F82" i="34"/>
  <c r="G82" i="34" s="1"/>
  <c r="F80" i="34"/>
  <c r="G80" i="34" s="1"/>
  <c r="F81" i="1"/>
  <c r="G81" i="1" s="1"/>
  <c r="F81" i="34"/>
  <c r="G81" i="34" s="1"/>
  <c r="F80" i="1"/>
  <c r="G80" i="1" s="1"/>
  <c r="F76" i="34"/>
  <c r="G76" i="34" s="1"/>
  <c r="F78" i="1"/>
  <c r="G78" i="1" s="1"/>
  <c r="F78" i="34"/>
  <c r="G78" i="34" s="1"/>
  <c r="F100" i="34"/>
  <c r="G100" i="34" s="1"/>
  <c r="F106" i="1"/>
  <c r="G106" i="1" s="1"/>
  <c r="F108" i="34"/>
  <c r="G108" i="34" s="1"/>
  <c r="F103" i="1"/>
  <c r="G103" i="1" s="1"/>
  <c r="F98" i="1"/>
  <c r="G98" i="1" s="1"/>
  <c r="F18" i="3"/>
  <c r="G18" i="3" s="1"/>
  <c r="I18" i="3"/>
  <c r="J18" i="3" s="1"/>
  <c r="F19" i="3"/>
  <c r="G19" i="3" s="1"/>
  <c r="I19" i="3"/>
  <c r="J19" i="3" s="1"/>
  <c r="F20" i="3"/>
  <c r="G20" i="3" s="1"/>
  <c r="I20" i="3"/>
  <c r="J20" i="3" s="1"/>
  <c r="F21" i="3"/>
  <c r="G21" i="3" s="1"/>
  <c r="I21" i="3"/>
  <c r="J21" i="3" s="1"/>
  <c r="F22" i="3"/>
  <c r="G22" i="3" s="1"/>
  <c r="I22" i="3"/>
  <c r="J22" i="3" s="1"/>
  <c r="F23" i="3"/>
  <c r="G23" i="3" s="1"/>
  <c r="I23" i="3"/>
  <c r="J23" i="3" s="1"/>
  <c r="F24" i="3"/>
  <c r="G24" i="3" s="1"/>
  <c r="I24" i="3"/>
  <c r="J24" i="3" s="1"/>
  <c r="F25" i="3"/>
  <c r="G25" i="3" s="1"/>
  <c r="I25" i="3"/>
  <c r="J25" i="3" s="1"/>
  <c r="F26" i="3"/>
  <c r="G26" i="3" s="1"/>
  <c r="I26" i="3"/>
  <c r="J26" i="3" s="1"/>
  <c r="F27" i="3"/>
  <c r="G27" i="3" s="1"/>
  <c r="I27" i="3"/>
  <c r="J27" i="3" s="1"/>
  <c r="F28" i="3"/>
  <c r="G28" i="3" s="1"/>
  <c r="I28" i="3"/>
  <c r="J28" i="3" s="1"/>
  <c r="F29" i="3"/>
  <c r="G29" i="3" s="1"/>
  <c r="I29" i="3"/>
  <c r="J29" i="3" s="1"/>
  <c r="F30" i="3"/>
  <c r="G30" i="3" s="1"/>
  <c r="I30" i="3"/>
  <c r="J30" i="3" s="1"/>
  <c r="F31" i="3"/>
  <c r="G31" i="3" s="1"/>
  <c r="I31" i="3"/>
  <c r="J31" i="3" s="1"/>
  <c r="F32" i="3"/>
  <c r="G32" i="3" s="1"/>
  <c r="I32" i="3"/>
  <c r="J32" i="3" s="1"/>
  <c r="F33" i="3"/>
  <c r="G33" i="3" s="1"/>
  <c r="I33" i="3"/>
  <c r="J33" i="3" s="1"/>
  <c r="F34" i="3"/>
  <c r="G34" i="3" s="1"/>
  <c r="I34" i="3"/>
  <c r="J34" i="3" s="1"/>
  <c r="F35" i="3"/>
  <c r="G35" i="3" s="1"/>
  <c r="I35" i="3"/>
  <c r="J35" i="3" s="1"/>
  <c r="F36" i="3"/>
  <c r="G36" i="3" s="1"/>
  <c r="I36" i="3"/>
  <c r="J36" i="3" s="1"/>
  <c r="F37" i="3"/>
  <c r="G37" i="3" s="1"/>
  <c r="I37" i="3"/>
  <c r="J37" i="3" s="1"/>
  <c r="F38" i="3"/>
  <c r="G38" i="3" s="1"/>
  <c r="I38" i="3"/>
  <c r="J38" i="3" s="1"/>
  <c r="F39" i="3"/>
  <c r="G39" i="3" s="1"/>
  <c r="I39" i="3"/>
  <c r="J39" i="3" s="1"/>
  <c r="F40" i="3"/>
  <c r="G40" i="3" s="1"/>
  <c r="I40" i="3"/>
  <c r="J40" i="3" s="1"/>
  <c r="F41" i="3"/>
  <c r="G41" i="3" s="1"/>
  <c r="I41" i="3"/>
  <c r="J41" i="3" s="1"/>
  <c r="F42" i="3"/>
  <c r="G42" i="3" s="1"/>
  <c r="I42" i="3"/>
  <c r="J42" i="3" s="1"/>
  <c r="F43" i="3"/>
  <c r="G43" i="3" s="1"/>
  <c r="I43" i="3"/>
  <c r="J43" i="3" s="1"/>
  <c r="F44" i="3"/>
  <c r="G44" i="3" s="1"/>
  <c r="I44" i="3"/>
  <c r="J44" i="3" s="1"/>
  <c r="F45" i="3"/>
  <c r="G45" i="3" s="1"/>
  <c r="I45" i="3"/>
  <c r="J45" i="3" s="1"/>
  <c r="F46" i="3"/>
  <c r="G46" i="3" s="1"/>
  <c r="I46" i="3"/>
  <c r="J46" i="3" s="1"/>
  <c r="F47" i="3"/>
  <c r="G47" i="3" s="1"/>
  <c r="I47" i="3"/>
  <c r="J47" i="3" s="1"/>
  <c r="F48" i="3"/>
  <c r="G48" i="3" s="1"/>
  <c r="I48" i="3"/>
  <c r="J48" i="3" s="1"/>
  <c r="F49" i="3"/>
  <c r="G49" i="3" s="1"/>
  <c r="I49" i="3"/>
  <c r="J49" i="3" s="1"/>
  <c r="F50" i="3"/>
  <c r="G50" i="3" s="1"/>
  <c r="I50" i="3"/>
  <c r="J50" i="3" s="1"/>
  <c r="F51" i="3"/>
  <c r="G51" i="3" s="1"/>
  <c r="I51" i="3"/>
  <c r="J51" i="3" s="1"/>
  <c r="F52" i="3"/>
  <c r="G52" i="3" s="1"/>
  <c r="I52" i="3"/>
  <c r="J52" i="3" s="1"/>
  <c r="F53" i="3"/>
  <c r="G53" i="3" s="1"/>
  <c r="I53" i="3"/>
  <c r="J53" i="3" s="1"/>
  <c r="F54" i="3"/>
  <c r="G54" i="3" s="1"/>
  <c r="I54" i="3"/>
  <c r="J54" i="3" s="1"/>
  <c r="F55" i="3"/>
  <c r="G55" i="3" s="1"/>
  <c r="I55" i="3"/>
  <c r="J55" i="3" s="1"/>
  <c r="F56" i="3"/>
  <c r="G56" i="3" s="1"/>
  <c r="I56" i="3"/>
  <c r="J56" i="3" s="1"/>
  <c r="F57" i="3"/>
  <c r="G57" i="3" s="1"/>
  <c r="I57" i="3"/>
  <c r="J57" i="3" s="1"/>
  <c r="F58" i="3"/>
  <c r="G58" i="3" s="1"/>
  <c r="I58" i="3"/>
  <c r="J58" i="3" s="1"/>
  <c r="F59" i="3"/>
  <c r="G59" i="3" s="1"/>
  <c r="I59" i="3"/>
  <c r="J59" i="3" s="1"/>
  <c r="F60" i="3"/>
  <c r="G60" i="3" s="1"/>
  <c r="I60" i="3"/>
  <c r="J60" i="3" s="1"/>
  <c r="F61" i="3"/>
  <c r="G61" i="3" s="1"/>
  <c r="I61" i="3"/>
  <c r="J61" i="3" s="1"/>
  <c r="F62" i="3"/>
  <c r="G62" i="3" s="1"/>
  <c r="I62" i="3"/>
  <c r="J62" i="3" s="1"/>
  <c r="F63" i="3"/>
  <c r="G63" i="3" s="1"/>
  <c r="I63" i="3"/>
  <c r="J63" i="3" s="1"/>
  <c r="F64" i="3"/>
  <c r="G64" i="3" s="1"/>
  <c r="I64" i="3"/>
  <c r="J64" i="3" s="1"/>
  <c r="F65" i="3"/>
  <c r="G65" i="3" s="1"/>
  <c r="I65" i="3"/>
  <c r="J65" i="3" s="1"/>
  <c r="F66" i="3"/>
  <c r="G66" i="3" s="1"/>
  <c r="I66" i="3"/>
  <c r="J66" i="3" s="1"/>
  <c r="F67" i="3"/>
  <c r="G67" i="3" s="1"/>
  <c r="I67" i="3"/>
  <c r="J67" i="3" s="1"/>
  <c r="F68" i="3"/>
  <c r="G68" i="3" s="1"/>
  <c r="I68" i="3"/>
  <c r="J68" i="3" s="1"/>
  <c r="F69" i="3"/>
  <c r="G69" i="3" s="1"/>
  <c r="I69" i="3"/>
  <c r="J69" i="3" s="1"/>
  <c r="F70" i="3"/>
  <c r="G70" i="3" s="1"/>
  <c r="I70" i="3"/>
  <c r="J70" i="3" s="1"/>
  <c r="F71" i="3"/>
  <c r="G71" i="3" s="1"/>
  <c r="I71" i="3"/>
  <c r="J71" i="3" s="1"/>
  <c r="F72" i="3"/>
  <c r="G72" i="3" s="1"/>
  <c r="I72" i="3"/>
  <c r="J72" i="3" s="1"/>
  <c r="F73" i="3"/>
  <c r="G73" i="3" s="1"/>
  <c r="I73" i="3"/>
  <c r="J73" i="3" s="1"/>
  <c r="F74" i="3"/>
  <c r="G74" i="3" s="1"/>
  <c r="I74" i="3"/>
  <c r="J74" i="3" s="1"/>
  <c r="F75" i="3"/>
  <c r="G75" i="3" s="1"/>
  <c r="I75" i="3"/>
  <c r="G76" i="3"/>
  <c r="I76" i="3"/>
  <c r="F77" i="3"/>
  <c r="G77" i="3" s="1"/>
  <c r="I77" i="3"/>
  <c r="F78" i="3"/>
  <c r="G78" i="3" s="1"/>
  <c r="I78" i="3"/>
  <c r="F79" i="3"/>
  <c r="G79" i="3" s="1"/>
  <c r="I79" i="3"/>
  <c r="F80" i="3"/>
  <c r="G80" i="3" s="1"/>
  <c r="I80" i="3"/>
  <c r="F81" i="3"/>
  <c r="G81" i="3" s="1"/>
  <c r="I81" i="3"/>
  <c r="F82" i="3"/>
  <c r="G82" i="3" s="1"/>
  <c r="I82" i="3"/>
  <c r="F83" i="3"/>
  <c r="G83" i="3" s="1"/>
  <c r="I83" i="3"/>
  <c r="F84" i="3"/>
  <c r="G84" i="3" s="1"/>
  <c r="I84" i="3"/>
  <c r="F85" i="3"/>
  <c r="G85" i="3" s="1"/>
  <c r="I85" i="3"/>
  <c r="J85" i="3" s="1"/>
  <c r="F86" i="3"/>
  <c r="G86" i="3" s="1"/>
  <c r="I86" i="3"/>
  <c r="J86" i="3" s="1"/>
  <c r="F87" i="3"/>
  <c r="G87" i="3" s="1"/>
  <c r="I87" i="3"/>
  <c r="J87" i="3" s="1"/>
  <c r="F88" i="3"/>
  <c r="G88" i="3" s="1"/>
  <c r="I88" i="3"/>
  <c r="J88" i="3" s="1"/>
  <c r="F89" i="3"/>
  <c r="G89" i="3" s="1"/>
  <c r="I89" i="3"/>
  <c r="J89" i="3" s="1"/>
  <c r="F90" i="3"/>
  <c r="G90" i="3" s="1"/>
  <c r="I90" i="3"/>
  <c r="J90" i="3" s="1"/>
  <c r="F91" i="3"/>
  <c r="G91" i="3" s="1"/>
  <c r="I91" i="3"/>
  <c r="J91" i="3" s="1"/>
  <c r="F92" i="3"/>
  <c r="G92" i="3" s="1"/>
  <c r="I92" i="3"/>
  <c r="J92" i="3" s="1"/>
  <c r="F93" i="3"/>
  <c r="G93" i="3" s="1"/>
  <c r="I93" i="3"/>
  <c r="J93" i="3" s="1"/>
  <c r="F94" i="3"/>
  <c r="G94" i="3" s="1"/>
  <c r="I94" i="3"/>
  <c r="J94" i="3" s="1"/>
  <c r="F95" i="3"/>
  <c r="G95" i="3" s="1"/>
  <c r="I95" i="3"/>
  <c r="J95" i="3" s="1"/>
  <c r="F96" i="3"/>
  <c r="G96" i="3" s="1"/>
  <c r="I96" i="3"/>
  <c r="J96" i="3" s="1"/>
  <c r="F97" i="3"/>
  <c r="G97" i="3" s="1"/>
  <c r="I97" i="3"/>
  <c r="F98" i="3"/>
  <c r="G98" i="3" s="1"/>
  <c r="I98" i="3"/>
  <c r="F99" i="3"/>
  <c r="G99" i="3" s="1"/>
  <c r="I99" i="3"/>
  <c r="F100" i="3"/>
  <c r="G100" i="3" s="1"/>
  <c r="I100" i="3"/>
  <c r="F101" i="3"/>
  <c r="G101" i="3" s="1"/>
  <c r="I101" i="3"/>
  <c r="F102" i="3"/>
  <c r="G102" i="3" s="1"/>
  <c r="I102" i="3"/>
  <c r="F103" i="3"/>
  <c r="G103" i="3" s="1"/>
  <c r="I103" i="3"/>
  <c r="F104" i="3"/>
  <c r="G104" i="3" s="1"/>
  <c r="I104" i="3"/>
  <c r="F105" i="3"/>
  <c r="G105" i="3" s="1"/>
  <c r="I105" i="3"/>
  <c r="F106" i="3"/>
  <c r="G106" i="3" s="1"/>
  <c r="I106" i="3"/>
  <c r="F107" i="3"/>
  <c r="G107" i="3" s="1"/>
  <c r="I107" i="3"/>
  <c r="F108" i="3"/>
  <c r="G108" i="3" s="1"/>
  <c r="I108" i="3"/>
  <c r="F109" i="3"/>
  <c r="G109" i="3" s="1"/>
  <c r="I109" i="3"/>
  <c r="J109" i="3" s="1"/>
  <c r="F110" i="3"/>
  <c r="G110" i="3" s="1"/>
  <c r="I110" i="3"/>
  <c r="J110" i="3" s="1"/>
  <c r="F111" i="3"/>
  <c r="G111" i="3" s="1"/>
  <c r="I111" i="3"/>
  <c r="J111" i="3" s="1"/>
  <c r="F112" i="3"/>
  <c r="G112" i="3" s="1"/>
  <c r="I112" i="3"/>
  <c r="J112" i="3" s="1"/>
  <c r="F113" i="3"/>
  <c r="G113" i="3" s="1"/>
  <c r="I113" i="3"/>
  <c r="J113" i="3" s="1"/>
  <c r="F114" i="3"/>
  <c r="G114" i="3" s="1"/>
  <c r="I114" i="3"/>
  <c r="J114" i="3" s="1"/>
  <c r="F115" i="3"/>
  <c r="G115" i="3" s="1"/>
  <c r="I115" i="3"/>
  <c r="J115" i="3" s="1"/>
  <c r="F116" i="3"/>
  <c r="G116" i="3" s="1"/>
  <c r="I116" i="3"/>
  <c r="J116" i="3" s="1"/>
  <c r="F117" i="3"/>
  <c r="G117" i="3" s="1"/>
  <c r="I117" i="3"/>
  <c r="J117" i="3" s="1"/>
  <c r="F118" i="3"/>
  <c r="G118" i="3" s="1"/>
  <c r="I118" i="3"/>
  <c r="J118" i="3" s="1"/>
  <c r="F119" i="3"/>
  <c r="G119" i="3" s="1"/>
  <c r="I119" i="3"/>
  <c r="J119" i="3" s="1"/>
  <c r="F120" i="3"/>
  <c r="G120" i="3" s="1"/>
  <c r="I120" i="3"/>
  <c r="J120" i="3" s="1"/>
  <c r="F121" i="3"/>
  <c r="G121" i="3" s="1"/>
  <c r="I121" i="3"/>
  <c r="J121" i="3" s="1"/>
  <c r="F122" i="3"/>
  <c r="G122" i="3" s="1"/>
  <c r="I122" i="3"/>
  <c r="J122" i="3" s="1"/>
  <c r="F123" i="3"/>
  <c r="G123" i="3" s="1"/>
  <c r="I123" i="3"/>
  <c r="J123" i="3" s="1"/>
  <c r="F124" i="3"/>
  <c r="G124" i="3" s="1"/>
  <c r="I124" i="3"/>
  <c r="J124" i="3" s="1"/>
  <c r="F125" i="3"/>
  <c r="G125" i="3" s="1"/>
  <c r="I125" i="3"/>
  <c r="J125" i="3" s="1"/>
  <c r="F126" i="3"/>
  <c r="G126" i="3" s="1"/>
  <c r="I126" i="3"/>
  <c r="J126" i="3" s="1"/>
  <c r="F127" i="3"/>
  <c r="G127" i="3" s="1"/>
  <c r="I127" i="3"/>
  <c r="J127" i="3" s="1"/>
  <c r="F128" i="3"/>
  <c r="G128" i="3" s="1"/>
  <c r="I128" i="3"/>
  <c r="J128" i="3" s="1"/>
  <c r="F129" i="3"/>
  <c r="G129" i="3" s="1"/>
  <c r="I129" i="3"/>
  <c r="J129" i="3" s="1"/>
  <c r="F130" i="3"/>
  <c r="G130" i="3" s="1"/>
  <c r="I130" i="3"/>
  <c r="J130" i="3" s="1"/>
  <c r="F131" i="3"/>
  <c r="G131" i="3" s="1"/>
  <c r="I131" i="3"/>
  <c r="J131" i="3" s="1"/>
  <c r="F132" i="3"/>
  <c r="G132" i="3" s="1"/>
  <c r="I132" i="3"/>
  <c r="J132" i="3" s="1"/>
  <c r="F133" i="3"/>
  <c r="G133" i="3" s="1"/>
  <c r="I133" i="3"/>
  <c r="J133" i="3" s="1"/>
  <c r="F134" i="3"/>
  <c r="G134" i="3" s="1"/>
  <c r="I134" i="3"/>
  <c r="J134" i="3" s="1"/>
  <c r="F135" i="3"/>
  <c r="G135" i="3" s="1"/>
  <c r="I135" i="3"/>
  <c r="J135" i="3" s="1"/>
  <c r="F136" i="3"/>
  <c r="G136" i="3" s="1"/>
  <c r="I136" i="3"/>
  <c r="J136" i="3" s="1"/>
  <c r="F137" i="3"/>
  <c r="G137" i="3" s="1"/>
  <c r="I137" i="3"/>
  <c r="J137" i="3" s="1"/>
  <c r="I18" i="72"/>
  <c r="I19" i="72"/>
  <c r="I20" i="72"/>
  <c r="I21" i="72"/>
  <c r="I22" i="72"/>
  <c r="I23" i="72"/>
  <c r="I24" i="72"/>
  <c r="I25" i="72"/>
  <c r="I26" i="72"/>
  <c r="I27" i="72"/>
  <c r="I28" i="72"/>
  <c r="I29" i="72"/>
  <c r="I30" i="72"/>
  <c r="I31" i="72"/>
  <c r="I32" i="72"/>
  <c r="I33" i="72"/>
  <c r="I34" i="72"/>
  <c r="I35" i="72"/>
  <c r="I36" i="72"/>
  <c r="I37" i="72"/>
  <c r="I38" i="72"/>
  <c r="I39" i="72"/>
  <c r="I40" i="72"/>
  <c r="I41" i="72"/>
  <c r="I42" i="72"/>
  <c r="I43" i="72"/>
  <c r="I44" i="72"/>
  <c r="I45" i="72"/>
  <c r="I46" i="72"/>
  <c r="I47" i="72"/>
  <c r="I48" i="72"/>
  <c r="I49" i="72"/>
  <c r="I50" i="72"/>
  <c r="I51" i="72"/>
  <c r="I52" i="72"/>
  <c r="I53" i="72"/>
  <c r="I54" i="72"/>
  <c r="I55" i="72"/>
  <c r="I56" i="72"/>
  <c r="I57" i="72"/>
  <c r="I58" i="72"/>
  <c r="I59" i="72"/>
  <c r="I60" i="72"/>
  <c r="I61" i="72"/>
  <c r="I62" i="72"/>
  <c r="I63" i="72"/>
  <c r="I64" i="72"/>
  <c r="I65" i="72"/>
  <c r="I66" i="72"/>
  <c r="I67" i="72"/>
  <c r="I68" i="72"/>
  <c r="I69" i="72"/>
  <c r="I70" i="72"/>
  <c r="I71" i="72"/>
  <c r="I72" i="72"/>
  <c r="I73" i="72"/>
  <c r="I74" i="72"/>
  <c r="I75" i="72"/>
  <c r="J75" i="72" s="1"/>
  <c r="I76" i="72"/>
  <c r="J76" i="72" s="1"/>
  <c r="I77" i="72"/>
  <c r="J77" i="72" s="1"/>
  <c r="I78" i="72"/>
  <c r="J78" i="72" s="1"/>
  <c r="I79" i="72"/>
  <c r="J79" i="72" s="1"/>
  <c r="I80" i="72"/>
  <c r="J80" i="72" s="1"/>
  <c r="I81" i="72"/>
  <c r="J81" i="72" s="1"/>
  <c r="I82" i="72"/>
  <c r="J82" i="72" s="1"/>
  <c r="I83" i="72"/>
  <c r="J83" i="72" s="1"/>
  <c r="I84" i="72"/>
  <c r="J84" i="72" s="1"/>
  <c r="I85" i="72"/>
  <c r="I86" i="72"/>
  <c r="I87" i="72"/>
  <c r="I88" i="72"/>
  <c r="I89" i="72"/>
  <c r="I90" i="72"/>
  <c r="I91" i="72"/>
  <c r="I92" i="72"/>
  <c r="I93" i="72"/>
  <c r="I94" i="72"/>
  <c r="I95" i="72"/>
  <c r="I96" i="72"/>
  <c r="I97" i="72"/>
  <c r="J97" i="72" s="1"/>
  <c r="I98" i="72"/>
  <c r="J98" i="72" s="1"/>
  <c r="I99" i="72"/>
  <c r="J99" i="72" s="1"/>
  <c r="I100" i="72"/>
  <c r="J100" i="72" s="1"/>
  <c r="I101" i="72"/>
  <c r="J101" i="72" s="1"/>
  <c r="I102" i="72"/>
  <c r="J102" i="72" s="1"/>
  <c r="I103" i="72"/>
  <c r="J103" i="72" s="1"/>
  <c r="I104" i="72"/>
  <c r="J104" i="72" s="1"/>
  <c r="I105" i="72"/>
  <c r="J105" i="72" s="1"/>
  <c r="I106" i="72"/>
  <c r="J106" i="72" s="1"/>
  <c r="I107" i="72"/>
  <c r="J107" i="72" s="1"/>
  <c r="I108" i="72"/>
  <c r="J108" i="72" s="1"/>
  <c r="I109" i="72"/>
  <c r="I110" i="72"/>
  <c r="I111" i="72"/>
  <c r="I112" i="72"/>
  <c r="I113" i="72"/>
  <c r="I114" i="72"/>
  <c r="I115" i="72"/>
  <c r="I116" i="72"/>
  <c r="I117" i="72"/>
  <c r="I118" i="72"/>
  <c r="I119" i="72"/>
  <c r="I120" i="72"/>
  <c r="I121" i="72"/>
  <c r="I122" i="72"/>
  <c r="I123" i="72"/>
  <c r="I124" i="72"/>
  <c r="I125" i="72"/>
  <c r="I126" i="72"/>
  <c r="I127" i="72"/>
  <c r="I128" i="72"/>
  <c r="I129" i="72"/>
  <c r="I130" i="72"/>
  <c r="I131" i="72"/>
  <c r="I132" i="72"/>
  <c r="I133" i="72"/>
  <c r="I134" i="72"/>
  <c r="I135" i="72"/>
  <c r="I136" i="72"/>
  <c r="I137" i="72"/>
  <c r="G26" i="72"/>
  <c r="G58" i="72"/>
  <c r="F22" i="72"/>
  <c r="G22" i="72" s="1"/>
  <c r="F23" i="72"/>
  <c r="G23" i="72" s="1"/>
  <c r="F24" i="72"/>
  <c r="G24" i="72" s="1"/>
  <c r="F25" i="72"/>
  <c r="G25" i="72" s="1"/>
  <c r="F26" i="72"/>
  <c r="F27" i="72"/>
  <c r="G27" i="72" s="1"/>
  <c r="F28" i="72"/>
  <c r="G28" i="72" s="1"/>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s="1"/>
  <c r="F44" i="72"/>
  <c r="G44" i="72" s="1"/>
  <c r="F45" i="72"/>
  <c r="G45" i="72" s="1"/>
  <c r="F46" i="72"/>
  <c r="G46" i="72" s="1"/>
  <c r="F47" i="72"/>
  <c r="G47" i="72" s="1"/>
  <c r="F48" i="72"/>
  <c r="G48" i="72" s="1"/>
  <c r="F49" i="72"/>
  <c r="G49" i="72" s="1"/>
  <c r="F50" i="72"/>
  <c r="G50" i="72" s="1"/>
  <c r="F51" i="72"/>
  <c r="G51" i="72" s="1"/>
  <c r="F52" i="72"/>
  <c r="G52" i="72" s="1"/>
  <c r="F53" i="72"/>
  <c r="G53" i="72" s="1"/>
  <c r="F54" i="72"/>
  <c r="G54" i="72" s="1"/>
  <c r="F55" i="72"/>
  <c r="G55" i="72" s="1"/>
  <c r="F56" i="72"/>
  <c r="G56" i="72" s="1"/>
  <c r="F57" i="72"/>
  <c r="G57" i="72" s="1"/>
  <c r="F58" i="72"/>
  <c r="F59" i="72"/>
  <c r="G59" i="72" s="1"/>
  <c r="F60" i="72"/>
  <c r="G60" i="72" s="1"/>
  <c r="F61" i="72"/>
  <c r="G61" i="72" s="1"/>
  <c r="F62" i="72"/>
  <c r="G62" i="72" s="1"/>
  <c r="F63" i="72"/>
  <c r="G63" i="72" s="1"/>
  <c r="F64" i="72"/>
  <c r="G64" i="72" s="1"/>
  <c r="F65" i="72"/>
  <c r="G65" i="72" s="1"/>
  <c r="F66" i="72"/>
  <c r="G66" i="72" s="1"/>
  <c r="F67" i="72"/>
  <c r="G67" i="72" s="1"/>
  <c r="F68" i="72"/>
  <c r="G68" i="72" s="1"/>
  <c r="F69" i="72"/>
  <c r="G69" i="72" s="1"/>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s="1"/>
  <c r="F84" i="72"/>
  <c r="G84" i="72" s="1"/>
  <c r="F85" i="72"/>
  <c r="G85" i="72" s="1"/>
  <c r="F86" i="72"/>
  <c r="G86" i="72" s="1"/>
  <c r="F87" i="72"/>
  <c r="G87" i="72" s="1"/>
  <c r="F88" i="72"/>
  <c r="G88" i="72" s="1"/>
  <c r="F89" i="72"/>
  <c r="G89" i="72" s="1"/>
  <c r="F90" i="72"/>
  <c r="G90" i="72" s="1"/>
  <c r="F91" i="72"/>
  <c r="G91" i="72" s="1"/>
  <c r="F92" i="72"/>
  <c r="G92" i="72" s="1"/>
  <c r="F93" i="72"/>
  <c r="G93" i="72" s="1"/>
  <c r="F94" i="72"/>
  <c r="G94" i="72" s="1"/>
  <c r="F95" i="72"/>
  <c r="G95" i="72" s="1"/>
  <c r="F96" i="72"/>
  <c r="G96" i="72" s="1"/>
  <c r="F97" i="72"/>
  <c r="G97" i="72" s="1"/>
  <c r="F98" i="72"/>
  <c r="G98" i="72" s="1"/>
  <c r="F99" i="72"/>
  <c r="G99" i="72" s="1"/>
  <c r="F100" i="72"/>
  <c r="G100" i="72" s="1"/>
  <c r="F101" i="72"/>
  <c r="G101" i="72" s="1"/>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G118" i="72" s="1"/>
  <c r="F119" i="72"/>
  <c r="G119" i="72" s="1"/>
  <c r="F120" i="72"/>
  <c r="G120" i="72" s="1"/>
  <c r="F121" i="72"/>
  <c r="G121" i="72" s="1"/>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21" i="72"/>
  <c r="G21" i="72" s="1"/>
  <c r="F18" i="72"/>
  <c r="G18" i="72" s="1"/>
  <c r="F19" i="72"/>
  <c r="G19" i="72" s="1"/>
  <c r="F20" i="72"/>
  <c r="G20" i="72" s="1"/>
  <c r="J136" i="72" l="1"/>
  <c r="J136" i="34"/>
  <c r="I136" i="1"/>
  <c r="J136" i="1" s="1"/>
  <c r="J120" i="72"/>
  <c r="J120" i="34"/>
  <c r="I120" i="1"/>
  <c r="J120" i="1" s="1"/>
  <c r="J112" i="72"/>
  <c r="I112" i="1"/>
  <c r="J112" i="1" s="1"/>
  <c r="J112" i="34"/>
  <c r="J88" i="72"/>
  <c r="I88" i="1"/>
  <c r="J88" i="1" s="1"/>
  <c r="J88" i="34"/>
  <c r="J72" i="72"/>
  <c r="I72" i="1"/>
  <c r="J72" i="1" s="1"/>
  <c r="J72" i="34"/>
  <c r="J57" i="34"/>
  <c r="I57" i="1"/>
  <c r="J57" i="1" s="1"/>
  <c r="J41" i="72"/>
  <c r="J41" i="34"/>
  <c r="I41" i="1"/>
  <c r="J41" i="1" s="1"/>
  <c r="J18" i="72"/>
  <c r="J18" i="34"/>
  <c r="I18" i="1"/>
  <c r="J18" i="1" s="1"/>
  <c r="J131" i="72"/>
  <c r="J131" i="34"/>
  <c r="I131" i="1"/>
  <c r="J131" i="1" s="1"/>
  <c r="J123" i="72"/>
  <c r="J123" i="34"/>
  <c r="I123" i="1"/>
  <c r="J123" i="1" s="1"/>
  <c r="J115" i="72"/>
  <c r="J115" i="34"/>
  <c r="I115" i="1"/>
  <c r="J115" i="1" s="1"/>
  <c r="J91" i="72"/>
  <c r="J91" i="34"/>
  <c r="I91" i="1"/>
  <c r="J91" i="1" s="1"/>
  <c r="J67" i="72"/>
  <c r="I67" i="1"/>
  <c r="J67" i="1" s="1"/>
  <c r="J67" i="34"/>
  <c r="J59" i="72"/>
  <c r="J59" i="34"/>
  <c r="I59" i="1"/>
  <c r="J59" i="1" s="1"/>
  <c r="J52" i="72"/>
  <c r="J52" i="34"/>
  <c r="I52" i="1"/>
  <c r="J52" i="1" s="1"/>
  <c r="J44" i="72"/>
  <c r="J44" i="34"/>
  <c r="I44" i="1"/>
  <c r="J44" i="1" s="1"/>
  <c r="J36" i="72"/>
  <c r="J36" i="34"/>
  <c r="I36" i="1"/>
  <c r="J36" i="1" s="1"/>
  <c r="J28" i="72"/>
  <c r="J28" i="34"/>
  <c r="I28" i="1"/>
  <c r="J28" i="1" s="1"/>
  <c r="I21" i="1"/>
  <c r="J21" i="1" s="1"/>
  <c r="J21" i="34"/>
  <c r="J130" i="72"/>
  <c r="J130" i="34"/>
  <c r="I130" i="1"/>
  <c r="J130" i="1" s="1"/>
  <c r="J122" i="72"/>
  <c r="J122" i="34"/>
  <c r="I122" i="1"/>
  <c r="J122" i="1" s="1"/>
  <c r="J114" i="72"/>
  <c r="J114" i="34"/>
  <c r="I114" i="1"/>
  <c r="J114" i="1" s="1"/>
  <c r="J90" i="72"/>
  <c r="I90" i="1"/>
  <c r="J90" i="1" s="1"/>
  <c r="J90" i="34"/>
  <c r="J74" i="72"/>
  <c r="J74" i="34"/>
  <c r="I74" i="1"/>
  <c r="J74" i="1" s="1"/>
  <c r="J66" i="72"/>
  <c r="J66" i="34"/>
  <c r="I66" i="1"/>
  <c r="J66" i="1" s="1"/>
  <c r="J58" i="72"/>
  <c r="J58" i="34"/>
  <c r="I58" i="1"/>
  <c r="J58" i="1" s="1"/>
  <c r="J51" i="72"/>
  <c r="J51" i="34"/>
  <c r="I51" i="1"/>
  <c r="J51" i="1" s="1"/>
  <c r="J43" i="72"/>
  <c r="J43" i="34"/>
  <c r="I43" i="1"/>
  <c r="J43" i="1" s="1"/>
  <c r="J35" i="72"/>
  <c r="I35" i="1"/>
  <c r="J35" i="1" s="1"/>
  <c r="J35" i="34"/>
  <c r="J27" i="72"/>
  <c r="I27" i="1"/>
  <c r="J27" i="1" s="1"/>
  <c r="J27" i="34"/>
  <c r="J137" i="72"/>
  <c r="J137" i="34"/>
  <c r="I137" i="1"/>
  <c r="J129" i="72"/>
  <c r="I129" i="1"/>
  <c r="J129" i="1" s="1"/>
  <c r="J129" i="34"/>
  <c r="J121" i="72"/>
  <c r="I121" i="1"/>
  <c r="J121" i="1" s="1"/>
  <c r="J121" i="34"/>
  <c r="J113" i="72"/>
  <c r="I113" i="1"/>
  <c r="J113" i="1" s="1"/>
  <c r="J113" i="34"/>
  <c r="J89" i="72"/>
  <c r="I89" i="1"/>
  <c r="J89" i="1" s="1"/>
  <c r="J89" i="34"/>
  <c r="J73" i="72"/>
  <c r="J73" i="34"/>
  <c r="I73" i="1"/>
  <c r="J73" i="1" s="1"/>
  <c r="J65" i="72"/>
  <c r="I65" i="1"/>
  <c r="J65" i="1" s="1"/>
  <c r="J65" i="34"/>
  <c r="J57" i="72"/>
  <c r="J50" i="72"/>
  <c r="I50" i="1"/>
  <c r="J50" i="1" s="1"/>
  <c r="J50" i="34"/>
  <c r="J42" i="72"/>
  <c r="I42" i="1"/>
  <c r="J42" i="1" s="1"/>
  <c r="J42" i="34"/>
  <c r="J34" i="72"/>
  <c r="J34" i="34"/>
  <c r="I34" i="1"/>
  <c r="J34" i="1" s="1"/>
  <c r="J26" i="72"/>
  <c r="J26" i="34"/>
  <c r="I26" i="1"/>
  <c r="J26" i="1" s="1"/>
  <c r="J19" i="72"/>
  <c r="I19" i="1"/>
  <c r="J19" i="1" s="1"/>
  <c r="J19" i="34"/>
  <c r="J128" i="72"/>
  <c r="J128" i="34"/>
  <c r="I128" i="1"/>
  <c r="J128" i="1" s="1"/>
  <c r="J96" i="72"/>
  <c r="J96" i="34"/>
  <c r="I96" i="1"/>
  <c r="J96" i="1" s="1"/>
  <c r="J135" i="72"/>
  <c r="J135" i="34"/>
  <c r="I135" i="1"/>
  <c r="J135" i="1" s="1"/>
  <c r="J127" i="72"/>
  <c r="J127" i="34"/>
  <c r="I127" i="1"/>
  <c r="J127" i="1" s="1"/>
  <c r="J111" i="72"/>
  <c r="I111" i="1"/>
  <c r="J111" i="1" s="1"/>
  <c r="J111" i="34"/>
  <c r="J95" i="72"/>
  <c r="J95" i="34"/>
  <c r="I95" i="1"/>
  <c r="J95" i="1" s="1"/>
  <c r="J63" i="72"/>
  <c r="J63" i="34"/>
  <c r="I63" i="1"/>
  <c r="J63" i="1" s="1"/>
  <c r="J48" i="72"/>
  <c r="J48" i="34"/>
  <c r="I48" i="1"/>
  <c r="J48" i="1" s="1"/>
  <c r="J40" i="72"/>
  <c r="I40" i="1"/>
  <c r="J40" i="1" s="1"/>
  <c r="J40" i="34"/>
  <c r="J32" i="72"/>
  <c r="J32" i="34"/>
  <c r="I32" i="1"/>
  <c r="J32" i="1" s="1"/>
  <c r="J126" i="72"/>
  <c r="I126" i="1"/>
  <c r="J126" i="1" s="1"/>
  <c r="J126" i="34"/>
  <c r="J47" i="72"/>
  <c r="I47" i="1"/>
  <c r="J47" i="1" s="1"/>
  <c r="J47" i="34"/>
  <c r="J125" i="72"/>
  <c r="J125" i="34"/>
  <c r="I125" i="1"/>
  <c r="J125" i="1" s="1"/>
  <c r="J117" i="72"/>
  <c r="I117" i="1"/>
  <c r="J117" i="1" s="1"/>
  <c r="J117" i="34"/>
  <c r="J93" i="72"/>
  <c r="I93" i="1"/>
  <c r="J93" i="1" s="1"/>
  <c r="J93" i="34"/>
  <c r="J85" i="72"/>
  <c r="J85" i="34"/>
  <c r="I85" i="1"/>
  <c r="J85" i="1" s="1"/>
  <c r="J69" i="72"/>
  <c r="I69" i="1"/>
  <c r="J69" i="1" s="1"/>
  <c r="J69" i="34"/>
  <c r="J61" i="72"/>
  <c r="I61" i="1"/>
  <c r="J61" i="1" s="1"/>
  <c r="J61" i="34"/>
  <c r="J54" i="72"/>
  <c r="I54" i="1"/>
  <c r="J54" i="1" s="1"/>
  <c r="J54" i="34"/>
  <c r="J38" i="72"/>
  <c r="I38" i="1"/>
  <c r="J38" i="1" s="1"/>
  <c r="J38" i="34"/>
  <c r="J30" i="72"/>
  <c r="I30" i="1"/>
  <c r="J30" i="1" s="1"/>
  <c r="J30" i="34"/>
  <c r="J22" i="72"/>
  <c r="J22" i="34"/>
  <c r="I22" i="1"/>
  <c r="J22" i="1" s="1"/>
  <c r="J64" i="72"/>
  <c r="J64" i="34"/>
  <c r="I64" i="1"/>
  <c r="J64" i="1" s="1"/>
  <c r="J49" i="72"/>
  <c r="J49" i="34"/>
  <c r="I49" i="1"/>
  <c r="J49" i="1" s="1"/>
  <c r="J33" i="72"/>
  <c r="J33" i="34"/>
  <c r="I33" i="1"/>
  <c r="J33" i="1" s="1"/>
  <c r="J25" i="72"/>
  <c r="J25" i="34"/>
  <c r="I25" i="1"/>
  <c r="J25" i="1" s="1"/>
  <c r="J119" i="72"/>
  <c r="I119" i="1"/>
  <c r="J119" i="1" s="1"/>
  <c r="J119" i="34"/>
  <c r="J87" i="72"/>
  <c r="I87" i="1"/>
  <c r="J87" i="1" s="1"/>
  <c r="J87" i="34"/>
  <c r="J71" i="72"/>
  <c r="J71" i="34"/>
  <c r="I71" i="1"/>
  <c r="J71" i="1" s="1"/>
  <c r="J56" i="72"/>
  <c r="J56" i="34"/>
  <c r="I56" i="1"/>
  <c r="J56" i="1" s="1"/>
  <c r="J24" i="72"/>
  <c r="J24" i="34"/>
  <c r="I24" i="1"/>
  <c r="J24" i="1" s="1"/>
  <c r="J134" i="72"/>
  <c r="I134" i="1"/>
  <c r="J134" i="1" s="1"/>
  <c r="J134" i="34"/>
  <c r="J118" i="72"/>
  <c r="J118" i="34"/>
  <c r="I118" i="1"/>
  <c r="J118" i="1" s="1"/>
  <c r="J110" i="72"/>
  <c r="J110" i="34"/>
  <c r="I110" i="1"/>
  <c r="J110" i="1" s="1"/>
  <c r="J94" i="72"/>
  <c r="J94" i="34"/>
  <c r="I94" i="1"/>
  <c r="J94" i="1" s="1"/>
  <c r="J86" i="72"/>
  <c r="I86" i="1"/>
  <c r="J86" i="1" s="1"/>
  <c r="J86" i="34"/>
  <c r="J70" i="72"/>
  <c r="I70" i="1"/>
  <c r="J70" i="1" s="1"/>
  <c r="J70" i="34"/>
  <c r="J62" i="72"/>
  <c r="J62" i="34"/>
  <c r="I62" i="1"/>
  <c r="J62" i="1" s="1"/>
  <c r="J55" i="72"/>
  <c r="J55" i="34"/>
  <c r="I55" i="1"/>
  <c r="J55" i="1" s="1"/>
  <c r="J39" i="72"/>
  <c r="J39" i="34"/>
  <c r="I39" i="1"/>
  <c r="J39" i="1" s="1"/>
  <c r="J31" i="72"/>
  <c r="J31" i="34"/>
  <c r="I31" i="1"/>
  <c r="J31" i="1" s="1"/>
  <c r="J23" i="72"/>
  <c r="J23" i="34"/>
  <c r="I23" i="1"/>
  <c r="J23" i="1" s="1"/>
  <c r="J133" i="72"/>
  <c r="J133" i="34"/>
  <c r="I133" i="1"/>
  <c r="J133" i="1" s="1"/>
  <c r="J109" i="72"/>
  <c r="J109" i="34"/>
  <c r="I109" i="1"/>
  <c r="J109" i="1" s="1"/>
  <c r="J46" i="72"/>
  <c r="J46" i="34"/>
  <c r="I46" i="1"/>
  <c r="J46" i="1" s="1"/>
  <c r="J132" i="72"/>
  <c r="I132" i="1"/>
  <c r="J132" i="1" s="1"/>
  <c r="J132" i="34"/>
  <c r="J124" i="72"/>
  <c r="I124" i="1"/>
  <c r="J124" i="1" s="1"/>
  <c r="J124" i="34"/>
  <c r="J116" i="72"/>
  <c r="J116" i="34"/>
  <c r="I116" i="1"/>
  <c r="J116" i="1" s="1"/>
  <c r="J92" i="72"/>
  <c r="J92" i="34"/>
  <c r="I92" i="1"/>
  <c r="J92" i="1" s="1"/>
  <c r="J68" i="72"/>
  <c r="J68" i="34"/>
  <c r="I68" i="1"/>
  <c r="J68" i="1" s="1"/>
  <c r="J60" i="72"/>
  <c r="I60" i="1"/>
  <c r="J60" i="1" s="1"/>
  <c r="J60" i="34"/>
  <c r="J53" i="72"/>
  <c r="J53" i="34"/>
  <c r="I53" i="1"/>
  <c r="J53" i="1" s="1"/>
  <c r="J45" i="72"/>
  <c r="I45" i="1"/>
  <c r="J45" i="1" s="1"/>
  <c r="J45" i="34"/>
  <c r="J37" i="72"/>
  <c r="J37" i="34"/>
  <c r="I37" i="1"/>
  <c r="J37" i="1" s="1"/>
  <c r="J29" i="72"/>
  <c r="I29" i="1"/>
  <c r="J29" i="1" s="1"/>
  <c r="J29" i="34"/>
  <c r="J21" i="72"/>
  <c r="J20" i="72"/>
  <c r="I20" i="1"/>
  <c r="J20" i="1" s="1"/>
  <c r="J20" i="34"/>
  <c r="J83" i="3"/>
  <c r="I83" i="1"/>
  <c r="J83" i="1" s="1"/>
  <c r="J83" i="34"/>
  <c r="J82" i="3"/>
  <c r="I82" i="1"/>
  <c r="J82" i="1" s="1"/>
  <c r="J82" i="34"/>
  <c r="J84" i="3"/>
  <c r="J84" i="34"/>
  <c r="I84" i="1"/>
  <c r="J84" i="1" s="1"/>
  <c r="J81" i="3"/>
  <c r="I81" i="1"/>
  <c r="J81" i="1" s="1"/>
  <c r="J81" i="34"/>
  <c r="J80" i="3"/>
  <c r="J80" i="34"/>
  <c r="I80" i="1"/>
  <c r="J80" i="1" s="1"/>
  <c r="J79" i="3"/>
  <c r="I79" i="1"/>
  <c r="J79" i="1" s="1"/>
  <c r="J79" i="34"/>
  <c r="J76" i="3"/>
  <c r="I76" i="1"/>
  <c r="J76" i="1" s="1"/>
  <c r="J76" i="34"/>
  <c r="J77" i="3"/>
  <c r="J77" i="34"/>
  <c r="I77" i="1"/>
  <c r="J77" i="1" s="1"/>
  <c r="J78" i="3"/>
  <c r="J78" i="34"/>
  <c r="I78" i="1"/>
  <c r="J78" i="1" s="1"/>
  <c r="J75" i="3"/>
  <c r="I75" i="1"/>
  <c r="J75" i="1" s="1"/>
  <c r="J75" i="34"/>
  <c r="J97" i="3"/>
  <c r="J97" i="34"/>
  <c r="I97" i="1"/>
  <c r="J97" i="1" s="1"/>
  <c r="J105" i="3"/>
  <c r="J105" i="34"/>
  <c r="I105" i="1"/>
  <c r="J105" i="1" s="1"/>
  <c r="J101" i="3"/>
  <c r="J101" i="34"/>
  <c r="I101" i="1"/>
  <c r="J101" i="1" s="1"/>
  <c r="J107" i="3"/>
  <c r="J107" i="34"/>
  <c r="I107" i="1"/>
  <c r="J107" i="1" s="1"/>
  <c r="J103" i="3"/>
  <c r="J103" i="34"/>
  <c r="I103" i="1"/>
  <c r="J103" i="1" s="1"/>
  <c r="J99" i="3"/>
  <c r="J99" i="34"/>
  <c r="I99" i="1"/>
  <c r="J99" i="1" s="1"/>
  <c r="J108" i="3"/>
  <c r="J108" i="34"/>
  <c r="I108" i="1"/>
  <c r="J108" i="1" s="1"/>
  <c r="J100" i="3"/>
  <c r="I100" i="1"/>
  <c r="J100" i="1" s="1"/>
  <c r="J100" i="34"/>
  <c r="J106" i="3"/>
  <c r="J106" i="34"/>
  <c r="I106" i="1"/>
  <c r="J106" i="1" s="1"/>
  <c r="J102" i="3"/>
  <c r="J102" i="34"/>
  <c r="I102" i="1"/>
  <c r="J102" i="1" s="1"/>
  <c r="J98" i="3"/>
  <c r="I98" i="1"/>
  <c r="J98" i="1" s="1"/>
  <c r="J98" i="34"/>
  <c r="J104" i="3"/>
  <c r="J104" i="34"/>
  <c r="I104" i="1"/>
  <c r="J104" i="1" s="1"/>
  <c r="E16" i="29"/>
  <c r="D16" i="18"/>
  <c r="E16" i="18"/>
  <c r="D17" i="18"/>
  <c r="D17" i="34" s="1"/>
  <c r="E17" i="18"/>
  <c r="D16" i="1"/>
  <c r="E16" i="1"/>
  <c r="H16" i="1"/>
  <c r="H16" i="34" s="1"/>
  <c r="D17" i="1"/>
  <c r="E17" i="1"/>
  <c r="H17" i="1"/>
  <c r="H17" i="34" s="1"/>
  <c r="I17" i="33"/>
  <c r="J17" i="33" s="1"/>
  <c r="F17" i="33"/>
  <c r="G17" i="33" s="1"/>
  <c r="I16" i="33"/>
  <c r="J16" i="33" s="1"/>
  <c r="F16" i="33"/>
  <c r="G16" i="33" s="1"/>
  <c r="I17" i="32"/>
  <c r="J17" i="32" s="1"/>
  <c r="F17" i="32"/>
  <c r="G17" i="32" s="1"/>
  <c r="I16" i="32"/>
  <c r="J16" i="32" s="1"/>
  <c r="F16" i="32"/>
  <c r="G16" i="32" s="1"/>
  <c r="I17" i="31"/>
  <c r="F17" i="31"/>
  <c r="G17" i="31" s="1"/>
  <c r="I16" i="31"/>
  <c r="F16" i="31"/>
  <c r="G16" i="31" s="1"/>
  <c r="I17" i="28"/>
  <c r="J17" i="28" s="1"/>
  <c r="F17" i="28"/>
  <c r="G17" i="28" s="1"/>
  <c r="I16" i="28"/>
  <c r="J16" i="28" s="1"/>
  <c r="F16" i="28"/>
  <c r="G16" i="28" s="1"/>
  <c r="I17" i="27"/>
  <c r="F17" i="27"/>
  <c r="G17" i="27" s="1"/>
  <c r="I16" i="27"/>
  <c r="J16" i="27" s="1"/>
  <c r="F16" i="27"/>
  <c r="G16" i="27" s="1"/>
  <c r="I17" i="26"/>
  <c r="J17" i="26" s="1"/>
  <c r="F17" i="26"/>
  <c r="G17" i="26" s="1"/>
  <c r="I16" i="26"/>
  <c r="J16" i="26" s="1"/>
  <c r="F16" i="26"/>
  <c r="G16" i="26" s="1"/>
  <c r="I17" i="19"/>
  <c r="J17" i="19" s="1"/>
  <c r="F17" i="19"/>
  <c r="G17" i="19" s="1"/>
  <c r="I16" i="19"/>
  <c r="J16" i="19" s="1"/>
  <c r="F16" i="19"/>
  <c r="G16" i="19" s="1"/>
  <c r="I17" i="20"/>
  <c r="J17" i="20" s="1"/>
  <c r="F17" i="20"/>
  <c r="G17" i="20" s="1"/>
  <c r="I16" i="20"/>
  <c r="J16" i="20" s="1"/>
  <c r="F16" i="20"/>
  <c r="G16" i="20" s="1"/>
  <c r="I17" i="21"/>
  <c r="J17" i="21" s="1"/>
  <c r="F17" i="21"/>
  <c r="G17" i="21" s="1"/>
  <c r="I16" i="21"/>
  <c r="J16" i="21" s="1"/>
  <c r="F16" i="21"/>
  <c r="G16" i="21" s="1"/>
  <c r="I17" i="4"/>
  <c r="J17" i="4" s="1"/>
  <c r="I16" i="4"/>
  <c r="J16" i="4" s="1"/>
  <c r="F16" i="3"/>
  <c r="G16" i="3" s="1"/>
  <c r="I16" i="3"/>
  <c r="J16" i="3" s="1"/>
  <c r="F17" i="3"/>
  <c r="G17" i="3" s="1"/>
  <c r="I17" i="3"/>
  <c r="J17" i="3" s="1"/>
  <c r="F16" i="72"/>
  <c r="G16" i="72" s="1"/>
  <c r="I16" i="72"/>
  <c r="J16" i="72" s="1"/>
  <c r="F17" i="72"/>
  <c r="G17" i="72" s="1"/>
  <c r="I17" i="72"/>
  <c r="J17" i="72" s="1"/>
  <c r="F15" i="72"/>
  <c r="G15" i="72" s="1"/>
  <c r="F14" i="72"/>
  <c r="G14" i="72" s="1"/>
  <c r="F13" i="72"/>
  <c r="G13" i="72" s="1"/>
  <c r="F12" i="72"/>
  <c r="G12" i="72" s="1"/>
  <c r="F11" i="72"/>
  <c r="G11" i="72" s="1"/>
  <c r="F10" i="72"/>
  <c r="G10" i="72" s="1"/>
  <c r="F9" i="72"/>
  <c r="G9" i="72" s="1"/>
  <c r="F8" i="72"/>
  <c r="G8" i="72" s="1"/>
  <c r="F7" i="72"/>
  <c r="G7" i="72" s="1"/>
  <c r="F6" i="72"/>
  <c r="G6" i="72" s="1"/>
  <c r="F5" i="72"/>
  <c r="G5" i="72" s="1"/>
  <c r="F4" i="72"/>
  <c r="G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4" i="3"/>
  <c r="G4" i="3" s="1"/>
  <c r="I4" i="3"/>
  <c r="J4" i="3" s="1"/>
  <c r="F5" i="3"/>
  <c r="G5" i="3" s="1"/>
  <c r="I5" i="3"/>
  <c r="J5" i="3" s="1"/>
  <c r="F6" i="3"/>
  <c r="G6" i="3" s="1"/>
  <c r="I6" i="3"/>
  <c r="J6" i="3" s="1"/>
  <c r="F7" i="3"/>
  <c r="G7" i="3" s="1"/>
  <c r="I7" i="3"/>
  <c r="J7" i="3" s="1"/>
  <c r="F8" i="3"/>
  <c r="G8" i="3" s="1"/>
  <c r="I8" i="3"/>
  <c r="J8" i="3" s="1"/>
  <c r="F9" i="3"/>
  <c r="G9" i="3" s="1"/>
  <c r="I9" i="3"/>
  <c r="J9" i="3" s="1"/>
  <c r="F10" i="3"/>
  <c r="G10" i="3" s="1"/>
  <c r="I10" i="3"/>
  <c r="J10" i="3" s="1"/>
  <c r="F11" i="3"/>
  <c r="G11" i="3" s="1"/>
  <c r="I11" i="3"/>
  <c r="J11" i="3" s="1"/>
  <c r="F12" i="3"/>
  <c r="G12" i="3" s="1"/>
  <c r="I12" i="3"/>
  <c r="J12" i="3" s="1"/>
  <c r="F13" i="3"/>
  <c r="G13" i="3" s="1"/>
  <c r="I13" i="3"/>
  <c r="J13" i="3" s="1"/>
  <c r="F14" i="3"/>
  <c r="G14" i="3" s="1"/>
  <c r="I14" i="3"/>
  <c r="J14" i="3" s="1"/>
  <c r="F15" i="3"/>
  <c r="G15" i="3" s="1"/>
  <c r="I15" i="3"/>
  <c r="J15" i="3" s="1"/>
  <c r="H6" i="1"/>
  <c r="H6" i="34" s="1"/>
  <c r="H7" i="1"/>
  <c r="H7" i="34" s="1"/>
  <c r="H8" i="1"/>
  <c r="H8" i="34" s="1"/>
  <c r="H9" i="1"/>
  <c r="H9" i="34" s="1"/>
  <c r="H10" i="1"/>
  <c r="H10" i="34" s="1"/>
  <c r="H11" i="1"/>
  <c r="H11" i="34" s="1"/>
  <c r="H12" i="1"/>
  <c r="H12" i="34" s="1"/>
  <c r="H13" i="1"/>
  <c r="H13" i="34" s="1"/>
  <c r="H14" i="1"/>
  <c r="H14" i="34" s="1"/>
  <c r="H15" i="1"/>
  <c r="H15" i="34" s="1"/>
  <c r="H5" i="1"/>
  <c r="H5" i="34" s="1"/>
  <c r="H4" i="1"/>
  <c r="B4" i="34" a="1"/>
  <c r="B4" i="34" s="1"/>
  <c r="A4" i="34" a="1"/>
  <c r="A4" i="34" s="1"/>
  <c r="A1" i="34" a="1"/>
  <c r="A1" i="34" s="1"/>
  <c r="E15" i="30"/>
  <c r="D15" i="30"/>
  <c r="E14" i="30"/>
  <c r="D14" i="30"/>
  <c r="E13" i="30"/>
  <c r="D13" i="30"/>
  <c r="E12" i="30"/>
  <c r="D12" i="30"/>
  <c r="E11" i="30"/>
  <c r="D11" i="30"/>
  <c r="E10" i="30"/>
  <c r="D10" i="30"/>
  <c r="E9" i="30"/>
  <c r="D9" i="30"/>
  <c r="E8" i="30"/>
  <c r="D8" i="30"/>
  <c r="E7" i="30"/>
  <c r="D7" i="30"/>
  <c r="E6" i="30"/>
  <c r="D6" i="30"/>
  <c r="E5" i="30"/>
  <c r="D5" i="30"/>
  <c r="E4" i="30"/>
  <c r="D4" i="30"/>
  <c r="E15" i="29"/>
  <c r="E14" i="29"/>
  <c r="E13" i="29"/>
  <c r="E12" i="29"/>
  <c r="E11" i="29"/>
  <c r="E10" i="29"/>
  <c r="E9" i="29"/>
  <c r="E8" i="29"/>
  <c r="E7" i="29"/>
  <c r="E6" i="29"/>
  <c r="E5" i="29"/>
  <c r="E4" i="29"/>
  <c r="D4" i="29"/>
  <c r="E15" i="18"/>
  <c r="D15" i="18"/>
  <c r="E14" i="18"/>
  <c r="D14" i="18"/>
  <c r="E13" i="18"/>
  <c r="D13" i="18"/>
  <c r="E12" i="18"/>
  <c r="D12" i="18"/>
  <c r="E11" i="18"/>
  <c r="D11" i="18"/>
  <c r="E10" i="18"/>
  <c r="D10" i="18"/>
  <c r="E9" i="18"/>
  <c r="D9" i="18"/>
  <c r="E8" i="18"/>
  <c r="D8" i="18"/>
  <c r="E7" i="18"/>
  <c r="D7" i="18"/>
  <c r="E6" i="18"/>
  <c r="D6" i="18"/>
  <c r="E5" i="18"/>
  <c r="D5" i="18"/>
  <c r="E4" i="18"/>
  <c r="D4" i="18"/>
  <c r="B4" i="30" a="1"/>
  <c r="B4" i="30" s="1"/>
  <c r="A1" i="30" a="1"/>
  <c r="A1" i="30" s="1"/>
  <c r="B4" i="29" a="1"/>
  <c r="B4" i="29" s="1"/>
  <c r="A4" i="29" a="1"/>
  <c r="A4" i="29" s="1"/>
  <c r="A1" i="29" a="1"/>
  <c r="A1" i="29" s="1"/>
  <c r="B4" i="18" a="1"/>
  <c r="B4" i="18" s="1"/>
  <c r="A4" i="18" a="1"/>
  <c r="A4" i="18" s="1"/>
  <c r="A1" i="18" a="1"/>
  <c r="A1" i="18" s="1"/>
  <c r="D15" i="1"/>
  <c r="D14" i="1"/>
  <c r="D13" i="1"/>
  <c r="D12" i="1"/>
  <c r="D11" i="1"/>
  <c r="D10" i="1"/>
  <c r="D9" i="1"/>
  <c r="D8" i="1"/>
  <c r="D7" i="1"/>
  <c r="D6" i="1"/>
  <c r="D5" i="1"/>
  <c r="D4" i="1"/>
  <c r="E6" i="1"/>
  <c r="E7" i="1"/>
  <c r="E8" i="1"/>
  <c r="E9" i="1"/>
  <c r="E10" i="1"/>
  <c r="E11" i="1"/>
  <c r="E12" i="1"/>
  <c r="E13" i="1"/>
  <c r="E14" i="1"/>
  <c r="E15" i="1"/>
  <c r="E5" i="1"/>
  <c r="E4" i="1"/>
  <c r="B4" i="1" a="1"/>
  <c r="B4" i="1" s="1"/>
  <c r="A4" i="1" a="1"/>
  <c r="A4" i="1" s="1"/>
  <c r="A1" i="1" a="1"/>
  <c r="A1" i="1" s="1"/>
  <c r="I15" i="33"/>
  <c r="J15" i="33" s="1"/>
  <c r="F15" i="33"/>
  <c r="G15" i="33" s="1"/>
  <c r="I14" i="33"/>
  <c r="J14" i="33" s="1"/>
  <c r="F14" i="33"/>
  <c r="G14" i="33" s="1"/>
  <c r="I13" i="33"/>
  <c r="J13" i="33" s="1"/>
  <c r="F13" i="33"/>
  <c r="G13" i="33" s="1"/>
  <c r="I12" i="33"/>
  <c r="J12" i="33" s="1"/>
  <c r="F12" i="33"/>
  <c r="G12" i="33" s="1"/>
  <c r="I11" i="33"/>
  <c r="J11" i="33" s="1"/>
  <c r="F11" i="33"/>
  <c r="G11" i="33" s="1"/>
  <c r="I10" i="33"/>
  <c r="J10" i="33" s="1"/>
  <c r="F10" i="33"/>
  <c r="G10" i="33" s="1"/>
  <c r="I9" i="33"/>
  <c r="J9" i="33" s="1"/>
  <c r="F9" i="33"/>
  <c r="G9" i="33" s="1"/>
  <c r="I8" i="33"/>
  <c r="J8" i="33" s="1"/>
  <c r="F8" i="33"/>
  <c r="G8" i="33" s="1"/>
  <c r="I7" i="33"/>
  <c r="J7" i="33" s="1"/>
  <c r="F7" i="33"/>
  <c r="G7" i="33" s="1"/>
  <c r="I6" i="33"/>
  <c r="J6" i="33" s="1"/>
  <c r="F6" i="33"/>
  <c r="G6" i="33" s="1"/>
  <c r="I5" i="33"/>
  <c r="J5" i="33" s="1"/>
  <c r="F5" i="33"/>
  <c r="G5" i="33" s="1"/>
  <c r="I4" i="33"/>
  <c r="J4" i="33" s="1"/>
  <c r="F4" i="33"/>
  <c r="G4" i="33" s="1"/>
  <c r="H2" i="33"/>
  <c r="E2" i="33"/>
  <c r="D2" i="33"/>
  <c r="A1" i="33" a="1"/>
  <c r="A1" i="33" s="1"/>
  <c r="I15" i="32"/>
  <c r="J15" i="32" s="1"/>
  <c r="G15" i="32"/>
  <c r="F15" i="32"/>
  <c r="I14" i="32"/>
  <c r="J14" i="32" s="1"/>
  <c r="F14" i="32"/>
  <c r="G14" i="32" s="1"/>
  <c r="I13" i="32"/>
  <c r="J13" i="32" s="1"/>
  <c r="F13" i="32"/>
  <c r="G13" i="32" s="1"/>
  <c r="I12" i="32"/>
  <c r="J12" i="32" s="1"/>
  <c r="F12" i="32"/>
  <c r="G12" i="32" s="1"/>
  <c r="I11" i="32"/>
  <c r="J11" i="32" s="1"/>
  <c r="F11" i="32"/>
  <c r="G11" i="32" s="1"/>
  <c r="I10" i="32"/>
  <c r="J10" i="32" s="1"/>
  <c r="F10" i="32"/>
  <c r="G10" i="32" s="1"/>
  <c r="I9" i="32"/>
  <c r="J9" i="32" s="1"/>
  <c r="F9" i="32"/>
  <c r="G9" i="32" s="1"/>
  <c r="I8" i="32"/>
  <c r="J8" i="32" s="1"/>
  <c r="F8" i="32"/>
  <c r="G8" i="32" s="1"/>
  <c r="I7" i="32"/>
  <c r="J7" i="32" s="1"/>
  <c r="F7" i="32"/>
  <c r="G7" i="32" s="1"/>
  <c r="I6" i="32"/>
  <c r="J6" i="32" s="1"/>
  <c r="F6" i="32"/>
  <c r="G6" i="32" s="1"/>
  <c r="I5" i="32"/>
  <c r="J5" i="32" s="1"/>
  <c r="F5" i="32"/>
  <c r="G5" i="32" s="1"/>
  <c r="I4" i="32"/>
  <c r="J4" i="32" s="1"/>
  <c r="F4" i="32"/>
  <c r="G4" i="32" s="1"/>
  <c r="H2" i="32"/>
  <c r="E2" i="32"/>
  <c r="D2" i="32"/>
  <c r="A1" i="32" a="1"/>
  <c r="A1" i="32" s="1"/>
  <c r="I15" i="31"/>
  <c r="J15" i="31" s="1"/>
  <c r="F15" i="31"/>
  <c r="G15" i="31" s="1"/>
  <c r="I14" i="31"/>
  <c r="J14" i="31" s="1"/>
  <c r="F14" i="31"/>
  <c r="G14" i="31" s="1"/>
  <c r="I13" i="31"/>
  <c r="J13" i="31" s="1"/>
  <c r="F13" i="31"/>
  <c r="G13" i="31" s="1"/>
  <c r="I12" i="31"/>
  <c r="J12" i="31" s="1"/>
  <c r="F12" i="31"/>
  <c r="G12" i="31" s="1"/>
  <c r="I11" i="31"/>
  <c r="J11" i="31" s="1"/>
  <c r="F11" i="31"/>
  <c r="G11" i="31" s="1"/>
  <c r="I10" i="31"/>
  <c r="J10" i="31" s="1"/>
  <c r="F10" i="31"/>
  <c r="G10" i="31" s="1"/>
  <c r="I9" i="31"/>
  <c r="J9" i="31" s="1"/>
  <c r="F9" i="31"/>
  <c r="G9" i="31" s="1"/>
  <c r="I8" i="31"/>
  <c r="J8" i="31" s="1"/>
  <c r="F8" i="31"/>
  <c r="G8" i="31" s="1"/>
  <c r="I7" i="31"/>
  <c r="J7" i="31" s="1"/>
  <c r="F7" i="31"/>
  <c r="G7" i="31" s="1"/>
  <c r="I6" i="31"/>
  <c r="J6" i="31" s="1"/>
  <c r="F6" i="31"/>
  <c r="G6" i="31" s="1"/>
  <c r="I5" i="31"/>
  <c r="J5" i="31" s="1"/>
  <c r="F5" i="31"/>
  <c r="G5" i="31" s="1"/>
  <c r="I4" i="31"/>
  <c r="J4" i="31" s="1"/>
  <c r="F4" i="31"/>
  <c r="G4" i="31" s="1"/>
  <c r="E2" i="31"/>
  <c r="A1" i="31" a="1"/>
  <c r="A1" i="31" s="1"/>
  <c r="I15" i="28"/>
  <c r="J15" i="28" s="1"/>
  <c r="F15" i="28"/>
  <c r="G15" i="28" s="1"/>
  <c r="I14" i="28"/>
  <c r="J14" i="28" s="1"/>
  <c r="F14" i="28"/>
  <c r="G14" i="28" s="1"/>
  <c r="I13" i="28"/>
  <c r="J13" i="28" s="1"/>
  <c r="F13" i="28"/>
  <c r="G13" i="28" s="1"/>
  <c r="I12" i="28"/>
  <c r="J12" i="28" s="1"/>
  <c r="F12" i="28"/>
  <c r="G12" i="28" s="1"/>
  <c r="I11" i="28"/>
  <c r="J11" i="28" s="1"/>
  <c r="F11" i="28"/>
  <c r="G11" i="28" s="1"/>
  <c r="I10" i="28"/>
  <c r="J10" i="28" s="1"/>
  <c r="F10" i="28"/>
  <c r="G10" i="28" s="1"/>
  <c r="I9" i="28"/>
  <c r="J9" i="28" s="1"/>
  <c r="F9" i="28"/>
  <c r="G9" i="28" s="1"/>
  <c r="I8" i="28"/>
  <c r="J8" i="28" s="1"/>
  <c r="F8" i="28"/>
  <c r="G8" i="28" s="1"/>
  <c r="I7" i="28"/>
  <c r="J7" i="28" s="1"/>
  <c r="F7" i="28"/>
  <c r="G7" i="28" s="1"/>
  <c r="I6" i="28"/>
  <c r="J6" i="28" s="1"/>
  <c r="F6" i="28"/>
  <c r="G6" i="28" s="1"/>
  <c r="I5" i="28"/>
  <c r="J5" i="28" s="1"/>
  <c r="F5" i="28"/>
  <c r="G5" i="28" s="1"/>
  <c r="I4" i="28"/>
  <c r="J4" i="28" s="1"/>
  <c r="F4" i="28"/>
  <c r="G4" i="28" s="1"/>
  <c r="B4" i="28" a="1"/>
  <c r="B4" i="28" s="1"/>
  <c r="A4" i="28" a="1"/>
  <c r="A4" i="28" s="1"/>
  <c r="E2" i="28"/>
  <c r="K2" i="28"/>
  <c r="A1" i="28" a="1"/>
  <c r="A1" i="28" s="1"/>
  <c r="I15" i="27"/>
  <c r="J15" i="27" s="1"/>
  <c r="F15" i="27"/>
  <c r="G15" i="27" s="1"/>
  <c r="I14" i="27"/>
  <c r="J14" i="27" s="1"/>
  <c r="F14" i="27"/>
  <c r="G14" i="27" s="1"/>
  <c r="I13" i="27"/>
  <c r="J13" i="27" s="1"/>
  <c r="F13" i="27"/>
  <c r="G13" i="27" s="1"/>
  <c r="I12" i="27"/>
  <c r="J12" i="27" s="1"/>
  <c r="F12" i="27"/>
  <c r="G12" i="27" s="1"/>
  <c r="I11" i="27"/>
  <c r="J11" i="27" s="1"/>
  <c r="F11" i="27"/>
  <c r="G11" i="27" s="1"/>
  <c r="I10" i="27"/>
  <c r="J10" i="27" s="1"/>
  <c r="F10" i="27"/>
  <c r="G10" i="27" s="1"/>
  <c r="I9" i="27"/>
  <c r="J9" i="27" s="1"/>
  <c r="F9" i="27"/>
  <c r="G9" i="27" s="1"/>
  <c r="I8" i="27"/>
  <c r="J8" i="27" s="1"/>
  <c r="F8" i="27"/>
  <c r="G8" i="27" s="1"/>
  <c r="I7" i="27"/>
  <c r="J7" i="27" s="1"/>
  <c r="F7" i="27"/>
  <c r="G7" i="27" s="1"/>
  <c r="I6" i="27"/>
  <c r="J6" i="27" s="1"/>
  <c r="F6" i="27"/>
  <c r="G6" i="27" s="1"/>
  <c r="I5" i="27"/>
  <c r="J5" i="27" s="1"/>
  <c r="F5" i="27"/>
  <c r="G5" i="27" s="1"/>
  <c r="I4" i="27"/>
  <c r="J4" i="27" s="1"/>
  <c r="F4" i="27"/>
  <c r="G4" i="27" s="1"/>
  <c r="E2" i="27"/>
  <c r="A1" i="27" a="1"/>
  <c r="A1" i="27" s="1"/>
  <c r="I15" i="26"/>
  <c r="F15" i="26"/>
  <c r="G15" i="26" s="1"/>
  <c r="I14" i="26"/>
  <c r="J14" i="26" s="1"/>
  <c r="F14" i="26"/>
  <c r="G14" i="26" s="1"/>
  <c r="I13" i="26"/>
  <c r="J13" i="26" s="1"/>
  <c r="F13" i="26"/>
  <c r="G13" i="26" s="1"/>
  <c r="I12" i="26"/>
  <c r="F12" i="26"/>
  <c r="G12" i="26" s="1"/>
  <c r="I11" i="26"/>
  <c r="J11" i="26" s="1"/>
  <c r="F11" i="26"/>
  <c r="G11" i="26" s="1"/>
  <c r="I10" i="26"/>
  <c r="J10" i="26" s="1"/>
  <c r="F10" i="26"/>
  <c r="G10" i="26" s="1"/>
  <c r="I9" i="26"/>
  <c r="F9" i="26"/>
  <c r="G9" i="26" s="1"/>
  <c r="I8" i="26"/>
  <c r="J8" i="26" s="1"/>
  <c r="F8" i="26"/>
  <c r="G8" i="26" s="1"/>
  <c r="I7" i="26"/>
  <c r="F7" i="26"/>
  <c r="G7" i="26" s="1"/>
  <c r="I6" i="26"/>
  <c r="F6" i="26"/>
  <c r="G6" i="26" s="1"/>
  <c r="I5" i="26"/>
  <c r="J5" i="26" s="1"/>
  <c r="F5" i="26"/>
  <c r="G5" i="26" s="1"/>
  <c r="I4" i="26"/>
  <c r="J4" i="26" s="1"/>
  <c r="F4" i="26"/>
  <c r="G4" i="26" s="1"/>
  <c r="E2" i="26"/>
  <c r="K2" i="26"/>
  <c r="A1" i="26" a="1"/>
  <c r="A1" i="26" s="1"/>
  <c r="I15" i="19"/>
  <c r="J15" i="19" s="1"/>
  <c r="F15" i="19"/>
  <c r="G15" i="19" s="1"/>
  <c r="I14" i="19"/>
  <c r="J14" i="19" s="1"/>
  <c r="F14" i="19"/>
  <c r="G14" i="19" s="1"/>
  <c r="I13" i="19"/>
  <c r="J13" i="19" s="1"/>
  <c r="F13" i="19"/>
  <c r="G13" i="19" s="1"/>
  <c r="I12" i="19"/>
  <c r="J12" i="19" s="1"/>
  <c r="F12" i="19"/>
  <c r="G12" i="19" s="1"/>
  <c r="I11" i="19"/>
  <c r="J11" i="19" s="1"/>
  <c r="F11" i="19"/>
  <c r="G11" i="19" s="1"/>
  <c r="I10" i="19"/>
  <c r="J10" i="19" s="1"/>
  <c r="F10" i="19"/>
  <c r="G10" i="19" s="1"/>
  <c r="I9" i="19"/>
  <c r="J9" i="19" s="1"/>
  <c r="F9" i="19"/>
  <c r="G9" i="19" s="1"/>
  <c r="I8" i="19"/>
  <c r="J8" i="19" s="1"/>
  <c r="F8" i="19"/>
  <c r="G8" i="19" s="1"/>
  <c r="I7" i="19"/>
  <c r="J7" i="19" s="1"/>
  <c r="F7" i="19"/>
  <c r="G7" i="19" s="1"/>
  <c r="I6" i="19"/>
  <c r="J6" i="19" s="1"/>
  <c r="F6" i="19"/>
  <c r="G6" i="19" s="1"/>
  <c r="I5" i="19"/>
  <c r="J5" i="19" s="1"/>
  <c r="F5" i="19"/>
  <c r="G5" i="19" s="1"/>
  <c r="I4" i="19"/>
  <c r="J4" i="19" s="1"/>
  <c r="F4" i="19"/>
  <c r="G4" i="19" s="1"/>
  <c r="A1" i="19" a="1"/>
  <c r="A1" i="19" s="1"/>
  <c r="I15" i="20"/>
  <c r="J15" i="20" s="1"/>
  <c r="F15" i="20"/>
  <c r="G15" i="20" s="1"/>
  <c r="I14" i="20"/>
  <c r="J14" i="20" s="1"/>
  <c r="F14" i="20"/>
  <c r="G14" i="20" s="1"/>
  <c r="I13" i="20"/>
  <c r="J13" i="20" s="1"/>
  <c r="F13" i="20"/>
  <c r="G13" i="20" s="1"/>
  <c r="I12" i="20"/>
  <c r="J12" i="20" s="1"/>
  <c r="F12" i="20"/>
  <c r="G12" i="20" s="1"/>
  <c r="I11" i="20"/>
  <c r="J11" i="20" s="1"/>
  <c r="F11" i="20"/>
  <c r="G11" i="20" s="1"/>
  <c r="I10" i="20"/>
  <c r="J10" i="20" s="1"/>
  <c r="F10" i="20"/>
  <c r="G10" i="20" s="1"/>
  <c r="I9" i="20"/>
  <c r="J9" i="20" s="1"/>
  <c r="F9" i="20"/>
  <c r="G9" i="20" s="1"/>
  <c r="I8" i="20"/>
  <c r="J8" i="20" s="1"/>
  <c r="F8" i="20"/>
  <c r="G8" i="20" s="1"/>
  <c r="I7" i="20"/>
  <c r="J7" i="20" s="1"/>
  <c r="F7" i="20"/>
  <c r="G7" i="20" s="1"/>
  <c r="I6" i="20"/>
  <c r="J6" i="20" s="1"/>
  <c r="F6" i="20"/>
  <c r="G6" i="20" s="1"/>
  <c r="I5" i="20"/>
  <c r="J5" i="20" s="1"/>
  <c r="F5" i="20"/>
  <c r="G5" i="20" s="1"/>
  <c r="I4" i="20"/>
  <c r="J4" i="20" s="1"/>
  <c r="F4" i="20"/>
  <c r="G4" i="20" s="1"/>
  <c r="A1" i="20" a="1"/>
  <c r="A1" i="20" s="1"/>
  <c r="I15" i="21"/>
  <c r="J15" i="21" s="1"/>
  <c r="F15" i="21"/>
  <c r="G15" i="21" s="1"/>
  <c r="I14" i="21"/>
  <c r="J14" i="21" s="1"/>
  <c r="F14" i="21"/>
  <c r="G14" i="21" s="1"/>
  <c r="I13" i="21"/>
  <c r="J13" i="21" s="1"/>
  <c r="F13" i="21"/>
  <c r="G13" i="21" s="1"/>
  <c r="I12" i="21"/>
  <c r="J12" i="21" s="1"/>
  <c r="F12" i="21"/>
  <c r="G12" i="21" s="1"/>
  <c r="I11" i="21"/>
  <c r="J11" i="21" s="1"/>
  <c r="F11" i="21"/>
  <c r="G11" i="21" s="1"/>
  <c r="I10" i="21"/>
  <c r="J10" i="21" s="1"/>
  <c r="F10" i="21"/>
  <c r="G10" i="21" s="1"/>
  <c r="I9" i="21"/>
  <c r="J9" i="21" s="1"/>
  <c r="F9" i="21"/>
  <c r="G9" i="21" s="1"/>
  <c r="I8" i="21"/>
  <c r="J8" i="21" s="1"/>
  <c r="F8" i="21"/>
  <c r="G8" i="21" s="1"/>
  <c r="I7" i="21"/>
  <c r="J7" i="21" s="1"/>
  <c r="F7" i="21"/>
  <c r="G7" i="21" s="1"/>
  <c r="I6" i="21"/>
  <c r="J6" i="21" s="1"/>
  <c r="F6" i="21"/>
  <c r="G6" i="21" s="1"/>
  <c r="I5" i="21"/>
  <c r="J5" i="21" s="1"/>
  <c r="F5" i="21"/>
  <c r="G5" i="21" s="1"/>
  <c r="I4" i="21"/>
  <c r="J4" i="21" s="1"/>
  <c r="F4" i="21"/>
  <c r="G4" i="21" s="1"/>
  <c r="A1" i="21" a="1"/>
  <c r="A1" i="21" s="1"/>
  <c r="I15" i="4"/>
  <c r="J15" i="4" s="1"/>
  <c r="I14" i="4"/>
  <c r="J14" i="4" s="1"/>
  <c r="I13" i="4"/>
  <c r="J13" i="4" s="1"/>
  <c r="F13" i="4"/>
  <c r="G13" i="4" s="1"/>
  <c r="I12" i="4"/>
  <c r="J12" i="4" s="1"/>
  <c r="F12" i="4"/>
  <c r="G12" i="4" s="1"/>
  <c r="I11" i="4"/>
  <c r="J11" i="4" s="1"/>
  <c r="F11" i="4"/>
  <c r="G11" i="4" s="1"/>
  <c r="I10" i="4"/>
  <c r="J10" i="4" s="1"/>
  <c r="F10" i="4"/>
  <c r="G10" i="4" s="1"/>
  <c r="I9" i="4"/>
  <c r="J9" i="4" s="1"/>
  <c r="F9" i="4"/>
  <c r="G9" i="4" s="1"/>
  <c r="I8" i="4"/>
  <c r="J8" i="4" s="1"/>
  <c r="F8" i="4"/>
  <c r="G8" i="4" s="1"/>
  <c r="I7" i="4"/>
  <c r="J7" i="4" s="1"/>
  <c r="F7" i="4"/>
  <c r="G7" i="4" s="1"/>
  <c r="I6" i="4"/>
  <c r="J6" i="4" s="1"/>
  <c r="F6" i="4"/>
  <c r="G6" i="4" s="1"/>
  <c r="I5" i="4"/>
  <c r="J5" i="4" s="1"/>
  <c r="F5" i="4"/>
  <c r="G5" i="4" s="1"/>
  <c r="I4" i="4"/>
  <c r="J4" i="4" s="1"/>
  <c r="F4" i="4"/>
  <c r="G4" i="4" s="1"/>
  <c r="A1" i="4" a="1"/>
  <c r="A1" i="4" s="1"/>
  <c r="K2" i="3"/>
  <c r="A1" i="3" a="1"/>
  <c r="A1" i="3" s="1"/>
  <c r="I6" i="72"/>
  <c r="J6" i="72" s="1"/>
  <c r="I7" i="72"/>
  <c r="J7" i="72" s="1"/>
  <c r="I8" i="72"/>
  <c r="J8" i="72" s="1"/>
  <c r="I9" i="72"/>
  <c r="J9" i="72" s="1"/>
  <c r="I10" i="72"/>
  <c r="J10" i="72" s="1"/>
  <c r="I11" i="72"/>
  <c r="J11" i="72" s="1"/>
  <c r="I12" i="72"/>
  <c r="J12" i="72" s="1"/>
  <c r="I13" i="72"/>
  <c r="J13" i="72" s="1"/>
  <c r="I14" i="72"/>
  <c r="J14" i="72" s="1"/>
  <c r="I15" i="72"/>
  <c r="J15" i="72" s="1"/>
  <c r="I5" i="72"/>
  <c r="J5" i="72" s="1"/>
  <c r="I4" i="72"/>
  <c r="J4" i="72" s="1"/>
  <c r="K2" i="72"/>
  <c r="A1" i="72" a="1"/>
  <c r="A1" i="72" s="1"/>
  <c r="J17" i="31" l="1"/>
  <c r="I17" i="30"/>
  <c r="J17" i="30" s="1"/>
  <c r="J16" i="31"/>
  <c r="I16" i="30"/>
  <c r="J16" i="30" s="1"/>
  <c r="E6" i="34"/>
  <c r="E14" i="34"/>
  <c r="E16" i="34"/>
  <c r="J17" i="27"/>
  <c r="I17" i="29"/>
  <c r="J17" i="29" s="1"/>
  <c r="D5" i="34"/>
  <c r="D9" i="34"/>
  <c r="D13" i="34"/>
  <c r="D16" i="34"/>
  <c r="F11" i="30"/>
  <c r="G11" i="30" s="1"/>
  <c r="I12" i="29"/>
  <c r="J12" i="29" s="1"/>
  <c r="D7" i="34"/>
  <c r="D11" i="34"/>
  <c r="D15" i="34"/>
  <c r="D8" i="34"/>
  <c r="D12" i="34"/>
  <c r="D6" i="34"/>
  <c r="D10" i="34"/>
  <c r="D14" i="34"/>
  <c r="E12" i="34"/>
  <c r="E10" i="34"/>
  <c r="E11" i="34"/>
  <c r="E7" i="34"/>
  <c r="E15" i="34"/>
  <c r="E17" i="34"/>
  <c r="F17" i="34" s="1"/>
  <c r="G17" i="34" s="1"/>
  <c r="E13" i="34"/>
  <c r="E9" i="34"/>
  <c r="E8" i="34"/>
  <c r="E5" i="34"/>
  <c r="F16" i="18"/>
  <c r="G16" i="18" s="1"/>
  <c r="I7" i="29"/>
  <c r="J7" i="29" s="1"/>
  <c r="I15" i="29"/>
  <c r="J15" i="29" s="1"/>
  <c r="F6" i="18"/>
  <c r="G6" i="18" s="1"/>
  <c r="F10" i="18"/>
  <c r="G10" i="18" s="1"/>
  <c r="F6" i="29"/>
  <c r="G6" i="29" s="1"/>
  <c r="F10" i="29"/>
  <c r="G10" i="29" s="1"/>
  <c r="F10" i="30"/>
  <c r="G10" i="30" s="1"/>
  <c r="F14" i="30"/>
  <c r="G14" i="30" s="1"/>
  <c r="E2" i="1"/>
  <c r="F8" i="30"/>
  <c r="G8" i="30" s="1"/>
  <c r="F12" i="30"/>
  <c r="G12" i="30" s="1"/>
  <c r="F16" i="29"/>
  <c r="G16" i="29" s="1"/>
  <c r="F9" i="30"/>
  <c r="G9" i="30" s="1"/>
  <c r="F13" i="30"/>
  <c r="G13" i="30" s="1"/>
  <c r="E2" i="18"/>
  <c r="F17" i="18"/>
  <c r="G17" i="18" s="1"/>
  <c r="F17" i="1"/>
  <c r="G17" i="1" s="1"/>
  <c r="F16" i="1"/>
  <c r="G16" i="1" s="1"/>
  <c r="F15" i="30"/>
  <c r="G15" i="30" s="1"/>
  <c r="E2" i="30"/>
  <c r="F5" i="30"/>
  <c r="G5" i="30" s="1"/>
  <c r="F6" i="30"/>
  <c r="G6" i="30" s="1"/>
  <c r="I6" i="30"/>
  <c r="J6" i="30" s="1"/>
  <c r="F4" i="30"/>
  <c r="G4" i="30" s="1"/>
  <c r="F13" i="29"/>
  <c r="G13" i="29" s="1"/>
  <c r="F14" i="29"/>
  <c r="G14" i="29" s="1"/>
  <c r="I9" i="29"/>
  <c r="J9" i="29" s="1"/>
  <c r="I6" i="29"/>
  <c r="J6" i="29" s="1"/>
  <c r="E2" i="29"/>
  <c r="F5" i="29"/>
  <c r="G5" i="29" s="1"/>
  <c r="F9" i="29"/>
  <c r="G9" i="29" s="1"/>
  <c r="I10" i="29"/>
  <c r="J10" i="29" s="1"/>
  <c r="I13" i="29"/>
  <c r="J13" i="29" s="1"/>
  <c r="F11" i="29"/>
  <c r="G11" i="29" s="1"/>
  <c r="F8" i="29"/>
  <c r="G8" i="29" s="1"/>
  <c r="F12" i="29"/>
  <c r="G12" i="29" s="1"/>
  <c r="I16" i="29"/>
  <c r="J16" i="29" s="1"/>
  <c r="F9" i="18"/>
  <c r="G9" i="18" s="1"/>
  <c r="F14" i="18"/>
  <c r="G14" i="18" s="1"/>
  <c r="F5" i="18"/>
  <c r="G5" i="18" s="1"/>
  <c r="F13" i="18"/>
  <c r="G13" i="18" s="1"/>
  <c r="I16" i="18"/>
  <c r="E4" i="34"/>
  <c r="F7" i="18"/>
  <c r="G7" i="18" s="1"/>
  <c r="F11" i="18"/>
  <c r="G11" i="18" s="1"/>
  <c r="F15" i="18"/>
  <c r="G15" i="18" s="1"/>
  <c r="I17" i="18"/>
  <c r="F4" i="18"/>
  <c r="G4" i="18" s="1"/>
  <c r="F8" i="18"/>
  <c r="G8" i="18" s="1"/>
  <c r="F12" i="18"/>
  <c r="G12" i="18" s="1"/>
  <c r="I17" i="1"/>
  <c r="J17" i="1" s="1"/>
  <c r="I16" i="1"/>
  <c r="J16" i="1" s="1"/>
  <c r="I2" i="33"/>
  <c r="J2" i="33" s="1"/>
  <c r="K2" i="33"/>
  <c r="I2" i="32"/>
  <c r="J2" i="32" s="1"/>
  <c r="K2" i="32"/>
  <c r="I2" i="31"/>
  <c r="J2" i="31" s="1"/>
  <c r="K2" i="31"/>
  <c r="I2" i="28"/>
  <c r="J2" i="28" s="1"/>
  <c r="F2" i="28"/>
  <c r="G2" i="28" s="1"/>
  <c r="I2" i="27"/>
  <c r="J2" i="27" s="1"/>
  <c r="K2" i="27"/>
  <c r="I2" i="26"/>
  <c r="J2" i="26" s="1"/>
  <c r="I2" i="19"/>
  <c r="J2" i="19" s="1"/>
  <c r="K2" i="19"/>
  <c r="F2" i="20"/>
  <c r="G2" i="20" s="1"/>
  <c r="K2" i="20"/>
  <c r="I2" i="20"/>
  <c r="J2" i="20" s="1"/>
  <c r="I2" i="21"/>
  <c r="J2" i="21" s="1"/>
  <c r="K2" i="21"/>
  <c r="I2" i="4"/>
  <c r="J2" i="4" s="1"/>
  <c r="K2" i="4"/>
  <c r="I2" i="3"/>
  <c r="J2" i="3" s="1"/>
  <c r="F7" i="1"/>
  <c r="G7" i="1" s="1"/>
  <c r="F15" i="1"/>
  <c r="G15" i="1" s="1"/>
  <c r="F8" i="1"/>
  <c r="G8" i="1" s="1"/>
  <c r="F11" i="1"/>
  <c r="G11" i="1" s="1"/>
  <c r="F9" i="1"/>
  <c r="G9" i="1" s="1"/>
  <c r="F10" i="1"/>
  <c r="G10" i="1" s="1"/>
  <c r="F12" i="1"/>
  <c r="G12" i="1" s="1"/>
  <c r="F5" i="1"/>
  <c r="G5" i="1" s="1"/>
  <c r="F13" i="1"/>
  <c r="G13" i="1" s="1"/>
  <c r="F6" i="1"/>
  <c r="G6" i="1" s="1"/>
  <c r="F14" i="1"/>
  <c r="G14" i="1" s="1"/>
  <c r="I14" i="30"/>
  <c r="J14" i="30" s="1"/>
  <c r="I9" i="30"/>
  <c r="J9" i="30" s="1"/>
  <c r="I4" i="30"/>
  <c r="J4" i="30" s="1"/>
  <c r="F7" i="30"/>
  <c r="G7" i="30" s="1"/>
  <c r="I12" i="30"/>
  <c r="J12" i="30" s="1"/>
  <c r="I7" i="30"/>
  <c r="J7" i="30" s="1"/>
  <c r="I15" i="30"/>
  <c r="J15" i="30" s="1"/>
  <c r="I10" i="30"/>
  <c r="J10" i="30" s="1"/>
  <c r="I5" i="30"/>
  <c r="J5" i="30" s="1"/>
  <c r="I13" i="30"/>
  <c r="J13" i="30" s="1"/>
  <c r="I8" i="30"/>
  <c r="J8" i="30" s="1"/>
  <c r="I11" i="30"/>
  <c r="J11" i="30" s="1"/>
  <c r="F7" i="29"/>
  <c r="G7" i="29" s="1"/>
  <c r="I8" i="29"/>
  <c r="J8" i="29" s="1"/>
  <c r="I11" i="29"/>
  <c r="J11" i="29" s="1"/>
  <c r="J6" i="26"/>
  <c r="J9" i="26"/>
  <c r="J12" i="26"/>
  <c r="J15" i="26"/>
  <c r="I14" i="29"/>
  <c r="J14" i="29" s="1"/>
  <c r="I4" i="29"/>
  <c r="J4" i="29" s="1"/>
  <c r="F15" i="29"/>
  <c r="G15" i="29" s="1"/>
  <c r="I5" i="29"/>
  <c r="J5" i="29" s="1"/>
  <c r="J7" i="26"/>
  <c r="I14" i="18"/>
  <c r="I9" i="18"/>
  <c r="I6" i="18"/>
  <c r="I4" i="18"/>
  <c r="J4" i="18" s="1"/>
  <c r="I12" i="18"/>
  <c r="I7" i="18"/>
  <c r="I15" i="18"/>
  <c r="I10" i="18"/>
  <c r="D4" i="34"/>
  <c r="I5" i="18"/>
  <c r="I13" i="18"/>
  <c r="I8" i="18"/>
  <c r="I11" i="18"/>
  <c r="F4" i="29"/>
  <c r="G4" i="29" s="1"/>
  <c r="I7" i="1"/>
  <c r="J7" i="1" s="1"/>
  <c r="I4" i="1"/>
  <c r="I5" i="1"/>
  <c r="J5" i="1" s="1"/>
  <c r="I15" i="1"/>
  <c r="J15" i="1" s="1"/>
  <c r="I12" i="1"/>
  <c r="J12" i="1" s="1"/>
  <c r="I11" i="1"/>
  <c r="J11" i="1" s="1"/>
  <c r="I10" i="1"/>
  <c r="J10" i="1" s="1"/>
  <c r="I6" i="1"/>
  <c r="J6" i="1" s="1"/>
  <c r="F2" i="3"/>
  <c r="G2" i="3" s="1"/>
  <c r="F4" i="1"/>
  <c r="G4" i="1" s="1"/>
  <c r="I14" i="1"/>
  <c r="J14" i="1" s="1"/>
  <c r="I13" i="1"/>
  <c r="J13" i="1" s="1"/>
  <c r="I9" i="1"/>
  <c r="J9" i="1" s="1"/>
  <c r="I8" i="1"/>
  <c r="J8" i="1" s="1"/>
  <c r="F2" i="33"/>
  <c r="G2" i="33" s="1"/>
  <c r="F2" i="32"/>
  <c r="G2" i="32" s="1"/>
  <c r="F2" i="31"/>
  <c r="G2" i="31" s="1"/>
  <c r="F2" i="27"/>
  <c r="G2" i="27" s="1"/>
  <c r="F2" i="26"/>
  <c r="G2" i="26" s="1"/>
  <c r="F2" i="19"/>
  <c r="G2" i="19" s="1"/>
  <c r="F2" i="21"/>
  <c r="G2" i="21" s="1"/>
  <c r="F2" i="4"/>
  <c r="G2" i="4" s="1"/>
  <c r="I2" i="72"/>
  <c r="F5" i="34" l="1"/>
  <c r="G5" i="34" s="1"/>
  <c r="F16" i="34"/>
  <c r="G16" i="34" s="1"/>
  <c r="F6" i="34"/>
  <c r="G6" i="34" s="1"/>
  <c r="F15" i="34"/>
  <c r="G15" i="34" s="1"/>
  <c r="F9" i="34"/>
  <c r="G9" i="34" s="1"/>
  <c r="F14" i="34"/>
  <c r="G14" i="34" s="1"/>
  <c r="F13" i="34"/>
  <c r="G13" i="34" s="1"/>
  <c r="F12" i="34"/>
  <c r="G12" i="34" s="1"/>
  <c r="F11" i="34"/>
  <c r="G11" i="34" s="1"/>
  <c r="F7" i="34"/>
  <c r="G7" i="34" s="1"/>
  <c r="F10" i="34"/>
  <c r="G10" i="34" s="1"/>
  <c r="F8" i="34"/>
  <c r="G8" i="34" s="1"/>
  <c r="D2" i="34"/>
  <c r="I2" i="34" s="1"/>
  <c r="J2" i="34" s="1"/>
  <c r="E2" i="34"/>
  <c r="F2" i="29"/>
  <c r="G2" i="29" s="1"/>
  <c r="J12" i="18"/>
  <c r="I12" i="34"/>
  <c r="J12" i="34" s="1"/>
  <c r="J11" i="18"/>
  <c r="I11" i="34"/>
  <c r="J11" i="34" s="1"/>
  <c r="J17" i="18"/>
  <c r="I17" i="34"/>
  <c r="J17" i="34" s="1"/>
  <c r="J6" i="18"/>
  <c r="I6" i="34"/>
  <c r="J6" i="34" s="1"/>
  <c r="J16" i="18"/>
  <c r="I16" i="34"/>
  <c r="J16" i="34" s="1"/>
  <c r="J15" i="18"/>
  <c r="I15" i="34"/>
  <c r="J15" i="34" s="1"/>
  <c r="J14" i="18"/>
  <c r="I14" i="34"/>
  <c r="J14" i="34" s="1"/>
  <c r="J13" i="18"/>
  <c r="I13" i="34"/>
  <c r="J13" i="34" s="1"/>
  <c r="J10" i="18"/>
  <c r="I10" i="34"/>
  <c r="J10" i="34" s="1"/>
  <c r="J9" i="18"/>
  <c r="I9" i="34"/>
  <c r="J9" i="34" s="1"/>
  <c r="J8" i="18"/>
  <c r="I8" i="34"/>
  <c r="J8" i="34" s="1"/>
  <c r="J7" i="18"/>
  <c r="I7" i="34"/>
  <c r="J7" i="34" s="1"/>
  <c r="J5" i="18"/>
  <c r="I5" i="34"/>
  <c r="J5" i="34" s="1"/>
  <c r="F4" i="34"/>
  <c r="G4" i="34" s="1"/>
  <c r="I2" i="1"/>
  <c r="J2" i="1" s="1"/>
  <c r="J4" i="1"/>
  <c r="I4" i="34"/>
  <c r="J4" i="34" s="1"/>
  <c r="I2" i="29"/>
  <c r="J2" i="29" s="1"/>
  <c r="I2" i="30"/>
  <c r="J2" i="30" s="1"/>
  <c r="F2" i="30"/>
  <c r="G2" i="30" s="1"/>
  <c r="I2" i="18"/>
  <c r="J2" i="18" s="1"/>
  <c r="F2" i="18"/>
  <c r="G2" i="18" s="1"/>
  <c r="F2" i="1"/>
  <c r="G2" i="1" s="1"/>
  <c r="J2" i="72"/>
  <c r="F2" i="72"/>
  <c r="G2" i="72" s="1"/>
  <c r="F2" i="34" l="1"/>
  <c r="G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tc={DF67D825-C883-44F2-8EA5-D891A5BC6DA2}</author>
    <author>tc={A315C444-F93F-4C05-92FF-4E51C72D0B9B}</author>
  </authors>
  <commentList>
    <comment ref="D81" authorId="0" shapeId="0" xr:uid="{DF67D825-C883-44F2-8EA5-D891A5BC6DA2}">
      <text>
        <t>[Threaded comment]
Your version of Excel allows you to read this threaded comment; however, any edits to it will get removed if the file is opened in a newer version of Excel. Learn more: https://go.microsoft.com/fwlink/?linkid=870924
Comment:
    Meter data is not available, energy values are taken from inverter.</t>
      </text>
    </comment>
    <comment ref="D89" authorId="1" shapeId="0" xr:uid="{A315C444-F93F-4C05-92FF-4E51C72D0B9B}">
      <text>
        <t>[Threaded comment]
Your version of Excel allows you to read this threaded comment; however, any edits to it will get removed if the file is opened in a newer version of Excel. Learn more: https://go.microsoft.com/fwlink/?linkid=870924
Comment:
    Meter data is not available, energy values are taken from inverter.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tc={86E18900-82D9-4255-AB88-27957F7FACBD}</author>
  </authors>
  <commentList>
    <comment ref="D96" authorId="0" shapeId="0" xr:uid="{86E18900-82D9-4255-AB88-27957F7FACBD}">
      <text>
        <t>[Threaded comment]
Your version of Excel allows you to read this threaded comment; however, any edits to it will get removed if the file is opened in a newer version of Excel. Learn more: https://go.microsoft.com/fwlink/?linkid=870924
Comment:
    Inverter Actual Energy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<sst xmlns="http://schemas.openxmlformats.org/spreadsheetml/2006/main" count="2536" uniqueCount="1578">
  <si>
    <t>Year to Date Actual v. Expected</t>
  </si>
  <si>
    <t>Year to Date Actual v. Forecasted</t>
  </si>
  <si>
    <t>Total</t>
  </si>
  <si>
    <t>Site</t>
  </si>
  <si>
    <t>State</t>
  </si>
  <si>
    <t>SOL#</t>
  </si>
  <si>
    <t>Actual</t>
  </si>
  <si>
    <t>Expected</t>
  </si>
  <si>
    <t>Delta</t>
  </si>
  <si>
    <t>%</t>
  </si>
  <si>
    <t>Forecasted</t>
  </si>
  <si>
    <t>SOL-11085</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</si>
  <si>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</si>
  <si>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</si>
  <si>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</si>
  <si>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</si>
  <si>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</si>
  <si>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</si>
  <si>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</si>
  <si>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</si>
  <si>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</si>
  <si>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</si>
  <si>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</si>
  <si>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</si>
  <si>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</si>
  <si>
    <t>1.Inverter 1.1 is offline from 01/05 and back online on 01/17 at 10:45AM
2. Inverter 1.1 is offline from 07:00AM on 01/20 and back online at 11:00 on 01/22</t>
  </si>
  <si>
    <t>1.SR079991
2.SR080358</t>
  </si>
  <si>
    <t>1.Site did not started on 01/25 and started late on 01/27.</t>
  </si>
  <si>
    <t xml:space="preserve">1.SR080480	</t>
  </si>
  <si>
    <t>1. Inveter B did not started for production 1/15 and 1/24.</t>
  </si>
  <si>
    <t>1. SR080237</t>
  </si>
  <si>
    <t xml:space="preserve"> </t>
  </si>
  <si>
    <t>1. Site was offline on 1/22 at 15:30 and back online on 1/23 11:45.</t>
  </si>
  <si>
    <t>1. SR080401</t>
  </si>
  <si>
    <t>1. Site started production from 1/18</t>
  </si>
  <si>
    <t>1. SR079892</t>
  </si>
  <si>
    <t>1. Ongoing construction to the array on the roof. 70 percent of the array is offline for construction</t>
  </si>
  <si>
    <t>1. SR077214</t>
  </si>
  <si>
    <t>1. Inverter 1 primary unit offline on 01/19/2024 &amp; back online 01/25/2024 at 10:00.</t>
  </si>
  <si>
    <t>1. SR080472</t>
  </si>
  <si>
    <t>1. Site tripped offline on 01/11 at 8:15 and back online at 11:15,  but inverter 2 again tripped offline
2. Inverter 2 tripped offline on 01/11 at 11:45 and back online on 01/12</t>
  </si>
  <si>
    <t>1. SR080156
2. SR080165</t>
  </si>
  <si>
    <t>1. Inverter 4 tripped offline at 10:50 at 01/17 &amp; back online on 01/20/2024. 
2. Inverter 8 left unit offline on 01/07/2024 &amp; back online at 01/08/2024 and also left unit offline from 01/16 to 01/22</t>
  </si>
  <si>
    <t>1.SR080297
2.SR080299</t>
  </si>
  <si>
    <t xml:space="preserve">1. Inverter 3 primary unit is offline on 12/11/2024 &amp; back online on 01/02/2024. </t>
  </si>
  <si>
    <t xml:space="preserve"> 1. SR079120</t>
  </si>
  <si>
    <t xml:space="preserve">1. Inverter 3 left unit tripped offline on 01/10/2024.  </t>
  </si>
  <si>
    <t>1.SR080789</t>
  </si>
  <si>
    <t xml:space="preserve">1. Inverters 3 &amp; 4 are offline on 01/24/2024 &amp; back online on 01/29/2024. </t>
  </si>
  <si>
    <t>1.SR080430</t>
  </si>
  <si>
    <t>1. Site is offline due to transformer issue</t>
  </si>
  <si>
    <t>1. SR077239</t>
  </si>
  <si>
    <t>1. Inverter 3 right unit offline from 01/25 to 01/31.
2. Inverter 1 left unit offline from 01/25 to 01/31.</t>
  </si>
  <si>
    <t>1. SR080476.
2. SR080477</t>
  </si>
  <si>
    <t xml:space="preserve">1.Inverter 10 is offline on 01/23/2024 &amp; back onlline on 01/24/2024 at 10:00. </t>
  </si>
  <si>
    <t>1.SR080431</t>
  </si>
  <si>
    <t>1.Inverter 3 was offline on 01/04 and back online on 01/05
2. Inverter 3 was offline on 01/09 and back online on 01/11.
3. Inverter 3 is offline on 01/14 and started on 01/15 at 10:30</t>
  </si>
  <si>
    <t>1.SR079935
2.SR080108
3.SR080204</t>
  </si>
  <si>
    <t>1.Site is offline from 2:20pm and back online at 4:00pm on 01/14
2.Inverter 15 tripped offline on 01/15 at 13:15 and back online 01/17</t>
  </si>
  <si>
    <t>1. SR080213
2. SR080245</t>
  </si>
  <si>
    <t>1. Inverter 1 is offline on 01/18  at 9:45 AM and had multiple tripping on 01/19
2. inverter 1 is tripped offline on 01/30 and back online from afternoon.</t>
  </si>
  <si>
    <t>1. SR080313
2. SR080606</t>
  </si>
  <si>
    <t>1. Site was de-energized for meter work on 01/03 at 09:50 till 12:15 and again on 01/23 at 10:15 to 12:45.</t>
  </si>
  <si>
    <t>1. SR079733</t>
  </si>
  <si>
    <t>1. Meter removed for repair work, here the presented energy was inverter cummulative energy.
2. Inverter 1 tripped offline on 01/19 and self resolved next day</t>
  </si>
  <si>
    <t xml:space="preserve"> 1.SR079721
2. SR080323</t>
  </si>
  <si>
    <t>1. Inverter 2 is offline from 12/28/2023 to 01/09 till 10:20 AM.</t>
  </si>
  <si>
    <t xml:space="preserve"> 1.SR079785</t>
  </si>
  <si>
    <t>1.Inverter 2 is  started late on 01/01 at 13:45
2.Inverter 1 started late at 12:50, but inverter 2 is offline on 01/15 and back online on 01/18.
3.Inverter 1 tripped offline on 01/17 and back online at 14:05 and on 01/18
4. Inverter 1 tripped offline on 11:55 on 01/21 and back online on 01/22 at 11:45.</t>
  </si>
  <si>
    <t>1.SR079852
2.SR080228
3.SR080288
4.SR080372</t>
  </si>
  <si>
    <t>1.Inverter 2 tripped offline at 12:10 on 01/22 and back online 01/23</t>
  </si>
  <si>
    <t xml:space="preserve"> 1.SR080393</t>
  </si>
  <si>
    <t>1. Inverter 3 is tripped offline at 13:30 and 15:10 on 01/17
2.Inverter 4 has tripped offline at 14:00 to 15:40 on 01/18
3.Inverter 3 tripped offline at 13:15 on 01/21 and back online the next day.</t>
  </si>
  <si>
    <t>1.SR080300
2.SR080324
3.SR080374</t>
  </si>
  <si>
    <t>1.Inverter 1 tripped offline at 10:25 and back online at 15:35 on 01/13 and started late production at 12:45 on 01/17 and at 12:30 on 01/18 and back online on 01/19 at 15:40.
2. Inverter 2 tripped offline at 11:50 on 01/18 and back online on 01/19 at 15:40.
3. Inverter 1 is started late 12:40 on 01/24 and tripped offline at 09:35 to 14:40 on 01/30 and started late production on 01/31.</t>
  </si>
  <si>
    <t>1.SR080192
2.SR080319
3.SR080447</t>
  </si>
  <si>
    <t>1.Site tripped offline at 8:35am and back online at 16:55 on 01/17.</t>
  </si>
  <si>
    <t xml:space="preserve"> 1. SR080280	</t>
  </si>
  <si>
    <t>1.Inverter 4 started late production on 01/01 at 14:05.</t>
  </si>
  <si>
    <t xml:space="preserve"> 1.SR079788</t>
  </si>
  <si>
    <t>1. Site tripped offline on 01/03/2024 at 7:35 &amp; back online on 01/04/2024 at 16:25. 
2. Site tripped offline at 01/09/2024 at 18:20 &amp; back online on 01/10/2024 at 23:40.</t>
  </si>
  <si>
    <t>1. SR079887
2. SR080113</t>
  </si>
  <si>
    <t xml:space="preserve">1. Site tripped at 08:35 am on 01/17/2024 &amp; back online 01/18/2024 at 8:00. </t>
  </si>
  <si>
    <t>1. SR080284</t>
  </si>
  <si>
    <t xml:space="preserve">1. Site tripped offline on 01/13 at 11:00 &amp; back online at 14:20. 
2. Inverter 2 tripped offine on 01/14/2023 at 11:50 &amp; back online at 02/04/2024. </t>
  </si>
  <si>
    <t>1. SR080181
2. SR080203</t>
  </si>
  <si>
    <t>1. Site tripped offline on 01/9 at 20:50 and back onlineon 01/10 10:25</t>
  </si>
  <si>
    <t xml:space="preserve">1. SR080114 </t>
  </si>
  <si>
    <t>1. Site tripped offline on 01/20/2024 &amp; back online at 01/23/2024 at 12:40</t>
  </si>
  <si>
    <t>1. SR080356</t>
  </si>
  <si>
    <t xml:space="preserve">1. Inverter 3 tripped offline on 01/09/2023 at 11:00 &amp; back online at 01/11/2024 at 11:00  &amp; again offline on 01/12/2023 &amp; back online 13:00. 
</t>
  </si>
  <si>
    <t xml:space="preserve">1. SR080091. </t>
  </si>
  <si>
    <t>1. Site tripped offline on 01/04/2023 at 14:45 &amp; back online at EOD
2. Site tripped offline on 01/03 and back online at 10:40 AM</t>
  </si>
  <si>
    <t>1. SR079959
2. SR079882</t>
  </si>
  <si>
    <t>1. SR079960
2. SR079883</t>
  </si>
  <si>
    <t>1. Site offline due to transformer tripping issue  from 01/29   
2. Site tripped offline on 01/09 at 15:00 and back online 01/12 at 16:00.
3. Inverter 1 tripped offline due to ground fault multiples in this month.</t>
  </si>
  <si>
    <t>1. SR080591
2. SR080107
3. SR080268</t>
  </si>
  <si>
    <t>1. SR079957
2. SR079879</t>
  </si>
  <si>
    <t xml:space="preserve">1. SR079958
2. SR079880 </t>
  </si>
  <si>
    <t xml:space="preserve">1. Site was offline from 01/08/2024 &amp; back online on 01/09/2024 .
2. Site tripped offline 01/14/2024 at 12:55 and back online on 01/16/2024 </t>
  </si>
  <si>
    <t>1. 	SR079967 
2. SR080207</t>
  </si>
  <si>
    <t>1. 	SR079968
2. SR080210</t>
  </si>
  <si>
    <t>1. 	SR079969
2. SR080208</t>
  </si>
  <si>
    <t xml:space="preserve">1. Site was offline on 01/12/2024 at 09:00 &amp; back online at 15:00 
2. Site was offline on 01/25/2024 at 9:00 &amp; back online at 13:00. </t>
  </si>
  <si>
    <t xml:space="preserve">1. SR080167
2. SR080440
</t>
  </si>
  <si>
    <t>1. Planned outage from the sub contractor to replace transformer cover on 01/04 from 9:30 to 11:30</t>
  </si>
  <si>
    <t>1. SR079930</t>
  </si>
  <si>
    <t>1. Production data was not available for January month.</t>
  </si>
  <si>
    <t>1. Site was tripped offline due to utility outage on 01/09 at 13:00 and back online on 01/12 at 9:00</t>
  </si>
  <si>
    <t>1. SR080095</t>
  </si>
  <si>
    <t>1. Site tripped offline due to utility outage on 01/09 at 10:00 and back online on 01/12 at 9:00
2. Inverter 2 tripped on 01/05 at 13:00 and back online on 02/02 at 15:00
3. Site was taken offline to repair the utility recloser on 01/12 at 21:00 and back online on 01/26 at 11:00.</t>
  </si>
  <si>
    <t>1. SR080096
2. SR079987
3. SR080388</t>
  </si>
  <si>
    <t>1. Inverter 2 tripped on 08/07 and back online 01/10 but not communicating</t>
  </si>
  <si>
    <t xml:space="preserve"> 1. SR078114</t>
  </si>
  <si>
    <t>1.Inverter 2 was online only on 01/10,01/11 and 01/29</t>
  </si>
  <si>
    <t xml:space="preserve"> 1. SR078935</t>
  </si>
  <si>
    <t>1.Inverter 5 is offline on 01/24 and back online at 09:45 on 01/30</t>
  </si>
  <si>
    <t xml:space="preserve"> 1.SR080445</t>
  </si>
  <si>
    <t>1. Inverter 3 tripped offline on 12/14
2.Inverters 8 and 9 are offline since 08/17/2023 due to damage to the AC relay
3.Inverter 2 is offline on 01/21 and back online on 01/22 at 14:30
4. Inverter 2 and 15 are offline from 01/27</t>
  </si>
  <si>
    <t xml:space="preserve">1. SR079260
2. SR078106
3. SR080373
4. SR080525	</t>
  </si>
  <si>
    <t>1. Inverters 6,10,15, have been offline since the commencement of the site. SMA is RMAing the inverters
2.Inverter 13 was offline 09/09/2023 from  and back online on 01/17/2024
3.Inverter 16 was offline from 01/15.</t>
  </si>
  <si>
    <t>1. SR078111
2. SR079970
3. SR079971</t>
  </si>
  <si>
    <t>1.Inverter #3  had its three strings capped off</t>
  </si>
  <si>
    <t xml:space="preserve"> 1.SR079277</t>
  </si>
  <si>
    <t>1.Inverter 36 tripped offline on 01/03 11:00 and back online on 01/04 at 13:00</t>
  </si>
  <si>
    <t xml:space="preserve"> 1.SR079920</t>
  </si>
  <si>
    <t>February Actual v. Expected</t>
  </si>
  <si>
    <t>February Actual v. Forecasted</t>
  </si>
  <si>
    <t>1. Inverter was offline on 02/12 and back online on 02/13
2. The inverter was offline on 02/23 and came back online on 02/26.</t>
  </si>
  <si>
    <t>1. SR080937
2. SR081271</t>
  </si>
  <si>
    <t>1. The inverter 1.1 is offline on 02/08 and back online on 02/09.</t>
  </si>
  <si>
    <t>1. SR080873</t>
  </si>
  <si>
    <t>1. Site is offline on 02/07, 02/10, 02/14, 02/17, 02/21, 02/23 to 02/25</t>
  </si>
  <si>
    <t>1. SR081005</t>
  </si>
  <si>
    <t>1. Inverter 2 has been underperforming by 40kW compared to inverter 1 since 02/09.</t>
  </si>
  <si>
    <t>1. SR081066</t>
  </si>
  <si>
    <t>1. The site was offline on 02/13, and the technician reset the inverters' AC disconnects, bringing it back online on 02/22 at 13:00.
2. All the inverters tripped offline on 02/25, and the technician reset them, bringing them back online on 02/26 at 9:00.</t>
  </si>
  <si>
    <t>1. SR080401
2. SR081307</t>
  </si>
  <si>
    <t>1. The primary unit of Inverter 1 started late on 02/10, 02/23, 02/27, and 02/28.</t>
  </si>
  <si>
    <t>1. SR080914</t>
  </si>
  <si>
    <t>1. The inverter 3 is offline on 02/06 and back online on 02/12 at 12:00pm.
2. Site tripped offline on 02/12 at 08:00am and came back online at 12:00pm on the same day.</t>
  </si>
  <si>
    <t>1. SR080762
2. 	SR080934</t>
  </si>
  <si>
    <t>1. The inverter 10 center unit has been offline since 02/26.</t>
  </si>
  <si>
    <t>1. SR081412</t>
  </si>
  <si>
    <t xml:space="preserve">1. The left unit of Inverter 2 has been offline since 02/12 and came back online on 02/20.
</t>
  </si>
  <si>
    <t xml:space="preserve">1. SR080942
</t>
  </si>
  <si>
    <t>1. Inverter 2 (which is inverter 1 in PowerTrack) left unit is offline on 02/18 and back online on 02/26 at 10:30AM</t>
  </si>
  <si>
    <t>1.SR081106, SR081210</t>
  </si>
  <si>
    <t xml:space="preserve">1.Inverter 4 is offline due to an isolation fault on 02/23
</t>
  </si>
  <si>
    <t xml:space="preserve">1.SR081267
</t>
  </si>
  <si>
    <t>1.Inverter 3 left unit is offline from 02/01 and back online on 02/22 at 11:00</t>
  </si>
  <si>
    <t>1. Site was offline due to transformer issue.</t>
  </si>
  <si>
    <t xml:space="preserve">1.Inverter 1 central unit tripped offline on 02/06 at 15:00 and back online 02/16 at 07:00
2.Inverter 2 primary unit offline from 02/06 and back online on 02/16 at 07:00
3.Inverter 3 right unit tripped offline at 15:00 on 02/07 and back online on 02/16 at 11:00
4.Inverter 4 left unit is offline from 02/07 and back online on 02/16 at 11:00AM </t>
  </si>
  <si>
    <t>1.SR080835
2.SR080836
3.SR080476
4.SR080837</t>
  </si>
  <si>
    <t>1.Inverter 4 tripped offline on 02/09 at 15:15 and back online on 02/14 at 09:15 AM and gain tripped offline on 02/23 at 09:00AM and back online at 11:30AM while technician at site</t>
  </si>
  <si>
    <t>1.SR080913</t>
  </si>
  <si>
    <t>1.  Inverter 2 left unit is offline since 02/15</t>
  </si>
  <si>
    <t>1. SR081335</t>
  </si>
  <si>
    <t>1. Inverter 2 left unit is tripped offline on 02/01 at 12:00pm and back online on 02/16</t>
  </si>
  <si>
    <t>1. SR080859</t>
  </si>
  <si>
    <t>1.Inverter 1 tripped offline on 02/04 at 08:15 AM and back online on 02/05 at 11:30AM
   Inverter 1 started late on 02/07 at 12:00PM while PE is at site
   Inverter 1 again tripped offline on 02/09 at 09:00AM and back online on 02/10 at 11:30AM 
   Inverter 1 again tripped offline on 02/11 at 09:00AM and back online on 02/12 at 13:00
   Inverter 1 again tripped offline on 02/20 at 08:45AM and back online on 02/21 at 11:30AM
   Inverter 1 is offline on 02/22 at 08:15AM and back online at 13:15 on 02/22 due to PE at site 
   On 02/23 Inverter 1 started late at 09:15AM while PE is at site</t>
  </si>
  <si>
    <t>1.SR080711</t>
  </si>
  <si>
    <t>1. Inverter 2 tripped offline at 11:00 on 02/14 and back online at 13:30 on 02/15 but combiner box 5 is disconnected due to thermal damage</t>
  </si>
  <si>
    <t>1. SR080998</t>
  </si>
  <si>
    <t xml:space="preserve">1. Inverters 23,24,25,26,27 tripped offline at 10:10 on 02/05 and back online at 13:10 on 02/06.
    Inverters 23,24,25,26,27 tripped offline at 10:00 on 02/19 and back online at 12:30 on 02/20.
    Inverters again tripped offline at 14:00 on 02/22 and back online at 14:00 on 02/29.
2. Site had a brief outage from 10:15 to 10:55 am on 02/22. Inverter 15 was offline after site outage and back online at 07:00 am on 02/23
</t>
  </si>
  <si>
    <t>1. SR080730, SR081102,  SR081202
2. SR081184</t>
  </si>
  <si>
    <t>1. Inverter 11 tripped offline at 10:30 on 02/27 and back online at 08:30 on 02/28</t>
  </si>
  <si>
    <t>1. SR081363</t>
  </si>
  <si>
    <t>1. Inverter 1 is offline from 1/30 and back online at 12:30 on 02/02</t>
  </si>
  <si>
    <t>1. SR080606</t>
  </si>
  <si>
    <t>1. Site was offline from 13:00 to 14:00 on 02/16
2. Inverter 3 tripped offline at 12:10 PM on 02/25 and back online at 12:15 PM on 02/27</t>
  </si>
  <si>
    <t>1. SR081058
2. SR081316</t>
  </si>
  <si>
    <t>1. Expected energy is not populating from 01/19/2024 - awaiting GPM support</t>
  </si>
  <si>
    <t>1. Meter not reporting power from 02/01 to 02/22 till 15:30, added inverter generation since meter didn't capture enitre generation of this month</t>
  </si>
  <si>
    <t>1. SR080648</t>
  </si>
  <si>
    <t>1. Site tripped offline from 01/30 and back online at 15:30 on 02/06
2. Inverter 1 tripped offline at 13:00 on 02/18 and back online EOD on 02/19
3. Inverter 2 tripped offline on 02/17, back online on 02/18 morning and again tripped offline at 12:35pm on 02/18 due AC contactor fault  and back online EOD on 02/19
4.   Both inverters have tripped offline and reporting instantaneous over current fault on 02/20 and back online at 13:05pm</t>
  </si>
  <si>
    <t>1. 	SR080622
2. SR081089
3. SR081080
4.  SR081125</t>
  </si>
  <si>
    <t>1. Inverter 3 tripped multiple times in the month
2. Inverters 4 are offline multiple times in the month and back online by midday
3. Inverter 2 has tripped offline on  02/17</t>
  </si>
  <si>
    <t>1. SR081289
2. SR081073	
3. SR081072</t>
  </si>
  <si>
    <t>1. Inverter 1 was offline on 02/01 from 07:00 and back online at 13:00 on 02/01
2. Site tripped offline at 17:00 on 02/28 and back online at 16:00 on 03/01</t>
  </si>
  <si>
    <t>1. 	SR080447
2. SR081429</t>
  </si>
  <si>
    <t xml:space="preserve">1. Meter 1 is not reporting production from 02/14, meter 2 looks good. Added cumulative energy values of inverters 1 &amp; 2 since meter 1 is not reporting from 02/14 </t>
  </si>
  <si>
    <t>1. SR081032</t>
  </si>
  <si>
    <t>1. Inverter 3 tripped offline on 02/29/2024 at 04:40PM and back online on 03/01/2024 at 07:00AM.
2. Inverter 4 tripped offline on 02/29/2024 at 05:00PM and back online on 03/01/2024 at 07:00PM.</t>
  </si>
  <si>
    <t>1. SR081477
2. SR081478</t>
  </si>
  <si>
    <t>1. Inverter 5 tripped offline on 02/03/2024 at 12:00PM and back online on 02/06/2024 at 10:15AM.
2. Inverter 30 tripped offline on 02/06/2024 at 11:45PM and back online on 02/06/2024 at 13:15.</t>
  </si>
  <si>
    <t>1. SR080693
2. SR080773</t>
  </si>
  <si>
    <t>1. Site tripped offline on 02/01/2024 at 04:50PM and later back online on 02/02/2024 at 05:10PM.
2. Inverter 2 was offline from 02/03/2024 and later back online on 02/05/2024 at 02:10PM.</t>
  </si>
  <si>
    <t>1. SR080659
2. SR080203, 	SR080690</t>
  </si>
  <si>
    <t>1. Site tripped offline 02/08/2023 at 02:05PM and back online on 02/09/2024 at 03:20PM.</t>
  </si>
  <si>
    <t>1. SR080885</t>
  </si>
  <si>
    <t xml:space="preserve">1. Site tripped offline  from 02/28 at 21:15PM and back online on 03/01 at 11 am </t>
  </si>
  <si>
    <t>1. SR081431</t>
  </si>
  <si>
    <t>1.  Site tripped offline  from 02/28 at 21:15 and back online at 08:50AM on 2/29</t>
  </si>
  <si>
    <t>1.  SR081432</t>
  </si>
  <si>
    <t xml:space="preserve">1. Site tripped offline at 08:55AM on 02/06 and back online at 12:55
</t>
  </si>
  <si>
    <t>1. SR080763</t>
  </si>
  <si>
    <t>1. Site tripped offline at 08:55AM on 02/06 and back online at 12:55</t>
  </si>
  <si>
    <t>1.  	SR080764</t>
  </si>
  <si>
    <t>1. Inverter 1 is getting continuously tripping due to transformer pressure relief valve and it also causing communication outage for the entire site</t>
  </si>
  <si>
    <t>1. SR080591</t>
  </si>
  <si>
    <t>1. Site tripped offline on 02/06/2024 at 08:55am &amp; back online at 12:45pm</t>
  </si>
  <si>
    <t>1.SR080765</t>
  </si>
  <si>
    <t xml:space="preserve">1. Site tripped offline on 02/06/2024 at 08:55 &amp; back online at 12:45. </t>
  </si>
  <si>
    <t>2.SR080766</t>
  </si>
  <si>
    <t xml:space="preserve">1. Site is offline on 02/09/2024 while tech is on site 12:30 to 14:00, site is offline on 02/22/2024 while tech is on site from 12:00 to 15:35. 
2. Site was taken offline by tech while on site - 02/28/2024 at 13:15 to 14:00. </t>
  </si>
  <si>
    <t>1.SR079118
2.SR081218</t>
  </si>
  <si>
    <t>1. Inverter is offline most of the days, from 02/06 to 02/28</t>
  </si>
  <si>
    <t>1. SR080654, SR081286</t>
  </si>
  <si>
    <t xml:space="preserve">1. Site was taken offline on 02/16/2024 by EV Solar from 09:00 to 12:00. 
2. Site is offline from 02/29/2024 &amp; back online on 03/01/2024 at 17:50. </t>
  </si>
  <si>
    <t>1.SR078378
2.SR081435</t>
  </si>
  <si>
    <t>1. Site is offline on 02/20/2024 at 14:55 &amp; back online at 08:35AM on 02/21/2024. 
2. Site tripped offline 02/28/2024 at 19:15 &amp; back online on 03/01/2024 at 08:00</t>
  </si>
  <si>
    <t>1. SR081137
2. SR081430</t>
  </si>
  <si>
    <t>1. Site started production from 02/02.
Site is offline on 02/05/2024 &amp; back online at 15:35 on same day &amp; again tripped offline on 02/06/2024 at 08:10 &amp; back online on 02/07/2024 at 08:40. 
Inverter 2 tripped offline on 02/09/2024 at 7:35am &amp; back online at 13:50. 
Site was offline by EV Solar on 02/16/2024 at 08:00 to 15:00. 
Site was taken offline on 02/26/2024 at 10:55 &amp; site was back online at 02/28/2024 at 14:</t>
  </si>
  <si>
    <t>1.SR080731</t>
  </si>
  <si>
    <t>1. Inverter 1 is offline at 11:45AM and back online at 13:00 and Inverter 2 is offline at 13:15 to 14:30 while technician is onsite on 02/06
2. Site tripped offline due to utility outage on 02/22 at 11 am to 11:45 am.
3. Inverter 1 did not start up from 02/25</t>
  </si>
  <si>
    <t>1.SR080509
2.SR081185
3.SR081302</t>
  </si>
  <si>
    <t>1. Inverter 2 is back online on 02/02 at 14:30
2. Site is offline on 02/06 from 10:00AM to 10:45AM while tech is onsite to troubleshoot with trackers
3. Site tripped offline due to utility outage on 02/22 at 11 am to 11:45 am.
4. DC Zones (SA3) 1 tripped offline on 02/04 at 12:00pm and back online on 02/05</t>
  </si>
  <si>
    <t>1.SR079987
2.SR080739
3.SR081186
4.SR080721</t>
  </si>
  <si>
    <t>1.Inverter 11 tripped offline on 02/19 at 11:15AM and back online at 16:00</t>
  </si>
  <si>
    <t>1.SR081112</t>
  </si>
  <si>
    <t>1.Inverter 2 had an AC contactor fail on 02/27</t>
  </si>
  <si>
    <t>1.SR081366</t>
  </si>
  <si>
    <t>1. Inverter 5 is offline and reporting " Fault Current" from 02/11/2024</t>
  </si>
  <si>
    <t>1. SR080925</t>
  </si>
  <si>
    <t>1. Inverters 2 and 15 are offline and reporting "fault current" from 01/27/2024
2. Inverters 8 and 9 are offline since 08/17/2023 due to damage to the AC relay
3.  Inverter 3 tripped offline from 12/14  and reporting "Fault Current".</t>
  </si>
  <si>
    <t>1. SR080525
2. SR078106
3.  SR079260</t>
  </si>
  <si>
    <t>1. Inverters 6,10,15, have been offline since the commencement of the site. SMA is RMAing the inverters
2. Inverter 17 tripped offline on 02/23/2024 due to "electric arc detected" 
3. Inverter 16 was offline from 01/15.</t>
  </si>
  <si>
    <t>1. SR078111
2. SR081250
3. SR079971</t>
  </si>
  <si>
    <t>1. Inverter 5 did not start on 02/23/2024 &amp; 2/28/24</t>
  </si>
  <si>
    <t>1. SR081416</t>
  </si>
  <si>
    <t>1. Inverter 7 is derating due to a fan fault (production impact was minor and can be obseved from 02/08)</t>
  </si>
  <si>
    <t>1. SR081341</t>
  </si>
  <si>
    <t>1. SR082925</t>
  </si>
  <si>
    <t>1. Inverter 5 is offline on 02/13 due to "bus differential high" fault</t>
  </si>
  <si>
    <t>1. SR080961</t>
  </si>
  <si>
    <t>March Actual v. Expected</t>
  </si>
  <si>
    <t>March Actual v. Forecasted</t>
  </si>
  <si>
    <t>1. Inverter tripped offline on 03/28 at 17:00 and back online on 03/29 at 17:45
2. Inverter tripped offline on 03/30 at 14:30 and back online on 04/01 at 11:00</t>
  </si>
  <si>
    <t>1. SR082894
2. SR082942</t>
  </si>
  <si>
    <t>1. Site started late at 12:00pm on 03/25 and on 03/26 site was offline between 08:00am to 13:00</t>
  </si>
  <si>
    <t>1. SR082722</t>
  </si>
  <si>
    <t>1. Inverter 3 tripped offline on 03/14 at 13:00 and back online on 03/20 at 11:00</t>
  </si>
  <si>
    <t>1. SR081918</t>
  </si>
  <si>
    <t>1. Inverter B is offline on 03/20 and back online on 03/21 and inverter is again offline on 03/25 and backonline on 03/26</t>
  </si>
  <si>
    <t>1. SR082252</t>
  </si>
  <si>
    <t>1. Weather station 2 showing erroneous value for whole month.</t>
  </si>
  <si>
    <t>1. SR082250</t>
  </si>
  <si>
    <t>1. Inverter 2 tripped offline on 03/17 at 13:15 and back online on 03/18 and again tripped offline on 03/18 at 14:30.</t>
  </si>
  <si>
    <t>1.SR081975</t>
  </si>
  <si>
    <t>1. Inverter 2 central unit is offline on 03/08 and back online on 03/12</t>
  </si>
  <si>
    <t>1. SR081701</t>
  </si>
  <si>
    <t>1. Inverter tripped offline on 03/19 at 11:00 am and back online on 03/20. Right unit is RMA'd on 03/22.</t>
  </si>
  <si>
    <t>1.SR082110</t>
  </si>
  <si>
    <t>1. Inverter 2 is offline from 03/05 and being RMA'd</t>
  </si>
  <si>
    <t>1. SR075645</t>
  </si>
  <si>
    <t>1. Inverter 1 is underproducing due to multiple tripping on left and right unit from 03/21.</t>
  </si>
  <si>
    <t>1. SR082762</t>
  </si>
  <si>
    <t>1. Inverter 3 right unit is underproducing approximately 12kW  for whole month</t>
  </si>
  <si>
    <t>1. SR081580</t>
  </si>
  <si>
    <t>1. Site tripped offline on 03/01 and back online on 03/04 at 11am
2. Site is offline on 03/27 and back online on 03/28 at 14:30 and again the site is offline on 03/29 and back online at 13:00 on 03/29</t>
  </si>
  <si>
    <t>1. SR081486
2. SR082799</t>
  </si>
  <si>
    <t xml:space="preserve">1. Site was taken offline by the technician on 03/21 at 13:00 &amp; back online on 03/22 at 13:00. </t>
  </si>
  <si>
    <t>1.SR082347</t>
  </si>
  <si>
    <t>1. Site is offline throughout the month due to transformer issue.</t>
  </si>
  <si>
    <t>1.SR077239</t>
  </si>
  <si>
    <t xml:space="preserve">1. Inverter 2 left unit is offline from 02/15 &amp; continued till 03/15. </t>
  </si>
  <si>
    <t>1.SR081335</t>
  </si>
  <si>
    <t>1. Site was  on battery mod on 03/07 at 12:45 &amp; back online at 14:15. 
2. Site is offline on 03/27 &amp; continued throughout the month. 
3. Inverter 5 derated from 08:00 to 10:35 on 03/01/23024</t>
  </si>
  <si>
    <t>1.SR082874
2.SR082874
3. SR081494</t>
  </si>
  <si>
    <t>1. Inverter 2 CB 5 is offline for whole month.</t>
  </si>
  <si>
    <t xml:space="preserve">1. Inverter 12 tripped offline on 03/08 and back online on 03/11 
2. Inverter 12 again tripped offline on 03/12 at 10:35 and back online on 03/13 at 10:35
3. Inverter 7 tripped offline on 03/29 at 10:40 and back online on 04/01
4. Inverter 13 tripped offline on 03/29 17:25 and back online on 04/01 </t>
  </si>
  <si>
    <t>1. SR081708
2. SR081833
3. SR082896
4. SR082917</t>
  </si>
  <si>
    <t>1. Inverter 1 tripped offline at 16:40 on 03/24 &amp; back online on 03/25 at 14:15</t>
  </si>
  <si>
    <t>1.SR082613</t>
  </si>
  <si>
    <t xml:space="preserve">1. Site tripped offline at 14:00 on 03/04 &amp; back online at 12:55 on 03/08. 
2. Site is offline from 07:30 to 12:15 on 03/25. 
3. Site was taken offline by the technician 12:00 to 12:45 on 02/13. </t>
  </si>
  <si>
    <t>1. SR081561
2.SR082703
3. SR081848</t>
  </si>
  <si>
    <t xml:space="preserve">1. Inverter 1 tripped offline on 03/11 from 10:00 to 15:05. 
2. Site tripped offline on 03/12 from 11:00 to 14:00  </t>
  </si>
  <si>
    <t>1.SR081756
2.SR081804</t>
  </si>
  <si>
    <t>1. Inverter 3 is offline on 03/19, 03/21, 03/22, 03/25, 03/29 and 03/30 due to temperatur fault</t>
  </si>
  <si>
    <t>1. SR081289</t>
  </si>
  <si>
    <t>1. Site tripped offline on 02/28 at 18:15and back online on 03/01 at 16:05</t>
  </si>
  <si>
    <t>1. SR081429</t>
  </si>
  <si>
    <t>1. Inverter 1 CB 12.3 tripped offline on 03/04 and back online on 03/06
2. CB 02 is offline on 03/19 and back online on 03/20</t>
  </si>
  <si>
    <t>1. SR081550
2. SR082126</t>
  </si>
  <si>
    <t>1. CB 4 tripped offline on 3/18/24. Also there is a mislabeling issue between CBs 3 and 4 and back online at 11:35 on 03/22.</t>
  </si>
  <si>
    <t>1. SR082281</t>
  </si>
  <si>
    <t>1. Inverter 30 tripped offline on 14/03 and back online on 13/15
2. Inverters 1-20 are not started for production on 03/11 and started for production on 03/12 at 14:30  and data was backfilled.
3. Inverter 23  tripped offline 03/24 and being RMA'd</t>
  </si>
  <si>
    <t>1. SR081904
2. SR081770
3. SR082624</t>
  </si>
  <si>
    <t>1. Inverter 1 didn't started for production and reporting "Isolation fault" on 03/03 and later it started production at 10:45am on 03/03.
2. Site tripped offline at 3:35pm on 03/20 and back online on 03/23.</t>
  </si>
  <si>
    <t>1. SR081524
2. SR082282</t>
  </si>
  <si>
    <t xml:space="preserve">1.  Inverter 4 tripped offline at  12:20pm due to isolation fault on 03/09 and back online at 2:00pm on 03/09. and again tripped offline at 8:45am on 03/13 and back online at 09:10am on 03/13 and again tripped offline at 8:40am on 03/14 and back online at 9:05am on 03/14.
</t>
  </si>
  <si>
    <t>1. SR081717</t>
  </si>
  <si>
    <t>1.  Inverters 1,2 are tripped offline and reporting "Instantaneous over current fault" from  03/18.</t>
  </si>
  <si>
    <t>1. SR082000</t>
  </si>
  <si>
    <t>1. Site tripped offline at 06:35 AM, meter voltages dropped to zero on 03/22 and back online on 03/23 at 4:50pm.
2. Site tripped offline at 08:20am, meter voltages dropped to zero on 03/29  and came back online at 3:25pm on 03/29</t>
  </si>
  <si>
    <t>1. SR082362
2. SR082887</t>
  </si>
  <si>
    <t>1. Site is offline, meter voltages dropped to zero at 06:35am on 03/22 and back online on 03/23 at 4:45pm.
2. Site tripped offline at 08:20am, meter voltages dropped to zero on 03/29 and back online at  1:05pm on 03/29.</t>
  </si>
  <si>
    <t>1. SR082359
2. SR082888</t>
  </si>
  <si>
    <t>1. Site was offline from 03/12 to 03/18 due to utility planned outage.</t>
  </si>
  <si>
    <t>1. SR079967</t>
  </si>
  <si>
    <t>1. Site was offline from 03/12 to 03/18 due to utility planned outage.
2. Inverter tripped offline at 10:00am on 03/20 and back online at 11:00am on 03/20</t>
  </si>
  <si>
    <t>1. SR079968
2. SR082218</t>
  </si>
  <si>
    <t>1. SR079969</t>
  </si>
  <si>
    <t>1. Site tripped offline on 02/28 at 18:00 and back online on 03/01 at 17:50
2. Site tripped offline on 03/05 at 09:30am and back online on 03/06 at 18:40
3. Inverter 1 Combiner box 1 &amp; 2 are offline from 03/07 and back online on 03/08
4. Site tripped offline on 03/11 at 13:15pm and back online on 03/12 at 03:30am
5. Inverter 1 tripped offline on 03/12 at 13:35 and back online at 16:35
6. Site was taken offline by EV solar on 03/14 at 10:35am to 12:40pm and few combiners were left offline and site was again taken offline on 03/18, 03/19. Inverter 1 taken offline on 03/20 and re-energised on 03/21</t>
  </si>
  <si>
    <t>1. SR081435
2. SR081581
3. SR081633
4. SR081779
5. SR081817
6. SR081749</t>
  </si>
  <si>
    <t>1. Inverter is exceeding its max limit and sometimes derating at 2175kW
2. EV Solar taken site offline to install cable division on 03/12 between 08:10 to 11:30, 03/13 between 13:40 to 15:55 and on 03/14 between 08:50 to 09:30</t>
  </si>
  <si>
    <t xml:space="preserve">1. SR081137
2. SR081795, SR081846
</t>
  </si>
  <si>
    <t>1. EV Solar de-energized inverter 2 on 03/13 between 15:00 to 15:30 to replace hinge on main inverter door.</t>
  </si>
  <si>
    <t xml:space="preserve">1. SR081855 </t>
  </si>
  <si>
    <t>1. CB 1-09 is offline on 03/15 and back online on 03/19 at 9:15AM.
2. Inverter 1 did not start for production with error message "Faulty switching status of the DC on 02/25 and back online on 03/14</t>
  </si>
  <si>
    <t>1. SR081950
2. SR081302</t>
  </si>
  <si>
    <t>1. Inverter 11 tripped offline on 03/22 at 10:30AM and is being RMA'd</t>
  </si>
  <si>
    <t>1. SR081812</t>
  </si>
  <si>
    <t>1. Inverter 2 tripped offline at 15:00 on 03/14 and is back online at 8:30am on 03/15</t>
  </si>
  <si>
    <t>1. SR081921</t>
  </si>
  <si>
    <t>1. Inverter 5 is offline and reporting " Fault Current" from 03/28/2024</t>
  </si>
  <si>
    <t>1. SR082872</t>
  </si>
  <si>
    <t>1. Inverter 15 is offline from 01/27 and back online on 03/12 and again offline from 03/16 and back online at 10:00am on 03/26.
2. Inverter 25 is offline from 03/26
3. Inverter 2 is offline from 01/27 and back online on 03/12.
4.  Inverters 8 and 9 are offline since 08/17/2023 due to damage to the AC relay
5. Inverter 3 tripped offline  from 12/14 and reporting "Fault Current" and back online on 03/12.</t>
  </si>
  <si>
    <t>1. SR081958
2. SR082788
3. SR080525
4. SR078106
5. SR079260</t>
  </si>
  <si>
    <t>1. Inverter 16 is offline for whole month.
2. Inverter 15 did not start for production on 03/26 and later it started for production on 03/27.
3. Inverter 4 didn't start for the production on 03/27 and back online on 03/29.</t>
  </si>
  <si>
    <t>1. SR082659
2. SR082781
3. SR082814</t>
  </si>
  <si>
    <t xml:space="preserve">1. Inverter 7 is derating due to fan fault and fan being RAM'd 
2. Inverter 9 is derating due to fan fault and fan being RAM'd 
3. Inverter 5 is underperforming and fan being RAM'd </t>
  </si>
  <si>
    <t>1. SR081341
2. SR081548
3. SR081549</t>
  </si>
  <si>
    <t>1. Inverter 37 is offline on 03/30 and back online on 03/31 at 09:00am</t>
  </si>
  <si>
    <t>1. Inverter 5 is offline on 03/23 and back online on 03/24</t>
  </si>
  <si>
    <t>1. SR082600</t>
  </si>
  <si>
    <t>April Actual v. Expected</t>
  </si>
  <si>
    <t>April Actual v. Forecasted</t>
  </si>
  <si>
    <t>1. Inverter started for production on 04/01 at 10:00am</t>
  </si>
  <si>
    <t>1. SR082942</t>
  </si>
  <si>
    <t>1. Inverter B was offline on 04/01 and back online on 04/02</t>
  </si>
  <si>
    <t>1. Inverter 5 tripped offline on 04/05 at 12:15pm and back online on 04/09 at 08:405am
2. Weather station 2 showing erroneous value for whole month</t>
  </si>
  <si>
    <t>1. SR083132
2. SR082250</t>
  </si>
  <si>
    <t>1. Inverter 2 was offline on 04/02 and back online on 04/03 at 10:45am</t>
  </si>
  <si>
    <t>1. SR081975</t>
  </si>
  <si>
    <t>1. Inverter 2 left unit is derating since 04/07 and fan replaced on left unit on 04/29
2.  Inverter 1 central unit tripped offline on 04/24 and back online on 04/29</t>
  </si>
  <si>
    <t>1. SR083233
2. SR083775</t>
  </si>
  <si>
    <t>1. Ongoing construction of array on the roof. 70 percent of the array is offline for construction</t>
  </si>
  <si>
    <t>1. Inverter 2 was offline from 03/05 and back online on 04/05 at 09:00am</t>
  </si>
  <si>
    <t>1. Inverter 2 is underproducing by 12kW possibly due to ongoing construction work</t>
  </si>
  <si>
    <t>1. SR078471</t>
  </si>
  <si>
    <t>1. Inverter 1 derating during peak hours due to multiple trippings on left and right units throughout the month. DC relay board being RMA'd.</t>
  </si>
  <si>
    <t>1. Inverter 3 right unit is underproducinng. Fan Being RMA'd</t>
  </si>
  <si>
    <t>1. Site tripped offline on 04/17 at 11:00am and back online on 04/22 at 11:00am
2. Inverter 2 right unit offline on 04/16 back onlin eon 04/22 at 13:00</t>
  </si>
  <si>
    <t>1. SR083544
2. SR083537</t>
  </si>
  <si>
    <t>1. Inverter 2 was offline from 04/15 and back online on 4/22</t>
  </si>
  <si>
    <t>1. SR083438</t>
  </si>
  <si>
    <t xml:space="preserve">1. Inverter 1 is underproducing due to units fluctuations form 04/23 </t>
  </si>
  <si>
    <t>1. SR083774</t>
  </si>
  <si>
    <t xml:space="preserve">1. Inverter 3 offline from 04/10 and back online on 04/17 
2. Site was taken offline by techician nd worked on inverters on 04/25 
3. Inverter 3 is offline since 04/25 and being RMA'd </t>
  </si>
  <si>
    <t>1. SR083301
2. SR083846
3. PM1680</t>
  </si>
  <si>
    <t>1. Inverter 3 tripped offline on 04/10 and back online on 04/12</t>
  </si>
  <si>
    <t>1. SR083295</t>
  </si>
  <si>
    <t>1. Inverter 3 primary unit tripped offline on 04/14 and back online on 04/19</t>
  </si>
  <si>
    <t>1. SR083418</t>
  </si>
  <si>
    <t>1. Site offline from 10/05/23 and back online 04/26
2. Inverter 1 to 4 tripped offline on 04/28 and 4 back online on 04/28 at 16:00. Inverters 1 to 3 back online on 04/29
3. Inverter 1 right unit tripped offline on 04/29, back online on 04/30 but still underproducing and inverter 4 (in SE 2) left unit tripped offline 04/29 at 11:00am</t>
  </si>
  <si>
    <t>1. SR077404
2. SR083900
3. SR083981</t>
  </si>
  <si>
    <t>1. Inverter 3 center unit tripped offline on 03/30 and back online on 04/04
2. Inverter 2 right unit tripped offline on 03/31 and back online on 04/04</t>
  </si>
  <si>
    <t>1. SR082934
2. SR082961</t>
  </si>
  <si>
    <t>1. Site tripped offline on 04/26 and back online on 04/29</t>
  </si>
  <si>
    <t>1. SR083865</t>
  </si>
  <si>
    <t>1. Technician worked on inverter 1 on 04/09</t>
  </si>
  <si>
    <t>1. SR083275</t>
  </si>
  <si>
    <t>1. Site offline since 03/27 due to utility pllanned outage and back online on 04/12 
2. Inverter 1 derated at 874 kW from 04/12 and offline since 04/17 and back online on 04/25</t>
  </si>
  <si>
    <t>1. SR082874
2. SR083425</t>
  </si>
  <si>
    <t>1. Site taken by ingeteam on 04/26 between 10:30 to 11:20
2. Inverter 2 CB 5 offline on 04/01 and back online on 04/02 at 12:55</t>
  </si>
  <si>
    <t>1. SR083853
2. SR080998</t>
  </si>
  <si>
    <t>1. Site was taken offline by technician on 04/17 between 08:20 to 09:25 to work on inverter 2 and inverter 2 was offline from 04/28 and back online on 04/30</t>
  </si>
  <si>
    <t>1. SR083296</t>
  </si>
  <si>
    <t>1. Meter stopped communicating on 04/18 and communication restored on 04/23
2. Inverter 1 was offline from 04/24, inverter 2 also offline on 04/29 and both inverters back online on 04/30</t>
  </si>
  <si>
    <t>1. SR083598
2. SR083783</t>
  </si>
  <si>
    <t>1. Site was taken offline by technician on 04/15 between 09:50 to 10:45 
2. Site was taken offline by technician  on 04/10 between 11:15 to 14:55</t>
  </si>
  <si>
    <t>1. PM5604
2. SR082364</t>
  </si>
  <si>
    <t>1. Site was taken offfline by USNE from 04/22 and back online on 04/25 at 13:50
2. Site was taken offline by technician  on 04/10 between 09:55 to 12:05</t>
  </si>
  <si>
    <t>1. SR083249
2. SR082364</t>
  </si>
  <si>
    <t>1. Site tripped offline on 04/14 at 10:15am and back online on 04/15 at 19:25
2. Site was taken offline by technician on 04/10 between 11:35 to 14:50
3. Site was taken offline by USNE on 04/23 between 08:15 to 15:05
4. Site was taken offline by technician  on 04/25 between 10:30 to 11:20</t>
  </si>
  <si>
    <t>1. SR083415 
2. SR082364
3. SR083249
4. SR082365</t>
  </si>
  <si>
    <t>1. Site was taken offline by Ingeteam on 04/23 between 13:40 to 15:15</t>
  </si>
  <si>
    <t>1. SR080818</t>
  </si>
  <si>
    <t>1. Site was taken offline by technician on 04/09 between 08:00 to 15:00
2. Inverter 3 tripped offline on 04/22 at 12:10pm and back online on 04/23
3. Inverter 3 tripped offline on 04/28 at 08:35am and back online on 04/29</t>
  </si>
  <si>
    <t>1. SR082956
2. SR083693
3. SR083897</t>
  </si>
  <si>
    <t>1. Inverter 3 CB 20 is offline throughout the month</t>
  </si>
  <si>
    <t>1. SR080319</t>
  </si>
  <si>
    <t>1. Site was taken offline by Ingeteam on 04/25 between 12:45 to 13:45</t>
  </si>
  <si>
    <t>1. SR083814</t>
  </si>
  <si>
    <t>1. Inverter 2 started late at 12:05 on 04/04
2. Site was taken offline by technician on 04/15 between 15:40 to 17:05</t>
  </si>
  <si>
    <t>1. SR083084
2. PM5576</t>
  </si>
  <si>
    <t>1. Inverters 3,4 are tripped offline at 9am on 04/14 and reporting Instantaneous over current fault ON and back online on 11:45am 
2. Inverters are offline from 12:15pm to 2:45pm due to capacitor retrofit by ingeteam
3. Site tripped offline at 09:30 AM on 04/26 and back online on same day on 1:20pm
4. Inverter 1 is tripped offline at 1:10pm on 04/30.</t>
  </si>
  <si>
    <t>1. SR083394
2. SR083496
3. SR083854
4. SR084119</t>
  </si>
  <si>
    <t>1. Inverter 23 offline form 03/24 and replaced on 04/04
2. Inverters 1 to 20 tripped offline on 04/03 at 12:30 and back online on 04/04 at 13:10
3. Inverter 5 tripped offline on 04/07 at 13:00 and back online on 04/08 at 10:15am
4. Site tripped offline on 04/10 at 01:06am and back online on 04/11 at 15:45
5. Inverter 8 offline from 04/20 and being RMA'd
6. Inverter 28 tripped offline on 04/22 and back online on 04/24</t>
  </si>
  <si>
    <t>1. SR082624
2. SR083036
3. SR083161
4. SR083280
5. SR083650
6. SR083697</t>
  </si>
  <si>
    <t>1. Inverter 1 tripped offline for multiple days and resolving for next day.
2. due to technician prforming capacity retrofit the inverters 1 is offline from 6:50am to 12:15pm and inverter 2 is offline from 11:50am to 12:20pm.</t>
  </si>
  <si>
    <t>1. SR083116, SR083715
2. SR083812</t>
  </si>
  <si>
    <t>1. Site tripped offline due to loss of utility power at 12:30pm on 04/03 at 12:25pm and back online on 04/08 at 10:15am. 
2. Again Site tripped offline at 12:00. Meter voltages are dropped on 04/16 at 11:50am and back online at 04/22 at 9:00am.
3. Inverter were offline from 11:10am to 1:15pm due to  PQA testing and medium voltage preventative maintenance inspection on 04/25 and 04/27
4. Again the site was tripped offline on 04/29 at 6:00pm and back online on 04/30 at 4:15pm</t>
  </si>
  <si>
    <t>1. SR083037
2. SR083493
3. SR083493
4. SR083978</t>
  </si>
  <si>
    <t>1. due to technician prforming capacity retrofit the inverters 1,2,3 are offline from 9:50am to 10:30am and inverter 4 is offline from 9:00am to 10:30am.</t>
  </si>
  <si>
    <t>1. SR083799</t>
  </si>
  <si>
    <t>1. Inverter 2 is offline on 04/20 and technician power cycled the inverter and it came back online on 04/22 at 11:00am</t>
  </si>
  <si>
    <t>1. SR083648</t>
  </si>
  <si>
    <t>1. Inverters 1,2 are back online on 04/05 at 12:05pm
2. Again inverter 1 tripped offline at 7:30 AM and reporting " Instantaneous over current Iac out of range" on 04/11 and back online on same day at 12:45 and tripped at 8:25am on 04/12 and back online on same day at 1:50pm
3. inv 2 tripping off multiple times and self-resolving and reporting instantaneous Vac overvoltage on 04/29</t>
  </si>
  <si>
    <t>1. SR082000
2. SR083327
3. SR083912</t>
  </si>
  <si>
    <t>1.  Site is offline on 04/10 at 9:15am due to utility planned outage and back online on 04/10 at 11:30am due to utility planned outage
2. site tripped offline at 9:30 am on 04/26 and back online at 04/26 at 1:30pm</t>
  </si>
  <si>
    <t>1. SR083284
2. SR083850</t>
  </si>
  <si>
    <t>1. Site is offline on 04/10 at 9:15am due to utility planned outage and back online on 04/10 at 11:30am due to utility planned outage and site is offline on 04/16 from 10:30 to 1:15pm
2. site tripped offline at 9:30 am on 04/26 and back online at 04/27 at 2:00am</t>
  </si>
  <si>
    <t>1. SR083285
2. SR083851</t>
  </si>
  <si>
    <t>1. Inverter 2 CBX 16 is running very low compared to its peers.</t>
  </si>
  <si>
    <t>1. SR083240</t>
  </si>
  <si>
    <t>1. Site is offline on 04/10 at 9:15am due to utility planned outage and back online on 04/10 at 11:20am</t>
  </si>
  <si>
    <t>1. SR083281</t>
  </si>
  <si>
    <t>1. Site is offline on 04/10 at 9:15am due to utility planned outage and back online on 04/10 at 11:20am
2. Site tripped offline at 9:30 am on 04/26 and back online on 04/26 at 1:30pm</t>
  </si>
  <si>
    <t>1. SR083283
2. SR083852</t>
  </si>
  <si>
    <t>1. Site tripped offline at 14:00 on 04/03 and back online on 04/04 at 9:50am.
2. Combiner box 21 is offline on 04/08 and back online on 04/09</t>
  </si>
  <si>
    <t>1. SR083044
2. SR083177</t>
  </si>
  <si>
    <t xml:space="preserve">1. Site tripped offline on 04/08 at 12:42 and back online at 14:20
2. Inverter 2 was taken offline by technician on 04/22 between 11:33 to 13:09 to replace comms borad </t>
  </si>
  <si>
    <t>1. SR083180 
2. SR081978</t>
  </si>
  <si>
    <t>1. Site tripped offline on 04/08 at 12:42 and back online at 14:20</t>
  </si>
  <si>
    <t>1. SR083179</t>
  </si>
  <si>
    <t>1. Site is offline from 04/27 and back online on 04/29</t>
  </si>
  <si>
    <t>1. SR083895</t>
  </si>
  <si>
    <t>1. Inverter 11 is replaced and back online on 04/02 at 11:00am.</t>
  </si>
  <si>
    <t>1. Inverter 8 is offline from 04/08 and is being RMA'd
2. Inverter 2 tripped offline on 04/08 at 13:45 to 15:00 and  again tripped offline on 04/10 at 13:00 and back online on 04/12 at 16:15 and again offline on 04/15 at 14:30 and is back online on 04/19 at 15:30 and again offline on 04/29 at 13:45 and back online on 05/01.</t>
  </si>
  <si>
    <t>1. SR083178
2. SR083204, SR083304</t>
  </si>
  <si>
    <t>1. Site has tripped offline due to phase A voltages missing on 04/14 at 8:00am and back online at 10:30am and again tripped offline  due to phase A voltages missing on 04/23 and back online on 04/23 at 13:30pm and again offline on 04/25 and back online on 04/26
2. Inverter 5 is offline from 03/28 to 04/15 and again offline on 04/17 t0 04/23 and back online at 04/24 at 10:00am and offline on 04/25 and They troubleshot with SMA and parameters were changed within inverter 5 and reenergised.</t>
  </si>
  <si>
    <t>1. SR083391
2. SR082872</t>
  </si>
  <si>
    <t>1. Inverter 2 is offline on 04/02 and back online on 04/12 at 8:00am and again offline on 04/15 and back online on 04/16 at 8:00am.
2. Inverter 27 is offline on 04/05 and is being RMA'd.
3. Inverter 13 is tripped offline on 04/22 at 12:00pm and is back online on same day at 13:00</t>
  </si>
  <si>
    <t>1. SR083064
2. SR083113
3. SR083696</t>
  </si>
  <si>
    <t>1. Inverter 17 tripped offline at 11:00 am due to "electric arc detected" on 03/31 and offline for whole month.
2. Inverter 16 is offline for whole month.
3. Inverter 4 is offline on 04/01 to 04/04 and back online on 04/05 at 13:00 and again offline on 04/06 and back online on 04/07 at 10:00am and again offline on 04/07 at 15:45 and back online on 04/09 and again offline on 04/10 to 04/18 and again offline on 04/20 to 04/26 and again offline on 04/28 to 04/29.
4. Inverter 2 and 7 are offline on 04/02 and back online 04/03 at 7:00am.
5.  Inverter 1 tripped offline at 12:00pm from 04/10 to end of the month.
6. Inverter 2 is offline on 04/02, 04/06 and back online on 04/07 at 10:00am and offline on 04/11 and back online on 04/12 and again offline on 04/14, 04/22, 04/30 and back online on 04/30
7. Inverter 3 is offline on 04/22 and back online on 04/23
8.  inv 5 tripped offline at 12:30 pm on 04/22 and back online on 04/23</t>
  </si>
  <si>
    <t>1. SR081250
2. SR081250
3. SR082814
4. SR082989
5. SR083305
6. SR083328
7. SR083688
8. SR083698</t>
  </si>
  <si>
    <t>1. Inverter 10 is derated at 1:40 pm to 15:30 by 20kW on 04/26 
2. Inverter 1 is derating at peak hours approximately 30 kW on 04/23 and exhaust fans need to be replaced for inverter.
3. inverters 5, 7, &amp; 9 are underperforming and Technician replaced the fan clusters  and power cycled. Currently all inverters are online and producing.</t>
  </si>
  <si>
    <t>1. SR083870
2. SR083761
3. SR081548, SR081549, SR081341</t>
  </si>
  <si>
    <t>1. Inverter 37 is offline on 04/01 and back online on 04/05 at 10:00am.
2.  Inverter 1.2 MPPT 1 is tripped offline at 13:00 on 04/08/2024 and back online on 04/09
3. Inverter 1.2 MPPT 2 &amp; 3 is tripped offline at 12:45 on 04/16/2024 and back online on 04/17
4. Inverter 1.2 MPPT 1 &amp; 3 is tripped offline at 12:45 on 04/016/2024 and back online on 04/17
5.  Inverter 1.2 MPPT 1 has tripped offline on multiple days on 04/23, 04/27, 04/29, 04/30
6.  Inverter 1.2 MPPT 4 has tripped offline on 04/28 and back online on 04/29
7.  Inverter 9 is offline on 04/26 and Reporting String 3 reverse connection alarm.</t>
  </si>
  <si>
    <t>1. SR082925
2. SR083234
3. SR083468
4. SR083469
5. SR083763
6. SR083763
7. SR083861</t>
  </si>
  <si>
    <t>1. Site was taken offline by EV solar on 04/15 between 10:45 to 15:25</t>
  </si>
  <si>
    <t>1. SR083423</t>
  </si>
  <si>
    <t>May Actual v. Expected</t>
  </si>
  <si>
    <t>May Actual v. Forecasted</t>
  </si>
  <si>
    <t>1. Site is offline from 12:30 PM  to 01:00PM on 05/01.</t>
  </si>
  <si>
    <t>1. SR084116</t>
  </si>
  <si>
    <t>1. Site is offline from 14:00 on 05/14 and back online at 06:00AM on 05/15 and again site is offline from 12:45pm on 05/28 and back online at 6:00AM on 05/29.</t>
  </si>
  <si>
    <t>1. SR084701</t>
  </si>
  <si>
    <t>1. Inverter B is offline from 07:00AM  to 12:15PM on 05/02 and again the inverter B remaind offline from 05/15.</t>
  </si>
  <si>
    <t>1. Inverter 1 is underprforming approximately 33kW compared to its peers inverter from 05/14.
2. Inverter 2 started derating about 100kW from 05/13 during afternoon hours.</t>
  </si>
  <si>
    <t>1. SR084741
2. SR085344</t>
  </si>
  <si>
    <t xml:space="preserve">1.  Weather station is reporting 0 W/m^2 from </t>
  </si>
  <si>
    <t>1. SR085322</t>
  </si>
  <si>
    <t>1. Inverter 2 is offline from 07:00PM to 09:45AM on 05/28.</t>
  </si>
  <si>
    <t>1. SR085229</t>
  </si>
  <si>
    <t>1. Site is offline from 10:00am on  05/07 to 08:30am on 05/09</t>
  </si>
  <si>
    <t>1. SR084369</t>
  </si>
  <si>
    <t>1. Inverter 4 is derated 10kW down from 05/01 to 05/14</t>
  </si>
  <si>
    <t>1. SR084167</t>
  </si>
  <si>
    <t>1. inverter 1 left and right unit having multiple tripping for whole month</t>
  </si>
  <si>
    <t>1. Site is offline from 17:15 to 17:45 on 05/28 and Inverter 2 is offline from 11:45AM on 05/24 and back online at 11:45AM on 05/30.
2. Inverter 2 is offline from 11:45AM on 05/11 and back online at 10:45AM on 05/15.</t>
  </si>
  <si>
    <t>1. SR085155
2. SR084586</t>
  </si>
  <si>
    <t>1. Inverter 1 left unit is offline from 15:13 on 04/04 and back online at 12:08PM on 05/01.
2. Site is offline from 14:15 on 05/03 and later back online at 09:45AM on 05/06 and site is offline at 12:30PM on 05/07 and back online at 09:30AM on 05/13.
3. Site is offline at 14:30 on 05/14 and back online at 11:30AM on 05/17</t>
  </si>
  <si>
    <t>1. SR084049
2. SR084228
3. SR084699</t>
  </si>
  <si>
    <t>1. Inverter 2 primary unit is having multiple tripping events from 04/20.</t>
  </si>
  <si>
    <t>1. SR084157</t>
  </si>
  <si>
    <t>1. Inverter 3 is offline from 07:00AM on 05/31.</t>
  </si>
  <si>
    <t>1. SR085399</t>
  </si>
  <si>
    <t>1. Inverter 3 right unit tripped offline 11:56AM on 05/11 and is back online at 11:11AM on 05/15.</t>
  </si>
  <si>
    <t>1. SR084602</t>
  </si>
  <si>
    <t>1. Inverter 5 is offline from 13:30 on 05/01 and back online 05/17.</t>
  </si>
  <si>
    <t>1. 	SR084120, SR084121</t>
  </si>
  <si>
    <t>1. Inverter 4 is tripped offline at 15:00 on 05/08 and back online at 09:30AM on 05/09.
2. Site tripped offline at 11:45AM on 05/11 and back online at 08:00AM on 05/24.
3. Inverter 3 center unit is offline from 07:00AM on 05/26 and back online at 08:48AM on 05/30.</t>
  </si>
  <si>
    <t>1. SR084426
2. SR084587
3. SR085164</t>
  </si>
  <si>
    <t>1. Inverter 2 left unit is offline at 08:00AM on 05/21 and back online at 12:29PM on 05/29.</t>
  </si>
  <si>
    <t>1. SR084951</t>
  </si>
  <si>
    <t>1. Inverter 1 primary unit is offline from 07:00AM on 05/10</t>
  </si>
  <si>
    <t>1. 	SR084588</t>
  </si>
  <si>
    <t>1. Site is offline at 09:30AM on 05/01 and back online at 12:15PM on 05/02.
2. Inverter C is offline from 07:00AM to 08:15AM on 05/22.</t>
  </si>
  <si>
    <t>1. SR084053
2. SR084997</t>
  </si>
  <si>
    <t>1. Site is offline at 09:45 om 05/01 and back online at 11:15AM on 05/02.</t>
  </si>
  <si>
    <t>1. SR084054</t>
  </si>
  <si>
    <t>1. The inverters had multiple tripping events on 05/30 due to 'Vac Out of range'.</t>
  </si>
  <si>
    <t>1. SR085331</t>
  </si>
  <si>
    <t>1. Inverter 15 tripped oflline on 05/02 at 13:10 and later self resolved at EOD, on 05/03 the technician went on site to check cause of trip event and he found the fault "Protect 0150"  code caused by AC fluctuation.</t>
  </si>
  <si>
    <t>1. SR084165</t>
  </si>
  <si>
    <t>1. The site was offline from 05/16 at 08:50 am to 05/23 at 01:45pm, due to utility 
outage.
2. Inverter 1 was offline on 05/28 at 06:30 due to "isolation fault", later on 05/29 technician on site worked on inverter 1 and brought online at 10:10am.</t>
  </si>
  <si>
    <t>1. SR084723
2. SR085221</t>
  </si>
  <si>
    <t>1.On 05/16 inverters 2, 13 ,14  and 19 derated by 20kW each at the peak irradiance due to fan fault and later the day on 05/17, the technician worked on inverters and removed the snail shells obstructing the fan movement.</t>
  </si>
  <si>
    <t>1.SR084793</t>
  </si>
  <si>
    <t>1. Meter stopped communicating almost throught out the month, still an issue</t>
  </si>
  <si>
    <t>1. SR084092</t>
  </si>
  <si>
    <t>1. Site was offline on 05/02 at 04:40 pm and later back online 05/03 at 06:05 pm, 
due to utility outage.</t>
  </si>
  <si>
    <t>1.SR084176</t>
  </si>
  <si>
    <t>1. Site tripped offline on 05/10 at 07:35 am and back online at 11:55 pm on same day, after the RGE crew cleared the dead squirrel that caused the outage.
2.Inverter 3 was offline on 05/17 at 5:55 am and back online at 09:20 am. On 05/18 the inverter again tripped ofline and later on 05/20 at 10:35 am, technicain on site worked on inverter 3 and brought inverter back online.</t>
  </si>
  <si>
    <t>1. SR084523
2. SR084801</t>
  </si>
  <si>
    <t>1. Inverter 5 tripped offline at 14:00 on 05/02 and back online at 07:15AM on 05/03.
2. Inverter 30 tripped offline at 14:15 on 05/07 and back online at 15:00 on 05/08.
3. Inverter 8 tripped offline at 07:30AM on 05/12 and back online at 11:30 on 05/20.
4. Inverter 32 tripped offline at 15:00 on 05/17 and back online at 13:00 on 05/20.
5. Inverter 23 tripped offline at 15:15 on 05/22 and back online at 09:30AM on 05/23 and inverter 30 tripped offline at 14:45 on 05/22 and back online at 09:30 on 05/23.
6. Inverter 1 tripped offline from 11:45AM on 05/19.
7. Inverter 34 tripped offline at 10:45 on 05/19.
8. Inverter 23 tripped offline at 15:15 on 05/23 and back online at 09:15 on 05/24.
9. All inverters are offline from 07:00AM to 09:45AM on 05/23.
10. Inverter 5 tripped at 14:30 on 05/31 and back online at 07:00AM on 06/03</t>
  </si>
  <si>
    <t>1. SR084169
2. SR084379
3. SR084593
4. SR084818
5. SR085025
6. SR084871
7. SR084868
8. SR085043
9. SR085047
10. SR085390</t>
  </si>
  <si>
    <t>1. Inverter 1 tripped offline at 10:30AM on 05/05 and back online at 05:00PM on 05/06.</t>
  </si>
  <si>
    <t>1. SR084275</t>
  </si>
  <si>
    <t>1. Inverter 3 tripped offline at 02:55PM on 05/18 and back online at 04:20PM 05/19 and due to PS board swapping between 3 and 4, inverter 4 is offline from 03:05AM to 04:10AM
2. Inverters 1 and 3 is having curtliment event the clipping value is about 1245 from 05/14.</t>
  </si>
  <si>
    <t>1. SR084827
2. SR085366</t>
  </si>
  <si>
    <t>1.Site was taken offline on 05/09 from 11:20AM to 14:20PM by technician.</t>
  </si>
  <si>
    <t>1.SR083716</t>
  </si>
  <si>
    <t>1. Site was taken offline on 05/09 from 11:00AM to 13:10PM by technician.</t>
  </si>
  <si>
    <t>1.SR083717</t>
  </si>
  <si>
    <t>1. Site is offline on 05/23 and back online on 05/30</t>
  </si>
  <si>
    <t>1. SR084805</t>
  </si>
  <si>
    <t>1.Site is offline due to Utility outage on 05/28 from 09:15AM to 14:00PM.</t>
  </si>
  <si>
    <t>1.SR084910</t>
  </si>
  <si>
    <t>1.SR084911</t>
  </si>
  <si>
    <t>1.SR084912</t>
  </si>
  <si>
    <t>1.Site was taken offline on 05/10 from 08:25AM to 11:10AM by technician.</t>
  </si>
  <si>
    <t>1.SR083718</t>
  </si>
  <si>
    <t xml:space="preserve">1. Inverter 1 tripped offline on 05/07 at 09:30AM and back online on 05/09 at 10:40AM.
2.Inverter 1 tripped offline on 05/16 at 12:00AM and back online on at 05:30 PM and again tripped offline on 05/17 at 15:05PM </t>
  </si>
  <si>
    <t>1.SR084352
2.SR084774</t>
  </si>
  <si>
    <t>1. Inverter 8 was offline throught out the month. Inverter 5 was offline from 05/01 due to thermal damage on breaker, later on 05/29 technician replaced the breaker and inverter was back online.</t>
  </si>
  <si>
    <t>1.SR082892</t>
  </si>
  <si>
    <t>1. Inverter 3 is tripped offline at 11:45am on 05/25.</t>
  </si>
  <si>
    <t>1. SR085156</t>
  </si>
  <si>
    <t xml:space="preserve">1. Inverter 14 is tripped offline at 12:00pm  on 05/07 and back online on 05/10 and again offline from 05/11.
2. Inverter 20 is tripped offline on 05/07 at 8:30am and back online on 05/10 at 9:00am.
3. Inverter 27 is tripped offline on 05/02 and back online at 13:15 on 05/02 and again offline on 05/04 and back online on 05/05 at 11:00am </t>
  </si>
  <si>
    <t>1. SSR084581
2. SR084581
3.  SR083113</t>
  </si>
  <si>
    <t>1. Inverter 2 tripped offline at 13:45 on 05/04 and back online on 05/05 and again tripped offline on 05/11 and back online on 05/12 
2. Inverter 3 tripped offline on 05/06 and back online on 05/07
3. Inverter 1 is offline throughout the month.
4. Inverter 16 is offline for whole month.
5.  Inverter 17  offline due to "electric arc detected and offline for whole month.
6. Inverter 4 is offline for multiple days.</t>
  </si>
  <si>
    <t>1. SR084273
2. SR084288
3. SR083305
4. SR081250
5. SR081250
6. SR082814</t>
  </si>
  <si>
    <t>1.Inverter2,6 and 8 tripped offline at 13:00 on 05/22and back online online on 05/23 at 09:15am.
2.Inverter 2 is underperforming by 30kW from 11:45 on 05/02 and self resolved on 05/03 at 05:45 am</t>
  </si>
  <si>
    <t>1. SR0805023
2. SR084168</t>
  </si>
  <si>
    <t>1. Inverter 9 is being RMA'd
2. Inverter 2.07 is underperforming ~3kW compared with its peer from 04/22
3.inv 17 underperforming by 4 kW since 5/3/24. it looks like DC current 2 lost capacity.</t>
  </si>
  <si>
    <t>1. SR083861
2. SR084135
3. SR084563</t>
  </si>
  <si>
    <t>1. Site tripped offline at 8:20am on 05/21 back online on 05/22</t>
  </si>
  <si>
    <t>1. SR084934</t>
  </si>
  <si>
    <t>June Actual v. Expected</t>
  </si>
  <si>
    <t>June Actual v. Forecasted</t>
  </si>
  <si>
    <t>1. Virtual Weather station had not communicated till 06/13, due to that Expected Energy is low.</t>
  </si>
  <si>
    <t>1. SR083800</t>
  </si>
  <si>
    <t>1. SR083801</t>
  </si>
  <si>
    <t>1. Inverter is tripping on and offline repeatedly on multiple days and hadn't started till 4pm on 06/20. It has a history of heat related issues</t>
  </si>
  <si>
    <t>1. SR085749, SR086481</t>
  </si>
  <si>
    <t>1. Inverter 1-1 tripped offline at 08:45AM on 06/07 and it is still offline.</t>
  </si>
  <si>
    <t>1. SR085744</t>
  </si>
  <si>
    <t xml:space="preserve">1. Virtual Weather station has stopped communication on 06/13 due to that Expected energy is low </t>
  </si>
  <si>
    <t>1. SR083804</t>
  </si>
  <si>
    <t>1. SR083803</t>
  </si>
  <si>
    <t>1. Site was expired in AlsoEnergy but communicating in SolarEdge.</t>
  </si>
  <si>
    <t>1. SR081028</t>
  </si>
  <si>
    <t>1. Virtual Weather station has stopped communication on 06/13 due to that Expected energy is low 
2. Site is experiencing a decrease in production during peak hours</t>
  </si>
  <si>
    <t>1. SR081027
2. SR086614</t>
  </si>
  <si>
    <t>1. Inverter 1 has underproduced compared to inverter 2 till 06/17 due to blown fuse 
2. Inverter 2 is derating by about 50kW</t>
  </si>
  <si>
    <t>1. SR084741
2. SR086766</t>
  </si>
  <si>
    <t>1. The meter for Buildings 1 &amp; 2 has not captured full production till 06/17
2. Building 1 &amp; 2 was tripped offline at 10:15am on 06/09 and were again offline on 06/10 from 9:45am to 13:30</t>
  </si>
  <si>
    <t>1. SR085825
2. SR085789</t>
  </si>
  <si>
    <t>1.Inverter 1 is offline from 06/25 at 13:45 and back online on 06/27 at 12:00</t>
  </si>
  <si>
    <t>1.SR086936</t>
  </si>
  <si>
    <t>1.Inverter 1 left unit is barely producing from 06/05 at 09:30 and back to normal production from 06/24 at 08:00</t>
  </si>
  <si>
    <t>1.SR085982</t>
  </si>
  <si>
    <t>1.Inverter 2 derating approximately 5-15kW from 05/06 while tech working onsite the site was offline from 06/26 from 09:25 to 12:30</t>
  </si>
  <si>
    <t>1.SR086518</t>
  </si>
  <si>
    <t>1.Weather station lost communiction from 06/14 communication started  from 06/24 at 15:45 as a result the site was taken offline from 12:45 to 15:45 on 06/24</t>
  </si>
  <si>
    <t>1. SR086843
2. SR086861</t>
  </si>
  <si>
    <t>1. No communication for weather station</t>
  </si>
  <si>
    <t>1. SR086842</t>
  </si>
  <si>
    <t>1.Inverter 1 tripped offline on 06/22 at 09:45 and  back online at 11:45</t>
  </si>
  <si>
    <t>1. SR086632</t>
  </si>
  <si>
    <t>1. Inverter 2 right unit tripped offline on 06/08 at 13:47 and back online on 06/10 at 07:15 am and again tripped offline at 13:45 back online on 06/14 at 11:00am
2. Inverter 2 right unit tripped offline on 06/24 at 14:00. Possible arc detection fault. and back online on 06/25 at 11:00 am</t>
  </si>
  <si>
    <t>1. SR085765
2. SR086883</t>
  </si>
  <si>
    <t>1. Inverter 1 is offline from 11:48 am on 06/07 and back online on 06/18 at 09:45 am</t>
  </si>
  <si>
    <t>1. SR085754</t>
  </si>
  <si>
    <t xml:space="preserve">1. Inverter 1 was underproduced 33kW due to multiple tripping in center and right unit. Later resolved after the technician replaced center and right unit on 06/03
</t>
  </si>
  <si>
    <t>1. Inverter 3 is offline since 06/01 and back online on 06/20.</t>
  </si>
  <si>
    <t>1. 	SR085399</t>
  </si>
  <si>
    <t>1. Inverter 2 started late on 06/23, 06/27, 06/30.</t>
  </si>
  <si>
    <t>1. SR087028</t>
  </si>
  <si>
    <t>1. Inverter 1 primary unit is offline since 06/05.</t>
  </si>
  <si>
    <t>1. SR085846</t>
  </si>
  <si>
    <t>1. Inverter 1 right unit and inverter 2 left unit tripped offline on 06/01 at 12:45 and back online on 06/02 and inverter right unit again tripped offline on 06/02 at 13:15 and back online on 06/03</t>
  </si>
  <si>
    <t>1. SR085404</t>
  </si>
  <si>
    <t>1. Inverter 1 right unit is offline from 06/14 and back online on 06/25 at 10:00am
2. Inverter 3 center unit is tripped offline on 06/23 at 09:00am and back online on 06/25 at 10:00am.</t>
  </si>
  <si>
    <t>1. SR086364
2. SR086840</t>
  </si>
  <si>
    <t>1. Inverter 3 is offline since 06/17 till end of the month.</t>
  </si>
  <si>
    <t>1. SR086329</t>
  </si>
  <si>
    <t>1.Inverter 1 central unit tripped offline at 13:46 on 06/02 &amp; inverter 1 is offline from 08:15 on 06/03 due to remote reset was failed and again back online from 08:00 on 06/04 and inverter 1 central unit was back online from 06/11 at 14:00</t>
  </si>
  <si>
    <t>1.SR085427</t>
  </si>
  <si>
    <t>1. Inverter 1 primary unit is back online from 06/10 at 15:53</t>
  </si>
  <si>
    <t>1.Inverter 1 left unit is underperforming by 5 kW  from 06/07</t>
  </si>
  <si>
    <t xml:space="preserve">SR086483	</t>
  </si>
  <si>
    <t>1.  Inverter 5 and its meter was offline from 06/08 to 06/10 morning
2. Inverter 3 was offline at 16:00 of 06/16 and back online at 9:15am on 06/19
3. We lost site communication from 06/20 due bad cell modem. Because of this the Actual energy is low</t>
  </si>
  <si>
    <t>1. SR085803
2. SR086297
3. SR086467</t>
  </si>
  <si>
    <t>1.  Inverter 1 tripped offline at 11:15 on 06/03 and back online on 06/14 when technician replaced the fuse
2. Inverter 3 was offline on 06/06</t>
  </si>
  <si>
    <t>1. SR085485
2. SR085685</t>
  </si>
  <si>
    <t>1. Weather station is not communicating from 04/27</t>
  </si>
  <si>
    <t>1. SR085360</t>
  </si>
  <si>
    <t>1. Inverter 20 was derated approximately 20kW from 06/17 at 13:35 and resolved on 07/02</t>
  </si>
  <si>
    <t>1. SR086419</t>
  </si>
  <si>
    <t>1. Weather station has not communicated after 05/10
2. Inverter 16 has derated approximately 20kW compared to its peers on 06/12, 06/13, 06/15, 06/16, 06/17, 06/18, 06/19 and resolved on 06/20</t>
  </si>
  <si>
    <t>1. SR085363
2. SR086276</t>
  </si>
  <si>
    <t>1. Combiner box 1 was offline from 05/19 and back online 06/11 at 8:30am</t>
  </si>
  <si>
    <t>1. SR085411</t>
  </si>
  <si>
    <t>1. Site was offline due to a loss of utility power on 06/24 afternoon and technician re-energized on 06/25 at 10:30am
2. Cradlepoint issue is being present at the site which impacted site communication, due to this Actual Energy data is not avilable from 06/25</t>
  </si>
  <si>
    <t>1. SR086846
2. SR086060</t>
  </si>
  <si>
    <t>1. Site was offline due to a loss of utility power on 06/24 afternoon and technician re-energized on 06/25 at 10:30am
2. Cradlepoint issue is being present at the site which impacted site communication, due to this Actual Energy data is not avilable from 06/17</t>
  </si>
  <si>
    <t>1. SR086847
2. SR086060</t>
  </si>
  <si>
    <t>1. Inverter 2 is offline at 07:00AM on 06/09 due to  "synchronization system failure" alarm and inverter is back online at 12:40PM on 06/14.</t>
  </si>
  <si>
    <t>1. 	SR085775</t>
  </si>
  <si>
    <t>1. Inverter 2 is offline from 07:30AM to 11:25PM on 06/10.
2. Site tripped offline at 03:55AM on 06/30 later technician reset the site, site back online at 15:15 on 07/01.</t>
  </si>
  <si>
    <t>1. SR085800
2. SR087139</t>
  </si>
  <si>
    <t>1. Inverter 3 is offline at 07:00AM on 06/01 and back online at 07:00AM on 06/03.
2. Site offline due to utility outage from 15:00 to 18:00 on 06/06.
3. Site is offline from 09:20AM to 18:15 on 06/10 and Inverter 2 offline at 07:00AM on 06/10 and inverter 2 back online after replacing the phase fan at 10:45AM on 06/18.
4. Site is offline due to planned outage on 06/11 and 06/12.
5. Site is offline from 11:20AM to 12:25PM on 06/20
6. Site offline due to utility switching work on 06/25 and 06/27
7. Inverter 2 tripped offline at 07:20pm pm 06/09 and back online on 06/18</t>
  </si>
  <si>
    <t>1. SR085398
2. SR085713
3. SR085804
4. SR085859
5. SR086486
6. SR086898
7. SR085804</t>
  </si>
  <si>
    <t>1. Inverter 3 combiner box 21 is offline</t>
  </si>
  <si>
    <t>1. SR086063</t>
  </si>
  <si>
    <t>1. Inverter 4 tripped offline at 18:05 on 06/23 and after power cycling inverter back online at 14:25 on 06/24.
2. Site tripped offline at 14:45 on 06/24 and technician re-energize site at 09:55AM on 06/25 site is back online.
3. Site tripped offline at 12:00PM on 06/27 and back online after technician closed Breaker at 11:15AM on 06/28 site back online.
Site again tripped offline at 08:50AM on 06/30 later technician reset Breaker at 14:45 on 07/03 site back online.</t>
  </si>
  <si>
    <t>1. SR086770
2. SR086831
3. SR087041</t>
  </si>
  <si>
    <t xml:space="preserve">1. Inverter 30 offline on 06/01, 06/04, 06/13, 06/16, 06/18, 06/25, 06/28
2. Inverter 9 tripped offline at 14:45 on 06/01 and techncian reset the inverter, inverter back online at 07:00AM on 06/03
3. Inverter 27 offline on 06/04, 06/15, 06/25,
4. Inverter 29 offline 06/04, 06/28
5. Inverter 35 tripped offline at 16:00 on 06/05 and techncian replaced a module with thermal burns on string 11 and repaired the homerun, inverter back online at 02:30PM on 06/06.
6. Inverter 5 tripped offline at 15:00 on 06/14, 06/15, 06/28
</t>
  </si>
  <si>
    <t xml:space="preserve">1. SR085405, SR086292, SR085548, SR086332, SR086927, SR087092
2. SR085408
3. SR085547,SR086280, SR086926
4. SR085553, 	SR087112
5. SR085602
6. SR086260, SR086908, SR087099
</t>
  </si>
  <si>
    <t xml:space="preserve">1. Inverter 4 is offline from 09:45AM to 10:20AM on 06/14
2. Site tripped offline at 6pm on 06/23 and 1 &amp; 2 inverters got back online at 12pm on 06/25 and all site back online on 06/26 </t>
  </si>
  <si>
    <t>1. SR086221
2. SR086769</t>
  </si>
  <si>
    <t>1. Inverter 4 offline on 06/18,06/21,06/23.
2. Site tripped offline at 21:00 on 06/18 and back online at 10:40AM on 06/20</t>
  </si>
  <si>
    <t>1. SR086351
2. SR086421</t>
  </si>
  <si>
    <t>1.Site is offline on 06/23 at 19:15 and back online at 11:15 on 06/24, Site is offline on 06/29 at 21:40 and back online on 06/30 at 08:50</t>
  </si>
  <si>
    <t>1.SR086816</t>
  </si>
  <si>
    <t>1.Site is offline from 06/05 at 05:30 to 06/06 at 16:30 and inverter 2 is kept offline due to replace fan from 06/05 and back online at 06/11 at 12:05
2. Inverters 1 and 3 is having curtliment event, the clipping value is about 1245kW from 05/14 throughout the month.
3.Inverter 1 tripped offline on 06/09 at 12:45 and back online on 17:45</t>
  </si>
  <si>
    <t>1.SR085594
2.SR085366
3.SR085786</t>
  </si>
  <si>
    <t>1.Site is offline from 06/05 at 05:30 to 06/06 at 16:30 
2.Inverter 2 tripped offline on 06/29 at 16:10 and back online on 06/30 at 15:15</t>
  </si>
  <si>
    <t>1.SR086855
2.SR087126</t>
  </si>
  <si>
    <t>1. Inverter 2 has tripped offline on 06/17 at 15:25 through out the month</t>
  </si>
  <si>
    <t xml:space="preserve">1.SR086333	</t>
  </si>
  <si>
    <t xml:space="preserve">1.Site is offline from 06/02 at 12:45 due to utility outage and back online on 06/05 at 16:10, Site is again offline from 06/06 at </t>
  </si>
  <si>
    <t>1.SR084805</t>
  </si>
  <si>
    <t>1.Inverter 1 started late for the production at 12:00 on 06/09, Inverter started late for the production at 17:25 on 06/10, inverter was offline and later tech reset at 10:15 on 06/12</t>
  </si>
  <si>
    <t>1.SR085787</t>
  </si>
  <si>
    <t>1.Site tripped offline from 00:10 to 09:00 on 06/20
2.Site offline on 06/03 from 09:10 to 11:45</t>
  </si>
  <si>
    <t>1.SR086461
2.SR084910</t>
  </si>
  <si>
    <t>1.SR086462
2.SR085397</t>
  </si>
  <si>
    <t>1.Site tripped offline from 00:10 to 09:00 on 06/20
2.Site offline on 06/03 from 09:15 to 11:45</t>
  </si>
  <si>
    <t>1.SR086459
2.SR084912</t>
  </si>
  <si>
    <t>1.Inverter 1 tripped offfline on 06/05 at 17:35 at 06/13 at 13:45</t>
  </si>
  <si>
    <t>1.SR085603</t>
  </si>
  <si>
    <t>1.Inverter 1 tripped offline on 06/01 at 17:05 and back online on 06/03 at 10:50
2. Site was offline on 06/16 later tech reset at 16:15 on the same day.
3. Inverter was offline 6/28 and back online on 17:30 on the same day</t>
  </si>
  <si>
    <t>1.SR085434
2.SR086281
3. SR087102</t>
  </si>
  <si>
    <t>1.Inverter 1 is back online on 06/05 at 12:15
2. Inverter 1 tripped offline at 09:45 am to 11:30 AM and again tripped offline from 16:00 on 06/20 and back online from 06/24 at 09:45
3.Inverter 1 is having multiple trip events from 06/27</t>
  </si>
  <si>
    <t>1.SR084774
2.SR086330
3.SR087050</t>
  </si>
  <si>
    <t>1. Inverter 9 is offline from 06/09 at 07:00 and back online from at 14:30 on 06/12 and again tripped offline on 12:15 on 06/14 and back online 06/15 at 07:00 and again tripped offline on 06/16 and had a multiple tripped event on 06/17 and tripped offline on 06/20 at 11:15 and observed a multiple tripping event on 06/21 and 06/22</t>
  </si>
  <si>
    <t>1.SR083382</t>
  </si>
  <si>
    <t>1. Inverter 8 was offline throught out the month</t>
  </si>
  <si>
    <t>1. Inverter A03 lost a string from 6/7/23, Inverter A07 lost a string from 11/13/23, Inverter 13 also under producing, all inverters are producing as expected from 06/04</t>
  </si>
  <si>
    <t>SR085418</t>
  </si>
  <si>
    <t>1. Inverter 3 is back online on 06/04 at 11:30</t>
  </si>
  <si>
    <t>1. Inverter 14 is offline from 05/11 throught out the month
2.Site is offline from 14:30 to 16:00 on 06/02</t>
  </si>
  <si>
    <t>1. SR084581
2.SR085429</t>
  </si>
  <si>
    <t>1. Inverter 1 is offline throughout the month.
2. Inverter 4 was back online from 06/04 at 07:00 and again offline on 06/08 at 07:00 and having mutliple days offline
3. Inverter 16 was offline from 06/01 to 06/04, 06/07 (11am) to 06/14 morning and again offline from 06/15 to 06/27 mid-day
4. Inverter 17 is offline for whole month
5. Inverters 6 &amp; 10 have no communication for whole month and are offline</t>
  </si>
  <si>
    <t>1.SR083305
2.SR082814,SR086833
3. SR085745
4. SR081250, SR084156
5. SR084156</t>
  </si>
  <si>
    <t>1. Inverter 9 is offline through out the month
2.Inverter 17 underperforming by 4 kW since 5/3/24 through out the month
3.Inverter 2 is down with ~34kW through out the month</t>
  </si>
  <si>
    <t>1. SR083861
2.SR084563
3.SR083763</t>
  </si>
  <si>
    <t>1. Inverter 5 tripped offline on 06/18 at 16:45 through out the month.</t>
  </si>
  <si>
    <t>1.SR086414</t>
  </si>
  <si>
    <t>1.Site is offline from 10:10 to 18:10 on 06/17 as tech was onsite to work on CB and modules</t>
  </si>
  <si>
    <t>1.SR084241</t>
  </si>
  <si>
    <t>1.Site was offline from 13:10 to 16:40 0n 06/07 as tech was onsite to work on CT wires and GPM meters in the monitoring cabinet
2.Site is offline from 11:40 to 17:35 as EV solar is onsite to work on CTs and metering.
3.Site is offline from 10 am to 10:25 am on 06/17 as EV solar is on site 
4.Site was taken offline from 13:10 to 13:50 and 14:40 to 15:45 as EV solar is on site for testing meters, site was taken offline from 09:20AM to 10:30AM on 06/28
5.Site tripped at 11:25 on 06/24 and back online at 08:40 on 06/25</t>
  </si>
  <si>
    <t>1.SR084706
2.SR086091
3.SR086312
4.SR086423
5.SR086863</t>
  </si>
  <si>
    <t>1. Site tripped at 07:43 on 06/06 and back online at 08:26AM on 06/13 and again site tripped offline at 10:54AM on 06/13 and back online at 04:01PM on 06/27.</t>
  </si>
  <si>
    <t>1. SR085741</t>
  </si>
  <si>
    <t>1. Site offline from April and back online on 06/01/24 at 11:45 Am and again tripped on 06/02 at 5:00 Am back online at 12:00PM on 06/03.
2. Site is offline at 21:00 on 06/14 and back online at 11:00AM on 06/15
3. Inverter is offline from 07:00AM to 09:15AM on 06/27.
4. Inverter is offline from 10:00AM to 12:00PM on 06/29
5. Site was taken offline on 06/18 and energized on 06/19 at 1:00 AM</t>
  </si>
  <si>
    <t>1. SR085400, SR085461
2. SR086259
3. SR087020
4.SR087120
5. SR086369</t>
  </si>
  <si>
    <t>1. Site tripped offline at 12:20PM on 06/30 and back online at 05:35 PM on 07/01</t>
  </si>
  <si>
    <t>1. SR087142</t>
  </si>
  <si>
    <t>1. Inverter 1 tripped offline at 07:00AM on 06/07 and back online at 06:50PM on 06/08
Inverter is offline from 07:00AM to 03:25PM on 06/16
2. Inverter is offline from 07:00AM to 12:00PM on 06/24
3. Inverter is offline from 07:30AM to 12:00PM on 06/29
4. Inverter 2 was offline because of pending parts</t>
  </si>
  <si>
    <t>1. SR085764
2. 	SR086828
3. 	SR087121
4. SR085395</t>
  </si>
  <si>
    <t>1. Site tripped  offline from 02:10PM to 05:10PM on 06/28.
2. Site tripped offline at 11:45AM on 06/30 and back online at 12:30PM on 07/02.</t>
  </si>
  <si>
    <t>1. SR087106
2. SR087143</t>
  </si>
  <si>
    <t>1. Site tripped offline at 10:15AM on 05/02 later site stopped communicating from 05/04 and back online at 07:45AM on 06/14.</t>
  </si>
  <si>
    <t>1. SR085419</t>
  </si>
  <si>
    <t xml:space="preserve">1. Inverter is tripped offline at 04:55PM on 06/16 and back online at 08:40AM on 06/18, inverter tripped offline at 03:15PM on 06/18 and back online at 08:15AM on 06/19, inverter tripped offline at 3:00PM on 06/19 and back online at 09:25AM on 06/21. 
2. Inverter tripped offline at 11:50AM on 06/21 and Upon the technician arrival site is offline from 02:40PM on 06/21 and later back online at 08:20PM on 06/23.
Inverter tripped offline at 05:40PM on 06/25 and back online at 08:30AM on 06/26.
3. While technician on site inverter offline from 01:55PM to 04:20PM on 06/24.
4. Inverter is offline from 07:30AM to 09:40PM on 06/28 and inverter again tripped offline at 05:20PM on 06/30 and back online at 06:20PM on 07/03
</t>
  </si>
  <si>
    <t>1. SR086336
2. SR086596
3. SR086860
4. SR087084</t>
  </si>
  <si>
    <t>1. Inverter tripped offline at 08:10 on 06/27 and back online at 05:51AM on 06/28</t>
  </si>
  <si>
    <t>1. 	SR087023</t>
  </si>
  <si>
    <t>1. Inverter tripped offline at 11:21AM on 06/12 and back online at 08:39AM on 06/13.</t>
  </si>
  <si>
    <t>1. SR086093</t>
  </si>
  <si>
    <t>1. Inverter offline from 07:00AM on 06/28 and back at 12:00PM on 06/29</t>
  </si>
  <si>
    <t>1. SR087078</t>
  </si>
  <si>
    <t>1. Site tripped offline at 10:15AM on 06/26 and later back online at 09:55AM on 06/28.</t>
  </si>
  <si>
    <t>1. SR086987</t>
  </si>
  <si>
    <t>1. SR086988</t>
  </si>
  <si>
    <t>July Actual v. Expected</t>
  </si>
  <si>
    <t>July Actual v. Forecasted</t>
  </si>
  <si>
    <t xml:space="preserve">1. Inverter was offline for multiple days. </t>
  </si>
  <si>
    <t>1. SR087356, SR087654</t>
  </si>
  <si>
    <t>1. Inverter 1 was offline from 06/07 to 07/17.
2 Inverter 2 was offline from 07/07 to 08/01.</t>
  </si>
  <si>
    <t>1. SR085744
2. SR087451</t>
  </si>
  <si>
    <t>1. Site tripped offline on 07/06 and back online on 07/07, again site tripped offline on 07/27 and back online on 07/28.</t>
  </si>
  <si>
    <t>1. SR087429</t>
  </si>
  <si>
    <t>1. Inverter 2 was offline for whole month.</t>
  </si>
  <si>
    <t>1. Site was expired in AE on 07/26</t>
  </si>
  <si>
    <t>1. Site is underproducing during peak time</t>
  </si>
  <si>
    <t>1. SR086614</t>
  </si>
  <si>
    <t>1. Inverter 2 is derating by about 50kW</t>
  </si>
  <si>
    <t>1. SR086766</t>
  </si>
  <si>
    <t>1. Inverter 1 was replaced on 07/03.</t>
  </si>
  <si>
    <t>1. SR085825</t>
  </si>
  <si>
    <t>1. Weather station 2 reporting erroneous value.</t>
  </si>
  <si>
    <t>1. Inverter 3 was tripped offline on 07/05 and back online on 07/17.
2. Inverter 2 tripped offline on 07/10.</t>
  </si>
  <si>
    <t>1. SR087398
2. SR087554</t>
  </si>
  <si>
    <t>1. Inverter 2 was derated approximately 15kW from 07/01 to 07/15</t>
  </si>
  <si>
    <t>1.SR087628</t>
  </si>
  <si>
    <t>1. Site is offline since 07/05 to end of the month.</t>
  </si>
  <si>
    <t>1. SR087393</t>
  </si>
  <si>
    <t>1. Weather station is not communicating since 06/30/2024</t>
  </si>
  <si>
    <t>1. Inverter 3 center unit was offline from 07/24 to 07/28.</t>
  </si>
  <si>
    <t>1. SR088087</t>
  </si>
  <si>
    <t>1. Site was tripped offline on 07/18 at 15:00 and back online at 11:00 am on 07/19.
2. Site started late on 07/24 at 11:00am. 
3. Site was tripped offline on 07/28 at 09:00am and back online on 07/29
4. Site was tripped offline on 07/30 at 07:00am and back online on 07/31</t>
  </si>
  <si>
    <t>1. SR087905
2. SR088083
3. SR088312
4. SR088406</t>
  </si>
  <si>
    <t>1. Inverter 2 right unit was tripped offline on 06/24 and back online on 07/02 at 13:00
2. Inverter 1 left unit started late on 07/23.</t>
  </si>
  <si>
    <t>1. SR086883
2. SR088017</t>
  </si>
  <si>
    <t>1. Inverter 1 tripped offline on 07/18.</t>
  </si>
  <si>
    <t>1. SR087903</t>
  </si>
  <si>
    <t>1.Inverter 2 started late for production on 07/29 at 11:00 and again tripped offline on 15:30 and back online 17:00.</t>
  </si>
  <si>
    <t>1.SR088330</t>
  </si>
  <si>
    <t>1.Inverter 2 right unit tripped offline on 07/15 at 17:00 and back online 07/23 at 08:30</t>
  </si>
  <si>
    <t>1.SR087733</t>
  </si>
  <si>
    <t>1.Inverter 3 left unit tripped offline at 15:00 on 07/26 and back online on 07/30 at 14:11
2.Inverter 4 primary unit tripped offline on 07/25 at 13:48 and back online on 07/30 at 14:11</t>
  </si>
  <si>
    <t>1.SR088288
2.SR088251</t>
  </si>
  <si>
    <t>1.Inverter 1 is back online on 07/10 at 09:30
2.Inverter 5 left unit tripped offline at 13:36 on 07/21 and back online at 07/22 at 07:00 and again tripped offline on 07/27 at 10:56</t>
  </si>
  <si>
    <t>1.SR087513
2.SR087977</t>
  </si>
  <si>
    <t>1. Inverter 3 center unit not started from 07/03 and back online on 07/11 at 11:00
2.Inverter 1 primary unit tripped offline at 09:00 at 07/11 and back online on 07/12
3.Inverter 3 center unit is offline from 07/25 through out the month</t>
  </si>
  <si>
    <t>1.SR087344
2.SR087586
3.SR088249</t>
  </si>
  <si>
    <t>1. Inverter 3 is offline for whole month.</t>
  </si>
  <si>
    <t>1.Inverter 3 right unit tripped offline at 07/18 at 12:00 and back online at 13:15 on 07/31</t>
  </si>
  <si>
    <t>1.SR088019</t>
  </si>
  <si>
    <t>1.Site has not communicated for the whole month due to bad Modem and it was replaced on 08/02 but production was not verified</t>
  </si>
  <si>
    <t>1. SR086467</t>
  </si>
  <si>
    <t>1.SR085360</t>
  </si>
  <si>
    <t>1. Weather station has not communicated after 05/10</t>
  </si>
  <si>
    <t>1. SR085363</t>
  </si>
  <si>
    <t>1. Inverters were offline for most of the days since 07/10 due to bad utility voltage regulatorand resolved on 07/23.
2. Inverter 1 was tripped offline on 07/24 and back online on 07/29 at 12:30pm.</t>
  </si>
  <si>
    <t>1. SR087544
2. SR088214</t>
  </si>
  <si>
    <t>1.Inverters 1 and 2 were tripped offline on 07/10, Inverter 2 was back online on 07/25.
2. Inverter 2 was tripped offline on 07/27 at 17:00 and back online on 07/29 at 11:45am.</t>
  </si>
  <si>
    <t>1. SR087545
2. SR088311</t>
  </si>
  <si>
    <t>1. Site was tripped offline on 06/24 and back online on 07/06.</t>
  </si>
  <si>
    <t>1. SR086846</t>
  </si>
  <si>
    <t>1. Site was offline for whole month.</t>
  </si>
  <si>
    <t>1. SR086071, SR086847</t>
  </si>
  <si>
    <t>1.Inverter 2 tripped offline on 07/02 at 16:25 and back online at 16:40 on 07/02</t>
  </si>
  <si>
    <t>1.SR086293</t>
  </si>
  <si>
    <t>1.Meter back online from 07/01 at 11:45
2.Inverter 3 is offline from 07/01 and back online on 07/11 at 08:30
3.Inverter 1 is derating approximately 100kW during peak hours throgh out the month</t>
  </si>
  <si>
    <t>1.SR087139
2.SR087139
3.SR087718</t>
  </si>
  <si>
    <t>1.Site tripped offline at 08:30 to 12:35 on 07/03 and again tripped offline at 17:15 on 07/15 and back online at 13:20 at 07/17
2.Site tripped offline at 12:15 to 14:20 on 07/30</t>
  </si>
  <si>
    <t>1.SR087335
2.SR088411</t>
  </si>
  <si>
    <t>1.Inverter 1 tripped offline at 13:30 to 15:20 and again tripped offline at 16:55 on 07/04 and back online at 10:15 on 07/06 and again tripped offline 12:50 to 18:45 on 07/06
2.Site is offline at 15:45 on 07/09 and again back online at 10:00 on 07/11</t>
  </si>
  <si>
    <t>1.SR087383
2.SR087533</t>
  </si>
  <si>
    <t>1.Site is back online at 14:20 on 07/02 and again tripped offline at 07:10 to 11:00 on 07/03
2.Site tripped offline at 10:05 on 07/09 and back online at 11:10 on 07/12
3.Inverter 1 tripped offline at 13:00 on 07/24  through out the month
4.Inverter 2 is kept offline for safety purpose at 14:15 on 07/26 through out the month</t>
  </si>
  <si>
    <t>1.SR087041
2.SR087510
3.SR088119
4.SR088119</t>
  </si>
  <si>
    <t>1.Inverter 5 is offline on 07/01 through out the day
2.Inverter 29 is offline on 07/01 through out the day
3.Inverter 30 is offline on 07/01 through out the day
4.Inverter 27 tripped offline at 12:15 on 07/02 and inverter 30 tripped at 13:00 on 07/02 and inverter 29 tripped at 13:45 on 07/02 and all inverters back online at 08:30 on 07/03
5.Inverter 30 tripped offline at 14:00 on 07/03 and back online at 11:45 on 07/05
6.Inverter 5 tripped offline at 12:00 on 07/04 and back online at 11:30 on 07/05
7.Inverter 02 tripped offline at 16:00 on 07/05 and back online at 09:15 on 07/06 and inverter 02 again tripped offline from 07:30 to 19:15 on 07/07 and started production at 14:30 on 07/08
8.Inverter 27,30,9,5 tripped offline at 13:45 on 07/06 and back online at 14:30 on 07/08
9.Inverter 2 tripped offline at 06:30 to 16:00 on 07/09
10.Inverter 5 is tripped offline at 14:15 on 07/10 and back online at 11:45 on 07/15
11.Inverter 27 and 30 tripped offline at 12:30 on 07/14 and back online at 11:45 on 07/15
12. inverter 27 is tripped offline at 13:45 on 07/15 and back online at 10:30 on 07/18
13.Inverter 5 tripped offline at 12:45 on 07/16 and back online at 10:30 on 07/18
14. Site tripped offline at 15:15 on 07/16 and back online at 10:30 on 07/18
15.Inverter 2 tripped offline at 18:15 on 07/18 and back online at 13:15 on 07/19 and again started at 13:15 at 07/20
16.inverter 27  tripped offline at 13:15 on 07/19 and back online at 09:15 on 07/22
17.inverter 30  tripped offline at 13:15 on 07/19 and back online at 09:15 on 07/22
18.inv 2 tripped offline on 06:30 to 12:30 and again tripped offline at 15:15 on 07/21 and back online at 09:15 on 07/22 and again 09:30 to 18:30 on 07/23 and tripped at 07:00 to 19:00 on 07/24 and started late production at 10:30 on 07/25 and again tripped offline at 10:30 on 07/26 and back online at 14:30 on 07/30
19.Inverters 5 and 27 tripped offline at 12:00 on 07/27
20.Inverters 9 and 30 tripped offline at 13:30 on 07/28 and inverter 9 back online at 11:30 on 07/29 and inverter 30 back online at 13:45 on 07/30</t>
  </si>
  <si>
    <t>1.SR087099
2.SR087112
3.SR087092
4.SR087286
5.SR087355
6.SR087355
7.SR087399
8.SR087419
9.SR087506
10.SR087556
11.SR087664
12.SR087664
13.SR087779
14.SR087783
15.SR087913
16.SR087939
17.SR087940
18.SR087966
19.SR088301
20.SR088301</t>
  </si>
  <si>
    <t>1.Inverter 4 tripped offline at 6:40am and back online at 7:30 on 07/15.
2.inverter 2 is derating by 100 kW during high irradiance days from 07/26 and again from 07/31 its derating 40kW</t>
  </si>
  <si>
    <t>1.SR087670
2.SR088280</t>
  </si>
  <si>
    <t>1.Inverter 1 started production at 15:15 on 07/13 and tripped offline at 14:50 on 07/15 and back online at 16:40 on 07/17 and inverter 2 is kept offline at 16:30 on 07/17 and back online at 10:55 on 07/22</t>
  </si>
  <si>
    <t>1.SR087619</t>
  </si>
  <si>
    <t>1.inverter 1 is derating by approximately 56 kW,inverter 3 is derating by approximately 124 kW throght out the month
2. Meter was not communicating and it is RMA'd. Due to this reason we added actual energy taken from inverters</t>
  </si>
  <si>
    <t>1.SR087997
2.SR087044</t>
  </si>
  <si>
    <t>1.Site tripped offline at 20:25 on 07/24 and back online at 11:40 on 07/25</t>
  </si>
  <si>
    <t>1.SR088221</t>
  </si>
  <si>
    <t>1.Inverter 1 tripped offline at 08:55 to 10:10 on 07/25.</t>
  </si>
  <si>
    <t>1.SR088219</t>
  </si>
  <si>
    <t>1. Site tripped offline on 07/09 at 13:00 and back online at 16:15 on 07/09.
2. Inverter 2 was offline for whole month.</t>
  </si>
  <si>
    <t>1. SR087521
2. SR086333</t>
  </si>
  <si>
    <t>1. Site tripped offline on 07/09 at 13:00 and back online at 16:15 on 07/09.</t>
  </si>
  <si>
    <t>1. SR087522</t>
  </si>
  <si>
    <t>1. Site stopped communicating on 07/07  (Modem being replaced)</t>
  </si>
  <si>
    <t>1. SR086341</t>
  </si>
  <si>
    <t>1. Site is offline from 07/01 to 07/09 and again site tripped offline on 07/10 and back online on 07/13 and again site tripped offline on 07/15 and back online on o7/25</t>
  </si>
  <si>
    <t>1. SR087016</t>
  </si>
  <si>
    <t>1. Site tripped offline on 07/09 at 12:55 pm and back online at 16:10 on 07/09</t>
  </si>
  <si>
    <t>1. SR087519</t>
  </si>
  <si>
    <t>1. Site tripped offline on 07/09 at 12:55 pm and back online at 16:10 on 07/09
2. Inverter 1 started late on 07/06, 07/10, 07/16, 07/23</t>
  </si>
  <si>
    <t>1. SR087520
2. SR086353</t>
  </si>
  <si>
    <t>1. Site was tripped offline on 07/08 at 08:45am and back online at 10:10am on 07/08.
2. Site was tripped offline on 07/24 at 10:35am and back online at 15:30 on 07/24.
3. Inverter is offline since 07/13.</t>
  </si>
  <si>
    <t>1. SR087456
2. SR088112
3. SR087636</t>
  </si>
  <si>
    <t>1. Site was tripped offline on 07/24 at 10:35am and back online at 15:30 on 07/24.
2. Site was tripped offline on 07/08 at 08:45am and back online at 10:10am on 07/08.</t>
  </si>
  <si>
    <t>1. SR088110
2. 	SR087458</t>
  </si>
  <si>
    <t>1. Site was tripped offline on 07/08 at 08:45am and back online at 10:10am on 07/08.
2. Site was tripped offline on 07/24 at 10:35am and back online at 15:30 on 07/24.</t>
  </si>
  <si>
    <t>1. SR087457
2. 	SR088108</t>
  </si>
  <si>
    <t>1. Site tripped offline on 07/16 at 15: 15 and back online on 07/17 at 09:00 am</t>
  </si>
  <si>
    <t>1. SR087781</t>
  </si>
  <si>
    <t>1. Site is not communicating since 07/26 (sim card and/or cradlepoint are being RMA).</t>
  </si>
  <si>
    <t>1. SR087929</t>
  </si>
  <si>
    <t>1. Inverter 1 tripped offline at 11:30 from 07/02 and back online at 10:15  on 07/12.
2.Site tripped offline 16:00 from 07/13 and back online  at 14:5 on 07/14.
3.Inverter 1 tripped offline at 09:45 on 07/20 and back online at 09:15 on 07/21 and also again tripped offline  from 07/21 at 12:00 and back online on 07/23 at 16:45 again tripped offline at 17:30 on 07/23 back online on 07/24 at 13:30 and also again tripped offline from 07/24 at 18:15.
4.Site tripped offline at 06:45 on 07/24 and back back online at 13:15 on 07/24.</t>
  </si>
  <si>
    <t>1.	SR087050
2.SR087649
3.SR087951
4.SR088081</t>
  </si>
  <si>
    <t>1.Site tripped offline at 06:45 on 07/24 and back online at 13:15 on 07/24</t>
  </si>
  <si>
    <t>1.	SR088082</t>
  </si>
  <si>
    <t>1.Inverter 9 tripped offline at 15:00 on 07/17 and back online on 07/18 and also again offline at 06:30 on 07/20 and back online at 11:45 on same day</t>
  </si>
  <si>
    <t>1.Site tripped offline from 07/13 at 09:30.</t>
  </si>
  <si>
    <t>1.SR087641</t>
  </si>
  <si>
    <t>1. Inverter 8 was offline throught out the month
2.Inverter 13 is underperforming 4 kW from 07/03 by  compared to its peers</t>
  </si>
  <si>
    <t>1.SR082892
2.	SR088468</t>
  </si>
  <si>
    <t>1.Inverter 14 offline from 07/01 and back online from 07/29</t>
  </si>
  <si>
    <t>1.SR084581</t>
  </si>
  <si>
    <t>1.Inverter 16 offline from 07/01 and back online on 07/28 at 18:30 and also again tripped offline from 07/30 at 11:00
2. Inverter 17 is offline for whole month
3.Inverters 6 &amp; 10 have no communication for whole month and are offline
4. Inverter 1 is offline throughout the month.
5.Inverter 4 offline on 07/03 and back online on 07/04 and again offline from 07/05 back online from 07/10 and again offline from 07/11 back online at 16:00pm on 07/12 and again offline on 07/15 back online on 07/16 and having mutliple days offline
6.Inverter 15 tripped offline from 07/12 at 16:30 and back online on 07/14 again offline on 07/19 back online from 07/20 again tripped tripped offline from 07/24 at 14:45 back online from 07/26 at 16:30.
7.Inverter 2 was offline on 07/20 and back online from 07/21 again offline on 07/23
8.Inverter 3 was offline on 07/16 at 06:00 back online at 15:00 on same day</t>
  </si>
  <si>
    <t>1.SR087995
2.SR081250, SR084156
3.SR084156
4.SR083305
5.	SR087880
6.SR087632
7.SR087958
8.SR087745</t>
  </si>
  <si>
    <t>1.Inverter 11 tripped offline at 14:15 on 07/15 back online on 07/17 at 15:00</t>
  </si>
  <si>
    <t>1.SR087738</t>
  </si>
  <si>
    <t xml:space="preserve">1.Inverter 9 is offline through out the month
2.nverter 17 underperforming by 4 kW since 5/3/24 resolved from 07/15
3.Inverter 2 is down with ~34kW through out the month
</t>
  </si>
  <si>
    <t>1.SR083861
2.SR084563
3.SR083763</t>
  </si>
  <si>
    <t>1.Site was taken offline by EV solar on 07/23 09:50 to 13:00</t>
  </si>
  <si>
    <t>1.SR088011</t>
  </si>
  <si>
    <t>1.Site was taken offline by EV solar on 07/2 08:50 to 11:40.
2.Site was taken offline by Ev solar  on 07/19 09:45 to 10:40
3.POA pyranometer dropped out from 7/22 at 2:40pm.</t>
  </si>
  <si>
    <t>1.SR087233
2.SR087233
3.SR088232</t>
  </si>
  <si>
    <t>1.Site was offline from 07/15 at 11:24 back online from 07/16 at 12:57.
2.Site was offline from 07/24 at 12:07 due to utility outage through out the month</t>
  </si>
  <si>
    <t>1.SR087750
2.	SR088115</t>
  </si>
  <si>
    <t>1.Site was offline on 07/01 at 05:45 and back online at 16:45 and again offline on 07/2 at 05:45 and back online at 09:45.
2.Site was offline due to utility outage on 07/6 at 07:00 back online on 07/7 at 09:45
3.Inverter offline at 06:00 on 7/10 and back online at 10:00 and again offline at 06:00 on 07/11 back online at 09:45 again inverter tripped offline at 12:15 on 07/16 back online at 12:45.
4.Inverter tripped offline on 07/22 at 10:30 and back online at 14:45 again tripped offline 10:00 back online at 13:45
5.Site was taken offline by Engineers on 07/24 at 10:00 and back online at 13:15 on 07/24
6.Site was tripped offline at 12:00 on 07/25 and back online on 07/26
7.Inverter tripped offline at 09:15 on 7/27 and back online 16:45 on same day</t>
  </si>
  <si>
    <t>1.SR087159
2.SR087403
3.	SR087454
4.SR088010
5.	SR088127
7.SR088294</t>
  </si>
  <si>
    <t>1. Site tripped offline at 12:20 on 06/30 and back online at 05:35  on 07/01
2.Site was offline from 07/28 at 13:10 due to utility outage and back online at 13:50 on 07/29.</t>
  </si>
  <si>
    <t>1.SR087142
2.SR088319</t>
  </si>
  <si>
    <t>1.Site was tripped offline at 09:07 on 07/15 and back online on 07/16 at 16:50</t>
  </si>
  <si>
    <t>1.SR087705</t>
  </si>
  <si>
    <t>1.Inverter tripped offline from 08:30 to 12:30 on 07/03 while technician onsite.
2.Inverter tripped offline from 12:00 to 13:55 on 07/06.
3.Inverter tripped offline from 10:00 to 16:45 on 07/09 while technician onsite again Inverter tripped offline from 11:05 to 12:55 and 16:40 to 18:00 on 7/11 while technician onsite
4.Inverter 2 offline from 7/1 to 7/11 at 12:45 and back online from 12:45 to 16:15 on 7/11 again inverter offline from 7/11 at 16:15 back online at 14:05 on 7/13
5.Inverter tripped offline at 08:50 on 7/14 to 07:30 on 7/15
6.Site tripped offline at 09:15 on 07/15 and came back online at 17:15 on 7/16 
7.Inverter 1 having multiple trippings from 7/18 later offline at 16:50 and reporting 100kW upto 10:00 from 7/26 through out the month
8.Inverter 2 is offline even the has reenergize at 09:15 from 7/15 to through out the month.</t>
  </si>
  <si>
    <t>1.SR086489
2.SR087415
3.SR085395
4.	SR085395
5.SR087669
6.	SR087700
7.	SR087594
8.SR087594</t>
  </si>
  <si>
    <t>1.Site tripped offline at 11:45AM on 06/30 and back online at 12:30PM on 07/02</t>
  </si>
  <si>
    <t>1.SR087143</t>
  </si>
  <si>
    <t>1.Inverter tripped offline at 17:20 on 06/30 and back online at 06:00 on 07/03
2.Inverter started late at 09:00 on 7/5 again tripped offline from 13:35 to 14:35
3.Inverter tripped offline at 12:40 on 7/6 back online at 08:40 on 7/7 again tripped offline at 13:00 on 7/7  back online at 06:40 on 7/8 again tripped offline 16:00 on 7/8 back online at 06:55 0n 7/9 and again tripped offline at 11:05 on 7/9 back online at 07:05 on 7/10
4.Site tripped offline at 12:20 on 7/10 back online at 11:00 on 7/11
5.Site tripped offline from 15:45 to 17:10 on 7/16</t>
  </si>
  <si>
    <t>1.SR087084
2.	SR087382
3.	SR087417
4.SR087555
5.	SR087785</t>
  </si>
  <si>
    <t xml:space="preserve">1. Inverter 1 tripped offfline  from 7/17 at 16:00 and back online at 13:28 on 7/18 
2. Inverter was offline on multiple days when technicians on site for type B maintenance inspection </t>
  </si>
  <si>
    <t>1.SR087857
2.SR086070</t>
  </si>
  <si>
    <t>1. Inverter started when it was remotely reset at 7:35AM
2. Inverter was offline till 1PM on 07/28
3. Inverter was offline till 1PM on 07/30</t>
  </si>
  <si>
    <t>1. SR087635
2. SR088310
3. SR088412</t>
  </si>
  <si>
    <t>1.Inverter 2 tripped offline from 7/14 at 15:10 and back online at 16:00 on 7/15</t>
  </si>
  <si>
    <t>1.SR087663</t>
  </si>
  <si>
    <t>1.Site tripped offline at 14:45 on 7/11 back online at 09:15 on 7/12</t>
  </si>
  <si>
    <t>1.	SR087591</t>
  </si>
  <si>
    <t>1. Site was offline from 8:15am to 8:30am on 07/08
2. Inverter tripped offline at 1:30pm on 07/15 due to ground fault and back online at 6am on 07/16</t>
  </si>
  <si>
    <t>1. SR087452
2. SR087732</t>
  </si>
  <si>
    <t>August Actual v. Expected</t>
  </si>
  <si>
    <t>August Actual v. Forecasted</t>
  </si>
  <si>
    <t>1.Inverter 1 is derating possible string down</t>
  </si>
  <si>
    <t>1.SR089331</t>
  </si>
  <si>
    <t>1.Site tripped offline at 11:45 on 8/4 and back online 8/5
2.Meter dropped in production to 50% at 13:00 on 8/16 and resolved on 8/17</t>
  </si>
  <si>
    <t>1.	SR087429
2.	SR089181</t>
  </si>
  <si>
    <t>1.Inverter 2 is offline whole month</t>
  </si>
  <si>
    <t>1.SR082252</t>
  </si>
  <si>
    <t>1.	SR086614</t>
  </si>
  <si>
    <t>1. Inverter 2 is derating by about 90kW</t>
  </si>
  <si>
    <t>1.	SR086766,SR088661</t>
  </si>
  <si>
    <t>1.The meters are mislabelled. Building 1 &amp; 2 meter is capturing about half of what it should be - likely inverter(s) offline. Building 5 &amp; 6 meter has an inverter that is tripping on and off in the morning and then remaining offline the rest of the day. Building 8 &amp; 9 trips on and off in the morning and barely runs the rest of the day.</t>
  </si>
  <si>
    <t>1.SR089631</t>
  </si>
  <si>
    <t>1.Weather station 2 reporting erroneous value.</t>
  </si>
  <si>
    <t>1.SR085322</t>
  </si>
  <si>
    <t>1.Inverter 2 tripped offline from 7/10 and back online on 8/8</t>
  </si>
  <si>
    <t>1.SR087554</t>
  </si>
  <si>
    <t>1.Site was offline since 7/5 to end of the month</t>
  </si>
  <si>
    <t>1.SR087393</t>
  </si>
  <si>
    <t>1.Site offline at 14:45 on 8/27 and back online at 5:15Am on 8/28</t>
  </si>
  <si>
    <t>1.	SR089636</t>
  </si>
  <si>
    <t>1.Site offline 02:45Am on 8/6 and back online at 15:45pm on 8/7 again offline at 11:30 on 8/8 back online at 13:00 
2.Site tripped offline from 8/9 at 13:45 and back online on 8/13 at 7:45Am
3.Site offline at 3:00Am on 8/14 and back online at 12:45pm on 8/14 again site offline on 8/15 back online 7:30AM on 8/16 again site tripped offline at 17:15pm on8/16 back online on 8/20 at 07:00AM
4.Site offline at 16:15 from 8/22 and back online at 07:30AM on 8/26
5.Site offline at 10:15 on 8/27 back online 8/28 at 07:45AM
6.Site offline at 16:30 from 8/29 
7.Inverter 3 right unit is derating by 12 kW and is reporting a fan fault.</t>
  </si>
  <si>
    <t>1.	SR088670
2.SR088853
3.SR089007
4.SR089443
5.	SR089622
6.SR089750
7.SR089671</t>
  </si>
  <si>
    <t>1.Inverter 1 tripped offline from 7/18 whole month</t>
  </si>
  <si>
    <t>1.	SR087903</t>
  </si>
  <si>
    <t>1. Inverter 2 left unit is offline from 08/04 and back online on 8/8 at 14:15</t>
  </si>
  <si>
    <t>1.SR088594</t>
  </si>
  <si>
    <t>1.Inverter 1 right unit is offline from 8/2 back online on 8/6</t>
  </si>
  <si>
    <t>1.SR088552</t>
  </si>
  <si>
    <t>1.Inverter 2 offline from 8/27 back online on 8/30</t>
  </si>
  <si>
    <t>1.SR089588</t>
  </si>
  <si>
    <t>1.Inverter 1 on PT (inverter 2 on SE) left unit tripped offline from 8/28 at 11:45</t>
  </si>
  <si>
    <t>1.SR089666</t>
  </si>
  <si>
    <t>1.Inverter 2 tripped offline at 13:!5 on 8/3 and back online on 8/4 at 14:15 again inverter offline from 06:00Am to 11:15Am on 8/5 again inverter offline from 8/7 back online on 8/9
2.Inverter 2 offline being RMAD from 8/18 back online on 8/28
3.Inverter 3 tripped offline at 13:15 from 8/3 and back online on 8/19</t>
  </si>
  <si>
    <t>1.SR088604
2.SR089215
3.SR088571</t>
  </si>
  <si>
    <t>1. Inverter 2 primary unit tripped offline from 8/29.</t>
  </si>
  <si>
    <t>1.	SR089816</t>
  </si>
  <si>
    <t>1. Inverter 5 left unit having multiple trippings through out the month</t>
  </si>
  <si>
    <t>1.	SR088906</t>
  </si>
  <si>
    <t>1.Inverter 3 center unit offline from 7/25nad back online on 8/30</t>
  </si>
  <si>
    <t>1.SR088249</t>
  </si>
  <si>
    <t>1.Inverter back online on 8/13 at 13:45</t>
  </si>
  <si>
    <t>1.SR086329</t>
  </si>
  <si>
    <t>1.Inverter 2 left unit tripped offline at 14:14 on 08/10 back online on 8/11 and again tripped offline on 8/15 at 12:15 back online on 8/16.</t>
  </si>
  <si>
    <t>1.SR088889</t>
  </si>
  <si>
    <t>1.Site back online on 8/6 at 09:00AM
2.Site offline from 8/14 and back online at 11:00 on 8/16</t>
  </si>
  <si>
    <t>1.SR086467
2.SR089013</t>
  </si>
  <si>
    <t>1.Inverter 2 is underperforming since 7/23. Module is likely offline and back online on 8/28.</t>
  </si>
  <si>
    <t>1.SR088415</t>
  </si>
  <si>
    <t>1.Weather station not communicating from 4/27</t>
  </si>
  <si>
    <t>1.Inverter 27 tripped offline at 18:30 on 08/04 and back online on 8/6 at 16:05PM
2.Inverter 12 is underperforming by 4 Kw from 8/12 resolved on 8/14
3.Inverter 6 is derating at 40kW since 08/25 and resolved on 8/28.</t>
  </si>
  <si>
    <t>1.	SR088633
2.	SR088933
3.	SR089562</t>
  </si>
  <si>
    <t>1.Inverter 1 tripped offline at 17:05 on 08/10 and back online on 8/12 
2. Inverter 2 offline from 8/12 back online on 8/14 again iverter tripped offline on 8/15 back online on 8/16 at 14:55</t>
  </si>
  <si>
    <t>1.	SR088891
2.SR089113</t>
  </si>
  <si>
    <t>1.Inverter 1 is derating approximately 20kW compared to its peers since 08/22 resolved on 8/28
2.Weather station not communicating after 5/10 and back online on 8/29 at 16:15PM</t>
  </si>
  <si>
    <t>1.SR089487
2.SR085363</t>
  </si>
  <si>
    <t>1. Site tripped offline at 16:15 on 8/12 back online at 18:05 same day</t>
  </si>
  <si>
    <t>1.SR088959</t>
  </si>
  <si>
    <t>1.Inverter 1 back online on 8/10
2.Inverter 2 tripped offline at 10:00 on 8/3 back online on 8/10
3. Site tripped offline at 16:15 on 8/12 and back online at 18:05 same day
4.Meter dropping to zero and A phase voltages dropped from 497.25V to 287.27V on 8/25</t>
  </si>
  <si>
    <t>1.SR087545
2.SR088578
3.SR088960
4.	SR089510</t>
  </si>
  <si>
    <t>1.The POA sensors have been getting stuck and providing invalid data from 8/23
2.Inverter 1 tripped offline at 07:45 on 8/27 back online at 09:50 8/29</t>
  </si>
  <si>
    <t>1.	SR089484
2.SR089595</t>
  </si>
  <si>
    <t xml:space="preserve"> -   </t>
  </si>
  <si>
    <t>1. POA sensor was not communicated for whole month.</t>
  </si>
  <si>
    <t>1. 	SR089394</t>
  </si>
  <si>
    <t>1. Site was offline from 9:45 am to 1:55 pm 08/08.
2. Site was offline at 12:00pm to 03:00pm on 08/14.
3. Site was offline at 11:00am to 12:00pm on 08/30.</t>
  </si>
  <si>
    <t>1. SR088761
2. SR089024
3. SR089761</t>
  </si>
  <si>
    <t>1. Site was offline from 06:00pm on 08/27 to 10:00pm on 08/27
2. Inverter 2 tripped offline at 14:50 on 08/09 and back online on 07:00 on 08/10</t>
  </si>
  <si>
    <t>1. SR089640
2. SR088860</t>
  </si>
  <si>
    <t>1. Meter 1 Nport being RMA.</t>
  </si>
  <si>
    <t>1. SR089437</t>
  </si>
  <si>
    <t>1. Inverters 1 &amp; 2 offline from 07/24 to 08/15 mid-day
2. Inverter 3 offline from 3:55pm to 5pm on 08/19</t>
  </si>
  <si>
    <t>1. SR088119, SR088827
2. SR089273</t>
  </si>
  <si>
    <t>1. Inverter 9, 27, 30 were tripped offline on 08/01 at 13:00 and back online on 08/05  
Inverters 27,30 were tripped offline on 12:45 on 08/07 and back online on 08/16 at 09:45am and again  inverters 27,30 were tripped offline on 08/16 at 12:45pm and back online on 08/20
Inverters 27,30 were tripped offline on 08/22 at 14:45 and back online on 08/26 
Inverter 27 and 30 again tripped offline on 08/26 at 12:15 and again inverters back online on 08/29
Inverter 9 was tripped offline on 08/10 at 15:45 and back online on 08/16 at 09:45am.
Inverter 9 tripped offline on 08/23 at 14:15 and inverter 9 back online on 08/26.
Inverter 5 tripped offline on 08/10 and back online on 08/16 
Inverter 5 tripped offline on 08/24 and back online on 08/26 
Inverter 5 was tripped offline on 08/26 at 15:45 and back online on 08/29 at 11:30am
2. Inverter 2 was offline from 08/01 and back online 08/16 at 09:45am and again inverter 2 tripped offline on 08/23 at 13:00.</t>
  </si>
  <si>
    <t>1. SR089442, 
SR088301,
SR089495
2. SR087966</t>
  </si>
  <si>
    <t>1. Site offline from 2:50pm of 08/14 to 11:30Am of 08/15
2. Inverter 4 had faced multiple trip events on 08/19 &amp; 08/20
3. Inverters 3 &amp; 4 are offline from 08/27</t>
  </si>
  <si>
    <t>1. SR089046
2. SR089266
3. SR089590</t>
  </si>
  <si>
    <t>1. All inverters were offline from 10:10AM to 3:40PM on 08/21</t>
  </si>
  <si>
    <t>1. SR087997</t>
  </si>
  <si>
    <t>1. Site tripped offline at 2:30pm on 08/09 and back online at 6:10am on 08/10
2. Site was offline from 1:10pm to 3:30pm on 08/25
3. Site offline from 6:40pm of 08/29 to 3AM of 08/30</t>
  </si>
  <si>
    <t>1. SR088846
2. SR089512
3. SR089741</t>
  </si>
  <si>
    <t>1. Site was offline from 1:10pm to 3:30pm on 08/25</t>
  </si>
  <si>
    <t>1. SR089513</t>
  </si>
  <si>
    <t>1. Inverter 2 was offline till 17:30 of 08/14</t>
  </si>
  <si>
    <t>1. SR088715</t>
  </si>
  <si>
    <t>1. Site offline till 13:30 of 08/08
2. Site offline from 19:00 of 08/14 to 15:15 of 08/15</t>
  </si>
  <si>
    <t>1. SR087636
2. SR089098</t>
  </si>
  <si>
    <t>1. Site offline from 13:30 on 08/09 to 7:35AM on 08/10</t>
  </si>
  <si>
    <t>1. SR088844</t>
  </si>
  <si>
    <t xml:space="preserve">1. Inverter tripped offline from 7:10 AM on 08/27 and being in offline from then after producing a while on morning </t>
  </si>
  <si>
    <t>1. SR089597</t>
  </si>
  <si>
    <t xml:space="preserve">1.Inverter 1 tripped offline on 07/24 at 18:00 and back online on 08/07. 
  Inverter 1 tripped offline on 08/14 at 17:00 and back online on 08/16 at 08/09    Inverter 1 tripped offline on 08/18 and back online at 12:00 on 08/19. </t>
  </si>
  <si>
    <t>1. SR087951</t>
  </si>
  <si>
    <t xml:space="preserve">1. Site tripped offline on 08/08 at 17:00 and back online on 08/09 at 09:00. </t>
  </si>
  <si>
    <t>1.SR088808</t>
  </si>
  <si>
    <t xml:space="preserve">1. Inverter 11 tripped offline on 08/15 at 16:00 and back online on 08/16 at 14:00. 
2. Site lost communciation from 07/31 to 08/08 making it impossible to confirm individual production on a daily basis. However, the site remained online throughout the communication failure 
3. Inverter 9 tripped offline on 08/17 and back online on 08/20 and again tripped offline at 16:00 on a same day and back online on 08/28 at 20:22. </t>
  </si>
  <si>
    <t>1.SR089093
2.SR088520
3. SR089196</t>
  </si>
  <si>
    <t xml:space="preserve">1.Site is offline throught the month. </t>
  </si>
  <si>
    <t xml:space="preserve">1.Site is offline on 08/15 and back online at 16:15 on same day. </t>
  </si>
  <si>
    <t>1.SR089099</t>
  </si>
  <si>
    <t xml:space="preserve">1. Site lost communciation on 08/01 at 14:00 and regained communication on 08/06 at 13:00. Due to the communication outage, unable to verify the daily production of individual inverters.
2. Inverter 20 tripped offline at 13:00 and ongoing issue. 
3. Inverter started derating on 08/02. 
4. Inverter 25 tripped offline on 08/21 at 15:00 and ongoing issue till date. 
5. Inverter 18 is offline on 08/23 and its a ongloing issue. </t>
  </si>
  <si>
    <t>1. SR088514
2.SR088885
3.SR088530
4.SR089384
5.SR089453</t>
  </si>
  <si>
    <t xml:space="preserve">1. Inverter 3 is offline on 08/02 and back online at 08/04. 
2.Inverter 4 is offline on 08/04 while technician is on site and back online at 15:30 and again offline on 08/05, 08/06, 08/11, 08/12, 08/19, 08/24, 08/28 and on 08/23 started online at 15:30. 
3.Inverter 10 tripped offline at 16:30 on 08/03 and back online on 08/06 at 08/45. 
4. Inverter 16 tripped offline on 08/04 at 09:00 and back online on 08/06 at 08:00. Even tripeed on 08/07 and 08/08 at EOD and contninued being offline through out the month. 
5. Inverter 6 tripped offline on 08/04 at and back online on a same day and again offline on 08/21. 
6. Inverter 17 tripped offline on 08/08 and back online at 08/17 and again triiped offline on 08/22 and being offline through out the month. 
7. Inverter 15  offline 08/09 and back online at 14:00 on the same day. And tripped offline on 08/25 and back online next day. again offline on 08/31. 
8. Inverter 1 is offline on 08/01, 08/24, 08/29. 
9. Site is offline from 08/14 at 03:00 to 08/15 at 13:00 and again offline on 08/16 and back online on 08/17.  
10 Inverter 7 tripped offline on 08/26 at continued through out the day. </t>
  </si>
  <si>
    <t>1.SR087745
2.SR087880, SR088869
3. SR088580
4. SR087995
5. SR088582
6. SR088811
7. SR088828
8.SR088868
9. SR089008
10. SR089548</t>
  </si>
  <si>
    <t xml:space="preserve">1. Inverter 2 tripped offline on08/01, 08/02, 08/03, 08/04, 08/05, 08/10 &amp; 08/24, 
2. Inverter 9 is offline through out the month. 
3.Inverter 2 is down with ~34kW through out the month. </t>
  </si>
  <si>
    <t>1. SR088872
2. SR083861
3.SR083763</t>
  </si>
  <si>
    <t>1.  Inverter 2 tripped offline at 16:15 on 08/15 and back online on 08/19 at 12:00pm</t>
  </si>
  <si>
    <t>1. SR089132</t>
  </si>
  <si>
    <t xml:space="preserve">1. Inverter 5 back online  08/28 at 13:00 which was offline from  06/18 at 16:45. </t>
  </si>
  <si>
    <t>1. SR086414</t>
  </si>
  <si>
    <t>1. POA pyranometer dropped out from 7/22 at 2:40pm</t>
  </si>
  <si>
    <t>1. SR088232</t>
  </si>
  <si>
    <t>1. Site was offline from 07/24 12PM to 4:15PM of 08/01</t>
  </si>
  <si>
    <t>1. SR088115</t>
  </si>
  <si>
    <t>1. The site was offline for most of the days in the month.</t>
  </si>
  <si>
    <t>1. SR089794, SR089578, SR089349, SR089100, SR089088, SR088865, SR088814, SR088550, SR088525, SR088421</t>
  </si>
  <si>
    <t>1. Inverter tripped offline at 1:10 PM on 08/04 and back online at 10AM on 08/16</t>
  </si>
  <si>
    <t>1. SR088586</t>
  </si>
  <si>
    <t>1. Inverter 2 offline on 08/08 morning and back online at 11AM after remotely reset
2. Inverter 1 offline from 08/17 to 14:00 of 08/19 and again offlin from 10:15AM of 08/23 to 08/29 with multiple trip events faced on 08/27 and 08/28
3. Inverter 2 tripped offline on 08/21 at 18:00 and back online at 8:30Am on 08/22
4. Inverter 2 offline till 9:35AM on 08/25</t>
  </si>
  <si>
    <t>1. SR088746
2. SR089190, SR089191, SR089214
3. SR089386
4. SR089506</t>
  </si>
  <si>
    <t>1. Site was offline from 08/07 12pm to 14:15 of 08/16</t>
  </si>
  <si>
    <t>1. SR088738</t>
  </si>
  <si>
    <t xml:space="preserve">1. Site tripped offline on 08/08 at 08:00 and back online on 08/09 at 08:00. 
2. Site tripped offline on 08/19 at 07:00 and back online on 08/20 at 13:00. 
3. Site tripped offline on 08/21 at 08:00 and back online on same day at 14:00. </t>
  </si>
  <si>
    <t>1.SR088755
2.SR089244
3.SR089366</t>
  </si>
  <si>
    <t>1. Inverter tripped offline at 05:10PM on 08/03 due to AC breaker switch Open and back online at 10AM on 08/04
2. Inverter offline till 10:20AM on 08/17 and again offline from morning to 12pm on 08/18; Again the inverter offline from 7:20AM to 9:40AM on 08/22</t>
  </si>
  <si>
    <t>1. SR088576
2. SR089192</t>
  </si>
  <si>
    <t>1. Site tripped offline on 08/13 at 16:30 pm and back online 17:30 on 08/13 after the site was back online inverter 1 was offline and again the site was tripped offline on 08/14 and back online on 08/15.
2. POA sensor is not communicating.</t>
  </si>
  <si>
    <t>1. SR088998
2. SR086650</t>
  </si>
  <si>
    <t>1. Inverter tripped offline on 08/09 at 15:55 and back online on 08/10 at 07:00am 
2.  Combiners 2-01, 2-12, and 2-13 are underproduced from 08/01 and back to expected performance on 08/28</t>
  </si>
  <si>
    <t>1. SR088859
2. SR089480</t>
  </si>
  <si>
    <t>1. Inverter tripped offline on 08/19 at 01:45pm and back online on 08/20 at 08:00am
2. Inverter tripped offline on 08/09 at 03:20pm and back online at 08:50am on 08/11</t>
  </si>
  <si>
    <t>1. SR088870
2. 	SR088870</t>
  </si>
  <si>
    <t>1. Inverter started late at 12:00 pm on 08/11</t>
  </si>
  <si>
    <t>1. SR088900</t>
  </si>
  <si>
    <t>1. Site tripped offline on 08/18 and back online on 08/19 at 10:00am
2. Site tripped offline on 08/11 at 16:00 and back online at 18:20 on 08/11.</t>
  </si>
  <si>
    <t>1. SR089212
2. 	SR088913</t>
  </si>
  <si>
    <t>1. Site is offline since 08/10 to 08/28.</t>
  </si>
  <si>
    <t>1. SR088873</t>
  </si>
  <si>
    <t>1. Inverter is offline from 08:32am to 09:38am on 08/08</t>
  </si>
  <si>
    <t>1. 	SR088751</t>
  </si>
  <si>
    <t>1. Inverter 1.4 is offline from 10:30am to 15:30 on 08/21.</t>
  </si>
  <si>
    <t>1. SR089377</t>
  </si>
  <si>
    <t>September Actual v. Expected</t>
  </si>
  <si>
    <t>September Actual v. Forecasted</t>
  </si>
  <si>
    <t>1. Site tripped offline at 13:45 on 09/28 and back online at 07:00AM on 09/29.</t>
  </si>
  <si>
    <t>1. SR091355</t>
  </si>
  <si>
    <t>1. 8 inverters are offline and need to replace.</t>
  </si>
  <si>
    <t>1. SR090013</t>
  </si>
  <si>
    <t>1.Inverter 3 tripped offline on 09/19 at 09:45 and offline through out the month.</t>
  </si>
  <si>
    <t>1.SR090664</t>
  </si>
  <si>
    <t>1.Discrepancies between the Pyranometer and Virtual Irradiance POA Sensor, and the expected energy curve.</t>
  </si>
  <si>
    <t>1.SR090666</t>
  </si>
  <si>
    <t>1. Site tripped offline at 12:45pm on 09/12 and back online at 9:45am on 09/23.</t>
  </si>
  <si>
    <t>1.SR089821</t>
  </si>
  <si>
    <t>1. Ongoing construction of array on the roof. 70 percent of the array is offline for construction.</t>
  </si>
  <si>
    <t>1.Site is back online from 09/13 at 11:15.</t>
  </si>
  <si>
    <t>1.Site is back online from 09/04 at 07:30 again tripped offline at 16:45 on 09/04 and again back online on 09/06 at 08:45 again tripped offline at 06:45 on 09/08 and again back online on 09/09 at 11:45 and again offline and back online on 09/10 at 13:15 again offline and back online on 09/12 at 13:45.
2.Site tripped offline on 09/13 at 17:45and back online on 09/16 at 09:30 and again tripped offline on 09/17 at 10:15.
3.Site tripped offline on 09/20 at 08:45 to 11:00 and again tripped offline on 09/21 at 14:15 and back online at 07:30 on 09/23.
4.Site tripped offline at 12:30 on 09/25 and back online at 08:30 on 09/26.
5.Site tripped offline at 14:45 on 09/29 and back online at 12:45 on 09/30.</t>
  </si>
  <si>
    <t>1.SR089750
2.SR090386,SR090395,SR090656
3.SR090953
4.SR091190
5.SR091474</t>
  </si>
  <si>
    <t>1.Inverter 1 is back online  at 13:00 on 09/11 but center and left units kept offline.
2.Inverter 1 center and left units are  back online  at 11:00 on 09/30.</t>
  </si>
  <si>
    <t>1.SR087903
2.SR090952</t>
  </si>
  <si>
    <t xml:space="preserve">1. Inverter 1 right unit tripped offline at 16:45 on 09/01/2024 , primary unit also tripped offline back online at 8:32 on 09/05/2024.
</t>
  </si>
  <si>
    <t>1.SR089831</t>
  </si>
  <si>
    <t>1.Inverter 2 has been derating its peers during high irradiance days.</t>
  </si>
  <si>
    <t>1.SR090665,SR091099</t>
  </si>
  <si>
    <t>1.Inverter 1 on PT (inverter 2 on SE) left unit tripped offline from 8/28 at 11:45 through out the month.</t>
  </si>
  <si>
    <t>1.Inverter 2 is offline on 09/26 amd back online on 13:15 on 09/27.</t>
  </si>
  <si>
    <t>1.SR090089</t>
  </si>
  <si>
    <t>1. Inverters tripped offline at 12:15 and back online at 13:30 on 09/20.</t>
  </si>
  <si>
    <t>1.SR090999</t>
  </si>
  <si>
    <t>1. Inverters 1, 2, and 5 are underperforming about 190kW.
2.Inverter 5 tripped offline on 09/28 at 09:15 and back onlin at 07:45 on 09/30.</t>
  </si>
  <si>
    <t>1.SR091296
2.SR091341</t>
  </si>
  <si>
    <t>1. Inverter 29 tripped offline at 09:40AM and back online at 1:25PM on 09/10.
2. Inverter 33 is offline from 10:20AM to 1:25PM on 09/10.
3. Inverter 24 tripped offline at 02:05PM on 09/20 and back online at 11:15AM on 09/23.</t>
  </si>
  <si>
    <t>1. SR090098
2. SR090098, SR090191
3. SR091006</t>
  </si>
  <si>
    <t>1. CB 3 string 4 is offline, CB 6 string 11 is offline, and CB 7 string 1&amp;8 are offline throughout the month and back online on 09/27.</t>
  </si>
  <si>
    <t>1. SR091301</t>
  </si>
  <si>
    <t>1. CB 7 string 11 is offline, and CB 8 string 4, 6, 11, &amp; 12 are offline throughout the month and back online on 09/27.</t>
  </si>
  <si>
    <t>1. SR091302</t>
  </si>
  <si>
    <t>1. Inverter 1 tripped from 07:35AM to 13:05  on 09/19 and again inverter 1 is offline from 09/20 and back online at 14:25 on 09/26.
2. Inverter 2 offline from 07:30AM to 17:45 on 09/30.
3. The POA sensors have been getting stuck and providing invalid data from 08/22 to 09/19.</t>
  </si>
  <si>
    <t>1. SR090778
2. SR091485
3. SR089484, SR090677</t>
  </si>
  <si>
    <t>1. Meter is not communicating from 09/21. 
2. CB1 string 1&amp;3, CB9 string 5, CB11 string 4&amp;6 are offline from 09/21.</t>
  </si>
  <si>
    <t>1. SR091068
2. SR091304</t>
  </si>
  <si>
    <t>1. Due to technician dispatch Inverter-1 and 4 tripped offline at 12:00 PM to 13:00 on 09/05.
2. Site stopped communicating from 09/11 at 8:50.
3. Inverter-2 tripped offline at 10:20AM on 09/14 and back online at 13:10 on 09/15.
4.Inverter-2 tripped offline at 08:15AM on 09/27.</t>
  </si>
  <si>
    <t>1.SR089986
2.SR090280
3.SR090423
4.SR091326</t>
  </si>
  <si>
    <t xml:space="preserve">1. Site tripped offline at 08:10AM to 11:15 on 09/03.
2. Site tripped offline at 08:50AM to 17:10 on 09/09.
</t>
  </si>
  <si>
    <t>1.SR089847
2.SR090117</t>
  </si>
  <si>
    <t>1. Inverter 2 tripped offline at 09:05 on 09/08 and back online at 10:35AM on 09/18.</t>
  </si>
  <si>
    <t>1. SR090103</t>
  </si>
  <si>
    <t>1. Inverter 5, 27 and 30 tripped offline at 14:15 on 09/01 and back online at 11:00AM on 09/03.
2. Inverter 24 is derating approximately 50kW from 09/01 and back to normal operation on 09/27.
3. Inverter 9 offline on 09/03 to 09/05, 09/10 to 09/12 
4. Inverter 30 offline from 09/04 to 09/12, 09/14 to 09/16, 09/19 to 09/23, 09/27 to 09/29.
5. Inverter 5 tripped offline from 09/02, 09/03, 09/05, 09/11, 09/12,09/13 to 09/16, 09/20 to 09/23.
6. Inverter 27 is offline from 09/01 to 09/03, 09/10 to 09/12, 09/15 to 09/23, 09/27 to 09/30.
7. Inverters 6, 16, 17 &amp; 18 are offline from 09/28 and back online 09/30.</t>
  </si>
  <si>
    <t>1. SR089806
2. SR089808
3. SR089903, 	SR090229, SR090469, SR090670, SR091330, SR091506
4. SR089940, SR090082, SR090469, SR090810, SR091073, SR091330
5. SR090015, SR090302, SR090393, SR091003
6. SR090469, SR090670, SR091324, SR091506
7. SR091346</t>
  </si>
  <si>
    <t>1. Inverter 1 is offline from 07:00AM to 10:30AM  on 09/27.</t>
  </si>
  <si>
    <t>1. SR091311</t>
  </si>
  <si>
    <t>1. Inverter 3 is offline from 09/05 and back online on 09/10.
2. Inverter 2 is offline from 09/10 and back online  on 09/12.</t>
  </si>
  <si>
    <t>1. SR089999
2. SR090155</t>
  </si>
  <si>
    <t>1. Site tripped offline from 08:00AM to 16:20 on 09/15.
2. Site tripped offline at 14:00 on 09/23 and back online at 13:25 on 09/24.</t>
  </si>
  <si>
    <t>1. SR090496
2. SR091100</t>
  </si>
  <si>
    <t xml:space="preserve"> 1. Inverter 1 is derating approximately 1000kw on 09/23.
 2. Inverter 1 started late at 12:20PM on 09/26.</t>
  </si>
  <si>
    <t>1.SR091153
2.SR091283</t>
  </si>
  <si>
    <t>1. Site tripped offline from 13:25 to 18:15 on 09/02.</t>
  </si>
  <si>
    <t>1.SR089824</t>
  </si>
  <si>
    <t>1. Inverter 1 tripped offline at 07:00AM on 08/27 and back online at 11:50AM on 09/27.
2. Combiner box 2 and 10 are offline on 09/25 and back online on 09/26.
3. Inverter is power limited to 1836kw from 09/27 and back to production on  09/30.</t>
  </si>
  <si>
    <t>1. SR089597
2. SR091169
3. SR091318</t>
  </si>
  <si>
    <t>1. Site is offline from 11:15AM  to 14:45 on 09/01 .</t>
  </si>
  <si>
    <t>1. SR089807</t>
  </si>
  <si>
    <t>1. Inverter 9 will remian offline until comms card arrives.</t>
  </si>
  <si>
    <t>1. SR090072</t>
  </si>
  <si>
    <t>1. Site is offline on 09/25 and back online at 11:59AM on 09/26.
2. The POA is reading 4.46 kW/m^2</t>
  </si>
  <si>
    <t>1. SR091181
2. SR091182</t>
  </si>
  <si>
    <t>1.SR08761</t>
  </si>
  <si>
    <t>1. Site has expired on AlsoEnergy.</t>
  </si>
  <si>
    <t>1. Inverter 15 is offline from 09/02 and back online on 09/26.</t>
  </si>
  <si>
    <t>1. SR089830</t>
  </si>
  <si>
    <t>1. Inverter 10 is offline from 09/03 and back online at 08:45AM on 09/26.
2. Inverter 1 tripped offline at 16:45 and back online at 07:00AM on 09/06.
3. Inverter 5 tripped offline at 13:30 on 09/08 and back online at 08:45AM on 09/26.
4. Inverter 16 is offline from 08/08 and back online on 09/26.</t>
  </si>
  <si>
    <t>1. SR089846
2. SR089992
3. SR090101
4. SR087995, SR090598</t>
  </si>
  <si>
    <t>1. Inverter 1.02 is derating approximately 20kW on 09/27 and back to normal operation on 09/28.</t>
  </si>
  <si>
    <t>1. SR091331, SR083763</t>
  </si>
  <si>
    <t>1.  Site underperforming ~13kW compared to previous days production, possibly one of the inverter is offline on 9/9 resolved on 9/10</t>
  </si>
  <si>
    <t>1. 	SR090153</t>
  </si>
  <si>
    <t>1.Site tripped offline at 09:10AM to 10:50 on 09/06. 
2.POA pyranometer dropped out from 7/22 at 2:40pm.</t>
  </si>
  <si>
    <t>1.SR089991.
2.SR088232.</t>
  </si>
  <si>
    <t>1. Inverter back online by a reset on 9/1.
2.Site offline on 9/4 at 17:00  and back online on 9/5 and also again site offline from 9/6 and back online at 13:00 on 9/9 again inverter offline from 07:00 to 16:30 on 9/22.
3.Inverter offline from 9/23 and back online on 9/27 at 14:00.</t>
  </si>
  <si>
    <t>1.	SR089794
2.SR089934
3.SR089934</t>
  </si>
  <si>
    <t>1.Inverter 2 tripped offline from 08:25 to 11:30 on 9/7 and again tripped offline from 9/8 back onlin eon 9/9 at 08:35.
2. Inverter 2 tripped offline from 08:50 to 10:30 on 9/22.
3. Inverter 2 having multiple tripping events faced on 9/26, 9/27 and again inverter 2 tripped offline from 9/29 at 13:40.</t>
  </si>
  <si>
    <t>1.SR089506
2.	SR091033
3.SR091284</t>
  </si>
  <si>
    <t>1. Site tripped offline from 16:25 to 18:15 on 9/11.
2. Inverter tripped offline from 17:15 to 18:00 on 9/14 and again offline from 15:55 to 18:40 on 9/15.
3. Inverter tripped offline from 13:40 to 17:15 on 9/16.
4. Inverter tripped offline at 15:45 on 9/19 and back online on 9/20 at 6:40 again inverter tripped offline on 9/21 at 15:15 and back online on 9/22 at 14:00.</t>
  </si>
  <si>
    <t>1.SR090299
2.	SR090470
3.SR090633
4.	SR090869</t>
  </si>
  <si>
    <t>1.Site offline from 10:50 to 14:00 on 9/23.
2.Inverter offline at 08:20 on 9/24 due to pending further troubleshooting and back online on 9/29 at 10:30.
3. Site tripped offline from 16:15 on 9/30 back online on 10/1.</t>
  </si>
  <si>
    <t>1.SR091087
2.	SR088237
3.SR091522 , SR088237</t>
  </si>
  <si>
    <t>1. POA sensor not communicating.</t>
  </si>
  <si>
    <t>1. Inverter offline from 9/8 and  through out the month.</t>
  </si>
  <si>
    <t>1.	SR090093</t>
  </si>
  <si>
    <t>1. Inverter offline from 13:13 to 15:16 on 9/3 tech on site.</t>
  </si>
  <si>
    <t>1.SR089899</t>
  </si>
  <si>
    <t>1. Inverter started late at 16:20 on 9/6.
2. Site offline from 06:00 to 13:45 on 9/23.</t>
  </si>
  <si>
    <t>1.SR090036
2.SR091075</t>
  </si>
  <si>
    <t>1. Inverter 2 tripped offline at 15:20 on 9/8 and back online at 14:55 on 9/9.
2. Combiner boxes 1.5 &amp; 1.16 are offline on 9/11 and back online on 9/13.</t>
  </si>
  <si>
    <t>1.SR090104
2.SR090271</t>
  </si>
  <si>
    <t>1.Combiner boxes 1.3B &amp; 1.2B are tripped offline on 9/11 and back online on 9/13.</t>
  </si>
  <si>
    <t>1.SR090272</t>
  </si>
  <si>
    <t>1. Site offline from 9/1 and back online at 13:27 on 9/27.
2.Meter not communicating after the site was reenergized at 10:13 am on 09/27.</t>
  </si>
  <si>
    <t>1.SR089796
2.SR091329.</t>
  </si>
  <si>
    <t>1. Inverter 02-4 is underperforming by 15 kW, inverter 02-21 is derating by 13 kW, inverter 02-7 is underperforming by 13 kW, and inverter 02-15 is underperforming by 10 kW.
2. Site offline  from 9/16 and back online at 08:45 on 9/24.
3. Site tripped offline from  08:00 to 12:00 on 9/29.</t>
  </si>
  <si>
    <t>1.SR089932
2.	SR090611
3.SR091357</t>
  </si>
  <si>
    <t>October Actual v. Expected</t>
  </si>
  <si>
    <t>October Actual v. Forecasted</t>
  </si>
  <si>
    <t xml:space="preserve">1.Site was offline from 10/30/2024 </t>
  </si>
  <si>
    <t>1.SR092795</t>
  </si>
  <si>
    <t>1.Inverter 1 is having tripping issues on 10/07, 10/08 ,/10/09, 10/10 ,10/11 and 10/15.
2.Site tripped offline at 11:00 from 10/22 and back online at 09:00 on 10/24</t>
  </si>
  <si>
    <t>1.SR091864
2.SR092441</t>
  </si>
  <si>
    <t>1.Site has tripped offline on 10/19 and it is back online at 14:15 on the same day</t>
  </si>
  <si>
    <r>
      <t>1.</t>
    </r>
    <r>
      <rPr>
        <sz val="11"/>
        <color rgb="FF000000"/>
        <rFont val="Calibri"/>
        <scheme val="minor"/>
      </rPr>
      <t>SR091355</t>
    </r>
  </si>
  <si>
    <t>1.Inverter 3 tripped offline from 10/10 through out the month</t>
  </si>
  <si>
    <t>1.SR091995</t>
  </si>
  <si>
    <t>1.Inverter 2 offfline throughout the month</t>
  </si>
  <si>
    <t>1.SR092555</t>
  </si>
  <si>
    <t>1. Site is underperforming 15kW compared to previous days production since, 9/17 and on 10/08 tech renergized inverter 2 and determined string 14 was faulted</t>
  </si>
  <si>
    <t>1.SR091773</t>
  </si>
  <si>
    <t>1.Expected values are too low observed during monthly reports. The weather station at site is virtual weather station.
2.Inverter 2 was offline and being RMA'D</t>
  </si>
  <si>
    <t>1.SR093029
2.SR092809</t>
  </si>
  <si>
    <t>1. Inverter 2 has been sporadically derating during high irradiance days
2.Expected values are too low observed during monthly reports. The weather station at site is virtual weather station.</t>
  </si>
  <si>
    <t>1.SR091894</t>
  </si>
  <si>
    <t xml:space="preserve">1.Inverter 1 was offline from 10/17 </t>
  </si>
  <si>
    <t>1.SR092252</t>
  </si>
  <si>
    <t>1. Inverter 3 is back online on 10/15 at 11:45</t>
  </si>
  <si>
    <t>1. Inverter 3 fans were replaced on 10/28</t>
  </si>
  <si>
    <t>1.SR091502</t>
  </si>
  <si>
    <t>1.Site tripped offline at 14:56 from 10/01 and back online on 10/03 at 08:00
2. Site tripped offline from 10/04 at 08:00 and back online at 10/04 at 11:30 and again tripped offline at 14:45 on 10/04 and back online at 12:45 on 10/07
3.Site tripped offline at 07:45 from 10/08 and back online at 07:45 on 10/10 and again tripped offline at 21:00 on 10/10 and back online on 10/15 at 08:15
4. Inverter 5 left unit is offline on 10/15 and back online on 10/17 at 09:45
5.Site tripped offline at 14:45 on 10/16 and back online on 10/17 at 09:00 and tripped offline at 09:45 on 10/20 and back online at 07:00 on 10/21.
6. Site tripped offline at 02:15 on 10/22 and back online at 12:00 and again tripped offline at 13:30 and back online at 11:30 on 10/25 and again tripped offline at 14:00 till throught out the month</t>
  </si>
  <si>
    <t>1.SR091582
2.SR091785
3.SR091901
4.SR092180
5.SR092224
6.SR092434</t>
  </si>
  <si>
    <t>1.Q021 2.0.37 1263D0C8-0D half production.              
   Q021 3.0.55 1263D1A8-EE half production.</t>
  </si>
  <si>
    <t>1.SR092147</t>
  </si>
  <si>
    <t>1.Panel 1.0.43	1264FFBB-30 - Half production
   Panel 2.0.7	12639DA9-BB - Half production</t>
  </si>
  <si>
    <t>1.SR088282</t>
  </si>
  <si>
    <t>1.SR090665, SR091099</t>
  </si>
  <si>
    <t>1.Inverter 1 on PT (inverter 2 on SE) left unit back online on 10/03.</t>
  </si>
  <si>
    <t>1. Due to technician dispacth Inverter 3 tripped offline on 10/08 from 8:45 EDT to 10:30 EDT.</t>
  </si>
  <si>
    <t>1.SR091581</t>
  </si>
  <si>
    <t>1. Inverter 3 is underperforming by 7 kW resolved on 10/17</t>
  </si>
  <si>
    <t>1.SR092098</t>
  </si>
  <si>
    <t>1. Inverter 2 right unit has been underproducing by 95% between 9:30am-12pm on peak production days.</t>
  </si>
  <si>
    <t>1. SR092778</t>
  </si>
  <si>
    <t>1. Weather station POA slightly dropping from 08:15 to 09:45 daily, possibly due to shading.</t>
  </si>
  <si>
    <t>1. SR076283</t>
  </si>
  <si>
    <t>1. Inverter 1 primary unit was offline from 10/01/2024 to 10/22/2024 at 12:03.</t>
  </si>
  <si>
    <t>1. SR091919</t>
  </si>
  <si>
    <t>1. Module 1.2.14 -129AEFB0-4B producing half power.</t>
  </si>
  <si>
    <t>1. SR080422</t>
  </si>
  <si>
    <t>1. Weather Station POA drops in reading after 15:00 due to shading from adjacent building in evening from 10/05/2024.</t>
  </si>
  <si>
    <t>1. SR092711</t>
  </si>
  <si>
    <t>1. Inverter 1 is underperforming by 5 kW since 6/7/24.</t>
  </si>
  <si>
    <t>1. SR086483</t>
  </si>
  <si>
    <t>1.Inverter 5 tripped offline from 10/11 at 10:00 and back online on 10/22
2. Inverter 1 derated and constantly producing 860kW. Possibly a string down from 10/21 through out the month
3.Inverter 5 has started to underperform by 350 kW at 12:15 from 10/22 through out the month</t>
  </si>
  <si>
    <t>1.SR092042
2.SR092168
3.SR092437</t>
  </si>
  <si>
    <t>1. Inverter 2 tripped offline at 7:50 and back online at 9:45 on 10/08/2024.</t>
  </si>
  <si>
    <t>1. SR091879</t>
  </si>
  <si>
    <t>1. Inverter 10 tripped offline at 14:45 on 10/16/2024 and back online at 9:45 on 10/17/2024.</t>
  </si>
  <si>
    <t>1. SR092227</t>
  </si>
  <si>
    <t>1. Site tripped offline at 11:55 on 10/21/2024 and back online at 10:20 on 10/23/2024.</t>
  </si>
  <si>
    <t>1. SR092399</t>
  </si>
  <si>
    <t>1. Combiner Box 2 String 2 was offline up to 13:45 on 10/01/2024.</t>
  </si>
  <si>
    <t>1. SR091528</t>
  </si>
  <si>
    <t>1. Inverter 1 tripped offline at 8:50 on 10/19/2024 and back online on 10/22/2024.
2. Inverter 2 tripped offline at 7:45 and back online at 13:30 on 10/19/2024 and again tripped offline at 7:45 and back online at 10:25 on 10/25/2024.
3. Combiner Box 4 String 4 was offline on 10/30/2024 and back online on 10/31/2024.</t>
  </si>
  <si>
    <t>1. SR092331
2. SR092331, SR092572
3. SR092763</t>
  </si>
  <si>
    <t>1. Combiner Box 1 String 3 was offline on 10/01/2024 and back online at 12:35 on 10/08/2024.
Combiner Box 3 String 8  was offline from 10/01/2024 and back online at 12:55 on 10/08/2024.
Combiner Box 4 String 3 was offline from 10/01/2024 and back online at 14:25 on 10/04/2024.
Combiner Box  6 Strings 3&amp;4 were offline from 10/01/2024 and back online at 13:10 on 10/08/2024.
Combiner Box 9 String 9  was offline from 10/01/2024 and back online at  13:10 on 10/08/2024.
Combiner Box 13 String 2 was offline from 10/01/2024 and back online at 13:20 on 10/08/2024.
Combiner Box 11 String 4 was offline from 10/01/2024 and back online at 14:50 on 10/08/2024.
2. Combiner Box 2 String 3 was offline from 10/07/2024 and back online at 12:35 on 10/21/2024.
Combiner Box 10 String 7 was offline from 10/05/2024 and back online at 17:45 on 10/21/2024.
Combiner Box 12 String 6 was offline from 10/11/2024 and back online at 12:20 on 10/21/2024.</t>
  </si>
  <si>
    <t>1. SR091529
2. SR092237</t>
  </si>
  <si>
    <t>1. Combiner Box 5 String 8, Combiner Box 11 String 9 and Combiner Box 12 String 5 were offline from 10/01/2024 and back online at 13:35 on 10/08/2024.
2. Combiner Box 4 String 3 was offline from 10/15/2024 and back online at 17:50 on 10/21/2024.
 Combiner Box 6 String 11 was offline from 10/01/2024 and back online at 16:25 on 10/21/2024.
3.Weather station stopped communicating from 11:25 on 10/02 due to that expected energy value is too low.</t>
  </si>
  <si>
    <t>1.SR091530
2.SR092238
3.SR093024</t>
  </si>
  <si>
    <t>1. Inverter 1 tripped offline at 9:55 on 10/02/2024 and back online at 16:40 on 10/07/2024. 
2. Inverter 2 required 400A fuse. 
3.Meter is not communicating from 09/21. 
4. Site was taken offline by UNSE at 12:25 on 10/29 and back online at 11:15 on 10/30</t>
  </si>
  <si>
    <t>1. SR091658
2. SR091659
3.SR092930,SR091068
4.SR091822</t>
  </si>
  <si>
    <t>1. Inverter 3 has tripping issue throughout the month.
2. Inverter 2 tripped offline at 08:15AM on 09/27 and back online at 13:35 on 10/03.
3. Weather station Reporting 0 value from 08/21.
4. Inverter 4 is derating from 09/05.</t>
  </si>
  <si>
    <t>1.SR092179
2.SR091326
3.SR089394
4.SR089986</t>
  </si>
  <si>
    <t>1. Site tripped offline due to planned outage from 9:10 to 17:05 on 10/31.</t>
  </si>
  <si>
    <t>1.SR092811</t>
  </si>
  <si>
    <t>1. Weather station Reporting 0 value from 05/31.</t>
  </si>
  <si>
    <t>1.SR092964,
SR085361</t>
  </si>
  <si>
    <t>1. Inverter 4 tripped offline at 13:45 on 10/11/2024 and back online and also lost communication at 13:15 on 10/18/2024 again it regained its communication at 15:00 on 10/30/2024.
2. Inverter 5 tripped offline at 13:15 on 10/20/2024 and back online at 8:30 on 10/21/2024.
3. Inverter 9 tripped offline at 14:30 on 09/30/2024 and back online on 10/03/2024, again tripped offline from 14:00 on 10/03/2024 to 13:00 on 10/07/2024, from 12:00 on 10/22/2024 to 10/28/2024 and from  13:15 on 10/28/2024 to 12:15 on 10/30/2024.
4. Inverter 27 tripped offline at 14:30 on 09/30/2024 and back online on 10/03/2024, again tripped offline from 12:45 on 10/03/2024 to 13:00 on 10/07/2024, from 12:00 on 10/12/2024 to 15:30 on 10/16/2024, from 13:45 on 10/18/2024 to 8:30 on 10/21/2024.
5. Inverter 28 tripped offline at 12:45 on 10/25/2024 and back online on 10/28/2024.
6. Inverter 30 tripped offline at 13:00 on 10/03/2024 and back online at 13:00 on 10/07/2024, again tripped offline at 13:00 on 10/12/2024 and back online at 15:30 on 10/16/2024.</t>
  </si>
  <si>
    <t>1. SR092071, SR092314
2. SR092373
3. SR091506, SR092438
4. SR091506, SR092071
5. SR092071, SR092643
6. SR091733, SR092071</t>
  </si>
  <si>
    <t>1. Inverter 1 is offline at 7:00 and back online at 9:30 on 10/03/2024.
2. Inverter 2 tripped offline at 13:50 on 10/26/2024 and back online 10/27/2024.</t>
  </si>
  <si>
    <t>1. SR091708
2. SR092619</t>
  </si>
  <si>
    <t>1.Inverter 4 tripped offline at 7:40 and back online at 08:55 on 10/03/2024 and again tripped offline at 7:00 and back online at 10:15 on 10/08/2024.
2.Inverter 3 tripped offline at 10:15 on 10/08/2024 and back online at 10:10 on 10/09/2024.
3.Inverter 2 having multiple trippings from 10/17/2024 to 10/18/2024.</t>
  </si>
  <si>
    <t>1. SR091703
2. SR091902
3. SR092280</t>
  </si>
  <si>
    <t>1. Site is taken offline by the EV Solar to replacing AC capacitors at 14:45 to 15:05 on 10/03/2024.</t>
  </si>
  <si>
    <t>1. SR091734</t>
  </si>
  <si>
    <t>1.Inverter 3 is derating by appr 124 kW and resolved on 10/31
2.Site was taken offline on 10/04 at 10:55 and back online 16:00</t>
  </si>
  <si>
    <t>1.SR091837
2.SR087997</t>
  </si>
  <si>
    <t>1.Inverters tripped offline at 12:20 to 14:15 on 10/3/24</t>
  </si>
  <si>
    <t>1.SR091724</t>
  </si>
  <si>
    <t>1.Inverters tripped offline at 12:15 to 14:15 on 10/3/24</t>
  </si>
  <si>
    <t>1. SR091726</t>
  </si>
  <si>
    <t>1.Site tripped offline at 18:35 on 10/06/24 and back online at 10:00 on 10/07/24</t>
  </si>
  <si>
    <t>1.-SR091833</t>
  </si>
  <si>
    <t xml:space="preserve">1.Inverter-2 tripped offline at 16:45 on 10/08/24 and back online at 15:05 on 10/09/24 again tripped offline at 18:20 on 10/11/24 and back online on 10/25/2024 at 15:55
2.Inverter 1 is derating from  9/23/24 to 10/18/24 by 340KW and offline from 10/19/24 to 10/29/24, multiple trippings on 10/30/2024
</t>
  </si>
  <si>
    <t xml:space="preserve">1.SR091937
2.SR092796,SR092173
</t>
  </si>
  <si>
    <t>1.Combiner Box 1 is overproducing approximately 400A compared to its peers.</t>
  </si>
  <si>
    <t>1. SR091782</t>
  </si>
  <si>
    <t>1.Combiner box 8 is reporting very high values (1277A) compared to peers (16A) in the morning hours throught out the month
2.Combiner box 27 is reporting very high values (1277A) compared to peers (16A) in the morning hours throught out the month
3.Inverter-2 tripped offline at 14:05 to 17:20 on 10/22
4.Combiner box 4 inputs 1,2,3,4 are offline from 10/02 and back online at 10/15 at 12:20</t>
  </si>
  <si>
    <t>1.SR091984
2.SR092234
3.SR092454
4.SR092138</t>
  </si>
  <si>
    <t>1.Site is tripped offline at 15:00 on 10/03 throught out the month
2.Meter stopped communicating from 12:55 on 09/30 till date</t>
  </si>
  <si>
    <t>1.SR091749
2.SR091551</t>
  </si>
  <si>
    <t>1. Site tripped offline at 8:00 to 9:35 on 10/04 and again site tripped offline at 15:55 to 17:10 on 10/10/24</t>
  </si>
  <si>
    <t xml:space="preserve">1.SR091774
2.SR092020
</t>
  </si>
  <si>
    <t>1.Site offline due to utility outage from 10/2 at 08:00 and back online on 10/3 at 09:30
2.Site offline from 10/8 at 13:15 and back online on 10/9 at 10:30
3.Site offline from 09:15 to 17:00 on 10/12</t>
  </si>
  <si>
    <t>1.SR091279
2.SR091908
3.SR092083</t>
  </si>
  <si>
    <t>1.Site offline due to utility outage from 10/2 at 08:00 and back online on 10/3 at 09:30
2. Inverter 1 is tripped offline on 10/02 and back online on 10/03 at 12:05
3.Site offline from 09:15 to 17:00 on 10/12</t>
  </si>
  <si>
    <t>1.SR091280
2.SR091714
3.SR092084</t>
  </si>
  <si>
    <t>1. Inverter 9 offline from 09/06 and back online at 14:00 on 10/28.</t>
  </si>
  <si>
    <t>1.SR090072</t>
  </si>
  <si>
    <t>1.The POA is reading 4.46 kW/m^2
2.The Site is offline on 09/28 and back online at 10:15 on 10/17.</t>
  </si>
  <si>
    <t>1.SR091182
2.SR091181</t>
  </si>
  <si>
    <t>1.Site is offline through out the month.</t>
  </si>
  <si>
    <t xml:space="preserve">1. Inverter 1 &amp; 2 tripped  offline on 10/18 and later stopped communication through out the month
</t>
  </si>
  <si>
    <t>1. SR091898, SR083345</t>
  </si>
  <si>
    <t>1.Pyranometer stopped communicating on 12/8/22.</t>
  </si>
  <si>
    <t>1.SR082793</t>
  </si>
  <si>
    <t>1. Production meter stopped communication at 17:30 to 19:30 on 10/06/24.
2. Inverter 5 is underperforming approximately 5 KW.
3. Inverter 4 is underperforming approximately 4 KW from 10/17/24.
4. Site is tripped offline at 12:45 to 14:00 on 10/28/24.</t>
  </si>
  <si>
    <t>1. SR091831
2. SR091017
3. SR092301
4. SR092654</t>
  </si>
  <si>
    <t>1. Inverter 20 tripped offline at 7:00 on 10/07/2024 and back online at 9:30 on 10/10/2024.
2.  Inverter 18 offline at 7:00 on 10/15/2024 and back online at 9:15 on 10/17/2024.
3. Inverter 25 offline at 7:00 on 10/19/2024.
4.  inverter 4 is underperforming by approximately 7 kW</t>
  </si>
  <si>
    <t>1. SR091862
2. SR089453
3. SR092332
4. SR091951</t>
  </si>
  <si>
    <t xml:space="preserve">1. Inverter 16 tripped offline at 12:45 on 10/02/2024 and back online at 9:30 on 10/09/2024 and again tripped offline at 11:15 on 10/17/2024.
2. Site is offline at 6:15 to 8:45 on 10/03/2024.
3. Inverter 4 being RMA from 10/15/24.
4. Inverter 15 tripped offline at 11:15 on 10/03/2024 and back online at 14:45 on 10/06/2024 again tripped offline at 7:00 on 10/12/24 to 7:00 on 10/15/24, from 6:15 on 10/19/24 to 8:15 on 10/21/24, tripped offline from 12:15 to 14:45 on 10/28/24.
5. Inverter 1 tripped offline at 14:00 to 18:15 on 10/07/2024 , and again tripped offline at 9:30 on 10/29/24 and back online at 6:30 on 10/30/24.
6. Inverter 10 tripped offline at 14:15 on 10/13/2024.
7. Inverter 7 tripped offline at 08:30 on 10/16/2024.
8. Inverter 17 tripped offline at 15:45 on 10/29/2024.
9. Weather station stopped communication at 1:15 to 11:45 on 10/28/2024.
10. Inverter 6 tripped offline at 9:00 on 10/30/24 and back online at 7:00 on 10/31/24.
</t>
  </si>
  <si>
    <t>1. SR091532, SR092255
2. SR091710
3. SR088869
4. SR091721, SR092095
5. SR091868
6. SR092115
7. SR092209
8. SR092751
9. SR092642
10. SR092777</t>
  </si>
  <si>
    <t>1. Site dropped for production 15.9% since 9/11/24.
2. Inverter 3 underperforming compared to its peers approximately 15kW.</t>
  </si>
  <si>
    <t>1. SR092416
2. SR092414</t>
  </si>
  <si>
    <t>1. Inverter 1.02 is derating approximately 20kW on 10/02 and back to normal operation on 10/05.</t>
  </si>
  <si>
    <t>1. SR083763, SR088872, SR091331</t>
  </si>
  <si>
    <t>1. Inverter 1 tripped offline at 9:45 on 10/27/2024 and back online at 10:00 on 10/28/2024.</t>
  </si>
  <si>
    <t>1. SR092629</t>
  </si>
  <si>
    <t>1. Inverter 1 tripped offline at 9:45 on 10/27 and back online on 10/28/24</t>
  </si>
  <si>
    <t xml:space="preserve">1. Due to technician dispatch Inverter tripped offline from 9:40AM to 10:30AM on 10/04/2024 </t>
  </si>
  <si>
    <t>1. SR091775</t>
  </si>
  <si>
    <t>1. POA pyranometer dropped out from 7/22 at 2:40pm and resolved on 10/18/24</t>
  </si>
  <si>
    <t xml:space="preserve">1. SR088232 </t>
  </si>
  <si>
    <t>1. Inverter tripped offline from 12:29 to 17:00 on 10/02 and back online at  11:45 on 10/05.
2. Inverter tripped offline at 10:15 and back online at 14:45 on 10/25/24</t>
  </si>
  <si>
    <t>1. SR091054
2. SR092574</t>
  </si>
  <si>
    <t>1. Site tripped offline on 10/9, 10/14 and back online at 12:05 on 10/15/24
2. Site tripped offline at 21:15 on 10/23 and back online at 08:50AM on 10/25</t>
  </si>
  <si>
    <t>1. SR091973
2. SR092499</t>
  </si>
  <si>
    <t xml:space="preserve">1. Due to technician dispatch Inverter-1 tripped offline at 08:50AM on 10/01/2024 and back online at 16:15PM on 10/02/2024
2. Inverter 2 CB 1 tripped offline from 09/27/2024
3. Inverter 2 is offline from 09/30, back online at 10:35AM on 10/07 and again tripped offline at 13:15 on  10/08, back online at 16:00 on 10/11/2024 </t>
  </si>
  <si>
    <t>1.SR089190
2. SR091284
3. SR091284, SR091033</t>
  </si>
  <si>
    <t>1. Inverter tripped offline at 14:40 and back online at 16:35 on 10/11/2024 and again offline from 12:50 to 14:25 on 10/14.</t>
  </si>
  <si>
    <t>1. SR092070</t>
  </si>
  <si>
    <t xml:space="preserve">1.Inverter tripped offline on 09/30 at 16:15 PM and back online on 10/01 at 9:15 AM by remote reset.
2.Due to technician Dispatch Inverter tripped offline at 16:10 PM on 10/08 and back online at 16:15 PM on 10/09 and again tripped offline at 8:35 AM on 10/16 and back online at 12:45 PM on 10/17 and again tripped offline at 10:40 AM on 10/18 and back online at 9:20 AM on 10/20
3.Inverter tripped offline at 15:05 and back online on 10/14 , inverter tripped offline and back online on 10/28 by remote reset.
</t>
  </si>
  <si>
    <t xml:space="preserve">1.SR091522 
2.SR091912
3.SR092134
</t>
  </si>
  <si>
    <t xml:space="preserve">1.Inverter tripped offline from 09/08 and back online on 10/07 at 15:40 PM </t>
  </si>
  <si>
    <t>1.SR090093</t>
  </si>
  <si>
    <t>1.Site tripped offline at 17:25 PM on 10/12 and back online on 10/14 at 13:38 PM</t>
  </si>
  <si>
    <t>1.SR092103</t>
  </si>
  <si>
    <t xml:space="preserve">1.Inverter 1 tripped offline at 14:45 PM on 10/11 and back online on 10/12 at 12:55 PM </t>
  </si>
  <si>
    <t>1.SR092068</t>
  </si>
  <si>
    <t>1.Inverter 2 tripped offline at 16:40 PM on 10/02 and back online at 17:50 PM on 10/03</t>
  </si>
  <si>
    <t>1. SR091689</t>
  </si>
  <si>
    <t>1.  Meter is not reporting from 09/27 and also Inverter offline on 10/10 and back online on 10/11 and again inverter offline on from 08:00 to 04:21 on 10/12 and again at 05:50 from 10/12 and back online on 10/16 at 11:53
2.Site offline from 10/28 at 17:24 and back online on 10/30 at 09:36</t>
  </si>
  <si>
    <t>1. SR091329</t>
  </si>
  <si>
    <t>1. Inverter 02-4 is underperforming approximately 15 kW, inverter 02-21 derating by 13 kW,  inverter 02-7 underperforming approximately 13 kW and inverter 02-15 underperforming by 10 kW.</t>
  </si>
  <si>
    <t>1. SR089932</t>
  </si>
  <si>
    <t>November Actual v. Expected</t>
  </si>
  <si>
    <t>November Actual v. Forecasted</t>
  </si>
  <si>
    <t>December Actual v. Expected</t>
  </si>
  <si>
    <t>December Actual v. Forecasted</t>
  </si>
  <si>
    <t>Portfolio:</t>
  </si>
  <si>
    <t>Generate Capital</t>
  </si>
  <si>
    <t>Site DAS Name</t>
  </si>
  <si>
    <t>Update</t>
  </si>
  <si>
    <t>DAS</t>
  </si>
  <si>
    <t>ASU - Farmer</t>
  </si>
  <si>
    <t>Farmer</t>
  </si>
  <si>
    <t>AZ</t>
  </si>
  <si>
    <t>AEF</t>
  </si>
  <si>
    <t>PowerTrack</t>
  </si>
  <si>
    <t>SOL-10748</t>
  </si>
  <si>
    <t>ASU - Fulton</t>
  </si>
  <si>
    <t>Fulton</t>
  </si>
  <si>
    <t>SOL-10749</t>
  </si>
  <si>
    <t>JFK Elementary</t>
  </si>
  <si>
    <t>AF</t>
  </si>
  <si>
    <t>SOL-10758</t>
  </si>
  <si>
    <t>ASU - Noble</t>
  </si>
  <si>
    <t>Noble</t>
  </si>
  <si>
    <t>SOL-10750</t>
  </si>
  <si>
    <t>ASU - Parking #3</t>
  </si>
  <si>
    <t>Parking 3</t>
  </si>
  <si>
    <t>SOL-10751</t>
  </si>
  <si>
    <t>ASU - PE East</t>
  </si>
  <si>
    <t>PE East</t>
  </si>
  <si>
    <t>SOL-10752</t>
  </si>
  <si>
    <t>ASU - Schwada</t>
  </si>
  <si>
    <t>Schwada</t>
  </si>
  <si>
    <t>SOL-10753</t>
  </si>
  <si>
    <t>Starshine</t>
  </si>
  <si>
    <t>SOL-10757</t>
  </si>
  <si>
    <t>Yuma Airport</t>
  </si>
  <si>
    <t>SOL-10754</t>
  </si>
  <si>
    <t>CV Kinsman</t>
  </si>
  <si>
    <t>Kinsman</t>
  </si>
  <si>
    <t>OH</t>
  </si>
  <si>
    <t>SOL-10762</t>
  </si>
  <si>
    <t>CV Wooster</t>
  </si>
  <si>
    <t>Wooster</t>
  </si>
  <si>
    <t>SOL-10763</t>
  </si>
  <si>
    <t>GCC Globe Solar PV</t>
  </si>
  <si>
    <t>Globe Gila CC</t>
  </si>
  <si>
    <t>SOL-10755</t>
  </si>
  <si>
    <t>GCC Payson Solar PV</t>
  </si>
  <si>
    <t>Payson Gila CC</t>
  </si>
  <si>
    <t>SOL-10756</t>
  </si>
  <si>
    <t>Southwest College Naturopathic Medicine</t>
  </si>
  <si>
    <t>SCNM</t>
  </si>
  <si>
    <t>SOL-10760</t>
  </si>
  <si>
    <t>Sequoia Charter School</t>
  </si>
  <si>
    <t>SOL-10759</t>
  </si>
  <si>
    <t>RCAB - Pastoral Center</t>
  </si>
  <si>
    <t>RCAB</t>
  </si>
  <si>
    <t>MA</t>
  </si>
  <si>
    <t>SOL-10838</t>
  </si>
  <si>
    <t>Claremont Flock</t>
  </si>
  <si>
    <t>Spectro Coatings</t>
  </si>
  <si>
    <t>SOL-10074</t>
  </si>
  <si>
    <t>K026</t>
  </si>
  <si>
    <t>NY</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</si>
  <si>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</si>
  <si>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</si>
  <si>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</si>
  <si>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</si>
  <si>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</si>
  <si>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</si>
  <si>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</si>
  <si>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</si>
  <si>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</si>
  <si>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</si>
  <si>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</si>
  <si>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</si>
  <si>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</si>
  <si>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</si>
  <si>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</si>
  <si>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</si>
  <si>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</si>
  <si>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</si>
  <si>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</si>
  <si>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</si>
  <si>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</si>
  <si>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</si>
  <si>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</si>
  <si>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</si>
  <si>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</si>
  <si>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</si>
  <si>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</si>
  <si>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</si>
  <si>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</si>
  <si>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</si>
  <si>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</si>
  <si>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</si>
  <si>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</si>
  <si>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</si>
  <si>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</si>
  <si>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</si>
  <si>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</si>
  <si>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</si>
  <si>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</si>
  <si>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</si>
  <si>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</si>
  <si>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</si>
  <si>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</si>
  <si>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</si>
  <si>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</si>
  <si>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</si>
  <si>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</si>
  <si>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</si>
  <si>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</si>
  <si>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</si>
  <si>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</si>
  <si>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</si>
  <si>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</si>
  <si>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</si>
  <si>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</si>
  <si>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</si>
  <si>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</si>
  <si>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</si>
  <si>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</si>
  <si>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</si>
  <si>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</si>
  <si>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</si>
  <si>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</si>
  <si>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</si>
  <si>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</si>
  <si>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</si>
  <si>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</si>
  <si>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</si>
  <si>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</si>
  <si>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</si>
  <si>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</si>
  <si>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</si>
  <si>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</si>
  <si>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</si>
  <si>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</si>
  <si>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</si>
  <si>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</si>
  <si>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</si>
  <si>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</si>
  <si>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</si>
  <si>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</si>
  <si>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</si>
  <si>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</si>
  <si>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</si>
  <si>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</si>
  <si>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</si>
  <si>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</si>
  <si>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</si>
  <si>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</si>
  <si>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</si>
  <si>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</si>
  <si>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</si>
  <si>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</si>
  <si>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</si>
  <si>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</si>
  <si>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</si>
  <si>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</si>
  <si>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</si>
  <si>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</si>
  <si>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</si>
  <si>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</si>
  <si>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</si>
  <si>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</si>
  <si>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</si>
  <si>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</si>
  <si>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</si>
  <si>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</si>
  <si>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</si>
  <si>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</si>
  <si>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</si>
  <si>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</si>
  <si>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</si>
  <si>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</si>
  <si>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</si>
  <si>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</si>
  <si>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</si>
  <si>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</si>
  <si>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</si>
  <si>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</si>
  <si>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</si>
  <si>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</si>
  <si>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</si>
  <si>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</si>
  <si>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</si>
  <si>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</si>
  <si>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</si>
  <si>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</si>
  <si>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</si>
  <si>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</si>
  <si>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</si>
  <si>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</si>
  <si>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</si>
  <si>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</si>
  <si>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</si>
  <si>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</si>
  <si>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</si>
  <si>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</si>
  <si>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</si>
  <si>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</si>
  <si>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</si>
  <si>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</si>
  <si>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</si>
  <si>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</si>
  <si>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</si>
  <si>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</si>
  <si>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</si>
  <si>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</si>
  <si>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</si>
  <si>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</si>
  <si>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</si>
  <si>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</si>
  <si>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</si>
  <si>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</si>
  <si>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</si>
  <si>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</si>
  <si>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</si>
  <si>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</si>
  <si>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</si>
  <si>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</si>
  <si>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</si>
  <si>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</si>
  <si>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</si>
  <si>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</si>
  <si>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</si>
  <si>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</si>
  <si>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</si>
  <si>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</si>
  <si>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</si>
  <si>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</si>
  <si>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</si>
  <si>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</si>
  <si>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</si>
  <si>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</si>
  <si>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</si>
  <si>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</si>
  <si>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</si>
  <si>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</si>
  <si>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</si>
  <si>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</si>
  <si>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</si>
  <si>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</si>
  <si>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</si>
  <si>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</si>
  <si>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</si>
  <si>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</si>
  <si>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</si>
  <si>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</si>
  <si>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</si>
  <si>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</si>
  <si>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</si>
  <si>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</si>
  <si>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</si>
  <si>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</si>
  <si>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</si>
  <si>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</si>
  <si>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</si>
  <si>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The Essex - DC</t>
  </si>
  <si>
    <t>Essex</t>
  </si>
  <si>
    <t>DC</t>
  </si>
  <si>
    <t>SOL-10036</t>
  </si>
  <si>
    <t>Temple Sinai</t>
  </si>
  <si>
    <t>SOL-10028</t>
  </si>
  <si>
    <t>Weinberg 1</t>
  </si>
  <si>
    <t>SOL-10039</t>
  </si>
  <si>
    <t>Weinberg 2</t>
  </si>
  <si>
    <t>SOL-10045</t>
  </si>
  <si>
    <t>Weinberg 3</t>
  </si>
  <si>
    <t>SOL-10042</t>
  </si>
  <si>
    <t>Clayton Hall</t>
  </si>
  <si>
    <t>DE</t>
  </si>
  <si>
    <t>SOL-10820</t>
  </si>
  <si>
    <t>Field House</t>
  </si>
  <si>
    <t>SOL-10821</t>
  </si>
  <si>
    <t>Wyoming Road</t>
  </si>
  <si>
    <t>SOL-10819</t>
  </si>
  <si>
    <t>Leoku</t>
  </si>
  <si>
    <t>HI</t>
  </si>
  <si>
    <t>SOL-10071</t>
  </si>
  <si>
    <t>Waipahu</t>
  </si>
  <si>
    <t>SOL-10068</t>
  </si>
  <si>
    <t>Bird in Hand</t>
  </si>
  <si>
    <t>MD</t>
  </si>
  <si>
    <t>SOL-10092</t>
  </si>
  <si>
    <t>Shortal</t>
  </si>
  <si>
    <t>SOL-10091</t>
  </si>
  <si>
    <t>Aguadilla</t>
  </si>
  <si>
    <t>PR</t>
  </si>
  <si>
    <t>SOL-10072</t>
  </si>
  <si>
    <t>Bayamon</t>
  </si>
  <si>
    <t>SOL-10073</t>
  </si>
  <si>
    <t>St Francis</t>
  </si>
  <si>
    <t>SOL-10034</t>
  </si>
  <si>
    <t>Seaport</t>
  </si>
  <si>
    <t>SOL-10772</t>
  </si>
  <si>
    <t>Sprague St</t>
  </si>
  <si>
    <t>SOL-10773</t>
  </si>
  <si>
    <t>Summer St</t>
  </si>
  <si>
    <t>SOL-10764</t>
  </si>
  <si>
    <t>Brock St Vocational</t>
  </si>
  <si>
    <t>NH</t>
  </si>
  <si>
    <t>SOL-10768</t>
  </si>
  <si>
    <t>McClelland ES</t>
  </si>
  <si>
    <t>SOL-10766</t>
  </si>
  <si>
    <t>Portland St</t>
  </si>
  <si>
    <t>SOL-10771</t>
  </si>
  <si>
    <t>Portsmouth HS</t>
  </si>
  <si>
    <t>SOL-10769</t>
  </si>
  <si>
    <t>Portsmouth WTP</t>
  </si>
  <si>
    <t>SOL-10770</t>
  </si>
  <si>
    <t>Rochester St</t>
  </si>
  <si>
    <t>SOL-10765</t>
  </si>
  <si>
    <t>Spaulding HS</t>
  </si>
  <si>
    <t>SOL-10767</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</si>
  <si>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</si>
  <si>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</si>
  <si>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</si>
  <si>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</si>
  <si>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</si>
  <si>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</si>
  <si>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</si>
  <si>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</si>
  <si>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</si>
  <si>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</si>
  <si>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</si>
  <si>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</si>
  <si>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</si>
  <si>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</si>
  <si>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</si>
  <si>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</si>
  <si>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</si>
  <si>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</si>
  <si>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</si>
  <si>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</si>
  <si>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</si>
  <si>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</si>
  <si>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SOL-10998</t>
  </si>
  <si>
    <t>Brodhead Solar</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</si>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</sst>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1">
    <font>
      <sz val="10"/>
      <name val="Arial"/>
    </font>
    <font>
      <sz val="11"/>
      <color theme="1"/>
      <name val="Calibri"/>
      <scheme val="minor"/>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11"/>
      <color rgb="FF000000"/>
      <name val="Calibri"/>
      <charset val="1"/>
    </font>
    <font>
      <sz val="10"/>
      <color theme="1"/>
      <name val="Arial"/>
    </font>
    <font>
      <sz val="8"/>
      <name val="Arial"/>
    </font>
    <font>
      <sz val="11"/>
      <name val="Calibri"/>
    </font>
    <font>
      <sz val="11"/>
      <color theme="1"/>
      <name val="Calibri"/>
    </font>
    <font>
      <sz val="11"/>
      <color rgb="FF000000"/>
      <name val="Calibri"/>
      <scheme val="minor"/>
    </font>
    <font>
      <sz val="11"/>
      <name val="Calibri"/>
      <scheme val="minor"/>
    </font>
    <font>
      <sz val="12"/>
      <color theme="1"/>
      <name val="Calibri"/>
      <scheme val="minor"/>
    </font>
    <font>
      <sz val="12"/>
      <color rgb="FF000000"/>
      <name val="Calibri"/>
      <scheme val="minor"/>
    </font>
    <font>
      <sz val="10"/>
      <name val="Calibri"/>
      <scheme val="minor"/>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F0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theme="4" tint="0.39997558519241921"/>
      </right>
      <top style="thin">
        <color theme="4" tint="0.39997558519241921"/>
      </top>
      <bottom style="thin">
        <color theme="4" tint="0.39997558519241921"/>
      </bottom>
      <diagonal/>
    </border>
  </borders>
  <cellStyleXfs count="46">
    <xf numFmtId="0" fontId="0" fillId="0" borderId="0"/>
    <xf numFmtId="43"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5" applyNumberFormat="0" applyAlignment="0" applyProtection="0"/>
    <xf numFmtId="0" fontId="16" fillId="9" borderId="6" applyNumberFormat="0" applyAlignment="0" applyProtection="0"/>
    <xf numFmtId="0" fontId="17" fillId="9" borderId="5" applyNumberFormat="0" applyAlignment="0" applyProtection="0"/>
    <xf numFmtId="0" fontId="18" fillId="0" borderId="7" applyNumberFormat="0" applyFill="0" applyAlignment="0" applyProtection="0"/>
    <xf numFmtId="0" fontId="19" fillId="10" borderId="8"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0" borderId="0"/>
    <xf numFmtId="0" fontId="3" fillId="11" borderId="9" applyNumberFormat="0" applyFont="0" applyAlignment="0" applyProtection="0"/>
    <xf numFmtId="0" fontId="25" fillId="0" borderId="0"/>
  </cellStyleXfs>
  <cellXfs count="127">
    <xf numFmtId="0" fontId="0" fillId="0" borderId="0" xfId="0"/>
    <xf numFmtId="9" fontId="6" fillId="0" borderId="0" xfId="2" applyFont="1" applyAlignment="1">
      <alignment horizontal="center"/>
    </xf>
    <xf numFmtId="0" fontId="0" fillId="0" borderId="0" xfId="0" applyAlignment="1">
      <alignment horizontal="center"/>
    </xf>
    <xf numFmtId="0" fontId="25" fillId="0" borderId="0" xfId="0" applyFont="1" applyAlignment="1">
      <alignment horizontal="left"/>
    </xf>
    <xf numFmtId="0" fontId="24" fillId="0" borderId="0" xfId="43" applyFont="1"/>
    <xf numFmtId="0" fontId="7" fillId="0" borderId="0" xfId="0" applyFont="1" applyAlignment="1">
      <alignment vertical="center"/>
    </xf>
    <xf numFmtId="3" fontId="27" fillId="36" borderId="1" xfId="0" applyNumberFormat="1" applyFont="1" applyFill="1" applyBorder="1" applyAlignment="1">
      <alignment horizontal="center" vertical="center"/>
    </xf>
    <xf numFmtId="9" fontId="27" fillId="36" borderId="1" xfId="0" applyNumberFormat="1" applyFont="1" applyFill="1" applyBorder="1" applyAlignment="1">
      <alignment horizontal="center" vertical="center"/>
    </xf>
    <xf numFmtId="3" fontId="27" fillId="36" borderId="1" xfId="1" applyNumberFormat="1" applyFont="1" applyFill="1" applyBorder="1" applyAlignment="1">
      <alignment horizontal="center" vertical="center"/>
    </xf>
    <xf numFmtId="0" fontId="31" fillId="2" borderId="1" xfId="0" applyFont="1" applyFill="1" applyBorder="1" applyAlignment="1">
      <alignment horizontal="center" vertical="center" wrapText="1"/>
    </xf>
    <xf numFmtId="164" fontId="30" fillId="0" borderId="0" xfId="1" applyNumberFormat="1" applyFont="1" applyBorder="1" applyAlignment="1">
      <alignment horizontal="center" vertical="center"/>
    </xf>
    <xf numFmtId="3" fontId="32" fillId="3" borderId="0" xfId="0" applyNumberFormat="1" applyFont="1" applyFill="1" applyAlignment="1">
      <alignment horizontal="right" vertical="center"/>
    </xf>
    <xf numFmtId="9" fontId="32" fillId="3" borderId="0" xfId="2" applyFont="1" applyFill="1" applyBorder="1" applyAlignment="1">
      <alignment horizontal="center" vertical="center"/>
    </xf>
    <xf numFmtId="3" fontId="32" fillId="4" borderId="0" xfId="1" applyNumberFormat="1" applyFont="1" applyFill="1" applyBorder="1" applyAlignment="1">
      <alignment vertical="center"/>
    </xf>
    <xf numFmtId="9" fontId="32" fillId="37" borderId="0" xfId="2" applyFont="1" applyFill="1" applyBorder="1" applyAlignment="1">
      <alignment horizontal="center" vertical="center"/>
    </xf>
    <xf numFmtId="3" fontId="32" fillId="0" borderId="0" xfId="0" applyNumberFormat="1" applyFont="1" applyAlignment="1">
      <alignment horizontal="right" vertical="center"/>
    </xf>
    <xf numFmtId="9" fontId="32" fillId="0" borderId="0" xfId="2" applyFont="1" applyFill="1" applyBorder="1" applyAlignment="1">
      <alignment horizontal="center" vertical="center"/>
    </xf>
    <xf numFmtId="3" fontId="32" fillId="0" borderId="0" xfId="1" applyNumberFormat="1" applyFont="1" applyFill="1" applyBorder="1" applyAlignment="1">
      <alignment vertical="center"/>
    </xf>
    <xf numFmtId="0" fontId="34" fillId="0" borderId="0" xfId="0" applyFont="1"/>
    <xf numFmtId="9" fontId="33" fillId="0" borderId="0" xfId="2" applyFont="1" applyAlignment="1">
      <alignment horizontal="center"/>
    </xf>
    <xf numFmtId="0" fontId="31" fillId="43" borderId="1" xfId="0" applyFont="1" applyFill="1" applyBorder="1" applyAlignment="1">
      <alignment horizontal="center" vertical="center" wrapText="1"/>
    </xf>
    <xf numFmtId="164" fontId="30" fillId="44" borderId="0" xfId="1" applyNumberFormat="1" applyFont="1" applyFill="1" applyBorder="1" applyAlignment="1">
      <alignment horizontal="center" vertical="center"/>
    </xf>
    <xf numFmtId="0" fontId="7" fillId="45" borderId="1" xfId="0" applyFont="1" applyFill="1" applyBorder="1" applyAlignment="1">
      <alignment horizontal="center" vertical="center"/>
    </xf>
    <xf numFmtId="0" fontId="35" fillId="0" borderId="0" xfId="0" applyFont="1" applyAlignment="1">
      <alignment vertical="center"/>
    </xf>
    <xf numFmtId="0" fontId="31"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30" fillId="40" borderId="0" xfId="0" applyFont="1" applyFill="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36" fillId="40" borderId="0" xfId="0" applyFont="1" applyFill="1" applyAlignment="1">
      <alignment horizontal="center"/>
    </xf>
    <xf numFmtId="0" fontId="32" fillId="0" borderId="0" xfId="0" applyFont="1"/>
    <xf numFmtId="0" fontId="27" fillId="0" borderId="0" xfId="0" applyFont="1"/>
    <xf numFmtId="0" fontId="26" fillId="41" borderId="1" xfId="0" applyFont="1" applyFill="1" applyBorder="1" applyAlignment="1">
      <alignment horizontal="center" vertical="center" wrapText="1"/>
    </xf>
    <xf numFmtId="9" fontId="26" fillId="41" borderId="1" xfId="2" applyFont="1" applyFill="1" applyBorder="1" applyAlignment="1">
      <alignment horizontal="center" vertical="center" wrapText="1"/>
    </xf>
    <xf numFmtId="0" fontId="26" fillId="42" borderId="1" xfId="0" applyFont="1" applyFill="1" applyBorder="1" applyAlignment="1">
      <alignment horizontal="center"/>
    </xf>
    <xf numFmtId="0" fontId="26" fillId="42" borderId="1" xfId="0" applyFont="1" applyFill="1" applyBorder="1" applyAlignment="1">
      <alignment horizontal="center" vertical="center" wrapText="1"/>
    </xf>
    <xf numFmtId="9" fontId="26" fillId="42" borderId="1" xfId="2" applyFont="1" applyFill="1" applyBorder="1" applyAlignment="1">
      <alignment horizontal="center" vertical="center" wrapText="1"/>
    </xf>
    <xf numFmtId="0" fontId="26" fillId="42" borderId="1" xfId="0" applyFont="1" applyFill="1" applyBorder="1" applyAlignment="1">
      <alignment horizontal="center" vertical="center"/>
    </xf>
    <xf numFmtId="49" fontId="32" fillId="38" borderId="0" xfId="2" applyNumberFormat="1" applyFont="1" applyFill="1" applyBorder="1" applyAlignment="1">
      <alignment vertical="top" wrapText="1"/>
    </xf>
    <xf numFmtId="49" fontId="30" fillId="0" borderId="0" xfId="0" applyNumberFormat="1" applyFont="1" applyAlignment="1">
      <alignment vertical="center" wrapText="1"/>
    </xf>
    <xf numFmtId="49" fontId="29" fillId="0" borderId="0" xfId="0" applyNumberFormat="1" applyFont="1" applyAlignment="1">
      <alignment vertical="center" wrapText="1"/>
    </xf>
    <xf numFmtId="0" fontId="24" fillId="0" borderId="0" xfId="43" applyFont="1" applyAlignment="1">
      <alignment horizontal="left"/>
    </xf>
    <xf numFmtId="0" fontId="0" fillId="0" borderId="0" xfId="0" applyAlignment="1">
      <alignment horizontal="left"/>
    </xf>
    <xf numFmtId="0" fontId="4" fillId="0" borderId="0" xfId="0" applyFont="1"/>
    <xf numFmtId="0" fontId="29" fillId="46" borderId="0" xfId="0" applyFont="1" applyFill="1" applyAlignment="1">
      <alignment horizontal="center" vertical="center"/>
    </xf>
    <xf numFmtId="0" fontId="30" fillId="46" borderId="0" xfId="0" applyFont="1" applyFill="1" applyAlignment="1">
      <alignment horizontal="center" vertical="center"/>
    </xf>
    <xf numFmtId="164" fontId="30" fillId="46" borderId="0" xfId="1" applyNumberFormat="1" applyFont="1" applyFill="1" applyBorder="1" applyAlignment="1">
      <alignment horizontal="center" vertical="center"/>
    </xf>
    <xf numFmtId="3" fontId="32" fillId="46" borderId="0" xfId="0" applyNumberFormat="1" applyFont="1" applyFill="1" applyAlignment="1">
      <alignment horizontal="right" vertical="center"/>
    </xf>
    <xf numFmtId="9" fontId="32" fillId="46" borderId="0" xfId="2" applyFont="1" applyFill="1" applyBorder="1" applyAlignment="1">
      <alignment horizontal="center" vertical="center"/>
    </xf>
    <xf numFmtId="3" fontId="32" fillId="46" borderId="0" xfId="1" applyNumberFormat="1" applyFont="1" applyFill="1" applyBorder="1" applyAlignment="1">
      <alignment vertical="center"/>
    </xf>
    <xf numFmtId="0" fontId="0" fillId="46" borderId="0" xfId="0" applyFill="1"/>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9" fillId="38" borderId="0" xfId="2" applyNumberFormat="1" applyFont="1" applyFill="1" applyBorder="1" applyAlignment="1">
      <alignment horizontal="left" vertical="top" wrapText="1"/>
    </xf>
    <xf numFmtId="0" fontId="39" fillId="0" borderId="0" xfId="0" applyFont="1" applyAlignment="1">
      <alignment horizontal="left" vertical="top"/>
    </xf>
    <xf numFmtId="164" fontId="30" fillId="47" borderId="0" xfId="1" applyNumberFormat="1" applyFont="1" applyFill="1" applyBorder="1" applyAlignment="1">
      <alignment horizontal="center" vertical="center"/>
    </xf>
    <xf numFmtId="49" fontId="39" fillId="38" borderId="0" xfId="2" applyNumberFormat="1" applyFont="1" applyFill="1" applyBorder="1" applyAlignment="1">
      <alignment vertical="top" wrapText="1"/>
    </xf>
    <xf numFmtId="49" fontId="30" fillId="0" borderId="0" xfId="0" applyNumberFormat="1" applyFont="1" applyAlignment="1">
      <alignment vertical="top" wrapText="1"/>
    </xf>
    <xf numFmtId="49" fontId="2" fillId="0" borderId="0" xfId="0" applyNumberFormat="1" applyFont="1" applyAlignment="1">
      <alignment horizontal="left" vertical="top" wrapText="1"/>
    </xf>
    <xf numFmtId="49" fontId="2" fillId="0" borderId="0" xfId="0" applyNumberFormat="1" applyFont="1" applyAlignment="1">
      <alignment vertical="center" wrapText="1"/>
    </xf>
    <xf numFmtId="49" fontId="30" fillId="0" borderId="0" xfId="0" applyNumberFormat="1" applyFont="1" applyAlignment="1">
      <alignment horizontal="left" vertical="top" wrapText="1"/>
    </xf>
    <xf numFmtId="49" fontId="29" fillId="0" borderId="0" xfId="0" applyNumberFormat="1" applyFont="1" applyAlignment="1">
      <alignment horizontal="left" vertical="top" wrapText="1"/>
    </xf>
    <xf numFmtId="49" fontId="2" fillId="46" borderId="0" xfId="0" applyNumberFormat="1" applyFont="1" applyFill="1" applyAlignment="1">
      <alignment horizontal="left" vertical="top" wrapText="1"/>
    </xf>
    <xf numFmtId="49" fontId="2" fillId="46" borderId="0" xfId="0" applyNumberFormat="1" applyFont="1" applyFill="1" applyAlignment="1">
      <alignment vertical="center" wrapText="1"/>
    </xf>
    <xf numFmtId="49" fontId="2" fillId="0" borderId="0" xfId="0" applyNumberFormat="1" applyFont="1" applyAlignment="1">
      <alignment vertical="top" wrapText="1"/>
    </xf>
    <xf numFmtId="49" fontId="32" fillId="38" borderId="0" xfId="2" applyNumberFormat="1" applyFont="1" applyFill="1" applyBorder="1" applyAlignment="1">
      <alignment horizontal="left" vertical="top" wrapText="1"/>
    </xf>
    <xf numFmtId="164" fontId="30" fillId="44" borderId="0" xfId="1" applyNumberFormat="1" applyFont="1" applyFill="1" applyAlignment="1">
      <alignment horizontal="center" vertical="center"/>
    </xf>
    <xf numFmtId="9" fontId="32" fillId="3" borderId="0" xfId="2" applyFont="1" applyFill="1" applyAlignment="1">
      <alignment horizontal="center" vertical="center"/>
    </xf>
    <xf numFmtId="49" fontId="25" fillId="46" borderId="0" xfId="0" applyNumberFormat="1" applyFont="1" applyFill="1" applyAlignment="1">
      <alignment horizontal="left" vertical="top" wrapText="1"/>
    </xf>
    <xf numFmtId="49" fontId="32" fillId="38" borderId="0" xfId="2" applyNumberFormat="1" applyFont="1" applyFill="1" applyAlignment="1">
      <alignment vertical="top" wrapText="1"/>
    </xf>
    <xf numFmtId="49" fontId="32" fillId="46" borderId="0" xfId="2" applyNumberFormat="1" applyFont="1" applyFill="1" applyAlignment="1">
      <alignment vertical="top" wrapText="1"/>
    </xf>
    <xf numFmtId="0" fontId="26" fillId="39" borderId="1" xfId="0" applyFont="1" applyFill="1" applyBorder="1" applyAlignment="1">
      <alignment horizontal="center" vertical="center"/>
    </xf>
    <xf numFmtId="0" fontId="32" fillId="48" borderId="0" xfId="0" applyFont="1" applyFill="1" applyAlignment="1">
      <alignment vertical="top" wrapText="1"/>
    </xf>
    <xf numFmtId="0" fontId="25" fillId="0" borderId="0" xfId="0" applyFont="1" applyAlignment="1">
      <alignment vertical="center" wrapText="1"/>
    </xf>
    <xf numFmtId="0" fontId="36" fillId="0" borderId="0" xfId="0" applyFont="1" applyAlignment="1">
      <alignment vertical="center" wrapText="1"/>
    </xf>
    <xf numFmtId="0" fontId="25" fillId="0" borderId="0" xfId="0" applyFont="1" applyAlignment="1">
      <alignment horizontal="left" vertical="top" wrapText="1"/>
    </xf>
    <xf numFmtId="0" fontId="36" fillId="0" borderId="0" xfId="0" applyFont="1" applyAlignment="1">
      <alignment horizontal="left" vertical="top" wrapText="1"/>
    </xf>
    <xf numFmtId="0" fontId="40" fillId="48" borderId="0" xfId="0" applyFont="1" applyFill="1" applyAlignment="1">
      <alignment vertical="top" wrapText="1"/>
    </xf>
    <xf numFmtId="0" fontId="25" fillId="0" borderId="0" xfId="0" applyFont="1" applyAlignment="1">
      <alignment vertical="center"/>
    </xf>
    <xf numFmtId="9" fontId="32" fillId="37" borderId="0" xfId="2" applyFont="1" applyFill="1" applyAlignment="1">
      <alignment horizontal="center" vertical="center"/>
    </xf>
    <xf numFmtId="0" fontId="0" fillId="0" borderId="0" xfId="0" applyAlignment="1">
      <alignment horizontal="left" vertical="top" wrapText="1"/>
    </xf>
    <xf numFmtId="164" fontId="30" fillId="0" borderId="0" xfId="1" applyNumberFormat="1" applyFont="1" applyAlignment="1">
      <alignment horizontal="center" vertical="center"/>
    </xf>
    <xf numFmtId="3" fontId="32" fillId="4" borderId="0" xfId="1" applyNumberFormat="1" applyFont="1" applyFill="1" applyAlignment="1">
      <alignment vertical="center"/>
    </xf>
    <xf numFmtId="9" fontId="32" fillId="0" borderId="0" xfId="2" applyFont="1" applyAlignment="1">
      <alignment horizontal="center" vertical="center"/>
    </xf>
    <xf numFmtId="3" fontId="32" fillId="0" borderId="0" xfId="1" applyNumberFormat="1" applyFont="1" applyAlignment="1">
      <alignment vertical="center"/>
    </xf>
    <xf numFmtId="0" fontId="25" fillId="0" borderId="0" xfId="0" applyFont="1" applyAlignment="1">
      <alignment wrapText="1"/>
    </xf>
    <xf numFmtId="4" fontId="25" fillId="0" borderId="0" xfId="0" applyNumberFormat="1" applyFont="1"/>
    <xf numFmtId="3" fontId="25" fillId="0" borderId="0" xfId="0" applyNumberFormat="1" applyFont="1"/>
    <xf numFmtId="49" fontId="32" fillId="38" borderId="0" xfId="2" applyNumberFormat="1" applyFont="1" applyFill="1" applyAlignment="1">
      <alignment horizontal="left" vertical="top" wrapText="1"/>
    </xf>
    <xf numFmtId="49" fontId="40" fillId="38" borderId="0" xfId="2" applyNumberFormat="1" applyFont="1" applyFill="1" applyBorder="1" applyAlignment="1">
      <alignment horizontal="left" vertical="top" wrapText="1"/>
    </xf>
    <xf numFmtId="0" fontId="34" fillId="0" borderId="0" xfId="0" applyFont="1" applyAlignment="1">
      <alignment horizontal="left" vertical="top"/>
    </xf>
    <xf numFmtId="0" fontId="34" fillId="0" borderId="0" xfId="0" applyFont="1" applyAlignment="1">
      <alignment horizontal="left" vertical="top" wrapText="1"/>
    </xf>
    <xf numFmtId="0" fontId="32" fillId="0" borderId="0" xfId="0" applyFont="1" applyAlignment="1">
      <alignment horizontal="left" vertical="top"/>
    </xf>
    <xf numFmtId="0" fontId="41" fillId="0" borderId="0" xfId="0" applyFont="1" applyAlignment="1">
      <alignment horizontal="left" vertical="top" wrapText="1"/>
    </xf>
    <xf numFmtId="49" fontId="30" fillId="0" borderId="0" xfId="0" applyNumberFormat="1" applyFont="1" applyAlignment="1">
      <alignment horizontal="left" wrapText="1"/>
    </xf>
    <xf numFmtId="0" fontId="41" fillId="0" borderId="0" xfId="0" applyFont="1"/>
    <xf numFmtId="0" fontId="41" fillId="0" borderId="0" xfId="0" applyFont="1" applyAlignment="1">
      <alignment wrapText="1"/>
    </xf>
    <xf numFmtId="0" fontId="42" fillId="0" borderId="12" xfId="0" applyFont="1" applyBorder="1"/>
    <xf numFmtId="3" fontId="25" fillId="49" borderId="0" xfId="0" applyNumberFormat="1" applyFont="1" applyFill="1"/>
    <xf numFmtId="3" fontId="32" fillId="50" borderId="0" xfId="0" applyNumberFormat="1" applyFont="1" applyFill="1"/>
    <xf numFmtId="3" fontId="32" fillId="0" borderId="0" xfId="0" applyNumberFormat="1" applyFont="1"/>
    <xf numFmtId="0" fontId="0" fillId="47" borderId="0" xfId="0" applyFill="1"/>
    <xf numFmtId="49" fontId="30" fillId="0" borderId="0" xfId="0" applyNumberFormat="1" applyFont="1" applyAlignment="1">
      <alignment horizontal="left" vertical="center" wrapText="1"/>
    </xf>
    <xf numFmtId="3" fontId="25" fillId="0" borderId="0" xfId="0" applyNumberFormat="1" applyFont="1" applyAlignment="1">
      <alignment horizontal="right"/>
    </xf>
    <xf numFmtId="0" fontId="32" fillId="0" borderId="0" xfId="0" applyFont="1" applyAlignment="1">
      <alignment wrapText="1"/>
    </xf>
    <xf numFmtId="0" fontId="32" fillId="0" borderId="0" xfId="0" applyFont="1" applyAlignment="1">
      <alignment horizontal="left" vertical="top" wrapText="1"/>
    </xf>
    <xf numFmtId="0" fontId="32" fillId="0" borderId="0" xfId="0" applyFont="1" applyAlignment="1">
      <alignment vertical="top" wrapText="1"/>
    </xf>
    <xf numFmtId="49" fontId="25" fillId="0" borderId="0" xfId="0" applyNumberFormat="1" applyFont="1" applyAlignment="1">
      <alignment vertical="center" wrapText="1"/>
    </xf>
    <xf numFmtId="49" fontId="25" fillId="0" borderId="0" xfId="0" applyNumberFormat="1" applyFont="1" applyAlignment="1">
      <alignment vertical="top" wrapText="1"/>
    </xf>
    <xf numFmtId="49" fontId="25" fillId="0" borderId="0" xfId="0" applyNumberFormat="1" applyFont="1" applyAlignment="1">
      <alignment vertical="center" wrapText="1" indent="1"/>
    </xf>
    <xf numFmtId="49" fontId="45" fillId="0" borderId="0" xfId="0" applyNumberFormat="1" applyFont="1" applyAlignment="1">
      <alignment horizontal="left" vertical="top" wrapText="1"/>
    </xf>
    <xf numFmtId="49" fontId="44" fillId="38" borderId="0" xfId="2" applyNumberFormat="1" applyFont="1" applyFill="1" applyBorder="1" applyAlignment="1">
      <alignment horizontal="left" vertical="top" wrapText="1"/>
    </xf>
    <xf numFmtId="49" fontId="44" fillId="38" borderId="0" xfId="2" applyNumberFormat="1" applyFont="1" applyFill="1" applyAlignment="1">
      <alignment horizontal="left" vertical="top" wrapText="1"/>
    </xf>
    <xf numFmtId="49" fontId="47" fillId="38" borderId="0" xfId="2" applyNumberFormat="1" applyFont="1" applyFill="1" applyBorder="1" applyAlignment="1">
      <alignment horizontal="left" vertical="top" wrapText="1"/>
    </xf>
    <xf numFmtId="49" fontId="48" fillId="0" borderId="0" xfId="0" applyNumberFormat="1" applyFont="1" applyAlignment="1">
      <alignment horizontal="left" vertical="top" wrapText="1"/>
    </xf>
    <xf numFmtId="49" fontId="49" fillId="0" borderId="0" xfId="0" applyNumberFormat="1" applyFont="1" applyAlignment="1">
      <alignment horizontal="left" vertical="top" wrapText="1"/>
    </xf>
    <xf numFmtId="49" fontId="47" fillId="38" borderId="0" xfId="2" applyNumberFormat="1" applyFont="1" applyFill="1" applyAlignment="1">
      <alignment horizontal="left" vertical="top" wrapText="1"/>
    </xf>
    <xf numFmtId="49" fontId="46" fillId="0" borderId="0" xfId="0" applyNumberFormat="1" applyFont="1" applyAlignment="1">
      <alignment horizontal="left" vertical="top" wrapText="1"/>
    </xf>
    <xf numFmtId="0" fontId="50" fillId="0" borderId="0" xfId="0" applyFont="1" applyAlignment="1">
      <alignment horizontal="left" vertical="top"/>
    </xf>
    <xf numFmtId="0" fontId="46" fillId="0" borderId="0" xfId="0" applyFont="1" applyAlignment="1">
      <alignment horizontal="left" vertical="top" wrapText="1"/>
    </xf>
    <xf numFmtId="0" fontId="46" fillId="0" borderId="0" xfId="0" applyFont="1" applyAlignment="1">
      <alignment horizontal="left" vertical="top"/>
    </xf>
    <xf numFmtId="0" fontId="5" fillId="4"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6" fillId="39" borderId="1" xfId="0" applyFont="1" applyFill="1" applyBorder="1" applyAlignment="1">
      <alignment horizontal="center" vertical="center"/>
    </xf>
    <xf numFmtId="49" fontId="1" fillId="0" borderId="0" xfId="0" applyNumberFormat="1" applyFont="1" applyAlignment="1">
      <alignment horizontal="lef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7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Guest User" id="{EB5A5C9F-731B-42AB-BB24-288AD262E1EF}" userId="S::urn:spo:anon#e601f5ede0214b39ffce09eb3f6d0303c273ec03a6da9030f8e882b96afd0447::" providerId="AD"/>
  <person displayName="Yatin Bhoite [Libsys]" id="{867BCBE8-FECA-4FFD-8522-7D34F30E89C9}" userId="S::yatinb_libsysinc.com#ext#@ameresco.onmicrosoft.com::b4ffb4e5-d88f-4006-af80-b23c33f36b1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61" totalsRowShown="0">
  <autoFilter ref="A3:F161" xr:uid="{C9C95D9E-67ED-41E0-9F41-9C3DA4ACF4CD}"/>
  <sortState xmlns:xlrd2="http://schemas.microsoft.com/office/spreadsheetml/2017/richdata2" ref="A4:D6">
    <sortCondition ref="C3:C6"/>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81" dT="2024-03-04T13:50:49.99" personId="{867BCBE8-FECA-4FFD-8522-7D34F30E89C9}" id="{DF67D825-C883-44F2-8EA5-D891A5BC6DA2}">
    <text>Meter data is not available, energy values are taken from inverter.</text>
  </threadedComment>
  <threadedComment ref="D89" dT="2024-03-04T13:50:27.85" personId="{867BCBE8-FECA-4FFD-8522-7D34F30E89C9}" id="{A315C444-F93F-4C05-92FF-4E51C72D0B9B}">
    <text>Meter data is not available, energy values are taken from inverter.</text>
  </threadedComment>
</ThreadedComments>
</file>

<file path=xl/threadedComments/threadedComment2.xml><?xml version="1.0" encoding="utf-8"?>
<ThreadedComments xmlns="http://schemas.microsoft.com/office/spreadsheetml/2018/threadedcomments" xmlns:x="http://schemas.openxmlformats.org/spreadsheetml/2006/main">
  <threadedComment ref="D96" dT="2024-08-07T11:36:40.14" personId="{EB5A5C9F-731B-42AB-BB24-288AD262E1EF}" id="{86E18900-82D9-4255-AB88-27957F7FACBD}">
    <text>Inverter Actual Energy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2"/>
  <sheetViews>
    <sheetView workbookViewId="0">
      <pane xSplit="2" ySplit="3" topLeftCell="C150" activePane="bottomRight" state="frozen"/>
      <selection pane="bottomRight" activeCell="G167" sqref="G167"/>
      <selection pane="bottomLeft"/>
      <selection pane="topRight"/>
    </sheetView>
  </sheetViews>
  <sheetFormatPr defaultRowHeight="12.7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23" t="str" cm="1">
        <f t="array" ref="A1">portfolio</f>
        <v>Generate Capital</v>
      </c>
      <c r="B1" s="123"/>
      <c r="C1" s="123"/>
      <c r="D1" s="123"/>
      <c r="E1" s="124" t="s">
        <v>0</v>
      </c>
      <c r="F1" s="124"/>
      <c r="G1" s="124"/>
      <c r="H1" s="122" t="s">
        <v>1</v>
      </c>
      <c r="I1" s="122"/>
      <c r="J1" s="122"/>
    </row>
    <row r="2" spans="1:12" ht="19.5" customHeight="1">
      <c r="A2" s="125" t="s">
        <v>2</v>
      </c>
      <c r="B2" s="125"/>
      <c r="C2" s="72"/>
      <c r="D2" s="6">
        <f>SUM(D4:D200)</f>
        <v>289394273.40281647</v>
      </c>
      <c r="E2" s="6">
        <f>SUM(E4:E138)</f>
        <v>90351054.864899978</v>
      </c>
      <c r="F2" s="6">
        <f>D2-E2</f>
        <v>199043218.53791648</v>
      </c>
      <c r="G2" s="7">
        <f>IFERROR(F2/E2, 0)</f>
        <v>2.2029982808229698</v>
      </c>
      <c r="H2" s="6">
        <f>SUM(H4:H200)</f>
        <v>251674722.63580009</v>
      </c>
      <c r="I2" s="8">
        <f>D2-H2</f>
        <v>37719550.767016381</v>
      </c>
      <c r="J2" s="7">
        <f>IFERROR(I2/H2, 0)</f>
        <v>0.1498742121257865</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1">Sites[Site]</f>
        <v>Farmer</v>
      </c>
      <c r="B4" s="26" t="str" cm="1">
        <f t="array" ref="B4:B161">Sites[State]</f>
        <v>AZ</v>
      </c>
      <c r="C4" s="26" t="str">
        <f>Sites[[#This Row],[SOL'#]]</f>
        <v>SOL-10748</v>
      </c>
      <c r="D4" s="21">
        <f>SUM('1st Qtr'!D4, '2nd Qtr'!D4, '3rd Qtr'!D4, '4th Qtr'!D4)</f>
        <v>129168.44027379942</v>
      </c>
      <c r="E4" s="11">
        <f>SUM('1st Qtr'!E4, '2nd Qtr'!E4, '3rd Qtr'!E4, '4th Qtr'!E4)</f>
        <v>83048.156999999992</v>
      </c>
      <c r="F4" s="11">
        <f>IF(AND(ISNUMBER(D4),ISNUMBER(E4)), D4-E4, "")</f>
        <v>46120.283273799432</v>
      </c>
      <c r="G4" s="12">
        <f>IFERROR(F4/E4, "")</f>
        <v>0.55534385036141665</v>
      </c>
      <c r="H4" s="13">
        <f>SUM('1st Qtr'!H4+'2nd Qtr'!H4+'3rd Qtr'!H4+'4th Qtr'!H4)</f>
        <v>129862.887</v>
      </c>
      <c r="I4" s="13">
        <f>SUM('1st Qtr'!I4, '2nd Qtr'!I4, '3rd Qtr'!I4, '4th Qtr'!I4)</f>
        <v>-694.44672620059282</v>
      </c>
      <c r="J4" s="14">
        <f>IFERROR(I4/H4, "")</f>
        <v>-5.3475380244749435E-3</v>
      </c>
      <c r="K4" s="38"/>
      <c r="L4" s="38"/>
    </row>
    <row r="5" spans="1:12" ht="15.75">
      <c r="A5" s="27" t="str">
        <v>Fulton</v>
      </c>
      <c r="B5" s="28" t="str">
        <v>AZ</v>
      </c>
      <c r="C5" s="28" t="str">
        <f>Sites[[#This Row],[SOL'#]]</f>
        <v>SOL-10749</v>
      </c>
      <c r="D5" s="10">
        <f>SUM('1st Qtr'!D5, '2nd Qtr'!D5, '3rd Qtr'!D5, '4th Qtr'!D5)</f>
        <v>500073</v>
      </c>
      <c r="E5" s="15">
        <f>SUM('1st Qtr'!E5, '2nd Qtr'!E5, '3rd Qtr'!E5, '4th Qtr'!E5)</f>
        <v>469765.62</v>
      </c>
      <c r="F5" s="15">
        <f t="shared" ref="F5:F15" si="0">IF(AND(ISNUMBER(D5),ISNUMBER(E5)), D5-E5, "")</f>
        <v>30307.380000000005</v>
      </c>
      <c r="G5" s="16">
        <f>IFERROR(F5/E5, "")</f>
        <v>6.4515960107936393E-2</v>
      </c>
      <c r="H5" s="17">
        <f>SUM('1st Qtr'!H5+'2nd Qtr'!H5+'3rd Qtr'!H5+'4th Qtr'!H5)</f>
        <v>632255.97</v>
      </c>
      <c r="I5" s="17">
        <f>SUM('1st Qtr'!I5, '2nd Qtr'!I5, '3rd Qtr'!I5, '4th Qtr'!I5)</f>
        <v>-132182.97</v>
      </c>
      <c r="J5" s="16">
        <f>IFERROR(I5/H5, "")</f>
        <v>-0.20906559411372583</v>
      </c>
      <c r="K5" s="39"/>
      <c r="L5" s="39"/>
    </row>
    <row r="6" spans="1:12" ht="15.75">
      <c r="A6" s="25" t="str">
        <v>JFK Elementary</v>
      </c>
      <c r="B6" s="26" t="str">
        <v>AZ</v>
      </c>
      <c r="C6" s="26" t="str">
        <f>Sites[[#This Row],[SOL'#]]</f>
        <v>SOL-10758</v>
      </c>
      <c r="D6" s="21">
        <f>SUM('1st Qtr'!D6, '2nd Qtr'!D6, '3rd Qtr'!D6, '4th Qtr'!D6)</f>
        <v>202071.06158533803</v>
      </c>
      <c r="E6" s="11">
        <f>SUM('1st Qtr'!E6, '2nd Qtr'!E6, '3rd Qtr'!E6, '4th Qtr'!E6)</f>
        <v>0</v>
      </c>
      <c r="F6" s="11">
        <f t="shared" si="0"/>
        <v>202071.06158533803</v>
      </c>
      <c r="G6" s="12" t="str">
        <f t="shared" ref="G6:G15" si="1">IFERROR(F6/E6, "")</f>
        <v/>
      </c>
      <c r="H6" s="13">
        <f>SUM('1st Qtr'!H6+'2nd Qtr'!H6+'3rd Qtr'!H6+'4th Qtr'!H6)</f>
        <v>87231</v>
      </c>
      <c r="I6" s="13">
        <f>SUM('1st Qtr'!I6, '2nd Qtr'!I6, '3rd Qtr'!I6, '4th Qtr'!I6)</f>
        <v>114840.06158533801</v>
      </c>
      <c r="J6" s="14">
        <f t="shared" ref="J6:J15" si="2">IFERROR(I6/H6, "")</f>
        <v>1.3165051596948105</v>
      </c>
      <c r="K6" s="38"/>
      <c r="L6" s="38"/>
    </row>
    <row r="7" spans="1:12" ht="15.75">
      <c r="A7" s="27" t="str">
        <v>Noble</v>
      </c>
      <c r="B7" s="28" t="str">
        <v>AZ</v>
      </c>
      <c r="C7" s="28" t="str">
        <f>Sites[[#This Row],[SOL'#]]</f>
        <v>SOL-10750</v>
      </c>
      <c r="D7" s="10">
        <f>SUM('1st Qtr'!D7, '2nd Qtr'!D7, '3rd Qtr'!D7, '4th Qtr'!D7)</f>
        <v>98780.755116604152</v>
      </c>
      <c r="E7" s="15">
        <f>SUM('1st Qtr'!E7, '2nd Qtr'!E7, '3rd Qtr'!E7, '4th Qtr'!E7)</f>
        <v>140942.65400000001</v>
      </c>
      <c r="F7" s="15">
        <f t="shared" si="0"/>
        <v>-42161.898883395857</v>
      </c>
      <c r="G7" s="16">
        <f t="shared" si="1"/>
        <v>-0.29914222335699636</v>
      </c>
      <c r="H7" s="17">
        <f>SUM('1st Qtr'!H7+'2nd Qtr'!H7+'3rd Qtr'!H7+'4th Qtr'!H7)</f>
        <v>146122.33000000002</v>
      </c>
      <c r="I7" s="17">
        <f>SUM('1st Qtr'!I7, '2nd Qtr'!I7, '3rd Qtr'!I7, '4th Qtr'!I7)</f>
        <v>-47341.574883395864</v>
      </c>
      <c r="J7" s="16">
        <f t="shared" si="2"/>
        <v>-0.32398590197265442</v>
      </c>
      <c r="K7" s="39"/>
      <c r="L7" s="40"/>
    </row>
    <row r="8" spans="1:12" ht="15.75">
      <c r="A8" s="25" t="str">
        <v>Parking 3</v>
      </c>
      <c r="B8" s="26" t="str">
        <v>AZ</v>
      </c>
      <c r="C8" s="26" t="str">
        <f>Sites[[#This Row],[SOL'#]]</f>
        <v>SOL-10751</v>
      </c>
      <c r="D8" s="21">
        <f>SUM('1st Qtr'!D8, '2nd Qtr'!D8, '3rd Qtr'!D8, '4th Qtr'!D8)</f>
        <v>270270.79730676062</v>
      </c>
      <c r="E8" s="11">
        <f>SUM('1st Qtr'!E8, '2nd Qtr'!E8, '3rd Qtr'!E8, '4th Qtr'!E8)</f>
        <v>300370.55999999994</v>
      </c>
      <c r="F8" s="11">
        <f t="shared" si="0"/>
        <v>-30099.762693239318</v>
      </c>
      <c r="G8" s="12">
        <f t="shared" si="1"/>
        <v>-0.10020876444495534</v>
      </c>
      <c r="H8" s="13">
        <f>SUM('1st Qtr'!H8+'2nd Qtr'!H8+'3rd Qtr'!H8+'4th Qtr'!H8)</f>
        <v>330726</v>
      </c>
      <c r="I8" s="13">
        <f>SUM('1st Qtr'!I8, '2nd Qtr'!I8, '3rd Qtr'!I8, '4th Qtr'!I8)</f>
        <v>-60455.202693239407</v>
      </c>
      <c r="J8" s="14">
        <f t="shared" si="2"/>
        <v>-0.1827954339641861</v>
      </c>
      <c r="K8" s="38"/>
      <c r="L8" s="38"/>
    </row>
    <row r="9" spans="1:12" ht="15.75">
      <c r="A9" s="27" t="str">
        <v>PE East</v>
      </c>
      <c r="B9" s="28" t="str">
        <v>AZ</v>
      </c>
      <c r="C9" s="28" t="str">
        <f>Sites[[#This Row],[SOL'#]]</f>
        <v>SOL-10752</v>
      </c>
      <c r="D9" s="10">
        <f>SUM('1st Qtr'!D9, '2nd Qtr'!D9, '3rd Qtr'!D9, '4th Qtr'!D9)</f>
        <v>287785.95687561389</v>
      </c>
      <c r="E9" s="15">
        <f>SUM('1st Qtr'!E9, '2nd Qtr'!E9, '3rd Qtr'!E9, '4th Qtr'!E9)</f>
        <v>178845.24</v>
      </c>
      <c r="F9" s="15">
        <f t="shared" si="0"/>
        <v>108940.7168756139</v>
      </c>
      <c r="G9" s="16">
        <f t="shared" si="1"/>
        <v>0.60913400253545413</v>
      </c>
      <c r="H9" s="17">
        <f>SUM('1st Qtr'!H9+'2nd Qtr'!H9+'3rd Qtr'!H9+'4th Qtr'!H9)</f>
        <v>309196.2</v>
      </c>
      <c r="I9" s="17">
        <f>SUM('1st Qtr'!I9, '2nd Qtr'!I9, '3rd Qtr'!I9, '4th Qtr'!I9)</f>
        <v>-21410.243124386085</v>
      </c>
      <c r="J9" s="16">
        <f t="shared" si="2"/>
        <v>-6.9244845584732553E-2</v>
      </c>
      <c r="K9" s="39"/>
      <c r="L9" s="40"/>
    </row>
    <row r="10" spans="1:12" ht="15.75">
      <c r="A10" s="25" t="str">
        <v>Schwada</v>
      </c>
      <c r="B10" s="26" t="str">
        <v>AZ</v>
      </c>
      <c r="C10" s="26" t="str">
        <f>Sites[[#This Row],[SOL'#]]</f>
        <v>SOL-10753</v>
      </c>
      <c r="D10" s="21">
        <f>SUM('1st Qtr'!D10, '2nd Qtr'!D10, '3rd Qtr'!D10, '4th Qtr'!D10)</f>
        <v>126800.27302557742</v>
      </c>
      <c r="E10" s="11">
        <f>SUM('1st Qtr'!E10, '2nd Qtr'!E10, '3rd Qtr'!E10, '4th Qtr'!E10)</f>
        <v>73941.534000000014</v>
      </c>
      <c r="F10" s="11">
        <f t="shared" si="0"/>
        <v>52858.739025577408</v>
      </c>
      <c r="G10" s="12">
        <f t="shared" si="1"/>
        <v>0.714872091043951</v>
      </c>
      <c r="H10" s="13">
        <f>SUM('1st Qtr'!H10+'2nd Qtr'!H10+'3rd Qtr'!H10+'4th Qtr'!H10)</f>
        <v>130834</v>
      </c>
      <c r="I10" s="13">
        <f>SUM('1st Qtr'!I10, '2nd Qtr'!I10, '3rd Qtr'!I10, '4th Qtr'!I10)</f>
        <v>-4033.7269744225723</v>
      </c>
      <c r="J10" s="14">
        <f t="shared" si="2"/>
        <v>-3.0830877099397497E-2</v>
      </c>
      <c r="K10" s="38"/>
      <c r="L10" s="38"/>
    </row>
    <row r="11" spans="1:12" ht="15.75">
      <c r="A11" s="27" t="str">
        <v>Starshine</v>
      </c>
      <c r="B11" s="28" t="str">
        <v>AZ</v>
      </c>
      <c r="C11" s="28" t="str">
        <f>Sites[[#This Row],[SOL'#]]</f>
        <v>SOL-10757</v>
      </c>
      <c r="D11" s="10">
        <f>SUM('1st Qtr'!D11, '2nd Qtr'!D11, '3rd Qtr'!D11, '4th Qtr'!D11)</f>
        <v>79264.000057476675</v>
      </c>
      <c r="E11" s="15">
        <f>SUM('1st Qtr'!E11, '2nd Qtr'!E11, '3rd Qtr'!E11, '4th Qtr'!E11)</f>
        <v>0</v>
      </c>
      <c r="F11" s="15">
        <f t="shared" si="0"/>
        <v>79264.000057476675</v>
      </c>
      <c r="G11" s="16" t="str">
        <f t="shared" si="1"/>
        <v/>
      </c>
      <c r="H11" s="17">
        <f>SUM('1st Qtr'!H11+'2nd Qtr'!H11+'3rd Qtr'!H11+'4th Qtr'!H11)</f>
        <v>38341</v>
      </c>
      <c r="I11" s="17">
        <f>SUM('1st Qtr'!I11, '2nd Qtr'!I11, '3rd Qtr'!I11, '4th Qtr'!I11)</f>
        <v>40923.000057476667</v>
      </c>
      <c r="J11" s="16">
        <f t="shared" si="2"/>
        <v>1.0673430546275962</v>
      </c>
      <c r="K11" s="39"/>
      <c r="L11" s="40"/>
    </row>
    <row r="12" spans="1:12" ht="15.75">
      <c r="A12" s="25" t="str">
        <v>Yuma Airport</v>
      </c>
      <c r="B12" s="26" t="str">
        <v>AZ</v>
      </c>
      <c r="C12" s="26" t="str">
        <f>Sites[[#This Row],[SOL'#]]</f>
        <v>SOL-10754</v>
      </c>
      <c r="D12" s="21">
        <f>SUM('1st Qtr'!D12, '2nd Qtr'!D12, '3rd Qtr'!D12, '4th Qtr'!D12)</f>
        <v>748530</v>
      </c>
      <c r="E12" s="11">
        <f>SUM('1st Qtr'!E12, '2nd Qtr'!E12, '3rd Qtr'!E12, '4th Qtr'!E12)</f>
        <v>910308.36</v>
      </c>
      <c r="F12" s="11">
        <f t="shared" si="0"/>
        <v>-161778.35999999999</v>
      </c>
      <c r="G12" s="12">
        <f t="shared" si="1"/>
        <v>-0.17771819650211715</v>
      </c>
      <c r="H12" s="13">
        <f>SUM('1st Qtr'!H12+'2nd Qtr'!H12+'3rd Qtr'!H12+'4th Qtr'!H12)</f>
        <v>790511</v>
      </c>
      <c r="I12" s="13">
        <f>SUM('1st Qtr'!I12, '2nd Qtr'!I12, '3rd Qtr'!I12, '4th Qtr'!I12)</f>
        <v>-41981</v>
      </c>
      <c r="J12" s="14">
        <f t="shared" si="2"/>
        <v>-5.310615538556706E-2</v>
      </c>
      <c r="K12" s="38"/>
      <c r="L12" s="38"/>
    </row>
    <row r="13" spans="1:12" ht="15.75">
      <c r="A13" s="27" t="str">
        <v>Kinsman</v>
      </c>
      <c r="B13" s="28" t="str">
        <v>OH</v>
      </c>
      <c r="C13" s="28" t="str">
        <f>Sites[[#This Row],[SOL'#]]</f>
        <v>SOL-10762</v>
      </c>
      <c r="D13" s="10">
        <f>SUM('1st Qtr'!D13, '2nd Qtr'!D13, '3rd Qtr'!D13, '4th Qtr'!D13)</f>
        <v>844175.59375</v>
      </c>
      <c r="E13" s="15">
        <f>SUM('1st Qtr'!E13, '2nd Qtr'!E13, '3rd Qtr'!E13, '4th Qtr'!E13)</f>
        <v>1153104.5499999998</v>
      </c>
      <c r="F13" s="15">
        <f t="shared" si="0"/>
        <v>-308928.95624999981</v>
      </c>
      <c r="G13" s="16">
        <f t="shared" si="1"/>
        <v>-0.26791062115746561</v>
      </c>
      <c r="H13" s="17">
        <f>SUM('1st Qtr'!H13+'2nd Qtr'!H13+'3rd Qtr'!H13+'4th Qtr'!H13)</f>
        <v>1073128</v>
      </c>
      <c r="I13" s="17">
        <f>SUM('1st Qtr'!I13, '2nd Qtr'!I13, '3rd Qtr'!I13, '4th Qtr'!I13)</f>
        <v>-228952.40625</v>
      </c>
      <c r="J13" s="16">
        <f t="shared" si="2"/>
        <v>-0.21335051014417666</v>
      </c>
      <c r="K13" s="39"/>
      <c r="L13" s="40"/>
    </row>
    <row r="14" spans="1:12" ht="15.75">
      <c r="A14" s="25" t="str">
        <v>Wooster</v>
      </c>
      <c r="B14" s="26" t="str">
        <v>OH</v>
      </c>
      <c r="C14" s="26" t="str">
        <f>Sites[[#This Row],[SOL'#]]</f>
        <v>SOL-10763</v>
      </c>
      <c r="D14" s="21">
        <f>SUM('1st Qtr'!D14, '2nd Qtr'!D14, '3rd Qtr'!D14, '4th Qtr'!D14)</f>
        <v>178791</v>
      </c>
      <c r="E14" s="11">
        <f>SUM('1st Qtr'!E14, '2nd Qtr'!E14, '3rd Qtr'!E14, '4th Qtr'!E14)</f>
        <v>0</v>
      </c>
      <c r="F14" s="11">
        <f t="shared" si="0"/>
        <v>178791</v>
      </c>
      <c r="G14" s="12" t="str">
        <f t="shared" si="1"/>
        <v/>
      </c>
      <c r="H14" s="13">
        <f>SUM('1st Qtr'!H14+'2nd Qtr'!H14+'3rd Qtr'!H14+'4th Qtr'!H14)</f>
        <v>251290</v>
      </c>
      <c r="I14" s="13">
        <f>SUM('1st Qtr'!I14, '2nd Qtr'!I14, '3rd Qtr'!I14, '4th Qtr'!I14)</f>
        <v>-72499</v>
      </c>
      <c r="J14" s="14">
        <f t="shared" si="2"/>
        <v>-0.28850730232002864</v>
      </c>
      <c r="K14" s="38"/>
      <c r="L14" s="38"/>
    </row>
    <row r="15" spans="1:12" ht="15.75">
      <c r="A15" s="27" t="str">
        <v>Globe Gila CC</v>
      </c>
      <c r="B15" s="28" t="str">
        <v>AZ</v>
      </c>
      <c r="C15" s="28" t="str">
        <f>Sites[[#This Row],[SOL'#]]</f>
        <v>SOL-10755</v>
      </c>
      <c r="D15" s="10">
        <f>SUM('1st Qtr'!D15, '2nd Qtr'!D15, '3rd Qtr'!D15, '4th Qtr'!D15)</f>
        <v>153100.84365111458</v>
      </c>
      <c r="E15" s="15">
        <f>SUM('1st Qtr'!E15, '2nd Qtr'!E15, '3rd Qtr'!E15, '4th Qtr'!E15)</f>
        <v>24864.852000000003</v>
      </c>
      <c r="F15" s="15">
        <f t="shared" si="0"/>
        <v>128235.99165111459</v>
      </c>
      <c r="G15" s="16">
        <f t="shared" si="1"/>
        <v>5.1573197238863342</v>
      </c>
      <c r="H15" s="17">
        <f>SUM('1st Qtr'!H15+'2nd Qtr'!H15+'3rd Qtr'!H15+'4th Qtr'!H15)</f>
        <v>163783</v>
      </c>
      <c r="I15" s="17">
        <f>SUM('1st Qtr'!I15, '2nd Qtr'!I15, '3rd Qtr'!I15, '4th Qtr'!I15)</f>
        <v>-10682.156348885399</v>
      </c>
      <c r="J15" s="16">
        <f t="shared" si="2"/>
        <v>-6.5221398734211719E-2</v>
      </c>
      <c r="K15" s="39"/>
      <c r="L15" s="40"/>
    </row>
    <row r="16" spans="1:12" ht="15.75">
      <c r="A16" s="25" t="str">
        <v>Payson Gila CC</v>
      </c>
      <c r="B16" s="26" t="str">
        <v>AZ</v>
      </c>
      <c r="C16" s="26" t="str">
        <f>Sites[[#This Row],[SOL'#]]</f>
        <v>SOL-10756</v>
      </c>
      <c r="D16" s="21">
        <f>SUM('1st Qtr'!D16, '2nd Qtr'!D16, '3rd Qtr'!D16, '4th Qtr'!D16)</f>
        <v>98918.23019193334</v>
      </c>
      <c r="E16" s="11">
        <f>SUM('1st Qtr'!E16, '2nd Qtr'!E16, '3rd Qtr'!E16, '4th Qtr'!E16)</f>
        <v>25818.338999999996</v>
      </c>
      <c r="F16" s="11">
        <f t="shared" ref="F16:F17" si="3">IF(AND(ISNUMBER(D16),ISNUMBER(E16)), D16-E16, "")</f>
        <v>73099.891191933348</v>
      </c>
      <c r="G16" s="12">
        <f t="shared" ref="G16:G17" si="4">IFERROR(F16/E16, "")</f>
        <v>2.8313165766369925</v>
      </c>
      <c r="H16" s="13">
        <f>SUM('1st Qtr'!H16+'2nd Qtr'!H16+'3rd Qtr'!H16+'4th Qtr'!H16)</f>
        <v>132150</v>
      </c>
      <c r="I16" s="13">
        <f>SUM('1st Qtr'!I16, '2nd Qtr'!I16, '3rd Qtr'!I16, '4th Qtr'!I16)</f>
        <v>-33231.76980806666</v>
      </c>
      <c r="J16" s="14">
        <f t="shared" ref="J16:J17" si="5">IFERROR(I16/H16, "")</f>
        <v>-0.25147007043561603</v>
      </c>
      <c r="K16" s="38"/>
      <c r="L16" s="38"/>
    </row>
    <row r="17" spans="1:12" ht="15.75">
      <c r="A17" s="27" t="str">
        <v>SCNM</v>
      </c>
      <c r="B17" s="28" t="str">
        <v>AZ</v>
      </c>
      <c r="C17" s="28" t="str">
        <f>Sites[[#This Row],[SOL'#]]</f>
        <v>SOL-10760</v>
      </c>
      <c r="D17" s="10">
        <f>SUM('1st Qtr'!D17, '2nd Qtr'!D17, '3rd Qtr'!D17, '4th Qtr'!D17)</f>
        <v>747475.06</v>
      </c>
      <c r="E17" s="15">
        <f>SUM('1st Qtr'!E17, '2nd Qtr'!E17, '3rd Qtr'!E17, '4th Qtr'!E17)</f>
        <v>188464.72</v>
      </c>
      <c r="F17" s="15">
        <f t="shared" si="3"/>
        <v>559010.34000000008</v>
      </c>
      <c r="G17" s="16">
        <f t="shared" si="4"/>
        <v>2.9661272412152262</v>
      </c>
      <c r="H17" s="17">
        <f>SUM('1st Qtr'!H17+'2nd Qtr'!H17+'3rd Qtr'!H17+'4th Qtr'!H17)</f>
        <v>569729</v>
      </c>
      <c r="I17" s="17">
        <f>SUM('1st Qtr'!I17, '2nd Qtr'!I17, '3rd Qtr'!I17, '4th Qtr'!I17)</f>
        <v>177746.06000000011</v>
      </c>
      <c r="J17" s="16">
        <f t="shared" si="5"/>
        <v>0.31198352199027979</v>
      </c>
      <c r="K17" s="39"/>
      <c r="L17" s="39"/>
    </row>
    <row r="18" spans="1:12" ht="12.75" customHeight="1">
      <c r="A18" s="25" t="str">
        <v>Sequoia Charter School</v>
      </c>
      <c r="B18" s="26" t="str">
        <v>AZ</v>
      </c>
      <c r="C18" s="26" t="str">
        <f>Sites[[#This Row],[SOL'#]]</f>
        <v>SOL-10759</v>
      </c>
      <c r="D18" s="21">
        <f>SUM('1st Qtr'!D18, '2nd Qtr'!D18, '3rd Qtr'!D18, '4th Qtr'!D18)</f>
        <v>281612.81999999977</v>
      </c>
      <c r="E18" s="11">
        <f>SUM('1st Qtr'!E18, '2nd Qtr'!E18, '3rd Qtr'!E18, '4th Qtr'!E18)</f>
        <v>0</v>
      </c>
      <c r="F18" s="11">
        <f t="shared" ref="F18:F81" si="6">IF(AND(ISNUMBER(D18),ISNUMBER(E18)), D18-E18, "")</f>
        <v>281612.81999999977</v>
      </c>
      <c r="G18" s="12" t="str">
        <f t="shared" ref="G18:G81" si="7">IFERROR(F18/E18, "")</f>
        <v/>
      </c>
      <c r="H18" s="13">
        <f>SUM('1st Qtr'!H18+'2nd Qtr'!H18+'3rd Qtr'!H18+'4th Qtr'!H18)</f>
        <v>268232</v>
      </c>
      <c r="I18" s="13">
        <f>SUM('1st Qtr'!I18, '2nd Qtr'!I18, '3rd Qtr'!I18, '4th Qtr'!I18)</f>
        <v>13380.819999999803</v>
      </c>
      <c r="J18" s="14">
        <f t="shared" ref="J18:J81" si="8">IFERROR(I18/H18, "")</f>
        <v>4.9885248590771432E-2</v>
      </c>
      <c r="K18" s="38"/>
      <c r="L18" s="38"/>
    </row>
    <row r="19" spans="1:12" ht="15.75">
      <c r="A19" s="27" t="str">
        <v>RCAB</v>
      </c>
      <c r="B19" s="28" t="str">
        <v>MA</v>
      </c>
      <c r="C19" s="28" t="str">
        <f>Sites[[#This Row],[SOL'#]]</f>
        <v>SOL-10838</v>
      </c>
      <c r="D19" s="10">
        <f>SUM('1st Qtr'!D19, '2nd Qtr'!D19, '3rd Qtr'!D19, '4th Qtr'!D19)</f>
        <v>1031306.5</v>
      </c>
      <c r="E19" s="15">
        <f>SUM('1st Qtr'!E19, '2nd Qtr'!E19, '3rd Qtr'!E19, '4th Qtr'!E19)</f>
        <v>1270442.1400000001</v>
      </c>
      <c r="F19" s="15">
        <f t="shared" si="6"/>
        <v>-239135.64000000013</v>
      </c>
      <c r="G19" s="16">
        <f t="shared" si="7"/>
        <v>-0.18823024872270067</v>
      </c>
      <c r="H19" s="17">
        <f>SUM('1st Qtr'!H19+'2nd Qtr'!H19+'3rd Qtr'!H19+'4th Qtr'!H19)</f>
        <v>1083933.46</v>
      </c>
      <c r="I19" s="17">
        <f>SUM('1st Qtr'!I19, '2nd Qtr'!I19, '3rd Qtr'!I19, '4th Qtr'!I19)</f>
        <v>-52626.960000000014</v>
      </c>
      <c r="J19" s="16">
        <f t="shared" si="8"/>
        <v>-4.8551836383019319E-2</v>
      </c>
      <c r="K19" s="39"/>
      <c r="L19" s="40"/>
    </row>
    <row r="20" spans="1:12" ht="15.75">
      <c r="A20" s="25" t="str">
        <v>Spectro Coatings</v>
      </c>
      <c r="B20" s="26" t="str">
        <v>MA</v>
      </c>
      <c r="C20" s="26" t="str">
        <f>Sites[[#This Row],[SOL'#]]</f>
        <v>SOL-10074</v>
      </c>
      <c r="D20" s="21">
        <f>SUM('1st Qtr'!D20, '2nd Qtr'!D20, '3rd Qtr'!D20, '4th Qtr'!D20)</f>
        <v>259703.75</v>
      </c>
      <c r="E20" s="11">
        <f>SUM('1st Qtr'!E20, '2nd Qtr'!E20, '3rd Qtr'!E20, '4th Qtr'!E20)</f>
        <v>308219.33999999997</v>
      </c>
      <c r="F20" s="11">
        <f t="shared" si="6"/>
        <v>-48515.589999999967</v>
      </c>
      <c r="G20" s="12">
        <f t="shared" si="7"/>
        <v>-0.15740605375379746</v>
      </c>
      <c r="H20" s="13">
        <f>SUM('1st Qtr'!H20+'2nd Qtr'!H20+'3rd Qtr'!H20+'4th Qtr'!H20)</f>
        <v>294508.12</v>
      </c>
      <c r="I20" s="13">
        <f>SUM('1st Qtr'!I20, '2nd Qtr'!I20, '3rd Qtr'!I20, '4th Qtr'!I20)</f>
        <v>-34804.370000000003</v>
      </c>
      <c r="J20" s="14">
        <f t="shared" si="8"/>
        <v>-0.11817796398958373</v>
      </c>
      <c r="K20" s="38"/>
      <c r="L20" s="38"/>
    </row>
    <row r="21" spans="1:12" ht="15.75">
      <c r="A21" s="27" t="str">
        <v>K026</v>
      </c>
      <c r="B21" s="28" t="str">
        <v>NY</v>
      </c>
      <c r="C21" s="28" t="str">
        <f>Sites[[#This Row],[SOL'#]]</f>
        <v>SOL-10356</v>
      </c>
      <c r="D21" s="10">
        <f>SUM('1st Qtr'!D21, '2nd Qtr'!D21, '3rd Qtr'!D21, '4th Qtr'!D21)</f>
        <v>283724.25</v>
      </c>
      <c r="E21" s="15">
        <f>SUM('1st Qtr'!E21, '2nd Qtr'!E21, '3rd Qtr'!E21, '4th Qtr'!E21)</f>
        <v>327790.51</v>
      </c>
      <c r="F21" s="15">
        <f t="shared" si="6"/>
        <v>-44066.260000000009</v>
      </c>
      <c r="G21" s="16">
        <f t="shared" si="7"/>
        <v>-0.13443421531636168</v>
      </c>
      <c r="H21" s="17">
        <f>SUM('1st Qtr'!H21+'2nd Qtr'!H21+'3rd Qtr'!H21+'4th Qtr'!H21)</f>
        <v>332514.03000000003</v>
      </c>
      <c r="I21" s="17">
        <f>SUM('1st Qtr'!I21, '2nd Qtr'!I21, '3rd Qtr'!I21, '4th Qtr'!I21)</f>
        <v>-48789.78</v>
      </c>
      <c r="J21" s="16">
        <f t="shared" si="8"/>
        <v>-0.14672998910752727</v>
      </c>
      <c r="K21" s="39"/>
      <c r="L21" s="40"/>
    </row>
    <row r="22" spans="1:12" ht="15.75">
      <c r="A22" s="25" t="str">
        <v>K041</v>
      </c>
      <c r="B22" s="26" t="str">
        <v>NY</v>
      </c>
      <c r="C22" s="26" t="str">
        <f>Sites[[#This Row],[SOL'#]]</f>
        <v>SOL-10357</v>
      </c>
      <c r="D22" s="21">
        <f>SUM('1st Qtr'!D22, '2nd Qtr'!D22, '3rd Qtr'!D22, '4th Qtr'!D22)</f>
        <v>213012.92668359375</v>
      </c>
      <c r="E22" s="11">
        <f>SUM('1st Qtr'!E22, '2nd Qtr'!E22, '3rd Qtr'!E22, '4th Qtr'!E22)</f>
        <v>47862.75</v>
      </c>
      <c r="F22" s="11">
        <f t="shared" si="6"/>
        <v>165150.17668359375</v>
      </c>
      <c r="G22" s="12">
        <f t="shared" si="7"/>
        <v>3.4504949398769136</v>
      </c>
      <c r="H22" s="13">
        <f>SUM('1st Qtr'!H22+'2nd Qtr'!H22+'3rd Qtr'!H22+'4th Qtr'!H22)</f>
        <v>102610</v>
      </c>
      <c r="I22" s="13">
        <f>SUM('1st Qtr'!I22, '2nd Qtr'!I22, '3rd Qtr'!I22, '4th Qtr'!I22)</f>
        <v>110402.92668359375</v>
      </c>
      <c r="J22" s="14">
        <f t="shared" si="8"/>
        <v>1.0759470488606739</v>
      </c>
      <c r="K22" s="38"/>
      <c r="L22" s="38"/>
    </row>
    <row r="23" spans="1:12" ht="15.75">
      <c r="A23" s="27" t="str">
        <v>K043</v>
      </c>
      <c r="B23" s="28" t="str">
        <v>NY</v>
      </c>
      <c r="C23" s="28" t="str">
        <f>Sites[[#This Row],[SOL'#]]</f>
        <v>SOL-10358</v>
      </c>
      <c r="D23" s="10">
        <f>SUM('1st Qtr'!D23, '2nd Qtr'!D23, '3rd Qtr'!D23, '4th Qtr'!D23)</f>
        <v>270176.640625</v>
      </c>
      <c r="E23" s="15">
        <f>SUM('1st Qtr'!E23, '2nd Qtr'!E23, '3rd Qtr'!E23, '4th Qtr'!E23)</f>
        <v>289577.06</v>
      </c>
      <c r="F23" s="15">
        <f t="shared" si="6"/>
        <v>-19400.419374999998</v>
      </c>
      <c r="G23" s="16">
        <f t="shared" si="7"/>
        <v>-6.6995705305523845E-2</v>
      </c>
      <c r="H23" s="17">
        <f>SUM('1st Qtr'!H23+'2nd Qtr'!H23+'3rd Qtr'!H23+'4th Qtr'!H23)</f>
        <v>211906</v>
      </c>
      <c r="I23" s="17">
        <f>SUM('1st Qtr'!I23, '2nd Qtr'!I23, '3rd Qtr'!I23, '4th Qtr'!I23)</f>
        <v>58270.640625</v>
      </c>
      <c r="J23" s="16">
        <f t="shared" si="8"/>
        <v>0.27498343900125527</v>
      </c>
      <c r="K23" s="39"/>
      <c r="L23" s="40"/>
    </row>
    <row r="24" spans="1:12" ht="15.75">
      <c r="A24" s="25" t="str">
        <v>K058</v>
      </c>
      <c r="B24" s="26" t="str">
        <v>NY</v>
      </c>
      <c r="C24" s="26" t="str">
        <f>Sites[[#This Row],[SOL'#]]</f>
        <v>SOL-10360</v>
      </c>
      <c r="D24" s="21">
        <f>SUM('1st Qtr'!D24, '2nd Qtr'!D24, '3rd Qtr'!D24, '4th Qtr'!D24)</f>
        <v>201039.5</v>
      </c>
      <c r="E24" s="11">
        <f>SUM('1st Qtr'!E24, '2nd Qtr'!E24, '3rd Qtr'!E24, '4th Qtr'!E24)</f>
        <v>223955.65199999997</v>
      </c>
      <c r="F24" s="11">
        <f t="shared" si="6"/>
        <v>-22916.151999999973</v>
      </c>
      <c r="G24" s="12">
        <f t="shared" si="7"/>
        <v>-0.10232450842544476</v>
      </c>
      <c r="H24" s="13">
        <f>SUM('1st Qtr'!H24+'2nd Qtr'!H24+'3rd Qtr'!H24+'4th Qtr'!H24)</f>
        <v>218515.29</v>
      </c>
      <c r="I24" s="13">
        <f>SUM('1st Qtr'!I24, '2nd Qtr'!I24, '3rd Qtr'!I24, '4th Qtr'!I24)</f>
        <v>-17475.79</v>
      </c>
      <c r="J24" s="14">
        <f t="shared" si="8"/>
        <v>-7.9975135836032343E-2</v>
      </c>
      <c r="K24" s="38"/>
      <c r="L24" s="38"/>
    </row>
    <row r="25" spans="1:12" ht="15.75">
      <c r="A25" s="27" t="str">
        <v>K115</v>
      </c>
      <c r="B25" s="28" t="str">
        <v>NY</v>
      </c>
      <c r="C25" s="28" t="str">
        <f>Sites[[#This Row],[SOL'#]]</f>
        <v>SOL-10361</v>
      </c>
      <c r="D25" s="10">
        <f>SUM('1st Qtr'!D25, '2nd Qtr'!D25, '3rd Qtr'!D25, '4th Qtr'!D25)</f>
        <v>58740.531249999985</v>
      </c>
      <c r="E25" s="15">
        <f>SUM('1st Qtr'!E25, '2nd Qtr'!E25, '3rd Qtr'!E25, '4th Qtr'!E25)</f>
        <v>104943.59199999999</v>
      </c>
      <c r="F25" s="15">
        <f t="shared" si="6"/>
        <v>-46203.060750000004</v>
      </c>
      <c r="G25" s="16">
        <f t="shared" si="7"/>
        <v>-0.44026566910345521</v>
      </c>
      <c r="H25" s="17">
        <f>SUM('1st Qtr'!H25+'2nd Qtr'!H25+'3rd Qtr'!H25+'4th Qtr'!H25)</f>
        <v>101772.13699999999</v>
      </c>
      <c r="I25" s="17">
        <f>SUM('1st Qtr'!I25, '2nd Qtr'!I25, '3rd Qtr'!I25, '4th Qtr'!I25)</f>
        <v>-43031.60575000001</v>
      </c>
      <c r="J25" s="16">
        <f t="shared" si="8"/>
        <v>-0.42282305372048945</v>
      </c>
      <c r="K25" s="39"/>
      <c r="L25" s="40"/>
    </row>
    <row r="26" spans="1:12" ht="15.75">
      <c r="A26" s="25" t="str">
        <v>K152</v>
      </c>
      <c r="B26" s="26" t="str">
        <v>NY</v>
      </c>
      <c r="C26" s="26" t="str">
        <f>Sites[[#This Row],[SOL'#]]</f>
        <v>SOL-10362</v>
      </c>
      <c r="D26" s="21">
        <f>SUM('1st Qtr'!D26, '2nd Qtr'!D26, '3rd Qtr'!D26, '4th Qtr'!D26)</f>
        <v>82912.5625</v>
      </c>
      <c r="E26" s="11">
        <f>SUM('1st Qtr'!E26, '2nd Qtr'!E26, '3rd Qtr'!E26, '4th Qtr'!E26)</f>
        <v>87765.3</v>
      </c>
      <c r="F26" s="11">
        <f t="shared" si="6"/>
        <v>-4852.7375000000029</v>
      </c>
      <c r="G26" s="12">
        <f t="shared" si="7"/>
        <v>-5.5292211158624226E-2</v>
      </c>
      <c r="H26" s="13">
        <f>SUM('1st Qtr'!H26+'2nd Qtr'!H26+'3rd Qtr'!H26+'4th Qtr'!H26)</f>
        <v>46920</v>
      </c>
      <c r="I26" s="13">
        <f>SUM('1st Qtr'!I26, '2nd Qtr'!I26, '3rd Qtr'!I26, '4th Qtr'!I26)</f>
        <v>35992.5625</v>
      </c>
      <c r="J26" s="14">
        <f t="shared" si="8"/>
        <v>0.7671049126172208</v>
      </c>
      <c r="K26" s="38"/>
      <c r="L26" s="38"/>
    </row>
    <row r="27" spans="1:12" ht="15.75">
      <c r="A27" s="27" t="str">
        <v>K166</v>
      </c>
      <c r="B27" s="28" t="str">
        <v>NY</v>
      </c>
      <c r="C27" s="28" t="str">
        <f>Sites[[#This Row],[SOL'#]]</f>
        <v>SOL-10363</v>
      </c>
      <c r="D27" s="10">
        <f>SUM('1st Qtr'!D27, '2nd Qtr'!D27, '3rd Qtr'!D27, '4th Qtr'!D27)</f>
        <v>298212.8125</v>
      </c>
      <c r="E27" s="15">
        <f>SUM('1st Qtr'!E27, '2nd Qtr'!E27, '3rd Qtr'!E27, '4th Qtr'!E27)</f>
        <v>333845.93</v>
      </c>
      <c r="F27" s="15">
        <f t="shared" si="6"/>
        <v>-35633.117499999993</v>
      </c>
      <c r="G27" s="16">
        <f t="shared" si="7"/>
        <v>-0.10673521615195367</v>
      </c>
      <c r="H27" s="17">
        <f>SUM('1st Qtr'!H27+'2nd Qtr'!H27+'3rd Qtr'!H27+'4th Qtr'!H27)</f>
        <v>342760.54</v>
      </c>
      <c r="I27" s="17">
        <f>SUM('1st Qtr'!I27, '2nd Qtr'!I27, '3rd Qtr'!I27, '4th Qtr'!I27)</f>
        <v>-44547.727499999994</v>
      </c>
      <c r="J27" s="16">
        <f t="shared" si="8"/>
        <v>-0.12996749129873583</v>
      </c>
      <c r="K27" s="39"/>
      <c r="L27" s="40"/>
    </row>
    <row r="28" spans="1:12" ht="15.75">
      <c r="A28" s="25" t="str">
        <v>K206</v>
      </c>
      <c r="B28" s="26" t="str">
        <v>NY</v>
      </c>
      <c r="C28" s="26" t="str">
        <f>Sites[[#This Row],[SOL'#]]</f>
        <v>SOL-10927</v>
      </c>
      <c r="D28" s="21">
        <f>SUM('1st Qtr'!D28, '2nd Qtr'!D28, '3rd Qtr'!D28, '4th Qtr'!D28)</f>
        <v>123550.999891844</v>
      </c>
      <c r="E28" s="11">
        <f>SUM('1st Qtr'!E28, '2nd Qtr'!E28, '3rd Qtr'!E28, '4th Qtr'!E28)</f>
        <v>26573.128000000001</v>
      </c>
      <c r="F28" s="11">
        <f t="shared" si="6"/>
        <v>96977.871891843999</v>
      </c>
      <c r="G28" s="12">
        <f t="shared" si="7"/>
        <v>3.6494714469385765</v>
      </c>
      <c r="H28" s="13">
        <f>SUM('1st Qtr'!H28+'2nd Qtr'!H28+'3rd Qtr'!H28+'4th Qtr'!H28)</f>
        <v>54386</v>
      </c>
      <c r="I28" s="13">
        <f>SUM('1st Qtr'!I28, '2nd Qtr'!I28, '3rd Qtr'!I28, '4th Qtr'!I28)</f>
        <v>69164.999891844011</v>
      </c>
      <c r="J28" s="14">
        <f t="shared" si="8"/>
        <v>1.2717427259192442</v>
      </c>
      <c r="K28" s="38"/>
      <c r="L28" s="38"/>
    </row>
    <row r="29" spans="1:12" ht="15.75">
      <c r="A29" s="27" t="str">
        <v>K251</v>
      </c>
      <c r="B29" s="28" t="str">
        <v>NY</v>
      </c>
      <c r="C29" s="28" t="str">
        <f>Sites[[#This Row],[SOL'#]]</f>
        <v>SOL-10365</v>
      </c>
      <c r="D29" s="10">
        <f>SUM('1st Qtr'!D29, '2nd Qtr'!D29, '3rd Qtr'!D29, '4th Qtr'!D29)</f>
        <v>189232.03125</v>
      </c>
      <c r="E29" s="15">
        <f>SUM('1st Qtr'!E29, '2nd Qtr'!E29, '3rd Qtr'!E29, '4th Qtr'!E29)</f>
        <v>205887.62699999998</v>
      </c>
      <c r="F29" s="15">
        <f t="shared" si="6"/>
        <v>-16655.595749999979</v>
      </c>
      <c r="G29" s="16">
        <f t="shared" si="7"/>
        <v>-8.0896535613575168E-2</v>
      </c>
      <c r="H29" s="17">
        <f>SUM('1st Qtr'!H29+'2nd Qtr'!H29+'3rd Qtr'!H29+'4th Qtr'!H29)</f>
        <v>199055.54700000002</v>
      </c>
      <c r="I29" s="17">
        <f>SUM('1st Qtr'!I29, '2nd Qtr'!I29, '3rd Qtr'!I29, '4th Qtr'!I29)</f>
        <v>-9823.5157499999987</v>
      </c>
      <c r="J29" s="16">
        <f t="shared" si="8"/>
        <v>-4.9350625481439099E-2</v>
      </c>
      <c r="K29" s="39"/>
      <c r="L29" s="39"/>
    </row>
    <row r="30" spans="1:12" ht="15.75">
      <c r="A30" s="25" t="str">
        <v>K269</v>
      </c>
      <c r="B30" s="26" t="str">
        <v>NY</v>
      </c>
      <c r="C30" s="26" t="str">
        <f>Sites[[#This Row],[SOL'#]]</f>
        <v>SOL-10366</v>
      </c>
      <c r="D30" s="21">
        <f>SUM('1st Qtr'!D30, '2nd Qtr'!D30, '3rd Qtr'!D30, '4th Qtr'!D30)</f>
        <v>178775.75</v>
      </c>
      <c r="E30" s="11">
        <f>SUM('1st Qtr'!E30, '2nd Qtr'!E30, '3rd Qtr'!E30, '4th Qtr'!E30)</f>
        <v>100527.34</v>
      </c>
      <c r="F30" s="11">
        <f t="shared" si="6"/>
        <v>78248.41</v>
      </c>
      <c r="G30" s="12">
        <f t="shared" si="7"/>
        <v>0.77837939410313661</v>
      </c>
      <c r="H30" s="13">
        <f>SUM('1st Qtr'!H30+'2nd Qtr'!H30+'3rd Qtr'!H30+'4th Qtr'!H30)</f>
        <v>203335.97999999998</v>
      </c>
      <c r="I30" s="13">
        <f>SUM('1st Qtr'!I30, '2nd Qtr'!I30, '3rd Qtr'!I30, '4th Qtr'!I30)</f>
        <v>-24560.23</v>
      </c>
      <c r="J30" s="14">
        <f t="shared" si="8"/>
        <v>-0.12078644418956253</v>
      </c>
      <c r="K30" s="38"/>
      <c r="L30" s="38"/>
    </row>
    <row r="31" spans="1:12" ht="15.75">
      <c r="A31" s="27" t="str">
        <v>K273</v>
      </c>
      <c r="B31" s="28" t="str">
        <v>NY</v>
      </c>
      <c r="C31" s="28" t="str">
        <f>Sites[[#This Row],[SOL'#]]</f>
        <v>SOL-10367</v>
      </c>
      <c r="D31" s="10">
        <f>SUM('1st Qtr'!D31, '2nd Qtr'!D31, '3rd Qtr'!D31, '4th Qtr'!D31)</f>
        <v>199973.40625</v>
      </c>
      <c r="E31" s="15">
        <f>SUM('1st Qtr'!E31, '2nd Qtr'!E31, '3rd Qtr'!E31, '4th Qtr'!E31)</f>
        <v>0</v>
      </c>
      <c r="F31" s="15">
        <f t="shared" si="6"/>
        <v>199973.40625</v>
      </c>
      <c r="G31" s="16" t="str">
        <f t="shared" si="7"/>
        <v/>
      </c>
      <c r="H31" s="17">
        <f>SUM('1st Qtr'!H31+'2nd Qtr'!H31+'3rd Qtr'!H31+'4th Qtr'!H31)</f>
        <v>236229</v>
      </c>
      <c r="I31" s="17">
        <f>SUM('1st Qtr'!I31, '2nd Qtr'!I31, '3rd Qtr'!I31, '4th Qtr'!I31)</f>
        <v>-36255.59375</v>
      </c>
      <c r="J31" s="16">
        <f t="shared" si="8"/>
        <v>-0.15347647304098988</v>
      </c>
      <c r="K31" s="39"/>
      <c r="L31" s="40"/>
    </row>
    <row r="32" spans="1:12" ht="15.75">
      <c r="A32" s="25" t="str">
        <v>K287</v>
      </c>
      <c r="B32" s="26" t="str">
        <v>NY</v>
      </c>
      <c r="C32" s="26" t="str">
        <f>Sites[[#This Row],[SOL'#]]</f>
        <v>SOL-10919</v>
      </c>
      <c r="D32" s="21">
        <f>SUM('1st Qtr'!D32, '2nd Qtr'!D32, '3rd Qtr'!D32, '4th Qtr'!D32)</f>
        <v>159367.25</v>
      </c>
      <c r="E32" s="11">
        <f>SUM('1st Qtr'!E32, '2nd Qtr'!E32, '3rd Qtr'!E32, '4th Qtr'!E32)</f>
        <v>142396.34599999999</v>
      </c>
      <c r="F32" s="11">
        <f t="shared" si="6"/>
        <v>16970.90400000001</v>
      </c>
      <c r="G32" s="12">
        <f t="shared" si="7"/>
        <v>0.11918075482077335</v>
      </c>
      <c r="H32" s="13">
        <f>SUM('1st Qtr'!H32+'2nd Qtr'!H32+'3rd Qtr'!H32+'4th Qtr'!H32)</f>
        <v>127542</v>
      </c>
      <c r="I32" s="13">
        <f>SUM('1st Qtr'!I32, '2nd Qtr'!I32, '3rd Qtr'!I32, '4th Qtr'!I32)</f>
        <v>31825.25</v>
      </c>
      <c r="J32" s="14">
        <f t="shared" si="8"/>
        <v>0.24952760659233822</v>
      </c>
      <c r="K32" s="38"/>
      <c r="L32" s="38"/>
    </row>
    <row r="33" spans="1:12" ht="15.75">
      <c r="A33" s="27" t="str">
        <v>K298</v>
      </c>
      <c r="B33" s="28" t="str">
        <v>NY</v>
      </c>
      <c r="C33" s="28" t="str">
        <f>Sites[[#This Row],[SOL'#]]</f>
        <v>SOL-10368</v>
      </c>
      <c r="D33" s="10">
        <f>SUM('1st Qtr'!D33, '2nd Qtr'!D33, '3rd Qtr'!D33, '4th Qtr'!D33)</f>
        <v>170572.1875</v>
      </c>
      <c r="E33" s="15">
        <f>SUM('1st Qtr'!E33, '2nd Qtr'!E33, '3rd Qtr'!E33, '4th Qtr'!E33)</f>
        <v>186848.75800000003</v>
      </c>
      <c r="F33" s="15">
        <f t="shared" si="6"/>
        <v>-16276.570500000031</v>
      </c>
      <c r="G33" s="16">
        <f t="shared" si="7"/>
        <v>-8.7110937606553571E-2</v>
      </c>
      <c r="H33" s="17">
        <f>SUM('1st Qtr'!H33+'2nd Qtr'!H33+'3rd Qtr'!H33+'4th Qtr'!H33)</f>
        <v>79160</v>
      </c>
      <c r="I33" s="17">
        <f>SUM('1st Qtr'!I33, '2nd Qtr'!I33, '3rd Qtr'!I33, '4th Qtr'!I33)</f>
        <v>91412.1875</v>
      </c>
      <c r="J33" s="16">
        <f t="shared" si="8"/>
        <v>1.1547775075795856</v>
      </c>
      <c r="K33" s="39"/>
      <c r="L33" s="40"/>
    </row>
    <row r="34" spans="1:12" ht="15.75">
      <c r="A34" s="25" t="str">
        <v>K335</v>
      </c>
      <c r="B34" s="26" t="str">
        <v>NY</v>
      </c>
      <c r="C34" s="26" t="str">
        <f>Sites[[#This Row],[SOL'#]]</f>
        <v>SOL-10370</v>
      </c>
      <c r="D34" s="21">
        <f>SUM('1st Qtr'!D34, '2nd Qtr'!D34, '3rd Qtr'!D34, '4th Qtr'!D34)</f>
        <v>174618.6875</v>
      </c>
      <c r="E34" s="11">
        <f>SUM('1st Qtr'!E34, '2nd Qtr'!E34, '3rd Qtr'!E34, '4th Qtr'!E34)</f>
        <v>204171.87899999999</v>
      </c>
      <c r="F34" s="11">
        <f t="shared" si="6"/>
        <v>-29553.191499999986</v>
      </c>
      <c r="G34" s="12">
        <f t="shared" si="7"/>
        <v>-0.14474663036235264</v>
      </c>
      <c r="H34" s="13">
        <f>SUM('1st Qtr'!H34+'2nd Qtr'!H34+'3rd Qtr'!H34+'4th Qtr'!H34)</f>
        <v>190084</v>
      </c>
      <c r="I34" s="13">
        <f>SUM('1st Qtr'!I34, '2nd Qtr'!I34, '3rd Qtr'!I34, '4th Qtr'!I34)</f>
        <v>-40173.3125</v>
      </c>
      <c r="J34" s="14">
        <f t="shared" si="8"/>
        <v>-0.21134505008312116</v>
      </c>
      <c r="K34" s="38"/>
      <c r="L34" s="38"/>
    </row>
    <row r="35" spans="1:12" ht="15.75">
      <c r="A35" s="27" t="str">
        <v>K345</v>
      </c>
      <c r="B35" s="28" t="str">
        <v>NY</v>
      </c>
      <c r="C35" s="28" t="str">
        <f>Sites[[#This Row],[SOL'#]]</f>
        <v>SOL-10920</v>
      </c>
      <c r="D35" s="10">
        <f>SUM('1st Qtr'!D35, '2nd Qtr'!D35, '3rd Qtr'!D35, '4th Qtr'!D35)</f>
        <v>197249.36343749997</v>
      </c>
      <c r="E35" s="15">
        <f>SUM('1st Qtr'!E35, '2nd Qtr'!E35, '3rd Qtr'!E35, '4th Qtr'!E35)</f>
        <v>124213.924</v>
      </c>
      <c r="F35" s="15">
        <f t="shared" si="6"/>
        <v>73035.439437499968</v>
      </c>
      <c r="G35" s="16">
        <f t="shared" si="7"/>
        <v>0.58798109813759658</v>
      </c>
      <c r="H35" s="17">
        <f>SUM('1st Qtr'!H35+'2nd Qtr'!H35+'3rd Qtr'!H35+'4th Qtr'!H35)</f>
        <v>151105</v>
      </c>
      <c r="I35" s="17">
        <f>SUM('1st Qtr'!I35, '2nd Qtr'!I35, '3rd Qtr'!I35, '4th Qtr'!I35)</f>
        <v>46144.363437499953</v>
      </c>
      <c r="J35" s="16">
        <f t="shared" si="8"/>
        <v>0.30537946088812384</v>
      </c>
      <c r="K35" s="39"/>
      <c r="L35" s="40"/>
    </row>
    <row r="36" spans="1:12" ht="15.75">
      <c r="A36" s="25" t="str">
        <v>K445</v>
      </c>
      <c r="B36" s="26" t="str">
        <v>NY</v>
      </c>
      <c r="C36" s="26" t="str">
        <f>Sites[[#This Row],[SOL'#]]</f>
        <v>SOL-10373</v>
      </c>
      <c r="D36" s="21">
        <f>SUM('1st Qtr'!D36, '2nd Qtr'!D36, '3rd Qtr'!D36, '4th Qtr'!D36)</f>
        <v>172530.53298440418</v>
      </c>
      <c r="E36" s="11">
        <f>SUM('1st Qtr'!E36, '2nd Qtr'!E36, '3rd Qtr'!E36, '4th Qtr'!E36)</f>
        <v>173556.27</v>
      </c>
      <c r="F36" s="11">
        <f t="shared" si="6"/>
        <v>-1025.7370155958051</v>
      </c>
      <c r="G36" s="12">
        <f t="shared" si="7"/>
        <v>-5.9101121244182373E-3</v>
      </c>
      <c r="H36" s="13">
        <f>SUM('1st Qtr'!H36+'2nd Qtr'!H36+'3rd Qtr'!H36+'4th Qtr'!H36)</f>
        <v>172734.76</v>
      </c>
      <c r="I36" s="13">
        <f>SUM('1st Qtr'!I36, '2nd Qtr'!I36, '3rd Qtr'!I36, '4th Qtr'!I36)</f>
        <v>-204.22701559581765</v>
      </c>
      <c r="J36" s="14">
        <f t="shared" si="8"/>
        <v>-1.182315682123376E-3</v>
      </c>
      <c r="K36" s="38"/>
      <c r="L36" s="38"/>
    </row>
    <row r="37" spans="1:12" ht="15.75">
      <c r="A37" s="27" t="str">
        <v>K495</v>
      </c>
      <c r="B37" s="28" t="str">
        <v>NY</v>
      </c>
      <c r="C37" s="28" t="str">
        <f>Sites[[#This Row],[SOL'#]]</f>
        <v>SOL-10374</v>
      </c>
      <c r="D37" s="10">
        <f>SUM('1st Qtr'!D37, '2nd Qtr'!D37, '3rd Qtr'!D37, '4th Qtr'!D37)</f>
        <v>577783.88031249982</v>
      </c>
      <c r="E37" s="15">
        <f>SUM('1st Qtr'!E37, '2nd Qtr'!E37, '3rd Qtr'!E37, '4th Qtr'!E37)</f>
        <v>114488.44</v>
      </c>
      <c r="F37" s="15">
        <f t="shared" si="6"/>
        <v>463295.44031249982</v>
      </c>
      <c r="G37" s="16">
        <f t="shared" si="7"/>
        <v>4.0466569403207853</v>
      </c>
      <c r="H37" s="17">
        <f>SUM('1st Qtr'!H37+'2nd Qtr'!H37+'3rd Qtr'!H37+'4th Qtr'!H37)</f>
        <v>324102</v>
      </c>
      <c r="I37" s="17">
        <f>SUM('1st Qtr'!I37, '2nd Qtr'!I37, '3rd Qtr'!I37, '4th Qtr'!I37)</f>
        <v>253681.88031249988</v>
      </c>
      <c r="J37" s="16">
        <f t="shared" si="8"/>
        <v>0.78272235380374044</v>
      </c>
      <c r="K37" s="39"/>
      <c r="L37" s="40"/>
    </row>
    <row r="38" spans="1:12" ht="15.75">
      <c r="A38" s="25" t="str">
        <v>M020</v>
      </c>
      <c r="B38" s="26" t="str">
        <v>NY</v>
      </c>
      <c r="C38" s="26" t="str">
        <f>Sites[[#This Row],[SOL'#]]</f>
        <v>SOL-10380</v>
      </c>
      <c r="D38" s="21">
        <f>SUM('1st Qtr'!D38, '2nd Qtr'!D38, '3rd Qtr'!D38, '4th Qtr'!D38)</f>
        <v>179802.84375</v>
      </c>
      <c r="E38" s="11">
        <f>SUM('1st Qtr'!E38, '2nd Qtr'!E38, '3rd Qtr'!E38, '4th Qtr'!E38)</f>
        <v>192489.54700000002</v>
      </c>
      <c r="F38" s="11">
        <f t="shared" si="6"/>
        <v>-12686.70325000002</v>
      </c>
      <c r="G38" s="12">
        <f t="shared" si="7"/>
        <v>-6.5908530866873608E-2</v>
      </c>
      <c r="H38" s="13">
        <f>SUM('1st Qtr'!H38+'2nd Qtr'!H38+'3rd Qtr'!H38+'4th Qtr'!H38)</f>
        <v>88172</v>
      </c>
      <c r="I38" s="13">
        <f>SUM('1st Qtr'!I38, '2nd Qtr'!I38, '3rd Qtr'!I38, '4th Qtr'!I38)</f>
        <v>91630.84375</v>
      </c>
      <c r="J38" s="14">
        <f t="shared" si="8"/>
        <v>1.0392283689833508</v>
      </c>
      <c r="K38" s="38"/>
      <c r="L38" s="38"/>
    </row>
    <row r="39" spans="1:12" ht="15.75">
      <c r="A39" s="27" t="str">
        <v>M092</v>
      </c>
      <c r="B39" s="28" t="str">
        <v>NY</v>
      </c>
      <c r="C39" s="28" t="str">
        <f>Sites[[#This Row],[SOL'#]]</f>
        <v>SOL-10383</v>
      </c>
      <c r="D39" s="10">
        <f>SUM('1st Qtr'!D39, '2nd Qtr'!D39, '3rd Qtr'!D39, '4th Qtr'!D39)</f>
        <v>181218.46875</v>
      </c>
      <c r="E39" s="15">
        <f>SUM('1st Qtr'!E39, '2nd Qtr'!E39, '3rd Qtr'!E39, '4th Qtr'!E39)</f>
        <v>202315.01899999997</v>
      </c>
      <c r="F39" s="15">
        <f t="shared" si="6"/>
        <v>-21096.550249999971</v>
      </c>
      <c r="G39" s="16">
        <f t="shared" si="7"/>
        <v>-0.10427574954284523</v>
      </c>
      <c r="H39" s="17">
        <f>SUM('1st Qtr'!H39+'2nd Qtr'!H39+'3rd Qtr'!H39+'4th Qtr'!H39)</f>
        <v>210189.77</v>
      </c>
      <c r="I39" s="17">
        <f>SUM('1st Qtr'!I39, '2nd Qtr'!I39, '3rd Qtr'!I39, '4th Qtr'!I39)</f>
        <v>-28971.301249999997</v>
      </c>
      <c r="J39" s="16">
        <f t="shared" si="8"/>
        <v>-0.1378340213703074</v>
      </c>
      <c r="K39" s="39"/>
      <c r="L39" s="40"/>
    </row>
    <row r="40" spans="1:12" ht="15.75">
      <c r="A40" s="25" t="str">
        <v>M143</v>
      </c>
      <c r="B40" s="26" t="str">
        <v>NY</v>
      </c>
      <c r="C40" s="26" t="str">
        <f>Sites[[#This Row],[SOL'#]]</f>
        <v>SOL-10384</v>
      </c>
      <c r="D40" s="21">
        <f>SUM('1st Qtr'!D40, '2nd Qtr'!D40, '3rd Qtr'!D40, '4th Qtr'!D40)</f>
        <v>208888.74999999991</v>
      </c>
      <c r="E40" s="11">
        <f>SUM('1st Qtr'!E40, '2nd Qtr'!E40, '3rd Qtr'!E40, '4th Qtr'!E40)</f>
        <v>247351.484</v>
      </c>
      <c r="F40" s="11">
        <f t="shared" si="6"/>
        <v>-38462.734000000084</v>
      </c>
      <c r="G40" s="12">
        <f t="shared" si="7"/>
        <v>-0.15549829488793399</v>
      </c>
      <c r="H40" s="13">
        <f>SUM('1st Qtr'!H40+'2nd Qtr'!H40+'3rd Qtr'!H40+'4th Qtr'!H40)</f>
        <v>236249.18</v>
      </c>
      <c r="I40" s="13">
        <f>SUM('1st Qtr'!I40, '2nd Qtr'!I40, '3rd Qtr'!I40, '4th Qtr'!I40)</f>
        <v>-27360.430000000102</v>
      </c>
      <c r="J40" s="14">
        <f t="shared" si="8"/>
        <v>-0.11581174588627187</v>
      </c>
      <c r="K40" s="38"/>
      <c r="L40" s="38"/>
    </row>
    <row r="41" spans="1:12" ht="15.75">
      <c r="A41" s="27" t="str">
        <v>M144</v>
      </c>
      <c r="B41" s="28" t="str">
        <v>NY</v>
      </c>
      <c r="C41" s="28" t="str">
        <f>Sites[[#This Row],[SOL'#]]</f>
        <v>SOL-10385</v>
      </c>
      <c r="D41" s="10">
        <f>SUM('1st Qtr'!D41, '2nd Qtr'!D41, '3rd Qtr'!D41, '4th Qtr'!D41)</f>
        <v>258132.671875</v>
      </c>
      <c r="E41" s="15">
        <f>SUM('1st Qtr'!E41, '2nd Qtr'!E41, '3rd Qtr'!E41, '4th Qtr'!E41)</f>
        <v>0</v>
      </c>
      <c r="F41" s="15">
        <f t="shared" si="6"/>
        <v>258132.671875</v>
      </c>
      <c r="G41" s="16" t="str">
        <f t="shared" si="7"/>
        <v/>
      </c>
      <c r="H41" s="17">
        <f>SUM('1st Qtr'!H41+'2nd Qtr'!H41+'3rd Qtr'!H41+'4th Qtr'!H41)</f>
        <v>134186</v>
      </c>
      <c r="I41" s="17">
        <f>SUM('1st Qtr'!I41, '2nd Qtr'!I41, '3rd Qtr'!I41, '4th Qtr'!I41)</f>
        <v>123946.671875</v>
      </c>
      <c r="J41" s="16">
        <f t="shared" si="8"/>
        <v>0.92369302218562299</v>
      </c>
      <c r="K41" s="39"/>
      <c r="L41" s="39"/>
    </row>
    <row r="42" spans="1:12" ht="15.75">
      <c r="A42" s="25" t="str">
        <v>M167</v>
      </c>
      <c r="B42" s="26" t="str">
        <v>NY</v>
      </c>
      <c r="C42" s="26" t="str">
        <f>Sites[[#This Row],[SOL'#]]</f>
        <v>SOL-10386</v>
      </c>
      <c r="D42" s="21">
        <f>SUM('1st Qtr'!D42, '2nd Qtr'!D42, '3rd Qtr'!D42, '4th Qtr'!D42)</f>
        <v>214452.76438964839</v>
      </c>
      <c r="E42" s="11">
        <f>SUM('1st Qtr'!E42, '2nd Qtr'!E42, '3rd Qtr'!E42, '4th Qtr'!E42)</f>
        <v>178136.28</v>
      </c>
      <c r="F42" s="11">
        <f t="shared" si="6"/>
        <v>36316.484389648394</v>
      </c>
      <c r="G42" s="12">
        <f t="shared" si="7"/>
        <v>0.2038691073466247</v>
      </c>
      <c r="H42" s="13">
        <f>SUM('1st Qtr'!H42+'2nd Qtr'!H42+'3rd Qtr'!H42+'4th Qtr'!H42)</f>
        <v>223783.99</v>
      </c>
      <c r="I42" s="13">
        <f>SUM('1st Qtr'!I42, '2nd Qtr'!I42, '3rd Qtr'!I42, '4th Qtr'!I42)</f>
        <v>-9331.2256103515992</v>
      </c>
      <c r="J42" s="14">
        <f t="shared" si="8"/>
        <v>-4.1697467322624818E-2</v>
      </c>
      <c r="K42" s="38"/>
      <c r="L42" s="38"/>
    </row>
    <row r="43" spans="1:12" ht="15.75">
      <c r="A43" s="27" t="str">
        <v>M188</v>
      </c>
      <c r="B43" s="28" t="str">
        <v>NY</v>
      </c>
      <c r="C43" s="28" t="str">
        <f>Sites[[#This Row],[SOL'#]]</f>
        <v>SOL-10387</v>
      </c>
      <c r="D43" s="10">
        <f>SUM('1st Qtr'!D43, '2nd Qtr'!D43, '3rd Qtr'!D43, '4th Qtr'!D43)</f>
        <v>161025.39062499997</v>
      </c>
      <c r="E43" s="15">
        <f>SUM('1st Qtr'!E43, '2nd Qtr'!E43, '3rd Qtr'!E43, '4th Qtr'!E43)</f>
        <v>0</v>
      </c>
      <c r="F43" s="15">
        <f t="shared" si="6"/>
        <v>161025.39062499997</v>
      </c>
      <c r="G43" s="16" t="str">
        <f t="shared" si="7"/>
        <v/>
      </c>
      <c r="H43" s="17">
        <f>SUM('1st Qtr'!H43+'2nd Qtr'!H43+'3rd Qtr'!H43+'4th Qtr'!H43)</f>
        <v>72627</v>
      </c>
      <c r="I43" s="17">
        <f>SUM('1st Qtr'!I43, '2nd Qtr'!I43, '3rd Qtr'!I43, '4th Qtr'!I43)</f>
        <v>88398.390624999971</v>
      </c>
      <c r="J43" s="16">
        <f t="shared" si="8"/>
        <v>1.2171560249631677</v>
      </c>
      <c r="K43" s="39"/>
      <c r="L43" s="40"/>
    </row>
    <row r="44" spans="1:12" ht="15.75">
      <c r="A44" s="25" t="str">
        <v>EMHC</v>
      </c>
      <c r="B44" s="26" t="str">
        <v>NY</v>
      </c>
      <c r="C44" s="26" t="str">
        <f>Sites[[#This Row],[SOL'#]]</f>
        <v>SOL-10351</v>
      </c>
      <c r="D44" s="21">
        <f>SUM('1st Qtr'!D44, '2nd Qtr'!D44, '3rd Qtr'!D44, '4th Qtr'!D44)</f>
        <v>63152.869245838927</v>
      </c>
      <c r="E44" s="11">
        <f>SUM('1st Qtr'!E44, '2nd Qtr'!E44, '3rd Qtr'!E44, '4th Qtr'!E44)</f>
        <v>46607.658000000003</v>
      </c>
      <c r="F44" s="11">
        <f t="shared" si="6"/>
        <v>16545.211245838924</v>
      </c>
      <c r="G44" s="12">
        <f t="shared" si="7"/>
        <v>0.35498911457509669</v>
      </c>
      <c r="H44" s="13">
        <f>SUM('1st Qtr'!H44+'2nd Qtr'!H44+'3rd Qtr'!H44+'4th Qtr'!H44)</f>
        <v>67935.580999999991</v>
      </c>
      <c r="I44" s="13">
        <f>SUM('1st Qtr'!I44, '2nd Qtr'!I44, '3rd Qtr'!I44, '4th Qtr'!I44)</f>
        <v>-4782.7117541610705</v>
      </c>
      <c r="J44" s="14">
        <f t="shared" si="8"/>
        <v>-7.040068964981798E-2</v>
      </c>
      <c r="K44" s="38"/>
      <c r="L44" s="38"/>
    </row>
    <row r="45" spans="1:12" ht="15.75">
      <c r="A45" s="27" t="str">
        <v>Q008</v>
      </c>
      <c r="B45" s="28" t="str">
        <v>NY</v>
      </c>
      <c r="C45" s="28" t="str">
        <f>Sites[[#This Row],[SOL'#]]</f>
        <v>SOL-10397</v>
      </c>
      <c r="D45" s="10">
        <f>SUM('1st Qtr'!D45, '2nd Qtr'!D45, '3rd Qtr'!D45, '4th Qtr'!D45)</f>
        <v>247993.2890625</v>
      </c>
      <c r="E45" s="15">
        <f>SUM('1st Qtr'!E45, '2nd Qtr'!E45, '3rd Qtr'!E45, '4th Qtr'!E45)</f>
        <v>261520.59899999999</v>
      </c>
      <c r="F45" s="15">
        <f t="shared" si="6"/>
        <v>-13527.309937499987</v>
      </c>
      <c r="G45" s="16">
        <f t="shared" si="7"/>
        <v>-5.172560016008524E-2</v>
      </c>
      <c r="H45" s="17">
        <f>SUM('1st Qtr'!H45+'2nd Qtr'!H45+'3rd Qtr'!H45+'4th Qtr'!H45)</f>
        <v>257849</v>
      </c>
      <c r="I45" s="17">
        <f>SUM('1st Qtr'!I45, '2nd Qtr'!I45, '3rd Qtr'!I45, '4th Qtr'!I45)</f>
        <v>-9855.7109375</v>
      </c>
      <c r="J45" s="16">
        <f t="shared" si="8"/>
        <v>-3.8222800699246461E-2</v>
      </c>
      <c r="K45" s="39"/>
      <c r="L45" s="40"/>
    </row>
    <row r="46" spans="1:12" ht="15.75">
      <c r="A46" s="25" t="str">
        <v>Q018</v>
      </c>
      <c r="B46" s="26" t="str">
        <v>NY</v>
      </c>
      <c r="C46" s="26" t="str">
        <f>Sites[[#This Row],[SOL'#]]</f>
        <v>SOL-10398</v>
      </c>
      <c r="D46" s="21">
        <f>SUM('1st Qtr'!D46, '2nd Qtr'!D46, '3rd Qtr'!D46, '4th Qtr'!D46)</f>
        <v>164010.5</v>
      </c>
      <c r="E46" s="11">
        <f>SUM('1st Qtr'!E46, '2nd Qtr'!E46, '3rd Qtr'!E46, '4th Qtr'!E46)</f>
        <v>172674.77299999999</v>
      </c>
      <c r="F46" s="11">
        <f t="shared" si="6"/>
        <v>-8664.2729999999865</v>
      </c>
      <c r="G46" s="12">
        <f t="shared" si="7"/>
        <v>-5.0176831562998417E-2</v>
      </c>
      <c r="H46" s="13">
        <f>SUM('1st Qtr'!H46+'2nd Qtr'!H46+'3rd Qtr'!H46+'4th Qtr'!H46)</f>
        <v>179175.997</v>
      </c>
      <c r="I46" s="13">
        <f>SUM('1st Qtr'!I46, '2nd Qtr'!I46, '3rd Qtr'!I46, '4th Qtr'!I46)</f>
        <v>-15165.496999999999</v>
      </c>
      <c r="J46" s="14">
        <f t="shared" si="8"/>
        <v>-8.4640226670540025E-2</v>
      </c>
      <c r="K46" s="38"/>
      <c r="L46" s="38"/>
    </row>
    <row r="47" spans="1:12" ht="15.75">
      <c r="A47" s="27" t="str">
        <v>Q021</v>
      </c>
      <c r="B47" s="28" t="str">
        <v>NY</v>
      </c>
      <c r="C47" s="28" t="str">
        <f>Sites[[#This Row],[SOL'#]]</f>
        <v>SOL-10399</v>
      </c>
      <c r="D47" s="10">
        <f>SUM('1st Qtr'!D47, '2nd Qtr'!D47, '3rd Qtr'!D47, '4th Qtr'!D47)</f>
        <v>132416.625</v>
      </c>
      <c r="E47" s="15">
        <f>SUM('1st Qtr'!E47, '2nd Qtr'!E47, '3rd Qtr'!E47, '4th Qtr'!E47)</f>
        <v>140059.93799999999</v>
      </c>
      <c r="F47" s="15">
        <f t="shared" si="6"/>
        <v>-7643.3129999999946</v>
      </c>
      <c r="G47" s="16">
        <f t="shared" si="7"/>
        <v>-5.4571729140705426E-2</v>
      </c>
      <c r="H47" s="17">
        <f>SUM('1st Qtr'!H47+'2nd Qtr'!H47+'3rd Qtr'!H47+'4th Qtr'!H47)</f>
        <v>99726.357000000004</v>
      </c>
      <c r="I47" s="17">
        <f>SUM('1st Qtr'!I47, '2nd Qtr'!I47, '3rd Qtr'!I47, '4th Qtr'!I47)</f>
        <v>32690.268</v>
      </c>
      <c r="J47" s="16">
        <f t="shared" si="8"/>
        <v>0.32779968088075251</v>
      </c>
      <c r="K47" s="39"/>
      <c r="L47" s="40"/>
    </row>
    <row r="48" spans="1:12" ht="15.75">
      <c r="A48" s="25" t="str">
        <v>Q025</v>
      </c>
      <c r="B48" s="26" t="str">
        <v>NY</v>
      </c>
      <c r="C48" s="26" t="str">
        <f>Sites[[#This Row],[SOL'#]]</f>
        <v>SOL-10400</v>
      </c>
      <c r="D48" s="21">
        <f>SUM('1st Qtr'!D48, '2nd Qtr'!D48, '3rd Qtr'!D48, '4th Qtr'!D48)</f>
        <v>208285.625</v>
      </c>
      <c r="E48" s="11">
        <f>SUM('1st Qtr'!E48, '2nd Qtr'!E48, '3rd Qtr'!E48, '4th Qtr'!E48)</f>
        <v>235898.22999999998</v>
      </c>
      <c r="F48" s="11">
        <f t="shared" si="6"/>
        <v>-27612.604999999981</v>
      </c>
      <c r="G48" s="12">
        <f t="shared" si="7"/>
        <v>-0.11705304020297221</v>
      </c>
      <c r="H48" s="13">
        <f>SUM('1st Qtr'!H48+'2nd Qtr'!H48+'3rd Qtr'!H48+'4th Qtr'!H48)</f>
        <v>161676</v>
      </c>
      <c r="I48" s="13">
        <f>SUM('1st Qtr'!I48, '2nd Qtr'!I48, '3rd Qtr'!I48, '4th Qtr'!I48)</f>
        <v>46609.625</v>
      </c>
      <c r="J48" s="14">
        <f t="shared" si="8"/>
        <v>0.28829031519829784</v>
      </c>
      <c r="K48" s="38"/>
      <c r="L48" s="38"/>
    </row>
    <row r="49" spans="1:12" ht="15.75">
      <c r="A49" s="27" t="str">
        <v>Q074</v>
      </c>
      <c r="B49" s="28" t="str">
        <v>NY</v>
      </c>
      <c r="C49" s="28" t="str">
        <f>Sites[[#This Row],[SOL'#]]</f>
        <v>SOL-10402</v>
      </c>
      <c r="D49" s="10">
        <f>SUM('1st Qtr'!D49, '2nd Qtr'!D49, '3rd Qtr'!D49, '4th Qtr'!D49)</f>
        <v>146435.28125</v>
      </c>
      <c r="E49" s="15">
        <f>SUM('1st Qtr'!E49, '2nd Qtr'!E49, '3rd Qtr'!E49, '4th Qtr'!E49)</f>
        <v>153309.16</v>
      </c>
      <c r="F49" s="15">
        <f t="shared" si="6"/>
        <v>-6873.8787500000035</v>
      </c>
      <c r="G49" s="16">
        <f t="shared" si="7"/>
        <v>-4.4836712626955905E-2</v>
      </c>
      <c r="H49" s="17">
        <f>SUM('1st Qtr'!H49+'2nd Qtr'!H49+'3rd Qtr'!H49+'4th Qtr'!H49)</f>
        <v>157263.39600000001</v>
      </c>
      <c r="I49" s="17">
        <f>SUM('1st Qtr'!I49, '2nd Qtr'!I49, '3rd Qtr'!I49, '4th Qtr'!I49)</f>
        <v>-10828.114750000001</v>
      </c>
      <c r="J49" s="16">
        <f t="shared" si="8"/>
        <v>-6.885336973137729E-2</v>
      </c>
      <c r="K49" s="39"/>
      <c r="L49" s="40"/>
    </row>
    <row r="50" spans="1:12" ht="15.75">
      <c r="A50" s="25" t="str">
        <v>Q115</v>
      </c>
      <c r="B50" s="26" t="str">
        <v>NY</v>
      </c>
      <c r="C50" s="26" t="str">
        <f>Sites[[#This Row],[SOL'#]]</f>
        <v>SOL-10872</v>
      </c>
      <c r="D50" s="21">
        <f>SUM('1st Qtr'!D50, '2nd Qtr'!D50, '3rd Qtr'!D50, '4th Qtr'!D50)</f>
        <v>190692.5</v>
      </c>
      <c r="E50" s="11">
        <f>SUM('1st Qtr'!E50, '2nd Qtr'!E50, '3rd Qtr'!E50, '4th Qtr'!E50)</f>
        <v>212531.77399999998</v>
      </c>
      <c r="F50" s="11">
        <f t="shared" si="6"/>
        <v>-21839.273999999976</v>
      </c>
      <c r="G50" s="12">
        <f t="shared" si="7"/>
        <v>-0.10275768930437656</v>
      </c>
      <c r="H50" s="13">
        <f>SUM('1st Qtr'!H50+'2nd Qtr'!H50+'3rd Qtr'!H50+'4th Qtr'!H50)</f>
        <v>212675.57</v>
      </c>
      <c r="I50" s="13">
        <f>SUM('1st Qtr'!I50, '2nd Qtr'!I50, '3rd Qtr'!I50, '4th Qtr'!I50)</f>
        <v>-21983.070000000007</v>
      </c>
      <c r="J50" s="14">
        <f t="shared" si="8"/>
        <v>-0.10336434034242864</v>
      </c>
      <c r="K50" s="38"/>
      <c r="L50" s="38"/>
    </row>
    <row r="51" spans="1:12" ht="15.75">
      <c r="A51" s="27" t="str">
        <v>Q139</v>
      </c>
      <c r="B51" s="28" t="str">
        <v>NY</v>
      </c>
      <c r="C51" s="28" t="str">
        <f>Sites[[#This Row],[SOL'#]]</f>
        <v>SOL-10403</v>
      </c>
      <c r="D51" s="10">
        <f>SUM('1st Qtr'!D51, '2nd Qtr'!D51, '3rd Qtr'!D51, '4th Qtr'!D51)</f>
        <v>115008.53125</v>
      </c>
      <c r="E51" s="15">
        <f>SUM('1st Qtr'!E51, '2nd Qtr'!E51, '3rd Qtr'!E51, '4th Qtr'!E51)</f>
        <v>127573.818</v>
      </c>
      <c r="F51" s="15">
        <f t="shared" si="6"/>
        <v>-12565.286749999999</v>
      </c>
      <c r="G51" s="16">
        <f t="shared" si="7"/>
        <v>-9.8494243936479181E-2</v>
      </c>
      <c r="H51" s="17">
        <f>SUM('1st Qtr'!H51+'2nd Qtr'!H51+'3rd Qtr'!H51+'4th Qtr'!H51)</f>
        <v>125373</v>
      </c>
      <c r="I51" s="17">
        <f>SUM('1st Qtr'!I51, '2nd Qtr'!I51, '3rd Qtr'!I51, '4th Qtr'!I51)</f>
        <v>-10364.46875</v>
      </c>
      <c r="J51" s="16">
        <f t="shared" si="8"/>
        <v>-8.2669065508522571E-2</v>
      </c>
      <c r="K51" s="39"/>
      <c r="L51" s="40"/>
    </row>
    <row r="52" spans="1:12" ht="15.75">
      <c r="A52" s="25" t="str">
        <v>Q157</v>
      </c>
      <c r="B52" s="26" t="str">
        <v>NY</v>
      </c>
      <c r="C52" s="26" t="str">
        <f>Sites[[#This Row],[SOL'#]]</f>
        <v>SOL-10404</v>
      </c>
      <c r="D52" s="21">
        <f>SUM('1st Qtr'!D52, '2nd Qtr'!D52, '3rd Qtr'!D52, '4th Qtr'!D52)</f>
        <v>187266.5</v>
      </c>
      <c r="E52" s="11">
        <f>SUM('1st Qtr'!E52, '2nd Qtr'!E52, '3rd Qtr'!E52, '4th Qtr'!E52)</f>
        <v>225373.19500000001</v>
      </c>
      <c r="F52" s="11">
        <f t="shared" si="6"/>
        <v>-38106.695000000007</v>
      </c>
      <c r="G52" s="12">
        <f t="shared" si="7"/>
        <v>-0.16908264090589836</v>
      </c>
      <c r="H52" s="13">
        <f>SUM('1st Qtr'!H52+'2nd Qtr'!H52+'3rd Qtr'!H52+'4th Qtr'!H52)</f>
        <v>233065.27</v>
      </c>
      <c r="I52" s="13">
        <f>SUM('1st Qtr'!I52, '2nd Qtr'!I52, '3rd Qtr'!I52, '4th Qtr'!I52)</f>
        <v>-45798.770000000004</v>
      </c>
      <c r="J52" s="14">
        <f t="shared" si="8"/>
        <v>-0.19650619759863838</v>
      </c>
      <c r="K52" s="38"/>
      <c r="L52" s="38"/>
    </row>
    <row r="53" spans="1:12" ht="15.75">
      <c r="A53" s="27" t="str">
        <v>Q192</v>
      </c>
      <c r="B53" s="28" t="str">
        <v>NY</v>
      </c>
      <c r="C53" s="28" t="str">
        <f>Sites[[#This Row],[SOL'#]]</f>
        <v>SOL-10406</v>
      </c>
      <c r="D53" s="10">
        <f>SUM('1st Qtr'!D53, '2nd Qtr'!D53, '3rd Qtr'!D53, '4th Qtr'!D53)</f>
        <v>314648.1875</v>
      </c>
      <c r="E53" s="15">
        <f>SUM('1st Qtr'!E53, '2nd Qtr'!E53, '3rd Qtr'!E53, '4th Qtr'!E53)</f>
        <v>357000.30000000005</v>
      </c>
      <c r="F53" s="15">
        <f t="shared" si="6"/>
        <v>-42352.112500000047</v>
      </c>
      <c r="G53" s="16">
        <f t="shared" si="7"/>
        <v>-0.11863326865551665</v>
      </c>
      <c r="H53" s="17">
        <f>SUM('1st Qtr'!H53+'2nd Qtr'!H53+'3rd Qtr'!H53+'4th Qtr'!H53)</f>
        <v>331945.87</v>
      </c>
      <c r="I53" s="17">
        <f>SUM('1st Qtr'!I53, '2nd Qtr'!I53, '3rd Qtr'!I53, '4th Qtr'!I53)</f>
        <v>-17297.682499999999</v>
      </c>
      <c r="J53" s="16">
        <f t="shared" si="8"/>
        <v>-5.2109949432418E-2</v>
      </c>
      <c r="K53" s="39"/>
      <c r="L53" s="39"/>
    </row>
    <row r="54" spans="1:12" ht="15.75">
      <c r="A54" s="25" t="str">
        <v>Q210</v>
      </c>
      <c r="B54" s="26" t="str">
        <v>NY</v>
      </c>
      <c r="C54" s="26" t="str">
        <f>Sites[[#This Row],[SOL'#]]</f>
        <v>SOL-10407</v>
      </c>
      <c r="D54" s="21">
        <f>SUM('1st Qtr'!D54, '2nd Qtr'!D54, '3rd Qtr'!D54, '4th Qtr'!D54)</f>
        <v>250534.75</v>
      </c>
      <c r="E54" s="11">
        <f>SUM('1st Qtr'!E54, '2nd Qtr'!E54, '3rd Qtr'!E54, '4th Qtr'!E54)</f>
        <v>264918.70799999998</v>
      </c>
      <c r="F54" s="11">
        <f t="shared" si="6"/>
        <v>-14383.957999999984</v>
      </c>
      <c r="G54" s="12">
        <f t="shared" si="7"/>
        <v>-5.4295742677410254E-2</v>
      </c>
      <c r="H54" s="13">
        <f>SUM('1st Qtr'!H54+'2nd Qtr'!H54+'3rd Qtr'!H54+'4th Qtr'!H54)</f>
        <v>260453</v>
      </c>
      <c r="I54" s="13">
        <f>SUM('1st Qtr'!I54, '2nd Qtr'!I54, '3rd Qtr'!I54, '4th Qtr'!I54)</f>
        <v>-9918.25</v>
      </c>
      <c r="J54" s="14">
        <f t="shared" si="8"/>
        <v>-3.8080766971392149E-2</v>
      </c>
      <c r="K54" s="38"/>
      <c r="L54" s="38"/>
    </row>
    <row r="55" spans="1:12" ht="15.75">
      <c r="A55" s="27" t="str">
        <v>Q229</v>
      </c>
      <c r="B55" s="28" t="str">
        <v>NY</v>
      </c>
      <c r="C55" s="28" t="str">
        <f>Sites[[#This Row],[SOL'#]]</f>
        <v>SOL-10408</v>
      </c>
      <c r="D55" s="10">
        <f>SUM('1st Qtr'!D55, '2nd Qtr'!D55, '3rd Qtr'!D55, '4th Qtr'!D55)</f>
        <v>108023.2500000001</v>
      </c>
      <c r="E55" s="15">
        <f>SUM('1st Qtr'!E55, '2nd Qtr'!E55, '3rd Qtr'!E55, '4th Qtr'!E55)</f>
        <v>128470.70300000001</v>
      </c>
      <c r="F55" s="15">
        <f t="shared" si="6"/>
        <v>-20447.452999999907</v>
      </c>
      <c r="G55" s="16">
        <f t="shared" si="7"/>
        <v>-0.15916043520054457</v>
      </c>
      <c r="H55" s="17">
        <f>SUM('1st Qtr'!H55+'2nd Qtr'!H55+'3rd Qtr'!H55+'4th Qtr'!H55)</f>
        <v>127588.84299999999</v>
      </c>
      <c r="I55" s="17">
        <f>SUM('1st Qtr'!I55, '2nd Qtr'!I55, '3rd Qtr'!I55, '4th Qtr'!I55)</f>
        <v>-19565.592999999903</v>
      </c>
      <c r="J55" s="16">
        <f t="shared" si="8"/>
        <v>-0.15334877674217881</v>
      </c>
      <c r="K55" s="39"/>
      <c r="L55" s="40"/>
    </row>
    <row r="56" spans="1:12" ht="15.75">
      <c r="A56" s="25" t="str">
        <v>Q231</v>
      </c>
      <c r="B56" s="26" t="str">
        <v>NY</v>
      </c>
      <c r="C56" s="26" t="str">
        <f>Sites[[#This Row],[SOL'#]]</f>
        <v>SOL-10870</v>
      </c>
      <c r="D56" s="21">
        <f>SUM('1st Qtr'!D56, '2nd Qtr'!D56, '3rd Qtr'!D56, '4th Qtr'!D56)</f>
        <v>422087.68750000023</v>
      </c>
      <c r="E56" s="11">
        <f>SUM('1st Qtr'!E56, '2nd Qtr'!E56, '3rd Qtr'!E56, '4th Qtr'!E56)</f>
        <v>463492</v>
      </c>
      <c r="F56" s="11">
        <f t="shared" si="6"/>
        <v>-41404.312499999767</v>
      </c>
      <c r="G56" s="12">
        <f t="shared" si="7"/>
        <v>-8.9331234411812427E-2</v>
      </c>
      <c r="H56" s="13">
        <f>SUM('1st Qtr'!H56+'2nd Qtr'!H56+'3rd Qtr'!H56+'4th Qtr'!H56)</f>
        <v>189547</v>
      </c>
      <c r="I56" s="13">
        <f>SUM('1st Qtr'!I56, '2nd Qtr'!I56, '3rd Qtr'!I56, '4th Qtr'!I56)</f>
        <v>232540.68750000023</v>
      </c>
      <c r="J56" s="14">
        <f t="shared" si="8"/>
        <v>1.2268233604330336</v>
      </c>
      <c r="K56" s="38"/>
      <c r="L56" s="38"/>
    </row>
    <row r="57" spans="1:12" ht="15.75">
      <c r="A57" s="27" t="str">
        <v>Q405</v>
      </c>
      <c r="B57" s="28" t="str">
        <v>NY</v>
      </c>
      <c r="C57" s="28" t="str">
        <f>Sites[[#This Row],[SOL'#]]</f>
        <v>SOL-10409</v>
      </c>
      <c r="D57" s="10">
        <f>SUM('1st Qtr'!D57, '2nd Qtr'!D57, '3rd Qtr'!D57, '4th Qtr'!D57)</f>
        <v>462185.25</v>
      </c>
      <c r="E57" s="15">
        <f>SUM('1st Qtr'!E57, '2nd Qtr'!E57, '3rd Qtr'!E57, '4th Qtr'!E57)</f>
        <v>504420.38</v>
      </c>
      <c r="F57" s="15">
        <f t="shared" si="6"/>
        <v>-42235.130000000005</v>
      </c>
      <c r="G57" s="16">
        <f t="shared" si="7"/>
        <v>-8.373002296219674E-2</v>
      </c>
      <c r="H57" s="17">
        <f>SUM('1st Qtr'!H57+'2nd Qtr'!H57+'3rd Qtr'!H57+'4th Qtr'!H57)</f>
        <v>440656.91000000003</v>
      </c>
      <c r="I57" s="17">
        <f>SUM('1st Qtr'!I57, '2nd Qtr'!I57, '3rd Qtr'!I57, '4th Qtr'!I57)</f>
        <v>21528.339999999997</v>
      </c>
      <c r="J57" s="16">
        <f t="shared" si="8"/>
        <v>4.885510589179231E-2</v>
      </c>
      <c r="K57" s="39"/>
      <c r="L57" s="40"/>
    </row>
    <row r="58" spans="1:12" ht="15.75">
      <c r="A58" s="25" t="str">
        <v>Q435</v>
      </c>
      <c r="B58" s="26" t="str">
        <v>NY</v>
      </c>
      <c r="C58" s="26" t="str">
        <f>Sites[[#This Row],[SOL'#]]</f>
        <v>SOL-10923</v>
      </c>
      <c r="D58" s="21">
        <f>SUM('1st Qtr'!D58, '2nd Qtr'!D58, '3rd Qtr'!D58, '4th Qtr'!D58)</f>
        <v>427484.046875</v>
      </c>
      <c r="E58" s="11">
        <f>SUM('1st Qtr'!E58, '2nd Qtr'!E58, '3rd Qtr'!E58, '4th Qtr'!E58)</f>
        <v>335376.94</v>
      </c>
      <c r="F58" s="11">
        <f t="shared" si="6"/>
        <v>92107.106874999998</v>
      </c>
      <c r="G58" s="12">
        <f t="shared" si="7"/>
        <v>0.2746375671356534</v>
      </c>
      <c r="H58" s="13">
        <f>SUM('1st Qtr'!H58+'2nd Qtr'!H58+'3rd Qtr'!H58+'4th Qtr'!H58)</f>
        <v>266232</v>
      </c>
      <c r="I58" s="13">
        <f>SUM('1st Qtr'!I58, '2nd Qtr'!I58, '3rd Qtr'!I58, '4th Qtr'!I58)</f>
        <v>161252.046875</v>
      </c>
      <c r="J58" s="14">
        <f t="shared" si="8"/>
        <v>0.60568243815544343</v>
      </c>
      <c r="K58" s="38"/>
      <c r="L58" s="38"/>
    </row>
    <row r="59" spans="1:12" ht="15.75">
      <c r="A59" s="27" t="str">
        <v>Q485</v>
      </c>
      <c r="B59" s="28" t="str">
        <v>NY</v>
      </c>
      <c r="C59" s="28" t="str">
        <f>Sites[[#This Row],[SOL'#]]</f>
        <v>SOL-10869</v>
      </c>
      <c r="D59" s="10">
        <f>SUM('1st Qtr'!D59, '2nd Qtr'!D59, '3rd Qtr'!D59, '4th Qtr'!D59)</f>
        <v>521941.77152324317</v>
      </c>
      <c r="E59" s="15">
        <f>SUM('1st Qtr'!E59, '2nd Qtr'!E59, '3rd Qtr'!E59, '4th Qtr'!E59)</f>
        <v>431112.37</v>
      </c>
      <c r="F59" s="15">
        <f t="shared" si="6"/>
        <v>90829.40152324317</v>
      </c>
      <c r="G59" s="16">
        <f t="shared" si="7"/>
        <v>0.210686140885364</v>
      </c>
      <c r="H59" s="17">
        <f>SUM('1st Qtr'!H59+'2nd Qtr'!H59+'3rd Qtr'!H59+'4th Qtr'!H59)</f>
        <v>512638.78</v>
      </c>
      <c r="I59" s="17">
        <f>SUM('1st Qtr'!I59, '2nd Qtr'!I59, '3rd Qtr'!I59, '4th Qtr'!I59)</f>
        <v>9302.9915232431958</v>
      </c>
      <c r="J59" s="16">
        <f t="shared" si="8"/>
        <v>1.8147264479763305E-2</v>
      </c>
      <c r="K59" s="39"/>
      <c r="L59" s="40"/>
    </row>
    <row r="60" spans="1:12" ht="15.75">
      <c r="A60" s="25" t="str">
        <v>Q490</v>
      </c>
      <c r="B60" s="26" t="str">
        <v>NY</v>
      </c>
      <c r="C60" s="26" t="str">
        <f>Sites[[#This Row],[SOL'#]]</f>
        <v>SOL-10411</v>
      </c>
      <c r="D60" s="21">
        <f>SUM('1st Qtr'!D60, '2nd Qtr'!D60, '3rd Qtr'!D60, '4th Qtr'!D60)</f>
        <v>391902.34781250008</v>
      </c>
      <c r="E60" s="11">
        <f>SUM('1st Qtr'!E60, '2nd Qtr'!E60, '3rd Qtr'!E60, '4th Qtr'!E60)</f>
        <v>0</v>
      </c>
      <c r="F60" s="11">
        <f t="shared" si="6"/>
        <v>391902.34781250008</v>
      </c>
      <c r="G60" s="12" t="str">
        <f t="shared" si="7"/>
        <v/>
      </c>
      <c r="H60" s="13">
        <f>SUM('1st Qtr'!H60+'2nd Qtr'!H60+'3rd Qtr'!H60+'4th Qtr'!H60)</f>
        <v>444437.42</v>
      </c>
      <c r="I60" s="13">
        <f>SUM('1st Qtr'!I60, '2nd Qtr'!I60, '3rd Qtr'!I60, '4th Qtr'!I60)</f>
        <v>-52535.0721874999</v>
      </c>
      <c r="J60" s="14">
        <f t="shared" si="8"/>
        <v>-0.11820578066423817</v>
      </c>
      <c r="K60" s="38"/>
      <c r="L60" s="38"/>
    </row>
    <row r="61" spans="1:12" ht="15.75">
      <c r="A61" s="27" t="str">
        <v>Q620</v>
      </c>
      <c r="B61" s="28" t="str">
        <v>NY</v>
      </c>
      <c r="C61" s="28" t="str">
        <f>Sites[[#This Row],[SOL'#]]</f>
        <v>SOL-10867</v>
      </c>
      <c r="D61" s="10">
        <f>SUM('1st Qtr'!D61, '2nd Qtr'!D61, '3rd Qtr'!D61, '4th Qtr'!D61)</f>
        <v>605048</v>
      </c>
      <c r="E61" s="15">
        <f>SUM('1st Qtr'!E61, '2nd Qtr'!E61, '3rd Qtr'!E61, '4th Qtr'!E61)</f>
        <v>644481.85</v>
      </c>
      <c r="F61" s="15">
        <f t="shared" si="6"/>
        <v>-39433.849999999977</v>
      </c>
      <c r="G61" s="16">
        <f t="shared" si="7"/>
        <v>-6.1186905418670792E-2</v>
      </c>
      <c r="H61" s="17">
        <f>SUM('1st Qtr'!H61+'2nd Qtr'!H61+'3rd Qtr'!H61+'4th Qtr'!H61)</f>
        <v>662216.68999999994</v>
      </c>
      <c r="I61" s="17">
        <f>SUM('1st Qtr'!I61, '2nd Qtr'!I61, '3rd Qtr'!I61, '4th Qtr'!I61)</f>
        <v>-57168.69</v>
      </c>
      <c r="J61" s="16">
        <f t="shared" si="8"/>
        <v>-8.6329279921954258E-2</v>
      </c>
      <c r="K61" s="39"/>
      <c r="L61" s="40"/>
    </row>
    <row r="62" spans="1:12" ht="15.75">
      <c r="A62" s="25" t="str">
        <v>QMOA</v>
      </c>
      <c r="B62" s="26" t="str">
        <v>NY</v>
      </c>
      <c r="C62" s="26" t="str">
        <f>Sites[[#This Row],[SOL'#]]</f>
        <v>SOL-10415</v>
      </c>
      <c r="D62" s="21">
        <f>SUM('1st Qtr'!D62, '2nd Qtr'!D62, '3rd Qtr'!D62, '4th Qtr'!D62)</f>
        <v>53365.999999999993</v>
      </c>
      <c r="E62" s="11">
        <f>SUM('1st Qtr'!E62, '2nd Qtr'!E62, '3rd Qtr'!E62, '4th Qtr'!E62)</f>
        <v>0</v>
      </c>
      <c r="F62" s="11">
        <f t="shared" si="6"/>
        <v>53365.999999999993</v>
      </c>
      <c r="G62" s="12" t="str">
        <f t="shared" si="7"/>
        <v/>
      </c>
      <c r="H62" s="13">
        <f>SUM('1st Qtr'!H62+'2nd Qtr'!H62+'3rd Qtr'!H62+'4th Qtr'!H62)</f>
        <v>56905.853999999999</v>
      </c>
      <c r="I62" s="13">
        <f>SUM('1st Qtr'!I62, '2nd Qtr'!I62, '3rd Qtr'!I62, '4th Qtr'!I62)</f>
        <v>-3539.8540000000121</v>
      </c>
      <c r="J62" s="14">
        <f t="shared" si="8"/>
        <v>-6.220544550653808E-2</v>
      </c>
      <c r="K62" s="38"/>
      <c r="L62" s="38"/>
    </row>
    <row r="63" spans="1:12" ht="15.75">
      <c r="A63" s="27" t="str">
        <v>X024</v>
      </c>
      <c r="B63" s="28" t="str">
        <v>NY</v>
      </c>
      <c r="C63" s="28" t="str">
        <f>Sites[[#This Row],[SOL'#]]</f>
        <v>SOL-10419</v>
      </c>
      <c r="D63" s="10">
        <f>SUM('1st Qtr'!D63, '2nd Qtr'!D63, '3rd Qtr'!D63, '4th Qtr'!D63)</f>
        <v>234694.83693749999</v>
      </c>
      <c r="E63" s="15">
        <f>SUM('1st Qtr'!E63, '2nd Qtr'!E63, '3rd Qtr'!E63, '4th Qtr'!E63)</f>
        <v>48391.270000000004</v>
      </c>
      <c r="F63" s="15">
        <f t="shared" si="6"/>
        <v>186303.56693749997</v>
      </c>
      <c r="G63" s="16">
        <f t="shared" si="7"/>
        <v>3.849941672072255</v>
      </c>
      <c r="H63" s="17">
        <f>SUM('1st Qtr'!H63+'2nd Qtr'!H63+'3rd Qtr'!H63+'4th Qtr'!H63)</f>
        <v>101334</v>
      </c>
      <c r="I63" s="17">
        <f>SUM('1st Qtr'!I63, '2nd Qtr'!I63, '3rd Qtr'!I63, '4th Qtr'!I63)</f>
        <v>133360.83693749999</v>
      </c>
      <c r="J63" s="16">
        <f t="shared" si="8"/>
        <v>1.3160522325922197</v>
      </c>
      <c r="K63" s="39"/>
      <c r="L63" s="40"/>
    </row>
    <row r="64" spans="1:12" ht="15.75">
      <c r="A64" s="25" t="str">
        <v>X026</v>
      </c>
      <c r="B64" s="26" t="str">
        <v>NY</v>
      </c>
      <c r="C64" s="26" t="str">
        <f>Sites[[#This Row],[SOL'#]]</f>
        <v>SOL-10420</v>
      </c>
      <c r="D64" s="21">
        <f>SUM('1st Qtr'!D64, '2nd Qtr'!D64, '3rd Qtr'!D64, '4th Qtr'!D64)</f>
        <v>201188.77700000006</v>
      </c>
      <c r="E64" s="11">
        <f>SUM('1st Qtr'!E64, '2nd Qtr'!E64, '3rd Qtr'!E64, '4th Qtr'!E64)</f>
        <v>202407.45999999996</v>
      </c>
      <c r="F64" s="11">
        <f t="shared" si="6"/>
        <v>-1218.6829999999027</v>
      </c>
      <c r="G64" s="12">
        <f t="shared" si="7"/>
        <v>-6.0209391491791008E-3</v>
      </c>
      <c r="H64" s="13">
        <f>SUM('1st Qtr'!H64+'2nd Qtr'!H64+'3rd Qtr'!H64+'4th Qtr'!H64)</f>
        <v>231964.611</v>
      </c>
      <c r="I64" s="13">
        <f>SUM('1st Qtr'!I64, '2nd Qtr'!I64, '3rd Qtr'!I64, '4th Qtr'!I64)</f>
        <v>-30775.833999999959</v>
      </c>
      <c r="J64" s="14">
        <f t="shared" si="8"/>
        <v>-0.13267469493439221</v>
      </c>
      <c r="K64" s="38"/>
      <c r="L64" s="38"/>
    </row>
    <row r="65" spans="1:12" ht="15.75">
      <c r="A65" s="27" t="str">
        <v>X090</v>
      </c>
      <c r="B65" s="28" t="str">
        <v>NY</v>
      </c>
      <c r="C65" s="28" t="str">
        <f>Sites[[#This Row],[SOL'#]]</f>
        <v>SOL-10925</v>
      </c>
      <c r="D65" s="10">
        <f>SUM('1st Qtr'!D65, '2nd Qtr'!D65, '3rd Qtr'!D65, '4th Qtr'!D65)</f>
        <v>174197.2208175</v>
      </c>
      <c r="E65" s="15">
        <f>SUM('1st Qtr'!E65, '2nd Qtr'!E65, '3rd Qtr'!E65, '4th Qtr'!E65)</f>
        <v>154134.83000000002</v>
      </c>
      <c r="F65" s="15">
        <f t="shared" si="6"/>
        <v>20062.390817499981</v>
      </c>
      <c r="G65" s="16">
        <f t="shared" si="7"/>
        <v>0.1301613062894349</v>
      </c>
      <c r="H65" s="17">
        <f>SUM('1st Qtr'!H65+'2nd Qtr'!H65+'3rd Qtr'!H65+'4th Qtr'!H65)</f>
        <v>166077.16999999998</v>
      </c>
      <c r="I65" s="17">
        <f>SUM('1st Qtr'!I65, '2nd Qtr'!I65, '3rd Qtr'!I65, '4th Qtr'!I65)</f>
        <v>8120.0508175000032</v>
      </c>
      <c r="J65" s="16">
        <f t="shared" si="8"/>
        <v>4.8893239314590949E-2</v>
      </c>
      <c r="K65" s="39"/>
      <c r="L65" s="39"/>
    </row>
    <row r="66" spans="1:12" ht="15.75">
      <c r="A66" s="25" t="str">
        <v>X117</v>
      </c>
      <c r="B66" s="26" t="str">
        <v>NY</v>
      </c>
      <c r="C66" s="26" t="str">
        <f>Sites[[#This Row],[SOL'#]]</f>
        <v>SOL-10422</v>
      </c>
      <c r="D66" s="21">
        <f>SUM('1st Qtr'!D66, '2nd Qtr'!D66, '3rd Qtr'!D66, '4th Qtr'!D66)</f>
        <v>153738.36700000003</v>
      </c>
      <c r="E66" s="11">
        <f>SUM('1st Qtr'!E66, '2nd Qtr'!E66, '3rd Qtr'!E66, '4th Qtr'!E66)</f>
        <v>172379.43599999999</v>
      </c>
      <c r="F66" s="11">
        <f t="shared" si="6"/>
        <v>-18641.068999999959</v>
      </c>
      <c r="G66" s="12">
        <f t="shared" si="7"/>
        <v>-0.10813974933761798</v>
      </c>
      <c r="H66" s="13">
        <f>SUM('1st Qtr'!H66+'2nd Qtr'!H66+'3rd Qtr'!H66+'4th Qtr'!H66)</f>
        <v>202132.652</v>
      </c>
      <c r="I66" s="13">
        <f>SUM('1st Qtr'!I66, '2nd Qtr'!I66, '3rd Qtr'!I66, '4th Qtr'!I66)</f>
        <v>-48394.284999999967</v>
      </c>
      <c r="J66" s="14">
        <f t="shared" si="8"/>
        <v>-0.2394184438840686</v>
      </c>
      <c r="K66" s="38"/>
      <c r="L66" s="38"/>
    </row>
    <row r="67" spans="1:12" ht="15.75">
      <c r="A67" s="27" t="str">
        <v>X125</v>
      </c>
      <c r="B67" s="28" t="str">
        <v>NY</v>
      </c>
      <c r="C67" s="28" t="str">
        <f>Sites[[#This Row],[SOL'#]]</f>
        <v>SOL-10423</v>
      </c>
      <c r="D67" s="10">
        <f>SUM('1st Qtr'!D67, '2nd Qtr'!D67, '3rd Qtr'!D67, '4th Qtr'!D67)</f>
        <v>271386.03625</v>
      </c>
      <c r="E67" s="15">
        <f>SUM('1st Qtr'!E67, '2nd Qtr'!E67, '3rd Qtr'!E67, '4th Qtr'!E67)</f>
        <v>294544.71299999999</v>
      </c>
      <c r="F67" s="15">
        <f t="shared" si="6"/>
        <v>-23158.676749999984</v>
      </c>
      <c r="G67" s="16">
        <f t="shared" si="7"/>
        <v>-7.8625335060758625E-2</v>
      </c>
      <c r="H67" s="17">
        <f>SUM('1st Qtr'!H67+'2nd Qtr'!H67+'3rd Qtr'!H67+'4th Qtr'!H67)</f>
        <v>234875.54099999997</v>
      </c>
      <c r="I67" s="17">
        <f>SUM('1st Qtr'!I67, '2nd Qtr'!I67, '3rd Qtr'!I67, '4th Qtr'!I67)</f>
        <v>36510.49525</v>
      </c>
      <c r="J67" s="16">
        <f t="shared" si="8"/>
        <v>0.15544613583242373</v>
      </c>
      <c r="K67" s="39"/>
      <c r="L67" s="40"/>
    </row>
    <row r="68" spans="1:12" ht="15.75">
      <c r="A68" s="25" t="str">
        <v>X134</v>
      </c>
      <c r="B68" s="26" t="str">
        <v>NY</v>
      </c>
      <c r="C68" s="26" t="str">
        <f>Sites[[#This Row],[SOL'#]]</f>
        <v>SOL-10424</v>
      </c>
      <c r="D68" s="21">
        <f>SUM('1st Qtr'!D68, '2nd Qtr'!D68, '3rd Qtr'!D68, '4th Qtr'!D68)</f>
        <v>263536.29613000003</v>
      </c>
      <c r="E68" s="11">
        <f>SUM('1st Qtr'!E68, '2nd Qtr'!E68, '3rd Qtr'!E68, '4th Qtr'!E68)</f>
        <v>46780</v>
      </c>
      <c r="F68" s="11">
        <f t="shared" si="6"/>
        <v>216756.29613000003</v>
      </c>
      <c r="G68" s="12">
        <f t="shared" si="7"/>
        <v>4.6335249279606678</v>
      </c>
      <c r="H68" s="13">
        <f>SUM('1st Qtr'!H68+'2nd Qtr'!H68+'3rd Qtr'!H68+'4th Qtr'!H68)</f>
        <v>118523</v>
      </c>
      <c r="I68" s="13">
        <f>SUM('1st Qtr'!I68, '2nd Qtr'!I68, '3rd Qtr'!I68, '4th Qtr'!I68)</f>
        <v>145013.29613</v>
      </c>
      <c r="J68" s="14">
        <f t="shared" si="8"/>
        <v>1.2235034223737165</v>
      </c>
      <c r="K68" s="38"/>
      <c r="L68" s="38"/>
    </row>
    <row r="69" spans="1:12" ht="15.75">
      <c r="A69" s="27" t="str">
        <v>X135</v>
      </c>
      <c r="B69" s="28" t="str">
        <v>NY</v>
      </c>
      <c r="C69" s="28" t="str">
        <f>Sites[[#This Row],[SOL'#]]</f>
        <v>SOL-10425</v>
      </c>
      <c r="D69" s="10">
        <f>SUM('1st Qtr'!D69, '2nd Qtr'!D69, '3rd Qtr'!D69, '4th Qtr'!D69)</f>
        <v>190274.271255</v>
      </c>
      <c r="E69" s="15">
        <f>SUM('1st Qtr'!E69, '2nd Qtr'!E69, '3rd Qtr'!E69, '4th Qtr'!E69)</f>
        <v>42917.770000000004</v>
      </c>
      <c r="F69" s="15">
        <f t="shared" si="6"/>
        <v>147356.50125500001</v>
      </c>
      <c r="G69" s="16">
        <f t="shared" si="7"/>
        <v>3.4334612738499692</v>
      </c>
      <c r="H69" s="17">
        <f>SUM('1st Qtr'!H69+'2nd Qtr'!H69+'3rd Qtr'!H69+'4th Qtr'!H69)</f>
        <v>95144</v>
      </c>
      <c r="I69" s="17">
        <f>SUM('1st Qtr'!I69, '2nd Qtr'!I69, '3rd Qtr'!I69, '4th Qtr'!I69)</f>
        <v>95130.271255</v>
      </c>
      <c r="J69" s="16">
        <f t="shared" si="8"/>
        <v>0.99985570561464732</v>
      </c>
      <c r="K69" s="39"/>
      <c r="L69" s="40"/>
    </row>
    <row r="70" spans="1:12" ht="15.75">
      <c r="A70" s="25" t="str">
        <v>X139 JHS 222</v>
      </c>
      <c r="B70" s="26" t="str">
        <v>NY</v>
      </c>
      <c r="C70" s="26" t="str">
        <f>Sites[[#This Row],[SOL'#]]</f>
        <v>SOL-10426</v>
      </c>
      <c r="D70" s="21">
        <f>SUM('1st Qtr'!D70, '2nd Qtr'!D70, '3rd Qtr'!D70, '4th Qtr'!D70)</f>
        <v>339142.60474855889</v>
      </c>
      <c r="E70" s="11">
        <f>SUM('1st Qtr'!E70, '2nd Qtr'!E70, '3rd Qtr'!E70, '4th Qtr'!E70)</f>
        <v>361358.32</v>
      </c>
      <c r="F70" s="11">
        <f t="shared" si="6"/>
        <v>-22215.715251441114</v>
      </c>
      <c r="G70" s="12">
        <f t="shared" si="7"/>
        <v>-6.1478355476749819E-2</v>
      </c>
      <c r="H70" s="13">
        <f>SUM('1st Qtr'!H70+'2nd Qtr'!H70+'3rd Qtr'!H70+'4th Qtr'!H70)</f>
        <v>358784</v>
      </c>
      <c r="I70" s="13">
        <f>SUM('1st Qtr'!I70, '2nd Qtr'!I70, '3rd Qtr'!I70, '4th Qtr'!I70)</f>
        <v>-19641.395251441132</v>
      </c>
      <c r="J70" s="14">
        <f t="shared" si="8"/>
        <v>-5.4744345487650316E-2</v>
      </c>
      <c r="K70" s="38"/>
      <c r="L70" s="38"/>
    </row>
    <row r="71" spans="1:12" ht="15.75">
      <c r="A71" s="27" t="str">
        <v>X140</v>
      </c>
      <c r="B71" s="28" t="str">
        <v>NY</v>
      </c>
      <c r="C71" s="28" t="str">
        <f>Sites[[#This Row],[SOL'#]]</f>
        <v>SOL-10926</v>
      </c>
      <c r="D71" s="10">
        <f>SUM('1st Qtr'!D71, '2nd Qtr'!D71, '3rd Qtr'!D71, '4th Qtr'!D71)</f>
        <v>185751.77604437497</v>
      </c>
      <c r="E71" s="15">
        <f>SUM('1st Qtr'!E71, '2nd Qtr'!E71, '3rd Qtr'!E71, '4th Qtr'!E71)</f>
        <v>163578.67799999999</v>
      </c>
      <c r="F71" s="15">
        <f t="shared" si="6"/>
        <v>22173.098044374987</v>
      </c>
      <c r="G71" s="16">
        <f t="shared" si="7"/>
        <v>0.13555005038233031</v>
      </c>
      <c r="H71" s="17">
        <f>SUM('1st Qtr'!H71+'2nd Qtr'!H71+'3rd Qtr'!H71+'4th Qtr'!H71)</f>
        <v>180029.06900000002</v>
      </c>
      <c r="I71" s="17">
        <f>SUM('1st Qtr'!I71, '2nd Qtr'!I71, '3rd Qtr'!I71, '4th Qtr'!I71)</f>
        <v>5722.7070443749999</v>
      </c>
      <c r="J71" s="16">
        <f t="shared" si="8"/>
        <v>3.1787683378926984E-2</v>
      </c>
      <c r="K71" s="39"/>
      <c r="L71" s="40"/>
    </row>
    <row r="72" spans="1:12" ht="15.75">
      <c r="A72" s="25" t="str">
        <v>X166</v>
      </c>
      <c r="B72" s="26" t="str">
        <v>NY</v>
      </c>
      <c r="C72" s="26" t="str">
        <f>Sites[[#This Row],[SOL'#]]</f>
        <v>SOL-10427</v>
      </c>
      <c r="D72" s="21">
        <f>SUM('1st Qtr'!D72, '2nd Qtr'!D72, '3rd Qtr'!D72, '4th Qtr'!D72)</f>
        <v>195570.99999999997</v>
      </c>
      <c r="E72" s="11">
        <f>SUM('1st Qtr'!E72, '2nd Qtr'!E72, '3rd Qtr'!E72, '4th Qtr'!E72)</f>
        <v>208711.06599999999</v>
      </c>
      <c r="F72" s="11">
        <f t="shared" si="6"/>
        <v>-13140.066000000021</v>
      </c>
      <c r="G72" s="12">
        <f t="shared" si="7"/>
        <v>-6.2958166291000692E-2</v>
      </c>
      <c r="H72" s="13">
        <f>SUM('1st Qtr'!H72+'2nd Qtr'!H72+'3rd Qtr'!H72+'4th Qtr'!H72)</f>
        <v>88632</v>
      </c>
      <c r="I72" s="13">
        <f>SUM('1st Qtr'!I72, '2nd Qtr'!I72, '3rd Qtr'!I72, '4th Qtr'!I72)</f>
        <v>81931.999999999971</v>
      </c>
      <c r="J72" s="14">
        <f t="shared" si="8"/>
        <v>0.9244065348858197</v>
      </c>
      <c r="K72" s="38"/>
      <c r="L72" s="38"/>
    </row>
    <row r="73" spans="1:12" ht="15.75">
      <c r="A73" s="27" t="str">
        <v>Murphy</v>
      </c>
      <c r="B73" s="28" t="str">
        <v>MN</v>
      </c>
      <c r="C73" s="28" t="str">
        <f>Sites[[#This Row],[SOL'#]]</f>
        <v>SOL-10094</v>
      </c>
      <c r="D73" s="10">
        <f>SUM('1st Qtr'!D73, '2nd Qtr'!D73, '3rd Qtr'!D73, '4th Qtr'!D73)</f>
        <v>6042700</v>
      </c>
      <c r="E73" s="15">
        <f>SUM('1st Qtr'!E73, '2nd Qtr'!E73, '3rd Qtr'!E73, '4th Qtr'!E73)</f>
        <v>6934084.5999999996</v>
      </c>
      <c r="F73" s="15">
        <f t="shared" si="6"/>
        <v>-891384.59999999963</v>
      </c>
      <c r="G73" s="16">
        <f t="shared" si="7"/>
        <v>-0.12855115727892902</v>
      </c>
      <c r="H73" s="17">
        <f>SUM('1st Qtr'!H73+'2nd Qtr'!H73+'3rd Qtr'!H73+'4th Qtr'!H73)</f>
        <v>8589597</v>
      </c>
      <c r="I73" s="17">
        <f>SUM('1st Qtr'!I73, '2nd Qtr'!I73, '3rd Qtr'!I73, '4th Qtr'!I73)</f>
        <v>-2546897</v>
      </c>
      <c r="J73" s="16">
        <f t="shared" si="8"/>
        <v>-0.29650948699921542</v>
      </c>
      <c r="K73" s="39"/>
      <c r="L73" s="40"/>
    </row>
    <row r="74" spans="1:12" ht="15.75">
      <c r="A74" s="25" t="str">
        <v>Terning</v>
      </c>
      <c r="B74" s="26" t="str">
        <v>MN</v>
      </c>
      <c r="C74" s="26" t="str">
        <f>Sites[[#This Row],[SOL'#]]</f>
        <v>SOL-10093</v>
      </c>
      <c r="D74" s="21">
        <f>SUM('1st Qtr'!D74, '2nd Qtr'!D74, '3rd Qtr'!D74, '4th Qtr'!D74)</f>
        <v>8079272.0999999996</v>
      </c>
      <c r="E74" s="11">
        <f>SUM('1st Qtr'!E74, '2nd Qtr'!E74, '3rd Qtr'!E74, '4th Qtr'!E74)</f>
        <v>8966843.2180000003</v>
      </c>
      <c r="F74" s="11">
        <f t="shared" si="6"/>
        <v>-887571.11800000072</v>
      </c>
      <c r="G74" s="12">
        <f t="shared" si="7"/>
        <v>-9.8983677579897289E-2</v>
      </c>
      <c r="H74" s="13">
        <f>SUM('1st Qtr'!H74+'2nd Qtr'!H74+'3rd Qtr'!H74+'4th Qtr'!H74)</f>
        <v>8525934.1000000015</v>
      </c>
      <c r="I74" s="13">
        <f>SUM('1st Qtr'!I74, '2nd Qtr'!I74, '3rd Qtr'!I74, '4th Qtr'!I74)</f>
        <v>-446662</v>
      </c>
      <c r="J74" s="14">
        <f t="shared" si="8"/>
        <v>-5.2388629182578354E-2</v>
      </c>
      <c r="K74" s="38"/>
      <c r="L74" s="38"/>
    </row>
    <row r="75" spans="1:12" ht="15.75">
      <c r="A75" s="27" t="str">
        <v>Boas Road 04</v>
      </c>
      <c r="B75" s="28" t="str">
        <v>NY</v>
      </c>
      <c r="C75" s="28" t="str">
        <f>Sites[[#This Row],[SOL'#]]</f>
        <v>SOL-10908</v>
      </c>
      <c r="D75" s="10">
        <f>SUM('1st Qtr'!D75, '2nd Qtr'!D75, '3rd Qtr'!D75, '4th Qtr'!D75)</f>
        <v>2890973</v>
      </c>
      <c r="E75" s="15">
        <f>SUM('1st Qtr'!E75, '2nd Qtr'!E75, '3rd Qtr'!E75, '4th Qtr'!E75)</f>
        <v>1415010.3190000001</v>
      </c>
      <c r="F75" s="15">
        <f t="shared" si="6"/>
        <v>1475962.6809999999</v>
      </c>
      <c r="G75" s="16">
        <f t="shared" si="7"/>
        <v>1.0430755600730002</v>
      </c>
      <c r="H75" s="17">
        <f>SUM('1st Qtr'!H75+'2nd Qtr'!H75+'3rd Qtr'!H75+'4th Qtr'!H75)</f>
        <v>3177762.23</v>
      </c>
      <c r="I75" s="17">
        <f>SUM('1st Qtr'!I75, '2nd Qtr'!I75, '3rd Qtr'!I75, '4th Qtr'!I75)</f>
        <v>-282244.63</v>
      </c>
      <c r="J75" s="16">
        <f t="shared" si="8"/>
        <v>-8.8818674769131481E-2</v>
      </c>
      <c r="K75" s="39"/>
      <c r="L75" s="40"/>
    </row>
    <row r="76" spans="1:12" ht="15.75">
      <c r="A76" s="25" t="str">
        <v>Kelly Bridge Farm</v>
      </c>
      <c r="B76" s="26" t="str">
        <v>NY</v>
      </c>
      <c r="C76" s="26" t="str">
        <f>Sites[[#This Row],[SOL'#]]</f>
        <v>SOL-10911</v>
      </c>
      <c r="D76" s="21">
        <f>SUM('1st Qtr'!D76, '2nd Qtr'!D76, '3rd Qtr'!D76, '4th Qtr'!D76)</f>
        <v>2969456</v>
      </c>
      <c r="E76" s="11">
        <f>SUM('1st Qtr'!E76, '2nd Qtr'!E76, '3rd Qtr'!E76, '4th Qtr'!E76)</f>
        <v>3072684.7030000002</v>
      </c>
      <c r="F76" s="11">
        <f t="shared" si="6"/>
        <v>-103228.70300000021</v>
      </c>
      <c r="G76" s="12">
        <f t="shared" si="7"/>
        <v>-3.359560546489309E-2</v>
      </c>
      <c r="H76" s="13">
        <f>SUM('1st Qtr'!H76+'2nd Qtr'!H76+'3rd Qtr'!H76+'4th Qtr'!H76)</f>
        <v>3200733.1</v>
      </c>
      <c r="I76" s="13">
        <f>SUM('1st Qtr'!I76, '2nd Qtr'!I76, '3rd Qtr'!I76, '4th Qtr'!I76)</f>
        <v>-229271.49</v>
      </c>
      <c r="J76" s="14">
        <f t="shared" si="8"/>
        <v>-7.1630930426532596E-2</v>
      </c>
      <c r="K76" s="38"/>
      <c r="L76" s="38"/>
    </row>
    <row r="77" spans="1:12" ht="15.75">
      <c r="A77" s="27" t="str">
        <v>Pool Brook Road</v>
      </c>
      <c r="B77" s="28" t="str">
        <v>NY</v>
      </c>
      <c r="C77" s="28" t="str">
        <f>Sites[[#This Row],[SOL'#]]</f>
        <v>SOL-10909</v>
      </c>
      <c r="D77" s="10">
        <f>SUM('1st Qtr'!D77, '2nd Qtr'!D77, '3rd Qtr'!D77, '4th Qtr'!D77)</f>
        <v>2718605</v>
      </c>
      <c r="E77" s="15">
        <f>SUM('1st Qtr'!E77, '2nd Qtr'!E77, '3rd Qtr'!E77, '4th Qtr'!E77)</f>
        <v>2781973.62</v>
      </c>
      <c r="F77" s="15">
        <f t="shared" si="6"/>
        <v>-63368.620000000112</v>
      </c>
      <c r="G77" s="16">
        <f t="shared" si="7"/>
        <v>-2.2778296510230788E-2</v>
      </c>
      <c r="H77" s="17">
        <f>SUM('1st Qtr'!H77+'2nd Qtr'!H77+'3rd Qtr'!H77+'4th Qtr'!H77)</f>
        <v>2991238.91</v>
      </c>
      <c r="I77" s="17">
        <f>SUM('1st Qtr'!I77, '2nd Qtr'!I77, '3rd Qtr'!I77, '4th Qtr'!I77)</f>
        <v>-266445.54000000004</v>
      </c>
      <c r="J77" s="16">
        <f t="shared" si="8"/>
        <v>-8.9075312275875687E-2</v>
      </c>
      <c r="K77" s="39"/>
      <c r="L77" s="39"/>
    </row>
    <row r="78" spans="1:12" ht="15.75">
      <c r="A78" s="25" t="str">
        <v>Sackett Lake</v>
      </c>
      <c r="B78" s="26" t="str">
        <v>NY</v>
      </c>
      <c r="C78" s="26" t="str">
        <f>Sites[[#This Row],[SOL'#]]</f>
        <v>SOL-10910</v>
      </c>
      <c r="D78" s="21">
        <f>SUM('1st Qtr'!D78, '2nd Qtr'!D78, '3rd Qtr'!D78, '4th Qtr'!D78)</f>
        <v>2888081</v>
      </c>
      <c r="E78" s="11">
        <f>SUM('1st Qtr'!E78, '2nd Qtr'!E78, '3rd Qtr'!E78, '4th Qtr'!E78)</f>
        <v>2982975.9980000006</v>
      </c>
      <c r="F78" s="11">
        <f t="shared" si="6"/>
        <v>-94894.998000000603</v>
      </c>
      <c r="G78" s="12">
        <f t="shared" si="7"/>
        <v>-3.1812189593085884E-2</v>
      </c>
      <c r="H78" s="13">
        <f>SUM('1st Qtr'!H78+'2nd Qtr'!H78+'3rd Qtr'!H78+'4th Qtr'!H78)</f>
        <v>3179636.59</v>
      </c>
      <c r="I78" s="13">
        <f>SUM('1st Qtr'!I78, '2nd Qtr'!I78, '3rd Qtr'!I78, '4th Qtr'!I78)</f>
        <v>-289711.40999999997</v>
      </c>
      <c r="J78" s="14">
        <f t="shared" si="8"/>
        <v>-9.111462954953603E-2</v>
      </c>
      <c r="K78" s="38"/>
      <c r="L78" s="38"/>
    </row>
    <row r="79" spans="1:12" ht="15.75">
      <c r="A79" s="27" t="str">
        <v>Burritt Road</v>
      </c>
      <c r="B79" s="28" t="str">
        <v>NY</v>
      </c>
      <c r="C79" s="28" t="str">
        <f>Sites[[#This Row],[SOL'#]]</f>
        <v>SOL-10913</v>
      </c>
      <c r="D79" s="10">
        <f>SUM('1st Qtr'!D79, '2nd Qtr'!D79, '3rd Qtr'!D79, '4th Qtr'!D79)</f>
        <v>3032160</v>
      </c>
      <c r="E79" s="15">
        <f>SUM('1st Qtr'!E79, '2nd Qtr'!E79, '3rd Qtr'!E79, '4th Qtr'!E79)</f>
        <v>1637778.1639999999</v>
      </c>
      <c r="F79" s="15">
        <f t="shared" si="6"/>
        <v>1394381.8360000001</v>
      </c>
      <c r="G79" s="16">
        <f t="shared" si="7"/>
        <v>0.8513862662538223</v>
      </c>
      <c r="H79" s="17">
        <f>SUM('1st Qtr'!H79+'2nd Qtr'!H79+'3rd Qtr'!H79+'4th Qtr'!H79)</f>
        <v>3041135.31</v>
      </c>
      <c r="I79" s="17">
        <f>SUM('1st Qtr'!I79, '2nd Qtr'!I79, '3rd Qtr'!I79, '4th Qtr'!I79)</f>
        <v>-5657.0899999999965</v>
      </c>
      <c r="J79" s="16">
        <f t="shared" si="8"/>
        <v>-1.8601901669413046E-3</v>
      </c>
      <c r="K79" s="39"/>
      <c r="L79" s="40"/>
    </row>
    <row r="80" spans="1:12" ht="15.75">
      <c r="A80" s="25" t="str">
        <v>Villa Roma 1</v>
      </c>
      <c r="B80" s="26" t="str">
        <v>NY</v>
      </c>
      <c r="C80" s="26" t="str">
        <f>Sites[[#This Row],[SOL'#]]</f>
        <v>SOL-10914</v>
      </c>
      <c r="D80" s="21">
        <f>SUM('1st Qtr'!D80, '2nd Qtr'!D80, '3rd Qtr'!D80, '4th Qtr'!D80)</f>
        <v>2421218</v>
      </c>
      <c r="E80" s="11">
        <f>SUM('1st Qtr'!E80, '2nd Qtr'!E80, '3rd Qtr'!E80, '4th Qtr'!E80)</f>
        <v>3374208.5470000003</v>
      </c>
      <c r="F80" s="11">
        <f t="shared" si="6"/>
        <v>-952990.54700000025</v>
      </c>
      <c r="G80" s="12">
        <f t="shared" si="7"/>
        <v>-0.28243380150503783</v>
      </c>
      <c r="H80" s="13">
        <f>SUM('1st Qtr'!H80+'2nd Qtr'!H80+'3rd Qtr'!H80+'4th Qtr'!H80)</f>
        <v>2720249.62</v>
      </c>
      <c r="I80" s="13">
        <f>SUM('1st Qtr'!I80, '2nd Qtr'!I80, '3rd Qtr'!I80, '4th Qtr'!I80)</f>
        <v>-295518.67</v>
      </c>
      <c r="J80" s="14">
        <f t="shared" si="8"/>
        <v>-0.10863660004849113</v>
      </c>
      <c r="K80" s="38"/>
      <c r="L80" s="38"/>
    </row>
    <row r="81" spans="1:12" ht="15.75">
      <c r="A81" s="27" t="str">
        <v>Villa Roma 2</v>
      </c>
      <c r="B81" s="28" t="str">
        <v>NY</v>
      </c>
      <c r="C81" s="28" t="str">
        <f>Sites[[#This Row],[SOL'#]]</f>
        <v>SOL-10915</v>
      </c>
      <c r="D81" s="10">
        <f>SUM('1st Qtr'!D81, '2nd Qtr'!D81, '3rd Qtr'!D81, '4th Qtr'!D81)</f>
        <v>2272902</v>
      </c>
      <c r="E81" s="15">
        <f>SUM('1st Qtr'!E81, '2nd Qtr'!E81, '3rd Qtr'!E81, '4th Qtr'!E81)</f>
        <v>2798258.88</v>
      </c>
      <c r="F81" s="15">
        <f t="shared" si="6"/>
        <v>-525356.87999999989</v>
      </c>
      <c r="G81" s="16">
        <f t="shared" si="7"/>
        <v>-0.18774420185168855</v>
      </c>
      <c r="H81" s="17">
        <f>SUM('1st Qtr'!H81+'2nd Qtr'!H81+'3rd Qtr'!H81+'4th Qtr'!H81)</f>
        <v>2637072.29</v>
      </c>
      <c r="I81" s="17">
        <f>SUM('1st Qtr'!I81, '2nd Qtr'!I81, '3rd Qtr'!I81, '4th Qtr'!I81)</f>
        <v>-360739.91000000003</v>
      </c>
      <c r="J81" s="16">
        <f t="shared" si="8"/>
        <v>-0.13679560904263266</v>
      </c>
      <c r="K81" s="39"/>
      <c r="L81" s="40"/>
    </row>
    <row r="82" spans="1:12" ht="15.75">
      <c r="A82" s="25" t="str">
        <v>Washington 1</v>
      </c>
      <c r="B82" s="26" t="str">
        <v>NY</v>
      </c>
      <c r="C82" s="26" t="str">
        <f>Sites[[#This Row],[SOL'#]]</f>
        <v>SOL-10912</v>
      </c>
      <c r="D82" s="21">
        <f>SUM('1st Qtr'!D82, '2nd Qtr'!D82, '3rd Qtr'!D82, '4th Qtr'!D82)</f>
        <v>2999820</v>
      </c>
      <c r="E82" s="11">
        <f>SUM('1st Qtr'!E82, '2nd Qtr'!E82, '3rd Qtr'!E82, '4th Qtr'!E82)</f>
        <v>3274996.4249999998</v>
      </c>
      <c r="F82" s="11">
        <f t="shared" ref="F82:F145" si="9">IF(AND(ISNUMBER(D82),ISNUMBER(E82)), D82-E82, "")</f>
        <v>-275176.42499999981</v>
      </c>
      <c r="G82" s="12">
        <f t="shared" ref="G82:G145" si="10">IFERROR(F82/E82, "")</f>
        <v>-8.402342759809267E-2</v>
      </c>
      <c r="H82" s="13">
        <f>SUM('1st Qtr'!H82+'2nd Qtr'!H82+'3rd Qtr'!H82+'4th Qtr'!H82)</f>
        <v>3000261.8</v>
      </c>
      <c r="I82" s="13">
        <f>SUM('1st Qtr'!I82, '2nd Qtr'!I82, '3rd Qtr'!I82, '4th Qtr'!I82)</f>
        <v>2408.4999999999563</v>
      </c>
      <c r="J82" s="14">
        <f t="shared" ref="J82:J138" si="11">IFERROR(I82/H82, "")</f>
        <v>8.0276327885785051E-4</v>
      </c>
      <c r="K82" s="38"/>
      <c r="L82" s="38"/>
    </row>
    <row r="83" spans="1:12" ht="15.75">
      <c r="A83" s="27" t="str">
        <v>Washington 3</v>
      </c>
      <c r="B83" s="28" t="str">
        <v>NY</v>
      </c>
      <c r="C83" s="28" t="str">
        <f>Sites[[#This Row],[SOL'#]]</f>
        <v>SOL-10828</v>
      </c>
      <c r="D83" s="10">
        <f>SUM('1st Qtr'!D83, '2nd Qtr'!D83, '3rd Qtr'!D83, '4th Qtr'!D83)</f>
        <v>3407758</v>
      </c>
      <c r="E83" s="15">
        <f>SUM('1st Qtr'!E83, '2nd Qtr'!E83, '3rd Qtr'!E83, '4th Qtr'!E83)</f>
        <v>2883716.497</v>
      </c>
      <c r="F83" s="15">
        <f t="shared" si="9"/>
        <v>524041.50300000003</v>
      </c>
      <c r="G83" s="16">
        <f t="shared" si="10"/>
        <v>0.18172434895912032</v>
      </c>
      <c r="H83" s="17">
        <f>SUM('1st Qtr'!H83+'2nd Qtr'!H83+'3rd Qtr'!H83+'4th Qtr'!H83)</f>
        <v>3662125.24</v>
      </c>
      <c r="I83" s="17">
        <f>SUM('1st Qtr'!I83, '2nd Qtr'!I83, '3rd Qtr'!I83, '4th Qtr'!I83)</f>
        <v>-249371.52999999997</v>
      </c>
      <c r="J83" s="16">
        <f t="shared" si="11"/>
        <v>-6.8094757458376801E-2</v>
      </c>
      <c r="K83" s="39"/>
      <c r="L83" s="40"/>
    </row>
    <row r="84" spans="1:12" ht="15.75">
      <c r="A84" s="25" t="str">
        <v>Washington 4</v>
      </c>
      <c r="B84" s="26" t="str">
        <v>NY</v>
      </c>
      <c r="C84" s="26" t="str">
        <f>Sites[[#This Row],[SOL'#]]</f>
        <v>SOL-10829</v>
      </c>
      <c r="D84" s="21">
        <f>SUM('1st Qtr'!D84, '2nd Qtr'!D84, '3rd Qtr'!D84, '4th Qtr'!D84)</f>
        <v>1701340</v>
      </c>
      <c r="E84" s="11">
        <f>SUM('1st Qtr'!E84, '2nd Qtr'!E84, '3rd Qtr'!E84, '4th Qtr'!E84)</f>
        <v>0</v>
      </c>
      <c r="F84" s="11">
        <f t="shared" si="9"/>
        <v>1701340</v>
      </c>
      <c r="G84" s="12" t="str">
        <f t="shared" si="10"/>
        <v/>
      </c>
      <c r="H84" s="13">
        <f>SUM('1st Qtr'!H84+'2nd Qtr'!H84+'3rd Qtr'!H84+'4th Qtr'!H84)</f>
        <v>3670698.6799999997</v>
      </c>
      <c r="I84" s="13">
        <f>SUM('1st Qtr'!I84, '2nd Qtr'!I84, '3rd Qtr'!I84, '4th Qtr'!I84)</f>
        <v>-1012728.68</v>
      </c>
      <c r="J84" s="14">
        <f t="shared" si="11"/>
        <v>-0.2758953453515286</v>
      </c>
      <c r="K84" s="38"/>
      <c r="L84" s="38"/>
    </row>
    <row r="85" spans="1:12" ht="15.75">
      <c r="A85" s="27" t="str">
        <v>Big Tree</v>
      </c>
      <c r="B85" s="28" t="str">
        <v>NY</v>
      </c>
      <c r="C85" s="28" t="str">
        <f>Sites[[#This Row],[SOL'#]]</f>
        <v>SOL-10966</v>
      </c>
      <c r="D85" s="10">
        <f>SUM('1st Qtr'!D85, '2nd Qtr'!D85, '3rd Qtr'!D85, '4th Qtr'!D85)</f>
        <v>2954158</v>
      </c>
      <c r="E85" s="15">
        <f>SUM('1st Qtr'!E85, '2nd Qtr'!E85, '3rd Qtr'!E85, '4th Qtr'!E85)</f>
        <v>400672</v>
      </c>
      <c r="F85" s="15">
        <f t="shared" si="9"/>
        <v>2553486</v>
      </c>
      <c r="G85" s="16">
        <f t="shared" si="10"/>
        <v>6.3730083459787554</v>
      </c>
      <c r="H85" s="17">
        <f>SUM('1st Qtr'!H85+'2nd Qtr'!H85+'3rd Qtr'!H85+'4th Qtr'!H85)</f>
        <v>1977842.67</v>
      </c>
      <c r="I85" s="17">
        <f>SUM('1st Qtr'!I85, '2nd Qtr'!I85, '3rd Qtr'!I85, '4th Qtr'!I85)</f>
        <v>976315.33000000007</v>
      </c>
      <c r="J85" s="16">
        <f t="shared" si="11"/>
        <v>0.49362638636975109</v>
      </c>
      <c r="K85" s="39"/>
      <c r="L85" s="40"/>
    </row>
    <row r="86" spans="1:12" ht="15.75">
      <c r="A86" s="25" t="str">
        <v>Canoga</v>
      </c>
      <c r="B86" s="26" t="str">
        <v>NY</v>
      </c>
      <c r="C86" s="26" t="str">
        <f>Sites[[#This Row],[SOL'#]]</f>
        <v>SOL-10965</v>
      </c>
      <c r="D86" s="21">
        <f>SUM('1st Qtr'!D86, '2nd Qtr'!D86, '3rd Qtr'!D86, '4th Qtr'!D86)</f>
        <v>7611969</v>
      </c>
      <c r="E86" s="11">
        <f>SUM('1st Qtr'!E86, '2nd Qtr'!E86, '3rd Qtr'!E86, '4th Qtr'!E86)</f>
        <v>0</v>
      </c>
      <c r="F86" s="11">
        <f t="shared" si="9"/>
        <v>7611969</v>
      </c>
      <c r="G86" s="12" t="str">
        <f t="shared" si="10"/>
        <v/>
      </c>
      <c r="H86" s="13">
        <f>SUM('1st Qtr'!H86+'2nd Qtr'!H86+'3rd Qtr'!H86+'4th Qtr'!H86)</f>
        <v>5292614.41</v>
      </c>
      <c r="I86" s="13">
        <f>SUM('1st Qtr'!I86, '2nd Qtr'!I86, '3rd Qtr'!I86, '4th Qtr'!I86)</f>
        <v>2319354.59</v>
      </c>
      <c r="J86" s="14">
        <f t="shared" si="11"/>
        <v>0.43822474307173265</v>
      </c>
      <c r="K86" s="38"/>
      <c r="L86" s="38"/>
    </row>
    <row r="87" spans="1:12" ht="15.75">
      <c r="A87" s="27" t="str">
        <v>County Route 84</v>
      </c>
      <c r="B87" s="28" t="str">
        <v>NY</v>
      </c>
      <c r="C87" s="28" t="str">
        <f>Sites[[#This Row],[SOL'#]]</f>
        <v>SOL-10967</v>
      </c>
      <c r="D87" s="10">
        <f>SUM('1st Qtr'!D87, '2nd Qtr'!D87, '3rd Qtr'!D87, '4th Qtr'!D87)</f>
        <v>7428095</v>
      </c>
      <c r="E87" s="15">
        <f>SUM('1st Qtr'!E87, '2nd Qtr'!E87, '3rd Qtr'!E87, '4th Qtr'!E87)</f>
        <v>0</v>
      </c>
      <c r="F87" s="15">
        <f t="shared" si="9"/>
        <v>7428095</v>
      </c>
      <c r="G87" s="16" t="str">
        <f t="shared" si="10"/>
        <v/>
      </c>
      <c r="H87" s="17">
        <f>SUM('1st Qtr'!H87+'2nd Qtr'!H87+'3rd Qtr'!H87+'4th Qtr'!H87)</f>
        <v>5663257</v>
      </c>
      <c r="I87" s="17">
        <f>SUM('1st Qtr'!I87, '2nd Qtr'!I87, '3rd Qtr'!I87, '4th Qtr'!I87)</f>
        <v>1764838</v>
      </c>
      <c r="J87" s="16">
        <f t="shared" si="11"/>
        <v>0.3116295093088659</v>
      </c>
      <c r="K87" s="39"/>
      <c r="L87" s="40"/>
    </row>
    <row r="88" spans="1:12" ht="15.75">
      <c r="A88" s="25" t="str">
        <v>Donati</v>
      </c>
      <c r="B88" s="26" t="str">
        <v>NY</v>
      </c>
      <c r="C88" s="26" t="str">
        <f>Sites[[#This Row],[SOL'#]]</f>
        <v>SOL-10968</v>
      </c>
      <c r="D88" s="21">
        <f>SUM('1st Qtr'!D88, '2nd Qtr'!D88, '3rd Qtr'!D88, '4th Qtr'!D88)</f>
        <v>3033197</v>
      </c>
      <c r="E88" s="11">
        <f>SUM('1st Qtr'!E88, '2nd Qtr'!E88, '3rd Qtr'!E88, '4th Qtr'!E88)</f>
        <v>0</v>
      </c>
      <c r="F88" s="11">
        <f t="shared" si="9"/>
        <v>3033197</v>
      </c>
      <c r="G88" s="12" t="str">
        <f t="shared" si="10"/>
        <v/>
      </c>
      <c r="H88" s="13">
        <f>SUM('1st Qtr'!H88+'2nd Qtr'!H88+'3rd Qtr'!H88+'4th Qtr'!H88)</f>
        <v>2395495.29</v>
      </c>
      <c r="I88" s="13">
        <f>SUM('1st Qtr'!I88, '2nd Qtr'!I88, '3rd Qtr'!I88, '4th Qtr'!I88)</f>
        <v>754213</v>
      </c>
      <c r="J88" s="14">
        <f t="shared" si="11"/>
        <v>0.31484637149923178</v>
      </c>
      <c r="K88" s="38"/>
      <c r="L88" s="38"/>
    </row>
    <row r="89" spans="1:12" ht="15.75">
      <c r="A89" s="27" t="str">
        <v>Henrietta</v>
      </c>
      <c r="B89" s="28" t="str">
        <v>NY</v>
      </c>
      <c r="C89" s="28" t="str">
        <f>Sites[[#This Row],[SOL'#]]</f>
        <v>SOL-10972</v>
      </c>
      <c r="D89" s="10">
        <f>SUM('1st Qtr'!D89, '2nd Qtr'!D89, '3rd Qtr'!D89, '4th Qtr'!D89)</f>
        <v>7312517</v>
      </c>
      <c r="E89" s="15">
        <f>SUM('1st Qtr'!E89, '2nd Qtr'!E89, '3rd Qtr'!E89, '4th Qtr'!E89)</f>
        <v>923077</v>
      </c>
      <c r="F89" s="15">
        <f t="shared" si="9"/>
        <v>6389440</v>
      </c>
      <c r="G89" s="16">
        <f t="shared" si="10"/>
        <v>6.921892756508937</v>
      </c>
      <c r="H89" s="17">
        <f>SUM('1st Qtr'!H89+'2nd Qtr'!H89+'3rd Qtr'!H89+'4th Qtr'!H89)</f>
        <v>4831158.45</v>
      </c>
      <c r="I89" s="17">
        <f>SUM('1st Qtr'!I89, '2nd Qtr'!I89, '3rd Qtr'!I89, '4th Qtr'!I89)</f>
        <v>2481358.5499999998</v>
      </c>
      <c r="J89" s="16">
        <f t="shared" si="11"/>
        <v>0.51361564222759026</v>
      </c>
      <c r="K89" s="39"/>
      <c r="L89" s="39"/>
    </row>
    <row r="90" spans="1:12" ht="15.75">
      <c r="A90" s="25" t="str">
        <v>NY 70</v>
      </c>
      <c r="B90" s="26" t="str">
        <v>NY</v>
      </c>
      <c r="C90" s="26" t="str">
        <f>Sites[[#This Row],[SOL'#]]</f>
        <v>SOL-10970</v>
      </c>
      <c r="D90" s="21">
        <f>SUM('1st Qtr'!D90, '2nd Qtr'!D90, '3rd Qtr'!D90, '4th Qtr'!D90)</f>
        <v>7590399</v>
      </c>
      <c r="E90" s="11">
        <f>SUM('1st Qtr'!E90, '2nd Qtr'!E90, '3rd Qtr'!E90, '4th Qtr'!E90)</f>
        <v>0</v>
      </c>
      <c r="F90" s="11">
        <f t="shared" si="9"/>
        <v>7590399</v>
      </c>
      <c r="G90" s="12" t="str">
        <f t="shared" si="10"/>
        <v/>
      </c>
      <c r="H90" s="13">
        <f>SUM('1st Qtr'!H90+'2nd Qtr'!H90+'3rd Qtr'!H90+'4th Qtr'!H90)</f>
        <v>5958242.9699999997</v>
      </c>
      <c r="I90" s="13">
        <f>SUM('1st Qtr'!I90, '2nd Qtr'!I90, '3rd Qtr'!I90, '4th Qtr'!I90)</f>
        <v>1632156.0300000003</v>
      </c>
      <c r="J90" s="14">
        <f t="shared" si="11"/>
        <v>0.27393243918013643</v>
      </c>
      <c r="K90" s="38"/>
      <c r="L90" s="38"/>
    </row>
    <row r="91" spans="1:12" ht="15.75">
      <c r="A91" s="27" t="str">
        <v>Reid</v>
      </c>
      <c r="B91" s="28" t="str">
        <v>NY</v>
      </c>
      <c r="C91" s="28" t="str">
        <f>Sites[[#This Row],[SOL'#]]</f>
        <v>SOL-10991</v>
      </c>
      <c r="D91" s="10">
        <f>SUM('1st Qtr'!D91, '2nd Qtr'!D91, '3rd Qtr'!D91, '4th Qtr'!D91)</f>
        <v>6577652.7692113146</v>
      </c>
      <c r="E91" s="15">
        <f>SUM('1st Qtr'!E91, '2nd Qtr'!E91, '3rd Qtr'!E91, '4th Qtr'!E91)</f>
        <v>6492472.4000000004</v>
      </c>
      <c r="F91" s="15">
        <f t="shared" si="9"/>
        <v>85180.369211314246</v>
      </c>
      <c r="G91" s="16">
        <f t="shared" si="10"/>
        <v>1.3119866202483085E-2</v>
      </c>
      <c r="H91" s="17">
        <f>SUM('1st Qtr'!H91+'2nd Qtr'!H91+'3rd Qtr'!H91+'4th Qtr'!H91)</f>
        <v>7066672</v>
      </c>
      <c r="I91" s="17">
        <f>SUM('1st Qtr'!I91, '2nd Qtr'!I91, '3rd Qtr'!I91, '4th Qtr'!I91)</f>
        <v>-489019.23078868503</v>
      </c>
      <c r="J91" s="16">
        <f t="shared" si="11"/>
        <v>-6.9200782318563109E-2</v>
      </c>
      <c r="K91" s="39"/>
      <c r="L91" s="40"/>
    </row>
    <row r="92" spans="1:12" ht="15.75">
      <c r="A92" s="25" t="str">
        <v>Sangolqui</v>
      </c>
      <c r="B92" s="26" t="str">
        <v>NY</v>
      </c>
      <c r="C92" s="26" t="str">
        <f>Sites[[#This Row],[SOL'#]]</f>
        <v>SOL-10975</v>
      </c>
      <c r="D92" s="21">
        <f>SUM('1st Qtr'!D92, '2nd Qtr'!D92, '3rd Qtr'!D92, '4th Qtr'!D92)</f>
        <v>3520181</v>
      </c>
      <c r="E92" s="11">
        <f>SUM('1st Qtr'!E92, '2nd Qtr'!E92, '3rd Qtr'!E92, '4th Qtr'!E92)</f>
        <v>482020</v>
      </c>
      <c r="F92" s="11">
        <f t="shared" si="9"/>
        <v>3038161</v>
      </c>
      <c r="G92" s="12">
        <f t="shared" si="10"/>
        <v>6.3029770548939874</v>
      </c>
      <c r="H92" s="13">
        <f>SUM('1st Qtr'!H92+'2nd Qtr'!H92+'3rd Qtr'!H92+'4th Qtr'!H92)</f>
        <v>2336003.58</v>
      </c>
      <c r="I92" s="13">
        <f>SUM('1st Qtr'!I92, '2nd Qtr'!I92, '3rd Qtr'!I92, '4th Qtr'!I92)</f>
        <v>1184177.42</v>
      </c>
      <c r="J92" s="14">
        <f t="shared" si="11"/>
        <v>0.50692448853181971</v>
      </c>
      <c r="K92" s="38"/>
      <c r="L92" s="38"/>
    </row>
    <row r="93" spans="1:12" ht="15.75">
      <c r="A93" s="27" t="str">
        <v>State Highway 17B</v>
      </c>
      <c r="B93" s="28" t="str">
        <v>NY</v>
      </c>
      <c r="C93" s="28" t="str">
        <f>Sites[[#This Row],[SOL'#]]</f>
        <v>SOL-10988</v>
      </c>
      <c r="D93" s="10">
        <f>SUM('1st Qtr'!D93, '2nd Qtr'!D93, '3rd Qtr'!D93, '4th Qtr'!D93)</f>
        <v>6352362</v>
      </c>
      <c r="E93" s="15">
        <f>SUM('1st Qtr'!E93, '2nd Qtr'!E93, '3rd Qtr'!E93, '4th Qtr'!E93)</f>
        <v>849596</v>
      </c>
      <c r="F93" s="15">
        <f t="shared" si="9"/>
        <v>5502766</v>
      </c>
      <c r="G93" s="16">
        <f t="shared" si="10"/>
        <v>6.476920795295646</v>
      </c>
      <c r="H93" s="17">
        <f>SUM('1st Qtr'!H93+'2nd Qtr'!H93+'3rd Qtr'!H93+'4th Qtr'!H93)</f>
        <v>4990102.17</v>
      </c>
      <c r="I93" s="17">
        <f>SUM('1st Qtr'!I93, '2nd Qtr'!I93, '3rd Qtr'!I93, '4th Qtr'!I93)</f>
        <v>1362259.83</v>
      </c>
      <c r="J93" s="16">
        <f t="shared" si="11"/>
        <v>0.27299237241869939</v>
      </c>
      <c r="K93" s="39"/>
      <c r="L93" s="40"/>
    </row>
    <row r="94" spans="1:12" ht="15.75">
      <c r="A94" s="25" t="str">
        <v>State Route 14A</v>
      </c>
      <c r="B94" s="26" t="str">
        <v>NY</v>
      </c>
      <c r="C94" s="26" t="str">
        <f>Sites[[#This Row],[SOL'#]]</f>
        <v>SOL-10997</v>
      </c>
      <c r="D94" s="21">
        <f>SUM('1st Qtr'!D94, '2nd Qtr'!D94, '3rd Qtr'!D94, '4th Qtr'!D94)</f>
        <v>7722100</v>
      </c>
      <c r="E94" s="11">
        <f>SUM('1st Qtr'!E94, '2nd Qtr'!E94, '3rd Qtr'!E94, '4th Qtr'!E94)</f>
        <v>0</v>
      </c>
      <c r="F94" s="11">
        <f t="shared" si="9"/>
        <v>7722100</v>
      </c>
      <c r="G94" s="12" t="str">
        <f t="shared" si="10"/>
        <v/>
      </c>
      <c r="H94" s="13">
        <f>SUM('1st Qtr'!H94+'2nd Qtr'!H94+'3rd Qtr'!H94+'4th Qtr'!H94)</f>
        <v>5517482.9000000004</v>
      </c>
      <c r="I94" s="13">
        <f>SUM('1st Qtr'!I94, '2nd Qtr'!I94, '3rd Qtr'!I94, '4th Qtr'!I94)</f>
        <v>2204617.1</v>
      </c>
      <c r="J94" s="14">
        <f t="shared" si="11"/>
        <v>0.39956935797662374</v>
      </c>
      <c r="K94" s="38"/>
      <c r="L94" s="38"/>
    </row>
    <row r="95" spans="1:12" ht="15.75">
      <c r="A95" s="27" t="str">
        <v>West Creek</v>
      </c>
      <c r="B95" s="28" t="str">
        <v>NY</v>
      </c>
      <c r="C95" s="28" t="str">
        <f>Sites[[#This Row],[SOL'#]]</f>
        <v>SOL-10995</v>
      </c>
      <c r="D95" s="10">
        <f>SUM('1st Qtr'!D95, '2nd Qtr'!D95, '3rd Qtr'!D95, '4th Qtr'!D95)</f>
        <v>7734780</v>
      </c>
      <c r="E95" s="15">
        <f>SUM('1st Qtr'!E95, '2nd Qtr'!E95, '3rd Qtr'!E95, '4th Qtr'!E95)</f>
        <v>0</v>
      </c>
      <c r="F95" s="15">
        <f t="shared" si="9"/>
        <v>7734780</v>
      </c>
      <c r="G95" s="16" t="str">
        <f t="shared" si="10"/>
        <v/>
      </c>
      <c r="H95" s="17">
        <f>SUM('1st Qtr'!H95+'2nd Qtr'!H95+'3rd Qtr'!H95+'4th Qtr'!H95)</f>
        <v>5192550.6500000004</v>
      </c>
      <c r="I95" s="17">
        <f>SUM('1st Qtr'!I95, '2nd Qtr'!I95, '3rd Qtr'!I95, '4th Qtr'!I95)</f>
        <v>2542229.35</v>
      </c>
      <c r="J95" s="16">
        <f t="shared" si="11"/>
        <v>0.48959163258234178</v>
      </c>
      <c r="K95" s="39"/>
      <c r="L95" s="40"/>
    </row>
    <row r="96" spans="1:12" ht="15.75">
      <c r="A96" s="25" t="str">
        <v>Wildflower</v>
      </c>
      <c r="B96" s="26" t="str">
        <v>NY</v>
      </c>
      <c r="C96" s="26" t="str">
        <f>Sites[[#This Row],[SOL'#]]</f>
        <v>SOL-10982</v>
      </c>
      <c r="D96" s="21">
        <f>SUM('1st Qtr'!D96, '2nd Qtr'!D96, '3rd Qtr'!D96, '4th Qtr'!D96)</f>
        <v>5797913.9699999997</v>
      </c>
      <c r="E96" s="11">
        <f>SUM('1st Qtr'!E96, '2nd Qtr'!E96, '3rd Qtr'!E96, '4th Qtr'!E96)</f>
        <v>0</v>
      </c>
      <c r="F96" s="11">
        <f t="shared" si="9"/>
        <v>5797913.9699999997</v>
      </c>
      <c r="G96" s="12" t="str">
        <f t="shared" si="10"/>
        <v/>
      </c>
      <c r="H96" s="13">
        <f>SUM('1st Qtr'!H96+'2nd Qtr'!H96+'3rd Qtr'!H96+'4th Qtr'!H96)</f>
        <v>5744332.6699999999</v>
      </c>
      <c r="I96" s="13">
        <f>SUM('1st Qtr'!I96, '2nd Qtr'!I96, '3rd Qtr'!I96, '4th Qtr'!I96)</f>
        <v>53581.29999999993</v>
      </c>
      <c r="J96" s="14">
        <f t="shared" si="11"/>
        <v>9.3276805293381337E-3</v>
      </c>
      <c r="K96" s="38"/>
      <c r="L96" s="38"/>
    </row>
    <row r="97" spans="1:12" ht="15.75">
      <c r="A97" s="27" t="str">
        <v>Glen Mary 1</v>
      </c>
      <c r="B97" s="28" t="str">
        <v>NY</v>
      </c>
      <c r="C97" s="28" t="str">
        <f>Sites[[#This Row],[SOL'#]]</f>
        <v>SOL-10993</v>
      </c>
      <c r="D97" s="10">
        <f>SUM('1st Qtr'!D97, '2nd Qtr'!D97, '3rd Qtr'!D97, '4th Qtr'!D97)</f>
        <v>7341881</v>
      </c>
      <c r="E97" s="15">
        <f>SUM('1st Qtr'!E97, '2nd Qtr'!E97, '3rd Qtr'!E97, '4th Qtr'!E97)</f>
        <v>0</v>
      </c>
      <c r="F97" s="15">
        <f t="shared" si="9"/>
        <v>7341881</v>
      </c>
      <c r="G97" s="16" t="str">
        <f t="shared" si="10"/>
        <v/>
      </c>
      <c r="H97" s="17">
        <f>SUM('1st Qtr'!H97+'2nd Qtr'!H97+'3rd Qtr'!H97+'4th Qtr'!H97)</f>
        <v>5388980</v>
      </c>
      <c r="I97" s="17">
        <f>SUM('1st Qtr'!I97, '2nd Qtr'!I97, '3rd Qtr'!I97, '4th Qtr'!I97)</f>
        <v>1952901</v>
      </c>
      <c r="J97" s="16">
        <f t="shared" si="11"/>
        <v>0.3623878730297756</v>
      </c>
      <c r="K97" s="39"/>
      <c r="L97" s="40"/>
    </row>
    <row r="98" spans="1:12" ht="15.75">
      <c r="A98" s="25" t="str">
        <v>Glen Mary 2</v>
      </c>
      <c r="B98" s="26" t="str">
        <v>NY</v>
      </c>
      <c r="C98" s="26" t="str">
        <f>Sites[[#This Row],[SOL'#]]</f>
        <v>SOL-10994</v>
      </c>
      <c r="D98" s="21">
        <f>SUM('1st Qtr'!D98, '2nd Qtr'!D98, '3rd Qtr'!D98, '4th Qtr'!D98)</f>
        <v>3257070</v>
      </c>
      <c r="E98" s="11">
        <f>SUM('1st Qtr'!E98, '2nd Qtr'!E98, '3rd Qtr'!E98, '4th Qtr'!E98)</f>
        <v>0</v>
      </c>
      <c r="F98" s="11">
        <f t="shared" si="9"/>
        <v>3257070</v>
      </c>
      <c r="G98" s="12" t="str">
        <f t="shared" si="10"/>
        <v/>
      </c>
      <c r="H98" s="13">
        <f>SUM('1st Qtr'!H98+'2nd Qtr'!H98+'3rd Qtr'!H98+'4th Qtr'!H98)</f>
        <v>2415027.5</v>
      </c>
      <c r="I98" s="13">
        <f>SUM('1st Qtr'!I98, '2nd Qtr'!I98, '3rd Qtr'!I98, '4th Qtr'!I98)</f>
        <v>842042.5</v>
      </c>
      <c r="J98" s="14">
        <f t="shared" si="11"/>
        <v>0.34866787231201302</v>
      </c>
      <c r="K98" s="38"/>
      <c r="L98" s="38"/>
    </row>
    <row r="99" spans="1:12" ht="15.75">
      <c r="A99" s="27" t="str">
        <v>Telegraph 1</v>
      </c>
      <c r="B99" s="28" t="str">
        <v>NY</v>
      </c>
      <c r="C99" s="28" t="str">
        <f>Sites[[#This Row],[SOL'#]]</f>
        <v>SOL-11003</v>
      </c>
      <c r="D99" s="10">
        <f>SUM('1st Qtr'!D99, '2nd Qtr'!D99, '3rd Qtr'!D99, '4th Qtr'!D99)</f>
        <v>5026453</v>
      </c>
      <c r="E99" s="15">
        <f>SUM('1st Qtr'!E99, '2nd Qtr'!E99, '3rd Qtr'!E99, '4th Qtr'!E99)</f>
        <v>0</v>
      </c>
      <c r="F99" s="15">
        <f t="shared" si="9"/>
        <v>5026453</v>
      </c>
      <c r="G99" s="16" t="str">
        <f t="shared" si="10"/>
        <v/>
      </c>
      <c r="H99" s="17">
        <f>SUM('1st Qtr'!H99+'2nd Qtr'!H99+'3rd Qtr'!H99+'4th Qtr'!H99)</f>
        <v>3967207.59</v>
      </c>
      <c r="I99" s="17">
        <f>SUM('1st Qtr'!I99, '2nd Qtr'!I99, '3rd Qtr'!I99, '4th Qtr'!I99)</f>
        <v>1059245.4099999999</v>
      </c>
      <c r="J99" s="16">
        <f t="shared" si="11"/>
        <v>0.26700024789980803</v>
      </c>
      <c r="K99" s="39"/>
      <c r="L99" s="40"/>
    </row>
    <row r="100" spans="1:12" ht="15.75">
      <c r="A100" s="25" t="str">
        <v>Telegraph 2</v>
      </c>
      <c r="B100" s="26" t="str">
        <v>NY</v>
      </c>
      <c r="C100" s="26" t="str">
        <f>Sites[[#This Row],[SOL'#]]</f>
        <v>SOL-11004</v>
      </c>
      <c r="D100" s="21">
        <f>SUM('1st Qtr'!D100, '2nd Qtr'!D100, '3rd Qtr'!D100, '4th Qtr'!D100)</f>
        <v>3032097</v>
      </c>
      <c r="E100" s="11">
        <f>SUM('1st Qtr'!E100, '2nd Qtr'!E100, '3rd Qtr'!E100, '4th Qtr'!E100)</f>
        <v>0</v>
      </c>
      <c r="F100" s="11">
        <f t="shared" si="9"/>
        <v>3032097</v>
      </c>
      <c r="G100" s="12" t="str">
        <f t="shared" si="10"/>
        <v/>
      </c>
      <c r="H100" s="13">
        <f>SUM('1st Qtr'!H100+'2nd Qtr'!H100+'3rd Qtr'!H100+'4th Qtr'!H100)</f>
        <v>2147946.7199999997</v>
      </c>
      <c r="I100" s="13">
        <f>SUM('1st Qtr'!I100, '2nd Qtr'!I100, '3rd Qtr'!I100, '4th Qtr'!I100)</f>
        <v>884150.28</v>
      </c>
      <c r="J100" s="14">
        <f t="shared" si="11"/>
        <v>0.41162579675160665</v>
      </c>
      <c r="K100" s="38"/>
      <c r="L100" s="38"/>
    </row>
    <row r="101" spans="1:12" ht="15.75">
      <c r="A101" s="27" t="str">
        <v>Cafferty Hill</v>
      </c>
      <c r="B101" s="28" t="str">
        <v>NY</v>
      </c>
      <c r="C101" s="28" t="str">
        <f>Sites[[#This Row],[SOL'#]]</f>
        <v>SOL-10996</v>
      </c>
      <c r="D101" s="10">
        <f>SUM('1st Qtr'!D101, '2nd Qtr'!D101, '3rd Qtr'!D101, '4th Qtr'!D101)</f>
        <v>5664123</v>
      </c>
      <c r="E101" s="15">
        <f>SUM('1st Qtr'!E101, '2nd Qtr'!E101, '3rd Qtr'!E101, '4th Qtr'!E101)</f>
        <v>0</v>
      </c>
      <c r="F101" s="15">
        <f t="shared" si="9"/>
        <v>5664123</v>
      </c>
      <c r="G101" s="16" t="str">
        <f t="shared" si="10"/>
        <v/>
      </c>
      <c r="H101" s="17">
        <f>SUM('1st Qtr'!H101+'2nd Qtr'!H101+'3rd Qtr'!H101+'4th Qtr'!H101)</f>
        <v>5201008.5</v>
      </c>
      <c r="I101" s="17">
        <f>SUM('1st Qtr'!I101, '2nd Qtr'!I101, '3rd Qtr'!I101, '4th Qtr'!I101)</f>
        <v>1405848.5</v>
      </c>
      <c r="J101" s="16">
        <f t="shared" si="11"/>
        <v>0.27030305757046924</v>
      </c>
      <c r="K101" s="39"/>
      <c r="L101" s="39"/>
    </row>
    <row r="102" spans="1:12" ht="15.75">
      <c r="A102" s="25" t="str">
        <v>Dunkleman</v>
      </c>
      <c r="B102" s="26" t="str">
        <v>NY</v>
      </c>
      <c r="C102" s="26" t="str">
        <f>Sites[[#This Row],[SOL'#]]</f>
        <v>SOL-11008</v>
      </c>
      <c r="D102" s="21">
        <f>SUM('1st Qtr'!D102, '2nd Qtr'!D102, '3rd Qtr'!D102, '4th Qtr'!D102)</f>
        <v>6512775</v>
      </c>
      <c r="E102" s="11">
        <f>SUM('1st Qtr'!E102, '2nd Qtr'!E102, '3rd Qtr'!E102, '4th Qtr'!E102)</f>
        <v>0</v>
      </c>
      <c r="F102" s="11">
        <f t="shared" si="9"/>
        <v>6512775</v>
      </c>
      <c r="G102" s="12" t="str">
        <f t="shared" si="10"/>
        <v/>
      </c>
      <c r="H102" s="13">
        <f>SUM('1st Qtr'!H102+'2nd Qtr'!H102+'3rd Qtr'!H102+'4th Qtr'!H102)</f>
        <v>5633415.5999999996</v>
      </c>
      <c r="I102" s="13">
        <f>SUM('1st Qtr'!I102, '2nd Qtr'!I102, '3rd Qtr'!I102, '4th Qtr'!I102)</f>
        <v>879359.39999999991</v>
      </c>
      <c r="J102" s="14">
        <f t="shared" si="11"/>
        <v>0.15609702220443314</v>
      </c>
      <c r="K102" s="38"/>
      <c r="L102" s="38"/>
    </row>
    <row r="103" spans="1:12" ht="15.75">
      <c r="A103" s="27" t="str">
        <v>Route 19 1</v>
      </c>
      <c r="B103" s="28" t="str">
        <v>NY</v>
      </c>
      <c r="C103" s="28" t="str">
        <f>Sites[[#This Row],[SOL'#]]</f>
        <v>SOL-11001</v>
      </c>
      <c r="D103" s="10">
        <f>SUM('1st Qtr'!D103, '2nd Qtr'!D103, '3rd Qtr'!D103, '4th Qtr'!D103)</f>
        <v>3631606</v>
      </c>
      <c r="E103" s="15">
        <f>SUM('1st Qtr'!E103, '2nd Qtr'!E103, '3rd Qtr'!E103, '4th Qtr'!E103)</f>
        <v>0</v>
      </c>
      <c r="F103" s="15">
        <f t="shared" si="9"/>
        <v>3631606</v>
      </c>
      <c r="G103" s="16" t="str">
        <f t="shared" si="10"/>
        <v/>
      </c>
      <c r="H103" s="17">
        <f>SUM('1st Qtr'!H103+'2nd Qtr'!H103+'3rd Qtr'!H103+'4th Qtr'!H103)</f>
        <v>2495035.11</v>
      </c>
      <c r="I103" s="17">
        <f>SUM('1st Qtr'!I103, '2nd Qtr'!I103, '3rd Qtr'!I103, '4th Qtr'!I103)</f>
        <v>1136570.8900000001</v>
      </c>
      <c r="J103" s="16">
        <f t="shared" si="11"/>
        <v>0.45553302454328998</v>
      </c>
      <c r="K103" s="39"/>
      <c r="L103" s="40"/>
    </row>
    <row r="104" spans="1:12" ht="15.75">
      <c r="A104" s="25" t="str">
        <v>Route 19 2</v>
      </c>
      <c r="B104" s="26" t="str">
        <v>NY</v>
      </c>
      <c r="C104" s="26" t="str">
        <f>Sites[[#This Row],[SOL'#]]</f>
        <v>SOL-11002</v>
      </c>
      <c r="D104" s="21">
        <f>SUM('1st Qtr'!D104, '2nd Qtr'!D104, '3rd Qtr'!D104, '4th Qtr'!D104)</f>
        <v>7940954</v>
      </c>
      <c r="E104" s="11">
        <f>SUM('1st Qtr'!E104, '2nd Qtr'!E104, '3rd Qtr'!E104, '4th Qtr'!E104)</f>
        <v>0</v>
      </c>
      <c r="F104" s="11">
        <f t="shared" si="9"/>
        <v>7940954</v>
      </c>
      <c r="G104" s="12" t="str">
        <f t="shared" si="10"/>
        <v/>
      </c>
      <c r="H104" s="13">
        <f>SUM('1st Qtr'!H104+'2nd Qtr'!H104+'3rd Qtr'!H104+'4th Qtr'!H104)</f>
        <v>6123593.7999999998</v>
      </c>
      <c r="I104" s="13">
        <f>SUM('1st Qtr'!I104, '2nd Qtr'!I104, '3rd Qtr'!I104, '4th Qtr'!I104)</f>
        <v>1817360.2000000002</v>
      </c>
      <c r="J104" s="14">
        <f t="shared" si="11"/>
        <v>0.29678000523156844</v>
      </c>
      <c r="K104" s="38"/>
      <c r="L104" s="38"/>
    </row>
    <row r="105" spans="1:12" ht="15.75">
      <c r="A105" s="27" t="str">
        <v>Yellow Mills 1</v>
      </c>
      <c r="B105" s="28" t="str">
        <v>NY</v>
      </c>
      <c r="C105" s="28" t="str">
        <f>Sites[[#This Row],[SOL'#]]</f>
        <v>SOL-11006</v>
      </c>
      <c r="D105" s="10">
        <f>SUM('1st Qtr'!D105, '2nd Qtr'!D105, '3rd Qtr'!D105, '4th Qtr'!D105)</f>
        <v>2746986</v>
      </c>
      <c r="E105" s="15">
        <f>SUM('1st Qtr'!E105, '2nd Qtr'!E105, '3rd Qtr'!E105, '4th Qtr'!E105)</f>
        <v>0</v>
      </c>
      <c r="F105" s="15">
        <f t="shared" si="9"/>
        <v>2746986</v>
      </c>
      <c r="G105" s="16" t="str">
        <f t="shared" si="10"/>
        <v/>
      </c>
      <c r="H105" s="17">
        <f>SUM('1st Qtr'!H105+'2nd Qtr'!H105+'3rd Qtr'!H105+'4th Qtr'!H105)</f>
        <v>1397633</v>
      </c>
      <c r="I105" s="17">
        <f>SUM('1st Qtr'!I105, '2nd Qtr'!I105, '3rd Qtr'!I105, '4th Qtr'!I105)</f>
        <v>1349353</v>
      </c>
      <c r="J105" s="16">
        <f t="shared" si="11"/>
        <v>0.96545588147961592</v>
      </c>
      <c r="K105" s="39"/>
      <c r="L105" s="40"/>
    </row>
    <row r="106" spans="1:12" ht="15.75">
      <c r="A106" s="25" t="str">
        <v>Yellow Mills 2</v>
      </c>
      <c r="B106" s="26" t="str">
        <v>NY</v>
      </c>
      <c r="C106" s="26" t="str">
        <f>Sites[[#This Row],[SOL'#]]</f>
        <v>SOL-11005</v>
      </c>
      <c r="D106" s="21">
        <f>SUM('1st Qtr'!D106, '2nd Qtr'!D106, '3rd Qtr'!D106, '4th Qtr'!D106)</f>
        <v>3115680</v>
      </c>
      <c r="E106" s="11">
        <f>SUM('1st Qtr'!E106, '2nd Qtr'!E106, '3rd Qtr'!E106, '4th Qtr'!E106)</f>
        <v>0</v>
      </c>
      <c r="F106" s="11">
        <f t="shared" si="9"/>
        <v>3115680</v>
      </c>
      <c r="G106" s="12" t="str">
        <f t="shared" si="10"/>
        <v/>
      </c>
      <c r="H106" s="13">
        <f>SUM('1st Qtr'!H106+'2nd Qtr'!H106+'3rd Qtr'!H106+'4th Qtr'!H106)</f>
        <v>1450181</v>
      </c>
      <c r="I106" s="13">
        <f>SUM('1st Qtr'!I106, '2nd Qtr'!I106, '3rd Qtr'!I106, '4th Qtr'!I106)</f>
        <v>1665499</v>
      </c>
      <c r="J106" s="14">
        <f t="shared" si="11"/>
        <v>1.1484766384334093</v>
      </c>
      <c r="K106" s="38"/>
      <c r="L106" s="38"/>
    </row>
    <row r="107" spans="1:12" ht="15.75">
      <c r="A107" s="27" t="str">
        <v>Yellow Mills 3</v>
      </c>
      <c r="B107" s="28" t="str">
        <v>NY</v>
      </c>
      <c r="C107" s="28" t="str">
        <f>Sites[[#This Row],[SOL'#]]</f>
        <v>SOL-11007</v>
      </c>
      <c r="D107" s="10">
        <f>SUM('1st Qtr'!D107, '2nd Qtr'!D107, '3rd Qtr'!D107, '4th Qtr'!D107)</f>
        <v>2852127</v>
      </c>
      <c r="E107" s="15">
        <f>SUM('1st Qtr'!E107, '2nd Qtr'!E107, '3rd Qtr'!E107, '4th Qtr'!E107)</f>
        <v>0</v>
      </c>
      <c r="F107" s="15">
        <f t="shared" si="9"/>
        <v>2852127</v>
      </c>
      <c r="G107" s="16" t="str">
        <f t="shared" si="10"/>
        <v/>
      </c>
      <c r="H107" s="17">
        <f>SUM('1st Qtr'!H107+'2nd Qtr'!H107+'3rd Qtr'!H107+'4th Qtr'!H107)</f>
        <v>1381311</v>
      </c>
      <c r="I107" s="17">
        <f>SUM('1st Qtr'!I107, '2nd Qtr'!I107, '3rd Qtr'!I107, '4th Qtr'!I107)</f>
        <v>1470816</v>
      </c>
      <c r="J107" s="16">
        <f t="shared" si="11"/>
        <v>1.0647971383707218</v>
      </c>
      <c r="K107" s="39"/>
      <c r="L107" s="40"/>
    </row>
    <row r="108" spans="1:12" ht="15.75">
      <c r="A108" s="25" t="str">
        <v>Catskill</v>
      </c>
      <c r="B108" s="26" t="str">
        <v>NY</v>
      </c>
      <c r="C108" s="26" t="str">
        <f>Sites[[#This Row],[SOL'#]]</f>
        <v>SOL-11021</v>
      </c>
      <c r="D108" s="21">
        <f>SUM('1st Qtr'!D108, '2nd Qtr'!D108, '3rd Qtr'!D108, '4th Qtr'!D108)</f>
        <v>5775424</v>
      </c>
      <c r="E108" s="11">
        <f>SUM('1st Qtr'!E108, '2nd Qtr'!E108, '3rd Qtr'!E108, '4th Qtr'!E108)</f>
        <v>0</v>
      </c>
      <c r="F108" s="11">
        <f t="shared" si="9"/>
        <v>5775424</v>
      </c>
      <c r="G108" s="12" t="str">
        <f t="shared" si="10"/>
        <v/>
      </c>
      <c r="H108" s="13">
        <f>SUM('1st Qtr'!H108+'2nd Qtr'!H108+'3rd Qtr'!H108+'4th Qtr'!H108)</f>
        <v>2620054</v>
      </c>
      <c r="I108" s="13">
        <f>SUM('1st Qtr'!I108, '2nd Qtr'!I108, '3rd Qtr'!I108, '4th Qtr'!I108)</f>
        <v>3155370</v>
      </c>
      <c r="J108" s="14">
        <f t="shared" si="11"/>
        <v>1.2043148728995663</v>
      </c>
      <c r="K108" s="38"/>
      <c r="L108" s="38"/>
    </row>
    <row r="109" spans="1:12" ht="15.75">
      <c r="A109" s="27" t="str">
        <v>Eddy Ridge</v>
      </c>
      <c r="B109" s="28" t="str">
        <v>NY</v>
      </c>
      <c r="C109" s="28" t="str">
        <f>Sites[[#This Row],[SOL'#]]</f>
        <v>SOL-11054</v>
      </c>
      <c r="D109" s="10">
        <f>SUM('1st Qtr'!D109, '2nd Qtr'!D109, '3rd Qtr'!D109, '4th Qtr'!D109)</f>
        <v>3344244.4</v>
      </c>
      <c r="E109" s="15">
        <f>SUM('1st Qtr'!E109, '2nd Qtr'!E109, '3rd Qtr'!E109, '4th Qtr'!E109)</f>
        <v>0</v>
      </c>
      <c r="F109" s="15">
        <f t="shared" si="9"/>
        <v>3344244.4</v>
      </c>
      <c r="G109" s="16" t="str">
        <f t="shared" si="10"/>
        <v/>
      </c>
      <c r="H109" s="17">
        <f>SUM('1st Qtr'!H109+'2nd Qtr'!H109+'3rd Qtr'!H109+'4th Qtr'!H109)</f>
        <v>1979000</v>
      </c>
      <c r="I109" s="17">
        <f>SUM('1st Qtr'!I109, '2nd Qtr'!I109, '3rd Qtr'!I109, '4th Qtr'!I109)</f>
        <v>1365244.4</v>
      </c>
      <c r="J109" s="16">
        <f t="shared" si="11"/>
        <v>0.68986579080343602</v>
      </c>
      <c r="K109" s="39"/>
      <c r="L109" s="40"/>
    </row>
    <row r="110" spans="1:12" ht="15.75">
      <c r="A110" s="25" t="str">
        <v>Ridgeway #1</v>
      </c>
      <c r="B110" s="26" t="str">
        <v>NY</v>
      </c>
      <c r="C110" s="26" t="str">
        <f>Sites[[#This Row],[SOL'#]]</f>
        <v>SOL-11018</v>
      </c>
      <c r="D110" s="21">
        <f>SUM('1st Qtr'!D110, '2nd Qtr'!D110, '3rd Qtr'!D110, '4th Qtr'!D110)</f>
        <v>8043774.4900000002</v>
      </c>
      <c r="E110" s="11">
        <f>SUM('1st Qtr'!E110, '2nd Qtr'!E110, '3rd Qtr'!E110, '4th Qtr'!E110)</f>
        <v>0</v>
      </c>
      <c r="F110" s="11">
        <f t="shared" si="9"/>
        <v>8043774.4900000002</v>
      </c>
      <c r="G110" s="12" t="str">
        <f t="shared" si="10"/>
        <v/>
      </c>
      <c r="H110" s="13">
        <f>SUM('1st Qtr'!H110+'2nd Qtr'!H110+'3rd Qtr'!H110+'4th Qtr'!H110)</f>
        <v>3894905</v>
      </c>
      <c r="I110" s="13">
        <f>SUM('1st Qtr'!I110, '2nd Qtr'!I110, '3rd Qtr'!I110, '4th Qtr'!I110)</f>
        <v>4148869.49</v>
      </c>
      <c r="J110" s="14">
        <f t="shared" si="11"/>
        <v>1.0652042835447848</v>
      </c>
      <c r="K110" s="38"/>
      <c r="L110" s="38"/>
    </row>
    <row r="111" spans="1:12" ht="15.75">
      <c r="A111" s="27" t="str">
        <v>Rivard 1</v>
      </c>
      <c r="B111" s="28" t="str">
        <v>NY</v>
      </c>
      <c r="C111" s="28" t="str">
        <f>Sites[[#This Row],[SOL'#]]</f>
        <v>SOL-11011</v>
      </c>
      <c r="D111" s="10">
        <f>SUM('1st Qtr'!D111, '2nd Qtr'!D111, '3rd Qtr'!D111, '4th Qtr'!D111)</f>
        <v>5946020.0164754111</v>
      </c>
      <c r="E111" s="15">
        <f>SUM('1st Qtr'!E111, '2nd Qtr'!E111, '3rd Qtr'!E111, '4th Qtr'!E111)</f>
        <v>7764591.2000000002</v>
      </c>
      <c r="F111" s="15">
        <f t="shared" si="9"/>
        <v>-1818571.1835245891</v>
      </c>
      <c r="G111" s="16">
        <f t="shared" si="10"/>
        <v>-0.23421338441160805</v>
      </c>
      <c r="H111" s="17">
        <f>SUM('1st Qtr'!H111+'2nd Qtr'!H111+'3rd Qtr'!H111+'4th Qtr'!H111)</f>
        <v>7664039.2000000002</v>
      </c>
      <c r="I111" s="17">
        <f>SUM('1st Qtr'!I111, '2nd Qtr'!I111, '3rd Qtr'!I111, '4th Qtr'!I111)</f>
        <v>-1718019.1835245891</v>
      </c>
      <c r="J111" s="16">
        <f t="shared" si="11"/>
        <v>-0.22416628342983802</v>
      </c>
      <c r="K111" s="39"/>
      <c r="L111" s="40"/>
    </row>
    <row r="112" spans="1:12" ht="15.75">
      <c r="A112" s="25" t="str">
        <v>Rivard 2</v>
      </c>
      <c r="B112" s="26" t="str">
        <v>NY</v>
      </c>
      <c r="C112" s="26" t="str">
        <f>Sites[[#This Row],[SOL'#]]</f>
        <v>SOL-11012</v>
      </c>
      <c r="D112" s="21">
        <f>SUM('1st Qtr'!D112, '2nd Qtr'!D112, '3rd Qtr'!D112, '4th Qtr'!D112)</f>
        <v>6854531.1409036471</v>
      </c>
      <c r="E112" s="11">
        <f>SUM('1st Qtr'!E112, '2nd Qtr'!E112, '3rd Qtr'!E112, '4th Qtr'!E112)</f>
        <v>6918380.3899999997</v>
      </c>
      <c r="F112" s="11">
        <f t="shared" si="9"/>
        <v>-63849.249096352607</v>
      </c>
      <c r="G112" s="12">
        <f t="shared" si="10"/>
        <v>-9.2289301103827583E-3</v>
      </c>
      <c r="H112" s="13">
        <f>SUM('1st Qtr'!H112+'2nd Qtr'!H112+'3rd Qtr'!H112+'4th Qtr'!H112)</f>
        <v>7355393.4000000004</v>
      </c>
      <c r="I112" s="13">
        <f>SUM('1st Qtr'!I112, '2nd Qtr'!I112, '3rd Qtr'!I112, '4th Qtr'!I112)</f>
        <v>-500862.25909635233</v>
      </c>
      <c r="J112" s="14">
        <f t="shared" si="11"/>
        <v>-6.8094557538737804E-2</v>
      </c>
      <c r="K112" s="38"/>
      <c r="L112" s="38"/>
    </row>
    <row r="113" spans="1:12" ht="15.75">
      <c r="A113" s="27" t="str">
        <v>Essex</v>
      </c>
      <c r="B113" s="28" t="str">
        <v>DC</v>
      </c>
      <c r="C113" s="28" t="str">
        <f>Sites[[#This Row],[SOL'#]]</f>
        <v>SOL-10036</v>
      </c>
      <c r="D113" s="10">
        <f>SUM('1st Qtr'!D113, '2nd Qtr'!D113, '3rd Qtr'!D113, '4th Qtr'!D113)</f>
        <v>32595</v>
      </c>
      <c r="E113" s="15">
        <f>SUM('1st Qtr'!E113, '2nd Qtr'!E113, '3rd Qtr'!E113, '4th Qtr'!E113)</f>
        <v>44805.133000000002</v>
      </c>
      <c r="F113" s="15">
        <f t="shared" si="9"/>
        <v>-12210.133000000002</v>
      </c>
      <c r="G113" s="16">
        <f t="shared" si="10"/>
        <v>-0.27251638779869264</v>
      </c>
      <c r="H113" s="17">
        <f>SUM('1st Qtr'!H113+'2nd Qtr'!H113+'3rd Qtr'!H113+'4th Qtr'!H113)</f>
        <v>42254.140999999996</v>
      </c>
      <c r="I113" s="17">
        <f>SUM('1st Qtr'!I113, '2nd Qtr'!I113, '3rd Qtr'!I113, '4th Qtr'!I113)</f>
        <v>-9659.1409999999996</v>
      </c>
      <c r="J113" s="16">
        <f t="shared" si="11"/>
        <v>-0.22859631674916786</v>
      </c>
      <c r="K113" s="39"/>
      <c r="L113" s="39"/>
    </row>
    <row r="114" spans="1:12" ht="15.75">
      <c r="A114" s="25" t="str">
        <v>Temple Sinai</v>
      </c>
      <c r="B114" s="26" t="str">
        <v>DC</v>
      </c>
      <c r="C114" s="26" t="str">
        <f>Sites[[#This Row],[SOL'#]]</f>
        <v>SOL-10028</v>
      </c>
      <c r="D114" s="21">
        <f>SUM('1st Qtr'!D114, '2nd Qtr'!D114, '3rd Qtr'!D114, '4th Qtr'!D114)</f>
        <v>83475.319999999949</v>
      </c>
      <c r="E114" s="11">
        <f>SUM('1st Qtr'!E114, '2nd Qtr'!E114, '3rd Qtr'!E114, '4th Qtr'!E114)</f>
        <v>114078.73700000001</v>
      </c>
      <c r="F114" s="11">
        <f t="shared" si="9"/>
        <v>-30603.417000000059</v>
      </c>
      <c r="G114" s="12">
        <f t="shared" si="10"/>
        <v>-0.26826574175694157</v>
      </c>
      <c r="H114" s="13">
        <f>SUM('1st Qtr'!H114+'2nd Qtr'!H114+'3rd Qtr'!H114+'4th Qtr'!H114)</f>
        <v>101679.049</v>
      </c>
      <c r="I114" s="13">
        <f>SUM('1st Qtr'!I114, '2nd Qtr'!I114, '3rd Qtr'!I114, '4th Qtr'!I114)</f>
        <v>-18203.72900000005</v>
      </c>
      <c r="J114" s="14">
        <f t="shared" si="11"/>
        <v>-0.17903126729676683</v>
      </c>
      <c r="K114" s="38"/>
      <c r="L114" s="38"/>
    </row>
    <row r="115" spans="1:12" ht="15.75">
      <c r="A115" s="27" t="str">
        <v>Weinberg 1</v>
      </c>
      <c r="B115" s="28" t="str">
        <v>DC</v>
      </c>
      <c r="C115" s="28" t="str">
        <f>Sites[[#This Row],[SOL'#]]</f>
        <v>SOL-10039</v>
      </c>
      <c r="D115" s="10">
        <f>SUM('1st Qtr'!D115, '2nd Qtr'!D115, '3rd Qtr'!D115, '4th Qtr'!D115)</f>
        <v>13448</v>
      </c>
      <c r="E115" s="15">
        <f>SUM('1st Qtr'!E115, '2nd Qtr'!E115, '3rd Qtr'!E115, '4th Qtr'!E115)</f>
        <v>14234.658100000001</v>
      </c>
      <c r="F115" s="15">
        <f t="shared" si="9"/>
        <v>-786.65810000000056</v>
      </c>
      <c r="G115" s="16">
        <f t="shared" si="10"/>
        <v>-5.5263575315518156E-2</v>
      </c>
      <c r="H115" s="17">
        <f>SUM('1st Qtr'!H115+'2nd Qtr'!H115+'3rd Qtr'!H115+'4th Qtr'!H115)</f>
        <v>15263.7971</v>
      </c>
      <c r="I115" s="17">
        <f>SUM('1st Qtr'!I115, '2nd Qtr'!I115, '3rd Qtr'!I115, '4th Qtr'!I115)</f>
        <v>-1815.7971</v>
      </c>
      <c r="J115" s="16">
        <f t="shared" si="11"/>
        <v>-0.11896103493147193</v>
      </c>
      <c r="K115" s="39"/>
      <c r="L115" s="40"/>
    </row>
    <row r="116" spans="1:12" ht="15.75">
      <c r="A116" s="25" t="str">
        <v>Weinberg 2</v>
      </c>
      <c r="B116" s="26" t="str">
        <v>DC</v>
      </c>
      <c r="C116" s="26" t="str">
        <f>Sites[[#This Row],[SOL'#]]</f>
        <v>SOL-10045</v>
      </c>
      <c r="D116" s="21">
        <f>SUM('1st Qtr'!D116, '2nd Qtr'!D116, '3rd Qtr'!D116, '4th Qtr'!D116)</f>
        <v>12420</v>
      </c>
      <c r="E116" s="11">
        <f>SUM('1st Qtr'!E116, '2nd Qtr'!E116, '3rd Qtr'!E116, '4th Qtr'!E116)</f>
        <v>12902.844500000001</v>
      </c>
      <c r="F116" s="11">
        <f t="shared" si="9"/>
        <v>-482.84450000000106</v>
      </c>
      <c r="G116" s="12">
        <f t="shared" si="10"/>
        <v>-3.7421554603715559E-2</v>
      </c>
      <c r="H116" s="13">
        <f>SUM('1st Qtr'!H116+'2nd Qtr'!H116+'3rd Qtr'!H116+'4th Qtr'!H116)</f>
        <v>15655.4817</v>
      </c>
      <c r="I116" s="13">
        <f>SUM('1st Qtr'!I116, '2nd Qtr'!I116, '3rd Qtr'!I116, '4th Qtr'!I116)</f>
        <v>-3235.4817000000003</v>
      </c>
      <c r="J116" s="14">
        <f t="shared" si="11"/>
        <v>-0.20666765558545544</v>
      </c>
      <c r="K116" s="38"/>
      <c r="L116" s="38"/>
    </row>
    <row r="117" spans="1:12" ht="15.75">
      <c r="A117" s="27" t="str">
        <v>Weinberg 3</v>
      </c>
      <c r="B117" s="28" t="str">
        <v>DC</v>
      </c>
      <c r="C117" s="28" t="str">
        <f>Sites[[#This Row],[SOL'#]]</f>
        <v>SOL-10042</v>
      </c>
      <c r="D117" s="10">
        <f>SUM('1st Qtr'!D117, '2nd Qtr'!D117, '3rd Qtr'!D117, '4th Qtr'!D117)</f>
        <v>15261</v>
      </c>
      <c r="E117" s="15">
        <f>SUM('1st Qtr'!E117, '2nd Qtr'!E117, '3rd Qtr'!E117, '4th Qtr'!E117)</f>
        <v>14762.677300000001</v>
      </c>
      <c r="F117" s="15">
        <f t="shared" si="9"/>
        <v>498.3226999999988</v>
      </c>
      <c r="G117" s="16">
        <f t="shared" si="10"/>
        <v>3.3755577655280644E-2</v>
      </c>
      <c r="H117" s="17">
        <f>SUM('1st Qtr'!H117+'2nd Qtr'!H117+'3rd Qtr'!H117+'4th Qtr'!H117)</f>
        <v>16054</v>
      </c>
      <c r="I117" s="17">
        <f>SUM('1st Qtr'!I117, '2nd Qtr'!I117, '3rd Qtr'!I117, '4th Qtr'!I117)</f>
        <v>-793</v>
      </c>
      <c r="J117" s="16">
        <f t="shared" si="11"/>
        <v>-4.9395789211411488E-2</v>
      </c>
      <c r="K117" s="39"/>
      <c r="L117" s="40"/>
    </row>
    <row r="118" spans="1:12" ht="15.75">
      <c r="A118" s="25" t="str">
        <v>Clayton Hall</v>
      </c>
      <c r="B118" s="26" t="str">
        <v>DE</v>
      </c>
      <c r="C118" s="26" t="str">
        <f>Sites[[#This Row],[SOL'#]]</f>
        <v>SOL-10820</v>
      </c>
      <c r="D118" s="21">
        <f>SUM('1st Qtr'!D118, '2nd Qtr'!D118, '3rd Qtr'!D118, '4th Qtr'!D118)</f>
        <v>154779</v>
      </c>
      <c r="E118" s="11">
        <f>SUM('1st Qtr'!E118, '2nd Qtr'!E118, '3rd Qtr'!E118, '4th Qtr'!E118)</f>
        <v>186783.87400000001</v>
      </c>
      <c r="F118" s="11">
        <f t="shared" si="9"/>
        <v>-32004.874000000011</v>
      </c>
      <c r="G118" s="12">
        <f t="shared" si="10"/>
        <v>-0.17134709391454217</v>
      </c>
      <c r="H118" s="13">
        <f>SUM('1st Qtr'!H118+'2nd Qtr'!H118+'3rd Qtr'!H118+'4th Qtr'!H118)</f>
        <v>91579.182000000001</v>
      </c>
      <c r="I118" s="13">
        <f>SUM('1st Qtr'!I118, '2nd Qtr'!I118, '3rd Qtr'!I118, '4th Qtr'!I118)</f>
        <v>63199.817999999999</v>
      </c>
      <c r="J118" s="14">
        <f t="shared" si="11"/>
        <v>0.69011118705995866</v>
      </c>
      <c r="K118" s="38"/>
      <c r="L118" s="38"/>
    </row>
    <row r="119" spans="1:12" ht="15.75">
      <c r="A119" s="27" t="str">
        <v>Field House</v>
      </c>
      <c r="B119" s="28" t="str">
        <v>DE</v>
      </c>
      <c r="C119" s="28" t="str">
        <f>Sites[[#This Row],[SOL'#]]</f>
        <v>SOL-10821</v>
      </c>
      <c r="D119" s="10">
        <f>SUM('1st Qtr'!D119, '2nd Qtr'!D119, '3rd Qtr'!D119, '4th Qtr'!D119)</f>
        <v>441011</v>
      </c>
      <c r="E119" s="15">
        <f>SUM('1st Qtr'!E119, '2nd Qtr'!E119, '3rd Qtr'!E119, '4th Qtr'!E119)</f>
        <v>0</v>
      </c>
      <c r="F119" s="15">
        <f t="shared" si="9"/>
        <v>441011</v>
      </c>
      <c r="G119" s="16" t="str">
        <f t="shared" si="10"/>
        <v/>
      </c>
      <c r="H119" s="17">
        <f>SUM('1st Qtr'!H119+'2nd Qtr'!H119+'3rd Qtr'!H119+'4th Qtr'!H119)</f>
        <v>435362.196</v>
      </c>
      <c r="I119" s="17">
        <f>SUM('1st Qtr'!I119, '2nd Qtr'!I119, '3rd Qtr'!I119, '4th Qtr'!I119)</f>
        <v>5648.8039999999964</v>
      </c>
      <c r="J119" s="16">
        <f t="shared" si="11"/>
        <v>1.2974952928618534E-2</v>
      </c>
      <c r="K119" s="39"/>
      <c r="L119" s="40"/>
    </row>
    <row r="120" spans="1:12" ht="15.75">
      <c r="A120" s="25" t="str">
        <v>Wyoming Road</v>
      </c>
      <c r="B120" s="26" t="str">
        <v>DE</v>
      </c>
      <c r="C120" s="26" t="str">
        <f>Sites[[#This Row],[SOL'#]]</f>
        <v>SOL-10819</v>
      </c>
      <c r="D120" s="21">
        <f>SUM('1st Qtr'!D120, '2nd Qtr'!D120, '3rd Qtr'!D120, '4th Qtr'!D120)</f>
        <v>179735</v>
      </c>
      <c r="E120" s="11">
        <f>SUM('1st Qtr'!E120, '2nd Qtr'!E120, '3rd Qtr'!E120, '4th Qtr'!E120)</f>
        <v>203545.63099999999</v>
      </c>
      <c r="F120" s="11">
        <f t="shared" si="9"/>
        <v>-23810.630999999994</v>
      </c>
      <c r="G120" s="12">
        <f t="shared" si="10"/>
        <v>-0.11697932735289217</v>
      </c>
      <c r="H120" s="13">
        <f>SUM('1st Qtr'!H120+'2nd Qtr'!H120+'3rd Qtr'!H120+'4th Qtr'!H120)</f>
        <v>310780.11100000003</v>
      </c>
      <c r="I120" s="13">
        <f>SUM('1st Qtr'!I120, '2nd Qtr'!I120, '3rd Qtr'!I120, '4th Qtr'!I120)</f>
        <v>-94615.111000000004</v>
      </c>
      <c r="J120" s="14">
        <f t="shared" si="11"/>
        <v>-0.30444390632192031</v>
      </c>
      <c r="K120" s="38"/>
      <c r="L120" s="38"/>
    </row>
    <row r="121" spans="1:12" ht="15.75">
      <c r="A121" s="27" t="str">
        <v>Leoku</v>
      </c>
      <c r="B121" s="28" t="str">
        <v>HI</v>
      </c>
      <c r="C121" s="28" t="str">
        <f>Sites[[#This Row],[SOL'#]]</f>
        <v>SOL-10071</v>
      </c>
      <c r="D121" s="10">
        <f>SUM('1st Qtr'!D121, '2nd Qtr'!D121, '3rd Qtr'!D121, '4th Qtr'!D121)</f>
        <v>111061</v>
      </c>
      <c r="E121" s="15">
        <f>SUM('1st Qtr'!E121, '2nd Qtr'!E121, '3rd Qtr'!E121, '4th Qtr'!E121)</f>
        <v>108849.85299999999</v>
      </c>
      <c r="F121" s="15">
        <f t="shared" si="9"/>
        <v>2211.1470000000118</v>
      </c>
      <c r="G121" s="16">
        <f t="shared" si="10"/>
        <v>2.0313734369489796E-2</v>
      </c>
      <c r="H121" s="17">
        <f>SUM('1st Qtr'!H121+'2nd Qtr'!H121+'3rd Qtr'!H121+'4th Qtr'!H121)</f>
        <v>128858.42799999999</v>
      </c>
      <c r="I121" s="17">
        <f>SUM('1st Qtr'!I121, '2nd Qtr'!I121, '3rd Qtr'!I121, '4th Qtr'!I121)</f>
        <v>-17797.428</v>
      </c>
      <c r="J121" s="16">
        <f t="shared" si="11"/>
        <v>-0.13811613470870529</v>
      </c>
      <c r="K121" s="39"/>
      <c r="L121" s="40"/>
    </row>
    <row r="122" spans="1:12" ht="15.75">
      <c r="A122" s="25" t="str">
        <v>Waipahu</v>
      </c>
      <c r="B122" s="26" t="str">
        <v>HI</v>
      </c>
      <c r="C122" s="26" t="str">
        <f>Sites[[#This Row],[SOL'#]]</f>
        <v>SOL-10068</v>
      </c>
      <c r="D122" s="21">
        <f>SUM('1st Qtr'!D122, '2nd Qtr'!D122, '3rd Qtr'!D122, '4th Qtr'!D122)</f>
        <v>123580</v>
      </c>
      <c r="E122" s="11">
        <f>SUM('1st Qtr'!E122, '2nd Qtr'!E122, '3rd Qtr'!E122, '4th Qtr'!E122)</f>
        <v>102056.15700000001</v>
      </c>
      <c r="F122" s="11">
        <f t="shared" si="9"/>
        <v>21523.842999999993</v>
      </c>
      <c r="G122" s="12">
        <f t="shared" si="10"/>
        <v>0.21090195469539375</v>
      </c>
      <c r="H122" s="13">
        <f>SUM('1st Qtr'!H122+'2nd Qtr'!H122+'3rd Qtr'!H122+'4th Qtr'!H122)</f>
        <v>128843.05799999999</v>
      </c>
      <c r="I122" s="13">
        <f>SUM('1st Qtr'!I122, '2nd Qtr'!I122, '3rd Qtr'!I122, '4th Qtr'!I122)</f>
        <v>-5263.0580000000009</v>
      </c>
      <c r="J122" s="14">
        <f t="shared" si="11"/>
        <v>-4.0848595816469997E-2</v>
      </c>
      <c r="K122" s="38"/>
      <c r="L122" s="38"/>
    </row>
    <row r="123" spans="1:12" ht="15.75">
      <c r="A123" s="27" t="str">
        <v>Bird in Hand</v>
      </c>
      <c r="B123" s="28" t="str">
        <v>MD</v>
      </c>
      <c r="C123" s="28" t="str">
        <f>Sites[[#This Row],[SOL'#]]</f>
        <v>SOL-10092</v>
      </c>
      <c r="D123" s="10">
        <f>SUM('1st Qtr'!D123, '2nd Qtr'!D123, '3rd Qtr'!D123, '4th Qtr'!D123)</f>
        <v>1526673</v>
      </c>
      <c r="E123" s="15">
        <f>SUM('1st Qtr'!E123, '2nd Qtr'!E123, '3rd Qtr'!E123, '4th Qtr'!E123)</f>
        <v>1603961.8800000001</v>
      </c>
      <c r="F123" s="15">
        <f t="shared" si="9"/>
        <v>-77288.880000000121</v>
      </c>
      <c r="G123" s="16">
        <f t="shared" si="10"/>
        <v>-4.8186232455848708E-2</v>
      </c>
      <c r="H123" s="17">
        <f>SUM('1st Qtr'!H123+'2nd Qtr'!H123+'3rd Qtr'!H123+'4th Qtr'!H123)</f>
        <v>1603378.7</v>
      </c>
      <c r="I123" s="17">
        <f>SUM('1st Qtr'!I123, '2nd Qtr'!I123, '3rd Qtr'!I123, '4th Qtr'!I123)</f>
        <v>-76705.7</v>
      </c>
      <c r="J123" s="16">
        <f t="shared" si="11"/>
        <v>-4.7840039287038054E-2</v>
      </c>
      <c r="K123" s="39"/>
      <c r="L123" s="40"/>
    </row>
    <row r="124" spans="1:12" ht="15.75">
      <c r="A124" s="25" t="str">
        <v>Shortal</v>
      </c>
      <c r="B124" s="26" t="str">
        <v>MD</v>
      </c>
      <c r="C124" s="26" t="str">
        <f>Sites[[#This Row],[SOL'#]]</f>
        <v>SOL-10091</v>
      </c>
      <c r="D124" s="21">
        <f>SUM('1st Qtr'!D124, '2nd Qtr'!D124, '3rd Qtr'!D124, '4th Qtr'!D124)</f>
        <v>1634939</v>
      </c>
      <c r="E124" s="11">
        <f>SUM('1st Qtr'!E124, '2nd Qtr'!E124, '3rd Qtr'!E124, '4th Qtr'!E124)</f>
        <v>1419306.2949999999</v>
      </c>
      <c r="F124" s="11">
        <f t="shared" si="9"/>
        <v>215632.70500000007</v>
      </c>
      <c r="G124" s="12">
        <f t="shared" si="10"/>
        <v>0.15192823829475094</v>
      </c>
      <c r="H124" s="13">
        <f>SUM('1st Qtr'!H124+'2nd Qtr'!H124+'3rd Qtr'!H124+'4th Qtr'!H124)</f>
        <v>660870.86</v>
      </c>
      <c r="I124" s="13">
        <f>SUM('1st Qtr'!I124, '2nd Qtr'!I124, '3rd Qtr'!I124, '4th Qtr'!I124)</f>
        <v>974068.14</v>
      </c>
      <c r="J124" s="14">
        <f t="shared" si="11"/>
        <v>1.4739160083408731</v>
      </c>
      <c r="K124" s="38"/>
      <c r="L124" s="38"/>
    </row>
    <row r="125" spans="1:12" ht="15.75">
      <c r="A125" s="27" t="str">
        <v>Aguadilla</v>
      </c>
      <c r="B125" s="28" t="str">
        <v>PR</v>
      </c>
      <c r="C125" s="28" t="str">
        <f>Sites[[#This Row],[SOL'#]]</f>
        <v>SOL-10072</v>
      </c>
      <c r="D125" s="10">
        <f>SUM('1st Qtr'!D125, '2nd Qtr'!D125, '3rd Qtr'!D125, '4th Qtr'!D125)</f>
        <v>191310</v>
      </c>
      <c r="E125" s="15">
        <f>SUM('1st Qtr'!E125, '2nd Qtr'!E125, '3rd Qtr'!E125, '4th Qtr'!E125)</f>
        <v>173397.83799999999</v>
      </c>
      <c r="F125" s="15">
        <f t="shared" si="9"/>
        <v>17912.162000000011</v>
      </c>
      <c r="G125" s="16">
        <f t="shared" si="10"/>
        <v>0.10330095349862443</v>
      </c>
      <c r="H125" s="17">
        <f>SUM('1st Qtr'!H125+'2nd Qtr'!H125+'3rd Qtr'!H125+'4th Qtr'!H125)</f>
        <v>208923</v>
      </c>
      <c r="I125" s="17">
        <f>SUM('1st Qtr'!I125, '2nd Qtr'!I125, '3rd Qtr'!I125, '4th Qtr'!I125)</f>
        <v>-17613</v>
      </c>
      <c r="J125" s="16">
        <f t="shared" si="11"/>
        <v>-8.4303786562513458E-2</v>
      </c>
      <c r="K125" s="39"/>
      <c r="L125" s="39"/>
    </row>
    <row r="126" spans="1:12" ht="15.75">
      <c r="A126" s="25" t="str">
        <v>Bayamon</v>
      </c>
      <c r="B126" s="26" t="str">
        <v>PR</v>
      </c>
      <c r="C126" s="26" t="str">
        <f>Sites[[#This Row],[SOL'#]]</f>
        <v>SOL-10073</v>
      </c>
      <c r="D126" s="21">
        <f>SUM('1st Qtr'!D126, '2nd Qtr'!D126, '3rd Qtr'!D126, '4th Qtr'!D126)</f>
        <v>652663</v>
      </c>
      <c r="E126" s="11">
        <f>SUM('1st Qtr'!E126, '2nd Qtr'!E126, '3rd Qtr'!E126, '4th Qtr'!E126)</f>
        <v>710118.7300000001</v>
      </c>
      <c r="F126" s="11">
        <f t="shared" si="9"/>
        <v>-57455.730000000098</v>
      </c>
      <c r="G126" s="12">
        <f t="shared" si="10"/>
        <v>-8.0910033171495269E-2</v>
      </c>
      <c r="H126" s="13">
        <f>SUM('1st Qtr'!H126+'2nd Qtr'!H126+'3rd Qtr'!H126+'4th Qtr'!H126)</f>
        <v>338784</v>
      </c>
      <c r="I126" s="13">
        <f>SUM('1st Qtr'!I126, '2nd Qtr'!I126, '3rd Qtr'!I126, '4th Qtr'!I126)</f>
        <v>313879</v>
      </c>
      <c r="J126" s="14">
        <f t="shared" si="11"/>
        <v>0.92648708321526396</v>
      </c>
      <c r="K126" s="38"/>
      <c r="L126" s="38"/>
    </row>
    <row r="127" spans="1:12" ht="15.75">
      <c r="A127" s="27" t="str">
        <v>St Francis</v>
      </c>
      <c r="B127" s="28" t="str">
        <v>PR</v>
      </c>
      <c r="C127" s="28" t="str">
        <f>Sites[[#This Row],[SOL'#]]</f>
        <v>SOL-10034</v>
      </c>
      <c r="D127" s="10">
        <f>SUM('1st Qtr'!D127, '2nd Qtr'!D127, '3rd Qtr'!D127, '4th Qtr'!D127)</f>
        <v>216476.11999999991</v>
      </c>
      <c r="E127" s="15">
        <f>SUM('1st Qtr'!E127, '2nd Qtr'!E127, '3rd Qtr'!E127, '4th Qtr'!E127)</f>
        <v>465138.80499999993</v>
      </c>
      <c r="F127" s="15">
        <f t="shared" si="9"/>
        <v>-248662.68500000003</v>
      </c>
      <c r="G127" s="16">
        <f t="shared" si="10"/>
        <v>-0.53459888172520897</v>
      </c>
      <c r="H127" s="17">
        <f>SUM('1st Qtr'!H127+'2nd Qtr'!H127+'3rd Qtr'!H127+'4th Qtr'!H127)</f>
        <v>343729</v>
      </c>
      <c r="I127" s="17">
        <f>SUM('1st Qtr'!I127, '2nd Qtr'!I127, '3rd Qtr'!I127, '4th Qtr'!I127)</f>
        <v>-127252.88000000009</v>
      </c>
      <c r="J127" s="16">
        <f t="shared" si="11"/>
        <v>-0.37021281300093994</v>
      </c>
      <c r="K127" s="39"/>
      <c r="L127" s="40"/>
    </row>
    <row r="128" spans="1:12" ht="15.75">
      <c r="A128" s="25" t="str">
        <v>Seaport</v>
      </c>
      <c r="B128" s="26" t="str">
        <v>MA</v>
      </c>
      <c r="C128" s="26" t="str">
        <f>Sites[[#This Row],[SOL'#]]</f>
        <v>SOL-10772</v>
      </c>
      <c r="D128" s="21">
        <f>SUM('1st Qtr'!D128, '2nd Qtr'!D128, '3rd Qtr'!D128, '4th Qtr'!D128)</f>
        <v>595868</v>
      </c>
      <c r="E128" s="11">
        <f>SUM('1st Qtr'!E128, '2nd Qtr'!E128, '3rd Qtr'!E128, '4th Qtr'!E128)</f>
        <v>552718.54499999993</v>
      </c>
      <c r="F128" s="11">
        <f t="shared" si="9"/>
        <v>43149.455000000075</v>
      </c>
      <c r="G128" s="12">
        <f t="shared" si="10"/>
        <v>7.8067680902583217E-2</v>
      </c>
      <c r="H128" s="13">
        <f>SUM('1st Qtr'!H128+'2nd Qtr'!H128+'3rd Qtr'!H128+'4th Qtr'!H128)</f>
        <v>639080.5</v>
      </c>
      <c r="I128" s="13">
        <f>SUM('1st Qtr'!I128, '2nd Qtr'!I128, '3rd Qtr'!I128, '4th Qtr'!I128)</f>
        <v>-43212.500000000007</v>
      </c>
      <c r="J128" s="14">
        <f t="shared" si="11"/>
        <v>-6.7616677398230754E-2</v>
      </c>
      <c r="K128" s="38"/>
      <c r="L128" s="38"/>
    </row>
    <row r="129" spans="1:12" ht="15.75">
      <c r="A129" s="27" t="str">
        <v>Sprague St</v>
      </c>
      <c r="B129" s="28" t="str">
        <v>MA</v>
      </c>
      <c r="C129" s="28" t="str">
        <f>Sites[[#This Row],[SOL'#]]</f>
        <v>SOL-10773</v>
      </c>
      <c r="D129" s="10">
        <f>SUM('1st Qtr'!D129, '2nd Qtr'!D129, '3rd Qtr'!D129, '4th Qtr'!D129)</f>
        <v>1352600</v>
      </c>
      <c r="E129" s="15">
        <f>SUM('1st Qtr'!E129, '2nd Qtr'!E129, '3rd Qtr'!E129, '4th Qtr'!E129)</f>
        <v>1365732.6370000001</v>
      </c>
      <c r="F129" s="15">
        <f t="shared" si="9"/>
        <v>-13132.637000000104</v>
      </c>
      <c r="G129" s="16">
        <f t="shared" si="10"/>
        <v>-9.6158183851032201E-3</v>
      </c>
      <c r="H129" s="17">
        <f>SUM('1st Qtr'!H129+'2nd Qtr'!H129+'3rd Qtr'!H129+'4th Qtr'!H129)</f>
        <v>1397183.27</v>
      </c>
      <c r="I129" s="17">
        <f>SUM('1st Qtr'!I129, '2nd Qtr'!I129, '3rd Qtr'!I129, '4th Qtr'!I129)</f>
        <v>-44583.270000000011</v>
      </c>
      <c r="J129" s="16">
        <f t="shared" si="11"/>
        <v>-3.1909392960309362E-2</v>
      </c>
      <c r="K129" s="39"/>
      <c r="L129" s="40"/>
    </row>
    <row r="130" spans="1:12" ht="15.75">
      <c r="A130" s="25" t="str">
        <v>Summer St</v>
      </c>
      <c r="B130" s="26" t="str">
        <v>MA</v>
      </c>
      <c r="C130" s="26" t="str">
        <f>Sites[[#This Row],[SOL'#]]</f>
        <v>SOL-10764</v>
      </c>
      <c r="D130" s="21">
        <f>SUM('1st Qtr'!D130, '2nd Qtr'!D130, '3rd Qtr'!D130, '4th Qtr'!D130)</f>
        <v>2777920</v>
      </c>
      <c r="E130" s="11">
        <f>SUM('1st Qtr'!E130, '2nd Qtr'!E130, '3rd Qtr'!E130, '4th Qtr'!E130)</f>
        <v>2899511.423</v>
      </c>
      <c r="F130" s="11">
        <f t="shared" si="9"/>
        <v>-121591.42299999995</v>
      </c>
      <c r="G130" s="12">
        <f t="shared" si="10"/>
        <v>-4.1935141912355194E-2</v>
      </c>
      <c r="H130" s="13">
        <f>SUM('1st Qtr'!H130+'2nd Qtr'!H130+'3rd Qtr'!H130+'4th Qtr'!H130)</f>
        <v>3032703.9000000004</v>
      </c>
      <c r="I130" s="13">
        <f>SUM('1st Qtr'!I130, '2nd Qtr'!I130, '3rd Qtr'!I130, '4th Qtr'!I130)</f>
        <v>-254783.89999999997</v>
      </c>
      <c r="J130" s="14">
        <f t="shared" si="11"/>
        <v>-8.4012125285294073E-2</v>
      </c>
      <c r="K130" s="38"/>
      <c r="L130" s="38"/>
    </row>
    <row r="131" spans="1:12" ht="15.75">
      <c r="A131" s="27" t="str">
        <v>Brock St Vocational</v>
      </c>
      <c r="B131" s="28" t="str">
        <v>NH</v>
      </c>
      <c r="C131" s="28" t="str">
        <f>Sites[[#This Row],[SOL'#]]</f>
        <v>SOL-10768</v>
      </c>
      <c r="D131" s="10">
        <f>SUM('1st Qtr'!D131, '2nd Qtr'!D131, '3rd Qtr'!D131, '4th Qtr'!D131)</f>
        <v>123776.5396990436</v>
      </c>
      <c r="E131" s="15">
        <f>SUM('1st Qtr'!E131, '2nd Qtr'!E131, '3rd Qtr'!E131, '4th Qtr'!E131)</f>
        <v>127002.046</v>
      </c>
      <c r="F131" s="15">
        <f t="shared" si="9"/>
        <v>-3225.5063009564037</v>
      </c>
      <c r="G131" s="16">
        <f t="shared" si="10"/>
        <v>-2.5397278252953528E-2</v>
      </c>
      <c r="H131" s="17">
        <f>SUM('1st Qtr'!H131+'2nd Qtr'!H131+'3rd Qtr'!H131+'4th Qtr'!H131)</f>
        <v>112193.62</v>
      </c>
      <c r="I131" s="17">
        <f>SUM('1st Qtr'!I131, '2nd Qtr'!I131, '3rd Qtr'!I131, '4th Qtr'!I131)</f>
        <v>11582.919699043599</v>
      </c>
      <c r="J131" s="16">
        <f t="shared" si="11"/>
        <v>0.10324044895818139</v>
      </c>
      <c r="K131" s="39"/>
      <c r="L131" s="40"/>
    </row>
    <row r="132" spans="1:12" ht="15.75">
      <c r="A132" s="25" t="str">
        <v>McClelland ES</v>
      </c>
      <c r="B132" s="26" t="str">
        <v>NH</v>
      </c>
      <c r="C132" s="26" t="str">
        <f>Sites[[#This Row],[SOL'#]]</f>
        <v>SOL-10766</v>
      </c>
      <c r="D132" s="21">
        <f>SUM('1st Qtr'!D132, '2nd Qtr'!D132, '3rd Qtr'!D132, '4th Qtr'!D132)</f>
        <v>92534.435015332841</v>
      </c>
      <c r="E132" s="11">
        <f>SUM('1st Qtr'!E132, '2nd Qtr'!E132, '3rd Qtr'!E132, '4th Qtr'!E132)</f>
        <v>108825.45299999999</v>
      </c>
      <c r="F132" s="11">
        <f t="shared" si="9"/>
        <v>-16291.017984667153</v>
      </c>
      <c r="G132" s="12">
        <f t="shared" si="10"/>
        <v>-0.14969860024076495</v>
      </c>
      <c r="H132" s="13">
        <f>SUM('1st Qtr'!H132+'2nd Qtr'!H132+'3rd Qtr'!H132+'4th Qtr'!H132)</f>
        <v>427538.62300000002</v>
      </c>
      <c r="I132" s="13">
        <f>SUM('1st Qtr'!I132, '2nd Qtr'!I132, '3rd Qtr'!I132, '4th Qtr'!I132)</f>
        <v>-335004.18798466714</v>
      </c>
      <c r="J132" s="14">
        <f t="shared" si="11"/>
        <v>-0.78356473535413695</v>
      </c>
      <c r="K132" s="38"/>
      <c r="L132" s="38"/>
    </row>
    <row r="133" spans="1:12" ht="15.75">
      <c r="A133" s="27" t="str">
        <v>Portland St</v>
      </c>
      <c r="B133" s="28" t="str">
        <v>NH</v>
      </c>
      <c r="C133" s="28" t="str">
        <f>Sites[[#This Row],[SOL'#]]</f>
        <v>SOL-10771</v>
      </c>
      <c r="D133" s="10">
        <f>SUM('1st Qtr'!D133, '2nd Qtr'!D133, '3rd Qtr'!D133, '4th Qtr'!D133)</f>
        <v>77726.900999999998</v>
      </c>
      <c r="E133" s="15">
        <f>SUM('1st Qtr'!E133, '2nd Qtr'!E133, '3rd Qtr'!E133, '4th Qtr'!E133)</f>
        <v>63158.197</v>
      </c>
      <c r="F133" s="15">
        <f t="shared" si="9"/>
        <v>14568.703999999998</v>
      </c>
      <c r="G133" s="16">
        <f t="shared" si="10"/>
        <v>0.2306700427182872</v>
      </c>
      <c r="H133" s="17">
        <f>SUM('1st Qtr'!H133+'2nd Qtr'!H133+'3rd Qtr'!H133+'4th Qtr'!H133)</f>
        <v>76948.41</v>
      </c>
      <c r="I133" s="17">
        <f>SUM('1st Qtr'!I133, '2nd Qtr'!I133, '3rd Qtr'!I133, '4th Qtr'!I133)</f>
        <v>-59.636000000000422</v>
      </c>
      <c r="J133" s="16">
        <f t="shared" si="11"/>
        <v>-7.7501276504609283E-4</v>
      </c>
      <c r="K133" s="39"/>
      <c r="L133" s="40"/>
    </row>
    <row r="134" spans="1:12" ht="15.75">
      <c r="A134" s="25" t="str">
        <v>Portsmouth HS</v>
      </c>
      <c r="B134" s="26" t="str">
        <v>NH</v>
      </c>
      <c r="C134" s="26" t="str">
        <f>Sites[[#This Row],[SOL'#]]</f>
        <v>SOL-10769</v>
      </c>
      <c r="D134" s="21">
        <f>SUM('1st Qtr'!D134, '2nd Qtr'!D134, '3rd Qtr'!D134, '4th Qtr'!D134)</f>
        <v>315966.125</v>
      </c>
      <c r="E134" s="11">
        <f>SUM('1st Qtr'!E134, '2nd Qtr'!E134, '3rd Qtr'!E134, '4th Qtr'!E134)</f>
        <v>296869.67300000001</v>
      </c>
      <c r="F134" s="11">
        <f t="shared" si="9"/>
        <v>19096.45199999999</v>
      </c>
      <c r="G134" s="12">
        <f t="shared" si="10"/>
        <v>6.4326045186838571E-2</v>
      </c>
      <c r="H134" s="13">
        <f>SUM('1st Qtr'!H134+'2nd Qtr'!H134+'3rd Qtr'!H134+'4th Qtr'!H134)</f>
        <v>197546.11800000002</v>
      </c>
      <c r="I134" s="13">
        <f>SUM('1st Qtr'!I134, '2nd Qtr'!I134, '3rd Qtr'!I134, '4th Qtr'!I134)</f>
        <v>118420.007</v>
      </c>
      <c r="J134" s="14">
        <f t="shared" si="11"/>
        <v>0.59945499409915004</v>
      </c>
      <c r="K134" s="38"/>
      <c r="L134" s="38"/>
    </row>
    <row r="135" spans="1:12" ht="15.75">
      <c r="A135" s="27" t="str">
        <v>Portsmouth WTP</v>
      </c>
      <c r="B135" s="28" t="str">
        <v>NH</v>
      </c>
      <c r="C135" s="28" t="str">
        <f>Sites[[#This Row],[SOL'#]]</f>
        <v>SOL-10770</v>
      </c>
      <c r="D135" s="10">
        <f>SUM('1st Qtr'!D135, '2nd Qtr'!D135, '3rd Qtr'!D135, '4th Qtr'!D135)</f>
        <v>284224.75</v>
      </c>
      <c r="E135" s="15">
        <f>SUM('1st Qtr'!E135, '2nd Qtr'!E135, '3rd Qtr'!E135, '4th Qtr'!E135)</f>
        <v>318730.78599999996</v>
      </c>
      <c r="F135" s="15">
        <f t="shared" si="9"/>
        <v>-34506.035999999964</v>
      </c>
      <c r="G135" s="16">
        <f t="shared" si="10"/>
        <v>-0.10826075646172431</v>
      </c>
      <c r="H135" s="17">
        <f>SUM('1st Qtr'!H135+'2nd Qtr'!H135+'3rd Qtr'!H135+'4th Qtr'!H135)</f>
        <v>282331.09999999998</v>
      </c>
      <c r="I135" s="17">
        <f>SUM('1st Qtr'!I135, '2nd Qtr'!I135, '3rd Qtr'!I135, '4th Qtr'!I135)</f>
        <v>1893.6499999999978</v>
      </c>
      <c r="J135" s="16">
        <f t="shared" si="11"/>
        <v>6.7071959128838371E-3</v>
      </c>
      <c r="K135" s="39"/>
      <c r="L135" s="40"/>
    </row>
    <row r="136" spans="1:12" ht="15.75">
      <c r="A136" s="25" t="str">
        <v>Rochester St</v>
      </c>
      <c r="B136" s="26" t="str">
        <v>NH</v>
      </c>
      <c r="C136" s="26" t="str">
        <f>Sites[[#This Row],[SOL'#]]</f>
        <v>SOL-10765</v>
      </c>
      <c r="D136" s="21">
        <f>SUM('1st Qtr'!D136, '2nd Qtr'!D136, '3rd Qtr'!D136, '4th Qtr'!D136)</f>
        <v>277224.25728999998</v>
      </c>
      <c r="E136" s="11">
        <f>SUM('1st Qtr'!E136, '2nd Qtr'!E136, '3rd Qtr'!E136, '4th Qtr'!E136)</f>
        <v>318456.28500000003</v>
      </c>
      <c r="F136" s="11">
        <f t="shared" si="9"/>
        <v>-41232.027710000053</v>
      </c>
      <c r="G136" s="12">
        <f t="shared" si="10"/>
        <v>-0.12947468664341183</v>
      </c>
      <c r="H136" s="13">
        <f>SUM('1st Qtr'!H136+'2nd Qtr'!H136+'3rd Qtr'!H136+'4th Qtr'!H136)</f>
        <v>261869.91399999999</v>
      </c>
      <c r="I136" s="13">
        <f>SUM('1st Qtr'!I136, '2nd Qtr'!I136, '3rd Qtr'!I136, '4th Qtr'!I136)</f>
        <v>15354.343289999997</v>
      </c>
      <c r="J136" s="14">
        <f t="shared" si="11"/>
        <v>5.863347589444734E-2</v>
      </c>
      <c r="K136" s="38"/>
      <c r="L136" s="38"/>
    </row>
    <row r="137" spans="1:12" ht="15.75">
      <c r="A137" s="27" t="str">
        <v>Spaulding HS</v>
      </c>
      <c r="B137" s="28" t="str">
        <v>NH</v>
      </c>
      <c r="C137" s="28" t="str">
        <f>Sites[[#This Row],[SOL'#]]</f>
        <v>SOL-10767</v>
      </c>
      <c r="D137" s="10">
        <f>SUM('1st Qtr'!D137, '2nd Qtr'!D137, '3rd Qtr'!D137, '4th Qtr'!D137)</f>
        <v>138528.87792345119</v>
      </c>
      <c r="E137" s="15">
        <f>SUM('1st Qtr'!E137, '2nd Qtr'!E137, '3rd Qtr'!E137, '4th Qtr'!E137)</f>
        <v>129907.905</v>
      </c>
      <c r="F137" s="15">
        <f t="shared" si="9"/>
        <v>8620.9729234511906</v>
      </c>
      <c r="G137" s="16">
        <f t="shared" si="10"/>
        <v>6.6362188840249484E-2</v>
      </c>
      <c r="H137" s="17">
        <f>SUM('1st Qtr'!H137+'2nd Qtr'!H137+'3rd Qtr'!H137+'4th Qtr'!H137)</f>
        <v>128172.955</v>
      </c>
      <c r="I137" s="17">
        <f>SUM('1st Qtr'!I137, '2nd Qtr'!I137, '3rd Qtr'!I137, '4th Qtr'!I137)</f>
        <v>10355.9229234512</v>
      </c>
      <c r="J137" s="16">
        <f t="shared" si="11"/>
        <v>8.0796474759056616E-2</v>
      </c>
      <c r="K137" s="39"/>
      <c r="L137" s="40"/>
    </row>
    <row r="138" spans="1:12" ht="15.75">
      <c r="A138" s="25" t="str">
        <v>Ridgeway #2</v>
      </c>
      <c r="B138" s="26" t="str">
        <v>NY</v>
      </c>
      <c r="C138" s="26" t="str">
        <f>Sites[[#This Row],[SOL'#]]</f>
        <v>SOL-11027</v>
      </c>
      <c r="D138" s="21">
        <f>SUM('1st Qtr'!D138, '2nd Qtr'!D138, '3rd Qtr'!D138, '4th Qtr'!D138)</f>
        <v>4155048.4</v>
      </c>
      <c r="E138" s="11">
        <f>SUM('1st Qtr'!E138, '2nd Qtr'!E138, '3rd Qtr'!E138, '4th Qtr'!E138)</f>
        <v>0</v>
      </c>
      <c r="F138" s="11">
        <f t="shared" si="9"/>
        <v>4155048.4</v>
      </c>
      <c r="G138" s="12" t="str">
        <f t="shared" si="10"/>
        <v/>
      </c>
      <c r="H138" s="13">
        <f>SUM('1st Qtr'!H138+'2nd Qtr'!H138+'3rd Qtr'!H138+'4th Qtr'!H138)</f>
        <v>2129344</v>
      </c>
      <c r="I138" s="13">
        <f>SUM('1st Qtr'!I138, '2nd Qtr'!I138, '3rd Qtr'!I138, '4th Qtr'!I138)</f>
        <v>2025704.4</v>
      </c>
      <c r="J138" s="14">
        <f t="shared" si="11"/>
        <v>0.95132792071173089</v>
      </c>
      <c r="K138" s="38"/>
      <c r="L138" s="38"/>
    </row>
    <row r="139" spans="1:12" ht="15.75">
      <c r="A139" s="27" t="str">
        <v>Spencer</v>
      </c>
      <c r="B139" s="28" t="str">
        <v>NY</v>
      </c>
      <c r="C139" s="28" t="str">
        <f>Sites[[#This Row],[SOL'#]]</f>
        <v>SOL-11017</v>
      </c>
      <c r="D139" s="10">
        <f>SUM('1st Qtr'!D139, '2nd Qtr'!D139, '3rd Qtr'!D139, '4th Qtr'!D139)</f>
        <v>7085648.7999999998</v>
      </c>
      <c r="E139" s="15">
        <f>SUM('1st Qtr'!E139, '2nd Qtr'!E139, '3rd Qtr'!E139, '4th Qtr'!E139)</f>
        <v>0</v>
      </c>
      <c r="F139" s="15">
        <f t="shared" si="9"/>
        <v>7085648.7999999998</v>
      </c>
      <c r="G139" s="16" t="str">
        <f t="shared" si="10"/>
        <v/>
      </c>
      <c r="H139" s="17">
        <f>SUM('1st Qtr'!H139+'2nd Qtr'!H139+'3rd Qtr'!H139+'4th Qtr'!H139)</f>
        <v>4118000</v>
      </c>
      <c r="I139" s="17">
        <f>SUM('1st Qtr'!I139, '2nd Qtr'!I139, '3rd Qtr'!I139, '4th Qtr'!I139)</f>
        <v>2967648.8</v>
      </c>
      <c r="J139" s="16"/>
      <c r="K139" s="39"/>
      <c r="L139" s="40"/>
    </row>
    <row r="140" spans="1:12" ht="15.75">
      <c r="A140" s="25" t="str">
        <v>Reisender</v>
      </c>
      <c r="B140" s="26" t="str">
        <v>NY</v>
      </c>
      <c r="C140" s="26" t="str">
        <f>'1st Qtr'!C140</f>
        <v>SOL-10886</v>
      </c>
      <c r="D140" s="67">
        <f>SUM('1st Qtr'!D140, '2nd Qtr'!D140, '3rd Qtr'!D140, '4th Qtr'!D140)</f>
        <v>1766300</v>
      </c>
      <c r="E140" s="11">
        <f>SUM('1st Qtr'!E140, '2nd Qtr'!E140, '3rd Qtr'!E140, '4th Qtr'!E140)</f>
        <v>1813770.466</v>
      </c>
      <c r="F140" s="11">
        <f t="shared" si="9"/>
        <v>-47470.466000000015</v>
      </c>
      <c r="G140" s="12">
        <f t="shared" si="10"/>
        <v>-2.617225657262412E-2</v>
      </c>
      <c r="H140" s="13">
        <f>SUM('1st Qtr'!H140+'2nd Qtr'!H140+'3rd Qtr'!H140+'4th Qtr'!H140)</f>
        <v>1757127</v>
      </c>
      <c r="I140" s="13">
        <f>SUM('1st Qtr'!I140, '2nd Qtr'!I140, '3rd Qtr'!I140, '4th Qtr'!I140)</f>
        <v>9173</v>
      </c>
      <c r="J140" s="14"/>
      <c r="K140" s="38"/>
      <c r="L140" s="38"/>
    </row>
    <row r="141" spans="1:12" ht="15.75">
      <c r="A141" s="27" t="str">
        <v>Finney</v>
      </c>
      <c r="B141" s="28" t="str">
        <v>NY</v>
      </c>
      <c r="C141" s="28" t="str">
        <f>Sites[[#This Row],[SOL'#]]</f>
        <v>SOL-10999</v>
      </c>
      <c r="D141" s="10">
        <f>SUM('1st Qtr'!D141, '2nd Qtr'!D141, '3rd Qtr'!D141, '4th Qtr'!D141)</f>
        <v>4145770</v>
      </c>
      <c r="E141" s="15">
        <f>SUM('1st Qtr'!E141, '2nd Qtr'!E141, '3rd Qtr'!E141, '4th Qtr'!E141)</f>
        <v>0</v>
      </c>
      <c r="F141" s="15">
        <f t="shared" si="9"/>
        <v>4145770</v>
      </c>
      <c r="G141" s="16" t="str">
        <f t="shared" si="10"/>
        <v/>
      </c>
      <c r="H141" s="17">
        <f>SUM('1st Qtr'!H141+'2nd Qtr'!H141+'3rd Qtr'!H141+'4th Qtr'!H141)</f>
        <v>3927838</v>
      </c>
      <c r="I141" s="17">
        <f>SUM('1st Qtr'!I141, '2nd Qtr'!I141, '3rd Qtr'!I141, '4th Qtr'!I141)</f>
        <v>-98648</v>
      </c>
      <c r="J141" s="16"/>
      <c r="K141" s="39"/>
      <c r="L141" s="40"/>
    </row>
    <row r="142" spans="1:12" ht="15.75">
      <c r="A142" s="25" t="str">
        <v>Davis Solar</v>
      </c>
      <c r="B142" s="26" t="str">
        <v>NY</v>
      </c>
      <c r="C142" s="26" t="str">
        <f>Sites[[#This Row],[SOL'#]]</f>
        <v>SOL-10958</v>
      </c>
      <c r="D142" s="67">
        <f>SUM('1st Qtr'!D142, '2nd Qtr'!D142, '3rd Qtr'!D142, '4th Qtr'!D142)</f>
        <v>1579457</v>
      </c>
      <c r="E142" s="11">
        <f>SUM('1st Qtr'!E142, '2nd Qtr'!E142, '3rd Qtr'!E142, '4th Qtr'!E142)</f>
        <v>1956611.1999999997</v>
      </c>
      <c r="F142" s="11">
        <f t="shared" si="9"/>
        <v>-377154.19999999972</v>
      </c>
      <c r="G142" s="12">
        <f t="shared" si="10"/>
        <v>-0.19275888842913697</v>
      </c>
      <c r="H142" s="13">
        <f>SUM('1st Qtr'!H142+'2nd Qtr'!H142+'3rd Qtr'!H142+'4th Qtr'!H142)</f>
        <v>1817894</v>
      </c>
      <c r="I142" s="13">
        <f>SUM('1st Qtr'!I142, '2nd Qtr'!I142, '3rd Qtr'!I142, '4th Qtr'!I142)</f>
        <v>-238437</v>
      </c>
      <c r="J142" s="14"/>
      <c r="K142" s="38"/>
      <c r="L142" s="38"/>
    </row>
    <row r="143" spans="1:12" ht="15.75">
      <c r="A143" s="27" t="str">
        <v>Genesee</v>
      </c>
      <c r="B143" s="28" t="str">
        <v>NY</v>
      </c>
      <c r="C143" s="28" t="str">
        <f>Sites[[#This Row],[SOL'#]]</f>
        <v>SOL-10951</v>
      </c>
      <c r="D143" s="10">
        <f>SUM('1st Qtr'!D143, '2nd Qtr'!D143, '3rd Qtr'!D143, '4th Qtr'!D143)</f>
        <v>3970887.9</v>
      </c>
      <c r="E143" s="15">
        <f>SUM('1st Qtr'!E143, '2nd Qtr'!E143, '3rd Qtr'!E143, '4th Qtr'!E143)</f>
        <v>0</v>
      </c>
      <c r="F143" s="15">
        <f t="shared" si="9"/>
        <v>3970887.9</v>
      </c>
      <c r="G143" s="16" t="str">
        <f t="shared" si="10"/>
        <v/>
      </c>
      <c r="H143" s="17">
        <f>SUM('1st Qtr'!H143+'2nd Qtr'!H143+'3rd Qtr'!H143+'4th Qtr'!H143)</f>
        <v>3110435</v>
      </c>
      <c r="I143" s="17">
        <f>SUM('1st Qtr'!I143, '2nd Qtr'!I143, '3rd Qtr'!I143, '4th Qtr'!I143)</f>
        <v>860452.9</v>
      </c>
      <c r="J143" s="16"/>
      <c r="K143" s="39"/>
      <c r="L143" s="40"/>
    </row>
    <row r="144" spans="1:12" ht="15.75">
      <c r="A144" s="25" t="str">
        <v>Landau I</v>
      </c>
      <c r="B144" s="26" t="str">
        <v>NY</v>
      </c>
      <c r="C144" s="26" t="str">
        <f>Sites[[#This Row],[SOL'#]]</f>
        <v>SOL-10891</v>
      </c>
      <c r="D144" s="67">
        <f>SUM('1st Qtr'!D144, '2nd Qtr'!D144, '3rd Qtr'!D144, '4th Qtr'!D144)</f>
        <v>1658667</v>
      </c>
      <c r="E144" s="11">
        <f>SUM('1st Qtr'!E144, '2nd Qtr'!E144, '3rd Qtr'!E144, '4th Qtr'!E144)</f>
        <v>0</v>
      </c>
      <c r="F144" s="11">
        <f t="shared" si="9"/>
        <v>1658667</v>
      </c>
      <c r="G144" s="12" t="str">
        <f t="shared" si="10"/>
        <v/>
      </c>
      <c r="H144" s="13">
        <f>SUM('1st Qtr'!H144+'2nd Qtr'!H144+'3rd Qtr'!H144+'4th Qtr'!H144)</f>
        <v>1492035</v>
      </c>
      <c r="I144" s="13">
        <f>SUM('1st Qtr'!I144, '2nd Qtr'!I144, '3rd Qtr'!I144, '4th Qtr'!I144)</f>
        <v>166632</v>
      </c>
      <c r="J144" s="14"/>
      <c r="K144" s="38"/>
      <c r="L144" s="38"/>
    </row>
    <row r="145" spans="1:12" ht="15.75">
      <c r="A145" s="27" t="str">
        <v>Landau II</v>
      </c>
      <c r="B145" s="28" t="str">
        <v>NY</v>
      </c>
      <c r="C145" s="28" t="str">
        <f>Sites[[#This Row],[SOL'#]]</f>
        <v>SOL-10895</v>
      </c>
      <c r="D145" s="10">
        <f>SUM('1st Qtr'!D145, '2nd Qtr'!D145, '3rd Qtr'!D145, '4th Qtr'!D145)</f>
        <v>1579330</v>
      </c>
      <c r="E145" s="15">
        <f>SUM('1st Qtr'!E145, '2nd Qtr'!E145, '3rd Qtr'!E145, '4th Qtr'!E145)</f>
        <v>0</v>
      </c>
      <c r="F145" s="15">
        <f t="shared" si="9"/>
        <v>1579330</v>
      </c>
      <c r="G145" s="16" t="str">
        <f t="shared" si="10"/>
        <v/>
      </c>
      <c r="H145" s="17">
        <f>SUM('1st Qtr'!H145+'2nd Qtr'!H145+'3rd Qtr'!H145+'4th Qtr'!H145)</f>
        <v>3135420</v>
      </c>
      <c r="I145" s="17">
        <f>SUM('1st Qtr'!I145, '2nd Qtr'!I145, '3rd Qtr'!I145, '4th Qtr'!I145)</f>
        <v>-1556090</v>
      </c>
      <c r="J145" s="16"/>
      <c r="K145" s="39"/>
      <c r="L145" s="40"/>
    </row>
    <row r="146" spans="1:12" ht="15.75">
      <c r="A146" s="25" t="str">
        <v>New Beginnings</v>
      </c>
      <c r="B146" s="26" t="str">
        <v>NY</v>
      </c>
      <c r="C146" s="26" t="str">
        <f>Sites[[#This Row],[SOL'#]]</f>
        <v>SOL-10890</v>
      </c>
      <c r="D146" s="67">
        <f>SUM('1st Qtr'!D146, '2nd Qtr'!D146, '3rd Qtr'!D146, '4th Qtr'!D146)</f>
        <v>1713620</v>
      </c>
      <c r="E146" s="11">
        <f>SUM('1st Qtr'!E146, '2nd Qtr'!E146, '3rd Qtr'!E146, '4th Qtr'!E146)</f>
        <v>1800516.4319999998</v>
      </c>
      <c r="F146" s="11">
        <f t="shared" ref="F146:F160" si="12">IF(AND(ISNUMBER(D146),ISNUMBER(E146)), D146-E146, "")</f>
        <v>-86896.431999999797</v>
      </c>
      <c r="G146" s="12">
        <f t="shared" ref="G146:G160" si="13">IFERROR(F146/E146, "")</f>
        <v>-4.8261948880675254E-2</v>
      </c>
      <c r="H146" s="13">
        <f>SUM('1st Qtr'!H146+'2nd Qtr'!H146+'3rd Qtr'!H146+'4th Qtr'!H146)</f>
        <v>1847392</v>
      </c>
      <c r="I146" s="13">
        <f>SUM('1st Qtr'!I146, '2nd Qtr'!I146, '3rd Qtr'!I146, '4th Qtr'!I146)</f>
        <v>-126705.21000000002</v>
      </c>
      <c r="J146" s="14"/>
      <c r="K146" s="38"/>
      <c r="L146" s="38"/>
    </row>
    <row r="147" spans="1:12" ht="15.75">
      <c r="A147" s="27" t="str">
        <v>Guilin Farm Solar</v>
      </c>
      <c r="B147" s="28" t="str">
        <v>NY</v>
      </c>
      <c r="C147" s="28" t="str">
        <f>Sites[[#This Row],[SOL'#]]</f>
        <v>SOL-10998</v>
      </c>
      <c r="D147" s="10">
        <f>SUM('1st Qtr'!D147, '2nd Qtr'!D147, '3rd Qtr'!D147, '4th Qtr'!D147)</f>
        <v>4533814</v>
      </c>
      <c r="E147" s="15">
        <f>SUM('1st Qtr'!E147, '2nd Qtr'!E147, '3rd Qtr'!E147, '4th Qtr'!E147)</f>
        <v>4703307.8</v>
      </c>
      <c r="F147" s="15">
        <f t="shared" si="12"/>
        <v>-169493.79999999981</v>
      </c>
      <c r="G147" s="16">
        <f t="shared" si="13"/>
        <v>-3.6037148153476119E-2</v>
      </c>
      <c r="H147" s="17">
        <f>SUM('1st Qtr'!H147+'2nd Qtr'!H147+'3rd Qtr'!H147+'4th Qtr'!H147)</f>
        <v>4915083.9000000004</v>
      </c>
      <c r="I147" s="17">
        <f>SUM('1st Qtr'!I147, '2nd Qtr'!I147, '3rd Qtr'!I147, '4th Qtr'!I147)</f>
        <v>-381269.9</v>
      </c>
      <c r="J147" s="16"/>
      <c r="K147" s="39"/>
      <c r="L147" s="40"/>
    </row>
    <row r="148" spans="1:12" ht="15.75">
      <c r="A148" s="25" t="str">
        <v>Brodhead Solar</v>
      </c>
      <c r="B148" s="26" t="str">
        <v>NY</v>
      </c>
      <c r="C148" s="26" t="str">
        <f>Sites[[#This Row],[SOL'#]]</f>
        <v>SOL-10899</v>
      </c>
      <c r="D148" s="67">
        <f>SUM('1st Qtr'!D148, '2nd Qtr'!D148, '3rd Qtr'!D148, '4th Qtr'!D148)</f>
        <v>2205702</v>
      </c>
      <c r="E148" s="11">
        <f>SUM('1st Qtr'!E148, '2nd Qtr'!E148, '3rd Qtr'!E148, '4th Qtr'!E148)</f>
        <v>2339226.8560000001</v>
      </c>
      <c r="F148" s="11">
        <f t="shared" si="12"/>
        <v>-133524.85600000015</v>
      </c>
      <c r="G148" s="12">
        <f t="shared" si="13"/>
        <v>-5.7080763953062337E-2</v>
      </c>
      <c r="H148" s="13">
        <f>SUM('1st Qtr'!H148+'2nd Qtr'!H148+'3rd Qtr'!H148+'4th Qtr'!H148)</f>
        <v>1971095.9</v>
      </c>
      <c r="I148" s="13">
        <f>SUM('1st Qtr'!I148, '2nd Qtr'!I148, '3rd Qtr'!I148, '4th Qtr'!I148)</f>
        <v>-139577.89999999997</v>
      </c>
      <c r="J148" s="14"/>
      <c r="K148" s="38"/>
      <c r="L148" s="38"/>
    </row>
    <row r="149" spans="1:12" ht="15.75">
      <c r="A149" s="27" t="str">
        <v>Svenski</v>
      </c>
      <c r="B149" s="28" t="str">
        <v>NY</v>
      </c>
      <c r="C149" s="28" t="str">
        <f>Sites[[#This Row],[SOL'#]]</f>
        <v>SOL-10894</v>
      </c>
      <c r="D149" s="10">
        <f>SUM('1st Qtr'!D149, '2nd Qtr'!D149, '3rd Qtr'!D149, '4th Qtr'!D149)</f>
        <v>1582907</v>
      </c>
      <c r="E149" s="15">
        <f>SUM('1st Qtr'!E149, '2nd Qtr'!E149, '3rd Qtr'!E149, '4th Qtr'!E149)</f>
        <v>0</v>
      </c>
      <c r="F149" s="15">
        <f t="shared" si="12"/>
        <v>1582907</v>
      </c>
      <c r="G149" s="16" t="str">
        <f t="shared" si="13"/>
        <v/>
      </c>
      <c r="H149" s="17">
        <f>SUM('1st Qtr'!H149+'2nd Qtr'!H149+'3rd Qtr'!H149+'4th Qtr'!H149)</f>
        <v>1499287</v>
      </c>
      <c r="I149" s="17">
        <f>SUM('1st Qtr'!I149, '2nd Qtr'!I149, '3rd Qtr'!I149, '4th Qtr'!I149)</f>
        <v>83620</v>
      </c>
      <c r="J149" s="16"/>
      <c r="K149" s="39"/>
      <c r="L149" s="40"/>
    </row>
    <row r="150" spans="1:12" ht="15.75">
      <c r="A150" s="25" t="str">
        <v>Bantam</v>
      </c>
      <c r="B150" s="26" t="str">
        <v>NY</v>
      </c>
      <c r="C150" s="26" t="str">
        <f>Sites[[#This Row],[SOL'#]]</f>
        <v>SOL-10986</v>
      </c>
      <c r="D150" s="67">
        <f>SUM('1st Qtr'!D150, '2nd Qtr'!D150, '3rd Qtr'!D150, '4th Qtr'!D150)</f>
        <v>3433550</v>
      </c>
      <c r="E150" s="11">
        <f>SUM('1st Qtr'!E150, '2nd Qtr'!E150, '3rd Qtr'!E150, '4th Qtr'!E150)</f>
        <v>0</v>
      </c>
      <c r="F150" s="11">
        <f t="shared" si="12"/>
        <v>3433550</v>
      </c>
      <c r="G150" s="12" t="str">
        <f t="shared" si="13"/>
        <v/>
      </c>
      <c r="H150" s="13">
        <f>SUM('1st Qtr'!H150+'2nd Qtr'!H150+'3rd Qtr'!H150+'4th Qtr'!H150)</f>
        <v>4002947</v>
      </c>
      <c r="I150" s="13">
        <f>SUM('1st Qtr'!I150, '2nd Qtr'!I150, '3rd Qtr'!I150, '4th Qtr'!I150)</f>
        <v>-569397</v>
      </c>
      <c r="J150" s="14"/>
      <c r="K150" s="38"/>
      <c r="L150" s="38"/>
    </row>
    <row r="151" spans="1:12" ht="15.75">
      <c r="A151" s="27" t="str">
        <v>Bogart</v>
      </c>
      <c r="B151" s="28" t="str">
        <v>NY</v>
      </c>
      <c r="C151" s="28" t="str">
        <f>Sites[[#This Row],[SOL'#]]</f>
        <v>SOL-10887</v>
      </c>
      <c r="D151" s="10">
        <f>SUM('1st Qtr'!D151, '2nd Qtr'!D151, '3rd Qtr'!D151, '4th Qtr'!D151)</f>
        <v>1405040</v>
      </c>
      <c r="E151" s="15">
        <f>SUM('1st Qtr'!E151, '2nd Qtr'!E151, '3rd Qtr'!E151, '4th Qtr'!E151)</f>
        <v>1838569.9470000002</v>
      </c>
      <c r="F151" s="15">
        <f t="shared" si="12"/>
        <v>-433529.94700000016</v>
      </c>
      <c r="G151" s="16">
        <f t="shared" si="13"/>
        <v>-0.23579736398247575</v>
      </c>
      <c r="H151" s="17">
        <f>SUM('1st Qtr'!H151+'2nd Qtr'!H151+'3rd Qtr'!H151+'4th Qtr'!H151)</f>
        <v>1807839</v>
      </c>
      <c r="I151" s="17">
        <f>SUM('1st Qtr'!I151, '2nd Qtr'!I151, '3rd Qtr'!I151, '4th Qtr'!I151)</f>
        <v>-402799</v>
      </c>
      <c r="J151" s="16"/>
      <c r="K151" s="39"/>
      <c r="L151" s="40"/>
    </row>
    <row r="152" spans="1:12" ht="15.75">
      <c r="A152" s="25" t="str">
        <v>Dubois</v>
      </c>
      <c r="B152" s="26" t="str">
        <v>NY</v>
      </c>
      <c r="C152" s="26" t="str">
        <f>Sites[[#This Row],[SOL'#]]</f>
        <v>SOL-10892</v>
      </c>
      <c r="D152" s="67">
        <f>SUM('1st Qtr'!D152, '2nd Qtr'!D152, '3rd Qtr'!D152, '4th Qtr'!D152)</f>
        <v>1424205</v>
      </c>
      <c r="E152" s="11">
        <f>SUM('1st Qtr'!E152, '2nd Qtr'!E152, '3rd Qtr'!E152, '4th Qtr'!E152)</f>
        <v>0</v>
      </c>
      <c r="F152" s="11">
        <f t="shared" si="12"/>
        <v>1424205</v>
      </c>
      <c r="G152" s="12" t="str">
        <f t="shared" si="13"/>
        <v/>
      </c>
      <c r="H152" s="13">
        <f>SUM('1st Qtr'!H152+'2nd Qtr'!H152+'3rd Qtr'!H152+'4th Qtr'!H152)</f>
        <v>848352</v>
      </c>
      <c r="I152" s="13">
        <f>SUM('1st Qtr'!I152, '2nd Qtr'!I152, '3rd Qtr'!I152, '4th Qtr'!I152)</f>
        <v>235198</v>
      </c>
      <c r="J152" s="14"/>
      <c r="K152" s="38"/>
      <c r="L152" s="38"/>
    </row>
    <row r="153" spans="1:12" ht="15.75">
      <c r="A153" s="27" t="str">
        <v>Salt Point</v>
      </c>
      <c r="B153" s="28" t="str">
        <v>NY</v>
      </c>
      <c r="C153" s="28" t="str">
        <f>Sites[[#This Row],[SOL'#]]</f>
        <v>SOL-10888</v>
      </c>
      <c r="D153" s="10">
        <f>SUM('1st Qtr'!D153, '2nd Qtr'!D153, '3rd Qtr'!D153, '4th Qtr'!D153)</f>
        <v>1870817</v>
      </c>
      <c r="E153" s="15">
        <f>SUM('1st Qtr'!E153, '2nd Qtr'!E153, '3rd Qtr'!E153, '4th Qtr'!E153)</f>
        <v>0</v>
      </c>
      <c r="F153" s="15">
        <f t="shared" si="12"/>
        <v>1870817</v>
      </c>
      <c r="G153" s="16" t="str">
        <f t="shared" si="13"/>
        <v/>
      </c>
      <c r="H153" s="17">
        <f>SUM('1st Qtr'!H153+'2nd Qtr'!H153+'3rd Qtr'!H153+'4th Qtr'!H153)</f>
        <v>1613407</v>
      </c>
      <c r="I153" s="17">
        <f>SUM('1st Qtr'!I153, '2nd Qtr'!I153, '3rd Qtr'!I153, '4th Qtr'!I153)</f>
        <v>257410</v>
      </c>
      <c r="J153" s="16"/>
      <c r="K153" s="39"/>
      <c r="L153" s="40"/>
    </row>
    <row r="154" spans="1:12" ht="15.75">
      <c r="A154" s="25" t="str">
        <v>Wheatland 2A</v>
      </c>
      <c r="B154" s="26" t="str">
        <v>NY</v>
      </c>
      <c r="C154" s="26" t="str">
        <f>Sites[[#This Row],[SOL'#]]</f>
        <v>SOL-10971</v>
      </c>
      <c r="D154" s="67">
        <f>SUM('1st Qtr'!D154, '2nd Qtr'!D154, '3rd Qtr'!D154, '4th Qtr'!D154)</f>
        <v>4424380</v>
      </c>
      <c r="E154" s="11">
        <f>SUM('1st Qtr'!E154, '2nd Qtr'!E154, '3rd Qtr'!E154, '4th Qtr'!E154)</f>
        <v>0</v>
      </c>
      <c r="F154" s="11">
        <f t="shared" si="12"/>
        <v>4424380</v>
      </c>
      <c r="G154" s="12" t="str">
        <f t="shared" si="13"/>
        <v/>
      </c>
      <c r="H154" s="13">
        <f>SUM('1st Qtr'!H154+'2nd Qtr'!H154+'3rd Qtr'!H154+'4th Qtr'!H154)</f>
        <v>3549466</v>
      </c>
      <c r="I154" s="13">
        <f>SUM('1st Qtr'!I154, '2nd Qtr'!I154, '3rd Qtr'!I154, '4th Qtr'!I154)</f>
        <v>874914</v>
      </c>
      <c r="J154" s="14"/>
      <c r="K154" s="38"/>
      <c r="L154" s="38"/>
    </row>
    <row r="155" spans="1:12" ht="15.75">
      <c r="A155" s="27" t="str">
        <v>Wheatland 2B</v>
      </c>
      <c r="B155" s="28" t="str">
        <v>NY</v>
      </c>
      <c r="C155" s="28" t="str">
        <f>Sites[[#This Row],[SOL'#]]</f>
        <v>SOL-10961</v>
      </c>
      <c r="D155" s="10">
        <f>SUM('1st Qtr'!D155, '2nd Qtr'!D155, '3rd Qtr'!D155, '4th Qtr'!D155)</f>
        <v>4506000</v>
      </c>
      <c r="E155" s="15">
        <f>SUM('1st Qtr'!E155, '2nd Qtr'!E155, '3rd Qtr'!E155, '4th Qtr'!E155)</f>
        <v>0</v>
      </c>
      <c r="F155" s="15">
        <f t="shared" si="12"/>
        <v>4506000</v>
      </c>
      <c r="G155" s="16" t="str">
        <f t="shared" si="13"/>
        <v/>
      </c>
      <c r="H155" s="17">
        <f>SUM('1st Qtr'!H155+'2nd Qtr'!H155+'3rd Qtr'!H155+'4th Qtr'!H155)</f>
        <v>3511823</v>
      </c>
      <c r="I155" s="17">
        <f>SUM('1st Qtr'!I155, '2nd Qtr'!I155, '3rd Qtr'!I155, '4th Qtr'!I155)</f>
        <v>994177</v>
      </c>
      <c r="J155" s="16"/>
      <c r="K155" s="39"/>
      <c r="L155" s="40"/>
    </row>
    <row r="156" spans="1:12" ht="15.75">
      <c r="A156" s="25" t="str">
        <v>Brickchurch</v>
      </c>
      <c r="B156" s="26" t="str">
        <v>NY</v>
      </c>
      <c r="C156" s="26" t="str">
        <f>Sites[[#This Row],[SOL'#]]</f>
        <v>SOL-10889</v>
      </c>
      <c r="D156" s="67">
        <f>SUM('1st Qtr'!D156, '2nd Qtr'!D156, '3rd Qtr'!D156, '4th Qtr'!D156)</f>
        <v>1994370</v>
      </c>
      <c r="E156" s="11">
        <f>SUM('1st Qtr'!E156, '2nd Qtr'!E156, '3rd Qtr'!E156, '4th Qtr'!E156)</f>
        <v>2168236.585</v>
      </c>
      <c r="F156" s="11">
        <f t="shared" si="12"/>
        <v>-173866.58499999996</v>
      </c>
      <c r="G156" s="12">
        <f t="shared" si="13"/>
        <v>-8.0188013707922917E-2</v>
      </c>
      <c r="H156" s="13">
        <f>SUM('1st Qtr'!H156+'2nd Qtr'!H156+'3rd Qtr'!H156+'4th Qtr'!H156)</f>
        <v>2101487</v>
      </c>
      <c r="I156" s="13">
        <f>SUM('1st Qtr'!I156, '2nd Qtr'!I156, '3rd Qtr'!I156, '4th Qtr'!I156)</f>
        <v>-107117</v>
      </c>
      <c r="J156" s="14"/>
      <c r="K156" s="38"/>
      <c r="L156" s="38"/>
    </row>
    <row r="157" spans="1:12" ht="15.75">
      <c r="A157" s="27" t="str">
        <v>McCarthy Solar</v>
      </c>
      <c r="B157" s="28" t="str">
        <v>NY</v>
      </c>
      <c r="C157" s="28" t="str">
        <f>Sites[[#This Row],[SOL'#]]</f>
        <v>SOL-10992</v>
      </c>
      <c r="D157" s="10">
        <f>SUM('1st Qtr'!D157, '2nd Qtr'!D157, '3rd Qtr'!D157, '4th Qtr'!D157)</f>
        <v>1928952</v>
      </c>
      <c r="E157" s="15">
        <f>SUM('1st Qtr'!E157, '2nd Qtr'!E157, '3rd Qtr'!E157, '4th Qtr'!E157)</f>
        <v>0</v>
      </c>
      <c r="F157" s="15">
        <f t="shared" si="12"/>
        <v>1928952</v>
      </c>
      <c r="G157" s="16" t="str">
        <f t="shared" si="13"/>
        <v/>
      </c>
      <c r="H157" s="17">
        <f>SUM('1st Qtr'!H157+'2nd Qtr'!H157+'3rd Qtr'!H157+'4th Qtr'!H157)</f>
        <v>1141944</v>
      </c>
      <c r="I157" s="17">
        <f>SUM('1st Qtr'!I157, '2nd Qtr'!I157, '3rd Qtr'!I157, '4th Qtr'!I157)</f>
        <v>451701</v>
      </c>
      <c r="J157" s="16"/>
      <c r="K157" s="39"/>
      <c r="L157" s="40"/>
    </row>
    <row r="158" spans="1:12" ht="15.75">
      <c r="A158" s="25" t="str">
        <v>Costanza</v>
      </c>
      <c r="B158" s="26" t="str">
        <v>NY</v>
      </c>
      <c r="C158" s="26" t="str">
        <f>Sites[[#This Row],[SOL'#]]</f>
        <v>SOL-10907</v>
      </c>
      <c r="D158" s="67">
        <f>SUM('1st Qtr'!D158, '2nd Qtr'!D158, '3rd Qtr'!D158, '4th Qtr'!D158)</f>
        <v>750784</v>
      </c>
      <c r="E158" s="11">
        <f>SUM('1st Qtr'!E158, '2nd Qtr'!E158, '3rd Qtr'!E158, '4th Qtr'!E158)</f>
        <v>0</v>
      </c>
      <c r="F158" s="11">
        <f t="shared" si="12"/>
        <v>750784</v>
      </c>
      <c r="G158" s="12" t="str">
        <f t="shared" si="13"/>
        <v/>
      </c>
      <c r="H158" s="13">
        <f>SUM('1st Qtr'!H158+'2nd Qtr'!H158+'3rd Qtr'!H158+'4th Qtr'!H158)</f>
        <v>1475949</v>
      </c>
      <c r="I158" s="13">
        <f>SUM('1st Qtr'!I158, '2nd Qtr'!I158, '3rd Qtr'!I158, '4th Qtr'!I158)</f>
        <v>-725165</v>
      </c>
      <c r="J158" s="14"/>
      <c r="K158" s="38"/>
      <c r="L158" s="38"/>
    </row>
    <row r="159" spans="1:12" ht="15.75">
      <c r="A159" s="27" t="str">
        <v>Lockenhurst Pond</v>
      </c>
      <c r="B159" s="28" t="str">
        <v>NY</v>
      </c>
      <c r="C159" s="28" t="str">
        <f>Sites[[#This Row],[SOL'#]]</f>
        <v>SOL-11000</v>
      </c>
      <c r="D159" s="10">
        <f>SUM('1st Qtr'!D159, '2nd Qtr'!D159, '3rd Qtr'!D159, '4th Qtr'!D159)</f>
        <v>2194701.7487893868</v>
      </c>
      <c r="E159" s="15">
        <f>SUM('1st Qtr'!E159, '2nd Qtr'!E159, '3rd Qtr'!E159, '4th Qtr'!E159)</f>
        <v>2304751.7999999998</v>
      </c>
      <c r="F159" s="15">
        <f t="shared" si="12"/>
        <v>-110050.05121061299</v>
      </c>
      <c r="G159" s="16">
        <f t="shared" si="13"/>
        <v>-4.7749198508322238E-2</v>
      </c>
      <c r="H159" s="17">
        <f>SUM('1st Qtr'!H159+'2nd Qtr'!H159+'3rd Qtr'!H159+'4th Qtr'!H159)</f>
        <v>2188232</v>
      </c>
      <c r="I159" s="17">
        <f>SUM('1st Qtr'!I159, '2nd Qtr'!I159, '3rd Qtr'!I159, '4th Qtr'!I159)</f>
        <v>6469.7487893869984</v>
      </c>
      <c r="J159" s="16"/>
      <c r="K159" s="39"/>
      <c r="L159" s="40"/>
    </row>
    <row r="160" spans="1:12" ht="15.75">
      <c r="A160" s="25" t="str">
        <v>Drinkwater</v>
      </c>
      <c r="B160" s="26" t="str">
        <v>NY</v>
      </c>
      <c r="C160" s="26" t="str">
        <f>Sites[[#This Row],[SOL'#]]</f>
        <v>SOL-10896</v>
      </c>
      <c r="D160" s="67">
        <f>SUM('1st Qtr'!D160, '2nd Qtr'!D160, '3rd Qtr'!D160, '4th Qtr'!D160)</f>
        <v>1994195</v>
      </c>
      <c r="E160" s="11">
        <f>SUM('1st Qtr'!E160, '2nd Qtr'!E160, '3rd Qtr'!E160, '4th Qtr'!E160)</f>
        <v>0</v>
      </c>
      <c r="F160" s="11">
        <f t="shared" si="12"/>
        <v>1994195</v>
      </c>
      <c r="G160" s="12" t="str">
        <f t="shared" si="13"/>
        <v/>
      </c>
      <c r="H160" s="13">
        <f>SUM('1st Qtr'!H160+'2nd Qtr'!H160+'3rd Qtr'!H160+'4th Qtr'!H160)</f>
        <v>1496761</v>
      </c>
      <c r="I160" s="13">
        <f>SUM('1st Qtr'!I160, '2nd Qtr'!I160, '3rd Qtr'!I160, '4th Qtr'!I160)</f>
        <v>497434</v>
      </c>
      <c r="J160" s="14"/>
      <c r="K160" s="38"/>
      <c r="L160" s="38"/>
    </row>
    <row r="161" spans="1:12" ht="15.75">
      <c r="A161" s="27" t="str">
        <v>Altamont</v>
      </c>
      <c r="B161" s="28" t="str">
        <v>NY</v>
      </c>
      <c r="C161" s="98" t="s">
        <v>11</v>
      </c>
      <c r="D161" s="10">
        <f>SUM('1st Qtr'!D161, '2nd Qtr'!D161, '3rd Qtr'!D161, '4th Qtr'!D161)</f>
        <v>1904187.859398125</v>
      </c>
      <c r="E161" s="15">
        <f>SUM('1st Qtr'!E161, '2nd Qtr'!E161, '3rd Qtr'!E161, '4th Qtr'!E161)</f>
        <v>2023735.2999999998</v>
      </c>
      <c r="F161" s="15">
        <f t="shared" ref="F161" si="14">IF(AND(ISNUMBER(D161),ISNUMBER(E161)), D161-E161, "")</f>
        <v>-119547.44060187484</v>
      </c>
      <c r="G161" s="16">
        <f t="shared" ref="G161" si="15">IFERROR(F161/E161, "")</f>
        <v>-5.9072666569523619E-2</v>
      </c>
      <c r="H161" s="17">
        <f>SUM('1st Qtr'!H161+'2nd Qtr'!H161+'3rd Qtr'!H161+'4th Qtr'!H161)</f>
        <v>1684416.5999999999</v>
      </c>
      <c r="I161" s="17">
        <f>SUM('1st Qtr'!I161, '2nd Qtr'!I161, '3rd Qtr'!I161, '4th Qtr'!I161)</f>
        <v>219771.25939812494</v>
      </c>
      <c r="J161" s="16"/>
      <c r="K161" s="39"/>
      <c r="L161" s="40"/>
    </row>
    <row r="162" spans="1:12" ht="13.15">
      <c r="A162" s="18"/>
      <c r="B162" s="18"/>
      <c r="C162" s="18"/>
      <c r="D162" s="18"/>
      <c r="E162" s="18"/>
      <c r="F162" s="18"/>
      <c r="G162" s="19"/>
      <c r="H162" s="18"/>
      <c r="I162" s="18"/>
      <c r="J162" s="19"/>
    </row>
    <row r="163" spans="1:12" ht="13.15">
      <c r="A163" s="18"/>
      <c r="B163" s="18"/>
      <c r="C163" s="18"/>
      <c r="D163" s="18"/>
      <c r="E163" s="18"/>
      <c r="F163" s="18"/>
      <c r="G163" s="19"/>
      <c r="H163" s="18"/>
      <c r="I163" s="18"/>
      <c r="J163" s="19"/>
    </row>
    <row r="164" spans="1:12" ht="13.15">
      <c r="A164" s="18"/>
      <c r="B164" s="18"/>
      <c r="C164" s="18"/>
      <c r="D164" s="18"/>
      <c r="E164" s="18"/>
      <c r="F164" s="18"/>
      <c r="G164" s="19"/>
      <c r="H164" s="18"/>
      <c r="I164" s="18"/>
      <c r="J164" s="19"/>
    </row>
    <row r="165" spans="1:12" ht="13.15">
      <c r="A165" s="18"/>
      <c r="B165" s="18"/>
      <c r="C165" s="18"/>
      <c r="D165" s="18"/>
      <c r="E165" s="18"/>
      <c r="F165" s="18"/>
      <c r="G165" s="19"/>
      <c r="H165" s="18"/>
      <c r="I165" s="18"/>
      <c r="J165" s="19"/>
    </row>
    <row r="166" spans="1:12" ht="13.15">
      <c r="A166" s="18"/>
      <c r="B166" s="18"/>
      <c r="C166" s="18"/>
      <c r="D166" s="18"/>
      <c r="E166" s="18"/>
      <c r="F166" s="18"/>
      <c r="G166" s="19"/>
      <c r="H166" s="18"/>
      <c r="I166" s="18"/>
      <c r="J166" s="19"/>
    </row>
    <row r="167" spans="1:12" ht="13.15">
      <c r="A167" s="18"/>
      <c r="B167" s="18"/>
      <c r="C167" s="18"/>
      <c r="D167" s="18"/>
      <c r="E167" s="18"/>
      <c r="F167" s="18"/>
      <c r="G167" s="19"/>
      <c r="H167" s="18"/>
      <c r="I167" s="18"/>
      <c r="J167" s="19"/>
    </row>
    <row r="168" spans="1:12" ht="13.15">
      <c r="A168" s="18"/>
      <c r="B168" s="18"/>
      <c r="C168" s="18"/>
      <c r="D168" s="18"/>
      <c r="E168" s="18"/>
      <c r="F168" s="18"/>
      <c r="G168" s="19"/>
      <c r="H168" s="18"/>
      <c r="I168" s="18"/>
      <c r="J168" s="19"/>
    </row>
    <row r="169" spans="1:12" ht="13.15">
      <c r="A169" s="18"/>
      <c r="B169" s="18"/>
      <c r="C169" s="18"/>
      <c r="D169" s="18"/>
      <c r="E169" s="18"/>
      <c r="F169" s="18"/>
      <c r="G169" s="19"/>
      <c r="H169" s="18"/>
      <c r="I169" s="18"/>
      <c r="J169" s="19"/>
    </row>
    <row r="170" spans="1:12" ht="13.15">
      <c r="A170" s="18"/>
      <c r="B170" s="18"/>
      <c r="C170" s="18"/>
      <c r="D170" s="18"/>
      <c r="E170" s="18"/>
      <c r="F170" s="18"/>
      <c r="G170" s="19"/>
      <c r="H170" s="18"/>
      <c r="I170" s="18"/>
      <c r="J170" s="19"/>
    </row>
    <row r="171" spans="1:12" ht="13.15">
      <c r="A171" s="18"/>
      <c r="B171" s="18"/>
      <c r="C171" s="18"/>
      <c r="D171" s="18"/>
      <c r="E171" s="18"/>
      <c r="F171" s="18"/>
      <c r="G171" s="19"/>
      <c r="H171" s="18"/>
      <c r="I171" s="18"/>
      <c r="J171" s="19"/>
    </row>
    <row r="172" spans="1:12" ht="13.15">
      <c r="A172" s="18"/>
      <c r="B172" s="18"/>
      <c r="C172" s="18"/>
      <c r="D172" s="18"/>
      <c r="E172" s="18"/>
      <c r="F172" s="18"/>
      <c r="G172" s="19"/>
      <c r="H172" s="18"/>
      <c r="I172" s="18"/>
      <c r="J172" s="19"/>
    </row>
    <row r="173" spans="1:12" ht="13.15">
      <c r="A173" s="18"/>
      <c r="B173" s="18"/>
      <c r="C173" s="18"/>
      <c r="D173" s="18"/>
      <c r="E173" s="18"/>
      <c r="F173" s="18"/>
      <c r="G173" s="19"/>
      <c r="H173" s="18"/>
      <c r="I173" s="18"/>
      <c r="J173" s="19"/>
    </row>
    <row r="174" spans="1:12" ht="13.15">
      <c r="A174" s="18"/>
      <c r="B174" s="18"/>
      <c r="C174" s="18"/>
      <c r="D174" s="18"/>
      <c r="E174" s="18"/>
      <c r="F174" s="18"/>
      <c r="G174" s="19"/>
      <c r="H174" s="18"/>
      <c r="I174" s="18"/>
      <c r="J174" s="19"/>
    </row>
    <row r="175" spans="1:12" ht="13.15">
      <c r="A175" s="18"/>
      <c r="B175" s="18"/>
      <c r="C175" s="18"/>
      <c r="D175" s="18"/>
      <c r="E175" s="18"/>
      <c r="F175" s="18"/>
      <c r="G175" s="19"/>
      <c r="H175" s="18"/>
      <c r="I175" s="18"/>
      <c r="J175" s="19"/>
    </row>
    <row r="176" spans="1:12"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mergeCells count="4">
    <mergeCell ref="H1:J1"/>
    <mergeCell ref="A1:D1"/>
    <mergeCell ref="E1:G1"/>
    <mergeCell ref="A2:B2"/>
  </mergeCells>
  <conditionalFormatting sqref="G2 J2">
    <cfRule type="cellIs" dxfId="76" priority="7" stopIfTrue="1" operator="lessThanOrEqual">
      <formula>-0.1</formula>
    </cfRule>
    <cfRule type="expression" dxfId="75" priority="8">
      <formula>AND(ISNUMBER(G2), G2&gt;=0.1)</formula>
    </cfRule>
  </conditionalFormatting>
  <conditionalFormatting sqref="G4:G161">
    <cfRule type="cellIs" dxfId="74" priority="3" stopIfTrue="1" operator="lessThanOrEqual">
      <formula>-0.1</formula>
    </cfRule>
    <cfRule type="expression" dxfId="73" priority="4">
      <formula>AND(ISNUMBER(G4), G4&gt;=0.1)</formula>
    </cfRule>
  </conditionalFormatting>
  <conditionalFormatting sqref="J4:J161">
    <cfRule type="cellIs" dxfId="72" priority="1" stopIfTrue="1" operator="lessThanOrEqual">
      <formula>-0.1</formula>
    </cfRule>
    <cfRule type="expression" dxfId="71" priority="2">
      <formula>AND(ISNUMBER(J4), J4&gt;=0.1)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L342"/>
  <sheetViews>
    <sheetView zoomScale="90" zoomScaleNormal="90" workbookViewId="0">
      <pane xSplit="2" ySplit="3" topLeftCell="C130" activePane="bottomRight" state="frozen"/>
      <selection pane="bottomRight" activeCell="D161" sqref="D161"/>
      <selection pane="bottomLeft"/>
      <selection pane="topRight"/>
    </sheetView>
  </sheetViews>
  <sheetFormatPr defaultRowHeight="12.7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23" t="str" cm="1">
        <f t="array" ref="A1">portfolio</f>
        <v>Generate Capital</v>
      </c>
      <c r="B1" s="123"/>
      <c r="C1" s="123"/>
      <c r="D1" s="123"/>
      <c r="E1" s="124" t="s">
        <v>12</v>
      </c>
      <c r="F1" s="124"/>
      <c r="G1" s="124"/>
      <c r="H1" s="122" t="s">
        <v>13</v>
      </c>
      <c r="I1" s="122"/>
      <c r="J1" s="122"/>
    </row>
    <row r="2" spans="1:12" ht="19.5" customHeight="1">
      <c r="A2" s="125" t="s">
        <v>2</v>
      </c>
      <c r="B2" s="125"/>
      <c r="C2" s="72"/>
      <c r="D2" s="6">
        <f>SUM(D4:D238)</f>
        <v>43587556.653466031</v>
      </c>
      <c r="E2" s="6">
        <f>SUM(E4:E138)</f>
        <v>18064132.094899997</v>
      </c>
      <c r="F2" s="6">
        <f>D2-E2</f>
        <v>25523424.558566034</v>
      </c>
      <c r="G2" s="7">
        <f>IFERROR(F2/E2, 0)</f>
        <v>1.412933897099435</v>
      </c>
      <c r="H2" s="6">
        <f>SUM(H4:H238)</f>
        <v>34188211.908799991</v>
      </c>
      <c r="I2" s="8">
        <f>D2-H2</f>
        <v>9399344.7446660399</v>
      </c>
      <c r="J2" s="7">
        <f>IFERROR(I2/H2, 0)</f>
        <v>0.27492940460705007</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1">Sites[Site]</f>
        <v>Farmer</v>
      </c>
      <c r="B4" s="26" t="str" cm="1">
        <f t="array" ref="B4:B161">Sites[State]</f>
        <v>AZ</v>
      </c>
      <c r="C4" s="26" t="str">
        <f>Sites[[#This Row],[SOL'#]]</f>
        <v>SOL-10748</v>
      </c>
      <c r="D4" s="21">
        <f>SUM(Jan!D4, Feb!D4, Mar!D4)</f>
        <v>32706.293583600811</v>
      </c>
      <c r="E4" s="11">
        <f>SUM(Jan!E4, Feb!E4, Mar!E4)</f>
        <v>24705.273000000001</v>
      </c>
      <c r="F4" s="11">
        <f>IF(AND(ISNUMBER(D4),ISNUMBER(E4)), D4-E4, "")</f>
        <v>8001.0205836008099</v>
      </c>
      <c r="G4" s="12">
        <f>IFERROR(F4/E4, "")</f>
        <v>0.32385882089223661</v>
      </c>
      <c r="H4" s="13">
        <f>SUM(Jan!H4, Feb!H4, Mar!H4)</f>
        <v>33317.317000000003</v>
      </c>
      <c r="I4" s="13">
        <f>SUM(Jan!I4, Feb!I4, Mar!I4)</f>
        <v>-611.02341639919177</v>
      </c>
      <c r="J4" s="14">
        <f>IFERROR(I4/H4, "")</f>
        <v>-1.833951444527156E-2</v>
      </c>
      <c r="K4" s="38"/>
      <c r="L4" s="38"/>
    </row>
    <row r="5" spans="1:12" ht="15.75">
      <c r="A5" s="27" t="str">
        <v>Fulton</v>
      </c>
      <c r="B5" s="28" t="str">
        <v>AZ</v>
      </c>
      <c r="C5" s="28" t="str">
        <f>Sites[[#This Row],[SOL'#]]</f>
        <v>SOL-10749</v>
      </c>
      <c r="D5" s="10">
        <f>SUM(Jan!D5, Feb!D5, Mar!D5)</f>
        <v>107842</v>
      </c>
      <c r="E5" s="15">
        <f>SUM(Jan!E5, Feb!E5, Mar!E5)</f>
        <v>112159.54000000001</v>
      </c>
      <c r="F5" s="15">
        <f t="shared" ref="F5:F15" si="0">IF(AND(ISNUMBER(D5),ISNUMBER(E5)), D5-E5, "")</f>
        <v>-4317.5400000000081</v>
      </c>
      <c r="G5" s="16">
        <f>IFERROR(F5/E5, "")</f>
        <v>-3.8494630060002102E-2</v>
      </c>
      <c r="H5" s="17">
        <f>SUM(Jan!H5, Feb!H5, Mar!H5)</f>
        <v>138999.08000000002</v>
      </c>
      <c r="I5" s="17">
        <f>SUM(Jan!I5, Feb!I5, Mar!I5)</f>
        <v>-31157.08</v>
      </c>
      <c r="J5" s="16">
        <f>IFERROR(I5/H5, "")</f>
        <v>-0.22415313827976413</v>
      </c>
      <c r="K5" s="39"/>
      <c r="L5" s="39"/>
    </row>
    <row r="6" spans="1:12" ht="15.75">
      <c r="A6" s="25" t="str">
        <v>JFK Elementary</v>
      </c>
      <c r="B6" s="26" t="str">
        <v>AZ</v>
      </c>
      <c r="C6" s="26" t="str">
        <f>Sites[[#This Row],[SOL'#]]</f>
        <v>SOL-10758</v>
      </c>
      <c r="D6" s="21">
        <f>SUM(Jan!D6, Feb!D6, Mar!D6)</f>
        <v>52126.87</v>
      </c>
      <c r="E6" s="11">
        <f>SUM(Jan!E6, Feb!E6, Mar!E6)</f>
        <v>0</v>
      </c>
      <c r="F6" s="11">
        <f t="shared" si="0"/>
        <v>52126.87</v>
      </c>
      <c r="G6" s="12" t="str">
        <f t="shared" ref="G6:G15" si="1">IFERROR(F6/E6, "")</f>
        <v/>
      </c>
      <c r="H6" s="13">
        <f>SUM(Jan!H6, Feb!H6, Mar!H6)</f>
        <v>6126</v>
      </c>
      <c r="I6" s="13">
        <f>SUM(Jan!I6, Feb!I6, Mar!I6)</f>
        <v>46000.87</v>
      </c>
      <c r="J6" s="14">
        <f t="shared" ref="J6:J15" si="2">IFERROR(I6/H6, "")</f>
        <v>7.5091201436500166</v>
      </c>
      <c r="K6" s="38"/>
      <c r="L6" s="38"/>
    </row>
    <row r="7" spans="1:12" ht="15.75">
      <c r="A7" s="27" t="str">
        <v>Noble</v>
      </c>
      <c r="B7" s="28" t="str">
        <v>AZ</v>
      </c>
      <c r="C7" s="28" t="str">
        <f>Sites[[#This Row],[SOL'#]]</f>
        <v>SOL-10750</v>
      </c>
      <c r="D7" s="10">
        <f>SUM(Jan!D7, Feb!D7, Mar!D7)</f>
        <v>31148.242026522901</v>
      </c>
      <c r="E7" s="15">
        <f>SUM(Jan!E7, Feb!E7, Mar!E7)</f>
        <v>41886.080000000002</v>
      </c>
      <c r="F7" s="15">
        <f t="shared" si="0"/>
        <v>-10737.837973477101</v>
      </c>
      <c r="G7" s="16">
        <f t="shared" si="1"/>
        <v>-0.25635814985496613</v>
      </c>
      <c r="H7" s="17">
        <f>SUM(Jan!H7, Feb!H7, Mar!H7)</f>
        <v>36692.61</v>
      </c>
      <c r="I7" s="17">
        <f>SUM(Jan!I7, Feb!I7, Mar!I7)</f>
        <v>-5544.3679734771013</v>
      </c>
      <c r="J7" s="16">
        <f t="shared" si="2"/>
        <v>-0.1511031233122174</v>
      </c>
      <c r="K7" s="39"/>
      <c r="L7" s="40"/>
    </row>
    <row r="8" spans="1:12" ht="15.75">
      <c r="A8" s="25" t="str">
        <v>Parking 3</v>
      </c>
      <c r="B8" s="26" t="str">
        <v>AZ</v>
      </c>
      <c r="C8" s="26" t="str">
        <f>Sites[[#This Row],[SOL'#]]</f>
        <v>SOL-10751</v>
      </c>
      <c r="D8" s="21">
        <f>SUM(Jan!D8, Feb!D8, Mar!D8)</f>
        <v>72830.78</v>
      </c>
      <c r="E8" s="11">
        <f>SUM(Jan!E8, Feb!E8, Mar!E8)</f>
        <v>84541.3</v>
      </c>
      <c r="F8" s="11">
        <f t="shared" si="0"/>
        <v>-11710.520000000004</v>
      </c>
      <c r="G8" s="12">
        <f t="shared" si="1"/>
        <v>-0.1385183336428468</v>
      </c>
      <c r="H8" s="13">
        <f>SUM(Jan!H8, Feb!H8, Mar!H8)</f>
        <v>84122</v>
      </c>
      <c r="I8" s="13">
        <f>SUM(Jan!I8, Feb!I8, Mar!I8)</f>
        <v>-11291.220000000005</v>
      </c>
      <c r="J8" s="14">
        <f t="shared" si="2"/>
        <v>-0.13422434083830634</v>
      </c>
      <c r="K8" s="38"/>
      <c r="L8" s="38"/>
    </row>
    <row r="9" spans="1:12" ht="15.75">
      <c r="A9" s="27" t="str">
        <v>PE East</v>
      </c>
      <c r="B9" s="28" t="str">
        <v>AZ</v>
      </c>
      <c r="C9" s="28" t="str">
        <f>Sites[[#This Row],[SOL'#]]</f>
        <v>SOL-10752</v>
      </c>
      <c r="D9" s="10">
        <f>SUM(Jan!D9, Feb!D9, Mar!D9)</f>
        <v>74341.832213312213</v>
      </c>
      <c r="E9" s="15">
        <f>SUM(Jan!E9, Feb!E9, Mar!E9)</f>
        <v>57907.94</v>
      </c>
      <c r="F9" s="15">
        <f t="shared" si="0"/>
        <v>16433.892213312211</v>
      </c>
      <c r="G9" s="16">
        <f t="shared" si="1"/>
        <v>0.28379341785102719</v>
      </c>
      <c r="H9" s="17">
        <f>SUM(Jan!H9, Feb!H9, Mar!H9)</f>
        <v>80684.31</v>
      </c>
      <c r="I9" s="17">
        <f>SUM(Jan!I9, Feb!I9, Mar!I9)</f>
        <v>-6342.4777866877957</v>
      </c>
      <c r="J9" s="16">
        <f t="shared" si="2"/>
        <v>-7.8608564498944045E-2</v>
      </c>
      <c r="K9" s="39"/>
      <c r="L9" s="40"/>
    </row>
    <row r="10" spans="1:12" ht="15.75">
      <c r="A10" s="25" t="str">
        <v>Schwada</v>
      </c>
      <c r="B10" s="26" t="str">
        <v>AZ</v>
      </c>
      <c r="C10" s="26" t="str">
        <f>Sites[[#This Row],[SOL'#]]</f>
        <v>SOL-10753</v>
      </c>
      <c r="D10" s="21">
        <f>SUM(Jan!D10, Feb!D10, Mar!D10)</f>
        <v>32098.550975245729</v>
      </c>
      <c r="E10" s="11">
        <f>SUM(Jan!E10, Feb!E10, Mar!E10)</f>
        <v>24254.970999999998</v>
      </c>
      <c r="F10" s="11">
        <f t="shared" si="0"/>
        <v>7843.5799752457315</v>
      </c>
      <c r="G10" s="12">
        <f t="shared" si="1"/>
        <v>0.3233803072881733</v>
      </c>
      <c r="H10" s="13">
        <f>SUM(Jan!H10, Feb!H10, Mar!H10)</f>
        <v>34500</v>
      </c>
      <c r="I10" s="13">
        <f>SUM(Jan!I10, Feb!I10, Mar!I10)</f>
        <v>-2401.4490247542708</v>
      </c>
      <c r="J10" s="14">
        <f t="shared" si="2"/>
        <v>-6.9607218108819438E-2</v>
      </c>
      <c r="K10" s="38"/>
      <c r="L10" s="38"/>
    </row>
    <row r="11" spans="1:12" ht="15.75">
      <c r="A11" s="27" t="str">
        <v>Starshine</v>
      </c>
      <c r="B11" s="28" t="str">
        <v>AZ</v>
      </c>
      <c r="C11" s="28" t="str">
        <f>Sites[[#This Row],[SOL'#]]</f>
        <v>SOL-10757</v>
      </c>
      <c r="D11" s="10">
        <f>SUM(Jan!D11, Feb!D11, Mar!D11)</f>
        <v>14150.597000000002</v>
      </c>
      <c r="E11" s="15">
        <f>SUM(Jan!E11, Feb!E11, Mar!E11)</f>
        <v>0</v>
      </c>
      <c r="F11" s="15">
        <f t="shared" si="0"/>
        <v>14150.597000000002</v>
      </c>
      <c r="G11" s="16" t="str">
        <f t="shared" si="1"/>
        <v/>
      </c>
      <c r="H11" s="17">
        <f>SUM(Jan!H11, Feb!H11, Mar!H11)</f>
        <v>0</v>
      </c>
      <c r="I11" s="17">
        <f>SUM(Jan!I11, Feb!I11, Mar!I11)</f>
        <v>14150.597000000002</v>
      </c>
      <c r="J11" s="16" t="str">
        <f t="shared" si="2"/>
        <v/>
      </c>
      <c r="K11" s="39"/>
      <c r="L11" s="40"/>
    </row>
    <row r="12" spans="1:12" ht="15.75">
      <c r="A12" s="25" t="str">
        <v>Yuma Airport</v>
      </c>
      <c r="B12" s="26" t="str">
        <v>AZ</v>
      </c>
      <c r="C12" s="26" t="str">
        <f>Sites[[#This Row],[SOL'#]]</f>
        <v>SOL-10754</v>
      </c>
      <c r="D12" s="21">
        <f>SUM(Jan!D12, Feb!D12, Mar!D12)</f>
        <v>197992</v>
      </c>
      <c r="E12" s="11">
        <f>SUM(Jan!E12, Feb!E12, Mar!E12)</f>
        <v>251330.95</v>
      </c>
      <c r="F12" s="11">
        <f t="shared" si="0"/>
        <v>-53338.950000000012</v>
      </c>
      <c r="G12" s="12">
        <f t="shared" si="1"/>
        <v>-0.2122259514795134</v>
      </c>
      <c r="H12" s="13">
        <f>SUM(Jan!H12, Feb!H12, Mar!H12)</f>
        <v>220637</v>
      </c>
      <c r="I12" s="13">
        <f>SUM(Jan!I12, Feb!I12, Mar!I12)</f>
        <v>-22645</v>
      </c>
      <c r="J12" s="14">
        <f t="shared" si="2"/>
        <v>-0.10263464423464785</v>
      </c>
      <c r="K12" s="38"/>
      <c r="L12" s="38"/>
    </row>
    <row r="13" spans="1:12" ht="15.75">
      <c r="A13" s="27" t="str">
        <v>Kinsman</v>
      </c>
      <c r="B13" s="28" t="str">
        <v>OH</v>
      </c>
      <c r="C13" s="28" t="str">
        <f>Sites[[#This Row],[SOL'#]]</f>
        <v>SOL-10762</v>
      </c>
      <c r="D13" s="10">
        <f>SUM(Jan!D13, Feb!D13, Mar!D13)</f>
        <v>192799.109375</v>
      </c>
      <c r="E13" s="15">
        <f>SUM(Jan!E13, Feb!E13, Mar!E13)</f>
        <v>278939.84999999998</v>
      </c>
      <c r="F13" s="15">
        <f t="shared" si="0"/>
        <v>-86140.740624999977</v>
      </c>
      <c r="G13" s="16">
        <f t="shared" si="1"/>
        <v>-0.30881475208723308</v>
      </c>
      <c r="H13" s="17">
        <f>SUM(Jan!H13, Feb!H13, Mar!H13)</f>
        <v>217404</v>
      </c>
      <c r="I13" s="17">
        <f>SUM(Jan!I13, Feb!I13, Mar!I13)</f>
        <v>-24604.890625</v>
      </c>
      <c r="J13" s="16">
        <f t="shared" si="2"/>
        <v>-0.11317588740317565</v>
      </c>
      <c r="K13" s="39"/>
      <c r="L13" s="40"/>
    </row>
    <row r="14" spans="1:12" ht="15.75">
      <c r="A14" s="25" t="str">
        <v>Wooster</v>
      </c>
      <c r="B14" s="26" t="str">
        <v>OH</v>
      </c>
      <c r="C14" s="26" t="str">
        <f>Sites[[#This Row],[SOL'#]]</f>
        <v>SOL-10763</v>
      </c>
      <c r="D14" s="21">
        <f>SUM(Jan!D14, Feb!D14, Mar!D14)</f>
        <v>41860.5</v>
      </c>
      <c r="E14" s="11">
        <f>SUM(Jan!E14, Feb!E14, Mar!E14)</f>
        <v>0</v>
      </c>
      <c r="F14" s="11">
        <f t="shared" si="0"/>
        <v>41860.5</v>
      </c>
      <c r="G14" s="12" t="str">
        <f t="shared" si="1"/>
        <v/>
      </c>
      <c r="H14" s="13">
        <f>SUM(Jan!H14, Feb!H14, Mar!H14)</f>
        <v>49246</v>
      </c>
      <c r="I14" s="13">
        <f>SUM(Jan!I14, Feb!I14, Mar!I14)</f>
        <v>-7385.5</v>
      </c>
      <c r="J14" s="14">
        <f t="shared" si="2"/>
        <v>-0.14997157129513056</v>
      </c>
      <c r="K14" s="38"/>
      <c r="L14" s="38"/>
    </row>
    <row r="15" spans="1:12" ht="15.75">
      <c r="A15" s="27" t="str">
        <v>Globe Gila CC</v>
      </c>
      <c r="B15" s="28" t="str">
        <v>AZ</v>
      </c>
      <c r="C15" s="28" t="str">
        <f>Sites[[#This Row],[SOL'#]]</f>
        <v>SOL-10755</v>
      </c>
      <c r="D15" s="10">
        <f>SUM(Jan!D15, Feb!D15, Mar!D15)</f>
        <v>37604.478668042902</v>
      </c>
      <c r="E15" s="15">
        <f>SUM(Jan!E15, Feb!E15, Mar!E15)</f>
        <v>0</v>
      </c>
      <c r="F15" s="15">
        <f t="shared" si="0"/>
        <v>37604.478668042902</v>
      </c>
      <c r="G15" s="16" t="str">
        <f t="shared" si="1"/>
        <v/>
      </c>
      <c r="H15" s="17">
        <f>SUM(Jan!H15, Feb!H15, Mar!H15)</f>
        <v>37905</v>
      </c>
      <c r="I15" s="17">
        <f>SUM(Jan!I15, Feb!I15, Mar!I15)</f>
        <v>-300.52133195709939</v>
      </c>
      <c r="J15" s="16">
        <f t="shared" si="2"/>
        <v>-7.9282767961245063E-3</v>
      </c>
      <c r="K15" s="39"/>
      <c r="L15" s="40"/>
    </row>
    <row r="16" spans="1:12" ht="15.75">
      <c r="A16" s="25" t="str">
        <v>Payson Gila CC</v>
      </c>
      <c r="B16" s="26" t="str">
        <v>AZ</v>
      </c>
      <c r="C16" s="26" t="str">
        <f>Sites[[#This Row],[SOL'#]]</f>
        <v>SOL-10756</v>
      </c>
      <c r="D16" s="21">
        <f>SUM(Jan!D16, Feb!D16, Mar!D16)</f>
        <v>25234.533825875409</v>
      </c>
      <c r="E16" s="11">
        <f>SUM(Jan!E16, Feb!E16, Mar!E16)</f>
        <v>0</v>
      </c>
      <c r="F16" s="11">
        <f t="shared" ref="F16:F17" si="3">IF(AND(ISNUMBER(D16),ISNUMBER(E16)), D16-E16, "")</f>
        <v>25234.533825875409</v>
      </c>
      <c r="G16" s="12" t="str">
        <f t="shared" ref="G16:G17" si="4">IFERROR(F16/E16, "")</f>
        <v/>
      </c>
      <c r="H16" s="13">
        <f>SUM(Jan!H16, Feb!H16, Mar!H16)</f>
        <v>30379</v>
      </c>
      <c r="I16" s="13">
        <f>SUM(Jan!I16, Feb!I16, Mar!I16)</f>
        <v>-5144.4661741245909</v>
      </c>
      <c r="J16" s="14">
        <f t="shared" ref="J16:J17" si="5">IFERROR(I16/H16, "")</f>
        <v>-0.16934284124311502</v>
      </c>
      <c r="K16" s="38"/>
      <c r="L16" s="38"/>
    </row>
    <row r="17" spans="1:12" ht="15.75">
      <c r="A17" s="27" t="str">
        <v>SCNM</v>
      </c>
      <c r="B17" s="28" t="str">
        <v>AZ</v>
      </c>
      <c r="C17" s="28" t="str">
        <f>Sites[[#This Row],[SOL'#]]</f>
        <v>SOL-10760</v>
      </c>
      <c r="D17" s="10">
        <f>SUM(Jan!D17, Feb!D17, Mar!D17)</f>
        <v>180959.88</v>
      </c>
      <c r="E17" s="15">
        <f>SUM(Jan!E17, Feb!E17, Mar!E17)</f>
        <v>0</v>
      </c>
      <c r="F17" s="15">
        <f t="shared" si="3"/>
        <v>180959.88</v>
      </c>
      <c r="G17" s="16" t="str">
        <f t="shared" si="4"/>
        <v/>
      </c>
      <c r="H17" s="17">
        <f>SUM(Jan!H17, Feb!H17, Mar!H17)</f>
        <v>97347</v>
      </c>
      <c r="I17" s="17">
        <f>SUM(Jan!I17, Feb!I17, Mar!I17)</f>
        <v>83612.88</v>
      </c>
      <c r="J17" s="16">
        <f t="shared" si="5"/>
        <v>0.85891583715985087</v>
      </c>
      <c r="K17" s="39"/>
      <c r="L17" s="39"/>
    </row>
    <row r="18" spans="1:12" ht="12.75" customHeight="1">
      <c r="A18" s="25" t="str">
        <v>Sequoia Charter School</v>
      </c>
      <c r="B18" s="26" t="str">
        <v>AZ</v>
      </c>
      <c r="C18" s="26" t="str">
        <f>Sites[[#This Row],[SOL'#]]</f>
        <v>SOL-10759</v>
      </c>
      <c r="D18" s="21">
        <f>SUM(Jan!D18, Feb!D18, Mar!D18)</f>
        <v>81953</v>
      </c>
      <c r="E18" s="11">
        <f>SUM(Jan!E18, Feb!E18, Mar!E18)</f>
        <v>0</v>
      </c>
      <c r="F18" s="11">
        <f t="shared" ref="F18:F81" si="6">IF(AND(ISNUMBER(D18),ISNUMBER(E18)), D18-E18, "")</f>
        <v>81953</v>
      </c>
      <c r="G18" s="12" t="str">
        <f t="shared" ref="G18:G81" si="7">IFERROR(F18/E18, "")</f>
        <v/>
      </c>
      <c r="H18" s="13">
        <f>SUM(Jan!H18, Feb!H18, Mar!H18)</f>
        <v>28910</v>
      </c>
      <c r="I18" s="13">
        <f>SUM(Jan!I18, Feb!I18, Mar!I18)</f>
        <v>53043</v>
      </c>
      <c r="J18" s="14">
        <f t="shared" ref="J18:J81" si="8">IFERROR(I18/H18, "")</f>
        <v>1.834763057765479</v>
      </c>
      <c r="K18" s="38"/>
      <c r="L18" s="38"/>
    </row>
    <row r="19" spans="1:12" ht="15.75">
      <c r="A19" s="27" t="str">
        <v>RCAB</v>
      </c>
      <c r="B19" s="28" t="str">
        <v>MA</v>
      </c>
      <c r="C19" s="28" t="str">
        <f>Sites[[#This Row],[SOL'#]]</f>
        <v>SOL-10838</v>
      </c>
      <c r="D19" s="10">
        <f>SUM(Jan!D19, Feb!D19, Mar!D19)</f>
        <v>178095</v>
      </c>
      <c r="E19" s="15">
        <f>SUM(Jan!E19, Feb!E19, Mar!E19)</f>
        <v>227228.27000000002</v>
      </c>
      <c r="F19" s="15">
        <f t="shared" si="6"/>
        <v>-49133.270000000019</v>
      </c>
      <c r="G19" s="16">
        <f t="shared" si="7"/>
        <v>-0.21622868492551572</v>
      </c>
      <c r="H19" s="17">
        <f>SUM(Jan!H19, Feb!H19, Mar!H19)</f>
        <v>209313.56</v>
      </c>
      <c r="I19" s="17">
        <f>SUM(Jan!I19, Feb!I19, Mar!I19)</f>
        <v>-31218.560000000005</v>
      </c>
      <c r="J19" s="16">
        <f t="shared" si="8"/>
        <v>-0.14914733665606761</v>
      </c>
      <c r="K19" s="39"/>
      <c r="L19" s="40"/>
    </row>
    <row r="20" spans="1:12" ht="15.75">
      <c r="A20" s="25" t="str">
        <v>Spectro Coatings</v>
      </c>
      <c r="B20" s="26" t="str">
        <v>MA</v>
      </c>
      <c r="C20" s="26" t="str">
        <f>Sites[[#This Row],[SOL'#]]</f>
        <v>SOL-10074</v>
      </c>
      <c r="D20" s="21">
        <f>SUM(Jan!D20, Feb!D20, Mar!D20)</f>
        <v>40969.125</v>
      </c>
      <c r="E20" s="11">
        <f>SUM(Jan!E20, Feb!E20, Mar!E20)</f>
        <v>66169.3</v>
      </c>
      <c r="F20" s="11">
        <f t="shared" si="6"/>
        <v>-25200.175000000003</v>
      </c>
      <c r="G20" s="12">
        <f t="shared" si="7"/>
        <v>-0.38084391099800063</v>
      </c>
      <c r="H20" s="13">
        <f>SUM(Jan!H20, Feb!H20, Mar!H20)</f>
        <v>55906.33</v>
      </c>
      <c r="I20" s="13">
        <f>SUM(Jan!I20, Feb!I20, Mar!I20)</f>
        <v>-14937.205</v>
      </c>
      <c r="J20" s="14">
        <f t="shared" si="8"/>
        <v>-0.26718271437241542</v>
      </c>
      <c r="K20" s="38"/>
      <c r="L20" s="38"/>
    </row>
    <row r="21" spans="1:12" ht="15.75">
      <c r="A21" s="27" t="str">
        <v>K026</v>
      </c>
      <c r="B21" s="28" t="str">
        <v>NY</v>
      </c>
      <c r="C21" s="28" t="str">
        <f>Sites[[#This Row],[SOL'#]]</f>
        <v>SOL-10356</v>
      </c>
      <c r="D21" s="10">
        <f>SUM(Jan!D21, Feb!D21, Mar!D21)</f>
        <v>50357.9375</v>
      </c>
      <c r="E21" s="15">
        <f>SUM(Jan!E21, Feb!E21, Mar!E21)</f>
        <v>66333.48000000001</v>
      </c>
      <c r="F21" s="15">
        <f t="shared" si="6"/>
        <v>-15975.54250000001</v>
      </c>
      <c r="G21" s="16">
        <f t="shared" si="7"/>
        <v>-0.24083679161714427</v>
      </c>
      <c r="H21" s="17">
        <f>SUM(Jan!H21, Feb!H21, Mar!H21)</f>
        <v>75233.47</v>
      </c>
      <c r="I21" s="17">
        <f>SUM(Jan!I21, Feb!I21, Mar!I21)</f>
        <v>-24875.532500000001</v>
      </c>
      <c r="J21" s="16">
        <f t="shared" si="8"/>
        <v>-0.33064449240477678</v>
      </c>
      <c r="K21" s="39"/>
      <c r="L21" s="40"/>
    </row>
    <row r="22" spans="1:12" ht="15.75">
      <c r="A22" s="25" t="str">
        <v>K041</v>
      </c>
      <c r="B22" s="26" t="str">
        <v>NY</v>
      </c>
      <c r="C22" s="26" t="str">
        <f>Sites[[#This Row],[SOL'#]]</f>
        <v>SOL-10357</v>
      </c>
      <c r="D22" s="21">
        <f>SUM(Jan!D22, Feb!D22, Mar!D22)</f>
        <v>36306.770433593752</v>
      </c>
      <c r="E22" s="11">
        <f>SUM(Jan!E22, Feb!E22, Mar!E22)</f>
        <v>0</v>
      </c>
      <c r="F22" s="11">
        <f t="shared" si="6"/>
        <v>36306.770433593752</v>
      </c>
      <c r="G22" s="12" t="str">
        <f t="shared" si="7"/>
        <v/>
      </c>
      <c r="H22" s="13">
        <f>SUM(Jan!H22, Feb!H22, Mar!H22)</f>
        <v>0</v>
      </c>
      <c r="I22" s="13">
        <f>SUM(Jan!I22, Feb!I22, Mar!I22)</f>
        <v>36306.770433593752</v>
      </c>
      <c r="J22" s="14" t="str">
        <f t="shared" si="8"/>
        <v/>
      </c>
      <c r="K22" s="38"/>
      <c r="L22" s="38"/>
    </row>
    <row r="23" spans="1:12" ht="15.75">
      <c r="A23" s="27" t="str">
        <v>K043</v>
      </c>
      <c r="B23" s="28" t="str">
        <v>NY</v>
      </c>
      <c r="C23" s="28" t="str">
        <f>Sites[[#This Row],[SOL'#]]</f>
        <v>SOL-10358</v>
      </c>
      <c r="D23" s="10">
        <f>SUM(Jan!D23, Feb!D23, Mar!D23)</f>
        <v>45532.078125</v>
      </c>
      <c r="E23" s="15">
        <f>SUM(Jan!E23, Feb!E23, Mar!E23)</f>
        <v>56574.479999999996</v>
      </c>
      <c r="F23" s="15">
        <f t="shared" si="6"/>
        <v>-11042.401874999996</v>
      </c>
      <c r="G23" s="16">
        <f t="shared" si="7"/>
        <v>-0.1951834444611775</v>
      </c>
      <c r="H23" s="17">
        <f>SUM(Jan!H23, Feb!H23, Mar!H23)</f>
        <v>75760</v>
      </c>
      <c r="I23" s="17">
        <f>SUM(Jan!I23, Feb!I23, Mar!I23)</f>
        <v>-30227.921875</v>
      </c>
      <c r="J23" s="16">
        <f t="shared" si="8"/>
        <v>-0.3989958008843717</v>
      </c>
      <c r="K23" s="39"/>
      <c r="L23" s="40"/>
    </row>
    <row r="24" spans="1:12" ht="15.75">
      <c r="A24" s="25" t="str">
        <v>K058</v>
      </c>
      <c r="B24" s="26" t="str">
        <v>NY</v>
      </c>
      <c r="C24" s="26" t="str">
        <f>Sites[[#This Row],[SOL'#]]</f>
        <v>SOL-10360</v>
      </c>
      <c r="D24" s="21">
        <f>SUM(Jan!D24, Feb!D24, Mar!D24)</f>
        <v>37866.125</v>
      </c>
      <c r="E24" s="11">
        <f>SUM(Jan!E24, Feb!E24, Mar!E24)</f>
        <v>45918.432000000001</v>
      </c>
      <c r="F24" s="11">
        <f t="shared" si="6"/>
        <v>-8052.3070000000007</v>
      </c>
      <c r="G24" s="12">
        <f t="shared" si="7"/>
        <v>-0.17536110553600787</v>
      </c>
      <c r="H24" s="13">
        <f>SUM(Jan!H24, Feb!H24, Mar!H24)</f>
        <v>50048.6</v>
      </c>
      <c r="I24" s="13">
        <f>SUM(Jan!I24, Feb!I24, Mar!I24)</f>
        <v>-12182.474999999999</v>
      </c>
      <c r="J24" s="14">
        <f t="shared" si="8"/>
        <v>-0.24341290265861582</v>
      </c>
      <c r="K24" s="38"/>
      <c r="L24" s="38"/>
    </row>
    <row r="25" spans="1:12" ht="15.75">
      <c r="A25" s="27" t="str">
        <v>K115</v>
      </c>
      <c r="B25" s="28" t="str">
        <v>NY</v>
      </c>
      <c r="C25" s="28" t="str">
        <f>Sites[[#This Row],[SOL'#]]</f>
        <v>SOL-10361</v>
      </c>
      <c r="D25" s="10">
        <f>SUM(Jan!D25, Feb!D25, Mar!D25)</f>
        <v>9953.9140625</v>
      </c>
      <c r="E25" s="15">
        <f>SUM(Jan!E25, Feb!E25, Mar!E25)</f>
        <v>23326.995000000003</v>
      </c>
      <c r="F25" s="15">
        <f t="shared" si="6"/>
        <v>-13373.080937500003</v>
      </c>
      <c r="G25" s="16">
        <f t="shared" si="7"/>
        <v>-0.57328776970629958</v>
      </c>
      <c r="H25" s="17">
        <f>SUM(Jan!H25, Feb!H25, Mar!H25)</f>
        <v>17068.538999999997</v>
      </c>
      <c r="I25" s="17">
        <f>SUM(Jan!I25, Feb!I25, Mar!I25)</f>
        <v>-7114.6249374999998</v>
      </c>
      <c r="J25" s="16">
        <f t="shared" si="8"/>
        <v>-0.41682682609800409</v>
      </c>
      <c r="K25" s="39"/>
      <c r="L25" s="40"/>
    </row>
    <row r="26" spans="1:12" ht="15.75">
      <c r="A26" s="25" t="str">
        <v>K152</v>
      </c>
      <c r="B26" s="26" t="str">
        <v>NY</v>
      </c>
      <c r="C26" s="26" t="str">
        <f>Sites[[#This Row],[SOL'#]]</f>
        <v>SOL-10362</v>
      </c>
      <c r="D26" s="21">
        <f>SUM(Jan!D26, Feb!D26, Mar!D26)</f>
        <v>14706.625</v>
      </c>
      <c r="E26" s="11">
        <f>SUM(Jan!E26, Feb!E26, Mar!E26)</f>
        <v>16998.915000000001</v>
      </c>
      <c r="F26" s="11">
        <f t="shared" si="6"/>
        <v>-2292.2900000000009</v>
      </c>
      <c r="G26" s="12">
        <f t="shared" si="7"/>
        <v>-0.13484919478684379</v>
      </c>
      <c r="H26" s="13">
        <f>SUM(Jan!H26, Feb!H26, Mar!H26)</f>
        <v>3412</v>
      </c>
      <c r="I26" s="13">
        <f>SUM(Jan!I26, Feb!I26, Mar!I26)</f>
        <v>11294.625</v>
      </c>
      <c r="J26" s="14">
        <f t="shared" si="8"/>
        <v>3.3102652403282531</v>
      </c>
      <c r="K26" s="38"/>
      <c r="L26" s="38"/>
    </row>
    <row r="27" spans="1:12" ht="15.75">
      <c r="A27" s="27" t="str">
        <v>K166</v>
      </c>
      <c r="B27" s="28" t="str">
        <v>NY</v>
      </c>
      <c r="C27" s="28" t="str">
        <f>Sites[[#This Row],[SOL'#]]</f>
        <v>SOL-10363</v>
      </c>
      <c r="D27" s="10">
        <f>SUM(Jan!D27, Feb!D27, Mar!D27)</f>
        <v>52641.125</v>
      </c>
      <c r="E27" s="15">
        <f>SUM(Jan!E27, Feb!E27, Mar!E27)</f>
        <v>64986.3</v>
      </c>
      <c r="F27" s="15">
        <f t="shared" si="6"/>
        <v>-12345.175000000003</v>
      </c>
      <c r="G27" s="16">
        <f t="shared" si="7"/>
        <v>-0.18996580817803141</v>
      </c>
      <c r="H27" s="17">
        <f>SUM(Jan!H27, Feb!H27, Mar!H27)</f>
        <v>74326.09</v>
      </c>
      <c r="I27" s="17">
        <f>SUM(Jan!I27, Feb!I27, Mar!I27)</f>
        <v>-21684.965</v>
      </c>
      <c r="J27" s="16">
        <f t="shared" si="8"/>
        <v>-0.29175441624872239</v>
      </c>
      <c r="K27" s="39"/>
      <c r="L27" s="40"/>
    </row>
    <row r="28" spans="1:12" ht="15.75">
      <c r="A28" s="25" t="str">
        <v>K206</v>
      </c>
      <c r="B28" s="26" t="str">
        <v>NY</v>
      </c>
      <c r="C28" s="26" t="str">
        <f>Sites[[#This Row],[SOL'#]]</f>
        <v>SOL-10927</v>
      </c>
      <c r="D28" s="21">
        <f>SUM(Jan!D28, Feb!D28, Mar!D28)</f>
        <v>26688.33244390411</v>
      </c>
      <c r="E28" s="11">
        <f>SUM(Jan!E28, Feb!E28, Mar!E28)</f>
        <v>0</v>
      </c>
      <c r="F28" s="11">
        <f t="shared" si="6"/>
        <v>26688.33244390411</v>
      </c>
      <c r="G28" s="12" t="str">
        <f t="shared" si="7"/>
        <v/>
      </c>
      <c r="H28" s="13">
        <f>SUM(Jan!H28, Feb!H28, Mar!H28)</f>
        <v>0</v>
      </c>
      <c r="I28" s="13">
        <f>SUM(Jan!I28, Feb!I28, Mar!I28)</f>
        <v>26688.33244390411</v>
      </c>
      <c r="J28" s="14" t="str">
        <f t="shared" si="8"/>
        <v/>
      </c>
      <c r="K28" s="38"/>
      <c r="L28" s="38"/>
    </row>
    <row r="29" spans="1:12" ht="15.75">
      <c r="A29" s="27" t="str">
        <v>K251</v>
      </c>
      <c r="B29" s="28" t="str">
        <v>NY</v>
      </c>
      <c r="C29" s="28" t="str">
        <f>Sites[[#This Row],[SOL'#]]</f>
        <v>SOL-10365</v>
      </c>
      <c r="D29" s="10">
        <f>SUM(Jan!D29, Feb!D29, Mar!D29)</f>
        <v>30209.09375</v>
      </c>
      <c r="E29" s="15">
        <f>SUM(Jan!E29, Feb!E29, Mar!E29)</f>
        <v>40211.756999999998</v>
      </c>
      <c r="F29" s="15">
        <f t="shared" si="6"/>
        <v>-10002.663249999998</v>
      </c>
      <c r="G29" s="16">
        <f t="shared" si="7"/>
        <v>-0.24874971889440192</v>
      </c>
      <c r="H29" s="17">
        <f>SUM(Jan!H29, Feb!H29, Mar!H29)</f>
        <v>40870.197</v>
      </c>
      <c r="I29" s="17">
        <f>SUM(Jan!I29, Feb!I29, Mar!I29)</f>
        <v>-10661.10325</v>
      </c>
      <c r="J29" s="16">
        <f t="shared" si="8"/>
        <v>-0.26085274925393681</v>
      </c>
      <c r="K29" s="39"/>
      <c r="L29" s="39"/>
    </row>
    <row r="30" spans="1:12" ht="15.75">
      <c r="A30" s="25" t="str">
        <v>K269</v>
      </c>
      <c r="B30" s="26" t="str">
        <v>NY</v>
      </c>
      <c r="C30" s="26" t="str">
        <f>Sites[[#This Row],[SOL'#]]</f>
        <v>SOL-10366</v>
      </c>
      <c r="D30" s="21">
        <f>SUM(Jan!D30, Feb!D30, Mar!D30)</f>
        <v>31591.375</v>
      </c>
      <c r="E30" s="11">
        <f>SUM(Jan!E30, Feb!E30, Mar!E30)</f>
        <v>0</v>
      </c>
      <c r="F30" s="11">
        <f t="shared" si="6"/>
        <v>31591.375</v>
      </c>
      <c r="G30" s="12" t="str">
        <f t="shared" si="7"/>
        <v/>
      </c>
      <c r="H30" s="13">
        <f>SUM(Jan!H30, Feb!H30, Mar!H30)</f>
        <v>45748.119999999995</v>
      </c>
      <c r="I30" s="13">
        <f>SUM(Jan!I30, Feb!I30, Mar!I30)</f>
        <v>-14156.744999999999</v>
      </c>
      <c r="J30" s="14">
        <f t="shared" si="8"/>
        <v>-0.30944976536740748</v>
      </c>
      <c r="K30" s="38"/>
      <c r="L30" s="38"/>
    </row>
    <row r="31" spans="1:12" ht="15.75">
      <c r="A31" s="27" t="str">
        <v>K273</v>
      </c>
      <c r="B31" s="28" t="str">
        <v>NY</v>
      </c>
      <c r="C31" s="28" t="str">
        <f>Sites[[#This Row],[SOL'#]]</f>
        <v>SOL-10367</v>
      </c>
      <c r="D31" s="10">
        <f>SUM(Jan!D31, Feb!D31, Mar!D31)</f>
        <v>35721.53125</v>
      </c>
      <c r="E31" s="15">
        <f>SUM(Jan!E31, Feb!E31, Mar!E31)</f>
        <v>0</v>
      </c>
      <c r="F31" s="15">
        <f t="shared" si="6"/>
        <v>35721.53125</v>
      </c>
      <c r="G31" s="16" t="str">
        <f t="shared" si="7"/>
        <v/>
      </c>
      <c r="H31" s="17">
        <f>SUM(Jan!H31, Feb!H31, Mar!H31)</f>
        <v>46484</v>
      </c>
      <c r="I31" s="17">
        <f>SUM(Jan!I31, Feb!I31, Mar!I31)</f>
        <v>-10762.46875</v>
      </c>
      <c r="J31" s="16">
        <f t="shared" si="8"/>
        <v>-0.2315306073057396</v>
      </c>
      <c r="K31" s="39"/>
      <c r="L31" s="40"/>
    </row>
    <row r="32" spans="1:12" ht="15.75">
      <c r="A32" s="25" t="str">
        <v>K287</v>
      </c>
      <c r="B32" s="26" t="str">
        <v>NY</v>
      </c>
      <c r="C32" s="26" t="str">
        <f>Sites[[#This Row],[SOL'#]]</f>
        <v>SOL-10919</v>
      </c>
      <c r="D32" s="21">
        <f>SUM(Jan!D32, Feb!D32, Mar!D32)</f>
        <v>27908.328125</v>
      </c>
      <c r="E32" s="11">
        <f>SUM(Jan!E32, Feb!E32, Mar!E32)</f>
        <v>28572.155999999999</v>
      </c>
      <c r="F32" s="11">
        <f t="shared" si="6"/>
        <v>-663.82787499999904</v>
      </c>
      <c r="G32" s="12">
        <f t="shared" si="7"/>
        <v>-2.3233384103040704E-2</v>
      </c>
      <c r="H32" s="13">
        <f>SUM(Jan!H32, Feb!H32, Mar!H32)</f>
        <v>0</v>
      </c>
      <c r="I32" s="13">
        <f>SUM(Jan!I32, Feb!I32, Mar!I32)</f>
        <v>27908.328125</v>
      </c>
      <c r="J32" s="14" t="str">
        <f t="shared" si="8"/>
        <v/>
      </c>
      <c r="K32" s="38"/>
      <c r="L32" s="38"/>
    </row>
    <row r="33" spans="1:12" ht="15.75">
      <c r="A33" s="27" t="str">
        <v>K298</v>
      </c>
      <c r="B33" s="28" t="str">
        <v>NY</v>
      </c>
      <c r="C33" s="28" t="str">
        <f>Sites[[#This Row],[SOL'#]]</f>
        <v>SOL-10368</v>
      </c>
      <c r="D33" s="10">
        <f>SUM(Jan!D33, Feb!D33, Mar!D33)</f>
        <v>28084.875</v>
      </c>
      <c r="E33" s="15">
        <f>SUM(Jan!E33, Feb!E33, Mar!E33)</f>
        <v>37588.038</v>
      </c>
      <c r="F33" s="15">
        <f t="shared" si="6"/>
        <v>-9503.1630000000005</v>
      </c>
      <c r="G33" s="16">
        <f t="shared" si="7"/>
        <v>-0.25282412984684116</v>
      </c>
      <c r="H33" s="17">
        <f>SUM(Jan!H33, Feb!H33, Mar!H33)</f>
        <v>0</v>
      </c>
      <c r="I33" s="17">
        <f>SUM(Jan!I33, Feb!I33, Mar!I33)</f>
        <v>28084.875</v>
      </c>
      <c r="J33" s="16" t="str">
        <f t="shared" si="8"/>
        <v/>
      </c>
      <c r="K33" s="39"/>
      <c r="L33" s="40"/>
    </row>
    <row r="34" spans="1:12" ht="15.75">
      <c r="A34" s="25" t="str">
        <v>K335</v>
      </c>
      <c r="B34" s="26" t="str">
        <v>NY</v>
      </c>
      <c r="C34" s="26" t="str">
        <f>Sites[[#This Row],[SOL'#]]</f>
        <v>SOL-10370</v>
      </c>
      <c r="D34" s="21">
        <f>SUM(Jan!D34, Feb!D34, Mar!D34)</f>
        <v>29236.9375</v>
      </c>
      <c r="E34" s="11">
        <f>SUM(Jan!E34, Feb!E34, Mar!E34)</f>
        <v>39988.258999999998</v>
      </c>
      <c r="F34" s="11">
        <f t="shared" si="6"/>
        <v>-10751.321499999998</v>
      </c>
      <c r="G34" s="12">
        <f t="shared" si="7"/>
        <v>-0.26886195520540163</v>
      </c>
      <c r="H34" s="13">
        <f>SUM(Jan!H34, Feb!H34, Mar!H34)</f>
        <v>47334</v>
      </c>
      <c r="I34" s="13">
        <f>SUM(Jan!I34, Feb!I34, Mar!I34)</f>
        <v>-18097.0625</v>
      </c>
      <c r="J34" s="14">
        <f t="shared" si="8"/>
        <v>-0.38232692145181052</v>
      </c>
      <c r="K34" s="38"/>
      <c r="L34" s="38"/>
    </row>
    <row r="35" spans="1:12" ht="15.75">
      <c r="A35" s="27" t="str">
        <v>K345</v>
      </c>
      <c r="B35" s="28" t="str">
        <v>NY</v>
      </c>
      <c r="C35" s="28" t="str">
        <f>Sites[[#This Row],[SOL'#]]</f>
        <v>SOL-10920</v>
      </c>
      <c r="D35" s="10">
        <f>SUM(Jan!D35, Feb!D35, Mar!D35)</f>
        <v>32100.457187499953</v>
      </c>
      <c r="E35" s="15">
        <f>SUM(Jan!E35, Feb!E35, Mar!E35)</f>
        <v>21912.313999999998</v>
      </c>
      <c r="F35" s="15">
        <f t="shared" si="6"/>
        <v>10188.143187499954</v>
      </c>
      <c r="G35" s="16">
        <f t="shared" si="7"/>
        <v>0.46495058383610033</v>
      </c>
      <c r="H35" s="17">
        <f>SUM(Jan!H35, Feb!H35, Mar!H35)</f>
        <v>18513</v>
      </c>
      <c r="I35" s="17">
        <f>SUM(Jan!I35, Feb!I35, Mar!I35)</f>
        <v>13587.457187499951</v>
      </c>
      <c r="J35" s="16">
        <f t="shared" si="8"/>
        <v>0.7339414026629909</v>
      </c>
      <c r="K35" s="39"/>
      <c r="L35" s="40"/>
    </row>
    <row r="36" spans="1:12" ht="15.75">
      <c r="A36" s="25" t="str">
        <v>K445</v>
      </c>
      <c r="B36" s="26" t="str">
        <v>NY</v>
      </c>
      <c r="C36" s="26" t="str">
        <f>Sites[[#This Row],[SOL'#]]</f>
        <v>SOL-10373</v>
      </c>
      <c r="D36" s="21">
        <f>SUM(Jan!D36, Feb!D36, Mar!D36)</f>
        <v>30178.953693359381</v>
      </c>
      <c r="E36" s="11">
        <f>SUM(Jan!E36, Feb!E36, Mar!E36)</f>
        <v>17957.29</v>
      </c>
      <c r="F36" s="11">
        <f t="shared" si="6"/>
        <v>12221.66369335938</v>
      </c>
      <c r="G36" s="12">
        <f t="shared" si="7"/>
        <v>0.68059621988392338</v>
      </c>
      <c r="H36" s="13">
        <f>SUM(Jan!H36, Feb!H36, Mar!H36)</f>
        <v>20544.73</v>
      </c>
      <c r="I36" s="13">
        <f>SUM(Jan!I36, Feb!I36, Mar!I36)</f>
        <v>9634.2236933593813</v>
      </c>
      <c r="J36" s="14">
        <f t="shared" si="8"/>
        <v>0.46893892951425409</v>
      </c>
      <c r="K36" s="38"/>
      <c r="L36" s="38"/>
    </row>
    <row r="37" spans="1:12" ht="15.75">
      <c r="A37" s="27" t="str">
        <v>K495</v>
      </c>
      <c r="B37" s="28" t="str">
        <v>NY</v>
      </c>
      <c r="C37" s="28" t="str">
        <f>Sites[[#This Row],[SOL'#]]</f>
        <v>SOL-10374</v>
      </c>
      <c r="D37" s="10">
        <f>SUM(Jan!D37, Feb!D37, Mar!D37)</f>
        <v>122157.6875</v>
      </c>
      <c r="E37" s="15">
        <f>SUM(Jan!E37, Feb!E37, Mar!E37)</f>
        <v>0</v>
      </c>
      <c r="F37" s="15">
        <f t="shared" si="6"/>
        <v>122157.6875</v>
      </c>
      <c r="G37" s="16" t="str">
        <f t="shared" si="7"/>
        <v/>
      </c>
      <c r="H37" s="17">
        <f>SUM(Jan!H37, Feb!H37, Mar!H37)</f>
        <v>0</v>
      </c>
      <c r="I37" s="17">
        <f>SUM(Jan!I37, Feb!I37, Mar!I37)</f>
        <v>122157.6875</v>
      </c>
      <c r="J37" s="16" t="str">
        <f t="shared" si="8"/>
        <v/>
      </c>
      <c r="K37" s="39"/>
      <c r="L37" s="40"/>
    </row>
    <row r="38" spans="1:12" ht="15.75">
      <c r="A38" s="25" t="str">
        <v>M020</v>
      </c>
      <c r="B38" s="26" t="str">
        <v>NY</v>
      </c>
      <c r="C38" s="26" t="str">
        <f>Sites[[#This Row],[SOL'#]]</f>
        <v>SOL-10380</v>
      </c>
      <c r="D38" s="21">
        <f>SUM(Jan!D38, Feb!D38, Mar!D38)</f>
        <v>31129.9375</v>
      </c>
      <c r="E38" s="11">
        <f>SUM(Jan!E38, Feb!E38, Mar!E38)</f>
        <v>30547.896999999997</v>
      </c>
      <c r="F38" s="11">
        <f t="shared" si="6"/>
        <v>582.04050000000279</v>
      </c>
      <c r="G38" s="12">
        <f t="shared" si="7"/>
        <v>1.9053373788709672E-2</v>
      </c>
      <c r="H38" s="13">
        <f>SUM(Jan!H38, Feb!H38, Mar!H38)</f>
        <v>0</v>
      </c>
      <c r="I38" s="13">
        <f>SUM(Jan!I38, Feb!I38, Mar!I38)</f>
        <v>31129.9375</v>
      </c>
      <c r="J38" s="14" t="str">
        <f t="shared" si="8"/>
        <v/>
      </c>
      <c r="K38" s="38"/>
      <c r="L38" s="38"/>
    </row>
    <row r="39" spans="1:12" ht="15.75">
      <c r="A39" s="27" t="str">
        <v>M092</v>
      </c>
      <c r="B39" s="28" t="str">
        <v>NY</v>
      </c>
      <c r="C39" s="28" t="str">
        <f>Sites[[#This Row],[SOL'#]]</f>
        <v>SOL-10383</v>
      </c>
      <c r="D39" s="10">
        <f>SUM(Jan!D39, Feb!D39, Mar!D39)</f>
        <v>30203.25</v>
      </c>
      <c r="E39" s="15">
        <f>SUM(Jan!E39, Feb!E39, Mar!E39)</f>
        <v>38940.919000000002</v>
      </c>
      <c r="F39" s="15">
        <f t="shared" si="6"/>
        <v>-8737.6690000000017</v>
      </c>
      <c r="G39" s="16">
        <f t="shared" si="7"/>
        <v>-0.22438271166635798</v>
      </c>
      <c r="H39" s="17">
        <f>SUM(Jan!H39, Feb!H39, Mar!H39)</f>
        <v>45439.76</v>
      </c>
      <c r="I39" s="17">
        <f>SUM(Jan!I39, Feb!I39, Mar!I39)</f>
        <v>-15236.51</v>
      </c>
      <c r="J39" s="16">
        <f t="shared" si="8"/>
        <v>-0.33531229038181537</v>
      </c>
      <c r="K39" s="39"/>
      <c r="L39" s="40"/>
    </row>
    <row r="40" spans="1:12" ht="15.75">
      <c r="A40" s="25" t="str">
        <v>M143</v>
      </c>
      <c r="B40" s="26" t="str">
        <v>NY</v>
      </c>
      <c r="C40" s="26" t="str">
        <f>Sites[[#This Row],[SOL'#]]</f>
        <v>SOL-10384</v>
      </c>
      <c r="D40" s="21">
        <f>SUM(Jan!D40, Feb!D40, Mar!D40)</f>
        <v>35003.65625</v>
      </c>
      <c r="E40" s="11">
        <f>SUM(Jan!E40, Feb!E40, Mar!E40)</f>
        <v>45998.633999999998</v>
      </c>
      <c r="F40" s="11">
        <f t="shared" si="6"/>
        <v>-10994.977749999998</v>
      </c>
      <c r="G40" s="12">
        <f t="shared" si="7"/>
        <v>-0.23902835353762894</v>
      </c>
      <c r="H40" s="13">
        <f>SUM(Jan!H40, Feb!H40, Mar!H40)</f>
        <v>58656.05</v>
      </c>
      <c r="I40" s="13">
        <f>SUM(Jan!I40, Feb!I40, Mar!I40)</f>
        <v>-23652.393750000003</v>
      </c>
      <c r="J40" s="14">
        <f t="shared" si="8"/>
        <v>-0.40323877502832189</v>
      </c>
      <c r="K40" s="38"/>
      <c r="L40" s="38"/>
    </row>
    <row r="41" spans="1:12" ht="15.75">
      <c r="A41" s="27" t="str">
        <v>M144</v>
      </c>
      <c r="B41" s="28" t="str">
        <v>NY</v>
      </c>
      <c r="C41" s="28" t="str">
        <f>Sites[[#This Row],[SOL'#]]</f>
        <v>SOL-10385</v>
      </c>
      <c r="D41" s="10">
        <f>SUM(Jan!D41, Feb!D41, Mar!D41)</f>
        <v>50821.90625</v>
      </c>
      <c r="E41" s="15">
        <f>SUM(Jan!E41, Feb!E41, Mar!E41)</f>
        <v>0</v>
      </c>
      <c r="F41" s="15">
        <f t="shared" si="6"/>
        <v>50821.90625</v>
      </c>
      <c r="G41" s="16" t="str">
        <f t="shared" si="7"/>
        <v/>
      </c>
      <c r="H41" s="17">
        <f>SUM(Jan!H41, Feb!H41, Mar!H41)</f>
        <v>0</v>
      </c>
      <c r="I41" s="17">
        <f>SUM(Jan!I41, Feb!I41, Mar!I41)</f>
        <v>50821.90625</v>
      </c>
      <c r="J41" s="16" t="str">
        <f t="shared" si="8"/>
        <v/>
      </c>
      <c r="K41" s="39"/>
      <c r="L41" s="39"/>
    </row>
    <row r="42" spans="1:12" ht="15.75">
      <c r="A42" s="25" t="str">
        <v>M167</v>
      </c>
      <c r="B42" s="26" t="str">
        <v>NY</v>
      </c>
      <c r="C42" s="26" t="str">
        <f>Sites[[#This Row],[SOL'#]]</f>
        <v>SOL-10386</v>
      </c>
      <c r="D42" s="21">
        <f>SUM(Jan!D42, Feb!D42, Mar!D42)</f>
        <v>36408.467514648401</v>
      </c>
      <c r="E42" s="11">
        <f>SUM(Jan!E42, Feb!E42, Mar!E42)</f>
        <v>34228.5</v>
      </c>
      <c r="F42" s="11">
        <f t="shared" si="6"/>
        <v>2179.9675146484005</v>
      </c>
      <c r="G42" s="12">
        <f t="shared" si="7"/>
        <v>6.3688666305809508E-2</v>
      </c>
      <c r="H42" s="13">
        <f>SUM(Jan!H42, Feb!H42, Mar!H42)</f>
        <v>43728.47</v>
      </c>
      <c r="I42" s="13">
        <f>SUM(Jan!I42, Feb!I42, Mar!I42)</f>
        <v>-7320.0024853515988</v>
      </c>
      <c r="J42" s="14">
        <f t="shared" si="8"/>
        <v>-0.16739672084002935</v>
      </c>
      <c r="K42" s="38"/>
      <c r="L42" s="38"/>
    </row>
    <row r="43" spans="1:12" ht="15.75">
      <c r="A43" s="27" t="str">
        <v>M188</v>
      </c>
      <c r="B43" s="28" t="str">
        <v>NY</v>
      </c>
      <c r="C43" s="28" t="str">
        <f>Sites[[#This Row],[SOL'#]]</f>
        <v>SOL-10387</v>
      </c>
      <c r="D43" s="10">
        <f>SUM(Jan!D43, Feb!D43, Mar!D43)</f>
        <v>27839.046874999978</v>
      </c>
      <c r="E43" s="15">
        <f>SUM(Jan!E43, Feb!E43, Mar!E43)</f>
        <v>0</v>
      </c>
      <c r="F43" s="15">
        <f t="shared" si="6"/>
        <v>27839.046874999978</v>
      </c>
      <c r="G43" s="16" t="str">
        <f t="shared" si="7"/>
        <v/>
      </c>
      <c r="H43" s="17">
        <f>SUM(Jan!H43, Feb!H43, Mar!H43)</f>
        <v>0</v>
      </c>
      <c r="I43" s="17">
        <f>SUM(Jan!I43, Feb!I43, Mar!I43)</f>
        <v>27839.046874999978</v>
      </c>
      <c r="J43" s="16" t="str">
        <f t="shared" si="8"/>
        <v/>
      </c>
      <c r="K43" s="39"/>
      <c r="L43" s="40"/>
    </row>
    <row r="44" spans="1:12" ht="15.75">
      <c r="A44" s="25" t="str">
        <v>EMHC</v>
      </c>
      <c r="B44" s="26" t="str">
        <v>NY</v>
      </c>
      <c r="C44" s="26" t="str">
        <f>Sites[[#This Row],[SOL'#]]</f>
        <v>SOL-10351</v>
      </c>
      <c r="D44" s="21">
        <f>SUM(Jan!D44, Feb!D44, Mar!D44)</f>
        <v>7677.2293285768392</v>
      </c>
      <c r="E44" s="11">
        <f>SUM(Jan!E44, Feb!E44, Mar!E44)</f>
        <v>0</v>
      </c>
      <c r="F44" s="11">
        <f t="shared" si="6"/>
        <v>7677.2293285768392</v>
      </c>
      <c r="G44" s="12" t="str">
        <f t="shared" si="7"/>
        <v/>
      </c>
      <c r="H44" s="13">
        <f>SUM(Jan!H44, Feb!H44, Mar!H44)</f>
        <v>0</v>
      </c>
      <c r="I44" s="13">
        <f>SUM(Jan!I44, Feb!I44, Mar!I44)</f>
        <v>7677.2293285768392</v>
      </c>
      <c r="J44" s="14" t="str">
        <f t="shared" si="8"/>
        <v/>
      </c>
      <c r="K44" s="38"/>
      <c r="L44" s="38"/>
    </row>
    <row r="45" spans="1:12" ht="15.75">
      <c r="A45" s="27" t="str">
        <v>Q008</v>
      </c>
      <c r="B45" s="28" t="str">
        <v>NY</v>
      </c>
      <c r="C45" s="28" t="str">
        <f>Sites[[#This Row],[SOL'#]]</f>
        <v>SOL-10397</v>
      </c>
      <c r="D45" s="10">
        <f>SUM(Jan!D45, Feb!D45, Mar!D45)</f>
        <v>45368.6328125</v>
      </c>
      <c r="E45" s="15">
        <f>SUM(Jan!E45, Feb!E45, Mar!E45)</f>
        <v>50600.998999999996</v>
      </c>
      <c r="F45" s="15">
        <f t="shared" si="6"/>
        <v>-5232.3661874999962</v>
      </c>
      <c r="G45" s="16">
        <f t="shared" si="7"/>
        <v>-0.10340440487153221</v>
      </c>
      <c r="H45" s="17">
        <f>SUM(Jan!H45, Feb!H45, Mar!H45)</f>
        <v>58372</v>
      </c>
      <c r="I45" s="17">
        <f>SUM(Jan!I45, Feb!I45, Mar!I45)</f>
        <v>-13003.3671875</v>
      </c>
      <c r="J45" s="16">
        <f t="shared" si="8"/>
        <v>-0.22276720323956692</v>
      </c>
      <c r="K45" s="39"/>
      <c r="L45" s="40"/>
    </row>
    <row r="46" spans="1:12" ht="15.75">
      <c r="A46" s="25" t="str">
        <v>Q018</v>
      </c>
      <c r="B46" s="26" t="str">
        <v>NY</v>
      </c>
      <c r="C46" s="26" t="str">
        <f>Sites[[#This Row],[SOL'#]]</f>
        <v>SOL-10398</v>
      </c>
      <c r="D46" s="21">
        <f>SUM(Jan!D46, Feb!D46, Mar!D46)</f>
        <v>28670.125</v>
      </c>
      <c r="E46" s="11">
        <f>SUM(Jan!E46, Feb!E46, Mar!E46)</f>
        <v>33187.002999999997</v>
      </c>
      <c r="F46" s="11">
        <f t="shared" si="6"/>
        <v>-4516.877999999997</v>
      </c>
      <c r="G46" s="12">
        <f t="shared" si="7"/>
        <v>-0.13610382353597875</v>
      </c>
      <c r="H46" s="13">
        <f>SUM(Jan!H46, Feb!H46, Mar!H46)</f>
        <v>40523.796999999999</v>
      </c>
      <c r="I46" s="13">
        <f>SUM(Jan!I46, Feb!I46, Mar!I46)</f>
        <v>-11853.671999999999</v>
      </c>
      <c r="J46" s="14">
        <f t="shared" si="8"/>
        <v>-0.29251138534723187</v>
      </c>
      <c r="K46" s="38"/>
      <c r="L46" s="38"/>
    </row>
    <row r="47" spans="1:12" ht="15.75">
      <c r="A47" s="27" t="str">
        <v>Q021</v>
      </c>
      <c r="B47" s="28" t="str">
        <v>NY</v>
      </c>
      <c r="C47" s="28" t="str">
        <f>Sites[[#This Row],[SOL'#]]</f>
        <v>SOL-10399</v>
      </c>
      <c r="D47" s="10">
        <f>SUM(Jan!D47, Feb!D47, Mar!D47)</f>
        <v>22867.90625</v>
      </c>
      <c r="E47" s="15">
        <f>SUM(Jan!E47, Feb!E47, Mar!E47)</f>
        <v>29754.728000000003</v>
      </c>
      <c r="F47" s="15">
        <f t="shared" si="6"/>
        <v>-6886.8217500000028</v>
      </c>
      <c r="G47" s="16">
        <f t="shared" si="7"/>
        <v>-0.23145302319685135</v>
      </c>
      <c r="H47" s="17">
        <f>SUM(Jan!H47, Feb!H47, Mar!H47)</f>
        <v>17105.143</v>
      </c>
      <c r="I47" s="17">
        <f>SUM(Jan!I47, Feb!I47, Mar!I47)</f>
        <v>5762.7632500000009</v>
      </c>
      <c r="J47" s="16">
        <f t="shared" si="8"/>
        <v>0.33690237199420087</v>
      </c>
      <c r="K47" s="39"/>
      <c r="L47" s="40"/>
    </row>
    <row r="48" spans="1:12" ht="15.75">
      <c r="A48" s="25" t="str">
        <v>Q025</v>
      </c>
      <c r="B48" s="26" t="str">
        <v>NY</v>
      </c>
      <c r="C48" s="26" t="str">
        <f>Sites[[#This Row],[SOL'#]]</f>
        <v>SOL-10400</v>
      </c>
      <c r="D48" s="21">
        <f>SUM(Jan!D48, Feb!D48, Mar!D48)</f>
        <v>38308.5625</v>
      </c>
      <c r="E48" s="11">
        <f>SUM(Jan!E48, Feb!E48, Mar!E48)</f>
        <v>47791.360000000001</v>
      </c>
      <c r="F48" s="11">
        <f t="shared" si="6"/>
        <v>-9482.7975000000006</v>
      </c>
      <c r="G48" s="12">
        <f t="shared" si="7"/>
        <v>-0.19842075011048024</v>
      </c>
      <c r="H48" s="13">
        <f>SUM(Jan!H48, Feb!H48, Mar!H48)</f>
        <v>30045</v>
      </c>
      <c r="I48" s="13">
        <f>SUM(Jan!I48, Feb!I48, Mar!I48)</f>
        <v>8263.5625</v>
      </c>
      <c r="J48" s="14">
        <f t="shared" si="8"/>
        <v>0.27503952404726245</v>
      </c>
      <c r="K48" s="38"/>
      <c r="L48" s="38"/>
    </row>
    <row r="49" spans="1:12" ht="15.75">
      <c r="A49" s="27" t="str">
        <v>Q074</v>
      </c>
      <c r="B49" s="28" t="str">
        <v>NY</v>
      </c>
      <c r="C49" s="28" t="str">
        <f>Sites[[#This Row],[SOL'#]]</f>
        <v>SOL-10402</v>
      </c>
      <c r="D49" s="10">
        <f>SUM(Jan!D49, Feb!D49, Mar!D49)</f>
        <v>24363.46875</v>
      </c>
      <c r="E49" s="15">
        <f>SUM(Jan!E49, Feb!E49, Mar!E49)</f>
        <v>29540.1</v>
      </c>
      <c r="F49" s="15">
        <f t="shared" si="6"/>
        <v>-5176.6312499999985</v>
      </c>
      <c r="G49" s="16">
        <f t="shared" si="7"/>
        <v>-0.17524081672032252</v>
      </c>
      <c r="H49" s="17">
        <f>SUM(Jan!H49, Feb!H49, Mar!H49)</f>
        <v>32988.256000000001</v>
      </c>
      <c r="I49" s="17">
        <f>SUM(Jan!I49, Feb!I49, Mar!I49)</f>
        <v>-8624.7872499999976</v>
      </c>
      <c r="J49" s="16">
        <f t="shared" si="8"/>
        <v>-0.26145023398630096</v>
      </c>
      <c r="K49" s="39"/>
      <c r="L49" s="40"/>
    </row>
    <row r="50" spans="1:12" ht="15.75">
      <c r="A50" s="25" t="str">
        <v>Q115</v>
      </c>
      <c r="B50" s="26" t="str">
        <v>NY</v>
      </c>
      <c r="C50" s="26" t="str">
        <f>Sites[[#This Row],[SOL'#]]</f>
        <v>SOL-10872</v>
      </c>
      <c r="D50" s="21">
        <f>SUM(Jan!D50, Feb!D50, Mar!D50)</f>
        <v>32582.09375</v>
      </c>
      <c r="E50" s="11">
        <f>SUM(Jan!E50, Feb!E50, Mar!E50)</f>
        <v>42996.013999999996</v>
      </c>
      <c r="F50" s="11">
        <f t="shared" si="6"/>
        <v>-10413.920249999996</v>
      </c>
      <c r="G50" s="12">
        <f t="shared" si="7"/>
        <v>-0.24220664385307897</v>
      </c>
      <c r="H50" s="13">
        <f>SUM(Jan!H50, Feb!H50, Mar!H50)</f>
        <v>45957.75</v>
      </c>
      <c r="I50" s="13">
        <f>SUM(Jan!I50, Feb!I50, Mar!I50)</f>
        <v>-13375.656250000002</v>
      </c>
      <c r="J50" s="14">
        <f t="shared" si="8"/>
        <v>-0.29104245203474932</v>
      </c>
      <c r="K50" s="38"/>
      <c r="L50" s="38"/>
    </row>
    <row r="51" spans="1:12" ht="15.75">
      <c r="A51" s="27" t="str">
        <v>Q139</v>
      </c>
      <c r="B51" s="28" t="str">
        <v>NY</v>
      </c>
      <c r="C51" s="28" t="str">
        <f>Sites[[#This Row],[SOL'#]]</f>
        <v>SOL-10403</v>
      </c>
      <c r="D51" s="10">
        <f>SUM(Jan!D51, Feb!D51, Mar!D51)</f>
        <v>19681.21875</v>
      </c>
      <c r="E51" s="15">
        <f>SUM(Jan!E51, Feb!E51, Mar!E51)</f>
        <v>23615.078000000001</v>
      </c>
      <c r="F51" s="15">
        <f t="shared" si="6"/>
        <v>-3933.8592500000013</v>
      </c>
      <c r="G51" s="16">
        <f t="shared" si="7"/>
        <v>-0.16658252198023657</v>
      </c>
      <c r="H51" s="17">
        <f>SUM(Jan!H51, Feb!H51, Mar!H51)</f>
        <v>25496</v>
      </c>
      <c r="I51" s="17">
        <f>SUM(Jan!I51, Feb!I51, Mar!I51)</f>
        <v>-5814.78125</v>
      </c>
      <c r="J51" s="16">
        <f t="shared" si="8"/>
        <v>-0.2280664123784123</v>
      </c>
      <c r="K51" s="39"/>
      <c r="L51" s="40"/>
    </row>
    <row r="52" spans="1:12" ht="15.75">
      <c r="A52" s="25" t="str">
        <v>Q157</v>
      </c>
      <c r="B52" s="26" t="str">
        <v>NY</v>
      </c>
      <c r="C52" s="26" t="str">
        <f>Sites[[#This Row],[SOL'#]]</f>
        <v>SOL-10404</v>
      </c>
      <c r="D52" s="21">
        <f>SUM(Jan!D52, Feb!D52, Mar!D52)</f>
        <v>32711.75</v>
      </c>
      <c r="E52" s="11">
        <f>SUM(Jan!E52, Feb!E52, Mar!E52)</f>
        <v>45849.404999999999</v>
      </c>
      <c r="F52" s="11">
        <f t="shared" si="6"/>
        <v>-13137.654999999999</v>
      </c>
      <c r="G52" s="12">
        <f t="shared" si="7"/>
        <v>-0.28653926915736416</v>
      </c>
      <c r="H52" s="13">
        <f>SUM(Jan!H52, Feb!H52, Mar!H52)</f>
        <v>48279.4</v>
      </c>
      <c r="I52" s="13">
        <f>SUM(Jan!I52, Feb!I52, Mar!I52)</f>
        <v>-15567.650000000001</v>
      </c>
      <c r="J52" s="14">
        <f t="shared" si="8"/>
        <v>-0.322449119085987</v>
      </c>
      <c r="K52" s="38"/>
      <c r="L52" s="38"/>
    </row>
    <row r="53" spans="1:12" ht="15.75">
      <c r="A53" s="27" t="str">
        <v>Q192</v>
      </c>
      <c r="B53" s="28" t="str">
        <v>NY</v>
      </c>
      <c r="C53" s="28" t="str">
        <f>Sites[[#This Row],[SOL'#]]</f>
        <v>SOL-10406</v>
      </c>
      <c r="D53" s="10">
        <f>SUM(Jan!D53, Feb!D53, Mar!D53)</f>
        <v>54298.9375</v>
      </c>
      <c r="E53" s="15">
        <f>SUM(Jan!E53, Feb!E53, Mar!E53)</f>
        <v>70533.75</v>
      </c>
      <c r="F53" s="15">
        <f t="shared" si="6"/>
        <v>-16234.8125</v>
      </c>
      <c r="G53" s="16">
        <f t="shared" si="7"/>
        <v>-0.23017084020061318</v>
      </c>
      <c r="H53" s="17">
        <f>SUM(Jan!H53, Feb!H53, Mar!H53)</f>
        <v>69010.259999999995</v>
      </c>
      <c r="I53" s="17">
        <f>SUM(Jan!I53, Feb!I53, Mar!I53)</f>
        <v>-14711.322499999998</v>
      </c>
      <c r="J53" s="16">
        <f t="shared" si="8"/>
        <v>-0.21317587413813541</v>
      </c>
      <c r="K53" s="39"/>
      <c r="L53" s="39"/>
    </row>
    <row r="54" spans="1:12" ht="15.75">
      <c r="A54" s="25" t="str">
        <v>Q210</v>
      </c>
      <c r="B54" s="26" t="str">
        <v>NY</v>
      </c>
      <c r="C54" s="26" t="str">
        <f>Sites[[#This Row],[SOL'#]]</f>
        <v>SOL-10407</v>
      </c>
      <c r="D54" s="21">
        <f>SUM(Jan!D54, Feb!D54, Mar!D54)</f>
        <v>43295.25</v>
      </c>
      <c r="E54" s="11">
        <f>SUM(Jan!E54, Feb!E54, Mar!E54)</f>
        <v>50082.418000000005</v>
      </c>
      <c r="F54" s="11">
        <f t="shared" si="6"/>
        <v>-6787.1680000000051</v>
      </c>
      <c r="G54" s="12">
        <f t="shared" si="7"/>
        <v>-0.1355199742951709</v>
      </c>
      <c r="H54" s="13">
        <f>SUM(Jan!H54, Feb!H54, Mar!H54)</f>
        <v>56292</v>
      </c>
      <c r="I54" s="13">
        <f>SUM(Jan!I54, Feb!I54, Mar!I54)</f>
        <v>-12996.75</v>
      </c>
      <c r="J54" s="14">
        <f t="shared" si="8"/>
        <v>-0.23088094222980174</v>
      </c>
      <c r="K54" s="38"/>
      <c r="L54" s="38"/>
    </row>
    <row r="55" spans="1:12" ht="15.75">
      <c r="A55" s="27" t="str">
        <v>Q229</v>
      </c>
      <c r="B55" s="28" t="str">
        <v>NY</v>
      </c>
      <c r="C55" s="28" t="str">
        <f>Sites[[#This Row],[SOL'#]]</f>
        <v>SOL-10408</v>
      </c>
      <c r="D55" s="10">
        <f>SUM(Jan!D55, Feb!D55, Mar!D55)</f>
        <v>19268.65625</v>
      </c>
      <c r="E55" s="15">
        <f>SUM(Jan!E55, Feb!E55, Mar!E55)</f>
        <v>23192.663</v>
      </c>
      <c r="F55" s="15">
        <f t="shared" si="6"/>
        <v>-3924.0067500000005</v>
      </c>
      <c r="G55" s="16">
        <f t="shared" si="7"/>
        <v>-0.16919172886701284</v>
      </c>
      <c r="H55" s="17">
        <f>SUM(Jan!H55, Feb!H55, Mar!H55)</f>
        <v>28987.453000000001</v>
      </c>
      <c r="I55" s="17">
        <f>SUM(Jan!I55, Feb!I55, Mar!I55)</f>
        <v>-9718.7967500000013</v>
      </c>
      <c r="J55" s="16">
        <f t="shared" si="8"/>
        <v>-0.33527598130128927</v>
      </c>
      <c r="K55" s="39"/>
      <c r="L55" s="40"/>
    </row>
    <row r="56" spans="1:12" ht="15.75">
      <c r="A56" s="25" t="str">
        <v>Q231</v>
      </c>
      <c r="B56" s="26" t="str">
        <v>NY</v>
      </c>
      <c r="C56" s="26" t="str">
        <f>Sites[[#This Row],[SOL'#]]</f>
        <v>SOL-10870</v>
      </c>
      <c r="D56" s="21">
        <f>SUM(Jan!D56, Feb!D56, Mar!D56)</f>
        <v>72790.125</v>
      </c>
      <c r="E56" s="11">
        <f>SUM(Jan!E56, Feb!E56, Mar!E56)</f>
        <v>97152.989999999991</v>
      </c>
      <c r="F56" s="11">
        <f t="shared" si="6"/>
        <v>-24362.864999999991</v>
      </c>
      <c r="G56" s="12">
        <f t="shared" si="7"/>
        <v>-0.2507680412100543</v>
      </c>
      <c r="H56" s="13">
        <f>SUM(Jan!H56, Feb!H56, Mar!H56)</f>
        <v>0</v>
      </c>
      <c r="I56" s="13">
        <f>SUM(Jan!I56, Feb!I56, Mar!I56)</f>
        <v>72790.125</v>
      </c>
      <c r="J56" s="14" t="str">
        <f t="shared" si="8"/>
        <v/>
      </c>
      <c r="K56" s="38"/>
      <c r="L56" s="38"/>
    </row>
    <row r="57" spans="1:12" ht="15.75">
      <c r="A57" s="27" t="str">
        <v>Q405</v>
      </c>
      <c r="B57" s="28" t="str">
        <v>NY</v>
      </c>
      <c r="C57" s="28" t="str">
        <f>Sites[[#This Row],[SOL'#]]</f>
        <v>SOL-10409</v>
      </c>
      <c r="D57" s="10">
        <f>SUM(Jan!D57, Feb!D57, Mar!D57)</f>
        <v>80429.75</v>
      </c>
      <c r="E57" s="15">
        <f>SUM(Jan!E57, Feb!E57, Mar!E57)</f>
        <v>98573.890000000014</v>
      </c>
      <c r="F57" s="15">
        <f t="shared" si="6"/>
        <v>-18144.140000000014</v>
      </c>
      <c r="G57" s="16">
        <f t="shared" si="7"/>
        <v>-0.18406638918277457</v>
      </c>
      <c r="H57" s="17">
        <f>SUM(Jan!H57, Feb!H57, Mar!H57)</f>
        <v>85134.39</v>
      </c>
      <c r="I57" s="17">
        <f>SUM(Jan!I57, Feb!I57, Mar!I57)</f>
        <v>-4704.6399999999994</v>
      </c>
      <c r="J57" s="16">
        <f t="shared" si="8"/>
        <v>-5.5261334461901936E-2</v>
      </c>
      <c r="K57" s="39"/>
      <c r="L57" s="40"/>
    </row>
    <row r="58" spans="1:12" ht="15.75">
      <c r="A58" s="25" t="str">
        <v>Q435</v>
      </c>
      <c r="B58" s="26" t="str">
        <v>NY</v>
      </c>
      <c r="C58" s="26" t="str">
        <f>Sites[[#This Row],[SOL'#]]</f>
        <v>SOL-10923</v>
      </c>
      <c r="D58" s="21">
        <f>SUM(Jan!D58, Feb!D58, Mar!D58)</f>
        <v>0</v>
      </c>
      <c r="E58" s="11">
        <f>SUM(Jan!E58, Feb!E58, Mar!E58)</f>
        <v>0</v>
      </c>
      <c r="F58" s="11">
        <f t="shared" si="6"/>
        <v>0</v>
      </c>
      <c r="G58" s="12" t="str">
        <f t="shared" si="7"/>
        <v/>
      </c>
      <c r="H58" s="13">
        <f>SUM(Jan!H58, Feb!H58, Mar!H58)</f>
        <v>0</v>
      </c>
      <c r="I58" s="13">
        <f>SUM(Jan!I58, Feb!I58, Mar!I58)</f>
        <v>0</v>
      </c>
      <c r="J58" s="14" t="str">
        <f t="shared" si="8"/>
        <v/>
      </c>
      <c r="K58" s="38"/>
      <c r="L58" s="38"/>
    </row>
    <row r="59" spans="1:12" ht="15.75">
      <c r="A59" s="27" t="str">
        <v>Q485</v>
      </c>
      <c r="B59" s="28" t="str">
        <v>NY</v>
      </c>
      <c r="C59" s="28" t="str">
        <f>Sites[[#This Row],[SOL'#]]</f>
        <v>SOL-10869</v>
      </c>
      <c r="D59" s="10">
        <f>SUM(Jan!D59, Feb!D59, Mar!D59)</f>
        <v>89719.654335743195</v>
      </c>
      <c r="E59" s="15">
        <f>SUM(Jan!E59, Feb!E59, Mar!E59)</f>
        <v>79631.06</v>
      </c>
      <c r="F59" s="15">
        <f t="shared" si="6"/>
        <v>10088.594335743197</v>
      </c>
      <c r="G59" s="16">
        <f t="shared" si="7"/>
        <v>0.12669169964261681</v>
      </c>
      <c r="H59" s="17">
        <f>SUM(Jan!H59, Feb!H59, Mar!H59)</f>
        <v>103271.24</v>
      </c>
      <c r="I59" s="17">
        <f>SUM(Jan!I59, Feb!I59, Mar!I59)</f>
        <v>-13551.585664256803</v>
      </c>
      <c r="J59" s="16">
        <f t="shared" si="8"/>
        <v>-0.13122322985815607</v>
      </c>
      <c r="K59" s="39"/>
      <c r="L59" s="40"/>
    </row>
    <row r="60" spans="1:12" ht="15.75">
      <c r="A60" s="25" t="str">
        <v>Q490</v>
      </c>
      <c r="B60" s="26" t="str">
        <v>NY</v>
      </c>
      <c r="C60" s="26" t="str">
        <f>Sites[[#This Row],[SOL'#]]</f>
        <v>SOL-10411</v>
      </c>
      <c r="D60" s="21">
        <f>SUM(Jan!D60, Feb!D60, Mar!D60)</f>
        <v>68728.660312500098</v>
      </c>
      <c r="E60" s="11">
        <f>SUM(Jan!E60, Feb!E60, Mar!E60)</f>
        <v>0</v>
      </c>
      <c r="F60" s="11">
        <f t="shared" si="6"/>
        <v>68728.660312500098</v>
      </c>
      <c r="G60" s="12" t="str">
        <f t="shared" si="7"/>
        <v/>
      </c>
      <c r="H60" s="13">
        <f>SUM(Jan!H60, Feb!H60, Mar!H60)</f>
        <v>91074.73</v>
      </c>
      <c r="I60" s="13">
        <f>SUM(Jan!I60, Feb!I60, Mar!I60)</f>
        <v>-22346.069687499898</v>
      </c>
      <c r="J60" s="14">
        <f t="shared" si="8"/>
        <v>-0.2453597138031581</v>
      </c>
      <c r="K60" s="38"/>
      <c r="L60" s="38"/>
    </row>
    <row r="61" spans="1:12" ht="15.75">
      <c r="A61" s="27" t="str">
        <v>Q620</v>
      </c>
      <c r="B61" s="28" t="str">
        <v>NY</v>
      </c>
      <c r="C61" s="28" t="str">
        <f>Sites[[#This Row],[SOL'#]]</f>
        <v>SOL-10867</v>
      </c>
      <c r="D61" s="10">
        <f>SUM(Jan!D61, Feb!D61, Mar!D61)</f>
        <v>103122.625</v>
      </c>
      <c r="E61" s="15">
        <f>SUM(Jan!E61, Feb!E61, Mar!E61)</f>
        <v>126246.48000000001</v>
      </c>
      <c r="F61" s="15">
        <f t="shared" si="6"/>
        <v>-23123.85500000001</v>
      </c>
      <c r="G61" s="16">
        <f t="shared" si="7"/>
        <v>-0.18316435436457323</v>
      </c>
      <c r="H61" s="17">
        <f>SUM(Jan!H61, Feb!H61, Mar!H61)</f>
        <v>142146.81</v>
      </c>
      <c r="I61" s="17">
        <f>SUM(Jan!I61, Feb!I61, Mar!I61)</f>
        <v>-39024.184999999998</v>
      </c>
      <c r="J61" s="16">
        <f t="shared" si="8"/>
        <v>-0.27453437048640061</v>
      </c>
      <c r="K61" s="39"/>
      <c r="L61" s="40"/>
    </row>
    <row r="62" spans="1:12" ht="15.75">
      <c r="A62" s="25" t="str">
        <v>QMOA</v>
      </c>
      <c r="B62" s="26" t="str">
        <v>NY</v>
      </c>
      <c r="C62" s="26" t="str">
        <f>Sites[[#This Row],[SOL'#]]</f>
        <v>SOL-10415</v>
      </c>
      <c r="D62" s="21">
        <f>SUM(Jan!D62, Feb!D62, Mar!D62)</f>
        <v>9674.5999999999894</v>
      </c>
      <c r="E62" s="11">
        <f>SUM(Jan!E62, Feb!E62, Mar!E62)</f>
        <v>0</v>
      </c>
      <c r="F62" s="11">
        <f t="shared" si="6"/>
        <v>9674.5999999999894</v>
      </c>
      <c r="G62" s="12" t="str">
        <f t="shared" si="7"/>
        <v/>
      </c>
      <c r="H62" s="13">
        <f>SUM(Jan!H62, Feb!H62, Mar!H62)</f>
        <v>11837.222000000002</v>
      </c>
      <c r="I62" s="13">
        <f>SUM(Jan!I62, Feb!I62, Mar!I62)</f>
        <v>-2162.6220000000108</v>
      </c>
      <c r="J62" s="14">
        <f t="shared" si="8"/>
        <v>-0.18269675097755289</v>
      </c>
      <c r="K62" s="38"/>
      <c r="L62" s="38"/>
    </row>
    <row r="63" spans="1:12" ht="15.75">
      <c r="A63" s="27" t="str">
        <v>X024</v>
      </c>
      <c r="B63" s="28" t="str">
        <v>NY</v>
      </c>
      <c r="C63" s="28" t="str">
        <f>Sites[[#This Row],[SOL'#]]</f>
        <v>SOL-10419</v>
      </c>
      <c r="D63" s="10">
        <f>SUM(Jan!D63, Feb!D63, Mar!D63)</f>
        <v>38634.876000000004</v>
      </c>
      <c r="E63" s="15">
        <f>SUM(Jan!E63, Feb!E63, Mar!E63)</f>
        <v>0</v>
      </c>
      <c r="F63" s="15">
        <f t="shared" si="6"/>
        <v>38634.876000000004</v>
      </c>
      <c r="G63" s="16" t="str">
        <f t="shared" si="7"/>
        <v/>
      </c>
      <c r="H63" s="17">
        <f>SUM(Jan!H63, Feb!H63, Mar!H63)</f>
        <v>0</v>
      </c>
      <c r="I63" s="17">
        <f>SUM(Jan!I63, Feb!I63, Mar!I63)</f>
        <v>38634.876000000004</v>
      </c>
      <c r="J63" s="16" t="str">
        <f t="shared" si="8"/>
        <v/>
      </c>
      <c r="K63" s="39"/>
      <c r="L63" s="40"/>
    </row>
    <row r="64" spans="1:12" ht="15.75">
      <c r="A64" s="25" t="str">
        <v>X026</v>
      </c>
      <c r="B64" s="26" t="str">
        <v>NY</v>
      </c>
      <c r="C64" s="26" t="str">
        <f>Sites[[#This Row],[SOL'#]]</f>
        <v>SOL-10420</v>
      </c>
      <c r="D64" s="21">
        <f>SUM(Jan!D64, Feb!D64, Mar!D64)</f>
        <v>30231.200000000037</v>
      </c>
      <c r="E64" s="11">
        <f>SUM(Jan!E64, Feb!E64, Mar!E64)</f>
        <v>41023.509999999995</v>
      </c>
      <c r="F64" s="11">
        <f t="shared" si="6"/>
        <v>-10792.309999999958</v>
      </c>
      <c r="G64" s="12">
        <f t="shared" si="7"/>
        <v>-0.26307622141547515</v>
      </c>
      <c r="H64" s="13">
        <f>SUM(Jan!H64, Feb!H64, Mar!H64)</f>
        <v>53576.53</v>
      </c>
      <c r="I64" s="13">
        <f>SUM(Jan!I64, Feb!I64, Mar!I64)</f>
        <v>-23345.329999999962</v>
      </c>
      <c r="J64" s="14">
        <f t="shared" si="8"/>
        <v>-0.43573799945610442</v>
      </c>
      <c r="K64" s="38"/>
      <c r="L64" s="38"/>
    </row>
    <row r="65" spans="1:12" ht="15.75">
      <c r="A65" s="27" t="str">
        <v>X090</v>
      </c>
      <c r="B65" s="28" t="str">
        <v>NY</v>
      </c>
      <c r="C65" s="28" t="str">
        <f>Sites[[#This Row],[SOL'#]]</f>
        <v>SOL-10925</v>
      </c>
      <c r="D65" s="10">
        <f>SUM(Jan!D65, Feb!D65, Mar!D65)</f>
        <v>30633.6484375</v>
      </c>
      <c r="E65" s="15">
        <f>SUM(Jan!E65, Feb!E65, Mar!E65)</f>
        <v>27558.474000000002</v>
      </c>
      <c r="F65" s="15">
        <f t="shared" si="6"/>
        <v>3075.174437499998</v>
      </c>
      <c r="G65" s="16">
        <f t="shared" si="7"/>
        <v>0.11158725397857652</v>
      </c>
      <c r="H65" s="17">
        <f>SUM(Jan!H65, Feb!H65, Mar!H65)</f>
        <v>35328</v>
      </c>
      <c r="I65" s="17">
        <f>SUM(Jan!I65, Feb!I65, Mar!I65)</f>
        <v>-4694.3515624999991</v>
      </c>
      <c r="J65" s="16">
        <f t="shared" si="8"/>
        <v>-0.13287906370301175</v>
      </c>
      <c r="K65" s="39"/>
      <c r="L65" s="39"/>
    </row>
    <row r="66" spans="1:12" ht="15.75">
      <c r="A66" s="25" t="str">
        <v>X117</v>
      </c>
      <c r="B66" s="26" t="str">
        <v>NY</v>
      </c>
      <c r="C66" s="26" t="str">
        <f>Sites[[#This Row],[SOL'#]]</f>
        <v>SOL-10422</v>
      </c>
      <c r="D66" s="21">
        <f>SUM(Jan!D66, Feb!D66, Mar!D66)</f>
        <v>23648.800000000039</v>
      </c>
      <c r="E66" s="11">
        <f>SUM(Jan!E66, Feb!E66, Mar!E66)</f>
        <v>35151.578999999998</v>
      </c>
      <c r="F66" s="11">
        <f t="shared" si="6"/>
        <v>-11502.778999999959</v>
      </c>
      <c r="G66" s="12">
        <f t="shared" si="7"/>
        <v>-0.32723363579200693</v>
      </c>
      <c r="H66" s="13">
        <f>SUM(Jan!H66, Feb!H66, Mar!H66)</f>
        <v>59162.86</v>
      </c>
      <c r="I66" s="13">
        <f>SUM(Jan!I66, Feb!I66, Mar!I66)</f>
        <v>-35514.059999999961</v>
      </c>
      <c r="J66" s="14">
        <f t="shared" si="8"/>
        <v>-0.60027625439338061</v>
      </c>
      <c r="K66" s="38"/>
      <c r="L66" s="38"/>
    </row>
    <row r="67" spans="1:12" ht="15.75">
      <c r="A67" s="27" t="str">
        <v>X125</v>
      </c>
      <c r="B67" s="28" t="str">
        <v>NY</v>
      </c>
      <c r="C67" s="28" t="str">
        <f>Sites[[#This Row],[SOL'#]]</f>
        <v>SOL-10423</v>
      </c>
      <c r="D67" s="10">
        <f>SUM(Jan!D67, Feb!D67, Mar!D67)</f>
        <v>47490.21875</v>
      </c>
      <c r="E67" s="15">
        <f>SUM(Jan!E67, Feb!E67, Mar!E67)</f>
        <v>60381.86</v>
      </c>
      <c r="F67" s="15">
        <f t="shared" si="6"/>
        <v>-12891.641250000001</v>
      </c>
      <c r="G67" s="16">
        <f t="shared" si="7"/>
        <v>-0.21350189030281611</v>
      </c>
      <c r="H67" s="17">
        <f>SUM(Jan!H67, Feb!H67, Mar!H67)</f>
        <v>43137.520000000004</v>
      </c>
      <c r="I67" s="17">
        <f>SUM(Jan!I67, Feb!I67, Mar!I67)</f>
        <v>4352.6987499999996</v>
      </c>
      <c r="J67" s="16">
        <f t="shared" si="8"/>
        <v>0.10090285092884337</v>
      </c>
      <c r="K67" s="39"/>
      <c r="L67" s="40"/>
    </row>
    <row r="68" spans="1:12" ht="15.75">
      <c r="A68" s="25" t="str">
        <v>X134</v>
      </c>
      <c r="B68" s="26" t="str">
        <v>NY</v>
      </c>
      <c r="C68" s="26" t="str">
        <f>Sites[[#This Row],[SOL'#]]</f>
        <v>SOL-10424</v>
      </c>
      <c r="D68" s="21">
        <f>SUM(Jan!D68, Feb!D68, Mar!D68)</f>
        <v>44627.34375</v>
      </c>
      <c r="E68" s="11">
        <f>SUM(Jan!E68, Feb!E68, Mar!E68)</f>
        <v>0</v>
      </c>
      <c r="F68" s="11">
        <f t="shared" si="6"/>
        <v>44627.34375</v>
      </c>
      <c r="G68" s="12" t="str">
        <f t="shared" si="7"/>
        <v/>
      </c>
      <c r="H68" s="13">
        <f>SUM(Jan!H68, Feb!H68, Mar!H68)</f>
        <v>0</v>
      </c>
      <c r="I68" s="13">
        <f>SUM(Jan!I68, Feb!I68, Mar!I68)</f>
        <v>44627.34375</v>
      </c>
      <c r="J68" s="14" t="str">
        <f t="shared" si="8"/>
        <v/>
      </c>
      <c r="K68" s="38"/>
      <c r="L68" s="38"/>
    </row>
    <row r="69" spans="1:12" ht="15.75">
      <c r="A69" s="27" t="str">
        <v>X135</v>
      </c>
      <c r="B69" s="28" t="str">
        <v>NY</v>
      </c>
      <c r="C69" s="28" t="str">
        <f>Sites[[#This Row],[SOL'#]]</f>
        <v>SOL-10425</v>
      </c>
      <c r="D69" s="10">
        <f>SUM(Jan!D69, Feb!D69, Mar!D69)</f>
        <v>35026.578125</v>
      </c>
      <c r="E69" s="15">
        <f>SUM(Jan!E69, Feb!E69, Mar!E69)</f>
        <v>0</v>
      </c>
      <c r="F69" s="15">
        <f t="shared" si="6"/>
        <v>35026.578125</v>
      </c>
      <c r="G69" s="16" t="str">
        <f t="shared" si="7"/>
        <v/>
      </c>
      <c r="H69" s="17">
        <f>SUM(Jan!H69, Feb!H69, Mar!H69)</f>
        <v>0</v>
      </c>
      <c r="I69" s="17">
        <f>SUM(Jan!I69, Feb!I69, Mar!I69)</f>
        <v>35026.578125</v>
      </c>
      <c r="J69" s="16" t="str">
        <f t="shared" si="8"/>
        <v/>
      </c>
      <c r="K69" s="39"/>
      <c r="L69" s="40"/>
    </row>
    <row r="70" spans="1:12" ht="15.75">
      <c r="A70" s="25" t="str">
        <v>X139 JHS 222</v>
      </c>
      <c r="B70" s="26" t="str">
        <v>NY</v>
      </c>
      <c r="C70" s="26" t="str">
        <f>Sites[[#This Row],[SOL'#]]</f>
        <v>SOL-10426</v>
      </c>
      <c r="D70" s="21">
        <f>SUM(Jan!D70, Feb!D70, Mar!D70)</f>
        <v>57659.340530185567</v>
      </c>
      <c r="E70" s="11">
        <f>SUM(Jan!E70, Feb!E70, Mar!E70)</f>
        <v>67980.320000000007</v>
      </c>
      <c r="F70" s="11">
        <f t="shared" si="6"/>
        <v>-10320.97946981444</v>
      </c>
      <c r="G70" s="12">
        <f t="shared" si="7"/>
        <v>-0.15182304922681208</v>
      </c>
      <c r="H70" s="13">
        <f>SUM(Jan!H70, Feb!H70, Mar!H70)</f>
        <v>84940</v>
      </c>
      <c r="I70" s="13">
        <f>SUM(Jan!I70, Feb!I70, Mar!I70)</f>
        <v>-27280.659469814433</v>
      </c>
      <c r="J70" s="14">
        <f t="shared" si="8"/>
        <v>-0.32117564716051838</v>
      </c>
      <c r="K70" s="38"/>
      <c r="L70" s="38"/>
    </row>
    <row r="71" spans="1:12" ht="15.75">
      <c r="A71" s="27" t="str">
        <v>X140</v>
      </c>
      <c r="B71" s="28" t="str">
        <v>NY</v>
      </c>
      <c r="C71" s="28" t="str">
        <f>Sites[[#This Row],[SOL'#]]</f>
        <v>SOL-10926</v>
      </c>
      <c r="D71" s="10">
        <f>SUM(Jan!D71, Feb!D71, Mar!D71)</f>
        <v>31019.277999999998</v>
      </c>
      <c r="E71" s="15">
        <f>SUM(Jan!E71, Feb!E71, Mar!E71)</f>
        <v>32980.657999999996</v>
      </c>
      <c r="F71" s="15">
        <f t="shared" si="6"/>
        <v>-1961.3799999999974</v>
      </c>
      <c r="G71" s="16">
        <f t="shared" si="7"/>
        <v>-5.9470614564451615E-2</v>
      </c>
      <c r="H71" s="17">
        <f>SUM(Jan!H71, Feb!H71, Mar!H71)</f>
        <v>36841.069000000003</v>
      </c>
      <c r="I71" s="17">
        <f>SUM(Jan!I71, Feb!I71, Mar!I71)</f>
        <v>-5821.7909999999993</v>
      </c>
      <c r="J71" s="16">
        <f t="shared" si="8"/>
        <v>-0.15802448620586984</v>
      </c>
      <c r="K71" s="39"/>
      <c r="L71" s="40"/>
    </row>
    <row r="72" spans="1:12" ht="15.75">
      <c r="A72" s="25" t="str">
        <v>X166</v>
      </c>
      <c r="B72" s="26" t="str">
        <v>NY</v>
      </c>
      <c r="C72" s="26" t="str">
        <f>Sites[[#This Row],[SOL'#]]</f>
        <v>SOL-10427</v>
      </c>
      <c r="D72" s="21">
        <f>SUM(Jan!D72, Feb!D72, Mar!D72)</f>
        <v>34205.999999999971</v>
      </c>
      <c r="E72" s="11">
        <f>SUM(Jan!E72, Feb!E72, Mar!E72)</f>
        <v>40811.385999999999</v>
      </c>
      <c r="F72" s="11">
        <f t="shared" si="6"/>
        <v>-6605.3860000000277</v>
      </c>
      <c r="G72" s="12">
        <f t="shared" si="7"/>
        <v>-0.16185154799692489</v>
      </c>
      <c r="H72" s="13">
        <f>SUM(Jan!H72, Feb!H72, Mar!H72)</f>
        <v>0</v>
      </c>
      <c r="I72" s="13">
        <f>SUM(Jan!I72, Feb!I72, Mar!I72)</f>
        <v>34205.999999999971</v>
      </c>
      <c r="J72" s="14" t="str">
        <f t="shared" si="8"/>
        <v/>
      </c>
      <c r="K72" s="38"/>
      <c r="L72" s="38"/>
    </row>
    <row r="73" spans="1:12" ht="15.75">
      <c r="A73" s="27" t="str">
        <v>Murphy</v>
      </c>
      <c r="B73" s="28" t="str">
        <v>MN</v>
      </c>
      <c r="C73" s="28" t="str">
        <f>Sites[[#This Row],[SOL'#]]</f>
        <v>SOL-10094</v>
      </c>
      <c r="D73" s="10">
        <f>SUM(Jan!D73, Feb!D73, Mar!D73)</f>
        <v>1632440</v>
      </c>
      <c r="E73" s="15">
        <f>SUM(Jan!E73, Feb!E73, Mar!E73)</f>
        <v>1972653.5</v>
      </c>
      <c r="F73" s="15">
        <f t="shared" si="6"/>
        <v>-340213.5</v>
      </c>
      <c r="G73" s="16">
        <f t="shared" si="7"/>
        <v>-0.17246490577285875</v>
      </c>
      <c r="H73" s="17">
        <f>SUM(Jan!H73, Feb!H73, Mar!H73)</f>
        <v>2062650.4000000001</v>
      </c>
      <c r="I73" s="17">
        <f>SUM(Jan!I73, Feb!I73, Mar!I73)</f>
        <v>-430210.4</v>
      </c>
      <c r="J73" s="16">
        <f t="shared" si="8"/>
        <v>-0.20857165130843308</v>
      </c>
      <c r="K73" s="39"/>
      <c r="L73" s="40"/>
    </row>
    <row r="74" spans="1:12" ht="15.75">
      <c r="A74" s="25" t="str">
        <v>Terning</v>
      </c>
      <c r="B74" s="26" t="str">
        <v>MN</v>
      </c>
      <c r="C74" s="26" t="str">
        <f>Sites[[#This Row],[SOL'#]]</f>
        <v>SOL-10093</v>
      </c>
      <c r="D74" s="21">
        <f>SUM(Jan!D74, Feb!D74, Mar!D74)</f>
        <v>1735594</v>
      </c>
      <c r="E74" s="11">
        <f>SUM(Jan!E74, Feb!E74, Mar!E74)</f>
        <v>2080164.3</v>
      </c>
      <c r="F74" s="11">
        <f t="shared" si="6"/>
        <v>-344570.30000000005</v>
      </c>
      <c r="G74" s="12">
        <f t="shared" si="7"/>
        <v>-0.16564571365829134</v>
      </c>
      <c r="H74" s="13">
        <f>SUM(Jan!H74, Feb!H74, Mar!H74)</f>
        <v>1957114.3</v>
      </c>
      <c r="I74" s="13">
        <f>SUM(Jan!I74, Feb!I74, Mar!I74)</f>
        <v>-221520.3</v>
      </c>
      <c r="J74" s="14">
        <f t="shared" si="8"/>
        <v>-0.11318720628631654</v>
      </c>
      <c r="K74" s="38"/>
      <c r="L74" s="38"/>
    </row>
    <row r="75" spans="1:12" ht="15.75">
      <c r="A75" s="27" t="str">
        <v>Boas Road 04</v>
      </c>
      <c r="B75" s="28" t="str">
        <v>NY</v>
      </c>
      <c r="C75" s="28" t="str">
        <f>Sites[[#This Row],[SOL'#]]</f>
        <v>SOL-10908</v>
      </c>
      <c r="D75" s="10">
        <f>SUM(Jan!D75, Feb!D75, Mar!D75)</f>
        <v>494814</v>
      </c>
      <c r="E75" s="15">
        <f>SUM(Jan!E75, Feb!E75, Mar!E75)</f>
        <v>584293.79</v>
      </c>
      <c r="F75" s="15">
        <f t="shared" si="6"/>
        <v>-89479.790000000037</v>
      </c>
      <c r="G75" s="16">
        <f t="shared" si="7"/>
        <v>-0.15314177821400435</v>
      </c>
      <c r="H75" s="17">
        <f>SUM(Jan!H75, Feb!H75, Mar!H75)</f>
        <v>739603.56</v>
      </c>
      <c r="I75" s="17">
        <f>SUM(Jan!I75, Feb!I75, Mar!I75)</f>
        <v>-244789.56</v>
      </c>
      <c r="J75" s="16">
        <f t="shared" si="8"/>
        <v>-0.33097401532247894</v>
      </c>
      <c r="K75" s="39"/>
      <c r="L75" s="40"/>
    </row>
    <row r="76" spans="1:12" ht="15.75">
      <c r="A76" s="25" t="str">
        <v>Kelly Bridge Farm</v>
      </c>
      <c r="B76" s="26" t="str">
        <v>NY</v>
      </c>
      <c r="C76" s="26" t="str">
        <f>Sites[[#This Row],[SOL'#]]</f>
        <v>SOL-10911</v>
      </c>
      <c r="D76" s="21">
        <f>SUM(Jan!D76, Feb!D76, Mar!D76)</f>
        <v>558467</v>
      </c>
      <c r="E76" s="11">
        <f>SUM(Jan!E76, Feb!E76, Mar!E76)</f>
        <v>575148.26</v>
      </c>
      <c r="F76" s="11">
        <f t="shared" si="6"/>
        <v>-16681.260000000009</v>
      </c>
      <c r="G76" s="12">
        <f t="shared" si="7"/>
        <v>-2.9003408616762587E-2</v>
      </c>
      <c r="H76" s="13">
        <f>SUM(Jan!H76, Feb!H76, Mar!H76)</f>
        <v>749376.96</v>
      </c>
      <c r="I76" s="13">
        <f>SUM(Jan!I76, Feb!I76, Mar!I76)</f>
        <v>-190909.96000000002</v>
      </c>
      <c r="J76" s="14">
        <f t="shared" si="8"/>
        <v>-0.25475824610353648</v>
      </c>
      <c r="K76" s="38"/>
      <c r="L76" s="38"/>
    </row>
    <row r="77" spans="1:12" ht="15.75">
      <c r="A77" s="27" t="str">
        <v>Pool Brook Road</v>
      </c>
      <c r="B77" s="28" t="str">
        <v>NY</v>
      </c>
      <c r="C77" s="28" t="str">
        <f>Sites[[#This Row],[SOL'#]]</f>
        <v>SOL-10909</v>
      </c>
      <c r="D77" s="10">
        <f>SUM(Jan!D77, Feb!D77, Mar!D77)</f>
        <v>486761</v>
      </c>
      <c r="E77" s="15">
        <f>SUM(Jan!E77, Feb!E77, Mar!E77)</f>
        <v>499911.67</v>
      </c>
      <c r="F77" s="15">
        <f t="shared" si="6"/>
        <v>-13150.669999999984</v>
      </c>
      <c r="G77" s="16">
        <f t="shared" si="7"/>
        <v>-2.6305987215701494E-2</v>
      </c>
      <c r="H77" s="17">
        <f>SUM(Jan!H77, Feb!H77, Mar!H77)</f>
        <v>645779.92999999993</v>
      </c>
      <c r="I77" s="17">
        <f>SUM(Jan!I77, Feb!I77, Mar!I77)</f>
        <v>-159018.93</v>
      </c>
      <c r="J77" s="16">
        <f t="shared" si="8"/>
        <v>-0.24624322096848072</v>
      </c>
      <c r="K77" s="39"/>
      <c r="L77" s="39"/>
    </row>
    <row r="78" spans="1:12" ht="15.75">
      <c r="A78" s="25" t="str">
        <v>Sackett Lake</v>
      </c>
      <c r="B78" s="26" t="str">
        <v>NY</v>
      </c>
      <c r="C78" s="26" t="str">
        <f>Sites[[#This Row],[SOL'#]]</f>
        <v>SOL-10910</v>
      </c>
      <c r="D78" s="21">
        <f>SUM(Jan!D78, Feb!D78, Mar!D78)</f>
        <v>597618</v>
      </c>
      <c r="E78" s="11">
        <f>SUM(Jan!E78, Feb!E78, Mar!E78)</f>
        <v>597034.67000000004</v>
      </c>
      <c r="F78" s="11">
        <f t="shared" si="6"/>
        <v>583.32999999995809</v>
      </c>
      <c r="G78" s="12">
        <f t="shared" si="7"/>
        <v>9.77045436908979E-4</v>
      </c>
      <c r="H78" s="13">
        <f>SUM(Jan!H78, Feb!H78, Mar!H78)</f>
        <v>754908.37</v>
      </c>
      <c r="I78" s="13">
        <f>SUM(Jan!I78, Feb!I78, Mar!I78)</f>
        <v>-157290.37</v>
      </c>
      <c r="J78" s="14">
        <f t="shared" si="8"/>
        <v>-0.20835690297088638</v>
      </c>
      <c r="K78" s="38"/>
      <c r="L78" s="38"/>
    </row>
    <row r="79" spans="1:12" ht="15.75">
      <c r="A79" s="27" t="str">
        <v>Burritt Road</v>
      </c>
      <c r="B79" s="28" t="str">
        <v>NY</v>
      </c>
      <c r="C79" s="28" t="str">
        <f>Sites[[#This Row],[SOL'#]]</f>
        <v>SOL-10913</v>
      </c>
      <c r="D79" s="10">
        <f>SUM(Jan!D79, Feb!D79, Mar!D79)</f>
        <v>551570</v>
      </c>
      <c r="E79" s="15">
        <f>SUM(Jan!E79, Feb!E79, Mar!E79)</f>
        <v>563219.43999999994</v>
      </c>
      <c r="F79" s="15">
        <f t="shared" si="6"/>
        <v>-11649.439999999944</v>
      </c>
      <c r="G79" s="16">
        <f t="shared" si="7"/>
        <v>-2.0683661061130891E-2</v>
      </c>
      <c r="H79" s="17">
        <f>SUM(Jan!H79, Feb!H79, Mar!H79)</f>
        <v>548857.69999999995</v>
      </c>
      <c r="I79" s="17">
        <f>SUM(Jan!I79, Feb!I79, Mar!I79)</f>
        <v>2712.3000000000175</v>
      </c>
      <c r="J79" s="16">
        <f t="shared" si="8"/>
        <v>4.9417180445860878E-3</v>
      </c>
      <c r="K79" s="39"/>
      <c r="L79" s="40"/>
    </row>
    <row r="80" spans="1:12" ht="15.75">
      <c r="A80" s="25" t="str">
        <v>Villa Roma 1</v>
      </c>
      <c r="B80" s="26" t="str">
        <v>NY</v>
      </c>
      <c r="C80" s="26" t="str">
        <f>Sites[[#This Row],[SOL'#]]</f>
        <v>SOL-10914</v>
      </c>
      <c r="D80" s="21">
        <f>SUM(Jan!D80, Feb!D80, Mar!D80)</f>
        <v>487440</v>
      </c>
      <c r="E80" s="11">
        <f>SUM(Jan!E80, Feb!E80, Mar!E80)</f>
        <v>261798.13</v>
      </c>
      <c r="F80" s="11">
        <f t="shared" si="6"/>
        <v>225641.87</v>
      </c>
      <c r="G80" s="12">
        <f t="shared" si="7"/>
        <v>0.86189259640624627</v>
      </c>
      <c r="H80" s="13">
        <f>SUM(Jan!H80, Feb!H80, Mar!H80)</f>
        <v>502759.05000000005</v>
      </c>
      <c r="I80" s="13">
        <f>SUM(Jan!I80, Feb!I80, Mar!I80)</f>
        <v>-15319.049999999988</v>
      </c>
      <c r="J80" s="14">
        <f t="shared" si="8"/>
        <v>-3.0469963693343732E-2</v>
      </c>
      <c r="K80" s="38"/>
      <c r="L80" s="38"/>
    </row>
    <row r="81" spans="1:12" ht="15.75">
      <c r="A81" s="27" t="str">
        <v>Villa Roma 2</v>
      </c>
      <c r="B81" s="28" t="str">
        <v>NY</v>
      </c>
      <c r="C81" s="28" t="str">
        <f>Sites[[#This Row],[SOL'#]]</f>
        <v>SOL-10915</v>
      </c>
      <c r="D81" s="10">
        <f>SUM(Jan!D81, Feb!D81, Mar!D81)</f>
        <v>510400</v>
      </c>
      <c r="E81" s="15">
        <f>SUM(Jan!E81, Feb!E81, Mar!E81)</f>
        <v>611163.64</v>
      </c>
      <c r="F81" s="15">
        <f t="shared" si="6"/>
        <v>-100763.64000000001</v>
      </c>
      <c r="G81" s="16">
        <f t="shared" si="7"/>
        <v>-0.16487178458456725</v>
      </c>
      <c r="H81" s="17">
        <f>SUM(Jan!H81, Feb!H81, Mar!H81)</f>
        <v>487501.11</v>
      </c>
      <c r="I81" s="17">
        <f>SUM(Jan!I81, Feb!I81, Mar!I81)</f>
        <v>22898.889999999985</v>
      </c>
      <c r="J81" s="16">
        <f t="shared" si="8"/>
        <v>4.6971975099707949E-2</v>
      </c>
      <c r="K81" s="39"/>
      <c r="L81" s="40"/>
    </row>
    <row r="82" spans="1:12" ht="15.75">
      <c r="A82" s="25" t="str">
        <v>Washington 1</v>
      </c>
      <c r="B82" s="26" t="str">
        <v>NY</v>
      </c>
      <c r="C82" s="26" t="str">
        <f>Sites[[#This Row],[SOL'#]]</f>
        <v>SOL-10912</v>
      </c>
      <c r="D82" s="21">
        <f>SUM(Jan!D82, Feb!D82, Mar!D82)</f>
        <v>540070</v>
      </c>
      <c r="E82" s="11">
        <f>SUM(Jan!E82, Feb!E82, Mar!E82)</f>
        <v>662416.75</v>
      </c>
      <c r="F82" s="11">
        <f t="shared" ref="F82:F145" si="9">IF(AND(ISNUMBER(D82),ISNUMBER(E82)), D82-E82, "")</f>
        <v>-122346.75</v>
      </c>
      <c r="G82" s="12">
        <f t="shared" ref="G82:G145" si="10">IFERROR(F82/E82, "")</f>
        <v>-0.18469754878631919</v>
      </c>
      <c r="H82" s="13">
        <f>SUM(Jan!H82, Feb!H82, Mar!H82)</f>
        <v>538915.94999999995</v>
      </c>
      <c r="I82" s="13">
        <f>SUM(Jan!I82, Feb!I82, Mar!I82)</f>
        <v>1154.0500000000029</v>
      </c>
      <c r="J82" s="14">
        <f t="shared" ref="J82:J145" si="11">IFERROR(I82/H82, "")</f>
        <v>2.1414285474386182E-3</v>
      </c>
      <c r="K82" s="38"/>
      <c r="L82" s="38"/>
    </row>
    <row r="83" spans="1:12" ht="15.75">
      <c r="A83" s="27" t="str">
        <v>Washington 3</v>
      </c>
      <c r="B83" s="28" t="str">
        <v>NY</v>
      </c>
      <c r="C83" s="28" t="str">
        <f>Sites[[#This Row],[SOL'#]]</f>
        <v>SOL-10828</v>
      </c>
      <c r="D83" s="10">
        <f>SUM(Jan!D83, Feb!D83, Mar!D83)</f>
        <v>515380</v>
      </c>
      <c r="E83" s="15">
        <f>SUM(Jan!E83, Feb!E83, Mar!E83)</f>
        <v>672395.84</v>
      </c>
      <c r="F83" s="15">
        <f t="shared" si="9"/>
        <v>-157015.83999999997</v>
      </c>
      <c r="G83" s="16">
        <f t="shared" si="10"/>
        <v>-0.23351697119363496</v>
      </c>
      <c r="H83" s="17">
        <f>SUM(Jan!H83, Feb!H83, Mar!H83)</f>
        <v>656728.39</v>
      </c>
      <c r="I83" s="17">
        <f>SUM(Jan!I83, Feb!I83, Mar!I83)</f>
        <v>-141348.39000000001</v>
      </c>
      <c r="J83" s="16">
        <f t="shared" si="11"/>
        <v>-0.21523112469677153</v>
      </c>
      <c r="K83" s="39"/>
      <c r="L83" s="40"/>
    </row>
    <row r="84" spans="1:12" ht="15.75">
      <c r="A84" s="25" t="str">
        <v>Washington 4</v>
      </c>
      <c r="B84" s="26" t="str">
        <v>NY</v>
      </c>
      <c r="C84" s="26" t="str">
        <f>Sites[[#This Row],[SOL'#]]</f>
        <v>SOL-10829</v>
      </c>
      <c r="D84" s="21">
        <f>SUM(Jan!D84, Feb!D84, Mar!D84)</f>
        <v>662420</v>
      </c>
      <c r="E84" s="11">
        <f>SUM(Jan!E84, Feb!E84, Mar!E84)</f>
        <v>0</v>
      </c>
      <c r="F84" s="11">
        <f t="shared" si="9"/>
        <v>662420</v>
      </c>
      <c r="G84" s="12" t="str">
        <f t="shared" si="10"/>
        <v/>
      </c>
      <c r="H84" s="13">
        <f>SUM(Jan!H84, Feb!H84, Mar!H84)</f>
        <v>658801.46</v>
      </c>
      <c r="I84" s="13">
        <f>SUM(Jan!I84, Feb!I84, Mar!I84)</f>
        <v>3618.5400000000081</v>
      </c>
      <c r="J84" s="14">
        <f t="shared" si="11"/>
        <v>5.49261077836714E-3</v>
      </c>
      <c r="K84" s="38"/>
      <c r="L84" s="38"/>
    </row>
    <row r="85" spans="1:12" ht="15.75">
      <c r="A85" s="27" t="str">
        <v>Big Tree</v>
      </c>
      <c r="B85" s="28" t="str">
        <v>NY</v>
      </c>
      <c r="C85" s="28" t="str">
        <f>Sites[[#This Row],[SOL'#]]</f>
        <v>SOL-10966</v>
      </c>
      <c r="D85" s="10">
        <f>SUM(Jan!D85, Feb!D85, Mar!D85)</f>
        <v>473991</v>
      </c>
      <c r="E85" s="15">
        <f>SUM(Jan!E85, Feb!E85, Mar!E85)</f>
        <v>0</v>
      </c>
      <c r="F85" s="15">
        <f t="shared" si="9"/>
        <v>473991</v>
      </c>
      <c r="G85" s="16" t="str">
        <f t="shared" si="10"/>
        <v/>
      </c>
      <c r="H85" s="17">
        <f>SUM(Jan!H85, Feb!H85, Mar!H85)</f>
        <v>316787</v>
      </c>
      <c r="I85" s="17">
        <f>SUM(Jan!I85, Feb!I85, Mar!I85)</f>
        <v>157204</v>
      </c>
      <c r="J85" s="16">
        <f t="shared" si="11"/>
        <v>0.49624511106832037</v>
      </c>
      <c r="K85" s="39"/>
      <c r="L85" s="40"/>
    </row>
    <row r="86" spans="1:12" ht="15.75">
      <c r="A86" s="25" t="str">
        <v>Canoga</v>
      </c>
      <c r="B86" s="26" t="str">
        <v>NY</v>
      </c>
      <c r="C86" s="26" t="str">
        <f>Sites[[#This Row],[SOL'#]]</f>
        <v>SOL-10965</v>
      </c>
      <c r="D86" s="21">
        <f>SUM(Jan!D86, Feb!D86, Mar!D86)</f>
        <v>1516743</v>
      </c>
      <c r="E86" s="11">
        <f>SUM(Jan!E86, Feb!E86, Mar!E86)</f>
        <v>0</v>
      </c>
      <c r="F86" s="11">
        <f t="shared" si="9"/>
        <v>1516743</v>
      </c>
      <c r="G86" s="12" t="str">
        <f t="shared" si="10"/>
        <v/>
      </c>
      <c r="H86" s="13">
        <f>SUM(Jan!H86, Feb!H86, Mar!H86)</f>
        <v>898049</v>
      </c>
      <c r="I86" s="13">
        <f>SUM(Jan!I86, Feb!I86, Mar!I86)</f>
        <v>618694</v>
      </c>
      <c r="J86" s="14">
        <f t="shared" si="11"/>
        <v>0.68893122758335013</v>
      </c>
      <c r="K86" s="38"/>
      <c r="L86" s="38"/>
    </row>
    <row r="87" spans="1:12" ht="15.75">
      <c r="A87" s="27" t="str">
        <v>County Route 84</v>
      </c>
      <c r="B87" s="28" t="str">
        <v>NY</v>
      </c>
      <c r="C87" s="28" t="str">
        <f>Sites[[#This Row],[SOL'#]]</f>
        <v>SOL-10967</v>
      </c>
      <c r="D87" s="10">
        <f>SUM(Jan!D87, Feb!D87, Mar!D87)</f>
        <v>1546079</v>
      </c>
      <c r="E87" s="15">
        <f>SUM(Jan!E87, Feb!E87, Mar!E87)</f>
        <v>0</v>
      </c>
      <c r="F87" s="15">
        <f t="shared" si="9"/>
        <v>1546079</v>
      </c>
      <c r="G87" s="16" t="str">
        <f t="shared" si="10"/>
        <v/>
      </c>
      <c r="H87" s="17">
        <f>SUM(Jan!H87, Feb!H87, Mar!H87)</f>
        <v>1107070</v>
      </c>
      <c r="I87" s="17">
        <f>SUM(Jan!I87, Feb!I87, Mar!I87)</f>
        <v>439009</v>
      </c>
      <c r="J87" s="16">
        <f t="shared" si="11"/>
        <v>0.39655035363617475</v>
      </c>
      <c r="K87" s="39"/>
      <c r="L87" s="40"/>
    </row>
    <row r="88" spans="1:12" ht="15.75">
      <c r="A88" s="25" t="str">
        <v>Donati</v>
      </c>
      <c r="B88" s="26" t="str">
        <v>NY</v>
      </c>
      <c r="C88" s="26" t="str">
        <f>Sites[[#This Row],[SOL'#]]</f>
        <v>SOL-10968</v>
      </c>
      <c r="D88" s="21">
        <f>SUM(Jan!D88, Feb!D88, Mar!D88)</f>
        <v>628993</v>
      </c>
      <c r="E88" s="11">
        <f>SUM(Jan!E88, Feb!E88, Mar!E88)</f>
        <v>0</v>
      </c>
      <c r="F88" s="11">
        <f t="shared" si="9"/>
        <v>628993</v>
      </c>
      <c r="G88" s="12" t="str">
        <f t="shared" si="10"/>
        <v/>
      </c>
      <c r="H88" s="13">
        <f>SUM(Jan!H88, Feb!H88, Mar!H88)</f>
        <v>353431</v>
      </c>
      <c r="I88" s="13">
        <f>SUM(Jan!I88, Feb!I88, Mar!I88)</f>
        <v>275562</v>
      </c>
      <c r="J88" s="14">
        <f t="shared" si="11"/>
        <v>0.77967693835571861</v>
      </c>
      <c r="K88" s="38"/>
      <c r="L88" s="38"/>
    </row>
    <row r="89" spans="1:12" ht="15.75">
      <c r="A89" s="27" t="str">
        <v>Henrietta</v>
      </c>
      <c r="B89" s="28" t="str">
        <v>NY</v>
      </c>
      <c r="C89" s="28" t="str">
        <f>Sites[[#This Row],[SOL'#]]</f>
        <v>SOL-10972</v>
      </c>
      <c r="D89" s="10">
        <f>SUM(Jan!D89, Feb!D89, Mar!D89)</f>
        <v>1355444</v>
      </c>
      <c r="E89" s="15">
        <f>SUM(Jan!E89, Feb!E89, Mar!E89)</f>
        <v>0</v>
      </c>
      <c r="F89" s="15">
        <f t="shared" si="9"/>
        <v>1355444</v>
      </c>
      <c r="G89" s="16" t="str">
        <f t="shared" si="10"/>
        <v/>
      </c>
      <c r="H89" s="17">
        <f>SUM(Jan!H89, Feb!H89, Mar!H89)</f>
        <v>680573</v>
      </c>
      <c r="I89" s="17">
        <f>SUM(Jan!I89, Feb!I89, Mar!I89)</f>
        <v>674871</v>
      </c>
      <c r="J89" s="16">
        <f t="shared" si="11"/>
        <v>0.9916217657767793</v>
      </c>
      <c r="K89" s="39"/>
      <c r="L89" s="39"/>
    </row>
    <row r="90" spans="1:12" ht="15.75">
      <c r="A90" s="25" t="str">
        <v>NY 70</v>
      </c>
      <c r="B90" s="26" t="str">
        <v>NY</v>
      </c>
      <c r="C90" s="26" t="str">
        <f>Sites[[#This Row],[SOL'#]]</f>
        <v>SOL-10970</v>
      </c>
      <c r="D90" s="21">
        <f>SUM(Jan!D90, Feb!D90, Mar!D90)</f>
        <v>1485125</v>
      </c>
      <c r="E90" s="11">
        <f>SUM(Jan!E90, Feb!E90, Mar!E90)</f>
        <v>0</v>
      </c>
      <c r="F90" s="11">
        <f t="shared" si="9"/>
        <v>1485125</v>
      </c>
      <c r="G90" s="12" t="str">
        <f t="shared" si="10"/>
        <v/>
      </c>
      <c r="H90" s="13">
        <f>SUM(Jan!H90, Feb!H90, Mar!H90)</f>
        <v>1087372</v>
      </c>
      <c r="I90" s="13">
        <f>SUM(Jan!I90, Feb!I90, Mar!I90)</f>
        <v>397753</v>
      </c>
      <c r="J90" s="14">
        <f t="shared" si="11"/>
        <v>0.36579293930687934</v>
      </c>
      <c r="K90" s="38"/>
      <c r="L90" s="38"/>
    </row>
    <row r="91" spans="1:12" ht="15.75">
      <c r="A91" s="27" t="str">
        <v>Reid</v>
      </c>
      <c r="B91" s="28" t="str">
        <v>NY</v>
      </c>
      <c r="C91" s="28" t="str">
        <f>Sites[[#This Row],[SOL'#]]</f>
        <v>SOL-10991</v>
      </c>
      <c r="D91" s="10">
        <f>SUM(Jan!D91, Feb!D91, Mar!D91)</f>
        <v>1247680.8498402531</v>
      </c>
      <c r="E91" s="15">
        <f>SUM(Jan!E91, Feb!E91, Mar!E91)</f>
        <v>1326149.3</v>
      </c>
      <c r="F91" s="15">
        <f t="shared" si="9"/>
        <v>-78468.450159746921</v>
      </c>
      <c r="G91" s="16">
        <f t="shared" si="10"/>
        <v>-5.9170147855710453E-2</v>
      </c>
      <c r="H91" s="17">
        <f>SUM(Jan!H91, Feb!H91, Mar!H91)</f>
        <v>1569672</v>
      </c>
      <c r="I91" s="17">
        <f>SUM(Jan!I91, Feb!I91, Mar!I91)</f>
        <v>-321991.15015974699</v>
      </c>
      <c r="J91" s="16">
        <f t="shared" si="11"/>
        <v>-0.20513276032174046</v>
      </c>
      <c r="K91" s="39"/>
      <c r="L91" s="40"/>
    </row>
    <row r="92" spans="1:12" ht="15.75">
      <c r="A92" s="25" t="str">
        <v>Sangolqui</v>
      </c>
      <c r="B92" s="26" t="str">
        <v>NY</v>
      </c>
      <c r="C92" s="26" t="str">
        <f>Sites[[#This Row],[SOL'#]]</f>
        <v>SOL-10975</v>
      </c>
      <c r="D92" s="21">
        <f>SUM(Jan!D92, Feb!D92, Mar!D92)</f>
        <v>602093</v>
      </c>
      <c r="E92" s="11">
        <f>SUM(Jan!E92, Feb!E92, Mar!E92)</f>
        <v>0</v>
      </c>
      <c r="F92" s="11">
        <f t="shared" si="9"/>
        <v>602093</v>
      </c>
      <c r="G92" s="12" t="str">
        <f t="shared" si="10"/>
        <v/>
      </c>
      <c r="H92" s="13">
        <f>SUM(Jan!H92, Feb!H92, Mar!H92)</f>
        <v>344668</v>
      </c>
      <c r="I92" s="13">
        <f>SUM(Jan!I92, Feb!I92, Mar!I92)</f>
        <v>257425</v>
      </c>
      <c r="J92" s="14">
        <f t="shared" si="11"/>
        <v>0.74687815521023126</v>
      </c>
      <c r="K92" s="38"/>
      <c r="L92" s="38"/>
    </row>
    <row r="93" spans="1:12" ht="15.75">
      <c r="A93" s="27" t="str">
        <v>State Highway 17B</v>
      </c>
      <c r="B93" s="28" t="str">
        <v>NY</v>
      </c>
      <c r="C93" s="28" t="str">
        <f>Sites[[#This Row],[SOL'#]]</f>
        <v>SOL-10988</v>
      </c>
      <c r="D93" s="10">
        <f>SUM(Jan!D93, Feb!D93, Mar!D93)</f>
        <v>1377802</v>
      </c>
      <c r="E93" s="15">
        <f>SUM(Jan!E93, Feb!E93, Mar!E93)</f>
        <v>0</v>
      </c>
      <c r="F93" s="15">
        <f t="shared" si="9"/>
        <v>1377802</v>
      </c>
      <c r="G93" s="16" t="str">
        <f t="shared" si="10"/>
        <v/>
      </c>
      <c r="H93" s="17">
        <f>SUM(Jan!H93, Feb!H93, Mar!H93)</f>
        <v>950364.16999999993</v>
      </c>
      <c r="I93" s="17">
        <f>SUM(Jan!I93, Feb!I93, Mar!I93)</f>
        <v>427437.83</v>
      </c>
      <c r="J93" s="16">
        <f t="shared" si="11"/>
        <v>0.44976214749341831</v>
      </c>
      <c r="K93" s="39"/>
      <c r="L93" s="40"/>
    </row>
    <row r="94" spans="1:12" ht="15.75">
      <c r="A94" s="25" t="str">
        <v>State Route 14A</v>
      </c>
      <c r="B94" s="26" t="str">
        <v>NY</v>
      </c>
      <c r="C94" s="26" t="str">
        <f>Sites[[#This Row],[SOL'#]]</f>
        <v>SOL-10997</v>
      </c>
      <c r="D94" s="21">
        <f>SUM(Jan!D94, Feb!D94, Mar!D94)</f>
        <v>1534328</v>
      </c>
      <c r="E94" s="11">
        <f>SUM(Jan!E94, Feb!E94, Mar!E94)</f>
        <v>0</v>
      </c>
      <c r="F94" s="11">
        <f t="shared" si="9"/>
        <v>1534328</v>
      </c>
      <c r="G94" s="12" t="str">
        <f t="shared" si="10"/>
        <v/>
      </c>
      <c r="H94" s="13">
        <f>SUM(Jan!H94, Feb!H94, Mar!H94)</f>
        <v>1020343</v>
      </c>
      <c r="I94" s="13">
        <f>SUM(Jan!I94, Feb!I94, Mar!I94)</f>
        <v>513985</v>
      </c>
      <c r="J94" s="14">
        <f t="shared" si="11"/>
        <v>0.50373746867474956</v>
      </c>
      <c r="K94" s="38"/>
      <c r="L94" s="38"/>
    </row>
    <row r="95" spans="1:12" ht="15.75">
      <c r="A95" s="27" t="str">
        <v>West Creek</v>
      </c>
      <c r="B95" s="28" t="str">
        <v>NY</v>
      </c>
      <c r="C95" s="28" t="str">
        <f>Sites[[#This Row],[SOL'#]]</f>
        <v>SOL-10995</v>
      </c>
      <c r="D95" s="10">
        <f>SUM(Jan!D95, Feb!D95, Mar!D95)</f>
        <v>1501233</v>
      </c>
      <c r="E95" s="15">
        <f>SUM(Jan!E95, Feb!E95, Mar!E95)</f>
        <v>0</v>
      </c>
      <c r="F95" s="15">
        <f t="shared" si="9"/>
        <v>1501233</v>
      </c>
      <c r="G95" s="16" t="str">
        <f t="shared" si="10"/>
        <v/>
      </c>
      <c r="H95" s="17">
        <f>SUM(Jan!H95, Feb!H95, Mar!H95)</f>
        <v>876014.45</v>
      </c>
      <c r="I95" s="17">
        <f>SUM(Jan!I95, Feb!I95, Mar!I95)</f>
        <v>625218.55000000005</v>
      </c>
      <c r="J95" s="16">
        <f t="shared" si="11"/>
        <v>0.71370803301246921</v>
      </c>
      <c r="K95" s="39"/>
      <c r="L95" s="40"/>
    </row>
    <row r="96" spans="1:12" ht="15.75">
      <c r="A96" s="25" t="str">
        <v>Wildflower</v>
      </c>
      <c r="B96" s="26" t="str">
        <v>NY</v>
      </c>
      <c r="C96" s="26" t="str">
        <f>Sites[[#This Row],[SOL'#]]</f>
        <v>SOL-10982</v>
      </c>
      <c r="D96" s="21">
        <f>SUM(Jan!D96, Feb!D96, Mar!D96)</f>
        <v>1341726</v>
      </c>
      <c r="E96" s="11">
        <f>SUM(Jan!E96, Feb!E96, Mar!E96)</f>
        <v>0</v>
      </c>
      <c r="F96" s="11">
        <f t="shared" si="9"/>
        <v>1341726</v>
      </c>
      <c r="G96" s="12" t="str">
        <f t="shared" si="10"/>
        <v/>
      </c>
      <c r="H96" s="13">
        <f>SUM(Jan!H96, Feb!H96, Mar!H96)</f>
        <v>1194494.27</v>
      </c>
      <c r="I96" s="13">
        <f>SUM(Jan!I96, Feb!I96, Mar!I96)</f>
        <v>147231.72999999998</v>
      </c>
      <c r="J96" s="14">
        <f t="shared" si="11"/>
        <v>0.12325863229130432</v>
      </c>
      <c r="K96" s="38"/>
      <c r="L96" s="38"/>
    </row>
    <row r="97" spans="1:12" ht="15.75">
      <c r="A97" s="27" t="str">
        <v>Glen Mary 1</v>
      </c>
      <c r="B97" s="28" t="str">
        <v>NY</v>
      </c>
      <c r="C97" s="28" t="str">
        <f>Sites[[#This Row],[SOL'#]]</f>
        <v>SOL-10993</v>
      </c>
      <c r="D97" s="10">
        <f>SUM(Jan!D97, Feb!D97, Mar!D97)</f>
        <v>1313134</v>
      </c>
      <c r="E97" s="15">
        <f>SUM(Jan!E97, Feb!E97, Mar!E97)</f>
        <v>0</v>
      </c>
      <c r="F97" s="15">
        <f t="shared" si="9"/>
        <v>1313134</v>
      </c>
      <c r="G97" s="16" t="str">
        <f t="shared" si="10"/>
        <v/>
      </c>
      <c r="H97" s="17">
        <f>SUM(Jan!H97, Feb!H97, Mar!H97)</f>
        <v>754916</v>
      </c>
      <c r="I97" s="17">
        <f>SUM(Jan!I97, Feb!I97, Mar!I97)</f>
        <v>558218</v>
      </c>
      <c r="J97" s="16">
        <f t="shared" si="11"/>
        <v>0.73944385865447282</v>
      </c>
      <c r="K97" s="39"/>
      <c r="L97" s="40"/>
    </row>
    <row r="98" spans="1:12" ht="15.75">
      <c r="A98" s="25" t="str">
        <v>Glen Mary 2</v>
      </c>
      <c r="B98" s="26" t="str">
        <v>NY</v>
      </c>
      <c r="C98" s="26" t="str">
        <f>Sites[[#This Row],[SOL'#]]</f>
        <v>SOL-10994</v>
      </c>
      <c r="D98" s="21">
        <f>SUM(Jan!D98, Feb!D98, Mar!D98)</f>
        <v>592486</v>
      </c>
      <c r="E98" s="11">
        <f>SUM(Jan!E98, Feb!E98, Mar!E98)</f>
        <v>0</v>
      </c>
      <c r="F98" s="11">
        <f t="shared" si="9"/>
        <v>592486</v>
      </c>
      <c r="G98" s="12" t="str">
        <f t="shared" si="10"/>
        <v/>
      </c>
      <c r="H98" s="13">
        <f>SUM(Jan!H98, Feb!H98, Mar!H98)</f>
        <v>467346</v>
      </c>
      <c r="I98" s="13">
        <f>SUM(Jan!I98, Feb!I98, Mar!I98)</f>
        <v>125140</v>
      </c>
      <c r="J98" s="14">
        <f t="shared" si="11"/>
        <v>0.26776735010035391</v>
      </c>
      <c r="K98" s="38"/>
      <c r="L98" s="38"/>
    </row>
    <row r="99" spans="1:12" ht="15.75">
      <c r="A99" s="27" t="str">
        <v>Telegraph 1</v>
      </c>
      <c r="B99" s="28" t="str">
        <v>NY</v>
      </c>
      <c r="C99" s="28" t="str">
        <f>Sites[[#This Row],[SOL'#]]</f>
        <v>SOL-11003</v>
      </c>
      <c r="D99" s="10">
        <f>SUM(Jan!D99, Feb!D99, Mar!D99)</f>
        <v>983099</v>
      </c>
      <c r="E99" s="15">
        <f>SUM(Jan!E99, Feb!E99, Mar!E99)</f>
        <v>0</v>
      </c>
      <c r="F99" s="15">
        <f t="shared" si="9"/>
        <v>983099</v>
      </c>
      <c r="G99" s="16" t="str">
        <f t="shared" si="10"/>
        <v/>
      </c>
      <c r="H99" s="17">
        <f>SUM(Jan!H99, Feb!H99, Mar!H99)</f>
        <v>738814.59</v>
      </c>
      <c r="I99" s="17">
        <f>SUM(Jan!I99, Feb!I99, Mar!I99)</f>
        <v>244284.41</v>
      </c>
      <c r="J99" s="16">
        <f t="shared" si="11"/>
        <v>0.33064372754198046</v>
      </c>
      <c r="K99" s="39"/>
      <c r="L99" s="40"/>
    </row>
    <row r="100" spans="1:12" ht="15.75">
      <c r="A100" s="25" t="str">
        <v>Telegraph 2</v>
      </c>
      <c r="B100" s="26" t="str">
        <v>NY</v>
      </c>
      <c r="C100" s="26" t="str">
        <f>Sites[[#This Row],[SOL'#]]</f>
        <v>SOL-11004</v>
      </c>
      <c r="D100" s="21">
        <f>SUM(Jan!D100, Feb!D100, Mar!D100)</f>
        <v>525390</v>
      </c>
      <c r="E100" s="11">
        <f>SUM(Jan!E100, Feb!E100, Mar!E100)</f>
        <v>0</v>
      </c>
      <c r="F100" s="11">
        <f t="shared" si="9"/>
        <v>525390</v>
      </c>
      <c r="G100" s="12" t="str">
        <f t="shared" si="10"/>
        <v/>
      </c>
      <c r="H100" s="13">
        <f>SUM(Jan!H100, Feb!H100, Mar!H100)</f>
        <v>469509.12</v>
      </c>
      <c r="I100" s="13">
        <f>SUM(Jan!I100, Feb!I100, Mar!I100)</f>
        <v>55880.880000000005</v>
      </c>
      <c r="J100" s="14">
        <f t="shared" si="11"/>
        <v>0.11901979667615403</v>
      </c>
      <c r="K100" s="38"/>
      <c r="L100" s="38"/>
    </row>
    <row r="101" spans="1:12" ht="15.75">
      <c r="A101" s="27" t="str">
        <v>Cafferty Hill</v>
      </c>
      <c r="B101" s="28" t="str">
        <v>NY</v>
      </c>
      <c r="C101" s="28" t="str">
        <f>Sites[[#This Row],[SOL'#]]</f>
        <v>SOL-10996</v>
      </c>
      <c r="D101" s="10">
        <f>SUM(Jan!D101, Feb!D101, Mar!D101)</f>
        <v>1426883</v>
      </c>
      <c r="E101" s="15">
        <f>SUM(Jan!E101, Feb!E101, Mar!E101)</f>
        <v>0</v>
      </c>
      <c r="F101" s="15">
        <f t="shared" si="9"/>
        <v>1426883</v>
      </c>
      <c r="G101" s="16" t="str">
        <f t="shared" si="10"/>
        <v/>
      </c>
      <c r="H101" s="17">
        <f>SUM(Jan!H101, Feb!H101, Mar!H101)</f>
        <v>916860</v>
      </c>
      <c r="I101" s="17">
        <f>SUM(Jan!I101, Feb!I101, Mar!I101)</f>
        <v>510023</v>
      </c>
      <c r="J101" s="16">
        <f t="shared" si="11"/>
        <v>0.55627140457648927</v>
      </c>
      <c r="K101" s="39"/>
      <c r="L101" s="39"/>
    </row>
    <row r="102" spans="1:12" ht="15.75">
      <c r="A102" s="25" t="str">
        <v>Dunkleman</v>
      </c>
      <c r="B102" s="26" t="str">
        <v>NY</v>
      </c>
      <c r="C102" s="26" t="str">
        <f>Sites[[#This Row],[SOL'#]]</f>
        <v>SOL-11008</v>
      </c>
      <c r="D102" s="21">
        <f>SUM(Jan!D102, Feb!D102, Mar!D102)</f>
        <v>899081</v>
      </c>
      <c r="E102" s="11">
        <f>SUM(Jan!E102, Feb!E102, Mar!E102)</f>
        <v>0</v>
      </c>
      <c r="F102" s="11">
        <f t="shared" si="9"/>
        <v>899081</v>
      </c>
      <c r="G102" s="12" t="str">
        <f t="shared" si="10"/>
        <v/>
      </c>
      <c r="H102" s="13">
        <f>SUM(Jan!H102, Feb!H102, Mar!H102)</f>
        <v>632903</v>
      </c>
      <c r="I102" s="13">
        <f>SUM(Jan!I102, Feb!I102, Mar!I102)</f>
        <v>266178</v>
      </c>
      <c r="J102" s="14">
        <f t="shared" si="11"/>
        <v>0.42056681671598967</v>
      </c>
      <c r="K102" s="38"/>
      <c r="L102" s="38"/>
    </row>
    <row r="103" spans="1:12" ht="15.75">
      <c r="A103" s="27" t="str">
        <v>Route 19 1</v>
      </c>
      <c r="B103" s="28" t="str">
        <v>NY</v>
      </c>
      <c r="C103" s="28" t="str">
        <f>Sites[[#This Row],[SOL'#]]</f>
        <v>SOL-11001</v>
      </c>
      <c r="D103" s="10">
        <f>SUM(Jan!D103, Feb!D103, Mar!D103)</f>
        <v>599294</v>
      </c>
      <c r="E103" s="15">
        <f>SUM(Jan!E103, Feb!E103, Mar!E103)</f>
        <v>0</v>
      </c>
      <c r="F103" s="15">
        <f t="shared" si="9"/>
        <v>599294</v>
      </c>
      <c r="G103" s="16" t="str">
        <f t="shared" si="10"/>
        <v/>
      </c>
      <c r="H103" s="17">
        <f>SUM(Jan!H103, Feb!H103, Mar!H103)</f>
        <v>489983.11</v>
      </c>
      <c r="I103" s="17">
        <f>SUM(Jan!I103, Feb!I103, Mar!I103)</f>
        <v>109310.89000000001</v>
      </c>
      <c r="J103" s="16">
        <f t="shared" si="11"/>
        <v>0.22309113879455972</v>
      </c>
      <c r="K103" s="39"/>
      <c r="L103" s="40"/>
    </row>
    <row r="104" spans="1:12" ht="15.75">
      <c r="A104" s="25" t="str">
        <v>Route 19 2</v>
      </c>
      <c r="B104" s="26" t="str">
        <v>NY</v>
      </c>
      <c r="C104" s="26" t="str">
        <f>Sites[[#This Row],[SOL'#]]</f>
        <v>SOL-11002</v>
      </c>
      <c r="D104" s="21">
        <f>SUM(Jan!D104, Feb!D104, Mar!D104)</f>
        <v>1425120</v>
      </c>
      <c r="E104" s="11">
        <f>SUM(Jan!E104, Feb!E104, Mar!E104)</f>
        <v>0</v>
      </c>
      <c r="F104" s="11">
        <f t="shared" si="9"/>
        <v>1425120</v>
      </c>
      <c r="G104" s="12" t="str">
        <f t="shared" si="10"/>
        <v/>
      </c>
      <c r="H104" s="13">
        <f>SUM(Jan!H104, Feb!H104, Mar!H104)</f>
        <v>1060293</v>
      </c>
      <c r="I104" s="13">
        <f>SUM(Jan!I104, Feb!I104, Mar!I104)</f>
        <v>364827</v>
      </c>
      <c r="J104" s="14">
        <f t="shared" si="11"/>
        <v>0.34408130582772872</v>
      </c>
      <c r="K104" s="38"/>
      <c r="L104" s="38"/>
    </row>
    <row r="105" spans="1:12" ht="15.75">
      <c r="A105" s="27" t="str">
        <v>Yellow Mills 1</v>
      </c>
      <c r="B105" s="28" t="str">
        <v>NY</v>
      </c>
      <c r="C105" s="28" t="str">
        <f>Sites[[#This Row],[SOL'#]]</f>
        <v>SOL-11006</v>
      </c>
      <c r="D105" s="10">
        <f>SUM(Jan!D105, Feb!D105, Mar!D105)</f>
        <v>491612</v>
      </c>
      <c r="E105" s="15">
        <f>SUM(Jan!E105, Feb!E105, Mar!E105)</f>
        <v>0</v>
      </c>
      <c r="F105" s="15">
        <f t="shared" si="9"/>
        <v>491612</v>
      </c>
      <c r="G105" s="16" t="str">
        <f t="shared" si="10"/>
        <v/>
      </c>
      <c r="H105" s="17">
        <f>SUM(Jan!H105, Feb!H105, Mar!H105)</f>
        <v>0</v>
      </c>
      <c r="I105" s="17">
        <f>SUM(Jan!I105, Feb!I105, Mar!I105)</f>
        <v>491612</v>
      </c>
      <c r="J105" s="16" t="str">
        <f t="shared" si="11"/>
        <v/>
      </c>
      <c r="K105" s="39"/>
      <c r="L105" s="40"/>
    </row>
    <row r="106" spans="1:12" ht="15.75">
      <c r="A106" s="25" t="str">
        <v>Yellow Mills 2</v>
      </c>
      <c r="B106" s="26" t="str">
        <v>NY</v>
      </c>
      <c r="C106" s="26" t="str">
        <f>Sites[[#This Row],[SOL'#]]</f>
        <v>SOL-11005</v>
      </c>
      <c r="D106" s="21">
        <f>SUM(Jan!D106, Feb!D106, Mar!D106)</f>
        <v>470773</v>
      </c>
      <c r="E106" s="11">
        <f>SUM(Jan!E106, Feb!E106, Mar!E106)</f>
        <v>0</v>
      </c>
      <c r="F106" s="11">
        <f t="shared" si="9"/>
        <v>470773</v>
      </c>
      <c r="G106" s="12" t="str">
        <f t="shared" si="10"/>
        <v/>
      </c>
      <c r="H106" s="13">
        <f>SUM(Jan!H106, Feb!H106, Mar!H106)</f>
        <v>0</v>
      </c>
      <c r="I106" s="13">
        <f>SUM(Jan!I106, Feb!I106, Mar!I106)</f>
        <v>470773</v>
      </c>
      <c r="J106" s="14" t="str">
        <f t="shared" si="11"/>
        <v/>
      </c>
      <c r="K106" s="38"/>
      <c r="L106" s="38"/>
    </row>
    <row r="107" spans="1:12" ht="15.75">
      <c r="A107" s="27" t="str">
        <v>Yellow Mills 3</v>
      </c>
      <c r="B107" s="28" t="str">
        <v>NY</v>
      </c>
      <c r="C107" s="28" t="str">
        <f>Sites[[#This Row],[SOL'#]]</f>
        <v>SOL-11007</v>
      </c>
      <c r="D107" s="10">
        <f>SUM(Jan!D107, Feb!D107, Mar!D107)</f>
        <v>331379</v>
      </c>
      <c r="E107" s="15">
        <f>SUM(Jan!E107, Feb!E107, Mar!E107)</f>
        <v>0</v>
      </c>
      <c r="F107" s="15">
        <f t="shared" si="9"/>
        <v>331379</v>
      </c>
      <c r="G107" s="16" t="str">
        <f t="shared" si="10"/>
        <v/>
      </c>
      <c r="H107" s="17">
        <f>SUM(Jan!H107, Feb!H107, Mar!H107)</f>
        <v>0</v>
      </c>
      <c r="I107" s="17">
        <f>SUM(Jan!I107, Feb!I107, Mar!I107)</f>
        <v>331379</v>
      </c>
      <c r="J107" s="16" t="str">
        <f t="shared" si="11"/>
        <v/>
      </c>
      <c r="K107" s="39"/>
      <c r="L107" s="40"/>
    </row>
    <row r="108" spans="1:12" ht="15.75">
      <c r="A108" s="25" t="str">
        <v>Catskill</v>
      </c>
      <c r="B108" s="26" t="str">
        <v>NY</v>
      </c>
      <c r="C108" s="26" t="str">
        <f>Sites[[#This Row],[SOL'#]]</f>
        <v>SOL-11021</v>
      </c>
      <c r="D108" s="21">
        <f>SUM(Jan!D108, Feb!D108, Mar!D108)</f>
        <v>1002137</v>
      </c>
      <c r="E108" s="11">
        <f>SUM(Jan!E108, Feb!E108, Mar!E108)</f>
        <v>0</v>
      </c>
      <c r="F108" s="11">
        <f t="shared" si="9"/>
        <v>1002137</v>
      </c>
      <c r="G108" s="12" t="str">
        <f t="shared" si="10"/>
        <v/>
      </c>
      <c r="H108" s="13">
        <f>SUM(Jan!H108, Feb!H108, Mar!H108)</f>
        <v>0</v>
      </c>
      <c r="I108" s="13">
        <f>SUM(Jan!I108, Feb!I108, Mar!I108)</f>
        <v>1002137</v>
      </c>
      <c r="J108" s="14" t="str">
        <f t="shared" si="11"/>
        <v/>
      </c>
      <c r="K108" s="38"/>
      <c r="L108" s="38"/>
    </row>
    <row r="109" spans="1:12" ht="15.75">
      <c r="A109" s="27" t="str">
        <v>Eddy Ridge</v>
      </c>
      <c r="B109" s="28" t="str">
        <v>NY</v>
      </c>
      <c r="C109" s="28" t="str">
        <f>Sites[[#This Row],[SOL'#]]</f>
        <v>SOL-11054</v>
      </c>
      <c r="D109" s="10">
        <f>SUM(Jan!D109, Feb!D109, Mar!D109)</f>
        <v>769772.39999999991</v>
      </c>
      <c r="E109" s="15">
        <f>SUM(Jan!E109, Feb!E109, Mar!E109)</f>
        <v>0</v>
      </c>
      <c r="F109" s="15">
        <f t="shared" si="9"/>
        <v>769772.39999999991</v>
      </c>
      <c r="G109" s="16" t="str">
        <f t="shared" si="10"/>
        <v/>
      </c>
      <c r="H109" s="17">
        <f>SUM(Jan!H109, Feb!H109, Mar!H109)</f>
        <v>0</v>
      </c>
      <c r="I109" s="17">
        <f>SUM(Jan!I109, Feb!I109, Mar!I109)</f>
        <v>769772.39999999991</v>
      </c>
      <c r="J109" s="16" t="str">
        <f t="shared" si="11"/>
        <v/>
      </c>
      <c r="K109" s="39"/>
      <c r="L109" s="40"/>
    </row>
    <row r="110" spans="1:12" ht="15.75">
      <c r="A110" s="25" t="str">
        <v>Ridgeway #1</v>
      </c>
      <c r="B110" s="26" t="str">
        <v>NY</v>
      </c>
      <c r="C110" s="26" t="str">
        <f>Sites[[#This Row],[SOL'#]]</f>
        <v>SOL-11018</v>
      </c>
      <c r="D110" s="21">
        <f>SUM(Jan!D110, Feb!D110, Mar!D110)</f>
        <v>1270162.99</v>
      </c>
      <c r="E110" s="11">
        <f>SUM(Jan!E110, Feb!E110, Mar!E110)</f>
        <v>0</v>
      </c>
      <c r="F110" s="11">
        <f t="shared" si="9"/>
        <v>1270162.99</v>
      </c>
      <c r="G110" s="12" t="str">
        <f t="shared" si="10"/>
        <v/>
      </c>
      <c r="H110" s="13">
        <f>SUM(Jan!H110, Feb!H110, Mar!H110)</f>
        <v>0</v>
      </c>
      <c r="I110" s="13">
        <f>SUM(Jan!I110, Feb!I110, Mar!I110)</f>
        <v>1270162.99</v>
      </c>
      <c r="J110" s="14" t="str">
        <f t="shared" si="11"/>
        <v/>
      </c>
      <c r="K110" s="38"/>
      <c r="L110" s="38"/>
    </row>
    <row r="111" spans="1:12" ht="15.75">
      <c r="A111" s="27" t="str">
        <v>Rivard 1</v>
      </c>
      <c r="B111" s="28" t="str">
        <v>NY</v>
      </c>
      <c r="C111" s="28" t="str">
        <f>Sites[[#This Row],[SOL'#]]</f>
        <v>SOL-11011</v>
      </c>
      <c r="D111" s="10">
        <f>SUM(Jan!D111, Feb!D111, Mar!D111)</f>
        <v>941588.15577889397</v>
      </c>
      <c r="E111" s="15">
        <f>SUM(Jan!E111, Feb!E111, Mar!E111)</f>
        <v>1249640.1000000001</v>
      </c>
      <c r="F111" s="15">
        <f t="shared" si="9"/>
        <v>-308051.94422110613</v>
      </c>
      <c r="G111" s="16">
        <f t="shared" si="10"/>
        <v>-0.24651253126488668</v>
      </c>
      <c r="H111" s="17">
        <f>SUM(Jan!H111, Feb!H111, Mar!H111)</f>
        <v>1376850.1</v>
      </c>
      <c r="I111" s="17">
        <f>SUM(Jan!I111, Feb!I111, Mar!I111)</f>
        <v>-435261.94422110595</v>
      </c>
      <c r="J111" s="16">
        <f t="shared" si="11"/>
        <v>-0.31612878135470662</v>
      </c>
      <c r="K111" s="39"/>
      <c r="L111" s="40"/>
    </row>
    <row r="112" spans="1:12" ht="15.75">
      <c r="A112" s="25" t="str">
        <v>Rivard 2</v>
      </c>
      <c r="B112" s="26" t="str">
        <v>NY</v>
      </c>
      <c r="C112" s="26" t="str">
        <f>Sites[[#This Row],[SOL'#]]</f>
        <v>SOL-11012</v>
      </c>
      <c r="D112" s="21">
        <f>SUM(Jan!D112, Feb!D112, Mar!D112)</f>
        <v>959263.48258706462</v>
      </c>
      <c r="E112" s="11">
        <f>SUM(Jan!E112, Feb!E112, Mar!E112)</f>
        <v>985279.19</v>
      </c>
      <c r="F112" s="11">
        <f t="shared" si="9"/>
        <v>-26015.707412935328</v>
      </c>
      <c r="G112" s="12">
        <f t="shared" si="10"/>
        <v>-2.6404401591933885E-2</v>
      </c>
      <c r="H112" s="13">
        <f>SUM(Jan!H112, Feb!H112, Mar!H112)</f>
        <v>1320455.3</v>
      </c>
      <c r="I112" s="13">
        <f>SUM(Jan!I112, Feb!I112, Mar!I112)</f>
        <v>-361191.81741293531</v>
      </c>
      <c r="J112" s="14">
        <f t="shared" si="11"/>
        <v>-0.27353581557280682</v>
      </c>
      <c r="K112" s="38"/>
      <c r="L112" s="38"/>
    </row>
    <row r="113" spans="1:12" ht="15.75">
      <c r="A113" s="27" t="str">
        <v>Essex</v>
      </c>
      <c r="B113" s="28" t="str">
        <v>DC</v>
      </c>
      <c r="C113" s="28" t="str">
        <f>Sites[[#This Row],[SOL'#]]</f>
        <v>SOL-10036</v>
      </c>
      <c r="D113" s="10">
        <f>SUM(Jan!D113, Feb!D113, Mar!D113)</f>
        <v>6245</v>
      </c>
      <c r="E113" s="15">
        <f>SUM(Jan!E113, Feb!E113, Mar!E113)</f>
        <v>8634.9429999999993</v>
      </c>
      <c r="F113" s="15">
        <f t="shared" si="9"/>
        <v>-2389.9429999999993</v>
      </c>
      <c r="G113" s="16">
        <f t="shared" si="10"/>
        <v>-0.27677577026275674</v>
      </c>
      <c r="H113" s="17">
        <f>SUM(Jan!H113, Feb!H113, Mar!H113)</f>
        <v>8848.01</v>
      </c>
      <c r="I113" s="17">
        <f>SUM(Jan!I113, Feb!I113, Mar!I113)</f>
        <v>-2603.0100000000002</v>
      </c>
      <c r="J113" s="16">
        <f t="shared" si="11"/>
        <v>-0.29419157528076939</v>
      </c>
      <c r="K113" s="39"/>
      <c r="L113" s="39"/>
    </row>
    <row r="114" spans="1:12" ht="15.75">
      <c r="A114" s="25" t="str">
        <v>Temple Sinai</v>
      </c>
      <c r="B114" s="26" t="str">
        <v>DC</v>
      </c>
      <c r="C114" s="26" t="str">
        <f>Sites[[#This Row],[SOL'#]]</f>
        <v>SOL-10028</v>
      </c>
      <c r="D114" s="21">
        <f>SUM(Jan!D114, Feb!D114, Mar!D114)</f>
        <v>17354.939999999937</v>
      </c>
      <c r="E114" s="11">
        <f>SUM(Jan!E114, Feb!E114, Mar!E114)</f>
        <v>24595.676999999996</v>
      </c>
      <c r="F114" s="11">
        <f t="shared" si="9"/>
        <v>-7240.7370000000592</v>
      </c>
      <c r="G114" s="12">
        <f t="shared" si="10"/>
        <v>-0.29439063620814587</v>
      </c>
      <c r="H114" s="13">
        <f>SUM(Jan!H114, Feb!H114, Mar!H114)</f>
        <v>21407.258999999998</v>
      </c>
      <c r="I114" s="13">
        <f>SUM(Jan!I114, Feb!I114, Mar!I114)</f>
        <v>-4052.3190000000614</v>
      </c>
      <c r="J114" s="14">
        <f t="shared" si="11"/>
        <v>-0.18929649050352787</v>
      </c>
      <c r="K114" s="38"/>
      <c r="L114" s="38"/>
    </row>
    <row r="115" spans="1:12" ht="15.75">
      <c r="A115" s="27" t="str">
        <v>Weinberg 1</v>
      </c>
      <c r="B115" s="28" t="str">
        <v>DC</v>
      </c>
      <c r="C115" s="28" t="str">
        <f>Sites[[#This Row],[SOL'#]]</f>
        <v>SOL-10039</v>
      </c>
      <c r="D115" s="10">
        <f>SUM(Jan!D115, Feb!D115, Mar!D115)</f>
        <v>2696</v>
      </c>
      <c r="E115" s="15">
        <f>SUM(Jan!E115, Feb!E115, Mar!E115)</f>
        <v>2967.9681</v>
      </c>
      <c r="F115" s="15">
        <f t="shared" si="9"/>
        <v>-271.96810000000005</v>
      </c>
      <c r="G115" s="16">
        <f t="shared" si="10"/>
        <v>-9.1634441758319446E-2</v>
      </c>
      <c r="H115" s="17">
        <f>SUM(Jan!H115, Feb!H115, Mar!H115)</f>
        <v>3280.6661000000004</v>
      </c>
      <c r="I115" s="17">
        <f>SUM(Jan!I115, Feb!I115, Mar!I115)</f>
        <v>-584.66610000000003</v>
      </c>
      <c r="J115" s="16">
        <f t="shared" si="11"/>
        <v>-0.17821566784867254</v>
      </c>
      <c r="K115" s="39"/>
      <c r="L115" s="40"/>
    </row>
    <row r="116" spans="1:12" ht="15.75">
      <c r="A116" s="25" t="str">
        <v>Weinberg 2</v>
      </c>
      <c r="B116" s="26" t="str">
        <v>DC</v>
      </c>
      <c r="C116" s="26" t="str">
        <f>Sites[[#This Row],[SOL'#]]</f>
        <v>SOL-10045</v>
      </c>
      <c r="D116" s="21">
        <f>SUM(Jan!D116, Feb!D116, Mar!D116)</f>
        <v>2697</v>
      </c>
      <c r="E116" s="11">
        <f>SUM(Jan!E116, Feb!E116, Mar!E116)</f>
        <v>2846.9925000000003</v>
      </c>
      <c r="F116" s="11">
        <f t="shared" si="9"/>
        <v>-149.99250000000029</v>
      </c>
      <c r="G116" s="12">
        <f t="shared" si="10"/>
        <v>-5.2684543426089206E-2</v>
      </c>
      <c r="H116" s="13">
        <f>SUM(Jan!H116, Feb!H116, Mar!H116)</f>
        <v>3415.7696999999998</v>
      </c>
      <c r="I116" s="13">
        <f>SUM(Jan!I116, Feb!I116, Mar!I116)</f>
        <v>-718.76970000000006</v>
      </c>
      <c r="J116" s="14">
        <f t="shared" si="11"/>
        <v>-0.21042686220912379</v>
      </c>
      <c r="K116" s="38"/>
      <c r="L116" s="38"/>
    </row>
    <row r="117" spans="1:12" ht="15.75">
      <c r="A117" s="27" t="str">
        <v>Weinberg 3</v>
      </c>
      <c r="B117" s="28" t="str">
        <v>DC</v>
      </c>
      <c r="C117" s="28" t="str">
        <f>Sites[[#This Row],[SOL'#]]</f>
        <v>SOL-10042</v>
      </c>
      <c r="D117" s="10">
        <f>SUM(Jan!D117, Feb!D117, Mar!D117)</f>
        <v>3146</v>
      </c>
      <c r="E117" s="15">
        <f>SUM(Jan!E117, Feb!E117, Mar!E117)</f>
        <v>2951.1472999999996</v>
      </c>
      <c r="F117" s="15">
        <f t="shared" si="9"/>
        <v>194.85270000000037</v>
      </c>
      <c r="G117" s="16">
        <f t="shared" si="10"/>
        <v>6.6026084160556942E-2</v>
      </c>
      <c r="H117" s="17">
        <f>SUM(Jan!H117, Feb!H117, Mar!H117)</f>
        <v>3540</v>
      </c>
      <c r="I117" s="17">
        <f>SUM(Jan!I117, Feb!I117, Mar!I117)</f>
        <v>-394</v>
      </c>
      <c r="J117" s="16">
        <f t="shared" si="11"/>
        <v>-0.11129943502824859</v>
      </c>
      <c r="K117" s="39"/>
      <c r="L117" s="40"/>
    </row>
    <row r="118" spans="1:12" ht="15.75">
      <c r="A118" s="25" t="str">
        <v>Clayton Hall</v>
      </c>
      <c r="B118" s="26" t="str">
        <v>DE</v>
      </c>
      <c r="C118" s="26" t="str">
        <f>Sites[[#This Row],[SOL'#]]</f>
        <v>SOL-10820</v>
      </c>
      <c r="D118" s="21">
        <f>SUM(Jan!D118, Feb!D118, Mar!D118)</f>
        <v>25105</v>
      </c>
      <c r="E118" s="11">
        <f>SUM(Jan!E118, Feb!E118, Mar!E118)</f>
        <v>36553.423999999999</v>
      </c>
      <c r="F118" s="11">
        <f t="shared" si="9"/>
        <v>-11448.423999999999</v>
      </c>
      <c r="G118" s="12">
        <f t="shared" si="10"/>
        <v>-0.3131970345650793</v>
      </c>
      <c r="H118" s="13">
        <f>SUM(Jan!H118, Feb!H118, Mar!H118)</f>
        <v>10039.31</v>
      </c>
      <c r="I118" s="13">
        <f>SUM(Jan!I118, Feb!I118, Mar!I118)</f>
        <v>15065.69</v>
      </c>
      <c r="J118" s="14">
        <f t="shared" si="11"/>
        <v>1.500669866753791</v>
      </c>
      <c r="K118" s="38"/>
      <c r="L118" s="38"/>
    </row>
    <row r="119" spans="1:12" ht="15.75">
      <c r="A119" s="27" t="str">
        <v>Field House</v>
      </c>
      <c r="B119" s="28" t="str">
        <v>DE</v>
      </c>
      <c r="C119" s="28" t="str">
        <f>Sites[[#This Row],[SOL'#]]</f>
        <v>SOL-10821</v>
      </c>
      <c r="D119" s="10">
        <f>SUM(Jan!D119, Feb!D119, Mar!D119)</f>
        <v>106485</v>
      </c>
      <c r="E119" s="15">
        <f>SUM(Jan!E119, Feb!E119, Mar!E119)</f>
        <v>0</v>
      </c>
      <c r="F119" s="15">
        <f t="shared" si="9"/>
        <v>106485</v>
      </c>
      <c r="G119" s="16" t="str">
        <f t="shared" si="10"/>
        <v/>
      </c>
      <c r="H119" s="17">
        <f>SUM(Jan!H119, Feb!H119, Mar!H119)</f>
        <v>107061.084</v>
      </c>
      <c r="I119" s="17">
        <f>SUM(Jan!I119, Feb!I119, Mar!I119)</f>
        <v>-576.08400000000256</v>
      </c>
      <c r="J119" s="16">
        <f t="shared" si="11"/>
        <v>-5.3808907819390519E-3</v>
      </c>
      <c r="K119" s="39"/>
      <c r="L119" s="40"/>
    </row>
    <row r="120" spans="1:12" ht="15.75">
      <c r="A120" s="25" t="str">
        <v>Wyoming Road</v>
      </c>
      <c r="B120" s="26" t="str">
        <v>DE</v>
      </c>
      <c r="C120" s="26" t="str">
        <f>Sites[[#This Row],[SOL'#]]</f>
        <v>SOL-10819</v>
      </c>
      <c r="D120" s="21">
        <f>SUM(Jan!D120, Feb!D120, Mar!D120)</f>
        <v>56880</v>
      </c>
      <c r="E120" s="11">
        <f>SUM(Jan!E120, Feb!E120, Mar!E120)</f>
        <v>58303.716</v>
      </c>
      <c r="F120" s="11">
        <f t="shared" si="9"/>
        <v>-1423.7160000000003</v>
      </c>
      <c r="G120" s="12">
        <f t="shared" si="10"/>
        <v>-2.4418958132960175E-2</v>
      </c>
      <c r="H120" s="13">
        <f>SUM(Jan!H120, Feb!H120, Mar!H120)</f>
        <v>69238.645000000004</v>
      </c>
      <c r="I120" s="13">
        <f>SUM(Jan!I120, Feb!I120, Mar!I120)</f>
        <v>-12358.645</v>
      </c>
      <c r="J120" s="14">
        <f t="shared" si="11"/>
        <v>-0.17849345549728768</v>
      </c>
      <c r="K120" s="38"/>
      <c r="L120" s="38"/>
    </row>
    <row r="121" spans="1:12" ht="15.75">
      <c r="A121" s="27" t="str">
        <v>Leoku</v>
      </c>
      <c r="B121" s="28" t="str">
        <v>HI</v>
      </c>
      <c r="C121" s="28" t="str">
        <f>Sites[[#This Row],[SOL'#]]</f>
        <v>SOL-10071</v>
      </c>
      <c r="D121" s="10">
        <f>SUM(Jan!D121, Feb!D121, Mar!D121)</f>
        <v>29758</v>
      </c>
      <c r="E121" s="15">
        <f>SUM(Jan!E121, Feb!E121, Mar!E121)</f>
        <v>28633.201000000001</v>
      </c>
      <c r="F121" s="15">
        <f t="shared" si="9"/>
        <v>1124.7989999999991</v>
      </c>
      <c r="G121" s="16">
        <f t="shared" si="10"/>
        <v>3.9283033706220938E-2</v>
      </c>
      <c r="H121" s="17">
        <f>SUM(Jan!H121, Feb!H121, Mar!H121)</f>
        <v>33916.923000000003</v>
      </c>
      <c r="I121" s="17">
        <f>SUM(Jan!I121, Feb!I121, Mar!I121)</f>
        <v>-4158.9230000000007</v>
      </c>
      <c r="J121" s="16">
        <f t="shared" si="11"/>
        <v>-0.12262088161712076</v>
      </c>
      <c r="K121" s="39"/>
      <c r="L121" s="40"/>
    </row>
    <row r="122" spans="1:12" ht="15.75">
      <c r="A122" s="25" t="str">
        <v>Waipahu</v>
      </c>
      <c r="B122" s="26" t="str">
        <v>HI</v>
      </c>
      <c r="C122" s="26" t="str">
        <f>Sites[[#This Row],[SOL'#]]</f>
        <v>SOL-10068</v>
      </c>
      <c r="D122" s="21">
        <f>SUM(Jan!D122, Feb!D122, Mar!D122)</f>
        <v>30605</v>
      </c>
      <c r="E122" s="11">
        <f>SUM(Jan!E122, Feb!E122, Mar!E122)</f>
        <v>27019.078000000001</v>
      </c>
      <c r="F122" s="11">
        <f t="shared" si="9"/>
        <v>3585.9219999999987</v>
      </c>
      <c r="G122" s="12">
        <f t="shared" si="10"/>
        <v>0.13271814826545889</v>
      </c>
      <c r="H122" s="13">
        <f>SUM(Jan!H122, Feb!H122, Mar!H122)</f>
        <v>33916.923000000003</v>
      </c>
      <c r="I122" s="13">
        <f>SUM(Jan!I122, Feb!I122, Mar!I122)</f>
        <v>-3311.9230000000007</v>
      </c>
      <c r="J122" s="14">
        <f t="shared" si="11"/>
        <v>-9.7648097381947074E-2</v>
      </c>
      <c r="K122" s="38"/>
      <c r="L122" s="38"/>
    </row>
    <row r="123" spans="1:12" ht="15.75">
      <c r="A123" s="27" t="str">
        <v>Bird in Hand</v>
      </c>
      <c r="B123" s="28" t="str">
        <v>MD</v>
      </c>
      <c r="C123" s="28" t="str">
        <f>Sites[[#This Row],[SOL'#]]</f>
        <v>SOL-10092</v>
      </c>
      <c r="D123" s="10">
        <f>SUM(Jan!D123, Feb!D123, Mar!D123)</f>
        <v>380425</v>
      </c>
      <c r="E123" s="15">
        <f>SUM(Jan!E123, Feb!E123, Mar!E123)</f>
        <v>393526.28</v>
      </c>
      <c r="F123" s="15">
        <f t="shared" si="9"/>
        <v>-13101.280000000028</v>
      </c>
      <c r="G123" s="16">
        <f t="shared" si="10"/>
        <v>-3.329200784252586E-2</v>
      </c>
      <c r="H123" s="17">
        <f>SUM(Jan!H123, Feb!H123, Mar!H123)</f>
        <v>417619</v>
      </c>
      <c r="I123" s="17">
        <f>SUM(Jan!I123, Feb!I123, Mar!I123)</f>
        <v>-37193.999999999985</v>
      </c>
      <c r="J123" s="16">
        <f t="shared" si="11"/>
        <v>-8.9062039801828904E-2</v>
      </c>
      <c r="K123" s="39"/>
      <c r="L123" s="40"/>
    </row>
    <row r="124" spans="1:12" ht="15.75">
      <c r="A124" s="25" t="str">
        <v>Shortal</v>
      </c>
      <c r="B124" s="26" t="str">
        <v>MD</v>
      </c>
      <c r="C124" s="26" t="str">
        <f>Sites[[#This Row],[SOL'#]]</f>
        <v>SOL-10091</v>
      </c>
      <c r="D124" s="21">
        <f>SUM(Jan!D124, Feb!D124, Mar!D124)</f>
        <v>397546</v>
      </c>
      <c r="E124" s="11">
        <f>SUM(Jan!E124, Feb!E124, Mar!E124)</f>
        <v>307184.92</v>
      </c>
      <c r="F124" s="11">
        <f t="shared" si="9"/>
        <v>90361.080000000016</v>
      </c>
      <c r="G124" s="12">
        <f t="shared" si="10"/>
        <v>0.29415858044073262</v>
      </c>
      <c r="H124" s="13">
        <f>SUM(Jan!H124, Feb!H124, Mar!H124)</f>
        <v>23223.040000000001</v>
      </c>
      <c r="I124" s="13">
        <f>SUM(Jan!I124, Feb!I124, Mar!I124)</f>
        <v>374322.95999999996</v>
      </c>
      <c r="J124" s="14">
        <f t="shared" si="11"/>
        <v>16.118602904701536</v>
      </c>
      <c r="K124" s="38"/>
      <c r="L124" s="38"/>
    </row>
    <row r="125" spans="1:12" ht="15.75">
      <c r="A125" s="27" t="str">
        <v>Aguadilla</v>
      </c>
      <c r="B125" s="28" t="str">
        <v>PR</v>
      </c>
      <c r="C125" s="28" t="str">
        <f>Sites[[#This Row],[SOL'#]]</f>
        <v>SOL-10072</v>
      </c>
      <c r="D125" s="10">
        <f>SUM(Jan!D125, Feb!D125, Mar!D125)</f>
        <v>53615</v>
      </c>
      <c r="E125" s="15">
        <f>SUM(Jan!E125, Feb!E125, Mar!E125)</f>
        <v>49146.22</v>
      </c>
      <c r="F125" s="15">
        <f t="shared" si="9"/>
        <v>4468.7799999999988</v>
      </c>
      <c r="G125" s="16">
        <f t="shared" si="10"/>
        <v>9.0928254502584308E-2</v>
      </c>
      <c r="H125" s="17">
        <f>SUM(Jan!H125, Feb!H125, Mar!H125)</f>
        <v>58462</v>
      </c>
      <c r="I125" s="17">
        <f>SUM(Jan!I125, Feb!I125, Mar!I125)</f>
        <v>-4847</v>
      </c>
      <c r="J125" s="16">
        <f t="shared" si="11"/>
        <v>-8.2908555985084328E-2</v>
      </c>
      <c r="K125" s="39"/>
      <c r="L125" s="39"/>
    </row>
    <row r="126" spans="1:12" ht="15.75">
      <c r="A126" s="25" t="str">
        <v>Bayamon</v>
      </c>
      <c r="B126" s="26" t="str">
        <v>PR</v>
      </c>
      <c r="C126" s="26" t="str">
        <f>Sites[[#This Row],[SOL'#]]</f>
        <v>SOL-10073</v>
      </c>
      <c r="D126" s="21">
        <f>SUM(Jan!D126, Feb!D126, Mar!D126)</f>
        <v>170812</v>
      </c>
      <c r="E126" s="11">
        <f>SUM(Jan!E126, Feb!E126, Mar!E126)</f>
        <v>197474.13</v>
      </c>
      <c r="F126" s="11">
        <f t="shared" si="9"/>
        <v>-26662.130000000005</v>
      </c>
      <c r="G126" s="12">
        <f t="shared" si="10"/>
        <v>-0.13501581194458234</v>
      </c>
      <c r="H126" s="13">
        <f>SUM(Jan!H126, Feb!H126, Mar!H126)</f>
        <v>0</v>
      </c>
      <c r="I126" s="13">
        <f>SUM(Jan!I126, Feb!I126, Mar!I126)</f>
        <v>170812</v>
      </c>
      <c r="J126" s="14" t="str">
        <f t="shared" si="11"/>
        <v/>
      </c>
      <c r="K126" s="38"/>
      <c r="L126" s="38"/>
    </row>
    <row r="127" spans="1:12" ht="15.75">
      <c r="A127" s="27" t="str">
        <v>St Francis</v>
      </c>
      <c r="B127" s="28" t="str">
        <v>PR</v>
      </c>
      <c r="C127" s="28" t="str">
        <f>Sites[[#This Row],[SOL'#]]</f>
        <v>SOL-10034</v>
      </c>
      <c r="D127" s="10">
        <f>SUM(Jan!D127, Feb!D127, Mar!D127)</f>
        <v>47781.119999999901</v>
      </c>
      <c r="E127" s="15">
        <f>SUM(Jan!E127, Feb!E127, Mar!E127)</f>
        <v>123066.12</v>
      </c>
      <c r="F127" s="15">
        <f t="shared" si="9"/>
        <v>-75285.000000000087</v>
      </c>
      <c r="G127" s="16">
        <f t="shared" si="10"/>
        <v>-0.61174432085776398</v>
      </c>
      <c r="H127" s="17">
        <f>SUM(Jan!H127, Feb!H127, Mar!H127)</f>
        <v>78976</v>
      </c>
      <c r="I127" s="17">
        <f>SUM(Jan!I127, Feb!I127, Mar!I127)</f>
        <v>-31194.880000000099</v>
      </c>
      <c r="J127" s="16">
        <f t="shared" si="11"/>
        <v>-0.39499189627228648</v>
      </c>
      <c r="K127" s="39"/>
      <c r="L127" s="40"/>
    </row>
    <row r="128" spans="1:12" ht="15.75">
      <c r="A128" s="25" t="str">
        <v>Seaport</v>
      </c>
      <c r="B128" s="26" t="str">
        <v>MA</v>
      </c>
      <c r="C128" s="26" t="str">
        <f>Sites[[#This Row],[SOL'#]]</f>
        <v>SOL-10772</v>
      </c>
      <c r="D128" s="21">
        <f>SUM(Jan!D128, Feb!D128, Mar!D128)</f>
        <v>111279.5</v>
      </c>
      <c r="E128" s="11">
        <f>SUM(Jan!E128, Feb!E128, Mar!E128)</f>
        <v>101768.45000000001</v>
      </c>
      <c r="F128" s="11">
        <f t="shared" si="9"/>
        <v>9511.0499999999884</v>
      </c>
      <c r="G128" s="12">
        <f t="shared" si="10"/>
        <v>9.3457746482333057E-2</v>
      </c>
      <c r="H128" s="13">
        <f>SUM(Jan!H128, Feb!H128, Mar!H128)</f>
        <v>115470.66</v>
      </c>
      <c r="I128" s="13">
        <f>SUM(Jan!I128, Feb!I128, Mar!I128)</f>
        <v>-4191.1599999999962</v>
      </c>
      <c r="J128" s="14">
        <f t="shared" si="11"/>
        <v>-3.6296319775083956E-2</v>
      </c>
      <c r="K128" s="38"/>
      <c r="L128" s="38"/>
    </row>
    <row r="129" spans="1:12" ht="15.75">
      <c r="A129" s="27" t="str">
        <v>Sprague St</v>
      </c>
      <c r="B129" s="28" t="str">
        <v>MA</v>
      </c>
      <c r="C129" s="28" t="str">
        <f>Sites[[#This Row],[SOL'#]]</f>
        <v>SOL-10773</v>
      </c>
      <c r="D129" s="10">
        <f>SUM(Jan!D129, Feb!D129, Mar!D129)</f>
        <v>247636</v>
      </c>
      <c r="E129" s="15">
        <f>SUM(Jan!E129, Feb!E129, Mar!E129)</f>
        <v>262632.73800000001</v>
      </c>
      <c r="F129" s="15">
        <f t="shared" si="9"/>
        <v>-14996.738000000012</v>
      </c>
      <c r="G129" s="16">
        <f t="shared" si="10"/>
        <v>-5.7101556013934608E-2</v>
      </c>
      <c r="H129" s="17">
        <f>SUM(Jan!H129, Feb!H129, Mar!H129)</f>
        <v>242031.261</v>
      </c>
      <c r="I129" s="17">
        <f>SUM(Jan!I129, Feb!I129, Mar!I129)</f>
        <v>5604.7390000000087</v>
      </c>
      <c r="J129" s="16">
        <f t="shared" si="11"/>
        <v>2.3157087133467476E-2</v>
      </c>
      <c r="K129" s="39"/>
      <c r="L129" s="40"/>
    </row>
    <row r="130" spans="1:12" ht="15.75">
      <c r="A130" s="25" t="str">
        <v>Summer St</v>
      </c>
      <c r="B130" s="26" t="str">
        <v>MA</v>
      </c>
      <c r="C130" s="26" t="str">
        <f>Sites[[#This Row],[SOL'#]]</f>
        <v>SOL-10764</v>
      </c>
      <c r="D130" s="21">
        <f>SUM(Jan!D130, Feb!D130, Mar!D130)</f>
        <v>529870</v>
      </c>
      <c r="E130" s="11">
        <f>SUM(Jan!E130, Feb!E130, Mar!E130)</f>
        <v>557299.4</v>
      </c>
      <c r="F130" s="11">
        <f t="shared" si="9"/>
        <v>-27429.400000000023</v>
      </c>
      <c r="G130" s="12">
        <f t="shared" si="10"/>
        <v>-4.9218427294197738E-2</v>
      </c>
      <c r="H130" s="13">
        <f>SUM(Jan!H130, Feb!H130, Mar!H130)</f>
        <v>568013.5</v>
      </c>
      <c r="I130" s="13">
        <f>SUM(Jan!I130, Feb!I130, Mar!I130)</f>
        <v>-38143.5</v>
      </c>
      <c r="J130" s="14">
        <f t="shared" si="11"/>
        <v>-6.7152453242748628E-2</v>
      </c>
      <c r="K130" s="38"/>
      <c r="L130" s="38"/>
    </row>
    <row r="131" spans="1:12" ht="15.75">
      <c r="A131" s="27" t="str">
        <v>Brock St Vocational</v>
      </c>
      <c r="B131" s="28" t="str">
        <v>NH</v>
      </c>
      <c r="C131" s="28" t="str">
        <f>Sites[[#This Row],[SOL'#]]</f>
        <v>SOL-10768</v>
      </c>
      <c r="D131" s="10">
        <f>SUM(Jan!D131, Feb!D131, Mar!D131)</f>
        <v>19595.816968769897</v>
      </c>
      <c r="E131" s="15">
        <f>SUM(Jan!E131, Feb!E131, Mar!E131)</f>
        <v>25198.262000000002</v>
      </c>
      <c r="F131" s="15">
        <f t="shared" si="9"/>
        <v>-5602.4450312301051</v>
      </c>
      <c r="G131" s="16">
        <f t="shared" si="10"/>
        <v>-0.22233458129890485</v>
      </c>
      <c r="H131" s="17">
        <f>SUM(Jan!H131, Feb!H131, Mar!H131)</f>
        <v>23232.199999999997</v>
      </c>
      <c r="I131" s="17">
        <f>SUM(Jan!I131, Feb!I131, Mar!I131)</f>
        <v>-3636.3830312301011</v>
      </c>
      <c r="J131" s="16">
        <f t="shared" si="11"/>
        <v>-0.1565234042075267</v>
      </c>
      <c r="K131" s="39"/>
      <c r="L131" s="40"/>
    </row>
    <row r="132" spans="1:12" ht="15.75">
      <c r="A132" s="25" t="str">
        <v>McClelland ES</v>
      </c>
      <c r="B132" s="26" t="str">
        <v>NH</v>
      </c>
      <c r="C132" s="26" t="str">
        <f>Sites[[#This Row],[SOL'#]]</f>
        <v>SOL-10766</v>
      </c>
      <c r="D132" s="21">
        <f>SUM(Jan!D132, Feb!D132, Mar!D132)</f>
        <v>15729.00031033286</v>
      </c>
      <c r="E132" s="11">
        <f>SUM(Jan!E132, Feb!E132, Mar!E132)</f>
        <v>25624.478999999999</v>
      </c>
      <c r="F132" s="11">
        <f t="shared" si="9"/>
        <v>-9895.4786896671394</v>
      </c>
      <c r="G132" s="12">
        <f t="shared" si="10"/>
        <v>-0.38617287358963043</v>
      </c>
      <c r="H132" s="13">
        <f>SUM(Jan!H132, Feb!H132, Mar!H132)</f>
        <v>17369.260000000002</v>
      </c>
      <c r="I132" s="13">
        <f>SUM(Jan!I132, Feb!I132, Mar!I132)</f>
        <v>-1640.2596896671405</v>
      </c>
      <c r="J132" s="14">
        <f t="shared" si="11"/>
        <v>-9.4434632774634056E-2</v>
      </c>
      <c r="K132" s="38"/>
      <c r="L132" s="38"/>
    </row>
    <row r="133" spans="1:12" ht="15.75">
      <c r="A133" s="27" t="str">
        <v>Portland St</v>
      </c>
      <c r="B133" s="28" t="str">
        <v>NH</v>
      </c>
      <c r="C133" s="28" t="str">
        <f>Sites[[#This Row],[SOL'#]]</f>
        <v>SOL-10771</v>
      </c>
      <c r="D133" s="10">
        <f>SUM(Jan!D133, Feb!D133, Mar!D133)</f>
        <v>12428.221</v>
      </c>
      <c r="E133" s="15">
        <f>SUM(Jan!E133, Feb!E133, Mar!E133)</f>
        <v>13688.41</v>
      </c>
      <c r="F133" s="15">
        <f t="shared" si="9"/>
        <v>-1260.1890000000003</v>
      </c>
      <c r="G133" s="16">
        <f t="shared" si="10"/>
        <v>-9.2062482055987535E-2</v>
      </c>
      <c r="H133" s="17">
        <f>SUM(Jan!H133, Feb!H133, Mar!H133)</f>
        <v>17765.41</v>
      </c>
      <c r="I133" s="17">
        <f>SUM(Jan!I133, Feb!I133, Mar!I133)</f>
        <v>-5337.1890000000003</v>
      </c>
      <c r="J133" s="16">
        <f t="shared" si="11"/>
        <v>-0.30042588378202362</v>
      </c>
      <c r="K133" s="39"/>
      <c r="L133" s="40"/>
    </row>
    <row r="134" spans="1:12" ht="15.75">
      <c r="A134" s="25" t="str">
        <v>Portsmouth HS</v>
      </c>
      <c r="B134" s="26" t="str">
        <v>NH</v>
      </c>
      <c r="C134" s="26" t="str">
        <f>Sites[[#This Row],[SOL'#]]</f>
        <v>SOL-10769</v>
      </c>
      <c r="D134" s="21">
        <f>SUM(Jan!D134, Feb!D134, Mar!D134)</f>
        <v>56740.25</v>
      </c>
      <c r="E134" s="11">
        <f>SUM(Jan!E134, Feb!E134, Mar!E134)</f>
        <v>62020.486999999994</v>
      </c>
      <c r="F134" s="11">
        <f t="shared" si="9"/>
        <v>-5280.2369999999937</v>
      </c>
      <c r="G134" s="12">
        <f t="shared" si="10"/>
        <v>-8.5136980623837968E-2</v>
      </c>
      <c r="H134" s="13">
        <f>SUM(Jan!H134, Feb!H134, Mar!H134)</f>
        <v>31508.546000000002</v>
      </c>
      <c r="I134" s="13">
        <f>SUM(Jan!I134, Feb!I134, Mar!I134)</f>
        <v>25231.703999999998</v>
      </c>
      <c r="J134" s="14">
        <f t="shared" si="11"/>
        <v>0.80078922080377801</v>
      </c>
      <c r="K134" s="38"/>
      <c r="L134" s="38"/>
    </row>
    <row r="135" spans="1:12" ht="15.75">
      <c r="A135" s="27" t="str">
        <v>Portsmouth WTP</v>
      </c>
      <c r="B135" s="28" t="str">
        <v>NH</v>
      </c>
      <c r="C135" s="28" t="str">
        <f>Sites[[#This Row],[SOL'#]]</f>
        <v>SOL-10770</v>
      </c>
      <c r="D135" s="10">
        <f>SUM(Jan!D135, Feb!D135, Mar!D135)</f>
        <v>60077.75</v>
      </c>
      <c r="E135" s="15">
        <f>SUM(Jan!E135, Feb!E135, Mar!E135)</f>
        <v>73421.509999999995</v>
      </c>
      <c r="F135" s="15">
        <f t="shared" si="9"/>
        <v>-13343.759999999995</v>
      </c>
      <c r="G135" s="16">
        <f t="shared" si="10"/>
        <v>-0.18174183560103838</v>
      </c>
      <c r="H135" s="17">
        <f>SUM(Jan!H135, Feb!H135, Mar!H135)</f>
        <v>64735.020000000004</v>
      </c>
      <c r="I135" s="17">
        <f>SUM(Jan!I135, Feb!I135, Mar!I135)</f>
        <v>-4657.2700000000004</v>
      </c>
      <c r="J135" s="16">
        <f t="shared" si="11"/>
        <v>-7.1943594054655433E-2</v>
      </c>
      <c r="K135" s="39"/>
      <c r="L135" s="40"/>
    </row>
    <row r="136" spans="1:12" ht="15.75">
      <c r="A136" s="25" t="str">
        <v>Rochester St</v>
      </c>
      <c r="B136" s="26" t="str">
        <v>NH</v>
      </c>
      <c r="C136" s="26" t="str">
        <f>Sites[[#This Row],[SOL'#]]</f>
        <v>SOL-10765</v>
      </c>
      <c r="D136" s="21">
        <f>SUM(Jan!D136, Feb!D136, Mar!D136)</f>
        <v>49282.502999999997</v>
      </c>
      <c r="E136" s="11">
        <f>SUM(Jan!E136, Feb!E136, Mar!E136)</f>
        <v>73398.569000000003</v>
      </c>
      <c r="F136" s="11">
        <f t="shared" si="9"/>
        <v>-24116.066000000006</v>
      </c>
      <c r="G136" s="12">
        <f t="shared" si="10"/>
        <v>-0.32856316313196793</v>
      </c>
      <c r="H136" s="13">
        <f>SUM(Jan!H136, Feb!H136, Mar!H136)</f>
        <v>54830.673999999999</v>
      </c>
      <c r="I136" s="13">
        <f>SUM(Jan!I136, Feb!I136, Mar!I136)</f>
        <v>-5548.1709999999985</v>
      </c>
      <c r="J136" s="14">
        <f t="shared" si="11"/>
        <v>-0.10118735728107224</v>
      </c>
      <c r="K136" s="38"/>
      <c r="L136" s="38"/>
    </row>
    <row r="137" spans="1:12" ht="15.75">
      <c r="A137" s="27" t="str">
        <v>Spaulding HS</v>
      </c>
      <c r="B137" s="28" t="str">
        <v>NH</v>
      </c>
      <c r="C137" s="28" t="str">
        <f>Sites[[#This Row],[SOL'#]]</f>
        <v>SOL-10767</v>
      </c>
      <c r="D137" s="10">
        <f>SUM(Jan!D137, Feb!D137, Mar!D137)</f>
        <v>23504.9412206099</v>
      </c>
      <c r="E137" s="15">
        <f>SUM(Jan!E137, Feb!E137, Mar!E137)</f>
        <v>31063.828000000001</v>
      </c>
      <c r="F137" s="15">
        <f t="shared" si="9"/>
        <v>-7558.8867793901009</v>
      </c>
      <c r="G137" s="16">
        <f t="shared" si="10"/>
        <v>-0.24333404045985899</v>
      </c>
      <c r="H137" s="17">
        <f>SUM(Jan!H137, Feb!H137, Mar!H137)</f>
        <v>26381.794999999998</v>
      </c>
      <c r="I137" s="17">
        <f>SUM(Jan!I137, Feb!I137, Mar!I137)</f>
        <v>-2876.8537793900991</v>
      </c>
      <c r="J137" s="16">
        <f t="shared" si="11"/>
        <v>-0.10904693101398519</v>
      </c>
      <c r="K137" s="39"/>
      <c r="L137" s="40"/>
    </row>
    <row r="138" spans="1:12" ht="15.75">
      <c r="A138" s="25" t="str">
        <v>Ridgeway #2</v>
      </c>
      <c r="B138" s="26" t="str">
        <v>NY</v>
      </c>
      <c r="C138" s="26" t="str">
        <f>Sites[[#This Row],[SOL'#]]</f>
        <v>SOL-11027</v>
      </c>
      <c r="D138" s="21">
        <f>SUM(Jan!D138, Feb!D138, Mar!D138)</f>
        <v>330777</v>
      </c>
      <c r="E138" s="11">
        <f>SUM(Jan!E138, Feb!E138, Mar!E138)</f>
        <v>0</v>
      </c>
      <c r="F138" s="11">
        <f t="shared" si="9"/>
        <v>330777</v>
      </c>
      <c r="G138" s="12" t="str">
        <f t="shared" si="10"/>
        <v/>
      </c>
      <c r="H138" s="13">
        <f>SUM(Jan!H138, Feb!H138, Mar!H138)</f>
        <v>0</v>
      </c>
      <c r="I138" s="13">
        <f>SUM(Jan!I138, Feb!I138, Mar!I138)</f>
        <v>330777</v>
      </c>
      <c r="J138" s="14" t="str">
        <f t="shared" si="11"/>
        <v/>
      </c>
      <c r="K138" s="38"/>
      <c r="L138" s="38"/>
    </row>
    <row r="139" spans="1:12" ht="15.75">
      <c r="A139" s="27" t="str">
        <v>Spencer</v>
      </c>
      <c r="B139" s="28" t="str">
        <v>NY</v>
      </c>
      <c r="C139" s="28" t="str">
        <f>Sites[[#This Row],[SOL'#]]</f>
        <v>SOL-11017</v>
      </c>
      <c r="D139" s="10">
        <f>SUM(Jan!D139, Feb!D139, Mar!D139)</f>
        <v>0</v>
      </c>
      <c r="E139" s="15">
        <f>SUM(Jan!E139, Feb!E139, Mar!E139)</f>
        <v>0</v>
      </c>
      <c r="F139" s="15">
        <f t="shared" si="9"/>
        <v>0</v>
      </c>
      <c r="G139" s="16" t="str">
        <f t="shared" si="10"/>
        <v/>
      </c>
      <c r="H139" s="17">
        <f>SUM(Jan!H139, Feb!H139, Mar!H139)</f>
        <v>0</v>
      </c>
      <c r="I139" s="17">
        <f>SUM(Jan!I139, Feb!I139, Mar!I139)</f>
        <v>0</v>
      </c>
      <c r="J139" s="16" t="str">
        <f t="shared" si="11"/>
        <v/>
      </c>
      <c r="K139" s="39"/>
      <c r="L139" s="40"/>
    </row>
    <row r="140" spans="1:12" ht="15.75">
      <c r="A140" s="25" t="str">
        <v>Reisender</v>
      </c>
      <c r="B140" s="26" t="str">
        <v>NY</v>
      </c>
      <c r="C140" s="26" t="str">
        <f>Sites[[#This Row],[SOL'#]]</f>
        <v>SOL-10886</v>
      </c>
      <c r="D140" s="21">
        <f>SUM(Jan!D140, Feb!D140, Mar!D140)</f>
        <v>0</v>
      </c>
      <c r="E140" s="11">
        <f>SUM(Jan!E140, Feb!E140, Mar!E140)</f>
        <v>0</v>
      </c>
      <c r="F140" s="11">
        <f t="shared" si="9"/>
        <v>0</v>
      </c>
      <c r="G140" s="12" t="str">
        <f t="shared" si="10"/>
        <v/>
      </c>
      <c r="H140" s="13">
        <f>SUM(Jan!H140, Feb!H140, Mar!H140)</f>
        <v>0</v>
      </c>
      <c r="I140" s="13">
        <f>SUM(Jan!I140, Feb!I140, Mar!I140)</f>
        <v>0</v>
      </c>
      <c r="J140" s="14" t="str">
        <f t="shared" si="11"/>
        <v/>
      </c>
    </row>
    <row r="141" spans="1:12" ht="15.75">
      <c r="A141" s="27" t="str">
        <v>Finney</v>
      </c>
      <c r="B141" s="28" t="str">
        <v>NY</v>
      </c>
      <c r="C141" s="28" t="str">
        <f>Sites[[#This Row],[SOL'#]]</f>
        <v>SOL-10999</v>
      </c>
      <c r="D141" s="10">
        <f>SUM(Jan!D141, Feb!D141, Mar!D141)</f>
        <v>0</v>
      </c>
      <c r="E141" s="15">
        <f>SUM(Jan!E141, Feb!E141, Mar!E141)</f>
        <v>0</v>
      </c>
      <c r="F141" s="15">
        <f t="shared" si="9"/>
        <v>0</v>
      </c>
      <c r="G141" s="16" t="str">
        <f t="shared" si="10"/>
        <v/>
      </c>
      <c r="H141" s="17">
        <f>SUM(Jan!H141, Feb!H141, Mar!H141)</f>
        <v>0</v>
      </c>
      <c r="I141" s="17">
        <f>SUM(Jan!I141, Feb!I141, Mar!I141)</f>
        <v>0</v>
      </c>
      <c r="J141" s="16" t="str">
        <f t="shared" si="11"/>
        <v/>
      </c>
    </row>
    <row r="142" spans="1:12" ht="15.75">
      <c r="A142" s="25" t="str">
        <v>Davis Solar</v>
      </c>
      <c r="B142" s="26" t="str">
        <v>NY</v>
      </c>
      <c r="C142" s="26" t="str">
        <f>Sites[[#This Row],[SOL'#]]</f>
        <v>SOL-10958</v>
      </c>
      <c r="D142" s="21">
        <f>SUM(Jan!D142, Feb!D142, Mar!D142)</f>
        <v>0</v>
      </c>
      <c r="E142" s="11">
        <f>SUM(Jan!E142, Feb!E142, Mar!E142)</f>
        <v>0</v>
      </c>
      <c r="F142" s="11">
        <f t="shared" si="9"/>
        <v>0</v>
      </c>
      <c r="G142" s="12" t="str">
        <f t="shared" si="10"/>
        <v/>
      </c>
      <c r="H142" s="13">
        <f>SUM(Jan!H142, Feb!H142, Mar!H142)</f>
        <v>0</v>
      </c>
      <c r="I142" s="13">
        <f>SUM(Jan!I142, Feb!I142, Mar!I142)</f>
        <v>0</v>
      </c>
      <c r="J142" s="14" t="str">
        <f t="shared" si="11"/>
        <v/>
      </c>
    </row>
    <row r="143" spans="1:12" ht="15.75">
      <c r="A143" s="27" t="str">
        <v>Genesee</v>
      </c>
      <c r="B143" s="28" t="str">
        <v>NY</v>
      </c>
      <c r="C143" s="28" t="str">
        <f>Sites[[#This Row],[SOL'#]]</f>
        <v>SOL-10951</v>
      </c>
      <c r="D143" s="10">
        <f>SUM(Jan!D143, Feb!D143, Mar!D143)</f>
        <v>0</v>
      </c>
      <c r="E143" s="15">
        <f>SUM(Jan!E143, Feb!E143, Mar!E143)</f>
        <v>0</v>
      </c>
      <c r="F143" s="15">
        <f t="shared" si="9"/>
        <v>0</v>
      </c>
      <c r="G143" s="16" t="str">
        <f t="shared" si="10"/>
        <v/>
      </c>
      <c r="H143" s="17">
        <f>SUM(Jan!H143, Feb!H143, Mar!H143)</f>
        <v>0</v>
      </c>
      <c r="I143" s="17">
        <f>SUM(Jan!I143, Feb!I143, Mar!I143)</f>
        <v>0</v>
      </c>
      <c r="J143" s="16" t="str">
        <f t="shared" si="11"/>
        <v/>
      </c>
    </row>
    <row r="144" spans="1:12" ht="15.75">
      <c r="A144" s="25" t="str">
        <v>Landau I</v>
      </c>
      <c r="B144" s="26" t="str">
        <v>NY</v>
      </c>
      <c r="C144" s="26" t="str">
        <f>Sites[[#This Row],[SOL'#]]</f>
        <v>SOL-10891</v>
      </c>
      <c r="D144" s="21">
        <f>SUM(Jan!D144, Feb!D144, Mar!D144)</f>
        <v>0</v>
      </c>
      <c r="E144" s="11">
        <f>SUM(Jan!E144, Feb!E144, Mar!E144)</f>
        <v>0</v>
      </c>
      <c r="F144" s="11">
        <f t="shared" si="9"/>
        <v>0</v>
      </c>
      <c r="G144" s="12" t="str">
        <f t="shared" si="10"/>
        <v/>
      </c>
      <c r="H144" s="13">
        <f>SUM(Jan!H144, Feb!H144, Mar!H144)</f>
        <v>0</v>
      </c>
      <c r="I144" s="13">
        <f>SUM(Jan!I144, Feb!I144, Mar!I144)</f>
        <v>0</v>
      </c>
      <c r="J144" s="14" t="str">
        <f t="shared" si="11"/>
        <v/>
      </c>
    </row>
    <row r="145" spans="1:10" ht="15.75">
      <c r="A145" s="27" t="str">
        <v>Landau II</v>
      </c>
      <c r="B145" s="28" t="str">
        <v>NY</v>
      </c>
      <c r="C145" s="28" t="str">
        <f>Sites[[#This Row],[SOL'#]]</f>
        <v>SOL-10895</v>
      </c>
      <c r="D145" s="10">
        <f>SUM(Jan!D145, Feb!D145, Mar!D145)</f>
        <v>0</v>
      </c>
      <c r="E145" s="15">
        <f>SUM(Jan!E145, Feb!E145, Mar!E145)</f>
        <v>0</v>
      </c>
      <c r="F145" s="15">
        <f t="shared" si="9"/>
        <v>0</v>
      </c>
      <c r="G145" s="16" t="str">
        <f t="shared" si="10"/>
        <v/>
      </c>
      <c r="H145" s="17">
        <f>SUM(Jan!H145, Feb!H145, Mar!H145)</f>
        <v>0</v>
      </c>
      <c r="I145" s="17">
        <f>SUM(Jan!I145, Feb!I145, Mar!I145)</f>
        <v>0</v>
      </c>
      <c r="J145" s="16" t="str">
        <f t="shared" si="11"/>
        <v/>
      </c>
    </row>
    <row r="146" spans="1:10" ht="15.75">
      <c r="A146" s="25" t="str">
        <v>New Beginnings</v>
      </c>
      <c r="B146" s="26" t="str">
        <v>NY</v>
      </c>
      <c r="C146" s="26" t="str">
        <f>Sites[[#This Row],[SOL'#]]</f>
        <v>SOL-10890</v>
      </c>
      <c r="D146" s="21">
        <f>SUM(Jan!D146, Feb!D146, Mar!D146)</f>
        <v>0</v>
      </c>
      <c r="E146" s="11">
        <f>SUM(Jan!E146, Feb!E146, Mar!E146)</f>
        <v>0</v>
      </c>
      <c r="F146" s="11">
        <f t="shared" ref="F146:F159" si="12">IF(AND(ISNUMBER(D146),ISNUMBER(E146)), D146-E146, "")</f>
        <v>0</v>
      </c>
      <c r="G146" s="12" t="str">
        <f t="shared" ref="G146:G159" si="13">IFERROR(F146/E146, "")</f>
        <v/>
      </c>
      <c r="H146" s="13">
        <f>SUM(Jan!H146, Feb!H146, Mar!H146)</f>
        <v>0</v>
      </c>
      <c r="I146" s="13">
        <f>SUM(Jan!I146, Feb!I146, Mar!I146)</f>
        <v>0</v>
      </c>
      <c r="J146" s="14" t="str">
        <f t="shared" ref="J146:J159" si="14">IFERROR(I146/H146, "")</f>
        <v/>
      </c>
    </row>
    <row r="147" spans="1:10" ht="15.75">
      <c r="A147" s="27" t="str">
        <v>Guilin Farm Solar</v>
      </c>
      <c r="B147" s="28" t="str">
        <v>NY</v>
      </c>
      <c r="C147" s="28" t="str">
        <f>Sites[[#This Row],[SOL'#]]</f>
        <v>SOL-10998</v>
      </c>
      <c r="D147" s="10">
        <f>SUM(Jan!D147, Feb!D147, Mar!D147)</f>
        <v>0</v>
      </c>
      <c r="E147" s="15">
        <f>SUM(Jan!E147, Feb!E147, Mar!E147)</f>
        <v>0</v>
      </c>
      <c r="F147" s="15">
        <f t="shared" si="12"/>
        <v>0</v>
      </c>
      <c r="G147" s="16" t="str">
        <f t="shared" si="13"/>
        <v/>
      </c>
      <c r="H147" s="17">
        <f>SUM(Jan!H147, Feb!H147, Mar!H147)</f>
        <v>0</v>
      </c>
      <c r="I147" s="17">
        <f>SUM(Jan!I147, Feb!I147, Mar!I147)</f>
        <v>0</v>
      </c>
      <c r="J147" s="16" t="str">
        <f t="shared" si="14"/>
        <v/>
      </c>
    </row>
    <row r="148" spans="1:10" ht="15.75">
      <c r="A148" s="25" t="str">
        <v>Brodhead Solar</v>
      </c>
      <c r="B148" s="26" t="str">
        <v>NY</v>
      </c>
      <c r="C148" s="26" t="str">
        <f>Sites[[#This Row],[SOL'#]]</f>
        <v>SOL-10899</v>
      </c>
      <c r="D148" s="21">
        <f>SUM(Jan!D148, Feb!D148, Mar!D148)</f>
        <v>0</v>
      </c>
      <c r="E148" s="11">
        <f>SUM(Jan!E148, Feb!E148, Mar!E148)</f>
        <v>0</v>
      </c>
      <c r="F148" s="11">
        <f t="shared" si="12"/>
        <v>0</v>
      </c>
      <c r="G148" s="12" t="str">
        <f t="shared" si="13"/>
        <v/>
      </c>
      <c r="H148" s="13">
        <f>SUM(Jan!H148, Feb!H148, Mar!H148)</f>
        <v>0</v>
      </c>
      <c r="I148" s="13">
        <f>SUM(Jan!I148, Feb!I148, Mar!I148)</f>
        <v>0</v>
      </c>
      <c r="J148" s="14" t="str">
        <f t="shared" si="14"/>
        <v/>
      </c>
    </row>
    <row r="149" spans="1:10" ht="15.75">
      <c r="A149" s="27" t="str">
        <v>Svenski</v>
      </c>
      <c r="B149" s="28" t="str">
        <v>NY</v>
      </c>
      <c r="C149" s="28" t="str">
        <f>Sites[[#This Row],[SOL'#]]</f>
        <v>SOL-10894</v>
      </c>
      <c r="D149" s="10">
        <f>SUM(Jan!D149, Feb!D149, Mar!D149)</f>
        <v>0</v>
      </c>
      <c r="E149" s="15">
        <f>SUM(Jan!E149, Feb!E149, Mar!E149)</f>
        <v>0</v>
      </c>
      <c r="F149" s="15">
        <f t="shared" si="12"/>
        <v>0</v>
      </c>
      <c r="G149" s="16" t="str">
        <f t="shared" si="13"/>
        <v/>
      </c>
      <c r="H149" s="17">
        <f>SUM(Jan!H149, Feb!H149, Mar!H149)</f>
        <v>0</v>
      </c>
      <c r="I149" s="17">
        <f>SUM(Jan!I149, Feb!I149, Mar!I149)</f>
        <v>0</v>
      </c>
      <c r="J149" s="16" t="str">
        <f t="shared" si="14"/>
        <v/>
      </c>
    </row>
    <row r="150" spans="1:10" ht="15.75">
      <c r="A150" s="25" t="str">
        <v>Bantam</v>
      </c>
      <c r="B150" s="26" t="str">
        <v>NY</v>
      </c>
      <c r="C150" s="26" t="str">
        <f>Sites[[#This Row],[SOL'#]]</f>
        <v>SOL-10986</v>
      </c>
      <c r="D150" s="21">
        <f>SUM(Jan!D150, Feb!D150, Mar!D150)</f>
        <v>0</v>
      </c>
      <c r="E150" s="11">
        <f>SUM(Jan!E150, Feb!E150, Mar!E150)</f>
        <v>0</v>
      </c>
      <c r="F150" s="11">
        <f t="shared" si="12"/>
        <v>0</v>
      </c>
      <c r="G150" s="12" t="str">
        <f t="shared" si="13"/>
        <v/>
      </c>
      <c r="H150" s="13">
        <f>SUM(Jan!H150, Feb!H150, Mar!H150)</f>
        <v>0</v>
      </c>
      <c r="I150" s="13">
        <f>SUM(Jan!I150, Feb!I150, Mar!I150)</f>
        <v>0</v>
      </c>
      <c r="J150" s="14" t="str">
        <f t="shared" si="14"/>
        <v/>
      </c>
    </row>
    <row r="151" spans="1:10" ht="15.75">
      <c r="A151" s="27" t="str">
        <v>Bogart</v>
      </c>
      <c r="B151" s="28" t="str">
        <v>NY</v>
      </c>
      <c r="C151" s="28" t="str">
        <f>Sites[[#This Row],[SOL'#]]</f>
        <v>SOL-10887</v>
      </c>
      <c r="D151" s="10">
        <f>SUM(Jan!D151, Feb!D151, Mar!D151)</f>
        <v>0</v>
      </c>
      <c r="E151" s="15">
        <f>SUM(Jan!E151, Feb!E151, Mar!E151)</f>
        <v>0</v>
      </c>
      <c r="F151" s="15">
        <f t="shared" si="12"/>
        <v>0</v>
      </c>
      <c r="G151" s="16" t="str">
        <f t="shared" si="13"/>
        <v/>
      </c>
      <c r="H151" s="17">
        <f>SUM(Jan!H151, Feb!H151, Mar!H151)</f>
        <v>0</v>
      </c>
      <c r="I151" s="17">
        <f>SUM(Jan!I151, Feb!I151, Mar!I151)</f>
        <v>0</v>
      </c>
      <c r="J151" s="16" t="str">
        <f t="shared" si="14"/>
        <v/>
      </c>
    </row>
    <row r="152" spans="1:10" ht="15.75">
      <c r="A152" s="25" t="str">
        <v>Dubois</v>
      </c>
      <c r="B152" s="26" t="str">
        <v>NY</v>
      </c>
      <c r="C152" s="26" t="str">
        <f>Sites[[#This Row],[SOL'#]]</f>
        <v>SOL-10892</v>
      </c>
      <c r="D152" s="21">
        <f>SUM(Jan!D152, Feb!D152, Mar!D152)</f>
        <v>0</v>
      </c>
      <c r="E152" s="11">
        <f>SUM(Jan!E152, Feb!E152, Mar!E152)</f>
        <v>0</v>
      </c>
      <c r="F152" s="11">
        <f t="shared" si="12"/>
        <v>0</v>
      </c>
      <c r="G152" s="12" t="str">
        <f t="shared" si="13"/>
        <v/>
      </c>
      <c r="H152" s="13">
        <f>SUM(Jan!H152, Feb!H152, Mar!H152)</f>
        <v>0</v>
      </c>
      <c r="I152" s="13">
        <f>SUM(Jan!I152, Feb!I152, Mar!I152)</f>
        <v>0</v>
      </c>
      <c r="J152" s="14" t="str">
        <f t="shared" si="14"/>
        <v/>
      </c>
    </row>
    <row r="153" spans="1:10" ht="15.75">
      <c r="A153" s="27" t="str">
        <v>Salt Point</v>
      </c>
      <c r="B153" s="28" t="str">
        <v>NY</v>
      </c>
      <c r="C153" s="28" t="str">
        <f>Sites[[#This Row],[SOL'#]]</f>
        <v>SOL-10888</v>
      </c>
      <c r="D153" s="10">
        <f>SUM(Jan!D153, Feb!D153, Mar!D153)</f>
        <v>0</v>
      </c>
      <c r="E153" s="15">
        <f>SUM(Jan!E153, Feb!E153, Mar!E153)</f>
        <v>0</v>
      </c>
      <c r="F153" s="15">
        <f t="shared" si="12"/>
        <v>0</v>
      </c>
      <c r="G153" s="16" t="str">
        <f t="shared" si="13"/>
        <v/>
      </c>
      <c r="H153" s="17">
        <f>SUM(Jan!H153, Feb!H153, Mar!H153)</f>
        <v>0</v>
      </c>
      <c r="I153" s="17">
        <f>SUM(Jan!I153, Feb!I153, Mar!I153)</f>
        <v>0</v>
      </c>
      <c r="J153" s="16" t="str">
        <f t="shared" si="14"/>
        <v/>
      </c>
    </row>
    <row r="154" spans="1:10" ht="15.75">
      <c r="A154" s="25" t="str">
        <v>Wheatland 2A</v>
      </c>
      <c r="B154" s="26" t="str">
        <v>NY</v>
      </c>
      <c r="C154" s="26" t="str">
        <f>Sites[[#This Row],[SOL'#]]</f>
        <v>SOL-10971</v>
      </c>
      <c r="D154" s="21">
        <f>SUM(Jan!D154, Feb!D154, Mar!D154)</f>
        <v>0</v>
      </c>
      <c r="E154" s="11">
        <f>SUM(Jan!E154, Feb!E154, Mar!E154)</f>
        <v>0</v>
      </c>
      <c r="F154" s="11">
        <f t="shared" si="12"/>
        <v>0</v>
      </c>
      <c r="G154" s="12" t="str">
        <f t="shared" si="13"/>
        <v/>
      </c>
      <c r="H154" s="13">
        <f>SUM(Jan!H154, Feb!H154, Mar!H154)</f>
        <v>0</v>
      </c>
      <c r="I154" s="13">
        <f>SUM(Jan!I154, Feb!I154, Mar!I154)</f>
        <v>0</v>
      </c>
      <c r="J154" s="14" t="str">
        <f t="shared" si="14"/>
        <v/>
      </c>
    </row>
    <row r="155" spans="1:10" ht="15.75">
      <c r="A155" s="27" t="str">
        <v>Wheatland 2B</v>
      </c>
      <c r="B155" s="28" t="str">
        <v>NY</v>
      </c>
      <c r="C155" s="28" t="str">
        <f>Sites[[#This Row],[SOL'#]]</f>
        <v>SOL-10961</v>
      </c>
      <c r="D155" s="10">
        <f>SUM(Jan!D155, Feb!D155, Mar!D155)</f>
        <v>0</v>
      </c>
      <c r="E155" s="15">
        <f>SUM(Jan!E155, Feb!E155, Mar!E155)</f>
        <v>0</v>
      </c>
      <c r="F155" s="15">
        <f t="shared" si="12"/>
        <v>0</v>
      </c>
      <c r="G155" s="16" t="str">
        <f t="shared" si="13"/>
        <v/>
      </c>
      <c r="H155" s="17">
        <f>SUM(Jan!H155, Feb!H155, Mar!H155)</f>
        <v>0</v>
      </c>
      <c r="I155" s="17">
        <f>SUM(Jan!I155, Feb!I155, Mar!I155)</f>
        <v>0</v>
      </c>
      <c r="J155" s="16" t="str">
        <f t="shared" si="14"/>
        <v/>
      </c>
    </row>
    <row r="156" spans="1:10" ht="15.75">
      <c r="A156" s="25" t="str">
        <v>Brickchurch</v>
      </c>
      <c r="B156" s="26" t="str">
        <v>NY</v>
      </c>
      <c r="C156" s="26" t="str">
        <f>Sites[[#This Row],[SOL'#]]</f>
        <v>SOL-10889</v>
      </c>
      <c r="D156" s="21">
        <f>SUM(Jan!D156, Feb!D156, Mar!D156)</f>
        <v>0</v>
      </c>
      <c r="E156" s="11">
        <f>SUM(Jan!E156, Feb!E156, Mar!E156)</f>
        <v>0</v>
      </c>
      <c r="F156" s="11">
        <f t="shared" si="12"/>
        <v>0</v>
      </c>
      <c r="G156" s="12" t="str">
        <f t="shared" si="13"/>
        <v/>
      </c>
      <c r="H156" s="13">
        <f>SUM(Jan!H156, Feb!H156, Mar!H156)</f>
        <v>0</v>
      </c>
      <c r="I156" s="13">
        <f>SUM(Jan!I156, Feb!I156, Mar!I156)</f>
        <v>0</v>
      </c>
      <c r="J156" s="14" t="str">
        <f t="shared" si="14"/>
        <v/>
      </c>
    </row>
    <row r="157" spans="1:10" ht="15.75">
      <c r="A157" s="27" t="str">
        <v>McCarthy Solar</v>
      </c>
      <c r="B157" s="28" t="str">
        <v>NY</v>
      </c>
      <c r="C157" s="28" t="str">
        <f>Sites[[#This Row],[SOL'#]]</f>
        <v>SOL-10992</v>
      </c>
      <c r="D157" s="10">
        <f>SUM(Jan!D157, Feb!D157, Mar!D157)</f>
        <v>0</v>
      </c>
      <c r="E157" s="15">
        <f>SUM(Jan!E157, Feb!E157, Mar!E157)</f>
        <v>0</v>
      </c>
      <c r="F157" s="15">
        <f t="shared" si="12"/>
        <v>0</v>
      </c>
      <c r="G157" s="16" t="str">
        <f t="shared" si="13"/>
        <v/>
      </c>
      <c r="H157" s="17">
        <f>SUM(Jan!H157, Feb!H157, Mar!H157)</f>
        <v>0</v>
      </c>
      <c r="I157" s="17">
        <f>SUM(Jan!I157, Feb!I157, Mar!I157)</f>
        <v>0</v>
      </c>
      <c r="J157" s="16" t="str">
        <f t="shared" si="14"/>
        <v/>
      </c>
    </row>
    <row r="158" spans="1:10" ht="15.75">
      <c r="A158" s="25" t="str">
        <v>Costanza</v>
      </c>
      <c r="B158" s="26" t="str">
        <v>NY</v>
      </c>
      <c r="C158" s="26" t="str">
        <f>Sites[[#This Row],[SOL'#]]</f>
        <v>SOL-10907</v>
      </c>
      <c r="D158" s="21">
        <f>SUM(Jan!D158, Feb!D158, Mar!D158)</f>
        <v>0</v>
      </c>
      <c r="E158" s="11">
        <f>SUM(Jan!E158, Feb!E158, Mar!E158)</f>
        <v>0</v>
      </c>
      <c r="F158" s="11">
        <f t="shared" si="12"/>
        <v>0</v>
      </c>
      <c r="G158" s="12" t="str">
        <f t="shared" si="13"/>
        <v/>
      </c>
      <c r="H158" s="13">
        <f>SUM(Jan!H158, Feb!H158, Mar!H158)</f>
        <v>0</v>
      </c>
      <c r="I158" s="13">
        <f>SUM(Jan!I158, Feb!I158, Mar!I158)</f>
        <v>0</v>
      </c>
      <c r="J158" s="14" t="str">
        <f t="shared" si="14"/>
        <v/>
      </c>
    </row>
    <row r="159" spans="1:10" ht="15.75">
      <c r="A159" s="27" t="str">
        <v>Lockenhurst Pond</v>
      </c>
      <c r="B159" s="28" t="str">
        <v>NY</v>
      </c>
      <c r="C159" s="28" t="str">
        <f>Sites[[#This Row],[SOL'#]]</f>
        <v>SOL-11000</v>
      </c>
      <c r="D159" s="10">
        <f>SUM(Jan!D159, Feb!D159, Mar!D159)</f>
        <v>0</v>
      </c>
      <c r="E159" s="15">
        <f>SUM(Jan!E159, Feb!E159, Mar!E159)</f>
        <v>0</v>
      </c>
      <c r="F159" s="15">
        <f t="shared" si="12"/>
        <v>0</v>
      </c>
      <c r="G159" s="16" t="str">
        <f t="shared" si="13"/>
        <v/>
      </c>
      <c r="H159" s="17">
        <f>SUM(Jan!H159, Feb!H159, Mar!H159)</f>
        <v>0</v>
      </c>
      <c r="I159" s="17">
        <f>SUM(Jan!I159, Feb!I159, Mar!I159)</f>
        <v>0</v>
      </c>
      <c r="J159" s="16" t="str">
        <f t="shared" si="14"/>
        <v/>
      </c>
    </row>
    <row r="160" spans="1:10" ht="15.75">
      <c r="A160" s="25" t="str">
        <v>Drinkwater</v>
      </c>
      <c r="B160" s="26" t="str">
        <v>NY</v>
      </c>
      <c r="C160" s="26" t="str">
        <f>Sites[[#This Row],[SOL'#]]</f>
        <v>SOL-10896</v>
      </c>
      <c r="D160" s="21">
        <f>SUM(Jan!D160, Feb!D160, Mar!D160)</f>
        <v>0</v>
      </c>
      <c r="E160" s="11">
        <f>SUM(Jan!E160, Feb!E160, Mar!E160)</f>
        <v>0</v>
      </c>
      <c r="F160" s="11">
        <f t="shared" ref="F160:F161" si="15">IF(AND(ISNUMBER(D160),ISNUMBER(E160)), D160-E160, "")</f>
        <v>0</v>
      </c>
      <c r="G160" s="12" t="str">
        <f t="shared" ref="G160:G161" si="16">IFERROR(F160/E160, "")</f>
        <v/>
      </c>
      <c r="H160" s="13">
        <f>SUM(Jan!H160, Feb!H160, Mar!H160)</f>
        <v>0</v>
      </c>
      <c r="I160" s="13">
        <f>SUM(Jan!I160, Feb!I160, Mar!I160)</f>
        <v>0</v>
      </c>
      <c r="J160" s="14" t="str">
        <f t="shared" ref="J160:J161" si="17">IFERROR(I160/H160, "")</f>
        <v/>
      </c>
    </row>
    <row r="161" spans="1:10" ht="15.75">
      <c r="A161" s="27" t="str">
        <v>Altamont</v>
      </c>
      <c r="B161" s="28" t="str">
        <v>NY</v>
      </c>
      <c r="C161" s="28" t="s">
        <v>11</v>
      </c>
      <c r="D161" s="10">
        <f>SUM(Jan!D161, Feb!D161, Mar!D161)</f>
        <v>0</v>
      </c>
      <c r="E161" s="15">
        <f>SUM(Jan!E161, Feb!E161, Mar!E161)</f>
        <v>0</v>
      </c>
      <c r="F161" s="15">
        <f t="shared" si="15"/>
        <v>0</v>
      </c>
      <c r="G161" s="16" t="str">
        <f t="shared" si="16"/>
        <v/>
      </c>
      <c r="H161" s="17">
        <f>SUM(Jan!H161, Feb!H161, Mar!H161)</f>
        <v>0</v>
      </c>
      <c r="I161" s="17">
        <f>SUM(Jan!I161, Feb!I161, Mar!I161)</f>
        <v>0</v>
      </c>
      <c r="J161" s="16" t="str">
        <f t="shared" si="17"/>
        <v/>
      </c>
    </row>
    <row r="162" spans="1:10" ht="13.15">
      <c r="A162" s="18"/>
      <c r="B162" s="18"/>
      <c r="C162" s="18"/>
      <c r="D162" s="18"/>
      <c r="E162" s="18"/>
      <c r="F162" s="18"/>
      <c r="G162" s="19"/>
      <c r="H162" s="18"/>
      <c r="I162" s="18"/>
      <c r="J162" s="19"/>
    </row>
    <row r="163" spans="1:10" ht="13.15">
      <c r="A163" s="18"/>
      <c r="B163" s="18"/>
      <c r="C163" s="18"/>
      <c r="D163" s="18"/>
      <c r="E163" s="18"/>
      <c r="F163" s="18"/>
      <c r="G163" s="19"/>
      <c r="H163" s="18"/>
      <c r="I163" s="18"/>
      <c r="J163" s="19"/>
    </row>
    <row r="164" spans="1:10" ht="13.15">
      <c r="A164" s="18"/>
      <c r="B164" s="18"/>
      <c r="C164" s="18"/>
      <c r="D164" s="18"/>
      <c r="E164" s="18"/>
      <c r="F164" s="18"/>
      <c r="G164" s="19"/>
      <c r="H164" s="18"/>
      <c r="I164" s="18"/>
      <c r="J164" s="19"/>
    </row>
    <row r="165" spans="1:10" ht="13.15">
      <c r="A165" s="18"/>
      <c r="B165" s="18"/>
      <c r="C165" s="18"/>
      <c r="D165" s="18"/>
      <c r="E165" s="18"/>
      <c r="F165" s="18"/>
      <c r="G165" s="19"/>
      <c r="H165" s="18"/>
      <c r="I165" s="18"/>
      <c r="J165" s="19"/>
    </row>
    <row r="166" spans="1:10" ht="13.15">
      <c r="A166" s="18"/>
      <c r="B166" s="18"/>
      <c r="C166" s="18"/>
      <c r="D166" s="18"/>
      <c r="E166" s="18"/>
      <c r="F166" s="18"/>
      <c r="G166" s="19"/>
      <c r="H166" s="18"/>
      <c r="I166" s="18"/>
      <c r="J166" s="19"/>
    </row>
    <row r="167" spans="1:10" ht="13.15">
      <c r="A167" s="18"/>
      <c r="B167" s="18"/>
      <c r="C167" s="18"/>
      <c r="D167" s="18"/>
      <c r="E167" s="18"/>
      <c r="F167" s="18"/>
      <c r="G167" s="19"/>
      <c r="H167" s="18"/>
      <c r="I167" s="18"/>
      <c r="J167" s="19"/>
    </row>
    <row r="168" spans="1:10" ht="13.15">
      <c r="A168" s="18"/>
      <c r="B168" s="18"/>
      <c r="C168" s="18"/>
      <c r="D168" s="18"/>
      <c r="E168" s="18"/>
      <c r="F168" s="18"/>
      <c r="G168" s="19"/>
      <c r="H168" s="18"/>
      <c r="I168" s="18"/>
      <c r="J168" s="19"/>
    </row>
    <row r="169" spans="1:10" ht="13.15">
      <c r="A169" s="18"/>
      <c r="B169" s="18"/>
      <c r="C169" s="18"/>
      <c r="D169" s="18"/>
      <c r="E169" s="18"/>
      <c r="F169" s="18"/>
      <c r="G169" s="19"/>
      <c r="H169" s="18"/>
      <c r="I169" s="18"/>
      <c r="J169" s="19"/>
    </row>
    <row r="170" spans="1:10" ht="13.15">
      <c r="A170" s="18"/>
      <c r="B170" s="18"/>
      <c r="C170" s="18"/>
      <c r="D170" s="18"/>
      <c r="E170" s="18"/>
      <c r="F170" s="18"/>
      <c r="G170" s="19"/>
      <c r="H170" s="18"/>
      <c r="I170" s="18"/>
      <c r="J170" s="19"/>
    </row>
    <row r="171" spans="1:10" ht="13.15">
      <c r="A171" s="18"/>
      <c r="B171" s="18"/>
      <c r="C171" s="18"/>
      <c r="D171" s="18"/>
      <c r="E171" s="18"/>
      <c r="F171" s="18"/>
      <c r="G171" s="19"/>
      <c r="H171" s="18"/>
      <c r="I171" s="18"/>
      <c r="J171" s="19"/>
    </row>
    <row r="172" spans="1:10" ht="13.15">
      <c r="A172" s="18"/>
      <c r="B172" s="18"/>
      <c r="C172" s="18"/>
      <c r="D172" s="18"/>
      <c r="E172" s="18"/>
      <c r="F172" s="18"/>
      <c r="G172" s="19"/>
      <c r="H172" s="18"/>
      <c r="I172" s="18"/>
      <c r="J172" s="19"/>
    </row>
    <row r="173" spans="1:10" ht="13.15">
      <c r="A173" s="18"/>
      <c r="B173" s="18"/>
      <c r="C173" s="18"/>
      <c r="D173" s="18"/>
      <c r="E173" s="18"/>
      <c r="F173" s="18"/>
      <c r="G173" s="19"/>
      <c r="H173" s="18"/>
      <c r="I173" s="18"/>
      <c r="J173" s="19"/>
    </row>
    <row r="174" spans="1:10" ht="13.15">
      <c r="A174" s="18"/>
      <c r="B174" s="18"/>
      <c r="C174" s="18"/>
      <c r="D174" s="18"/>
      <c r="E174" s="18"/>
      <c r="F174" s="18"/>
      <c r="G174" s="19"/>
      <c r="H174" s="18"/>
      <c r="I174" s="18"/>
      <c r="J174" s="19"/>
    </row>
    <row r="175" spans="1:10" ht="13.15">
      <c r="A175" s="18"/>
      <c r="B175" s="18"/>
      <c r="C175" s="18"/>
      <c r="D175" s="18"/>
      <c r="E175" s="18"/>
      <c r="F175" s="18"/>
      <c r="G175" s="19"/>
      <c r="H175" s="18"/>
      <c r="I175" s="18"/>
      <c r="J175" s="19"/>
    </row>
    <row r="176" spans="1:10"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sortState xmlns:xlrd2="http://schemas.microsoft.com/office/spreadsheetml/2017/richdata2" ref="A3:J3">
    <sortCondition ref="A3"/>
  </sortState>
  <mergeCells count="4">
    <mergeCell ref="H1:J1"/>
    <mergeCell ref="A1:D1"/>
    <mergeCell ref="E1:G1"/>
    <mergeCell ref="A2:B2"/>
  </mergeCells>
  <conditionalFormatting sqref="G2 J2">
    <cfRule type="cellIs" dxfId="70" priority="7" stopIfTrue="1" operator="lessThanOrEqual">
      <formula>-0.1</formula>
    </cfRule>
    <cfRule type="expression" dxfId="69" priority="8">
      <formula>AND(ISNUMBER(G2), G2&gt;=0.1)</formula>
    </cfRule>
  </conditionalFormatting>
  <conditionalFormatting sqref="G4:G161 J4:J161">
    <cfRule type="cellIs" dxfId="68" priority="3" stopIfTrue="1" operator="lessThanOrEqual">
      <formula>-0.1</formula>
    </cfRule>
    <cfRule type="expression" dxfId="67" priority="4">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L342"/>
  <sheetViews>
    <sheetView workbookViewId="0">
      <pane xSplit="2" ySplit="3" topLeftCell="H4" activePane="bottomRight" state="frozen"/>
      <selection pane="bottomRight" activeCell="H4" sqref="H4"/>
      <selection pane="bottomLeft" activeCell="C2" sqref="C1:C1048576"/>
      <selection pane="topRight" activeCell="C2" sqref="C1:C1048576"/>
    </sheetView>
  </sheetViews>
  <sheetFormatPr defaultRowHeight="12.7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23" t="str" cm="1">
        <f t="array" ref="A1">portfolio</f>
        <v>Generate Capital</v>
      </c>
      <c r="B1" s="123"/>
      <c r="C1" s="123"/>
      <c r="D1" s="123"/>
      <c r="E1" s="124" t="s">
        <v>14</v>
      </c>
      <c r="F1" s="124"/>
      <c r="G1" s="124"/>
      <c r="H1" s="122" t="s">
        <v>15</v>
      </c>
      <c r="I1" s="122"/>
      <c r="J1" s="122"/>
    </row>
    <row r="2" spans="1:12" ht="19.5" customHeight="1">
      <c r="A2" s="125" t="s">
        <v>2</v>
      </c>
      <c r="B2" s="125"/>
      <c r="C2" s="72"/>
      <c r="D2" s="6">
        <f>SUM(D4:D200)</f>
        <v>96456884.723289564</v>
      </c>
      <c r="E2" s="6">
        <f>SUM(E4:E100)</f>
        <v>23057192.655999996</v>
      </c>
      <c r="F2" s="6">
        <f>D2-E2</f>
        <v>73399692.067289561</v>
      </c>
      <c r="G2" s="7">
        <f>IFERROR(F2/E2, 0)</f>
        <v>3.1833750605449067</v>
      </c>
      <c r="H2" s="6">
        <f>SUM(H4:H200)</f>
        <v>52985925.133999988</v>
      </c>
      <c r="I2" s="8">
        <f>D2-H2</f>
        <v>43470959.589289576</v>
      </c>
      <c r="J2" s="7">
        <f>IFERROR(I2/H2, 0)</f>
        <v>0.82042465955539479</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1">Sites[Site]</f>
        <v>Farmer</v>
      </c>
      <c r="B4" s="26" t="str" cm="1">
        <f t="array" ref="B4:B161">Sites[State]</f>
        <v>AZ</v>
      </c>
      <c r="C4" s="26" t="str">
        <f>Sites[[#This Row],[SOL'#]]</f>
        <v>SOL-10748</v>
      </c>
      <c r="D4" s="21">
        <f>SUM(Apr!D4, May!D4, Jun!D4)</f>
        <v>43015.621250894204</v>
      </c>
      <c r="E4" s="11">
        <f>SUM(Apr!E4, May!E4, Jun!E4)</f>
        <v>25676.862999999998</v>
      </c>
      <c r="F4" s="11">
        <f>IF(AND(ISNUMBER(D4),ISNUMBER(E4)), D4-E4, "")</f>
        <v>17338.758250894207</v>
      </c>
      <c r="G4" s="12">
        <f>IFERROR(F4/E4, "")</f>
        <v>0.67526777904661517</v>
      </c>
      <c r="H4" s="13">
        <f>SUM(Apr!H4, May!H4, Jun!H4)</f>
        <v>43467.57</v>
      </c>
      <c r="I4" s="13">
        <f>SUM(Apr!I4, May!I4, Jun!I4)</f>
        <v>-451.94874910580074</v>
      </c>
      <c r="J4" s="14">
        <f>IFERROR(I4/H4, "")</f>
        <v>-1.0397377840670659E-2</v>
      </c>
      <c r="K4" s="38"/>
      <c r="L4" s="38"/>
    </row>
    <row r="5" spans="1:12" ht="15.75">
      <c r="A5" s="27" t="str">
        <v>Fulton</v>
      </c>
      <c r="B5" s="28" t="str">
        <v>AZ</v>
      </c>
      <c r="C5" s="28" t="str">
        <f>Sites[[#This Row],[SOL'#]]</f>
        <v>SOL-10749</v>
      </c>
      <c r="D5" s="10">
        <f>SUM(Apr!D5, May!D5, Jun!D5)</f>
        <v>195784.25</v>
      </c>
      <c r="E5" s="15">
        <f>SUM(Apr!E5, May!E5, Jun!E5)</f>
        <v>148661.04</v>
      </c>
      <c r="F5" s="15">
        <f t="shared" ref="F5:F15" si="0">IF(AND(ISNUMBER(D5),ISNUMBER(E5)), D5-E5, "")</f>
        <v>47123.209999999992</v>
      </c>
      <c r="G5" s="16">
        <f>IFERROR(F5/E5, "")</f>
        <v>0.31698426164649451</v>
      </c>
      <c r="H5" s="17">
        <f>SUM(Apr!H5, May!H5, Jun!H5)</f>
        <v>236616.89</v>
      </c>
      <c r="I5" s="17">
        <f>SUM(Apr!I5, May!I5, Jun!I5)</f>
        <v>-40832.639999999999</v>
      </c>
      <c r="J5" s="16">
        <f>IFERROR(I5/H5, "")</f>
        <v>-0.17256857699380632</v>
      </c>
      <c r="K5" s="39"/>
      <c r="L5" s="39"/>
    </row>
    <row r="6" spans="1:12" ht="15.75">
      <c r="A6" s="25" t="str">
        <v>JFK Elementary</v>
      </c>
      <c r="B6" s="26" t="str">
        <v>AZ</v>
      </c>
      <c r="C6" s="26" t="str">
        <f>Sites[[#This Row],[SOL'#]]</f>
        <v>SOL-10758</v>
      </c>
      <c r="D6" s="21">
        <f>SUM(Apr!D6, May!D6, Jun!D6)</f>
        <v>66638.139817835603</v>
      </c>
      <c r="E6" s="11">
        <f>SUM(Apr!E6, May!E6, Jun!E6)</f>
        <v>0</v>
      </c>
      <c r="F6" s="11">
        <f t="shared" si="0"/>
        <v>66638.139817835603</v>
      </c>
      <c r="G6" s="12" t="str">
        <f t="shared" ref="G6:G15" si="1">IFERROR(F6/E6, "")</f>
        <v/>
      </c>
      <c r="H6" s="13">
        <f>SUM(Apr!H6, May!H6, Jun!H6)</f>
        <v>7250</v>
      </c>
      <c r="I6" s="13">
        <f>SUM(Apr!I6, May!I6, Jun!I6)</f>
        <v>59388.139817835603</v>
      </c>
      <c r="J6" s="14">
        <f t="shared" ref="J6:J15" si="2">IFERROR(I6/H6, "")</f>
        <v>8.1914675610807723</v>
      </c>
      <c r="K6" s="38"/>
      <c r="L6" s="38"/>
    </row>
    <row r="7" spans="1:12" ht="15.75">
      <c r="A7" s="27" t="str">
        <v>Noble</v>
      </c>
      <c r="B7" s="28" t="str">
        <v>AZ</v>
      </c>
      <c r="C7" s="28" t="str">
        <f>Sites[[#This Row],[SOL'#]]</f>
        <v>SOL-10750</v>
      </c>
      <c r="D7" s="10">
        <f>SUM(Apr!D7, May!D7, Jun!D7)</f>
        <v>28784.114828440041</v>
      </c>
      <c r="E7" s="15">
        <f>SUM(Apr!E7, May!E7, Jun!E7)</f>
        <v>43921.953999999998</v>
      </c>
      <c r="F7" s="15">
        <f t="shared" si="0"/>
        <v>-15137.839171559957</v>
      </c>
      <c r="G7" s="16">
        <f t="shared" si="1"/>
        <v>-0.34465313568608441</v>
      </c>
      <c r="H7" s="17">
        <f>SUM(Apr!H7, May!H7, Jun!H7)</f>
        <v>48804.72</v>
      </c>
      <c r="I7" s="17">
        <f>SUM(Apr!I7, May!I7, Jun!I7)</f>
        <v>-20020.605171559961</v>
      </c>
      <c r="J7" s="16">
        <f t="shared" si="2"/>
        <v>-0.41021862581242058</v>
      </c>
      <c r="K7" s="39"/>
      <c r="L7" s="40"/>
    </row>
    <row r="8" spans="1:12" ht="15.75">
      <c r="A8" s="25" t="str">
        <v>Parking 3</v>
      </c>
      <c r="B8" s="26" t="str">
        <v>AZ</v>
      </c>
      <c r="C8" s="26" t="str">
        <f>Sites[[#This Row],[SOL'#]]</f>
        <v>SOL-10751</v>
      </c>
      <c r="D8" s="21">
        <f>SUM(Apr!D8, May!D8, Jun!D8)</f>
        <v>91309.363835714292</v>
      </c>
      <c r="E8" s="11">
        <f>SUM(Apr!E8, May!E8, Jun!E8)</f>
        <v>96716.549999999988</v>
      </c>
      <c r="F8" s="11">
        <f t="shared" si="0"/>
        <v>-5407.1861642856966</v>
      </c>
      <c r="G8" s="12">
        <f t="shared" si="1"/>
        <v>-5.5907558368094162E-2</v>
      </c>
      <c r="H8" s="13">
        <f>SUM(Apr!H8, May!H8, Jun!H8)</f>
        <v>118637.00000000001</v>
      </c>
      <c r="I8" s="13">
        <f>SUM(Apr!I8, May!I8, Jun!I8)</f>
        <v>-27327.636164285708</v>
      </c>
      <c r="J8" s="14">
        <f t="shared" si="2"/>
        <v>-0.23034665546402644</v>
      </c>
      <c r="K8" s="38"/>
      <c r="L8" s="38"/>
    </row>
    <row r="9" spans="1:12" ht="15.75">
      <c r="A9" s="27" t="str">
        <v>PE East</v>
      </c>
      <c r="B9" s="28" t="str">
        <v>AZ</v>
      </c>
      <c r="C9" s="28" t="str">
        <f>Sites[[#This Row],[SOL'#]]</f>
        <v>SOL-10752</v>
      </c>
      <c r="D9" s="10">
        <f>SUM(Apr!D9, May!D9, Jun!D9)</f>
        <v>97023.823802050392</v>
      </c>
      <c r="E9" s="15">
        <f>SUM(Apr!E9, May!E9, Jun!E9)</f>
        <v>60112.319999999992</v>
      </c>
      <c r="F9" s="15">
        <f t="shared" si="0"/>
        <v>36911.5038020504</v>
      </c>
      <c r="G9" s="16">
        <f t="shared" si="1"/>
        <v>0.61404224295536092</v>
      </c>
      <c r="H9" s="17">
        <f>SUM(Apr!H9, May!H9, Jun!H9)</f>
        <v>104768.89</v>
      </c>
      <c r="I9" s="17">
        <f>SUM(Apr!I9, May!I9, Jun!I9)</f>
        <v>-7745.066197949589</v>
      </c>
      <c r="J9" s="16">
        <f t="shared" si="2"/>
        <v>-7.3925248210127914E-2</v>
      </c>
      <c r="K9" s="39"/>
      <c r="L9" s="40"/>
    </row>
    <row r="10" spans="1:12" ht="15.75">
      <c r="A10" s="25" t="str">
        <v>Schwada</v>
      </c>
      <c r="B10" s="26" t="str">
        <v>AZ</v>
      </c>
      <c r="C10" s="26" t="str">
        <f>Sites[[#This Row],[SOL'#]]</f>
        <v>SOL-10753</v>
      </c>
      <c r="D10" s="21">
        <f>SUM(Apr!D10, May!D10, Jun!D10)</f>
        <v>43708.668732403996</v>
      </c>
      <c r="E10" s="11">
        <f>SUM(Apr!E10, May!E10, Jun!E10)</f>
        <v>24644.378000000004</v>
      </c>
      <c r="F10" s="11">
        <f t="shared" si="0"/>
        <v>19064.290732403992</v>
      </c>
      <c r="G10" s="12">
        <f t="shared" si="1"/>
        <v>0.77357565008960616</v>
      </c>
      <c r="H10" s="13">
        <f>SUM(Apr!H10, May!H10, Jun!H10)</f>
        <v>44962</v>
      </c>
      <c r="I10" s="13">
        <f>SUM(Apr!I10, May!I10, Jun!I10)</f>
        <v>-1253.3312675960005</v>
      </c>
      <c r="J10" s="14">
        <f t="shared" si="2"/>
        <v>-2.7875345126907179E-2</v>
      </c>
      <c r="K10" s="38"/>
      <c r="L10" s="38"/>
    </row>
    <row r="11" spans="1:12" ht="15.75">
      <c r="A11" s="27" t="str">
        <v>Starshine</v>
      </c>
      <c r="B11" s="28" t="str">
        <v>AZ</v>
      </c>
      <c r="C11" s="28" t="str">
        <f>Sites[[#This Row],[SOL'#]]</f>
        <v>SOL-10757</v>
      </c>
      <c r="D11" s="10">
        <f>SUM(Apr!D11, May!D11, Jun!D11)</f>
        <v>30672.095396011391</v>
      </c>
      <c r="E11" s="15">
        <f>SUM(Apr!E11, May!E11, Jun!E11)</f>
        <v>0</v>
      </c>
      <c r="F11" s="15">
        <f t="shared" si="0"/>
        <v>30672.095396011391</v>
      </c>
      <c r="G11" s="16" t="str">
        <f t="shared" si="1"/>
        <v/>
      </c>
      <c r="H11" s="17">
        <f>SUM(Apr!H11, May!H11, Jun!H11)</f>
        <v>0</v>
      </c>
      <c r="I11" s="17">
        <f>SUM(Apr!I11, May!I11, Jun!I11)</f>
        <v>30672.095396011391</v>
      </c>
      <c r="J11" s="16" t="str">
        <f t="shared" si="2"/>
        <v/>
      </c>
      <c r="K11" s="39"/>
      <c r="L11" s="40"/>
    </row>
    <row r="12" spans="1:12" ht="15.75">
      <c r="A12" s="25" t="str">
        <v>Yuma Airport</v>
      </c>
      <c r="B12" s="26" t="str">
        <v>AZ</v>
      </c>
      <c r="C12" s="26" t="str">
        <f>Sites[[#This Row],[SOL'#]]</f>
        <v>SOL-10754</v>
      </c>
      <c r="D12" s="21">
        <f>SUM(Apr!D12, May!D12, Jun!D12)</f>
        <v>252815</v>
      </c>
      <c r="E12" s="11">
        <f>SUM(Apr!E12, May!E12, Jun!E12)</f>
        <v>295661.99</v>
      </c>
      <c r="F12" s="11">
        <f t="shared" si="0"/>
        <v>-42846.989999999991</v>
      </c>
      <c r="G12" s="12">
        <f t="shared" si="1"/>
        <v>-0.1449188311287494</v>
      </c>
      <c r="H12" s="13">
        <f>SUM(Apr!H12, May!H12, Jun!H12)</f>
        <v>269722</v>
      </c>
      <c r="I12" s="13">
        <f>SUM(Apr!I12, May!I12, Jun!I12)</f>
        <v>-16907</v>
      </c>
      <c r="J12" s="14">
        <f t="shared" si="2"/>
        <v>-6.2683058853189574E-2</v>
      </c>
      <c r="K12" s="38"/>
      <c r="L12" s="38"/>
    </row>
    <row r="13" spans="1:12" ht="15.75">
      <c r="A13" s="27" t="str">
        <v>Kinsman</v>
      </c>
      <c r="B13" s="28" t="str">
        <v>OH</v>
      </c>
      <c r="C13" s="28" t="str">
        <f>Sites[[#This Row],[SOL'#]]</f>
        <v>SOL-10762</v>
      </c>
      <c r="D13" s="10">
        <f>SUM(Apr!D13, May!D13, Jun!D13)</f>
        <v>309245.96875</v>
      </c>
      <c r="E13" s="15">
        <f>SUM(Apr!E13, May!E13, Jun!E13)</f>
        <v>379438.3</v>
      </c>
      <c r="F13" s="15">
        <f t="shared" si="0"/>
        <v>-70192.331249999988</v>
      </c>
      <c r="G13" s="16">
        <f t="shared" si="1"/>
        <v>-0.18499010576950189</v>
      </c>
      <c r="H13" s="17">
        <f>SUM(Apr!H13, May!H13, Jun!H13)</f>
        <v>393784</v>
      </c>
      <c r="I13" s="17">
        <f>SUM(Apr!I13, May!I13, Jun!I13)</f>
        <v>-84538.03125</v>
      </c>
      <c r="J13" s="16">
        <f t="shared" si="2"/>
        <v>-0.21468122435142109</v>
      </c>
      <c r="K13" s="39"/>
      <c r="L13" s="40"/>
    </row>
    <row r="14" spans="1:12" ht="15.75">
      <c r="A14" s="25" t="str">
        <v>Wooster</v>
      </c>
      <c r="B14" s="26" t="str">
        <v>OH</v>
      </c>
      <c r="C14" s="26" t="str">
        <f>Sites[[#This Row],[SOL'#]]</f>
        <v>SOL-10763</v>
      </c>
      <c r="D14" s="21">
        <f>SUM(Apr!D14, May!D14, Jun!D14)</f>
        <v>67831.5</v>
      </c>
      <c r="E14" s="11">
        <f>SUM(Apr!E14, May!E14, Jun!E14)</f>
        <v>0</v>
      </c>
      <c r="F14" s="11">
        <f t="shared" si="0"/>
        <v>67831.5</v>
      </c>
      <c r="G14" s="12" t="str">
        <f t="shared" si="1"/>
        <v/>
      </c>
      <c r="H14" s="13">
        <f>SUM(Apr!H14, May!H14, Jun!H14)</f>
        <v>95006</v>
      </c>
      <c r="I14" s="13">
        <f>SUM(Apr!I14, May!I14, Jun!I14)</f>
        <v>-27174.5</v>
      </c>
      <c r="J14" s="14">
        <f t="shared" si="2"/>
        <v>-0.28602930341241606</v>
      </c>
      <c r="K14" s="38"/>
      <c r="L14" s="38"/>
    </row>
    <row r="15" spans="1:12" ht="15.75">
      <c r="A15" s="27" t="str">
        <v>Globe Gila CC</v>
      </c>
      <c r="B15" s="28" t="str">
        <v>AZ</v>
      </c>
      <c r="C15" s="28" t="str">
        <f>Sites[[#This Row],[SOL'#]]</f>
        <v>SOL-10755</v>
      </c>
      <c r="D15" s="10">
        <f>SUM(Apr!D15, May!D15, Jun!D15)</f>
        <v>55923.4287470212</v>
      </c>
      <c r="E15" s="15">
        <f>SUM(Apr!E15, May!E15, Jun!E15)</f>
        <v>24864.852000000003</v>
      </c>
      <c r="F15" s="15">
        <f t="shared" si="0"/>
        <v>31058.576747021198</v>
      </c>
      <c r="G15" s="16">
        <f t="shared" si="1"/>
        <v>1.2490955806622615</v>
      </c>
      <c r="H15" s="17">
        <f>SUM(Apr!H15, May!H15, Jun!H15)</f>
        <v>60212</v>
      </c>
      <c r="I15" s="17">
        <f>SUM(Apr!I15, May!I15, Jun!I15)</f>
        <v>-4288.5712529787997</v>
      </c>
      <c r="J15" s="16">
        <f t="shared" si="2"/>
        <v>-7.1224527552295219E-2</v>
      </c>
      <c r="K15" s="39"/>
      <c r="L15" s="40"/>
    </row>
    <row r="16" spans="1:12" ht="15.75">
      <c r="A16" s="25" t="str">
        <v>Payson Gila CC</v>
      </c>
      <c r="B16" s="26" t="str">
        <v>AZ</v>
      </c>
      <c r="C16" s="26" t="str">
        <f>Sites[[#This Row],[SOL'#]]</f>
        <v>SOL-10756</v>
      </c>
      <c r="D16" s="21">
        <f>SUM(Apr!D16, May!D16, Jun!D16)</f>
        <v>41672.542706831089</v>
      </c>
      <c r="E16" s="11">
        <f>SUM(Apr!E16, May!E16, Jun!E16)</f>
        <v>10404.683999999999</v>
      </c>
      <c r="F16" s="11">
        <f t="shared" ref="F16:F17" si="3">IF(AND(ISNUMBER(D16),ISNUMBER(E16)), D16-E16, "")</f>
        <v>31267.858706831088</v>
      </c>
      <c r="G16" s="12">
        <f t="shared" ref="G16:G17" si="4">IFERROR(F16/E16, "")</f>
        <v>3.0051713926949719</v>
      </c>
      <c r="H16" s="13">
        <f>SUM(Apr!H16, May!H16, Jun!H16)</f>
        <v>48794</v>
      </c>
      <c r="I16" s="13">
        <f>SUM(Apr!I16, May!I16, Jun!I16)</f>
        <v>-7121.4572931689108</v>
      </c>
      <c r="J16" s="14">
        <f t="shared" ref="J16:J17" si="5">IFERROR(I16/H16, "")</f>
        <v>-0.14594944651327849</v>
      </c>
      <c r="K16" s="38"/>
      <c r="L16" s="38"/>
    </row>
    <row r="17" spans="1:12" ht="15.75">
      <c r="A17" s="27" t="str">
        <v>SCNM</v>
      </c>
      <c r="B17" s="28" t="str">
        <v>AZ</v>
      </c>
      <c r="C17" s="28" t="str">
        <f>Sites[[#This Row],[SOL'#]]</f>
        <v>SOL-10760</v>
      </c>
      <c r="D17" s="10">
        <f>SUM(Apr!D17, May!D17, Jun!D17)</f>
        <v>261419.18000000008</v>
      </c>
      <c r="E17" s="15">
        <f>SUM(Apr!E17, May!E17, Jun!E17)</f>
        <v>77194.320000000007</v>
      </c>
      <c r="F17" s="15">
        <f t="shared" si="3"/>
        <v>184224.86000000007</v>
      </c>
      <c r="G17" s="16">
        <f t="shared" si="4"/>
        <v>2.3865079710527932</v>
      </c>
      <c r="H17" s="17">
        <f>SUM(Apr!H17, May!H17, Jun!H17)</f>
        <v>148087</v>
      </c>
      <c r="I17" s="17">
        <f>SUM(Apr!I17, May!I17, Jun!I17)</f>
        <v>113332.18000000009</v>
      </c>
      <c r="J17" s="16">
        <f t="shared" si="5"/>
        <v>0.76530809591659021</v>
      </c>
      <c r="K17" s="39"/>
      <c r="L17" s="39"/>
    </row>
    <row r="18" spans="1:12" ht="12.75" customHeight="1">
      <c r="A18" s="25" t="str">
        <v>Sequoia Charter School</v>
      </c>
      <c r="B18" s="26" t="str">
        <v>AZ</v>
      </c>
      <c r="C18" s="26" t="str">
        <f>Sites[[#This Row],[SOL'#]]</f>
        <v>SOL-10759</v>
      </c>
      <c r="D18" s="67">
        <f>SUM(Apr!D18, May!D18, Jun!D18)</f>
        <v>95910.889999999796</v>
      </c>
      <c r="E18" s="11">
        <f>SUM(Apr!E18, May!E18, Jun!E18)</f>
        <v>0</v>
      </c>
      <c r="F18" s="11">
        <f t="shared" ref="F18:F49" si="6">IF(AND(ISNUMBER(D18),ISNUMBER(E18)), D18-E18, "")</f>
        <v>95910.889999999796</v>
      </c>
      <c r="G18" s="68" t="str">
        <f t="shared" ref="G18:G49" si="7">IFERROR(F18/E18, "")</f>
        <v/>
      </c>
      <c r="H18" s="13">
        <f>SUM(Apr!H18, May!H18, Jun!H18)</f>
        <v>45550</v>
      </c>
      <c r="I18" s="13">
        <f>SUM(Apr!I18, May!I18, Jun!I18)</f>
        <v>50360.889999999796</v>
      </c>
      <c r="J18" s="14">
        <f t="shared" ref="J18:J81" si="8">IFERROR(I18/H18, "")</f>
        <v>1.1056177826564171</v>
      </c>
      <c r="K18" s="38"/>
      <c r="L18" s="38"/>
    </row>
    <row r="19" spans="1:12" ht="15.75">
      <c r="A19" s="27" t="str">
        <v>RCAB</v>
      </c>
      <c r="B19" s="28" t="str">
        <v>MA</v>
      </c>
      <c r="C19" s="28" t="str">
        <f>Sites[[#This Row],[SOL'#]]</f>
        <v>SOL-10838</v>
      </c>
      <c r="D19" s="10">
        <f>SUM(Apr!D19, May!D19, Jun!D19)</f>
        <v>411033.5</v>
      </c>
      <c r="E19" s="15">
        <f>SUM(Apr!E19, May!E19, Jun!E19)</f>
        <v>487327.4</v>
      </c>
      <c r="F19" s="15">
        <f t="shared" si="6"/>
        <v>-76293.900000000023</v>
      </c>
      <c r="G19" s="16">
        <f t="shared" si="7"/>
        <v>-0.15655573645151089</v>
      </c>
      <c r="H19" s="17">
        <f>SUM(Apr!H19, May!H19, Jun!H19)</f>
        <v>417551.9</v>
      </c>
      <c r="I19" s="17">
        <f>SUM(Apr!I19, May!I19, Jun!I19)</f>
        <v>-6518.4000000000087</v>
      </c>
      <c r="J19" s="16">
        <f t="shared" si="8"/>
        <v>-1.5610993507633442E-2</v>
      </c>
      <c r="K19" s="39"/>
      <c r="L19" s="40"/>
    </row>
    <row r="20" spans="1:12" ht="15.75">
      <c r="A20" s="25" t="str">
        <v>Spectro Coatings</v>
      </c>
      <c r="B20" s="26" t="str">
        <v>MA</v>
      </c>
      <c r="C20" s="26" t="str">
        <f>Sites[[#This Row],[SOL'#]]</f>
        <v>SOL-10074</v>
      </c>
      <c r="D20" s="67">
        <f>SUM(Apr!D20, May!D20, Jun!D20)</f>
        <v>109436.125</v>
      </c>
      <c r="E20" s="11">
        <f>SUM(Apr!E20, May!E20, Jun!E20)</f>
        <v>110011.73999999999</v>
      </c>
      <c r="F20" s="11">
        <f t="shared" si="6"/>
        <v>-575.61499999999069</v>
      </c>
      <c r="G20" s="68">
        <f t="shared" si="7"/>
        <v>-5.2323052066987645E-3</v>
      </c>
      <c r="H20" s="13">
        <f>SUM(Apr!H20, May!H20, Jun!H20)</f>
        <v>110291.79000000001</v>
      </c>
      <c r="I20" s="13">
        <f>SUM(Apr!I20, May!I20, Jun!I20)</f>
        <v>-855.66500000000087</v>
      </c>
      <c r="J20" s="14">
        <f t="shared" si="8"/>
        <v>-7.7581930622397264E-3</v>
      </c>
      <c r="K20" s="38"/>
      <c r="L20" s="38"/>
    </row>
    <row r="21" spans="1:12" ht="15.75">
      <c r="A21" s="27" t="str">
        <v>K026</v>
      </c>
      <c r="B21" s="28" t="str">
        <v>NY</v>
      </c>
      <c r="C21" s="28" t="str">
        <f>Sites[[#This Row],[SOL'#]]</f>
        <v>SOL-10356</v>
      </c>
      <c r="D21" s="10">
        <f>SUM(Apr!D21, May!D21, Jun!D21)</f>
        <v>109333.6875</v>
      </c>
      <c r="E21" s="15">
        <f>SUM(Apr!E21, May!E21, Jun!E21)</f>
        <v>120612.22</v>
      </c>
      <c r="F21" s="15">
        <f t="shared" si="6"/>
        <v>-11278.532500000001</v>
      </c>
      <c r="G21" s="16">
        <f t="shared" si="7"/>
        <v>-9.3510694853307583E-2</v>
      </c>
      <c r="H21" s="17">
        <f>SUM(Apr!H21, May!H21, Jun!H21)</f>
        <v>125621.56</v>
      </c>
      <c r="I21" s="17">
        <f>SUM(Apr!I21, May!I21, Jun!I21)</f>
        <v>-16287.872499999998</v>
      </c>
      <c r="J21" s="16">
        <f t="shared" si="8"/>
        <v>-0.12965825691067678</v>
      </c>
      <c r="K21" s="39"/>
      <c r="L21" s="40"/>
    </row>
    <row r="22" spans="1:12" ht="15.75">
      <c r="A22" s="25" t="str">
        <v>K041</v>
      </c>
      <c r="B22" s="26" t="str">
        <v>NY</v>
      </c>
      <c r="C22" s="26" t="str">
        <f>Sites[[#This Row],[SOL'#]]</f>
        <v>SOL-10357</v>
      </c>
      <c r="D22" s="67">
        <f>SUM(Apr!D22, May!D22, Jun!D22)</f>
        <v>76136.0625</v>
      </c>
      <c r="E22" s="11">
        <f>SUM(Apr!E22, May!E22, Jun!E22)</f>
        <v>0</v>
      </c>
      <c r="F22" s="11">
        <f t="shared" si="6"/>
        <v>76136.0625</v>
      </c>
      <c r="G22" s="68" t="str">
        <f t="shared" si="7"/>
        <v/>
      </c>
      <c r="H22" s="13">
        <f>SUM(Apr!H22, May!H22, Jun!H22)</f>
        <v>0</v>
      </c>
      <c r="I22" s="13">
        <f>SUM(Apr!I22, May!I22, Jun!I22)</f>
        <v>76136.0625</v>
      </c>
      <c r="J22" s="14" t="str">
        <f t="shared" si="8"/>
        <v/>
      </c>
      <c r="K22" s="38"/>
      <c r="L22" s="38"/>
    </row>
    <row r="23" spans="1:12" ht="15.75">
      <c r="A23" s="27" t="str">
        <v>K043</v>
      </c>
      <c r="B23" s="28" t="str">
        <v>NY</v>
      </c>
      <c r="C23" s="28" t="str">
        <f>Sites[[#This Row],[SOL'#]]</f>
        <v>SOL-10358</v>
      </c>
      <c r="D23" s="10">
        <f>SUM(Apr!D23, May!D23, Jun!D23)</f>
        <v>102911.53125</v>
      </c>
      <c r="E23" s="15">
        <f>SUM(Apr!E23, May!E23, Jun!E23)</f>
        <v>107159.94</v>
      </c>
      <c r="F23" s="15">
        <f t="shared" si="6"/>
        <v>-4248.4087500000023</v>
      </c>
      <c r="G23" s="16">
        <f t="shared" si="7"/>
        <v>-3.9645493922449024E-2</v>
      </c>
      <c r="H23" s="17">
        <f>SUM(Apr!H23, May!H23, Jun!H23)</f>
        <v>113574</v>
      </c>
      <c r="I23" s="17">
        <f>SUM(Apr!I23, May!I23, Jun!I23)</f>
        <v>-10662.46875</v>
      </c>
      <c r="J23" s="16">
        <f t="shared" si="8"/>
        <v>-9.3881247028369169E-2</v>
      </c>
      <c r="K23" s="39"/>
      <c r="L23" s="40"/>
    </row>
    <row r="24" spans="1:12" ht="15.75">
      <c r="A24" s="25" t="str">
        <v>K058</v>
      </c>
      <c r="B24" s="26" t="str">
        <v>NY</v>
      </c>
      <c r="C24" s="26" t="str">
        <f>Sites[[#This Row],[SOL'#]]</f>
        <v>SOL-10360</v>
      </c>
      <c r="D24" s="67">
        <f>SUM(Apr!D24, May!D24, Jun!D24)</f>
        <v>82610.3125</v>
      </c>
      <c r="E24" s="11">
        <f>SUM(Apr!E24, May!E24, Jun!E24)</f>
        <v>85719.52</v>
      </c>
      <c r="F24" s="11">
        <f t="shared" si="6"/>
        <v>-3109.2075000000041</v>
      </c>
      <c r="G24" s="68">
        <f t="shared" si="7"/>
        <v>-3.6271872497652853E-2</v>
      </c>
      <c r="H24" s="13">
        <f>SUM(Apr!H24, May!H24, Jun!H24)</f>
        <v>69558.69</v>
      </c>
      <c r="I24" s="13">
        <f>SUM(Apr!I24, May!I24, Jun!I24)</f>
        <v>13051.622499999998</v>
      </c>
      <c r="J24" s="14">
        <f t="shared" si="8"/>
        <v>0.1876346794340146</v>
      </c>
      <c r="K24" s="38"/>
      <c r="L24" s="38"/>
    </row>
    <row r="25" spans="1:12" ht="15.75">
      <c r="A25" s="27" t="str">
        <v>K115</v>
      </c>
      <c r="B25" s="28" t="str">
        <v>NY</v>
      </c>
      <c r="C25" s="28" t="str">
        <f>Sites[[#This Row],[SOL'#]]</f>
        <v>SOL-10361</v>
      </c>
      <c r="D25" s="10">
        <f>SUM(Apr!D25, May!D25, Jun!D25)</f>
        <v>22640.687499999989</v>
      </c>
      <c r="E25" s="15">
        <f>SUM(Apr!E25, May!E25, Jun!E25)</f>
        <v>35267.46</v>
      </c>
      <c r="F25" s="15">
        <f t="shared" si="6"/>
        <v>-12626.77250000001</v>
      </c>
      <c r="G25" s="16">
        <f t="shared" si="7"/>
        <v>-0.35802897345031398</v>
      </c>
      <c r="H25" s="17">
        <f>SUM(Apr!H25, May!H25, Jun!H25)</f>
        <v>25963.597999999998</v>
      </c>
      <c r="I25" s="17">
        <f>SUM(Apr!I25, May!I25, Jun!I25)</f>
        <v>-3322.9105000000118</v>
      </c>
      <c r="J25" s="16">
        <f t="shared" si="8"/>
        <v>-0.12798343665619888</v>
      </c>
      <c r="K25" s="39"/>
      <c r="L25" s="40"/>
    </row>
    <row r="26" spans="1:12" ht="15.75">
      <c r="A26" s="25" t="str">
        <v>K152</v>
      </c>
      <c r="B26" s="26" t="str">
        <v>NY</v>
      </c>
      <c r="C26" s="26" t="str">
        <f>Sites[[#This Row],[SOL'#]]</f>
        <v>SOL-10362</v>
      </c>
      <c r="D26" s="67">
        <f>SUM(Apr!D26, May!D26, Jun!D26)</f>
        <v>31613.25</v>
      </c>
      <c r="E26" s="11">
        <f>SUM(Apr!E26, May!E26, Jun!E26)</f>
        <v>32716.2</v>
      </c>
      <c r="F26" s="11">
        <f t="shared" si="6"/>
        <v>-1102.9500000000007</v>
      </c>
      <c r="G26" s="68">
        <f t="shared" si="7"/>
        <v>-3.371265611531904E-2</v>
      </c>
      <c r="H26" s="13">
        <f>SUM(Apr!H26, May!H26, Jun!H26)</f>
        <v>5866</v>
      </c>
      <c r="I26" s="13">
        <f>SUM(Apr!I26, May!I26, Jun!I26)</f>
        <v>25747.25</v>
      </c>
      <c r="J26" s="14">
        <f t="shared" si="8"/>
        <v>4.3892345721104675</v>
      </c>
      <c r="K26" s="38"/>
      <c r="L26" s="38"/>
    </row>
    <row r="27" spans="1:12" ht="15.75">
      <c r="A27" s="27" t="str">
        <v>K166</v>
      </c>
      <c r="B27" s="28" t="str">
        <v>NY</v>
      </c>
      <c r="C27" s="28" t="str">
        <f>Sites[[#This Row],[SOL'#]]</f>
        <v>SOL-10363</v>
      </c>
      <c r="D27" s="10">
        <f>SUM(Apr!D27, May!D27, Jun!D27)</f>
        <v>115096.375</v>
      </c>
      <c r="E27" s="15">
        <f>SUM(Apr!E27, May!E27, Jun!E27)</f>
        <v>124528.3</v>
      </c>
      <c r="F27" s="15">
        <f t="shared" si="6"/>
        <v>-9431.9250000000029</v>
      </c>
      <c r="G27" s="16">
        <f t="shared" si="7"/>
        <v>-7.5741217056685128E-2</v>
      </c>
      <c r="H27" s="17">
        <f>SUM(Apr!H27, May!H27, Jun!H27)</f>
        <v>128950.44999999998</v>
      </c>
      <c r="I27" s="17">
        <f>SUM(Apr!I27, May!I27, Jun!I27)</f>
        <v>-13854.074999999997</v>
      </c>
      <c r="J27" s="16">
        <f t="shared" si="8"/>
        <v>-0.10743719777635517</v>
      </c>
      <c r="K27" s="39"/>
      <c r="L27" s="40"/>
    </row>
    <row r="28" spans="1:12" ht="15.75">
      <c r="A28" s="25" t="str">
        <v>K206</v>
      </c>
      <c r="B28" s="26" t="str">
        <v>NY</v>
      </c>
      <c r="C28" s="26" t="str">
        <f>Sites[[#This Row],[SOL'#]]</f>
        <v>SOL-10927</v>
      </c>
      <c r="D28" s="67">
        <f>SUM(Apr!D28, May!D28, Jun!D28)</f>
        <v>68198.50390625</v>
      </c>
      <c r="E28" s="11">
        <f>SUM(Apr!E28, May!E28, Jun!E28)</f>
        <v>0</v>
      </c>
      <c r="F28" s="11">
        <f t="shared" si="6"/>
        <v>68198.50390625</v>
      </c>
      <c r="G28" s="68" t="str">
        <f t="shared" si="7"/>
        <v/>
      </c>
      <c r="H28" s="13">
        <f>SUM(Apr!H28, May!H28, Jun!H28)</f>
        <v>0</v>
      </c>
      <c r="I28" s="13">
        <f>SUM(Apr!I28, May!I28, Jun!I28)</f>
        <v>68198.50390625</v>
      </c>
      <c r="J28" s="14" t="str">
        <f t="shared" si="8"/>
        <v/>
      </c>
      <c r="K28" s="38"/>
      <c r="L28" s="38"/>
    </row>
    <row r="29" spans="1:12" ht="15.75">
      <c r="A29" s="27" t="str">
        <v>K251</v>
      </c>
      <c r="B29" s="28" t="str">
        <v>NY</v>
      </c>
      <c r="C29" s="28" t="str">
        <f>Sites[[#This Row],[SOL'#]]</f>
        <v>SOL-10365</v>
      </c>
      <c r="D29" s="10">
        <f>SUM(Apr!D29, May!D29, Jun!D29)</f>
        <v>72811.875</v>
      </c>
      <c r="E29" s="15">
        <f>SUM(Apr!E29, May!E29, Jun!E29)</f>
        <v>76019.709999999992</v>
      </c>
      <c r="F29" s="15">
        <f t="shared" si="6"/>
        <v>-3207.8349999999919</v>
      </c>
      <c r="G29" s="16">
        <f t="shared" si="7"/>
        <v>-4.2197411697571491E-2</v>
      </c>
      <c r="H29" s="17">
        <f>SUM(Apr!H29, May!H29, Jun!H29)</f>
        <v>68630.350000000006</v>
      </c>
      <c r="I29" s="17">
        <f>SUM(Apr!I29, May!I29, Jun!I29)</f>
        <v>4181.5250000000015</v>
      </c>
      <c r="J29" s="16">
        <f t="shared" si="8"/>
        <v>6.0928219075088517E-2</v>
      </c>
      <c r="K29" s="39"/>
      <c r="L29" s="39"/>
    </row>
    <row r="30" spans="1:12" ht="15.75">
      <c r="A30" s="25" t="str">
        <v>K269</v>
      </c>
      <c r="B30" s="26" t="str">
        <v>NY</v>
      </c>
      <c r="C30" s="26" t="str">
        <f>Sites[[#This Row],[SOL'#]]</f>
        <v>SOL-10366</v>
      </c>
      <c r="D30" s="67">
        <f>SUM(Apr!D30, May!D30, Jun!D30)</f>
        <v>68003.9375</v>
      </c>
      <c r="E30" s="11">
        <f>SUM(Apr!E30, May!E30, Jun!E30)</f>
        <v>6230.46</v>
      </c>
      <c r="F30" s="11">
        <f t="shared" si="6"/>
        <v>61773.477500000001</v>
      </c>
      <c r="G30" s="68">
        <f t="shared" si="7"/>
        <v>9.9147538865509137</v>
      </c>
      <c r="H30" s="13">
        <f>SUM(Apr!H30, May!H30, Jun!H30)</f>
        <v>75435.86</v>
      </c>
      <c r="I30" s="13">
        <f>SUM(Apr!I30, May!I30, Jun!I30)</f>
        <v>-7431.9225000000006</v>
      </c>
      <c r="J30" s="14">
        <f t="shared" si="8"/>
        <v>-9.8519755723604135E-2</v>
      </c>
      <c r="K30" s="38"/>
      <c r="L30" s="38"/>
    </row>
    <row r="31" spans="1:12" ht="15.75">
      <c r="A31" s="27" t="str">
        <v>K273</v>
      </c>
      <c r="B31" s="28" t="str">
        <v>NY</v>
      </c>
      <c r="C31" s="28" t="str">
        <f>Sites[[#This Row],[SOL'#]]</f>
        <v>SOL-10367</v>
      </c>
      <c r="D31" s="10">
        <f>SUM(Apr!D31, May!D31, Jun!D31)</f>
        <v>77233.1875</v>
      </c>
      <c r="E31" s="15">
        <f>SUM(Apr!E31, May!E31, Jun!E31)</f>
        <v>0</v>
      </c>
      <c r="F31" s="15">
        <f t="shared" si="6"/>
        <v>77233.1875</v>
      </c>
      <c r="G31" s="16" t="str">
        <f t="shared" si="7"/>
        <v/>
      </c>
      <c r="H31" s="17">
        <f>SUM(Apr!H31, May!H31, Jun!H31)</f>
        <v>84109</v>
      </c>
      <c r="I31" s="17">
        <f>SUM(Apr!I31, May!I31, Jun!I31)</f>
        <v>-6875.8125</v>
      </c>
      <c r="J31" s="16">
        <f t="shared" si="8"/>
        <v>-8.1748831872926794E-2</v>
      </c>
      <c r="K31" s="39"/>
      <c r="L31" s="40"/>
    </row>
    <row r="32" spans="1:12" ht="15.75">
      <c r="A32" s="25" t="str">
        <v>K287</v>
      </c>
      <c r="B32" s="26" t="str">
        <v>NY</v>
      </c>
      <c r="C32" s="26" t="str">
        <f>Sites[[#This Row],[SOL'#]]</f>
        <v>SOL-10919</v>
      </c>
      <c r="D32" s="67">
        <f>SUM(Apr!D32, May!D32, Jun!D32)</f>
        <v>60814.359375</v>
      </c>
      <c r="E32" s="11">
        <f>SUM(Apr!E32, May!E32, Jun!E32)</f>
        <v>52314.31</v>
      </c>
      <c r="F32" s="11">
        <f t="shared" si="6"/>
        <v>8500.0493750000023</v>
      </c>
      <c r="G32" s="68">
        <f t="shared" si="7"/>
        <v>0.16248038777535254</v>
      </c>
      <c r="H32" s="13">
        <f>SUM(Apr!H32, May!H32, Jun!H32)</f>
        <v>57527</v>
      </c>
      <c r="I32" s="13">
        <f>SUM(Apr!I32, May!I32, Jun!I32)</f>
        <v>3287.359375</v>
      </c>
      <c r="J32" s="14">
        <f t="shared" si="8"/>
        <v>5.7144634258695919E-2</v>
      </c>
      <c r="K32" s="38"/>
      <c r="L32" s="38"/>
    </row>
    <row r="33" spans="1:12" ht="15.75">
      <c r="A33" s="27" t="str">
        <v>K298</v>
      </c>
      <c r="B33" s="28" t="str">
        <v>NY</v>
      </c>
      <c r="C33" s="28" t="str">
        <f>Sites[[#This Row],[SOL'#]]</f>
        <v>SOL-10368</v>
      </c>
      <c r="D33" s="10">
        <f>SUM(Apr!D33, May!D33, Jun!D33)</f>
        <v>66472.625</v>
      </c>
      <c r="E33" s="15">
        <f>SUM(Apr!E33, May!E33, Jun!E33)</f>
        <v>68176.13</v>
      </c>
      <c r="F33" s="15">
        <f t="shared" si="6"/>
        <v>-1703.5050000000047</v>
      </c>
      <c r="G33" s="16">
        <f t="shared" si="7"/>
        <v>-2.4986824567484318E-2</v>
      </c>
      <c r="H33" s="17">
        <f>SUM(Apr!H33, May!H33, Jun!H33)</f>
        <v>0</v>
      </c>
      <c r="I33" s="17">
        <f>SUM(Apr!I33, May!I33, Jun!I33)</f>
        <v>66472.625</v>
      </c>
      <c r="J33" s="16" t="str">
        <f t="shared" si="8"/>
        <v/>
      </c>
      <c r="K33" s="39"/>
      <c r="L33" s="40"/>
    </row>
    <row r="34" spans="1:12" ht="15.75">
      <c r="A34" s="25" t="str">
        <v>K335</v>
      </c>
      <c r="B34" s="26" t="str">
        <v>NY</v>
      </c>
      <c r="C34" s="26" t="str">
        <f>Sites[[#This Row],[SOL'#]]</f>
        <v>SOL-10370</v>
      </c>
      <c r="D34" s="67">
        <f>SUM(Apr!D34, May!D34, Jun!D34)</f>
        <v>66890.0625</v>
      </c>
      <c r="E34" s="11">
        <f>SUM(Apr!E34, May!E34, Jun!E34)</f>
        <v>75709.5</v>
      </c>
      <c r="F34" s="11">
        <f t="shared" si="6"/>
        <v>-8819.4375</v>
      </c>
      <c r="G34" s="68">
        <f t="shared" si="7"/>
        <v>-0.11649049987121828</v>
      </c>
      <c r="H34" s="13">
        <f>SUM(Apr!H34, May!H34, Jun!H34)</f>
        <v>79866</v>
      </c>
      <c r="I34" s="13">
        <f>SUM(Apr!I34, May!I34, Jun!I34)</f>
        <v>-12975.9375</v>
      </c>
      <c r="J34" s="14">
        <f t="shared" si="8"/>
        <v>-0.16247135827511081</v>
      </c>
      <c r="K34" s="38"/>
      <c r="L34" s="38"/>
    </row>
    <row r="35" spans="1:12" ht="15.75">
      <c r="A35" s="27" t="str">
        <v>K345</v>
      </c>
      <c r="B35" s="28" t="str">
        <v>NY</v>
      </c>
      <c r="C35" s="28" t="str">
        <f>Sites[[#This Row],[SOL'#]]</f>
        <v>SOL-10920</v>
      </c>
      <c r="D35" s="10">
        <f>SUM(Apr!D35, May!D35, Jun!D35)</f>
        <v>74964.9375</v>
      </c>
      <c r="E35" s="15">
        <f>SUM(Apr!E35, May!E35, Jun!E35)</f>
        <v>46889.86</v>
      </c>
      <c r="F35" s="15">
        <f t="shared" si="6"/>
        <v>28075.077499999999</v>
      </c>
      <c r="G35" s="16">
        <f t="shared" si="7"/>
        <v>0.59874517646245906</v>
      </c>
      <c r="H35" s="17">
        <f>SUM(Apr!H35, May!H35, Jun!H35)</f>
        <v>40404</v>
      </c>
      <c r="I35" s="17">
        <f>SUM(Apr!I35, May!I35, Jun!I35)</f>
        <v>34560.9375</v>
      </c>
      <c r="J35" s="16">
        <f t="shared" si="8"/>
        <v>0.85538405850905852</v>
      </c>
      <c r="K35" s="39"/>
      <c r="L35" s="40"/>
    </row>
    <row r="36" spans="1:12" ht="15.75">
      <c r="A36" s="25" t="str">
        <v>K445</v>
      </c>
      <c r="B36" s="26" t="str">
        <v>NY</v>
      </c>
      <c r="C36" s="26" t="str">
        <f>Sites[[#This Row],[SOL'#]]</f>
        <v>SOL-10373</v>
      </c>
      <c r="D36" s="67">
        <f>SUM(Apr!D36, May!D36, Jun!D36)</f>
        <v>65127.4074160448</v>
      </c>
      <c r="E36" s="11">
        <f>SUM(Apr!E36, May!E36, Jun!E36)</f>
        <v>70607.78</v>
      </c>
      <c r="F36" s="11">
        <f t="shared" si="6"/>
        <v>-5480.3725839551989</v>
      </c>
      <c r="G36" s="68">
        <f t="shared" si="7"/>
        <v>-7.7617120718923599E-2</v>
      </c>
      <c r="H36" s="13">
        <f>SUM(Apr!H36, May!H36, Jun!H36)</f>
        <v>76086.03</v>
      </c>
      <c r="I36" s="13">
        <f>SUM(Apr!I36, May!I36, Jun!I36)</f>
        <v>-10958.622583955199</v>
      </c>
      <c r="J36" s="14">
        <f t="shared" si="8"/>
        <v>-0.14402936496956403</v>
      </c>
      <c r="K36" s="38"/>
      <c r="L36" s="38"/>
    </row>
    <row r="37" spans="1:12" ht="15.75">
      <c r="A37" s="27" t="str">
        <v>K495</v>
      </c>
      <c r="B37" s="28" t="str">
        <v>NY</v>
      </c>
      <c r="C37" s="28" t="str">
        <f>Sites[[#This Row],[SOL'#]]</f>
        <v>SOL-10374</v>
      </c>
      <c r="D37" s="10">
        <f>SUM(Apr!D37, May!D37, Jun!D37)</f>
        <v>267542.69281249988</v>
      </c>
      <c r="E37" s="15">
        <f>SUM(Apr!E37, May!E37, Jun!E37)</f>
        <v>0</v>
      </c>
      <c r="F37" s="15">
        <f t="shared" si="6"/>
        <v>267542.69281249988</v>
      </c>
      <c r="G37" s="16" t="str">
        <f t="shared" si="7"/>
        <v/>
      </c>
      <c r="H37" s="17">
        <f>SUM(Apr!H37, May!H37, Jun!H37)</f>
        <v>0</v>
      </c>
      <c r="I37" s="17">
        <f>SUM(Apr!I37, May!I37, Jun!I37)</f>
        <v>267542.69281249988</v>
      </c>
      <c r="J37" s="16" t="str">
        <f t="shared" si="8"/>
        <v/>
      </c>
      <c r="K37" s="39"/>
      <c r="L37" s="40"/>
    </row>
    <row r="38" spans="1:12" ht="15.75">
      <c r="A38" s="25" t="str">
        <v>M020</v>
      </c>
      <c r="B38" s="26" t="str">
        <v>NY</v>
      </c>
      <c r="C38" s="26" t="str">
        <f>Sites[[#This Row],[SOL'#]]</f>
        <v>SOL-10380</v>
      </c>
      <c r="D38" s="67">
        <f>SUM(Apr!D38, May!D38, Jun!D38)</f>
        <v>67086.15625</v>
      </c>
      <c r="E38" s="11">
        <f>SUM(Apr!E38, May!E38, Jun!E38)</f>
        <v>74526.650000000009</v>
      </c>
      <c r="F38" s="11">
        <f t="shared" si="6"/>
        <v>-7440.4937500000087</v>
      </c>
      <c r="G38" s="68">
        <f t="shared" si="7"/>
        <v>-9.9836685937178288E-2</v>
      </c>
      <c r="H38" s="13">
        <f>SUM(Apr!H38, May!H38, Jun!H38)</f>
        <v>0</v>
      </c>
      <c r="I38" s="13">
        <f>SUM(Apr!I38, May!I38, Jun!I38)</f>
        <v>67086.15625</v>
      </c>
      <c r="J38" s="14" t="str">
        <f t="shared" si="8"/>
        <v/>
      </c>
      <c r="K38" s="38"/>
      <c r="L38" s="38"/>
    </row>
    <row r="39" spans="1:12" ht="15.75">
      <c r="A39" s="27" t="str">
        <v>M092</v>
      </c>
      <c r="B39" s="28" t="str">
        <v>NY</v>
      </c>
      <c r="C39" s="28" t="str">
        <f>Sites[[#This Row],[SOL'#]]</f>
        <v>SOL-10383</v>
      </c>
      <c r="D39" s="10">
        <f>SUM(Apr!D39, May!D39, Jun!D39)</f>
        <v>69440.90625</v>
      </c>
      <c r="E39" s="15">
        <f>SUM(Apr!E39, May!E39, Jun!E39)</f>
        <v>74901.209999999992</v>
      </c>
      <c r="F39" s="15">
        <f t="shared" si="6"/>
        <v>-5460.3037499999919</v>
      </c>
      <c r="G39" s="16">
        <f t="shared" si="7"/>
        <v>-7.2900073977442983E-2</v>
      </c>
      <c r="H39" s="17">
        <f>SUM(Apr!H39, May!H39, Jun!H39)</f>
        <v>80751.009999999995</v>
      </c>
      <c r="I39" s="17">
        <f>SUM(Apr!I39, May!I39, Jun!I39)</f>
        <v>-11310.103749999998</v>
      </c>
      <c r="J39" s="16">
        <f t="shared" si="8"/>
        <v>-0.14006145248214233</v>
      </c>
      <c r="K39" s="39"/>
      <c r="L39" s="40"/>
    </row>
    <row r="40" spans="1:12" ht="15.75">
      <c r="A40" s="25" t="str">
        <v>M143</v>
      </c>
      <c r="B40" s="26" t="str">
        <v>NY</v>
      </c>
      <c r="C40" s="26" t="str">
        <f>Sites[[#This Row],[SOL'#]]</f>
        <v>SOL-10384</v>
      </c>
      <c r="D40" s="67">
        <f>SUM(Apr!D40, May!D40, Jun!D40)</f>
        <v>79815.75</v>
      </c>
      <c r="E40" s="11">
        <f>SUM(Apr!E40, May!E40, Jun!E40)</f>
        <v>93753.62</v>
      </c>
      <c r="F40" s="11">
        <f t="shared" si="6"/>
        <v>-13937.869999999995</v>
      </c>
      <c r="G40" s="68">
        <f t="shared" si="7"/>
        <v>-0.14866487288704155</v>
      </c>
      <c r="H40" s="13">
        <f>SUM(Apr!H40, May!H40, Jun!H40)</f>
        <v>85468.13</v>
      </c>
      <c r="I40" s="13">
        <f>SUM(Apr!I40, May!I40, Jun!I40)</f>
        <v>-5652.380000000001</v>
      </c>
      <c r="J40" s="14">
        <f t="shared" si="8"/>
        <v>-6.6134359088001582E-2</v>
      </c>
      <c r="K40" s="38"/>
      <c r="L40" s="38"/>
    </row>
    <row r="41" spans="1:12" ht="15.75">
      <c r="A41" s="27" t="str">
        <v>M144</v>
      </c>
      <c r="B41" s="28" t="str">
        <v>NY</v>
      </c>
      <c r="C41" s="28" t="str">
        <f>Sites[[#This Row],[SOL'#]]</f>
        <v>SOL-10385</v>
      </c>
      <c r="D41" s="10">
        <f>SUM(Apr!D41, May!D41, Jun!D41)</f>
        <v>112849.640625</v>
      </c>
      <c r="E41" s="15">
        <f>SUM(Apr!E41, May!E41, Jun!E41)</f>
        <v>0</v>
      </c>
      <c r="F41" s="15">
        <f t="shared" si="6"/>
        <v>112849.640625</v>
      </c>
      <c r="G41" s="16" t="str">
        <f t="shared" si="7"/>
        <v/>
      </c>
      <c r="H41" s="17">
        <f>SUM(Apr!H41, May!H41, Jun!H41)</f>
        <v>0</v>
      </c>
      <c r="I41" s="17">
        <f>SUM(Apr!I41, May!I41, Jun!I41)</f>
        <v>112849.640625</v>
      </c>
      <c r="J41" s="16" t="str">
        <f t="shared" si="8"/>
        <v/>
      </c>
      <c r="K41" s="39"/>
      <c r="L41" s="39"/>
    </row>
    <row r="42" spans="1:12" ht="15.75">
      <c r="A42" s="25" t="str">
        <v>M167</v>
      </c>
      <c r="B42" s="26" t="str">
        <v>NY</v>
      </c>
      <c r="C42" s="26" t="str">
        <f>Sites[[#This Row],[SOL'#]]</f>
        <v>SOL-10386</v>
      </c>
      <c r="D42" s="67">
        <f>SUM(Apr!D42, May!D42, Jun!D42)</f>
        <v>76420.71875</v>
      </c>
      <c r="E42" s="11">
        <f>SUM(Apr!E42, May!E42, Jun!E42)</f>
        <v>66180.710000000006</v>
      </c>
      <c r="F42" s="11">
        <f t="shared" si="6"/>
        <v>10240.008749999994</v>
      </c>
      <c r="G42" s="68">
        <f t="shared" si="7"/>
        <v>0.15472799778062207</v>
      </c>
      <c r="H42" s="13">
        <f>SUM(Apr!H42, May!H42, Jun!H42)</f>
        <v>67621.52</v>
      </c>
      <c r="I42" s="13">
        <f>SUM(Apr!I42, May!I42, Jun!I42)</f>
        <v>8799.1987499999996</v>
      </c>
      <c r="J42" s="14">
        <f t="shared" si="8"/>
        <v>0.13012423781660037</v>
      </c>
      <c r="K42" s="38"/>
      <c r="L42" s="38"/>
    </row>
    <row r="43" spans="1:12" ht="15.75">
      <c r="A43" s="27" t="str">
        <v>M188</v>
      </c>
      <c r="B43" s="28" t="str">
        <v>NY</v>
      </c>
      <c r="C43" s="28" t="str">
        <f>Sites[[#This Row],[SOL'#]]</f>
        <v>SOL-10387</v>
      </c>
      <c r="D43" s="10">
        <f>SUM(Apr!D43, May!D43, Jun!D43)</f>
        <v>61787.25</v>
      </c>
      <c r="E43" s="15">
        <f>SUM(Apr!E43, May!E43, Jun!E43)</f>
        <v>0</v>
      </c>
      <c r="F43" s="15">
        <f t="shared" si="6"/>
        <v>61787.25</v>
      </c>
      <c r="G43" s="16" t="str">
        <f t="shared" si="7"/>
        <v/>
      </c>
      <c r="H43" s="17">
        <f>SUM(Apr!H43, May!H43, Jun!H43)</f>
        <v>0</v>
      </c>
      <c r="I43" s="17">
        <f>SUM(Apr!I43, May!I43, Jun!I43)</f>
        <v>61787.25</v>
      </c>
      <c r="J43" s="16" t="str">
        <f t="shared" si="8"/>
        <v/>
      </c>
      <c r="K43" s="39"/>
      <c r="L43" s="40"/>
    </row>
    <row r="44" spans="1:12" ht="15.75">
      <c r="A44" s="25" t="str">
        <v>EMHC</v>
      </c>
      <c r="B44" s="26" t="str">
        <v>NY</v>
      </c>
      <c r="C44" s="26" t="str">
        <f>Sites[[#This Row],[SOL'#]]</f>
        <v>SOL-10351</v>
      </c>
      <c r="D44" s="67">
        <f>SUM(Apr!D44, May!D44, Jun!D44)</f>
        <v>22550.208061793339</v>
      </c>
      <c r="E44" s="11">
        <f>SUM(Apr!E44, May!E44, Jun!E44)</f>
        <v>23366.442000000003</v>
      </c>
      <c r="F44" s="11">
        <f t="shared" si="6"/>
        <v>-816.23393820666388</v>
      </c>
      <c r="G44" s="68">
        <f t="shared" si="7"/>
        <v>-3.493188814140654E-2</v>
      </c>
      <c r="H44" s="13">
        <f>SUM(Apr!H44, May!H44, Jun!H44)</f>
        <v>32696.786</v>
      </c>
      <c r="I44" s="13">
        <f>SUM(Apr!I44, May!I44, Jun!I44)</f>
        <v>-10146.577938206659</v>
      </c>
      <c r="J44" s="14">
        <f t="shared" si="8"/>
        <v>-0.31032340420880083</v>
      </c>
      <c r="K44" s="38"/>
      <c r="L44" s="38"/>
    </row>
    <row r="45" spans="1:12" ht="15.75">
      <c r="A45" s="27" t="str">
        <v>Q008</v>
      </c>
      <c r="B45" s="28" t="str">
        <v>NY</v>
      </c>
      <c r="C45" s="28" t="str">
        <f>Sites[[#This Row],[SOL'#]]</f>
        <v>SOL-10397</v>
      </c>
      <c r="D45" s="10">
        <f>SUM(Apr!D45, May!D45, Jun!D45)</f>
        <v>95909.40625</v>
      </c>
      <c r="E45" s="15">
        <f>SUM(Apr!E45, May!E45, Jun!E45)</f>
        <v>96533.38</v>
      </c>
      <c r="F45" s="15">
        <f t="shared" si="6"/>
        <v>-623.97375000000466</v>
      </c>
      <c r="G45" s="16">
        <f t="shared" si="7"/>
        <v>-6.4638133462228782E-3</v>
      </c>
      <c r="H45" s="17">
        <f>SUM(Apr!H45, May!H45, Jun!H45)</f>
        <v>87289</v>
      </c>
      <c r="I45" s="17">
        <f>SUM(Apr!I45, May!I45, Jun!I45)</f>
        <v>8620.40625</v>
      </c>
      <c r="J45" s="16">
        <f t="shared" si="8"/>
        <v>9.875707420178946E-2</v>
      </c>
      <c r="K45" s="39"/>
      <c r="L45" s="40"/>
    </row>
    <row r="46" spans="1:12" ht="15.75">
      <c r="A46" s="25" t="str">
        <v>Q018</v>
      </c>
      <c r="B46" s="26" t="str">
        <v>NY</v>
      </c>
      <c r="C46" s="26" t="str">
        <f>Sites[[#This Row],[SOL'#]]</f>
        <v>SOL-10398</v>
      </c>
      <c r="D46" s="67">
        <f>SUM(Apr!D46, May!D46, Jun!D46)</f>
        <v>63471.625</v>
      </c>
      <c r="E46" s="11">
        <f>SUM(Apr!E46, May!E46, Jun!E46)</f>
        <v>62934.400000000001</v>
      </c>
      <c r="F46" s="11">
        <f t="shared" si="6"/>
        <v>537.22499999999854</v>
      </c>
      <c r="G46" s="68">
        <f t="shared" si="7"/>
        <v>8.5362695123811227E-3</v>
      </c>
      <c r="H46" s="13">
        <f>SUM(Apr!H46, May!H46, Jun!H46)</f>
        <v>68552.2</v>
      </c>
      <c r="I46" s="13">
        <f>SUM(Apr!I46, May!I46, Jun!I46)</f>
        <v>-5080.5750000000007</v>
      </c>
      <c r="J46" s="14">
        <f t="shared" si="8"/>
        <v>-7.4112501130525366E-2</v>
      </c>
      <c r="K46" s="38"/>
      <c r="L46" s="38"/>
    </row>
    <row r="47" spans="1:12" ht="15.75">
      <c r="A47" s="27" t="str">
        <v>Q021</v>
      </c>
      <c r="B47" s="28" t="str">
        <v>NY</v>
      </c>
      <c r="C47" s="28" t="str">
        <f>Sites[[#This Row],[SOL'#]]</f>
        <v>SOL-10399</v>
      </c>
      <c r="D47" s="10">
        <f>SUM(Apr!D47, May!D47, Jun!D47)</f>
        <v>50552.875</v>
      </c>
      <c r="E47" s="15">
        <f>SUM(Apr!E47, May!E47, Jun!E47)</f>
        <v>49240.67</v>
      </c>
      <c r="F47" s="15">
        <f t="shared" si="6"/>
        <v>1312.2050000000017</v>
      </c>
      <c r="G47" s="16">
        <f t="shared" si="7"/>
        <v>2.6648804738034673E-2</v>
      </c>
      <c r="H47" s="17">
        <f>SUM(Apr!H47, May!H47, Jun!H47)</f>
        <v>24156.214</v>
      </c>
      <c r="I47" s="17">
        <f>SUM(Apr!I47, May!I47, Jun!I47)</f>
        <v>26396.661</v>
      </c>
      <c r="J47" s="16">
        <f t="shared" si="8"/>
        <v>1.0927482675886213</v>
      </c>
      <c r="K47" s="39"/>
      <c r="L47" s="40"/>
    </row>
    <row r="48" spans="1:12" ht="15.75">
      <c r="A48" s="25" t="str">
        <v>Q025</v>
      </c>
      <c r="B48" s="26" t="str">
        <v>NY</v>
      </c>
      <c r="C48" s="26" t="str">
        <f>Sites[[#This Row],[SOL'#]]</f>
        <v>SOL-10400</v>
      </c>
      <c r="D48" s="67">
        <f>SUM(Apr!D48, May!D48, Jun!D48)</f>
        <v>79732.5625</v>
      </c>
      <c r="E48" s="11">
        <f>SUM(Apr!E48, May!E48, Jun!E48)</f>
        <v>86484.65</v>
      </c>
      <c r="F48" s="11">
        <f t="shared" si="6"/>
        <v>-6752.0874999999942</v>
      </c>
      <c r="G48" s="68">
        <f t="shared" si="7"/>
        <v>-7.8072669543092263E-2</v>
      </c>
      <c r="H48" s="13">
        <f>SUM(Apr!H48, May!H48, Jun!H48)</f>
        <v>43488</v>
      </c>
      <c r="I48" s="13">
        <f>SUM(Apr!I48, May!I48, Jun!I48)</f>
        <v>36244.5625</v>
      </c>
      <c r="J48" s="14">
        <f t="shared" si="8"/>
        <v>0.83343824733259753</v>
      </c>
      <c r="K48" s="38"/>
      <c r="L48" s="38"/>
    </row>
    <row r="49" spans="1:12" ht="15.75">
      <c r="A49" s="27" t="str">
        <v>Q074</v>
      </c>
      <c r="B49" s="28" t="str">
        <v>NY</v>
      </c>
      <c r="C49" s="28" t="str">
        <f>Sites[[#This Row],[SOL'#]]</f>
        <v>SOL-10402</v>
      </c>
      <c r="D49" s="10">
        <f>SUM(Apr!D49, May!D49, Jun!D49)</f>
        <v>56648.75</v>
      </c>
      <c r="E49" s="15">
        <f>SUM(Apr!E49, May!E49, Jun!E49)</f>
        <v>57711.78</v>
      </c>
      <c r="F49" s="15">
        <f t="shared" si="6"/>
        <v>-1063.0299999999988</v>
      </c>
      <c r="G49" s="16">
        <f t="shared" si="7"/>
        <v>-1.8419636337676622E-2</v>
      </c>
      <c r="H49" s="17">
        <f>SUM(Apr!H49, May!H49, Jun!H49)</f>
        <v>57835.140000000007</v>
      </c>
      <c r="I49" s="17">
        <f>SUM(Apr!I49, May!I49, Jun!I49)</f>
        <v>-1186.3900000000031</v>
      </c>
      <c r="J49" s="16">
        <f t="shared" si="8"/>
        <v>-2.0513307307633438E-2</v>
      </c>
      <c r="K49" s="39"/>
      <c r="L49" s="40"/>
    </row>
    <row r="50" spans="1:12" ht="15.75">
      <c r="A50" s="25" t="str">
        <v>Q115</v>
      </c>
      <c r="B50" s="26" t="str">
        <v>NY</v>
      </c>
      <c r="C50" s="26" t="str">
        <f>Sites[[#This Row],[SOL'#]]</f>
        <v>SOL-10872</v>
      </c>
      <c r="D50" s="67">
        <f>SUM(Apr!D50, May!D50, Jun!D50)</f>
        <v>72849.90625</v>
      </c>
      <c r="E50" s="11">
        <f>SUM(Apr!E50, May!E50, Jun!E50)</f>
        <v>77695.37</v>
      </c>
      <c r="F50" s="11">
        <f t="shared" ref="F50:F81" si="9">IF(AND(ISNUMBER(D50),ISNUMBER(E50)), D50-E50, "")</f>
        <v>-4845.4637499999953</v>
      </c>
      <c r="G50" s="68">
        <f t="shared" ref="G50:G81" si="10">IFERROR(F50/E50, "")</f>
        <v>-6.2364897033117879E-2</v>
      </c>
      <c r="H50" s="13">
        <f>SUM(Apr!H50, May!H50, Jun!H50)</f>
        <v>78831.820000000007</v>
      </c>
      <c r="I50" s="13">
        <f>SUM(Apr!I50, May!I50, Jun!I50)</f>
        <v>-5981.9137500000033</v>
      </c>
      <c r="J50" s="14">
        <f t="shared" si="8"/>
        <v>-7.5881969362118024E-2</v>
      </c>
      <c r="K50" s="38"/>
      <c r="L50" s="38"/>
    </row>
    <row r="51" spans="1:12" ht="15.75">
      <c r="A51" s="27" t="str">
        <v>Q139</v>
      </c>
      <c r="B51" s="28" t="str">
        <v>NY</v>
      </c>
      <c r="C51" s="28" t="str">
        <f>Sites[[#This Row],[SOL'#]]</f>
        <v>SOL-10403</v>
      </c>
      <c r="D51" s="10">
        <f>SUM(Apr!D51, May!D51, Jun!D51)</f>
        <v>44516.1875</v>
      </c>
      <c r="E51" s="15">
        <f>SUM(Apr!E51, May!E51, Jun!E51)</f>
        <v>49302.42</v>
      </c>
      <c r="F51" s="15">
        <f t="shared" si="9"/>
        <v>-4786.2324999999983</v>
      </c>
      <c r="G51" s="16">
        <f t="shared" si="10"/>
        <v>-9.7079058188218714E-2</v>
      </c>
      <c r="H51" s="17">
        <f>SUM(Apr!H51, May!H51, Jun!H51)</f>
        <v>45283</v>
      </c>
      <c r="I51" s="17">
        <f>SUM(Apr!I51, May!I51, Jun!I51)</f>
        <v>-766.8125</v>
      </c>
      <c r="J51" s="16">
        <f t="shared" si="8"/>
        <v>-1.6933783097409623E-2</v>
      </c>
      <c r="K51" s="39"/>
      <c r="L51" s="40"/>
    </row>
    <row r="52" spans="1:12" ht="15.75">
      <c r="A52" s="25" t="str">
        <v>Q157</v>
      </c>
      <c r="B52" s="26" t="str">
        <v>NY</v>
      </c>
      <c r="C52" s="26" t="str">
        <f>Sites[[#This Row],[SOL'#]]</f>
        <v>SOL-10404</v>
      </c>
      <c r="D52" s="67">
        <f>SUM(Apr!D52, May!D52, Jun!D52)</f>
        <v>66563.875</v>
      </c>
      <c r="E52" s="11">
        <f>SUM(Apr!E52, May!E52, Jun!E52)</f>
        <v>80232.36</v>
      </c>
      <c r="F52" s="11">
        <f t="shared" si="9"/>
        <v>-13668.485000000001</v>
      </c>
      <c r="G52" s="68">
        <f t="shared" si="10"/>
        <v>-0.17036124825444496</v>
      </c>
      <c r="H52" s="13">
        <f>SUM(Apr!H52, May!H52, Jun!H52)</f>
        <v>86102.87</v>
      </c>
      <c r="I52" s="13">
        <f>SUM(Apr!I52, May!I52, Jun!I52)</f>
        <v>-19538.994999999999</v>
      </c>
      <c r="J52" s="14">
        <f t="shared" si="8"/>
        <v>-0.22692617563154399</v>
      </c>
      <c r="K52" s="38"/>
      <c r="L52" s="38"/>
    </row>
    <row r="53" spans="1:12" ht="15.75">
      <c r="A53" s="27" t="str">
        <v>Q192</v>
      </c>
      <c r="B53" s="28" t="str">
        <v>NY</v>
      </c>
      <c r="C53" s="28" t="str">
        <f>Sites[[#This Row],[SOL'#]]</f>
        <v>SOL-10406</v>
      </c>
      <c r="D53" s="10">
        <f>SUM(Apr!D53, May!D53, Jun!D53)</f>
        <v>120692.125</v>
      </c>
      <c r="E53" s="15">
        <f>SUM(Apr!E53, May!E53, Jun!E53)</f>
        <v>132613.73000000001</v>
      </c>
      <c r="F53" s="15">
        <f t="shared" si="9"/>
        <v>-11921.60500000001</v>
      </c>
      <c r="G53" s="16">
        <f t="shared" si="10"/>
        <v>-8.989721501687653E-2</v>
      </c>
      <c r="H53" s="17">
        <f>SUM(Apr!H53, May!H53, Jun!H53)</f>
        <v>119353.60999999999</v>
      </c>
      <c r="I53" s="17">
        <f>SUM(Apr!I53, May!I53, Jun!I53)</f>
        <v>1338.5149999999994</v>
      </c>
      <c r="J53" s="16">
        <f t="shared" si="8"/>
        <v>1.1214700585931164E-2</v>
      </c>
      <c r="K53" s="39"/>
      <c r="L53" s="39"/>
    </row>
    <row r="54" spans="1:12" ht="15.75">
      <c r="A54" s="25" t="str">
        <v>Q210</v>
      </c>
      <c r="B54" s="26" t="str">
        <v>NY</v>
      </c>
      <c r="C54" s="26" t="str">
        <f>Sites[[#This Row],[SOL'#]]</f>
        <v>SOL-10407</v>
      </c>
      <c r="D54" s="67">
        <f>SUM(Apr!D54, May!D54, Jun!D54)</f>
        <v>97885</v>
      </c>
      <c r="E54" s="11">
        <f>SUM(Apr!E54, May!E54, Jun!E54)</f>
        <v>99606.69</v>
      </c>
      <c r="F54" s="11">
        <f t="shared" si="9"/>
        <v>-1721.6900000000023</v>
      </c>
      <c r="G54" s="68">
        <f t="shared" si="10"/>
        <v>-1.728488317401173E-2</v>
      </c>
      <c r="H54" s="13">
        <f>SUM(Apr!H54, May!H54, Jun!H54)</f>
        <v>86252</v>
      </c>
      <c r="I54" s="13">
        <f>SUM(Apr!I54, May!I54, Jun!I54)</f>
        <v>11633</v>
      </c>
      <c r="J54" s="14">
        <f t="shared" si="8"/>
        <v>0.1348722348467282</v>
      </c>
      <c r="K54" s="38"/>
      <c r="L54" s="38"/>
    </row>
    <row r="55" spans="1:12" ht="15.75">
      <c r="A55" s="27" t="str">
        <v>Q229</v>
      </c>
      <c r="B55" s="28" t="str">
        <v>NY</v>
      </c>
      <c r="C55" s="28" t="str">
        <f>Sites[[#This Row],[SOL'#]]</f>
        <v>SOL-10408</v>
      </c>
      <c r="D55" s="10">
        <f>SUM(Apr!D55, May!D55, Jun!D55)</f>
        <v>44033.031250000102</v>
      </c>
      <c r="E55" s="15">
        <f>SUM(Apr!E55, May!E55, Jun!E55)</f>
        <v>48752.160000000003</v>
      </c>
      <c r="F55" s="15">
        <f t="shared" si="9"/>
        <v>-4719.1287499999016</v>
      </c>
      <c r="G55" s="16">
        <f t="shared" si="10"/>
        <v>-9.6798352114037645E-2</v>
      </c>
      <c r="H55" s="17">
        <f>SUM(Apr!H55, May!H55, Jun!H55)</f>
        <v>49004.39</v>
      </c>
      <c r="I55" s="17">
        <f>SUM(Apr!I55, May!I55, Jun!I55)</f>
        <v>-4971.3587499999012</v>
      </c>
      <c r="J55" s="16">
        <f t="shared" si="8"/>
        <v>-0.10144721217833548</v>
      </c>
      <c r="K55" s="39"/>
      <c r="L55" s="40"/>
    </row>
    <row r="56" spans="1:12" ht="15.75">
      <c r="A56" s="25" t="str">
        <v>Q231</v>
      </c>
      <c r="B56" s="26" t="str">
        <v>NY</v>
      </c>
      <c r="C56" s="26" t="str">
        <f>Sites[[#This Row],[SOL'#]]</f>
        <v>SOL-10870</v>
      </c>
      <c r="D56" s="67">
        <f>SUM(Apr!D56, May!D56, Jun!D56)</f>
        <v>162127.00000000012</v>
      </c>
      <c r="E56" s="11">
        <f>SUM(Apr!E56, May!E56, Jun!E56)</f>
        <v>168625.82</v>
      </c>
      <c r="F56" s="11">
        <f t="shared" si="9"/>
        <v>-6498.8199999998906</v>
      </c>
      <c r="G56" s="68">
        <f t="shared" si="10"/>
        <v>-3.8539886714857134E-2</v>
      </c>
      <c r="H56" s="13">
        <f>SUM(Apr!H56, May!H56, Jun!H56)</f>
        <v>0</v>
      </c>
      <c r="I56" s="13">
        <f>SUM(Apr!I56, May!I56, Jun!I56)</f>
        <v>162127.00000000012</v>
      </c>
      <c r="J56" s="14" t="str">
        <f t="shared" si="8"/>
        <v/>
      </c>
      <c r="K56" s="38"/>
      <c r="L56" s="38"/>
    </row>
    <row r="57" spans="1:12" ht="15.75">
      <c r="A57" s="27" t="str">
        <v>Q405</v>
      </c>
      <c r="B57" s="28" t="str">
        <v>NY</v>
      </c>
      <c r="C57" s="28" t="str">
        <f>Sites[[#This Row],[SOL'#]]</f>
        <v>SOL-10409</v>
      </c>
      <c r="D57" s="10">
        <f>SUM(Apr!D57, May!D57, Jun!D57)</f>
        <v>175627.875</v>
      </c>
      <c r="E57" s="15">
        <f>SUM(Apr!E57, May!E57, Jun!E57)</f>
        <v>187037.68</v>
      </c>
      <c r="F57" s="15">
        <f t="shared" si="9"/>
        <v>-11409.804999999993</v>
      </c>
      <c r="G57" s="16">
        <f t="shared" si="10"/>
        <v>-6.100270811742315E-2</v>
      </c>
      <c r="H57" s="17">
        <f>SUM(Apr!H57, May!H57, Jun!H57)</f>
        <v>140283.52000000002</v>
      </c>
      <c r="I57" s="17">
        <f>SUM(Apr!I57, May!I57, Jun!I57)</f>
        <v>35344.354999999996</v>
      </c>
      <c r="J57" s="16">
        <f t="shared" si="8"/>
        <v>0.25194944495262162</v>
      </c>
      <c r="K57" s="39"/>
      <c r="L57" s="40"/>
    </row>
    <row r="58" spans="1:12" ht="15.75">
      <c r="A58" s="25" t="str">
        <v>Q435</v>
      </c>
      <c r="B58" s="26" t="str">
        <v>NY</v>
      </c>
      <c r="C58" s="26" t="str">
        <f>Sites[[#This Row],[SOL'#]]</f>
        <v>SOL-10923</v>
      </c>
      <c r="D58" s="67">
        <f>SUM(Apr!D58, May!D58, Jun!D58)</f>
        <v>159207.796875</v>
      </c>
      <c r="E58" s="11">
        <f>SUM(Apr!E58, May!E58, Jun!E58)</f>
        <v>132489.75</v>
      </c>
      <c r="F58" s="11">
        <f t="shared" si="9"/>
        <v>26718.046875</v>
      </c>
      <c r="G58" s="68">
        <f t="shared" si="10"/>
        <v>0.20166123700135294</v>
      </c>
      <c r="H58" s="13">
        <f>SUM(Apr!H58, May!H58, Jun!H58)</f>
        <v>0</v>
      </c>
      <c r="I58" s="13">
        <f>SUM(Apr!I58, May!I58, Jun!I58)</f>
        <v>159207.796875</v>
      </c>
      <c r="J58" s="14" t="str">
        <f t="shared" si="8"/>
        <v/>
      </c>
      <c r="K58" s="38"/>
      <c r="L58" s="38"/>
    </row>
    <row r="59" spans="1:12" ht="15.75">
      <c r="A59" s="27" t="str">
        <v>Q485</v>
      </c>
      <c r="B59" s="28" t="str">
        <v>NY</v>
      </c>
      <c r="C59" s="28" t="str">
        <f>Sites[[#This Row],[SOL'#]]</f>
        <v>SOL-10869</v>
      </c>
      <c r="D59" s="10">
        <f>SUM(Apr!D59, May!D59, Jun!D59)</f>
        <v>188257.9296875</v>
      </c>
      <c r="E59" s="15">
        <f>SUM(Apr!E59, May!E59, Jun!E59)</f>
        <v>147021.25</v>
      </c>
      <c r="F59" s="15">
        <f t="shared" si="9"/>
        <v>41236.6796875</v>
      </c>
      <c r="G59" s="16">
        <f t="shared" si="10"/>
        <v>0.28048108479216438</v>
      </c>
      <c r="H59" s="17">
        <f>SUM(Apr!H59, May!H59, Jun!H59)</f>
        <v>153974.54</v>
      </c>
      <c r="I59" s="17">
        <f>SUM(Apr!I59, May!I59, Jun!I59)</f>
        <v>34283.389687499999</v>
      </c>
      <c r="J59" s="16">
        <f t="shared" si="8"/>
        <v>0.22265622412315697</v>
      </c>
      <c r="K59" s="39"/>
      <c r="L59" s="40"/>
    </row>
    <row r="60" spans="1:12" ht="15.75">
      <c r="A60" s="25" t="str">
        <v>Q490</v>
      </c>
      <c r="B60" s="26" t="str">
        <v>NY</v>
      </c>
      <c r="C60" s="26" t="str">
        <f>Sites[[#This Row],[SOL'#]]</f>
        <v>SOL-10411</v>
      </c>
      <c r="D60" s="67">
        <f>SUM(Apr!D60, May!D60, Jun!D60)</f>
        <v>152911.3125</v>
      </c>
      <c r="E60" s="11">
        <f>SUM(Apr!E60, May!E60, Jun!E60)</f>
        <v>0</v>
      </c>
      <c r="F60" s="11">
        <f t="shared" si="9"/>
        <v>152911.3125</v>
      </c>
      <c r="G60" s="68" t="str">
        <f t="shared" si="10"/>
        <v/>
      </c>
      <c r="H60" s="13">
        <f>SUM(Apr!H60, May!H60, Jun!H60)</f>
        <v>166249.69</v>
      </c>
      <c r="I60" s="13">
        <f>SUM(Apr!I60, May!I60, Jun!I60)</f>
        <v>-13338.377500000002</v>
      </c>
      <c r="J60" s="14">
        <f t="shared" si="8"/>
        <v>-8.0230991708916885E-2</v>
      </c>
      <c r="K60" s="38"/>
      <c r="L60" s="38"/>
    </row>
    <row r="61" spans="1:12" ht="15.75">
      <c r="A61" s="27" t="str">
        <v>Q620</v>
      </c>
      <c r="B61" s="28" t="str">
        <v>NY</v>
      </c>
      <c r="C61" s="28" t="str">
        <f>Sites[[#This Row],[SOL'#]]</f>
        <v>SOL-10867</v>
      </c>
      <c r="D61" s="10">
        <f>SUM(Apr!D61, May!D61, Jun!D61)</f>
        <v>233653.125</v>
      </c>
      <c r="E61" s="15">
        <f>SUM(Apr!E61, May!E61, Jun!E61)</f>
        <v>238612.35</v>
      </c>
      <c r="F61" s="15">
        <f t="shared" si="9"/>
        <v>-4959.2250000000058</v>
      </c>
      <c r="G61" s="16">
        <f t="shared" si="10"/>
        <v>-2.0783605710266068E-2</v>
      </c>
      <c r="H61" s="17">
        <f>SUM(Apr!H61, May!H61, Jun!H61)</f>
        <v>248515.88</v>
      </c>
      <c r="I61" s="17">
        <f>SUM(Apr!I61, May!I61, Jun!I61)</f>
        <v>-14862.755000000005</v>
      </c>
      <c r="J61" s="16">
        <f t="shared" si="8"/>
        <v>-5.980605746401399E-2</v>
      </c>
      <c r="K61" s="39"/>
      <c r="L61" s="40"/>
    </row>
    <row r="62" spans="1:12" ht="15.75">
      <c r="A62" s="25" t="str">
        <v>QMOA</v>
      </c>
      <c r="B62" s="26" t="str">
        <v>NY</v>
      </c>
      <c r="C62" s="26" t="str">
        <f>Sites[[#This Row],[SOL'#]]</f>
        <v>SOL-10415</v>
      </c>
      <c r="D62" s="67">
        <f>SUM(Apr!D62, May!D62, Jun!D62)</f>
        <v>19958.900000000001</v>
      </c>
      <c r="E62" s="11">
        <f>SUM(Apr!E62, May!E62, Jun!E62)</f>
        <v>0</v>
      </c>
      <c r="F62" s="11">
        <f t="shared" si="9"/>
        <v>19958.900000000001</v>
      </c>
      <c r="G62" s="68" t="str">
        <f t="shared" si="10"/>
        <v/>
      </c>
      <c r="H62" s="13">
        <f>SUM(Apr!H62, May!H62, Jun!H62)</f>
        <v>20839.485000000001</v>
      </c>
      <c r="I62" s="13">
        <f>SUM(Apr!I62, May!I62, Jun!I62)</f>
        <v>-880.58500000000095</v>
      </c>
      <c r="J62" s="14">
        <f t="shared" si="8"/>
        <v>-4.2255602765615415E-2</v>
      </c>
      <c r="K62" s="38"/>
      <c r="L62" s="38"/>
    </row>
    <row r="63" spans="1:12" ht="15.75">
      <c r="A63" s="27" t="str">
        <v>X024</v>
      </c>
      <c r="B63" s="28" t="str">
        <v>NY</v>
      </c>
      <c r="C63" s="28" t="str">
        <f>Sites[[#This Row],[SOL'#]]</f>
        <v>SOL-10419</v>
      </c>
      <c r="D63" s="10">
        <f>SUM(Apr!D63, May!D63, Jun!D63)</f>
        <v>89605.1484375</v>
      </c>
      <c r="E63" s="15">
        <f>SUM(Apr!E63, May!E63, Jun!E63)</f>
        <v>0</v>
      </c>
      <c r="F63" s="15">
        <f t="shared" si="9"/>
        <v>89605.1484375</v>
      </c>
      <c r="G63" s="16" t="str">
        <f t="shared" si="10"/>
        <v/>
      </c>
      <c r="H63" s="17">
        <f>SUM(Apr!H63, May!H63, Jun!H63)</f>
        <v>0</v>
      </c>
      <c r="I63" s="17">
        <f>SUM(Apr!I63, May!I63, Jun!I63)</f>
        <v>89605.1484375</v>
      </c>
      <c r="J63" s="16" t="str">
        <f t="shared" si="8"/>
        <v/>
      </c>
      <c r="K63" s="39"/>
      <c r="L63" s="40"/>
    </row>
    <row r="64" spans="1:12" ht="15.75">
      <c r="A64" s="25" t="str">
        <v>X026</v>
      </c>
      <c r="B64" s="26" t="str">
        <v>NY</v>
      </c>
      <c r="C64" s="26" t="str">
        <f>Sites[[#This Row],[SOL'#]]</f>
        <v>SOL-10420</v>
      </c>
      <c r="D64" s="67">
        <f>SUM(Apr!D64, May!D64, Jun!D64)</f>
        <v>79861.077000000005</v>
      </c>
      <c r="E64" s="11">
        <f>SUM(Apr!E64, May!E64, Jun!E64)</f>
        <v>73590.66</v>
      </c>
      <c r="F64" s="11">
        <f t="shared" si="9"/>
        <v>6270.4170000000013</v>
      </c>
      <c r="G64" s="68">
        <f t="shared" si="10"/>
        <v>8.5206696067136795E-2</v>
      </c>
      <c r="H64" s="13">
        <f>SUM(Apr!H64, May!H64, Jun!H64)</f>
        <v>71298.951000000001</v>
      </c>
      <c r="I64" s="13">
        <f>SUM(Apr!I64, May!I64, Jun!I64)</f>
        <v>8562.1260000000002</v>
      </c>
      <c r="J64" s="14">
        <f t="shared" si="8"/>
        <v>0.12008768544154318</v>
      </c>
      <c r="K64" s="38"/>
      <c r="L64" s="38"/>
    </row>
    <row r="65" spans="1:12" ht="15.75">
      <c r="A65" s="27" t="str">
        <v>X090</v>
      </c>
      <c r="B65" s="28" t="str">
        <v>NY</v>
      </c>
      <c r="C65" s="28" t="str">
        <f>Sites[[#This Row],[SOL'#]]</f>
        <v>SOL-10925</v>
      </c>
      <c r="D65" s="10">
        <f>SUM(Apr!D65, May!D65, Jun!D65)</f>
        <v>67564.07058</v>
      </c>
      <c r="E65" s="15">
        <f>SUM(Apr!E65, May!E65, Jun!E65)</f>
        <v>60046.816000000006</v>
      </c>
      <c r="F65" s="15">
        <f t="shared" si="9"/>
        <v>7517.2545799999934</v>
      </c>
      <c r="G65" s="16">
        <f t="shared" si="10"/>
        <v>0.12518989483139276</v>
      </c>
      <c r="H65" s="17">
        <f>SUM(Apr!H65, May!H65, Jun!H65)</f>
        <v>52507.17</v>
      </c>
      <c r="I65" s="17">
        <f>SUM(Apr!I65, May!I65, Jun!I65)</f>
        <v>15056.900580000001</v>
      </c>
      <c r="J65" s="16">
        <f t="shared" si="8"/>
        <v>0.28675894320718487</v>
      </c>
      <c r="K65" s="39"/>
      <c r="L65" s="39"/>
    </row>
    <row r="66" spans="1:12" ht="15.75">
      <c r="A66" s="25" t="str">
        <v>X117</v>
      </c>
      <c r="B66" s="26" t="str">
        <v>NY</v>
      </c>
      <c r="C66" s="26" t="str">
        <f>Sites[[#This Row],[SOL'#]]</f>
        <v>SOL-10422</v>
      </c>
      <c r="D66" s="67">
        <f>SUM(Apr!D66, May!D66, Jun!D66)</f>
        <v>65977.167000000001</v>
      </c>
      <c r="E66" s="11">
        <f>SUM(Apr!E66, May!E66, Jun!E66)</f>
        <v>63107.827000000005</v>
      </c>
      <c r="F66" s="11">
        <f t="shared" si="9"/>
        <v>2869.3399999999965</v>
      </c>
      <c r="G66" s="68">
        <f t="shared" si="10"/>
        <v>4.5467260344742917E-2</v>
      </c>
      <c r="H66" s="13">
        <f>SUM(Apr!H66, May!H66, Jun!H66)</f>
        <v>71547.361999999994</v>
      </c>
      <c r="I66" s="13">
        <f>SUM(Apr!I66, May!I66, Jun!I66)</f>
        <v>-5570.1949999999997</v>
      </c>
      <c r="J66" s="14">
        <f t="shared" si="8"/>
        <v>-7.7853254743340511E-2</v>
      </c>
      <c r="K66" s="38"/>
      <c r="L66" s="38"/>
    </row>
    <row r="67" spans="1:12" ht="15.75">
      <c r="A67" s="27" t="str">
        <v>X125</v>
      </c>
      <c r="B67" s="28" t="str">
        <v>NY</v>
      </c>
      <c r="C67" s="28" t="str">
        <f>Sites[[#This Row],[SOL'#]]</f>
        <v>SOL-10423</v>
      </c>
      <c r="D67" s="10">
        <f>SUM(Apr!D67, May!D67, Jun!D67)</f>
        <v>100137.91125</v>
      </c>
      <c r="E67" s="15">
        <f>SUM(Apr!E67, May!E67, Jun!E67)</f>
        <v>105395.833</v>
      </c>
      <c r="F67" s="15">
        <f t="shared" si="9"/>
        <v>-5257.9217499999941</v>
      </c>
      <c r="G67" s="16">
        <f t="shared" si="10"/>
        <v>-4.9887377900414663E-2</v>
      </c>
      <c r="H67" s="17">
        <f>SUM(Apr!H67, May!H67, Jun!H67)</f>
        <v>71582.280999999988</v>
      </c>
      <c r="I67" s="17">
        <f>SUM(Apr!I67, May!I67, Jun!I67)</f>
        <v>28555.630249999998</v>
      </c>
      <c r="J67" s="16">
        <f t="shared" si="8"/>
        <v>0.39892037318564916</v>
      </c>
      <c r="K67" s="39"/>
      <c r="L67" s="40"/>
    </row>
    <row r="68" spans="1:12" ht="15.75">
      <c r="A68" s="25" t="str">
        <v>X134</v>
      </c>
      <c r="B68" s="26" t="str">
        <v>NY</v>
      </c>
      <c r="C68" s="26" t="str">
        <f>Sites[[#This Row],[SOL'#]]</f>
        <v>SOL-10424</v>
      </c>
      <c r="D68" s="67">
        <f>SUM(Apr!D68, May!D68, Jun!D68)</f>
        <v>100290.82738</v>
      </c>
      <c r="E68" s="11">
        <f>SUM(Apr!E68, May!E68, Jun!E68)</f>
        <v>0</v>
      </c>
      <c r="F68" s="11">
        <f t="shared" si="9"/>
        <v>100290.82738</v>
      </c>
      <c r="G68" s="68" t="str">
        <f t="shared" si="10"/>
        <v/>
      </c>
      <c r="H68" s="13">
        <f>SUM(Apr!H68, May!H68, Jun!H68)</f>
        <v>0</v>
      </c>
      <c r="I68" s="13">
        <f>SUM(Apr!I68, May!I68, Jun!I68)</f>
        <v>100290.82738</v>
      </c>
      <c r="J68" s="14" t="str">
        <f t="shared" si="8"/>
        <v/>
      </c>
      <c r="K68" s="38"/>
      <c r="L68" s="38"/>
    </row>
    <row r="69" spans="1:12" ht="15.75">
      <c r="A69" s="27" t="str">
        <v>X135</v>
      </c>
      <c r="B69" s="28" t="str">
        <v>NY</v>
      </c>
      <c r="C69" s="28" t="str">
        <f>Sites[[#This Row],[SOL'#]]</f>
        <v>SOL-10425</v>
      </c>
      <c r="D69" s="10">
        <f>SUM(Apr!D69, May!D69, Jun!D69)</f>
        <v>71601.75563</v>
      </c>
      <c r="E69" s="15">
        <f>SUM(Apr!E69, May!E69, Jun!E69)</f>
        <v>0</v>
      </c>
      <c r="F69" s="15">
        <f t="shared" si="9"/>
        <v>71601.75563</v>
      </c>
      <c r="G69" s="16" t="str">
        <f t="shared" si="10"/>
        <v/>
      </c>
      <c r="H69" s="17">
        <f>SUM(Apr!H69, May!H69, Jun!H69)</f>
        <v>0</v>
      </c>
      <c r="I69" s="17">
        <f>SUM(Apr!I69, May!I69, Jun!I69)</f>
        <v>71601.75563</v>
      </c>
      <c r="J69" s="16" t="str">
        <f t="shared" si="8"/>
        <v/>
      </c>
      <c r="K69" s="39"/>
      <c r="L69" s="40"/>
    </row>
    <row r="70" spans="1:12" ht="15.75">
      <c r="A70" s="25" t="str">
        <v>X139 JHS 222</v>
      </c>
      <c r="B70" s="26" t="str">
        <v>NY</v>
      </c>
      <c r="C70" s="26" t="str">
        <f>Sites[[#This Row],[SOL'#]]</f>
        <v>SOL-10426</v>
      </c>
      <c r="D70" s="67">
        <f>SUM(Apr!D70, May!D70, Jun!D70)</f>
        <v>127514.2439423631</v>
      </c>
      <c r="E70" s="11">
        <f>SUM(Apr!E70, May!E70, Jun!E70)</f>
        <v>136563.81</v>
      </c>
      <c r="F70" s="11">
        <f t="shared" si="9"/>
        <v>-9049.5660576368973</v>
      </c>
      <c r="G70" s="68">
        <f t="shared" si="10"/>
        <v>-6.6266209602946033E-2</v>
      </c>
      <c r="H70" s="13">
        <f>SUM(Apr!H70, May!H70, Jun!H70)</f>
        <v>125687</v>
      </c>
      <c r="I70" s="13">
        <f>SUM(Apr!I70, May!I70, Jun!I70)</f>
        <v>1827.2439423631004</v>
      </c>
      <c r="J70" s="14">
        <f t="shared" si="8"/>
        <v>1.453805041383039E-2</v>
      </c>
      <c r="K70" s="38"/>
      <c r="L70" s="38"/>
    </row>
    <row r="71" spans="1:12" ht="15.75">
      <c r="A71" s="27" t="str">
        <v>X140</v>
      </c>
      <c r="B71" s="28" t="str">
        <v>NY</v>
      </c>
      <c r="C71" s="28" t="str">
        <f>Sites[[#This Row],[SOL'#]]</f>
        <v>SOL-10926</v>
      </c>
      <c r="D71" s="10">
        <f>SUM(Apr!D71, May!D71, Jun!D71)</f>
        <v>71659.005859375</v>
      </c>
      <c r="E71" s="15">
        <f>SUM(Apr!E71, May!E71, Jun!E71)</f>
        <v>60532.45</v>
      </c>
      <c r="F71" s="15">
        <f t="shared" si="9"/>
        <v>11126.555859375003</v>
      </c>
      <c r="G71" s="16">
        <f t="shared" si="10"/>
        <v>0.18381142444052742</v>
      </c>
      <c r="H71" s="17">
        <f>SUM(Apr!H71, May!H71, Jun!H71)</f>
        <v>62432</v>
      </c>
      <c r="I71" s="17">
        <f>SUM(Apr!I71, May!I71, Jun!I71)</f>
        <v>9227.005859375</v>
      </c>
      <c r="J71" s="16">
        <f t="shared" si="8"/>
        <v>0.14779289241694965</v>
      </c>
      <c r="K71" s="39"/>
      <c r="L71" s="40"/>
    </row>
    <row r="72" spans="1:12" ht="15.75">
      <c r="A72" s="25" t="str">
        <v>X166</v>
      </c>
      <c r="B72" s="26" t="str">
        <v>NY</v>
      </c>
      <c r="C72" s="26" t="str">
        <f>Sites[[#This Row],[SOL'#]]</f>
        <v>SOL-10427</v>
      </c>
      <c r="D72" s="67">
        <f>SUM(Apr!D72, May!D72, Jun!D72)</f>
        <v>74613.5</v>
      </c>
      <c r="E72" s="11">
        <f>SUM(Apr!E72, May!E72, Jun!E72)</f>
        <v>76570</v>
      </c>
      <c r="F72" s="11">
        <f t="shared" si="9"/>
        <v>-1956.5</v>
      </c>
      <c r="G72" s="68">
        <f t="shared" si="10"/>
        <v>-2.5551782682512732E-2</v>
      </c>
      <c r="H72" s="13">
        <f>SUM(Apr!H72, May!H72, Jun!H72)</f>
        <v>0</v>
      </c>
      <c r="I72" s="13">
        <f>SUM(Apr!I72, May!I72, Jun!I72)</f>
        <v>49606.5</v>
      </c>
      <c r="J72" s="14" t="str">
        <f t="shared" si="8"/>
        <v/>
      </c>
      <c r="K72" s="38"/>
      <c r="L72" s="38"/>
    </row>
    <row r="73" spans="1:12" ht="15.75">
      <c r="A73" s="27" t="str">
        <v>Murphy</v>
      </c>
      <c r="B73" s="28" t="str">
        <v>MN</v>
      </c>
      <c r="C73" s="28" t="str">
        <f>Sites[[#This Row],[SOL'#]]</f>
        <v>SOL-10094</v>
      </c>
      <c r="D73" s="10">
        <f>SUM(Apr!D73, May!D73, Jun!D73)</f>
        <v>2001730</v>
      </c>
      <c r="E73" s="15">
        <f>SUM(Apr!E73, May!E73, Jun!E73)</f>
        <v>2143639.1</v>
      </c>
      <c r="F73" s="15">
        <f t="shared" si="9"/>
        <v>-141909.10000000009</v>
      </c>
      <c r="G73" s="16">
        <f t="shared" si="10"/>
        <v>-6.620008937138723E-2</v>
      </c>
      <c r="H73" s="17">
        <f>SUM(Apr!H73, May!H73, Jun!H73)</f>
        <v>2866121.6</v>
      </c>
      <c r="I73" s="17">
        <f>SUM(Apr!I73, May!I73, Jun!I73)</f>
        <v>-864391.60000000009</v>
      </c>
      <c r="J73" s="16">
        <f t="shared" si="8"/>
        <v>-0.30158929753713171</v>
      </c>
      <c r="K73" s="39"/>
      <c r="L73" s="40"/>
    </row>
    <row r="74" spans="1:12" ht="15.75">
      <c r="A74" s="25" t="str">
        <v>Terning</v>
      </c>
      <c r="B74" s="26" t="str">
        <v>MN</v>
      </c>
      <c r="C74" s="26" t="str">
        <f>Sites[[#This Row],[SOL'#]]</f>
        <v>SOL-10093</v>
      </c>
      <c r="D74" s="67">
        <f>SUM(Apr!D74, May!D74, Jun!D74)</f>
        <v>2631973.1</v>
      </c>
      <c r="E74" s="11">
        <f>SUM(Apr!E74, May!E74, Jun!E74)</f>
        <v>2866525.8</v>
      </c>
      <c r="F74" s="11">
        <f t="shared" si="9"/>
        <v>-234552.69999999972</v>
      </c>
      <c r="G74" s="68">
        <f t="shared" si="10"/>
        <v>-8.1824730131506138E-2</v>
      </c>
      <c r="H74" s="13">
        <f>SUM(Apr!H74, May!H74, Jun!H74)</f>
        <v>2971616.8000000003</v>
      </c>
      <c r="I74" s="13">
        <f>SUM(Apr!I74, May!I74, Jun!I74)</f>
        <v>-339643.70000000007</v>
      </c>
      <c r="J74" s="14">
        <f t="shared" si="8"/>
        <v>-0.11429592806178779</v>
      </c>
      <c r="K74" s="38"/>
      <c r="L74" s="38"/>
    </row>
    <row r="75" spans="1:12" ht="15.75">
      <c r="A75" s="27" t="str">
        <v>Boas Road 04</v>
      </c>
      <c r="B75" s="28" t="str">
        <v>NY</v>
      </c>
      <c r="C75" s="28" t="str">
        <f>Sites[[#This Row],[SOL'#]]</f>
        <v>SOL-10908</v>
      </c>
      <c r="D75" s="10">
        <f>SUM(Apr!D75, May!D75, Jun!D75)</f>
        <v>1017727</v>
      </c>
      <c r="E75" s="15">
        <f>SUM(Apr!E75, May!E75, Jun!E75)</f>
        <v>273061.74800000002</v>
      </c>
      <c r="F75" s="15">
        <f t="shared" si="9"/>
        <v>744665.25199999998</v>
      </c>
      <c r="G75" s="16">
        <f t="shared" si="10"/>
        <v>2.7270947229122693</v>
      </c>
      <c r="H75" s="17">
        <f>SUM(Apr!H75, May!H75, Jun!H75)</f>
        <v>1087393.67</v>
      </c>
      <c r="I75" s="17">
        <f>SUM(Apr!I75, May!I75, Jun!I75)</f>
        <v>-69666.669999999984</v>
      </c>
      <c r="J75" s="16">
        <f t="shared" si="8"/>
        <v>-6.4067569935366636E-2</v>
      </c>
      <c r="K75" s="39"/>
      <c r="L75" s="40"/>
    </row>
    <row r="76" spans="1:12" ht="15.75">
      <c r="A76" s="25" t="str">
        <v>Kelly Bridge Farm</v>
      </c>
      <c r="B76" s="26" t="str">
        <v>NY</v>
      </c>
      <c r="C76" s="26" t="str">
        <f>Sites[[#This Row],[SOL'#]]</f>
        <v>SOL-10911</v>
      </c>
      <c r="D76" s="67">
        <f>SUM(Apr!D76, May!D76, Jun!D76)</f>
        <v>1026760</v>
      </c>
      <c r="E76" s="11">
        <f>SUM(Apr!E76, May!E76, Jun!E76)</f>
        <v>1064109.7949999999</v>
      </c>
      <c r="F76" s="11">
        <f t="shared" si="9"/>
        <v>-37349.794999999925</v>
      </c>
      <c r="G76" s="68">
        <f t="shared" si="10"/>
        <v>-3.5099568837255117E-2</v>
      </c>
      <c r="H76" s="13">
        <f>SUM(Apr!H76, May!H76, Jun!H76)</f>
        <v>1095092.1400000001</v>
      </c>
      <c r="I76" s="13">
        <f>SUM(Apr!I76, May!I76, Jun!I76)</f>
        <v>-68332.139999999956</v>
      </c>
      <c r="J76" s="14">
        <f t="shared" si="8"/>
        <v>-6.2398530227785166E-2</v>
      </c>
      <c r="K76" s="38"/>
      <c r="L76" s="38"/>
    </row>
    <row r="77" spans="1:12" ht="15.75">
      <c r="A77" s="27" t="str">
        <v>Pool Brook Road</v>
      </c>
      <c r="B77" s="28" t="str">
        <v>NY</v>
      </c>
      <c r="C77" s="28" t="str">
        <f>Sites[[#This Row],[SOL'#]]</f>
        <v>SOL-10909</v>
      </c>
      <c r="D77" s="10">
        <f>SUM(Apr!D77, May!D77, Jun!D77)</f>
        <v>982492</v>
      </c>
      <c r="E77" s="15">
        <f>SUM(Apr!E77, May!E77, Jun!E77)</f>
        <v>986827.11600000004</v>
      </c>
      <c r="F77" s="15">
        <f t="shared" si="9"/>
        <v>-4335.1160000000382</v>
      </c>
      <c r="G77" s="16">
        <f t="shared" si="10"/>
        <v>-4.3929842722319739E-3</v>
      </c>
      <c r="H77" s="17">
        <f>SUM(Apr!H77, May!H77, Jun!H77)</f>
        <v>1041448.98</v>
      </c>
      <c r="I77" s="17">
        <f>SUM(Apr!I77, May!I77, Jun!I77)</f>
        <v>-58956.98000000004</v>
      </c>
      <c r="J77" s="16">
        <f t="shared" si="8"/>
        <v>-5.661053122352671E-2</v>
      </c>
      <c r="K77" s="39"/>
      <c r="L77" s="39"/>
    </row>
    <row r="78" spans="1:12" ht="15.75">
      <c r="A78" s="25" t="str">
        <v>Sackett Lake</v>
      </c>
      <c r="B78" s="26" t="str">
        <v>NY</v>
      </c>
      <c r="C78" s="26" t="str">
        <f>Sites[[#This Row],[SOL'#]]</f>
        <v>SOL-10910</v>
      </c>
      <c r="D78" s="67">
        <f>SUM(Apr!D78, May!D78, Jun!D78)</f>
        <v>908087</v>
      </c>
      <c r="E78" s="11">
        <f>SUM(Apr!E78, May!E78, Jun!E78)</f>
        <v>947309.16399999999</v>
      </c>
      <c r="F78" s="11">
        <f t="shared" si="9"/>
        <v>-39222.16399999999</v>
      </c>
      <c r="G78" s="68">
        <f t="shared" si="10"/>
        <v>-4.1403762879675877E-2</v>
      </c>
      <c r="H78" s="13">
        <f>SUM(Apr!H78, May!H78, Jun!H78)</f>
        <v>1075568.22</v>
      </c>
      <c r="I78" s="13">
        <f>SUM(Apr!I78, May!I78, Jun!I78)</f>
        <v>-167481.21999999997</v>
      </c>
      <c r="J78" s="14">
        <f t="shared" si="8"/>
        <v>-0.1557141768283187</v>
      </c>
      <c r="K78" s="38"/>
      <c r="L78" s="38"/>
    </row>
    <row r="79" spans="1:12" ht="15.75">
      <c r="A79" s="27" t="str">
        <v>Burritt Road</v>
      </c>
      <c r="B79" s="28" t="str">
        <v>NY</v>
      </c>
      <c r="C79" s="28" t="str">
        <f>Sites[[#This Row],[SOL'#]]</f>
        <v>SOL-10913</v>
      </c>
      <c r="D79" s="10">
        <f>SUM(Apr!D79, May!D79, Jun!D79)</f>
        <v>1057810</v>
      </c>
      <c r="E79" s="15">
        <f>SUM(Apr!E79, May!E79, Jun!E79)</f>
        <v>394509.27500000002</v>
      </c>
      <c r="F79" s="15">
        <f t="shared" si="9"/>
        <v>663300.72499999998</v>
      </c>
      <c r="G79" s="16">
        <f t="shared" si="10"/>
        <v>1.6813311296673568</v>
      </c>
      <c r="H79" s="17">
        <f>SUM(Apr!H79, May!H79, Jun!H79)</f>
        <v>1126769.6100000001</v>
      </c>
      <c r="I79" s="17">
        <f>SUM(Apr!I79, May!I79, Jun!I79)</f>
        <v>-68959.609999999986</v>
      </c>
      <c r="J79" s="16">
        <f t="shared" si="8"/>
        <v>-6.1201162498516426E-2</v>
      </c>
      <c r="K79" s="39"/>
      <c r="L79" s="40"/>
    </row>
    <row r="80" spans="1:12" ht="15.75">
      <c r="A80" s="25" t="str">
        <v>Villa Roma 1</v>
      </c>
      <c r="B80" s="26" t="str">
        <v>NY</v>
      </c>
      <c r="C80" s="26" t="str">
        <f>Sites[[#This Row],[SOL'#]]</f>
        <v>SOL-10914</v>
      </c>
      <c r="D80" s="67">
        <f>SUM(Apr!D80, May!D80, Jun!D80)</f>
        <v>881856</v>
      </c>
      <c r="E80" s="11">
        <f>SUM(Apr!E80, May!E80, Jun!E80)</f>
        <v>1235077.2</v>
      </c>
      <c r="F80" s="11">
        <f t="shared" si="9"/>
        <v>-353221.19999999995</v>
      </c>
      <c r="G80" s="68">
        <f t="shared" si="10"/>
        <v>-0.28599119148179558</v>
      </c>
      <c r="H80" s="13">
        <f>SUM(Apr!H80, May!H80, Jun!H80)</f>
        <v>1003286.5700000001</v>
      </c>
      <c r="I80" s="13">
        <f>SUM(Apr!I80, May!I80, Jun!I80)</f>
        <v>-121430.57</v>
      </c>
      <c r="J80" s="14">
        <f t="shared" si="8"/>
        <v>-0.12103278727233437</v>
      </c>
      <c r="K80" s="38"/>
      <c r="L80" s="38"/>
    </row>
    <row r="81" spans="1:12" ht="15.75">
      <c r="A81" s="27" t="str">
        <v>Villa Roma 2</v>
      </c>
      <c r="B81" s="28" t="str">
        <v>NY</v>
      </c>
      <c r="C81" s="28" t="str">
        <f>Sites[[#This Row],[SOL'#]]</f>
        <v>SOL-10915</v>
      </c>
      <c r="D81" s="10">
        <f>SUM(Apr!D81, May!D81, Jun!D81)</f>
        <v>886989</v>
      </c>
      <c r="E81" s="15">
        <f>SUM(Apr!E81, May!E81, Jun!E81)</f>
        <v>949960.36100000003</v>
      </c>
      <c r="F81" s="15">
        <f t="shared" si="9"/>
        <v>-62971.361000000034</v>
      </c>
      <c r="G81" s="16">
        <f t="shared" si="10"/>
        <v>-6.628840905920709E-2</v>
      </c>
      <c r="H81" s="17">
        <f>SUM(Apr!H81, May!H81, Jun!H81)</f>
        <v>973607.17999999993</v>
      </c>
      <c r="I81" s="17">
        <f>SUM(Apr!I81, May!I81, Jun!I81)</f>
        <v>-86618.18</v>
      </c>
      <c r="J81" s="16">
        <f t="shared" si="8"/>
        <v>-8.8966250228351848E-2</v>
      </c>
      <c r="K81" s="39"/>
      <c r="L81" s="40"/>
    </row>
    <row r="82" spans="1:12" ht="15.75">
      <c r="A82" s="25" t="str">
        <v>Washington 1</v>
      </c>
      <c r="B82" s="26" t="str">
        <v>NY</v>
      </c>
      <c r="C82" s="26" t="str">
        <f>Sites[[#This Row],[SOL'#]]</f>
        <v>SOL-10912</v>
      </c>
      <c r="D82" s="67">
        <f>SUM(Apr!D82, May!D82, Jun!D82)</f>
        <v>1046790</v>
      </c>
      <c r="E82" s="11">
        <f>SUM(Apr!E82, May!E82, Jun!E82)</f>
        <v>1114647.0260000001</v>
      </c>
      <c r="F82" s="11">
        <f t="shared" ref="F82:F113" si="11">IF(AND(ISNUMBER(D82),ISNUMBER(E82)), D82-E82, "")</f>
        <v>-67857.026000000071</v>
      </c>
      <c r="G82" s="68">
        <f t="shared" ref="G82:G113" si="12">IFERROR(F82/E82, "")</f>
        <v>-6.087759121693477E-2</v>
      </c>
      <c r="H82" s="13">
        <f>SUM(Apr!H82, May!H82, Jun!H82)</f>
        <v>1115031.8500000001</v>
      </c>
      <c r="I82" s="13">
        <f>SUM(Apr!I82, May!I82, Jun!I82)</f>
        <v>-68241.850000000035</v>
      </c>
      <c r="J82" s="14">
        <f t="shared" ref="J82:J145" si="13">IFERROR(I82/H82, "")</f>
        <v>-6.1201704686731619E-2</v>
      </c>
      <c r="K82" s="38"/>
      <c r="L82" s="38"/>
    </row>
    <row r="83" spans="1:12" ht="15.75">
      <c r="A83" s="27" t="str">
        <v>Washington 3</v>
      </c>
      <c r="B83" s="28" t="str">
        <v>NY</v>
      </c>
      <c r="C83" s="28" t="str">
        <f>Sites[[#This Row],[SOL'#]]</f>
        <v>SOL-10828</v>
      </c>
      <c r="D83" s="10">
        <f>SUM(Apr!D83, May!D83, Jun!D83)</f>
        <v>1171679</v>
      </c>
      <c r="E83" s="15">
        <f>SUM(Apr!E83, May!E83, Jun!E83)</f>
        <v>938895.30200000003</v>
      </c>
      <c r="F83" s="15">
        <f t="shared" si="11"/>
        <v>232783.69799999997</v>
      </c>
      <c r="G83" s="16">
        <f t="shared" si="12"/>
        <v>0.24793360612640489</v>
      </c>
      <c r="H83" s="17">
        <f>SUM(Apr!H83, May!H83, Jun!H83)</f>
        <v>1360787.85</v>
      </c>
      <c r="I83" s="17">
        <f>SUM(Apr!I83, May!I83, Jun!I83)</f>
        <v>-189108.84999999998</v>
      </c>
      <c r="J83" s="16">
        <f t="shared" si="13"/>
        <v>-0.13897011940546056</v>
      </c>
      <c r="K83" s="39"/>
      <c r="L83" s="40"/>
    </row>
    <row r="84" spans="1:12" ht="15.75">
      <c r="A84" s="25" t="str">
        <v>Washington 4</v>
      </c>
      <c r="B84" s="26" t="str">
        <v>NY</v>
      </c>
      <c r="C84" s="26" t="str">
        <f>Sites[[#This Row],[SOL'#]]</f>
        <v>SOL-10829</v>
      </c>
      <c r="D84" s="67">
        <f>SUM(Apr!D84, May!D84, Jun!D84)</f>
        <v>1038920</v>
      </c>
      <c r="E84" s="11">
        <f>SUM(Apr!E84, May!E84, Jun!E84)</f>
        <v>0</v>
      </c>
      <c r="F84" s="11">
        <f t="shared" si="11"/>
        <v>1038920</v>
      </c>
      <c r="G84" s="68" t="str">
        <f t="shared" si="12"/>
        <v/>
      </c>
      <c r="H84" s="13">
        <f>SUM(Apr!H84, May!H84, Jun!H84)</f>
        <v>1363718.22</v>
      </c>
      <c r="I84" s="13">
        <f>SUM(Apr!I84, May!I84, Jun!I84)</f>
        <v>-324798.22000000003</v>
      </c>
      <c r="J84" s="14">
        <f t="shared" si="13"/>
        <v>-0.23817106440067951</v>
      </c>
      <c r="K84" s="38"/>
      <c r="L84" s="38"/>
    </row>
    <row r="85" spans="1:12" ht="15.75">
      <c r="A85" s="27" t="str">
        <v>Big Tree</v>
      </c>
      <c r="B85" s="28" t="str">
        <v>NY</v>
      </c>
      <c r="C85" s="28" t="str">
        <f>Sites[[#This Row],[SOL'#]]</f>
        <v>SOL-10966</v>
      </c>
      <c r="D85" s="10">
        <f>SUM(Apr!D85, May!D85, Jun!D85)</f>
        <v>1022121</v>
      </c>
      <c r="E85" s="15">
        <f>SUM(Apr!E85, May!E85, Jun!E85)</f>
        <v>400672</v>
      </c>
      <c r="F85" s="15">
        <f t="shared" si="11"/>
        <v>621449</v>
      </c>
      <c r="G85" s="16">
        <f t="shared" si="12"/>
        <v>1.5510167917897932</v>
      </c>
      <c r="H85" s="17">
        <f>SUM(Apr!H85, May!H85, Jun!H85)</f>
        <v>316775.67</v>
      </c>
      <c r="I85" s="17">
        <f>SUM(Apr!I85, May!I85, Jun!I85)</f>
        <v>705345.33000000007</v>
      </c>
      <c r="J85" s="16">
        <f t="shared" si="13"/>
        <v>2.226639848950521</v>
      </c>
      <c r="K85" s="39"/>
      <c r="L85" s="40"/>
    </row>
    <row r="86" spans="1:12" ht="15.75">
      <c r="A86" s="25" t="str">
        <v>Canoga</v>
      </c>
      <c r="B86" s="26" t="str">
        <v>NY</v>
      </c>
      <c r="C86" s="26" t="str">
        <f>Sites[[#This Row],[SOL'#]]</f>
        <v>SOL-10965</v>
      </c>
      <c r="D86" s="67">
        <f>SUM(Apr!D86, May!D86, Jun!D86)</f>
        <v>2635522</v>
      </c>
      <c r="E86" s="11">
        <f>SUM(Apr!E86, May!E86, Jun!E86)</f>
        <v>0</v>
      </c>
      <c r="F86" s="11">
        <f t="shared" si="11"/>
        <v>2635522</v>
      </c>
      <c r="G86" s="68" t="str">
        <f t="shared" si="12"/>
        <v/>
      </c>
      <c r="H86" s="13">
        <f>SUM(Apr!H86, May!H86, Jun!H86)</f>
        <v>898009.40999999992</v>
      </c>
      <c r="I86" s="13">
        <f>SUM(Apr!I86, May!I86, Jun!I86)</f>
        <v>1737512.59</v>
      </c>
      <c r="J86" s="14">
        <f t="shared" si="13"/>
        <v>1.9348489789210563</v>
      </c>
      <c r="K86" s="38"/>
      <c r="L86" s="38"/>
    </row>
    <row r="87" spans="1:12" ht="15.75">
      <c r="A87" s="27" t="str">
        <v>County Route 84</v>
      </c>
      <c r="B87" s="28" t="str">
        <v>NY</v>
      </c>
      <c r="C87" s="28" t="str">
        <f>Sites[[#This Row],[SOL'#]]</f>
        <v>SOL-10967</v>
      </c>
      <c r="D87" s="10">
        <f>SUM(Apr!D87, May!D87, Jun!D87)</f>
        <v>2365747</v>
      </c>
      <c r="E87" s="15">
        <f>SUM(Apr!E87, May!E87, Jun!E87)</f>
        <v>0</v>
      </c>
      <c r="F87" s="15">
        <f t="shared" si="11"/>
        <v>2365747</v>
      </c>
      <c r="G87" s="16" t="str">
        <f t="shared" si="12"/>
        <v/>
      </c>
      <c r="H87" s="17">
        <f>SUM(Apr!H87, May!H87, Jun!H87)</f>
        <v>1106985</v>
      </c>
      <c r="I87" s="17">
        <f>SUM(Apr!I87, May!I87, Jun!I87)</f>
        <v>1258762</v>
      </c>
      <c r="J87" s="16">
        <f t="shared" si="13"/>
        <v>1.1371084522373835</v>
      </c>
      <c r="K87" s="39"/>
      <c r="L87" s="40"/>
    </row>
    <row r="88" spans="1:12" ht="15.75">
      <c r="A88" s="25" t="str">
        <v>Donati</v>
      </c>
      <c r="B88" s="26" t="str">
        <v>NY</v>
      </c>
      <c r="C88" s="26" t="str">
        <f>Sites[[#This Row],[SOL'#]]</f>
        <v>SOL-10968</v>
      </c>
      <c r="D88" s="67">
        <f>SUM(Apr!D88, May!D88, Jun!D88)</f>
        <v>911206</v>
      </c>
      <c r="E88" s="11">
        <f>SUM(Apr!E88, May!E88, Jun!E88)</f>
        <v>0</v>
      </c>
      <c r="F88" s="11">
        <f t="shared" si="11"/>
        <v>911206</v>
      </c>
      <c r="G88" s="68" t="str">
        <f t="shared" si="12"/>
        <v/>
      </c>
      <c r="H88" s="13">
        <f>SUM(Apr!H88, May!H88, Jun!H88)</f>
        <v>353417.29</v>
      </c>
      <c r="I88" s="13">
        <f>SUM(Apr!I88, May!I88, Jun!I88)</f>
        <v>674300</v>
      </c>
      <c r="J88" s="14">
        <f t="shared" si="13"/>
        <v>1.9079428739889892</v>
      </c>
      <c r="K88" s="38"/>
      <c r="L88" s="38"/>
    </row>
    <row r="89" spans="1:12" ht="15.75">
      <c r="A89" s="27" t="str">
        <v>Henrietta</v>
      </c>
      <c r="B89" s="28" t="str">
        <v>NY</v>
      </c>
      <c r="C89" s="28" t="str">
        <f>Sites[[#This Row],[SOL'#]]</f>
        <v>SOL-10972</v>
      </c>
      <c r="D89" s="10">
        <f>SUM(Apr!D89, May!D89, Jun!D89)</f>
        <v>2561337</v>
      </c>
      <c r="E89" s="15">
        <f>SUM(Apr!E89, May!E89, Jun!E89)</f>
        <v>923077</v>
      </c>
      <c r="F89" s="15">
        <f t="shared" si="11"/>
        <v>1638260</v>
      </c>
      <c r="G89" s="16">
        <f t="shared" si="12"/>
        <v>1.7747815187682068</v>
      </c>
      <c r="H89" s="17">
        <f>SUM(Apr!H89, May!H89, Jun!H89)</f>
        <v>680547.45</v>
      </c>
      <c r="I89" s="17">
        <f>SUM(Apr!I89, May!I89, Jun!I89)</f>
        <v>1880789.55</v>
      </c>
      <c r="J89" s="16">
        <f t="shared" si="13"/>
        <v>2.7636420502347048</v>
      </c>
      <c r="K89" s="39"/>
      <c r="L89" s="39"/>
    </row>
    <row r="90" spans="1:12" ht="15.75">
      <c r="A90" s="25" t="str">
        <v>NY 70</v>
      </c>
      <c r="B90" s="26" t="str">
        <v>NY</v>
      </c>
      <c r="C90" s="26" t="str">
        <f>Sites[[#This Row],[SOL'#]]</f>
        <v>SOL-10970</v>
      </c>
      <c r="D90" s="67">
        <f>SUM(Apr!D90, May!D90, Jun!D90)</f>
        <v>2782121</v>
      </c>
      <c r="E90" s="11">
        <f>SUM(Apr!E90, May!E90, Jun!E90)</f>
        <v>0</v>
      </c>
      <c r="F90" s="11">
        <f t="shared" si="11"/>
        <v>2782121</v>
      </c>
      <c r="G90" s="68" t="str">
        <f t="shared" si="12"/>
        <v/>
      </c>
      <c r="H90" s="13">
        <f>SUM(Apr!H90, May!H90, Jun!H90)</f>
        <v>1057730.97</v>
      </c>
      <c r="I90" s="13">
        <f>SUM(Apr!I90, May!I90, Jun!I90)</f>
        <v>1724390.03</v>
      </c>
      <c r="J90" s="14">
        <f t="shared" si="13"/>
        <v>1.6302727998973123</v>
      </c>
      <c r="K90" s="38"/>
      <c r="L90" s="38"/>
    </row>
    <row r="91" spans="1:12" ht="15.75">
      <c r="A91" s="27" t="str">
        <v>Reid</v>
      </c>
      <c r="B91" s="28" t="str">
        <v>NY</v>
      </c>
      <c r="C91" s="28" t="str">
        <f>Sites[[#This Row],[SOL'#]]</f>
        <v>SOL-10991</v>
      </c>
      <c r="D91" s="10">
        <f>SUM(Apr!D91, May!D91, Jun!D91)</f>
        <v>2285846.978116028</v>
      </c>
      <c r="E91" s="15">
        <f>SUM(Apr!E91, May!E91, Jun!E91)</f>
        <v>2177247.5</v>
      </c>
      <c r="F91" s="15">
        <f t="shared" si="11"/>
        <v>108599.47811602801</v>
      </c>
      <c r="G91" s="16">
        <f t="shared" si="12"/>
        <v>4.9879252641708401E-2</v>
      </c>
      <c r="H91" s="17">
        <f>SUM(Apr!H91, May!H91, Jun!H91)</f>
        <v>2419248</v>
      </c>
      <c r="I91" s="17">
        <f>SUM(Apr!I91, May!I91, Jun!I91)</f>
        <v>-133401.02188397199</v>
      </c>
      <c r="J91" s="16">
        <f t="shared" si="13"/>
        <v>-5.5141524095079129E-2</v>
      </c>
      <c r="K91" s="39"/>
      <c r="L91" s="40"/>
    </row>
    <row r="92" spans="1:12" ht="15.75">
      <c r="A92" s="25" t="str">
        <v>Sangolqui</v>
      </c>
      <c r="B92" s="26" t="str">
        <v>NY</v>
      </c>
      <c r="C92" s="26" t="str">
        <f>Sites[[#This Row],[SOL'#]]</f>
        <v>SOL-10975</v>
      </c>
      <c r="D92" s="67">
        <f>SUM(Apr!D92, May!D92, Jun!D92)</f>
        <v>1250352</v>
      </c>
      <c r="E92" s="11">
        <f>SUM(Apr!E92, May!E92, Jun!E92)</f>
        <v>482020</v>
      </c>
      <c r="F92" s="11">
        <f t="shared" si="11"/>
        <v>768332</v>
      </c>
      <c r="G92" s="68">
        <f t="shared" si="12"/>
        <v>1.593983652130617</v>
      </c>
      <c r="H92" s="13">
        <f>SUM(Apr!H92, May!H92, Jun!H92)</f>
        <v>344654.58</v>
      </c>
      <c r="I92" s="13">
        <f>SUM(Apr!I92, May!I92, Jun!I92)</f>
        <v>905697.41999999993</v>
      </c>
      <c r="J92" s="14">
        <f t="shared" si="13"/>
        <v>2.6278409531073108</v>
      </c>
      <c r="K92" s="38"/>
      <c r="L92" s="38"/>
    </row>
    <row r="93" spans="1:12" ht="15.75">
      <c r="A93" s="27" t="str">
        <v>State Highway 17B</v>
      </c>
      <c r="B93" s="28" t="str">
        <v>NY</v>
      </c>
      <c r="C93" s="28" t="str">
        <f>Sites[[#This Row],[SOL'#]]</f>
        <v>SOL-10988</v>
      </c>
      <c r="D93" s="10">
        <f>SUM(Apr!D93, May!D93, Jun!D93)</f>
        <v>2050940</v>
      </c>
      <c r="E93" s="15">
        <f>SUM(Apr!E93, May!E93, Jun!E93)</f>
        <v>849596</v>
      </c>
      <c r="F93" s="15">
        <f t="shared" si="11"/>
        <v>1201344</v>
      </c>
      <c r="G93" s="16">
        <f t="shared" si="12"/>
        <v>1.4140179567700413</v>
      </c>
      <c r="H93" s="17">
        <f>SUM(Apr!H93, May!H93, Jun!H93)</f>
        <v>950327</v>
      </c>
      <c r="I93" s="17">
        <f>SUM(Apr!I93, May!I93, Jun!I93)</f>
        <v>1100613</v>
      </c>
      <c r="J93" s="16">
        <f t="shared" si="13"/>
        <v>1.1581413555544564</v>
      </c>
      <c r="K93" s="39"/>
      <c r="L93" s="40"/>
    </row>
    <row r="94" spans="1:12" ht="15.75">
      <c r="A94" s="25" t="str">
        <v>State Route 14A</v>
      </c>
      <c r="B94" s="26" t="str">
        <v>NY</v>
      </c>
      <c r="C94" s="26" t="str">
        <f>Sites[[#This Row],[SOL'#]]</f>
        <v>SOL-10997</v>
      </c>
      <c r="D94" s="67">
        <f>SUM(Apr!D94, May!D94, Jun!D94)</f>
        <v>2572627</v>
      </c>
      <c r="E94" s="11">
        <f>SUM(Apr!E94, May!E94, Jun!E94)</f>
        <v>0</v>
      </c>
      <c r="F94" s="11">
        <f t="shared" si="11"/>
        <v>2572627</v>
      </c>
      <c r="G94" s="68" t="str">
        <f t="shared" si="12"/>
        <v/>
      </c>
      <c r="H94" s="13">
        <f>SUM(Apr!H94, May!H94, Jun!H94)</f>
        <v>1020302.9</v>
      </c>
      <c r="I94" s="13">
        <f>SUM(Apr!I94, May!I94, Jun!I94)</f>
        <v>1552324.1</v>
      </c>
      <c r="J94" s="14">
        <f t="shared" si="13"/>
        <v>1.5214345661469746</v>
      </c>
      <c r="K94" s="38"/>
      <c r="L94" s="38"/>
    </row>
    <row r="95" spans="1:12" ht="15.75">
      <c r="A95" s="27" t="str">
        <v>West Creek</v>
      </c>
      <c r="B95" s="28" t="str">
        <v>NY</v>
      </c>
      <c r="C95" s="28" t="str">
        <f>Sites[[#This Row],[SOL'#]]</f>
        <v>SOL-10995</v>
      </c>
      <c r="D95" s="10">
        <f>SUM(Apr!D95, May!D95, Jun!D95)</f>
        <v>2667177</v>
      </c>
      <c r="E95" s="15">
        <f>SUM(Apr!E95, May!E95, Jun!E95)</f>
        <v>0</v>
      </c>
      <c r="F95" s="15">
        <f t="shared" si="11"/>
        <v>2667177</v>
      </c>
      <c r="G95" s="16" t="str">
        <f t="shared" si="12"/>
        <v/>
      </c>
      <c r="H95" s="17">
        <f>SUM(Apr!H95, May!H95, Jun!H95)</f>
        <v>875981.2</v>
      </c>
      <c r="I95" s="17">
        <f>SUM(Apr!I95, May!I95, Jun!I95)</f>
        <v>1791195.8</v>
      </c>
      <c r="J95" s="16">
        <f t="shared" si="13"/>
        <v>2.0447879475038966</v>
      </c>
      <c r="K95" s="39"/>
      <c r="L95" s="40"/>
    </row>
    <row r="96" spans="1:12" ht="15.75">
      <c r="A96" s="25" t="str">
        <v>Wildflower</v>
      </c>
      <c r="B96" s="26" t="str">
        <v>NY</v>
      </c>
      <c r="C96" s="26" t="str">
        <f>Sites[[#This Row],[SOL'#]]</f>
        <v>SOL-10982</v>
      </c>
      <c r="D96" s="67">
        <f>SUM(Apr!D96, May!D96, Jun!D96)</f>
        <v>1785410</v>
      </c>
      <c r="E96" s="11">
        <f>SUM(Apr!E96, May!E96, Jun!E96)</f>
        <v>0</v>
      </c>
      <c r="F96" s="11">
        <f t="shared" si="11"/>
        <v>1785410</v>
      </c>
      <c r="G96" s="68" t="str">
        <f t="shared" si="12"/>
        <v/>
      </c>
      <c r="H96" s="13">
        <f>SUM(Apr!H96, May!H96, Jun!H96)</f>
        <v>1194448.3999999999</v>
      </c>
      <c r="I96" s="13">
        <f>SUM(Apr!I96, May!I96, Jun!I96)</f>
        <v>590961.6</v>
      </c>
      <c r="J96" s="14">
        <f t="shared" si="13"/>
        <v>0.49475691038641773</v>
      </c>
      <c r="K96" s="38"/>
      <c r="L96" s="38"/>
    </row>
    <row r="97" spans="1:12" ht="15.75">
      <c r="A97" s="27" t="str">
        <v>Glen Mary 1</v>
      </c>
      <c r="B97" s="28" t="str">
        <v>NY</v>
      </c>
      <c r="C97" s="28" t="str">
        <f>Sites[[#This Row],[SOL'#]]</f>
        <v>SOL-10993</v>
      </c>
      <c r="D97" s="10">
        <f>SUM(Apr!D97, May!D97, Jun!D97)</f>
        <v>2605117</v>
      </c>
      <c r="E97" s="15">
        <f>SUM(Apr!E97, May!E97, Jun!E97)</f>
        <v>0</v>
      </c>
      <c r="F97" s="15">
        <f t="shared" si="11"/>
        <v>2605117</v>
      </c>
      <c r="G97" s="16" t="str">
        <f t="shared" si="12"/>
        <v/>
      </c>
      <c r="H97" s="17">
        <f>SUM(Apr!H97, May!H97, Jun!H97)</f>
        <v>1144956</v>
      </c>
      <c r="I97" s="17">
        <f>SUM(Apr!I97, May!I97, Jun!I97)</f>
        <v>1460161</v>
      </c>
      <c r="J97" s="16">
        <f t="shared" si="13"/>
        <v>1.2752987887744158</v>
      </c>
      <c r="K97" s="39"/>
      <c r="L97" s="40"/>
    </row>
    <row r="98" spans="1:12" ht="15.75">
      <c r="A98" s="25" t="str">
        <v>Glen Mary 2</v>
      </c>
      <c r="B98" s="26" t="str">
        <v>NY</v>
      </c>
      <c r="C98" s="26" t="str">
        <f>Sites[[#This Row],[SOL'#]]</f>
        <v>SOL-10994</v>
      </c>
      <c r="D98" s="67">
        <f>SUM(Apr!D98, May!D98, Jun!D98)</f>
        <v>1154221</v>
      </c>
      <c r="E98" s="11">
        <f>SUM(Apr!E98, May!E98, Jun!E98)</f>
        <v>0</v>
      </c>
      <c r="F98" s="11">
        <f t="shared" si="11"/>
        <v>1154221</v>
      </c>
      <c r="G98" s="68" t="str">
        <f t="shared" si="12"/>
        <v/>
      </c>
      <c r="H98" s="13">
        <f>SUM(Apr!H98, May!H98, Jun!H98)</f>
        <v>467328.5</v>
      </c>
      <c r="I98" s="13">
        <f>SUM(Apr!I98, May!I98, Jun!I98)</f>
        <v>686892.5</v>
      </c>
      <c r="J98" s="14">
        <f t="shared" si="13"/>
        <v>1.4698279689768545</v>
      </c>
      <c r="K98" s="38"/>
      <c r="L98" s="38"/>
    </row>
    <row r="99" spans="1:12" ht="15.75">
      <c r="A99" s="27" t="str">
        <v>Telegraph 1</v>
      </c>
      <c r="B99" s="28" t="str">
        <v>NY</v>
      </c>
      <c r="C99" s="28" t="str">
        <f>Sites[[#This Row],[SOL'#]]</f>
        <v>SOL-11003</v>
      </c>
      <c r="D99" s="10">
        <f>SUM(Apr!D99, May!D99, Jun!D99)</f>
        <v>1808005</v>
      </c>
      <c r="E99" s="15">
        <f>SUM(Apr!E99, May!E99, Jun!E99)</f>
        <v>0</v>
      </c>
      <c r="F99" s="15">
        <f t="shared" si="11"/>
        <v>1808005</v>
      </c>
      <c r="G99" s="16" t="str">
        <f t="shared" si="12"/>
        <v/>
      </c>
      <c r="H99" s="17">
        <f>SUM(Apr!H99, May!H99, Jun!H99)</f>
        <v>776934</v>
      </c>
      <c r="I99" s="17">
        <f>SUM(Apr!I99, May!I99, Jun!I99)</f>
        <v>1031071</v>
      </c>
      <c r="J99" s="16">
        <f t="shared" si="13"/>
        <v>1.3271024308371111</v>
      </c>
      <c r="K99" s="39"/>
      <c r="L99" s="40"/>
    </row>
    <row r="100" spans="1:12" ht="15.75">
      <c r="A100" s="25" t="str">
        <v>Telegraph 2</v>
      </c>
      <c r="B100" s="26" t="str">
        <v>NY</v>
      </c>
      <c r="C100" s="26" t="str">
        <f>Sites[[#This Row],[SOL'#]]</f>
        <v>SOL-11004</v>
      </c>
      <c r="D100" s="67">
        <f>SUM(Apr!D100, May!D100, Jun!D100)</f>
        <v>1039732</v>
      </c>
      <c r="E100" s="11">
        <f>SUM(Apr!E100, May!E100, Jun!E100)</f>
        <v>0</v>
      </c>
      <c r="F100" s="11">
        <f t="shared" si="11"/>
        <v>1039732</v>
      </c>
      <c r="G100" s="68" t="str">
        <f t="shared" si="12"/>
        <v/>
      </c>
      <c r="H100" s="13">
        <f>SUM(Apr!H100, May!H100, Jun!H100)</f>
        <v>403071.6</v>
      </c>
      <c r="I100" s="13">
        <f>SUM(Apr!I100, May!I100, Jun!I100)</f>
        <v>636660.4</v>
      </c>
      <c r="J100" s="14">
        <f t="shared" si="13"/>
        <v>1.5795218517007898</v>
      </c>
      <c r="K100" s="38"/>
      <c r="L100" s="38"/>
    </row>
    <row r="101" spans="1:12" ht="15.75">
      <c r="A101" s="27" t="str">
        <v>Cafferty Hill</v>
      </c>
      <c r="B101" s="28" t="str">
        <v>NY</v>
      </c>
      <c r="C101" s="28" t="str">
        <f>Sites[[#This Row],[SOL'#]]</f>
        <v>SOL-10996</v>
      </c>
      <c r="D101" s="10">
        <f>SUM(Apr!D101, May!D101, Jun!D101)</f>
        <v>2583910</v>
      </c>
      <c r="E101" s="15">
        <f>SUM(Apr!E101, May!E101, Jun!E101)</f>
        <v>0</v>
      </c>
      <c r="F101" s="15">
        <f t="shared" si="11"/>
        <v>2583910</v>
      </c>
      <c r="G101" s="16" t="str">
        <f t="shared" si="12"/>
        <v/>
      </c>
      <c r="H101" s="17">
        <f>SUM(Apr!H101, May!H101, Jun!H101)</f>
        <v>916826.5</v>
      </c>
      <c r="I101" s="17">
        <f>SUM(Apr!I101, May!I101, Jun!I101)</f>
        <v>1667083.5</v>
      </c>
      <c r="J101" s="16">
        <f t="shared" si="13"/>
        <v>1.8183194966550378</v>
      </c>
      <c r="K101" s="39"/>
      <c r="L101" s="39"/>
    </row>
    <row r="102" spans="1:12" ht="15.75">
      <c r="A102" s="25" t="str">
        <v>Dunkleman</v>
      </c>
      <c r="B102" s="26" t="str">
        <v>NY</v>
      </c>
      <c r="C102" s="26" t="str">
        <f>Sites[[#This Row],[SOL'#]]</f>
        <v>SOL-11008</v>
      </c>
      <c r="D102" s="67">
        <f>SUM(Apr!D102, May!D102, Jun!D102)</f>
        <v>2343294</v>
      </c>
      <c r="E102" s="11">
        <f>SUM(Apr!E102, May!E102, Jun!E102)</f>
        <v>0</v>
      </c>
      <c r="F102" s="11">
        <f t="shared" si="11"/>
        <v>2343294</v>
      </c>
      <c r="G102" s="68" t="str">
        <f t="shared" si="12"/>
        <v/>
      </c>
      <c r="H102" s="13">
        <f>SUM(Apr!H102, May!H102, Jun!H102)</f>
        <v>959903.6</v>
      </c>
      <c r="I102" s="13">
        <f>SUM(Apr!I102, May!I102, Jun!I102)</f>
        <v>1383390.4</v>
      </c>
      <c r="J102" s="14">
        <f t="shared" si="13"/>
        <v>1.4411763847953065</v>
      </c>
      <c r="K102" s="38"/>
      <c r="L102" s="38"/>
    </row>
    <row r="103" spans="1:12" ht="15.75">
      <c r="A103" s="27" t="str">
        <v>Route 19 1</v>
      </c>
      <c r="B103" s="28" t="str">
        <v>NY</v>
      </c>
      <c r="C103" s="28" t="str">
        <f>Sites[[#This Row],[SOL'#]]</f>
        <v>SOL-11001</v>
      </c>
      <c r="D103" s="10">
        <f>SUM(Apr!D103, May!D103, Jun!D103)</f>
        <v>1290644</v>
      </c>
      <c r="E103" s="15">
        <f>SUM(Apr!E103, May!E103, Jun!E103)</f>
        <v>0</v>
      </c>
      <c r="F103" s="15">
        <f t="shared" si="11"/>
        <v>1290644</v>
      </c>
      <c r="G103" s="16" t="str">
        <f t="shared" si="12"/>
        <v/>
      </c>
      <c r="H103" s="17">
        <f>SUM(Apr!H103, May!H103, Jun!H103)</f>
        <v>391388</v>
      </c>
      <c r="I103" s="17">
        <f>SUM(Apr!I103, May!I103, Jun!I103)</f>
        <v>899256</v>
      </c>
      <c r="J103" s="16">
        <f t="shared" si="13"/>
        <v>2.2976074892434108</v>
      </c>
      <c r="K103" s="39"/>
      <c r="L103" s="40"/>
    </row>
    <row r="104" spans="1:12" ht="15.75">
      <c r="A104" s="25" t="str">
        <v>Route 19 2</v>
      </c>
      <c r="B104" s="26" t="str">
        <v>NY</v>
      </c>
      <c r="C104" s="26" t="str">
        <f>Sites[[#This Row],[SOL'#]]</f>
        <v>SOL-11002</v>
      </c>
      <c r="D104" s="67">
        <f>SUM(Apr!D104, May!D104, Jun!D104)</f>
        <v>3039592</v>
      </c>
      <c r="E104" s="11">
        <f>SUM(Apr!E104, May!E104, Jun!E104)</f>
        <v>0</v>
      </c>
      <c r="F104" s="11">
        <f t="shared" si="11"/>
        <v>3039592</v>
      </c>
      <c r="G104" s="68" t="str">
        <f t="shared" si="12"/>
        <v/>
      </c>
      <c r="H104" s="13">
        <f>SUM(Apr!H104, May!H104, Jun!H104)</f>
        <v>1060252.8</v>
      </c>
      <c r="I104" s="13">
        <f>SUM(Apr!I104, May!I104, Jun!I104)</f>
        <v>1979339.2</v>
      </c>
      <c r="J104" s="14">
        <f t="shared" si="13"/>
        <v>1.8668559045540836</v>
      </c>
      <c r="K104" s="38"/>
      <c r="L104" s="38"/>
    </row>
    <row r="105" spans="1:12" ht="15.75">
      <c r="A105" s="27" t="str">
        <v>Yellow Mills 1</v>
      </c>
      <c r="B105" s="28" t="str">
        <v>NY</v>
      </c>
      <c r="C105" s="28" t="str">
        <f>Sites[[#This Row],[SOL'#]]</f>
        <v>SOL-11006</v>
      </c>
      <c r="D105" s="10">
        <f>SUM(Apr!D105, May!D105, Jun!D105)</f>
        <v>1106323</v>
      </c>
      <c r="E105" s="15">
        <f>SUM(Apr!E105, May!E105, Jun!E105)</f>
        <v>0</v>
      </c>
      <c r="F105" s="15">
        <f t="shared" si="11"/>
        <v>1106323</v>
      </c>
      <c r="G105" s="16" t="str">
        <f t="shared" si="12"/>
        <v/>
      </c>
      <c r="H105" s="17">
        <f>SUM(Apr!H105, May!H105, Jun!H105)</f>
        <v>0</v>
      </c>
      <c r="I105" s="17">
        <f>SUM(Apr!I105, May!I105, Jun!I105)</f>
        <v>1106323</v>
      </c>
      <c r="J105" s="16" t="str">
        <f t="shared" si="13"/>
        <v/>
      </c>
      <c r="K105" s="39"/>
      <c r="L105" s="40"/>
    </row>
    <row r="106" spans="1:12" ht="15.75">
      <c r="A106" s="25" t="str">
        <v>Yellow Mills 2</v>
      </c>
      <c r="B106" s="26" t="str">
        <v>NY</v>
      </c>
      <c r="C106" s="26" t="str">
        <f>Sites[[#This Row],[SOL'#]]</f>
        <v>SOL-11005</v>
      </c>
      <c r="D106" s="67">
        <f>SUM(Apr!D106, May!D106, Jun!D106)</f>
        <v>1113142</v>
      </c>
      <c r="E106" s="11">
        <f>SUM(Apr!E106, May!E106, Jun!E106)</f>
        <v>0</v>
      </c>
      <c r="F106" s="11">
        <f t="shared" si="11"/>
        <v>1113142</v>
      </c>
      <c r="G106" s="68" t="str">
        <f t="shared" si="12"/>
        <v/>
      </c>
      <c r="H106" s="13">
        <f>SUM(Apr!H106, May!H106, Jun!H106)</f>
        <v>0</v>
      </c>
      <c r="I106" s="13">
        <f>SUM(Apr!I106, May!I106, Jun!I106)</f>
        <v>1113142</v>
      </c>
      <c r="J106" s="14" t="str">
        <f t="shared" si="13"/>
        <v/>
      </c>
      <c r="K106" s="38"/>
      <c r="L106" s="38"/>
    </row>
    <row r="107" spans="1:12" ht="15.75">
      <c r="A107" s="27" t="str">
        <v>Yellow Mills 3</v>
      </c>
      <c r="B107" s="28" t="str">
        <v>NY</v>
      </c>
      <c r="C107" s="28" t="str">
        <f>Sites[[#This Row],[SOL'#]]</f>
        <v>SOL-11007</v>
      </c>
      <c r="D107" s="10">
        <f>SUM(Apr!D107, May!D107, Jun!D107)</f>
        <v>1071391</v>
      </c>
      <c r="E107" s="15">
        <f>SUM(Apr!E107, May!E107, Jun!E107)</f>
        <v>0</v>
      </c>
      <c r="F107" s="15">
        <f t="shared" si="11"/>
        <v>1071391</v>
      </c>
      <c r="G107" s="16" t="str">
        <f t="shared" si="12"/>
        <v/>
      </c>
      <c r="H107" s="17">
        <f>SUM(Apr!H107, May!H107, Jun!H107)</f>
        <v>0</v>
      </c>
      <c r="I107" s="17">
        <f>SUM(Apr!I107, May!I107, Jun!I107)</f>
        <v>1071391</v>
      </c>
      <c r="J107" s="16" t="str">
        <f t="shared" si="13"/>
        <v/>
      </c>
      <c r="K107" s="39"/>
      <c r="L107" s="40"/>
    </row>
    <row r="108" spans="1:12" ht="15.75">
      <c r="A108" s="25" t="str">
        <v>Catskill</v>
      </c>
      <c r="B108" s="26" t="str">
        <v>NY</v>
      </c>
      <c r="C108" s="26" t="str">
        <f>Sites[[#This Row],[SOL'#]]</f>
        <v>SOL-11021</v>
      </c>
      <c r="D108" s="67">
        <f>SUM(Apr!D108, May!D108, Jun!D108)</f>
        <v>2005552</v>
      </c>
      <c r="E108" s="11">
        <f>SUM(Apr!E108, May!E108, Jun!E108)</f>
        <v>0</v>
      </c>
      <c r="F108" s="11">
        <f t="shared" si="11"/>
        <v>2005552</v>
      </c>
      <c r="G108" s="68" t="str">
        <f t="shared" si="12"/>
        <v/>
      </c>
      <c r="H108" s="13">
        <f>SUM(Apr!H108, May!H108, Jun!H108)</f>
        <v>0</v>
      </c>
      <c r="I108" s="13">
        <f>SUM(Apr!I108, May!I108, Jun!I108)</f>
        <v>2005552</v>
      </c>
      <c r="J108" s="14" t="str">
        <f t="shared" si="13"/>
        <v/>
      </c>
      <c r="K108" s="38"/>
      <c r="L108" s="38"/>
    </row>
    <row r="109" spans="1:12" ht="15.75">
      <c r="A109" s="27" t="str">
        <v>Eddy Ridge</v>
      </c>
      <c r="B109" s="28" t="str">
        <v>NY</v>
      </c>
      <c r="C109" s="28" t="str">
        <f>Sites[[#This Row],[SOL'#]]</f>
        <v>SOL-11054</v>
      </c>
      <c r="D109" s="10">
        <f>SUM(Apr!D109, May!D109, Jun!D109)</f>
        <v>1420619</v>
      </c>
      <c r="E109" s="15">
        <f>SUM(Apr!E109, May!E109, Jun!E109)</f>
        <v>0</v>
      </c>
      <c r="F109" s="15">
        <f t="shared" si="11"/>
        <v>1420619</v>
      </c>
      <c r="G109" s="16" t="str">
        <f t="shared" si="12"/>
        <v/>
      </c>
      <c r="H109" s="17">
        <f>SUM(Apr!H109, May!H109, Jun!H109)</f>
        <v>0</v>
      </c>
      <c r="I109" s="17">
        <f>SUM(Apr!I109, May!I109, Jun!I109)</f>
        <v>1420619</v>
      </c>
      <c r="J109" s="16" t="str">
        <f t="shared" si="13"/>
        <v/>
      </c>
      <c r="K109" s="39"/>
      <c r="L109" s="40"/>
    </row>
    <row r="110" spans="1:12" ht="15.75">
      <c r="A110" s="25" t="str">
        <v>Ridgeway #1</v>
      </c>
      <c r="B110" s="26" t="str">
        <v>NY</v>
      </c>
      <c r="C110" s="26" t="str">
        <f>Sites[[#This Row],[SOL'#]]</f>
        <v>SOL-11018</v>
      </c>
      <c r="D110" s="67">
        <f>SUM(Apr!D110, May!D110, Jun!D110)</f>
        <v>3309632.5</v>
      </c>
      <c r="E110" s="11">
        <f>SUM(Apr!E110, May!E110, Jun!E110)</f>
        <v>0</v>
      </c>
      <c r="F110" s="11">
        <f t="shared" si="11"/>
        <v>3309632.5</v>
      </c>
      <c r="G110" s="68" t="str">
        <f t="shared" si="12"/>
        <v/>
      </c>
      <c r="H110" s="13">
        <f>SUM(Apr!H110, May!H110, Jun!H110)</f>
        <v>0</v>
      </c>
      <c r="I110" s="13">
        <f>SUM(Apr!I110, May!I110, Jun!I110)</f>
        <v>3309632.5</v>
      </c>
      <c r="J110" s="14" t="str">
        <f t="shared" si="13"/>
        <v/>
      </c>
      <c r="K110" s="38"/>
      <c r="L110" s="38"/>
    </row>
    <row r="111" spans="1:12" ht="15.75">
      <c r="A111" s="27" t="str">
        <v>Rivard 1</v>
      </c>
      <c r="B111" s="28" t="str">
        <v>NY</v>
      </c>
      <c r="C111" s="28" t="str">
        <f>Sites[[#This Row],[SOL'#]]</f>
        <v>SOL-11011</v>
      </c>
      <c r="D111" s="10">
        <f>SUM(Apr!D111, May!D111, Jun!D111)</f>
        <v>2198503</v>
      </c>
      <c r="E111" s="15">
        <f>SUM(Apr!E111, May!E111, Jun!E111)</f>
        <v>2892930</v>
      </c>
      <c r="F111" s="15">
        <f t="shared" si="11"/>
        <v>-694427</v>
      </c>
      <c r="G111" s="16">
        <f t="shared" si="12"/>
        <v>-0.24004279398395398</v>
      </c>
      <c r="H111" s="17">
        <f>SUM(Apr!H111, May!H111, Jun!H111)</f>
        <v>2953821.1</v>
      </c>
      <c r="I111" s="17">
        <f>SUM(Apr!I111, May!I111, Jun!I111)</f>
        <v>-755318.1</v>
      </c>
      <c r="J111" s="16">
        <f t="shared" si="13"/>
        <v>-0.25570881730108841</v>
      </c>
      <c r="K111" s="39"/>
      <c r="L111" s="40"/>
    </row>
    <row r="112" spans="1:12" ht="15.75">
      <c r="A112" s="25" t="str">
        <v>Rivard 2</v>
      </c>
      <c r="B112" s="26" t="str">
        <v>NY</v>
      </c>
      <c r="C112" s="26" t="str">
        <f>Sites[[#This Row],[SOL'#]]</f>
        <v>SOL-11012</v>
      </c>
      <c r="D112" s="67">
        <f>SUM(Apr!D112, May!D112, Jun!D112)</f>
        <v>2646472.81</v>
      </c>
      <c r="E112" s="11">
        <f>SUM(Apr!E112, May!E112, Jun!E112)</f>
        <v>2600835.2999999998</v>
      </c>
      <c r="F112" s="11">
        <f t="shared" si="11"/>
        <v>45637.510000000242</v>
      </c>
      <c r="G112" s="68">
        <f t="shared" si="12"/>
        <v>1.7547251069685285E-2</v>
      </c>
      <c r="H112" s="13">
        <f>SUM(Apr!H112, May!H112, Jun!H112)</f>
        <v>2834272.1</v>
      </c>
      <c r="I112" s="13">
        <f>SUM(Apr!I112, May!I112, Jun!I112)</f>
        <v>-187799.29000000004</v>
      </c>
      <c r="J112" s="14">
        <f t="shared" si="13"/>
        <v>-6.6260148416942763E-2</v>
      </c>
      <c r="K112" s="38"/>
      <c r="L112" s="38"/>
    </row>
    <row r="113" spans="1:12" ht="15.75">
      <c r="A113" s="27" t="str">
        <v>Essex</v>
      </c>
      <c r="B113" s="28" t="str">
        <v>DC</v>
      </c>
      <c r="C113" s="28" t="str">
        <f>Sites[[#This Row],[SOL'#]]</f>
        <v>SOL-10036</v>
      </c>
      <c r="D113" s="10">
        <f>SUM(Apr!D113, May!D113, Jun!D113)</f>
        <v>12011</v>
      </c>
      <c r="E113" s="15">
        <f>SUM(Apr!E113, May!E113, Jun!E113)</f>
        <v>16851.010000000002</v>
      </c>
      <c r="F113" s="15">
        <f t="shared" si="11"/>
        <v>-4840.010000000002</v>
      </c>
      <c r="G113" s="16">
        <f t="shared" si="12"/>
        <v>-0.28722373317682448</v>
      </c>
      <c r="H113" s="17">
        <f>SUM(Apr!H113, May!H113, Jun!H113)</f>
        <v>15279.130999999998</v>
      </c>
      <c r="I113" s="17">
        <f>SUM(Apr!I113, May!I113, Jun!I113)</f>
        <v>-3268.1309999999994</v>
      </c>
      <c r="J113" s="16">
        <f t="shared" si="13"/>
        <v>-0.21389508343111921</v>
      </c>
      <c r="K113" s="39"/>
      <c r="L113" s="39"/>
    </row>
    <row r="114" spans="1:12" ht="15.75">
      <c r="A114" s="25" t="str">
        <v>Temple Sinai</v>
      </c>
      <c r="B114" s="26" t="str">
        <v>DC</v>
      </c>
      <c r="C114" s="26" t="str">
        <f>Sites[[#This Row],[SOL'#]]</f>
        <v>SOL-10028</v>
      </c>
      <c r="D114" s="67">
        <f>SUM(Apr!D114, May!D114, Jun!D114)</f>
        <v>30409.1899999999</v>
      </c>
      <c r="E114" s="11">
        <f>SUM(Apr!E114, May!E114, Jun!E114)</f>
        <v>41832.61</v>
      </c>
      <c r="F114" s="11">
        <f t="shared" ref="F114:F160" si="14">IF(AND(ISNUMBER(D114),ISNUMBER(E114)), D114-E114, "")</f>
        <v>-11423.4200000001</v>
      </c>
      <c r="G114" s="68">
        <f t="shared" ref="G114:G160" si="15">IFERROR(F114/E114, "")</f>
        <v>-0.27307452248377762</v>
      </c>
      <c r="H114" s="13">
        <f>SUM(Apr!H114, May!H114, Jun!H114)</f>
        <v>36941.79</v>
      </c>
      <c r="I114" s="13">
        <f>SUM(Apr!I114, May!I114, Jun!I114)</f>
        <v>-6532.6000000000986</v>
      </c>
      <c r="J114" s="14">
        <f t="shared" si="13"/>
        <v>-0.17683496116458078</v>
      </c>
      <c r="K114" s="38"/>
      <c r="L114" s="38"/>
    </row>
    <row r="115" spans="1:12" ht="15.75">
      <c r="A115" s="27" t="str">
        <v>Weinberg 1</v>
      </c>
      <c r="B115" s="28" t="str">
        <v>DC</v>
      </c>
      <c r="C115" s="28" t="str">
        <f>Sites[[#This Row],[SOL'#]]</f>
        <v>SOL-10039</v>
      </c>
      <c r="D115" s="10">
        <f>SUM(Apr!D115, May!D115, Jun!D115)</f>
        <v>4929</v>
      </c>
      <c r="E115" s="15">
        <f>SUM(Apr!E115, May!E115, Jun!E115)</f>
        <v>5266.1530000000002</v>
      </c>
      <c r="F115" s="15">
        <f t="shared" si="14"/>
        <v>-337.15300000000025</v>
      </c>
      <c r="G115" s="16">
        <f t="shared" si="15"/>
        <v>-6.4022636638168359E-2</v>
      </c>
      <c r="H115" s="17">
        <f>SUM(Apr!H115, May!H115, Jun!H115)</f>
        <v>5445.1840000000002</v>
      </c>
      <c r="I115" s="17">
        <f>SUM(Apr!I115, May!I115, Jun!I115)</f>
        <v>-516.1840000000002</v>
      </c>
      <c r="J115" s="16">
        <f t="shared" si="13"/>
        <v>-9.4796429285034289E-2</v>
      </c>
      <c r="K115" s="39"/>
      <c r="L115" s="40"/>
    </row>
    <row r="116" spans="1:12" ht="15.75">
      <c r="A116" s="25" t="str">
        <v>Weinberg 2</v>
      </c>
      <c r="B116" s="26" t="str">
        <v>DC</v>
      </c>
      <c r="C116" s="26" t="str">
        <f>Sites[[#This Row],[SOL'#]]</f>
        <v>SOL-10045</v>
      </c>
      <c r="D116" s="67">
        <f>SUM(Apr!D116, May!D116, Jun!D116)</f>
        <v>4380</v>
      </c>
      <c r="E116" s="11">
        <f>SUM(Apr!E116, May!E116, Jun!E116)</f>
        <v>4650.558</v>
      </c>
      <c r="F116" s="11">
        <f t="shared" si="14"/>
        <v>-270.55799999999999</v>
      </c>
      <c r="G116" s="68">
        <f t="shared" si="15"/>
        <v>-5.8177534824853272E-2</v>
      </c>
      <c r="H116" s="13">
        <f>SUM(Apr!H116, May!H116, Jun!H116)</f>
        <v>5571.7119999999995</v>
      </c>
      <c r="I116" s="13">
        <f>SUM(Apr!I116, May!I116, Jun!I116)</f>
        <v>-1191.712</v>
      </c>
      <c r="J116" s="14">
        <f t="shared" si="13"/>
        <v>-0.21388614486893798</v>
      </c>
      <c r="K116" s="38"/>
      <c r="L116" s="38"/>
    </row>
    <row r="117" spans="1:12" ht="15.75">
      <c r="A117" s="27" t="str">
        <v>Weinberg 3</v>
      </c>
      <c r="B117" s="28" t="str">
        <v>DC</v>
      </c>
      <c r="C117" s="28" t="str">
        <f>Sites[[#This Row],[SOL'#]]</f>
        <v>SOL-10042</v>
      </c>
      <c r="D117" s="10">
        <f>SUM(Apr!D117, May!D117, Jun!D117)</f>
        <v>5506</v>
      </c>
      <c r="E117" s="15">
        <f>SUM(Apr!E117, May!E117, Jun!E117)</f>
        <v>5402.9269999999997</v>
      </c>
      <c r="F117" s="15">
        <f t="shared" si="14"/>
        <v>103.07300000000032</v>
      </c>
      <c r="G117" s="16">
        <f t="shared" si="15"/>
        <v>1.9077252015435399E-2</v>
      </c>
      <c r="H117" s="17">
        <f>SUM(Apr!H117, May!H117, Jun!H117)</f>
        <v>5777</v>
      </c>
      <c r="I117" s="17">
        <f>SUM(Apr!I117, May!I117, Jun!I117)</f>
        <v>-271</v>
      </c>
      <c r="J117" s="16">
        <f t="shared" si="13"/>
        <v>-4.6910160983209277E-2</v>
      </c>
      <c r="K117" s="39"/>
      <c r="L117" s="40"/>
    </row>
    <row r="118" spans="1:12" ht="15.75">
      <c r="A118" s="25" t="str">
        <v>Clayton Hall</v>
      </c>
      <c r="B118" s="26" t="str">
        <v>DE</v>
      </c>
      <c r="C118" s="26" t="str">
        <f>Sites[[#This Row],[SOL'#]]</f>
        <v>SOL-10820</v>
      </c>
      <c r="D118" s="67">
        <f>SUM(Apr!D118, May!D118, Jun!D118)</f>
        <v>55501</v>
      </c>
      <c r="E118" s="11">
        <f>SUM(Apr!E118, May!E118, Jun!E118)</f>
        <v>68708.872999999992</v>
      </c>
      <c r="F118" s="11">
        <f t="shared" si="14"/>
        <v>-13207.872999999992</v>
      </c>
      <c r="G118" s="68">
        <f t="shared" si="15"/>
        <v>-0.19222951015365938</v>
      </c>
      <c r="H118" s="13">
        <f>SUM(Apr!H118, May!H118, Jun!H118)</f>
        <v>15096.870999999999</v>
      </c>
      <c r="I118" s="13">
        <f>SUM(Apr!I118, May!I118, Jun!I118)</f>
        <v>40404.129000000001</v>
      </c>
      <c r="J118" s="14">
        <f t="shared" si="13"/>
        <v>2.6763247165588155</v>
      </c>
      <c r="K118" s="38"/>
      <c r="L118" s="38"/>
    </row>
    <row r="119" spans="1:12" ht="15.75">
      <c r="A119" s="27" t="str">
        <v>Field House</v>
      </c>
      <c r="B119" s="28" t="str">
        <v>DE</v>
      </c>
      <c r="C119" s="28" t="str">
        <f>Sites[[#This Row],[SOL'#]]</f>
        <v>SOL-10821</v>
      </c>
      <c r="D119" s="10">
        <f>SUM(Apr!D119, May!D119, Jun!D119)</f>
        <v>158538</v>
      </c>
      <c r="E119" s="15">
        <f>SUM(Apr!E119, May!E119, Jun!E119)</f>
        <v>0</v>
      </c>
      <c r="F119" s="15">
        <f t="shared" si="14"/>
        <v>158538</v>
      </c>
      <c r="G119" s="16" t="str">
        <f t="shared" si="15"/>
        <v/>
      </c>
      <c r="H119" s="17">
        <f>SUM(Apr!H119, May!H119, Jun!H119)</f>
        <v>153579.11199999999</v>
      </c>
      <c r="I119" s="17">
        <f>SUM(Apr!I119, May!I119, Jun!I119)</f>
        <v>4958.887999999999</v>
      </c>
      <c r="J119" s="16">
        <f t="shared" si="13"/>
        <v>3.2288818026243039E-2</v>
      </c>
      <c r="K119" s="39"/>
      <c r="L119" s="40"/>
    </row>
    <row r="120" spans="1:12" ht="15.75">
      <c r="A120" s="25" t="str">
        <v>Wyoming Road</v>
      </c>
      <c r="B120" s="26" t="str">
        <v>DE</v>
      </c>
      <c r="C120" s="26" t="str">
        <f>Sites[[#This Row],[SOL'#]]</f>
        <v>SOL-10819</v>
      </c>
      <c r="D120" s="67">
        <f>SUM(Apr!D120, May!D120, Jun!D120)</f>
        <v>106086</v>
      </c>
      <c r="E120" s="11">
        <f>SUM(Apr!E120, May!E120, Jun!E120)</f>
        <v>105952.91500000001</v>
      </c>
      <c r="F120" s="11">
        <f t="shared" si="14"/>
        <v>133.08499999999185</v>
      </c>
      <c r="G120" s="68">
        <f t="shared" si="15"/>
        <v>1.2560768148756629E-3</v>
      </c>
      <c r="H120" s="13">
        <f>SUM(Apr!H120, May!H120, Jun!H120)</f>
        <v>113645.466</v>
      </c>
      <c r="I120" s="13">
        <f>SUM(Apr!I120, May!I120, Jun!I120)</f>
        <v>-7559.4660000000003</v>
      </c>
      <c r="J120" s="14">
        <f t="shared" si="13"/>
        <v>-6.6517972657175781E-2</v>
      </c>
      <c r="K120" s="38"/>
      <c r="L120" s="38"/>
    </row>
    <row r="121" spans="1:12" ht="15.75">
      <c r="A121" s="27" t="str">
        <v>Leoku</v>
      </c>
      <c r="B121" s="28" t="str">
        <v>HI</v>
      </c>
      <c r="C121" s="28" t="str">
        <f>Sites[[#This Row],[SOL'#]]</f>
        <v>SOL-10071</v>
      </c>
      <c r="D121" s="10">
        <f>SUM(Apr!D121, May!D121, Jun!D121)</f>
        <v>39523</v>
      </c>
      <c r="E121" s="15">
        <f>SUM(Apr!E121, May!E121, Jun!E121)</f>
        <v>34836.191999999995</v>
      </c>
      <c r="F121" s="15">
        <f t="shared" si="14"/>
        <v>4686.8080000000045</v>
      </c>
      <c r="G121" s="16">
        <f t="shared" si="15"/>
        <v>0.13453847079497108</v>
      </c>
      <c r="H121" s="17">
        <f>SUM(Apr!H121, May!H121, Jun!H121)</f>
        <v>40916.604999999996</v>
      </c>
      <c r="I121" s="17">
        <f>SUM(Apr!I121, May!I121, Jun!I121)</f>
        <v>-1393.6049999999996</v>
      </c>
      <c r="J121" s="16">
        <f t="shared" si="13"/>
        <v>-3.4059644000278118E-2</v>
      </c>
      <c r="K121" s="39"/>
      <c r="L121" s="40"/>
    </row>
    <row r="122" spans="1:12" ht="15.75">
      <c r="A122" s="25" t="str">
        <v>Waipahu</v>
      </c>
      <c r="B122" s="26" t="str">
        <v>HI</v>
      </c>
      <c r="C122" s="26" t="str">
        <f>Sites[[#This Row],[SOL'#]]</f>
        <v>SOL-10068</v>
      </c>
      <c r="D122" s="67">
        <f>SUM(Apr!D122, May!D122, Jun!D122)</f>
        <v>39888</v>
      </c>
      <c r="E122" s="11">
        <f>SUM(Apr!E122, May!E122, Jun!E122)</f>
        <v>32373.629999999997</v>
      </c>
      <c r="F122" s="11">
        <f t="shared" si="14"/>
        <v>7514.3700000000026</v>
      </c>
      <c r="G122" s="68">
        <f t="shared" si="15"/>
        <v>0.23211391493632327</v>
      </c>
      <c r="H122" s="13">
        <f>SUM(Apr!H122, May!H122, Jun!H122)</f>
        <v>40908.604999999996</v>
      </c>
      <c r="I122" s="13">
        <f>SUM(Apr!I122, May!I122, Jun!I122)</f>
        <v>-1020.6049999999996</v>
      </c>
      <c r="J122" s="14">
        <f t="shared" si="13"/>
        <v>-2.4948418553993705E-2</v>
      </c>
      <c r="K122" s="38"/>
      <c r="L122" s="38"/>
    </row>
    <row r="123" spans="1:12" ht="15.75">
      <c r="A123" s="27" t="str">
        <v>Bird in Hand</v>
      </c>
      <c r="B123" s="28" t="str">
        <v>MD</v>
      </c>
      <c r="C123" s="28" t="str">
        <f>Sites[[#This Row],[SOL'#]]</f>
        <v>SOL-10092</v>
      </c>
      <c r="D123" s="10">
        <f>SUM(Apr!D123, May!D123, Jun!D123)</f>
        <v>475486</v>
      </c>
      <c r="E123" s="15">
        <f>SUM(Apr!E123, May!E123, Jun!E123)</f>
        <v>517562.80000000005</v>
      </c>
      <c r="F123" s="15">
        <f t="shared" si="14"/>
        <v>-42076.800000000047</v>
      </c>
      <c r="G123" s="16">
        <f t="shared" si="15"/>
        <v>-8.1297960363457419E-2</v>
      </c>
      <c r="H123" s="17">
        <f>SUM(Apr!H123, May!H123, Jun!H123)</f>
        <v>546736.6</v>
      </c>
      <c r="I123" s="17">
        <f>SUM(Apr!I123, May!I123, Jun!I123)</f>
        <v>-71250.600000000006</v>
      </c>
      <c r="J123" s="16">
        <f t="shared" si="13"/>
        <v>-0.13031979201685054</v>
      </c>
      <c r="K123" s="39"/>
      <c r="L123" s="40"/>
    </row>
    <row r="124" spans="1:12" ht="15.75">
      <c r="A124" s="25" t="str">
        <v>Shortal</v>
      </c>
      <c r="B124" s="26" t="str">
        <v>MD</v>
      </c>
      <c r="C124" s="26" t="str">
        <f>Sites[[#This Row],[SOL'#]]</f>
        <v>SOL-10091</v>
      </c>
      <c r="D124" s="67">
        <f>SUM(Apr!D124, May!D124, Jun!D124)</f>
        <v>526782</v>
      </c>
      <c r="E124" s="11">
        <f>SUM(Apr!E124, May!E124, Jun!E124)</f>
        <v>534090.19999999995</v>
      </c>
      <c r="F124" s="11">
        <f t="shared" si="14"/>
        <v>-7308.1999999999534</v>
      </c>
      <c r="G124" s="68">
        <f t="shared" si="15"/>
        <v>-1.3683456464844241E-2</v>
      </c>
      <c r="H124" s="13">
        <f>SUM(Apr!H124, May!H124, Jun!H124)</f>
        <v>33134.32</v>
      </c>
      <c r="I124" s="13">
        <f>SUM(Apr!I124, May!I124, Jun!I124)</f>
        <v>493647.68000000005</v>
      </c>
      <c r="J124" s="14">
        <f t="shared" si="13"/>
        <v>14.89837968607776</v>
      </c>
      <c r="K124" s="38"/>
      <c r="L124" s="38"/>
    </row>
    <row r="125" spans="1:12" ht="15.75">
      <c r="A125" s="27" t="str">
        <v>Aguadilla</v>
      </c>
      <c r="B125" s="28" t="str">
        <v>PR</v>
      </c>
      <c r="C125" s="28" t="str">
        <f>Sites[[#This Row],[SOL'#]]</f>
        <v>SOL-10072</v>
      </c>
      <c r="D125" s="10">
        <f>SUM(Apr!D125, May!D125, Jun!D125)</f>
        <v>58443</v>
      </c>
      <c r="E125" s="15">
        <f>SUM(Apr!E125, May!E125, Jun!E125)</f>
        <v>53938.48</v>
      </c>
      <c r="F125" s="15">
        <f t="shared" si="14"/>
        <v>4504.5199999999968</v>
      </c>
      <c r="G125" s="16">
        <f t="shared" si="15"/>
        <v>8.3512179060292333E-2</v>
      </c>
      <c r="H125" s="17">
        <f>SUM(Apr!H125, May!H125, Jun!H125)</f>
        <v>66386</v>
      </c>
      <c r="I125" s="17">
        <f>SUM(Apr!I125, May!I125, Jun!I125)</f>
        <v>-7943</v>
      </c>
      <c r="J125" s="16">
        <f t="shared" si="13"/>
        <v>-0.11964872111589793</v>
      </c>
      <c r="K125" s="39"/>
      <c r="L125" s="39"/>
    </row>
    <row r="126" spans="1:12" ht="15.75">
      <c r="A126" s="25" t="str">
        <v>Bayamon</v>
      </c>
      <c r="B126" s="26" t="str">
        <v>PR</v>
      </c>
      <c r="C126" s="26" t="str">
        <f>Sites[[#This Row],[SOL'#]]</f>
        <v>SOL-10073</v>
      </c>
      <c r="D126" s="67">
        <f>SUM(Apr!D126, May!D126, Jun!D126)</f>
        <v>206287</v>
      </c>
      <c r="E126" s="11">
        <f>SUM(Apr!E126, May!E126, Jun!E126)</f>
        <v>223052.32</v>
      </c>
      <c r="F126" s="11">
        <f t="shared" si="14"/>
        <v>-16765.320000000007</v>
      </c>
      <c r="G126" s="68">
        <f t="shared" si="15"/>
        <v>-7.5163172478995094E-2</v>
      </c>
      <c r="H126" s="13">
        <f>SUM(Apr!H126, May!H126, Jun!H126)</f>
        <v>0</v>
      </c>
      <c r="I126" s="13">
        <f>SUM(Apr!I126, May!I126, Jun!I126)</f>
        <v>206287</v>
      </c>
      <c r="J126" s="14" t="str">
        <f t="shared" si="13"/>
        <v/>
      </c>
      <c r="K126" s="38"/>
      <c r="L126" s="38"/>
    </row>
    <row r="127" spans="1:12" ht="15.75">
      <c r="A127" s="27" t="str">
        <v>St Francis</v>
      </c>
      <c r="B127" s="28" t="str">
        <v>PR</v>
      </c>
      <c r="C127" s="28" t="str">
        <f>Sites[[#This Row],[SOL'#]]</f>
        <v>SOL-10034</v>
      </c>
      <c r="D127" s="10">
        <f>SUM(Apr!D127, May!D127, Jun!D127)</f>
        <v>65018.75</v>
      </c>
      <c r="E127" s="15">
        <f>SUM(Apr!E127, May!E127, Jun!E127)</f>
        <v>140211.66999999998</v>
      </c>
      <c r="F127" s="15">
        <f t="shared" si="14"/>
        <v>-75192.919999999984</v>
      </c>
      <c r="G127" s="16">
        <f t="shared" si="15"/>
        <v>-0.53628146644284314</v>
      </c>
      <c r="H127" s="17">
        <f>SUM(Apr!H127, May!H127, Jun!H127)</f>
        <v>98294</v>
      </c>
      <c r="I127" s="17">
        <f>SUM(Apr!I127, May!I127, Jun!I127)</f>
        <v>-33275.25</v>
      </c>
      <c r="J127" s="16">
        <f t="shared" si="13"/>
        <v>-0.33852778399495392</v>
      </c>
      <c r="K127" s="39"/>
      <c r="L127" s="40"/>
    </row>
    <row r="128" spans="1:12" ht="15.75">
      <c r="A128" s="25" t="str">
        <v>Seaport</v>
      </c>
      <c r="B128" s="26" t="str">
        <v>MA</v>
      </c>
      <c r="C128" s="26" t="str">
        <f>Sites[[#This Row],[SOL'#]]</f>
        <v>SOL-10772</v>
      </c>
      <c r="D128" s="67">
        <f>SUM(Apr!D128, May!D128, Jun!D128)</f>
        <v>226110</v>
      </c>
      <c r="E128" s="11">
        <f>SUM(Apr!E128, May!E128, Jun!E128)</f>
        <v>210429.07</v>
      </c>
      <c r="F128" s="11">
        <f t="shared" si="14"/>
        <v>15680.929999999993</v>
      </c>
      <c r="G128" s="68">
        <f t="shared" si="15"/>
        <v>7.4518839055839545E-2</v>
      </c>
      <c r="H128" s="13">
        <f>SUM(Apr!H128, May!H128, Jun!H128)</f>
        <v>239587.29</v>
      </c>
      <c r="I128" s="13">
        <f>SUM(Apr!I128, May!I128, Jun!I128)</f>
        <v>-13477.290000000008</v>
      </c>
      <c r="J128" s="14">
        <f t="shared" si="13"/>
        <v>-5.6252107530412016E-2</v>
      </c>
      <c r="K128" s="38"/>
      <c r="L128" s="38"/>
    </row>
    <row r="129" spans="1:12" ht="15.75">
      <c r="A129" s="27" t="str">
        <v>Sprague St</v>
      </c>
      <c r="B129" s="28" t="str">
        <v>MA</v>
      </c>
      <c r="C129" s="28" t="str">
        <f>Sites[[#This Row],[SOL'#]]</f>
        <v>SOL-10773</v>
      </c>
      <c r="D129" s="10">
        <f>SUM(Apr!D129, May!D129, Jun!D129)</f>
        <v>519857</v>
      </c>
      <c r="E129" s="15">
        <f>SUM(Apr!E129, May!E129, Jun!E129)</f>
        <v>514430.239</v>
      </c>
      <c r="F129" s="15">
        <f t="shared" si="14"/>
        <v>5426.7609999999986</v>
      </c>
      <c r="G129" s="16">
        <f t="shared" si="15"/>
        <v>1.0549070774978294E-2</v>
      </c>
      <c r="H129" s="17">
        <f>SUM(Apr!H129, May!H129, Jun!H129)</f>
        <v>526200.30900000001</v>
      </c>
      <c r="I129" s="17">
        <f>SUM(Apr!I129, May!I129, Jun!I129)</f>
        <v>-6343.3090000000084</v>
      </c>
      <c r="J129" s="16">
        <f t="shared" si="13"/>
        <v>-1.205493210761305E-2</v>
      </c>
      <c r="K129" s="39"/>
      <c r="L129" s="40"/>
    </row>
    <row r="130" spans="1:12" ht="15.75">
      <c r="A130" s="25" t="str">
        <v>Summer St</v>
      </c>
      <c r="B130" s="26" t="str">
        <v>MA</v>
      </c>
      <c r="C130" s="26" t="str">
        <f>Sites[[#This Row],[SOL'#]]</f>
        <v>SOL-10764</v>
      </c>
      <c r="D130" s="67">
        <f>SUM(Apr!D130, May!D130, Jun!D130)</f>
        <v>1045364</v>
      </c>
      <c r="E130" s="11">
        <f>SUM(Apr!E130, May!E130, Jun!E130)</f>
        <v>1095418.2</v>
      </c>
      <c r="F130" s="11">
        <f t="shared" si="14"/>
        <v>-50054.199999999953</v>
      </c>
      <c r="G130" s="68">
        <f t="shared" si="15"/>
        <v>-4.5694146765134953E-2</v>
      </c>
      <c r="H130" s="13">
        <f>SUM(Apr!H130, May!H130, Jun!H130)</f>
        <v>1123582.1000000001</v>
      </c>
      <c r="I130" s="13">
        <f>SUM(Apr!I130, May!I130, Jun!I130)</f>
        <v>-78218.099999999977</v>
      </c>
      <c r="J130" s="14">
        <f t="shared" si="13"/>
        <v>-6.9614939575844054E-2</v>
      </c>
      <c r="K130" s="38"/>
      <c r="L130" s="38"/>
    </row>
    <row r="131" spans="1:12" ht="15.75">
      <c r="A131" s="27" t="str">
        <v>Brock St Vocational</v>
      </c>
      <c r="B131" s="28" t="str">
        <v>NH</v>
      </c>
      <c r="C131" s="28" t="str">
        <f>Sites[[#This Row],[SOL'#]]</f>
        <v>SOL-10768</v>
      </c>
      <c r="D131" s="10">
        <f>SUM(Apr!D131, May!D131, Jun!D131)</f>
        <v>46907.4724262737</v>
      </c>
      <c r="E131" s="15">
        <f>SUM(Apr!E131, May!E131, Jun!E131)</f>
        <v>46346.36</v>
      </c>
      <c r="F131" s="15">
        <f t="shared" si="14"/>
        <v>561.11242627369938</v>
      </c>
      <c r="G131" s="16">
        <f t="shared" si="15"/>
        <v>1.210693625720983E-2</v>
      </c>
      <c r="H131" s="17">
        <f>SUM(Apr!H131, May!H131, Jun!H131)</f>
        <v>42815.26</v>
      </c>
      <c r="I131" s="17">
        <f>SUM(Apr!I131, May!I131, Jun!I131)</f>
        <v>4092.2124262736997</v>
      </c>
      <c r="J131" s="16">
        <f t="shared" si="13"/>
        <v>9.5578362160446989E-2</v>
      </c>
      <c r="K131" s="39"/>
      <c r="L131" s="40"/>
    </row>
    <row r="132" spans="1:12" ht="15.75">
      <c r="A132" s="25" t="str">
        <v>McClelland ES</v>
      </c>
      <c r="B132" s="26" t="str">
        <v>NH</v>
      </c>
      <c r="C132" s="26" t="str">
        <f>Sites[[#This Row],[SOL'#]]</f>
        <v>SOL-10766</v>
      </c>
      <c r="D132" s="67">
        <f>SUM(Apr!D132, May!D132, Jun!D132)</f>
        <v>33962.623</v>
      </c>
      <c r="E132" s="11">
        <f>SUM(Apr!E132, May!E132, Jun!E132)</f>
        <v>36810</v>
      </c>
      <c r="F132" s="11">
        <f t="shared" si="14"/>
        <v>-2847.3770000000004</v>
      </c>
      <c r="G132" s="68">
        <f t="shared" si="15"/>
        <v>-7.7353355066558008E-2</v>
      </c>
      <c r="H132" s="13">
        <f>SUM(Apr!H132, May!H132, Jun!H132)</f>
        <v>32280.5</v>
      </c>
      <c r="I132" s="13">
        <f>SUM(Apr!I132, May!I132, Jun!I132)</f>
        <v>1682.1229999999996</v>
      </c>
      <c r="J132" s="14">
        <f t="shared" si="13"/>
        <v>5.2109570793513096E-2</v>
      </c>
      <c r="K132" s="38"/>
      <c r="L132" s="38"/>
    </row>
    <row r="133" spans="1:12" ht="15.75">
      <c r="A133" s="27" t="str">
        <v>Portland St</v>
      </c>
      <c r="B133" s="28" t="str">
        <v>NH</v>
      </c>
      <c r="C133" s="28" t="str">
        <f>Sites[[#This Row],[SOL'#]]</f>
        <v>SOL-10771</v>
      </c>
      <c r="D133" s="10">
        <f>SUM(Apr!D133, May!D133, Jun!D133)</f>
        <v>29447</v>
      </c>
      <c r="E133" s="15">
        <f>SUM(Apr!E133, May!E133, Jun!E133)</f>
        <v>21930</v>
      </c>
      <c r="F133" s="15">
        <f t="shared" si="14"/>
        <v>7517</v>
      </c>
      <c r="G133" s="16">
        <f t="shared" si="15"/>
        <v>0.34277245782033744</v>
      </c>
      <c r="H133" s="17">
        <f>SUM(Apr!H133, May!H133, Jun!H133)</f>
        <v>27182</v>
      </c>
      <c r="I133" s="17">
        <f>SUM(Apr!I133, May!I133, Jun!I133)</f>
        <v>2265</v>
      </c>
      <c r="J133" s="16">
        <f t="shared" si="13"/>
        <v>8.3327201824736963E-2</v>
      </c>
      <c r="K133" s="39"/>
      <c r="L133" s="40"/>
    </row>
    <row r="134" spans="1:12" ht="15.75">
      <c r="A134" s="25" t="str">
        <v>Portsmouth HS</v>
      </c>
      <c r="B134" s="26" t="str">
        <v>NH</v>
      </c>
      <c r="C134" s="26" t="str">
        <f>Sites[[#This Row],[SOL'#]]</f>
        <v>SOL-10769</v>
      </c>
      <c r="D134" s="67">
        <f>SUM(Apr!D134, May!D134, Jun!D134)</f>
        <v>115297.625</v>
      </c>
      <c r="E134" s="11">
        <f>SUM(Apr!E134, May!E134, Jun!E134)</f>
        <v>103496.432</v>
      </c>
      <c r="F134" s="11">
        <f t="shared" si="14"/>
        <v>11801.192999999999</v>
      </c>
      <c r="G134" s="68">
        <f t="shared" si="15"/>
        <v>0.11402511924275804</v>
      </c>
      <c r="H134" s="13">
        <f>SUM(Apr!H134, May!H134, Jun!H134)</f>
        <v>49195.452000000005</v>
      </c>
      <c r="I134" s="13">
        <f>SUM(Apr!I134, May!I134, Jun!I134)</f>
        <v>66102.172999999995</v>
      </c>
      <c r="J134" s="14">
        <f t="shared" si="13"/>
        <v>1.3436643086438151</v>
      </c>
      <c r="K134" s="38"/>
      <c r="L134" s="38"/>
    </row>
    <row r="135" spans="1:12" ht="15.75">
      <c r="A135" s="27" t="str">
        <v>Portsmouth WTP</v>
      </c>
      <c r="B135" s="28" t="str">
        <v>NH</v>
      </c>
      <c r="C135" s="28" t="str">
        <f>Sites[[#This Row],[SOL'#]]</f>
        <v>SOL-10770</v>
      </c>
      <c r="D135" s="10">
        <f>SUM(Apr!D135, May!D135, Jun!D135)</f>
        <v>101311</v>
      </c>
      <c r="E135" s="15">
        <f>SUM(Apr!E135, May!E135, Jun!E135)</f>
        <v>103817.2</v>
      </c>
      <c r="F135" s="15">
        <f t="shared" si="14"/>
        <v>-2506.1999999999971</v>
      </c>
      <c r="G135" s="16">
        <f t="shared" si="15"/>
        <v>-2.4140508509187274E-2</v>
      </c>
      <c r="H135" s="17">
        <f>SUM(Apr!H135, May!H135, Jun!H135)</f>
        <v>101804.29000000001</v>
      </c>
      <c r="I135" s="17">
        <f>SUM(Apr!I135, May!I135, Jun!I135)</f>
        <v>-493.29000000000087</v>
      </c>
      <c r="J135" s="16">
        <f t="shared" si="13"/>
        <v>-4.8454736043048955E-3</v>
      </c>
      <c r="K135" s="39"/>
      <c r="L135" s="40"/>
    </row>
    <row r="136" spans="1:12" ht="15.75">
      <c r="A136" s="25" t="str">
        <v>Rochester St</v>
      </c>
      <c r="B136" s="26" t="str">
        <v>NH</v>
      </c>
      <c r="C136" s="26" t="str">
        <f>Sites[[#This Row],[SOL'#]]</f>
        <v>SOL-10765</v>
      </c>
      <c r="D136" s="67">
        <f>SUM(Apr!D136, May!D136, Jun!D136)</f>
        <v>99769</v>
      </c>
      <c r="E136" s="11">
        <f>SUM(Apr!E136, May!E136, Jun!E136)</f>
        <v>105292</v>
      </c>
      <c r="F136" s="11">
        <f t="shared" si="14"/>
        <v>-5523</v>
      </c>
      <c r="G136" s="68">
        <f t="shared" si="15"/>
        <v>-5.2454127569046084E-2</v>
      </c>
      <c r="H136" s="13">
        <f>SUM(Apr!H136, May!H136, Jun!H136)</f>
        <v>99721</v>
      </c>
      <c r="I136" s="13">
        <f>SUM(Apr!I136, May!I136, Jun!I136)</f>
        <v>48</v>
      </c>
      <c r="J136" s="14">
        <f t="shared" si="13"/>
        <v>4.8134294682163233E-4</v>
      </c>
      <c r="K136" s="38"/>
      <c r="L136" s="38"/>
    </row>
    <row r="137" spans="1:12" ht="15.75">
      <c r="A137" s="27" t="str">
        <v>Spaulding HS</v>
      </c>
      <c r="B137" s="28" t="str">
        <v>NH</v>
      </c>
      <c r="C137" s="28" t="str">
        <f>Sites[[#This Row],[SOL'#]]</f>
        <v>SOL-10767</v>
      </c>
      <c r="D137" s="10">
        <f>SUM(Apr!D137, May!D137, Jun!D137)</f>
        <v>51023.818402841302</v>
      </c>
      <c r="E137" s="15">
        <f>SUM(Apr!E137, May!E137, Jun!E137)</f>
        <v>44687.05</v>
      </c>
      <c r="F137" s="15">
        <f t="shared" si="14"/>
        <v>6336.7684028412987</v>
      </c>
      <c r="G137" s="16">
        <f t="shared" si="15"/>
        <v>0.14180323836192585</v>
      </c>
      <c r="H137" s="17">
        <f>SUM(Apr!H137, May!H137, Jun!H137)</f>
        <v>49348.91</v>
      </c>
      <c r="I137" s="17">
        <f>SUM(Apr!I137, May!I137, Jun!I137)</f>
        <v>1674.9084028412999</v>
      </c>
      <c r="J137" s="16">
        <f t="shared" si="13"/>
        <v>3.3940129636932201E-2</v>
      </c>
      <c r="K137" s="39"/>
      <c r="L137" s="40"/>
    </row>
    <row r="138" spans="1:12" ht="15.75">
      <c r="A138" s="25" t="str">
        <v>Ridgeway #2</v>
      </c>
      <c r="B138" s="26" t="str">
        <v>NY</v>
      </c>
      <c r="C138" s="26" t="str">
        <f>Sites[[#This Row],[SOL'#]]</f>
        <v>SOL-11027</v>
      </c>
      <c r="D138" s="67">
        <f>SUM(Apr!D138, May!D138, Jun!D138)</f>
        <v>1676090.4</v>
      </c>
      <c r="E138" s="11">
        <f>SUM(Apr!E138, May!E138, Jun!E138)</f>
        <v>0</v>
      </c>
      <c r="F138" s="11">
        <f t="shared" si="14"/>
        <v>1676090.4</v>
      </c>
      <c r="G138" s="68" t="str">
        <f t="shared" si="15"/>
        <v/>
      </c>
      <c r="H138" s="13">
        <f>SUM(Apr!H138, May!H138, Jun!H138)</f>
        <v>0</v>
      </c>
      <c r="I138" s="13">
        <f>SUM(Apr!I138, May!I138, Jun!I138)</f>
        <v>1676090.4</v>
      </c>
      <c r="J138" s="14" t="str">
        <f t="shared" si="13"/>
        <v/>
      </c>
      <c r="K138" s="38"/>
      <c r="L138" s="38"/>
    </row>
    <row r="139" spans="1:12" ht="15.75">
      <c r="A139" s="27" t="str">
        <v>Spencer</v>
      </c>
      <c r="B139" s="28" t="str">
        <v>NY</v>
      </c>
      <c r="C139" s="28" t="str">
        <f>Sites[[#This Row],[SOL'#]]</f>
        <v>SOL-11017</v>
      </c>
      <c r="D139" s="10">
        <f>SUM(Apr!D139, May!D139, Jun!D139)</f>
        <v>3021643.4</v>
      </c>
      <c r="E139" s="15">
        <f>SUM(Apr!E139, May!E139, Jun!E139)</f>
        <v>0</v>
      </c>
      <c r="F139" s="15">
        <f t="shared" si="14"/>
        <v>3021643.4</v>
      </c>
      <c r="G139" s="16" t="str">
        <f t="shared" si="15"/>
        <v/>
      </c>
      <c r="H139" s="17">
        <f>SUM(Apr!H139, May!H139, Jun!H139)</f>
        <v>0</v>
      </c>
      <c r="I139" s="17">
        <f>SUM(Apr!I139, May!I139, Jun!I139)</f>
        <v>3021643.4</v>
      </c>
      <c r="J139" s="16" t="str">
        <f t="shared" si="13"/>
        <v/>
      </c>
      <c r="K139" s="39"/>
      <c r="L139" s="40"/>
    </row>
    <row r="140" spans="1:12" ht="15.75">
      <c r="A140" s="25" t="str">
        <v>Reisender</v>
      </c>
      <c r="B140" s="26" t="str">
        <v>NY</v>
      </c>
      <c r="C140" s="26" t="str">
        <f>Sites[[#This Row],[SOL'#]]</f>
        <v>SOL-10886</v>
      </c>
      <c r="D140" s="67">
        <f>SUM(Apr!D140, May!D140, Jun!D140)</f>
        <v>391080</v>
      </c>
      <c r="E140" s="11">
        <f>SUM(Apr!E140, May!E140, Jun!E140)</f>
        <v>392206</v>
      </c>
      <c r="F140" s="11">
        <f t="shared" si="14"/>
        <v>-1126</v>
      </c>
      <c r="G140" s="68">
        <f t="shared" si="15"/>
        <v>-2.8709402711840208E-3</v>
      </c>
      <c r="H140" s="13">
        <f>SUM(Apr!H140, May!H140, Jun!H140)</f>
        <v>381489</v>
      </c>
      <c r="I140" s="13">
        <f>SUM(Apr!I140, May!I140, Jun!I140)</f>
        <v>9591</v>
      </c>
      <c r="J140" s="14">
        <f t="shared" si="13"/>
        <v>2.5140960814073274E-2</v>
      </c>
      <c r="K140" s="38"/>
      <c r="L140" s="38"/>
    </row>
    <row r="141" spans="1:12" ht="15.75">
      <c r="A141" s="27" t="str">
        <v>Finney</v>
      </c>
      <c r="B141" s="28" t="str">
        <v>NY</v>
      </c>
      <c r="C141" s="28" t="str">
        <f>Sites[[#This Row],[SOL'#]]</f>
        <v>SOL-10999</v>
      </c>
      <c r="D141" s="10">
        <f>SUM(Apr!D141, May!D141, Jun!D141)</f>
        <v>316580</v>
      </c>
      <c r="E141" s="15">
        <f>SUM(Apr!E141, May!E141, Jun!E141)</f>
        <v>0</v>
      </c>
      <c r="F141" s="15">
        <f t="shared" si="14"/>
        <v>316580</v>
      </c>
      <c r="G141" s="16" t="str">
        <f t="shared" si="15"/>
        <v/>
      </c>
      <c r="H141" s="17">
        <f>SUM(Apr!H141, May!H141, Jun!H141)</f>
        <v>0</v>
      </c>
      <c r="I141" s="17">
        <f>SUM(Apr!I141, May!I141, Jun!I141)</f>
        <v>0</v>
      </c>
      <c r="J141" s="16" t="str">
        <f t="shared" si="13"/>
        <v/>
      </c>
      <c r="K141" s="39"/>
      <c r="L141" s="40"/>
    </row>
    <row r="142" spans="1:12" ht="15.75">
      <c r="A142" s="25" t="str">
        <v>Davis Solar</v>
      </c>
      <c r="B142" s="26" t="str">
        <v>NY</v>
      </c>
      <c r="C142" s="26" t="str">
        <f>Sites[[#This Row],[SOL'#]]</f>
        <v>SOL-10958</v>
      </c>
      <c r="D142" s="67">
        <f>SUM(Apr!D142, May!D142, Jun!D142)</f>
        <v>379098</v>
      </c>
      <c r="E142" s="11">
        <f>SUM(Apr!E142, May!E142, Jun!E142)</f>
        <v>415825.2</v>
      </c>
      <c r="F142" s="11">
        <f t="shared" si="14"/>
        <v>-36727.200000000012</v>
      </c>
      <c r="G142" s="68">
        <f t="shared" si="15"/>
        <v>-8.8323651380435839E-2</v>
      </c>
      <c r="H142" s="13">
        <f>SUM(Apr!H142, May!H142, Jun!H142)</f>
        <v>235847</v>
      </c>
      <c r="I142" s="13">
        <f>SUM(Apr!I142, May!I142, Jun!I142)</f>
        <v>143251</v>
      </c>
      <c r="J142" s="14">
        <f t="shared" si="13"/>
        <v>0.60738953643675775</v>
      </c>
      <c r="K142" s="38"/>
      <c r="L142" s="38"/>
    </row>
    <row r="143" spans="1:12" ht="15.75">
      <c r="A143" s="27" t="str">
        <v>Genesee</v>
      </c>
      <c r="B143" s="28" t="str">
        <v>NY</v>
      </c>
      <c r="C143" s="28" t="str">
        <f>Sites[[#This Row],[SOL'#]]</f>
        <v>SOL-10951</v>
      </c>
      <c r="D143" s="10">
        <f>SUM(Apr!D143, May!D143, Jun!D143)</f>
        <v>881988</v>
      </c>
      <c r="E143" s="15">
        <f>SUM(Apr!E143, May!E143, Jun!E143)</f>
        <v>0</v>
      </c>
      <c r="F143" s="15">
        <f t="shared" si="14"/>
        <v>881988</v>
      </c>
      <c r="G143" s="16" t="str">
        <f t="shared" si="15"/>
        <v/>
      </c>
      <c r="H143" s="17">
        <f>SUM(Apr!H143, May!H143, Jun!H143)</f>
        <v>0</v>
      </c>
      <c r="I143" s="17">
        <f>SUM(Apr!I143, May!I143, Jun!I143)</f>
        <v>881988</v>
      </c>
      <c r="J143" s="16" t="str">
        <f t="shared" si="13"/>
        <v/>
      </c>
      <c r="K143" s="39"/>
      <c r="L143" s="40"/>
    </row>
    <row r="144" spans="1:12" ht="15.75">
      <c r="A144" s="25" t="str">
        <v>Landau I</v>
      </c>
      <c r="B144" s="26" t="str">
        <v>NY</v>
      </c>
      <c r="C144" s="26" t="str">
        <f>Sites[[#This Row],[SOL'#]]</f>
        <v>SOL-10891</v>
      </c>
      <c r="D144" s="67">
        <f>SUM(Apr!D144, May!D144, Jun!D144)</f>
        <v>404690</v>
      </c>
      <c r="E144" s="11">
        <f>SUM(Apr!E144, May!E144, Jun!E144)</f>
        <v>0</v>
      </c>
      <c r="F144" s="11">
        <f t="shared" si="14"/>
        <v>404690</v>
      </c>
      <c r="G144" s="68" t="str">
        <f t="shared" si="15"/>
        <v/>
      </c>
      <c r="H144" s="13">
        <f>SUM(Apr!H144, May!H144, Jun!H144)</f>
        <v>0</v>
      </c>
      <c r="I144" s="13">
        <f>SUM(Apr!I144, May!I144, Jun!I144)</f>
        <v>404690</v>
      </c>
      <c r="J144" s="14" t="str">
        <f t="shared" si="13"/>
        <v/>
      </c>
      <c r="K144" s="38"/>
      <c r="L144" s="38"/>
    </row>
    <row r="145" spans="1:12" ht="15.75">
      <c r="A145" s="27" t="str">
        <v>Landau II</v>
      </c>
      <c r="B145" s="28" t="str">
        <v>NY</v>
      </c>
      <c r="C145" s="28" t="str">
        <f>Sites[[#This Row],[SOL'#]]</f>
        <v>SOL-10895</v>
      </c>
      <c r="D145" s="10">
        <f>SUM(Apr!D145, May!D145, Jun!D145)</f>
        <v>334690</v>
      </c>
      <c r="E145" s="15">
        <f>SUM(Apr!E145, May!E145, Jun!E145)</f>
        <v>0</v>
      </c>
      <c r="F145" s="15">
        <f t="shared" si="14"/>
        <v>334690</v>
      </c>
      <c r="G145" s="16" t="str">
        <f t="shared" si="15"/>
        <v/>
      </c>
      <c r="H145" s="17">
        <f>SUM(Apr!H145, May!H145, Jun!H145)</f>
        <v>0</v>
      </c>
      <c r="I145" s="17">
        <f>SUM(Apr!I145, May!I145, Jun!I145)</f>
        <v>334690</v>
      </c>
      <c r="J145" s="16" t="str">
        <f t="shared" si="13"/>
        <v/>
      </c>
      <c r="K145" s="39"/>
      <c r="L145" s="40"/>
    </row>
    <row r="146" spans="1:12" ht="15.75">
      <c r="A146" s="25" t="str">
        <v>New Beginnings</v>
      </c>
      <c r="B146" s="26" t="str">
        <v>NY</v>
      </c>
      <c r="C146" s="26" t="str">
        <f>Sites[[#This Row],[SOL'#]]</f>
        <v>SOL-10890</v>
      </c>
      <c r="D146" s="67">
        <f>SUM(Apr!D146, May!D146, Jun!D146)</f>
        <v>401940</v>
      </c>
      <c r="E146" s="11">
        <f>SUM(Apr!E146, May!E146, Jun!E146)</f>
        <v>401968</v>
      </c>
      <c r="F146" s="11">
        <f t="shared" si="14"/>
        <v>-28</v>
      </c>
      <c r="G146" s="68">
        <f t="shared" si="15"/>
        <v>-6.9657286152131518E-5</v>
      </c>
      <c r="H146" s="13">
        <f>SUM(Apr!H146, May!H146, Jun!H146)</f>
        <v>398278</v>
      </c>
      <c r="I146" s="13">
        <f>SUM(Apr!I146, May!I146, Jun!I146)</f>
        <v>3662</v>
      </c>
      <c r="J146" s="14">
        <f t="shared" ref="J146:J160" si="16">IFERROR(I146/H146, "")</f>
        <v>9.1945826784306448E-3</v>
      </c>
      <c r="K146" s="38"/>
      <c r="L146" s="38"/>
    </row>
    <row r="147" spans="1:12" ht="15.75">
      <c r="A147" s="27" t="str">
        <v>Guilin Farm Solar</v>
      </c>
      <c r="B147" s="28" t="str">
        <v>NY</v>
      </c>
      <c r="C147" s="28" t="str">
        <f>Sites[[#This Row],[SOL'#]]</f>
        <v>SOL-10998</v>
      </c>
      <c r="D147" s="10">
        <f>SUM(Apr!D147, May!D147, Jun!D147)</f>
        <v>673297</v>
      </c>
      <c r="E147" s="15">
        <f>SUM(Apr!E147, May!E147, Jun!E147)</f>
        <v>683546</v>
      </c>
      <c r="F147" s="15">
        <f t="shared" si="14"/>
        <v>-10249</v>
      </c>
      <c r="G147" s="16">
        <f t="shared" si="15"/>
        <v>-1.499387020039617E-2</v>
      </c>
      <c r="H147" s="17">
        <f>SUM(Apr!H147, May!H147, Jun!H147)</f>
        <v>1048743</v>
      </c>
      <c r="I147" s="17">
        <f>SUM(Apr!I147, May!I147, Jun!I147)</f>
        <v>-375446</v>
      </c>
      <c r="J147" s="16">
        <f t="shared" si="16"/>
        <v>-0.3579961916313148</v>
      </c>
      <c r="K147" s="39"/>
      <c r="L147" s="40"/>
    </row>
    <row r="148" spans="1:12" ht="15.75">
      <c r="A148" s="25" t="str">
        <v>Brodhead Solar</v>
      </c>
      <c r="B148" s="26" t="str">
        <v>NY</v>
      </c>
      <c r="C148" s="26" t="str">
        <f>Sites[[#This Row],[SOL'#]]</f>
        <v>SOL-10899</v>
      </c>
      <c r="D148" s="67">
        <f>SUM(Apr!D148, May!D148, Jun!D148)</f>
        <v>486584</v>
      </c>
      <c r="E148" s="11">
        <f>SUM(Apr!E148, May!E148, Jun!E148)</f>
        <v>509888</v>
      </c>
      <c r="F148" s="11">
        <f t="shared" si="14"/>
        <v>-23304</v>
      </c>
      <c r="G148" s="68">
        <f t="shared" si="15"/>
        <v>-4.5704154637881259E-2</v>
      </c>
      <c r="H148" s="13">
        <f>SUM(Apr!H148, May!H148, Jun!H148)</f>
        <v>522919</v>
      </c>
      <c r="I148" s="13">
        <f>SUM(Apr!I148, May!I148, Jun!I148)</f>
        <v>-36335</v>
      </c>
      <c r="J148" s="14">
        <f t="shared" si="16"/>
        <v>-6.9484948911781752E-2</v>
      </c>
      <c r="K148" s="38"/>
      <c r="L148" s="38"/>
    </row>
    <row r="149" spans="1:12" ht="15.75">
      <c r="A149" s="27" t="str">
        <v>Svenski</v>
      </c>
      <c r="B149" s="28" t="str">
        <v>NY</v>
      </c>
      <c r="C149" s="28" t="str">
        <f>Sites[[#This Row],[SOL'#]]</f>
        <v>SOL-10894</v>
      </c>
      <c r="D149" s="10">
        <f>SUM(Apr!D149, May!D149, Jun!D149)</f>
        <v>304918</v>
      </c>
      <c r="E149" s="15">
        <f>SUM(Apr!E149, May!E149, Jun!E149)</f>
        <v>0</v>
      </c>
      <c r="F149" s="15">
        <f t="shared" si="14"/>
        <v>304918</v>
      </c>
      <c r="G149" s="16" t="str">
        <f t="shared" si="15"/>
        <v/>
      </c>
      <c r="H149" s="17">
        <f>SUM(Apr!H149, May!H149, Jun!H149)</f>
        <v>0</v>
      </c>
      <c r="I149" s="17">
        <f>SUM(Apr!I149, May!I149, Jun!I149)</f>
        <v>304918</v>
      </c>
      <c r="J149" s="16" t="str">
        <f t="shared" si="16"/>
        <v/>
      </c>
      <c r="K149" s="39"/>
      <c r="L149" s="40"/>
    </row>
    <row r="150" spans="1:12" ht="15.75">
      <c r="A150" s="25" t="str">
        <v>Bantam</v>
      </c>
      <c r="B150" s="26" t="str">
        <v>NY</v>
      </c>
      <c r="C150" s="26" t="str">
        <f>Sites[[#This Row],[SOL'#]]</f>
        <v>SOL-10986</v>
      </c>
      <c r="D150" s="67">
        <f>SUM(Apr!D150, May!D150, Jun!D150)</f>
        <v>1133220</v>
      </c>
      <c r="E150" s="11">
        <f>SUM(Apr!E150, May!E150, Jun!E150)</f>
        <v>0</v>
      </c>
      <c r="F150" s="11">
        <f t="shared" si="14"/>
        <v>1133220</v>
      </c>
      <c r="G150" s="68" t="str">
        <f t="shared" si="15"/>
        <v/>
      </c>
      <c r="H150" s="13">
        <f>SUM(Apr!H150, May!H150, Jun!H150)</f>
        <v>0</v>
      </c>
      <c r="I150" s="13">
        <f>SUM(Apr!I150, May!I150, Jun!I150)</f>
        <v>1133220</v>
      </c>
      <c r="J150" s="14" t="str">
        <f t="shared" si="16"/>
        <v/>
      </c>
      <c r="K150" s="38"/>
      <c r="L150" s="38"/>
    </row>
    <row r="151" spans="1:12" ht="15.75">
      <c r="A151" s="27" t="str">
        <v>Bogart</v>
      </c>
      <c r="B151" s="28" t="str">
        <v>NY</v>
      </c>
      <c r="C151" s="28" t="str">
        <f>Sites[[#This Row],[SOL'#]]</f>
        <v>SOL-10887</v>
      </c>
      <c r="D151" s="10">
        <f>SUM(Apr!D151, May!D151, Jun!D151)</f>
        <v>358420</v>
      </c>
      <c r="E151" s="15">
        <f>SUM(Apr!E151, May!E151, Jun!E151)</f>
        <v>382168</v>
      </c>
      <c r="F151" s="15">
        <f t="shared" si="14"/>
        <v>-23748</v>
      </c>
      <c r="G151" s="16">
        <f t="shared" si="15"/>
        <v>-6.2140210588013646E-2</v>
      </c>
      <c r="H151" s="17">
        <f>SUM(Apr!H151, May!H151, Jun!H151)</f>
        <v>391479</v>
      </c>
      <c r="I151" s="17">
        <f>SUM(Apr!I151, May!I151, Jun!I151)</f>
        <v>-33059</v>
      </c>
      <c r="J151" s="16">
        <f t="shared" si="16"/>
        <v>-8.4446419859047356E-2</v>
      </c>
      <c r="K151" s="39"/>
      <c r="L151" s="40"/>
    </row>
    <row r="152" spans="1:12" ht="15.75">
      <c r="A152" s="25" t="str">
        <v>Dubois</v>
      </c>
      <c r="B152" s="26" t="str">
        <v>NY</v>
      </c>
      <c r="C152" s="26" t="str">
        <f>Sites[[#This Row],[SOL'#]]</f>
        <v>SOL-10892</v>
      </c>
      <c r="D152" s="67">
        <f>SUM(Apr!D152, May!D152, Jun!D152)</f>
        <v>359955</v>
      </c>
      <c r="E152" s="11">
        <f>SUM(Apr!E152, May!E152, Jun!E152)</f>
        <v>0</v>
      </c>
      <c r="F152" s="11">
        <f t="shared" si="14"/>
        <v>359955</v>
      </c>
      <c r="G152" s="68" t="str">
        <f t="shared" si="15"/>
        <v/>
      </c>
      <c r="H152" s="13">
        <f>SUM(Apr!H152, May!H152, Jun!H152)</f>
        <v>0</v>
      </c>
      <c r="I152" s="13">
        <f>SUM(Apr!I152, May!I152, Jun!I152)</f>
        <v>359955</v>
      </c>
      <c r="J152" s="14" t="str">
        <f t="shared" si="16"/>
        <v/>
      </c>
      <c r="K152" s="38"/>
      <c r="L152" s="38"/>
    </row>
    <row r="153" spans="1:12" ht="15.75">
      <c r="A153" s="27" t="str">
        <v>Salt Point</v>
      </c>
      <c r="B153" s="28" t="str">
        <v>NY</v>
      </c>
      <c r="C153" s="28" t="str">
        <f>Sites[[#This Row],[SOL'#]]</f>
        <v>SOL-10888</v>
      </c>
      <c r="D153" s="10">
        <f>SUM(Apr!D153, May!D153, Jun!D153)</f>
        <v>418107</v>
      </c>
      <c r="E153" s="15">
        <f>SUM(Apr!E153, May!E153, Jun!E153)</f>
        <v>0</v>
      </c>
      <c r="F153" s="15">
        <f t="shared" si="14"/>
        <v>418107</v>
      </c>
      <c r="G153" s="16" t="str">
        <f t="shared" si="15"/>
        <v/>
      </c>
      <c r="H153" s="17">
        <f>SUM(Apr!H153, May!H153, Jun!H153)</f>
        <v>0</v>
      </c>
      <c r="I153" s="17">
        <f>SUM(Apr!I153, May!I153, Jun!I153)</f>
        <v>418107</v>
      </c>
      <c r="J153" s="16" t="str">
        <f t="shared" si="16"/>
        <v/>
      </c>
      <c r="K153" s="39"/>
      <c r="L153" s="40"/>
    </row>
    <row r="154" spans="1:12" ht="15.75">
      <c r="A154" s="25" t="str">
        <v>Wheatland 2A</v>
      </c>
      <c r="B154" s="26" t="str">
        <v>NY</v>
      </c>
      <c r="C154" s="26" t="str">
        <f>Sites[[#This Row],[SOL'#]]</f>
        <v>SOL-10971</v>
      </c>
      <c r="D154" s="67">
        <f>SUM(Apr!D154, May!D154, Jun!D154)</f>
        <v>941330</v>
      </c>
      <c r="E154" s="11">
        <f>SUM(Apr!E154, May!E154, Jun!E154)</f>
        <v>0</v>
      </c>
      <c r="F154" s="11">
        <f t="shared" si="14"/>
        <v>941330</v>
      </c>
      <c r="G154" s="68" t="str">
        <f t="shared" si="15"/>
        <v/>
      </c>
      <c r="H154" s="13">
        <f>SUM(Apr!H154, May!H154, Jun!H154)</f>
        <v>0</v>
      </c>
      <c r="I154" s="13">
        <f>SUM(Apr!I154, May!I154, Jun!I154)</f>
        <v>941330</v>
      </c>
      <c r="J154" s="14" t="str">
        <f t="shared" si="16"/>
        <v/>
      </c>
      <c r="K154" s="38"/>
      <c r="L154" s="38"/>
    </row>
    <row r="155" spans="1:12" ht="15.75">
      <c r="A155" s="27" t="str">
        <v>Wheatland 2B</v>
      </c>
      <c r="B155" s="28" t="str">
        <v>NY</v>
      </c>
      <c r="C155" s="28" t="str">
        <f>Sites[[#This Row],[SOL'#]]</f>
        <v>SOL-10961</v>
      </c>
      <c r="D155" s="10">
        <f>SUM(Apr!D155, May!D155, Jun!D155)</f>
        <v>949970</v>
      </c>
      <c r="E155" s="15">
        <f>SUM(Apr!E155, May!E155, Jun!E155)</f>
        <v>0</v>
      </c>
      <c r="F155" s="15">
        <f t="shared" si="14"/>
        <v>949970</v>
      </c>
      <c r="G155" s="16" t="str">
        <f t="shared" si="15"/>
        <v/>
      </c>
      <c r="H155" s="17">
        <f>SUM(Apr!H155, May!H155, Jun!H155)</f>
        <v>0</v>
      </c>
      <c r="I155" s="17">
        <f>SUM(Apr!I155, May!I155, Jun!I155)</f>
        <v>949970</v>
      </c>
      <c r="J155" s="16" t="str">
        <f t="shared" si="16"/>
        <v/>
      </c>
      <c r="K155" s="39"/>
      <c r="L155" s="40"/>
    </row>
    <row r="156" spans="1:12" ht="15.75">
      <c r="A156" s="25" t="str">
        <v>Brickchurch</v>
      </c>
      <c r="B156" s="26" t="str">
        <v>NY</v>
      </c>
      <c r="C156" s="26" t="str">
        <f>Sites[[#This Row],[SOL'#]]</f>
        <v>SOL-10889</v>
      </c>
      <c r="D156" s="67">
        <f>SUM(Apr!D156, May!D156, Jun!D156)</f>
        <v>450560</v>
      </c>
      <c r="E156" s="11">
        <f>SUM(Apr!E156, May!E156, Jun!E156)</f>
        <v>486732</v>
      </c>
      <c r="F156" s="11">
        <f t="shared" si="14"/>
        <v>-36172</v>
      </c>
      <c r="G156" s="68">
        <f t="shared" si="15"/>
        <v>-7.4316050721957877E-2</v>
      </c>
      <c r="H156" s="13">
        <f>SUM(Apr!H156, May!H156, Jun!H156)</f>
        <v>496313</v>
      </c>
      <c r="I156" s="13">
        <f>SUM(Apr!I156, May!I156, Jun!I156)</f>
        <v>-45753</v>
      </c>
      <c r="J156" s="14">
        <f t="shared" si="16"/>
        <v>-9.2185777926429485E-2</v>
      </c>
      <c r="K156" s="38"/>
      <c r="L156" s="38"/>
    </row>
    <row r="157" spans="1:12" ht="15.75">
      <c r="A157" s="27" t="str">
        <v>McCarthy Solar</v>
      </c>
      <c r="B157" s="28" t="str">
        <v>NY</v>
      </c>
      <c r="C157" s="28" t="str">
        <f>Sites[[#This Row],[SOL'#]]</f>
        <v>SOL-10992</v>
      </c>
      <c r="D157" s="10">
        <f>SUM(Apr!D157, May!D157, Jun!D157)</f>
        <v>429624</v>
      </c>
      <c r="E157" s="15">
        <f>SUM(Apr!E157, May!E157, Jun!E157)</f>
        <v>0</v>
      </c>
      <c r="F157" s="15">
        <f t="shared" si="14"/>
        <v>429624</v>
      </c>
      <c r="G157" s="16" t="str">
        <f t="shared" si="15"/>
        <v/>
      </c>
      <c r="H157" s="17">
        <f>SUM(Apr!H157, May!H157, Jun!H157)</f>
        <v>0</v>
      </c>
      <c r="I157" s="17">
        <f>SUM(Apr!I157, May!I157, Jun!I157)</f>
        <v>429624</v>
      </c>
      <c r="J157" s="16" t="str">
        <f t="shared" si="16"/>
        <v/>
      </c>
      <c r="K157" s="39"/>
      <c r="L157" s="40"/>
    </row>
    <row r="158" spans="1:12" ht="15.75">
      <c r="A158" s="25" t="str">
        <v>Costanza</v>
      </c>
      <c r="B158" s="26" t="str">
        <v>NY</v>
      </c>
      <c r="C158" s="26" t="str">
        <f>Sites[[#This Row],[SOL'#]]</f>
        <v>SOL-10907</v>
      </c>
      <c r="D158" s="67">
        <f>SUM(Apr!D158, May!D158, Jun!D158)</f>
        <v>17824</v>
      </c>
      <c r="E158" s="11">
        <f>SUM(Apr!E158, May!E158, Jun!E158)</f>
        <v>0</v>
      </c>
      <c r="F158" s="11">
        <f t="shared" si="14"/>
        <v>17824</v>
      </c>
      <c r="G158" s="68" t="str">
        <f t="shared" si="15"/>
        <v/>
      </c>
      <c r="H158" s="13">
        <f>SUM(Apr!H158, May!H158, Jun!H158)</f>
        <v>0</v>
      </c>
      <c r="I158" s="13">
        <f>SUM(Apr!I158, May!I158, Jun!I158)</f>
        <v>17824</v>
      </c>
      <c r="J158" s="14" t="str">
        <f t="shared" si="16"/>
        <v/>
      </c>
      <c r="K158" s="38"/>
      <c r="L158" s="38"/>
    </row>
    <row r="159" spans="1:12" ht="15.75">
      <c r="A159" s="27" t="str">
        <v>Lockenhurst Pond</v>
      </c>
      <c r="B159" s="28" t="str">
        <v>NY</v>
      </c>
      <c r="C159" s="28" t="str">
        <f>Sites[[#This Row],[SOL'#]]</f>
        <v>SOL-11000</v>
      </c>
      <c r="D159" s="10">
        <f>SUM(Apr!D159, May!D159, Jun!D159)</f>
        <v>523420.72888888902</v>
      </c>
      <c r="E159" s="15">
        <f>SUM(Apr!E159, May!E159, Jun!E159)</f>
        <v>553634.1</v>
      </c>
      <c r="F159" s="15">
        <f t="shared" si="14"/>
        <v>-30213.371111110959</v>
      </c>
      <c r="G159" s="16">
        <f t="shared" si="15"/>
        <v>-5.4572814628128866E-2</v>
      </c>
      <c r="H159" s="17">
        <f>SUM(Apr!H159, May!H159, Jun!H159)</f>
        <v>491101</v>
      </c>
      <c r="I159" s="17">
        <f>SUM(Apr!I159, May!I159, Jun!I159)</f>
        <v>32319.728888889018</v>
      </c>
      <c r="J159" s="16">
        <f t="shared" si="16"/>
        <v>6.5810757642295617E-2</v>
      </c>
      <c r="K159" s="39"/>
      <c r="L159" s="40"/>
    </row>
    <row r="160" spans="1:12" ht="15.75">
      <c r="A160" s="25" t="str">
        <v>Drinkwater</v>
      </c>
      <c r="B160" s="26" t="str">
        <v>NY</v>
      </c>
      <c r="C160" s="26" t="str">
        <f>Sites[[#This Row],[SOL'#]]</f>
        <v>SOL-10896</v>
      </c>
      <c r="D160" s="67">
        <f>SUM(Apr!D160, May!D160, Jun!D160)</f>
        <v>410647</v>
      </c>
      <c r="E160" s="11">
        <f>SUM(Apr!E160, May!E160, Jun!E160)</f>
        <v>0</v>
      </c>
      <c r="F160" s="11">
        <f t="shared" si="14"/>
        <v>410647</v>
      </c>
      <c r="G160" s="68" t="str">
        <f t="shared" si="15"/>
        <v/>
      </c>
      <c r="H160" s="13">
        <f>SUM(Apr!H160, May!H160, Jun!H160)</f>
        <v>0</v>
      </c>
      <c r="I160" s="13">
        <f>SUM(Apr!I160, May!I160, Jun!I160)</f>
        <v>410647</v>
      </c>
      <c r="J160" s="14" t="str">
        <f t="shared" si="16"/>
        <v/>
      </c>
      <c r="K160" s="38"/>
      <c r="L160" s="38"/>
    </row>
    <row r="161" spans="1:12" ht="15.75">
      <c r="A161" s="27" t="str">
        <v>Altamont</v>
      </c>
      <c r="B161" s="28" t="str">
        <v>NY</v>
      </c>
      <c r="C161" s="28" t="s">
        <v>11</v>
      </c>
      <c r="D161" s="10">
        <f>SUM(Apr!D161, May!D161, Jun!D161)</f>
        <v>0</v>
      </c>
      <c r="E161" s="15">
        <f>SUM(Apr!E161, May!E161, Jun!E161)</f>
        <v>0</v>
      </c>
      <c r="F161" s="15">
        <f t="shared" ref="F161" si="17">IF(AND(ISNUMBER(D161),ISNUMBER(E161)), D161-E161, "")</f>
        <v>0</v>
      </c>
      <c r="G161" s="16" t="str">
        <f t="shared" ref="G161" si="18">IFERROR(F161/E161, "")</f>
        <v/>
      </c>
      <c r="H161" s="17">
        <f>SUM(Apr!H161, May!H161, Jun!H161)</f>
        <v>0</v>
      </c>
      <c r="I161" s="17">
        <f>SUM(Apr!I161, May!I161, Jun!I161)</f>
        <v>0</v>
      </c>
      <c r="J161" s="16" t="str">
        <f t="shared" ref="J161" si="19">IFERROR(I161/H161, "")</f>
        <v/>
      </c>
      <c r="K161" s="39"/>
      <c r="L161" s="40"/>
    </row>
    <row r="162" spans="1:12" ht="13.15">
      <c r="A162" s="18"/>
      <c r="B162" s="18"/>
      <c r="C162" s="18"/>
      <c r="D162" s="18"/>
      <c r="E162" s="18"/>
      <c r="F162" s="18"/>
      <c r="G162" s="19"/>
      <c r="H162" s="18"/>
      <c r="I162" s="18"/>
      <c r="J162" s="19"/>
    </row>
    <row r="163" spans="1:12" ht="13.15">
      <c r="A163" s="18"/>
      <c r="B163" s="18"/>
      <c r="C163" s="18"/>
      <c r="D163" s="18"/>
      <c r="E163" s="18"/>
      <c r="F163" s="18"/>
      <c r="G163" s="19"/>
      <c r="H163" s="18"/>
      <c r="I163" s="18"/>
      <c r="J163" s="19"/>
    </row>
    <row r="164" spans="1:12" ht="13.15">
      <c r="A164" s="18"/>
      <c r="B164" s="18"/>
      <c r="C164" s="18"/>
      <c r="D164" s="18"/>
      <c r="E164" s="18"/>
      <c r="F164" s="18"/>
      <c r="G164" s="19"/>
      <c r="H164" s="18"/>
      <c r="I164" s="18"/>
      <c r="J164" s="19"/>
    </row>
    <row r="165" spans="1:12" ht="13.15">
      <c r="A165" s="18"/>
      <c r="B165" s="18"/>
      <c r="C165" s="18"/>
      <c r="D165" s="18"/>
      <c r="E165" s="18"/>
      <c r="F165" s="18"/>
      <c r="G165" s="19"/>
      <c r="H165" s="18"/>
      <c r="I165" s="18"/>
      <c r="J165" s="19"/>
    </row>
    <row r="166" spans="1:12" ht="13.15">
      <c r="A166" s="18"/>
      <c r="B166" s="18"/>
      <c r="C166" s="18"/>
      <c r="D166" s="18"/>
      <c r="E166" s="18"/>
      <c r="F166" s="18"/>
      <c r="G166" s="19"/>
      <c r="H166" s="18"/>
      <c r="I166" s="18"/>
      <c r="J166" s="19"/>
    </row>
    <row r="167" spans="1:12" ht="13.15">
      <c r="A167" s="18"/>
      <c r="B167" s="18"/>
      <c r="C167" s="18"/>
      <c r="D167" s="18"/>
      <c r="E167" s="18"/>
      <c r="F167" s="18"/>
      <c r="G167" s="19"/>
      <c r="H167" s="18"/>
      <c r="I167" s="18"/>
      <c r="J167" s="19"/>
    </row>
    <row r="168" spans="1:12" ht="13.15">
      <c r="A168" s="18"/>
      <c r="B168" s="18"/>
      <c r="C168" s="18"/>
      <c r="D168" s="18"/>
      <c r="E168" s="18"/>
      <c r="F168" s="18"/>
      <c r="G168" s="19"/>
      <c r="H168" s="18"/>
      <c r="I168" s="18"/>
      <c r="J168" s="19"/>
    </row>
    <row r="169" spans="1:12" ht="13.15">
      <c r="A169" s="18"/>
      <c r="B169" s="18"/>
      <c r="C169" s="18"/>
      <c r="D169" s="18"/>
      <c r="E169" s="18"/>
      <c r="F169" s="18"/>
      <c r="G169" s="19"/>
      <c r="H169" s="18"/>
      <c r="I169" s="18"/>
      <c r="J169" s="19"/>
    </row>
    <row r="170" spans="1:12" ht="13.15">
      <c r="A170" s="18"/>
      <c r="B170" s="18"/>
      <c r="C170" s="18"/>
      <c r="D170" s="18"/>
      <c r="E170" s="18"/>
      <c r="F170" s="18"/>
      <c r="G170" s="19"/>
      <c r="H170" s="18"/>
      <c r="I170" s="18"/>
      <c r="J170" s="19"/>
    </row>
    <row r="171" spans="1:12" ht="13.15">
      <c r="A171" s="18"/>
      <c r="B171" s="18"/>
      <c r="C171" s="18"/>
      <c r="D171" s="18"/>
      <c r="E171" s="18"/>
      <c r="F171" s="18"/>
      <c r="G171" s="19"/>
      <c r="H171" s="18"/>
      <c r="I171" s="18"/>
      <c r="J171" s="19"/>
    </row>
    <row r="172" spans="1:12" ht="13.15">
      <c r="A172" s="18"/>
      <c r="B172" s="18"/>
      <c r="C172" s="18"/>
      <c r="D172" s="18"/>
      <c r="E172" s="18"/>
      <c r="F172" s="18"/>
      <c r="G172" s="19"/>
      <c r="H172" s="18"/>
      <c r="I172" s="18"/>
      <c r="J172" s="19"/>
    </row>
    <row r="173" spans="1:12" ht="13.15">
      <c r="A173" s="18"/>
      <c r="B173" s="18"/>
      <c r="C173" s="18"/>
      <c r="D173" s="18"/>
      <c r="E173" s="18"/>
      <c r="F173" s="18"/>
      <c r="G173" s="19"/>
      <c r="H173" s="18"/>
      <c r="I173" s="18"/>
      <c r="J173" s="19"/>
    </row>
    <row r="174" spans="1:12" ht="13.15">
      <c r="A174" s="18"/>
      <c r="B174" s="18"/>
      <c r="C174" s="18"/>
      <c r="D174" s="18"/>
      <c r="E174" s="18"/>
      <c r="F174" s="18"/>
      <c r="G174" s="19"/>
      <c r="H174" s="18"/>
      <c r="I174" s="18"/>
      <c r="J174" s="19"/>
    </row>
    <row r="175" spans="1:12" ht="13.15">
      <c r="A175" s="18"/>
      <c r="B175" s="18"/>
      <c r="C175" s="18"/>
      <c r="D175" s="18"/>
      <c r="E175" s="18"/>
      <c r="F175" s="18"/>
      <c r="G175" s="19"/>
      <c r="H175" s="18"/>
      <c r="I175" s="18"/>
      <c r="J175" s="19"/>
    </row>
    <row r="176" spans="1:12"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66" priority="3" stopIfTrue="1" operator="lessThanOrEqual">
      <formula>-0.1</formula>
    </cfRule>
    <cfRule type="expression" dxfId="65" priority="4">
      <formula>AND(ISNUMBER(G2), G2&gt;=0.1)</formula>
    </cfRule>
  </conditionalFormatting>
  <conditionalFormatting sqref="G4:G161 J4:J161">
    <cfRule type="cellIs" dxfId="64" priority="1" stopIfTrue="1" operator="lessThanOrEqual">
      <formula>-0.1</formula>
    </cfRule>
    <cfRule type="expression" dxfId="63"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L342"/>
  <sheetViews>
    <sheetView workbookViewId="0">
      <pane xSplit="2" ySplit="3" topLeftCell="C4" activePane="bottomRight" state="frozen"/>
      <selection pane="bottomRight" activeCell="F8" sqref="F8"/>
      <selection pane="bottomLeft" activeCell="C2" sqref="C1:C1048576"/>
      <selection pane="topRight" activeCell="C2" sqref="C1:C1048576"/>
    </sheetView>
  </sheetViews>
  <sheetFormatPr defaultRowHeight="12.7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23" t="str" cm="1">
        <f t="array" ref="A1">portfolio</f>
        <v>Generate Capital</v>
      </c>
      <c r="B1" s="123"/>
      <c r="C1" s="123"/>
      <c r="D1" s="123"/>
      <c r="E1" s="124" t="s">
        <v>16</v>
      </c>
      <c r="F1" s="124"/>
      <c r="G1" s="124"/>
      <c r="H1" s="122" t="s">
        <v>17</v>
      </c>
      <c r="I1" s="122"/>
      <c r="J1" s="122"/>
    </row>
    <row r="2" spans="1:12" ht="19.5" customHeight="1">
      <c r="A2" s="125" t="s">
        <v>2</v>
      </c>
      <c r="B2" s="125"/>
      <c r="C2" s="72"/>
      <c r="D2" s="6">
        <f>SUM(D4:D200)</f>
        <v>117404887.82670769</v>
      </c>
      <c r="E2" s="6">
        <f>SUM(E4:E100)</f>
        <v>21394516.851999998</v>
      </c>
      <c r="F2" s="6">
        <f>D2-E2</f>
        <v>96010370.974707693</v>
      </c>
      <c r="G2" s="7">
        <f>IFERROR(F2/E2, 0)</f>
        <v>4.4876157586953163</v>
      </c>
      <c r="H2" s="6">
        <f>SUM(H4:H200)</f>
        <v>136558097.49500003</v>
      </c>
      <c r="I2" s="8">
        <f>D2-H2</f>
        <v>-19153209.668292344</v>
      </c>
      <c r="J2" s="7">
        <f>IFERROR(I2/H2, 0)</f>
        <v>-0.14025685784758113</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1">Sites[Site]</f>
        <v>Farmer</v>
      </c>
      <c r="B4" s="26" t="str" cm="1">
        <f t="array" ref="B4:B161">Sites[State]</f>
        <v>AZ</v>
      </c>
      <c r="C4" s="26" t="str">
        <f>Sites[[#This Row],[SOL'#]]</f>
        <v>SOL-10748</v>
      </c>
      <c r="D4" s="21">
        <f>SUM(Jul!D4, Aug!D4, Sep!D4)</f>
        <v>41094.5308870968</v>
      </c>
      <c r="E4" s="11">
        <f>SUM(Jul!E4, Aug!E4, Sep!E4)</f>
        <v>24870.465</v>
      </c>
      <c r="F4" s="11">
        <f>IF(AND(ISNUMBER(D4),ISNUMBER(E4)), D4-E4, "")</f>
        <v>16224.0658870968</v>
      </c>
      <c r="G4" s="12">
        <f>IFERROR(F4/E4, "")</f>
        <v>0.65234268386605554</v>
      </c>
      <c r="H4" s="13">
        <f>SUM(Jul!H4,Aug!H4,Sep!H4)</f>
        <v>40860</v>
      </c>
      <c r="I4" s="13">
        <f>SUM(Jul!I4, Aug!I4, Sep!I4)</f>
        <v>234.53088709680014</v>
      </c>
      <c r="J4" s="14">
        <f>IFERROR(I4/H4, "")</f>
        <v>5.7398650782378886E-3</v>
      </c>
      <c r="K4" s="38"/>
      <c r="L4" s="38"/>
    </row>
    <row r="5" spans="1:12" ht="15.75">
      <c r="A5" s="27" t="str">
        <v>Fulton</v>
      </c>
      <c r="B5" s="28" t="str">
        <v>AZ</v>
      </c>
      <c r="C5" s="28" t="str">
        <f>Sites[[#This Row],[SOL'#]]</f>
        <v>SOL-10749</v>
      </c>
      <c r="D5" s="10">
        <f>SUM(Jul!D5, Aug!D5, Sep!D5)</f>
        <v>159935.75</v>
      </c>
      <c r="E5" s="15">
        <f>SUM(Jul!E5, Aug!E5, Sep!E5)</f>
        <v>164812.25</v>
      </c>
      <c r="F5" s="15">
        <f t="shared" ref="F5:F15" si="0">IF(AND(ISNUMBER(D5),ISNUMBER(E5)), D5-E5, "")</f>
        <v>-4876.5</v>
      </c>
      <c r="G5" s="16">
        <f>IFERROR(F5/E5, "")</f>
        <v>-2.95882132547793E-2</v>
      </c>
      <c r="H5" s="17">
        <f>SUM(Jul!H5,Aug!H5,Sep!H5)</f>
        <v>204092</v>
      </c>
      <c r="I5" s="17">
        <f>SUM(Jul!I5, Aug!I5, Sep!I5)</f>
        <v>-44156.25</v>
      </c>
      <c r="J5" s="16">
        <f>IFERROR(I5/H5, "")</f>
        <v>-0.21635463418458342</v>
      </c>
      <c r="K5" s="39"/>
      <c r="L5" s="39"/>
    </row>
    <row r="6" spans="1:12" ht="15.75">
      <c r="A6" s="25" t="str">
        <v>JFK Elementary</v>
      </c>
      <c r="B6" s="26" t="str">
        <v>AZ</v>
      </c>
      <c r="C6" s="26" t="str">
        <f>Sites[[#This Row],[SOL'#]]</f>
        <v>SOL-10758</v>
      </c>
      <c r="D6" s="21">
        <f>SUM(Jul!D6, Aug!D6, Sep!D6)</f>
        <v>62748.363887174302</v>
      </c>
      <c r="E6" s="11">
        <f>SUM(Jul!E6, Aug!E6, Sep!E6)</f>
        <v>0</v>
      </c>
      <c r="F6" s="11">
        <f t="shared" si="0"/>
        <v>62748.363887174302</v>
      </c>
      <c r="G6" s="12" t="str">
        <f t="shared" ref="G6:G15" si="1">IFERROR(F6/E6, "")</f>
        <v/>
      </c>
      <c r="H6" s="13">
        <f>SUM(Jul!H6,Aug!H6,Sep!H6)</f>
        <v>56143</v>
      </c>
      <c r="I6" s="13">
        <f>SUM(Jul!I6, Aug!I6, Sep!I6)</f>
        <v>6605.3638871742987</v>
      </c>
      <c r="J6" s="14">
        <f t="shared" ref="J6:J15" si="2">IFERROR(I6/H6, "")</f>
        <v>0.11765249251330172</v>
      </c>
      <c r="K6" s="38"/>
      <c r="L6" s="38"/>
    </row>
    <row r="7" spans="1:12" ht="15.75">
      <c r="A7" s="27" t="str">
        <v>Noble</v>
      </c>
      <c r="B7" s="28" t="str">
        <v>AZ</v>
      </c>
      <c r="C7" s="28" t="str">
        <f>Sites[[#This Row],[SOL'#]]</f>
        <v>SOL-10750</v>
      </c>
      <c r="D7" s="10">
        <f>SUM(Jul!D7, Aug!D7, Sep!D7)</f>
        <v>28010.717793375799</v>
      </c>
      <c r="E7" s="15">
        <f>SUM(Jul!E7, Aug!E7, Sep!E7)</f>
        <v>42057.68</v>
      </c>
      <c r="F7" s="15">
        <f t="shared" si="0"/>
        <v>-14046.962206624201</v>
      </c>
      <c r="G7" s="16">
        <f t="shared" si="1"/>
        <v>-0.33399279766796935</v>
      </c>
      <c r="H7" s="17">
        <f>SUM(Jul!H7,Aug!H7,Sep!H7)</f>
        <v>46979</v>
      </c>
      <c r="I7" s="17">
        <f>SUM(Jul!I7, Aug!I7, Sep!I7)</f>
        <v>-18968.282206624201</v>
      </c>
      <c r="J7" s="16">
        <f t="shared" si="2"/>
        <v>-0.40376087627714941</v>
      </c>
      <c r="K7" s="39"/>
      <c r="L7" s="40"/>
    </row>
    <row r="8" spans="1:12" ht="15.75">
      <c r="A8" s="25" t="str">
        <v>Parking 3</v>
      </c>
      <c r="B8" s="26" t="str">
        <v>AZ</v>
      </c>
      <c r="C8" s="26" t="str">
        <f>Sites[[#This Row],[SOL'#]]</f>
        <v>SOL-10751</v>
      </c>
      <c r="D8" s="21">
        <f>SUM(Jul!D8, Aug!D8, Sep!D8)</f>
        <v>75719.0465061422</v>
      </c>
      <c r="E8" s="11">
        <f>SUM(Jul!E8, Aug!E8, Sep!E8)</f>
        <v>95718.74</v>
      </c>
      <c r="F8" s="11">
        <f t="shared" si="0"/>
        <v>-19999.693493857805</v>
      </c>
      <c r="G8" s="12">
        <f t="shared" si="1"/>
        <v>-0.20894229796440911</v>
      </c>
      <c r="H8" s="13">
        <f>SUM(Jul!H8,Aug!H8,Sep!H8)</f>
        <v>100028</v>
      </c>
      <c r="I8" s="13">
        <f>SUM(Jul!I8, Aug!I8, Sep!I8)</f>
        <v>-24308.9534938578</v>
      </c>
      <c r="J8" s="14">
        <f t="shared" si="2"/>
        <v>-0.24302148892167993</v>
      </c>
      <c r="K8" s="38"/>
      <c r="L8" s="38"/>
    </row>
    <row r="9" spans="1:12" ht="15.75">
      <c r="A9" s="27" t="str">
        <v>PE East</v>
      </c>
      <c r="B9" s="28" t="str">
        <v>AZ</v>
      </c>
      <c r="C9" s="28" t="str">
        <f>Sites[[#This Row],[SOL'#]]</f>
        <v>SOL-10752</v>
      </c>
      <c r="D9" s="10">
        <f>SUM(Jul!D9, Aug!D9, Sep!D9)</f>
        <v>89282.919709549096</v>
      </c>
      <c r="E9" s="15">
        <f>SUM(Jul!E9, Aug!E9, Sep!E9)</f>
        <v>43654.2</v>
      </c>
      <c r="F9" s="15">
        <f t="shared" si="0"/>
        <v>45628.719709549099</v>
      </c>
      <c r="G9" s="16">
        <f t="shared" si="1"/>
        <v>1.0452309218711855</v>
      </c>
      <c r="H9" s="17">
        <f>SUM(Jul!H9,Aug!H9,Sep!H9)</f>
        <v>94690</v>
      </c>
      <c r="I9" s="17">
        <f>SUM(Jul!I9, Aug!I9, Sep!I9)</f>
        <v>-5407.0802904509001</v>
      </c>
      <c r="J9" s="16">
        <f t="shared" si="2"/>
        <v>-5.7102970645801034E-2</v>
      </c>
      <c r="K9" s="39"/>
      <c r="L9" s="40"/>
    </row>
    <row r="10" spans="1:12" ht="15.75">
      <c r="A10" s="25" t="str">
        <v>Schwada</v>
      </c>
      <c r="B10" s="26" t="str">
        <v>AZ</v>
      </c>
      <c r="C10" s="26" t="str">
        <f>Sites[[#This Row],[SOL'#]]</f>
        <v>SOL-10753</v>
      </c>
      <c r="D10" s="21">
        <f>SUM(Jul!D10, Aug!D10, Sep!D10)</f>
        <v>40493.810362416101</v>
      </c>
      <c r="E10" s="11">
        <f>SUM(Jul!E10, Aug!E10, Sep!E10)</f>
        <v>17972.845999999998</v>
      </c>
      <c r="F10" s="11">
        <f t="shared" si="0"/>
        <v>22520.964362416104</v>
      </c>
      <c r="G10" s="12">
        <f t="shared" si="1"/>
        <v>1.2530549898672756</v>
      </c>
      <c r="H10" s="13">
        <f>SUM(Jul!H10,Aug!H10,Sep!H10)</f>
        <v>40256</v>
      </c>
      <c r="I10" s="13">
        <f>SUM(Jul!I10, Aug!I10, Sep!I10)</f>
        <v>237.81036241609945</v>
      </c>
      <c r="J10" s="14">
        <f t="shared" si="2"/>
        <v>5.9074513716240919E-3</v>
      </c>
      <c r="K10" s="38"/>
      <c r="L10" s="38"/>
    </row>
    <row r="11" spans="1:12" ht="15.75">
      <c r="A11" s="27" t="str">
        <v>Starshine</v>
      </c>
      <c r="B11" s="28" t="str">
        <v>AZ</v>
      </c>
      <c r="C11" s="28" t="str">
        <f>Sites[[#This Row],[SOL'#]]</f>
        <v>SOL-10757</v>
      </c>
      <c r="D11" s="10">
        <f>SUM(Jul!D11, Aug!D11, Sep!D11)</f>
        <v>27372.095496631868</v>
      </c>
      <c r="E11" s="15">
        <f>SUM(Jul!E11, Aug!E11, Sep!E11)</f>
        <v>0</v>
      </c>
      <c r="F11" s="15">
        <f t="shared" si="0"/>
        <v>27372.095496631868</v>
      </c>
      <c r="G11" s="16" t="str">
        <f t="shared" si="1"/>
        <v/>
      </c>
      <c r="H11" s="17">
        <f>SUM(Jul!H11,Aug!H11,Sep!H11)</f>
        <v>30120</v>
      </c>
      <c r="I11" s="17">
        <f>SUM(Jul!I11, Aug!I11, Sep!I11)</f>
        <v>-2747.9045033681305</v>
      </c>
      <c r="J11" s="16">
        <f t="shared" si="2"/>
        <v>-9.1231889222049486E-2</v>
      </c>
      <c r="K11" s="39"/>
      <c r="L11" s="40"/>
    </row>
    <row r="12" spans="1:12" ht="15.75">
      <c r="A12" s="25" t="str">
        <v>Yuma Airport</v>
      </c>
      <c r="B12" s="26" t="str">
        <v>AZ</v>
      </c>
      <c r="C12" s="26" t="str">
        <f>Sites[[#This Row],[SOL'#]]</f>
        <v>SOL-10754</v>
      </c>
      <c r="D12" s="21">
        <f>SUM(Jul!D12, Aug!D12, Sep!D12)</f>
        <v>235675</v>
      </c>
      <c r="E12" s="11">
        <f>SUM(Jul!E12, Aug!E12, Sep!E12)</f>
        <v>273384.65000000002</v>
      </c>
      <c r="F12" s="11">
        <f t="shared" si="0"/>
        <v>-37709.650000000023</v>
      </c>
      <c r="G12" s="12">
        <f t="shared" si="1"/>
        <v>-0.13793623745883327</v>
      </c>
      <c r="H12" s="13">
        <f>SUM(Jul!H12,Aug!H12,Sep!H12)</f>
        <v>230676</v>
      </c>
      <c r="I12" s="13">
        <f>SUM(Jul!I12, Aug!I12, Sep!I12)</f>
        <v>4999</v>
      </c>
      <c r="J12" s="14">
        <f t="shared" si="2"/>
        <v>2.1671088453068373E-2</v>
      </c>
      <c r="K12" s="38"/>
      <c r="L12" s="38"/>
    </row>
    <row r="13" spans="1:12" ht="15.75">
      <c r="A13" s="27" t="str">
        <v>Kinsman</v>
      </c>
      <c r="B13" s="28" t="str">
        <v>OH</v>
      </c>
      <c r="C13" s="28" t="str">
        <f>Sites[[#This Row],[SOL'#]]</f>
        <v>SOL-10762</v>
      </c>
      <c r="D13" s="10">
        <f>SUM(Jul!D13, Aug!D13, Sep!D13)</f>
        <v>265232.96875</v>
      </c>
      <c r="E13" s="15">
        <f>SUM(Jul!E13, Aug!E13, Sep!E13)</f>
        <v>383035.2</v>
      </c>
      <c r="F13" s="15">
        <f t="shared" si="0"/>
        <v>-117802.23125000001</v>
      </c>
      <c r="G13" s="16">
        <f t="shared" si="1"/>
        <v>-0.30754936165135738</v>
      </c>
      <c r="H13" s="17">
        <f>SUM(Jul!H13,Aug!H13,Sep!H13)</f>
        <v>374505</v>
      </c>
      <c r="I13" s="17">
        <f>SUM(Jul!I13, Aug!I13, Sep!I13)</f>
        <v>-109272.03125</v>
      </c>
      <c r="J13" s="16">
        <f t="shared" si="2"/>
        <v>-0.2917772292759776</v>
      </c>
      <c r="K13" s="39"/>
      <c r="L13" s="40"/>
    </row>
    <row r="14" spans="1:12" ht="15.75">
      <c r="A14" s="25" t="str">
        <v>Wooster</v>
      </c>
      <c r="B14" s="26" t="str">
        <v>OH</v>
      </c>
      <c r="C14" s="26" t="str">
        <f>Sites[[#This Row],[SOL'#]]</f>
        <v>SOL-10763</v>
      </c>
      <c r="D14" s="21">
        <f>SUM(Jul!D14, Aug!D14, Sep!D14)</f>
        <v>60024.25</v>
      </c>
      <c r="E14" s="11">
        <f>SUM(Jul!E14, Aug!E14, Sep!E14)</f>
        <v>0</v>
      </c>
      <c r="F14" s="11">
        <f t="shared" si="0"/>
        <v>60024.25</v>
      </c>
      <c r="G14" s="12" t="str">
        <f t="shared" si="1"/>
        <v/>
      </c>
      <c r="H14" s="13">
        <f>SUM(Jul!H14,Aug!H14,Sep!H14)</f>
        <v>87418</v>
      </c>
      <c r="I14" s="13">
        <f>SUM(Jul!I14, Aug!I14, Sep!I14)</f>
        <v>-27393.75</v>
      </c>
      <c r="J14" s="14">
        <f t="shared" si="2"/>
        <v>-0.31336509643322885</v>
      </c>
      <c r="K14" s="38"/>
      <c r="L14" s="38"/>
    </row>
    <row r="15" spans="1:12" ht="15.75">
      <c r="A15" s="27" t="str">
        <v>Globe Gila CC</v>
      </c>
      <c r="B15" s="28" t="str">
        <v>AZ</v>
      </c>
      <c r="C15" s="28" t="str">
        <f>Sites[[#This Row],[SOL'#]]</f>
        <v>SOL-10755</v>
      </c>
      <c r="D15" s="10">
        <f>SUM(Jul!D15, Aug!D15, Sep!D15)</f>
        <v>48063.661677803801</v>
      </c>
      <c r="E15" s="15">
        <f>SUM(Jul!E15, Aug!E15, Sep!E15)</f>
        <v>0</v>
      </c>
      <c r="F15" s="15">
        <f t="shared" si="0"/>
        <v>48063.661677803801</v>
      </c>
      <c r="G15" s="16" t="str">
        <f t="shared" si="1"/>
        <v/>
      </c>
      <c r="H15" s="17">
        <f>SUM(Jul!H15,Aug!H15,Sep!H15)</f>
        <v>51592</v>
      </c>
      <c r="I15" s="17">
        <f>SUM(Jul!I15, Aug!I15, Sep!I15)</f>
        <v>-3528.3383221961994</v>
      </c>
      <c r="J15" s="16">
        <f t="shared" si="2"/>
        <v>-6.8389252639870515E-2</v>
      </c>
      <c r="K15" s="39"/>
      <c r="L15" s="40"/>
    </row>
    <row r="16" spans="1:12" ht="15.75">
      <c r="A16" s="25" t="str">
        <v>Payson Gila CC</v>
      </c>
      <c r="B16" s="26" t="str">
        <v>AZ</v>
      </c>
      <c r="C16" s="26" t="str">
        <f>Sites[[#This Row],[SOL'#]]</f>
        <v>SOL-10756</v>
      </c>
      <c r="D16" s="21">
        <f>SUM(Jul!D16, Aug!D16, Sep!D16)</f>
        <v>22466.177329872502</v>
      </c>
      <c r="E16" s="11">
        <f>SUM(Jul!E16, Aug!E16, Sep!E16)</f>
        <v>10932.8</v>
      </c>
      <c r="F16" s="11">
        <f t="shared" ref="F16" si="3">IF(AND(ISNUMBER(D16),ISNUMBER(E16)), D16-E16, "")</f>
        <v>11533.377329872503</v>
      </c>
      <c r="G16" s="12">
        <f t="shared" ref="G16" si="4">IFERROR(F16/E16, "")</f>
        <v>1.0549335330265353</v>
      </c>
      <c r="H16" s="13">
        <f>SUM(Jul!H16,Aug!H16,Sep!H16)</f>
        <v>41733</v>
      </c>
      <c r="I16" s="13">
        <f>SUM(Jul!I16, Aug!I16, Sep!I16)</f>
        <v>-19266.822670127498</v>
      </c>
      <c r="J16" s="14">
        <f t="shared" ref="J16" si="5">IFERROR(I16/H16, "")</f>
        <v>-0.46166876740535062</v>
      </c>
      <c r="K16" s="38"/>
      <c r="L16" s="38"/>
    </row>
    <row r="17" spans="1:12" ht="15.75">
      <c r="A17" s="27" t="str">
        <v>SCNM</v>
      </c>
      <c r="B17" s="28" t="str">
        <v>AZ</v>
      </c>
      <c r="C17" s="28" t="str">
        <f>Sites[[#This Row],[SOL'#]]</f>
        <v>SOL-10760</v>
      </c>
      <c r="D17" s="10">
        <f>SUM(Jul!D17, Aug!D17, Sep!D17)</f>
        <v>234277.75</v>
      </c>
      <c r="E17" s="15">
        <f>SUM(Jul!E17, Aug!E17, Sep!E17)</f>
        <v>79685.03</v>
      </c>
      <c r="F17" s="15">
        <f t="shared" ref="F17:F80" si="6">IF(AND(ISNUMBER(D17),ISNUMBER(E17)), D17-E17, "")</f>
        <v>154592.72</v>
      </c>
      <c r="G17" s="16">
        <f t="shared" ref="G17:G80" si="7">IFERROR(F17/E17, "")</f>
        <v>1.9400472083652349</v>
      </c>
      <c r="H17" s="17">
        <f>SUM(Jul!H17,Aug!H17,Sep!H17)</f>
        <v>256420</v>
      </c>
      <c r="I17" s="17">
        <f>SUM(Jul!I17, Aug!I17, Sep!I17)</f>
        <v>-22142.25</v>
      </c>
      <c r="J17" s="16">
        <f t="shared" ref="J17:J80" si="8">IFERROR(I17/H17, "")</f>
        <v>-8.6351493643241559E-2</v>
      </c>
      <c r="K17" s="39"/>
      <c r="L17" s="40"/>
    </row>
    <row r="18" spans="1:12" ht="12.75" customHeight="1">
      <c r="A18" s="25" t="str">
        <v>Sequoia Charter School</v>
      </c>
      <c r="B18" s="26" t="str">
        <v>AZ</v>
      </c>
      <c r="C18" s="26" t="str">
        <f>Sites[[#This Row],[SOL'#]]</f>
        <v>SOL-10759</v>
      </c>
      <c r="D18" s="21">
        <f>SUM(Jul!D18, Aug!D18, Sep!D18)</f>
        <v>77670.990000000107</v>
      </c>
      <c r="E18" s="11">
        <f>SUM(Jul!E18, Aug!E18, Sep!E18)</f>
        <v>0</v>
      </c>
      <c r="F18" s="11">
        <f t="shared" si="6"/>
        <v>77670.990000000107</v>
      </c>
      <c r="G18" s="12" t="str">
        <f t="shared" si="7"/>
        <v/>
      </c>
      <c r="H18" s="13">
        <f>SUM(Jul!H18,Aug!H18,Sep!H18)</f>
        <v>151430</v>
      </c>
      <c r="I18" s="13">
        <f>SUM(Jul!I18, Aug!I18, Sep!I18)</f>
        <v>-73759.009999999893</v>
      </c>
      <c r="J18" s="14">
        <f t="shared" si="8"/>
        <v>-0.48708320676219963</v>
      </c>
      <c r="K18" s="38"/>
      <c r="L18" s="38"/>
    </row>
    <row r="19" spans="1:12" ht="15.75">
      <c r="A19" s="27" t="str">
        <v>RCAB</v>
      </c>
      <c r="B19" s="28" t="str">
        <v>MA</v>
      </c>
      <c r="C19" s="28" t="str">
        <f>Sites[[#This Row],[SOL'#]]</f>
        <v>SOL-10838</v>
      </c>
      <c r="D19" s="10">
        <f>SUM(Jul!D19, Aug!D19, Sep!D19)</f>
        <v>362517.5</v>
      </c>
      <c r="E19" s="15">
        <f>SUM(Jul!E19, Aug!E19, Sep!E19)</f>
        <v>455972.9</v>
      </c>
      <c r="F19" s="15">
        <f t="shared" si="6"/>
        <v>-93455.400000000023</v>
      </c>
      <c r="G19" s="16">
        <f t="shared" si="7"/>
        <v>-0.20495823326342424</v>
      </c>
      <c r="H19" s="17">
        <f>SUM(Jul!H19,Aug!H19,Sep!H19)</f>
        <v>382263</v>
      </c>
      <c r="I19" s="17">
        <f>SUM(Jul!I19, Aug!I19, Sep!I19)</f>
        <v>-19745.5</v>
      </c>
      <c r="J19" s="16">
        <f t="shared" si="8"/>
        <v>-5.1654227586766181E-2</v>
      </c>
      <c r="K19" s="39"/>
      <c r="L19" s="40"/>
    </row>
    <row r="20" spans="1:12" ht="15.75">
      <c r="A20" s="25" t="str">
        <v>Spectro Coatings</v>
      </c>
      <c r="B20" s="26" t="str">
        <v>MA</v>
      </c>
      <c r="C20" s="26" t="str">
        <f>Sites[[#This Row],[SOL'#]]</f>
        <v>SOL-10074</v>
      </c>
      <c r="D20" s="21">
        <f>SUM(Jul!D20, Aug!D20, Sep!D20)</f>
        <v>87775.75</v>
      </c>
      <c r="E20" s="11">
        <f>SUM(Jul!E20, Aug!E20, Sep!E20)</f>
        <v>104749.73</v>
      </c>
      <c r="F20" s="11">
        <f t="shared" si="6"/>
        <v>-16973.979999999996</v>
      </c>
      <c r="G20" s="12">
        <f t="shared" si="7"/>
        <v>-0.16204318617336766</v>
      </c>
      <c r="H20" s="13">
        <f>SUM(Jul!H20,Aug!H20,Sep!H20)</f>
        <v>106315</v>
      </c>
      <c r="I20" s="13">
        <f>SUM(Jul!I20, Aug!I20, Sep!I20)</f>
        <v>-18539.25</v>
      </c>
      <c r="J20" s="14">
        <f t="shared" si="8"/>
        <v>-0.17438037906222076</v>
      </c>
      <c r="K20" s="38"/>
      <c r="L20" s="38"/>
    </row>
    <row r="21" spans="1:12" ht="15.75">
      <c r="A21" s="27" t="str">
        <v>K026</v>
      </c>
      <c r="B21" s="28" t="str">
        <v>NY</v>
      </c>
      <c r="C21" s="28" t="str">
        <f>Sites[[#This Row],[SOL'#]]</f>
        <v>SOL-10356</v>
      </c>
      <c r="D21" s="10">
        <f>SUM(Jul!D21, Aug!D21, Sep!D21)</f>
        <v>99963.75</v>
      </c>
      <c r="E21" s="15">
        <f>SUM(Jul!E21, Aug!E21, Sep!E21)</f>
        <v>110941.7</v>
      </c>
      <c r="F21" s="15">
        <f t="shared" si="6"/>
        <v>-10977.949999999997</v>
      </c>
      <c r="G21" s="16">
        <f t="shared" si="7"/>
        <v>-9.8952422758980599E-2</v>
      </c>
      <c r="H21" s="17">
        <f>SUM(Jul!H21,Aug!H21,Sep!H21)</f>
        <v>106468</v>
      </c>
      <c r="I21" s="17">
        <f>SUM(Jul!I21, Aug!I21, Sep!I21)</f>
        <v>-6504.25</v>
      </c>
      <c r="J21" s="16">
        <f t="shared" si="8"/>
        <v>-6.109112597212308E-2</v>
      </c>
      <c r="K21" s="39"/>
      <c r="L21" s="40"/>
    </row>
    <row r="22" spans="1:12" ht="15.75">
      <c r="A22" s="25" t="str">
        <v>K041</v>
      </c>
      <c r="B22" s="26" t="str">
        <v>NY</v>
      </c>
      <c r="C22" s="26" t="str">
        <f>Sites[[#This Row],[SOL'#]]</f>
        <v>SOL-10357</v>
      </c>
      <c r="D22" s="21">
        <f>SUM(Jul!D22, Aug!D22, Sep!D22)</f>
        <v>80205.25</v>
      </c>
      <c r="E22" s="11">
        <f>SUM(Jul!E22, Aug!E22, Sep!E22)</f>
        <v>24454.95</v>
      </c>
      <c r="F22" s="11">
        <f t="shared" si="6"/>
        <v>55750.3</v>
      </c>
      <c r="G22" s="12">
        <f t="shared" si="7"/>
        <v>2.2797143318632833</v>
      </c>
      <c r="H22" s="13">
        <f>SUM(Jul!H22,Aug!H22,Sep!H22)</f>
        <v>84997</v>
      </c>
      <c r="I22" s="13">
        <f>SUM(Jul!I22, Aug!I22, Sep!I22)</f>
        <v>-4791.75</v>
      </c>
      <c r="J22" s="14">
        <f t="shared" si="8"/>
        <v>-5.6375519135969505E-2</v>
      </c>
      <c r="K22" s="38"/>
      <c r="L22" s="38"/>
    </row>
    <row r="23" spans="1:12" ht="15.75">
      <c r="A23" s="27" t="str">
        <v>K043</v>
      </c>
      <c r="B23" s="28" t="str">
        <v>NY</v>
      </c>
      <c r="C23" s="28" t="str">
        <f>Sites[[#This Row],[SOL'#]]</f>
        <v>SOL-10358</v>
      </c>
      <c r="D23" s="10">
        <f>SUM(Jul!D23, Aug!D23, Sep!D23)</f>
        <v>98962.875</v>
      </c>
      <c r="E23" s="15">
        <f>SUM(Jul!E23, Aug!E23, Sep!E23)</f>
        <v>99935.58</v>
      </c>
      <c r="F23" s="15">
        <f t="shared" si="6"/>
        <v>-972.70500000000175</v>
      </c>
      <c r="G23" s="16">
        <f t="shared" si="7"/>
        <v>-9.7333202048759983E-3</v>
      </c>
      <c r="H23" s="17">
        <f>SUM(Jul!H23,Aug!H23,Sep!H23)</f>
        <v>18675</v>
      </c>
      <c r="I23" s="17">
        <f>SUM(Jul!I23, Aug!I23, Sep!I23)</f>
        <v>80287.875</v>
      </c>
      <c r="J23" s="16">
        <f t="shared" si="8"/>
        <v>4.2992168674698794</v>
      </c>
      <c r="K23" s="39"/>
      <c r="L23" s="40"/>
    </row>
    <row r="24" spans="1:12" ht="15.75">
      <c r="A24" s="25" t="str">
        <v>K058</v>
      </c>
      <c r="B24" s="26" t="str">
        <v>NY</v>
      </c>
      <c r="C24" s="26" t="str">
        <f>Sites[[#This Row],[SOL'#]]</f>
        <v>SOL-10360</v>
      </c>
      <c r="D24" s="21">
        <f>SUM(Jul!D24, Aug!D24, Sep!D24)</f>
        <v>61065.5625</v>
      </c>
      <c r="E24" s="11">
        <f>SUM(Jul!E24, Aug!E24, Sep!E24)</f>
        <v>71541.490000000005</v>
      </c>
      <c r="F24" s="11">
        <f t="shared" si="6"/>
        <v>-10475.927500000005</v>
      </c>
      <c r="G24" s="12">
        <f t="shared" si="7"/>
        <v>-0.14643149730317337</v>
      </c>
      <c r="H24" s="13">
        <f>SUM(Jul!H24,Aug!H24,Sep!H24)</f>
        <v>79398</v>
      </c>
      <c r="I24" s="13">
        <f>SUM(Jul!I24, Aug!I24, Sep!I24)</f>
        <v>-18332.4375</v>
      </c>
      <c r="J24" s="14">
        <f t="shared" si="8"/>
        <v>-0.23089293810927228</v>
      </c>
      <c r="K24" s="38"/>
      <c r="L24" s="38"/>
    </row>
    <row r="25" spans="1:12" ht="15.75">
      <c r="A25" s="27" t="str">
        <v>K115</v>
      </c>
      <c r="B25" s="28" t="str">
        <v>NY</v>
      </c>
      <c r="C25" s="28" t="str">
        <f>Sites[[#This Row],[SOL'#]]</f>
        <v>SOL-10361</v>
      </c>
      <c r="D25" s="10">
        <f>SUM(Jul!D25, Aug!D25, Sep!D25)</f>
        <v>20964.7421875</v>
      </c>
      <c r="E25" s="15">
        <f>SUM(Jul!E25, Aug!E25, Sep!E25)</f>
        <v>34922.656999999999</v>
      </c>
      <c r="F25" s="15">
        <f t="shared" si="6"/>
        <v>-13957.914812499999</v>
      </c>
      <c r="G25" s="16">
        <f t="shared" si="7"/>
        <v>-0.3996807806605322</v>
      </c>
      <c r="H25" s="17">
        <f>SUM(Jul!H25,Aug!H25,Sep!H25)</f>
        <v>48852</v>
      </c>
      <c r="I25" s="17">
        <f>SUM(Jul!I25, Aug!I25, Sep!I25)</f>
        <v>-27887.2578125</v>
      </c>
      <c r="J25" s="16">
        <f t="shared" si="8"/>
        <v>-0.5708519162470318</v>
      </c>
      <c r="K25" s="39"/>
      <c r="L25" s="40"/>
    </row>
    <row r="26" spans="1:12" ht="15.75">
      <c r="A26" s="25" t="str">
        <v>K152</v>
      </c>
      <c r="B26" s="26" t="str">
        <v>NY</v>
      </c>
      <c r="C26" s="26" t="str">
        <f>Sites[[#This Row],[SOL'#]]</f>
        <v>SOL-10362</v>
      </c>
      <c r="D26" s="21">
        <f>SUM(Jul!D26, Aug!D26, Sep!D26)</f>
        <v>29112.875</v>
      </c>
      <c r="E26" s="11">
        <f>SUM(Jul!E26, Aug!E26, Sep!E26)</f>
        <v>30054.434000000001</v>
      </c>
      <c r="F26" s="11">
        <f t="shared" si="6"/>
        <v>-941.55900000000111</v>
      </c>
      <c r="G26" s="12">
        <f t="shared" si="7"/>
        <v>-3.1328455561665247E-2</v>
      </c>
      <c r="H26" s="13">
        <f>SUM(Jul!H26,Aug!H26,Sep!H26)</f>
        <v>30201</v>
      </c>
      <c r="I26" s="13">
        <f>SUM(Jul!I26, Aug!I26, Sep!I26)</f>
        <v>-1088.125</v>
      </c>
      <c r="J26" s="14">
        <f t="shared" si="8"/>
        <v>-3.6029436111387043E-2</v>
      </c>
      <c r="K26" s="38"/>
      <c r="L26" s="38"/>
    </row>
    <row r="27" spans="1:12" ht="15.75">
      <c r="A27" s="27" t="str">
        <v>K166</v>
      </c>
      <c r="B27" s="28" t="str">
        <v>NY</v>
      </c>
      <c r="C27" s="28" t="str">
        <f>Sites[[#This Row],[SOL'#]]</f>
        <v>SOL-10363</v>
      </c>
      <c r="D27" s="10">
        <f>SUM(Jul!D27, Aug!D27, Sep!D27)</f>
        <v>105364.4375</v>
      </c>
      <c r="E27" s="15">
        <f>SUM(Jul!E27, Aug!E27, Sep!E27)</f>
        <v>114720.9</v>
      </c>
      <c r="F27" s="15">
        <f t="shared" si="6"/>
        <v>-9356.4624999999942</v>
      </c>
      <c r="G27" s="16">
        <f t="shared" si="7"/>
        <v>-8.1558482368949289E-2</v>
      </c>
      <c r="H27" s="17">
        <f>SUM(Jul!H27,Aug!H27,Sep!H27)</f>
        <v>112529</v>
      </c>
      <c r="I27" s="17">
        <f>SUM(Jul!I27, Aug!I27, Sep!I27)</f>
        <v>-7164.5625</v>
      </c>
      <c r="J27" s="16">
        <f t="shared" si="8"/>
        <v>-6.3668587652960573E-2</v>
      </c>
      <c r="K27" s="39"/>
      <c r="L27" s="40"/>
    </row>
    <row r="28" spans="1:12" ht="15.75">
      <c r="A28" s="25" t="str">
        <v>K206</v>
      </c>
      <c r="B28" s="26" t="str">
        <v>NY</v>
      </c>
      <c r="C28" s="26" t="str">
        <f>Sites[[#This Row],[SOL'#]]</f>
        <v>SOL-10927</v>
      </c>
      <c r="D28" s="21">
        <f>SUM(Jul!D28, Aug!D28, Sep!D28)</f>
        <v>12791.813854189901</v>
      </c>
      <c r="E28" s="11">
        <f>SUM(Jul!E28, Aug!E28, Sep!E28)</f>
        <v>8835.3580000000002</v>
      </c>
      <c r="F28" s="11">
        <f t="shared" si="6"/>
        <v>3956.4558541899005</v>
      </c>
      <c r="G28" s="12">
        <f t="shared" si="7"/>
        <v>0.44779802405175889</v>
      </c>
      <c r="H28" s="13">
        <f>SUM(Jul!H28,Aug!H28,Sep!H28)</f>
        <v>41919</v>
      </c>
      <c r="I28" s="13">
        <f>SUM(Jul!I28, Aug!I28, Sep!I28)</f>
        <v>-29127.186145810098</v>
      </c>
      <c r="J28" s="14">
        <f t="shared" si="8"/>
        <v>-0.69484448927240861</v>
      </c>
      <c r="K28" s="38"/>
      <c r="L28" s="38"/>
    </row>
    <row r="29" spans="1:12" ht="15.75">
      <c r="A29" s="27" t="str">
        <v>K251</v>
      </c>
      <c r="B29" s="28" t="str">
        <v>NY</v>
      </c>
      <c r="C29" s="28" t="str">
        <f>Sites[[#This Row],[SOL'#]]</f>
        <v>SOL-10365</v>
      </c>
      <c r="D29" s="10">
        <f>SUM(Jul!D29, Aug!D29, Sep!D29)</f>
        <v>68622.6875</v>
      </c>
      <c r="E29" s="15">
        <f>SUM(Jul!E29, Aug!E29, Sep!E29)</f>
        <v>71027.850000000006</v>
      </c>
      <c r="F29" s="15">
        <f t="shared" si="6"/>
        <v>-2405.1625000000058</v>
      </c>
      <c r="G29" s="16">
        <f t="shared" si="7"/>
        <v>-3.3862245583950602E-2</v>
      </c>
      <c r="H29" s="17">
        <f>SUM(Jul!H29,Aug!H29,Sep!H29)</f>
        <v>71735</v>
      </c>
      <c r="I29" s="17">
        <f>SUM(Jul!I29, Aug!I29, Sep!I29)</f>
        <v>-3112.3125</v>
      </c>
      <c r="J29" s="16">
        <f t="shared" si="8"/>
        <v>-4.3386247996096743E-2</v>
      </c>
      <c r="K29" s="39"/>
      <c r="L29" s="40"/>
    </row>
    <row r="30" spans="1:12" ht="15.75">
      <c r="A30" s="25" t="str">
        <v>K269</v>
      </c>
      <c r="B30" s="26" t="str">
        <v>NY</v>
      </c>
      <c r="C30" s="26" t="str">
        <f>Sites[[#This Row],[SOL'#]]</f>
        <v>SOL-10366</v>
      </c>
      <c r="D30" s="21">
        <f>SUM(Jul!D30, Aug!D30, Sep!D30)</f>
        <v>63124.75</v>
      </c>
      <c r="E30" s="11">
        <f>SUM(Jul!E30, Aug!E30, Sep!E30)</f>
        <v>74124.67</v>
      </c>
      <c r="F30" s="11">
        <f t="shared" si="6"/>
        <v>-10999.919999999998</v>
      </c>
      <c r="G30" s="12">
        <f t="shared" si="7"/>
        <v>-0.14839755779013922</v>
      </c>
      <c r="H30" s="13">
        <f>SUM(Jul!H30,Aug!H30,Sep!H30)</f>
        <v>68326</v>
      </c>
      <c r="I30" s="13">
        <f>SUM(Jul!I30, Aug!I30, Sep!I30)</f>
        <v>-5201.25</v>
      </c>
      <c r="J30" s="14">
        <f t="shared" si="8"/>
        <v>-7.6124023065890001E-2</v>
      </c>
      <c r="K30" s="38"/>
      <c r="L30" s="38"/>
    </row>
    <row r="31" spans="1:12" ht="15.75">
      <c r="A31" s="27" t="str">
        <v>K273</v>
      </c>
      <c r="B31" s="28" t="str">
        <v>NY</v>
      </c>
      <c r="C31" s="28" t="str">
        <f>Sites[[#This Row],[SOL'#]]</f>
        <v>SOL-10367</v>
      </c>
      <c r="D31" s="10">
        <f>SUM(Jul!D31, Aug!D31, Sep!D31)</f>
        <v>70374.5</v>
      </c>
      <c r="E31" s="15">
        <f>SUM(Jul!E31, Aug!E31, Sep!E31)</f>
        <v>0</v>
      </c>
      <c r="F31" s="15">
        <f t="shared" si="6"/>
        <v>70374.5</v>
      </c>
      <c r="G31" s="16" t="str">
        <f t="shared" si="7"/>
        <v/>
      </c>
      <c r="H31" s="17">
        <f>SUM(Jul!H31,Aug!H31,Sep!H31)</f>
        <v>85118</v>
      </c>
      <c r="I31" s="17">
        <f>SUM(Jul!I31, Aug!I31, Sep!I31)</f>
        <v>-14743.5</v>
      </c>
      <c r="J31" s="16">
        <f t="shared" si="8"/>
        <v>-0.17321248149627577</v>
      </c>
      <c r="K31" s="39"/>
      <c r="L31" s="40"/>
    </row>
    <row r="32" spans="1:12" ht="15.75">
      <c r="A32" s="25" t="str">
        <v>K287</v>
      </c>
      <c r="B32" s="26" t="str">
        <v>NY</v>
      </c>
      <c r="C32" s="26" t="str">
        <f>Sites[[#This Row],[SOL'#]]</f>
        <v>SOL-10919</v>
      </c>
      <c r="D32" s="21">
        <f>SUM(Jul!D32, Aug!D32, Sep!D32)</f>
        <v>56364.90625</v>
      </c>
      <c r="E32" s="11">
        <f>SUM(Jul!E32, Aug!E32, Sep!E32)</f>
        <v>48434.13</v>
      </c>
      <c r="F32" s="11">
        <f t="shared" si="6"/>
        <v>7930.7762500000026</v>
      </c>
      <c r="G32" s="12">
        <f t="shared" si="7"/>
        <v>0.16374354716395242</v>
      </c>
      <c r="H32" s="13">
        <f>SUM(Jul!H32,Aug!H32,Sep!H32)</f>
        <v>58118</v>
      </c>
      <c r="I32" s="13">
        <f>SUM(Jul!I32, Aug!I32, Sep!I32)</f>
        <v>-1753.09375</v>
      </c>
      <c r="J32" s="14">
        <f t="shared" si="8"/>
        <v>-3.0164385388347845E-2</v>
      </c>
      <c r="K32" s="38"/>
      <c r="L32" s="38"/>
    </row>
    <row r="33" spans="1:12" ht="15.75">
      <c r="A33" s="27" t="str">
        <v>K298</v>
      </c>
      <c r="B33" s="28" t="str">
        <v>NY</v>
      </c>
      <c r="C33" s="28" t="str">
        <f>Sites[[#This Row],[SOL'#]]</f>
        <v>SOL-10368</v>
      </c>
      <c r="D33" s="10">
        <f>SUM(Jul!D33, Aug!D33, Sep!D33)</f>
        <v>61283.9375</v>
      </c>
      <c r="E33" s="15">
        <f>SUM(Jul!E33, Aug!E33, Sep!E33)</f>
        <v>63754.770000000004</v>
      </c>
      <c r="F33" s="15">
        <f t="shared" si="6"/>
        <v>-2470.8325000000041</v>
      </c>
      <c r="G33" s="16">
        <f t="shared" si="7"/>
        <v>-3.8755257057628847E-2</v>
      </c>
      <c r="H33" s="17">
        <f>SUM(Jul!H33,Aug!H33,Sep!H33)</f>
        <v>66844</v>
      </c>
      <c r="I33" s="17">
        <f>SUM(Jul!I33, Aug!I33, Sep!I33)</f>
        <v>-5560.0625</v>
      </c>
      <c r="J33" s="16">
        <f t="shared" si="8"/>
        <v>-8.317967955239064E-2</v>
      </c>
      <c r="K33" s="39"/>
      <c r="L33" s="40"/>
    </row>
    <row r="34" spans="1:12" ht="15.75">
      <c r="A34" s="25" t="str">
        <v>K335</v>
      </c>
      <c r="B34" s="26" t="str">
        <v>NY</v>
      </c>
      <c r="C34" s="26" t="str">
        <f>Sites[[#This Row],[SOL'#]]</f>
        <v>SOL-10370</v>
      </c>
      <c r="D34" s="21">
        <f>SUM(Jul!D34, Aug!D34, Sep!D34)</f>
        <v>63248.875</v>
      </c>
      <c r="E34" s="11">
        <f>SUM(Jul!E34, Aug!E34, Sep!E34)</f>
        <v>70074.320000000007</v>
      </c>
      <c r="F34" s="11">
        <f t="shared" si="6"/>
        <v>-6825.445000000007</v>
      </c>
      <c r="G34" s="12">
        <f t="shared" si="7"/>
        <v>-9.7402943046753884E-2</v>
      </c>
      <c r="H34" s="13">
        <f>SUM(Jul!H34,Aug!H34,Sep!H34)</f>
        <v>45537</v>
      </c>
      <c r="I34" s="13">
        <f>SUM(Jul!I34, Aug!I34, Sep!I34)</f>
        <v>-6996.125</v>
      </c>
      <c r="J34" s="14">
        <f t="shared" si="8"/>
        <v>-0.15363605419768539</v>
      </c>
      <c r="K34" s="38"/>
      <c r="L34" s="38"/>
    </row>
    <row r="35" spans="1:12" ht="15.75">
      <c r="A35" s="27" t="str">
        <v>K345</v>
      </c>
      <c r="B35" s="28" t="str">
        <v>NY</v>
      </c>
      <c r="C35" s="28" t="str">
        <f>Sites[[#This Row],[SOL'#]]</f>
        <v>SOL-10920</v>
      </c>
      <c r="D35" s="10">
        <f>SUM(Jul!D35, Aug!D35, Sep!D35)</f>
        <v>72027.9375</v>
      </c>
      <c r="E35" s="15">
        <f>SUM(Jul!E35, Aug!E35, Sep!E35)</f>
        <v>42995.72</v>
      </c>
      <c r="F35" s="15">
        <f t="shared" si="6"/>
        <v>29032.217499999999</v>
      </c>
      <c r="G35" s="16">
        <f t="shared" si="7"/>
        <v>0.67523505828021946</v>
      </c>
      <c r="H35" s="17">
        <f>SUM(Jul!H35,Aug!H35,Sep!H35)</f>
        <v>77094</v>
      </c>
      <c r="I35" s="17">
        <f>SUM(Jul!I35, Aug!I35, Sep!I35)</f>
        <v>-5066.0625</v>
      </c>
      <c r="J35" s="16">
        <f t="shared" si="8"/>
        <v>-6.571279866137443E-2</v>
      </c>
      <c r="K35" s="39"/>
      <c r="L35" s="40"/>
    </row>
    <row r="36" spans="1:12" ht="15.75">
      <c r="A36" s="25" t="str">
        <v>K445</v>
      </c>
      <c r="B36" s="26" t="str">
        <v>NY</v>
      </c>
      <c r="C36" s="26" t="str">
        <f>Sites[[#This Row],[SOL'#]]</f>
        <v>SOL-10373</v>
      </c>
      <c r="D36" s="21">
        <f>SUM(Jul!D36, Aug!D36, Sep!D36)</f>
        <v>61666.671875</v>
      </c>
      <c r="E36" s="11">
        <f>SUM(Jul!E36, Aug!E36, Sep!E36)</f>
        <v>66378.959999999992</v>
      </c>
      <c r="F36" s="11">
        <f t="shared" si="6"/>
        <v>-4712.2881249999919</v>
      </c>
      <c r="G36" s="12">
        <f t="shared" si="7"/>
        <v>-7.0990689293715853E-2</v>
      </c>
      <c r="H36" s="13">
        <f>SUM(Jul!H36,Aug!H36,Sep!H36)</f>
        <v>63721</v>
      </c>
      <c r="I36" s="13">
        <f>SUM(Jul!I36, Aug!I36, Sep!I36)</f>
        <v>-2054.328125</v>
      </c>
      <c r="J36" s="14">
        <f t="shared" si="8"/>
        <v>-3.2239420677641593E-2</v>
      </c>
      <c r="K36" s="38"/>
      <c r="L36" s="38"/>
    </row>
    <row r="37" spans="1:12" ht="15.75">
      <c r="A37" s="27" t="str">
        <v>K495</v>
      </c>
      <c r="B37" s="28" t="str">
        <v>NY</v>
      </c>
      <c r="C37" s="28" t="str">
        <f>Sites[[#This Row],[SOL'#]]</f>
        <v>SOL-10374</v>
      </c>
      <c r="D37" s="10">
        <f>SUM(Jul!D37, Aug!D37, Sep!D37)</f>
        <v>166198.125</v>
      </c>
      <c r="E37" s="15">
        <f>SUM(Jul!E37, Aug!E37, Sep!E37)</f>
        <v>57081.41</v>
      </c>
      <c r="F37" s="15">
        <f t="shared" si="6"/>
        <v>109116.715</v>
      </c>
      <c r="G37" s="16">
        <f t="shared" si="7"/>
        <v>1.9115981017287413</v>
      </c>
      <c r="H37" s="17">
        <f>SUM(Jul!H37,Aug!H37,Sep!H37)</f>
        <v>268985</v>
      </c>
      <c r="I37" s="17">
        <f>SUM(Jul!I37, Aug!I37, Sep!I37)</f>
        <v>-102786.875</v>
      </c>
      <c r="J37" s="16">
        <f t="shared" si="8"/>
        <v>-0.38212865029648496</v>
      </c>
      <c r="K37" s="39"/>
      <c r="L37" s="40"/>
    </row>
    <row r="38" spans="1:12" ht="15.75">
      <c r="A38" s="25" t="str">
        <v>M020</v>
      </c>
      <c r="B38" s="26" t="str">
        <v>NY</v>
      </c>
      <c r="C38" s="26" t="str">
        <f>Sites[[#This Row],[SOL'#]]</f>
        <v>SOL-10380</v>
      </c>
      <c r="D38" s="21">
        <f>SUM(Jul!D38, Aug!D38, Sep!D38)</f>
        <v>65186.9375</v>
      </c>
      <c r="E38" s="11">
        <f>SUM(Jul!E38, Aug!E38, Sep!E38)</f>
        <v>68983.38</v>
      </c>
      <c r="F38" s="11">
        <f t="shared" si="6"/>
        <v>-3796.4425000000047</v>
      </c>
      <c r="G38" s="12">
        <f t="shared" si="7"/>
        <v>-5.5034161851738844E-2</v>
      </c>
      <c r="H38" s="13">
        <f>SUM(Jul!H38,Aug!H38,Sep!H38)</f>
        <v>73111</v>
      </c>
      <c r="I38" s="13">
        <f>SUM(Jul!I38, Aug!I38, Sep!I38)</f>
        <v>-7924.0625</v>
      </c>
      <c r="J38" s="14">
        <f t="shared" si="8"/>
        <v>-0.10838399830394879</v>
      </c>
      <c r="K38" s="38"/>
      <c r="L38" s="38"/>
    </row>
    <row r="39" spans="1:12" ht="15.75">
      <c r="A39" s="27" t="str">
        <v>M092</v>
      </c>
      <c r="B39" s="28" t="str">
        <v>NY</v>
      </c>
      <c r="C39" s="28" t="str">
        <f>Sites[[#This Row],[SOL'#]]</f>
        <v>SOL-10383</v>
      </c>
      <c r="D39" s="10">
        <f>SUM(Jul!D39, Aug!D39, Sep!D39)</f>
        <v>65839.375</v>
      </c>
      <c r="E39" s="15">
        <f>SUM(Jul!E39, Aug!E39, Sep!E39)</f>
        <v>70063.509999999995</v>
      </c>
      <c r="F39" s="15">
        <f t="shared" si="6"/>
        <v>-4224.1349999999948</v>
      </c>
      <c r="G39" s="16">
        <f t="shared" si="7"/>
        <v>-6.02900853811063E-2</v>
      </c>
      <c r="H39" s="17">
        <f>SUM(Jul!H39,Aug!H39,Sep!H39)</f>
        <v>70389</v>
      </c>
      <c r="I39" s="17">
        <f>SUM(Jul!I39, Aug!I39, Sep!I39)</f>
        <v>-4549.625</v>
      </c>
      <c r="J39" s="16">
        <f t="shared" si="8"/>
        <v>-6.4635454403386888E-2</v>
      </c>
      <c r="K39" s="39"/>
      <c r="L39" s="40"/>
    </row>
    <row r="40" spans="1:12" ht="15.75">
      <c r="A40" s="25" t="str">
        <v>M143</v>
      </c>
      <c r="B40" s="26" t="str">
        <v>NY</v>
      </c>
      <c r="C40" s="26" t="str">
        <f>Sites[[#This Row],[SOL'#]]</f>
        <v>SOL-10384</v>
      </c>
      <c r="D40" s="21">
        <f>SUM(Jul!D40, Aug!D40, Sep!D40)</f>
        <v>75798.5</v>
      </c>
      <c r="E40" s="11">
        <f>SUM(Jul!E40, Aug!E40, Sep!E40)</f>
        <v>86814.32</v>
      </c>
      <c r="F40" s="11">
        <f t="shared" si="6"/>
        <v>-11015.820000000007</v>
      </c>
      <c r="G40" s="12">
        <f t="shared" si="7"/>
        <v>-0.12688943483056719</v>
      </c>
      <c r="H40" s="13">
        <f>SUM(Jul!H40,Aug!H40,Sep!H40)</f>
        <v>76712</v>
      </c>
      <c r="I40" s="13">
        <f>SUM(Jul!I40, Aug!I40, Sep!I40)</f>
        <v>-913.5</v>
      </c>
      <c r="J40" s="14">
        <f t="shared" si="8"/>
        <v>-1.1908176035040151E-2</v>
      </c>
      <c r="K40" s="38"/>
      <c r="L40" s="38"/>
    </row>
    <row r="41" spans="1:12" ht="15.75">
      <c r="A41" s="27" t="str">
        <v>M144</v>
      </c>
      <c r="B41" s="28" t="str">
        <v>NY</v>
      </c>
      <c r="C41" s="28" t="str">
        <f>Sites[[#This Row],[SOL'#]]</f>
        <v>SOL-10385</v>
      </c>
      <c r="D41" s="10">
        <f>SUM(Jul!D41, Aug!D41, Sep!D41)</f>
        <v>69097.6875</v>
      </c>
      <c r="E41" s="15">
        <f>SUM(Jul!E41, Aug!E41, Sep!E41)</f>
        <v>0</v>
      </c>
      <c r="F41" s="15">
        <f t="shared" si="6"/>
        <v>69097.6875</v>
      </c>
      <c r="G41" s="16" t="str">
        <f t="shared" si="7"/>
        <v/>
      </c>
      <c r="H41" s="17">
        <f>SUM(Jul!H41,Aug!H41,Sep!H41)</f>
        <v>111543</v>
      </c>
      <c r="I41" s="17">
        <f>SUM(Jul!I41, Aug!I41, Sep!I41)</f>
        <v>-42445.3125</v>
      </c>
      <c r="J41" s="16">
        <f t="shared" si="8"/>
        <v>-0.38052869745300016</v>
      </c>
      <c r="K41" s="39"/>
      <c r="L41" s="40"/>
    </row>
    <row r="42" spans="1:12" ht="15.75">
      <c r="A42" s="25" t="str">
        <v>M167</v>
      </c>
      <c r="B42" s="26" t="str">
        <v>NY</v>
      </c>
      <c r="C42" s="26" t="str">
        <f>Sites[[#This Row],[SOL'#]]</f>
        <v>SOL-10386</v>
      </c>
      <c r="D42" s="21">
        <f>SUM(Jul!D42, Aug!D42, Sep!D42)</f>
        <v>82301.1875</v>
      </c>
      <c r="E42" s="11">
        <f>SUM(Jul!E42, Aug!E42, Sep!E42)</f>
        <v>61077.520000000004</v>
      </c>
      <c r="F42" s="11">
        <f t="shared" si="6"/>
        <v>21223.667499999996</v>
      </c>
      <c r="G42" s="12">
        <f t="shared" si="7"/>
        <v>0.34748738160946929</v>
      </c>
      <c r="H42" s="13">
        <f>SUM(Jul!H42,Aug!H42,Sep!H42)</f>
        <v>94528</v>
      </c>
      <c r="I42" s="13">
        <f>SUM(Jul!I42, Aug!I42, Sep!I42)</f>
        <v>-12226.8125</v>
      </c>
      <c r="J42" s="14">
        <f t="shared" si="8"/>
        <v>-0.12934593453791468</v>
      </c>
      <c r="K42" s="38"/>
      <c r="L42" s="38"/>
    </row>
    <row r="43" spans="1:12" ht="15.75">
      <c r="A43" s="27" t="str">
        <v>M188</v>
      </c>
      <c r="B43" s="28" t="str">
        <v>NY</v>
      </c>
      <c r="C43" s="28" t="str">
        <f>Sites[[#This Row],[SOL'#]]</f>
        <v>SOL-10387</v>
      </c>
      <c r="D43" s="10">
        <f>SUM(Jul!D43, Aug!D43, Sep!D43)</f>
        <v>57463.34375</v>
      </c>
      <c r="E43" s="15">
        <f>SUM(Jul!E43, Aug!E43, Sep!E43)</f>
        <v>0</v>
      </c>
      <c r="F43" s="15">
        <f t="shared" si="6"/>
        <v>57463.34375</v>
      </c>
      <c r="G43" s="16" t="str">
        <f t="shared" si="7"/>
        <v/>
      </c>
      <c r="H43" s="17">
        <f>SUM(Jul!H43,Aug!H43,Sep!H43)</f>
        <v>60470</v>
      </c>
      <c r="I43" s="17">
        <f>SUM(Jul!I43, Aug!I43, Sep!I43)</f>
        <v>-3006.65625</v>
      </c>
      <c r="J43" s="16">
        <f t="shared" si="8"/>
        <v>-4.9721452786505707E-2</v>
      </c>
      <c r="K43" s="39"/>
      <c r="L43" s="40"/>
    </row>
    <row r="44" spans="1:12" ht="15.75">
      <c r="A44" s="25" t="str">
        <v>EMHC</v>
      </c>
      <c r="B44" s="26" t="str">
        <v>NY</v>
      </c>
      <c r="C44" s="26" t="str">
        <f>Sites[[#This Row],[SOL'#]]</f>
        <v>SOL-10351</v>
      </c>
      <c r="D44" s="21">
        <f>SUM(Jul!D44, Aug!D44, Sep!D44)</f>
        <v>26805.86328125</v>
      </c>
      <c r="E44" s="11">
        <f>SUM(Jul!E44, Aug!E44, Sep!E44)</f>
        <v>18992.294000000002</v>
      </c>
      <c r="F44" s="11">
        <f t="shared" si="6"/>
        <v>7813.5692812499983</v>
      </c>
      <c r="G44" s="12">
        <f t="shared" si="7"/>
        <v>0.41140734664543405</v>
      </c>
      <c r="H44" s="13">
        <f>SUM(Jul!H44,Aug!H44,Sep!H44)</f>
        <v>30275.16</v>
      </c>
      <c r="I44" s="13">
        <f>SUM(Jul!I44, Aug!I44, Sep!I44)</f>
        <v>-3469.2967187499999</v>
      </c>
      <c r="J44" s="14">
        <f t="shared" si="8"/>
        <v>-0.11459218444262556</v>
      </c>
      <c r="K44" s="38"/>
      <c r="L44" s="38"/>
    </row>
    <row r="45" spans="1:12" ht="15.75">
      <c r="A45" s="27" t="str">
        <v>Q008</v>
      </c>
      <c r="B45" s="28" t="str">
        <v>NY</v>
      </c>
      <c r="C45" s="28" t="str">
        <f>Sites[[#This Row],[SOL'#]]</f>
        <v>SOL-10397</v>
      </c>
      <c r="D45" s="10">
        <f>SUM(Jul!D45, Aug!D45, Sep!D45)</f>
        <v>85082.53125</v>
      </c>
      <c r="E45" s="15">
        <f>SUM(Jul!E45, Aug!E45, Sep!E45)</f>
        <v>89830.86</v>
      </c>
      <c r="F45" s="15">
        <f t="shared" si="6"/>
        <v>-4748.3287500000006</v>
      </c>
      <c r="G45" s="16">
        <f t="shared" si="7"/>
        <v>-5.2858547162968277E-2</v>
      </c>
      <c r="H45" s="17">
        <f>SUM(Jul!H45,Aug!H45,Sep!H45)</f>
        <v>93345</v>
      </c>
      <c r="I45" s="17">
        <f>SUM(Jul!I45, Aug!I45, Sep!I45)</f>
        <v>-8262.46875</v>
      </c>
      <c r="J45" s="16">
        <f t="shared" si="8"/>
        <v>-8.8515386469548443E-2</v>
      </c>
      <c r="K45" s="39"/>
      <c r="L45" s="40"/>
    </row>
    <row r="46" spans="1:12" ht="15.75">
      <c r="A46" s="25" t="str">
        <v>Q018</v>
      </c>
      <c r="B46" s="26" t="str">
        <v>NY</v>
      </c>
      <c r="C46" s="26" t="str">
        <f>Sites[[#This Row],[SOL'#]]</f>
        <v>SOL-10398</v>
      </c>
      <c r="D46" s="21">
        <f>SUM(Jul!D46, Aug!D46, Sep!D46)</f>
        <v>57385.5</v>
      </c>
      <c r="E46" s="11">
        <f>SUM(Jul!E46, Aug!E46, Sep!E46)</f>
        <v>61480.09</v>
      </c>
      <c r="F46" s="11">
        <f t="shared" si="6"/>
        <v>-4094.5899999999965</v>
      </c>
      <c r="G46" s="12">
        <f t="shared" si="7"/>
        <v>-6.6600260344446424E-2</v>
      </c>
      <c r="H46" s="13">
        <f>SUM(Jul!H46,Aug!H46,Sep!H46)</f>
        <v>56043</v>
      </c>
      <c r="I46" s="13">
        <f>SUM(Jul!I46, Aug!I46, Sep!I46)</f>
        <v>1342.5</v>
      </c>
      <c r="J46" s="14">
        <f t="shared" si="8"/>
        <v>2.3954820405759861E-2</v>
      </c>
      <c r="K46" s="38"/>
      <c r="L46" s="38"/>
    </row>
    <row r="47" spans="1:12" ht="15.75">
      <c r="A47" s="27" t="str">
        <v>Q021</v>
      </c>
      <c r="B47" s="28" t="str">
        <v>NY</v>
      </c>
      <c r="C47" s="28" t="str">
        <f>Sites[[#This Row],[SOL'#]]</f>
        <v>SOL-10399</v>
      </c>
      <c r="D47" s="10">
        <f>SUM(Jul!D47, Aug!D47, Sep!D47)</f>
        <v>47018.8125</v>
      </c>
      <c r="E47" s="15">
        <f>SUM(Jul!E47, Aug!E47, Sep!E47)</f>
        <v>47063.39</v>
      </c>
      <c r="F47" s="15">
        <f t="shared" si="6"/>
        <v>-44.577499999999418</v>
      </c>
      <c r="G47" s="16">
        <f t="shared" si="7"/>
        <v>-9.4717996302432568E-4</v>
      </c>
      <c r="H47" s="17">
        <f>SUM(Jul!H47,Aug!H47,Sep!H47)</f>
        <v>46958</v>
      </c>
      <c r="I47" s="17">
        <f>SUM(Jul!I47, Aug!I47, Sep!I47)</f>
        <v>60.8125</v>
      </c>
      <c r="J47" s="16">
        <f t="shared" si="8"/>
        <v>1.2950402487329103E-3</v>
      </c>
      <c r="K47" s="39"/>
      <c r="L47" s="40"/>
    </row>
    <row r="48" spans="1:12" ht="15.75">
      <c r="A48" s="25" t="str">
        <v>Q025</v>
      </c>
      <c r="B48" s="26" t="str">
        <v>NY</v>
      </c>
      <c r="C48" s="26" t="str">
        <f>Sites[[#This Row],[SOL'#]]</f>
        <v>SOL-10400</v>
      </c>
      <c r="D48" s="21">
        <f>SUM(Jul!D48, Aug!D48, Sep!D48)</f>
        <v>71022.125</v>
      </c>
      <c r="E48" s="11">
        <f>SUM(Jul!E48, Aug!E48, Sep!E48)</f>
        <v>80141.05</v>
      </c>
      <c r="F48" s="11">
        <f t="shared" si="6"/>
        <v>-9118.9250000000029</v>
      </c>
      <c r="G48" s="12">
        <f t="shared" si="7"/>
        <v>-0.11378594365808786</v>
      </c>
      <c r="H48" s="13">
        <f>SUM(Jul!H48,Aug!H48,Sep!H48)</f>
        <v>67383</v>
      </c>
      <c r="I48" s="13">
        <f>SUM(Jul!I48, Aug!I48, Sep!I48)</f>
        <v>3639.125</v>
      </c>
      <c r="J48" s="14">
        <f t="shared" si="8"/>
        <v>5.4006574358517724E-2</v>
      </c>
      <c r="K48" s="38"/>
      <c r="L48" s="38"/>
    </row>
    <row r="49" spans="1:12" ht="15.75">
      <c r="A49" s="27" t="str">
        <v>Q074</v>
      </c>
      <c r="B49" s="28" t="str">
        <v>NY</v>
      </c>
      <c r="C49" s="28" t="str">
        <f>Sites[[#This Row],[SOL'#]]</f>
        <v>SOL-10402</v>
      </c>
      <c r="D49" s="10">
        <f>SUM(Jul!D49, Aug!D49, Sep!D49)</f>
        <v>52556.6875</v>
      </c>
      <c r="E49" s="15">
        <f>SUM(Jul!E49, Aug!E49, Sep!E49)</f>
        <v>52800.160000000003</v>
      </c>
      <c r="F49" s="15">
        <f t="shared" si="6"/>
        <v>-243.47250000000349</v>
      </c>
      <c r="G49" s="16">
        <f t="shared" si="7"/>
        <v>-4.6112076175527398E-3</v>
      </c>
      <c r="H49" s="17">
        <f>SUM(Jul!H49,Aug!H49,Sep!H49)</f>
        <v>53377</v>
      </c>
      <c r="I49" s="17">
        <f>SUM(Jul!I49, Aug!I49, Sep!I49)</f>
        <v>-820.3125</v>
      </c>
      <c r="J49" s="16">
        <f t="shared" si="8"/>
        <v>-1.5368276598534949E-2</v>
      </c>
      <c r="K49" s="39"/>
      <c r="L49" s="40"/>
    </row>
    <row r="50" spans="1:12" ht="15.75">
      <c r="A50" s="25" t="str">
        <v>Q115</v>
      </c>
      <c r="B50" s="26" t="str">
        <v>NY</v>
      </c>
      <c r="C50" s="26" t="str">
        <f>Sites[[#This Row],[SOL'#]]</f>
        <v>SOL-10872</v>
      </c>
      <c r="D50" s="21">
        <f>SUM(Jul!D50, Aug!D50, Sep!D50)</f>
        <v>68025.5</v>
      </c>
      <c r="E50" s="11">
        <f>SUM(Jul!E50, Aug!E50, Sep!E50)</f>
        <v>72162.209999999992</v>
      </c>
      <c r="F50" s="11">
        <f t="shared" si="6"/>
        <v>-4136.7099999999919</v>
      </c>
      <c r="G50" s="12">
        <f t="shared" si="7"/>
        <v>-5.7325156754483991E-2</v>
      </c>
      <c r="H50" s="13">
        <f>SUM(Jul!H50,Aug!H50,Sep!H50)</f>
        <v>70466</v>
      </c>
      <c r="I50" s="13">
        <f>SUM(Jul!I50, Aug!I50, Sep!I50)</f>
        <v>-2440.5</v>
      </c>
      <c r="J50" s="14">
        <f t="shared" si="8"/>
        <v>-3.4633724065506771E-2</v>
      </c>
      <c r="K50" s="38"/>
      <c r="L50" s="38"/>
    </row>
    <row r="51" spans="1:12" ht="15.75">
      <c r="A51" s="27" t="str">
        <v>Q139</v>
      </c>
      <c r="B51" s="28" t="str">
        <v>NY</v>
      </c>
      <c r="C51" s="28" t="str">
        <f>Sites[[#This Row],[SOL'#]]</f>
        <v>SOL-10403</v>
      </c>
      <c r="D51" s="10">
        <f>SUM(Jul!D51, Aug!D51, Sep!D51)</f>
        <v>40709.59375</v>
      </c>
      <c r="E51" s="15">
        <f>SUM(Jul!E51, Aug!E51, Sep!E51)</f>
        <v>43854.720000000001</v>
      </c>
      <c r="F51" s="15">
        <f t="shared" si="6"/>
        <v>-3145.1262500000012</v>
      </c>
      <c r="G51" s="16">
        <f t="shared" si="7"/>
        <v>-7.1716938336398028E-2</v>
      </c>
      <c r="H51" s="17">
        <f>SUM(Jul!H51,Aug!H51,Sep!H51)</f>
        <v>43935</v>
      </c>
      <c r="I51" s="17">
        <f>SUM(Jul!I51, Aug!I51, Sep!I51)</f>
        <v>-3225.40625</v>
      </c>
      <c r="J51" s="16">
        <f t="shared" si="8"/>
        <v>-7.3413138727665875E-2</v>
      </c>
      <c r="K51" s="39"/>
      <c r="L51" s="40"/>
    </row>
    <row r="52" spans="1:12" ht="15.75">
      <c r="A52" s="25" t="str">
        <v>Q157</v>
      </c>
      <c r="B52" s="26" t="str">
        <v>NY</v>
      </c>
      <c r="C52" s="26" t="str">
        <f>Sites[[#This Row],[SOL'#]]</f>
        <v>SOL-10404</v>
      </c>
      <c r="D52" s="21">
        <f>SUM(Jul!D52, Aug!D52, Sep!D52)</f>
        <v>70160.75</v>
      </c>
      <c r="E52" s="11">
        <f>SUM(Jul!E52, Aug!E52, Sep!E52)</f>
        <v>78276.02</v>
      </c>
      <c r="F52" s="11">
        <f t="shared" si="6"/>
        <v>-8115.2700000000041</v>
      </c>
      <c r="G52" s="12">
        <f t="shared" si="7"/>
        <v>-0.10367504632964225</v>
      </c>
      <c r="H52" s="13">
        <f>SUM(Jul!H52,Aug!H52,Sep!H52)</f>
        <v>78746</v>
      </c>
      <c r="I52" s="13">
        <f>SUM(Jul!I52, Aug!I52, Sep!I52)</f>
        <v>-8585.25</v>
      </c>
      <c r="J52" s="14">
        <f t="shared" si="8"/>
        <v>-0.10902458537576512</v>
      </c>
      <c r="K52" s="38"/>
      <c r="L52" s="38"/>
    </row>
    <row r="53" spans="1:12" ht="15.75">
      <c r="A53" s="27" t="str">
        <v>Q192</v>
      </c>
      <c r="B53" s="28" t="str">
        <v>NY</v>
      </c>
      <c r="C53" s="28" t="str">
        <f>Sites[[#This Row],[SOL'#]]</f>
        <v>SOL-10406</v>
      </c>
      <c r="D53" s="10">
        <f>SUM(Jul!D53, Aug!D53, Sep!D53)</f>
        <v>111975.375</v>
      </c>
      <c r="E53" s="15">
        <f>SUM(Jul!E53, Aug!E53, Sep!E53)</f>
        <v>122233.82</v>
      </c>
      <c r="F53" s="15">
        <f t="shared" si="6"/>
        <v>-10258.445000000007</v>
      </c>
      <c r="G53" s="16">
        <f t="shared" si="7"/>
        <v>-8.3924768120639662E-2</v>
      </c>
      <c r="H53" s="17">
        <f>SUM(Jul!H53,Aug!H53,Sep!H53)</f>
        <v>114956</v>
      </c>
      <c r="I53" s="17">
        <f>SUM(Jul!I53, Aug!I53, Sep!I53)</f>
        <v>-2980.625</v>
      </c>
      <c r="J53" s="16">
        <f t="shared" si="8"/>
        <v>-2.5928398691673335E-2</v>
      </c>
      <c r="K53" s="39"/>
      <c r="L53" s="40"/>
    </row>
    <row r="54" spans="1:12" ht="15.75">
      <c r="A54" s="25" t="str">
        <v>Q210</v>
      </c>
      <c r="B54" s="26" t="str">
        <v>NY</v>
      </c>
      <c r="C54" s="26" t="str">
        <f>Sites[[#This Row],[SOL'#]]</f>
        <v>SOL-10407</v>
      </c>
      <c r="D54" s="21">
        <f>SUM(Jul!D54, Aug!D54, Sep!D54)</f>
        <v>86088.125</v>
      </c>
      <c r="E54" s="11">
        <f>SUM(Jul!E54, Aug!E54, Sep!E54)</f>
        <v>91428.23</v>
      </c>
      <c r="F54" s="11">
        <f t="shared" si="6"/>
        <v>-5340.1049999999959</v>
      </c>
      <c r="G54" s="12">
        <f t="shared" si="7"/>
        <v>-5.8407616553443023E-2</v>
      </c>
      <c r="H54" s="13">
        <f>SUM(Jul!H54,Aug!H54,Sep!H54)</f>
        <v>94490</v>
      </c>
      <c r="I54" s="13">
        <f>SUM(Jul!I54, Aug!I54, Sep!I54)</f>
        <v>-8401.875</v>
      </c>
      <c r="J54" s="14">
        <f t="shared" si="8"/>
        <v>-8.8918139485659853E-2</v>
      </c>
      <c r="K54" s="38"/>
      <c r="L54" s="38"/>
    </row>
    <row r="55" spans="1:12" ht="15.75">
      <c r="A55" s="27" t="str">
        <v>Q229</v>
      </c>
      <c r="B55" s="28" t="str">
        <v>NY</v>
      </c>
      <c r="C55" s="28" t="str">
        <f>Sites[[#This Row],[SOL'#]]</f>
        <v>SOL-10408</v>
      </c>
      <c r="D55" s="10">
        <f>SUM(Jul!D55, Aug!D55, Sep!D55)</f>
        <v>35474.59375</v>
      </c>
      <c r="E55" s="15">
        <f>SUM(Jul!E55, Aug!E55, Sep!E55)</f>
        <v>44770.17</v>
      </c>
      <c r="F55" s="15">
        <f t="shared" si="6"/>
        <v>-9295.5762499999983</v>
      </c>
      <c r="G55" s="16">
        <f t="shared" si="7"/>
        <v>-0.20762879055406755</v>
      </c>
      <c r="H55" s="17">
        <f>SUM(Jul!H55,Aug!H55,Sep!H55)</f>
        <v>40713</v>
      </c>
      <c r="I55" s="17">
        <f>SUM(Jul!I55, Aug!I55, Sep!I55)</f>
        <v>-5238.40625</v>
      </c>
      <c r="J55" s="16">
        <f t="shared" si="8"/>
        <v>-0.12866667280721145</v>
      </c>
      <c r="K55" s="39"/>
      <c r="L55" s="40"/>
    </row>
    <row r="56" spans="1:12" ht="15.75">
      <c r="A56" s="25" t="str">
        <v>Q231</v>
      </c>
      <c r="B56" s="26" t="str">
        <v>NY</v>
      </c>
      <c r="C56" s="26" t="str">
        <f>Sites[[#This Row],[SOL'#]]</f>
        <v>SOL-10870</v>
      </c>
      <c r="D56" s="21">
        <f>SUM(Jul!D56, Aug!D56, Sep!D56)</f>
        <v>149562.50000000012</v>
      </c>
      <c r="E56" s="11">
        <f>SUM(Jul!E56, Aug!E56, Sep!E56)</f>
        <v>154016.35999999999</v>
      </c>
      <c r="F56" s="11">
        <f t="shared" si="6"/>
        <v>-4453.8599999998696</v>
      </c>
      <c r="G56" s="12">
        <f t="shared" si="7"/>
        <v>-2.8918096752837619E-2</v>
      </c>
      <c r="H56" s="13">
        <f>SUM(Jul!H56,Aug!H56,Sep!H56)</f>
        <v>158978</v>
      </c>
      <c r="I56" s="13">
        <f>SUM(Jul!I56, Aug!I56, Sep!I56)</f>
        <v>-9415.4999999998981</v>
      </c>
      <c r="J56" s="14">
        <f t="shared" si="8"/>
        <v>-5.9225175810488861E-2</v>
      </c>
      <c r="K56" s="38"/>
      <c r="L56" s="38"/>
    </row>
    <row r="57" spans="1:12" ht="15.75">
      <c r="A57" s="27" t="str">
        <v>Q405</v>
      </c>
      <c r="B57" s="28" t="str">
        <v>NY</v>
      </c>
      <c r="C57" s="28" t="str">
        <f>Sites[[#This Row],[SOL'#]]</f>
        <v>SOL-10409</v>
      </c>
      <c r="D57" s="10">
        <f>SUM(Jul!D57, Aug!D57, Sep!D57)</f>
        <v>162040.375</v>
      </c>
      <c r="E57" s="15">
        <f>SUM(Jul!E57, Aug!E57, Sep!E57)</f>
        <v>172586.5</v>
      </c>
      <c r="F57" s="15">
        <f t="shared" si="6"/>
        <v>-10546.125</v>
      </c>
      <c r="G57" s="16">
        <f t="shared" si="7"/>
        <v>-6.1106314804460375E-2</v>
      </c>
      <c r="H57" s="17">
        <f>SUM(Jul!H57,Aug!H57,Sep!H57)</f>
        <v>172270</v>
      </c>
      <c r="I57" s="17">
        <f>SUM(Jul!I57, Aug!I57, Sep!I57)</f>
        <v>-10229.625</v>
      </c>
      <c r="J57" s="16">
        <f t="shared" si="8"/>
        <v>-5.9381349045103615E-2</v>
      </c>
      <c r="K57" s="39"/>
      <c r="L57" s="40"/>
    </row>
    <row r="58" spans="1:12" ht="15.75">
      <c r="A58" s="25" t="str">
        <v>Q435</v>
      </c>
      <c r="B58" s="26" t="str">
        <v>NY</v>
      </c>
      <c r="C58" s="26" t="str">
        <f>Sites[[#This Row],[SOL'#]]</f>
        <v>SOL-10923</v>
      </c>
      <c r="D58" s="21">
        <f>SUM(Jul!D58, Aug!D58, Sep!D58)</f>
        <v>212522.625</v>
      </c>
      <c r="E58" s="11">
        <f>SUM(Jul!E58, Aug!E58, Sep!E58)</f>
        <v>159350.04999999999</v>
      </c>
      <c r="F58" s="11">
        <f t="shared" si="6"/>
        <v>53172.575000000012</v>
      </c>
      <c r="G58" s="12">
        <f t="shared" si="7"/>
        <v>0.33368408105300257</v>
      </c>
      <c r="H58" s="13">
        <f>SUM(Jul!H58,Aug!H58,Sep!H58)</f>
        <v>221383</v>
      </c>
      <c r="I58" s="13">
        <f>SUM(Jul!I58, Aug!I58, Sep!I58)</f>
        <v>-8860.375</v>
      </c>
      <c r="J58" s="14">
        <f t="shared" si="8"/>
        <v>-4.002283373158734E-2</v>
      </c>
      <c r="K58" s="38"/>
      <c r="L58" s="38"/>
    </row>
    <row r="59" spans="1:12" ht="15.75">
      <c r="A59" s="27" t="str">
        <v>Q485</v>
      </c>
      <c r="B59" s="28" t="str">
        <v>NY</v>
      </c>
      <c r="C59" s="28" t="str">
        <f>Sites[[#This Row],[SOL'#]]</f>
        <v>SOL-10869</v>
      </c>
      <c r="D59" s="10">
        <f>SUM(Jul!D59, Aug!D59, Sep!D59)</f>
        <v>195182.96874999988</v>
      </c>
      <c r="E59" s="15">
        <f>SUM(Jul!E59, Aug!E59, Sep!E59)</f>
        <v>160306.08000000002</v>
      </c>
      <c r="F59" s="15">
        <f t="shared" si="6"/>
        <v>34876.888749999867</v>
      </c>
      <c r="G59" s="16">
        <f t="shared" si="7"/>
        <v>0.21756435407814764</v>
      </c>
      <c r="H59" s="17">
        <f>SUM(Jul!H59,Aug!H59,Sep!H59)</f>
        <v>212313</v>
      </c>
      <c r="I59" s="17">
        <f>SUM(Jul!I59, Aug!I59, Sep!I59)</f>
        <v>-17130.031250000102</v>
      </c>
      <c r="J59" s="16">
        <f t="shared" si="8"/>
        <v>-8.0682912727906925E-2</v>
      </c>
      <c r="K59" s="39"/>
      <c r="L59" s="40"/>
    </row>
    <row r="60" spans="1:12" ht="15.75">
      <c r="A60" s="25" t="str">
        <v>Q490</v>
      </c>
      <c r="B60" s="26" t="str">
        <v>NY</v>
      </c>
      <c r="C60" s="26" t="str">
        <f>Sites[[#This Row],[SOL'#]]</f>
        <v>SOL-10411</v>
      </c>
      <c r="D60" s="21">
        <f>SUM(Jul!D60, Aug!D60, Sep!D60)</f>
        <v>134908.75</v>
      </c>
      <c r="E60" s="11">
        <f>SUM(Jul!E60, Aug!E60, Sep!E60)</f>
        <v>0</v>
      </c>
      <c r="F60" s="11">
        <f t="shared" si="6"/>
        <v>134908.75</v>
      </c>
      <c r="G60" s="12" t="str">
        <f t="shared" si="7"/>
        <v/>
      </c>
      <c r="H60" s="13">
        <f>SUM(Jul!H60,Aug!H60,Sep!H60)</f>
        <v>149869</v>
      </c>
      <c r="I60" s="13">
        <f>SUM(Jul!I60, Aug!I60, Sep!I60)</f>
        <v>-14960.25</v>
      </c>
      <c r="J60" s="14">
        <f t="shared" si="8"/>
        <v>-9.9822178035484321E-2</v>
      </c>
      <c r="K60" s="38"/>
      <c r="L60" s="38"/>
    </row>
    <row r="61" spans="1:12" ht="15.75">
      <c r="A61" s="27" t="str">
        <v>Q620</v>
      </c>
      <c r="B61" s="28" t="str">
        <v>NY</v>
      </c>
      <c r="C61" s="28" t="str">
        <f>Sites[[#This Row],[SOL'#]]</f>
        <v>SOL-10867</v>
      </c>
      <c r="D61" s="10">
        <f>SUM(Jul!D61, Aug!D61, Sep!D61)</f>
        <v>213775.375</v>
      </c>
      <c r="E61" s="15">
        <f>SUM(Jul!E61, Aug!E61, Sep!E61)</f>
        <v>221599.64</v>
      </c>
      <c r="F61" s="15">
        <f t="shared" si="6"/>
        <v>-7824.265000000014</v>
      </c>
      <c r="G61" s="16">
        <f t="shared" si="7"/>
        <v>-3.5308112413901097E-2</v>
      </c>
      <c r="H61" s="17">
        <f>SUM(Jul!H61,Aug!H61,Sep!H61)</f>
        <v>224579</v>
      </c>
      <c r="I61" s="17">
        <f>SUM(Jul!I61, Aug!I61, Sep!I61)</f>
        <v>-10803.625</v>
      </c>
      <c r="J61" s="16">
        <f t="shared" si="8"/>
        <v>-4.8106123012392074E-2</v>
      </c>
      <c r="K61" s="39"/>
      <c r="L61" s="40"/>
    </row>
    <row r="62" spans="1:12" ht="15.75">
      <c r="A62" s="25" t="str">
        <v>QMOA</v>
      </c>
      <c r="B62" s="26" t="str">
        <v>NY</v>
      </c>
      <c r="C62" s="26" t="str">
        <f>Sites[[#This Row],[SOL'#]]</f>
        <v>SOL-10415</v>
      </c>
      <c r="D62" s="21">
        <f>SUM(Jul!D62, Aug!D62, Sep!D62)</f>
        <v>18783.899999999991</v>
      </c>
      <c r="E62" s="11">
        <f>SUM(Jul!E62, Aug!E62, Sep!E62)</f>
        <v>0</v>
      </c>
      <c r="F62" s="11">
        <f t="shared" si="6"/>
        <v>18783.899999999991</v>
      </c>
      <c r="G62" s="12" t="str">
        <f t="shared" si="7"/>
        <v/>
      </c>
      <c r="H62" s="13">
        <f>SUM(Jul!H62,Aug!H62,Sep!H62)</f>
        <v>20081.383999999998</v>
      </c>
      <c r="I62" s="13">
        <f>SUM(Jul!I62, Aug!I62, Sep!I62)</f>
        <v>-1297.4840000000104</v>
      </c>
      <c r="J62" s="14">
        <f t="shared" si="8"/>
        <v>-6.4611283764107616E-2</v>
      </c>
      <c r="K62" s="38"/>
      <c r="L62" s="38"/>
    </row>
    <row r="63" spans="1:12" ht="15.75">
      <c r="A63" s="27" t="str">
        <v>X024</v>
      </c>
      <c r="B63" s="28" t="str">
        <v>NY</v>
      </c>
      <c r="C63" s="28" t="str">
        <f>Sites[[#This Row],[SOL'#]]</f>
        <v>SOL-10419</v>
      </c>
      <c r="D63" s="10">
        <f>SUM(Jul!D63, Aug!D63, Sep!D63)</f>
        <v>84390.765625</v>
      </c>
      <c r="E63" s="15">
        <f>SUM(Jul!E63, Aug!E63, Sep!E63)</f>
        <v>23958.68</v>
      </c>
      <c r="F63" s="15">
        <f t="shared" si="6"/>
        <v>60432.085625</v>
      </c>
      <c r="G63" s="16">
        <f t="shared" si="7"/>
        <v>2.5223462070948814</v>
      </c>
      <c r="H63" s="17">
        <f>SUM(Jul!H63,Aug!H63,Sep!H63)</f>
        <v>84812</v>
      </c>
      <c r="I63" s="17">
        <f>SUM(Jul!I63, Aug!I63, Sep!I63)</f>
        <v>-421.234375</v>
      </c>
      <c r="J63" s="16">
        <f t="shared" si="8"/>
        <v>-4.9666836650473986E-3</v>
      </c>
      <c r="K63" s="39"/>
      <c r="L63" s="40"/>
    </row>
    <row r="64" spans="1:12" ht="15.75">
      <c r="A64" s="25" t="str">
        <v>X026</v>
      </c>
      <c r="B64" s="26" t="str">
        <v>NY</v>
      </c>
      <c r="C64" s="26" t="str">
        <f>Sites[[#This Row],[SOL'#]]</f>
        <v>SOL-10420</v>
      </c>
      <c r="D64" s="21">
        <f>SUM(Jul!D64, Aug!D64, Sep!D64)</f>
        <v>74507.900000000009</v>
      </c>
      <c r="E64" s="11">
        <f>SUM(Jul!E64, Aug!E64, Sep!E64)</f>
        <v>68970.37</v>
      </c>
      <c r="F64" s="11">
        <f t="shared" si="6"/>
        <v>5537.5300000000134</v>
      </c>
      <c r="G64" s="12">
        <f t="shared" si="7"/>
        <v>8.0288535497199942E-2</v>
      </c>
      <c r="H64" s="13">
        <f>SUM(Jul!H64,Aug!H64,Sep!H64)</f>
        <v>88516.13</v>
      </c>
      <c r="I64" s="13">
        <f>SUM(Jul!I64, Aug!I64, Sep!I64)</f>
        <v>-14008.229999999996</v>
      </c>
      <c r="J64" s="14">
        <f t="shared" si="8"/>
        <v>-0.1582562409811635</v>
      </c>
      <c r="K64" s="38"/>
      <c r="L64" s="38"/>
    </row>
    <row r="65" spans="1:12" ht="15.75">
      <c r="A65" s="27" t="str">
        <v>X090</v>
      </c>
      <c r="B65" s="28" t="str">
        <v>NY</v>
      </c>
      <c r="C65" s="28" t="str">
        <f>Sites[[#This Row],[SOL'#]]</f>
        <v>SOL-10925</v>
      </c>
      <c r="D65" s="10">
        <f>SUM(Jul!D65, Aug!D65, Sep!D65)</f>
        <v>63739.064299999998</v>
      </c>
      <c r="E65" s="15">
        <f>SUM(Jul!E65, Aug!E65, Sep!E65)</f>
        <v>54551.17</v>
      </c>
      <c r="F65" s="15">
        <f t="shared" si="6"/>
        <v>9187.8942999999999</v>
      </c>
      <c r="G65" s="16">
        <f t="shared" si="7"/>
        <v>0.16842708048241678</v>
      </c>
      <c r="H65" s="17">
        <f>SUM(Jul!H65,Aug!H65,Sep!H65)</f>
        <v>65267</v>
      </c>
      <c r="I65" s="17">
        <f>SUM(Jul!I65, Aug!I65, Sep!I65)</f>
        <v>-1527.9356999999982</v>
      </c>
      <c r="J65" s="16">
        <f t="shared" si="8"/>
        <v>-2.3410539782738569E-2</v>
      </c>
      <c r="K65" s="39"/>
      <c r="L65" s="40"/>
    </row>
    <row r="66" spans="1:12" ht="15.75">
      <c r="A66" s="25" t="str">
        <v>X117</v>
      </c>
      <c r="B66" s="26" t="str">
        <v>NY</v>
      </c>
      <c r="C66" s="26" t="str">
        <f>Sites[[#This Row],[SOL'#]]</f>
        <v>SOL-10422</v>
      </c>
      <c r="D66" s="21">
        <f>SUM(Jul!D66, Aug!D66, Sep!D66)</f>
        <v>53556</v>
      </c>
      <c r="E66" s="11">
        <f>SUM(Jul!E66, Aug!E66, Sep!E66)</f>
        <v>58432.6</v>
      </c>
      <c r="F66" s="11">
        <f t="shared" si="6"/>
        <v>-4876.5999999999985</v>
      </c>
      <c r="G66" s="12">
        <f t="shared" si="7"/>
        <v>-8.3456837450327365E-2</v>
      </c>
      <c r="H66" s="13">
        <f>SUM(Jul!H66,Aug!H66,Sep!H66)</f>
        <v>57323.43</v>
      </c>
      <c r="I66" s="13">
        <f>SUM(Jul!I66, Aug!I66, Sep!I66)</f>
        <v>-3767.4300000000039</v>
      </c>
      <c r="J66" s="14">
        <f t="shared" si="8"/>
        <v>-6.5722340760139511E-2</v>
      </c>
      <c r="K66" s="38"/>
      <c r="L66" s="38"/>
    </row>
    <row r="67" spans="1:12" ht="15.75">
      <c r="A67" s="27" t="str">
        <v>X125</v>
      </c>
      <c r="B67" s="28" t="str">
        <v>NY</v>
      </c>
      <c r="C67" s="28" t="str">
        <f>Sites[[#This Row],[SOL'#]]</f>
        <v>SOL-10423</v>
      </c>
      <c r="D67" s="10">
        <f>SUM(Jul!D67, Aug!D67, Sep!D67)</f>
        <v>98956.40625</v>
      </c>
      <c r="E67" s="15">
        <f>SUM(Jul!E67, Aug!E67, Sep!E67)</f>
        <v>101257.72</v>
      </c>
      <c r="F67" s="15">
        <f t="shared" si="6"/>
        <v>-2301.3137500000012</v>
      </c>
      <c r="G67" s="16">
        <f t="shared" si="7"/>
        <v>-2.2727291805503827E-2</v>
      </c>
      <c r="H67" s="17">
        <f>SUM(Jul!H67,Aug!H67,Sep!H67)</f>
        <v>99486.739999999991</v>
      </c>
      <c r="I67" s="17">
        <f>SUM(Jul!I67, Aug!I67, Sep!I67)</f>
        <v>-530.33374999999796</v>
      </c>
      <c r="J67" s="16">
        <f t="shared" si="8"/>
        <v>-5.3306978397321897E-3</v>
      </c>
      <c r="K67" s="39"/>
      <c r="L67" s="40"/>
    </row>
    <row r="68" spans="1:12" ht="15.75">
      <c r="A68" s="25" t="str">
        <v>X134</v>
      </c>
      <c r="B68" s="26" t="str">
        <v>NY</v>
      </c>
      <c r="C68" s="26" t="str">
        <f>Sites[[#This Row],[SOL'#]]</f>
        <v>SOL-10424</v>
      </c>
      <c r="D68" s="21">
        <f>SUM(Jul!D68, Aug!D68, Sep!D68)</f>
        <v>95033.875</v>
      </c>
      <c r="E68" s="11">
        <f>SUM(Jul!E68, Aug!E68, Sep!E68)</f>
        <v>26914</v>
      </c>
      <c r="F68" s="11">
        <f t="shared" si="6"/>
        <v>68119.875</v>
      </c>
      <c r="G68" s="12">
        <f t="shared" si="7"/>
        <v>2.5310201010626439</v>
      </c>
      <c r="H68" s="13">
        <f>SUM(Jul!H68,Aug!H68,Sep!H68)</f>
        <v>98657</v>
      </c>
      <c r="I68" s="13">
        <f>SUM(Jul!I68, Aug!I68, Sep!I68)</f>
        <v>-3623.125</v>
      </c>
      <c r="J68" s="14">
        <f t="shared" si="8"/>
        <v>-3.6724459490963639E-2</v>
      </c>
      <c r="K68" s="38"/>
      <c r="L68" s="38"/>
    </row>
    <row r="69" spans="1:12" ht="15.75">
      <c r="A69" s="27" t="str">
        <v>X135</v>
      </c>
      <c r="B69" s="28" t="str">
        <v>NY</v>
      </c>
      <c r="C69" s="28" t="str">
        <f>Sites[[#This Row],[SOL'#]]</f>
        <v>SOL-10425</v>
      </c>
      <c r="D69" s="10">
        <f>SUM(Jul!D69, Aug!D69, Sep!D69)</f>
        <v>66702.34375</v>
      </c>
      <c r="E69" s="15">
        <f>SUM(Jul!E69, Aug!E69, Sep!E69)</f>
        <v>20954.990000000002</v>
      </c>
      <c r="F69" s="15">
        <f t="shared" si="6"/>
        <v>45747.353749999995</v>
      </c>
      <c r="G69" s="16">
        <f t="shared" si="7"/>
        <v>2.183124580350551</v>
      </c>
      <c r="H69" s="17">
        <f>SUM(Jul!H69,Aug!H69,Sep!H69)</f>
        <v>78891</v>
      </c>
      <c r="I69" s="17">
        <f>SUM(Jul!I69, Aug!I69, Sep!I69)</f>
        <v>-12188.65625</v>
      </c>
      <c r="J69" s="16">
        <f t="shared" si="8"/>
        <v>-0.15449995880391934</v>
      </c>
      <c r="K69" s="39"/>
      <c r="L69" s="40"/>
    </row>
    <row r="70" spans="1:12" ht="15.75">
      <c r="A70" s="25" t="str">
        <v>X139 JHS 222</v>
      </c>
      <c r="B70" s="26" t="str">
        <v>NY</v>
      </c>
      <c r="C70" s="26" t="str">
        <f>Sites[[#This Row],[SOL'#]]</f>
        <v>SOL-10426</v>
      </c>
      <c r="D70" s="21">
        <f>SUM(Jul!D70, Aug!D70, Sep!D70)</f>
        <v>124171.420650674</v>
      </c>
      <c r="E70" s="11">
        <f>SUM(Jul!E70, Aug!E70, Sep!E70)</f>
        <v>126017.73000000001</v>
      </c>
      <c r="F70" s="11">
        <f t="shared" si="6"/>
        <v>-1846.3093493260094</v>
      </c>
      <c r="G70" s="12">
        <f t="shared" si="7"/>
        <v>-1.4651187172836784E-2</v>
      </c>
      <c r="H70" s="13">
        <f>SUM(Jul!H70,Aug!H70,Sep!H70)</f>
        <v>124887</v>
      </c>
      <c r="I70" s="13">
        <f>SUM(Jul!I70, Aug!I70, Sep!I70)</f>
        <v>-715.57934932599892</v>
      </c>
      <c r="J70" s="14">
        <f t="shared" si="8"/>
        <v>-5.7298145469584418E-3</v>
      </c>
      <c r="K70" s="38"/>
      <c r="L70" s="38"/>
    </row>
    <row r="71" spans="1:12" ht="15.75">
      <c r="A71" s="27" t="str">
        <v>X140</v>
      </c>
      <c r="B71" s="28" t="str">
        <v>NY</v>
      </c>
      <c r="C71" s="28" t="str">
        <f>Sites[[#This Row],[SOL'#]]</f>
        <v>SOL-10926</v>
      </c>
      <c r="D71" s="10">
        <f>SUM(Jul!D71, Aug!D71, Sep!D71)</f>
        <v>66211.757809999996</v>
      </c>
      <c r="E71" s="15">
        <f>SUM(Jul!E71, Aug!E71, Sep!E71)</f>
        <v>55421.659999999996</v>
      </c>
      <c r="F71" s="15">
        <f t="shared" si="6"/>
        <v>10790.097809999999</v>
      </c>
      <c r="G71" s="16">
        <f t="shared" si="7"/>
        <v>0.19469098922695566</v>
      </c>
      <c r="H71" s="17">
        <f>SUM(Jul!H71,Aug!H71,Sep!H71)</f>
        <v>67030</v>
      </c>
      <c r="I71" s="17">
        <f>SUM(Jul!I71, Aug!I71, Sep!I71)</f>
        <v>-818.24219000000085</v>
      </c>
      <c r="J71" s="16">
        <f t="shared" si="8"/>
        <v>-1.2207104132478008E-2</v>
      </c>
      <c r="K71" s="39"/>
      <c r="L71" s="40"/>
    </row>
    <row r="72" spans="1:12" ht="15.75">
      <c r="A72" s="25" t="str">
        <v>X166</v>
      </c>
      <c r="B72" s="26" t="str">
        <v>NY</v>
      </c>
      <c r="C72" s="26" t="str">
        <f>Sites[[#This Row],[SOL'#]]</f>
        <v>SOL-10427</v>
      </c>
      <c r="D72" s="21">
        <f>SUM(Jul!D72, Aug!D72, Sep!D72)</f>
        <v>68909.799999999988</v>
      </c>
      <c r="E72" s="11">
        <f>SUM(Jul!E72, Aug!E72, Sep!E72)</f>
        <v>70890.78</v>
      </c>
      <c r="F72" s="11">
        <f t="shared" si="6"/>
        <v>-1980.9800000000105</v>
      </c>
      <c r="G72" s="12">
        <f t="shared" si="7"/>
        <v>-2.7944113465813332E-2</v>
      </c>
      <c r="H72" s="13">
        <f>SUM(Jul!H72,Aug!H72,Sep!H72)</f>
        <v>74337</v>
      </c>
      <c r="I72" s="13">
        <f>SUM(Jul!I72, Aug!I72, Sep!I72)</f>
        <v>-5427.2000000000007</v>
      </c>
      <c r="J72" s="14">
        <f t="shared" si="8"/>
        <v>-7.3008057898489326E-2</v>
      </c>
      <c r="K72" s="38"/>
      <c r="L72" s="38"/>
    </row>
    <row r="73" spans="1:12" ht="15.75">
      <c r="A73" s="27" t="str">
        <v>Murphy</v>
      </c>
      <c r="B73" s="28" t="str">
        <v>MN</v>
      </c>
      <c r="C73" s="28" t="str">
        <f>Sites[[#This Row],[SOL'#]]</f>
        <v>SOL-10094</v>
      </c>
      <c r="D73" s="10">
        <f>SUM(Jul!D73, Aug!D73, Sep!D73)</f>
        <v>1688140</v>
      </c>
      <c r="E73" s="15">
        <f>SUM(Jul!E73, Aug!E73, Sep!E73)</f>
        <v>1976866</v>
      </c>
      <c r="F73" s="15">
        <f t="shared" si="6"/>
        <v>-288726</v>
      </c>
      <c r="G73" s="16">
        <f t="shared" si="7"/>
        <v>-0.14605238797166828</v>
      </c>
      <c r="H73" s="17">
        <f>SUM(Jul!H73,Aug!H73,Sep!H73)</f>
        <v>2970386</v>
      </c>
      <c r="I73" s="17">
        <f>SUM(Jul!I73, Aug!I73, Sep!I73)</f>
        <v>-1282246</v>
      </c>
      <c r="J73" s="16">
        <f t="shared" si="8"/>
        <v>-0.43167655651487719</v>
      </c>
      <c r="K73" s="39"/>
      <c r="L73" s="40"/>
    </row>
    <row r="74" spans="1:12" ht="15.75">
      <c r="A74" s="25" t="str">
        <v>Terning</v>
      </c>
      <c r="B74" s="26" t="str">
        <v>MN</v>
      </c>
      <c r="C74" s="26" t="str">
        <f>Sites[[#This Row],[SOL'#]]</f>
        <v>SOL-10093</v>
      </c>
      <c r="D74" s="21">
        <f>SUM(Jul!D74, Aug!D74, Sep!D74)</f>
        <v>2916776.4750000001</v>
      </c>
      <c r="E74" s="11">
        <f>SUM(Jul!E74, Aug!E74, Sep!E74)</f>
        <v>3179764.0180000002</v>
      </c>
      <c r="F74" s="11">
        <f t="shared" si="6"/>
        <v>-262987.54300000006</v>
      </c>
      <c r="G74" s="12">
        <f t="shared" si="7"/>
        <v>-8.2706622727749868E-2</v>
      </c>
      <c r="H74" s="13">
        <f>SUM(Jul!H74,Aug!H74,Sep!H74)</f>
        <v>2933615</v>
      </c>
      <c r="I74" s="13">
        <f>SUM(Jul!I74, Aug!I74, Sep!I74)</f>
        <v>-16838.525000000023</v>
      </c>
      <c r="J74" s="14">
        <f t="shared" si="8"/>
        <v>-5.7398550934597836E-3</v>
      </c>
      <c r="K74" s="38"/>
      <c r="L74" s="38"/>
    </row>
    <row r="75" spans="1:12" ht="15.75">
      <c r="A75" s="27" t="str">
        <v>Boas Road 04</v>
      </c>
      <c r="B75" s="28" t="str">
        <v>NY</v>
      </c>
      <c r="C75" s="28" t="str">
        <f>Sites[[#This Row],[SOL'#]]</f>
        <v>SOL-10908</v>
      </c>
      <c r="D75" s="10">
        <f>SUM(Jul!D75, Aug!D75, Sep!D75)</f>
        <v>1088235</v>
      </c>
      <c r="E75" s="15">
        <f>SUM(Jul!E75, Aug!E75, Sep!E75)</f>
        <v>241197</v>
      </c>
      <c r="F75" s="15">
        <f t="shared" si="6"/>
        <v>847038</v>
      </c>
      <c r="G75" s="16">
        <f t="shared" si="7"/>
        <v>3.5118098483811986</v>
      </c>
      <c r="H75" s="17">
        <f>SUM(Jul!H75,Aug!H75,Sep!H75)</f>
        <v>1108668</v>
      </c>
      <c r="I75" s="17">
        <f>SUM(Jul!I75, Aug!I75, Sep!I75)</f>
        <v>-15888.400000000023</v>
      </c>
      <c r="J75" s="16">
        <f t="shared" si="8"/>
        <v>-1.4331071159265013E-2</v>
      </c>
      <c r="K75" s="39"/>
      <c r="L75" s="40"/>
    </row>
    <row r="76" spans="1:12" ht="15.75">
      <c r="A76" s="25" t="str">
        <v>Kelly Bridge Farm</v>
      </c>
      <c r="B76" s="26" t="str">
        <v>NY</v>
      </c>
      <c r="C76" s="26" t="str">
        <f>Sites[[#This Row],[SOL'#]]</f>
        <v>SOL-10911</v>
      </c>
      <c r="D76" s="21">
        <f>SUM(Jul!D76, Aug!D76, Sep!D76)</f>
        <v>1050788</v>
      </c>
      <c r="E76" s="11">
        <f>SUM(Jul!E76, Aug!E76, Sep!E76)</f>
        <v>1091051.19</v>
      </c>
      <c r="F76" s="11">
        <f t="shared" si="6"/>
        <v>-40263.189999999944</v>
      </c>
      <c r="G76" s="12">
        <f t="shared" si="7"/>
        <v>-3.6903117258870272E-2</v>
      </c>
      <c r="H76" s="13">
        <f>SUM(Jul!H76,Aug!H76,Sep!H76)</f>
        <v>1103366</v>
      </c>
      <c r="I76" s="13">
        <f>SUM(Jul!I76, Aug!I76, Sep!I76)</f>
        <v>-50572.390000000014</v>
      </c>
      <c r="J76" s="14">
        <f t="shared" si="8"/>
        <v>-4.5834645983291143E-2</v>
      </c>
      <c r="K76" s="38"/>
      <c r="L76" s="38"/>
    </row>
    <row r="77" spans="1:12" ht="15.75">
      <c r="A77" s="27" t="str">
        <v>Pool Brook Road</v>
      </c>
      <c r="B77" s="28" t="str">
        <v>NY</v>
      </c>
      <c r="C77" s="28" t="str">
        <f>Sites[[#This Row],[SOL'#]]</f>
        <v>SOL-10909</v>
      </c>
      <c r="D77" s="10">
        <f>SUM(Jul!D77, Aug!D77, Sep!D77)</f>
        <v>986280</v>
      </c>
      <c r="E77" s="15">
        <f>SUM(Jul!E77, Aug!E77, Sep!E77)</f>
        <v>1015502.75</v>
      </c>
      <c r="F77" s="15">
        <f t="shared" si="6"/>
        <v>-29222.75</v>
      </c>
      <c r="G77" s="16">
        <f t="shared" si="7"/>
        <v>-2.8776633051953823E-2</v>
      </c>
      <c r="H77" s="17">
        <f>SUM(Jul!H77,Aug!H77,Sep!H77)</f>
        <v>1061448</v>
      </c>
      <c r="I77" s="17">
        <f>SUM(Jul!I77, Aug!I77, Sep!I77)</f>
        <v>-68979.63</v>
      </c>
      <c r="J77" s="16">
        <f t="shared" si="8"/>
        <v>-6.4986348836683472E-2</v>
      </c>
      <c r="K77" s="39"/>
      <c r="L77" s="40"/>
    </row>
    <row r="78" spans="1:12" ht="15.75">
      <c r="A78" s="25" t="str">
        <v>Sackett Lake</v>
      </c>
      <c r="B78" s="26" t="str">
        <v>NY</v>
      </c>
      <c r="C78" s="26" t="str">
        <f>Sites[[#This Row],[SOL'#]]</f>
        <v>SOL-10910</v>
      </c>
      <c r="D78" s="21">
        <f>SUM(Jul!D78, Aug!D78, Sep!D78)</f>
        <v>1033173</v>
      </c>
      <c r="E78" s="11">
        <f>SUM(Jul!E78, Aug!E78, Sep!E78)</f>
        <v>1075486.1000000001</v>
      </c>
      <c r="F78" s="11">
        <f t="shared" si="6"/>
        <v>-42313.100000000093</v>
      </c>
      <c r="G78" s="12">
        <f t="shared" si="7"/>
        <v>-3.9343232794919518E-2</v>
      </c>
      <c r="H78" s="13">
        <f>SUM(Jul!H78,Aug!H78,Sep!H78)</f>
        <v>1092737</v>
      </c>
      <c r="I78" s="13">
        <f>SUM(Jul!I78, Aug!I78, Sep!I78)</f>
        <v>-57719.820000000007</v>
      </c>
      <c r="J78" s="14">
        <f t="shared" si="8"/>
        <v>-5.282132846238391E-2</v>
      </c>
      <c r="K78" s="38"/>
      <c r="L78" s="38"/>
    </row>
    <row r="79" spans="1:12" ht="15.75">
      <c r="A79" s="27" t="str">
        <v>Burritt Road</v>
      </c>
      <c r="B79" s="28" t="str">
        <v>NY</v>
      </c>
      <c r="C79" s="28" t="str">
        <f>Sites[[#This Row],[SOL'#]]</f>
        <v>SOL-10913</v>
      </c>
      <c r="D79" s="10">
        <f>SUM(Jul!D79, Aug!D79, Sep!D79)</f>
        <v>1129450</v>
      </c>
      <c r="E79" s="15">
        <f>SUM(Jul!E79, Aug!E79, Sep!E79)</f>
        <v>381917.39</v>
      </c>
      <c r="F79" s="15">
        <f t="shared" si="6"/>
        <v>747532.61</v>
      </c>
      <c r="G79" s="16">
        <f t="shared" si="7"/>
        <v>1.9573149313782228</v>
      </c>
      <c r="H79" s="17">
        <f>SUM(Jul!H79,Aug!H79,Sep!H79)</f>
        <v>1124145</v>
      </c>
      <c r="I79" s="17">
        <f>SUM(Jul!I79, Aug!I79, Sep!I79)</f>
        <v>8623.2199999999721</v>
      </c>
      <c r="J79" s="16">
        <f t="shared" si="8"/>
        <v>7.6709143393423199E-3</v>
      </c>
      <c r="K79" s="39"/>
      <c r="L79" s="40"/>
    </row>
    <row r="80" spans="1:12" ht="15.75">
      <c r="A80" s="25" t="str">
        <v>Villa Roma 1</v>
      </c>
      <c r="B80" s="26" t="str">
        <v>NY</v>
      </c>
      <c r="C80" s="26" t="str">
        <f>Sites[[#This Row],[SOL'#]]</f>
        <v>SOL-10914</v>
      </c>
      <c r="D80" s="21">
        <f>SUM(Jul!D80, Aug!D80, Sep!D80)</f>
        <v>754156</v>
      </c>
      <c r="E80" s="11">
        <f>SUM(Jul!E80, Aug!E80, Sep!E80)</f>
        <v>1442378.81</v>
      </c>
      <c r="F80" s="11">
        <f t="shared" si="6"/>
        <v>-688222.81</v>
      </c>
      <c r="G80" s="12">
        <f t="shared" si="7"/>
        <v>-0.47714428777555323</v>
      </c>
      <c r="H80" s="13">
        <f>SUM(Jul!H80,Aug!H80,Sep!H80)</f>
        <v>974612</v>
      </c>
      <c r="I80" s="13">
        <f>SUM(Jul!I80, Aug!I80, Sep!I80)</f>
        <v>-216943.05</v>
      </c>
      <c r="J80" s="14">
        <f t="shared" si="8"/>
        <v>-0.22259427341341989</v>
      </c>
      <c r="K80" s="38"/>
      <c r="L80" s="38"/>
    </row>
    <row r="81" spans="1:12" ht="15.75">
      <c r="A81" s="27" t="str">
        <v>Villa Roma 2</v>
      </c>
      <c r="B81" s="28" t="str">
        <v>NY</v>
      </c>
      <c r="C81" s="28" t="str">
        <f>Sites[[#This Row],[SOL'#]]</f>
        <v>SOL-10915</v>
      </c>
      <c r="D81" s="10">
        <f>SUM(Jul!D81, Aug!D81, Sep!D81)</f>
        <v>612072</v>
      </c>
      <c r="E81" s="15">
        <f>SUM(Jul!E81, Aug!E81, Sep!E81)</f>
        <v>941203.09000000008</v>
      </c>
      <c r="F81" s="15">
        <f t="shared" ref="F81:F144" si="9">IF(AND(ISNUMBER(D81),ISNUMBER(E81)), D81-E81, "")</f>
        <v>-329131.09000000008</v>
      </c>
      <c r="G81" s="16">
        <f t="shared" ref="G81:G144" si="10">IFERROR(F81/E81, "")</f>
        <v>-0.34969189274548607</v>
      </c>
      <c r="H81" s="17">
        <f>SUM(Jul!H81,Aug!H81,Sep!H81)</f>
        <v>944292</v>
      </c>
      <c r="I81" s="17">
        <f>SUM(Jul!I81, Aug!I81, Sep!I81)</f>
        <v>-328789.62</v>
      </c>
      <c r="J81" s="16">
        <f t="shared" ref="J81:J144" si="11">IFERROR(I81/H81, "")</f>
        <v>-0.34818638726156736</v>
      </c>
      <c r="K81" s="39"/>
      <c r="L81" s="40"/>
    </row>
    <row r="82" spans="1:12" ht="15.75">
      <c r="A82" s="25" t="str">
        <v>Washington 1</v>
      </c>
      <c r="B82" s="26" t="str">
        <v>NY</v>
      </c>
      <c r="C82" s="26" t="str">
        <f>Sites[[#This Row],[SOL'#]]</f>
        <v>SOL-10912</v>
      </c>
      <c r="D82" s="21">
        <f>SUM(Jul!D82, Aug!D82, Sep!D82)</f>
        <v>1114940</v>
      </c>
      <c r="E82" s="11">
        <f>SUM(Jul!E82, Aug!E82, Sep!E82)</f>
        <v>1188332.3799999999</v>
      </c>
      <c r="F82" s="11">
        <f t="shared" si="9"/>
        <v>-73392.379999999888</v>
      </c>
      <c r="G82" s="12">
        <f t="shared" si="10"/>
        <v>-6.1760818130698329E-2</v>
      </c>
      <c r="H82" s="13">
        <f>SUM(Jul!H82,Aug!H82,Sep!H82)</f>
        <v>1109692</v>
      </c>
      <c r="I82" s="13">
        <f>SUM(Jul!I82, Aug!I82, Sep!I82)</f>
        <v>8098.2999999999884</v>
      </c>
      <c r="J82" s="14">
        <f t="shared" si="11"/>
        <v>7.2977907383309859E-3</v>
      </c>
      <c r="K82" s="38"/>
      <c r="L82" s="38"/>
    </row>
    <row r="83" spans="1:12" ht="15.75">
      <c r="A83" s="27" t="str">
        <v>Washington 3</v>
      </c>
      <c r="B83" s="28" t="str">
        <v>NY</v>
      </c>
      <c r="C83" s="28" t="str">
        <f>Sites[[#This Row],[SOL'#]]</f>
        <v>SOL-10828</v>
      </c>
      <c r="D83" s="10">
        <f>SUM(Jul!D83, Aug!D83, Sep!D83)</f>
        <v>1355881</v>
      </c>
      <c r="E83" s="15">
        <f>SUM(Jul!E83, Aug!E83, Sep!E83)</f>
        <v>1260625.96</v>
      </c>
      <c r="F83" s="15">
        <f t="shared" si="9"/>
        <v>95255.040000000037</v>
      </c>
      <c r="G83" s="16">
        <f t="shared" si="10"/>
        <v>7.5561699522672082E-2</v>
      </c>
      <c r="H83" s="17">
        <f>SUM(Jul!H83,Aug!H83,Sep!H83)</f>
        <v>1355199</v>
      </c>
      <c r="I83" s="17">
        <f>SUM(Jul!I83, Aug!I83, Sep!I83)</f>
        <v>5677.710000000021</v>
      </c>
      <c r="J83" s="16">
        <f t="shared" si="11"/>
        <v>4.1895765861692793E-3</v>
      </c>
      <c r="K83" s="39"/>
      <c r="L83" s="40"/>
    </row>
    <row r="84" spans="1:12" ht="15.75">
      <c r="A84" s="25" t="str">
        <v>Washington 4</v>
      </c>
      <c r="B84" s="26" t="str">
        <v>NY</v>
      </c>
      <c r="C84" s="26" t="str">
        <f>Sites[[#This Row],[SOL'#]]</f>
        <v>SOL-10829</v>
      </c>
      <c r="D84" s="21">
        <f>SUM(Jul!D84, Aug!D84, Sep!D84)</f>
        <v>0</v>
      </c>
      <c r="E84" s="11">
        <f>SUM(Jul!E84, Aug!E84, Sep!E84)</f>
        <v>0</v>
      </c>
      <c r="F84" s="11">
        <f t="shared" si="9"/>
        <v>0</v>
      </c>
      <c r="G84" s="12" t="str">
        <f t="shared" si="10"/>
        <v/>
      </c>
      <c r="H84" s="13">
        <f>SUM(Jul!H84,Aug!H84,Sep!H84)</f>
        <v>1358249</v>
      </c>
      <c r="I84" s="13">
        <f>SUM(Jul!I84, Aug!I84, Sep!I84)</f>
        <v>-401619</v>
      </c>
      <c r="J84" s="14">
        <f t="shared" si="11"/>
        <v>-0.29568878754926381</v>
      </c>
      <c r="K84" s="38"/>
      <c r="L84" s="38"/>
    </row>
    <row r="85" spans="1:12" ht="15.75">
      <c r="A85" s="27" t="str">
        <v>Big Tree</v>
      </c>
      <c r="B85" s="28" t="str">
        <v>NY</v>
      </c>
      <c r="C85" s="28" t="str">
        <f>Sites[[#This Row],[SOL'#]]</f>
        <v>SOL-10966</v>
      </c>
      <c r="D85" s="10">
        <f>SUM(Jul!D85, Aug!D85, Sep!D85)</f>
        <v>1149136</v>
      </c>
      <c r="E85" s="15">
        <f>SUM(Jul!E85, Aug!E85, Sep!E85)</f>
        <v>0</v>
      </c>
      <c r="F85" s="15">
        <f t="shared" si="9"/>
        <v>1149136</v>
      </c>
      <c r="G85" s="16" t="str">
        <f t="shared" si="10"/>
        <v/>
      </c>
      <c r="H85" s="17">
        <f>SUM(Jul!H85,Aug!H85,Sep!H85)</f>
        <v>1109454</v>
      </c>
      <c r="I85" s="17">
        <f>SUM(Jul!I85, Aug!I85, Sep!I85)</f>
        <v>39682</v>
      </c>
      <c r="J85" s="16">
        <f t="shared" si="11"/>
        <v>3.5767143117245062E-2</v>
      </c>
      <c r="K85" s="39"/>
      <c r="L85" s="40"/>
    </row>
    <row r="86" spans="1:12" ht="15.75">
      <c r="A86" s="25" t="str">
        <v>Canoga</v>
      </c>
      <c r="B86" s="26" t="str">
        <v>NY</v>
      </c>
      <c r="C86" s="26" t="str">
        <f>Sites[[#This Row],[SOL'#]]</f>
        <v>SOL-10965</v>
      </c>
      <c r="D86" s="21">
        <f>SUM(Jul!D86, Aug!D86, Sep!D86)</f>
        <v>2745364</v>
      </c>
      <c r="E86" s="11">
        <f>SUM(Jul!E86, Aug!E86, Sep!E86)</f>
        <v>0</v>
      </c>
      <c r="F86" s="11">
        <f t="shared" si="9"/>
        <v>2745364</v>
      </c>
      <c r="G86" s="12" t="str">
        <f t="shared" si="10"/>
        <v/>
      </c>
      <c r="H86" s="13">
        <f>SUM(Jul!H86,Aug!H86,Sep!H86)</f>
        <v>2886424</v>
      </c>
      <c r="I86" s="13">
        <f>SUM(Jul!I86, Aug!I86, Sep!I86)</f>
        <v>-141060</v>
      </c>
      <c r="J86" s="14">
        <f t="shared" si="11"/>
        <v>-4.8870159061870332E-2</v>
      </c>
      <c r="K86" s="38"/>
      <c r="L86" s="38"/>
    </row>
    <row r="87" spans="1:12" ht="15.75">
      <c r="A87" s="27" t="str">
        <v>County Route 84</v>
      </c>
      <c r="B87" s="28" t="str">
        <v>NY</v>
      </c>
      <c r="C87" s="28" t="str">
        <f>Sites[[#This Row],[SOL'#]]</f>
        <v>SOL-10967</v>
      </c>
      <c r="D87" s="10">
        <f>SUM(Jul!D87, Aug!D87, Sep!D87)</f>
        <v>2677459</v>
      </c>
      <c r="E87" s="15">
        <f>SUM(Jul!E87, Aug!E87, Sep!E87)</f>
        <v>0</v>
      </c>
      <c r="F87" s="15">
        <f t="shared" si="9"/>
        <v>2677459</v>
      </c>
      <c r="G87" s="16" t="str">
        <f t="shared" si="10"/>
        <v/>
      </c>
      <c r="H87" s="17">
        <f>SUM(Jul!H87,Aug!H87,Sep!H87)</f>
        <v>2838559</v>
      </c>
      <c r="I87" s="17">
        <f>SUM(Jul!I87, Aug!I87, Sep!I87)</f>
        <v>-161100</v>
      </c>
      <c r="J87" s="16">
        <f t="shared" si="11"/>
        <v>-5.6754148848059877E-2</v>
      </c>
      <c r="K87" s="39"/>
      <c r="L87" s="40"/>
    </row>
    <row r="88" spans="1:12" ht="15.75">
      <c r="A88" s="25" t="str">
        <v>Donati</v>
      </c>
      <c r="B88" s="26" t="str">
        <v>NY</v>
      </c>
      <c r="C88" s="26" t="str">
        <f>Sites[[#This Row],[SOL'#]]</f>
        <v>SOL-10968</v>
      </c>
      <c r="D88" s="21">
        <f>SUM(Jul!D88, Aug!D88, Sep!D88)</f>
        <v>1215275</v>
      </c>
      <c r="E88" s="11">
        <f>SUM(Jul!E88, Aug!E88, Sep!E88)</f>
        <v>0</v>
      </c>
      <c r="F88" s="11">
        <f t="shared" si="9"/>
        <v>1215275</v>
      </c>
      <c r="G88" s="12" t="str">
        <f t="shared" si="10"/>
        <v/>
      </c>
      <c r="H88" s="13">
        <f>SUM(Jul!H88,Aug!H88,Sep!H88)</f>
        <v>1432711</v>
      </c>
      <c r="I88" s="13">
        <f>SUM(Jul!I88, Aug!I88, Sep!I88)</f>
        <v>-217436</v>
      </c>
      <c r="J88" s="14">
        <f t="shared" si="11"/>
        <v>-0.15176542931547254</v>
      </c>
      <c r="K88" s="38"/>
      <c r="L88" s="38"/>
    </row>
    <row r="89" spans="1:12" ht="15.75">
      <c r="A89" s="27" t="str">
        <v>Henrietta</v>
      </c>
      <c r="B89" s="28" t="str">
        <v>NY</v>
      </c>
      <c r="C89" s="28" t="str">
        <f>Sites[[#This Row],[SOL'#]]</f>
        <v>SOL-10972</v>
      </c>
      <c r="D89" s="10">
        <f>SUM(Jul!D89, Aug!D89, Sep!D89)</f>
        <v>2789459</v>
      </c>
      <c r="E89" s="15">
        <f>SUM(Jul!E89, Aug!E89, Sep!E89)</f>
        <v>0</v>
      </c>
      <c r="F89" s="15">
        <f t="shared" si="9"/>
        <v>2789459</v>
      </c>
      <c r="G89" s="16" t="str">
        <f t="shared" si="10"/>
        <v/>
      </c>
      <c r="H89" s="17">
        <f>SUM(Jul!H89,Aug!H89,Sep!H89)</f>
        <v>2966115</v>
      </c>
      <c r="I89" s="17">
        <f>SUM(Jul!I89, Aug!I89, Sep!I89)</f>
        <v>-176656</v>
      </c>
      <c r="J89" s="16">
        <f t="shared" si="11"/>
        <v>-5.9558041411071384E-2</v>
      </c>
      <c r="K89" s="39"/>
      <c r="L89" s="40"/>
    </row>
    <row r="90" spans="1:12" ht="15.75">
      <c r="A90" s="25" t="str">
        <v>NY 70</v>
      </c>
      <c r="B90" s="26" t="str">
        <v>NY</v>
      </c>
      <c r="C90" s="26" t="str">
        <f>Sites[[#This Row],[SOL'#]]</f>
        <v>SOL-10970</v>
      </c>
      <c r="D90" s="21">
        <f>SUM(Jul!D90, Aug!D90, Sep!D90)</f>
        <v>2573983</v>
      </c>
      <c r="E90" s="11">
        <f>SUM(Jul!E90, Aug!E90, Sep!E90)</f>
        <v>0</v>
      </c>
      <c r="F90" s="11">
        <f t="shared" si="9"/>
        <v>2573983</v>
      </c>
      <c r="G90" s="12" t="str">
        <f t="shared" si="10"/>
        <v/>
      </c>
      <c r="H90" s="13">
        <f>SUM(Jul!H90,Aug!H90,Sep!H90)</f>
        <v>3197532</v>
      </c>
      <c r="I90" s="13">
        <f>SUM(Jul!I90, Aug!I90, Sep!I90)</f>
        <v>-623549</v>
      </c>
      <c r="J90" s="14">
        <f t="shared" si="11"/>
        <v>-0.19500946354876197</v>
      </c>
      <c r="K90" s="38"/>
      <c r="L90" s="38"/>
    </row>
    <row r="91" spans="1:12" ht="15.75">
      <c r="A91" s="27" t="str">
        <v>Reid</v>
      </c>
      <c r="B91" s="28" t="str">
        <v>NY</v>
      </c>
      <c r="C91" s="28" t="str">
        <f>Sites[[#This Row],[SOL'#]]</f>
        <v>SOL-10991</v>
      </c>
      <c r="D91" s="10">
        <f>SUM(Jul!D91, Aug!D91, Sep!D91)</f>
        <v>2402988.0236393521</v>
      </c>
      <c r="E91" s="15">
        <f>SUM(Jul!E91, Aug!E91, Sep!E91)</f>
        <v>2348866.7000000002</v>
      </c>
      <c r="F91" s="15">
        <f t="shared" si="9"/>
        <v>54121.323639351875</v>
      </c>
      <c r="G91" s="16">
        <f t="shared" si="10"/>
        <v>2.3041462352611099E-2</v>
      </c>
      <c r="H91" s="17">
        <f>SUM(Jul!H91,Aug!H91,Sep!H91)</f>
        <v>2537633</v>
      </c>
      <c r="I91" s="17">
        <f>SUM(Jul!I91, Aug!I91, Sep!I91)</f>
        <v>-134644.97636064806</v>
      </c>
      <c r="J91" s="16">
        <f t="shared" si="11"/>
        <v>-5.3059278611465116E-2</v>
      </c>
      <c r="K91" s="39"/>
      <c r="L91" s="40"/>
    </row>
    <row r="92" spans="1:12" ht="15.75">
      <c r="A92" s="25" t="str">
        <v>Sangolqui</v>
      </c>
      <c r="B92" s="26" t="str">
        <v>NY</v>
      </c>
      <c r="C92" s="26" t="str">
        <f>Sites[[#This Row],[SOL'#]]</f>
        <v>SOL-10975</v>
      </c>
      <c r="D92" s="21">
        <f>SUM(Jul!D92, Aug!D92, Sep!D92)</f>
        <v>1363117</v>
      </c>
      <c r="E92" s="11">
        <f>SUM(Jul!E92, Aug!E92, Sep!E92)</f>
        <v>0</v>
      </c>
      <c r="F92" s="11">
        <f t="shared" si="9"/>
        <v>1363117</v>
      </c>
      <c r="G92" s="12" t="str">
        <f t="shared" si="10"/>
        <v/>
      </c>
      <c r="H92" s="13">
        <f>SUM(Jul!H92,Aug!H92,Sep!H92)</f>
        <v>1399777</v>
      </c>
      <c r="I92" s="13">
        <f>SUM(Jul!I92, Aug!I92, Sep!I92)</f>
        <v>-36660</v>
      </c>
      <c r="J92" s="14">
        <f t="shared" si="11"/>
        <v>-2.6189885960406549E-2</v>
      </c>
      <c r="K92" s="38"/>
      <c r="L92" s="38"/>
    </row>
    <row r="93" spans="1:12" ht="15.75">
      <c r="A93" s="27" t="str">
        <v>State Highway 17B</v>
      </c>
      <c r="B93" s="28" t="str">
        <v>NY</v>
      </c>
      <c r="C93" s="28" t="str">
        <f>Sites[[#This Row],[SOL'#]]</f>
        <v>SOL-10988</v>
      </c>
      <c r="D93" s="10">
        <f>SUM(Jul!D93, Aug!D93, Sep!D93)</f>
        <v>2149590</v>
      </c>
      <c r="E93" s="15">
        <f>SUM(Jul!E93, Aug!E93, Sep!E93)</f>
        <v>0</v>
      </c>
      <c r="F93" s="15">
        <f t="shared" si="9"/>
        <v>2149590</v>
      </c>
      <c r="G93" s="16" t="str">
        <f t="shared" si="10"/>
        <v/>
      </c>
      <c r="H93" s="17">
        <f>SUM(Jul!H93,Aug!H93,Sep!H93)</f>
        <v>2461224</v>
      </c>
      <c r="I93" s="17">
        <f>SUM(Jul!I93, Aug!I93, Sep!I93)</f>
        <v>-311634</v>
      </c>
      <c r="J93" s="16">
        <f t="shared" si="11"/>
        <v>-0.1266174878840772</v>
      </c>
      <c r="K93" s="39"/>
      <c r="L93" s="40"/>
    </row>
    <row r="94" spans="1:12" ht="15.75">
      <c r="A94" s="25" t="str">
        <v>State Route 14A</v>
      </c>
      <c r="B94" s="26" t="str">
        <v>NY</v>
      </c>
      <c r="C94" s="26" t="str">
        <f>Sites[[#This Row],[SOL'#]]</f>
        <v>SOL-10997</v>
      </c>
      <c r="D94" s="21">
        <f>SUM(Jul!D94, Aug!D94, Sep!D94)</f>
        <v>2812467</v>
      </c>
      <c r="E94" s="11">
        <f>SUM(Jul!E94, Aug!E94, Sep!E94)</f>
        <v>0</v>
      </c>
      <c r="F94" s="11">
        <f t="shared" si="9"/>
        <v>2812467</v>
      </c>
      <c r="G94" s="12" t="str">
        <f t="shared" si="10"/>
        <v/>
      </c>
      <c r="H94" s="13">
        <f>SUM(Jul!H94,Aug!H94,Sep!H94)</f>
        <v>2853286</v>
      </c>
      <c r="I94" s="13">
        <f>SUM(Jul!I94, Aug!I94, Sep!I94)</f>
        <v>-40819</v>
      </c>
      <c r="J94" s="14">
        <f t="shared" si="11"/>
        <v>-1.4305961617587581E-2</v>
      </c>
      <c r="K94" s="38"/>
      <c r="L94" s="38"/>
    </row>
    <row r="95" spans="1:12" ht="15.75">
      <c r="A95" s="27" t="str">
        <v>West Creek</v>
      </c>
      <c r="B95" s="28" t="str">
        <v>NY</v>
      </c>
      <c r="C95" s="28" t="str">
        <f>Sites[[#This Row],[SOL'#]]</f>
        <v>SOL-10995</v>
      </c>
      <c r="D95" s="10">
        <f>SUM(Jul!D95, Aug!D95, Sep!D95)</f>
        <v>2761920</v>
      </c>
      <c r="E95" s="15">
        <f>SUM(Jul!E95, Aug!E95, Sep!E95)</f>
        <v>0</v>
      </c>
      <c r="F95" s="15">
        <f t="shared" si="9"/>
        <v>2761920</v>
      </c>
      <c r="G95" s="16" t="str">
        <f t="shared" si="10"/>
        <v/>
      </c>
      <c r="H95" s="17">
        <f>SUM(Jul!H95,Aug!H95,Sep!H95)</f>
        <v>2849857</v>
      </c>
      <c r="I95" s="17">
        <f>SUM(Jul!I95, Aug!I95, Sep!I95)</f>
        <v>-87937</v>
      </c>
      <c r="J95" s="16">
        <f t="shared" si="11"/>
        <v>-3.0856635964541378E-2</v>
      </c>
      <c r="K95" s="39"/>
      <c r="L95" s="40"/>
    </row>
    <row r="96" spans="1:12" ht="15.75">
      <c r="A96" s="25" t="str">
        <v>Wildflower</v>
      </c>
      <c r="B96" s="26" t="str">
        <v>NY</v>
      </c>
      <c r="C96" s="26" t="str">
        <f>Sites[[#This Row],[SOL'#]]</f>
        <v>SOL-10982</v>
      </c>
      <c r="D96" s="21">
        <f>SUM(Jul!D96, Aug!D96, Sep!D96)</f>
        <v>1961543.97</v>
      </c>
      <c r="E96" s="11">
        <f>SUM(Jul!E96, Aug!E96, Sep!E96)</f>
        <v>0</v>
      </c>
      <c r="F96" s="11">
        <f t="shared" si="9"/>
        <v>1961543.97</v>
      </c>
      <c r="G96" s="12" t="str">
        <f t="shared" si="10"/>
        <v/>
      </c>
      <c r="H96" s="13">
        <f>SUM(Jul!H96,Aug!H96,Sep!H96)</f>
        <v>2725222</v>
      </c>
      <c r="I96" s="13">
        <f>SUM(Jul!I96, Aug!I96, Sep!I96)</f>
        <v>-763678.03</v>
      </c>
      <c r="J96" s="14">
        <f t="shared" si="11"/>
        <v>-0.28022598892860839</v>
      </c>
      <c r="K96" s="38"/>
      <c r="L96" s="38"/>
    </row>
    <row r="97" spans="1:12" ht="15.75">
      <c r="A97" s="27" t="str">
        <v>Glen Mary 1</v>
      </c>
      <c r="B97" s="28" t="str">
        <v>NY</v>
      </c>
      <c r="C97" s="28" t="str">
        <f>Sites[[#This Row],[SOL'#]]</f>
        <v>SOL-10993</v>
      </c>
      <c r="D97" s="10">
        <f>SUM(Jul!D97, Aug!D97, Sep!D97)</f>
        <v>2626080</v>
      </c>
      <c r="E97" s="15">
        <f>SUM(Jul!E97, Aug!E97, Sep!E97)</f>
        <v>0</v>
      </c>
      <c r="F97" s="15">
        <f t="shared" si="9"/>
        <v>2626080</v>
      </c>
      <c r="G97" s="16" t="str">
        <f t="shared" si="10"/>
        <v/>
      </c>
      <c r="H97" s="17">
        <f>SUM(Jul!H97,Aug!H97,Sep!H97)</f>
        <v>2807987</v>
      </c>
      <c r="I97" s="17">
        <f>SUM(Jul!I97, Aug!I97, Sep!I97)</f>
        <v>-181907</v>
      </c>
      <c r="J97" s="16">
        <f t="shared" si="11"/>
        <v>-6.478199507333901E-2</v>
      </c>
      <c r="K97" s="39"/>
      <c r="L97" s="40"/>
    </row>
    <row r="98" spans="1:12" ht="15.75">
      <c r="A98" s="25" t="str">
        <v>Glen Mary 2</v>
      </c>
      <c r="B98" s="26" t="str">
        <v>NY</v>
      </c>
      <c r="C98" s="26" t="str">
        <f>Sites[[#This Row],[SOL'#]]</f>
        <v>SOL-10994</v>
      </c>
      <c r="D98" s="21">
        <f>SUM(Jul!D98, Aug!D98, Sep!D98)</f>
        <v>1166603</v>
      </c>
      <c r="E98" s="11">
        <f>SUM(Jul!E98, Aug!E98, Sep!E98)</f>
        <v>0</v>
      </c>
      <c r="F98" s="11">
        <f t="shared" si="9"/>
        <v>1166603</v>
      </c>
      <c r="G98" s="12" t="str">
        <f t="shared" si="10"/>
        <v/>
      </c>
      <c r="H98" s="13">
        <f>SUM(Jul!H98,Aug!H98,Sep!H98)</f>
        <v>1194298</v>
      </c>
      <c r="I98" s="13">
        <f>SUM(Jul!I98, Aug!I98, Sep!I98)</f>
        <v>-27695</v>
      </c>
      <c r="J98" s="14">
        <f t="shared" si="11"/>
        <v>-2.3189354750656872E-2</v>
      </c>
      <c r="K98" s="38"/>
      <c r="L98" s="38"/>
    </row>
    <row r="99" spans="1:12" ht="15.75">
      <c r="A99" s="27" t="str">
        <v>Telegraph 1</v>
      </c>
      <c r="B99" s="28" t="str">
        <v>NY</v>
      </c>
      <c r="C99" s="28" t="str">
        <f>Sites[[#This Row],[SOL'#]]</f>
        <v>SOL-11003</v>
      </c>
      <c r="D99" s="10">
        <f>SUM(Jul!D99, Aug!D99, Sep!D99)</f>
        <v>1633785</v>
      </c>
      <c r="E99" s="15">
        <f>SUM(Jul!E99, Aug!E99, Sep!E99)</f>
        <v>0</v>
      </c>
      <c r="F99" s="15">
        <f t="shared" si="9"/>
        <v>1633785</v>
      </c>
      <c r="G99" s="16" t="str">
        <f t="shared" si="10"/>
        <v/>
      </c>
      <c r="H99" s="17">
        <f>SUM(Jul!H99,Aug!H99,Sep!H99)</f>
        <v>2005815</v>
      </c>
      <c r="I99" s="17">
        <f>SUM(Jul!I99, Aug!I99, Sep!I99)</f>
        <v>-372030</v>
      </c>
      <c r="J99" s="16">
        <f t="shared" si="11"/>
        <v>-0.18547572931701078</v>
      </c>
      <c r="K99" s="39"/>
      <c r="L99" s="40"/>
    </row>
    <row r="100" spans="1:12" ht="15.75">
      <c r="A100" s="25" t="str">
        <v>Telegraph 2</v>
      </c>
      <c r="B100" s="26" t="str">
        <v>NY</v>
      </c>
      <c r="C100" s="26" t="str">
        <f>Sites[[#This Row],[SOL'#]]</f>
        <v>SOL-11004</v>
      </c>
      <c r="D100" s="21">
        <f>SUM(Jul!D100, Aug!D100, Sep!D100)</f>
        <v>1149645</v>
      </c>
      <c r="E100" s="11">
        <f>SUM(Jul!E100, Aug!E100, Sep!E100)</f>
        <v>0</v>
      </c>
      <c r="F100" s="11">
        <f t="shared" si="9"/>
        <v>1149645</v>
      </c>
      <c r="G100" s="12" t="str">
        <f t="shared" si="10"/>
        <v/>
      </c>
      <c r="H100" s="13">
        <f>SUM(Jul!H100,Aug!H100,Sep!H100)</f>
        <v>1044283</v>
      </c>
      <c r="I100" s="13">
        <f>SUM(Jul!I100, Aug!I100, Sep!I100)</f>
        <v>105362</v>
      </c>
      <c r="J100" s="14">
        <f t="shared" si="11"/>
        <v>0.10089410629111074</v>
      </c>
      <c r="K100" s="38"/>
      <c r="L100" s="38"/>
    </row>
    <row r="101" spans="1:12" ht="15.75">
      <c r="A101" s="27" t="str">
        <v>Cafferty Hill</v>
      </c>
      <c r="B101" s="28" t="str">
        <v>NY</v>
      </c>
      <c r="C101" s="28" t="str">
        <f>Sites[[#This Row],[SOL'#]]</f>
        <v>SOL-10996</v>
      </c>
      <c r="D101" s="10">
        <f>SUM(Jul!D101, Aug!D101, Sep!D101)</f>
        <v>865830</v>
      </c>
      <c r="E101" s="15">
        <f>SUM(Jul!E101, Aug!E101, Sep!E101)</f>
        <v>0</v>
      </c>
      <c r="F101" s="15">
        <f t="shared" si="9"/>
        <v>865830</v>
      </c>
      <c r="G101" s="16" t="str">
        <f t="shared" si="10"/>
        <v/>
      </c>
      <c r="H101" s="17">
        <f>SUM(Jul!H101,Aug!H101,Sep!H101)</f>
        <v>2755999</v>
      </c>
      <c r="I101" s="17">
        <f>SUM(Jul!I101, Aug!I101, Sep!I101)</f>
        <v>-947435</v>
      </c>
      <c r="J101" s="16">
        <f t="shared" si="11"/>
        <v>-0.34377189541795916</v>
      </c>
      <c r="K101" s="39"/>
      <c r="L101" s="40"/>
    </row>
    <row r="102" spans="1:12" ht="15.75">
      <c r="A102" s="25" t="str">
        <v>Dunkleman</v>
      </c>
      <c r="B102" s="26" t="str">
        <v>NY</v>
      </c>
      <c r="C102" s="26" t="str">
        <f>Sites[[#This Row],[SOL'#]]</f>
        <v>SOL-11008</v>
      </c>
      <c r="D102" s="21">
        <f>SUM(Jul!D102, Aug!D102, Sep!D102)</f>
        <v>2439050</v>
      </c>
      <c r="E102" s="11">
        <f>SUM(Jul!E102, Aug!E102, Sep!E102)</f>
        <v>0</v>
      </c>
      <c r="F102" s="11">
        <f t="shared" si="9"/>
        <v>2439050</v>
      </c>
      <c r="G102" s="12" t="str">
        <f t="shared" si="10"/>
        <v/>
      </c>
      <c r="H102" s="13">
        <f>SUM(Jul!H102,Aug!H102,Sep!H102)</f>
        <v>3355330</v>
      </c>
      <c r="I102" s="13">
        <f>SUM(Jul!I102, Aug!I102, Sep!I102)</f>
        <v>-916280</v>
      </c>
      <c r="J102" s="14">
        <f t="shared" si="11"/>
        <v>-0.27308193232856381</v>
      </c>
      <c r="K102" s="38"/>
      <c r="L102" s="38"/>
    </row>
    <row r="103" spans="1:12" ht="15.75">
      <c r="A103" s="27" t="str">
        <v>Route 19 1</v>
      </c>
      <c r="B103" s="28" t="str">
        <v>NY</v>
      </c>
      <c r="C103" s="28" t="str">
        <f>Sites[[#This Row],[SOL'#]]</f>
        <v>SOL-11001</v>
      </c>
      <c r="D103" s="10">
        <f>SUM(Jul!D103, Aug!D103, Sep!D103)</f>
        <v>1399318</v>
      </c>
      <c r="E103" s="15">
        <f>SUM(Jul!E103, Aug!E103, Sep!E103)</f>
        <v>0</v>
      </c>
      <c r="F103" s="15">
        <f t="shared" si="9"/>
        <v>1399318</v>
      </c>
      <c r="G103" s="16" t="str">
        <f t="shared" si="10"/>
        <v/>
      </c>
      <c r="H103" s="17">
        <f>SUM(Jul!H103,Aug!H103,Sep!H103)</f>
        <v>1363095</v>
      </c>
      <c r="I103" s="17">
        <f>SUM(Jul!I103, Aug!I103, Sep!I103)</f>
        <v>36223</v>
      </c>
      <c r="J103" s="16">
        <f t="shared" si="11"/>
        <v>2.6574083244381354E-2</v>
      </c>
      <c r="K103" s="39"/>
      <c r="L103" s="40"/>
    </row>
    <row r="104" spans="1:12" ht="15.75">
      <c r="A104" s="25" t="str">
        <v>Route 19 2</v>
      </c>
      <c r="B104" s="26" t="str">
        <v>NY</v>
      </c>
      <c r="C104" s="26" t="str">
        <f>Sites[[#This Row],[SOL'#]]</f>
        <v>SOL-11002</v>
      </c>
      <c r="D104" s="21">
        <f>SUM(Jul!D104, Aug!D104, Sep!D104)</f>
        <v>3244752</v>
      </c>
      <c r="E104" s="11">
        <f>SUM(Jul!E104, Aug!E104, Sep!E104)</f>
        <v>0</v>
      </c>
      <c r="F104" s="11">
        <f t="shared" si="9"/>
        <v>3244752</v>
      </c>
      <c r="G104" s="12" t="str">
        <f t="shared" si="10"/>
        <v/>
      </c>
      <c r="H104" s="13">
        <f>SUM(Jul!H104,Aug!H104,Sep!H104)</f>
        <v>3369119</v>
      </c>
      <c r="I104" s="13">
        <f>SUM(Jul!I104, Aug!I104, Sep!I104)</f>
        <v>-124367</v>
      </c>
      <c r="J104" s="14">
        <f t="shared" si="11"/>
        <v>-3.6913804469358311E-2</v>
      </c>
      <c r="K104" s="38"/>
      <c r="L104" s="38"/>
    </row>
    <row r="105" spans="1:12" ht="15.75">
      <c r="A105" s="27" t="str">
        <v>Yellow Mills 1</v>
      </c>
      <c r="B105" s="28" t="str">
        <v>NY</v>
      </c>
      <c r="C105" s="28" t="str">
        <f>Sites[[#This Row],[SOL'#]]</f>
        <v>SOL-11006</v>
      </c>
      <c r="D105" s="10">
        <f>SUM(Jul!D105, Aug!D105, Sep!D105)</f>
        <v>830874</v>
      </c>
      <c r="E105" s="15">
        <f>SUM(Jul!E105, Aug!E105, Sep!E105)</f>
        <v>0</v>
      </c>
      <c r="F105" s="15">
        <f t="shared" si="9"/>
        <v>830874</v>
      </c>
      <c r="G105" s="16" t="str">
        <f t="shared" si="10"/>
        <v/>
      </c>
      <c r="H105" s="17">
        <f>SUM(Jul!H105,Aug!H105,Sep!H105)</f>
        <v>1168435</v>
      </c>
      <c r="I105" s="17">
        <f>SUM(Jul!I105, Aug!I105, Sep!I105)</f>
        <v>-337561</v>
      </c>
      <c r="J105" s="16">
        <f t="shared" si="11"/>
        <v>-0.28890010997616472</v>
      </c>
      <c r="K105" s="39"/>
      <c r="L105" s="40"/>
    </row>
    <row r="106" spans="1:12" ht="15.75">
      <c r="A106" s="25" t="str">
        <v>Yellow Mills 2</v>
      </c>
      <c r="B106" s="26" t="str">
        <v>NY</v>
      </c>
      <c r="C106" s="26" t="str">
        <f>Sites[[#This Row],[SOL'#]]</f>
        <v>SOL-11005</v>
      </c>
      <c r="D106" s="21">
        <f>SUM(Jul!D106, Aug!D106, Sep!D106)</f>
        <v>1213590</v>
      </c>
      <c r="E106" s="11">
        <f>SUM(Jul!E106, Aug!E106, Sep!E106)</f>
        <v>0</v>
      </c>
      <c r="F106" s="11">
        <f t="shared" si="9"/>
        <v>1213590</v>
      </c>
      <c r="G106" s="12" t="str">
        <f t="shared" si="10"/>
        <v/>
      </c>
      <c r="H106" s="13">
        <f>SUM(Jul!H106,Aug!H106,Sep!H106)</f>
        <v>1212403</v>
      </c>
      <c r="I106" s="13">
        <f>SUM(Jul!I106, Aug!I106, Sep!I106)</f>
        <v>1187</v>
      </c>
      <c r="J106" s="14">
        <f t="shared" si="11"/>
        <v>9.7904739595662494E-4</v>
      </c>
      <c r="K106" s="38"/>
      <c r="L106" s="38"/>
    </row>
    <row r="107" spans="1:12" ht="15.75">
      <c r="A107" s="27" t="str">
        <v>Yellow Mills 3</v>
      </c>
      <c r="B107" s="28" t="str">
        <v>NY</v>
      </c>
      <c r="C107" s="28" t="str">
        <f>Sites[[#This Row],[SOL'#]]</f>
        <v>SOL-11007</v>
      </c>
      <c r="D107" s="10">
        <f>SUM(Jul!D107, Aug!D107, Sep!D107)</f>
        <v>1147425</v>
      </c>
      <c r="E107" s="15">
        <f>SUM(Jul!E107, Aug!E107, Sep!E107)</f>
        <v>0</v>
      </c>
      <c r="F107" s="15">
        <f t="shared" si="9"/>
        <v>1147425</v>
      </c>
      <c r="G107" s="16" t="str">
        <f t="shared" si="10"/>
        <v/>
      </c>
      <c r="H107" s="17">
        <f>SUM(Jul!H107,Aug!H107,Sep!H107)</f>
        <v>1155030</v>
      </c>
      <c r="I107" s="17">
        <f>SUM(Jul!I107, Aug!I107, Sep!I107)</f>
        <v>-7605</v>
      </c>
      <c r="J107" s="16">
        <f t="shared" si="11"/>
        <v>-6.5842445650762318E-3</v>
      </c>
      <c r="K107" s="39"/>
      <c r="L107" s="40"/>
    </row>
    <row r="108" spans="1:12" ht="15.75">
      <c r="A108" s="25" t="str">
        <v>Catskill</v>
      </c>
      <c r="B108" s="26" t="str">
        <v>NY</v>
      </c>
      <c r="C108" s="26" t="str">
        <f>Sites[[#This Row],[SOL'#]]</f>
        <v>SOL-11021</v>
      </c>
      <c r="D108" s="21">
        <f>SUM(Jul!D108, Aug!D108, Sep!D108)</f>
        <v>2140782</v>
      </c>
      <c r="E108" s="11">
        <f>SUM(Jul!E108, Aug!E108, Sep!E108)</f>
        <v>0</v>
      </c>
      <c r="F108" s="11">
        <f t="shared" si="9"/>
        <v>2140782</v>
      </c>
      <c r="G108" s="12" t="str">
        <f t="shared" si="10"/>
        <v/>
      </c>
      <c r="H108" s="13">
        <f>SUM(Jul!H108,Aug!H108,Sep!H108)</f>
        <v>2145635</v>
      </c>
      <c r="I108" s="13">
        <f>SUM(Jul!I108, Aug!I108, Sep!I108)</f>
        <v>-4853</v>
      </c>
      <c r="J108" s="14">
        <f t="shared" si="11"/>
        <v>-2.261801284934297E-3</v>
      </c>
      <c r="K108" s="38"/>
      <c r="L108" s="38"/>
    </row>
    <row r="109" spans="1:12" ht="15.75">
      <c r="A109" s="27" t="str">
        <v>Eddy Ridge</v>
      </c>
      <c r="B109" s="28" t="str">
        <v>NY</v>
      </c>
      <c r="C109" s="28" t="str">
        <f>Sites[[#This Row],[SOL'#]]</f>
        <v>SOL-11054</v>
      </c>
      <c r="D109" s="10">
        <f>SUM(Jul!D109, Aug!D109, Sep!D109)</f>
        <v>1153853</v>
      </c>
      <c r="E109" s="15">
        <f>SUM(Jul!E109, Aug!E109, Sep!E109)</f>
        <v>0</v>
      </c>
      <c r="F109" s="15">
        <f t="shared" si="9"/>
        <v>1153853</v>
      </c>
      <c r="G109" s="16" t="str">
        <f t="shared" si="10"/>
        <v/>
      </c>
      <c r="H109" s="17">
        <f>SUM(Jul!H109,Aug!H109,Sep!H109)</f>
        <v>1674000</v>
      </c>
      <c r="I109" s="17">
        <f>SUM(Jul!I109, Aug!I109, Sep!I109)</f>
        <v>-520147</v>
      </c>
      <c r="J109" s="16">
        <f t="shared" si="11"/>
        <v>-0.31072102747909197</v>
      </c>
      <c r="K109" s="39"/>
      <c r="L109" s="40"/>
    </row>
    <row r="110" spans="1:12" ht="15.75">
      <c r="A110" s="25" t="str">
        <v>Ridgeway #1</v>
      </c>
      <c r="B110" s="26" t="str">
        <v>NY</v>
      </c>
      <c r="C110" s="26" t="str">
        <f>Sites[[#This Row],[SOL'#]]</f>
        <v>SOL-11018</v>
      </c>
      <c r="D110" s="21">
        <f>SUM(Jul!D110, Aug!D110, Sep!D110)</f>
        <v>2643935</v>
      </c>
      <c r="E110" s="11">
        <f>SUM(Jul!E110, Aug!E110, Sep!E110)</f>
        <v>0</v>
      </c>
      <c r="F110" s="11">
        <f t="shared" si="9"/>
        <v>2643935</v>
      </c>
      <c r="G110" s="12" t="str">
        <f t="shared" si="10"/>
        <v/>
      </c>
      <c r="H110" s="13">
        <f>SUM(Jul!H110,Aug!H110,Sep!H110)</f>
        <v>3256018</v>
      </c>
      <c r="I110" s="13">
        <f>SUM(Jul!I110, Aug!I110, Sep!I110)</f>
        <v>-612083</v>
      </c>
      <c r="J110" s="14">
        <f t="shared" si="11"/>
        <v>-0.1879851401312892</v>
      </c>
      <c r="K110" s="38"/>
      <c r="L110" s="38"/>
    </row>
    <row r="111" spans="1:12" ht="15.75">
      <c r="A111" s="27" t="str">
        <v>Rivard 1</v>
      </c>
      <c r="B111" s="28" t="str">
        <v>NY</v>
      </c>
      <c r="C111" s="28" t="str">
        <f>Sites[[#This Row],[SOL'#]]</f>
        <v>SOL-11011</v>
      </c>
      <c r="D111" s="10">
        <f>SUM(Jul!D111, Aug!D111, Sep!D111)</f>
        <v>2264062.8606965169</v>
      </c>
      <c r="E111" s="15">
        <f>SUM(Jul!E111, Aug!E111, Sep!E111)</f>
        <v>3010161.8</v>
      </c>
      <c r="F111" s="15">
        <f t="shared" si="9"/>
        <v>-746098.93930348288</v>
      </c>
      <c r="G111" s="16">
        <f t="shared" si="10"/>
        <v>-0.24786007825342907</v>
      </c>
      <c r="H111" s="17">
        <f>SUM(Jul!H111,Aug!H111,Sep!H111)</f>
        <v>2818368</v>
      </c>
      <c r="I111" s="17">
        <f>SUM(Jul!I111, Aug!I111, Sep!I111)</f>
        <v>-554305.13930348295</v>
      </c>
      <c r="J111" s="16">
        <f t="shared" si="11"/>
        <v>-0.19667592709805212</v>
      </c>
      <c r="K111" s="39"/>
      <c r="L111" s="40"/>
    </row>
    <row r="112" spans="1:12" ht="15.75">
      <c r="A112" s="25" t="str">
        <v>Rivard 2</v>
      </c>
      <c r="B112" s="26" t="str">
        <v>NY</v>
      </c>
      <c r="C112" s="26" t="str">
        <f>Sites[[#This Row],[SOL'#]]</f>
        <v>SOL-11012</v>
      </c>
      <c r="D112" s="21">
        <f>SUM(Jul!D112, Aug!D112, Sep!D112)</f>
        <v>2751374.7199999988</v>
      </c>
      <c r="E112" s="11">
        <f>SUM(Jul!E112, Aug!E112, Sep!E112)</f>
        <v>2769824.4</v>
      </c>
      <c r="F112" s="11">
        <f t="shared" si="9"/>
        <v>-18449.680000001099</v>
      </c>
      <c r="G112" s="12">
        <f t="shared" si="10"/>
        <v>-6.6609565573908219E-3</v>
      </c>
      <c r="H112" s="13">
        <f>SUM(Jul!H112,Aug!H112,Sep!H112)</f>
        <v>2709666</v>
      </c>
      <c r="I112" s="13">
        <f>SUM(Jul!I112, Aug!I112, Sep!I112)</f>
        <v>41708.719999999041</v>
      </c>
      <c r="J112" s="14">
        <f t="shared" si="11"/>
        <v>1.5392568678205742E-2</v>
      </c>
      <c r="K112" s="38"/>
      <c r="L112" s="38"/>
    </row>
    <row r="113" spans="1:12" ht="15.75">
      <c r="A113" s="27" t="str">
        <v>Essex</v>
      </c>
      <c r="B113" s="28" t="str">
        <v>DC</v>
      </c>
      <c r="C113" s="28" t="str">
        <f>Sites[[#This Row],[SOL'#]]</f>
        <v>SOL-10036</v>
      </c>
      <c r="D113" s="10">
        <f>SUM(Jul!D113, Aug!D113, Sep!D113)</f>
        <v>11391</v>
      </c>
      <c r="E113" s="15">
        <f>SUM(Jul!E113, Aug!E113, Sep!E113)</f>
        <v>15429.990999999998</v>
      </c>
      <c r="F113" s="15">
        <f t="shared" si="9"/>
        <v>-4038.9909999999982</v>
      </c>
      <c r="G113" s="16">
        <f t="shared" si="10"/>
        <v>-0.26176236914201689</v>
      </c>
      <c r="H113" s="17">
        <f>SUM(Jul!H113,Aug!H113,Sep!H113)</f>
        <v>14387</v>
      </c>
      <c r="I113" s="17">
        <f>SUM(Jul!I113, Aug!I113, Sep!I113)</f>
        <v>-2996</v>
      </c>
      <c r="J113" s="16">
        <f t="shared" si="11"/>
        <v>-0.208243553207757</v>
      </c>
      <c r="K113" s="39"/>
      <c r="L113" s="40"/>
    </row>
    <row r="114" spans="1:12" ht="15.75">
      <c r="A114" s="25" t="str">
        <v>Temple Sinai</v>
      </c>
      <c r="B114" s="26" t="str">
        <v>DC</v>
      </c>
      <c r="C114" s="26" t="str">
        <f>Sites[[#This Row],[SOL'#]]</f>
        <v>SOL-10028</v>
      </c>
      <c r="D114" s="21">
        <f>SUM(Jul!D114, Aug!D114, Sep!D114)</f>
        <v>27829.380000000048</v>
      </c>
      <c r="E114" s="11">
        <f>SUM(Jul!E114, Aug!E114, Sep!E114)</f>
        <v>36134.93</v>
      </c>
      <c r="F114" s="11">
        <f t="shared" si="9"/>
        <v>-8305.549999999952</v>
      </c>
      <c r="G114" s="12">
        <f t="shared" si="10"/>
        <v>-0.22984823825589124</v>
      </c>
      <c r="H114" s="13">
        <f>SUM(Jul!H114,Aug!H114,Sep!H114)</f>
        <v>34306</v>
      </c>
      <c r="I114" s="13">
        <f>SUM(Jul!I114, Aug!I114, Sep!I114)</f>
        <v>-6476.6199999999508</v>
      </c>
      <c r="J114" s="14">
        <f t="shared" si="11"/>
        <v>-0.18878971608464848</v>
      </c>
      <c r="K114" s="38"/>
      <c r="L114" s="38"/>
    </row>
    <row r="115" spans="1:12" ht="15.75">
      <c r="A115" s="27" t="str">
        <v>Weinberg 1</v>
      </c>
      <c r="B115" s="28" t="str">
        <v>DC</v>
      </c>
      <c r="C115" s="28" t="str">
        <f>Sites[[#This Row],[SOL'#]]</f>
        <v>SOL-10039</v>
      </c>
      <c r="D115" s="10">
        <f>SUM(Jul!D115, Aug!D115, Sep!D115)</f>
        <v>4560</v>
      </c>
      <c r="E115" s="15">
        <f>SUM(Jul!E115, Aug!E115, Sep!E115)</f>
        <v>4733.1959999999999</v>
      </c>
      <c r="F115" s="15">
        <f t="shared" si="9"/>
        <v>-173.19599999999991</v>
      </c>
      <c r="G115" s="16">
        <f t="shared" si="10"/>
        <v>-3.6591765901940236E-2</v>
      </c>
      <c r="H115" s="17">
        <f>SUM(Jul!H115,Aug!H115,Sep!H115)</f>
        <v>5156.9470000000001</v>
      </c>
      <c r="I115" s="17">
        <f>SUM(Jul!I115, Aug!I115, Sep!I115)</f>
        <v>-596.94699999999989</v>
      </c>
      <c r="J115" s="16">
        <f t="shared" si="11"/>
        <v>-0.11575589200354393</v>
      </c>
      <c r="K115" s="39"/>
      <c r="L115" s="40"/>
    </row>
    <row r="116" spans="1:12" ht="15.75">
      <c r="A116" s="25" t="str">
        <v>Weinberg 2</v>
      </c>
      <c r="B116" s="26" t="str">
        <v>DC</v>
      </c>
      <c r="C116" s="26" t="str">
        <f>Sites[[#This Row],[SOL'#]]</f>
        <v>SOL-10045</v>
      </c>
      <c r="D116" s="21">
        <f>SUM(Jul!D116, Aug!D116, Sep!D116)</f>
        <v>4116</v>
      </c>
      <c r="E116" s="11">
        <f>SUM(Jul!E116, Aug!E116, Sep!E116)</f>
        <v>4166.5020000000004</v>
      </c>
      <c r="F116" s="11">
        <f t="shared" si="9"/>
        <v>-50.502000000000407</v>
      </c>
      <c r="G116" s="12">
        <f t="shared" si="10"/>
        <v>-1.212095902030058E-2</v>
      </c>
      <c r="H116" s="13">
        <f>SUM(Jul!H116,Aug!H116,Sep!H116)</f>
        <v>5221</v>
      </c>
      <c r="I116" s="13">
        <f>SUM(Jul!I116, Aug!I116, Sep!I116)</f>
        <v>-1105</v>
      </c>
      <c r="J116" s="14">
        <f t="shared" si="11"/>
        <v>-0.21164527868224478</v>
      </c>
      <c r="K116" s="38"/>
      <c r="L116" s="38"/>
    </row>
    <row r="117" spans="1:12" ht="15.75">
      <c r="A117" s="27" t="str">
        <v>Weinberg 3</v>
      </c>
      <c r="B117" s="28" t="str">
        <v>DC</v>
      </c>
      <c r="C117" s="28" t="str">
        <f>Sites[[#This Row],[SOL'#]]</f>
        <v>SOL-10042</v>
      </c>
      <c r="D117" s="10">
        <f>SUM(Jul!D117, Aug!D117, Sep!D117)</f>
        <v>5118</v>
      </c>
      <c r="E117" s="15">
        <f>SUM(Jul!E117, Aug!E117, Sep!E117)</f>
        <v>4938.9570000000003</v>
      </c>
      <c r="F117" s="15">
        <f t="shared" si="9"/>
        <v>179.04299999999967</v>
      </c>
      <c r="G117" s="16">
        <f t="shared" si="10"/>
        <v>3.6251176108639871E-2</v>
      </c>
      <c r="H117" s="17">
        <f>SUM(Jul!H117,Aug!H117,Sep!H117)</f>
        <v>5290</v>
      </c>
      <c r="I117" s="17">
        <f>SUM(Jul!I117, Aug!I117, Sep!I117)</f>
        <v>-172</v>
      </c>
      <c r="J117" s="16">
        <f t="shared" si="11"/>
        <v>-3.2514177693761817E-2</v>
      </c>
      <c r="K117" s="39"/>
      <c r="L117" s="40"/>
    </row>
    <row r="118" spans="1:12" ht="15.75">
      <c r="A118" s="25" t="str">
        <v>Clayton Hall</v>
      </c>
      <c r="B118" s="26" t="str">
        <v>DE</v>
      </c>
      <c r="C118" s="26" t="str">
        <f>Sites[[#This Row],[SOL'#]]</f>
        <v>SOL-10820</v>
      </c>
      <c r="D118" s="21">
        <f>SUM(Jul!D118, Aug!D118, Sep!D118)</f>
        <v>57976</v>
      </c>
      <c r="E118" s="11">
        <f>SUM(Jul!E118, Aug!E118, Sep!E118)</f>
        <v>64146.577000000005</v>
      </c>
      <c r="F118" s="11">
        <f t="shared" si="9"/>
        <v>-6170.5770000000048</v>
      </c>
      <c r="G118" s="12">
        <f t="shared" si="10"/>
        <v>-9.6194953629404167E-2</v>
      </c>
      <c r="H118" s="13">
        <f>SUM(Jul!H118,Aug!H118,Sep!H118)</f>
        <v>53997.001000000004</v>
      </c>
      <c r="I118" s="13">
        <f>SUM(Jul!I118, Aug!I118, Sep!I118)</f>
        <v>3978.9989999999998</v>
      </c>
      <c r="J118" s="14">
        <f t="shared" si="11"/>
        <v>7.3689259149781292E-2</v>
      </c>
      <c r="K118" s="38"/>
      <c r="L118" s="38"/>
    </row>
    <row r="119" spans="1:12" ht="15.75">
      <c r="A119" s="27" t="str">
        <v>Field House</v>
      </c>
      <c r="B119" s="28" t="str">
        <v>DE</v>
      </c>
      <c r="C119" s="28" t="str">
        <f>Sites[[#This Row],[SOL'#]]</f>
        <v>SOL-10821</v>
      </c>
      <c r="D119" s="10">
        <f>SUM(Jul!D119, Aug!D119, Sep!D119)</f>
        <v>150321</v>
      </c>
      <c r="E119" s="15">
        <f>SUM(Jul!E119, Aug!E119, Sep!E119)</f>
        <v>0</v>
      </c>
      <c r="F119" s="15">
        <f t="shared" si="9"/>
        <v>150321</v>
      </c>
      <c r="G119" s="16" t="str">
        <f t="shared" si="10"/>
        <v/>
      </c>
      <c r="H119" s="17">
        <f>SUM(Jul!H119,Aug!H119,Sep!H119)</f>
        <v>137761</v>
      </c>
      <c r="I119" s="17">
        <f>SUM(Jul!I119, Aug!I119, Sep!I119)</f>
        <v>12560</v>
      </c>
      <c r="J119" s="16">
        <f t="shared" si="11"/>
        <v>9.1172392767183752E-2</v>
      </c>
      <c r="K119" s="39"/>
      <c r="L119" s="40"/>
    </row>
    <row r="120" spans="1:12" ht="15.75">
      <c r="A120" s="25" t="str">
        <v>Wyoming Road</v>
      </c>
      <c r="B120" s="26" t="str">
        <v>DE</v>
      </c>
      <c r="C120" s="26" t="str">
        <f>Sites[[#This Row],[SOL'#]]</f>
        <v>SOL-10819</v>
      </c>
      <c r="D120" s="21">
        <f>SUM(Jul!D120, Aug!D120, Sep!D120)</f>
        <v>16769</v>
      </c>
      <c r="E120" s="11">
        <f>SUM(Jul!E120, Aug!E120, Sep!E120)</f>
        <v>39289</v>
      </c>
      <c r="F120" s="11">
        <f t="shared" si="9"/>
        <v>-22520</v>
      </c>
      <c r="G120" s="12">
        <f t="shared" si="10"/>
        <v>-0.57318842424088168</v>
      </c>
      <c r="H120" s="13">
        <f>SUM(Jul!H120,Aug!H120,Sep!H120)</f>
        <v>104056</v>
      </c>
      <c r="I120" s="13">
        <f>SUM(Jul!I120, Aug!I120, Sep!I120)</f>
        <v>-50857</v>
      </c>
      <c r="J120" s="14">
        <f t="shared" si="11"/>
        <v>-0.48874644422234181</v>
      </c>
      <c r="K120" s="38"/>
      <c r="L120" s="38"/>
    </row>
    <row r="121" spans="1:12" ht="15.75">
      <c r="A121" s="27" t="str">
        <v>Leoku</v>
      </c>
      <c r="B121" s="28" t="str">
        <v>HI</v>
      </c>
      <c r="C121" s="28" t="str">
        <f>Sites[[#This Row],[SOL'#]]</f>
        <v>SOL-10071</v>
      </c>
      <c r="D121" s="10">
        <f>SUM(Jul!D121, Aug!D121, Sep!D121)</f>
        <v>35522</v>
      </c>
      <c r="E121" s="15">
        <f>SUM(Jul!E121, Aug!E121, Sep!E121)</f>
        <v>35259.589999999997</v>
      </c>
      <c r="F121" s="15">
        <f t="shared" si="9"/>
        <v>262.41000000000349</v>
      </c>
      <c r="G121" s="16">
        <f t="shared" si="10"/>
        <v>7.4422306101688514E-3</v>
      </c>
      <c r="H121" s="17">
        <f>SUM(Jul!H121,Aug!H121,Sep!H121)</f>
        <v>41806.9</v>
      </c>
      <c r="I121" s="17">
        <f>SUM(Jul!I121, Aug!I121, Sep!I121)</f>
        <v>-6284.9</v>
      </c>
      <c r="J121" s="16">
        <f t="shared" si="11"/>
        <v>-0.15033164381956088</v>
      </c>
      <c r="K121" s="39"/>
      <c r="L121" s="40"/>
    </row>
    <row r="122" spans="1:12" ht="15.75">
      <c r="A122" s="25" t="str">
        <v>Waipahu</v>
      </c>
      <c r="B122" s="26" t="str">
        <v>HI</v>
      </c>
      <c r="C122" s="26" t="str">
        <f>Sites[[#This Row],[SOL'#]]</f>
        <v>SOL-10068</v>
      </c>
      <c r="D122" s="21">
        <f>SUM(Jul!D122, Aug!D122, Sep!D122)</f>
        <v>40943</v>
      </c>
      <c r="E122" s="11">
        <f>SUM(Jul!E122, Aug!E122, Sep!E122)</f>
        <v>32823.269999999997</v>
      </c>
      <c r="F122" s="11">
        <f t="shared" si="9"/>
        <v>8119.7300000000032</v>
      </c>
      <c r="G122" s="12">
        <f t="shared" si="10"/>
        <v>0.24737724181655282</v>
      </c>
      <c r="H122" s="13">
        <f>SUM(Jul!H122,Aug!H122,Sep!H122)</f>
        <v>41799.53</v>
      </c>
      <c r="I122" s="13">
        <f>SUM(Jul!I122, Aug!I122, Sep!I122)</f>
        <v>-856.53000000000065</v>
      </c>
      <c r="J122" s="14">
        <f t="shared" si="11"/>
        <v>-2.0491378730813498E-2</v>
      </c>
      <c r="K122" s="38"/>
      <c r="L122" s="38"/>
    </row>
    <row r="123" spans="1:12" ht="15.75">
      <c r="A123" s="27" t="str">
        <v>Bird in Hand</v>
      </c>
      <c r="B123" s="28" t="str">
        <v>MD</v>
      </c>
      <c r="C123" s="28" t="str">
        <f>Sites[[#This Row],[SOL'#]]</f>
        <v>SOL-10092</v>
      </c>
      <c r="D123" s="10">
        <f>SUM(Jul!D123, Aug!D123, Sep!D123)</f>
        <v>489569</v>
      </c>
      <c r="E123" s="15">
        <f>SUM(Jul!E123, Aug!E123, Sep!E123)</f>
        <v>505137.5</v>
      </c>
      <c r="F123" s="15">
        <f t="shared" si="9"/>
        <v>-15568.5</v>
      </c>
      <c r="G123" s="16">
        <f t="shared" si="10"/>
        <v>-3.0820321199673355E-2</v>
      </c>
      <c r="H123" s="17">
        <f>SUM(Jul!H123,Aug!H123,Sep!H123)</f>
        <v>505222.1</v>
      </c>
      <c r="I123" s="17">
        <f>SUM(Jul!I123, Aug!I123, Sep!I123)</f>
        <v>-15653.100000000006</v>
      </c>
      <c r="J123" s="16">
        <f t="shared" si="11"/>
        <v>-3.0982611409912604E-2</v>
      </c>
      <c r="K123" s="39"/>
      <c r="L123" s="40"/>
    </row>
    <row r="124" spans="1:12" ht="15.75">
      <c r="A124" s="25" t="str">
        <v>Shortal</v>
      </c>
      <c r="B124" s="26" t="str">
        <v>MD</v>
      </c>
      <c r="C124" s="26" t="str">
        <f>Sites[[#This Row],[SOL'#]]</f>
        <v>SOL-10091</v>
      </c>
      <c r="D124" s="21">
        <f>SUM(Jul!D124, Aug!D124, Sep!D124)</f>
        <v>520004</v>
      </c>
      <c r="E124" s="11">
        <f>SUM(Jul!E124, Aug!E124, Sep!E124)</f>
        <v>492621.55500000005</v>
      </c>
      <c r="F124" s="11">
        <f t="shared" si="9"/>
        <v>27382.444999999949</v>
      </c>
      <c r="G124" s="12">
        <f t="shared" si="10"/>
        <v>5.5585154003259044E-2</v>
      </c>
      <c r="H124" s="13">
        <f>SUM(Jul!H124,Aug!H124,Sep!H124)</f>
        <v>476176.5</v>
      </c>
      <c r="I124" s="13">
        <f>SUM(Jul!I124, Aug!I124, Sep!I124)</f>
        <v>43827.5</v>
      </c>
      <c r="J124" s="14">
        <f t="shared" si="11"/>
        <v>9.2040451387248215E-2</v>
      </c>
      <c r="K124" s="38"/>
      <c r="L124" s="38"/>
    </row>
    <row r="125" spans="1:12" ht="15.75">
      <c r="A125" s="27" t="str">
        <v>Aguadilla</v>
      </c>
      <c r="B125" s="28" t="str">
        <v>PR</v>
      </c>
      <c r="C125" s="28" t="str">
        <f>Sites[[#This Row],[SOL'#]]</f>
        <v>SOL-10072</v>
      </c>
      <c r="D125" s="10">
        <f>SUM(Jul!D125, Aug!D125, Sep!D125)</f>
        <v>61955</v>
      </c>
      <c r="E125" s="15">
        <f>SUM(Jul!E125, Aug!E125, Sep!E125)</f>
        <v>54622.838000000003</v>
      </c>
      <c r="F125" s="15">
        <f t="shared" si="9"/>
        <v>7332.1619999999966</v>
      </c>
      <c r="G125" s="16">
        <f t="shared" si="10"/>
        <v>0.13423253475039132</v>
      </c>
      <c r="H125" s="17">
        <f>SUM(Jul!H125,Aug!H125,Sep!H125)</f>
        <v>66353</v>
      </c>
      <c r="I125" s="17">
        <f>SUM(Jul!I125, Aug!I125, Sep!I125)</f>
        <v>-4398</v>
      </c>
      <c r="J125" s="16">
        <f t="shared" si="11"/>
        <v>-6.6281856133106262E-2</v>
      </c>
      <c r="K125" s="39"/>
      <c r="L125" s="40"/>
    </row>
    <row r="126" spans="1:12" ht="15.75">
      <c r="A126" s="25" t="str">
        <v>Bayamon</v>
      </c>
      <c r="B126" s="26" t="str">
        <v>PR</v>
      </c>
      <c r="C126" s="26" t="str">
        <f>Sites[[#This Row],[SOL'#]]</f>
        <v>SOL-10073</v>
      </c>
      <c r="D126" s="21">
        <f>SUM(Jul!D126, Aug!D126, Sep!D126)</f>
        <v>207709</v>
      </c>
      <c r="E126" s="11">
        <f>SUM(Jul!E126, Aug!E126, Sep!E126)</f>
        <v>221116.12</v>
      </c>
      <c r="F126" s="11">
        <f t="shared" si="9"/>
        <v>-13407.119999999995</v>
      </c>
      <c r="G126" s="12">
        <f t="shared" si="10"/>
        <v>-6.0633842525818542E-2</v>
      </c>
      <c r="H126" s="13">
        <f>SUM(Jul!H126,Aug!H126,Sep!H126)</f>
        <v>265730</v>
      </c>
      <c r="I126" s="13">
        <f>SUM(Jul!I126, Aug!I126, Sep!I126)</f>
        <v>-58021</v>
      </c>
      <c r="J126" s="14">
        <f t="shared" si="11"/>
        <v>-0.21834568923343242</v>
      </c>
      <c r="K126" s="38"/>
      <c r="L126" s="38"/>
    </row>
    <row r="127" spans="1:12" ht="15.75">
      <c r="A127" s="27" t="str">
        <v>St Francis</v>
      </c>
      <c r="B127" s="28" t="str">
        <v>PR</v>
      </c>
      <c r="C127" s="28" t="str">
        <f>Sites[[#This Row],[SOL'#]]</f>
        <v>SOL-10034</v>
      </c>
      <c r="D127" s="10">
        <f>SUM(Jul!D127, Aug!D127, Sep!D127)</f>
        <v>78661.25</v>
      </c>
      <c r="E127" s="15">
        <f>SUM(Jul!E127, Aug!E127, Sep!E127)</f>
        <v>161627.17499999999</v>
      </c>
      <c r="F127" s="15">
        <f t="shared" si="9"/>
        <v>-82965.924999999988</v>
      </c>
      <c r="G127" s="16">
        <f t="shared" si="10"/>
        <v>-0.51331668081187454</v>
      </c>
      <c r="H127" s="17">
        <f>SUM(Jul!H127,Aug!H127,Sep!H127)</f>
        <v>129490</v>
      </c>
      <c r="I127" s="17">
        <f>SUM(Jul!I127, Aug!I127, Sep!I127)</f>
        <v>-50828.75</v>
      </c>
      <c r="J127" s="16">
        <f t="shared" si="11"/>
        <v>-0.39253031122094373</v>
      </c>
      <c r="K127" s="39"/>
      <c r="L127" s="40"/>
    </row>
    <row r="128" spans="1:12" ht="15.75">
      <c r="A128" s="25" t="str">
        <v>Seaport</v>
      </c>
      <c r="B128" s="26" t="str">
        <v>MA</v>
      </c>
      <c r="C128" s="26" t="str">
        <f>Sites[[#This Row],[SOL'#]]</f>
        <v>SOL-10772</v>
      </c>
      <c r="D128" s="21">
        <f>SUM(Jul!D128, Aug!D128, Sep!D128)</f>
        <v>210546</v>
      </c>
      <c r="E128" s="11">
        <f>SUM(Jul!E128, Aug!E128, Sep!E128)</f>
        <v>199268.44499999998</v>
      </c>
      <c r="F128" s="11">
        <f t="shared" si="9"/>
        <v>11277.555000000022</v>
      </c>
      <c r="G128" s="12">
        <f t="shared" si="10"/>
        <v>5.6594785993336894E-2</v>
      </c>
      <c r="H128" s="13">
        <f>SUM(Jul!H128,Aug!H128,Sep!H128)</f>
        <v>234982.55</v>
      </c>
      <c r="I128" s="13">
        <f>SUM(Jul!I128, Aug!I128, Sep!I128)</f>
        <v>-24436.550000000003</v>
      </c>
      <c r="J128" s="14">
        <f t="shared" si="11"/>
        <v>-0.10399304118539868</v>
      </c>
      <c r="K128" s="38"/>
      <c r="L128" s="38"/>
    </row>
    <row r="129" spans="1:12" ht="15.75">
      <c r="A129" s="27" t="str">
        <v>Sprague St</v>
      </c>
      <c r="B129" s="28" t="str">
        <v>MA</v>
      </c>
      <c r="C129" s="28" t="str">
        <f>Sites[[#This Row],[SOL'#]]</f>
        <v>SOL-10773</v>
      </c>
      <c r="D129" s="10">
        <f>SUM(Jul!D129, Aug!D129, Sep!D129)</f>
        <v>472040</v>
      </c>
      <c r="E129" s="15">
        <f>SUM(Jul!E129, Aug!E129, Sep!E129)</f>
        <v>479933.55999999994</v>
      </c>
      <c r="F129" s="15">
        <f t="shared" si="9"/>
        <v>-7893.5599999999395</v>
      </c>
      <c r="G129" s="16">
        <f t="shared" si="10"/>
        <v>-1.6447193232329783E-2</v>
      </c>
      <c r="H129" s="17">
        <f>SUM(Jul!H129,Aug!H129,Sep!H129)</f>
        <v>518642.7</v>
      </c>
      <c r="I129" s="17">
        <f>SUM(Jul!I129, Aug!I129, Sep!I129)</f>
        <v>-46602.700000000012</v>
      </c>
      <c r="J129" s="16">
        <f t="shared" si="11"/>
        <v>-8.9855116055812631E-2</v>
      </c>
      <c r="K129" s="39"/>
      <c r="L129" s="40"/>
    </row>
    <row r="130" spans="1:12" ht="15.75">
      <c r="A130" s="25" t="str">
        <v>Summer St</v>
      </c>
      <c r="B130" s="26" t="str">
        <v>MA</v>
      </c>
      <c r="C130" s="26" t="str">
        <f>Sites[[#This Row],[SOL'#]]</f>
        <v>SOL-10764</v>
      </c>
      <c r="D130" s="21">
        <f>SUM(Jul!D130, Aug!D130, Sep!D130)</f>
        <v>971896</v>
      </c>
      <c r="E130" s="11">
        <f>SUM(Jul!E130, Aug!E130, Sep!E130)</f>
        <v>1015223.023</v>
      </c>
      <c r="F130" s="11">
        <f t="shared" si="9"/>
        <v>-43327.023000000045</v>
      </c>
      <c r="G130" s="12">
        <f t="shared" si="10"/>
        <v>-4.2677344798552744E-2</v>
      </c>
      <c r="H130" s="13">
        <f>SUM(Jul!H130,Aug!H130,Sep!H130)</f>
        <v>1108036.3</v>
      </c>
      <c r="I130" s="13">
        <f>SUM(Jul!I130, Aug!I130, Sep!I130)</f>
        <v>-136140.29999999999</v>
      </c>
      <c r="J130" s="14">
        <f t="shared" si="11"/>
        <v>-0.1228662815469132</v>
      </c>
      <c r="K130" s="38"/>
      <c r="L130" s="38"/>
    </row>
    <row r="131" spans="1:12" ht="15.75">
      <c r="A131" s="27" t="str">
        <v>Brock St Vocational</v>
      </c>
      <c r="B131" s="28" t="str">
        <v>NH</v>
      </c>
      <c r="C131" s="28" t="str">
        <f>Sites[[#This Row],[SOL'#]]</f>
        <v>SOL-10768</v>
      </c>
      <c r="D131" s="10">
        <f>SUM(Jul!D131, Aug!D131, Sep!D131)</f>
        <v>47344.248749999999</v>
      </c>
      <c r="E131" s="15">
        <f>SUM(Jul!E131, Aug!E131, Sep!E131)</f>
        <v>45524.546000000002</v>
      </c>
      <c r="F131" s="15">
        <f t="shared" si="9"/>
        <v>1819.7027499999967</v>
      </c>
      <c r="G131" s="16">
        <f t="shared" si="10"/>
        <v>3.997190328927161E-2</v>
      </c>
      <c r="H131" s="17">
        <f>SUM(Jul!H131,Aug!H131,Sep!H131)</f>
        <v>37569.160000000003</v>
      </c>
      <c r="I131" s="17">
        <f>SUM(Jul!I131, Aug!I131, Sep!I131)</f>
        <v>9775.0887500000008</v>
      </c>
      <c r="J131" s="16">
        <f t="shared" si="11"/>
        <v>0.26018917511064926</v>
      </c>
      <c r="K131" s="39"/>
      <c r="L131" s="40"/>
    </row>
    <row r="132" spans="1:12" ht="15.75">
      <c r="A132" s="25" t="str">
        <v>McClelland ES</v>
      </c>
      <c r="B132" s="26" t="str">
        <v>NH</v>
      </c>
      <c r="C132" s="26" t="str">
        <f>Sites[[#This Row],[SOL'#]]</f>
        <v>SOL-10766</v>
      </c>
      <c r="D132" s="21">
        <f>SUM(Jul!D132, Aug!D132, Sep!D132)</f>
        <v>34679.749199999998</v>
      </c>
      <c r="E132" s="11">
        <f>SUM(Jul!E132, Aug!E132, Sep!E132)</f>
        <v>37355.307999999997</v>
      </c>
      <c r="F132" s="11">
        <f t="shared" si="9"/>
        <v>-2675.5587999999989</v>
      </c>
      <c r="G132" s="12">
        <f t="shared" si="10"/>
        <v>-7.1624594823311294E-2</v>
      </c>
      <c r="H132" s="13">
        <f>SUM(Jul!H132,Aug!H132,Sep!H132)</f>
        <v>371563.86300000001</v>
      </c>
      <c r="I132" s="13">
        <f>SUM(Jul!I132, Aug!I132, Sep!I132)</f>
        <v>-336884.11379999999</v>
      </c>
      <c r="J132" s="14">
        <f t="shared" si="11"/>
        <v>-0.90666544125148141</v>
      </c>
      <c r="K132" s="38"/>
      <c r="L132" s="38"/>
    </row>
    <row r="133" spans="1:12" ht="15.75">
      <c r="A133" s="27" t="str">
        <v>Portland St</v>
      </c>
      <c r="B133" s="28" t="str">
        <v>NH</v>
      </c>
      <c r="C133" s="28" t="str">
        <f>Sites[[#This Row],[SOL'#]]</f>
        <v>SOL-10771</v>
      </c>
      <c r="D133" s="10">
        <f>SUM(Jul!D133, Aug!D133, Sep!D133)</f>
        <v>29564.565000000002</v>
      </c>
      <c r="E133" s="15">
        <f>SUM(Jul!E133, Aug!E133, Sep!E133)</f>
        <v>21998.087</v>
      </c>
      <c r="F133" s="15">
        <f t="shared" si="9"/>
        <v>7566.4780000000028</v>
      </c>
      <c r="G133" s="16">
        <f t="shared" si="10"/>
        <v>0.34396072713050019</v>
      </c>
      <c r="H133" s="17">
        <f>SUM(Jul!H133,Aug!H133,Sep!H133)</f>
        <v>26736</v>
      </c>
      <c r="I133" s="17">
        <f>SUM(Jul!I133, Aug!I133, Sep!I133)</f>
        <v>1990.4380000000001</v>
      </c>
      <c r="J133" s="16">
        <f t="shared" si="11"/>
        <v>7.444786056253741E-2</v>
      </c>
      <c r="K133" s="39"/>
      <c r="L133" s="40"/>
    </row>
    <row r="134" spans="1:12" ht="15.75">
      <c r="A134" s="25" t="str">
        <v>Portsmouth HS</v>
      </c>
      <c r="B134" s="26" t="str">
        <v>NH</v>
      </c>
      <c r="C134" s="26" t="str">
        <f>Sites[[#This Row],[SOL'#]]</f>
        <v>SOL-10769</v>
      </c>
      <c r="D134" s="21">
        <f>SUM(Jul!D134, Aug!D134, Sep!D134)</f>
        <v>116102.625</v>
      </c>
      <c r="E134" s="11">
        <f>SUM(Jul!E134, Aug!E134, Sep!E134)</f>
        <v>105534.254</v>
      </c>
      <c r="F134" s="11">
        <f t="shared" si="9"/>
        <v>10568.370999999999</v>
      </c>
      <c r="G134" s="12">
        <f t="shared" si="10"/>
        <v>0.10014161847394117</v>
      </c>
      <c r="H134" s="13">
        <f>SUM(Jul!H134,Aug!H134,Sep!H134)</f>
        <v>96178.12</v>
      </c>
      <c r="I134" s="13">
        <f>SUM(Jul!I134, Aug!I134, Sep!I134)</f>
        <v>19924.505000000001</v>
      </c>
      <c r="J134" s="14">
        <f t="shared" si="11"/>
        <v>0.2071625542275104</v>
      </c>
      <c r="K134" s="38"/>
      <c r="L134" s="38"/>
    </row>
    <row r="135" spans="1:12" ht="15.75">
      <c r="A135" s="27" t="str">
        <v>Portsmouth WTP</v>
      </c>
      <c r="B135" s="28" t="str">
        <v>NH</v>
      </c>
      <c r="C135" s="28" t="str">
        <f>Sites[[#This Row],[SOL'#]]</f>
        <v>SOL-10770</v>
      </c>
      <c r="D135" s="10">
        <f>SUM(Jul!D135, Aug!D135, Sep!D135)</f>
        <v>94941.25</v>
      </c>
      <c r="E135" s="15">
        <f>SUM(Jul!E135, Aug!E135, Sep!E135)</f>
        <v>110371.606</v>
      </c>
      <c r="F135" s="15">
        <f t="shared" si="9"/>
        <v>-15430.356</v>
      </c>
      <c r="G135" s="16">
        <f t="shared" si="10"/>
        <v>-0.13980367378182393</v>
      </c>
      <c r="H135" s="17">
        <f>SUM(Jul!H135,Aug!H135,Sep!H135)</f>
        <v>91581.790000000008</v>
      </c>
      <c r="I135" s="17">
        <f>SUM(Jul!I135, Aug!I135, Sep!I135)</f>
        <v>3359.4599999999991</v>
      </c>
      <c r="J135" s="16">
        <f t="shared" si="11"/>
        <v>3.668261998373256E-2</v>
      </c>
      <c r="K135" s="39"/>
      <c r="L135" s="40"/>
    </row>
    <row r="136" spans="1:12" ht="15.75">
      <c r="A136" s="25" t="str">
        <v>Rochester St</v>
      </c>
      <c r="B136" s="26" t="str">
        <v>NH</v>
      </c>
      <c r="C136" s="26" t="str">
        <f>Sites[[#This Row],[SOL'#]]</f>
        <v>SOL-10765</v>
      </c>
      <c r="D136" s="21">
        <f>SUM(Jul!D136, Aug!D136, Sep!D136)</f>
        <v>103074.00785999998</v>
      </c>
      <c r="E136" s="11">
        <f>SUM(Jul!E136, Aug!E136, Sep!E136)</f>
        <v>110205.83600000001</v>
      </c>
      <c r="F136" s="11">
        <f t="shared" si="9"/>
        <v>-7131.8281400000269</v>
      </c>
      <c r="G136" s="12">
        <f t="shared" si="10"/>
        <v>-6.471370663165267E-2</v>
      </c>
      <c r="H136" s="13">
        <f>SUM(Jul!H136,Aug!H136,Sep!H136)</f>
        <v>87004.24</v>
      </c>
      <c r="I136" s="13">
        <f>SUM(Jul!I136, Aug!I136, Sep!I136)</f>
        <v>16069.767859999996</v>
      </c>
      <c r="J136" s="14">
        <f t="shared" si="11"/>
        <v>0.1847009738835716</v>
      </c>
      <c r="K136" s="38"/>
      <c r="L136" s="38"/>
    </row>
    <row r="137" spans="1:12" ht="15.75">
      <c r="A137" s="27" t="str">
        <v>Spaulding HS</v>
      </c>
      <c r="B137" s="28" t="str">
        <v>NH</v>
      </c>
      <c r="C137" s="28" t="str">
        <f>Sites[[#This Row],[SOL'#]]</f>
        <v>SOL-10767</v>
      </c>
      <c r="D137" s="10">
        <f>SUM(Jul!D137, Aug!D137, Sep!D137)</f>
        <v>52105.24768</v>
      </c>
      <c r="E137" s="15">
        <f>SUM(Jul!E137, Aug!E137, Sep!E137)</f>
        <v>43757.527000000002</v>
      </c>
      <c r="F137" s="15">
        <f t="shared" si="9"/>
        <v>8347.7206799999985</v>
      </c>
      <c r="G137" s="16">
        <f t="shared" si="10"/>
        <v>0.19077222257098758</v>
      </c>
      <c r="H137" s="17">
        <f>SUM(Jul!H137,Aug!H137,Sep!H137)</f>
        <v>42705.25</v>
      </c>
      <c r="I137" s="17">
        <f>SUM(Jul!I137, Aug!I137, Sep!I137)</f>
        <v>9399.9976800000004</v>
      </c>
      <c r="J137" s="16">
        <f t="shared" si="11"/>
        <v>0.22011339776725344</v>
      </c>
      <c r="K137" s="39"/>
      <c r="L137" s="40"/>
    </row>
    <row r="138" spans="1:12" ht="15.75">
      <c r="A138" s="25" t="str">
        <v>Ridgeway #2</v>
      </c>
      <c r="B138" s="26" t="str">
        <v>NY</v>
      </c>
      <c r="C138" s="26" t="str">
        <f>Sites[[#This Row],[SOL'#]]</f>
        <v>SOL-11027</v>
      </c>
      <c r="D138" s="21">
        <f>SUM(Jul!D138, Aug!D138, Sep!D138)</f>
        <v>1741062</v>
      </c>
      <c r="E138" s="11">
        <f>SUM(Jul!E138, Aug!E138, Sep!E138)</f>
        <v>0</v>
      </c>
      <c r="F138" s="11">
        <f t="shared" si="9"/>
        <v>1741062</v>
      </c>
      <c r="G138" s="12" t="str">
        <f t="shared" si="10"/>
        <v/>
      </c>
      <c r="H138" s="13">
        <f>SUM(Jul!H138,Aug!H138,Sep!H138)</f>
        <v>1798380</v>
      </c>
      <c r="I138" s="13">
        <f>SUM(Jul!I138, Aug!I138, Sep!I138)</f>
        <v>-57318</v>
      </c>
      <c r="J138" s="14">
        <f t="shared" si="11"/>
        <v>-3.1872018149668037E-2</v>
      </c>
      <c r="K138" s="38"/>
      <c r="L138" s="38"/>
    </row>
    <row r="139" spans="1:12" ht="15.75">
      <c r="A139" s="27" t="str">
        <v>Spencer</v>
      </c>
      <c r="B139" s="28" t="str">
        <v>NY</v>
      </c>
      <c r="C139" s="28" t="str">
        <f>Sites[[#This Row],[SOL'#]]</f>
        <v>SOL-11017</v>
      </c>
      <c r="D139" s="10">
        <f>SUM(Jul!D139, Aug!D139, Sep!D139)</f>
        <v>3216952.4</v>
      </c>
      <c r="E139" s="15">
        <f>SUM(Jul!E139, Aug!E139, Sep!E139)</f>
        <v>0</v>
      </c>
      <c r="F139" s="15">
        <f t="shared" si="9"/>
        <v>3216952.4</v>
      </c>
      <c r="G139" s="16" t="str">
        <f t="shared" si="10"/>
        <v/>
      </c>
      <c r="H139" s="17">
        <f>SUM(Jul!H139,Aug!H139,Sep!H139)</f>
        <v>3451000</v>
      </c>
      <c r="I139" s="17">
        <f>SUM(Jul!I139, Aug!I139, Sep!I139)</f>
        <v>-234047.60000000009</v>
      </c>
      <c r="J139" s="16">
        <f t="shared" si="11"/>
        <v>-6.7820226021443081E-2</v>
      </c>
      <c r="K139" s="39"/>
      <c r="L139" s="40"/>
    </row>
    <row r="140" spans="1:12" ht="15.75">
      <c r="A140" s="25" t="str">
        <v>Reisender</v>
      </c>
      <c r="B140" s="26" t="str">
        <v>NY</v>
      </c>
      <c r="C140" s="26" t="str">
        <f>Sites[[#This Row],[SOL'#]]</f>
        <v>SOL-10886</v>
      </c>
      <c r="D140" s="21">
        <f>SUM(Jul!D140, Aug!D140, Sep!D140)</f>
        <v>1056560</v>
      </c>
      <c r="E140" s="11">
        <f>SUM(Jul!E140, Aug!E140, Sep!E140)</f>
        <v>1076948.28</v>
      </c>
      <c r="F140" s="11">
        <f t="shared" si="9"/>
        <v>-20388.280000000028</v>
      </c>
      <c r="G140" s="12">
        <f t="shared" si="10"/>
        <v>-1.8931531233793351E-2</v>
      </c>
      <c r="H140" s="13">
        <f>SUM(Jul!H140,Aug!H140,Sep!H140)</f>
        <v>1118586</v>
      </c>
      <c r="I140" s="13">
        <f>SUM(Jul!I140, Aug!I140, Sep!I140)</f>
        <v>-62026</v>
      </c>
      <c r="J140" s="14">
        <f t="shared" si="11"/>
        <v>-5.5450363226430509E-2</v>
      </c>
      <c r="K140" s="38"/>
      <c r="L140" s="38"/>
    </row>
    <row r="141" spans="1:12" ht="15.75">
      <c r="A141" s="27" t="str">
        <v>Finney</v>
      </c>
      <c r="B141" s="28" t="str">
        <v>NY</v>
      </c>
      <c r="C141" s="28" t="str">
        <f>Sites[[#This Row],[SOL'#]]</f>
        <v>SOL-10999</v>
      </c>
      <c r="D141" s="10">
        <f>SUM(Jul!D141, Aug!D141, Sep!D141)</f>
        <v>2972490</v>
      </c>
      <c r="E141" s="15">
        <f>SUM(Jul!E141, Aug!E141, Sep!E141)</f>
        <v>0</v>
      </c>
      <c r="F141" s="15">
        <f t="shared" si="9"/>
        <v>2972490</v>
      </c>
      <c r="G141" s="16" t="str">
        <f t="shared" si="10"/>
        <v/>
      </c>
      <c r="H141" s="17">
        <f>SUM(Jul!H141,Aug!H141,Sep!H141)</f>
        <v>3307438</v>
      </c>
      <c r="I141" s="17">
        <f>SUM(Jul!I141, Aug!I141, Sep!I141)</f>
        <v>-334948</v>
      </c>
      <c r="J141" s="16">
        <f t="shared" si="11"/>
        <v>-0.10127113493888623</v>
      </c>
      <c r="K141" s="39"/>
      <c r="L141" s="40"/>
    </row>
    <row r="142" spans="1:12" ht="15.75">
      <c r="A142" s="25" t="str">
        <v>Davis Solar</v>
      </c>
      <c r="B142" s="26" t="str">
        <v>NY</v>
      </c>
      <c r="C142" s="26" t="str">
        <f>Sites[[#This Row],[SOL'#]]</f>
        <v>SOL-10958</v>
      </c>
      <c r="D142" s="21">
        <f>SUM(Jul!D142, Aug!D142, Sep!D142)</f>
        <v>902817</v>
      </c>
      <c r="E142" s="11">
        <f>SUM(Jul!E142, Aug!E142, Sep!E142)</f>
        <v>1167428.8999999999</v>
      </c>
      <c r="F142" s="11">
        <f t="shared" si="9"/>
        <v>-264611.89999999991</v>
      </c>
      <c r="G142" s="12">
        <f t="shared" si="10"/>
        <v>-0.22666211192818675</v>
      </c>
      <c r="H142" s="13">
        <f>SUM(Jul!H142,Aug!H142,Sep!H142)</f>
        <v>1289378</v>
      </c>
      <c r="I142" s="13">
        <f>SUM(Jul!I142, Aug!I142, Sep!I142)</f>
        <v>-386561</v>
      </c>
      <c r="J142" s="14">
        <f t="shared" si="11"/>
        <v>-0.29980424669879585</v>
      </c>
      <c r="K142" s="38"/>
      <c r="L142" s="38"/>
    </row>
    <row r="143" spans="1:12" ht="15.75">
      <c r="A143" s="27" t="str">
        <v>Genesee</v>
      </c>
      <c r="B143" s="28" t="str">
        <v>NY</v>
      </c>
      <c r="C143" s="28" t="str">
        <f>Sites[[#This Row],[SOL'#]]</f>
        <v>SOL-10951</v>
      </c>
      <c r="D143" s="10">
        <f>SUM(Jul!D143, Aug!D143, Sep!D143)</f>
        <v>2575876.9</v>
      </c>
      <c r="E143" s="15">
        <f>SUM(Jul!E143, Aug!E143, Sep!E143)</f>
        <v>0</v>
      </c>
      <c r="F143" s="15">
        <f t="shared" si="9"/>
        <v>2575876.9</v>
      </c>
      <c r="G143" s="16" t="str">
        <f t="shared" si="10"/>
        <v/>
      </c>
      <c r="H143" s="17">
        <f>SUM(Jul!H143,Aug!H143,Sep!H143)</f>
        <v>2677368</v>
      </c>
      <c r="I143" s="17">
        <f>SUM(Jul!I143, Aug!I143, Sep!I143)</f>
        <v>-101491.09999999998</v>
      </c>
      <c r="J143" s="16">
        <f t="shared" si="11"/>
        <v>-3.7907041542290777E-2</v>
      </c>
      <c r="K143" s="39"/>
      <c r="L143" s="40"/>
    </row>
    <row r="144" spans="1:12" ht="15.75">
      <c r="A144" s="25" t="str">
        <v>Landau I</v>
      </c>
      <c r="B144" s="26" t="str">
        <v>NY</v>
      </c>
      <c r="C144" s="26" t="str">
        <f>Sites[[#This Row],[SOL'#]]</f>
        <v>SOL-10891</v>
      </c>
      <c r="D144" s="21">
        <f>SUM(Jul!D144, Aug!D144, Sep!D144)</f>
        <v>939066</v>
      </c>
      <c r="E144" s="11">
        <f>SUM(Jul!E144, Aug!E144, Sep!E144)</f>
        <v>0</v>
      </c>
      <c r="F144" s="11">
        <f t="shared" si="9"/>
        <v>939066</v>
      </c>
      <c r="G144" s="12" t="str">
        <f t="shared" si="10"/>
        <v/>
      </c>
      <c r="H144" s="13">
        <f>SUM(Jul!H144,Aug!H144,Sep!H144)</f>
        <v>1214601</v>
      </c>
      <c r="I144" s="13">
        <f>SUM(Jul!I144, Aug!I144, Sep!I144)</f>
        <v>-275535</v>
      </c>
      <c r="J144" s="14">
        <f t="shared" si="11"/>
        <v>-0.22685227494461144</v>
      </c>
      <c r="K144" s="38"/>
      <c r="L144" s="38"/>
    </row>
    <row r="145" spans="1:12" ht="15.75">
      <c r="A145" s="27" t="str">
        <v>Landau II</v>
      </c>
      <c r="B145" s="28" t="str">
        <v>NY</v>
      </c>
      <c r="C145" s="28" t="str">
        <f>Sites[[#This Row],[SOL'#]]</f>
        <v>SOL-10895</v>
      </c>
      <c r="D145" s="10">
        <f>SUM(Jul!D145, Aug!D145, Sep!D145)</f>
        <v>813380</v>
      </c>
      <c r="E145" s="15">
        <f>SUM(Jul!E145, Aug!E145, Sep!E145)</f>
        <v>0</v>
      </c>
      <c r="F145" s="15">
        <f t="shared" ref="F145:F161" si="12">IF(AND(ISNUMBER(D145),ISNUMBER(E145)), D145-E145, "")</f>
        <v>813380</v>
      </c>
      <c r="G145" s="16" t="str">
        <f t="shared" ref="G145:G161" si="13">IFERROR(F145/E145, "")</f>
        <v/>
      </c>
      <c r="H145" s="17">
        <f>SUM(Jul!H145,Aug!H145,Sep!H145)</f>
        <v>2553284</v>
      </c>
      <c r="I145" s="17">
        <f>SUM(Jul!I145, Aug!I145, Sep!I145)</f>
        <v>-1739904</v>
      </c>
      <c r="J145" s="16">
        <f t="shared" ref="J145:J161" si="14">IFERROR(I145/H145, "")</f>
        <v>-0.6814377092403352</v>
      </c>
      <c r="K145" s="39"/>
      <c r="L145" s="40"/>
    </row>
    <row r="146" spans="1:12" ht="15.75">
      <c r="A146" s="25" t="str">
        <v>New Beginnings</v>
      </c>
      <c r="B146" s="26" t="str">
        <v>NY</v>
      </c>
      <c r="C146" s="26" t="str">
        <f>Sites[[#This Row],[SOL'#]]</f>
        <v>SOL-10890</v>
      </c>
      <c r="D146" s="21">
        <f>SUM(Jul!D146, Aug!D146, Sep!D146)</f>
        <v>964140</v>
      </c>
      <c r="E146" s="11">
        <f>SUM(Jul!E146, Aug!E146, Sep!E146)</f>
        <v>1017158.3699999999</v>
      </c>
      <c r="F146" s="11">
        <f t="shared" si="12"/>
        <v>-53018.369999999879</v>
      </c>
      <c r="G146" s="12">
        <f t="shared" si="13"/>
        <v>-5.212400700197737E-2</v>
      </c>
      <c r="H146" s="13">
        <f>SUM(Jul!H146,Aug!H146,Sep!H146)</f>
        <v>1169049</v>
      </c>
      <c r="I146" s="13">
        <f>SUM(Jul!I146, Aug!I146, Sep!I146)</f>
        <v>-197842.21000000002</v>
      </c>
      <c r="J146" s="14">
        <f t="shared" si="14"/>
        <v>-0.16923346241261061</v>
      </c>
      <c r="K146" s="38"/>
      <c r="L146" s="38"/>
    </row>
    <row r="147" spans="1:12" ht="15.75">
      <c r="A147" s="27" t="str">
        <v>Guilin Farm Solar</v>
      </c>
      <c r="B147" s="28" t="str">
        <v>NY</v>
      </c>
      <c r="C147" s="28" t="str">
        <f>Sites[[#This Row],[SOL'#]]</f>
        <v>SOL-10998</v>
      </c>
      <c r="D147" s="10">
        <f>SUM(Jul!D147, Aug!D147, Sep!D147)</f>
        <v>3159174</v>
      </c>
      <c r="E147" s="15">
        <f>SUM(Jul!E147, Aug!E147, Sep!E147)</f>
        <v>3272868</v>
      </c>
      <c r="F147" s="15">
        <f t="shared" si="12"/>
        <v>-113694</v>
      </c>
      <c r="G147" s="16">
        <f t="shared" si="13"/>
        <v>-3.4738339584731187E-2</v>
      </c>
      <c r="H147" s="17">
        <f>SUM(Jul!H147,Aug!H147,Sep!H147)</f>
        <v>3303231.9</v>
      </c>
      <c r="I147" s="17">
        <f>SUM(Jul!I147, Aug!I147, Sep!I147)</f>
        <v>-144057.90000000002</v>
      </c>
      <c r="J147" s="16">
        <f t="shared" si="14"/>
        <v>-4.3611197869577373E-2</v>
      </c>
      <c r="K147" s="39"/>
      <c r="L147" s="40"/>
    </row>
    <row r="148" spans="1:12" ht="15.75">
      <c r="A148" s="25" t="str">
        <v>Brodhead Solar</v>
      </c>
      <c r="B148" s="26" t="str">
        <v>NY</v>
      </c>
      <c r="C148" s="26" t="str">
        <f>Sites[[#This Row],[SOL'#]]</f>
        <v>SOL-10899</v>
      </c>
      <c r="D148" s="21">
        <f>SUM(Jul!D148, Aug!D148, Sep!D148)</f>
        <v>1344934</v>
      </c>
      <c r="E148" s="11">
        <f>SUM(Jul!E148, Aug!E148, Sep!E148)</f>
        <v>1418626.5</v>
      </c>
      <c r="F148" s="11">
        <f t="shared" si="12"/>
        <v>-73692.5</v>
      </c>
      <c r="G148" s="12">
        <f t="shared" si="13"/>
        <v>-5.1946372071859648E-2</v>
      </c>
      <c r="H148" s="13">
        <f>SUM(Jul!H148,Aug!H148,Sep!H148)</f>
        <v>1448176.9</v>
      </c>
      <c r="I148" s="13">
        <f>SUM(Jul!I148, Aug!I148, Sep!I148)</f>
        <v>-103242.89999999997</v>
      </c>
      <c r="J148" s="14">
        <f t="shared" si="14"/>
        <v>-7.1291635711079201E-2</v>
      </c>
      <c r="K148" s="38"/>
      <c r="L148" s="38"/>
    </row>
    <row r="149" spans="1:12" ht="15.75">
      <c r="A149" s="27" t="str">
        <v>Svenski</v>
      </c>
      <c r="B149" s="28" t="str">
        <v>NY</v>
      </c>
      <c r="C149" s="28" t="str">
        <f>Sites[[#This Row],[SOL'#]]</f>
        <v>SOL-10894</v>
      </c>
      <c r="D149" s="10">
        <f>SUM(Jul!D149, Aug!D149, Sep!D149)</f>
        <v>1025674</v>
      </c>
      <c r="E149" s="15">
        <f>SUM(Jul!E149, Aug!E149, Sep!E149)</f>
        <v>0</v>
      </c>
      <c r="F149" s="15">
        <f t="shared" si="12"/>
        <v>1025674</v>
      </c>
      <c r="G149" s="16" t="str">
        <f t="shared" si="13"/>
        <v/>
      </c>
      <c r="H149" s="17">
        <f>SUM(Jul!H149,Aug!H149,Sep!H149)</f>
        <v>1225802</v>
      </c>
      <c r="I149" s="17">
        <f>SUM(Jul!I149, Aug!I149, Sep!I149)</f>
        <v>-200128</v>
      </c>
      <c r="J149" s="16">
        <f t="shared" si="14"/>
        <v>-0.16326290869161578</v>
      </c>
      <c r="K149" s="39"/>
      <c r="L149" s="40"/>
    </row>
    <row r="150" spans="1:12" ht="15.75">
      <c r="A150" s="25" t="str">
        <v>Bantam</v>
      </c>
      <c r="B150" s="26" t="str">
        <v>NY</v>
      </c>
      <c r="C150" s="26" t="str">
        <f>Sites[[#This Row],[SOL'#]]</f>
        <v>SOL-10986</v>
      </c>
      <c r="D150" s="21">
        <f>SUM(Jul!D150, Aug!D150, Sep!D150)</f>
        <v>2273660</v>
      </c>
      <c r="E150" s="11">
        <f>SUM(Jul!E150, Aug!E150, Sep!E150)</f>
        <v>0</v>
      </c>
      <c r="F150" s="11">
        <f t="shared" si="12"/>
        <v>2273660</v>
      </c>
      <c r="G150" s="12" t="str">
        <f t="shared" si="13"/>
        <v/>
      </c>
      <c r="H150" s="13">
        <f>SUM(Jul!H150,Aug!H150,Sep!H150)</f>
        <v>3409269</v>
      </c>
      <c r="I150" s="13">
        <f>SUM(Jul!I150, Aug!I150, Sep!I150)</f>
        <v>-1135609</v>
      </c>
      <c r="J150" s="14">
        <f t="shared" si="14"/>
        <v>-0.33309457247286733</v>
      </c>
      <c r="K150" s="38"/>
      <c r="L150" s="38"/>
    </row>
    <row r="151" spans="1:12" ht="15.75">
      <c r="A151" s="27" t="str">
        <v>Bogart</v>
      </c>
      <c r="B151" s="28" t="str">
        <v>NY</v>
      </c>
      <c r="C151" s="28" t="str">
        <f>Sites[[#This Row],[SOL'#]]</f>
        <v>SOL-10887</v>
      </c>
      <c r="D151" s="10">
        <f>SUM(Jul!D151, Aug!D151, Sep!D151)</f>
        <v>773030</v>
      </c>
      <c r="E151" s="15">
        <f>SUM(Jul!E151, Aug!E151, Sep!E151)</f>
        <v>1095924.8500000001</v>
      </c>
      <c r="F151" s="15">
        <f t="shared" si="12"/>
        <v>-322894.85000000009</v>
      </c>
      <c r="G151" s="16">
        <f t="shared" si="13"/>
        <v>-0.29463229162109067</v>
      </c>
      <c r="H151" s="17">
        <f>SUM(Jul!H151,Aug!H151,Sep!H151)</f>
        <v>1149394</v>
      </c>
      <c r="I151" s="17">
        <f>SUM(Jul!I151, Aug!I151, Sep!I151)</f>
        <v>-376364</v>
      </c>
      <c r="J151" s="16">
        <f t="shared" si="14"/>
        <v>-0.32744559306904336</v>
      </c>
      <c r="K151" s="39"/>
      <c r="L151" s="40"/>
    </row>
    <row r="152" spans="1:12" ht="15.75">
      <c r="A152" s="25" t="str">
        <v>Dubois</v>
      </c>
      <c r="B152" s="26" t="str">
        <v>NY</v>
      </c>
      <c r="C152" s="26" t="str">
        <f>Sites[[#This Row],[SOL'#]]</f>
        <v>SOL-10892</v>
      </c>
      <c r="D152" s="21">
        <f>SUM(Jul!D152, Aug!D152, Sep!D152)</f>
        <v>1064250</v>
      </c>
      <c r="E152" s="11">
        <f>SUM(Jul!E152, Aug!E152, Sep!E152)</f>
        <v>0</v>
      </c>
      <c r="F152" s="11">
        <f t="shared" si="12"/>
        <v>1064250</v>
      </c>
      <c r="G152" s="12" t="str">
        <f t="shared" si="13"/>
        <v/>
      </c>
      <c r="H152" s="13">
        <f>SUM(Jul!H152,Aug!H152,Sep!H152)</f>
        <v>848352</v>
      </c>
      <c r="I152" s="13">
        <f>SUM(Jul!I152, Aug!I152, Sep!I152)</f>
        <v>-124757</v>
      </c>
      <c r="J152" s="14">
        <f t="shared" si="14"/>
        <v>-0.14705806080494888</v>
      </c>
      <c r="K152" s="38"/>
      <c r="L152" s="38"/>
    </row>
    <row r="153" spans="1:12" ht="15.75">
      <c r="A153" s="27" t="str">
        <v>Salt Point</v>
      </c>
      <c r="B153" s="28" t="str">
        <v>NY</v>
      </c>
      <c r="C153" s="28" t="str">
        <f>Sites[[#This Row],[SOL'#]]</f>
        <v>SOL-10888</v>
      </c>
      <c r="D153" s="10">
        <f>SUM(Jul!D153, Aug!D153, Sep!D153)</f>
        <v>1127850</v>
      </c>
      <c r="E153" s="15">
        <f>SUM(Jul!E153, Aug!E153, Sep!E153)</f>
        <v>0</v>
      </c>
      <c r="F153" s="15">
        <f t="shared" si="12"/>
        <v>1127850</v>
      </c>
      <c r="G153" s="16" t="str">
        <f t="shared" si="13"/>
        <v/>
      </c>
      <c r="H153" s="17">
        <f>SUM(Jul!H153,Aug!H153,Sep!H153)</f>
        <v>1348427</v>
      </c>
      <c r="I153" s="17">
        <f>SUM(Jul!I153, Aug!I153, Sep!I153)</f>
        <v>-220577</v>
      </c>
      <c r="J153" s="16">
        <f t="shared" si="14"/>
        <v>-0.16358097249610101</v>
      </c>
      <c r="K153" s="39"/>
      <c r="L153" s="40"/>
    </row>
    <row r="154" spans="1:12" ht="15.75">
      <c r="A154" s="25" t="str">
        <v>Wheatland 2A</v>
      </c>
      <c r="B154" s="26" t="str">
        <v>NY</v>
      </c>
      <c r="C154" s="26" t="str">
        <f>Sites[[#This Row],[SOL'#]]</f>
        <v>SOL-10971</v>
      </c>
      <c r="D154" s="21">
        <f>SUM(Jul!D154, Aug!D154, Sep!D154)</f>
        <v>2848360</v>
      </c>
      <c r="E154" s="11">
        <f>SUM(Jul!E154, Aug!E154, Sep!E154)</f>
        <v>0</v>
      </c>
      <c r="F154" s="11">
        <f t="shared" si="12"/>
        <v>2848360</v>
      </c>
      <c r="G154" s="12" t="str">
        <f t="shared" si="13"/>
        <v/>
      </c>
      <c r="H154" s="13">
        <f>SUM(Jul!H154,Aug!H154,Sep!H154)</f>
        <v>3037887</v>
      </c>
      <c r="I154" s="13">
        <f>SUM(Jul!I154, Aug!I154, Sep!I154)</f>
        <v>-189527</v>
      </c>
      <c r="J154" s="14">
        <f t="shared" si="14"/>
        <v>-6.238777150038826E-2</v>
      </c>
      <c r="K154" s="38"/>
      <c r="L154" s="38"/>
    </row>
    <row r="155" spans="1:12" ht="15.75">
      <c r="A155" s="27" t="str">
        <v>Wheatland 2B</v>
      </c>
      <c r="B155" s="28" t="str">
        <v>NY</v>
      </c>
      <c r="C155" s="28" t="str">
        <f>Sites[[#This Row],[SOL'#]]</f>
        <v>SOL-10961</v>
      </c>
      <c r="D155" s="10">
        <f>SUM(Jul!D155, Aug!D155, Sep!D155)</f>
        <v>2905170</v>
      </c>
      <c r="E155" s="15">
        <f>SUM(Jul!E155, Aug!E155, Sep!E155)</f>
        <v>0</v>
      </c>
      <c r="F155" s="15">
        <f t="shared" si="12"/>
        <v>2905170</v>
      </c>
      <c r="G155" s="16" t="str">
        <f t="shared" si="13"/>
        <v/>
      </c>
      <c r="H155" s="17">
        <f>SUM(Jul!H155,Aug!H155,Sep!H155)</f>
        <v>3006973</v>
      </c>
      <c r="I155" s="17">
        <f>SUM(Jul!I155, Aug!I155, Sep!I155)</f>
        <v>-101803</v>
      </c>
      <c r="J155" s="16">
        <f t="shared" si="14"/>
        <v>-3.3855641537187064E-2</v>
      </c>
      <c r="K155" s="39"/>
      <c r="L155" s="40"/>
    </row>
    <row r="156" spans="1:12" ht="15.75">
      <c r="A156" s="25" t="str">
        <v>Brickchurch</v>
      </c>
      <c r="B156" s="26" t="str">
        <v>NY</v>
      </c>
      <c r="C156" s="26" t="str">
        <f>Sites[[#This Row],[SOL'#]]</f>
        <v>SOL-10889</v>
      </c>
      <c r="D156" s="21">
        <f>SUM(Jul!D156, Aug!D156, Sep!D156)</f>
        <v>1262140</v>
      </c>
      <c r="E156" s="11">
        <f>SUM(Jul!E156, Aug!E156, Sep!E156)</f>
        <v>1355203.73</v>
      </c>
      <c r="F156" s="11">
        <f t="shared" si="12"/>
        <v>-93063.729999999981</v>
      </c>
      <c r="G156" s="12">
        <f t="shared" si="13"/>
        <v>-6.8671394521619258E-2</v>
      </c>
      <c r="H156" s="13">
        <f>SUM(Jul!H156,Aug!H156,Sep!H156)</f>
        <v>1380018</v>
      </c>
      <c r="I156" s="13">
        <f>SUM(Jul!I156, Aug!I156, Sep!I156)</f>
        <v>-117878</v>
      </c>
      <c r="J156" s="14">
        <f t="shared" si="14"/>
        <v>-8.5417726435452285E-2</v>
      </c>
      <c r="K156" s="38"/>
      <c r="L156" s="38"/>
    </row>
    <row r="157" spans="1:12" ht="15.75">
      <c r="A157" s="27" t="str">
        <v>McCarthy Solar</v>
      </c>
      <c r="B157" s="28" t="str">
        <v>NY</v>
      </c>
      <c r="C157" s="28" t="str">
        <f>Sites[[#This Row],[SOL'#]]</f>
        <v>SOL-10992</v>
      </c>
      <c r="D157" s="10">
        <f>SUM(Jul!D157, Aug!D157, Sep!D157)</f>
        <v>1146318</v>
      </c>
      <c r="E157" s="15">
        <f>SUM(Jul!E157, Aug!E157, Sep!E157)</f>
        <v>0</v>
      </c>
      <c r="F157" s="15">
        <f t="shared" si="12"/>
        <v>1146318</v>
      </c>
      <c r="G157" s="16" t="str">
        <f t="shared" si="13"/>
        <v/>
      </c>
      <c r="H157" s="17">
        <f>SUM(Jul!H157,Aug!H157,Sep!H157)</f>
        <v>864001</v>
      </c>
      <c r="I157" s="17">
        <f>SUM(Jul!I157, Aug!I157, Sep!I157)</f>
        <v>-52990</v>
      </c>
      <c r="J157" s="16">
        <f t="shared" si="14"/>
        <v>-6.1330947533625536E-2</v>
      </c>
      <c r="K157" s="39"/>
      <c r="L157" s="40"/>
    </row>
    <row r="158" spans="1:12" ht="15.75">
      <c r="A158" s="25" t="str">
        <v>Costanza</v>
      </c>
      <c r="B158" s="26" t="str">
        <v>NY</v>
      </c>
      <c r="C158" s="26" t="str">
        <f>Sites[[#This Row],[SOL'#]]</f>
        <v>SOL-10907</v>
      </c>
      <c r="D158" s="21">
        <f>SUM(Jul!D158, Aug!D158, Sep!D158)</f>
        <v>543250</v>
      </c>
      <c r="E158" s="11">
        <f>SUM(Jul!E158, Aug!E158, Sep!E158)</f>
        <v>0</v>
      </c>
      <c r="F158" s="11">
        <f t="shared" si="12"/>
        <v>543250</v>
      </c>
      <c r="G158" s="12" t="str">
        <f t="shared" si="13"/>
        <v/>
      </c>
      <c r="H158" s="13">
        <f>SUM(Jul!H158,Aug!H158,Sep!H158)</f>
        <v>1209993</v>
      </c>
      <c r="I158" s="13">
        <f>SUM(Jul!I158, Aug!I158, Sep!I158)</f>
        <v>-666743</v>
      </c>
      <c r="J158" s="14">
        <f t="shared" si="14"/>
        <v>-0.55103046050679627</v>
      </c>
      <c r="K158" s="38"/>
      <c r="L158" s="38"/>
    </row>
    <row r="159" spans="1:12" ht="15.75">
      <c r="A159" s="27" t="str">
        <v>Lockenhurst Pond</v>
      </c>
      <c r="B159" s="28" t="str">
        <v>NY</v>
      </c>
      <c r="C159" s="28" t="str">
        <f>Sites[[#This Row],[SOL'#]]</f>
        <v>SOL-11000</v>
      </c>
      <c r="D159" s="10">
        <f>SUM(Jul!D159, Aug!D159, Sep!D159)</f>
        <v>1300845</v>
      </c>
      <c r="E159" s="15">
        <f>SUM(Jul!E159, Aug!E159, Sep!E159)</f>
        <v>1358256.2</v>
      </c>
      <c r="F159" s="15">
        <f t="shared" si="12"/>
        <v>-57411.199999999953</v>
      </c>
      <c r="G159" s="16">
        <f t="shared" si="13"/>
        <v>-4.2268314328327714E-2</v>
      </c>
      <c r="H159" s="17">
        <f>SUM(Jul!H159,Aug!H159,Sep!H159)</f>
        <v>1409372</v>
      </c>
      <c r="I159" s="17">
        <f>SUM(Jul!I159, Aug!I159, Sep!I159)</f>
        <v>-108527</v>
      </c>
      <c r="J159" s="16">
        <f t="shared" si="14"/>
        <v>-7.700380027416466E-2</v>
      </c>
      <c r="K159" s="39"/>
      <c r="L159" s="40"/>
    </row>
    <row r="160" spans="1:12" ht="15.75">
      <c r="A160" s="25" t="str">
        <v>Drinkwater</v>
      </c>
      <c r="B160" s="26" t="str">
        <v>NY</v>
      </c>
      <c r="C160" s="26" t="str">
        <f>Sites[[#This Row],[SOL'#]]</f>
        <v>SOL-10896</v>
      </c>
      <c r="D160" s="21">
        <f>SUM(Jul!D160, Aug!D160, Sep!D160)</f>
        <v>1231014</v>
      </c>
      <c r="E160" s="11">
        <f>SUM(Jul!E160, Aug!E160, Sep!E160)</f>
        <v>0</v>
      </c>
      <c r="F160" s="11">
        <f t="shared" si="12"/>
        <v>1231014</v>
      </c>
      <c r="G160" s="12" t="str">
        <f t="shared" si="13"/>
        <v/>
      </c>
      <c r="H160" s="13">
        <f>SUM(Jul!H160,Aug!H160,Sep!H160)</f>
        <v>1245202</v>
      </c>
      <c r="I160" s="13">
        <f>SUM(Jul!I160, Aug!I160, Sep!I160)</f>
        <v>-14188</v>
      </c>
      <c r="J160" s="14">
        <f t="shared" si="14"/>
        <v>-1.1394135248738758E-2</v>
      </c>
      <c r="K160" s="38"/>
      <c r="L160" s="38"/>
    </row>
    <row r="161" spans="1:12" ht="15.75">
      <c r="A161" s="27" t="str">
        <v>Altamont</v>
      </c>
      <c r="B161" s="28" t="str">
        <v>NY</v>
      </c>
      <c r="C161" s="28" t="s">
        <v>11</v>
      </c>
      <c r="D161" s="10">
        <f>SUM(Jul!D161, Aug!D161, Sep!D161)</f>
        <v>1208330.859398125</v>
      </c>
      <c r="E161" s="15">
        <f>SUM(Jul!E161, Aug!E161, Sep!E161)</f>
        <v>1268018.8999999999</v>
      </c>
      <c r="F161" s="15">
        <f t="shared" si="12"/>
        <v>-59688.040601874935</v>
      </c>
      <c r="G161" s="16">
        <f t="shared" si="13"/>
        <v>-4.7071885601921971E-2</v>
      </c>
      <c r="H161" s="17">
        <f>SUM(Jul!H161,Aug!H161,Sep!H161)</f>
        <v>1261319.8999999999</v>
      </c>
      <c r="I161" s="17">
        <f>SUM(Jul!I161, Aug!I161, Sep!I161)</f>
        <v>-52989.040601875051</v>
      </c>
      <c r="J161" s="16">
        <f t="shared" si="14"/>
        <v>-4.2010786162871967E-2</v>
      </c>
      <c r="K161" s="39"/>
      <c r="L161" s="40"/>
    </row>
    <row r="162" spans="1:12" ht="13.15">
      <c r="A162" s="18"/>
      <c r="B162" s="18"/>
      <c r="C162" s="18"/>
      <c r="D162" s="18"/>
      <c r="E162" s="18"/>
      <c r="F162" s="18"/>
      <c r="G162" s="19"/>
      <c r="H162" s="18"/>
      <c r="I162" s="18"/>
      <c r="J162" s="19"/>
    </row>
    <row r="163" spans="1:12" ht="13.15">
      <c r="A163" s="18"/>
      <c r="B163" s="18"/>
      <c r="C163" s="18"/>
      <c r="D163" s="18"/>
      <c r="E163" s="18"/>
      <c r="F163" s="18"/>
      <c r="G163" s="19"/>
      <c r="H163" s="18"/>
      <c r="I163" s="18"/>
      <c r="J163" s="19"/>
    </row>
    <row r="164" spans="1:12" ht="13.15">
      <c r="A164" s="18"/>
      <c r="B164" s="18"/>
      <c r="C164" s="18"/>
      <c r="D164" s="18"/>
      <c r="E164" s="18"/>
      <c r="F164" s="18"/>
      <c r="G164" s="19"/>
      <c r="H164" s="18"/>
      <c r="I164" s="18"/>
      <c r="J164" s="19"/>
    </row>
    <row r="165" spans="1:12" ht="13.15">
      <c r="A165" s="18"/>
      <c r="B165" s="18"/>
      <c r="C165" s="18"/>
      <c r="D165" s="18"/>
      <c r="E165" s="18"/>
      <c r="F165" s="18"/>
      <c r="G165" s="19"/>
      <c r="H165" s="18"/>
      <c r="I165" s="18"/>
      <c r="J165" s="19"/>
    </row>
    <row r="166" spans="1:12" ht="13.15">
      <c r="A166" s="18"/>
      <c r="B166" s="18"/>
      <c r="C166" s="18"/>
      <c r="D166" s="18"/>
      <c r="E166" s="18"/>
      <c r="F166" s="18"/>
      <c r="G166" s="19"/>
      <c r="H166" s="18"/>
      <c r="I166" s="18"/>
      <c r="J166" s="19"/>
    </row>
    <row r="167" spans="1:12" ht="13.15">
      <c r="A167" s="18"/>
      <c r="B167" s="18"/>
      <c r="C167" s="18"/>
      <c r="D167" s="18"/>
      <c r="E167" s="18"/>
      <c r="F167" s="18"/>
      <c r="G167" s="19"/>
      <c r="H167" s="18"/>
      <c r="I167" s="18"/>
      <c r="J167" s="19"/>
    </row>
    <row r="168" spans="1:12" ht="13.15">
      <c r="A168" s="18"/>
      <c r="B168" s="18"/>
      <c r="C168" s="18"/>
      <c r="D168" s="18"/>
      <c r="E168" s="18"/>
      <c r="F168" s="18"/>
      <c r="G168" s="19"/>
      <c r="H168" s="18"/>
      <c r="I168" s="18"/>
      <c r="J168" s="19"/>
    </row>
    <row r="169" spans="1:12" ht="13.15">
      <c r="A169" s="18"/>
      <c r="B169" s="18"/>
      <c r="C169" s="18"/>
      <c r="D169" s="18"/>
      <c r="E169" s="18"/>
      <c r="F169" s="18"/>
      <c r="G169" s="19"/>
      <c r="H169" s="18"/>
      <c r="I169" s="18"/>
      <c r="J169" s="19"/>
    </row>
    <row r="170" spans="1:12" ht="13.15">
      <c r="A170" s="18"/>
      <c r="B170" s="18"/>
      <c r="C170" s="18"/>
      <c r="D170" s="18"/>
      <c r="E170" s="18"/>
      <c r="F170" s="18"/>
      <c r="G170" s="19"/>
      <c r="H170" s="18"/>
      <c r="I170" s="18"/>
      <c r="J170" s="19"/>
    </row>
    <row r="171" spans="1:12" ht="13.15">
      <c r="A171" s="18"/>
      <c r="B171" s="18"/>
      <c r="C171" s="18"/>
      <c r="D171" s="18"/>
      <c r="E171" s="18"/>
      <c r="F171" s="18"/>
      <c r="G171" s="19"/>
      <c r="H171" s="18"/>
      <c r="I171" s="18"/>
      <c r="J171" s="19"/>
    </row>
    <row r="172" spans="1:12" ht="13.15">
      <c r="A172" s="18"/>
      <c r="B172" s="18"/>
      <c r="C172" s="18"/>
      <c r="D172" s="18"/>
      <c r="E172" s="18"/>
      <c r="F172" s="18"/>
      <c r="G172" s="19"/>
      <c r="H172" s="18"/>
      <c r="I172" s="18"/>
      <c r="J172" s="19"/>
    </row>
    <row r="173" spans="1:12" ht="13.15">
      <c r="A173" s="18"/>
      <c r="B173" s="18"/>
      <c r="C173" s="18"/>
      <c r="D173" s="18"/>
      <c r="E173" s="18"/>
      <c r="F173" s="18"/>
      <c r="G173" s="19"/>
      <c r="H173" s="18"/>
      <c r="I173" s="18"/>
      <c r="J173" s="19"/>
    </row>
    <row r="174" spans="1:12" ht="13.15">
      <c r="A174" s="18"/>
      <c r="B174" s="18"/>
      <c r="C174" s="18"/>
      <c r="D174" s="18"/>
      <c r="E174" s="18"/>
      <c r="F174" s="18"/>
      <c r="G174" s="19"/>
      <c r="H174" s="18"/>
      <c r="I174" s="18"/>
      <c r="J174" s="19"/>
    </row>
    <row r="175" spans="1:12" ht="13.15">
      <c r="A175" s="18"/>
      <c r="B175" s="18"/>
      <c r="C175" s="18"/>
      <c r="D175" s="18"/>
      <c r="E175" s="18"/>
      <c r="F175" s="18"/>
      <c r="G175" s="19"/>
      <c r="H175" s="18"/>
      <c r="I175" s="18"/>
      <c r="J175" s="19"/>
    </row>
    <row r="176" spans="1:12"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mergeCells count="4">
    <mergeCell ref="H1:J1"/>
    <mergeCell ref="A1:D1"/>
    <mergeCell ref="E1:G1"/>
    <mergeCell ref="A2:B2"/>
  </mergeCells>
  <conditionalFormatting sqref="G2 J2">
    <cfRule type="cellIs" dxfId="62" priority="3" stopIfTrue="1" operator="lessThanOrEqual">
      <formula>-0.1</formula>
    </cfRule>
    <cfRule type="expression" dxfId="61" priority="4">
      <formula>AND(ISNUMBER(G2), G2&gt;=0.1)</formula>
    </cfRule>
  </conditionalFormatting>
  <conditionalFormatting sqref="G4:G161 J4:J161">
    <cfRule type="cellIs" dxfId="60" priority="1" stopIfTrue="1" operator="lessThanOrEqual">
      <formula>-0.1</formula>
    </cfRule>
    <cfRule type="expression" dxfId="59" priority="2">
      <formula>AND(ISNUMBER(G4), G4&gt;=0.1)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L342"/>
  <sheetViews>
    <sheetView workbookViewId="0">
      <pane xSplit="2" ySplit="3" topLeftCell="H4" activePane="bottomRight" state="frozen"/>
      <selection pane="bottomRight" activeCell="H4" sqref="H4"/>
      <selection pane="bottomLeft" activeCell="C2" sqref="C1:C1048576"/>
      <selection pane="topRight" activeCell="C2" sqref="C1:C1048576"/>
    </sheetView>
  </sheetViews>
  <sheetFormatPr defaultRowHeight="12.75"/>
  <cols>
    <col min="1" max="1" width="35.85546875" bestFit="1" customWidth="1"/>
    <col min="2" max="3" width="8.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23" t="str" cm="1">
        <f t="array" ref="A1">portfolio</f>
        <v>Generate Capital</v>
      </c>
      <c r="B1" s="123"/>
      <c r="C1" s="123"/>
      <c r="D1" s="123"/>
      <c r="E1" s="124" t="s">
        <v>18</v>
      </c>
      <c r="F1" s="124"/>
      <c r="G1" s="124"/>
      <c r="H1" s="122" t="s">
        <v>19</v>
      </c>
      <c r="I1" s="122"/>
      <c r="J1" s="122"/>
    </row>
    <row r="2" spans="1:12" ht="19.5" customHeight="1">
      <c r="A2" s="125" t="s">
        <v>2</v>
      </c>
      <c r="B2" s="125"/>
      <c r="C2" s="72"/>
      <c r="D2" s="6">
        <f>SUM(D4:D200)</f>
        <v>31944944.19935317</v>
      </c>
      <c r="E2" s="6">
        <f>SUM(E4:E100)</f>
        <v>6521324.8490000004</v>
      </c>
      <c r="F2" s="6">
        <f>D2-E2</f>
        <v>25423619.35035317</v>
      </c>
      <c r="G2" s="7">
        <f>IFERROR(F2/E2, 0)</f>
        <v>3.898535947684266</v>
      </c>
      <c r="H2" s="6">
        <f>SUM(H4:H200)</f>
        <v>27942488.098000001</v>
      </c>
      <c r="I2" s="8">
        <f>D2-H2</f>
        <v>4002456.1013531685</v>
      </c>
      <c r="J2" s="7">
        <f>IFERROR(I2/H2, 0)</f>
        <v>0.14323907331787131</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1">Sites[Site]</f>
        <v>Farmer</v>
      </c>
      <c r="B4" s="26" t="str" cm="1">
        <f t="array" ref="B4:B161">Sites[State]</f>
        <v>AZ</v>
      </c>
      <c r="C4" s="26" t="str">
        <f>Sites[[#This Row],[SOL'#]]</f>
        <v>SOL-10748</v>
      </c>
      <c r="D4" s="21">
        <f>SUM(Oct!D4, Nov!D4, Dec!D4)</f>
        <v>12351.9945522076</v>
      </c>
      <c r="E4" s="11">
        <f>SUM(Oct!E4, Nov!E4, Dec!E4)</f>
        <v>7795.5559999999996</v>
      </c>
      <c r="F4" s="11">
        <f>IF(AND(ISNUMBER(D4),ISNUMBER(E4)), D4-E4, "")</f>
        <v>4556.4385522076</v>
      </c>
      <c r="G4" s="12">
        <f>IFERROR(F4/E4, "")</f>
        <v>0.58449179920041627</v>
      </c>
      <c r="H4" s="13">
        <f>SUM(Oct!H4,Nov!H4,Dec!H4)</f>
        <v>12218</v>
      </c>
      <c r="I4" s="13">
        <f>SUM(Oct!I4, Nov!I4, Dec!I4)</f>
        <v>133.99455220759955</v>
      </c>
      <c r="J4" s="14">
        <f>IFERROR(I4/H4, "")</f>
        <v>1.0966979227991452E-2</v>
      </c>
      <c r="K4" s="38"/>
      <c r="L4" s="38"/>
    </row>
    <row r="5" spans="1:12" ht="15.75">
      <c r="A5" s="27" t="str">
        <v>Fulton</v>
      </c>
      <c r="B5" s="28" t="str">
        <v>AZ</v>
      </c>
      <c r="C5" s="28" t="str">
        <f>Sites[[#This Row],[SOL'#]]</f>
        <v>SOL-10749</v>
      </c>
      <c r="D5" s="10">
        <f>SUM(Oct!D5, Nov!D5, Dec!D5)</f>
        <v>36511</v>
      </c>
      <c r="E5" s="15">
        <f>SUM(Oct!E5, Nov!E5, Dec!E5)</f>
        <v>44132.79</v>
      </c>
      <c r="F5" s="15">
        <f t="shared" ref="F5:F15" si="0">IF(AND(ISNUMBER(D5),ISNUMBER(E5)), D5-E5, "")</f>
        <v>-7621.7900000000009</v>
      </c>
      <c r="G5" s="16">
        <f>IFERROR(F5/E5, "")</f>
        <v>-0.1727012953407206</v>
      </c>
      <c r="H5" s="17">
        <f>SUM(Oct!H5,Nov!H5,Dec!H5)</f>
        <v>52548</v>
      </c>
      <c r="I5" s="17">
        <f>SUM(Oct!I5, Nov!I5, Dec!I5)</f>
        <v>-16037</v>
      </c>
      <c r="J5" s="16">
        <f>IFERROR(I5/H5, "")</f>
        <v>-0.30518763796909493</v>
      </c>
      <c r="K5" s="39"/>
      <c r="L5" s="39"/>
    </row>
    <row r="6" spans="1:12" ht="15.75">
      <c r="A6" s="25" t="str">
        <v>JFK Elementary</v>
      </c>
      <c r="B6" s="26" t="str">
        <v>AZ</v>
      </c>
      <c r="C6" s="26" t="str">
        <f>Sites[[#This Row],[SOL'#]]</f>
        <v>SOL-10758</v>
      </c>
      <c r="D6" s="21">
        <f>SUM(Oct!D6, Nov!D6, Dec!D6)</f>
        <v>20557.6878803281</v>
      </c>
      <c r="E6" s="11">
        <f>SUM(Oct!E6, Nov!E6, Dec!E6)</f>
        <v>0</v>
      </c>
      <c r="F6" s="11">
        <f t="shared" si="0"/>
        <v>20557.6878803281</v>
      </c>
      <c r="G6" s="12" t="str">
        <f t="shared" ref="G6:G15" si="1">IFERROR(F6/E6, "")</f>
        <v/>
      </c>
      <c r="H6" s="13">
        <f>SUM(Oct!H6,Nov!H6,Dec!H6)</f>
        <v>17712</v>
      </c>
      <c r="I6" s="13">
        <f>SUM(Oct!I6, Nov!I6, Dec!I6)</f>
        <v>2845.6878803280997</v>
      </c>
      <c r="J6" s="14">
        <f t="shared" ref="J6:J15" si="2">IFERROR(I6/H6, "")</f>
        <v>0.16066440155420617</v>
      </c>
      <c r="K6" s="38"/>
      <c r="L6" s="38"/>
    </row>
    <row r="7" spans="1:12" ht="15.75">
      <c r="A7" s="27" t="str">
        <v>Noble</v>
      </c>
      <c r="B7" s="28" t="str">
        <v>AZ</v>
      </c>
      <c r="C7" s="28" t="str">
        <f>Sites[[#This Row],[SOL'#]]</f>
        <v>SOL-10750</v>
      </c>
      <c r="D7" s="10">
        <f>SUM(Oct!D7, Nov!D7, Dec!D7)</f>
        <v>10837.6804682654</v>
      </c>
      <c r="E7" s="15">
        <f>SUM(Oct!E7, Nov!E7, Dec!E7)</f>
        <v>13076.94</v>
      </c>
      <c r="F7" s="15">
        <f t="shared" si="0"/>
        <v>-2239.2595317346004</v>
      </c>
      <c r="G7" s="16">
        <f t="shared" si="1"/>
        <v>-0.1712372720020586</v>
      </c>
      <c r="H7" s="17">
        <f>SUM(Oct!H7,Nov!H7,Dec!H7)</f>
        <v>13646</v>
      </c>
      <c r="I7" s="17">
        <f>SUM(Oct!I7, Nov!I7, Dec!I7)</f>
        <v>-2808.3195317345999</v>
      </c>
      <c r="J7" s="16">
        <f t="shared" si="2"/>
        <v>-0.20579800173930821</v>
      </c>
      <c r="K7" s="39"/>
      <c r="L7" s="40"/>
    </row>
    <row r="8" spans="1:12" ht="15.75">
      <c r="A8" s="25" t="str">
        <v>Parking 3</v>
      </c>
      <c r="B8" s="26" t="str">
        <v>AZ</v>
      </c>
      <c r="C8" s="26" t="str">
        <f>Sites[[#This Row],[SOL'#]]</f>
        <v>SOL-10751</v>
      </c>
      <c r="D8" s="21">
        <f>SUM(Oct!D8, Nov!D8, Dec!D8)</f>
        <v>30411.606964904098</v>
      </c>
      <c r="E8" s="11">
        <f>SUM(Oct!E8, Nov!E8, Dec!E8)</f>
        <v>23393.97</v>
      </c>
      <c r="F8" s="11">
        <f t="shared" si="0"/>
        <v>7017.6369649040971</v>
      </c>
      <c r="G8" s="12">
        <f t="shared" si="1"/>
        <v>0.29997631718362028</v>
      </c>
      <c r="H8" s="13">
        <f>SUM(Oct!H8,Nov!H8,Dec!H8)</f>
        <v>27939</v>
      </c>
      <c r="I8" s="13">
        <f>SUM(Oct!I8, Nov!I8, Dec!I8)</f>
        <v>2472.6069649040983</v>
      </c>
      <c r="J8" s="14">
        <f t="shared" si="2"/>
        <v>8.8500195601277726E-2</v>
      </c>
      <c r="K8" s="38"/>
      <c r="L8" s="38"/>
    </row>
    <row r="9" spans="1:12" ht="15.75">
      <c r="A9" s="27" t="str">
        <v>PE East</v>
      </c>
      <c r="B9" s="28" t="str">
        <v>AZ</v>
      </c>
      <c r="C9" s="28" t="str">
        <f>Sites[[#This Row],[SOL'#]]</f>
        <v>SOL-10752</v>
      </c>
      <c r="D9" s="10">
        <f>SUM(Oct!D9, Nov!D9, Dec!D9)</f>
        <v>27137.3811507022</v>
      </c>
      <c r="E9" s="15">
        <f>SUM(Oct!E9, Nov!E9, Dec!E9)</f>
        <v>17170.78</v>
      </c>
      <c r="F9" s="15">
        <f t="shared" si="0"/>
        <v>9966.6011507022013</v>
      </c>
      <c r="G9" s="16">
        <f t="shared" si="1"/>
        <v>0.58043962771069235</v>
      </c>
      <c r="H9" s="17">
        <f>SUM(Oct!H9,Nov!H9,Dec!H9)</f>
        <v>29053</v>
      </c>
      <c r="I9" s="17">
        <f>SUM(Oct!I9, Nov!I9, Dec!I9)</f>
        <v>-1915.6188492977999</v>
      </c>
      <c r="J9" s="16">
        <f t="shared" si="2"/>
        <v>-6.5935319908367457E-2</v>
      </c>
      <c r="K9" s="39"/>
      <c r="L9" s="40"/>
    </row>
    <row r="10" spans="1:12" ht="15.75">
      <c r="A10" s="25" t="str">
        <v>Schwada</v>
      </c>
      <c r="B10" s="26" t="str">
        <v>AZ</v>
      </c>
      <c r="C10" s="26" t="str">
        <f>Sites[[#This Row],[SOL'#]]</f>
        <v>SOL-10753</v>
      </c>
      <c r="D10" s="21">
        <f>SUM(Oct!D10, Nov!D10, Dec!D10)</f>
        <v>10499.2429555116</v>
      </c>
      <c r="E10" s="11">
        <f>SUM(Oct!E10, Nov!E10, Dec!E10)</f>
        <v>7069.3389999999999</v>
      </c>
      <c r="F10" s="11">
        <f t="shared" si="0"/>
        <v>3429.9039555115996</v>
      </c>
      <c r="G10" s="12">
        <f t="shared" si="1"/>
        <v>0.48518029132732204</v>
      </c>
      <c r="H10" s="13">
        <f>SUM(Oct!H10,Nov!H10,Dec!H10)</f>
        <v>11116</v>
      </c>
      <c r="I10" s="13">
        <f>SUM(Oct!I10, Nov!I10, Dec!I10)</f>
        <v>-616.75704448840042</v>
      </c>
      <c r="J10" s="14">
        <f t="shared" si="2"/>
        <v>-5.5483721166642713E-2</v>
      </c>
      <c r="K10" s="38"/>
      <c r="L10" s="38"/>
    </row>
    <row r="11" spans="1:12" ht="15.75">
      <c r="A11" s="27" t="str">
        <v>Starshine</v>
      </c>
      <c r="B11" s="28" t="str">
        <v>AZ</v>
      </c>
      <c r="C11" s="28" t="str">
        <f>Sites[[#This Row],[SOL'#]]</f>
        <v>SOL-10757</v>
      </c>
      <c r="D11" s="10">
        <f>SUM(Oct!D11, Nov!D11, Dec!D11)</f>
        <v>7069.2121648334096</v>
      </c>
      <c r="E11" s="15">
        <f>SUM(Oct!E11, Nov!E11, Dec!E11)</f>
        <v>0</v>
      </c>
      <c r="F11" s="15">
        <f t="shared" si="0"/>
        <v>7069.2121648334096</v>
      </c>
      <c r="G11" s="16" t="str">
        <f t="shared" si="1"/>
        <v/>
      </c>
      <c r="H11" s="17">
        <f>SUM(Oct!H11,Nov!H11,Dec!H11)</f>
        <v>8221</v>
      </c>
      <c r="I11" s="17">
        <f>SUM(Oct!I11, Nov!I11, Dec!I11)</f>
        <v>-1151.7878351665904</v>
      </c>
      <c r="J11" s="16">
        <f t="shared" si="2"/>
        <v>-0.14010313041802583</v>
      </c>
      <c r="K11" s="39"/>
      <c r="L11" s="40"/>
    </row>
    <row r="12" spans="1:12" ht="15.75">
      <c r="A12" s="25" t="str">
        <v>Yuma Airport</v>
      </c>
      <c r="B12" s="26" t="str">
        <v>AZ</v>
      </c>
      <c r="C12" s="26" t="str">
        <f>Sites[[#This Row],[SOL'#]]</f>
        <v>SOL-10754</v>
      </c>
      <c r="D12" s="21">
        <f>SUM(Oct!D12, Nov!D12, Dec!D12)</f>
        <v>62048</v>
      </c>
      <c r="E12" s="11">
        <f>SUM(Oct!E12, Nov!E12, Dec!E12)</f>
        <v>89930.77</v>
      </c>
      <c r="F12" s="11">
        <f t="shared" si="0"/>
        <v>-27882.770000000004</v>
      </c>
      <c r="G12" s="12">
        <f t="shared" si="1"/>
        <v>-0.3100470506368399</v>
      </c>
      <c r="H12" s="13">
        <f>SUM(Oct!H12,Nov!H12,Dec!H12)</f>
        <v>69476</v>
      </c>
      <c r="I12" s="13">
        <f>SUM(Oct!I12, Nov!I12, Dec!I12)</f>
        <v>-7428</v>
      </c>
      <c r="J12" s="14">
        <f t="shared" si="2"/>
        <v>-0.1069146179975819</v>
      </c>
      <c r="K12" s="38"/>
      <c r="L12" s="38"/>
    </row>
    <row r="13" spans="1:12" ht="15.75">
      <c r="A13" s="27" t="str">
        <v>Kinsman</v>
      </c>
      <c r="B13" s="28" t="str">
        <v>OH</v>
      </c>
      <c r="C13" s="28" t="str">
        <f>Sites[[#This Row],[SOL'#]]</f>
        <v>SOL-10762</v>
      </c>
      <c r="D13" s="10">
        <f>SUM(Oct!D13, Nov!D13, Dec!D13)</f>
        <v>76897.546875</v>
      </c>
      <c r="E13" s="15">
        <f>SUM(Oct!E13, Nov!E13, Dec!E13)</f>
        <v>111691.2</v>
      </c>
      <c r="F13" s="15">
        <f t="shared" si="0"/>
        <v>-34793.653124999997</v>
      </c>
      <c r="G13" s="16">
        <f t="shared" si="1"/>
        <v>-0.31151651271541536</v>
      </c>
      <c r="H13" s="17">
        <f>SUM(Oct!H13,Nov!H13,Dec!H13)</f>
        <v>87435</v>
      </c>
      <c r="I13" s="17">
        <f>SUM(Oct!I13, Nov!I13, Dec!I13)</f>
        <v>-10537.453125</v>
      </c>
      <c r="J13" s="16">
        <f t="shared" si="2"/>
        <v>-0.12051756304683479</v>
      </c>
      <c r="K13" s="39"/>
      <c r="L13" s="40"/>
    </row>
    <row r="14" spans="1:12" ht="15.75">
      <c r="A14" s="25" t="str">
        <v>Wooster</v>
      </c>
      <c r="B14" s="26" t="str">
        <v>OH</v>
      </c>
      <c r="C14" s="26" t="str">
        <f>Sites[[#This Row],[SOL'#]]</f>
        <v>SOL-10763</v>
      </c>
      <c r="D14" s="21">
        <f>SUM(Oct!D14, Nov!D14, Dec!D14)</f>
        <v>9074.75</v>
      </c>
      <c r="E14" s="11">
        <f>SUM(Oct!E14, Nov!E14, Dec!E14)</f>
        <v>0</v>
      </c>
      <c r="F14" s="11">
        <f t="shared" si="0"/>
        <v>9074.75</v>
      </c>
      <c r="G14" s="12" t="str">
        <f t="shared" si="1"/>
        <v/>
      </c>
      <c r="H14" s="13">
        <f>SUM(Oct!H14,Nov!H14,Dec!H14)</f>
        <v>19620</v>
      </c>
      <c r="I14" s="13">
        <f>SUM(Oct!I14, Nov!I14, Dec!I14)</f>
        <v>-10545.25</v>
      </c>
      <c r="J14" s="14">
        <f t="shared" si="2"/>
        <v>-0.53747451580020389</v>
      </c>
      <c r="K14" s="38"/>
      <c r="L14" s="38"/>
    </row>
    <row r="15" spans="1:12" ht="15.75">
      <c r="A15" s="27" t="str">
        <v>Globe Gila CC</v>
      </c>
      <c r="B15" s="28" t="str">
        <v>AZ</v>
      </c>
      <c r="C15" s="28" t="str">
        <f>Sites[[#This Row],[SOL'#]]</f>
        <v>SOL-10755</v>
      </c>
      <c r="D15" s="10">
        <f>SUM(Oct!D15, Nov!D15, Dec!D15)</f>
        <v>11509.2745582467</v>
      </c>
      <c r="E15" s="15">
        <f>SUM(Oct!E15, Nov!E15, Dec!E15)</f>
        <v>0</v>
      </c>
      <c r="F15" s="15">
        <f t="shared" si="0"/>
        <v>11509.2745582467</v>
      </c>
      <c r="G15" s="16" t="str">
        <f t="shared" si="1"/>
        <v/>
      </c>
      <c r="H15" s="17">
        <f>SUM(Oct!H15,Nov!H15,Dec!H15)</f>
        <v>14074</v>
      </c>
      <c r="I15" s="17">
        <f>SUM(Oct!I15, Nov!I15, Dec!I15)</f>
        <v>-2564.7254417533004</v>
      </c>
      <c r="J15" s="16">
        <f t="shared" si="2"/>
        <v>-0.18223145102695043</v>
      </c>
      <c r="K15" s="39"/>
      <c r="L15" s="40"/>
    </row>
    <row r="16" spans="1:12" ht="15.75">
      <c r="A16" s="25" t="str">
        <v>Payson Gila CC</v>
      </c>
      <c r="B16" s="26" t="str">
        <v>AZ</v>
      </c>
      <c r="C16" s="26" t="str">
        <f>Sites[[#This Row],[SOL'#]]</f>
        <v>SOL-10756</v>
      </c>
      <c r="D16" s="21">
        <f>SUM(Oct!D16, Nov!D16, Dec!D16)</f>
        <v>9544.9763293543401</v>
      </c>
      <c r="E16" s="11">
        <f>SUM(Oct!E16, Nov!E16, Dec!E16)</f>
        <v>4480.8549999999996</v>
      </c>
      <c r="F16" s="11">
        <f t="shared" ref="F16:F79" si="3">IF(AND(ISNUMBER(D16),ISNUMBER(E16)), D16-E16, "")</f>
        <v>5064.1213293543406</v>
      </c>
      <c r="G16" s="12">
        <f t="shared" ref="G16:G79" si="4">IFERROR(F16/E16, "")</f>
        <v>1.1301685346556274</v>
      </c>
      <c r="H16" s="13">
        <f>SUM(Oct!H16,Nov!H16,Dec!H16)</f>
        <v>11244</v>
      </c>
      <c r="I16" s="13">
        <f>SUM(Oct!I16, Nov!I16, Dec!I16)</f>
        <v>-1699.0236706456599</v>
      </c>
      <c r="J16" s="14">
        <f t="shared" ref="J16:J79" si="5">IFERROR(I16/H16, "")</f>
        <v>-0.15110491556791711</v>
      </c>
      <c r="K16" s="39"/>
      <c r="L16" s="40"/>
    </row>
    <row r="17" spans="1:12" ht="15.75">
      <c r="A17" s="27" t="str">
        <v>SCNM</v>
      </c>
      <c r="B17" s="28" t="str">
        <v>AZ</v>
      </c>
      <c r="C17" s="28" t="str">
        <f>Sites[[#This Row],[SOL'#]]</f>
        <v>SOL-10760</v>
      </c>
      <c r="D17" s="10">
        <f>SUM(Oct!D17, Nov!D17, Dec!D17)</f>
        <v>70818.25</v>
      </c>
      <c r="E17" s="15">
        <f>SUM(Oct!E17, Nov!E17, Dec!E17)</f>
        <v>31585.37</v>
      </c>
      <c r="F17" s="15">
        <f t="shared" si="3"/>
        <v>39232.880000000005</v>
      </c>
      <c r="G17" s="16">
        <f t="shared" si="4"/>
        <v>1.2421219064395954</v>
      </c>
      <c r="H17" s="17">
        <f>SUM(Oct!H17,Nov!H17,Dec!H17)</f>
        <v>67875</v>
      </c>
      <c r="I17" s="17">
        <f>SUM(Oct!I17, Nov!I17, Dec!I17)</f>
        <v>2943.25</v>
      </c>
      <c r="J17" s="16">
        <f t="shared" si="5"/>
        <v>4.3362799263351751E-2</v>
      </c>
      <c r="K17" s="39"/>
      <c r="L17" s="40"/>
    </row>
    <row r="18" spans="1:12" ht="12.75" customHeight="1">
      <c r="A18" s="25" t="str">
        <v>Sequoia Charter School</v>
      </c>
      <c r="B18" s="26" t="str">
        <v>AZ</v>
      </c>
      <c r="C18" s="26" t="str">
        <f>Sites[[#This Row],[SOL'#]]</f>
        <v>SOL-10759</v>
      </c>
      <c r="D18" s="21">
        <f>SUM(Oct!D18, Nov!D18, Dec!D18)</f>
        <v>26077.9399999999</v>
      </c>
      <c r="E18" s="11">
        <f>SUM(Oct!E18, Nov!E18, Dec!E18)</f>
        <v>0</v>
      </c>
      <c r="F18" s="11">
        <f t="shared" si="3"/>
        <v>26077.9399999999</v>
      </c>
      <c r="G18" s="12" t="str">
        <f t="shared" si="4"/>
        <v/>
      </c>
      <c r="H18" s="13">
        <f>SUM(Oct!H18,Nov!H18,Dec!H18)</f>
        <v>42342</v>
      </c>
      <c r="I18" s="13">
        <f>SUM(Oct!I18, Nov!I18, Dec!I18)</f>
        <v>-16264.0600000001</v>
      </c>
      <c r="J18" s="14">
        <f t="shared" si="5"/>
        <v>-0.38411175664824759</v>
      </c>
      <c r="K18" s="39"/>
      <c r="L18" s="40"/>
    </row>
    <row r="19" spans="1:12" ht="15.75">
      <c r="A19" s="27" t="str">
        <v>RCAB</v>
      </c>
      <c r="B19" s="28" t="str">
        <v>MA</v>
      </c>
      <c r="C19" s="28" t="str">
        <f>Sites[[#This Row],[SOL'#]]</f>
        <v>SOL-10838</v>
      </c>
      <c r="D19" s="10">
        <f>SUM(Oct!D19, Nov!D19, Dec!D19)</f>
        <v>79660.5</v>
      </c>
      <c r="E19" s="15">
        <f>SUM(Oct!E19, Nov!E19, Dec!E19)</f>
        <v>99913.57</v>
      </c>
      <c r="F19" s="15">
        <f t="shared" si="3"/>
        <v>-20253.070000000007</v>
      </c>
      <c r="G19" s="16">
        <f t="shared" si="4"/>
        <v>-0.20270589870825359</v>
      </c>
      <c r="H19" s="17">
        <f>SUM(Oct!H19,Nov!H19,Dec!H19)</f>
        <v>74805</v>
      </c>
      <c r="I19" s="17">
        <f>SUM(Oct!I19, Nov!I19, Dec!I19)</f>
        <v>4855.5</v>
      </c>
      <c r="J19" s="16">
        <f t="shared" si="5"/>
        <v>6.4908762783236415E-2</v>
      </c>
      <c r="K19" s="39"/>
      <c r="L19" s="40"/>
    </row>
    <row r="20" spans="1:12" ht="15.75">
      <c r="A20" s="25" t="str">
        <v>Spectro Coatings</v>
      </c>
      <c r="B20" s="26" t="str">
        <v>MA</v>
      </c>
      <c r="C20" s="26" t="str">
        <f>Sites[[#This Row],[SOL'#]]</f>
        <v>SOL-10074</v>
      </c>
      <c r="D20" s="21">
        <f>SUM(Oct!D20, Nov!D20, Dec!D20)</f>
        <v>21522.75</v>
      </c>
      <c r="E20" s="11">
        <f>SUM(Oct!E20, Nov!E20, Dec!E20)</f>
        <v>27288.57</v>
      </c>
      <c r="F20" s="11">
        <f t="shared" si="3"/>
        <v>-5765.82</v>
      </c>
      <c r="G20" s="12">
        <f t="shared" si="4"/>
        <v>-0.21129066125487703</v>
      </c>
      <c r="H20" s="13">
        <f>SUM(Oct!H20,Nov!H20,Dec!H20)</f>
        <v>21995</v>
      </c>
      <c r="I20" s="13">
        <f>SUM(Oct!I20, Nov!I20, Dec!I20)</f>
        <v>-472.25</v>
      </c>
      <c r="J20" s="14">
        <f t="shared" si="5"/>
        <v>-2.1470788815639918E-2</v>
      </c>
      <c r="K20" s="39"/>
      <c r="L20" s="40"/>
    </row>
    <row r="21" spans="1:12" ht="15.75">
      <c r="A21" s="27" t="str">
        <v>K026</v>
      </c>
      <c r="B21" s="28" t="str">
        <v>NY</v>
      </c>
      <c r="C21" s="28" t="str">
        <f>Sites[[#This Row],[SOL'#]]</f>
        <v>SOL-10356</v>
      </c>
      <c r="D21" s="10">
        <f>SUM(Oct!D21, Nov!D21, Dec!D21)</f>
        <v>24068.875</v>
      </c>
      <c r="E21" s="15">
        <f>SUM(Oct!E21, Nov!E21, Dec!E21)</f>
        <v>29903.11</v>
      </c>
      <c r="F21" s="15">
        <f t="shared" si="3"/>
        <v>-5834.2350000000006</v>
      </c>
      <c r="G21" s="16">
        <f t="shared" si="4"/>
        <v>-0.1951046228970833</v>
      </c>
      <c r="H21" s="17">
        <f>SUM(Oct!H21,Nov!H21,Dec!H21)</f>
        <v>25191</v>
      </c>
      <c r="I21" s="17">
        <f>SUM(Oct!I21, Nov!I21, Dec!I21)</f>
        <v>-1122.125</v>
      </c>
      <c r="J21" s="16">
        <f t="shared" si="5"/>
        <v>-4.4544678655075227E-2</v>
      </c>
      <c r="K21" s="39"/>
      <c r="L21" s="40"/>
    </row>
    <row r="22" spans="1:12" ht="15.75">
      <c r="A22" s="25" t="str">
        <v>K041</v>
      </c>
      <c r="B22" s="26" t="str">
        <v>NY</v>
      </c>
      <c r="C22" s="26" t="str">
        <f>Sites[[#This Row],[SOL'#]]</f>
        <v>SOL-10357</v>
      </c>
      <c r="D22" s="21">
        <f>SUM(Oct!D22, Nov!D22, Dec!D22)</f>
        <v>20364.84375</v>
      </c>
      <c r="E22" s="11">
        <f>SUM(Oct!E22, Nov!E22, Dec!E22)</f>
        <v>23407.8</v>
      </c>
      <c r="F22" s="11">
        <f t="shared" si="3"/>
        <v>-3042.9562499999993</v>
      </c>
      <c r="G22" s="12">
        <f t="shared" si="4"/>
        <v>-0.12999753287365748</v>
      </c>
      <c r="H22" s="13">
        <f>SUM(Oct!H22,Nov!H22,Dec!H22)</f>
        <v>17613</v>
      </c>
      <c r="I22" s="13">
        <f>SUM(Oct!I22, Nov!I22, Dec!I22)</f>
        <v>2751.84375</v>
      </c>
      <c r="J22" s="14">
        <f t="shared" si="5"/>
        <v>0.1562393544540964</v>
      </c>
      <c r="K22" s="39"/>
      <c r="L22" s="40"/>
    </row>
    <row r="23" spans="1:12" ht="15.75">
      <c r="A23" s="27" t="str">
        <v>K043</v>
      </c>
      <c r="B23" s="28" t="str">
        <v>NY</v>
      </c>
      <c r="C23" s="28" t="str">
        <f>Sites[[#This Row],[SOL'#]]</f>
        <v>SOL-10358</v>
      </c>
      <c r="D23" s="10">
        <f>SUM(Oct!D23, Nov!D23, Dec!D23)</f>
        <v>22770.15625</v>
      </c>
      <c r="E23" s="15">
        <f>SUM(Oct!E23, Nov!E23, Dec!E23)</f>
        <v>25907.06</v>
      </c>
      <c r="F23" s="15">
        <f t="shared" si="3"/>
        <v>-3136.9037500000013</v>
      </c>
      <c r="G23" s="16">
        <f t="shared" si="4"/>
        <v>-0.12108296927555659</v>
      </c>
      <c r="H23" s="17">
        <f>SUM(Oct!H23,Nov!H23,Dec!H23)</f>
        <v>3897</v>
      </c>
      <c r="I23" s="17">
        <f>SUM(Oct!I23, Nov!I23, Dec!I23)</f>
        <v>18873.15625</v>
      </c>
      <c r="J23" s="16">
        <f t="shared" si="5"/>
        <v>4.8429962150372079</v>
      </c>
      <c r="K23" s="39"/>
      <c r="L23" s="40"/>
    </row>
    <row r="24" spans="1:12" ht="15.75">
      <c r="A24" s="25" t="str">
        <v>K058</v>
      </c>
      <c r="B24" s="26" t="str">
        <v>NY</v>
      </c>
      <c r="C24" s="26" t="str">
        <f>Sites[[#This Row],[SOL'#]]</f>
        <v>SOL-10360</v>
      </c>
      <c r="D24" s="21">
        <f>SUM(Oct!D24, Nov!D24, Dec!D24)</f>
        <v>19497.5</v>
      </c>
      <c r="E24" s="11">
        <f>SUM(Oct!E24, Nov!E24, Dec!E24)</f>
        <v>20776.21</v>
      </c>
      <c r="F24" s="11">
        <f t="shared" si="3"/>
        <v>-1278.7099999999991</v>
      </c>
      <c r="G24" s="12">
        <f t="shared" si="4"/>
        <v>-6.1546836501941364E-2</v>
      </c>
      <c r="H24" s="13">
        <f>SUM(Oct!H24,Nov!H24,Dec!H24)</f>
        <v>19510</v>
      </c>
      <c r="I24" s="13">
        <f>SUM(Oct!I24, Nov!I24, Dec!I24)</f>
        <v>-12.5</v>
      </c>
      <c r="J24" s="14">
        <f t="shared" si="5"/>
        <v>-6.4069707842132236E-4</v>
      </c>
      <c r="K24" s="39"/>
      <c r="L24" s="40"/>
    </row>
    <row r="25" spans="1:12" ht="15.75">
      <c r="A25" s="27" t="str">
        <v>K115</v>
      </c>
      <c r="B25" s="28" t="str">
        <v>NY</v>
      </c>
      <c r="C25" s="28" t="str">
        <f>Sites[[#This Row],[SOL'#]]</f>
        <v>SOL-10361</v>
      </c>
      <c r="D25" s="10">
        <f>SUM(Oct!D25, Nov!D25, Dec!D25)</f>
        <v>5181.1875</v>
      </c>
      <c r="E25" s="15">
        <f>SUM(Oct!E25, Nov!E25, Dec!E25)</f>
        <v>11426.48</v>
      </c>
      <c r="F25" s="15">
        <f t="shared" si="3"/>
        <v>-6245.2924999999996</v>
      </c>
      <c r="G25" s="16">
        <f t="shared" si="4"/>
        <v>-0.54656311480000841</v>
      </c>
      <c r="H25" s="17">
        <f>SUM(Oct!H25,Nov!H25,Dec!H25)</f>
        <v>9888</v>
      </c>
      <c r="I25" s="17">
        <f>SUM(Oct!I25, Nov!I25, Dec!I25)</f>
        <v>-4706.8125</v>
      </c>
      <c r="J25" s="16">
        <f t="shared" si="5"/>
        <v>-0.47601259101941745</v>
      </c>
      <c r="K25" s="39"/>
      <c r="L25" s="40"/>
    </row>
    <row r="26" spans="1:12" ht="15.75">
      <c r="A26" s="25" t="str">
        <v>K152</v>
      </c>
      <c r="B26" s="26" t="str">
        <v>NY</v>
      </c>
      <c r="C26" s="26" t="str">
        <f>Sites[[#This Row],[SOL'#]]</f>
        <v>SOL-10362</v>
      </c>
      <c r="D26" s="21">
        <f>SUM(Oct!D26, Nov!D26, Dec!D26)</f>
        <v>7479.8125</v>
      </c>
      <c r="E26" s="11">
        <f>SUM(Oct!E26, Nov!E26, Dec!E26)</f>
        <v>7995.7510000000002</v>
      </c>
      <c r="F26" s="11">
        <f t="shared" si="3"/>
        <v>-515.9385000000002</v>
      </c>
      <c r="G26" s="12">
        <f t="shared" si="4"/>
        <v>-6.45265841820237E-2</v>
      </c>
      <c r="H26" s="13">
        <f>SUM(Oct!H26,Nov!H26,Dec!H26)</f>
        <v>7441</v>
      </c>
      <c r="I26" s="13">
        <f>SUM(Oct!I26, Nov!I26, Dec!I26)</f>
        <v>38.8125</v>
      </c>
      <c r="J26" s="14">
        <f t="shared" si="5"/>
        <v>5.2160327912914931E-3</v>
      </c>
      <c r="K26" s="39"/>
      <c r="L26" s="40"/>
    </row>
    <row r="27" spans="1:12" ht="15.75">
      <c r="A27" s="27" t="str">
        <v>K166</v>
      </c>
      <c r="B27" s="28" t="str">
        <v>NY</v>
      </c>
      <c r="C27" s="28" t="str">
        <f>Sites[[#This Row],[SOL'#]]</f>
        <v>SOL-10363</v>
      </c>
      <c r="D27" s="10">
        <f>SUM(Oct!D27, Nov!D27, Dec!D27)</f>
        <v>25110.875</v>
      </c>
      <c r="E27" s="15">
        <f>SUM(Oct!E27, Nov!E27, Dec!E27)</f>
        <v>29610.43</v>
      </c>
      <c r="F27" s="15">
        <f t="shared" si="3"/>
        <v>-4499.5550000000003</v>
      </c>
      <c r="G27" s="16">
        <f t="shared" si="4"/>
        <v>-0.15195844842509887</v>
      </c>
      <c r="H27" s="17">
        <f>SUM(Oct!H27,Nov!H27,Dec!H27)</f>
        <v>26955</v>
      </c>
      <c r="I27" s="17">
        <f>SUM(Oct!I27, Nov!I27, Dec!I27)</f>
        <v>-1844.125</v>
      </c>
      <c r="J27" s="16">
        <f t="shared" si="5"/>
        <v>-6.8414950843999262E-2</v>
      </c>
      <c r="K27" s="39"/>
      <c r="L27" s="40"/>
    </row>
    <row r="28" spans="1:12" ht="15.75">
      <c r="A28" s="25" t="str">
        <v>K206</v>
      </c>
      <c r="B28" s="26" t="str">
        <v>NY</v>
      </c>
      <c r="C28" s="26" t="str">
        <f>Sites[[#This Row],[SOL'#]]</f>
        <v>SOL-10927</v>
      </c>
      <c r="D28" s="21">
        <f>SUM(Oct!D28, Nov!D28, Dec!D28)</f>
        <v>15872.3496875</v>
      </c>
      <c r="E28" s="11">
        <f>SUM(Oct!E28, Nov!E28, Dec!E28)</f>
        <v>17737.77</v>
      </c>
      <c r="F28" s="11">
        <f t="shared" si="3"/>
        <v>-1865.4203125000004</v>
      </c>
      <c r="G28" s="12">
        <f t="shared" si="4"/>
        <v>-0.1051665633560476</v>
      </c>
      <c r="H28" s="13">
        <f>SUM(Oct!H28,Nov!H28,Dec!H28)</f>
        <v>12467</v>
      </c>
      <c r="I28" s="13">
        <f>SUM(Oct!I28, Nov!I28, Dec!I28)</f>
        <v>3405.3496875000001</v>
      </c>
      <c r="J28" s="14">
        <f t="shared" si="5"/>
        <v>0.27314908859388787</v>
      </c>
      <c r="K28" s="39"/>
      <c r="L28" s="40"/>
    </row>
    <row r="29" spans="1:12" ht="15.75">
      <c r="A29" s="27" t="str">
        <v>K251</v>
      </c>
      <c r="B29" s="28" t="str">
        <v>NY</v>
      </c>
      <c r="C29" s="28" t="str">
        <f>Sites[[#This Row],[SOL'#]]</f>
        <v>SOL-10365</v>
      </c>
      <c r="D29" s="10">
        <f>SUM(Oct!D29, Nov!D29, Dec!D29)</f>
        <v>17588.375</v>
      </c>
      <c r="E29" s="15">
        <f>SUM(Oct!E29, Nov!E29, Dec!E29)</f>
        <v>18628.310000000001</v>
      </c>
      <c r="F29" s="15">
        <f t="shared" si="3"/>
        <v>-1039.9350000000013</v>
      </c>
      <c r="G29" s="16">
        <f t="shared" si="4"/>
        <v>-5.5825515035985616E-2</v>
      </c>
      <c r="H29" s="17">
        <f>SUM(Oct!H29,Nov!H29,Dec!H29)</f>
        <v>17820</v>
      </c>
      <c r="I29" s="17">
        <f>SUM(Oct!I29, Nov!I29, Dec!I29)</f>
        <v>-231.625</v>
      </c>
      <c r="J29" s="16">
        <f t="shared" si="5"/>
        <v>-1.2998035914702581E-2</v>
      </c>
      <c r="K29" s="39"/>
      <c r="L29" s="40"/>
    </row>
    <row r="30" spans="1:12" ht="15.75">
      <c r="A30" s="25" t="str">
        <v>K269</v>
      </c>
      <c r="B30" s="26" t="str">
        <v>NY</v>
      </c>
      <c r="C30" s="26" t="str">
        <f>Sites[[#This Row],[SOL'#]]</f>
        <v>SOL-10366</v>
      </c>
      <c r="D30" s="21">
        <f>SUM(Oct!D30, Nov!D30, Dec!D30)</f>
        <v>16055.6875</v>
      </c>
      <c r="E30" s="11">
        <f>SUM(Oct!E30, Nov!E30, Dec!E30)</f>
        <v>20172.21</v>
      </c>
      <c r="F30" s="11">
        <f t="shared" si="3"/>
        <v>-4116.5224999999991</v>
      </c>
      <c r="G30" s="12">
        <f t="shared" si="4"/>
        <v>-0.20406898897046974</v>
      </c>
      <c r="H30" s="13">
        <f>SUM(Oct!H30,Nov!H30,Dec!H30)</f>
        <v>13826</v>
      </c>
      <c r="I30" s="13">
        <f>SUM(Oct!I30, Nov!I30, Dec!I30)</f>
        <v>2229.6875</v>
      </c>
      <c r="J30" s="14">
        <f t="shared" si="5"/>
        <v>0.16126772023723421</v>
      </c>
      <c r="K30" s="39"/>
      <c r="L30" s="40"/>
    </row>
    <row r="31" spans="1:12" ht="15.75">
      <c r="A31" s="27" t="str">
        <v>K273</v>
      </c>
      <c r="B31" s="28" t="str">
        <v>NY</v>
      </c>
      <c r="C31" s="28" t="str">
        <f>Sites[[#This Row],[SOL'#]]</f>
        <v>SOL-10367</v>
      </c>
      <c r="D31" s="10">
        <f>SUM(Oct!D31, Nov!D31, Dec!D31)</f>
        <v>16644.1875</v>
      </c>
      <c r="E31" s="15">
        <f>SUM(Oct!E31, Nov!E31, Dec!E31)</f>
        <v>0</v>
      </c>
      <c r="F31" s="15">
        <f t="shared" si="3"/>
        <v>16644.1875</v>
      </c>
      <c r="G31" s="16" t="str">
        <f t="shared" si="4"/>
        <v/>
      </c>
      <c r="H31" s="17">
        <f>SUM(Oct!H31,Nov!H31,Dec!H31)</f>
        <v>20518</v>
      </c>
      <c r="I31" s="17">
        <f>SUM(Oct!I31, Nov!I31, Dec!I31)</f>
        <v>-3873.8125</v>
      </c>
      <c r="J31" s="16">
        <f t="shared" si="5"/>
        <v>-0.18880068720148163</v>
      </c>
      <c r="K31" s="39"/>
      <c r="L31" s="40"/>
    </row>
    <row r="32" spans="1:12" ht="15.75">
      <c r="A32" s="25" t="str">
        <v>K287</v>
      </c>
      <c r="B32" s="26" t="str">
        <v>NY</v>
      </c>
      <c r="C32" s="26" t="str">
        <f>Sites[[#This Row],[SOL'#]]</f>
        <v>SOL-10919</v>
      </c>
      <c r="D32" s="21">
        <f>SUM(Oct!D32, Nov!D32, Dec!D32)</f>
        <v>14279.65625</v>
      </c>
      <c r="E32" s="11">
        <f>SUM(Oct!E32, Nov!E32, Dec!E32)</f>
        <v>13075.75</v>
      </c>
      <c r="F32" s="11">
        <f t="shared" si="3"/>
        <v>1203.90625</v>
      </c>
      <c r="G32" s="12">
        <f t="shared" si="4"/>
        <v>9.2071678488805611E-2</v>
      </c>
      <c r="H32" s="13">
        <f>SUM(Oct!H32,Nov!H32,Dec!H32)</f>
        <v>11897</v>
      </c>
      <c r="I32" s="13">
        <f>SUM(Oct!I32, Nov!I32, Dec!I32)</f>
        <v>2382.65625</v>
      </c>
      <c r="J32" s="14">
        <f t="shared" si="5"/>
        <v>0.20027370345465242</v>
      </c>
      <c r="K32" s="39"/>
      <c r="L32" s="40"/>
    </row>
    <row r="33" spans="1:12" ht="15.75">
      <c r="A33" s="27" t="str">
        <v>K298</v>
      </c>
      <c r="B33" s="28" t="str">
        <v>NY</v>
      </c>
      <c r="C33" s="28" t="str">
        <f>Sites[[#This Row],[SOL'#]]</f>
        <v>SOL-10368</v>
      </c>
      <c r="D33" s="10">
        <f>SUM(Oct!D33, Nov!D33, Dec!D33)</f>
        <v>14730.75</v>
      </c>
      <c r="E33" s="15">
        <f>SUM(Oct!E33, Nov!E33, Dec!E33)</f>
        <v>17329.82</v>
      </c>
      <c r="F33" s="15">
        <f t="shared" si="3"/>
        <v>-2599.0699999999997</v>
      </c>
      <c r="G33" s="16">
        <f t="shared" si="4"/>
        <v>-0.14997674528644844</v>
      </c>
      <c r="H33" s="17">
        <f>SUM(Oct!H33,Nov!H33,Dec!H33)</f>
        <v>12316</v>
      </c>
      <c r="I33" s="17">
        <f>SUM(Oct!I33, Nov!I33, Dec!I33)</f>
        <v>2414.75</v>
      </c>
      <c r="J33" s="16">
        <f t="shared" si="5"/>
        <v>0.19606609288730106</v>
      </c>
      <c r="K33" s="39"/>
      <c r="L33" s="40"/>
    </row>
    <row r="34" spans="1:12" ht="15.75">
      <c r="A34" s="25" t="str">
        <v>K335</v>
      </c>
      <c r="B34" s="26" t="str">
        <v>NY</v>
      </c>
      <c r="C34" s="26" t="str">
        <f>Sites[[#This Row],[SOL'#]]</f>
        <v>SOL-10370</v>
      </c>
      <c r="D34" s="21">
        <f>SUM(Oct!D34, Nov!D34, Dec!D34)</f>
        <v>15242.8125</v>
      </c>
      <c r="E34" s="11">
        <f>SUM(Oct!E34, Nov!E34, Dec!E34)</f>
        <v>18399.8</v>
      </c>
      <c r="F34" s="11">
        <f t="shared" si="3"/>
        <v>-3156.9874999999993</v>
      </c>
      <c r="G34" s="12">
        <f t="shared" si="4"/>
        <v>-0.17157727257904973</v>
      </c>
      <c r="H34" s="13">
        <f>SUM(Oct!H34,Nov!H34,Dec!H34)</f>
        <v>17347</v>
      </c>
      <c r="I34" s="13">
        <f>SUM(Oct!I34, Nov!I34, Dec!I34)</f>
        <v>-2104.1875</v>
      </c>
      <c r="J34" s="14">
        <f t="shared" si="5"/>
        <v>-0.12129979247132069</v>
      </c>
      <c r="K34" s="39"/>
      <c r="L34" s="40"/>
    </row>
    <row r="35" spans="1:12" ht="15.75">
      <c r="A35" s="27" t="str">
        <v>K345</v>
      </c>
      <c r="B35" s="28" t="str">
        <v>NY</v>
      </c>
      <c r="C35" s="28" t="str">
        <f>Sites[[#This Row],[SOL'#]]</f>
        <v>SOL-10920</v>
      </c>
      <c r="D35" s="10">
        <f>SUM(Oct!D35, Nov!D35, Dec!D35)</f>
        <v>18156.03125</v>
      </c>
      <c r="E35" s="15">
        <f>SUM(Oct!E35, Nov!E35, Dec!E35)</f>
        <v>12416.03</v>
      </c>
      <c r="F35" s="15">
        <f t="shared" si="3"/>
        <v>5740.0012499999993</v>
      </c>
      <c r="G35" s="16">
        <f t="shared" si="4"/>
        <v>0.46230568466732114</v>
      </c>
      <c r="H35" s="17">
        <f>SUM(Oct!H35,Nov!H35,Dec!H35)</f>
        <v>15094</v>
      </c>
      <c r="I35" s="17">
        <f>SUM(Oct!I35, Nov!I35, Dec!I35)</f>
        <v>3062.03125</v>
      </c>
      <c r="J35" s="16">
        <f t="shared" si="5"/>
        <v>0.202864134755532</v>
      </c>
      <c r="K35" s="39"/>
      <c r="L35" s="40"/>
    </row>
    <row r="36" spans="1:12" ht="15.75">
      <c r="A36" s="25" t="str">
        <v>K445</v>
      </c>
      <c r="B36" s="26" t="str">
        <v>NY</v>
      </c>
      <c r="C36" s="26" t="str">
        <f>Sites[[#This Row],[SOL'#]]</f>
        <v>SOL-10373</v>
      </c>
      <c r="D36" s="21">
        <f>SUM(Oct!D36, Nov!D36, Dec!D36)</f>
        <v>15557.5</v>
      </c>
      <c r="E36" s="11">
        <f>SUM(Oct!E36, Nov!E36, Dec!E36)</f>
        <v>18612.240000000002</v>
      </c>
      <c r="F36" s="11">
        <f t="shared" si="3"/>
        <v>-3054.7400000000016</v>
      </c>
      <c r="G36" s="12">
        <f t="shared" si="4"/>
        <v>-0.16412532827859524</v>
      </c>
      <c r="H36" s="13">
        <f>SUM(Oct!H36,Nov!H36,Dec!H36)</f>
        <v>12383</v>
      </c>
      <c r="I36" s="13">
        <f>SUM(Oct!I36, Nov!I36, Dec!I36)</f>
        <v>3174.5</v>
      </c>
      <c r="J36" s="14">
        <f t="shared" si="5"/>
        <v>0.25635952515545507</v>
      </c>
      <c r="K36" s="39"/>
      <c r="L36" s="40"/>
    </row>
    <row r="37" spans="1:12" ht="15.75">
      <c r="A37" s="27" t="str">
        <v>K495</v>
      </c>
      <c r="B37" s="28" t="str">
        <v>NY</v>
      </c>
      <c r="C37" s="28" t="str">
        <f>Sites[[#This Row],[SOL'#]]</f>
        <v>SOL-10374</v>
      </c>
      <c r="D37" s="10">
        <f>SUM(Oct!D37, Nov!D37, Dec!D37)</f>
        <v>21885.375</v>
      </c>
      <c r="E37" s="15">
        <f>SUM(Oct!E37, Nov!E37, Dec!E37)</f>
        <v>57407.03</v>
      </c>
      <c r="F37" s="15">
        <f t="shared" si="3"/>
        <v>-35521.654999999999</v>
      </c>
      <c r="G37" s="16">
        <f t="shared" si="4"/>
        <v>-0.61876838080632279</v>
      </c>
      <c r="H37" s="17">
        <f>SUM(Oct!H37,Nov!H37,Dec!H37)</f>
        <v>55117</v>
      </c>
      <c r="I37" s="17">
        <f>SUM(Oct!I37, Nov!I37, Dec!I37)</f>
        <v>-33231.625</v>
      </c>
      <c r="J37" s="16">
        <f t="shared" si="5"/>
        <v>-0.60292876970807552</v>
      </c>
      <c r="K37" s="39"/>
      <c r="L37" s="40"/>
    </row>
    <row r="38" spans="1:12" ht="15.75">
      <c r="A38" s="25" t="str">
        <v>M020</v>
      </c>
      <c r="B38" s="26" t="str">
        <v>NY</v>
      </c>
      <c r="C38" s="26" t="str">
        <f>Sites[[#This Row],[SOL'#]]</f>
        <v>SOL-10380</v>
      </c>
      <c r="D38" s="21">
        <f>SUM(Oct!D38, Nov!D38, Dec!D38)</f>
        <v>16399.8125</v>
      </c>
      <c r="E38" s="11">
        <f>SUM(Oct!E38, Nov!E38, Dec!E38)</f>
        <v>18431.62</v>
      </c>
      <c r="F38" s="11">
        <f t="shared" si="3"/>
        <v>-2031.807499999999</v>
      </c>
      <c r="G38" s="12">
        <f t="shared" si="4"/>
        <v>-0.11023488439974344</v>
      </c>
      <c r="H38" s="13">
        <f>SUM(Oct!H38,Nov!H38,Dec!H38)</f>
        <v>15061</v>
      </c>
      <c r="I38" s="13">
        <f>SUM(Oct!I38, Nov!I38, Dec!I38)</f>
        <v>1338.8125</v>
      </c>
      <c r="J38" s="14">
        <f t="shared" si="5"/>
        <v>8.8892669809441605E-2</v>
      </c>
      <c r="K38" s="39"/>
      <c r="L38" s="40"/>
    </row>
    <row r="39" spans="1:12" ht="15.75">
      <c r="A39" s="27" t="str">
        <v>M092</v>
      </c>
      <c r="B39" s="28" t="str">
        <v>NY</v>
      </c>
      <c r="C39" s="28" t="str">
        <f>Sites[[#This Row],[SOL'#]]</f>
        <v>SOL-10383</v>
      </c>
      <c r="D39" s="10">
        <f>SUM(Oct!D39, Nov!D39, Dec!D39)</f>
        <v>15734.9375</v>
      </c>
      <c r="E39" s="15">
        <f>SUM(Oct!E39, Nov!E39, Dec!E39)</f>
        <v>18409.38</v>
      </c>
      <c r="F39" s="15">
        <f t="shared" si="3"/>
        <v>-2674.442500000001</v>
      </c>
      <c r="G39" s="16">
        <f t="shared" si="4"/>
        <v>-0.14527607665222841</v>
      </c>
      <c r="H39" s="17">
        <f>SUM(Oct!H39,Nov!H39,Dec!H39)</f>
        <v>13610</v>
      </c>
      <c r="I39" s="17">
        <f>SUM(Oct!I39, Nov!I39, Dec!I39)</f>
        <v>2124.9375</v>
      </c>
      <c r="J39" s="16">
        <f t="shared" si="5"/>
        <v>0.15613060249816313</v>
      </c>
      <c r="K39" s="39"/>
      <c r="L39" s="40"/>
    </row>
    <row r="40" spans="1:12" ht="15.75">
      <c r="A40" s="25" t="str">
        <v>M143</v>
      </c>
      <c r="B40" s="26" t="str">
        <v>NY</v>
      </c>
      <c r="C40" s="26" t="str">
        <f>Sites[[#This Row],[SOL'#]]</f>
        <v>SOL-10384</v>
      </c>
      <c r="D40" s="21">
        <f>SUM(Oct!D40, Nov!D40, Dec!D40)</f>
        <v>18270.843749999902</v>
      </c>
      <c r="E40" s="11">
        <f>SUM(Oct!E40, Nov!E40, Dec!E40)</f>
        <v>20784.91</v>
      </c>
      <c r="F40" s="11">
        <f t="shared" si="3"/>
        <v>-2514.0662500000981</v>
      </c>
      <c r="G40" s="12">
        <f t="shared" si="4"/>
        <v>-0.12095632119648814</v>
      </c>
      <c r="H40" s="13">
        <f>SUM(Oct!H40,Nov!H40,Dec!H40)</f>
        <v>15413</v>
      </c>
      <c r="I40" s="13">
        <f>SUM(Oct!I40, Nov!I40, Dec!I40)</f>
        <v>2857.8437499999018</v>
      </c>
      <c r="J40" s="14">
        <f t="shared" si="5"/>
        <v>0.18541774800492453</v>
      </c>
      <c r="K40" s="39"/>
      <c r="L40" s="40"/>
    </row>
    <row r="41" spans="1:12" ht="15.75">
      <c r="A41" s="27" t="str">
        <v>M144</v>
      </c>
      <c r="B41" s="28" t="str">
        <v>NY</v>
      </c>
      <c r="C41" s="28" t="str">
        <f>Sites[[#This Row],[SOL'#]]</f>
        <v>SOL-10385</v>
      </c>
      <c r="D41" s="10">
        <f>SUM(Oct!D41, Nov!D41, Dec!D41)</f>
        <v>25363.4375</v>
      </c>
      <c r="E41" s="15">
        <f>SUM(Oct!E41, Nov!E41, Dec!E41)</f>
        <v>0</v>
      </c>
      <c r="F41" s="15">
        <f t="shared" si="3"/>
        <v>25363.4375</v>
      </c>
      <c r="G41" s="16" t="str">
        <f t="shared" si="4"/>
        <v/>
      </c>
      <c r="H41" s="17">
        <f>SUM(Oct!H41,Nov!H41,Dec!H41)</f>
        <v>22643</v>
      </c>
      <c r="I41" s="17">
        <f>SUM(Oct!I41, Nov!I41, Dec!I41)</f>
        <v>2720.4375</v>
      </c>
      <c r="J41" s="16">
        <f t="shared" si="5"/>
        <v>0.12014474672084088</v>
      </c>
      <c r="K41" s="39"/>
      <c r="L41" s="40"/>
    </row>
    <row r="42" spans="1:12" ht="15.75">
      <c r="A42" s="25" t="str">
        <v>M167</v>
      </c>
      <c r="B42" s="26" t="str">
        <v>NY</v>
      </c>
      <c r="C42" s="26" t="str">
        <f>Sites[[#This Row],[SOL'#]]</f>
        <v>SOL-10386</v>
      </c>
      <c r="D42" s="21">
        <f>SUM(Oct!D42, Nov!D42, Dec!D42)</f>
        <v>19322.390625</v>
      </c>
      <c r="E42" s="11">
        <f>SUM(Oct!E42, Nov!E42, Dec!E42)</f>
        <v>16649.55</v>
      </c>
      <c r="F42" s="11">
        <f t="shared" si="3"/>
        <v>2672.8406250000007</v>
      </c>
      <c r="G42" s="12">
        <f t="shared" si="4"/>
        <v>0.16053530726055665</v>
      </c>
      <c r="H42" s="13">
        <f>SUM(Oct!H42,Nov!H42,Dec!H42)</f>
        <v>17906</v>
      </c>
      <c r="I42" s="13">
        <f>SUM(Oct!I42, Nov!I42, Dec!I42)</f>
        <v>1416.390625</v>
      </c>
      <c r="J42" s="14">
        <f t="shared" si="5"/>
        <v>7.9101453423433485E-2</v>
      </c>
      <c r="K42" s="39"/>
      <c r="L42" s="40"/>
    </row>
    <row r="43" spans="1:12" ht="15.75">
      <c r="A43" s="27" t="str">
        <v>M188</v>
      </c>
      <c r="B43" s="28" t="str">
        <v>NY</v>
      </c>
      <c r="C43" s="28" t="str">
        <f>Sites[[#This Row],[SOL'#]]</f>
        <v>SOL-10387</v>
      </c>
      <c r="D43" s="10">
        <f>SUM(Oct!D43, Nov!D43, Dec!D43)</f>
        <v>13935.75</v>
      </c>
      <c r="E43" s="15">
        <f>SUM(Oct!E43, Nov!E43, Dec!E43)</f>
        <v>0</v>
      </c>
      <c r="F43" s="15">
        <f t="shared" si="3"/>
        <v>13935.75</v>
      </c>
      <c r="G43" s="16" t="str">
        <f t="shared" si="4"/>
        <v/>
      </c>
      <c r="H43" s="17">
        <f>SUM(Oct!H43,Nov!H43,Dec!H43)</f>
        <v>12157</v>
      </c>
      <c r="I43" s="17">
        <f>SUM(Oct!I43, Nov!I43, Dec!I43)</f>
        <v>1778.75</v>
      </c>
      <c r="J43" s="16">
        <f t="shared" si="5"/>
        <v>0.1463148803158674</v>
      </c>
      <c r="K43" s="39"/>
      <c r="L43" s="40"/>
    </row>
    <row r="44" spans="1:12" ht="15.75">
      <c r="A44" s="25" t="str">
        <v>EMHC</v>
      </c>
      <c r="B44" s="26" t="str">
        <v>NY</v>
      </c>
      <c r="C44" s="26" t="str">
        <f>Sites[[#This Row],[SOL'#]]</f>
        <v>SOL-10351</v>
      </c>
      <c r="D44" s="21">
        <f>SUM(Oct!D44, Nov!D44, Dec!D44)</f>
        <v>6119.5685742187497</v>
      </c>
      <c r="E44" s="11">
        <f>SUM(Oct!E44, Nov!E44, Dec!E44)</f>
        <v>4248.9219999999996</v>
      </c>
      <c r="F44" s="11">
        <f t="shared" si="3"/>
        <v>1870.6465742187502</v>
      </c>
      <c r="G44" s="12">
        <f t="shared" si="4"/>
        <v>0.44026380672997772</v>
      </c>
      <c r="H44" s="13">
        <f>SUM(Oct!H44,Nov!H44,Dec!H44)</f>
        <v>4963.6350000000002</v>
      </c>
      <c r="I44" s="13">
        <f>SUM(Oct!I44, Nov!I44, Dec!I44)</f>
        <v>1155.9335742187495</v>
      </c>
      <c r="J44" s="14">
        <f t="shared" si="5"/>
        <v>0.23288045438851759</v>
      </c>
      <c r="K44" s="39"/>
      <c r="L44" s="40"/>
    </row>
    <row r="45" spans="1:12" ht="15.75">
      <c r="A45" s="27" t="str">
        <v>Q008</v>
      </c>
      <c r="B45" s="28" t="str">
        <v>NY</v>
      </c>
      <c r="C45" s="28" t="str">
        <f>Sites[[#This Row],[SOL'#]]</f>
        <v>SOL-10397</v>
      </c>
      <c r="D45" s="10">
        <f>SUM(Oct!D45, Nov!D45, Dec!D45)</f>
        <v>21632.71875</v>
      </c>
      <c r="E45" s="15">
        <f>SUM(Oct!E45, Nov!E45, Dec!E45)</f>
        <v>24555.360000000001</v>
      </c>
      <c r="F45" s="15">
        <f t="shared" si="3"/>
        <v>-2922.6412500000006</v>
      </c>
      <c r="G45" s="16">
        <f t="shared" si="4"/>
        <v>-0.11902253723830562</v>
      </c>
      <c r="H45" s="17">
        <f>SUM(Oct!H45,Nov!H45,Dec!H45)</f>
        <v>18843</v>
      </c>
      <c r="I45" s="17">
        <f>SUM(Oct!I45, Nov!I45, Dec!I45)</f>
        <v>2789.71875</v>
      </c>
      <c r="J45" s="16">
        <f t="shared" si="5"/>
        <v>0.14805066868333067</v>
      </c>
      <c r="K45" s="39"/>
      <c r="L45" s="40"/>
    </row>
    <row r="46" spans="1:12" ht="15.75">
      <c r="A46" s="25" t="str">
        <v>Q018</v>
      </c>
      <c r="B46" s="26" t="str">
        <v>NY</v>
      </c>
      <c r="C46" s="26" t="str">
        <f>Sites[[#This Row],[SOL'#]]</f>
        <v>SOL-10398</v>
      </c>
      <c r="D46" s="21">
        <f>SUM(Oct!D46, Nov!D46, Dec!D46)</f>
        <v>14483.25</v>
      </c>
      <c r="E46" s="11">
        <f>SUM(Oct!E46, Nov!E46, Dec!E46)</f>
        <v>15073.28</v>
      </c>
      <c r="F46" s="11">
        <f t="shared" si="3"/>
        <v>-590.03000000000065</v>
      </c>
      <c r="G46" s="12">
        <f t="shared" si="4"/>
        <v>-3.9144101350203846E-2</v>
      </c>
      <c r="H46" s="13">
        <f>SUM(Oct!H46,Nov!H46,Dec!H46)</f>
        <v>14057</v>
      </c>
      <c r="I46" s="13">
        <f>SUM(Oct!I46, Nov!I46, Dec!I46)</f>
        <v>426.25</v>
      </c>
      <c r="J46" s="14">
        <f t="shared" si="5"/>
        <v>3.0322970761897987E-2</v>
      </c>
      <c r="K46" s="39"/>
      <c r="L46" s="40"/>
    </row>
    <row r="47" spans="1:12" ht="15.75">
      <c r="A47" s="27" t="str">
        <v>Q021</v>
      </c>
      <c r="B47" s="28" t="str">
        <v>NY</v>
      </c>
      <c r="C47" s="28" t="str">
        <f>Sites[[#This Row],[SOL'#]]</f>
        <v>SOL-10399</v>
      </c>
      <c r="D47" s="10">
        <f>SUM(Oct!D47, Nov!D47, Dec!D47)</f>
        <v>11977.03125</v>
      </c>
      <c r="E47" s="15">
        <f>SUM(Oct!E47, Nov!E47, Dec!E47)</f>
        <v>14001.15</v>
      </c>
      <c r="F47" s="15">
        <f t="shared" si="3"/>
        <v>-2024.1187499999996</v>
      </c>
      <c r="G47" s="16">
        <f t="shared" si="4"/>
        <v>-0.14456803548279962</v>
      </c>
      <c r="H47" s="17">
        <f>SUM(Oct!H47,Nov!H47,Dec!H47)</f>
        <v>11507</v>
      </c>
      <c r="I47" s="17">
        <f>SUM(Oct!I47, Nov!I47, Dec!I47)</f>
        <v>470.03125</v>
      </c>
      <c r="J47" s="16">
        <f t="shared" si="5"/>
        <v>4.0847418962370728E-2</v>
      </c>
      <c r="K47" s="39"/>
      <c r="L47" s="40"/>
    </row>
    <row r="48" spans="1:12" ht="15.75">
      <c r="A48" s="25" t="str">
        <v>Q025</v>
      </c>
      <c r="B48" s="26" t="str">
        <v>NY</v>
      </c>
      <c r="C48" s="26" t="str">
        <f>Sites[[#This Row],[SOL'#]]</f>
        <v>SOL-10400</v>
      </c>
      <c r="D48" s="21">
        <f>SUM(Oct!D48, Nov!D48, Dec!D48)</f>
        <v>19222.375</v>
      </c>
      <c r="E48" s="11">
        <f>SUM(Oct!E48, Nov!E48, Dec!E48)</f>
        <v>21481.17</v>
      </c>
      <c r="F48" s="11">
        <f t="shared" si="3"/>
        <v>-2258.7949999999983</v>
      </c>
      <c r="G48" s="12">
        <f t="shared" si="4"/>
        <v>-0.10515232643287113</v>
      </c>
      <c r="H48" s="13">
        <f>SUM(Oct!H48,Nov!H48,Dec!H48)</f>
        <v>20760</v>
      </c>
      <c r="I48" s="13">
        <f>SUM(Oct!I48, Nov!I48, Dec!I48)</f>
        <v>-1537.625</v>
      </c>
      <c r="J48" s="14">
        <f t="shared" si="5"/>
        <v>-7.4066714836223513E-2</v>
      </c>
      <c r="K48" s="39"/>
      <c r="L48" s="40"/>
    </row>
    <row r="49" spans="1:12" ht="15.75">
      <c r="A49" s="27" t="str">
        <v>Q074</v>
      </c>
      <c r="B49" s="28" t="str">
        <v>NY</v>
      </c>
      <c r="C49" s="28" t="str">
        <f>Sites[[#This Row],[SOL'#]]</f>
        <v>SOL-10402</v>
      </c>
      <c r="D49" s="10">
        <f>SUM(Oct!D49, Nov!D49, Dec!D49)</f>
        <v>12866.375</v>
      </c>
      <c r="E49" s="15">
        <f>SUM(Oct!E49, Nov!E49, Dec!E49)</f>
        <v>13257.12</v>
      </c>
      <c r="F49" s="15">
        <f t="shared" si="3"/>
        <v>-390.7450000000008</v>
      </c>
      <c r="G49" s="16">
        <f t="shared" si="4"/>
        <v>-2.9474350386811069E-2</v>
      </c>
      <c r="H49" s="17">
        <f>SUM(Oct!H49,Nov!H49,Dec!H49)</f>
        <v>13063</v>
      </c>
      <c r="I49" s="17">
        <f>SUM(Oct!I49, Nov!I49, Dec!I49)</f>
        <v>-196.625</v>
      </c>
      <c r="J49" s="16">
        <f t="shared" si="5"/>
        <v>-1.5052055423715838E-2</v>
      </c>
      <c r="K49" s="39"/>
      <c r="L49" s="40"/>
    </row>
    <row r="50" spans="1:12" ht="15.75">
      <c r="A50" s="25" t="str">
        <v>Q115</v>
      </c>
      <c r="B50" s="26" t="str">
        <v>NY</v>
      </c>
      <c r="C50" s="26" t="str">
        <f>Sites[[#This Row],[SOL'#]]</f>
        <v>SOL-10872</v>
      </c>
      <c r="D50" s="21">
        <f>SUM(Oct!D50, Nov!D50, Dec!D50)</f>
        <v>17235</v>
      </c>
      <c r="E50" s="11">
        <f>SUM(Oct!E50, Nov!E50, Dec!E50)</f>
        <v>19678.18</v>
      </c>
      <c r="F50" s="11">
        <f t="shared" si="3"/>
        <v>-2443.1800000000003</v>
      </c>
      <c r="G50" s="12">
        <f t="shared" si="4"/>
        <v>-0.12415680718440426</v>
      </c>
      <c r="H50" s="13">
        <f>SUM(Oct!H50,Nov!H50,Dec!H50)</f>
        <v>17420</v>
      </c>
      <c r="I50" s="13">
        <f>SUM(Oct!I50, Nov!I50, Dec!I50)</f>
        <v>-185</v>
      </c>
      <c r="J50" s="14">
        <f t="shared" si="5"/>
        <v>-1.0619977037887486E-2</v>
      </c>
      <c r="K50" s="39"/>
      <c r="L50" s="40"/>
    </row>
    <row r="51" spans="1:12" ht="15.75">
      <c r="A51" s="27" t="str">
        <v>Q139</v>
      </c>
      <c r="B51" s="28" t="str">
        <v>NY</v>
      </c>
      <c r="C51" s="28" t="str">
        <f>Sites[[#This Row],[SOL'#]]</f>
        <v>SOL-10403</v>
      </c>
      <c r="D51" s="10">
        <f>SUM(Oct!D51, Nov!D51, Dec!D51)</f>
        <v>10101.53125</v>
      </c>
      <c r="E51" s="15">
        <f>SUM(Oct!E51, Nov!E51, Dec!E51)</f>
        <v>10801.6</v>
      </c>
      <c r="F51" s="15">
        <f t="shared" si="3"/>
        <v>-700.06875000000036</v>
      </c>
      <c r="G51" s="16">
        <f t="shared" si="4"/>
        <v>-6.4811578840171857E-2</v>
      </c>
      <c r="H51" s="17">
        <f>SUM(Oct!H51,Nov!H51,Dec!H51)</f>
        <v>10659</v>
      </c>
      <c r="I51" s="17">
        <f>SUM(Oct!I51, Nov!I51, Dec!I51)</f>
        <v>-557.46875</v>
      </c>
      <c r="J51" s="16">
        <f t="shared" si="5"/>
        <v>-5.2300286143165398E-2</v>
      </c>
      <c r="K51" s="39"/>
      <c r="L51" s="40"/>
    </row>
    <row r="52" spans="1:12" ht="15.75">
      <c r="A52" s="25" t="str">
        <v>Q157</v>
      </c>
      <c r="B52" s="26" t="str">
        <v>NY</v>
      </c>
      <c r="C52" s="26" t="str">
        <f>Sites[[#This Row],[SOL'#]]</f>
        <v>SOL-10404</v>
      </c>
      <c r="D52" s="21">
        <f>SUM(Oct!D52, Nov!D52, Dec!D52)</f>
        <v>17830.125</v>
      </c>
      <c r="E52" s="11">
        <f>SUM(Oct!E52, Nov!E52, Dec!E52)</f>
        <v>21015.41</v>
      </c>
      <c r="F52" s="11">
        <f t="shared" si="3"/>
        <v>-3185.2849999999999</v>
      </c>
      <c r="G52" s="12">
        <f t="shared" si="4"/>
        <v>-0.15156901530829042</v>
      </c>
      <c r="H52" s="13">
        <f>SUM(Oct!H52,Nov!H52,Dec!H52)</f>
        <v>19937</v>
      </c>
      <c r="I52" s="13">
        <f>SUM(Oct!I52, Nov!I52, Dec!I52)</f>
        <v>-2106.875</v>
      </c>
      <c r="J52" s="14">
        <f t="shared" si="5"/>
        <v>-0.10567663138887495</v>
      </c>
      <c r="K52" s="39"/>
      <c r="L52" s="40"/>
    </row>
    <row r="53" spans="1:12" ht="15.75">
      <c r="A53" s="27" t="str">
        <v>Q192</v>
      </c>
      <c r="B53" s="28" t="str">
        <v>NY</v>
      </c>
      <c r="C53" s="28" t="str">
        <f>Sites[[#This Row],[SOL'#]]</f>
        <v>SOL-10406</v>
      </c>
      <c r="D53" s="10">
        <f>SUM(Oct!D53, Nov!D53, Dec!D53)</f>
        <v>27681.75</v>
      </c>
      <c r="E53" s="15">
        <f>SUM(Oct!E53, Nov!E53, Dec!E53)</f>
        <v>31619</v>
      </c>
      <c r="F53" s="15">
        <f t="shared" si="3"/>
        <v>-3937.25</v>
      </c>
      <c r="G53" s="16">
        <f t="shared" si="4"/>
        <v>-0.12452164837597647</v>
      </c>
      <c r="H53" s="17">
        <f>SUM(Oct!H53,Nov!H53,Dec!H53)</f>
        <v>28626</v>
      </c>
      <c r="I53" s="17">
        <f>SUM(Oct!I53, Nov!I53, Dec!I53)</f>
        <v>-944.25</v>
      </c>
      <c r="J53" s="16">
        <f t="shared" si="5"/>
        <v>-3.2985747222804444E-2</v>
      </c>
      <c r="K53" s="39"/>
      <c r="L53" s="40"/>
    </row>
    <row r="54" spans="1:12" ht="15.75">
      <c r="A54" s="25" t="str">
        <v>Q210</v>
      </c>
      <c r="B54" s="26" t="str">
        <v>NY</v>
      </c>
      <c r="C54" s="26" t="str">
        <f>Sites[[#This Row],[SOL'#]]</f>
        <v>SOL-10407</v>
      </c>
      <c r="D54" s="21">
        <f>SUM(Oct!D54, Nov!D54, Dec!D54)</f>
        <v>23266.375</v>
      </c>
      <c r="E54" s="11">
        <f>SUM(Oct!E54, Nov!E54, Dec!E54)</f>
        <v>23801.37</v>
      </c>
      <c r="F54" s="11">
        <f t="shared" si="3"/>
        <v>-534.99499999999898</v>
      </c>
      <c r="G54" s="12">
        <f t="shared" si="4"/>
        <v>-2.2477487640417296E-2</v>
      </c>
      <c r="H54" s="13">
        <f>SUM(Oct!H54,Nov!H54,Dec!H54)</f>
        <v>23419</v>
      </c>
      <c r="I54" s="13">
        <f>SUM(Oct!I54, Nov!I54, Dec!I54)</f>
        <v>-152.625</v>
      </c>
      <c r="J54" s="14">
        <f t="shared" si="5"/>
        <v>-6.517144199154533E-3</v>
      </c>
      <c r="K54" s="39"/>
      <c r="L54" s="40"/>
    </row>
    <row r="55" spans="1:12" ht="15.75">
      <c r="A55" s="27" t="str">
        <v>Q229</v>
      </c>
      <c r="B55" s="28" t="str">
        <v>NY</v>
      </c>
      <c r="C55" s="28" t="str">
        <f>Sites[[#This Row],[SOL'#]]</f>
        <v>SOL-10408</v>
      </c>
      <c r="D55" s="10">
        <f>SUM(Oct!D55, Nov!D55, Dec!D55)</f>
        <v>9246.96875</v>
      </c>
      <c r="E55" s="15">
        <f>SUM(Oct!E55, Nov!E55, Dec!E55)</f>
        <v>11755.71</v>
      </c>
      <c r="F55" s="15">
        <f t="shared" si="3"/>
        <v>-2508.7412499999991</v>
      </c>
      <c r="G55" s="16">
        <f t="shared" si="4"/>
        <v>-0.2134061872911121</v>
      </c>
      <c r="H55" s="17">
        <f>SUM(Oct!H55,Nov!H55,Dec!H55)</f>
        <v>8884</v>
      </c>
      <c r="I55" s="17">
        <f>SUM(Oct!I55, Nov!I55, Dec!I55)</f>
        <v>362.96875</v>
      </c>
      <c r="J55" s="16">
        <f t="shared" si="5"/>
        <v>4.0856455425484016E-2</v>
      </c>
      <c r="K55" s="39"/>
      <c r="L55" s="40"/>
    </row>
    <row r="56" spans="1:12" ht="15.75">
      <c r="A56" s="25" t="str">
        <v>Q231</v>
      </c>
      <c r="B56" s="26" t="str">
        <v>NY</v>
      </c>
      <c r="C56" s="26" t="str">
        <f>Sites[[#This Row],[SOL'#]]</f>
        <v>SOL-10870</v>
      </c>
      <c r="D56" s="21">
        <f>SUM(Oct!D56, Nov!D56, Dec!D56)</f>
        <v>37608.0625</v>
      </c>
      <c r="E56" s="11">
        <f>SUM(Oct!E56, Nov!E56, Dec!E56)</f>
        <v>43696.83</v>
      </c>
      <c r="F56" s="11">
        <f t="shared" si="3"/>
        <v>-6088.7675000000017</v>
      </c>
      <c r="G56" s="12">
        <f t="shared" si="4"/>
        <v>-0.13934117188821252</v>
      </c>
      <c r="H56" s="13">
        <f>SUM(Oct!H56,Nov!H56,Dec!H56)</f>
        <v>30569</v>
      </c>
      <c r="I56" s="13">
        <f>SUM(Oct!I56, Nov!I56, Dec!I56)</f>
        <v>7039.0625</v>
      </c>
      <c r="J56" s="14">
        <f t="shared" si="5"/>
        <v>0.23026800026170302</v>
      </c>
      <c r="K56" s="39"/>
      <c r="L56" s="40"/>
    </row>
    <row r="57" spans="1:12" ht="15.75">
      <c r="A57" s="27" t="str">
        <v>Q405</v>
      </c>
      <c r="B57" s="28" t="str">
        <v>NY</v>
      </c>
      <c r="C57" s="28" t="str">
        <f>Sites[[#This Row],[SOL'#]]</f>
        <v>SOL-10409</v>
      </c>
      <c r="D57" s="10">
        <f>SUM(Oct!D57, Nov!D57, Dec!D57)</f>
        <v>44087.25</v>
      </c>
      <c r="E57" s="15">
        <f>SUM(Oct!E57, Nov!E57, Dec!E57)</f>
        <v>46222.31</v>
      </c>
      <c r="F57" s="15">
        <f t="shared" si="3"/>
        <v>-2135.0599999999977</v>
      </c>
      <c r="G57" s="16">
        <f t="shared" si="4"/>
        <v>-4.6191114204374419E-2</v>
      </c>
      <c r="H57" s="17">
        <f>SUM(Oct!H57,Nov!H57,Dec!H57)</f>
        <v>42969</v>
      </c>
      <c r="I57" s="17">
        <f>SUM(Oct!I57, Nov!I57, Dec!I57)</f>
        <v>1118.25</v>
      </c>
      <c r="J57" s="16">
        <f t="shared" si="5"/>
        <v>2.6024575857013194E-2</v>
      </c>
      <c r="K57" s="39"/>
      <c r="L57" s="40"/>
    </row>
    <row r="58" spans="1:12" ht="15.75">
      <c r="A58" s="25" t="str">
        <v>Q435</v>
      </c>
      <c r="B58" s="26" t="str">
        <v>NY</v>
      </c>
      <c r="C58" s="26" t="str">
        <f>Sites[[#This Row],[SOL'#]]</f>
        <v>SOL-10923</v>
      </c>
      <c r="D58" s="21">
        <f>SUM(Oct!D58, Nov!D58, Dec!D58)</f>
        <v>55753.625</v>
      </c>
      <c r="E58" s="11">
        <f>SUM(Oct!E58, Nov!E58, Dec!E58)</f>
        <v>43537.14</v>
      </c>
      <c r="F58" s="11">
        <f t="shared" si="3"/>
        <v>12216.485000000001</v>
      </c>
      <c r="G58" s="12">
        <f t="shared" si="4"/>
        <v>0.28059916200283253</v>
      </c>
      <c r="H58" s="13">
        <f>SUM(Oct!H58,Nov!H58,Dec!H58)</f>
        <v>44849</v>
      </c>
      <c r="I58" s="13">
        <f>SUM(Oct!I58, Nov!I58, Dec!I58)</f>
        <v>10904.625</v>
      </c>
      <c r="J58" s="14">
        <f t="shared" si="5"/>
        <v>0.24314087270619189</v>
      </c>
      <c r="K58" s="39"/>
      <c r="L58" s="40"/>
    </row>
    <row r="59" spans="1:12" ht="15.75">
      <c r="A59" s="27" t="str">
        <v>Q485</v>
      </c>
      <c r="B59" s="28" t="str">
        <v>NY</v>
      </c>
      <c r="C59" s="28" t="str">
        <f>Sites[[#This Row],[SOL'#]]</f>
        <v>SOL-10869</v>
      </c>
      <c r="D59" s="10">
        <f>SUM(Oct!D59, Nov!D59, Dec!D59)</f>
        <v>48781.218750000102</v>
      </c>
      <c r="E59" s="15">
        <f>SUM(Oct!E59, Nov!E59, Dec!E59)</f>
        <v>44153.98</v>
      </c>
      <c r="F59" s="15">
        <f t="shared" si="3"/>
        <v>4627.2387500000987</v>
      </c>
      <c r="G59" s="16">
        <f t="shared" si="4"/>
        <v>0.10479777247713792</v>
      </c>
      <c r="H59" s="17">
        <f>SUM(Oct!H59,Nov!H59,Dec!H59)</f>
        <v>43080</v>
      </c>
      <c r="I59" s="17">
        <f>SUM(Oct!I59, Nov!I59, Dec!I59)</f>
        <v>5701.2187500001019</v>
      </c>
      <c r="J59" s="16">
        <f t="shared" si="5"/>
        <v>0.13234026810585195</v>
      </c>
      <c r="K59" s="39"/>
      <c r="L59" s="40"/>
    </row>
    <row r="60" spans="1:12" ht="15.75">
      <c r="A60" s="25" t="str">
        <v>Q490</v>
      </c>
      <c r="B60" s="26" t="str">
        <v>NY</v>
      </c>
      <c r="C60" s="26" t="str">
        <f>Sites[[#This Row],[SOL'#]]</f>
        <v>SOL-10411</v>
      </c>
      <c r="D60" s="21">
        <f>SUM(Oct!D60, Nov!D60, Dec!D60)</f>
        <v>35353.625</v>
      </c>
      <c r="E60" s="11">
        <f>SUM(Oct!E60, Nov!E60, Dec!E60)</f>
        <v>0</v>
      </c>
      <c r="F60" s="11">
        <f t="shared" si="3"/>
        <v>35353.625</v>
      </c>
      <c r="G60" s="12" t="str">
        <f t="shared" si="4"/>
        <v/>
      </c>
      <c r="H60" s="13">
        <f>SUM(Oct!H60,Nov!H60,Dec!H60)</f>
        <v>37244</v>
      </c>
      <c r="I60" s="13">
        <f>SUM(Oct!I60, Nov!I60, Dec!I60)</f>
        <v>-1890.375</v>
      </c>
      <c r="J60" s="14">
        <f t="shared" si="5"/>
        <v>-5.0756497690903235E-2</v>
      </c>
      <c r="K60" s="39"/>
      <c r="L60" s="40"/>
    </row>
    <row r="61" spans="1:12" ht="15.75">
      <c r="A61" s="27" t="str">
        <v>Q620</v>
      </c>
      <c r="B61" s="28" t="str">
        <v>NY</v>
      </c>
      <c r="C61" s="28" t="str">
        <f>Sites[[#This Row],[SOL'#]]</f>
        <v>SOL-10867</v>
      </c>
      <c r="D61" s="10">
        <f>SUM(Oct!D61, Nov!D61, Dec!D61)</f>
        <v>54496.875</v>
      </c>
      <c r="E61" s="15">
        <f>SUM(Oct!E61, Nov!E61, Dec!E61)</f>
        <v>58023.38</v>
      </c>
      <c r="F61" s="15">
        <f t="shared" si="3"/>
        <v>-3526.5049999999974</v>
      </c>
      <c r="G61" s="16">
        <f t="shared" si="4"/>
        <v>-6.0777310801266617E-2</v>
      </c>
      <c r="H61" s="17">
        <f>SUM(Oct!H61,Nov!H61,Dec!H61)</f>
        <v>46975</v>
      </c>
      <c r="I61" s="17">
        <f>SUM(Oct!I61, Nov!I61, Dec!I61)</f>
        <v>7521.875</v>
      </c>
      <c r="J61" s="16">
        <f t="shared" si="5"/>
        <v>0.1601250665247472</v>
      </c>
      <c r="K61" s="39"/>
      <c r="L61" s="40"/>
    </row>
    <row r="62" spans="1:12" ht="15.75">
      <c r="A62" s="25" t="str">
        <v>QMOA</v>
      </c>
      <c r="B62" s="26" t="str">
        <v>NY</v>
      </c>
      <c r="C62" s="26" t="str">
        <f>Sites[[#This Row],[SOL'#]]</f>
        <v>SOL-10415</v>
      </c>
      <c r="D62" s="21">
        <f>SUM(Oct!D62, Nov!D62, Dec!D62)</f>
        <v>4948.6000000000104</v>
      </c>
      <c r="E62" s="11">
        <f>SUM(Oct!E62, Nov!E62, Dec!E62)</f>
        <v>0</v>
      </c>
      <c r="F62" s="11">
        <f t="shared" si="3"/>
        <v>4948.6000000000104</v>
      </c>
      <c r="G62" s="12" t="str">
        <f t="shared" si="4"/>
        <v/>
      </c>
      <c r="H62" s="13">
        <f>SUM(Oct!H62,Nov!H62,Dec!H62)</f>
        <v>4147.7629999999999</v>
      </c>
      <c r="I62" s="13">
        <f>SUM(Oct!I62, Nov!I62, Dec!I62)</f>
        <v>800.83700000001045</v>
      </c>
      <c r="J62" s="14">
        <f t="shared" si="5"/>
        <v>0.19307684648327555</v>
      </c>
      <c r="K62" s="39"/>
      <c r="L62" s="40"/>
    </row>
    <row r="63" spans="1:12" ht="15.75">
      <c r="A63" s="27" t="str">
        <v>X024</v>
      </c>
      <c r="B63" s="28" t="str">
        <v>NY</v>
      </c>
      <c r="C63" s="28" t="str">
        <f>Sites[[#This Row],[SOL'#]]</f>
        <v>SOL-10419</v>
      </c>
      <c r="D63" s="10">
        <f>SUM(Oct!D63, Nov!D63, Dec!D63)</f>
        <v>22064.046875</v>
      </c>
      <c r="E63" s="15">
        <f>SUM(Oct!E63, Nov!E63, Dec!E63)</f>
        <v>24432.59</v>
      </c>
      <c r="F63" s="15">
        <f t="shared" si="3"/>
        <v>-2368.5431250000001</v>
      </c>
      <c r="G63" s="16">
        <f t="shared" si="4"/>
        <v>-9.6941958466130698E-2</v>
      </c>
      <c r="H63" s="17">
        <f>SUM(Oct!H63,Nov!H63,Dec!H63)</f>
        <v>16522</v>
      </c>
      <c r="I63" s="17">
        <f>SUM(Oct!I63, Nov!I63, Dec!I63)</f>
        <v>5542.046875</v>
      </c>
      <c r="J63" s="16">
        <f t="shared" si="5"/>
        <v>0.3354343829439535</v>
      </c>
      <c r="K63" s="39"/>
      <c r="L63" s="40"/>
    </row>
    <row r="64" spans="1:12" ht="15.75">
      <c r="A64" s="25" t="str">
        <v>X026</v>
      </c>
      <c r="B64" s="26" t="str">
        <v>NY</v>
      </c>
      <c r="C64" s="26" t="str">
        <f>Sites[[#This Row],[SOL'#]]</f>
        <v>SOL-10420</v>
      </c>
      <c r="D64" s="21">
        <f>SUM(Oct!D64, Nov!D64, Dec!D64)</f>
        <v>16588.599999999999</v>
      </c>
      <c r="E64" s="11">
        <f>SUM(Oct!E64, Nov!E64, Dec!E64)</f>
        <v>18822.919999999998</v>
      </c>
      <c r="F64" s="11">
        <f t="shared" si="3"/>
        <v>-2234.3199999999997</v>
      </c>
      <c r="G64" s="12">
        <f t="shared" si="4"/>
        <v>-0.11870209298026023</v>
      </c>
      <c r="H64" s="13">
        <f>SUM(Oct!H64,Nov!H64,Dec!H64)</f>
        <v>18573</v>
      </c>
      <c r="I64" s="13">
        <f>SUM(Oct!I64, Nov!I64, Dec!I64)</f>
        <v>-1984.4000000000015</v>
      </c>
      <c r="J64" s="14">
        <f t="shared" si="5"/>
        <v>-0.10684326710816786</v>
      </c>
      <c r="K64" s="39"/>
      <c r="L64" s="40"/>
    </row>
    <row r="65" spans="1:12" ht="15.75">
      <c r="A65" s="27" t="str">
        <v>X090</v>
      </c>
      <c r="B65" s="28" t="str">
        <v>NY</v>
      </c>
      <c r="C65" s="28" t="str">
        <f>Sites[[#This Row],[SOL'#]]</f>
        <v>SOL-10925</v>
      </c>
      <c r="D65" s="10">
        <f>SUM(Oct!D65, Nov!D65, Dec!D65)</f>
        <v>12260.4375</v>
      </c>
      <c r="E65" s="15">
        <f>SUM(Oct!E65, Nov!E65, Dec!E65)</f>
        <v>11978.37</v>
      </c>
      <c r="F65" s="15">
        <f t="shared" si="3"/>
        <v>282.0674999999992</v>
      </c>
      <c r="G65" s="16">
        <f t="shared" si="4"/>
        <v>2.3548070396890327E-2</v>
      </c>
      <c r="H65" s="17">
        <f>SUM(Oct!H65,Nov!H65,Dec!H65)</f>
        <v>12975</v>
      </c>
      <c r="I65" s="17">
        <f>SUM(Oct!I65, Nov!I65, Dec!I65)</f>
        <v>-714.5625</v>
      </c>
      <c r="J65" s="16">
        <f t="shared" si="5"/>
        <v>-5.5072254335260112E-2</v>
      </c>
      <c r="K65" s="39"/>
      <c r="L65" s="40"/>
    </row>
    <row r="66" spans="1:12" ht="15.75">
      <c r="A66" s="25" t="str">
        <v>X117</v>
      </c>
      <c r="B66" s="26" t="str">
        <v>NY</v>
      </c>
      <c r="C66" s="26" t="str">
        <f>Sites[[#This Row],[SOL'#]]</f>
        <v>SOL-10422</v>
      </c>
      <c r="D66" s="21">
        <f>SUM(Oct!D66, Nov!D66, Dec!D66)</f>
        <v>10556.4</v>
      </c>
      <c r="E66" s="11">
        <f>SUM(Oct!E66, Nov!E66, Dec!E66)</f>
        <v>15687.43</v>
      </c>
      <c r="F66" s="11">
        <f t="shared" si="3"/>
        <v>-5131.0300000000007</v>
      </c>
      <c r="G66" s="12">
        <f t="shared" si="4"/>
        <v>-0.32707906903807704</v>
      </c>
      <c r="H66" s="13">
        <f>SUM(Oct!H66,Nov!H66,Dec!H66)</f>
        <v>14099</v>
      </c>
      <c r="I66" s="13">
        <f>SUM(Oct!I66, Nov!I66, Dec!I66)</f>
        <v>-3542.6000000000004</v>
      </c>
      <c r="J66" s="14">
        <f t="shared" si="5"/>
        <v>-0.25126604723739276</v>
      </c>
      <c r="K66" s="39"/>
      <c r="L66" s="40"/>
    </row>
    <row r="67" spans="1:12" ht="15.75">
      <c r="A67" s="27" t="str">
        <v>X125</v>
      </c>
      <c r="B67" s="28" t="str">
        <v>NY</v>
      </c>
      <c r="C67" s="28" t="str">
        <f>Sites[[#This Row],[SOL'#]]</f>
        <v>SOL-10423</v>
      </c>
      <c r="D67" s="10">
        <f>SUM(Oct!D67, Nov!D67, Dec!D67)</f>
        <v>24801.5</v>
      </c>
      <c r="E67" s="15">
        <f>SUM(Oct!E67, Nov!E67, Dec!E67)</f>
        <v>27509.3</v>
      </c>
      <c r="F67" s="15">
        <f t="shared" si="3"/>
        <v>-2707.7999999999993</v>
      </c>
      <c r="G67" s="16">
        <f t="shared" si="4"/>
        <v>-9.8432166576394142E-2</v>
      </c>
      <c r="H67" s="17">
        <f>SUM(Oct!H67,Nov!H67,Dec!H67)</f>
        <v>20669</v>
      </c>
      <c r="I67" s="17">
        <f>SUM(Oct!I67, Nov!I67, Dec!I67)</f>
        <v>4132.5</v>
      </c>
      <c r="J67" s="16">
        <f t="shared" si="5"/>
        <v>0.19993710387536892</v>
      </c>
      <c r="K67" s="39"/>
      <c r="L67" s="40"/>
    </row>
    <row r="68" spans="1:12" ht="15.75">
      <c r="A68" s="25" t="str">
        <v>X134</v>
      </c>
      <c r="B68" s="26" t="str">
        <v>NY</v>
      </c>
      <c r="C68" s="26" t="str">
        <f>Sites[[#This Row],[SOL'#]]</f>
        <v>SOL-10424</v>
      </c>
      <c r="D68" s="21">
        <f>SUM(Oct!D68, Nov!D68, Dec!D68)</f>
        <v>23584.25</v>
      </c>
      <c r="E68" s="11">
        <f>SUM(Oct!E68, Nov!E68, Dec!E68)</f>
        <v>19866</v>
      </c>
      <c r="F68" s="11">
        <f t="shared" si="3"/>
        <v>3718.25</v>
      </c>
      <c r="G68" s="12">
        <f t="shared" si="4"/>
        <v>0.18716651565488776</v>
      </c>
      <c r="H68" s="13">
        <f>SUM(Oct!H68,Nov!H68,Dec!H68)</f>
        <v>19866</v>
      </c>
      <c r="I68" s="13">
        <f>SUM(Oct!I68, Nov!I68, Dec!I68)</f>
        <v>3718.25</v>
      </c>
      <c r="J68" s="14">
        <f t="shared" si="5"/>
        <v>0.18716651565488776</v>
      </c>
      <c r="K68" s="39"/>
      <c r="L68" s="40"/>
    </row>
    <row r="69" spans="1:12" ht="15.75">
      <c r="A69" s="27" t="str">
        <v>X135</v>
      </c>
      <c r="B69" s="28" t="str">
        <v>NY</v>
      </c>
      <c r="C69" s="28" t="str">
        <f>Sites[[#This Row],[SOL'#]]</f>
        <v>SOL-10425</v>
      </c>
      <c r="D69" s="10">
        <f>SUM(Oct!D69, Nov!D69, Dec!D69)</f>
        <v>16943.59375</v>
      </c>
      <c r="E69" s="15">
        <f>SUM(Oct!E69, Nov!E69, Dec!E69)</f>
        <v>21962.78</v>
      </c>
      <c r="F69" s="15">
        <f t="shared" si="3"/>
        <v>-5019.1862499999988</v>
      </c>
      <c r="G69" s="16">
        <f t="shared" si="4"/>
        <v>-0.22853146323006465</v>
      </c>
      <c r="H69" s="17">
        <f>SUM(Oct!H69,Nov!H69,Dec!H69)</f>
        <v>16253</v>
      </c>
      <c r="I69" s="17">
        <f>SUM(Oct!I69, Nov!I69, Dec!I69)</f>
        <v>690.59375</v>
      </c>
      <c r="J69" s="16">
        <f t="shared" si="5"/>
        <v>4.2490232572448161E-2</v>
      </c>
      <c r="K69" s="39"/>
      <c r="L69" s="40"/>
    </row>
    <row r="70" spans="1:12" ht="15.75">
      <c r="A70" s="25" t="str">
        <v>X139 JHS 222</v>
      </c>
      <c r="B70" s="26" t="str">
        <v>NY</v>
      </c>
      <c r="C70" s="26" t="str">
        <f>Sites[[#This Row],[SOL'#]]</f>
        <v>SOL-10426</v>
      </c>
      <c r="D70" s="21">
        <f>SUM(Oct!D70, Nov!D70, Dec!D70)</f>
        <v>29797.599625336199</v>
      </c>
      <c r="E70" s="11">
        <f>SUM(Oct!E70, Nov!E70, Dec!E70)</f>
        <v>30796.46</v>
      </c>
      <c r="F70" s="11">
        <f t="shared" si="3"/>
        <v>-998.86037466380003</v>
      </c>
      <c r="G70" s="12">
        <f t="shared" si="4"/>
        <v>-3.2434259478647871E-2</v>
      </c>
      <c r="H70" s="13">
        <f>SUM(Oct!H70,Nov!H70,Dec!H70)</f>
        <v>23270</v>
      </c>
      <c r="I70" s="13">
        <f>SUM(Oct!I70, Nov!I70, Dec!I70)</f>
        <v>6527.5996253361991</v>
      </c>
      <c r="J70" s="14">
        <f t="shared" si="5"/>
        <v>0.28051566933116456</v>
      </c>
      <c r="K70" s="39"/>
      <c r="L70" s="40"/>
    </row>
    <row r="71" spans="1:12" ht="15.75">
      <c r="A71" s="27" t="str">
        <v>X140</v>
      </c>
      <c r="B71" s="28" t="str">
        <v>NY</v>
      </c>
      <c r="C71" s="28" t="str">
        <f>Sites[[#This Row],[SOL'#]]</f>
        <v>SOL-10926</v>
      </c>
      <c r="D71" s="10">
        <f>SUM(Oct!D71, Nov!D71, Dec!D71)</f>
        <v>16861.734375</v>
      </c>
      <c r="E71" s="15">
        <f>SUM(Oct!E71, Nov!E71, Dec!E71)</f>
        <v>14643.91</v>
      </c>
      <c r="F71" s="15">
        <f t="shared" si="3"/>
        <v>2217.8243750000001</v>
      </c>
      <c r="G71" s="16">
        <f t="shared" si="4"/>
        <v>0.15145028718422882</v>
      </c>
      <c r="H71" s="17">
        <f>SUM(Oct!H71,Nov!H71,Dec!H71)</f>
        <v>13726</v>
      </c>
      <c r="I71" s="17">
        <f>SUM(Oct!I71, Nov!I71, Dec!I71)</f>
        <v>3135.734375</v>
      </c>
      <c r="J71" s="16">
        <f t="shared" si="5"/>
        <v>0.2284521619554131</v>
      </c>
      <c r="K71" s="39"/>
      <c r="L71" s="40"/>
    </row>
    <row r="72" spans="1:12" ht="15.75">
      <c r="A72" s="25" t="str">
        <v>X166</v>
      </c>
      <c r="B72" s="26" t="str">
        <v>NY</v>
      </c>
      <c r="C72" s="26" t="str">
        <f>Sites[[#This Row],[SOL'#]]</f>
        <v>SOL-10427</v>
      </c>
      <c r="D72" s="21">
        <f>SUM(Oct!D72, Nov!D72, Dec!D72)</f>
        <v>17841.7</v>
      </c>
      <c r="E72" s="11">
        <f>SUM(Oct!E72, Nov!E72, Dec!E72)</f>
        <v>20438.900000000001</v>
      </c>
      <c r="F72" s="11">
        <f t="shared" si="3"/>
        <v>-2597.2000000000007</v>
      </c>
      <c r="G72" s="12">
        <f t="shared" si="4"/>
        <v>-0.12707141773774522</v>
      </c>
      <c r="H72" s="13">
        <f>SUM(Oct!H72,Nov!H72,Dec!H72)</f>
        <v>14295</v>
      </c>
      <c r="I72" s="13">
        <f>SUM(Oct!I72, Nov!I72, Dec!I72)</f>
        <v>3546.7000000000007</v>
      </c>
      <c r="J72" s="14">
        <f t="shared" si="5"/>
        <v>0.24810772997551597</v>
      </c>
      <c r="K72" s="39"/>
      <c r="L72" s="40"/>
    </row>
    <row r="73" spans="1:12" ht="15.75">
      <c r="A73" s="27" t="str">
        <v>Murphy</v>
      </c>
      <c r="B73" s="28" t="str">
        <v>MN</v>
      </c>
      <c r="C73" s="28" t="str">
        <f>Sites[[#This Row],[SOL'#]]</f>
        <v>SOL-10094</v>
      </c>
      <c r="D73" s="10">
        <f>SUM(Oct!D73, Nov!D73, Dec!D73)</f>
        <v>720390</v>
      </c>
      <c r="E73" s="15">
        <f>SUM(Oct!E73, Nov!E73, Dec!E73)</f>
        <v>840926</v>
      </c>
      <c r="F73" s="15">
        <f t="shared" si="3"/>
        <v>-120536</v>
      </c>
      <c r="G73" s="16">
        <f t="shared" si="4"/>
        <v>-0.14333722586767444</v>
      </c>
      <c r="H73" s="17">
        <f>SUM(Oct!H73,Nov!H73,Dec!H73)</f>
        <v>690439</v>
      </c>
      <c r="I73" s="17">
        <f>SUM(Oct!I73, Nov!I73, Dec!I73)</f>
        <v>29951</v>
      </c>
      <c r="J73" s="16">
        <f t="shared" si="5"/>
        <v>4.3379646862358588E-2</v>
      </c>
      <c r="K73" s="39"/>
      <c r="L73" s="40"/>
    </row>
    <row r="74" spans="1:12" ht="15.75">
      <c r="A74" s="25" t="str">
        <v>Terning</v>
      </c>
      <c r="B74" s="26" t="str">
        <v>MN</v>
      </c>
      <c r="C74" s="26" t="str">
        <f>Sites[[#This Row],[SOL'#]]</f>
        <v>SOL-10093</v>
      </c>
      <c r="D74" s="21">
        <f>SUM(Oct!D74, Nov!D74, Dec!D74)</f>
        <v>794928.52500000002</v>
      </c>
      <c r="E74" s="11">
        <f>SUM(Oct!E74, Nov!E74, Dec!E74)</f>
        <v>840389.1</v>
      </c>
      <c r="F74" s="11">
        <f t="shared" si="3"/>
        <v>-45460.574999999953</v>
      </c>
      <c r="G74" s="12">
        <f t="shared" si="4"/>
        <v>-5.4094674716747226E-2</v>
      </c>
      <c r="H74" s="13">
        <f>SUM(Oct!H74,Nov!H74,Dec!H74)</f>
        <v>663588</v>
      </c>
      <c r="I74" s="13">
        <f>SUM(Oct!I74, Nov!I74, Dec!I74)</f>
        <v>131340.52500000002</v>
      </c>
      <c r="J74" s="14">
        <f t="shared" si="5"/>
        <v>0.19792480424600811</v>
      </c>
      <c r="K74" s="39"/>
      <c r="L74" s="40"/>
    </row>
    <row r="75" spans="1:12" ht="15.75">
      <c r="A75" s="27" t="str">
        <v>Boas Road 04</v>
      </c>
      <c r="B75" s="28" t="str">
        <v>NY</v>
      </c>
      <c r="C75" s="28" t="str">
        <f>Sites[[#This Row],[SOL'#]]</f>
        <v>SOL-10908</v>
      </c>
      <c r="D75" s="10">
        <f>SUM(Oct!D75, Nov!D75, Dec!D75)</f>
        <v>290197</v>
      </c>
      <c r="E75" s="15">
        <f>SUM(Oct!E75, Nov!E75, Dec!E75)</f>
        <v>316457.78100000002</v>
      </c>
      <c r="F75" s="15">
        <f t="shared" si="3"/>
        <v>-26260.781000000017</v>
      </c>
      <c r="G75" s="16">
        <f t="shared" si="4"/>
        <v>-8.2983521267881277E-2</v>
      </c>
      <c r="H75" s="17">
        <f>SUM(Oct!H75,Nov!H75,Dec!H75)</f>
        <v>242097</v>
      </c>
      <c r="I75" s="17">
        <f>SUM(Oct!I75, Nov!I75, Dec!I75)</f>
        <v>48100</v>
      </c>
      <c r="J75" s="16">
        <f t="shared" si="5"/>
        <v>0.19868069410195088</v>
      </c>
      <c r="K75" s="39"/>
      <c r="L75" s="40"/>
    </row>
    <row r="76" spans="1:12" ht="15.75">
      <c r="A76" s="25" t="str">
        <v>Kelly Bridge Farm</v>
      </c>
      <c r="B76" s="26" t="str">
        <v>NY</v>
      </c>
      <c r="C76" s="26" t="str">
        <f>Sites[[#This Row],[SOL'#]]</f>
        <v>SOL-10911</v>
      </c>
      <c r="D76" s="21">
        <f>SUM(Oct!D76, Nov!D76, Dec!D76)</f>
        <v>333441</v>
      </c>
      <c r="E76" s="11">
        <f>SUM(Oct!E76, Nov!E76, Dec!E76)</f>
        <v>342375.45799999998</v>
      </c>
      <c r="F76" s="11">
        <f t="shared" si="3"/>
        <v>-8934.4579999999842</v>
      </c>
      <c r="G76" s="12">
        <f t="shared" si="4"/>
        <v>-2.6095497767833535E-2</v>
      </c>
      <c r="H76" s="13">
        <f>SUM(Oct!H76,Nov!H76,Dec!H76)</f>
        <v>252898</v>
      </c>
      <c r="I76" s="13">
        <f>SUM(Oct!I76, Nov!I76, Dec!I76)</f>
        <v>80543</v>
      </c>
      <c r="J76" s="14">
        <f t="shared" si="5"/>
        <v>0.31848017777918369</v>
      </c>
      <c r="K76" s="39"/>
      <c r="L76" s="40"/>
    </row>
    <row r="77" spans="1:12" ht="15.75">
      <c r="A77" s="27" t="str">
        <v>Pool Brook Road</v>
      </c>
      <c r="B77" s="28" t="str">
        <v>NY</v>
      </c>
      <c r="C77" s="28" t="str">
        <f>Sites[[#This Row],[SOL'#]]</f>
        <v>SOL-10909</v>
      </c>
      <c r="D77" s="10">
        <f>SUM(Oct!D77, Nov!D77, Dec!D77)</f>
        <v>263072</v>
      </c>
      <c r="E77" s="15">
        <f>SUM(Oct!E77, Nov!E77, Dec!E77)</f>
        <v>279732.08399999997</v>
      </c>
      <c r="F77" s="15">
        <f t="shared" si="3"/>
        <v>-16660.083999999973</v>
      </c>
      <c r="G77" s="16">
        <f t="shared" si="4"/>
        <v>-5.955728696462282E-2</v>
      </c>
      <c r="H77" s="17">
        <f>SUM(Oct!H77,Nov!H77,Dec!H77)</f>
        <v>242562</v>
      </c>
      <c r="I77" s="17">
        <f>SUM(Oct!I77, Nov!I77, Dec!I77)</f>
        <v>20510</v>
      </c>
      <c r="J77" s="16">
        <f t="shared" si="5"/>
        <v>8.4555701222780152E-2</v>
      </c>
      <c r="K77" s="39"/>
      <c r="L77" s="40"/>
    </row>
    <row r="78" spans="1:12" ht="15.75">
      <c r="A78" s="25" t="str">
        <v>Sackett Lake</v>
      </c>
      <c r="B78" s="26" t="str">
        <v>NY</v>
      </c>
      <c r="C78" s="26" t="str">
        <f>Sites[[#This Row],[SOL'#]]</f>
        <v>SOL-10910</v>
      </c>
      <c r="D78" s="21">
        <f>SUM(Oct!D78, Nov!D78, Dec!D78)</f>
        <v>349203</v>
      </c>
      <c r="E78" s="11">
        <f>SUM(Oct!E78, Nov!E78, Dec!E78)</f>
        <v>363146.06400000001</v>
      </c>
      <c r="F78" s="11">
        <f t="shared" si="3"/>
        <v>-13943.064000000013</v>
      </c>
      <c r="G78" s="12">
        <f t="shared" si="4"/>
        <v>-3.8395195163123154E-2</v>
      </c>
      <c r="H78" s="13">
        <f>SUM(Oct!H78,Nov!H78,Dec!H78)</f>
        <v>256423</v>
      </c>
      <c r="I78" s="13">
        <f>SUM(Oct!I78, Nov!I78, Dec!I78)</f>
        <v>92780</v>
      </c>
      <c r="J78" s="14">
        <f t="shared" si="5"/>
        <v>0.3618240173463379</v>
      </c>
      <c r="K78" s="39"/>
      <c r="L78" s="40"/>
    </row>
    <row r="79" spans="1:12" ht="15.75">
      <c r="A79" s="27" t="str">
        <v>Burritt Road</v>
      </c>
      <c r="B79" s="28" t="str">
        <v>NY</v>
      </c>
      <c r="C79" s="28" t="str">
        <f>Sites[[#This Row],[SOL'#]]</f>
        <v>SOL-10913</v>
      </c>
      <c r="D79" s="10">
        <f>SUM(Oct!D79, Nov!D79, Dec!D79)</f>
        <v>293330</v>
      </c>
      <c r="E79" s="15">
        <f>SUM(Oct!E79, Nov!E79, Dec!E79)</f>
        <v>298132.05900000001</v>
      </c>
      <c r="F79" s="15">
        <f t="shared" si="3"/>
        <v>-4802.0590000000084</v>
      </c>
      <c r="G79" s="16">
        <f t="shared" si="4"/>
        <v>-1.6107154044778554E-2</v>
      </c>
      <c r="H79" s="17">
        <f>SUM(Oct!H79,Nov!H79,Dec!H79)</f>
        <v>241363</v>
      </c>
      <c r="I79" s="17">
        <f>SUM(Oct!I79, Nov!I79, Dec!I79)</f>
        <v>51967</v>
      </c>
      <c r="J79" s="16">
        <f t="shared" si="5"/>
        <v>0.21530640570427115</v>
      </c>
      <c r="K79" s="39"/>
      <c r="L79" s="40"/>
    </row>
    <row r="80" spans="1:12" ht="15.75">
      <c r="A80" s="25" t="str">
        <v>Villa Roma 1</v>
      </c>
      <c r="B80" s="26" t="str">
        <v>NY</v>
      </c>
      <c r="C80" s="26" t="str">
        <f>Sites[[#This Row],[SOL'#]]</f>
        <v>SOL-10914</v>
      </c>
      <c r="D80" s="21">
        <f>SUM(Oct!D80, Nov!D80, Dec!D80)</f>
        <v>297766</v>
      </c>
      <c r="E80" s="11">
        <f>SUM(Oct!E80, Nov!E80, Dec!E80)</f>
        <v>434954.40700000001</v>
      </c>
      <c r="F80" s="11">
        <f t="shared" ref="F80:F143" si="6">IF(AND(ISNUMBER(D80),ISNUMBER(E80)), D80-E80, "")</f>
        <v>-137188.40700000001</v>
      </c>
      <c r="G80" s="12">
        <f t="shared" ref="G80:G143" si="7">IFERROR(F80/E80, "")</f>
        <v>-0.31540870673371518</v>
      </c>
      <c r="H80" s="13">
        <f>SUM(Oct!H80,Nov!H80,Dec!H80)</f>
        <v>239592</v>
      </c>
      <c r="I80" s="13">
        <f>SUM(Oct!I80, Nov!I80, Dec!I80)</f>
        <v>58174</v>
      </c>
      <c r="J80" s="14">
        <f t="shared" ref="J80:J143" si="8">IFERROR(I80/H80, "")</f>
        <v>0.24280443420481485</v>
      </c>
      <c r="K80" s="39"/>
      <c r="L80" s="40"/>
    </row>
    <row r="81" spans="1:12" ht="15.75">
      <c r="A81" s="27" t="str">
        <v>Villa Roma 2</v>
      </c>
      <c r="B81" s="28" t="str">
        <v>NY</v>
      </c>
      <c r="C81" s="28" t="str">
        <f>Sites[[#This Row],[SOL'#]]</f>
        <v>SOL-10915</v>
      </c>
      <c r="D81" s="10">
        <f>SUM(Oct!D81, Nov!D81, Dec!D81)</f>
        <v>263441</v>
      </c>
      <c r="E81" s="15">
        <f>SUM(Oct!E81, Nov!E81, Dec!E81)</f>
        <v>295931.78899999999</v>
      </c>
      <c r="F81" s="15">
        <f t="shared" si="6"/>
        <v>-32490.78899999999</v>
      </c>
      <c r="G81" s="16">
        <f t="shared" si="7"/>
        <v>-0.10979147968452957</v>
      </c>
      <c r="H81" s="17">
        <f>SUM(Oct!H81,Nov!H81,Dec!H81)</f>
        <v>231672</v>
      </c>
      <c r="I81" s="17">
        <f>SUM(Oct!I81, Nov!I81, Dec!I81)</f>
        <v>31769</v>
      </c>
      <c r="J81" s="16">
        <f t="shared" si="8"/>
        <v>0.13712921716910115</v>
      </c>
      <c r="K81" s="39"/>
      <c r="L81" s="40"/>
    </row>
    <row r="82" spans="1:12" ht="15.75">
      <c r="A82" s="25" t="str">
        <v>Washington 1</v>
      </c>
      <c r="B82" s="26" t="str">
        <v>NY</v>
      </c>
      <c r="C82" s="26" t="str">
        <f>Sites[[#This Row],[SOL'#]]</f>
        <v>SOL-10912</v>
      </c>
      <c r="D82" s="21">
        <f>SUM(Oct!D82, Nov!D82, Dec!D82)</f>
        <v>298020</v>
      </c>
      <c r="E82" s="11">
        <f>SUM(Oct!E82, Nov!E82, Dec!E82)</f>
        <v>309600.26899999997</v>
      </c>
      <c r="F82" s="11">
        <f t="shared" si="6"/>
        <v>-11580.268999999971</v>
      </c>
      <c r="G82" s="12">
        <f t="shared" si="7"/>
        <v>-3.740393713934393E-2</v>
      </c>
      <c r="H82" s="13">
        <f>SUM(Oct!H82,Nov!H82,Dec!H82)</f>
        <v>236622</v>
      </c>
      <c r="I82" s="13">
        <f>SUM(Oct!I82, Nov!I82, Dec!I82)</f>
        <v>61398</v>
      </c>
      <c r="J82" s="14">
        <f t="shared" si="8"/>
        <v>0.2594771407561427</v>
      </c>
      <c r="K82" s="39"/>
      <c r="L82" s="40"/>
    </row>
    <row r="83" spans="1:12" ht="15.75">
      <c r="A83" s="27" t="str">
        <v>Washington 3</v>
      </c>
      <c r="B83" s="28" t="str">
        <v>NY</v>
      </c>
      <c r="C83" s="28" t="str">
        <f>Sites[[#This Row],[SOL'#]]</f>
        <v>SOL-10828</v>
      </c>
      <c r="D83" s="10">
        <f>SUM(Oct!D83, Nov!D83, Dec!D83)</f>
        <v>364818</v>
      </c>
      <c r="E83" s="15">
        <f>SUM(Oct!E83, Nov!E83, Dec!E83)</f>
        <v>11799.395</v>
      </c>
      <c r="F83" s="15">
        <f t="shared" si="6"/>
        <v>353018.60499999998</v>
      </c>
      <c r="G83" s="16">
        <f t="shared" si="7"/>
        <v>29.918364882267266</v>
      </c>
      <c r="H83" s="17">
        <f>SUM(Oct!H83,Nov!H83,Dec!H83)</f>
        <v>289410</v>
      </c>
      <c r="I83" s="17">
        <f>SUM(Oct!I83, Nov!I83, Dec!I83)</f>
        <v>75408</v>
      </c>
      <c r="J83" s="16">
        <f t="shared" si="8"/>
        <v>0.26055768632735565</v>
      </c>
      <c r="K83" s="39"/>
      <c r="L83" s="40"/>
    </row>
    <row r="84" spans="1:12" ht="15.75">
      <c r="A84" s="25" t="str">
        <v>Washington 4</v>
      </c>
      <c r="B84" s="26" t="str">
        <v>NY</v>
      </c>
      <c r="C84" s="26" t="str">
        <f>Sites[[#This Row],[SOL'#]]</f>
        <v>SOL-10829</v>
      </c>
      <c r="D84" s="21">
        <f>SUM(Oct!D84, Nov!D84, Dec!D84)</f>
        <v>0</v>
      </c>
      <c r="E84" s="11">
        <f>SUM(Oct!E84, Nov!E84, Dec!E84)</f>
        <v>0</v>
      </c>
      <c r="F84" s="11">
        <f t="shared" si="6"/>
        <v>0</v>
      </c>
      <c r="G84" s="12" t="str">
        <f t="shared" si="7"/>
        <v/>
      </c>
      <c r="H84" s="13">
        <f>SUM(Oct!H84,Nov!H84,Dec!H84)</f>
        <v>289930</v>
      </c>
      <c r="I84" s="13">
        <f>SUM(Oct!I84, Nov!I84, Dec!I84)</f>
        <v>-289930</v>
      </c>
      <c r="J84" s="14">
        <f t="shared" si="8"/>
        <v>-1</v>
      </c>
      <c r="K84" s="39"/>
      <c r="L84" s="40"/>
    </row>
    <row r="85" spans="1:12" ht="15.75">
      <c r="A85" s="27" t="str">
        <v>Big Tree</v>
      </c>
      <c r="B85" s="28" t="str">
        <v>NY</v>
      </c>
      <c r="C85" s="28" t="str">
        <f>Sites[[#This Row],[SOL'#]]</f>
        <v>SOL-10966</v>
      </c>
      <c r="D85" s="10">
        <f>SUM(Oct!D85, Nov!D85, Dec!D85)</f>
        <v>308910</v>
      </c>
      <c r="E85" s="15">
        <f>SUM(Oct!E85, Nov!E85, Dec!E85)</f>
        <v>0</v>
      </c>
      <c r="F85" s="15">
        <f t="shared" si="6"/>
        <v>308910</v>
      </c>
      <c r="G85" s="16" t="str">
        <f t="shared" si="7"/>
        <v/>
      </c>
      <c r="H85" s="17">
        <f>SUM(Oct!H85,Nov!H85,Dec!H85)</f>
        <v>234826</v>
      </c>
      <c r="I85" s="17">
        <f>SUM(Oct!I85, Nov!I85, Dec!I85)</f>
        <v>74084</v>
      </c>
      <c r="J85" s="16">
        <f t="shared" si="8"/>
        <v>0.3154846567245535</v>
      </c>
      <c r="K85" s="39"/>
      <c r="L85" s="40"/>
    </row>
    <row r="86" spans="1:12" ht="15.75">
      <c r="A86" s="25" t="str">
        <v>Canoga</v>
      </c>
      <c r="B86" s="26" t="str">
        <v>NY</v>
      </c>
      <c r="C86" s="26" t="str">
        <f>Sites[[#This Row],[SOL'#]]</f>
        <v>SOL-10965</v>
      </c>
      <c r="D86" s="21">
        <f>SUM(Oct!D86, Nov!D86, Dec!D86)</f>
        <v>714340</v>
      </c>
      <c r="E86" s="11">
        <f>SUM(Oct!E86, Nov!E86, Dec!E86)</f>
        <v>0</v>
      </c>
      <c r="F86" s="11">
        <f t="shared" si="6"/>
        <v>714340</v>
      </c>
      <c r="G86" s="12" t="str">
        <f t="shared" si="7"/>
        <v/>
      </c>
      <c r="H86" s="13">
        <f>SUM(Oct!H86,Nov!H86,Dec!H86)</f>
        <v>610132</v>
      </c>
      <c r="I86" s="13">
        <f>SUM(Oct!I86, Nov!I86, Dec!I86)</f>
        <v>104208</v>
      </c>
      <c r="J86" s="14">
        <f t="shared" si="8"/>
        <v>0.17079582778808519</v>
      </c>
      <c r="K86" s="39"/>
      <c r="L86" s="40"/>
    </row>
    <row r="87" spans="1:12" ht="15.75">
      <c r="A87" s="27" t="str">
        <v>County Route 84</v>
      </c>
      <c r="B87" s="28" t="str">
        <v>NY</v>
      </c>
      <c r="C87" s="28" t="str">
        <f>Sites[[#This Row],[SOL'#]]</f>
        <v>SOL-10967</v>
      </c>
      <c r="D87" s="10">
        <f>SUM(Oct!D87, Nov!D87, Dec!D87)</f>
        <v>838810</v>
      </c>
      <c r="E87" s="15">
        <f>SUM(Oct!E87, Nov!E87, Dec!E87)</f>
        <v>0</v>
      </c>
      <c r="F87" s="15">
        <f t="shared" si="6"/>
        <v>838810</v>
      </c>
      <c r="G87" s="16" t="str">
        <f t="shared" si="7"/>
        <v/>
      </c>
      <c r="H87" s="17">
        <f>SUM(Oct!H87,Nov!H87,Dec!H87)</f>
        <v>610643</v>
      </c>
      <c r="I87" s="17">
        <f>SUM(Oct!I87, Nov!I87, Dec!I87)</f>
        <v>228167</v>
      </c>
      <c r="J87" s="16">
        <f t="shared" si="8"/>
        <v>0.37365039802306749</v>
      </c>
      <c r="K87" s="39"/>
      <c r="L87" s="40"/>
    </row>
    <row r="88" spans="1:12" ht="15.75">
      <c r="A88" s="25" t="str">
        <v>Donati</v>
      </c>
      <c r="B88" s="26" t="str">
        <v>NY</v>
      </c>
      <c r="C88" s="26" t="str">
        <f>Sites[[#This Row],[SOL'#]]</f>
        <v>SOL-10968</v>
      </c>
      <c r="D88" s="21">
        <f>SUM(Oct!D88, Nov!D88, Dec!D88)</f>
        <v>277723</v>
      </c>
      <c r="E88" s="11">
        <f>SUM(Oct!E88, Nov!E88, Dec!E88)</f>
        <v>0</v>
      </c>
      <c r="F88" s="11">
        <f t="shared" si="6"/>
        <v>277723</v>
      </c>
      <c r="G88" s="12" t="str">
        <f t="shared" si="7"/>
        <v/>
      </c>
      <c r="H88" s="13">
        <f>SUM(Oct!H88,Nov!H88,Dec!H88)</f>
        <v>255936</v>
      </c>
      <c r="I88" s="13">
        <f>SUM(Oct!I88, Nov!I88, Dec!I88)</f>
        <v>21787</v>
      </c>
      <c r="J88" s="14">
        <f t="shared" si="8"/>
        <v>8.5126750437609408E-2</v>
      </c>
      <c r="K88" s="39"/>
      <c r="L88" s="40"/>
    </row>
    <row r="89" spans="1:12" ht="15.75">
      <c r="A89" s="27" t="str">
        <v>Henrietta</v>
      </c>
      <c r="B89" s="28" t="str">
        <v>NY</v>
      </c>
      <c r="C89" s="28" t="str">
        <f>Sites[[#This Row],[SOL'#]]</f>
        <v>SOL-10972</v>
      </c>
      <c r="D89" s="10">
        <f>SUM(Oct!D89, Nov!D89, Dec!D89)</f>
        <v>606277</v>
      </c>
      <c r="E89" s="15">
        <f>SUM(Oct!E89, Nov!E89, Dec!E89)</f>
        <v>0</v>
      </c>
      <c r="F89" s="15">
        <f t="shared" si="6"/>
        <v>606277</v>
      </c>
      <c r="G89" s="16" t="str">
        <f t="shared" si="7"/>
        <v/>
      </c>
      <c r="H89" s="17">
        <f>SUM(Oct!H89,Nov!H89,Dec!H89)</f>
        <v>503923</v>
      </c>
      <c r="I89" s="17">
        <f>SUM(Oct!I89, Nov!I89, Dec!I89)</f>
        <v>102354</v>
      </c>
      <c r="J89" s="16">
        <f t="shared" si="8"/>
        <v>0.20311436469460611</v>
      </c>
      <c r="K89" s="39"/>
      <c r="L89" s="40"/>
    </row>
    <row r="90" spans="1:12" ht="15.75">
      <c r="A90" s="25" t="str">
        <v>NY 70</v>
      </c>
      <c r="B90" s="26" t="str">
        <v>NY</v>
      </c>
      <c r="C90" s="26" t="str">
        <f>Sites[[#This Row],[SOL'#]]</f>
        <v>SOL-10970</v>
      </c>
      <c r="D90" s="21">
        <f>SUM(Oct!D90, Nov!D90, Dec!D90)</f>
        <v>749170</v>
      </c>
      <c r="E90" s="11">
        <f>SUM(Oct!E90, Nov!E90, Dec!E90)</f>
        <v>0</v>
      </c>
      <c r="F90" s="11">
        <f t="shared" si="6"/>
        <v>749170</v>
      </c>
      <c r="G90" s="12" t="str">
        <f t="shared" si="7"/>
        <v/>
      </c>
      <c r="H90" s="13">
        <f>SUM(Oct!H90,Nov!H90,Dec!H90)</f>
        <v>615608</v>
      </c>
      <c r="I90" s="13">
        <f>SUM(Oct!I90, Nov!I90, Dec!I90)</f>
        <v>133562</v>
      </c>
      <c r="J90" s="14">
        <f t="shared" si="8"/>
        <v>0.21695949370378553</v>
      </c>
      <c r="K90" s="39"/>
      <c r="L90" s="40"/>
    </row>
    <row r="91" spans="1:12" ht="15.75">
      <c r="A91" s="27" t="str">
        <v>Reid</v>
      </c>
      <c r="B91" s="28" t="str">
        <v>NY</v>
      </c>
      <c r="C91" s="28" t="str">
        <f>Sites[[#This Row],[SOL'#]]</f>
        <v>SOL-10991</v>
      </c>
      <c r="D91" s="10">
        <f>SUM(Oct!D91, Nov!D91, Dec!D91)</f>
        <v>641136.917615682</v>
      </c>
      <c r="E91" s="15">
        <f>SUM(Oct!E91, Nov!E91, Dec!E91)</f>
        <v>640208.9</v>
      </c>
      <c r="F91" s="15">
        <f t="shared" si="6"/>
        <v>928.01761568197981</v>
      </c>
      <c r="G91" s="16">
        <f t="shared" si="7"/>
        <v>1.4495543808934548E-3</v>
      </c>
      <c r="H91" s="17">
        <f>SUM(Oct!H91,Nov!H91,Dec!H91)</f>
        <v>540119</v>
      </c>
      <c r="I91" s="17">
        <f>SUM(Oct!I91, Nov!I91, Dec!I91)</f>
        <v>101017.917615682</v>
      </c>
      <c r="J91" s="16">
        <f t="shared" si="8"/>
        <v>0.18702900215634333</v>
      </c>
      <c r="K91" s="39"/>
      <c r="L91" s="40"/>
    </row>
    <row r="92" spans="1:12" ht="15.75">
      <c r="A92" s="25" t="str">
        <v>Sangolqui</v>
      </c>
      <c r="B92" s="26" t="str">
        <v>NY</v>
      </c>
      <c r="C92" s="26" t="str">
        <f>Sites[[#This Row],[SOL'#]]</f>
        <v>SOL-10975</v>
      </c>
      <c r="D92" s="21">
        <f>SUM(Oct!D92, Nov!D92, Dec!D92)</f>
        <v>304619</v>
      </c>
      <c r="E92" s="11">
        <f>SUM(Oct!E92, Nov!E92, Dec!E92)</f>
        <v>0</v>
      </c>
      <c r="F92" s="11">
        <f t="shared" si="6"/>
        <v>304619</v>
      </c>
      <c r="G92" s="12" t="str">
        <f t="shared" si="7"/>
        <v/>
      </c>
      <c r="H92" s="13">
        <f>SUM(Oct!H92,Nov!H92,Dec!H92)</f>
        <v>246904</v>
      </c>
      <c r="I92" s="13">
        <f>SUM(Oct!I92, Nov!I92, Dec!I92)</f>
        <v>57715</v>
      </c>
      <c r="J92" s="14">
        <f t="shared" si="8"/>
        <v>0.23375481968700385</v>
      </c>
      <c r="K92" s="39"/>
      <c r="L92" s="40"/>
    </row>
    <row r="93" spans="1:12" ht="15.75">
      <c r="A93" s="27" t="str">
        <v>State Highway 17B</v>
      </c>
      <c r="B93" s="28" t="str">
        <v>NY</v>
      </c>
      <c r="C93" s="28" t="str">
        <f>Sites[[#This Row],[SOL'#]]</f>
        <v>SOL-10988</v>
      </c>
      <c r="D93" s="10">
        <f>SUM(Oct!D93, Nov!D93, Dec!D93)</f>
        <v>774030</v>
      </c>
      <c r="E93" s="15">
        <f>SUM(Oct!E93, Nov!E93, Dec!E93)</f>
        <v>0</v>
      </c>
      <c r="F93" s="15">
        <f t="shared" si="6"/>
        <v>774030</v>
      </c>
      <c r="G93" s="16" t="str">
        <f t="shared" si="7"/>
        <v/>
      </c>
      <c r="H93" s="17">
        <f>SUM(Oct!H93,Nov!H93,Dec!H93)</f>
        <v>628187</v>
      </c>
      <c r="I93" s="17">
        <f>SUM(Oct!I93, Nov!I93, Dec!I93)</f>
        <v>145843</v>
      </c>
      <c r="J93" s="16">
        <f t="shared" si="8"/>
        <v>0.23216494451492947</v>
      </c>
      <c r="K93" s="39"/>
      <c r="L93" s="40"/>
    </row>
    <row r="94" spans="1:12" ht="15.75">
      <c r="A94" s="25" t="str">
        <v>State Route 14A</v>
      </c>
      <c r="B94" s="26" t="str">
        <v>NY</v>
      </c>
      <c r="C94" s="26" t="str">
        <f>Sites[[#This Row],[SOL'#]]</f>
        <v>SOL-10997</v>
      </c>
      <c r="D94" s="21">
        <f>SUM(Oct!D94, Nov!D94, Dec!D94)</f>
        <v>802678</v>
      </c>
      <c r="E94" s="11">
        <f>SUM(Oct!E94, Nov!E94, Dec!E94)</f>
        <v>0</v>
      </c>
      <c r="F94" s="11">
        <f t="shared" si="6"/>
        <v>802678</v>
      </c>
      <c r="G94" s="12" t="str">
        <f t="shared" si="7"/>
        <v/>
      </c>
      <c r="H94" s="13">
        <f>SUM(Oct!H94,Nov!H94,Dec!H94)</f>
        <v>623551</v>
      </c>
      <c r="I94" s="13">
        <f>SUM(Oct!I94, Nov!I94, Dec!I94)</f>
        <v>179127</v>
      </c>
      <c r="J94" s="14">
        <f t="shared" si="8"/>
        <v>0.28726920492469743</v>
      </c>
      <c r="K94" s="39"/>
      <c r="L94" s="40"/>
    </row>
    <row r="95" spans="1:12" ht="15.75">
      <c r="A95" s="27" t="str">
        <v>West Creek</v>
      </c>
      <c r="B95" s="28" t="str">
        <v>NY</v>
      </c>
      <c r="C95" s="28" t="str">
        <f>Sites[[#This Row],[SOL'#]]</f>
        <v>SOL-10995</v>
      </c>
      <c r="D95" s="10">
        <f>SUM(Oct!D95, Nov!D95, Dec!D95)</f>
        <v>804450</v>
      </c>
      <c r="E95" s="15">
        <f>SUM(Oct!E95, Nov!E95, Dec!E95)</f>
        <v>0</v>
      </c>
      <c r="F95" s="15">
        <f t="shared" si="6"/>
        <v>804450</v>
      </c>
      <c r="G95" s="16" t="str">
        <f t="shared" si="7"/>
        <v/>
      </c>
      <c r="H95" s="17">
        <f>SUM(Oct!H95,Nov!H95,Dec!H95)</f>
        <v>590698</v>
      </c>
      <c r="I95" s="17">
        <f>SUM(Oct!I95, Nov!I95, Dec!I95)</f>
        <v>213752</v>
      </c>
      <c r="J95" s="16">
        <f t="shared" si="8"/>
        <v>0.3618634225949639</v>
      </c>
      <c r="K95" s="39"/>
      <c r="L95" s="40"/>
    </row>
    <row r="96" spans="1:12" ht="15.75">
      <c r="A96" s="25" t="str">
        <v>Wildflower</v>
      </c>
      <c r="B96" s="26" t="str">
        <v>NY</v>
      </c>
      <c r="C96" s="26" t="str">
        <f>Sites[[#This Row],[SOL'#]]</f>
        <v>SOL-10982</v>
      </c>
      <c r="D96" s="21">
        <f>SUM(Oct!D96, Nov!D96, Dec!D96)</f>
        <v>709234</v>
      </c>
      <c r="E96" s="11">
        <f>SUM(Oct!E96, Nov!E96, Dec!E96)</f>
        <v>0</v>
      </c>
      <c r="F96" s="11">
        <f t="shared" si="6"/>
        <v>709234</v>
      </c>
      <c r="G96" s="12" t="str">
        <f t="shared" si="7"/>
        <v/>
      </c>
      <c r="H96" s="13">
        <f>SUM(Oct!H96,Nov!H96,Dec!H96)</f>
        <v>630168</v>
      </c>
      <c r="I96" s="13">
        <f>SUM(Oct!I96, Nov!I96, Dec!I96)</f>
        <v>79066</v>
      </c>
      <c r="J96" s="14">
        <f t="shared" si="8"/>
        <v>0.12546812913381827</v>
      </c>
      <c r="K96" s="39"/>
      <c r="L96" s="40"/>
    </row>
    <row r="97" spans="1:12" ht="15.75">
      <c r="A97" s="27" t="str">
        <v>Glen Mary 1</v>
      </c>
      <c r="B97" s="28" t="str">
        <v>NY</v>
      </c>
      <c r="C97" s="28" t="str">
        <f>Sites[[#This Row],[SOL'#]]</f>
        <v>SOL-10993</v>
      </c>
      <c r="D97" s="10">
        <f>SUM(Oct!D97, Nov!D97, Dec!D97)</f>
        <v>797550</v>
      </c>
      <c r="E97" s="15">
        <f>SUM(Oct!E97, Nov!E97, Dec!E97)</f>
        <v>0</v>
      </c>
      <c r="F97" s="15">
        <f t="shared" si="6"/>
        <v>797550</v>
      </c>
      <c r="G97" s="16" t="str">
        <f t="shared" si="7"/>
        <v/>
      </c>
      <c r="H97" s="17">
        <f>SUM(Oct!H97,Nov!H97,Dec!H97)</f>
        <v>681121</v>
      </c>
      <c r="I97" s="17">
        <f>SUM(Oct!I97, Nov!I97, Dec!I97)</f>
        <v>116429</v>
      </c>
      <c r="J97" s="16">
        <f t="shared" si="8"/>
        <v>0.17093732244344251</v>
      </c>
      <c r="K97" s="39"/>
      <c r="L97" s="40"/>
    </row>
    <row r="98" spans="1:12" ht="15.75">
      <c r="A98" s="25" t="str">
        <v>Glen Mary 2</v>
      </c>
      <c r="B98" s="26" t="str">
        <v>NY</v>
      </c>
      <c r="C98" s="26" t="str">
        <f>Sites[[#This Row],[SOL'#]]</f>
        <v>SOL-10994</v>
      </c>
      <c r="D98" s="21">
        <f>SUM(Oct!D98, Nov!D98, Dec!D98)</f>
        <v>343760</v>
      </c>
      <c r="E98" s="11">
        <f>SUM(Oct!E98, Nov!E98, Dec!E98)</f>
        <v>0</v>
      </c>
      <c r="F98" s="11">
        <f t="shared" si="6"/>
        <v>343760</v>
      </c>
      <c r="G98" s="12" t="str">
        <f t="shared" si="7"/>
        <v/>
      </c>
      <c r="H98" s="13">
        <f>SUM(Oct!H98,Nov!H98,Dec!H98)</f>
        <v>286055</v>
      </c>
      <c r="I98" s="13">
        <f>SUM(Oct!I98, Nov!I98, Dec!I98)</f>
        <v>57705</v>
      </c>
      <c r="J98" s="14">
        <f t="shared" si="8"/>
        <v>0.20172694062330671</v>
      </c>
      <c r="K98" s="39"/>
      <c r="L98" s="40"/>
    </row>
    <row r="99" spans="1:12" ht="15.75">
      <c r="A99" s="27" t="str">
        <v>Telegraph 1</v>
      </c>
      <c r="B99" s="28" t="str">
        <v>NY</v>
      </c>
      <c r="C99" s="28" t="str">
        <f>Sites[[#This Row],[SOL'#]]</f>
        <v>SOL-11003</v>
      </c>
      <c r="D99" s="10">
        <f>SUM(Oct!D99, Nov!D99, Dec!D99)</f>
        <v>601564</v>
      </c>
      <c r="E99" s="15">
        <f>SUM(Oct!E99, Nov!E99, Dec!E99)</f>
        <v>0</v>
      </c>
      <c r="F99" s="15">
        <f t="shared" si="6"/>
        <v>601564</v>
      </c>
      <c r="G99" s="16" t="str">
        <f t="shared" si="7"/>
        <v/>
      </c>
      <c r="H99" s="17">
        <f>SUM(Oct!H99,Nov!H99,Dec!H99)</f>
        <v>445644</v>
      </c>
      <c r="I99" s="17">
        <f>SUM(Oct!I99, Nov!I99, Dec!I99)</f>
        <v>155920</v>
      </c>
      <c r="J99" s="16">
        <f t="shared" si="8"/>
        <v>0.34987568552476866</v>
      </c>
      <c r="K99" s="39"/>
      <c r="L99" s="40"/>
    </row>
    <row r="100" spans="1:12" ht="15.75">
      <c r="A100" s="25" t="str">
        <v>Telegraph 2</v>
      </c>
      <c r="B100" s="26" t="str">
        <v>NY</v>
      </c>
      <c r="C100" s="26" t="str">
        <f>Sites[[#This Row],[SOL'#]]</f>
        <v>SOL-11004</v>
      </c>
      <c r="D100" s="21">
        <f>SUM(Oct!D100, Nov!D100, Dec!D100)</f>
        <v>317330</v>
      </c>
      <c r="E100" s="11">
        <f>SUM(Oct!E100, Nov!E100, Dec!E100)</f>
        <v>0</v>
      </c>
      <c r="F100" s="11">
        <f t="shared" si="6"/>
        <v>317330</v>
      </c>
      <c r="G100" s="12" t="str">
        <f t="shared" si="7"/>
        <v/>
      </c>
      <c r="H100" s="13">
        <f>SUM(Oct!H100,Nov!H100,Dec!H100)</f>
        <v>231083</v>
      </c>
      <c r="I100" s="13">
        <f>SUM(Oct!I100, Nov!I100, Dec!I100)</f>
        <v>86247</v>
      </c>
      <c r="J100" s="14">
        <f t="shared" si="8"/>
        <v>0.37322953224598954</v>
      </c>
      <c r="K100" s="39"/>
      <c r="L100" s="40"/>
    </row>
    <row r="101" spans="1:12" ht="15.75">
      <c r="A101" s="27" t="str">
        <v>Cafferty Hill</v>
      </c>
      <c r="B101" s="28" t="str">
        <v>NY</v>
      </c>
      <c r="C101" s="28" t="str">
        <f>Sites[[#This Row],[SOL'#]]</f>
        <v>SOL-10996</v>
      </c>
      <c r="D101" s="10">
        <f>SUM(Oct!D101, Nov!D101, Dec!D101)</f>
        <v>787500</v>
      </c>
      <c r="E101" s="15">
        <f>SUM(Oct!E101, Nov!E101, Dec!E101)</f>
        <v>0</v>
      </c>
      <c r="F101" s="15">
        <f t="shared" si="6"/>
        <v>787500</v>
      </c>
      <c r="G101" s="16" t="str">
        <f t="shared" si="7"/>
        <v/>
      </c>
      <c r="H101" s="17">
        <f>SUM(Oct!H101,Nov!H101,Dec!H101)</f>
        <v>611323</v>
      </c>
      <c r="I101" s="17">
        <f>SUM(Oct!I101, Nov!I101, Dec!I101)</f>
        <v>176177</v>
      </c>
      <c r="J101" s="16">
        <f t="shared" si="8"/>
        <v>0.28818971313037461</v>
      </c>
      <c r="K101" s="39"/>
      <c r="L101" s="40"/>
    </row>
    <row r="102" spans="1:12" ht="15.75">
      <c r="A102" s="25" t="str">
        <v>Dunkleman</v>
      </c>
      <c r="B102" s="26" t="str">
        <v>NY</v>
      </c>
      <c r="C102" s="26" t="str">
        <f>Sites[[#This Row],[SOL'#]]</f>
        <v>SOL-11008</v>
      </c>
      <c r="D102" s="21">
        <f>SUM(Oct!D102, Nov!D102, Dec!D102)</f>
        <v>831350</v>
      </c>
      <c r="E102" s="11">
        <f>SUM(Oct!E102, Nov!E102, Dec!E102)</f>
        <v>0</v>
      </c>
      <c r="F102" s="11">
        <f t="shared" si="6"/>
        <v>831350</v>
      </c>
      <c r="G102" s="12" t="str">
        <f t="shared" si="7"/>
        <v/>
      </c>
      <c r="H102" s="13">
        <f>SUM(Oct!H102,Nov!H102,Dec!H102)</f>
        <v>685279</v>
      </c>
      <c r="I102" s="13">
        <f>SUM(Oct!I102, Nov!I102, Dec!I102)</f>
        <v>146071</v>
      </c>
      <c r="J102" s="14">
        <f t="shared" si="8"/>
        <v>0.2131555176796604</v>
      </c>
      <c r="K102" s="39"/>
      <c r="L102" s="40"/>
    </row>
    <row r="103" spans="1:12" ht="15.75">
      <c r="A103" s="27" t="str">
        <v>Route 19 1</v>
      </c>
      <c r="B103" s="28" t="str">
        <v>NY</v>
      </c>
      <c r="C103" s="28" t="str">
        <f>Sites[[#This Row],[SOL'#]]</f>
        <v>SOL-11001</v>
      </c>
      <c r="D103" s="10">
        <f>SUM(Oct!D103, Nov!D103, Dec!D103)</f>
        <v>342350</v>
      </c>
      <c r="E103" s="15">
        <f>SUM(Oct!E103, Nov!E103, Dec!E103)</f>
        <v>0</v>
      </c>
      <c r="F103" s="15">
        <f t="shared" si="6"/>
        <v>342350</v>
      </c>
      <c r="G103" s="16" t="str">
        <f t="shared" si="7"/>
        <v/>
      </c>
      <c r="H103" s="17">
        <f>SUM(Oct!H103,Nov!H103,Dec!H103)</f>
        <v>250569</v>
      </c>
      <c r="I103" s="17">
        <f>SUM(Oct!I103, Nov!I103, Dec!I103)</f>
        <v>91781</v>
      </c>
      <c r="J103" s="16">
        <f t="shared" si="8"/>
        <v>0.36629032322434141</v>
      </c>
      <c r="K103" s="39"/>
      <c r="L103" s="40"/>
    </row>
    <row r="104" spans="1:12" ht="15.75">
      <c r="A104" s="25" t="str">
        <v>Route 19 2</v>
      </c>
      <c r="B104" s="26" t="str">
        <v>NY</v>
      </c>
      <c r="C104" s="26" t="str">
        <f>Sites[[#This Row],[SOL'#]]</f>
        <v>SOL-11002</v>
      </c>
      <c r="D104" s="21">
        <f>SUM(Oct!D104, Nov!D104, Dec!D104)</f>
        <v>231490</v>
      </c>
      <c r="E104" s="11">
        <f>SUM(Oct!E104, Nov!E104, Dec!E104)</f>
        <v>0</v>
      </c>
      <c r="F104" s="11">
        <f t="shared" si="6"/>
        <v>231490</v>
      </c>
      <c r="G104" s="12" t="str">
        <f t="shared" si="7"/>
        <v/>
      </c>
      <c r="H104" s="13">
        <f>SUM(Oct!H104,Nov!H104,Dec!H104)</f>
        <v>633929</v>
      </c>
      <c r="I104" s="13">
        <f>SUM(Oct!I104, Nov!I104, Dec!I104)</f>
        <v>-402439</v>
      </c>
      <c r="J104" s="14">
        <f t="shared" si="8"/>
        <v>-0.63483292292985494</v>
      </c>
      <c r="K104" s="39"/>
      <c r="L104" s="40"/>
    </row>
    <row r="105" spans="1:12" ht="15.75">
      <c r="A105" s="27" t="str">
        <v>Yellow Mills 1</v>
      </c>
      <c r="B105" s="28" t="str">
        <v>NY</v>
      </c>
      <c r="C105" s="28" t="str">
        <f>Sites[[#This Row],[SOL'#]]</f>
        <v>SOL-11006</v>
      </c>
      <c r="D105" s="10">
        <f>SUM(Oct!D105, Nov!D105, Dec!D105)</f>
        <v>318177</v>
      </c>
      <c r="E105" s="15">
        <f>SUM(Oct!E105, Nov!E105, Dec!E105)</f>
        <v>0</v>
      </c>
      <c r="F105" s="15">
        <f t="shared" si="6"/>
        <v>318177</v>
      </c>
      <c r="G105" s="16" t="str">
        <f t="shared" si="7"/>
        <v/>
      </c>
      <c r="H105" s="17">
        <f>SUM(Oct!H105,Nov!H105,Dec!H105)</f>
        <v>229198</v>
      </c>
      <c r="I105" s="17">
        <f>SUM(Oct!I105, Nov!I105, Dec!I105)</f>
        <v>88979</v>
      </c>
      <c r="J105" s="16">
        <f t="shared" si="8"/>
        <v>0.38821891988586288</v>
      </c>
      <c r="K105" s="39"/>
      <c r="L105" s="40"/>
    </row>
    <row r="106" spans="1:12" ht="15.75">
      <c r="A106" s="25" t="str">
        <v>Yellow Mills 2</v>
      </c>
      <c r="B106" s="26" t="str">
        <v>NY</v>
      </c>
      <c r="C106" s="26" t="str">
        <f>Sites[[#This Row],[SOL'#]]</f>
        <v>SOL-11005</v>
      </c>
      <c r="D106" s="21">
        <f>SUM(Oct!D106, Nov!D106, Dec!D106)</f>
        <v>318175</v>
      </c>
      <c r="E106" s="11">
        <f>SUM(Oct!E106, Nov!E106, Dec!E106)</f>
        <v>0</v>
      </c>
      <c r="F106" s="11">
        <f t="shared" si="6"/>
        <v>318175</v>
      </c>
      <c r="G106" s="12" t="str">
        <f t="shared" si="7"/>
        <v/>
      </c>
      <c r="H106" s="13">
        <f>SUM(Oct!H106,Nov!H106,Dec!H106)</f>
        <v>237778</v>
      </c>
      <c r="I106" s="13">
        <f>SUM(Oct!I106, Nov!I106, Dec!I106)</f>
        <v>80397</v>
      </c>
      <c r="J106" s="14">
        <f t="shared" si="8"/>
        <v>0.33811790830102029</v>
      </c>
      <c r="K106" s="39"/>
      <c r="L106" s="40"/>
    </row>
    <row r="107" spans="1:12" ht="15.75">
      <c r="A107" s="27" t="str">
        <v>Yellow Mills 3</v>
      </c>
      <c r="B107" s="28" t="str">
        <v>NY</v>
      </c>
      <c r="C107" s="28" t="str">
        <f>Sites[[#This Row],[SOL'#]]</f>
        <v>SOL-11007</v>
      </c>
      <c r="D107" s="10">
        <f>SUM(Oct!D107, Nov!D107, Dec!D107)</f>
        <v>301932</v>
      </c>
      <c r="E107" s="15">
        <f>SUM(Oct!E107, Nov!E107, Dec!E107)</f>
        <v>0</v>
      </c>
      <c r="F107" s="15">
        <f t="shared" si="6"/>
        <v>301932</v>
      </c>
      <c r="G107" s="16" t="str">
        <f t="shared" si="7"/>
        <v/>
      </c>
      <c r="H107" s="17">
        <f>SUM(Oct!H107,Nov!H107,Dec!H107)</f>
        <v>226281</v>
      </c>
      <c r="I107" s="17">
        <f>SUM(Oct!I107, Nov!I107, Dec!I107)</f>
        <v>75651</v>
      </c>
      <c r="J107" s="16">
        <f t="shared" si="8"/>
        <v>0.33432325294655763</v>
      </c>
      <c r="K107" s="39"/>
      <c r="L107" s="40"/>
    </row>
    <row r="108" spans="1:12" ht="15.75">
      <c r="A108" s="25" t="str">
        <v>Catskill</v>
      </c>
      <c r="B108" s="26" t="str">
        <v>NY</v>
      </c>
      <c r="C108" s="26" t="str">
        <f>Sites[[#This Row],[SOL'#]]</f>
        <v>SOL-11021</v>
      </c>
      <c r="D108" s="21">
        <f>SUM(Oct!D108, Nov!D108, Dec!D108)</f>
        <v>626953</v>
      </c>
      <c r="E108" s="11">
        <f>SUM(Oct!E108, Nov!E108, Dec!E108)</f>
        <v>0</v>
      </c>
      <c r="F108" s="11">
        <f t="shared" si="6"/>
        <v>626953</v>
      </c>
      <c r="G108" s="12" t="str">
        <f t="shared" si="7"/>
        <v/>
      </c>
      <c r="H108" s="13">
        <f>SUM(Oct!H108,Nov!H108,Dec!H108)</f>
        <v>474419</v>
      </c>
      <c r="I108" s="13">
        <f>SUM(Oct!I108, Nov!I108, Dec!I108)</f>
        <v>152534</v>
      </c>
      <c r="J108" s="14">
        <f t="shared" si="8"/>
        <v>0.32151747716680823</v>
      </c>
      <c r="K108" s="39"/>
      <c r="L108" s="40"/>
    </row>
    <row r="109" spans="1:12" ht="15.75">
      <c r="A109" s="27" t="str">
        <v>Eddy Ridge</v>
      </c>
      <c r="B109" s="28" t="str">
        <v>NY</v>
      </c>
      <c r="C109" s="28" t="str">
        <f>Sites[[#This Row],[SOL'#]]</f>
        <v>SOL-11054</v>
      </c>
      <c r="D109" s="10">
        <f>SUM(Oct!D109, Nov!D109, Dec!D109)</f>
        <v>0</v>
      </c>
      <c r="E109" s="15">
        <f>SUM(Oct!E109, Nov!E109, Dec!E109)</f>
        <v>0</v>
      </c>
      <c r="F109" s="15">
        <f t="shared" si="6"/>
        <v>0</v>
      </c>
      <c r="G109" s="16" t="str">
        <f t="shared" si="7"/>
        <v/>
      </c>
      <c r="H109" s="17">
        <f>SUM(Oct!H109,Nov!H109,Dec!H109)</f>
        <v>305000</v>
      </c>
      <c r="I109" s="17">
        <f>SUM(Oct!I109, Nov!I109, Dec!I109)</f>
        <v>-305000</v>
      </c>
      <c r="J109" s="16">
        <f t="shared" si="8"/>
        <v>-1</v>
      </c>
      <c r="K109" s="39"/>
      <c r="L109" s="40"/>
    </row>
    <row r="110" spans="1:12" ht="15.75">
      <c r="A110" s="25" t="str">
        <v>Ridgeway #1</v>
      </c>
      <c r="B110" s="26" t="str">
        <v>NY</v>
      </c>
      <c r="C110" s="26" t="str">
        <f>Sites[[#This Row],[SOL'#]]</f>
        <v>SOL-11018</v>
      </c>
      <c r="D110" s="21">
        <f>SUM(Oct!D110, Nov!D110, Dec!D110)</f>
        <v>820044</v>
      </c>
      <c r="E110" s="11">
        <f>SUM(Oct!E110, Nov!E110, Dec!E110)</f>
        <v>0</v>
      </c>
      <c r="F110" s="11">
        <f t="shared" si="6"/>
        <v>820044</v>
      </c>
      <c r="G110" s="12" t="str">
        <f t="shared" si="7"/>
        <v/>
      </c>
      <c r="H110" s="13">
        <f>SUM(Oct!H110,Nov!H110,Dec!H110)</f>
        <v>638887</v>
      </c>
      <c r="I110" s="13">
        <f>SUM(Oct!I110, Nov!I110, Dec!I110)</f>
        <v>181157</v>
      </c>
      <c r="J110" s="14">
        <f t="shared" si="8"/>
        <v>0.28355092528099646</v>
      </c>
      <c r="K110" s="39"/>
      <c r="L110" s="40"/>
    </row>
    <row r="111" spans="1:12" ht="15.75">
      <c r="A111" s="27" t="str">
        <v>Rivard 1</v>
      </c>
      <c r="B111" s="28" t="str">
        <v>NY</v>
      </c>
      <c r="C111" s="28" t="str">
        <f>Sites[[#This Row],[SOL'#]]</f>
        <v>SOL-11011</v>
      </c>
      <c r="D111" s="10">
        <f>SUM(Oct!D111, Nov!D111, Dec!D111)</f>
        <v>541866</v>
      </c>
      <c r="E111" s="15">
        <f>SUM(Oct!E111, Nov!E111, Dec!E111)</f>
        <v>611859.30000000005</v>
      </c>
      <c r="F111" s="15">
        <f t="shared" si="6"/>
        <v>-69993.300000000047</v>
      </c>
      <c r="G111" s="16">
        <f t="shared" si="7"/>
        <v>-0.11439443676021602</v>
      </c>
      <c r="H111" s="17">
        <f>SUM(Oct!H111,Nov!H111,Dec!H111)</f>
        <v>515000</v>
      </c>
      <c r="I111" s="17">
        <f>SUM(Oct!I111, Nov!I111, Dec!I111)</f>
        <v>26866</v>
      </c>
      <c r="J111" s="16">
        <f t="shared" si="8"/>
        <v>5.2166990291262136E-2</v>
      </c>
      <c r="K111" s="39"/>
      <c r="L111" s="40"/>
    </row>
    <row r="112" spans="1:12" ht="15.75">
      <c r="A112" s="25" t="str">
        <v>Rivard 2</v>
      </c>
      <c r="B112" s="26" t="str">
        <v>NY</v>
      </c>
      <c r="C112" s="26" t="str">
        <f>Sites[[#This Row],[SOL'#]]</f>
        <v>SOL-11012</v>
      </c>
      <c r="D112" s="21">
        <f>SUM(Oct!D112, Nov!D112, Dec!D112)</f>
        <v>497420.12831658398</v>
      </c>
      <c r="E112" s="11">
        <f>SUM(Oct!E112, Nov!E112, Dec!E112)</f>
        <v>562441.5</v>
      </c>
      <c r="F112" s="11">
        <f t="shared" si="6"/>
        <v>-65021.371683416015</v>
      </c>
      <c r="G112" s="12">
        <f t="shared" si="7"/>
        <v>-0.11560557263896071</v>
      </c>
      <c r="H112" s="13">
        <f>SUM(Oct!H112,Nov!H112,Dec!H112)</f>
        <v>491000</v>
      </c>
      <c r="I112" s="13">
        <f>SUM(Oct!I112, Nov!I112, Dec!I112)</f>
        <v>6420.128316583985</v>
      </c>
      <c r="J112" s="14">
        <f t="shared" si="8"/>
        <v>1.3075617752716874E-2</v>
      </c>
      <c r="K112" s="39"/>
      <c r="L112" s="40"/>
    </row>
    <row r="113" spans="1:12" ht="15.75">
      <c r="A113" s="27" t="str">
        <v>Essex</v>
      </c>
      <c r="B113" s="28" t="str">
        <v>DC</v>
      </c>
      <c r="C113" s="28" t="str">
        <f>Sites[[#This Row],[SOL'#]]</f>
        <v>SOL-10036</v>
      </c>
      <c r="D113" s="10">
        <f>SUM(Oct!D113, Nov!D113, Dec!D113)</f>
        <v>2948</v>
      </c>
      <c r="E113" s="15">
        <f>SUM(Oct!E113, Nov!E113, Dec!E113)</f>
        <v>3889.1889999999999</v>
      </c>
      <c r="F113" s="15">
        <f t="shared" si="6"/>
        <v>-941.18899999999985</v>
      </c>
      <c r="G113" s="16">
        <f t="shared" si="7"/>
        <v>-0.24200135298130276</v>
      </c>
      <c r="H113" s="17">
        <f>SUM(Oct!H113,Nov!H113,Dec!H113)</f>
        <v>3740</v>
      </c>
      <c r="I113" s="17">
        <f>SUM(Oct!I113, Nov!I113, Dec!I113)</f>
        <v>-792</v>
      </c>
      <c r="J113" s="16">
        <f t="shared" si="8"/>
        <v>-0.21176470588235294</v>
      </c>
      <c r="K113" s="39"/>
      <c r="L113" s="40"/>
    </row>
    <row r="114" spans="1:12" ht="15.75">
      <c r="A114" s="25" t="str">
        <v>Temple Sinai</v>
      </c>
      <c r="B114" s="26" t="str">
        <v>DC</v>
      </c>
      <c r="C114" s="26" t="str">
        <f>Sites[[#This Row],[SOL'#]]</f>
        <v>SOL-10028</v>
      </c>
      <c r="D114" s="21">
        <f>SUM(Oct!D114, Nov!D114, Dec!D114)</f>
        <v>7881.8100000000604</v>
      </c>
      <c r="E114" s="11">
        <f>SUM(Oct!E114, Nov!E114, Dec!E114)</f>
        <v>11515.52</v>
      </c>
      <c r="F114" s="11">
        <f t="shared" si="6"/>
        <v>-3633.70999999994</v>
      </c>
      <c r="G114" s="12">
        <f t="shared" si="7"/>
        <v>-0.31554892875006424</v>
      </c>
      <c r="H114" s="13">
        <f>SUM(Oct!H114,Nov!H114,Dec!H114)</f>
        <v>9024</v>
      </c>
      <c r="I114" s="13">
        <f>SUM(Oct!I114, Nov!I114, Dec!I114)</f>
        <v>-1142.1899999999396</v>
      </c>
      <c r="J114" s="14">
        <f t="shared" si="8"/>
        <v>-0.12657247340424863</v>
      </c>
      <c r="K114" s="39"/>
      <c r="L114" s="40"/>
    </row>
    <row r="115" spans="1:12" ht="15.75">
      <c r="A115" s="27" t="str">
        <v>Weinberg 1</v>
      </c>
      <c r="B115" s="28" t="str">
        <v>DC</v>
      </c>
      <c r="C115" s="28" t="str">
        <f>Sites[[#This Row],[SOL'#]]</f>
        <v>SOL-10039</v>
      </c>
      <c r="D115" s="10">
        <f>SUM(Oct!D115, Nov!D115, Dec!D115)</f>
        <v>1263</v>
      </c>
      <c r="E115" s="15">
        <f>SUM(Oct!E115, Nov!E115, Dec!E115)</f>
        <v>1267.3409999999999</v>
      </c>
      <c r="F115" s="15">
        <f t="shared" si="6"/>
        <v>-4.3409999999998945</v>
      </c>
      <c r="G115" s="16">
        <f t="shared" si="7"/>
        <v>-3.425281751320201E-3</v>
      </c>
      <c r="H115" s="17">
        <f>SUM(Oct!H115,Nov!H115,Dec!H115)</f>
        <v>1381</v>
      </c>
      <c r="I115" s="17">
        <f>SUM(Oct!I115, Nov!I115, Dec!I115)</f>
        <v>-118</v>
      </c>
      <c r="J115" s="16">
        <f t="shared" si="8"/>
        <v>-8.5445329471397533E-2</v>
      </c>
      <c r="K115" s="39"/>
      <c r="L115" s="40"/>
    </row>
    <row r="116" spans="1:12" ht="15.75">
      <c r="A116" s="25" t="str">
        <v>Weinberg 2</v>
      </c>
      <c r="B116" s="26" t="str">
        <v>DC</v>
      </c>
      <c r="C116" s="26" t="str">
        <f>Sites[[#This Row],[SOL'#]]</f>
        <v>SOL-10045</v>
      </c>
      <c r="D116" s="21">
        <f>SUM(Oct!D116, Nov!D116, Dec!D116)</f>
        <v>1227</v>
      </c>
      <c r="E116" s="11">
        <f>SUM(Oct!E116, Nov!E116, Dec!E116)</f>
        <v>1238.7919999999999</v>
      </c>
      <c r="F116" s="11">
        <f t="shared" si="6"/>
        <v>-11.791999999999916</v>
      </c>
      <c r="G116" s="12">
        <f t="shared" si="7"/>
        <v>-9.518950719733351E-3</v>
      </c>
      <c r="H116" s="13">
        <f>SUM(Oct!H116,Nov!H116,Dec!H116)</f>
        <v>1447</v>
      </c>
      <c r="I116" s="13">
        <f>SUM(Oct!I116, Nov!I116, Dec!I116)</f>
        <v>-220</v>
      </c>
      <c r="J116" s="14">
        <f t="shared" si="8"/>
        <v>-0.15203870076019349</v>
      </c>
      <c r="K116" s="39"/>
      <c r="L116" s="40"/>
    </row>
    <row r="117" spans="1:12" ht="15.75">
      <c r="A117" s="27" t="str">
        <v>Weinberg 3</v>
      </c>
      <c r="B117" s="28" t="str">
        <v>DC</v>
      </c>
      <c r="C117" s="28" t="str">
        <f>Sites[[#This Row],[SOL'#]]</f>
        <v>SOL-10042</v>
      </c>
      <c r="D117" s="10">
        <f>SUM(Oct!D117, Nov!D117, Dec!D117)</f>
        <v>1491</v>
      </c>
      <c r="E117" s="15">
        <f>SUM(Oct!E117, Nov!E117, Dec!E117)</f>
        <v>1469.646</v>
      </c>
      <c r="F117" s="15">
        <f t="shared" si="6"/>
        <v>21.354000000000042</v>
      </c>
      <c r="G117" s="16">
        <f t="shared" si="7"/>
        <v>1.4530029680616993E-2</v>
      </c>
      <c r="H117" s="17">
        <f>SUM(Oct!H117,Nov!H117,Dec!H117)</f>
        <v>1447</v>
      </c>
      <c r="I117" s="17">
        <f>SUM(Oct!I117, Nov!I117, Dec!I117)</f>
        <v>44</v>
      </c>
      <c r="J117" s="16">
        <f t="shared" si="8"/>
        <v>3.04077401520387E-2</v>
      </c>
      <c r="K117" s="39"/>
      <c r="L117" s="40"/>
    </row>
    <row r="118" spans="1:12" ht="15.75">
      <c r="A118" s="25" t="str">
        <v>Clayton Hall</v>
      </c>
      <c r="B118" s="26" t="str">
        <v>DE</v>
      </c>
      <c r="C118" s="26" t="str">
        <f>Sites[[#This Row],[SOL'#]]</f>
        <v>SOL-10820</v>
      </c>
      <c r="D118" s="21">
        <f>SUM(Oct!D118, Nov!D118, Dec!D118)</f>
        <v>16197</v>
      </c>
      <c r="E118" s="11">
        <f>SUM(Oct!E118, Nov!E118, Dec!E118)</f>
        <v>17375</v>
      </c>
      <c r="F118" s="11">
        <f t="shared" si="6"/>
        <v>-1178</v>
      </c>
      <c r="G118" s="12">
        <f t="shared" si="7"/>
        <v>-6.7798561151079142E-2</v>
      </c>
      <c r="H118" s="13">
        <f>SUM(Oct!H118,Nov!H118,Dec!H118)</f>
        <v>12446</v>
      </c>
      <c r="I118" s="13">
        <f>SUM(Oct!I118, Nov!I118, Dec!I118)</f>
        <v>3751</v>
      </c>
      <c r="J118" s="14">
        <f t="shared" si="8"/>
        <v>0.30138197011087897</v>
      </c>
      <c r="K118" s="39"/>
      <c r="L118" s="40"/>
    </row>
    <row r="119" spans="1:12" ht="15.75">
      <c r="A119" s="27" t="str">
        <v>Field House</v>
      </c>
      <c r="B119" s="28" t="str">
        <v>DE</v>
      </c>
      <c r="C119" s="28" t="str">
        <f>Sites[[#This Row],[SOL'#]]</f>
        <v>SOL-10821</v>
      </c>
      <c r="D119" s="10">
        <f>SUM(Oct!D119, Nov!D119, Dec!D119)</f>
        <v>25667</v>
      </c>
      <c r="E119" s="15">
        <f>SUM(Oct!E119, Nov!E119, Dec!E119)</f>
        <v>0</v>
      </c>
      <c r="F119" s="15">
        <f t="shared" si="6"/>
        <v>25667</v>
      </c>
      <c r="G119" s="16" t="str">
        <f t="shared" si="7"/>
        <v/>
      </c>
      <c r="H119" s="17">
        <f>SUM(Oct!H119,Nov!H119,Dec!H119)</f>
        <v>36961</v>
      </c>
      <c r="I119" s="17">
        <f>SUM(Oct!I119, Nov!I119, Dec!I119)</f>
        <v>-11294</v>
      </c>
      <c r="J119" s="16">
        <f t="shared" si="8"/>
        <v>-0.30556532561348448</v>
      </c>
      <c r="K119" s="39"/>
      <c r="L119" s="40"/>
    </row>
    <row r="120" spans="1:12" ht="15.75">
      <c r="A120" s="25" t="str">
        <v>Wyoming Road</v>
      </c>
      <c r="B120" s="26" t="str">
        <v>DE</v>
      </c>
      <c r="C120" s="26" t="str">
        <f>Sites[[#This Row],[SOL'#]]</f>
        <v>SOL-10819</v>
      </c>
      <c r="D120" s="21">
        <f>SUM(Oct!D120, Nov!D120, Dec!D120)</f>
        <v>0</v>
      </c>
      <c r="E120" s="11">
        <f>SUM(Oct!E120, Nov!E120, Dec!E120)</f>
        <v>0</v>
      </c>
      <c r="F120" s="11">
        <f t="shared" si="6"/>
        <v>0</v>
      </c>
      <c r="G120" s="12" t="str">
        <f t="shared" si="7"/>
        <v/>
      </c>
      <c r="H120" s="13">
        <f>SUM(Oct!H120,Nov!H120,Dec!H120)</f>
        <v>23840</v>
      </c>
      <c r="I120" s="13">
        <f>SUM(Oct!I120, Nov!I120, Dec!I120)</f>
        <v>-23840</v>
      </c>
      <c r="J120" s="14">
        <f t="shared" si="8"/>
        <v>-1</v>
      </c>
      <c r="K120" s="39"/>
      <c r="L120" s="40"/>
    </row>
    <row r="121" spans="1:12" ht="15.75">
      <c r="A121" s="27" t="str">
        <v>Leoku</v>
      </c>
      <c r="B121" s="28" t="str">
        <v>HI</v>
      </c>
      <c r="C121" s="28" t="str">
        <f>Sites[[#This Row],[SOL'#]]</f>
        <v>SOL-10071</v>
      </c>
      <c r="D121" s="10">
        <f>SUM(Oct!D121, Nov!D121, Dec!D121)</f>
        <v>6258</v>
      </c>
      <c r="E121" s="15">
        <f>SUM(Oct!E121, Nov!E121, Dec!E121)</f>
        <v>10120.870000000001</v>
      </c>
      <c r="F121" s="15">
        <f t="shared" si="6"/>
        <v>-3862.8700000000008</v>
      </c>
      <c r="G121" s="16">
        <f t="shared" si="7"/>
        <v>-0.38167370986881566</v>
      </c>
      <c r="H121" s="17">
        <f>SUM(Oct!H121,Nov!H121,Dec!H121)</f>
        <v>12218</v>
      </c>
      <c r="I121" s="17">
        <f>SUM(Oct!I121, Nov!I121, Dec!I121)</f>
        <v>-5960</v>
      </c>
      <c r="J121" s="16">
        <f t="shared" si="8"/>
        <v>-0.48780487804878048</v>
      </c>
      <c r="K121" s="39"/>
      <c r="L121" s="40"/>
    </row>
    <row r="122" spans="1:12" ht="15.75">
      <c r="A122" s="25" t="str">
        <v>Waipahu</v>
      </c>
      <c r="B122" s="26" t="str">
        <v>HI</v>
      </c>
      <c r="C122" s="26" t="str">
        <f>Sites[[#This Row],[SOL'#]]</f>
        <v>SOL-10068</v>
      </c>
      <c r="D122" s="21">
        <f>SUM(Oct!D122, Nov!D122, Dec!D122)</f>
        <v>12144</v>
      </c>
      <c r="E122" s="11">
        <f>SUM(Oct!E122, Nov!E122, Dec!E122)</f>
        <v>9840.1790000000001</v>
      </c>
      <c r="F122" s="11">
        <f t="shared" si="6"/>
        <v>2303.8209999999999</v>
      </c>
      <c r="G122" s="12">
        <f t="shared" si="7"/>
        <v>0.23412389144547063</v>
      </c>
      <c r="H122" s="13">
        <f>SUM(Oct!H122,Nov!H122,Dec!H122)</f>
        <v>12218</v>
      </c>
      <c r="I122" s="13">
        <f>SUM(Oct!I122, Nov!I122, Dec!I122)</f>
        <v>-74</v>
      </c>
      <c r="J122" s="14">
        <f t="shared" si="8"/>
        <v>-6.0566377475855292E-3</v>
      </c>
      <c r="K122" s="39"/>
      <c r="L122" s="40"/>
    </row>
    <row r="123" spans="1:12" ht="15.75">
      <c r="A123" s="27" t="str">
        <v>Bird in Hand</v>
      </c>
      <c r="B123" s="28" t="str">
        <v>MD</v>
      </c>
      <c r="C123" s="28" t="str">
        <f>Sites[[#This Row],[SOL'#]]</f>
        <v>SOL-10092</v>
      </c>
      <c r="D123" s="10">
        <f>SUM(Oct!D123, Nov!D123, Dec!D123)</f>
        <v>181193</v>
      </c>
      <c r="E123" s="15">
        <f>SUM(Oct!E123, Nov!E123, Dec!E123)</f>
        <v>187735.3</v>
      </c>
      <c r="F123" s="15">
        <f t="shared" si="6"/>
        <v>-6542.2999999999884</v>
      </c>
      <c r="G123" s="16">
        <f t="shared" si="7"/>
        <v>-3.4848534079632273E-2</v>
      </c>
      <c r="H123" s="17">
        <f>SUM(Oct!H123,Nov!H123,Dec!H123)</f>
        <v>133801</v>
      </c>
      <c r="I123" s="17">
        <f>SUM(Oct!I123, Nov!I123, Dec!I123)</f>
        <v>47392</v>
      </c>
      <c r="J123" s="16">
        <f t="shared" si="8"/>
        <v>0.35419765173653411</v>
      </c>
      <c r="K123" s="39"/>
      <c r="L123" s="40"/>
    </row>
    <row r="124" spans="1:12" ht="15.75">
      <c r="A124" s="25" t="str">
        <v>Shortal</v>
      </c>
      <c r="B124" s="26" t="str">
        <v>MD</v>
      </c>
      <c r="C124" s="26" t="str">
        <f>Sites[[#This Row],[SOL'#]]</f>
        <v>SOL-10091</v>
      </c>
      <c r="D124" s="21">
        <f>SUM(Oct!D124, Nov!D124, Dec!D124)</f>
        <v>190607</v>
      </c>
      <c r="E124" s="11">
        <f>SUM(Oct!E124, Nov!E124, Dec!E124)</f>
        <v>85409.62</v>
      </c>
      <c r="F124" s="11">
        <f t="shared" si="6"/>
        <v>105197.38</v>
      </c>
      <c r="G124" s="12">
        <f t="shared" si="7"/>
        <v>1.2316806935799505</v>
      </c>
      <c r="H124" s="13">
        <f>SUM(Oct!H124,Nov!H124,Dec!H124)</f>
        <v>128337</v>
      </c>
      <c r="I124" s="13">
        <f>SUM(Oct!I124, Nov!I124, Dec!I124)</f>
        <v>62270</v>
      </c>
      <c r="J124" s="14">
        <f t="shared" si="8"/>
        <v>0.48520691616603162</v>
      </c>
      <c r="K124" s="39"/>
      <c r="L124" s="40"/>
    </row>
    <row r="125" spans="1:12" ht="15.75">
      <c r="A125" s="27" t="str">
        <v>Aguadilla</v>
      </c>
      <c r="B125" s="28" t="str">
        <v>PR</v>
      </c>
      <c r="C125" s="28" t="str">
        <f>Sites[[#This Row],[SOL'#]]</f>
        <v>SOL-10072</v>
      </c>
      <c r="D125" s="10">
        <f>SUM(Oct!D125, Nov!D125, Dec!D125)</f>
        <v>17297</v>
      </c>
      <c r="E125" s="15">
        <f>SUM(Oct!E125, Nov!E125, Dec!E125)</f>
        <v>15690.3</v>
      </c>
      <c r="F125" s="15">
        <f t="shared" si="6"/>
        <v>1606.7000000000007</v>
      </c>
      <c r="G125" s="16">
        <f t="shared" si="7"/>
        <v>0.10240084638279706</v>
      </c>
      <c r="H125" s="17">
        <f>SUM(Oct!H125,Nov!H125,Dec!H125)</f>
        <v>17722</v>
      </c>
      <c r="I125" s="17">
        <f>SUM(Oct!I125, Nov!I125, Dec!I125)</f>
        <v>-425</v>
      </c>
      <c r="J125" s="16">
        <f t="shared" si="8"/>
        <v>-2.3981491930933303E-2</v>
      </c>
      <c r="K125" s="39"/>
      <c r="L125" s="40"/>
    </row>
    <row r="126" spans="1:12" ht="15.75">
      <c r="A126" s="25" t="str">
        <v>Bayamon</v>
      </c>
      <c r="B126" s="26" t="str">
        <v>PR</v>
      </c>
      <c r="C126" s="26" t="str">
        <f>Sites[[#This Row],[SOL'#]]</f>
        <v>SOL-10073</v>
      </c>
      <c r="D126" s="21">
        <f>SUM(Oct!D126, Nov!D126, Dec!D126)</f>
        <v>67855</v>
      </c>
      <c r="E126" s="11">
        <f>SUM(Oct!E126, Nov!E126, Dec!E126)</f>
        <v>68476.160000000003</v>
      </c>
      <c r="F126" s="11">
        <f t="shared" si="6"/>
        <v>-621.16000000000349</v>
      </c>
      <c r="G126" s="12">
        <f t="shared" si="7"/>
        <v>-9.0711862347421859E-3</v>
      </c>
      <c r="H126" s="13">
        <f>SUM(Oct!H126,Nov!H126,Dec!H126)</f>
        <v>73054</v>
      </c>
      <c r="I126" s="13">
        <f>SUM(Oct!I126, Nov!I126, Dec!I126)</f>
        <v>-5199</v>
      </c>
      <c r="J126" s="14">
        <f t="shared" si="8"/>
        <v>-7.1166534344457522E-2</v>
      </c>
      <c r="K126" s="39"/>
      <c r="L126" s="40"/>
    </row>
    <row r="127" spans="1:12" ht="15.75">
      <c r="A127" s="27" t="str">
        <v>St Francis</v>
      </c>
      <c r="B127" s="28" t="str">
        <v>PR</v>
      </c>
      <c r="C127" s="28" t="str">
        <f>Sites[[#This Row],[SOL'#]]</f>
        <v>SOL-10034</v>
      </c>
      <c r="D127" s="10">
        <f>SUM(Oct!D127, Nov!D127, Dec!D127)</f>
        <v>25015</v>
      </c>
      <c r="E127" s="15">
        <f>SUM(Oct!E127, Nov!E127, Dec!E127)</f>
        <v>40233.839999999997</v>
      </c>
      <c r="F127" s="15">
        <f t="shared" si="6"/>
        <v>-15218.839999999997</v>
      </c>
      <c r="G127" s="16">
        <f t="shared" si="7"/>
        <v>-0.37825969382987051</v>
      </c>
      <c r="H127" s="17">
        <f>SUM(Oct!H127,Nov!H127,Dec!H127)</f>
        <v>36969</v>
      </c>
      <c r="I127" s="17">
        <f>SUM(Oct!I127, Nov!I127, Dec!I127)</f>
        <v>-11954</v>
      </c>
      <c r="J127" s="16">
        <f t="shared" si="8"/>
        <v>-0.32335199761962724</v>
      </c>
      <c r="K127" s="39"/>
      <c r="L127" s="40"/>
    </row>
    <row r="128" spans="1:12" ht="15.75">
      <c r="A128" s="25" t="str">
        <v>Seaport</v>
      </c>
      <c r="B128" s="26" t="str">
        <v>MA</v>
      </c>
      <c r="C128" s="26" t="str">
        <f>Sites[[#This Row],[SOL'#]]</f>
        <v>SOL-10772</v>
      </c>
      <c r="D128" s="21">
        <f>SUM(Oct!D128, Nov!D128, Dec!D128)</f>
        <v>47932.5</v>
      </c>
      <c r="E128" s="11">
        <f>SUM(Oct!E128, Nov!E128, Dec!E128)</f>
        <v>41252.58</v>
      </c>
      <c r="F128" s="11">
        <f t="shared" si="6"/>
        <v>6679.9199999999983</v>
      </c>
      <c r="G128" s="12">
        <f t="shared" si="7"/>
        <v>0.161927326727201</v>
      </c>
      <c r="H128" s="13">
        <f>SUM(Oct!H128,Nov!H128,Dec!H128)</f>
        <v>49040</v>
      </c>
      <c r="I128" s="13">
        <f>SUM(Oct!I128, Nov!I128, Dec!I128)</f>
        <v>-1107.5</v>
      </c>
      <c r="J128" s="14">
        <f t="shared" si="8"/>
        <v>-2.2583605220228384E-2</v>
      </c>
      <c r="K128" s="39"/>
      <c r="L128" s="40"/>
    </row>
    <row r="129" spans="1:12" ht="15.75">
      <c r="A129" s="27" t="str">
        <v>Sprague St</v>
      </c>
      <c r="B129" s="28" t="str">
        <v>MA</v>
      </c>
      <c r="C129" s="28" t="str">
        <f>Sites[[#This Row],[SOL'#]]</f>
        <v>SOL-10773</v>
      </c>
      <c r="D129" s="10">
        <f>SUM(Oct!D129, Nov!D129, Dec!D129)</f>
        <v>113067</v>
      </c>
      <c r="E129" s="15">
        <f>SUM(Oct!E129, Nov!E129, Dec!E129)</f>
        <v>108736.1</v>
      </c>
      <c r="F129" s="15">
        <f t="shared" si="6"/>
        <v>4330.8999999999942</v>
      </c>
      <c r="G129" s="16">
        <f t="shared" si="7"/>
        <v>3.9829458661842697E-2</v>
      </c>
      <c r="H129" s="17">
        <f>SUM(Oct!H129,Nov!H129,Dec!H129)</f>
        <v>110309</v>
      </c>
      <c r="I129" s="17">
        <f>SUM(Oct!I129, Nov!I129, Dec!I129)</f>
        <v>2758</v>
      </c>
      <c r="J129" s="16">
        <f t="shared" si="8"/>
        <v>2.5002492996944944E-2</v>
      </c>
      <c r="K129" s="39"/>
      <c r="L129" s="40"/>
    </row>
    <row r="130" spans="1:12" ht="15.75">
      <c r="A130" s="25" t="str">
        <v>Summer St</v>
      </c>
      <c r="B130" s="26" t="str">
        <v>MA</v>
      </c>
      <c r="C130" s="26" t="str">
        <f>Sites[[#This Row],[SOL'#]]</f>
        <v>SOL-10764</v>
      </c>
      <c r="D130" s="21">
        <f>SUM(Oct!D130, Nov!D130, Dec!D130)</f>
        <v>230790</v>
      </c>
      <c r="E130" s="11">
        <f>SUM(Oct!E130, Nov!E130, Dec!E130)</f>
        <v>231570.8</v>
      </c>
      <c r="F130" s="11">
        <f t="shared" si="6"/>
        <v>-780.79999999998836</v>
      </c>
      <c r="G130" s="12">
        <f t="shared" si="7"/>
        <v>-3.3717549881072586E-3</v>
      </c>
      <c r="H130" s="13">
        <f>SUM(Oct!H130,Nov!H130,Dec!H130)</f>
        <v>233072</v>
      </c>
      <c r="I130" s="13">
        <f>SUM(Oct!I130, Nov!I130, Dec!I130)</f>
        <v>-2282</v>
      </c>
      <c r="J130" s="14">
        <f t="shared" si="8"/>
        <v>-9.7909658817876017E-3</v>
      </c>
      <c r="K130" s="39"/>
      <c r="L130" s="40"/>
    </row>
    <row r="131" spans="1:12" ht="15.75">
      <c r="A131" s="27" t="str">
        <v>Brock St Vocational</v>
      </c>
      <c r="B131" s="28" t="str">
        <v>NH</v>
      </c>
      <c r="C131" s="28" t="str">
        <f>Sites[[#This Row],[SOL'#]]</f>
        <v>SOL-10768</v>
      </c>
      <c r="D131" s="10">
        <f>SUM(Oct!D131, Nov!D131, Dec!D131)</f>
        <v>9929.0015540000004</v>
      </c>
      <c r="E131" s="15">
        <f>SUM(Oct!E131, Nov!E131, Dec!E131)</f>
        <v>9932.8780000000006</v>
      </c>
      <c r="F131" s="15">
        <f t="shared" si="6"/>
        <v>-3.8764460000002146</v>
      </c>
      <c r="G131" s="16">
        <f t="shared" si="7"/>
        <v>-3.9026413089944469E-4</v>
      </c>
      <c r="H131" s="17">
        <f>SUM(Oct!H131,Nov!H131,Dec!H131)</f>
        <v>8577</v>
      </c>
      <c r="I131" s="17">
        <f>SUM(Oct!I131, Nov!I131, Dec!I131)</f>
        <v>1352.0015540000004</v>
      </c>
      <c r="J131" s="16">
        <f t="shared" si="8"/>
        <v>0.1576310544479422</v>
      </c>
      <c r="K131" s="39"/>
      <c r="L131" s="40"/>
    </row>
    <row r="132" spans="1:12" ht="15.75">
      <c r="A132" s="25" t="str">
        <v>McClelland ES</v>
      </c>
      <c r="B132" s="26" t="str">
        <v>NH</v>
      </c>
      <c r="C132" s="26" t="str">
        <f>Sites[[#This Row],[SOL'#]]</f>
        <v>SOL-10766</v>
      </c>
      <c r="D132" s="21">
        <f>SUM(Oct!D132, Nov!D132, Dec!D132)</f>
        <v>8163.0625049999999</v>
      </c>
      <c r="E132" s="11">
        <f>SUM(Oct!E132, Nov!E132, Dec!E132)</f>
        <v>9035.6659999999993</v>
      </c>
      <c r="F132" s="11">
        <f t="shared" si="6"/>
        <v>-872.60349499999938</v>
      </c>
      <c r="G132" s="12">
        <f t="shared" si="7"/>
        <v>-9.6573234889381646E-2</v>
      </c>
      <c r="H132" s="13">
        <f>SUM(Oct!H132,Nov!H132,Dec!H132)</f>
        <v>6325</v>
      </c>
      <c r="I132" s="13">
        <f>SUM(Oct!I132, Nov!I132, Dec!I132)</f>
        <v>1838.0625049999999</v>
      </c>
      <c r="J132" s="14">
        <f t="shared" si="8"/>
        <v>0.29060276758893278</v>
      </c>
      <c r="K132" s="39"/>
      <c r="L132" s="40"/>
    </row>
    <row r="133" spans="1:12" ht="15.75">
      <c r="A133" s="27" t="str">
        <v>Portland St</v>
      </c>
      <c r="B133" s="28" t="str">
        <v>NH</v>
      </c>
      <c r="C133" s="28" t="str">
        <f>Sites[[#This Row],[SOL'#]]</f>
        <v>SOL-10771</v>
      </c>
      <c r="D133" s="10">
        <f>SUM(Oct!D133, Nov!D133, Dec!D133)</f>
        <v>6287.1149999999998</v>
      </c>
      <c r="E133" s="15">
        <f>SUM(Oct!E133, Nov!E133, Dec!E133)</f>
        <v>5541.7</v>
      </c>
      <c r="F133" s="15">
        <f t="shared" si="6"/>
        <v>745.41499999999996</v>
      </c>
      <c r="G133" s="16">
        <f t="shared" si="7"/>
        <v>0.13451016835988958</v>
      </c>
      <c r="H133" s="17">
        <f>SUM(Oct!H133,Nov!H133,Dec!H133)</f>
        <v>5265</v>
      </c>
      <c r="I133" s="17">
        <f>SUM(Oct!I133, Nov!I133, Dec!I133)</f>
        <v>1022.1149999999998</v>
      </c>
      <c r="J133" s="16">
        <f t="shared" si="8"/>
        <v>0.19413390313390308</v>
      </c>
      <c r="K133" s="39"/>
      <c r="L133" s="40"/>
    </row>
    <row r="134" spans="1:12" ht="15.75">
      <c r="A134" s="25" t="str">
        <v>Portsmouth HS</v>
      </c>
      <c r="B134" s="26" t="str">
        <v>NH</v>
      </c>
      <c r="C134" s="26" t="str">
        <f>Sites[[#This Row],[SOL'#]]</f>
        <v>SOL-10769</v>
      </c>
      <c r="D134" s="21">
        <f>SUM(Oct!D134, Nov!D134, Dec!D134)</f>
        <v>27825.625</v>
      </c>
      <c r="E134" s="11">
        <f>SUM(Oct!E134, Nov!E134, Dec!E134)</f>
        <v>25818.5</v>
      </c>
      <c r="F134" s="11">
        <f t="shared" si="6"/>
        <v>2007.125</v>
      </c>
      <c r="G134" s="12">
        <f t="shared" si="7"/>
        <v>7.7739798981350583E-2</v>
      </c>
      <c r="H134" s="13">
        <f>SUM(Oct!H134,Nov!H134,Dec!H134)</f>
        <v>20664</v>
      </c>
      <c r="I134" s="13">
        <f>SUM(Oct!I134, Nov!I134, Dec!I134)</f>
        <v>7161.625</v>
      </c>
      <c r="J134" s="14">
        <f t="shared" si="8"/>
        <v>0.34657496128532717</v>
      </c>
      <c r="K134" s="39"/>
      <c r="L134" s="40"/>
    </row>
    <row r="135" spans="1:12" ht="15.75">
      <c r="A135" s="27" t="str">
        <v>Portsmouth WTP</v>
      </c>
      <c r="B135" s="28" t="str">
        <v>NH</v>
      </c>
      <c r="C135" s="28" t="str">
        <f>Sites[[#This Row],[SOL'#]]</f>
        <v>SOL-10770</v>
      </c>
      <c r="D135" s="10">
        <f>SUM(Oct!D135, Nov!D135, Dec!D135)</f>
        <v>27894.75</v>
      </c>
      <c r="E135" s="15">
        <f>SUM(Oct!E135, Nov!E135, Dec!E135)</f>
        <v>31120.47</v>
      </c>
      <c r="F135" s="15">
        <f t="shared" si="6"/>
        <v>-3225.7200000000012</v>
      </c>
      <c r="G135" s="16">
        <f t="shared" si="7"/>
        <v>-0.10365267619672842</v>
      </c>
      <c r="H135" s="17">
        <f>SUM(Oct!H135,Nov!H135,Dec!H135)</f>
        <v>24210</v>
      </c>
      <c r="I135" s="17">
        <f>SUM(Oct!I135, Nov!I135, Dec!I135)</f>
        <v>3684.75</v>
      </c>
      <c r="J135" s="16">
        <f t="shared" si="8"/>
        <v>0.15219950433705082</v>
      </c>
      <c r="K135" s="39"/>
      <c r="L135" s="40"/>
    </row>
    <row r="136" spans="1:12" ht="15.75">
      <c r="A136" s="25" t="str">
        <v>Rochester St</v>
      </c>
      <c r="B136" s="26" t="str">
        <v>NH</v>
      </c>
      <c r="C136" s="26" t="str">
        <f>Sites[[#This Row],[SOL'#]]</f>
        <v>SOL-10765</v>
      </c>
      <c r="D136" s="21">
        <f>SUM(Oct!D136, Nov!D136, Dec!D136)</f>
        <v>25098.746429999999</v>
      </c>
      <c r="E136" s="11">
        <f>SUM(Oct!E136, Nov!E136, Dec!E136)</f>
        <v>29559.88</v>
      </c>
      <c r="F136" s="11">
        <f t="shared" si="6"/>
        <v>-4461.1335700000018</v>
      </c>
      <c r="G136" s="12">
        <f t="shared" si="7"/>
        <v>-0.15091852774774464</v>
      </c>
      <c r="H136" s="13">
        <f>SUM(Oct!H136,Nov!H136,Dec!H136)</f>
        <v>20314</v>
      </c>
      <c r="I136" s="13">
        <f>SUM(Oct!I136, Nov!I136, Dec!I136)</f>
        <v>4784.7464299999992</v>
      </c>
      <c r="J136" s="14">
        <f t="shared" si="8"/>
        <v>0.2355393536477306</v>
      </c>
      <c r="K136" s="39"/>
      <c r="L136" s="40"/>
    </row>
    <row r="137" spans="1:12" ht="15.75">
      <c r="A137" s="27" t="str">
        <v>Spaulding HS</v>
      </c>
      <c r="B137" s="28" t="str">
        <v>NH</v>
      </c>
      <c r="C137" s="28" t="str">
        <f>Sites[[#This Row],[SOL'#]]</f>
        <v>SOL-10767</v>
      </c>
      <c r="D137" s="10">
        <f>SUM(Oct!D137, Nov!D137, Dec!D137)</f>
        <v>11894.87062</v>
      </c>
      <c r="E137" s="15">
        <f>SUM(Oct!E137, Nov!E137, Dec!E137)</f>
        <v>10399.5</v>
      </c>
      <c r="F137" s="15">
        <f t="shared" si="6"/>
        <v>1495.3706199999997</v>
      </c>
      <c r="G137" s="16">
        <f t="shared" si="7"/>
        <v>0.14379254964180968</v>
      </c>
      <c r="H137" s="17">
        <f>SUM(Oct!H137,Nov!H137,Dec!H137)</f>
        <v>9737</v>
      </c>
      <c r="I137" s="17">
        <f>SUM(Oct!I137, Nov!I137, Dec!I137)</f>
        <v>2157.8706199999997</v>
      </c>
      <c r="J137" s="16">
        <f t="shared" si="8"/>
        <v>0.22161555099106497</v>
      </c>
      <c r="K137" s="39"/>
      <c r="L137" s="40"/>
    </row>
    <row r="138" spans="1:12" ht="15.75">
      <c r="A138" s="25" t="str">
        <v>Ridgeway #2</v>
      </c>
      <c r="B138" s="26" t="str">
        <v>NY</v>
      </c>
      <c r="C138" s="26" t="str">
        <f>Sites[[#This Row],[SOL'#]]</f>
        <v>SOL-11027</v>
      </c>
      <c r="D138" s="21">
        <f>SUM(Oct!D138, Nov!D138, Dec!D138)</f>
        <v>407119</v>
      </c>
      <c r="E138" s="11">
        <f>SUM(Oct!E138, Nov!E138, Dec!E138)</f>
        <v>0</v>
      </c>
      <c r="F138" s="11">
        <f t="shared" si="6"/>
        <v>407119</v>
      </c>
      <c r="G138" s="12" t="str">
        <f t="shared" si="7"/>
        <v/>
      </c>
      <c r="H138" s="13">
        <f>SUM(Oct!H138,Nov!H138,Dec!H138)</f>
        <v>330964</v>
      </c>
      <c r="I138" s="13">
        <f>SUM(Oct!I138, Nov!I138, Dec!I138)</f>
        <v>76155</v>
      </c>
      <c r="J138" s="14">
        <f t="shared" si="8"/>
        <v>0.23010055474311406</v>
      </c>
      <c r="K138" s="39"/>
      <c r="L138" s="40"/>
    </row>
    <row r="139" spans="1:12" ht="15.75">
      <c r="A139" s="27" t="str">
        <v>Spencer</v>
      </c>
      <c r="B139" s="28" t="str">
        <v>NY</v>
      </c>
      <c r="C139" s="28" t="str">
        <f>Sites[[#This Row],[SOL'#]]</f>
        <v>SOL-11017</v>
      </c>
      <c r="D139" s="10">
        <f>SUM(Oct!D139, Nov!D139, Dec!D139)</f>
        <v>847053</v>
      </c>
      <c r="E139" s="15">
        <f>SUM(Oct!E139, Nov!E139, Dec!E139)</f>
        <v>0</v>
      </c>
      <c r="F139" s="15">
        <f t="shared" si="6"/>
        <v>847053</v>
      </c>
      <c r="G139" s="16" t="str">
        <f t="shared" si="7"/>
        <v/>
      </c>
      <c r="H139" s="17">
        <f>SUM(Oct!H139,Nov!H139,Dec!H139)</f>
        <v>667000</v>
      </c>
      <c r="I139" s="17">
        <f>SUM(Oct!I139, Nov!I139, Dec!I139)</f>
        <v>180053</v>
      </c>
      <c r="J139" s="16">
        <f t="shared" si="8"/>
        <v>0.26994452773613192</v>
      </c>
      <c r="K139" s="39"/>
      <c r="L139" s="40"/>
    </row>
    <row r="140" spans="1:12" ht="15.75">
      <c r="A140" s="25" t="str">
        <v>Reisender</v>
      </c>
      <c r="B140" s="26" t="str">
        <v>NY</v>
      </c>
      <c r="C140" s="26" t="str">
        <f>Sites[[#This Row],[SOL'#]]</f>
        <v>SOL-10886</v>
      </c>
      <c r="D140" s="21">
        <f>SUM(Oct!D140, Nov!D140, Dec!D140)</f>
        <v>318660</v>
      </c>
      <c r="E140" s="11">
        <f>SUM(Oct!E140, Nov!E140, Dec!E140)</f>
        <v>344616.18599999999</v>
      </c>
      <c r="F140" s="11">
        <f t="shared" si="6"/>
        <v>-25956.185999999987</v>
      </c>
      <c r="G140" s="12">
        <f t="shared" si="7"/>
        <v>-7.5319114581576821E-2</v>
      </c>
      <c r="H140" s="13">
        <f>SUM(Oct!H140,Nov!H140,Dec!H140)</f>
        <v>257052</v>
      </c>
      <c r="I140" s="13">
        <f>SUM(Oct!I140, Nov!I140, Dec!I140)</f>
        <v>61608</v>
      </c>
      <c r="J140" s="14">
        <f t="shared" si="8"/>
        <v>0.23967135054385882</v>
      </c>
      <c r="K140" s="39"/>
      <c r="L140" s="40"/>
    </row>
    <row r="141" spans="1:12" ht="15.75">
      <c r="A141" s="27" t="str">
        <v>Finney</v>
      </c>
      <c r="B141" s="28" t="str">
        <v>NY</v>
      </c>
      <c r="C141" s="28" t="str">
        <f>Sites[[#This Row],[SOL'#]]</f>
        <v>SOL-10999</v>
      </c>
      <c r="D141" s="10">
        <f>SUM(Oct!D141, Nov!D141, Dec!D141)</f>
        <v>856700</v>
      </c>
      <c r="E141" s="15">
        <f>SUM(Oct!E141, Nov!E141, Dec!E141)</f>
        <v>0</v>
      </c>
      <c r="F141" s="15">
        <f t="shared" si="6"/>
        <v>856700</v>
      </c>
      <c r="G141" s="16" t="str">
        <f t="shared" si="7"/>
        <v/>
      </c>
      <c r="H141" s="17">
        <f>SUM(Oct!H141,Nov!H141,Dec!H141)</f>
        <v>620400</v>
      </c>
      <c r="I141" s="17">
        <f>SUM(Oct!I141, Nov!I141, Dec!I141)</f>
        <v>236300</v>
      </c>
      <c r="J141" s="16">
        <f t="shared" si="8"/>
        <v>0.38088330109606705</v>
      </c>
      <c r="K141" s="39"/>
      <c r="L141" s="40"/>
    </row>
    <row r="142" spans="1:12" ht="15.75">
      <c r="A142" s="25" t="str">
        <v>Davis Solar</v>
      </c>
      <c r="B142" s="26" t="str">
        <v>NY</v>
      </c>
      <c r="C142" s="26" t="str">
        <f>Sites[[#This Row],[SOL'#]]</f>
        <v>SOL-10958</v>
      </c>
      <c r="D142" s="21">
        <f>SUM(Oct!D142, Nov!D142, Dec!D142)</f>
        <v>297542</v>
      </c>
      <c r="E142" s="11">
        <f>SUM(Oct!E142, Nov!E142, Dec!E142)</f>
        <v>373357.1</v>
      </c>
      <c r="F142" s="11">
        <f t="shared" si="6"/>
        <v>-75815.099999999977</v>
      </c>
      <c r="G142" s="12">
        <f t="shared" si="7"/>
        <v>-0.20306323356379183</v>
      </c>
      <c r="H142" s="13">
        <f>SUM(Oct!H142,Nov!H142,Dec!H142)</f>
        <v>292669</v>
      </c>
      <c r="I142" s="13">
        <f>SUM(Oct!I142, Nov!I142, Dec!I142)</f>
        <v>4873</v>
      </c>
      <c r="J142" s="14">
        <f t="shared" si="8"/>
        <v>1.6650208939108686E-2</v>
      </c>
      <c r="K142" s="39"/>
      <c r="L142" s="40"/>
    </row>
    <row r="143" spans="1:12" ht="15.75">
      <c r="A143" s="27" t="str">
        <v>Genesee</v>
      </c>
      <c r="B143" s="28" t="str">
        <v>NY</v>
      </c>
      <c r="C143" s="28" t="str">
        <f>Sites[[#This Row],[SOL'#]]</f>
        <v>SOL-10951</v>
      </c>
      <c r="D143" s="10">
        <f>SUM(Oct!D143, Nov!D143, Dec!D143)</f>
        <v>513023</v>
      </c>
      <c r="E143" s="15">
        <f>SUM(Oct!E143, Nov!E143, Dec!E143)</f>
        <v>0</v>
      </c>
      <c r="F143" s="15">
        <f t="shared" si="6"/>
        <v>513023</v>
      </c>
      <c r="G143" s="16" t="str">
        <f t="shared" si="7"/>
        <v/>
      </c>
      <c r="H143" s="17">
        <f>SUM(Oct!H143,Nov!H143,Dec!H143)</f>
        <v>433067</v>
      </c>
      <c r="I143" s="17">
        <f>SUM(Oct!I143, Nov!I143, Dec!I143)</f>
        <v>79956</v>
      </c>
      <c r="J143" s="16">
        <f t="shared" si="8"/>
        <v>0.18462732094571971</v>
      </c>
      <c r="K143" s="39"/>
      <c r="L143" s="40"/>
    </row>
    <row r="144" spans="1:12" ht="15.75">
      <c r="A144" s="25" t="str">
        <v>Landau I</v>
      </c>
      <c r="B144" s="26" t="str">
        <v>NY</v>
      </c>
      <c r="C144" s="26" t="str">
        <f>Sites[[#This Row],[SOL'#]]</f>
        <v>SOL-10891</v>
      </c>
      <c r="D144" s="21">
        <f>SUM(Oct!D144, Nov!D144, Dec!D144)</f>
        <v>314911</v>
      </c>
      <c r="E144" s="11">
        <f>SUM(Oct!E144, Nov!E144, Dec!E144)</f>
        <v>0</v>
      </c>
      <c r="F144" s="11">
        <f t="shared" ref="F144:F161" si="9">IF(AND(ISNUMBER(D144),ISNUMBER(E144)), D144-E144, "")</f>
        <v>314911</v>
      </c>
      <c r="G144" s="12" t="str">
        <f t="shared" ref="G144:G161" si="10">IFERROR(F144/E144, "")</f>
        <v/>
      </c>
      <c r="H144" s="13">
        <f>SUM(Oct!H144,Nov!H144,Dec!H144)</f>
        <v>277434</v>
      </c>
      <c r="I144" s="13">
        <f>SUM(Oct!I144, Nov!I144, Dec!I144)</f>
        <v>37477</v>
      </c>
      <c r="J144" s="14">
        <f t="shared" ref="J144:J161" si="11">IFERROR(I144/H144, "")</f>
        <v>0.13508438042921919</v>
      </c>
      <c r="K144" s="39"/>
      <c r="L144" s="40"/>
    </row>
    <row r="145" spans="1:12" ht="15.75">
      <c r="A145" s="27" t="str">
        <v>Landau II</v>
      </c>
      <c r="B145" s="28" t="str">
        <v>NY</v>
      </c>
      <c r="C145" s="28" t="str">
        <f>Sites[[#This Row],[SOL'#]]</f>
        <v>SOL-10895</v>
      </c>
      <c r="D145" s="10">
        <f>SUM(Oct!D145, Nov!D145, Dec!D145)</f>
        <v>431260</v>
      </c>
      <c r="E145" s="15">
        <f>SUM(Oct!E145, Nov!E145, Dec!E145)</f>
        <v>0</v>
      </c>
      <c r="F145" s="15">
        <f t="shared" si="9"/>
        <v>431260</v>
      </c>
      <c r="G145" s="16" t="str">
        <f t="shared" si="10"/>
        <v/>
      </c>
      <c r="H145" s="17">
        <f>SUM(Oct!H145,Nov!H145,Dec!H145)</f>
        <v>582136</v>
      </c>
      <c r="I145" s="17">
        <f>SUM(Oct!I145, Nov!I145, Dec!I145)</f>
        <v>-150876</v>
      </c>
      <c r="J145" s="16">
        <f t="shared" si="11"/>
        <v>-0.25917654980966648</v>
      </c>
      <c r="K145" s="39"/>
      <c r="L145" s="40"/>
    </row>
    <row r="146" spans="1:12" ht="15.75">
      <c r="A146" s="25" t="str">
        <v>New Beginnings</v>
      </c>
      <c r="B146" s="26" t="str">
        <v>NY</v>
      </c>
      <c r="C146" s="26" t="str">
        <f>Sites[[#This Row],[SOL'#]]</f>
        <v>SOL-10890</v>
      </c>
      <c r="D146" s="21">
        <f>SUM(Oct!D146, Nov!D146, Dec!D146)</f>
        <v>347540</v>
      </c>
      <c r="E146" s="11">
        <f>SUM(Oct!E146, Nov!E146, Dec!E146)</f>
        <v>381390.06199999998</v>
      </c>
      <c r="F146" s="11">
        <f t="shared" si="9"/>
        <v>-33850.061999999976</v>
      </c>
      <c r="G146" s="12">
        <f t="shared" si="10"/>
        <v>-8.8754441640380183E-2</v>
      </c>
      <c r="H146" s="13">
        <f>SUM(Oct!H146,Nov!H146,Dec!H146)</f>
        <v>280065</v>
      </c>
      <c r="I146" s="13">
        <f>SUM(Oct!I146, Nov!I146, Dec!I146)</f>
        <v>67475</v>
      </c>
      <c r="J146" s="14">
        <f t="shared" si="11"/>
        <v>0.24092621355756699</v>
      </c>
      <c r="K146" s="39"/>
      <c r="L146" s="40"/>
    </row>
    <row r="147" spans="1:12" ht="15.75">
      <c r="A147" s="27" t="str">
        <v>Guilin Farm Solar</v>
      </c>
      <c r="B147" s="28" t="str">
        <v>NY</v>
      </c>
      <c r="C147" s="28" t="str">
        <f>Sites[[#This Row],[SOL'#]]</f>
        <v>SOL-10998</v>
      </c>
      <c r="D147" s="10">
        <f>SUM(Oct!D147, Nov!D147, Dec!D147)</f>
        <v>701343</v>
      </c>
      <c r="E147" s="15">
        <f>SUM(Oct!E147, Nov!E147, Dec!E147)</f>
        <v>746893.8</v>
      </c>
      <c r="F147" s="15">
        <f t="shared" si="9"/>
        <v>-45550.800000000047</v>
      </c>
      <c r="G147" s="16">
        <f t="shared" si="10"/>
        <v>-6.0986983691657427E-2</v>
      </c>
      <c r="H147" s="17">
        <f>SUM(Oct!H147,Nov!H147,Dec!H147)</f>
        <v>563109</v>
      </c>
      <c r="I147" s="17">
        <f>SUM(Oct!I147, Nov!I147, Dec!I147)</f>
        <v>138234</v>
      </c>
      <c r="J147" s="16">
        <f t="shared" si="11"/>
        <v>0.24548355646952899</v>
      </c>
      <c r="K147" s="39"/>
      <c r="L147" s="40"/>
    </row>
    <row r="148" spans="1:12" ht="15.75">
      <c r="A148" s="25" t="str">
        <v>Brodhead Solar</v>
      </c>
      <c r="B148" s="26" t="str">
        <v>NY</v>
      </c>
      <c r="C148" s="26" t="str">
        <f>Sites[[#This Row],[SOL'#]]</f>
        <v>SOL-10899</v>
      </c>
      <c r="D148" s="21">
        <f>SUM(Oct!D148, Nov!D148, Dec!D148)</f>
        <v>374184</v>
      </c>
      <c r="E148" s="11">
        <f>SUM(Oct!E148, Nov!E148, Dec!E148)</f>
        <v>410712.35600000003</v>
      </c>
      <c r="F148" s="11">
        <f t="shared" si="9"/>
        <v>-36528.356000000029</v>
      </c>
      <c r="G148" s="12">
        <f t="shared" si="10"/>
        <v>-8.8939023787246441E-2</v>
      </c>
      <c r="H148" s="13">
        <f>SUM(Oct!H148,Nov!H148,Dec!H148)</f>
        <v>0</v>
      </c>
      <c r="I148" s="13">
        <f>SUM(Oct!I148, Nov!I148, Dec!I148)</f>
        <v>0</v>
      </c>
      <c r="J148" s="14" t="str">
        <f t="shared" si="11"/>
        <v/>
      </c>
      <c r="K148" s="39"/>
      <c r="L148" s="40"/>
    </row>
    <row r="149" spans="1:12" ht="15.75">
      <c r="A149" s="27" t="str">
        <v>Svenski</v>
      </c>
      <c r="B149" s="28" t="str">
        <v>NY</v>
      </c>
      <c r="C149" s="28" t="str">
        <f>Sites[[#This Row],[SOL'#]]</f>
        <v>SOL-10894</v>
      </c>
      <c r="D149" s="10">
        <f>SUM(Oct!D149, Nov!D149, Dec!D149)</f>
        <v>252315</v>
      </c>
      <c r="E149" s="15">
        <f>SUM(Oct!E149, Nov!E149, Dec!E149)</f>
        <v>0</v>
      </c>
      <c r="F149" s="15">
        <f t="shared" si="9"/>
        <v>252315</v>
      </c>
      <c r="G149" s="16" t="str">
        <f t="shared" si="10"/>
        <v/>
      </c>
      <c r="H149" s="17">
        <f>SUM(Oct!H149,Nov!H149,Dec!H149)</f>
        <v>273485</v>
      </c>
      <c r="I149" s="17">
        <f>SUM(Oct!I149, Nov!I149, Dec!I149)</f>
        <v>-21170</v>
      </c>
      <c r="J149" s="16">
        <f t="shared" si="11"/>
        <v>-7.7408267363840794E-2</v>
      </c>
      <c r="K149" s="39"/>
      <c r="L149" s="40"/>
    </row>
    <row r="150" spans="1:12" ht="15.75">
      <c r="A150" s="25" t="str">
        <v>Bantam</v>
      </c>
      <c r="B150" s="26" t="str">
        <v>NY</v>
      </c>
      <c r="C150" s="26" t="str">
        <f>Sites[[#This Row],[SOL'#]]</f>
        <v>SOL-10986</v>
      </c>
      <c r="D150" s="21">
        <f>SUM(Oct!D150, Nov!D150, Dec!D150)</f>
        <v>26670</v>
      </c>
      <c r="E150" s="11">
        <f>SUM(Oct!E150, Nov!E150, Dec!E150)</f>
        <v>0</v>
      </c>
      <c r="F150" s="11">
        <f t="shared" si="9"/>
        <v>26670</v>
      </c>
      <c r="G150" s="12" t="str">
        <f t="shared" si="10"/>
        <v/>
      </c>
      <c r="H150" s="13">
        <f>SUM(Oct!H150,Nov!H150,Dec!H150)</f>
        <v>593678</v>
      </c>
      <c r="I150" s="13">
        <f>SUM(Oct!I150, Nov!I150, Dec!I150)</f>
        <v>-567008</v>
      </c>
      <c r="J150" s="14">
        <f t="shared" si="11"/>
        <v>-0.9550766577168095</v>
      </c>
      <c r="K150" s="39"/>
      <c r="L150" s="40"/>
    </row>
    <row r="151" spans="1:12" ht="15.75">
      <c r="A151" s="27" t="str">
        <v>Bogart</v>
      </c>
      <c r="B151" s="28" t="str">
        <v>NY</v>
      </c>
      <c r="C151" s="28" t="str">
        <f>Sites[[#This Row],[SOL'#]]</f>
        <v>SOL-10887</v>
      </c>
      <c r="D151" s="10">
        <f>SUM(Oct!D151, Nov!D151, Dec!D151)</f>
        <v>273590</v>
      </c>
      <c r="E151" s="15">
        <f>SUM(Oct!E151, Nov!E151, Dec!E151)</f>
        <v>360477.09700000001</v>
      </c>
      <c r="F151" s="15">
        <f t="shared" si="9"/>
        <v>-86887.097000000009</v>
      </c>
      <c r="G151" s="16">
        <f t="shared" si="10"/>
        <v>-0.24103361274017363</v>
      </c>
      <c r="H151" s="17">
        <f>SUM(Oct!H151,Nov!H151,Dec!H151)</f>
        <v>266966</v>
      </c>
      <c r="I151" s="17">
        <f>SUM(Oct!I151, Nov!I151, Dec!I151)</f>
        <v>6624</v>
      </c>
      <c r="J151" s="16">
        <f t="shared" si="11"/>
        <v>2.4812148363462013E-2</v>
      </c>
      <c r="K151" s="39"/>
      <c r="L151" s="40"/>
    </row>
    <row r="152" spans="1:12" ht="15.75">
      <c r="A152" s="25" t="str">
        <v>Dubois</v>
      </c>
      <c r="B152" s="26" t="str">
        <v>NY</v>
      </c>
      <c r="C152" s="26" t="str">
        <f>Sites[[#This Row],[SOL'#]]</f>
        <v>SOL-10892</v>
      </c>
      <c r="D152" s="21">
        <f>SUM(Oct!D152, Nov!D152, Dec!D152)</f>
        <v>0</v>
      </c>
      <c r="E152" s="11">
        <f>SUM(Oct!E152, Nov!E152, Dec!E152)</f>
        <v>0</v>
      </c>
      <c r="F152" s="11">
        <f t="shared" si="9"/>
        <v>0</v>
      </c>
      <c r="G152" s="12" t="str">
        <f t="shared" si="10"/>
        <v/>
      </c>
      <c r="H152" s="13">
        <f>SUM(Oct!H152,Nov!H152,Dec!H152)</f>
        <v>0</v>
      </c>
      <c r="I152" s="13">
        <f>SUM(Oct!I152, Nov!I152, Dec!I152)</f>
        <v>0</v>
      </c>
      <c r="J152" s="14" t="str">
        <f t="shared" si="11"/>
        <v/>
      </c>
      <c r="K152" s="39"/>
      <c r="L152" s="40"/>
    </row>
    <row r="153" spans="1:12" ht="15.75">
      <c r="A153" s="27" t="str">
        <v>Salt Point</v>
      </c>
      <c r="B153" s="28" t="str">
        <v>NY</v>
      </c>
      <c r="C153" s="28" t="str">
        <f>Sites[[#This Row],[SOL'#]]</f>
        <v>SOL-10888</v>
      </c>
      <c r="D153" s="10">
        <f>SUM(Oct!D153, Nov!D153, Dec!D153)</f>
        <v>324860</v>
      </c>
      <c r="E153" s="15">
        <f>SUM(Oct!E153, Nov!E153, Dec!E153)</f>
        <v>0</v>
      </c>
      <c r="F153" s="15">
        <f t="shared" si="9"/>
        <v>324860</v>
      </c>
      <c r="G153" s="16" t="str">
        <f t="shared" si="10"/>
        <v/>
      </c>
      <c r="H153" s="17">
        <f>SUM(Oct!H153,Nov!H153,Dec!H153)</f>
        <v>264980</v>
      </c>
      <c r="I153" s="17">
        <f>SUM(Oct!I153, Nov!I153, Dec!I153)</f>
        <v>59880</v>
      </c>
      <c r="J153" s="16">
        <f t="shared" si="11"/>
        <v>0.22597931919390143</v>
      </c>
      <c r="K153" s="39"/>
      <c r="L153" s="40"/>
    </row>
    <row r="154" spans="1:12" ht="15.75">
      <c r="A154" s="25" t="str">
        <v>Wheatland 2A</v>
      </c>
      <c r="B154" s="26" t="str">
        <v>NY</v>
      </c>
      <c r="C154" s="26" t="str">
        <f>Sites[[#This Row],[SOL'#]]</f>
        <v>SOL-10971</v>
      </c>
      <c r="D154" s="21">
        <f>SUM(Oct!D154, Nov!D154, Dec!D154)</f>
        <v>634690</v>
      </c>
      <c r="E154" s="11">
        <f>SUM(Oct!E154, Nov!E154, Dec!E154)</f>
        <v>0</v>
      </c>
      <c r="F154" s="11">
        <f t="shared" si="9"/>
        <v>634690</v>
      </c>
      <c r="G154" s="12" t="str">
        <f t="shared" si="10"/>
        <v/>
      </c>
      <c r="H154" s="13">
        <f>SUM(Oct!H154,Nov!H154,Dec!H154)</f>
        <v>511579</v>
      </c>
      <c r="I154" s="13">
        <f>SUM(Oct!I154, Nov!I154, Dec!I154)</f>
        <v>123111</v>
      </c>
      <c r="J154" s="14">
        <f t="shared" si="11"/>
        <v>0.24064904931594142</v>
      </c>
      <c r="K154" s="39"/>
      <c r="L154" s="40"/>
    </row>
    <row r="155" spans="1:12" ht="15.75">
      <c r="A155" s="27" t="str">
        <v>Wheatland 2B</v>
      </c>
      <c r="B155" s="28" t="str">
        <v>NY</v>
      </c>
      <c r="C155" s="28" t="str">
        <f>Sites[[#This Row],[SOL'#]]</f>
        <v>SOL-10961</v>
      </c>
      <c r="D155" s="10">
        <f>SUM(Oct!D155, Nov!D155, Dec!D155)</f>
        <v>650860</v>
      </c>
      <c r="E155" s="15">
        <f>SUM(Oct!E155, Nov!E155, Dec!E155)</f>
        <v>0</v>
      </c>
      <c r="F155" s="15">
        <f t="shared" si="9"/>
        <v>650860</v>
      </c>
      <c r="G155" s="16" t="str">
        <f t="shared" si="10"/>
        <v/>
      </c>
      <c r="H155" s="17">
        <f>SUM(Oct!H155,Nov!H155,Dec!H155)</f>
        <v>504850</v>
      </c>
      <c r="I155" s="17">
        <f>SUM(Oct!I155, Nov!I155, Dec!I155)</f>
        <v>146010</v>
      </c>
      <c r="J155" s="16">
        <f t="shared" si="11"/>
        <v>0.28921461820342675</v>
      </c>
      <c r="K155" s="39"/>
      <c r="L155" s="40"/>
    </row>
    <row r="156" spans="1:12" ht="15.75">
      <c r="A156" s="25" t="str">
        <v>Brickchurch</v>
      </c>
      <c r="B156" s="26" t="str">
        <v>NY</v>
      </c>
      <c r="C156" s="26" t="str">
        <f>Sites[[#This Row],[SOL'#]]</f>
        <v>SOL-10889</v>
      </c>
      <c r="D156" s="21">
        <f>SUM(Oct!D156, Nov!D156, Dec!D156)</f>
        <v>281670</v>
      </c>
      <c r="E156" s="11">
        <f>SUM(Oct!E156, Nov!E156, Dec!E156)</f>
        <v>326300.85499999998</v>
      </c>
      <c r="F156" s="11">
        <f t="shared" si="9"/>
        <v>-44630.854999999981</v>
      </c>
      <c r="G156" s="12">
        <f t="shared" si="10"/>
        <v>-0.13677823492065316</v>
      </c>
      <c r="H156" s="13">
        <f>SUM(Oct!H156,Nov!H156,Dec!H156)</f>
        <v>225156</v>
      </c>
      <c r="I156" s="13">
        <f>SUM(Oct!I156, Nov!I156, Dec!I156)</f>
        <v>56514</v>
      </c>
      <c r="J156" s="14">
        <f t="shared" si="11"/>
        <v>0.25099930714704471</v>
      </c>
      <c r="K156" s="39"/>
      <c r="L156" s="40"/>
    </row>
    <row r="157" spans="1:12" ht="15.75">
      <c r="A157" s="27" t="str">
        <v>McCarthy Solar</v>
      </c>
      <c r="B157" s="28" t="str">
        <v>NY</v>
      </c>
      <c r="C157" s="28" t="str">
        <f>Sites[[#This Row],[SOL'#]]</f>
        <v>SOL-10992</v>
      </c>
      <c r="D157" s="10">
        <f>SUM(Oct!D157, Nov!D157, Dec!D157)</f>
        <v>353010</v>
      </c>
      <c r="E157" s="15">
        <f>SUM(Oct!E157, Nov!E157, Dec!E157)</f>
        <v>0</v>
      </c>
      <c r="F157" s="15">
        <f t="shared" si="9"/>
        <v>353010</v>
      </c>
      <c r="G157" s="16" t="str">
        <f t="shared" si="10"/>
        <v/>
      </c>
      <c r="H157" s="17">
        <f>SUM(Oct!H157,Nov!H157,Dec!H157)</f>
        <v>277943</v>
      </c>
      <c r="I157" s="17">
        <f>SUM(Oct!I157, Nov!I157, Dec!I157)</f>
        <v>75067</v>
      </c>
      <c r="J157" s="16">
        <f t="shared" si="11"/>
        <v>0.27008055608524051</v>
      </c>
      <c r="K157" s="39"/>
      <c r="L157" s="40"/>
    </row>
    <row r="158" spans="1:12" ht="15.75">
      <c r="A158" s="25" t="str">
        <v>Costanza</v>
      </c>
      <c r="B158" s="26" t="str">
        <v>NY</v>
      </c>
      <c r="C158" s="26" t="str">
        <f>Sites[[#This Row],[SOL'#]]</f>
        <v>SOL-10907</v>
      </c>
      <c r="D158" s="21">
        <f>SUM(Oct!D158, Nov!D158, Dec!D158)</f>
        <v>189710</v>
      </c>
      <c r="E158" s="11">
        <f>SUM(Oct!E158, Nov!E158, Dec!E158)</f>
        <v>0</v>
      </c>
      <c r="F158" s="11">
        <f t="shared" si="9"/>
        <v>189710</v>
      </c>
      <c r="G158" s="12" t="str">
        <f t="shared" si="10"/>
        <v/>
      </c>
      <c r="H158" s="13">
        <f>SUM(Oct!H158,Nov!H158,Dec!H158)</f>
        <v>265956</v>
      </c>
      <c r="I158" s="13">
        <f>SUM(Oct!I158, Nov!I158, Dec!I158)</f>
        <v>-76246</v>
      </c>
      <c r="J158" s="14">
        <f t="shared" si="11"/>
        <v>-0.28668651957466651</v>
      </c>
      <c r="K158" s="39"/>
      <c r="L158" s="40"/>
    </row>
    <row r="159" spans="1:12" ht="15.75">
      <c r="A159" s="27" t="str">
        <v>Lockenhurst Pond</v>
      </c>
      <c r="B159" s="28" t="str">
        <v>NY</v>
      </c>
      <c r="C159" s="28" t="str">
        <f>Sites[[#This Row],[SOL'#]]</f>
        <v>SOL-11000</v>
      </c>
      <c r="D159" s="10">
        <f>SUM(Oct!D159, Nov!D159, Dec!D159)</f>
        <v>370436.01990049798</v>
      </c>
      <c r="E159" s="15">
        <f>SUM(Oct!E159, Nov!E159, Dec!E159)</f>
        <v>392861.5</v>
      </c>
      <c r="F159" s="15">
        <f t="shared" si="9"/>
        <v>-22425.48009950202</v>
      </c>
      <c r="G159" s="16">
        <f t="shared" si="10"/>
        <v>-5.7082407157489391E-2</v>
      </c>
      <c r="H159" s="17">
        <f>SUM(Oct!H159,Nov!H159,Dec!H159)</f>
        <v>287759</v>
      </c>
      <c r="I159" s="17">
        <f>SUM(Oct!I159, Nov!I159, Dec!I159)</f>
        <v>82677.01990049798</v>
      </c>
      <c r="J159" s="16">
        <f t="shared" si="11"/>
        <v>0.28731341122431614</v>
      </c>
      <c r="K159" s="39"/>
      <c r="L159" s="40"/>
    </row>
    <row r="160" spans="1:12" ht="15.75">
      <c r="A160" s="25" t="str">
        <v>Drinkwater</v>
      </c>
      <c r="B160" s="26" t="str">
        <v>NY</v>
      </c>
      <c r="C160" s="26" t="str">
        <f>Sites[[#This Row],[SOL'#]]</f>
        <v>SOL-10896</v>
      </c>
      <c r="D160" s="21">
        <f>SUM(Oct!D160, Nov!D160, Dec!D160)</f>
        <v>352534</v>
      </c>
      <c r="E160" s="11">
        <f>SUM(Oct!E160, Nov!E160, Dec!E160)</f>
        <v>0</v>
      </c>
      <c r="F160" s="11">
        <f t="shared" si="9"/>
        <v>352534</v>
      </c>
      <c r="G160" s="12" t="str">
        <f t="shared" si="10"/>
        <v/>
      </c>
      <c r="H160" s="13">
        <f>SUM(Oct!H160,Nov!H160,Dec!H160)</f>
        <v>251559</v>
      </c>
      <c r="I160" s="13">
        <f>SUM(Oct!I160, Nov!I160, Dec!I160)</f>
        <v>100975</v>
      </c>
      <c r="J160" s="14">
        <f t="shared" si="11"/>
        <v>0.40139688900019477</v>
      </c>
      <c r="K160" s="39"/>
      <c r="L160" s="40"/>
    </row>
    <row r="161" spans="1:12" ht="15.75">
      <c r="A161" s="27" t="str">
        <v>Altamont</v>
      </c>
      <c r="B161" s="28" t="str">
        <v>NY</v>
      </c>
      <c r="C161" s="28" t="s">
        <v>11</v>
      </c>
      <c r="D161" s="10">
        <f>SUM(Oct!D161, Nov!D161, Dec!D161)</f>
        <v>695857</v>
      </c>
      <c r="E161" s="15">
        <f>SUM(Oct!E161, Nov!E161, Dec!E161)</f>
        <v>755716.4</v>
      </c>
      <c r="F161" s="15">
        <f t="shared" si="9"/>
        <v>-59859.400000000023</v>
      </c>
      <c r="G161" s="16">
        <f t="shared" si="10"/>
        <v>-7.9208814311823889E-2</v>
      </c>
      <c r="H161" s="17">
        <f>SUM(Oct!H161,Nov!H161,Dec!H161)</f>
        <v>423096.7</v>
      </c>
      <c r="I161" s="17">
        <f>SUM(Oct!I161, Nov!I161, Dec!I161)</f>
        <v>272760.3</v>
      </c>
      <c r="J161" s="16">
        <f t="shared" si="11"/>
        <v>0.64467602796240198</v>
      </c>
      <c r="K161" s="39"/>
      <c r="L161" s="40"/>
    </row>
    <row r="162" spans="1:12" ht="13.15">
      <c r="A162" s="18"/>
      <c r="B162" s="18"/>
      <c r="C162" s="18"/>
      <c r="D162" s="18"/>
      <c r="E162" s="18"/>
      <c r="F162" s="18"/>
      <c r="G162" s="19"/>
      <c r="H162" s="18"/>
      <c r="I162" s="18"/>
      <c r="J162" s="19"/>
    </row>
    <row r="163" spans="1:12" ht="13.15">
      <c r="A163" s="18"/>
      <c r="B163" s="18"/>
      <c r="C163" s="18"/>
      <c r="D163" s="18"/>
      <c r="E163" s="18"/>
      <c r="F163" s="18"/>
      <c r="G163" s="19"/>
      <c r="H163" s="18"/>
      <c r="I163" s="18"/>
      <c r="J163" s="19"/>
    </row>
    <row r="164" spans="1:12" ht="13.15">
      <c r="A164" s="18"/>
      <c r="B164" s="18"/>
      <c r="C164" s="18"/>
      <c r="D164" s="18"/>
      <c r="E164" s="18"/>
      <c r="F164" s="18"/>
      <c r="G164" s="19"/>
      <c r="H164" s="18"/>
      <c r="I164" s="18"/>
      <c r="J164" s="19"/>
    </row>
    <row r="165" spans="1:12" ht="13.15">
      <c r="A165" s="18"/>
      <c r="B165" s="18"/>
      <c r="C165" s="18"/>
      <c r="D165" s="18"/>
      <c r="E165" s="18"/>
      <c r="F165" s="18"/>
      <c r="G165" s="19"/>
      <c r="H165" s="18"/>
      <c r="I165" s="18"/>
      <c r="J165" s="19"/>
    </row>
    <row r="166" spans="1:12" ht="13.15">
      <c r="A166" s="18"/>
      <c r="B166" s="18"/>
      <c r="C166" s="18"/>
      <c r="D166" s="18"/>
      <c r="E166" s="18"/>
      <c r="F166" s="18"/>
      <c r="G166" s="19"/>
      <c r="H166" s="18"/>
      <c r="I166" s="18"/>
      <c r="J166" s="19"/>
    </row>
    <row r="167" spans="1:12" ht="13.15">
      <c r="A167" s="18"/>
      <c r="B167" s="18"/>
      <c r="C167" s="18"/>
      <c r="D167" s="18"/>
      <c r="E167" s="18"/>
      <c r="F167" s="18"/>
      <c r="G167" s="19"/>
      <c r="H167" s="18"/>
      <c r="I167" s="18"/>
      <c r="J167" s="19"/>
    </row>
    <row r="168" spans="1:12" ht="13.15">
      <c r="A168" s="18"/>
      <c r="B168" s="18"/>
      <c r="C168" s="18"/>
      <c r="D168" s="18"/>
      <c r="E168" s="18"/>
      <c r="F168" s="18"/>
      <c r="G168" s="19"/>
      <c r="H168" s="18"/>
      <c r="I168" s="18"/>
      <c r="J168" s="19"/>
    </row>
    <row r="169" spans="1:12" ht="13.15">
      <c r="A169" s="18"/>
      <c r="B169" s="18"/>
      <c r="C169" s="18"/>
      <c r="D169" s="18"/>
      <c r="E169" s="18"/>
      <c r="F169" s="18"/>
      <c r="G169" s="19"/>
      <c r="H169" s="18"/>
      <c r="I169" s="18"/>
      <c r="J169" s="19"/>
    </row>
    <row r="170" spans="1:12" ht="13.15">
      <c r="A170" s="18"/>
      <c r="B170" s="18"/>
      <c r="C170" s="18"/>
      <c r="D170" s="18"/>
      <c r="E170" s="18"/>
      <c r="F170" s="18"/>
      <c r="G170" s="19"/>
      <c r="H170" s="18"/>
      <c r="I170" s="18"/>
      <c r="J170" s="19"/>
    </row>
    <row r="171" spans="1:12" ht="13.15">
      <c r="A171" s="18"/>
      <c r="B171" s="18"/>
      <c r="C171" s="18"/>
      <c r="D171" s="18"/>
      <c r="E171" s="18"/>
      <c r="F171" s="18"/>
      <c r="G171" s="19"/>
      <c r="H171" s="18"/>
      <c r="I171" s="18"/>
      <c r="J171" s="19"/>
    </row>
    <row r="172" spans="1:12" ht="13.15">
      <c r="A172" s="18"/>
      <c r="B172" s="18"/>
      <c r="C172" s="18"/>
      <c r="D172" s="18"/>
      <c r="E172" s="18"/>
      <c r="F172" s="18"/>
      <c r="G172" s="19"/>
      <c r="H172" s="18"/>
      <c r="I172" s="18"/>
      <c r="J172" s="19"/>
    </row>
    <row r="173" spans="1:12" ht="13.15">
      <c r="A173" s="18"/>
      <c r="B173" s="18"/>
      <c r="C173" s="18"/>
      <c r="D173" s="18"/>
      <c r="E173" s="18"/>
      <c r="F173" s="18"/>
      <c r="G173" s="19"/>
      <c r="H173" s="18"/>
      <c r="I173" s="18"/>
      <c r="J173" s="19"/>
    </row>
    <row r="174" spans="1:12" ht="13.15">
      <c r="A174" s="18"/>
      <c r="B174" s="18"/>
      <c r="C174" s="18"/>
      <c r="D174" s="18"/>
      <c r="E174" s="18"/>
      <c r="F174" s="18"/>
      <c r="G174" s="19"/>
      <c r="H174" s="18"/>
      <c r="I174" s="18"/>
      <c r="J174" s="19"/>
    </row>
    <row r="175" spans="1:12" ht="13.15">
      <c r="A175" s="18"/>
      <c r="B175" s="18"/>
      <c r="C175" s="18"/>
      <c r="D175" s="18"/>
      <c r="E175" s="18"/>
      <c r="F175" s="18"/>
      <c r="G175" s="19"/>
      <c r="H175" s="18"/>
      <c r="I175" s="18"/>
      <c r="J175" s="19"/>
    </row>
    <row r="176" spans="1:12"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mergeCells count="4">
    <mergeCell ref="H1:J1"/>
    <mergeCell ref="A1:D1"/>
    <mergeCell ref="E1:G1"/>
    <mergeCell ref="A2:B2"/>
  </mergeCells>
  <conditionalFormatting sqref="G2 J2">
    <cfRule type="cellIs" dxfId="58" priority="3" stopIfTrue="1" operator="lessThanOrEqual">
      <formula>-0.1</formula>
    </cfRule>
    <cfRule type="expression" dxfId="57" priority="4">
      <formula>AND(ISNUMBER(G2), G2&gt;=0.1)</formula>
    </cfRule>
  </conditionalFormatting>
  <conditionalFormatting sqref="G4:G161 J4:J161">
    <cfRule type="cellIs" dxfId="56" priority="1" stopIfTrue="1" operator="lessThanOrEqual">
      <formula>-0.1</formula>
    </cfRule>
    <cfRule type="expression" dxfId="55" priority="2">
      <formula>AND(ISNUMBER(G4), G4&gt;=0.1)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1"/>
  <sheetViews>
    <sheetView zoomScale="90" zoomScaleNormal="90" workbookViewId="0">
      <pane xSplit="2" ySplit="3" topLeftCell="C134" activePane="bottomRight" state="frozen"/>
      <selection pane="bottomRight" activeCell="D161" sqref="D161"/>
      <selection pane="bottomLeft" activeCell="C3" sqref="C3"/>
      <selection pane="topRight" activeCell="C3" sqref="C3"/>
    </sheetView>
  </sheetViews>
  <sheetFormatPr defaultRowHeight="13.5"/>
  <cols>
    <col min="1" max="1" width="35.85546875" bestFit="1" customWidth="1"/>
    <col min="2" max="2" width="8.42578125" style="31" customWidth="1"/>
    <col min="3" max="3" width="9.710937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23" t="str" cm="1">
        <f t="array" ref="A1">portfolio</f>
        <v>Generate Capital</v>
      </c>
      <c r="B1" s="123"/>
      <c r="C1" s="123"/>
      <c r="D1" s="123"/>
      <c r="E1" s="124" t="s">
        <v>20</v>
      </c>
      <c r="F1" s="124"/>
      <c r="G1" s="124"/>
      <c r="H1" s="122" t="s">
        <v>21</v>
      </c>
      <c r="I1" s="122"/>
      <c r="J1" s="122"/>
      <c r="K1" s="5"/>
      <c r="L1" s="5"/>
    </row>
    <row r="2" spans="1:12" ht="19.5" customHeight="1">
      <c r="A2" s="125" t="s">
        <v>2</v>
      </c>
      <c r="B2" s="125"/>
      <c r="C2" s="72"/>
      <c r="D2" s="6">
        <f>SUM(D4:D137)</f>
        <v>5231538.1062812647</v>
      </c>
      <c r="E2" s="6">
        <f>SUM(E4:E137)</f>
        <v>2888612.5548000005</v>
      </c>
      <c r="F2" s="6">
        <f>D2-E2</f>
        <v>2342925.5514812642</v>
      </c>
      <c r="G2" s="7">
        <f>IFERROR(F2/E2, 0)</f>
        <v>0.81109027501387487</v>
      </c>
      <c r="H2" s="6">
        <f>SUM(H4:H137)</f>
        <v>9202509.7462000009</v>
      </c>
      <c r="I2" s="8">
        <f>D2-H2</f>
        <v>-3970971.6399187362</v>
      </c>
      <c r="J2" s="7">
        <f>IFERROR(I2/H2, 0)</f>
        <v>-0.43150963698337536</v>
      </c>
      <c r="K2" s="23"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24" t="s">
        <v>3</v>
      </c>
      <c r="B3" s="9" t="s">
        <v>4</v>
      </c>
      <c r="C3" s="9" t="s">
        <v>5</v>
      </c>
      <c r="D3" s="20" t="s">
        <v>6</v>
      </c>
      <c r="E3" s="32" t="s">
        <v>7</v>
      </c>
      <c r="F3" s="32" t="s">
        <v>8</v>
      </c>
      <c r="G3" s="33" t="s">
        <v>9</v>
      </c>
      <c r="H3" s="37"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9019.8055667054105</v>
      </c>
      <c r="E4" s="11">
        <v>7182.884</v>
      </c>
      <c r="F4" s="11">
        <f>IF(AND(ISNUMBER(D4),ISNUMBER(E4)), D4-E4, "")</f>
        <v>1836.9215667054104</v>
      </c>
      <c r="G4" s="12">
        <f>IFERROR(F4/E4, "")</f>
        <v>0.25573593652708443</v>
      </c>
      <c r="H4" s="13">
        <v>9612.777</v>
      </c>
      <c r="I4" s="13">
        <f>IF(AND(ISNUMBER(D4),ISNUMBER(H4)), D4-H4, "")</f>
        <v>-592.97143329458959</v>
      </c>
      <c r="J4" s="14">
        <f>IFERROR(I4/H4, "")</f>
        <v>-6.1685757746652144E-2</v>
      </c>
      <c r="K4" s="38" t="s">
        <v>24</v>
      </c>
      <c r="L4" s="38" t="s">
        <v>24</v>
      </c>
    </row>
    <row r="5" spans="1:12" ht="15.75">
      <c r="A5" s="27" t="str">
        <v>Fulton</v>
      </c>
      <c r="B5" s="28" t="str">
        <v>AZ</v>
      </c>
      <c r="C5" s="28" t="str">
        <f>Sites[[#This Row],[SOL'#]]</f>
        <v>SOL-10749</v>
      </c>
      <c r="D5" s="10">
        <v>29434.75</v>
      </c>
      <c r="E5" s="15">
        <v>28981.22</v>
      </c>
      <c r="F5" s="15">
        <f t="shared" ref="F5:F15" si="0">IF(AND(ISNUMBER(D5),ISNUMBER(E5)), D5-E5, "")</f>
        <v>453.52999999999884</v>
      </c>
      <c r="G5" s="16">
        <f>IFERROR(F5/E5, "")</f>
        <v>1.5649099658330425E-2</v>
      </c>
      <c r="H5" s="17">
        <v>39673.79</v>
      </c>
      <c r="I5" s="17">
        <f t="shared" ref="I5:I6" si="1">IF(AND(ISNUMBER(D5),ISNUMBER(H5)), D5-H5, "")</f>
        <v>-10239.040000000001</v>
      </c>
      <c r="J5" s="16">
        <f t="shared" ref="J5:J6" si="2">IFERROR(I5/H5, "")</f>
        <v>-0.25808071273251182</v>
      </c>
      <c r="K5" s="39" t="s">
        <v>24</v>
      </c>
      <c r="L5" s="39" t="s">
        <v>24</v>
      </c>
    </row>
    <row r="6" spans="1:12" ht="15.75">
      <c r="A6" s="25" t="str">
        <v>JFK Elementary</v>
      </c>
      <c r="B6" s="26" t="str">
        <v>AZ</v>
      </c>
      <c r="C6" s="26" t="str">
        <f>Sites[[#This Row],[SOL'#]]</f>
        <v>SOL-10758</v>
      </c>
      <c r="D6" s="21">
        <v>15656.69</v>
      </c>
      <c r="E6" s="11">
        <v>0</v>
      </c>
      <c r="F6" s="11">
        <f t="shared" si="0"/>
        <v>15656.69</v>
      </c>
      <c r="G6" s="12" t="str">
        <f t="shared" ref="G6:G15" si="3">IFERROR(F6/E6, "")</f>
        <v/>
      </c>
      <c r="H6" s="13">
        <v>1973</v>
      </c>
      <c r="I6" s="13">
        <f t="shared" si="1"/>
        <v>13683.69</v>
      </c>
      <c r="J6" s="14">
        <f t="shared" si="2"/>
        <v>6.9354738976178414</v>
      </c>
      <c r="K6" s="38" t="s">
        <v>24</v>
      </c>
      <c r="L6" s="38" t="s">
        <v>24</v>
      </c>
    </row>
    <row r="7" spans="1:12" ht="15.75">
      <c r="A7" s="27" t="str">
        <v>Noble</v>
      </c>
      <c r="B7" s="28" t="str">
        <v>AZ</v>
      </c>
      <c r="C7" s="28" t="str">
        <f>Sites[[#This Row],[SOL'#]]</f>
        <v>SOL-10750</v>
      </c>
      <c r="D7" s="10">
        <v>8806.2478459322592</v>
      </c>
      <c r="E7" s="15">
        <v>12098.42</v>
      </c>
      <c r="F7" s="15">
        <f t="shared" si="0"/>
        <v>-3292.1721540677408</v>
      </c>
      <c r="G7" s="16">
        <f t="shared" si="3"/>
        <v>-0.27211587579764474</v>
      </c>
      <c r="H7" s="17">
        <v>11218.66</v>
      </c>
      <c r="I7" s="17">
        <f t="shared" ref="I7:I15" si="4">IF(AND(ISNUMBER(D7),ISNUMBER(H7)), D7-H7, "")</f>
        <v>-2412.4121540677406</v>
      </c>
      <c r="J7" s="16">
        <f t="shared" ref="J7:J15" si="5">IFERROR(I7/H7, "")</f>
        <v>-0.21503567752902225</v>
      </c>
      <c r="K7" s="39" t="s">
        <v>24</v>
      </c>
      <c r="L7" s="40" t="s">
        <v>24</v>
      </c>
    </row>
    <row r="8" spans="1:12" ht="28.5">
      <c r="A8" s="25" t="str">
        <v>Parking 3</v>
      </c>
      <c r="B8" s="26" t="str">
        <v>AZ</v>
      </c>
      <c r="C8" s="26" t="str">
        <f>Sites[[#This Row],[SOL'#]]</f>
        <v>SOL-10751</v>
      </c>
      <c r="D8" s="21">
        <v>16586.8</v>
      </c>
      <c r="E8" s="11">
        <v>24366.89</v>
      </c>
      <c r="F8" s="11">
        <f t="shared" si="0"/>
        <v>-7780.09</v>
      </c>
      <c r="G8" s="12">
        <f t="shared" si="3"/>
        <v>-0.31928941280565554</v>
      </c>
      <c r="H8" s="13">
        <v>24201.63</v>
      </c>
      <c r="I8" s="13">
        <f t="shared" si="4"/>
        <v>-7614.8300000000017</v>
      </c>
      <c r="J8" s="14">
        <f t="shared" si="5"/>
        <v>-0.31464120391890965</v>
      </c>
      <c r="K8" s="38" t="s">
        <v>25</v>
      </c>
      <c r="L8" s="38" t="s">
        <v>26</v>
      </c>
    </row>
    <row r="9" spans="1:12" ht="15.75">
      <c r="A9" s="27" t="str">
        <v>PE East</v>
      </c>
      <c r="B9" s="28" t="str">
        <v>AZ</v>
      </c>
      <c r="C9" s="28" t="str">
        <f>Sites[[#This Row],[SOL'#]]</f>
        <v>SOL-10752</v>
      </c>
      <c r="D9" s="10">
        <v>20730.183365017401</v>
      </c>
      <c r="E9" s="15">
        <v>16836.22</v>
      </c>
      <c r="F9" s="15">
        <f t="shared" si="0"/>
        <v>3893.9633650174001</v>
      </c>
      <c r="G9" s="16">
        <f t="shared" si="3"/>
        <v>0.23128489441319963</v>
      </c>
      <c r="H9" s="17">
        <v>24326.73</v>
      </c>
      <c r="I9" s="17">
        <f t="shared" si="4"/>
        <v>-3596.5466349825983</v>
      </c>
      <c r="J9" s="16">
        <f t="shared" si="5"/>
        <v>-0.14784340661414824</v>
      </c>
      <c r="K9" s="39" t="s">
        <v>24</v>
      </c>
      <c r="L9" s="40" t="s">
        <v>24</v>
      </c>
    </row>
    <row r="10" spans="1:12" ht="15.75">
      <c r="A10" s="25" t="str">
        <v>Schwada</v>
      </c>
      <c r="B10" s="26" t="str">
        <v>AZ</v>
      </c>
      <c r="C10" s="26" t="str">
        <f>Sites[[#This Row],[SOL'#]]</f>
        <v>SOL-10753</v>
      </c>
      <c r="D10" s="21">
        <v>8912.9887629654295</v>
      </c>
      <c r="E10" s="11">
        <v>7118.6189999999997</v>
      </c>
      <c r="F10" s="11">
        <f t="shared" si="0"/>
        <v>1794.3697629654298</v>
      </c>
      <c r="G10" s="12">
        <f t="shared" si="3"/>
        <v>0.25206711624339356</v>
      </c>
      <c r="H10" s="13">
        <v>10705</v>
      </c>
      <c r="I10" s="13">
        <f t="shared" si="4"/>
        <v>-1792.0112370345705</v>
      </c>
      <c r="J10" s="14">
        <f t="shared" si="5"/>
        <v>-0.16739946165666236</v>
      </c>
      <c r="K10" s="38" t="s">
        <v>24</v>
      </c>
      <c r="L10" s="38" t="s">
        <v>24</v>
      </c>
    </row>
    <row r="11" spans="1:12" ht="15.75">
      <c r="A11" s="27" t="str">
        <v>Starshine</v>
      </c>
      <c r="B11" s="28" t="str">
        <v>AZ</v>
      </c>
      <c r="C11" s="28" t="str">
        <f>Sites[[#This Row],[SOL'#]]</f>
        <v>SOL-10757</v>
      </c>
      <c r="D11" s="10">
        <v>3747.203</v>
      </c>
      <c r="E11" s="15">
        <v>0</v>
      </c>
      <c r="F11" s="15">
        <f t="shared" si="0"/>
        <v>3747.203</v>
      </c>
      <c r="G11" s="16" t="str">
        <f t="shared" si="3"/>
        <v/>
      </c>
      <c r="H11" s="17">
        <v>0</v>
      </c>
      <c r="I11" s="17">
        <f t="shared" si="4"/>
        <v>3747.203</v>
      </c>
      <c r="J11" s="16" t="str">
        <f t="shared" si="5"/>
        <v/>
      </c>
      <c r="K11" s="39" t="s">
        <v>27</v>
      </c>
      <c r="L11" s="40" t="s">
        <v>28</v>
      </c>
    </row>
    <row r="12" spans="1:12" ht="15.75">
      <c r="A12" s="25" t="str">
        <v>Yuma Airport</v>
      </c>
      <c r="B12" s="26" t="str">
        <v>AZ</v>
      </c>
      <c r="C12" s="26" t="str">
        <f>Sites[[#This Row],[SOL'#]]</f>
        <v>SOL-10754</v>
      </c>
      <c r="D12" s="21">
        <v>52995</v>
      </c>
      <c r="E12" s="11">
        <v>74566.16</v>
      </c>
      <c r="F12" s="11">
        <f t="shared" si="0"/>
        <v>-21571.160000000003</v>
      </c>
      <c r="G12" s="12">
        <f t="shared" si="3"/>
        <v>-0.28928886776521684</v>
      </c>
      <c r="H12" s="13">
        <v>67067</v>
      </c>
      <c r="I12" s="13">
        <f t="shared" si="4"/>
        <v>-14072</v>
      </c>
      <c r="J12" s="14">
        <f t="shared" si="5"/>
        <v>-0.20982003071555311</v>
      </c>
      <c r="K12" s="38" t="s">
        <v>24</v>
      </c>
      <c r="L12" s="38" t="s">
        <v>24</v>
      </c>
    </row>
    <row r="13" spans="1:12" ht="15.75">
      <c r="A13" s="27" t="str">
        <v>Kinsman</v>
      </c>
      <c r="B13" s="28" t="str">
        <v>OH</v>
      </c>
      <c r="C13" s="28" t="str">
        <f>Sites[[#This Row],[SOL'#]]</f>
        <v>SOL-10762</v>
      </c>
      <c r="D13" s="10">
        <v>20047.7890625</v>
      </c>
      <c r="E13" s="15">
        <v>40688.25</v>
      </c>
      <c r="F13" s="15">
        <f t="shared" si="0"/>
        <v>-20640.4609375</v>
      </c>
      <c r="G13" s="16">
        <f t="shared" si="3"/>
        <v>-0.50728308387556609</v>
      </c>
      <c r="H13" s="17">
        <v>55531</v>
      </c>
      <c r="I13" s="17">
        <f t="shared" si="4"/>
        <v>-35483.2109375</v>
      </c>
      <c r="J13" s="16">
        <f t="shared" si="5"/>
        <v>-0.63898022613495165</v>
      </c>
      <c r="K13" s="39" t="s">
        <v>29</v>
      </c>
      <c r="L13" s="40" t="s">
        <v>30</v>
      </c>
    </row>
    <row r="14" spans="1:12" ht="15.75">
      <c r="A14" s="25" t="str">
        <v>Wooster</v>
      </c>
      <c r="B14" s="26" t="str">
        <v>OH</v>
      </c>
      <c r="C14" s="26" t="str">
        <f>Sites[[#This Row],[SOL'#]]</f>
        <v>SOL-10763</v>
      </c>
      <c r="D14" s="21">
        <v>6323.25</v>
      </c>
      <c r="E14" s="11">
        <v>0</v>
      </c>
      <c r="F14" s="11">
        <f t="shared" si="0"/>
        <v>6323.25</v>
      </c>
      <c r="G14" s="12" t="str">
        <f t="shared" si="3"/>
        <v/>
      </c>
      <c r="H14" s="13">
        <v>12400</v>
      </c>
      <c r="I14" s="13">
        <f t="shared" si="4"/>
        <v>-6076.75</v>
      </c>
      <c r="J14" s="14">
        <f t="shared" si="5"/>
        <v>-0.49006048387096773</v>
      </c>
      <c r="K14" s="38" t="s">
        <v>24</v>
      </c>
      <c r="L14" s="38" t="s">
        <v>31</v>
      </c>
    </row>
    <row r="15" spans="1:12" ht="15.75">
      <c r="A15" s="27" t="str">
        <v>Globe Gila CC</v>
      </c>
      <c r="B15" s="28" t="str">
        <v>AZ</v>
      </c>
      <c r="C15" s="28" t="str">
        <f>Sites[[#This Row],[SOL'#]]</f>
        <v>SOL-10755</v>
      </c>
      <c r="D15" s="10">
        <v>10382.7778156565</v>
      </c>
      <c r="E15" s="15">
        <v>0</v>
      </c>
      <c r="F15" s="15">
        <f t="shared" si="0"/>
        <v>10382.7778156565</v>
      </c>
      <c r="G15" s="16" t="str">
        <f t="shared" si="3"/>
        <v/>
      </c>
      <c r="H15" s="17">
        <v>11007</v>
      </c>
      <c r="I15" s="17">
        <f t="shared" si="4"/>
        <v>-624.22218434349998</v>
      </c>
      <c r="J15" s="16">
        <f t="shared" si="5"/>
        <v>-5.6711382242527482E-2</v>
      </c>
      <c r="K15" s="39" t="s">
        <v>24</v>
      </c>
      <c r="L15" s="40" t="s">
        <v>31</v>
      </c>
    </row>
    <row r="16" spans="1:12" ht="15.75">
      <c r="A16" s="25" t="str">
        <v>Payson Gila CC</v>
      </c>
      <c r="B16" s="26" t="str">
        <v>AZ</v>
      </c>
      <c r="C16" s="26" t="str">
        <f>Sites[[#This Row],[SOL'#]]</f>
        <v>SOL-10756</v>
      </c>
      <c r="D16" s="21">
        <v>6804.58081607043</v>
      </c>
      <c r="E16" s="11">
        <v>0</v>
      </c>
      <c r="F16" s="11">
        <f t="shared" ref="F16:F79" si="6">IF(AND(ISNUMBER(D16),ISNUMBER(E16)), D16-E16, "")</f>
        <v>6804.58081607043</v>
      </c>
      <c r="G16" s="12" t="str">
        <f t="shared" ref="G16:G79" si="7">IFERROR(F16/E16, "")</f>
        <v/>
      </c>
      <c r="H16" s="13">
        <v>8517</v>
      </c>
      <c r="I16" s="13">
        <f t="shared" ref="I16:I17" si="8">IF(AND(ISNUMBER(D16),ISNUMBER(H16)), D16-H16, "")</f>
        <v>-1712.41918392957</v>
      </c>
      <c r="J16" s="14">
        <f t="shared" ref="J16:J17" si="9">IFERROR(I16/H16, "")</f>
        <v>-0.20105896253722788</v>
      </c>
      <c r="K16" s="38" t="s">
        <v>24</v>
      </c>
      <c r="L16" s="38" t="s">
        <v>31</v>
      </c>
    </row>
    <row r="17" spans="1:12" ht="15.75">
      <c r="A17" s="27" t="str">
        <v>SCNM</v>
      </c>
      <c r="B17" s="28" t="str">
        <v>AZ</v>
      </c>
      <c r="C17" s="28" t="str">
        <f>Sites[[#This Row],[SOL'#]]</f>
        <v>SOL-10760</v>
      </c>
      <c r="D17" s="10">
        <v>51680.32</v>
      </c>
      <c r="E17" s="15">
        <v>0</v>
      </c>
      <c r="F17" s="15">
        <f t="shared" si="6"/>
        <v>51680.32</v>
      </c>
      <c r="G17" s="16" t="str">
        <f t="shared" si="7"/>
        <v/>
      </c>
      <c r="H17" s="17">
        <v>28849</v>
      </c>
      <c r="I17" s="17">
        <f t="shared" si="8"/>
        <v>22831.32</v>
      </c>
      <c r="J17" s="16">
        <f t="shared" si="9"/>
        <v>0.79140767444278826</v>
      </c>
      <c r="K17" s="39" t="s">
        <v>24</v>
      </c>
      <c r="L17" s="39" t="s">
        <v>31</v>
      </c>
    </row>
    <row r="18" spans="1:12" ht="15.75">
      <c r="A18" s="25" t="str">
        <v>Sequoia Charter School</v>
      </c>
      <c r="B18" s="26" t="str">
        <v>AZ</v>
      </c>
      <c r="C18" s="26" t="str">
        <f>Sites[[#This Row],[SOL'#]]</f>
        <v>SOL-10759</v>
      </c>
      <c r="D18" s="21">
        <v>20768</v>
      </c>
      <c r="E18" s="11">
        <v>0</v>
      </c>
      <c r="F18" s="11">
        <f t="shared" si="6"/>
        <v>20768</v>
      </c>
      <c r="G18" s="12" t="str">
        <f t="shared" si="7"/>
        <v/>
      </c>
      <c r="H18" s="13">
        <v>8180</v>
      </c>
      <c r="I18" s="13">
        <f t="shared" ref="I18:I81" si="10">IF(AND(ISNUMBER(D18),ISNUMBER(H18)), D18-H18, "")</f>
        <v>12588</v>
      </c>
      <c r="J18" s="14">
        <f t="shared" ref="J18:J81" si="11">IFERROR(I18/H18, "")</f>
        <v>1.5388753056234719</v>
      </c>
      <c r="K18" s="38" t="s">
        <v>24</v>
      </c>
      <c r="L18" s="38" t="s">
        <v>31</v>
      </c>
    </row>
    <row r="19" spans="1:12" ht="15.75">
      <c r="A19" s="27" t="str">
        <v>RCAB</v>
      </c>
      <c r="B19" s="28" t="str">
        <v>MA</v>
      </c>
      <c r="C19" s="28" t="str">
        <f>Sites[[#This Row],[SOL'#]]</f>
        <v>SOL-10838</v>
      </c>
      <c r="D19" s="10">
        <v>23135</v>
      </c>
      <c r="E19" s="15">
        <v>43481.120000000003</v>
      </c>
      <c r="F19" s="15">
        <f t="shared" si="6"/>
        <v>-20346.120000000003</v>
      </c>
      <c r="G19" s="16">
        <f t="shared" si="7"/>
        <v>-0.4679299889239284</v>
      </c>
      <c r="H19" s="17">
        <v>47410.87</v>
      </c>
      <c r="I19" s="17">
        <f t="shared" si="10"/>
        <v>-24275.870000000003</v>
      </c>
      <c r="J19" s="16">
        <f t="shared" si="11"/>
        <v>-0.51203173449464234</v>
      </c>
      <c r="K19" s="39" t="s">
        <v>24</v>
      </c>
      <c r="L19" s="40" t="s">
        <v>31</v>
      </c>
    </row>
    <row r="20" spans="1:12" ht="15.75">
      <c r="A20" s="25" t="str">
        <v>Spectro Coatings</v>
      </c>
      <c r="B20" s="26" t="str">
        <v>MA</v>
      </c>
      <c r="C20" s="26" t="str">
        <f>Sites[[#This Row],[SOL'#]]</f>
        <v>SOL-10074</v>
      </c>
      <c r="D20" s="21">
        <v>5510.625</v>
      </c>
      <c r="E20" s="11">
        <v>12146.73</v>
      </c>
      <c r="F20" s="11">
        <f t="shared" si="6"/>
        <v>-6636.1049999999996</v>
      </c>
      <c r="G20" s="12">
        <f t="shared" si="7"/>
        <v>-0.54632851804559746</v>
      </c>
      <c r="H20" s="13">
        <v>11789.76</v>
      </c>
      <c r="I20" s="13">
        <f t="shared" si="10"/>
        <v>-6279.1350000000002</v>
      </c>
      <c r="J20" s="14">
        <f t="shared" si="11"/>
        <v>-0.53259226650924196</v>
      </c>
      <c r="K20" s="38" t="s">
        <v>32</v>
      </c>
      <c r="L20" s="38" t="s">
        <v>33</v>
      </c>
    </row>
    <row r="21" spans="1:12" ht="15.75">
      <c r="A21" s="27" t="str">
        <v>K026</v>
      </c>
      <c r="B21" s="28" t="str">
        <v>NY</v>
      </c>
      <c r="C21" s="28" t="str">
        <f>Sites[[#This Row],[SOL'#]]</f>
        <v>SOL-10356</v>
      </c>
      <c r="D21" s="10">
        <v>7049.125</v>
      </c>
      <c r="E21" s="15">
        <v>12398.04</v>
      </c>
      <c r="F21" s="15">
        <f t="shared" si="6"/>
        <v>-5348.9150000000009</v>
      </c>
      <c r="G21" s="16">
        <f t="shared" si="7"/>
        <v>-0.43143230704208091</v>
      </c>
      <c r="H21" s="17">
        <v>18592.650000000001</v>
      </c>
      <c r="I21" s="17">
        <f t="shared" si="10"/>
        <v>-11543.525000000001</v>
      </c>
      <c r="J21" s="16">
        <f t="shared" si="11"/>
        <v>-0.62086496545678005</v>
      </c>
      <c r="K21" s="39" t="s">
        <v>24</v>
      </c>
      <c r="L21" s="40" t="s">
        <v>24</v>
      </c>
    </row>
    <row r="22" spans="1:12" ht="15.75">
      <c r="A22" s="25" t="str">
        <v>K041</v>
      </c>
      <c r="B22" s="26" t="str">
        <v>NY</v>
      </c>
      <c r="C22" s="26" t="str">
        <f>Sites[[#This Row],[SOL'#]]</f>
        <v>SOL-10357</v>
      </c>
      <c r="D22" s="21">
        <v>2400.5965820312499</v>
      </c>
      <c r="E22" s="11">
        <v>0</v>
      </c>
      <c r="F22" s="11">
        <f t="shared" si="6"/>
        <v>2400.5965820312499</v>
      </c>
      <c r="G22" s="12" t="str">
        <f t="shared" si="7"/>
        <v/>
      </c>
      <c r="H22" s="13">
        <v>0</v>
      </c>
      <c r="I22" s="13">
        <f t="shared" si="10"/>
        <v>2400.5965820312499</v>
      </c>
      <c r="J22" s="14" t="str">
        <f t="shared" si="11"/>
        <v/>
      </c>
      <c r="K22" s="38" t="s">
        <v>34</v>
      </c>
      <c r="L22" s="38" t="s">
        <v>35</v>
      </c>
    </row>
    <row r="23" spans="1:12" ht="15.75">
      <c r="A23" s="27" t="str">
        <v>K043</v>
      </c>
      <c r="B23" s="28" t="str">
        <v>NY</v>
      </c>
      <c r="C23" s="28" t="str">
        <f>Sites[[#This Row],[SOL'#]]</f>
        <v>SOL-10358</v>
      </c>
      <c r="D23" s="10">
        <v>7037.328125</v>
      </c>
      <c r="E23" s="15">
        <v>10909.38</v>
      </c>
      <c r="F23" s="15">
        <f t="shared" si="6"/>
        <v>-3872.0518749999992</v>
      </c>
      <c r="G23" s="16">
        <f t="shared" si="7"/>
        <v>-0.35492868293156893</v>
      </c>
      <c r="H23" s="17">
        <v>20258</v>
      </c>
      <c r="I23" s="17">
        <f t="shared" si="10"/>
        <v>-13220.671875</v>
      </c>
      <c r="J23" s="16">
        <f t="shared" si="11"/>
        <v>-0.65261486202981533</v>
      </c>
      <c r="K23" s="39" t="s">
        <v>24</v>
      </c>
      <c r="L23" s="40" t="s">
        <v>31</v>
      </c>
    </row>
    <row r="24" spans="1:12" ht="15.75">
      <c r="A24" s="25" t="str">
        <v>K058</v>
      </c>
      <c r="B24" s="26" t="str">
        <v>NY</v>
      </c>
      <c r="C24" s="26" t="str">
        <f>Sites[[#This Row],[SOL'#]]</f>
        <v>SOL-10360</v>
      </c>
      <c r="D24" s="21">
        <v>5262.6875</v>
      </c>
      <c r="E24" s="11">
        <v>8705.5619999999999</v>
      </c>
      <c r="F24" s="11">
        <f t="shared" si="6"/>
        <v>-3442.8744999999999</v>
      </c>
      <c r="G24" s="12">
        <f t="shared" si="7"/>
        <v>-0.39547986677942215</v>
      </c>
      <c r="H24" s="13">
        <v>13134.4</v>
      </c>
      <c r="I24" s="13">
        <f t="shared" si="10"/>
        <v>-7871.7124999999996</v>
      </c>
      <c r="J24" s="14">
        <f t="shared" si="11"/>
        <v>-0.59932029632111095</v>
      </c>
      <c r="K24" s="38" t="s">
        <v>24</v>
      </c>
      <c r="L24" s="38" t="s">
        <v>31</v>
      </c>
    </row>
    <row r="25" spans="1:12" ht="28.5">
      <c r="A25" s="27" t="str">
        <v>K115</v>
      </c>
      <c r="B25" s="28" t="str">
        <v>NY</v>
      </c>
      <c r="C25" s="28" t="str">
        <f>Sites[[#This Row],[SOL'#]]</f>
        <v>SOL-10361</v>
      </c>
      <c r="D25" s="10">
        <v>1496.6525963930401</v>
      </c>
      <c r="E25" s="15">
        <v>5139.6459999999997</v>
      </c>
      <c r="F25" s="15">
        <f t="shared" si="6"/>
        <v>-3642.9934036069599</v>
      </c>
      <c r="G25" s="16">
        <f t="shared" si="7"/>
        <v>-0.70880239682012347</v>
      </c>
      <c r="H25" s="17">
        <v>4549.33</v>
      </c>
      <c r="I25" s="17">
        <f t="shared" si="10"/>
        <v>-3052.6774036069601</v>
      </c>
      <c r="J25" s="16">
        <f t="shared" si="11"/>
        <v>-0.67101691976773725</v>
      </c>
      <c r="K25" s="39" t="s">
        <v>36</v>
      </c>
      <c r="L25" s="40" t="s">
        <v>37</v>
      </c>
    </row>
    <row r="26" spans="1:12" ht="15.75">
      <c r="A26" s="25" t="str">
        <v>K152</v>
      </c>
      <c r="B26" s="26" t="str">
        <v>NY</v>
      </c>
      <c r="C26" s="26" t="str">
        <f>Sites[[#This Row],[SOL'#]]</f>
        <v>SOL-10362</v>
      </c>
      <c r="D26" s="21">
        <v>1927.1875</v>
      </c>
      <c r="E26" s="11">
        <v>3008.1570000000002</v>
      </c>
      <c r="F26" s="11">
        <f t="shared" si="6"/>
        <v>-1080.9695000000002</v>
      </c>
      <c r="G26" s="12">
        <f t="shared" si="7"/>
        <v>-0.3593461046082369</v>
      </c>
      <c r="H26" s="13">
        <v>798</v>
      </c>
      <c r="I26" s="13">
        <f t="shared" si="10"/>
        <v>1129.1875</v>
      </c>
      <c r="J26" s="14">
        <f t="shared" si="11"/>
        <v>1.4150219298245614</v>
      </c>
      <c r="K26" s="38" t="s">
        <v>24</v>
      </c>
      <c r="L26" s="38" t="s">
        <v>31</v>
      </c>
    </row>
    <row r="27" spans="1:12" ht="15.75">
      <c r="A27" s="27" t="str">
        <v>K166</v>
      </c>
      <c r="B27" s="28" t="str">
        <v>NY</v>
      </c>
      <c r="C27" s="28" t="str">
        <f>Sites[[#This Row],[SOL'#]]</f>
        <v>SOL-10363</v>
      </c>
      <c r="D27" s="10">
        <v>7390.625</v>
      </c>
      <c r="E27" s="15">
        <v>11891.79</v>
      </c>
      <c r="F27" s="15">
        <f t="shared" si="6"/>
        <v>-4501.1650000000009</v>
      </c>
      <c r="G27" s="16">
        <f t="shared" si="7"/>
        <v>-0.37851029996325203</v>
      </c>
      <c r="H27" s="17">
        <v>18302.04</v>
      </c>
      <c r="I27" s="17">
        <f t="shared" si="10"/>
        <v>-10911.415000000001</v>
      </c>
      <c r="J27" s="16">
        <f t="shared" si="11"/>
        <v>-0.59618572574423401</v>
      </c>
      <c r="K27" s="39" t="s">
        <v>24</v>
      </c>
      <c r="L27" s="40" t="s">
        <v>31</v>
      </c>
    </row>
    <row r="28" spans="1:12" ht="15.75">
      <c r="A28" s="25" t="str">
        <v>K206</v>
      </c>
      <c r="B28" s="26" t="str">
        <v>NY</v>
      </c>
      <c r="C28" s="26" t="str">
        <f>Sites[[#This Row],[SOL'#]]</f>
        <v>SOL-10927</v>
      </c>
      <c r="D28" s="21">
        <v>4600.7732192947096</v>
      </c>
      <c r="E28" s="11">
        <v>0</v>
      </c>
      <c r="F28" s="11">
        <f t="shared" si="6"/>
        <v>4600.7732192947096</v>
      </c>
      <c r="G28" s="12" t="str">
        <f t="shared" si="7"/>
        <v/>
      </c>
      <c r="H28" s="13">
        <v>0</v>
      </c>
      <c r="I28" s="13">
        <f t="shared" si="10"/>
        <v>4600.7732192947096</v>
      </c>
      <c r="J28" s="14" t="str">
        <f t="shared" si="11"/>
        <v/>
      </c>
      <c r="K28" s="38" t="s">
        <v>24</v>
      </c>
      <c r="L28" s="38" t="s">
        <v>31</v>
      </c>
    </row>
    <row r="29" spans="1:12" ht="15.75">
      <c r="A29" s="27" t="str">
        <v>K251</v>
      </c>
      <c r="B29" s="28" t="str">
        <v>NY</v>
      </c>
      <c r="C29" s="28" t="str">
        <f>Sites[[#This Row],[SOL'#]]</f>
        <v>SOL-10365</v>
      </c>
      <c r="D29" s="10">
        <v>4966.375</v>
      </c>
      <c r="E29" s="15">
        <v>7470.1769999999997</v>
      </c>
      <c r="F29" s="15">
        <f t="shared" si="6"/>
        <v>-2503.8019999999997</v>
      </c>
      <c r="G29" s="16">
        <f t="shared" si="7"/>
        <v>-0.33517304877782678</v>
      </c>
      <c r="H29" s="17">
        <v>9815.6869999999999</v>
      </c>
      <c r="I29" s="17">
        <f t="shared" si="10"/>
        <v>-4849.3119999999999</v>
      </c>
      <c r="J29" s="16">
        <f t="shared" si="11"/>
        <v>-0.49403694310953478</v>
      </c>
      <c r="K29" s="39" t="s">
        <v>24</v>
      </c>
      <c r="L29" s="39" t="s">
        <v>31</v>
      </c>
    </row>
    <row r="30" spans="1:12" ht="15.75">
      <c r="A30" s="25" t="str">
        <v>K269</v>
      </c>
      <c r="B30" s="26" t="str">
        <v>NY</v>
      </c>
      <c r="C30" s="26" t="str">
        <f>Sites[[#This Row],[SOL'#]]</f>
        <v>SOL-10366</v>
      </c>
      <c r="D30" s="21">
        <v>4328.3125</v>
      </c>
      <c r="E30" s="11">
        <v>0</v>
      </c>
      <c r="F30" s="11">
        <f t="shared" si="6"/>
        <v>4328.3125</v>
      </c>
      <c r="G30" s="12" t="str">
        <f t="shared" si="7"/>
        <v/>
      </c>
      <c r="H30" s="13">
        <v>10978.73</v>
      </c>
      <c r="I30" s="13">
        <f t="shared" si="10"/>
        <v>-6650.4174999999996</v>
      </c>
      <c r="J30" s="14">
        <f t="shared" si="11"/>
        <v>-0.60575471844193274</v>
      </c>
      <c r="K30" s="38" t="s">
        <v>24</v>
      </c>
      <c r="L30" s="38" t="s">
        <v>31</v>
      </c>
    </row>
    <row r="31" spans="1:12" ht="15.75">
      <c r="A31" s="27" t="str">
        <v>K273</v>
      </c>
      <c r="B31" s="28" t="str">
        <v>NY</v>
      </c>
      <c r="C31" s="28" t="str">
        <f>Sites[[#This Row],[SOL'#]]</f>
        <v>SOL-10367</v>
      </c>
      <c r="D31" s="10">
        <v>5062.03125</v>
      </c>
      <c r="E31" s="15">
        <v>0</v>
      </c>
      <c r="F31" s="15">
        <f t="shared" si="6"/>
        <v>5062.03125</v>
      </c>
      <c r="G31" s="16" t="str">
        <f t="shared" si="7"/>
        <v/>
      </c>
      <c r="H31" s="17">
        <v>11224</v>
      </c>
      <c r="I31" s="17">
        <f t="shared" si="10"/>
        <v>-6161.96875</v>
      </c>
      <c r="J31" s="16">
        <f t="shared" si="11"/>
        <v>-0.54899935406272271</v>
      </c>
      <c r="K31" s="39" t="s">
        <v>24</v>
      </c>
      <c r="L31" s="40" t="s">
        <v>31</v>
      </c>
    </row>
    <row r="32" spans="1:12" ht="15.75">
      <c r="A32" s="25" t="str">
        <v>K287</v>
      </c>
      <c r="B32" s="26" t="str">
        <v>NY</v>
      </c>
      <c r="C32" s="26" t="str">
        <f>Sites[[#This Row],[SOL'#]]</f>
        <v>SOL-10919</v>
      </c>
      <c r="D32" s="21">
        <v>3720.0499218750001</v>
      </c>
      <c r="E32" s="11">
        <v>5487.5860000000002</v>
      </c>
      <c r="F32" s="11">
        <f t="shared" si="6"/>
        <v>-1767.5360781250001</v>
      </c>
      <c r="G32" s="12">
        <f t="shared" si="7"/>
        <v>-0.32209719868171544</v>
      </c>
      <c r="H32" s="13">
        <v>0</v>
      </c>
      <c r="I32" s="13">
        <f t="shared" si="10"/>
        <v>3720.0499218750001</v>
      </c>
      <c r="J32" s="14" t="str">
        <f t="shared" si="11"/>
        <v/>
      </c>
      <c r="K32" s="38" t="s">
        <v>24</v>
      </c>
      <c r="L32" s="38" t="s">
        <v>31</v>
      </c>
    </row>
    <row r="33" spans="1:12" ht="44.25" customHeight="1">
      <c r="A33" s="27" t="str">
        <v>K298</v>
      </c>
      <c r="B33" s="28" t="str">
        <v>NY</v>
      </c>
      <c r="C33" s="28" t="str">
        <f>Sites[[#This Row],[SOL'#]]</f>
        <v>SOL-10368</v>
      </c>
      <c r="D33" s="10">
        <v>3421.078125</v>
      </c>
      <c r="E33" s="15">
        <v>7008.5879999999997</v>
      </c>
      <c r="F33" s="15">
        <f t="shared" si="6"/>
        <v>-3587.5098749999997</v>
      </c>
      <c r="G33" s="16">
        <f t="shared" si="7"/>
        <v>-0.51187341515865958</v>
      </c>
      <c r="H33" s="17">
        <v>0</v>
      </c>
      <c r="I33" s="17">
        <f t="shared" si="10"/>
        <v>3421.078125</v>
      </c>
      <c r="J33" s="16" t="str">
        <f t="shared" si="11"/>
        <v/>
      </c>
      <c r="K33" s="39" t="s">
        <v>38</v>
      </c>
      <c r="L33" s="40" t="s">
        <v>39</v>
      </c>
    </row>
    <row r="34" spans="1:12" ht="15.75">
      <c r="A34" s="25" t="str">
        <v>K335</v>
      </c>
      <c r="B34" s="26" t="str">
        <v>NY</v>
      </c>
      <c r="C34" s="26" t="str">
        <f>Sites[[#This Row],[SOL'#]]</f>
        <v>SOL-10370</v>
      </c>
      <c r="D34" s="21">
        <v>4100.5625</v>
      </c>
      <c r="E34" s="11">
        <v>7358.259</v>
      </c>
      <c r="F34" s="11">
        <f t="shared" si="6"/>
        <v>-3257.6965</v>
      </c>
      <c r="G34" s="12">
        <f t="shared" si="7"/>
        <v>-0.44272653354550306</v>
      </c>
      <c r="H34" s="13">
        <v>11610</v>
      </c>
      <c r="I34" s="13">
        <f t="shared" si="10"/>
        <v>-7509.4375</v>
      </c>
      <c r="J34" s="14">
        <f t="shared" si="11"/>
        <v>-0.64680770887166239</v>
      </c>
      <c r="K34" s="38" t="s">
        <v>24</v>
      </c>
      <c r="L34" s="38" t="s">
        <v>31</v>
      </c>
    </row>
    <row r="35" spans="1:12" ht="42.75">
      <c r="A35" s="27" t="str">
        <v>K345</v>
      </c>
      <c r="B35" s="28" t="str">
        <v>NY</v>
      </c>
      <c r="C35" s="28" t="str">
        <f>Sites[[#This Row],[SOL'#]]</f>
        <v>SOL-10920</v>
      </c>
      <c r="D35" s="10">
        <v>4561.296875</v>
      </c>
      <c r="E35" s="15">
        <v>0</v>
      </c>
      <c r="F35" s="15">
        <f t="shared" si="6"/>
        <v>4561.296875</v>
      </c>
      <c r="G35" s="16" t="str">
        <f t="shared" si="7"/>
        <v/>
      </c>
      <c r="H35" s="17">
        <v>0</v>
      </c>
      <c r="I35" s="17">
        <f t="shared" si="10"/>
        <v>4561.296875</v>
      </c>
      <c r="J35" s="16" t="str">
        <f t="shared" si="11"/>
        <v/>
      </c>
      <c r="K35" s="39" t="s">
        <v>40</v>
      </c>
      <c r="L35" s="40" t="s">
        <v>41</v>
      </c>
    </row>
    <row r="36" spans="1:12" ht="15.75">
      <c r="A36" s="25" t="str">
        <v>K445</v>
      </c>
      <c r="B36" s="26" t="str">
        <v>NY</v>
      </c>
      <c r="C36" s="26" t="str">
        <f>Sites[[#This Row],[SOL'#]]</f>
        <v>SOL-10373</v>
      </c>
      <c r="D36" s="21">
        <v>4488.8050683593801</v>
      </c>
      <c r="E36" s="11">
        <v>0</v>
      </c>
      <c r="F36" s="11">
        <f t="shared" si="6"/>
        <v>4488.8050683593801</v>
      </c>
      <c r="G36" s="12" t="str">
        <f t="shared" si="7"/>
        <v/>
      </c>
      <c r="H36" s="13">
        <v>0</v>
      </c>
      <c r="I36" s="13">
        <f t="shared" si="10"/>
        <v>4488.8050683593801</v>
      </c>
      <c r="J36" s="14" t="str">
        <f t="shared" si="11"/>
        <v/>
      </c>
      <c r="K36" s="38" t="s">
        <v>24</v>
      </c>
      <c r="L36" s="38" t="s">
        <v>31</v>
      </c>
    </row>
    <row r="37" spans="1:12" ht="42.75">
      <c r="A37" s="27" t="str">
        <v>K495</v>
      </c>
      <c r="B37" s="28" t="str">
        <v>NY</v>
      </c>
      <c r="C37" s="28" t="str">
        <f>Sites[[#This Row],[SOL'#]]</f>
        <v>SOL-10374</v>
      </c>
      <c r="D37" s="10">
        <v>20449.1875</v>
      </c>
      <c r="E37" s="15">
        <v>0</v>
      </c>
      <c r="F37" s="15">
        <f t="shared" si="6"/>
        <v>20449.1875</v>
      </c>
      <c r="G37" s="16" t="str">
        <f t="shared" si="7"/>
        <v/>
      </c>
      <c r="H37" s="17">
        <v>0</v>
      </c>
      <c r="I37" s="17">
        <f t="shared" si="10"/>
        <v>20449.1875</v>
      </c>
      <c r="J37" s="16" t="str">
        <f t="shared" si="11"/>
        <v/>
      </c>
      <c r="K37" s="39" t="s">
        <v>42</v>
      </c>
      <c r="L37" s="40" t="s">
        <v>43</v>
      </c>
    </row>
    <row r="38" spans="1:12" ht="15.75">
      <c r="A38" s="25" t="str">
        <v>M020</v>
      </c>
      <c r="B38" s="26" t="str">
        <v>NY</v>
      </c>
      <c r="C38" s="26" t="str">
        <f>Sites[[#This Row],[SOL'#]]</f>
        <v>SOL-10380</v>
      </c>
      <c r="D38" s="21">
        <v>4382.65625</v>
      </c>
      <c r="E38" s="11">
        <v>7052.3590000000004</v>
      </c>
      <c r="F38" s="11">
        <f t="shared" si="6"/>
        <v>-2669.7027500000004</v>
      </c>
      <c r="G38" s="12">
        <f t="shared" si="7"/>
        <v>-0.37855457301592277</v>
      </c>
      <c r="H38" s="13">
        <v>0</v>
      </c>
      <c r="I38" s="13">
        <f t="shared" si="10"/>
        <v>4382.65625</v>
      </c>
      <c r="J38" s="14" t="str">
        <f t="shared" si="11"/>
        <v/>
      </c>
      <c r="K38" s="38" t="s">
        <v>24</v>
      </c>
      <c r="L38" s="38" t="s">
        <v>31</v>
      </c>
    </row>
    <row r="39" spans="1:12" ht="15.75">
      <c r="A39" s="27" t="str">
        <v>M092</v>
      </c>
      <c r="B39" s="28" t="str">
        <v>NY</v>
      </c>
      <c r="C39" s="28" t="str">
        <f>Sites[[#This Row],[SOL'#]]</f>
        <v>SOL-10383</v>
      </c>
      <c r="D39" s="10">
        <v>4470.75</v>
      </c>
      <c r="E39" s="15">
        <v>7217.8190000000004</v>
      </c>
      <c r="F39" s="15">
        <f t="shared" si="6"/>
        <v>-2747.0690000000004</v>
      </c>
      <c r="G39" s="16">
        <f t="shared" si="7"/>
        <v>-0.38059544025695302</v>
      </c>
      <c r="H39" s="17">
        <v>11299.41</v>
      </c>
      <c r="I39" s="17">
        <f t="shared" si="10"/>
        <v>-6828.66</v>
      </c>
      <c r="J39" s="16">
        <f t="shared" si="11"/>
        <v>-0.60433774860811318</v>
      </c>
      <c r="K39" s="39" t="s">
        <v>24</v>
      </c>
      <c r="L39" s="40" t="s">
        <v>31</v>
      </c>
    </row>
    <row r="40" spans="1:12" ht="15.75">
      <c r="A40" s="25" t="str">
        <v>M143</v>
      </c>
      <c r="B40" s="26" t="str">
        <v>NY</v>
      </c>
      <c r="C40" s="26" t="str">
        <f>Sites[[#This Row],[SOL'#]]</f>
        <v>SOL-10384</v>
      </c>
      <c r="D40" s="21">
        <v>4964.5</v>
      </c>
      <c r="E40" s="11">
        <v>7892.9740000000002</v>
      </c>
      <c r="F40" s="11">
        <f t="shared" si="6"/>
        <v>-2928.4740000000002</v>
      </c>
      <c r="G40" s="12">
        <f t="shared" si="7"/>
        <v>-0.37102288693716717</v>
      </c>
      <c r="H40" s="13">
        <v>15533.26</v>
      </c>
      <c r="I40" s="13">
        <f t="shared" si="10"/>
        <v>-10568.76</v>
      </c>
      <c r="J40" s="14">
        <f t="shared" si="11"/>
        <v>-0.6803954868456461</v>
      </c>
      <c r="K40" s="38" t="s">
        <v>24</v>
      </c>
      <c r="L40" s="38" t="s">
        <v>31</v>
      </c>
    </row>
    <row r="41" spans="1:12" ht="15.75">
      <c r="A41" s="27" t="str">
        <v>M144</v>
      </c>
      <c r="B41" s="28" t="str">
        <v>NY</v>
      </c>
      <c r="C41" s="28" t="str">
        <f>Sites[[#This Row],[SOL'#]]</f>
        <v>SOL-10385</v>
      </c>
      <c r="D41" s="10">
        <v>7482.359375</v>
      </c>
      <c r="E41" s="15">
        <v>0</v>
      </c>
      <c r="F41" s="15">
        <f t="shared" si="6"/>
        <v>7482.359375</v>
      </c>
      <c r="G41" s="16" t="str">
        <f t="shared" si="7"/>
        <v/>
      </c>
      <c r="H41" s="17">
        <v>0</v>
      </c>
      <c r="I41" s="17">
        <f t="shared" si="10"/>
        <v>7482.359375</v>
      </c>
      <c r="J41" s="16" t="str">
        <f t="shared" si="11"/>
        <v/>
      </c>
      <c r="K41" s="39" t="s">
        <v>24</v>
      </c>
      <c r="L41" s="39" t="s">
        <v>31</v>
      </c>
    </row>
    <row r="42" spans="1:12" ht="15.75">
      <c r="A42" s="25" t="str">
        <v>M167</v>
      </c>
      <c r="B42" s="26" t="str">
        <v>NY</v>
      </c>
      <c r="C42" s="26" t="str">
        <f>Sites[[#This Row],[SOL'#]]</f>
        <v>SOL-10386</v>
      </c>
      <c r="D42" s="21">
        <v>4434</v>
      </c>
      <c r="E42" s="11">
        <v>5657</v>
      </c>
      <c r="F42" s="11">
        <f t="shared" si="6"/>
        <v>-1223</v>
      </c>
      <c r="G42" s="12">
        <f t="shared" si="7"/>
        <v>-0.21619232808909317</v>
      </c>
      <c r="H42" s="13">
        <v>10982</v>
      </c>
      <c r="I42" s="13">
        <f t="shared" si="10"/>
        <v>-6548</v>
      </c>
      <c r="J42" s="14">
        <f t="shared" si="11"/>
        <v>-0.59624840648333632</v>
      </c>
      <c r="K42" s="38" t="s">
        <v>24</v>
      </c>
      <c r="L42" s="38" t="s">
        <v>31</v>
      </c>
    </row>
    <row r="43" spans="1:12" ht="15.75">
      <c r="A43" s="27" t="str">
        <v>M188</v>
      </c>
      <c r="B43" s="28" t="str">
        <v>NY</v>
      </c>
      <c r="C43" s="28" t="str">
        <f>Sites[[#This Row],[SOL'#]]</f>
        <v>SOL-10387</v>
      </c>
      <c r="D43" s="10">
        <v>3879.9296875</v>
      </c>
      <c r="E43" s="15">
        <v>0</v>
      </c>
      <c r="F43" s="15">
        <f t="shared" si="6"/>
        <v>3879.9296875</v>
      </c>
      <c r="G43" s="16" t="str">
        <f t="shared" si="7"/>
        <v/>
      </c>
      <c r="H43" s="17">
        <v>0</v>
      </c>
      <c r="I43" s="17">
        <f t="shared" si="10"/>
        <v>3879.9296875</v>
      </c>
      <c r="J43" s="16" t="str">
        <f t="shared" si="11"/>
        <v/>
      </c>
      <c r="K43" s="39" t="s">
        <v>24</v>
      </c>
      <c r="L43" s="40" t="s">
        <v>31</v>
      </c>
    </row>
    <row r="44" spans="1:12" ht="15.75">
      <c r="A44" s="25" t="str">
        <v>EMHC</v>
      </c>
      <c r="B44" s="26" t="str">
        <v>NY</v>
      </c>
      <c r="C44" s="26" t="str">
        <f>Sites[[#This Row],[SOL'#]]</f>
        <v>SOL-10351</v>
      </c>
      <c r="D44" s="21">
        <v>911</v>
      </c>
      <c r="E44" s="11">
        <v>0</v>
      </c>
      <c r="F44" s="11">
        <f t="shared" si="6"/>
        <v>911</v>
      </c>
      <c r="G44" s="12" t="str">
        <f t="shared" si="7"/>
        <v/>
      </c>
      <c r="H44" s="13">
        <v>0</v>
      </c>
      <c r="I44" s="13">
        <f t="shared" si="10"/>
        <v>911</v>
      </c>
      <c r="J44" s="14" t="str">
        <f t="shared" si="11"/>
        <v/>
      </c>
      <c r="K44" s="38" t="s">
        <v>24</v>
      </c>
      <c r="L44" s="38" t="s">
        <v>31</v>
      </c>
    </row>
    <row r="45" spans="1:12" ht="15.75">
      <c r="A45" s="27" t="str">
        <v>Q008</v>
      </c>
      <c r="B45" s="28" t="str">
        <v>NY</v>
      </c>
      <c r="C45" s="28" t="str">
        <f>Sites[[#This Row],[SOL'#]]</f>
        <v>SOL-10397</v>
      </c>
      <c r="D45" s="10">
        <v>6839.03125</v>
      </c>
      <c r="E45" s="15">
        <v>9522.7690000000002</v>
      </c>
      <c r="F45" s="15">
        <f t="shared" si="6"/>
        <v>-2683.7377500000002</v>
      </c>
      <c r="G45" s="16">
        <f t="shared" si="7"/>
        <v>-0.281823254349654</v>
      </c>
      <c r="H45" s="17">
        <v>15253</v>
      </c>
      <c r="I45" s="17">
        <f t="shared" si="10"/>
        <v>-8413.96875</v>
      </c>
      <c r="J45" s="16">
        <f t="shared" si="11"/>
        <v>-0.55162713892349047</v>
      </c>
      <c r="K45" s="39" t="s">
        <v>24</v>
      </c>
      <c r="L45" s="40" t="s">
        <v>31</v>
      </c>
    </row>
    <row r="46" spans="1:12" ht="15.75">
      <c r="A46" s="25" t="str">
        <v>Q018</v>
      </c>
      <c r="B46" s="26" t="str">
        <v>NY</v>
      </c>
      <c r="C46" s="26" t="str">
        <f>Sites[[#This Row],[SOL'#]]</f>
        <v>SOL-10398</v>
      </c>
      <c r="D46" s="21">
        <v>4357.5</v>
      </c>
      <c r="E46" s="11">
        <v>5639.9430000000002</v>
      </c>
      <c r="F46" s="11">
        <f t="shared" si="6"/>
        <v>-1282.4430000000002</v>
      </c>
      <c r="G46" s="12">
        <f t="shared" si="7"/>
        <v>-0.2273858086863644</v>
      </c>
      <c r="H46" s="13">
        <v>9568.2369999999992</v>
      </c>
      <c r="I46" s="13">
        <f t="shared" si="10"/>
        <v>-5210.7369999999992</v>
      </c>
      <c r="J46" s="14">
        <f t="shared" si="11"/>
        <v>-0.54458694950804409</v>
      </c>
      <c r="K46" s="38" t="s">
        <v>24</v>
      </c>
      <c r="L46" s="38" t="s">
        <v>31</v>
      </c>
    </row>
    <row r="47" spans="1:12" ht="15.75">
      <c r="A47" s="27" t="str">
        <v>Q021</v>
      </c>
      <c r="B47" s="28" t="str">
        <v>NY</v>
      </c>
      <c r="C47" s="28" t="str">
        <f>Sites[[#This Row],[SOL'#]]</f>
        <v>SOL-10399</v>
      </c>
      <c r="D47" s="10">
        <v>3435.6875</v>
      </c>
      <c r="E47" s="15">
        <v>6008.808</v>
      </c>
      <c r="F47" s="15">
        <f t="shared" si="6"/>
        <v>-2573.1205</v>
      </c>
      <c r="G47" s="16">
        <f t="shared" si="7"/>
        <v>-0.42822478268568409</v>
      </c>
      <c r="H47" s="17">
        <v>4290.74</v>
      </c>
      <c r="I47" s="17">
        <f t="shared" si="10"/>
        <v>-855.05249999999978</v>
      </c>
      <c r="J47" s="16">
        <f t="shared" si="11"/>
        <v>-0.19927856267217306</v>
      </c>
      <c r="K47" s="39" t="s">
        <v>24</v>
      </c>
      <c r="L47" s="40" t="s">
        <v>31</v>
      </c>
    </row>
    <row r="48" spans="1:12" ht="15.75">
      <c r="A48" s="25" t="str">
        <v>Q025</v>
      </c>
      <c r="B48" s="26" t="str">
        <v>NY</v>
      </c>
      <c r="C48" s="26" t="str">
        <f>Sites[[#This Row],[SOL'#]]</f>
        <v>SOL-10400</v>
      </c>
      <c r="D48" s="21">
        <v>6042.5</v>
      </c>
      <c r="E48" s="11">
        <v>9148.84</v>
      </c>
      <c r="F48" s="11">
        <f t="shared" si="6"/>
        <v>-3106.34</v>
      </c>
      <c r="G48" s="12">
        <f t="shared" si="7"/>
        <v>-0.33953375509900707</v>
      </c>
      <c r="H48" s="13">
        <v>7767</v>
      </c>
      <c r="I48" s="13">
        <f t="shared" si="10"/>
        <v>-1724.5</v>
      </c>
      <c r="J48" s="14">
        <f t="shared" si="11"/>
        <v>-0.22202909746362817</v>
      </c>
      <c r="K48" s="38" t="s">
        <v>24</v>
      </c>
      <c r="L48" s="38" t="s">
        <v>31</v>
      </c>
    </row>
    <row r="49" spans="1:12" ht="15.75">
      <c r="A49" s="27" t="str">
        <v>Q074</v>
      </c>
      <c r="B49" s="28" t="str">
        <v>NY</v>
      </c>
      <c r="C49" s="28" t="str">
        <f>Sites[[#This Row],[SOL'#]]</f>
        <v>SOL-10402</v>
      </c>
      <c r="D49" s="10">
        <v>3737.71875</v>
      </c>
      <c r="E49" s="15">
        <v>5120.8</v>
      </c>
      <c r="F49" s="15">
        <f t="shared" si="6"/>
        <v>-1383.0812500000002</v>
      </c>
      <c r="G49" s="16">
        <f t="shared" si="7"/>
        <v>-0.27009085494453994</v>
      </c>
      <c r="H49" s="17">
        <v>8043.3059999999996</v>
      </c>
      <c r="I49" s="17">
        <f t="shared" si="10"/>
        <v>-4305.5872499999996</v>
      </c>
      <c r="J49" s="16">
        <f t="shared" si="11"/>
        <v>-0.53530068979098888</v>
      </c>
      <c r="K49" s="39" t="s">
        <v>24</v>
      </c>
      <c r="L49" s="40" t="s">
        <v>31</v>
      </c>
    </row>
    <row r="50" spans="1:12" ht="15.75">
      <c r="A50" s="25" t="str">
        <v>Q115</v>
      </c>
      <c r="B50" s="26" t="str">
        <v>NY</v>
      </c>
      <c r="C50" s="26" t="str">
        <f>Sites[[#This Row],[SOL'#]]</f>
        <v>SOL-10872</v>
      </c>
      <c r="D50" s="21">
        <v>4955.0625</v>
      </c>
      <c r="E50" s="11">
        <v>8344.5239999999994</v>
      </c>
      <c r="F50" s="11">
        <f t="shared" si="6"/>
        <v>-3389.4614999999994</v>
      </c>
      <c r="G50" s="12">
        <f t="shared" si="7"/>
        <v>-0.40618991568602353</v>
      </c>
      <c r="H50" s="13">
        <v>11121.22</v>
      </c>
      <c r="I50" s="13">
        <f t="shared" si="10"/>
        <v>-6166.1574999999993</v>
      </c>
      <c r="J50" s="14">
        <f t="shared" si="11"/>
        <v>-0.55444973662961439</v>
      </c>
      <c r="K50" s="38" t="s">
        <v>24</v>
      </c>
      <c r="L50" s="38" t="s">
        <v>31</v>
      </c>
    </row>
    <row r="51" spans="1:12" ht="15.75">
      <c r="A51" s="27" t="str">
        <v>Q139</v>
      </c>
      <c r="B51" s="28" t="str">
        <v>NY</v>
      </c>
      <c r="C51" s="28" t="str">
        <f>Sites[[#This Row],[SOL'#]]</f>
        <v>SOL-10403</v>
      </c>
      <c r="D51" s="10">
        <v>2925.8125</v>
      </c>
      <c r="E51" s="15">
        <v>4425.3320000000003</v>
      </c>
      <c r="F51" s="15">
        <f t="shared" si="6"/>
        <v>-1499.5195000000003</v>
      </c>
      <c r="G51" s="16">
        <f t="shared" si="7"/>
        <v>-0.33884904002682742</v>
      </c>
      <c r="H51" s="17">
        <v>6324</v>
      </c>
      <c r="I51" s="17">
        <f t="shared" si="10"/>
        <v>-3398.1875</v>
      </c>
      <c r="J51" s="16">
        <f t="shared" si="11"/>
        <v>-0.53734780202403543</v>
      </c>
      <c r="K51" s="39" t="s">
        <v>24</v>
      </c>
      <c r="L51" s="40" t="s">
        <v>31</v>
      </c>
    </row>
    <row r="52" spans="1:12" ht="15.75">
      <c r="A52" s="25" t="str">
        <v>Q157</v>
      </c>
      <c r="B52" s="26" t="str">
        <v>NY</v>
      </c>
      <c r="C52" s="26" t="str">
        <f>Sites[[#This Row],[SOL'#]]</f>
        <v>SOL-10404</v>
      </c>
      <c r="D52" s="21">
        <v>4902.4375</v>
      </c>
      <c r="E52" s="11">
        <v>8720.9449999999997</v>
      </c>
      <c r="F52" s="11">
        <f t="shared" si="6"/>
        <v>-3818.5074999999997</v>
      </c>
      <c r="G52" s="12">
        <f t="shared" si="7"/>
        <v>-0.43785478523256366</v>
      </c>
      <c r="H52" s="13">
        <v>11481.79</v>
      </c>
      <c r="I52" s="13">
        <f t="shared" si="10"/>
        <v>-6579.3525000000009</v>
      </c>
      <c r="J52" s="14">
        <f t="shared" si="11"/>
        <v>-0.57302498129647039</v>
      </c>
      <c r="K52" s="38" t="s">
        <v>24</v>
      </c>
      <c r="L52" s="38" t="s">
        <v>31</v>
      </c>
    </row>
    <row r="53" spans="1:12" ht="15.75">
      <c r="A53" s="27" t="str">
        <v>Q192</v>
      </c>
      <c r="B53" s="28" t="str">
        <v>NY</v>
      </c>
      <c r="C53" s="28" t="str">
        <f>Sites[[#This Row],[SOL'#]]</f>
        <v>SOL-10406</v>
      </c>
      <c r="D53" s="10">
        <v>8347.5</v>
      </c>
      <c r="E53" s="15">
        <v>13350</v>
      </c>
      <c r="F53" s="15">
        <f t="shared" si="6"/>
        <v>-5002.5</v>
      </c>
      <c r="G53" s="16">
        <f t="shared" si="7"/>
        <v>-0.37471910112359552</v>
      </c>
      <c r="H53" s="17">
        <v>16384.009999999998</v>
      </c>
      <c r="I53" s="17">
        <f t="shared" si="10"/>
        <v>-8036.5099999999984</v>
      </c>
      <c r="J53" s="16">
        <f t="shared" si="11"/>
        <v>-0.49050934417154279</v>
      </c>
      <c r="K53" s="39" t="s">
        <v>44</v>
      </c>
      <c r="L53" s="39" t="s">
        <v>45</v>
      </c>
    </row>
    <row r="54" spans="1:12" ht="15.75">
      <c r="A54" s="25" t="str">
        <v>Q210</v>
      </c>
      <c r="B54" s="26" t="str">
        <v>NY</v>
      </c>
      <c r="C54" s="26" t="str">
        <f>Sites[[#This Row],[SOL'#]]</f>
        <v>SOL-10407</v>
      </c>
      <c r="D54" s="21">
        <v>6315.875</v>
      </c>
      <c r="E54" s="11">
        <v>9204.3379999999997</v>
      </c>
      <c r="F54" s="11">
        <f t="shared" si="6"/>
        <v>-2888.4629999999997</v>
      </c>
      <c r="G54" s="12">
        <f t="shared" si="7"/>
        <v>-0.31381539878261749</v>
      </c>
      <c r="H54" s="13">
        <v>15624</v>
      </c>
      <c r="I54" s="13">
        <f t="shared" si="10"/>
        <v>-9308.125</v>
      </c>
      <c r="J54" s="14">
        <f t="shared" si="11"/>
        <v>-0.59575812852022525</v>
      </c>
      <c r="K54" s="38" t="s">
        <v>46</v>
      </c>
      <c r="L54" s="38" t="s">
        <v>47</v>
      </c>
    </row>
    <row r="55" spans="1:12" ht="15.75">
      <c r="A55" s="27" t="str">
        <v>Q229</v>
      </c>
      <c r="B55" s="28" t="str">
        <v>NY</v>
      </c>
      <c r="C55" s="28" t="str">
        <f>Sites[[#This Row],[SOL'#]]</f>
        <v>SOL-10408</v>
      </c>
      <c r="D55" s="10">
        <v>2660.53125000006</v>
      </c>
      <c r="E55" s="15">
        <v>3950.5940000000001</v>
      </c>
      <c r="F55" s="15">
        <f t="shared" si="6"/>
        <v>-1290.06274999994</v>
      </c>
      <c r="G55" s="16">
        <f t="shared" si="7"/>
        <v>-0.32654905819224656</v>
      </c>
      <c r="H55" s="17">
        <v>7281.06</v>
      </c>
      <c r="I55" s="17">
        <f t="shared" si="10"/>
        <v>-4620.5287499999404</v>
      </c>
      <c r="J55" s="16">
        <f t="shared" si="11"/>
        <v>-0.63459561519887764</v>
      </c>
      <c r="K55" s="39" t="s">
        <v>24</v>
      </c>
      <c r="L55" s="40" t="s">
        <v>31</v>
      </c>
    </row>
    <row r="56" spans="1:12" ht="15.75">
      <c r="A56" s="25" t="str">
        <v>Q231</v>
      </c>
      <c r="B56" s="26" t="str">
        <v>NY</v>
      </c>
      <c r="C56" s="26" t="str">
        <f>Sites[[#This Row],[SOL'#]]</f>
        <v>SOL-10870</v>
      </c>
      <c r="D56" s="21">
        <v>11460.875</v>
      </c>
      <c r="E56" s="11">
        <v>21002.59</v>
      </c>
      <c r="F56" s="11">
        <f t="shared" si="6"/>
        <v>-9541.7150000000001</v>
      </c>
      <c r="G56" s="12">
        <f t="shared" si="7"/>
        <v>-0.4543113492193106</v>
      </c>
      <c r="H56" s="13">
        <v>0</v>
      </c>
      <c r="I56" s="13">
        <f t="shared" si="10"/>
        <v>11460.875</v>
      </c>
      <c r="J56" s="14" t="str">
        <f t="shared" si="11"/>
        <v/>
      </c>
      <c r="K56" s="38" t="s">
        <v>24</v>
      </c>
      <c r="L56" s="38" t="s">
        <v>24</v>
      </c>
    </row>
    <row r="57" spans="1:12" ht="15.75">
      <c r="A57" s="27" t="str">
        <v>Q405</v>
      </c>
      <c r="B57" s="28" t="str">
        <v>NY</v>
      </c>
      <c r="C57" s="28" t="str">
        <f>Sites[[#This Row],[SOL'#]]</f>
        <v>SOL-10409</v>
      </c>
      <c r="D57" s="10">
        <v>12294.25</v>
      </c>
      <c r="E57" s="15">
        <v>18722.73</v>
      </c>
      <c r="F57" s="15">
        <f t="shared" si="6"/>
        <v>-6428.48</v>
      </c>
      <c r="G57" s="16">
        <f t="shared" si="7"/>
        <v>-0.34335163728793822</v>
      </c>
      <c r="H57" s="17">
        <v>20486.32</v>
      </c>
      <c r="I57" s="17">
        <f t="shared" si="10"/>
        <v>-8192.07</v>
      </c>
      <c r="J57" s="16">
        <f t="shared" si="11"/>
        <v>-0.39988001749460128</v>
      </c>
      <c r="K57" s="39" t="s">
        <v>48</v>
      </c>
      <c r="L57" s="40" t="s">
        <v>49</v>
      </c>
    </row>
    <row r="58" spans="1:12" ht="15.75">
      <c r="A58" s="25" t="str">
        <v>Q435</v>
      </c>
      <c r="B58" s="26" t="str">
        <v>NY</v>
      </c>
      <c r="C58" s="26" t="str">
        <f>Sites[[#This Row],[SOL'#]]</f>
        <v>SOL-10923</v>
      </c>
      <c r="D58" s="21">
        <v>0</v>
      </c>
      <c r="E58" s="11">
        <v>0</v>
      </c>
      <c r="F58" s="11">
        <f t="shared" si="6"/>
        <v>0</v>
      </c>
      <c r="G58" s="12" t="str">
        <f t="shared" si="7"/>
        <v/>
      </c>
      <c r="H58" s="13">
        <v>0</v>
      </c>
      <c r="I58" s="13">
        <f t="shared" si="10"/>
        <v>0</v>
      </c>
      <c r="J58" s="14" t="str">
        <f t="shared" si="11"/>
        <v/>
      </c>
      <c r="K58" s="38" t="s">
        <v>50</v>
      </c>
      <c r="L58" s="38" t="s">
        <v>51</v>
      </c>
    </row>
    <row r="59" spans="1:12" ht="31.5">
      <c r="A59" s="27" t="str">
        <v>Q485</v>
      </c>
      <c r="B59" s="28" t="str">
        <v>NY</v>
      </c>
      <c r="C59" s="28" t="str">
        <f>Sites[[#This Row],[SOL'#]]</f>
        <v>SOL-10869</v>
      </c>
      <c r="D59" s="10">
        <v>12481.4388279307</v>
      </c>
      <c r="E59" s="15">
        <v>12754.8</v>
      </c>
      <c r="F59" s="15">
        <f t="shared" si="6"/>
        <v>-273.36117206929885</v>
      </c>
      <c r="G59" s="16">
        <f t="shared" si="7"/>
        <v>-2.1432023400547156E-2</v>
      </c>
      <c r="H59" s="17">
        <v>27674.85</v>
      </c>
      <c r="I59" s="17">
        <f t="shared" si="10"/>
        <v>-15193.411172069298</v>
      </c>
      <c r="J59" s="16">
        <f t="shared" si="11"/>
        <v>-0.5489970558853724</v>
      </c>
      <c r="K59" s="39" t="s">
        <v>52</v>
      </c>
      <c r="L59" s="40" t="s">
        <v>53</v>
      </c>
    </row>
    <row r="60" spans="1:12" ht="15.75">
      <c r="A60" s="25" t="str">
        <v>Q490</v>
      </c>
      <c r="B60" s="26" t="str">
        <v>NY</v>
      </c>
      <c r="C60" s="26" t="str">
        <f>Sites[[#This Row],[SOL'#]]</f>
        <v>SOL-10411</v>
      </c>
      <c r="D60" s="21">
        <v>10238.1439808419</v>
      </c>
      <c r="E60" s="11">
        <v>0</v>
      </c>
      <c r="F60" s="11">
        <f t="shared" si="6"/>
        <v>10238.1439808419</v>
      </c>
      <c r="G60" s="12" t="str">
        <f t="shared" si="7"/>
        <v/>
      </c>
      <c r="H60" s="13">
        <v>21505.42</v>
      </c>
      <c r="I60" s="13">
        <f t="shared" si="10"/>
        <v>-11267.276019158098</v>
      </c>
      <c r="J60" s="14">
        <f t="shared" si="11"/>
        <v>-0.52392727131849082</v>
      </c>
      <c r="K60" s="38" t="s">
        <v>54</v>
      </c>
      <c r="L60" s="38" t="s">
        <v>55</v>
      </c>
    </row>
    <row r="61" spans="1:12" ht="15.75">
      <c r="A61" s="27" t="str">
        <v>Q620</v>
      </c>
      <c r="B61" s="28" t="str">
        <v>NY</v>
      </c>
      <c r="C61" s="28" t="str">
        <f>Sites[[#This Row],[SOL'#]]</f>
        <v>SOL-10867</v>
      </c>
      <c r="D61" s="10">
        <v>15903</v>
      </c>
      <c r="E61" s="15">
        <v>23742.06</v>
      </c>
      <c r="F61" s="15">
        <f t="shared" si="6"/>
        <v>-7839.0600000000013</v>
      </c>
      <c r="G61" s="16">
        <f t="shared" si="7"/>
        <v>-0.33017606728312543</v>
      </c>
      <c r="H61" s="17">
        <v>34544.519999999997</v>
      </c>
      <c r="I61" s="17">
        <f t="shared" si="10"/>
        <v>-18641.519999999997</v>
      </c>
      <c r="J61" s="16">
        <f t="shared" si="11"/>
        <v>-0.53963754598413871</v>
      </c>
      <c r="K61" s="39" t="s">
        <v>24</v>
      </c>
      <c r="L61" s="40" t="s">
        <v>31</v>
      </c>
    </row>
    <row r="62" spans="1:12" ht="15.75">
      <c r="A62" s="25" t="str">
        <v>QMOA</v>
      </c>
      <c r="B62" s="26" t="str">
        <v>NY</v>
      </c>
      <c r="C62" s="26" t="str">
        <f>Sites[[#This Row],[SOL'#]]</f>
        <v>SOL-10415</v>
      </c>
      <c r="D62" s="21">
        <v>1546.0999999999899</v>
      </c>
      <c r="E62" s="11">
        <v>0</v>
      </c>
      <c r="F62" s="11">
        <f t="shared" si="6"/>
        <v>1546.0999999999899</v>
      </c>
      <c r="G62" s="12" t="str">
        <f t="shared" si="7"/>
        <v/>
      </c>
      <c r="H62" s="13">
        <v>2946.8270000000002</v>
      </c>
      <c r="I62" s="13">
        <f t="shared" si="10"/>
        <v>-1400.7270000000103</v>
      </c>
      <c r="J62" s="14">
        <f t="shared" si="11"/>
        <v>-0.47533397786840226</v>
      </c>
      <c r="K62" s="38" t="s">
        <v>24</v>
      </c>
      <c r="L62" s="38" t="s">
        <v>31</v>
      </c>
    </row>
    <row r="63" spans="1:12" ht="15.75">
      <c r="A63" s="27" t="str">
        <v>X024</v>
      </c>
      <c r="B63" s="28" t="str">
        <v>NY</v>
      </c>
      <c r="C63" s="28" t="str">
        <f>Sites[[#This Row],[SOL'#]]</f>
        <v>SOL-10419</v>
      </c>
      <c r="D63" s="10">
        <v>5421</v>
      </c>
      <c r="E63" s="15">
        <v>0</v>
      </c>
      <c r="F63" s="15">
        <f t="shared" si="6"/>
        <v>5421</v>
      </c>
      <c r="G63" s="16" t="str">
        <f t="shared" si="7"/>
        <v/>
      </c>
      <c r="H63" s="17">
        <v>0</v>
      </c>
      <c r="I63" s="17">
        <f t="shared" si="10"/>
        <v>5421</v>
      </c>
      <c r="J63" s="16" t="str">
        <f t="shared" si="11"/>
        <v/>
      </c>
      <c r="K63" s="39" t="s">
        <v>24</v>
      </c>
      <c r="L63" s="40" t="s">
        <v>31</v>
      </c>
    </row>
    <row r="64" spans="1:12" ht="15.75">
      <c r="A64" s="25" t="str">
        <v>X026</v>
      </c>
      <c r="B64" s="26" t="str">
        <v>NY</v>
      </c>
      <c r="C64" s="26" t="str">
        <f>Sites[[#This Row],[SOL'#]]</f>
        <v>SOL-10420</v>
      </c>
      <c r="D64" s="21">
        <v>4766.8999999999696</v>
      </c>
      <c r="E64" s="11">
        <v>7713.94</v>
      </c>
      <c r="F64" s="11">
        <f t="shared" si="6"/>
        <v>-2947.04000000003</v>
      </c>
      <c r="G64" s="12">
        <f t="shared" si="7"/>
        <v>-0.38204082479252238</v>
      </c>
      <c r="H64" s="13">
        <v>14664.49</v>
      </c>
      <c r="I64" s="13">
        <f t="shared" si="10"/>
        <v>-9897.5900000000292</v>
      </c>
      <c r="J64" s="14">
        <f t="shared" si="11"/>
        <v>-0.67493584843387189</v>
      </c>
      <c r="K64" s="38" t="s">
        <v>24</v>
      </c>
      <c r="L64" s="38" t="s">
        <v>31</v>
      </c>
    </row>
    <row r="65" spans="1:12" ht="15.75">
      <c r="A65" s="27" t="str">
        <v>X090</v>
      </c>
      <c r="B65" s="28" t="str">
        <v>NY</v>
      </c>
      <c r="C65" s="28" t="str">
        <f>Sites[[#This Row],[SOL'#]]</f>
        <v>SOL-10925</v>
      </c>
      <c r="D65" s="10">
        <v>4671.94531250001</v>
      </c>
      <c r="E65" s="15">
        <v>4641.6970000000001</v>
      </c>
      <c r="F65" s="15">
        <f t="shared" si="6"/>
        <v>30.248312500009888</v>
      </c>
      <c r="G65" s="16">
        <f t="shared" si="7"/>
        <v>6.5166495141776573E-3</v>
      </c>
      <c r="H65" s="17">
        <v>9177</v>
      </c>
      <c r="I65" s="17">
        <f t="shared" si="10"/>
        <v>-4505.05468749999</v>
      </c>
      <c r="J65" s="16">
        <f t="shared" si="11"/>
        <v>-0.49090712514983004</v>
      </c>
      <c r="K65" s="39" t="s">
        <v>24</v>
      </c>
      <c r="L65" s="39" t="s">
        <v>31</v>
      </c>
    </row>
    <row r="66" spans="1:12" ht="15.75">
      <c r="A66" s="25" t="str">
        <v>X117</v>
      </c>
      <c r="B66" s="26" t="str">
        <v>NY</v>
      </c>
      <c r="C66" s="26" t="str">
        <f>Sites[[#This Row],[SOL'#]]</f>
        <v>SOL-10422</v>
      </c>
      <c r="D66" s="21">
        <v>3429.2000000000098</v>
      </c>
      <c r="E66" s="11">
        <v>6689.2290000000003</v>
      </c>
      <c r="F66" s="11">
        <f t="shared" si="6"/>
        <v>-3260.0289999999904</v>
      </c>
      <c r="G66" s="12">
        <f t="shared" si="7"/>
        <v>-0.48735497020657992</v>
      </c>
      <c r="H66" s="13">
        <v>16899.22</v>
      </c>
      <c r="I66" s="13">
        <f t="shared" si="10"/>
        <v>-13470.019999999991</v>
      </c>
      <c r="J66" s="14">
        <f t="shared" si="11"/>
        <v>-0.79707939182991816</v>
      </c>
      <c r="K66" s="38" t="s">
        <v>24</v>
      </c>
      <c r="L66" s="38" t="s">
        <v>31</v>
      </c>
    </row>
    <row r="67" spans="1:12" ht="15.75">
      <c r="A67" s="27" t="str">
        <v>X125</v>
      </c>
      <c r="B67" s="28" t="str">
        <v>NY</v>
      </c>
      <c r="C67" s="28" t="str">
        <f>Sites[[#This Row],[SOL'#]]</f>
        <v>SOL-10423</v>
      </c>
      <c r="D67" s="10">
        <v>7318.96875</v>
      </c>
      <c r="E67" s="15">
        <v>11623.7</v>
      </c>
      <c r="F67" s="15">
        <f t="shared" si="6"/>
        <v>-4304.7312500000007</v>
      </c>
      <c r="G67" s="16">
        <f t="shared" si="7"/>
        <v>-0.37034087682923683</v>
      </c>
      <c r="H67" s="17">
        <v>10537.29</v>
      </c>
      <c r="I67" s="17">
        <f t="shared" si="10"/>
        <v>-3218.3212500000009</v>
      </c>
      <c r="J67" s="16">
        <f t="shared" si="11"/>
        <v>-0.30542210093866645</v>
      </c>
      <c r="K67" s="39" t="s">
        <v>24</v>
      </c>
      <c r="L67" s="40" t="s">
        <v>31</v>
      </c>
    </row>
    <row r="68" spans="1:12" ht="15.75">
      <c r="A68" s="25" t="str">
        <v>X134</v>
      </c>
      <c r="B68" s="26" t="str">
        <v>NY</v>
      </c>
      <c r="C68" s="26" t="str">
        <f>Sites[[#This Row],[SOL'#]]</f>
        <v>SOL-10424</v>
      </c>
      <c r="D68" s="21">
        <v>6696.25</v>
      </c>
      <c r="E68" s="11">
        <v>0</v>
      </c>
      <c r="F68" s="11">
        <f t="shared" si="6"/>
        <v>6696.25</v>
      </c>
      <c r="G68" s="12" t="str">
        <f t="shared" si="7"/>
        <v/>
      </c>
      <c r="H68" s="13">
        <v>0</v>
      </c>
      <c r="I68" s="13">
        <f t="shared" si="10"/>
        <v>6696.25</v>
      </c>
      <c r="J68" s="14" t="str">
        <f t="shared" si="11"/>
        <v/>
      </c>
      <c r="K68" s="38" t="s">
        <v>24</v>
      </c>
      <c r="L68" s="38" t="s">
        <v>31</v>
      </c>
    </row>
    <row r="69" spans="1:12" ht="15.75">
      <c r="A69" s="27" t="str">
        <v>X135</v>
      </c>
      <c r="B69" s="28" t="str">
        <v>NY</v>
      </c>
      <c r="C69" s="28" t="str">
        <f>Sites[[#This Row],[SOL'#]]</f>
        <v>SOL-10425</v>
      </c>
      <c r="D69" s="10">
        <v>5327.84375</v>
      </c>
      <c r="E69" s="15">
        <v>0</v>
      </c>
      <c r="F69" s="15">
        <f t="shared" si="6"/>
        <v>5327.84375</v>
      </c>
      <c r="G69" s="16" t="str">
        <f t="shared" si="7"/>
        <v/>
      </c>
      <c r="H69" s="17">
        <v>0</v>
      </c>
      <c r="I69" s="17">
        <f t="shared" si="10"/>
        <v>5327.84375</v>
      </c>
      <c r="J69" s="16" t="str">
        <f t="shared" si="11"/>
        <v/>
      </c>
      <c r="K69" s="39" t="s">
        <v>24</v>
      </c>
      <c r="L69" s="40" t="s">
        <v>31</v>
      </c>
    </row>
    <row r="70" spans="1:12" ht="15.75">
      <c r="A70" s="25" t="str">
        <v>X139 JHS 222</v>
      </c>
      <c r="B70" s="26" t="str">
        <v>NY</v>
      </c>
      <c r="C70" s="26" t="str">
        <f>Sites[[#This Row],[SOL'#]]</f>
        <v>SOL-10426</v>
      </c>
      <c r="D70" s="21">
        <v>8332.7036999624706</v>
      </c>
      <c r="E70" s="11">
        <v>11815.57</v>
      </c>
      <c r="F70" s="11">
        <f t="shared" si="6"/>
        <v>-3482.8663000375291</v>
      </c>
      <c r="G70" s="12">
        <f t="shared" si="7"/>
        <v>-0.29476921553827107</v>
      </c>
      <c r="H70" s="13">
        <v>22550</v>
      </c>
      <c r="I70" s="13">
        <f t="shared" si="10"/>
        <v>-14217.296300037529</v>
      </c>
      <c r="J70" s="14">
        <f t="shared" si="11"/>
        <v>-0.63047877162028954</v>
      </c>
      <c r="K70" s="38" t="s">
        <v>24</v>
      </c>
      <c r="L70" s="38" t="s">
        <v>31</v>
      </c>
    </row>
    <row r="71" spans="1:12" ht="15.75">
      <c r="A71" s="27" t="str">
        <v>X140</v>
      </c>
      <c r="B71" s="28" t="str">
        <v>NY</v>
      </c>
      <c r="C71" s="28" t="str">
        <f>Sites[[#This Row],[SOL'#]]</f>
        <v>SOL-10926</v>
      </c>
      <c r="D71" s="10">
        <v>3985</v>
      </c>
      <c r="E71" s="15">
        <v>5753</v>
      </c>
      <c r="F71" s="15">
        <f t="shared" si="6"/>
        <v>-1768</v>
      </c>
      <c r="G71" s="16">
        <f t="shared" si="7"/>
        <v>-0.3073179210846515</v>
      </c>
      <c r="H71" s="17">
        <v>9034</v>
      </c>
      <c r="I71" s="17">
        <f t="shared" si="10"/>
        <v>-5049</v>
      </c>
      <c r="J71" s="16">
        <f t="shared" si="11"/>
        <v>-0.55888864290458273</v>
      </c>
      <c r="K71" s="39" t="s">
        <v>24</v>
      </c>
      <c r="L71" s="40" t="s">
        <v>31</v>
      </c>
    </row>
    <row r="72" spans="1:12" ht="15.75">
      <c r="A72" s="25" t="str">
        <v>X166</v>
      </c>
      <c r="B72" s="26" t="str">
        <v>NY</v>
      </c>
      <c r="C72" s="26" t="str">
        <f>Sites[[#This Row],[SOL'#]]</f>
        <v>SOL-10427</v>
      </c>
      <c r="D72" s="21">
        <v>5046.3999999999696</v>
      </c>
      <c r="E72" s="11">
        <v>7824.4260000000004</v>
      </c>
      <c r="F72" s="11">
        <f t="shared" si="6"/>
        <v>-2778.0260000000308</v>
      </c>
      <c r="G72" s="12">
        <f t="shared" si="7"/>
        <v>-0.35504534134517096</v>
      </c>
      <c r="H72" s="13">
        <v>0</v>
      </c>
      <c r="I72" s="13">
        <f t="shared" si="10"/>
        <v>5046.3999999999696</v>
      </c>
      <c r="J72" s="14" t="str">
        <f t="shared" si="11"/>
        <v/>
      </c>
      <c r="K72" s="38" t="s">
        <v>24</v>
      </c>
      <c r="L72" s="38" t="s">
        <v>31</v>
      </c>
    </row>
    <row r="73" spans="1:12" ht="47.25">
      <c r="A73" s="27" t="str">
        <v>Murphy</v>
      </c>
      <c r="B73" s="28" t="str">
        <v>MN</v>
      </c>
      <c r="C73" s="28" t="str">
        <f>Sites[[#This Row],[SOL'#]]</f>
        <v>SOL-10094</v>
      </c>
      <c r="D73" s="10">
        <v>286090</v>
      </c>
      <c r="E73" s="15">
        <v>414785.1</v>
      </c>
      <c r="F73" s="15">
        <f t="shared" si="6"/>
        <v>-128695.09999999998</v>
      </c>
      <c r="G73" s="16">
        <f t="shared" si="7"/>
        <v>-0.31026934188330291</v>
      </c>
      <c r="H73" s="17">
        <v>533246.5</v>
      </c>
      <c r="I73" s="17">
        <f t="shared" si="10"/>
        <v>-247156.5</v>
      </c>
      <c r="J73" s="16">
        <f t="shared" si="11"/>
        <v>-0.46349390010061015</v>
      </c>
      <c r="K73" s="39" t="s">
        <v>56</v>
      </c>
      <c r="L73" s="40" t="s">
        <v>57</v>
      </c>
    </row>
    <row r="74" spans="1:12" ht="15.75">
      <c r="A74" s="25" t="str">
        <v>Terning</v>
      </c>
      <c r="B74" s="26" t="str">
        <v>MN</v>
      </c>
      <c r="C74" s="26" t="str">
        <f>Sites[[#This Row],[SOL'#]]</f>
        <v>SOL-10093</v>
      </c>
      <c r="D74" s="21">
        <v>283485</v>
      </c>
      <c r="E74" s="11">
        <v>410301.4</v>
      </c>
      <c r="F74" s="11">
        <f t="shared" si="6"/>
        <v>-126816.40000000002</v>
      </c>
      <c r="G74" s="12">
        <f t="shared" si="7"/>
        <v>-0.30908108039602111</v>
      </c>
      <c r="H74" s="13">
        <v>483171.2</v>
      </c>
      <c r="I74" s="13">
        <f t="shared" si="10"/>
        <v>-199686.2</v>
      </c>
      <c r="J74" s="14">
        <f t="shared" si="11"/>
        <v>-0.41328249697001812</v>
      </c>
      <c r="K74" s="38" t="s">
        <v>24</v>
      </c>
      <c r="L74" s="38" t="s">
        <v>31</v>
      </c>
    </row>
    <row r="75" spans="1:12" ht="15.75">
      <c r="A75" s="27" t="str">
        <v>Boas Road 04</v>
      </c>
      <c r="B75" s="28" t="str">
        <v>NY</v>
      </c>
      <c r="C75" s="28" t="str">
        <f>Sites[[#This Row],[SOL'#]]</f>
        <v>SOL-10908</v>
      </c>
      <c r="D75" s="10">
        <v>33560</v>
      </c>
      <c r="E75" s="15">
        <v>0</v>
      </c>
      <c r="F75" s="15">
        <f t="shared" si="6"/>
        <v>33560</v>
      </c>
      <c r="G75" s="16" t="str">
        <f t="shared" si="7"/>
        <v/>
      </c>
      <c r="H75" s="17">
        <v>220064.68</v>
      </c>
      <c r="I75" s="17">
        <f t="shared" si="10"/>
        <v>-186504.68</v>
      </c>
      <c r="J75" s="16">
        <f t="shared" si="11"/>
        <v>-0.84749938063663832</v>
      </c>
      <c r="K75" s="39" t="s">
        <v>24</v>
      </c>
      <c r="L75" s="40" t="s">
        <v>31</v>
      </c>
    </row>
    <row r="76" spans="1:12" ht="28.5">
      <c r="A76" s="25" t="str">
        <v>Kelly Bridge Farm</v>
      </c>
      <c r="B76" s="26" t="str">
        <v>NY</v>
      </c>
      <c r="C76" s="26" t="str">
        <f>Sites[[#This Row],[SOL'#]]</f>
        <v>SOL-10911</v>
      </c>
      <c r="D76" s="21">
        <v>39040</v>
      </c>
      <c r="E76" s="11">
        <v>0</v>
      </c>
      <c r="F76" s="11">
        <f t="shared" si="6"/>
        <v>39040</v>
      </c>
      <c r="G76" s="12" t="str">
        <f t="shared" si="7"/>
        <v/>
      </c>
      <c r="H76" s="13">
        <v>209445.59</v>
      </c>
      <c r="I76" s="13">
        <f t="shared" si="10"/>
        <v>-170405.59</v>
      </c>
      <c r="J76" s="14">
        <f t="shared" si="11"/>
        <v>-0.81360314151279101</v>
      </c>
      <c r="K76" s="38" t="s">
        <v>58</v>
      </c>
      <c r="L76" s="38" t="s">
        <v>59</v>
      </c>
    </row>
    <row r="77" spans="1:12" ht="15.75">
      <c r="A77" s="27" t="str">
        <v>Pool Brook Road</v>
      </c>
      <c r="B77" s="28" t="str">
        <v>NY</v>
      </c>
      <c r="C77" s="28" t="str">
        <f>Sites[[#This Row],[SOL'#]]</f>
        <v>SOL-10909</v>
      </c>
      <c r="D77" s="10">
        <v>35247</v>
      </c>
      <c r="E77" s="15">
        <v>0</v>
      </c>
      <c r="F77" s="15">
        <f t="shared" si="6"/>
        <v>35247</v>
      </c>
      <c r="G77" s="16" t="str">
        <f t="shared" si="7"/>
        <v/>
      </c>
      <c r="H77" s="17">
        <v>194874.12</v>
      </c>
      <c r="I77" s="17">
        <f t="shared" si="10"/>
        <v>-159627.12</v>
      </c>
      <c r="J77" s="16">
        <f t="shared" si="11"/>
        <v>-0.81912939491400905</v>
      </c>
      <c r="K77" s="39" t="s">
        <v>24</v>
      </c>
      <c r="L77" s="39" t="s">
        <v>31</v>
      </c>
    </row>
    <row r="78" spans="1:12" ht="28.5">
      <c r="A78" s="25" t="str">
        <v>Sackett Lake</v>
      </c>
      <c r="B78" s="26" t="str">
        <v>NY</v>
      </c>
      <c r="C78" s="26" t="str">
        <f>Sites[[#This Row],[SOL'#]]</f>
        <v>SOL-10910</v>
      </c>
      <c r="D78" s="21">
        <v>43312</v>
      </c>
      <c r="E78" s="11">
        <v>0</v>
      </c>
      <c r="F78" s="11">
        <f t="shared" si="6"/>
        <v>43312</v>
      </c>
      <c r="G78" s="12" t="str">
        <f t="shared" si="7"/>
        <v/>
      </c>
      <c r="H78" s="13">
        <v>223309.11</v>
      </c>
      <c r="I78" s="13">
        <f t="shared" si="10"/>
        <v>-179997.11</v>
      </c>
      <c r="J78" s="14">
        <f t="shared" si="11"/>
        <v>-0.80604463472179888</v>
      </c>
      <c r="K78" s="38" t="s">
        <v>60</v>
      </c>
      <c r="L78" s="38" t="s">
        <v>61</v>
      </c>
    </row>
    <row r="79" spans="1:12" ht="15.75">
      <c r="A79" s="27" t="str">
        <v>Burritt Road</v>
      </c>
      <c r="B79" s="28" t="str">
        <v>NY</v>
      </c>
      <c r="C79" s="28" t="str">
        <f>Sites[[#This Row],[SOL'#]]</f>
        <v>SOL-10913</v>
      </c>
      <c r="D79" s="10">
        <v>72810</v>
      </c>
      <c r="E79" s="15">
        <v>97923.36</v>
      </c>
      <c r="F79" s="15">
        <f t="shared" si="6"/>
        <v>-25113.360000000001</v>
      </c>
      <c r="G79" s="16">
        <f t="shared" si="7"/>
        <v>-0.25645933717960656</v>
      </c>
      <c r="H79" s="17">
        <v>111632.62</v>
      </c>
      <c r="I79" s="17">
        <f t="shared" si="10"/>
        <v>-38822.619999999995</v>
      </c>
      <c r="J79" s="16">
        <f t="shared" si="11"/>
        <v>-0.34777128763975973</v>
      </c>
      <c r="K79" s="39" t="s">
        <v>24</v>
      </c>
      <c r="L79" s="40" t="s">
        <v>31</v>
      </c>
    </row>
    <row r="80" spans="1:12" ht="28.5">
      <c r="A80" s="25" t="str">
        <v>Villa Roma 1</v>
      </c>
      <c r="B80" s="26" t="str">
        <v>NY</v>
      </c>
      <c r="C80" s="26" t="str">
        <f>Sites[[#This Row],[SOL'#]]</f>
        <v>SOL-10914</v>
      </c>
      <c r="D80" s="21">
        <v>8879</v>
      </c>
      <c r="E80" s="11">
        <v>74159.11</v>
      </c>
      <c r="F80" s="11">
        <f t="shared" ref="F80:F137" si="12">IF(AND(ISNUMBER(D80),ISNUMBER(E80)), D80-E80, "")</f>
        <v>-65280.11</v>
      </c>
      <c r="G80" s="12">
        <f t="shared" ref="G80:G137" si="13">IFERROR(F80/E80, "")</f>
        <v>-0.88027094715672827</v>
      </c>
      <c r="H80" s="13">
        <v>118883.5</v>
      </c>
      <c r="I80" s="13">
        <f t="shared" si="10"/>
        <v>-110004.5</v>
      </c>
      <c r="J80" s="14">
        <f t="shared" si="11"/>
        <v>-0.92531343710439207</v>
      </c>
      <c r="K80" s="38" t="s">
        <v>62</v>
      </c>
      <c r="L80" s="38" t="s">
        <v>63</v>
      </c>
    </row>
    <row r="81" spans="1:12" ht="42.75">
      <c r="A81" s="27" t="str">
        <v>Villa Roma 2</v>
      </c>
      <c r="B81" s="28" t="str">
        <v>NY</v>
      </c>
      <c r="C81" s="28" t="str">
        <f>Sites[[#This Row],[SOL'#]]</f>
        <v>SOL-10915</v>
      </c>
      <c r="D81" s="10">
        <v>67057</v>
      </c>
      <c r="E81" s="15">
        <v>110773.82</v>
      </c>
      <c r="F81" s="15">
        <f t="shared" si="12"/>
        <v>-43716.820000000007</v>
      </c>
      <c r="G81" s="16">
        <f t="shared" si="13"/>
        <v>-0.39464938556781742</v>
      </c>
      <c r="H81" s="17">
        <v>115878.35</v>
      </c>
      <c r="I81" s="17">
        <f t="shared" si="10"/>
        <v>-48821.350000000006</v>
      </c>
      <c r="J81" s="16">
        <f t="shared" si="11"/>
        <v>-0.42131554341255295</v>
      </c>
      <c r="K81" s="39" t="s">
        <v>64</v>
      </c>
      <c r="L81" s="40" t="s">
        <v>65</v>
      </c>
    </row>
    <row r="82" spans="1:12" ht="15.75">
      <c r="A82" s="25" t="str">
        <v>Washington 1</v>
      </c>
      <c r="B82" s="26" t="str">
        <v>NY</v>
      </c>
      <c r="C82" s="26" t="str">
        <f>Sites[[#This Row],[SOL'#]]</f>
        <v>SOL-10912</v>
      </c>
      <c r="D82" s="21">
        <v>55740</v>
      </c>
      <c r="E82" s="11">
        <v>109395.46</v>
      </c>
      <c r="F82" s="11">
        <f t="shared" si="12"/>
        <v>-53655.460000000006</v>
      </c>
      <c r="G82" s="12">
        <f t="shared" si="13"/>
        <v>-0.49047245653521637</v>
      </c>
      <c r="H82" s="13">
        <v>107420.17</v>
      </c>
      <c r="I82" s="13">
        <f t="shared" ref="I82:I137" si="14">IF(AND(ISNUMBER(D82),ISNUMBER(H82)), D82-H82, "")</f>
        <v>-51680.17</v>
      </c>
      <c r="J82" s="14">
        <f t="shared" ref="J82:J137" si="15">IFERROR(I82/H82, "")</f>
        <v>-0.4811030367946727</v>
      </c>
      <c r="K82" s="38" t="s">
        <v>66</v>
      </c>
      <c r="L82" s="38" t="s">
        <v>67</v>
      </c>
    </row>
    <row r="83" spans="1:12" ht="71.25">
      <c r="A83" s="27" t="str">
        <v>Washington 3</v>
      </c>
      <c r="B83" s="28" t="str">
        <v>NY</v>
      </c>
      <c r="C83" s="28" t="str">
        <f>Sites[[#This Row],[SOL'#]]</f>
        <v>SOL-10828</v>
      </c>
      <c r="D83" s="10">
        <v>48791</v>
      </c>
      <c r="E83" s="15">
        <v>117227.81</v>
      </c>
      <c r="F83" s="15">
        <f t="shared" si="12"/>
        <v>-68436.81</v>
      </c>
      <c r="G83" s="16">
        <f t="shared" si="13"/>
        <v>-0.58379329955920867</v>
      </c>
      <c r="H83" s="17">
        <v>130931.08</v>
      </c>
      <c r="I83" s="17">
        <f t="shared" si="14"/>
        <v>-82140.08</v>
      </c>
      <c r="J83" s="16">
        <f t="shared" si="15"/>
        <v>-0.6273535664717651</v>
      </c>
      <c r="K83" s="39" t="s">
        <v>68</v>
      </c>
      <c r="L83" s="40" t="s">
        <v>69</v>
      </c>
    </row>
    <row r="84" spans="1:12" ht="15.75">
      <c r="A84" s="25" t="str">
        <v>Washington 4</v>
      </c>
      <c r="B84" s="26" t="str">
        <v>NY</v>
      </c>
      <c r="C84" s="26" t="str">
        <f>Sites[[#This Row],[SOL'#]]</f>
        <v>SOL-10829</v>
      </c>
      <c r="D84" s="21">
        <v>81604</v>
      </c>
      <c r="E84" s="11">
        <v>0</v>
      </c>
      <c r="F84" s="11">
        <f t="shared" si="12"/>
        <v>81604</v>
      </c>
      <c r="G84" s="12" t="str">
        <f t="shared" si="13"/>
        <v/>
      </c>
      <c r="H84" s="13">
        <v>131400.47</v>
      </c>
      <c r="I84" s="13">
        <f t="shared" si="14"/>
        <v>-49796.47</v>
      </c>
      <c r="J84" s="14">
        <f t="shared" si="15"/>
        <v>-0.37896721373979864</v>
      </c>
      <c r="K84" s="38" t="s">
        <v>70</v>
      </c>
      <c r="L84" s="38" t="s">
        <v>71</v>
      </c>
    </row>
    <row r="85" spans="1:12" ht="15.75">
      <c r="A85" s="27" t="str">
        <v>Big Tree</v>
      </c>
      <c r="B85" s="28" t="str">
        <v>NY</v>
      </c>
      <c r="C85" s="28" t="str">
        <f>Sites[[#This Row],[SOL'#]]</f>
        <v>SOL-10966</v>
      </c>
      <c r="D85" s="10">
        <v>32655</v>
      </c>
      <c r="E85" s="15">
        <v>0</v>
      </c>
      <c r="F85" s="15">
        <f t="shared" si="12"/>
        <v>32655</v>
      </c>
      <c r="G85" s="16" t="str">
        <f t="shared" si="13"/>
        <v/>
      </c>
      <c r="H85" s="17">
        <v>107924</v>
      </c>
      <c r="I85" s="17">
        <f t="shared" si="14"/>
        <v>-75269</v>
      </c>
      <c r="J85" s="16">
        <f t="shared" si="15"/>
        <v>-0.69742596642081467</v>
      </c>
      <c r="K85" s="39" t="s">
        <v>24</v>
      </c>
      <c r="L85" s="40" t="s">
        <v>31</v>
      </c>
    </row>
    <row r="86" spans="1:12" ht="42.75">
      <c r="A86" s="25" t="str">
        <v>Canoga</v>
      </c>
      <c r="B86" s="26" t="str">
        <v>NY</v>
      </c>
      <c r="C86" s="26" t="str">
        <f>Sites[[#This Row],[SOL'#]]</f>
        <v>SOL-10965</v>
      </c>
      <c r="D86" s="21">
        <v>219933</v>
      </c>
      <c r="E86" s="11">
        <v>0</v>
      </c>
      <c r="F86" s="11">
        <f t="shared" si="12"/>
        <v>219933</v>
      </c>
      <c r="G86" s="12" t="str">
        <f t="shared" si="13"/>
        <v/>
      </c>
      <c r="H86" s="13">
        <v>305951</v>
      </c>
      <c r="I86" s="13">
        <f t="shared" si="14"/>
        <v>-86018</v>
      </c>
      <c r="J86" s="14">
        <f t="shared" si="15"/>
        <v>-0.2811495958503159</v>
      </c>
      <c r="K86" s="38" t="s">
        <v>72</v>
      </c>
      <c r="L86" s="38" t="s">
        <v>73</v>
      </c>
    </row>
    <row r="87" spans="1:12" ht="71.25">
      <c r="A87" s="27" t="str">
        <v>County Route 84</v>
      </c>
      <c r="B87" s="28" t="str">
        <v>NY</v>
      </c>
      <c r="C87" s="28" t="str">
        <f>Sites[[#This Row],[SOL'#]]</f>
        <v>SOL-10967</v>
      </c>
      <c r="D87" s="10">
        <v>240973</v>
      </c>
      <c r="E87" s="15">
        <v>0</v>
      </c>
      <c r="F87" s="15">
        <f t="shared" si="12"/>
        <v>240973</v>
      </c>
      <c r="G87" s="16" t="str">
        <f t="shared" si="13"/>
        <v/>
      </c>
      <c r="H87" s="17">
        <v>377147</v>
      </c>
      <c r="I87" s="17">
        <f t="shared" si="14"/>
        <v>-136174</v>
      </c>
      <c r="J87" s="16">
        <f t="shared" si="15"/>
        <v>-0.36106345801504452</v>
      </c>
      <c r="K87" s="39" t="s">
        <v>74</v>
      </c>
      <c r="L87" s="40" t="s">
        <v>75</v>
      </c>
    </row>
    <row r="88" spans="1:12" ht="15.75">
      <c r="A88" s="25" t="str">
        <v>Donati</v>
      </c>
      <c r="B88" s="26" t="str">
        <v>NY</v>
      </c>
      <c r="C88" s="26" t="str">
        <f>Sites[[#This Row],[SOL'#]]</f>
        <v>SOL-10968</v>
      </c>
      <c r="D88" s="21">
        <v>82618</v>
      </c>
      <c r="E88" s="11">
        <v>0</v>
      </c>
      <c r="F88" s="11">
        <f t="shared" si="12"/>
        <v>82618</v>
      </c>
      <c r="G88" s="12" t="str">
        <f t="shared" si="13"/>
        <v/>
      </c>
      <c r="H88" s="13">
        <v>120408</v>
      </c>
      <c r="I88" s="13">
        <f t="shared" si="14"/>
        <v>-37790</v>
      </c>
      <c r="J88" s="14">
        <f t="shared" si="15"/>
        <v>-0.31384957810112285</v>
      </c>
      <c r="K88" s="38" t="s">
        <v>76</v>
      </c>
      <c r="L88" s="38" t="s">
        <v>77</v>
      </c>
    </row>
    <row r="89" spans="1:12" ht="15.75">
      <c r="A89" s="27" t="str">
        <v>Henrietta</v>
      </c>
      <c r="B89" s="28" t="str">
        <v>NY</v>
      </c>
      <c r="C89" s="28" t="str">
        <f>Sites[[#This Row],[SOL'#]]</f>
        <v>SOL-10972</v>
      </c>
      <c r="D89" s="10">
        <v>149508</v>
      </c>
      <c r="E89" s="15">
        <v>0</v>
      </c>
      <c r="F89" s="15">
        <f t="shared" si="12"/>
        <v>149508</v>
      </c>
      <c r="G89" s="16" t="str">
        <f t="shared" si="13"/>
        <v/>
      </c>
      <c r="H89" s="17">
        <v>231860</v>
      </c>
      <c r="I89" s="17">
        <f t="shared" si="14"/>
        <v>-82352</v>
      </c>
      <c r="J89" s="16">
        <f t="shared" si="15"/>
        <v>-0.35517984990942808</v>
      </c>
      <c r="K89" s="39" t="s">
        <v>78</v>
      </c>
      <c r="L89" s="39" t="s">
        <v>79</v>
      </c>
    </row>
    <row r="90" spans="1:12" ht="28.5">
      <c r="A90" s="25" t="str">
        <v>NY 70</v>
      </c>
      <c r="B90" s="26" t="str">
        <v>NY</v>
      </c>
      <c r="C90" s="26" t="str">
        <f>Sites[[#This Row],[SOL'#]]</f>
        <v>SOL-10970</v>
      </c>
      <c r="D90" s="21">
        <v>202299</v>
      </c>
      <c r="E90" s="11">
        <v>0</v>
      </c>
      <c r="F90" s="11">
        <f t="shared" si="12"/>
        <v>202299</v>
      </c>
      <c r="G90" s="12" t="str">
        <f t="shared" si="13"/>
        <v/>
      </c>
      <c r="H90" s="13">
        <v>360230</v>
      </c>
      <c r="I90" s="13">
        <f t="shared" si="14"/>
        <v>-157931</v>
      </c>
      <c r="J90" s="14">
        <f t="shared" si="15"/>
        <v>-0.43841712239402603</v>
      </c>
      <c r="K90" s="38" t="s">
        <v>80</v>
      </c>
      <c r="L90" s="38" t="s">
        <v>81</v>
      </c>
    </row>
    <row r="91" spans="1:12" ht="15.75">
      <c r="A91" s="27" t="str">
        <v>Reid</v>
      </c>
      <c r="B91" s="28" t="str">
        <v>NY</v>
      </c>
      <c r="C91" s="28" t="str">
        <f>Sites[[#This Row],[SOL'#]]</f>
        <v>SOL-10991</v>
      </c>
      <c r="D91" s="10">
        <v>161556.07105237199</v>
      </c>
      <c r="E91" s="15">
        <v>184058</v>
      </c>
      <c r="F91" s="15">
        <f t="shared" si="12"/>
        <v>-22501.92894762801</v>
      </c>
      <c r="G91" s="16">
        <f t="shared" si="13"/>
        <v>-0.12225455534466315</v>
      </c>
      <c r="H91" s="17">
        <v>380016</v>
      </c>
      <c r="I91" s="17">
        <f t="shared" si="14"/>
        <v>-218459.92894762801</v>
      </c>
      <c r="J91" s="16">
        <f t="shared" si="15"/>
        <v>-0.57487034479502974</v>
      </c>
      <c r="K91" s="39" t="s">
        <v>24</v>
      </c>
      <c r="L91" s="40" t="s">
        <v>31</v>
      </c>
    </row>
    <row r="92" spans="1:12" ht="15.75">
      <c r="A92" s="25" t="str">
        <v>Sangolqui</v>
      </c>
      <c r="B92" s="26" t="str">
        <v>NY</v>
      </c>
      <c r="C92" s="26" t="str">
        <f>Sites[[#This Row],[SOL'#]]</f>
        <v>SOL-10975</v>
      </c>
      <c r="D92" s="21">
        <v>76404</v>
      </c>
      <c r="E92" s="11">
        <v>0</v>
      </c>
      <c r="F92" s="11">
        <f t="shared" si="12"/>
        <v>76404</v>
      </c>
      <c r="G92" s="12" t="str">
        <f t="shared" si="13"/>
        <v/>
      </c>
      <c r="H92" s="13">
        <v>117423</v>
      </c>
      <c r="I92" s="13">
        <f t="shared" si="14"/>
        <v>-41019</v>
      </c>
      <c r="J92" s="14">
        <f t="shared" si="15"/>
        <v>-0.34932679287703433</v>
      </c>
      <c r="K92" s="38" t="s">
        <v>82</v>
      </c>
      <c r="L92" s="38" t="s">
        <v>83</v>
      </c>
    </row>
    <row r="93" spans="1:12" ht="31.5">
      <c r="A93" s="27" t="str">
        <v>State Highway 17B</v>
      </c>
      <c r="B93" s="28" t="str">
        <v>NY</v>
      </c>
      <c r="C93" s="28" t="str">
        <f>Sites[[#This Row],[SOL'#]]</f>
        <v>SOL-10988</v>
      </c>
      <c r="D93" s="10">
        <v>175181</v>
      </c>
      <c r="E93" s="15">
        <v>0</v>
      </c>
      <c r="F93" s="15">
        <f t="shared" si="12"/>
        <v>175181</v>
      </c>
      <c r="G93" s="16" t="str">
        <f t="shared" si="13"/>
        <v/>
      </c>
      <c r="H93" s="17">
        <v>323774</v>
      </c>
      <c r="I93" s="17">
        <f t="shared" si="14"/>
        <v>-148593</v>
      </c>
      <c r="J93" s="16">
        <f t="shared" si="15"/>
        <v>-0.45894049553083321</v>
      </c>
      <c r="K93" s="39" t="s">
        <v>84</v>
      </c>
      <c r="L93" s="40" t="s">
        <v>85</v>
      </c>
    </row>
    <row r="94" spans="1:12" ht="15.75">
      <c r="A94" s="25" t="str">
        <v>State Route 14A</v>
      </c>
      <c r="B94" s="26" t="str">
        <v>NY</v>
      </c>
      <c r="C94" s="26" t="str">
        <f>Sites[[#This Row],[SOL'#]]</f>
        <v>SOL-10997</v>
      </c>
      <c r="D94" s="21">
        <v>251217</v>
      </c>
      <c r="E94" s="11">
        <v>0</v>
      </c>
      <c r="F94" s="11">
        <f t="shared" si="12"/>
        <v>251217</v>
      </c>
      <c r="G94" s="12" t="str">
        <f t="shared" si="13"/>
        <v/>
      </c>
      <c r="H94" s="13">
        <v>347615</v>
      </c>
      <c r="I94" s="13">
        <f t="shared" si="14"/>
        <v>-96398</v>
      </c>
      <c r="J94" s="14">
        <f t="shared" si="15"/>
        <v>-0.27731254405017047</v>
      </c>
      <c r="K94" s="38" t="s">
        <v>86</v>
      </c>
      <c r="L94" s="38" t="s">
        <v>87</v>
      </c>
    </row>
    <row r="95" spans="1:12" ht="15.75">
      <c r="A95" s="27" t="str">
        <v>West Creek</v>
      </c>
      <c r="B95" s="28" t="str">
        <v>NY</v>
      </c>
      <c r="C95" s="28" t="str">
        <f>Sites[[#This Row],[SOL'#]]</f>
        <v>SOL-10995</v>
      </c>
      <c r="D95" s="10">
        <v>204956</v>
      </c>
      <c r="E95" s="15">
        <v>0</v>
      </c>
      <c r="F95" s="15">
        <f t="shared" si="12"/>
        <v>204956</v>
      </c>
      <c r="G95" s="16" t="str">
        <f t="shared" si="13"/>
        <v/>
      </c>
      <c r="H95" s="17">
        <v>298444</v>
      </c>
      <c r="I95" s="17">
        <f t="shared" si="14"/>
        <v>-93488</v>
      </c>
      <c r="J95" s="16">
        <f t="shared" si="15"/>
        <v>-0.3132513972470547</v>
      </c>
      <c r="K95" s="39" t="s">
        <v>88</v>
      </c>
      <c r="L95" s="39" t="s">
        <v>89</v>
      </c>
    </row>
    <row r="96" spans="1:12" ht="42.75">
      <c r="A96" s="25" t="str">
        <v>Wildflower</v>
      </c>
      <c r="B96" s="26" t="str">
        <v>NY</v>
      </c>
      <c r="C96" s="26" t="str">
        <f>Sites[[#This Row],[SOL'#]]</f>
        <v>SOL-10982</v>
      </c>
      <c r="D96" s="21">
        <v>222902</v>
      </c>
      <c r="E96" s="11">
        <v>0</v>
      </c>
      <c r="F96" s="11">
        <f t="shared" si="12"/>
        <v>222902</v>
      </c>
      <c r="G96" s="12" t="str">
        <f t="shared" si="13"/>
        <v/>
      </c>
      <c r="H96" s="13">
        <v>406945</v>
      </c>
      <c r="I96" s="13">
        <f t="shared" si="14"/>
        <v>-184043</v>
      </c>
      <c r="J96" s="14">
        <f t="shared" si="15"/>
        <v>-0.45225521876420649</v>
      </c>
      <c r="K96" s="38" t="s">
        <v>90</v>
      </c>
      <c r="L96" s="38" t="s">
        <v>91</v>
      </c>
    </row>
    <row r="97" spans="1:12" ht="15.75">
      <c r="A97" s="27" t="str">
        <v>Glen Mary 1</v>
      </c>
      <c r="B97" s="28" t="str">
        <v>NY</v>
      </c>
      <c r="C97" s="28" t="str">
        <f>Sites[[#This Row],[SOL'#]]</f>
        <v>SOL-10993</v>
      </c>
      <c r="D97" s="10">
        <v>90965</v>
      </c>
      <c r="E97" s="15">
        <v>0</v>
      </c>
      <c r="F97" s="15">
        <f t="shared" si="12"/>
        <v>90965</v>
      </c>
      <c r="G97" s="16" t="str">
        <f t="shared" si="13"/>
        <v/>
      </c>
      <c r="H97" s="17">
        <v>0</v>
      </c>
      <c r="I97" s="17">
        <f t="shared" si="14"/>
        <v>90965</v>
      </c>
      <c r="J97" s="16" t="str">
        <f t="shared" si="15"/>
        <v/>
      </c>
      <c r="K97" s="39" t="s">
        <v>24</v>
      </c>
      <c r="L97" s="40" t="s">
        <v>31</v>
      </c>
    </row>
    <row r="98" spans="1:12" ht="15.75">
      <c r="A98" s="25" t="str">
        <v>Glen Mary 2</v>
      </c>
      <c r="B98" s="26" t="str">
        <v>NY</v>
      </c>
      <c r="C98" s="26" t="str">
        <f>Sites[[#This Row],[SOL'#]]</f>
        <v>SOL-10994</v>
      </c>
      <c r="D98" s="21">
        <v>39864</v>
      </c>
      <c r="E98" s="11">
        <v>0</v>
      </c>
      <c r="F98" s="11">
        <f t="shared" si="12"/>
        <v>39864</v>
      </c>
      <c r="G98" s="12" t="str">
        <f t="shared" si="13"/>
        <v/>
      </c>
      <c r="H98" s="13">
        <v>159217</v>
      </c>
      <c r="I98" s="13">
        <f t="shared" si="14"/>
        <v>-119353</v>
      </c>
      <c r="J98" s="14">
        <f t="shared" si="15"/>
        <v>-0.74962472600287655</v>
      </c>
      <c r="K98" s="38" t="s">
        <v>24</v>
      </c>
      <c r="L98" s="38" t="s">
        <v>31</v>
      </c>
    </row>
    <row r="99" spans="1:12" ht="31.5">
      <c r="A99" s="27" t="str">
        <v>Telegraph 1</v>
      </c>
      <c r="B99" s="28" t="str">
        <v>NY</v>
      </c>
      <c r="C99" s="28" t="str">
        <f>Sites[[#This Row],[SOL'#]]</f>
        <v>SOL-11003</v>
      </c>
      <c r="D99" s="10">
        <v>54564</v>
      </c>
      <c r="E99" s="15">
        <v>0</v>
      </c>
      <c r="F99" s="15">
        <f t="shared" si="12"/>
        <v>54564</v>
      </c>
      <c r="G99" s="16" t="str">
        <f t="shared" si="13"/>
        <v/>
      </c>
      <c r="H99" s="17">
        <v>264699</v>
      </c>
      <c r="I99" s="17">
        <f t="shared" si="14"/>
        <v>-210135</v>
      </c>
      <c r="J99" s="16">
        <f t="shared" si="15"/>
        <v>-0.79386397379665208</v>
      </c>
      <c r="K99" s="39" t="s">
        <v>92</v>
      </c>
      <c r="L99" s="40" t="s">
        <v>93</v>
      </c>
    </row>
    <row r="100" spans="1:12" ht="28.5">
      <c r="A100" s="25" t="str">
        <v>Telegraph 2</v>
      </c>
      <c r="B100" s="26" t="str">
        <v>NY</v>
      </c>
      <c r="C100" s="26" t="str">
        <f>Sites[[#This Row],[SOL'#]]</f>
        <v>SOL-11004</v>
      </c>
      <c r="D100" s="21">
        <v>29393</v>
      </c>
      <c r="E100" s="11">
        <v>0</v>
      </c>
      <c r="F100" s="11">
        <f t="shared" si="12"/>
        <v>29393</v>
      </c>
      <c r="G100" s="12" t="str">
        <f t="shared" si="13"/>
        <v/>
      </c>
      <c r="H100" s="13">
        <v>137325</v>
      </c>
      <c r="I100" s="13">
        <f t="shared" si="14"/>
        <v>-107932</v>
      </c>
      <c r="J100" s="14">
        <f t="shared" si="15"/>
        <v>-0.78596031312579651</v>
      </c>
      <c r="K100" s="38" t="s">
        <v>92</v>
      </c>
      <c r="L100" s="38" t="s">
        <v>94</v>
      </c>
    </row>
    <row r="101" spans="1:12" ht="15.75">
      <c r="A101" s="27" t="str">
        <v>Cafferty Hill</v>
      </c>
      <c r="B101" s="28" t="str">
        <v>NY</v>
      </c>
      <c r="C101" s="28" t="str">
        <f>Sites[[#This Row],[SOL'#]]</f>
        <v>SOL-10996</v>
      </c>
      <c r="D101" s="10">
        <v>100252</v>
      </c>
      <c r="E101" s="15">
        <v>0</v>
      </c>
      <c r="F101" s="15">
        <f t="shared" si="12"/>
        <v>100252</v>
      </c>
      <c r="G101" s="16" t="str">
        <f t="shared" si="13"/>
        <v/>
      </c>
      <c r="H101" s="17">
        <v>312360</v>
      </c>
      <c r="I101" s="17">
        <f t="shared" si="14"/>
        <v>-212108</v>
      </c>
      <c r="J101" s="16">
        <f t="shared" si="15"/>
        <v>-0.67904981431681388</v>
      </c>
      <c r="K101" s="39" t="s">
        <v>24</v>
      </c>
      <c r="L101" s="39" t="s">
        <v>24</v>
      </c>
    </row>
    <row r="102" spans="1:12" ht="42.75">
      <c r="A102" s="25" t="str">
        <v>Dunkleman</v>
      </c>
      <c r="B102" s="26" t="str">
        <v>NY</v>
      </c>
      <c r="C102" s="26" t="str">
        <f>Sites[[#This Row],[SOL'#]]</f>
        <v>SOL-11008</v>
      </c>
      <c r="D102" s="21">
        <v>83950</v>
      </c>
      <c r="E102" s="11">
        <v>0</v>
      </c>
      <c r="F102" s="11">
        <f t="shared" si="12"/>
        <v>83950</v>
      </c>
      <c r="G102" s="12" t="str">
        <f t="shared" si="13"/>
        <v/>
      </c>
      <c r="H102" s="13">
        <v>0</v>
      </c>
      <c r="I102" s="13">
        <f t="shared" si="14"/>
        <v>83950</v>
      </c>
      <c r="J102" s="14" t="str">
        <f t="shared" si="15"/>
        <v/>
      </c>
      <c r="K102" s="38" t="s">
        <v>95</v>
      </c>
      <c r="L102" s="38" t="s">
        <v>96</v>
      </c>
    </row>
    <row r="103" spans="1:12" ht="31.5">
      <c r="A103" s="27" t="str">
        <v>Route 19 1</v>
      </c>
      <c r="B103" s="28" t="str">
        <v>NY</v>
      </c>
      <c r="C103" s="28" t="str">
        <f>Sites[[#This Row],[SOL'#]]</f>
        <v>SOL-11001</v>
      </c>
      <c r="D103" s="10">
        <v>29341</v>
      </c>
      <c r="E103" s="15">
        <v>0</v>
      </c>
      <c r="F103" s="15">
        <f t="shared" si="12"/>
        <v>29341</v>
      </c>
      <c r="G103" s="16" t="str">
        <f t="shared" si="13"/>
        <v/>
      </c>
      <c r="H103" s="17">
        <v>133344</v>
      </c>
      <c r="I103" s="17">
        <f t="shared" si="14"/>
        <v>-104003</v>
      </c>
      <c r="J103" s="16">
        <f t="shared" si="15"/>
        <v>-0.77996010319174469</v>
      </c>
      <c r="K103" s="39" t="s">
        <v>92</v>
      </c>
      <c r="L103" s="40" t="s">
        <v>97</v>
      </c>
    </row>
    <row r="104" spans="1:12" ht="28.5">
      <c r="A104" s="25" t="str">
        <v>Route 19 2</v>
      </c>
      <c r="B104" s="26" t="str">
        <v>NY</v>
      </c>
      <c r="C104" s="26" t="str">
        <f>Sites[[#This Row],[SOL'#]]</f>
        <v>SOL-11002</v>
      </c>
      <c r="D104" s="21">
        <v>66472</v>
      </c>
      <c r="E104" s="11">
        <v>0</v>
      </c>
      <c r="F104" s="11">
        <f t="shared" si="12"/>
        <v>66472</v>
      </c>
      <c r="G104" s="12" t="str">
        <f t="shared" si="13"/>
        <v/>
      </c>
      <c r="H104" s="13">
        <v>361225</v>
      </c>
      <c r="I104" s="13">
        <f t="shared" si="14"/>
        <v>-294753</v>
      </c>
      <c r="J104" s="14">
        <f t="shared" si="15"/>
        <v>-0.81598172883936604</v>
      </c>
      <c r="K104" s="38" t="s">
        <v>92</v>
      </c>
      <c r="L104" s="38" t="s">
        <v>98</v>
      </c>
    </row>
    <row r="105" spans="1:12" ht="31.5">
      <c r="A105" s="27" t="str">
        <v>Yellow Mills 1</v>
      </c>
      <c r="B105" s="28" t="str">
        <v>NY</v>
      </c>
      <c r="C105" s="28" t="str">
        <f>Sites[[#This Row],[SOL'#]]</f>
        <v>SOL-11006</v>
      </c>
      <c r="D105" s="10">
        <v>31915</v>
      </c>
      <c r="E105" s="15">
        <v>0</v>
      </c>
      <c r="F105" s="15">
        <f t="shared" si="12"/>
        <v>31915</v>
      </c>
      <c r="G105" s="16" t="str">
        <f t="shared" si="13"/>
        <v/>
      </c>
      <c r="H105" s="17">
        <v>0</v>
      </c>
      <c r="I105" s="17">
        <f t="shared" si="14"/>
        <v>31915</v>
      </c>
      <c r="J105" s="16" t="str">
        <f t="shared" si="15"/>
        <v/>
      </c>
      <c r="K105" s="39" t="s">
        <v>99</v>
      </c>
      <c r="L105" s="40" t="s">
        <v>100</v>
      </c>
    </row>
    <row r="106" spans="1:12" ht="28.5">
      <c r="A106" s="25" t="str">
        <v>Yellow Mills 2</v>
      </c>
      <c r="B106" s="26" t="str">
        <v>NY</v>
      </c>
      <c r="C106" s="26" t="str">
        <f>Sites[[#This Row],[SOL'#]]</f>
        <v>SOL-11005</v>
      </c>
      <c r="D106" s="21">
        <v>31675</v>
      </c>
      <c r="E106" s="11">
        <v>0</v>
      </c>
      <c r="F106" s="11">
        <f t="shared" si="12"/>
        <v>31675</v>
      </c>
      <c r="G106" s="12" t="str">
        <f t="shared" si="13"/>
        <v/>
      </c>
      <c r="H106" s="13">
        <v>0</v>
      </c>
      <c r="I106" s="13">
        <f t="shared" si="14"/>
        <v>31675</v>
      </c>
      <c r="J106" s="14" t="str">
        <f t="shared" si="15"/>
        <v/>
      </c>
      <c r="K106" s="38" t="s">
        <v>99</v>
      </c>
      <c r="L106" s="38" t="s">
        <v>101</v>
      </c>
    </row>
    <row r="107" spans="1:12" ht="31.5">
      <c r="A107" s="27" t="str">
        <v>Yellow Mills 3</v>
      </c>
      <c r="B107" s="28" t="str">
        <v>NY</v>
      </c>
      <c r="C107" s="28" t="str">
        <f>Sites[[#This Row],[SOL'#]]</f>
        <v>SOL-11007</v>
      </c>
      <c r="D107" s="10">
        <v>68145</v>
      </c>
      <c r="E107" s="15">
        <v>0</v>
      </c>
      <c r="F107" s="15">
        <f t="shared" si="12"/>
        <v>68145</v>
      </c>
      <c r="G107" s="16" t="str">
        <f t="shared" si="13"/>
        <v/>
      </c>
      <c r="H107" s="17">
        <v>0</v>
      </c>
      <c r="I107" s="17">
        <f t="shared" si="14"/>
        <v>68145</v>
      </c>
      <c r="J107" s="16" t="str">
        <f t="shared" si="15"/>
        <v/>
      </c>
      <c r="K107" s="39" t="s">
        <v>99</v>
      </c>
      <c r="L107" s="40" t="s">
        <v>102</v>
      </c>
    </row>
    <row r="108" spans="1:12" ht="42.75">
      <c r="A108" s="25" t="str">
        <v>Catskill</v>
      </c>
      <c r="B108" s="26" t="str">
        <v>NY</v>
      </c>
      <c r="C108" s="26" t="str">
        <f>Sites[[#This Row],[SOL'#]]</f>
        <v>SOL-11021</v>
      </c>
      <c r="D108" s="21">
        <v>186426</v>
      </c>
      <c r="E108" s="11">
        <v>0</v>
      </c>
      <c r="F108" s="11">
        <f t="shared" si="12"/>
        <v>186426</v>
      </c>
      <c r="G108" s="12" t="str">
        <f t="shared" si="13"/>
        <v/>
      </c>
      <c r="H108" s="13">
        <v>0</v>
      </c>
      <c r="I108" s="13">
        <f t="shared" si="14"/>
        <v>186426</v>
      </c>
      <c r="J108" s="14" t="str">
        <f t="shared" si="15"/>
        <v/>
      </c>
      <c r="K108" s="38" t="s">
        <v>103</v>
      </c>
      <c r="L108" s="38" t="s">
        <v>104</v>
      </c>
    </row>
    <row r="109" spans="1:12" ht="28.5">
      <c r="A109" s="27" t="str">
        <v>Eddy Ridge</v>
      </c>
      <c r="B109" s="28" t="str">
        <v>NY</v>
      </c>
      <c r="C109" s="28" t="str">
        <f>Sites[[#This Row],[SOL'#]]</f>
        <v>SOL-11054</v>
      </c>
      <c r="D109" s="10">
        <v>108825</v>
      </c>
      <c r="E109" s="15">
        <v>0</v>
      </c>
      <c r="F109" s="15">
        <f t="shared" si="12"/>
        <v>108825</v>
      </c>
      <c r="G109" s="16" t="str">
        <f t="shared" si="13"/>
        <v/>
      </c>
      <c r="H109" s="17">
        <v>0</v>
      </c>
      <c r="I109" s="17">
        <f t="shared" si="14"/>
        <v>108825</v>
      </c>
      <c r="J109" s="16" t="str">
        <f t="shared" si="15"/>
        <v/>
      </c>
      <c r="K109" s="39" t="s">
        <v>105</v>
      </c>
      <c r="L109" s="40" t="s">
        <v>106</v>
      </c>
    </row>
    <row r="110" spans="1:12" ht="15.75">
      <c r="A110" s="25" t="str">
        <v>Ridgeway #1</v>
      </c>
      <c r="B110" s="26" t="str">
        <v>NY</v>
      </c>
      <c r="C110" s="26" t="str">
        <f>Sites[[#This Row],[SOL'#]]</f>
        <v>SOL-11018</v>
      </c>
      <c r="D110" s="21">
        <v>0</v>
      </c>
      <c r="E110" s="11">
        <v>0</v>
      </c>
      <c r="F110" s="11">
        <f t="shared" si="12"/>
        <v>0</v>
      </c>
      <c r="G110" s="12" t="str">
        <f t="shared" si="13"/>
        <v/>
      </c>
      <c r="H110" s="13">
        <v>0</v>
      </c>
      <c r="I110" s="13">
        <f t="shared" si="14"/>
        <v>0</v>
      </c>
      <c r="J110" s="14" t="str">
        <f t="shared" si="15"/>
        <v/>
      </c>
      <c r="K110" s="38" t="s">
        <v>107</v>
      </c>
      <c r="L110" s="38" t="s">
        <v>24</v>
      </c>
    </row>
    <row r="111" spans="1:12" ht="28.5">
      <c r="A111" s="27" t="str">
        <v>Rivard 1</v>
      </c>
      <c r="B111" s="28" t="str">
        <v>NY</v>
      </c>
      <c r="C111" s="28" t="str">
        <f>Sites[[#This Row],[SOL'#]]</f>
        <v>SOL-11011</v>
      </c>
      <c r="D111" s="10">
        <v>148695.250778894</v>
      </c>
      <c r="E111" s="15">
        <v>188962.4</v>
      </c>
      <c r="F111" s="15">
        <f t="shared" si="12"/>
        <v>-40267.149221105996</v>
      </c>
      <c r="G111" s="16">
        <f t="shared" si="13"/>
        <v>-0.21309609330272053</v>
      </c>
      <c r="H111" s="17">
        <v>269901.7</v>
      </c>
      <c r="I111" s="17">
        <f t="shared" si="14"/>
        <v>-121206.44922110601</v>
      </c>
      <c r="J111" s="16">
        <f t="shared" si="15"/>
        <v>-0.44907627192087346</v>
      </c>
      <c r="K111" s="39" t="s">
        <v>108</v>
      </c>
      <c r="L111" s="40" t="s">
        <v>109</v>
      </c>
    </row>
    <row r="112" spans="1:12" ht="71.25">
      <c r="A112" s="25" t="str">
        <v>Rivard 2</v>
      </c>
      <c r="B112" s="26" t="str">
        <v>NY</v>
      </c>
      <c r="C112" s="26" t="str">
        <f>Sites[[#This Row],[SOL'#]]</f>
        <v>SOL-11012</v>
      </c>
      <c r="D112" s="21">
        <v>28249.4825870647</v>
      </c>
      <c r="E112" s="11">
        <v>48018.29</v>
      </c>
      <c r="F112" s="11">
        <f t="shared" si="12"/>
        <v>-19768.807412935301</v>
      </c>
      <c r="G112" s="12">
        <f t="shared" si="13"/>
        <v>-0.41169328214176931</v>
      </c>
      <c r="H112" s="13">
        <v>258654.9</v>
      </c>
      <c r="I112" s="13">
        <f t="shared" si="14"/>
        <v>-230405.41741293529</v>
      </c>
      <c r="J112" s="14">
        <f t="shared" si="15"/>
        <v>-0.89078311453962522</v>
      </c>
      <c r="K112" s="38" t="s">
        <v>110</v>
      </c>
      <c r="L112" s="38" t="s">
        <v>111</v>
      </c>
    </row>
    <row r="113" spans="1:12" ht="15.75">
      <c r="A113" s="27" t="str">
        <v>Essex</v>
      </c>
      <c r="B113" s="28" t="str">
        <v>DC</v>
      </c>
      <c r="C113" s="28" t="str">
        <f>Sites[[#This Row],[SOL'#]]</f>
        <v>SOL-10036</v>
      </c>
      <c r="D113" s="10">
        <v>870</v>
      </c>
      <c r="E113" s="15">
        <v>1507.5250000000001</v>
      </c>
      <c r="F113" s="15">
        <f t="shared" si="12"/>
        <v>-637.52500000000009</v>
      </c>
      <c r="G113" s="16">
        <f t="shared" si="13"/>
        <v>-0.42289514270078443</v>
      </c>
      <c r="H113" s="17">
        <v>2164.9670000000001</v>
      </c>
      <c r="I113" s="17">
        <f t="shared" si="14"/>
        <v>-1294.9670000000001</v>
      </c>
      <c r="J113" s="16">
        <f t="shared" si="15"/>
        <v>-0.59814629968955646</v>
      </c>
      <c r="K113" s="39" t="s">
        <v>24</v>
      </c>
      <c r="L113" s="39" t="s">
        <v>31</v>
      </c>
    </row>
    <row r="114" spans="1:12" ht="15.75">
      <c r="A114" s="25" t="str">
        <v>Temple Sinai</v>
      </c>
      <c r="B114" s="26" t="str">
        <v>DC</v>
      </c>
      <c r="C114" s="26" t="str">
        <f>Sites[[#This Row],[SOL'#]]</f>
        <v>SOL-10028</v>
      </c>
      <c r="D114" s="21">
        <v>2505.62</v>
      </c>
      <c r="E114" s="11">
        <v>4293.1019999999999</v>
      </c>
      <c r="F114" s="11">
        <f t="shared" si="12"/>
        <v>-1787.482</v>
      </c>
      <c r="G114" s="12">
        <f t="shared" si="13"/>
        <v>-0.41636140953557593</v>
      </c>
      <c r="H114" s="13">
        <v>5237.6580000000004</v>
      </c>
      <c r="I114" s="13">
        <f t="shared" si="14"/>
        <v>-2732.0380000000005</v>
      </c>
      <c r="J114" s="14">
        <f t="shared" si="15"/>
        <v>-0.52161443148827213</v>
      </c>
      <c r="K114" s="38" t="s">
        <v>24</v>
      </c>
      <c r="L114" s="38" t="s">
        <v>31</v>
      </c>
    </row>
    <row r="115" spans="1:12" ht="15.75">
      <c r="A115" s="27" t="str">
        <v>Weinberg 1</v>
      </c>
      <c r="B115" s="28" t="str">
        <v>DC</v>
      </c>
      <c r="C115" s="28" t="str">
        <f>Sites[[#This Row],[SOL'#]]</f>
        <v>SOL-10039</v>
      </c>
      <c r="D115" s="10">
        <v>385</v>
      </c>
      <c r="E115" s="15">
        <v>590.59410000000003</v>
      </c>
      <c r="F115" s="15">
        <f t="shared" si="12"/>
        <v>-205.59410000000003</v>
      </c>
      <c r="G115" s="16">
        <f t="shared" si="13"/>
        <v>-0.34811404313046812</v>
      </c>
      <c r="H115" s="17">
        <v>808.99249999999995</v>
      </c>
      <c r="I115" s="17">
        <f t="shared" si="14"/>
        <v>-423.99249999999995</v>
      </c>
      <c r="J115" s="16">
        <f t="shared" si="15"/>
        <v>-0.52409941995753972</v>
      </c>
      <c r="K115" s="39" t="s">
        <v>24</v>
      </c>
      <c r="L115" s="40" t="s">
        <v>31</v>
      </c>
    </row>
    <row r="116" spans="1:12" ht="15.75">
      <c r="A116" s="25" t="str">
        <v>Weinberg 2</v>
      </c>
      <c r="B116" s="26" t="str">
        <v>DC</v>
      </c>
      <c r="C116" s="26" t="str">
        <f>Sites[[#This Row],[SOL'#]]</f>
        <v>SOL-10045</v>
      </c>
      <c r="D116" s="21">
        <v>398</v>
      </c>
      <c r="E116" s="11">
        <v>563.71370000000002</v>
      </c>
      <c r="F116" s="11">
        <f t="shared" si="12"/>
        <v>-165.71370000000002</v>
      </c>
      <c r="G116" s="12">
        <f t="shared" si="13"/>
        <v>-0.2939678421865568</v>
      </c>
      <c r="H116" s="13">
        <v>862.08870000000002</v>
      </c>
      <c r="I116" s="13">
        <f t="shared" si="14"/>
        <v>-464.08870000000002</v>
      </c>
      <c r="J116" s="14">
        <f t="shared" si="15"/>
        <v>-0.53833056853662509</v>
      </c>
      <c r="K116" s="38" t="s">
        <v>24</v>
      </c>
      <c r="L116" s="38" t="s">
        <v>31</v>
      </c>
    </row>
    <row r="117" spans="1:12" ht="15.75">
      <c r="A117" s="27" t="str">
        <v>Weinberg 3</v>
      </c>
      <c r="B117" s="28" t="str">
        <v>DC</v>
      </c>
      <c r="C117" s="28" t="str">
        <f>Sites[[#This Row],[SOL'#]]</f>
        <v>SOL-10042</v>
      </c>
      <c r="D117" s="10">
        <v>464</v>
      </c>
      <c r="E117" s="15">
        <v>551.17399999999998</v>
      </c>
      <c r="F117" s="15">
        <f t="shared" si="12"/>
        <v>-87.173999999999978</v>
      </c>
      <c r="G117" s="16">
        <f t="shared" si="13"/>
        <v>-0.15816058086919918</v>
      </c>
      <c r="H117" s="17">
        <v>893</v>
      </c>
      <c r="I117" s="17">
        <f t="shared" si="14"/>
        <v>-429</v>
      </c>
      <c r="J117" s="16">
        <f t="shared" si="15"/>
        <v>-0.48040313549832026</v>
      </c>
      <c r="K117" s="39" t="s">
        <v>24</v>
      </c>
      <c r="L117" s="40" t="s">
        <v>31</v>
      </c>
    </row>
    <row r="118" spans="1:12" ht="15.75">
      <c r="A118" s="25" t="str">
        <v>Clayton Hall</v>
      </c>
      <c r="B118" s="26" t="str">
        <v>DE</v>
      </c>
      <c r="C118" s="26" t="str">
        <f>Sites[[#This Row],[SOL'#]]</f>
        <v>SOL-10820</v>
      </c>
      <c r="D118" s="21">
        <v>3000</v>
      </c>
      <c r="E118" s="11">
        <v>5979.6080000000002</v>
      </c>
      <c r="F118" s="11">
        <f t="shared" si="12"/>
        <v>-2979.6080000000002</v>
      </c>
      <c r="G118" s="12">
        <f t="shared" si="13"/>
        <v>-0.4982948715032825</v>
      </c>
      <c r="H118" s="13">
        <v>2819</v>
      </c>
      <c r="I118" s="13">
        <f t="shared" si="14"/>
        <v>181</v>
      </c>
      <c r="J118" s="14">
        <f t="shared" si="15"/>
        <v>6.4207165661582119E-2</v>
      </c>
      <c r="K118" s="38" t="s">
        <v>24</v>
      </c>
      <c r="L118" s="38" t="s">
        <v>31</v>
      </c>
    </row>
    <row r="119" spans="1:12" ht="15.75">
      <c r="A119" s="27" t="str">
        <v>Field House</v>
      </c>
      <c r="B119" s="28" t="str">
        <v>DE</v>
      </c>
      <c r="C119" s="28" t="str">
        <f>Sites[[#This Row],[SOL'#]]</f>
        <v>SOL-10821</v>
      </c>
      <c r="D119" s="10">
        <v>17646</v>
      </c>
      <c r="E119" s="15">
        <v>0</v>
      </c>
      <c r="F119" s="15">
        <f t="shared" si="12"/>
        <v>17646</v>
      </c>
      <c r="G119" s="16" t="str">
        <f t="shared" si="13"/>
        <v/>
      </c>
      <c r="H119" s="17">
        <v>28692</v>
      </c>
      <c r="I119" s="17">
        <f t="shared" si="14"/>
        <v>-11046</v>
      </c>
      <c r="J119" s="16">
        <f t="shared" si="15"/>
        <v>-0.3849853617733166</v>
      </c>
      <c r="K119" s="39" t="s">
        <v>24</v>
      </c>
      <c r="L119" s="40" t="s">
        <v>31</v>
      </c>
    </row>
    <row r="120" spans="1:12" ht="15.75">
      <c r="A120" s="25" t="str">
        <v>Wyoming Road</v>
      </c>
      <c r="B120" s="26" t="str">
        <v>DE</v>
      </c>
      <c r="C120" s="26" t="str">
        <f>Sites[[#This Row],[SOL'#]]</f>
        <v>SOL-10819</v>
      </c>
      <c r="D120" s="21">
        <v>7263</v>
      </c>
      <c r="E120" s="11">
        <v>10662</v>
      </c>
      <c r="F120" s="11">
        <f t="shared" si="12"/>
        <v>-3399</v>
      </c>
      <c r="G120" s="12">
        <f t="shared" si="13"/>
        <v>-0.31879572312886889</v>
      </c>
      <c r="H120" s="13">
        <v>16720</v>
      </c>
      <c r="I120" s="13">
        <f t="shared" si="14"/>
        <v>-9457</v>
      </c>
      <c r="J120" s="14">
        <f t="shared" si="15"/>
        <v>-0.56561004784688995</v>
      </c>
      <c r="K120" s="38" t="s">
        <v>24</v>
      </c>
      <c r="L120" s="38" t="s">
        <v>31</v>
      </c>
    </row>
    <row r="121" spans="1:12" ht="15.75">
      <c r="A121" s="27" t="str">
        <v>Leoku</v>
      </c>
      <c r="B121" s="28" t="str">
        <v>HI</v>
      </c>
      <c r="C121" s="28" t="str">
        <f>Sites[[#This Row],[SOL'#]]</f>
        <v>SOL-10071</v>
      </c>
      <c r="D121" s="10">
        <v>8344</v>
      </c>
      <c r="E121" s="15">
        <v>7977.7489999999998</v>
      </c>
      <c r="F121" s="15">
        <f t="shared" si="12"/>
        <v>366.2510000000002</v>
      </c>
      <c r="G121" s="16">
        <f t="shared" si="13"/>
        <v>4.5909065326572726E-2</v>
      </c>
      <c r="H121" s="17">
        <v>10288</v>
      </c>
      <c r="I121" s="17">
        <f t="shared" si="14"/>
        <v>-1944</v>
      </c>
      <c r="J121" s="16">
        <f t="shared" si="15"/>
        <v>-0.18895800933125972</v>
      </c>
      <c r="K121" s="39" t="s">
        <v>112</v>
      </c>
      <c r="L121" s="40" t="s">
        <v>113</v>
      </c>
    </row>
    <row r="122" spans="1:12" ht="15.75">
      <c r="A122" s="25" t="str">
        <v>Waipahu</v>
      </c>
      <c r="B122" s="26" t="str">
        <v>HI</v>
      </c>
      <c r="C122" s="26" t="str">
        <f>Sites[[#This Row],[SOL'#]]</f>
        <v>SOL-10068</v>
      </c>
      <c r="D122" s="21">
        <v>7031</v>
      </c>
      <c r="E122" s="11">
        <v>7601.15</v>
      </c>
      <c r="F122" s="11">
        <f t="shared" si="12"/>
        <v>-570.14999999999964</v>
      </c>
      <c r="G122" s="12">
        <f t="shared" si="13"/>
        <v>-7.5008386888825995E-2</v>
      </c>
      <c r="H122" s="13">
        <v>10288</v>
      </c>
      <c r="I122" s="13">
        <f t="shared" si="14"/>
        <v>-3257</v>
      </c>
      <c r="J122" s="14">
        <f t="shared" si="15"/>
        <v>-0.31658242612752724</v>
      </c>
      <c r="K122" s="38" t="s">
        <v>114</v>
      </c>
      <c r="L122" s="38" t="s">
        <v>115</v>
      </c>
    </row>
    <row r="123" spans="1:12" ht="15.75">
      <c r="A123" s="27" t="str">
        <v>Bird in Hand</v>
      </c>
      <c r="B123" s="28" t="str">
        <v>MD</v>
      </c>
      <c r="C123" s="28" t="str">
        <f>Sites[[#This Row],[SOL'#]]</f>
        <v>SOL-10092</v>
      </c>
      <c r="D123" s="10">
        <v>82202</v>
      </c>
      <c r="E123" s="15">
        <v>92318.48</v>
      </c>
      <c r="F123" s="15">
        <f t="shared" si="12"/>
        <v>-10116.479999999996</v>
      </c>
      <c r="G123" s="16">
        <f t="shared" si="13"/>
        <v>-0.10958239347094965</v>
      </c>
      <c r="H123" s="17">
        <v>127325.2</v>
      </c>
      <c r="I123" s="17">
        <f t="shared" si="14"/>
        <v>-45123.199999999997</v>
      </c>
      <c r="J123" s="16">
        <f t="shared" si="15"/>
        <v>-0.35439331726948003</v>
      </c>
      <c r="K123" s="39" t="s">
        <v>24</v>
      </c>
      <c r="L123" s="40" t="s">
        <v>31</v>
      </c>
    </row>
    <row r="124" spans="1:12" ht="15.75">
      <c r="A124" s="25" t="str">
        <v>Shortal</v>
      </c>
      <c r="B124" s="26" t="str">
        <v>MD</v>
      </c>
      <c r="C124" s="26" t="str">
        <f>Sites[[#This Row],[SOL'#]]</f>
        <v>SOL-10091</v>
      </c>
      <c r="D124" s="21">
        <v>86841</v>
      </c>
      <c r="E124" s="11">
        <v>66423.12</v>
      </c>
      <c r="F124" s="11">
        <f t="shared" si="12"/>
        <v>20417.880000000005</v>
      </c>
      <c r="G124" s="12">
        <f t="shared" si="13"/>
        <v>0.30739116139079292</v>
      </c>
      <c r="H124" s="13">
        <v>6278.299</v>
      </c>
      <c r="I124" s="13">
        <f t="shared" si="14"/>
        <v>80562.701000000001</v>
      </c>
      <c r="J124" s="14">
        <f t="shared" si="15"/>
        <v>12.831931228506321</v>
      </c>
      <c r="K124" s="38" t="s">
        <v>24</v>
      </c>
      <c r="L124" s="38" t="s">
        <v>31</v>
      </c>
    </row>
    <row r="125" spans="1:12" ht="15.75">
      <c r="A125" s="27" t="str">
        <v>Aguadilla</v>
      </c>
      <c r="B125" s="28" t="str">
        <v>PR</v>
      </c>
      <c r="C125" s="28" t="str">
        <f>Sites[[#This Row],[SOL'#]]</f>
        <v>SOL-10072</v>
      </c>
      <c r="D125" s="10">
        <v>17577</v>
      </c>
      <c r="E125" s="15">
        <v>15476.68</v>
      </c>
      <c r="F125" s="15">
        <f t="shared" si="12"/>
        <v>2100.3199999999997</v>
      </c>
      <c r="G125" s="16">
        <f t="shared" si="13"/>
        <v>0.13570869204506392</v>
      </c>
      <c r="H125" s="17">
        <v>18224</v>
      </c>
      <c r="I125" s="17">
        <f t="shared" si="14"/>
        <v>-647</v>
      </c>
      <c r="J125" s="16">
        <f t="shared" si="15"/>
        <v>-3.5502633889376647E-2</v>
      </c>
      <c r="K125" s="39" t="s">
        <v>116</v>
      </c>
      <c r="L125" s="39" t="s">
        <v>117</v>
      </c>
    </row>
    <row r="126" spans="1:12" ht="57">
      <c r="A126" s="25" t="str">
        <v>Bayamon</v>
      </c>
      <c r="B126" s="26" t="str">
        <v>PR</v>
      </c>
      <c r="C126" s="26" t="str">
        <f>Sites[[#This Row],[SOL'#]]</f>
        <v>SOL-10073</v>
      </c>
      <c r="D126" s="21">
        <v>52498</v>
      </c>
      <c r="E126" s="11">
        <v>58863.74</v>
      </c>
      <c r="F126" s="11">
        <f t="shared" si="12"/>
        <v>-6365.739999999998</v>
      </c>
      <c r="G126" s="12">
        <f t="shared" si="13"/>
        <v>-0.10814365516020556</v>
      </c>
      <c r="H126" s="13">
        <v>0</v>
      </c>
      <c r="I126" s="13">
        <f t="shared" si="14"/>
        <v>52498</v>
      </c>
      <c r="J126" s="14" t="str">
        <f t="shared" si="15"/>
        <v/>
      </c>
      <c r="K126" s="38" t="s">
        <v>118</v>
      </c>
      <c r="L126" s="38" t="s">
        <v>119</v>
      </c>
    </row>
    <row r="127" spans="1:12" ht="57">
      <c r="A127" s="27" t="str">
        <v>St Francis</v>
      </c>
      <c r="B127" s="28" t="str">
        <v>PR</v>
      </c>
      <c r="C127" s="28" t="str">
        <f>Sites[[#This Row],[SOL'#]]</f>
        <v>SOL-10034</v>
      </c>
      <c r="D127" s="10">
        <v>13494</v>
      </c>
      <c r="E127" s="15">
        <v>34760.43</v>
      </c>
      <c r="F127" s="15">
        <f t="shared" si="12"/>
        <v>-21266.43</v>
      </c>
      <c r="G127" s="16">
        <f t="shared" si="13"/>
        <v>-0.61179996910279877</v>
      </c>
      <c r="H127" s="17">
        <v>23239</v>
      </c>
      <c r="I127" s="17">
        <f t="shared" si="14"/>
        <v>-9745</v>
      </c>
      <c r="J127" s="16">
        <f t="shared" si="15"/>
        <v>-0.41933818150522828</v>
      </c>
      <c r="K127" s="39" t="s">
        <v>120</v>
      </c>
      <c r="L127" s="39" t="s">
        <v>121</v>
      </c>
    </row>
    <row r="128" spans="1:12" ht="15.75">
      <c r="A128" s="25" t="str">
        <v>Seaport</v>
      </c>
      <c r="B128" s="26" t="str">
        <v>MA</v>
      </c>
      <c r="C128" s="26" t="str">
        <f>Sites[[#This Row],[SOL'#]]</f>
        <v>SOL-10772</v>
      </c>
      <c r="D128" s="21">
        <v>15979.5</v>
      </c>
      <c r="E128" s="11">
        <v>16624.46</v>
      </c>
      <c r="F128" s="11">
        <f t="shared" si="12"/>
        <v>-644.95999999999913</v>
      </c>
      <c r="G128" s="12">
        <f t="shared" si="13"/>
        <v>-3.8795846601934691E-2</v>
      </c>
      <c r="H128" s="13">
        <v>23841.21</v>
      </c>
      <c r="I128" s="13">
        <f t="shared" si="14"/>
        <v>-7861.7099999999991</v>
      </c>
      <c r="J128" s="14">
        <f t="shared" si="15"/>
        <v>-0.32975297814162952</v>
      </c>
      <c r="K128" s="38" t="s">
        <v>122</v>
      </c>
      <c r="L128" s="38" t="s">
        <v>123</v>
      </c>
    </row>
    <row r="129" spans="1:12" ht="15.75">
      <c r="A129" s="27" t="str">
        <v>Sprague St</v>
      </c>
      <c r="B129" s="28" t="str">
        <v>MA</v>
      </c>
      <c r="C129" s="28" t="str">
        <f>Sites[[#This Row],[SOL'#]]</f>
        <v>SOL-10773</v>
      </c>
      <c r="D129" s="10">
        <v>32699.5</v>
      </c>
      <c r="E129" s="15">
        <v>50419.89</v>
      </c>
      <c r="F129" s="15">
        <f t="shared" si="12"/>
        <v>-17720.39</v>
      </c>
      <c r="G129" s="16">
        <f t="shared" si="13"/>
        <v>-0.35145633994838149</v>
      </c>
      <c r="H129" s="17">
        <v>52949.27</v>
      </c>
      <c r="I129" s="17">
        <f t="shared" si="14"/>
        <v>-20249.769999999997</v>
      </c>
      <c r="J129" s="16">
        <f t="shared" si="15"/>
        <v>-0.38243718940789928</v>
      </c>
      <c r="K129" s="39" t="s">
        <v>24</v>
      </c>
      <c r="L129" s="40" t="s">
        <v>31</v>
      </c>
    </row>
    <row r="130" spans="1:12" ht="15.75">
      <c r="A130" s="25" t="str">
        <v>Summer St</v>
      </c>
      <c r="B130" s="26" t="str">
        <v>MA</v>
      </c>
      <c r="C130" s="26" t="str">
        <f>Sites[[#This Row],[SOL'#]]</f>
        <v>SOL-10764</v>
      </c>
      <c r="D130" s="21">
        <v>74644</v>
      </c>
      <c r="E130" s="11">
        <v>104933.8</v>
      </c>
      <c r="F130" s="11">
        <f t="shared" si="12"/>
        <v>-30289.800000000003</v>
      </c>
      <c r="G130" s="12">
        <f t="shared" si="13"/>
        <v>-0.28865627662392862</v>
      </c>
      <c r="H130" s="13">
        <v>132017.60000000001</v>
      </c>
      <c r="I130" s="13">
        <f t="shared" si="14"/>
        <v>-57373.600000000006</v>
      </c>
      <c r="J130" s="14">
        <f t="shared" si="15"/>
        <v>-0.43459053944322579</v>
      </c>
      <c r="K130" s="38" t="s">
        <v>124</v>
      </c>
      <c r="L130" s="38" t="s">
        <v>125</v>
      </c>
    </row>
    <row r="131" spans="1:12" ht="15.75">
      <c r="A131" s="27" t="str">
        <v>Brock St Vocational</v>
      </c>
      <c r="B131" s="28" t="str">
        <v>NH</v>
      </c>
      <c r="C131" s="28" t="str">
        <f>Sites[[#This Row],[SOL'#]]</f>
        <v>SOL-10768</v>
      </c>
      <c r="D131" s="10">
        <v>1820.4686795321199</v>
      </c>
      <c r="E131" s="15">
        <v>4815.5290000000005</v>
      </c>
      <c r="F131" s="15">
        <f t="shared" si="12"/>
        <v>-2995.0603204678805</v>
      </c>
      <c r="G131" s="16">
        <f t="shared" si="13"/>
        <v>-0.62195873401818991</v>
      </c>
      <c r="H131" s="17">
        <v>4801.3860000000004</v>
      </c>
      <c r="I131" s="17">
        <f t="shared" si="14"/>
        <v>-2980.9173204678805</v>
      </c>
      <c r="J131" s="16">
        <f t="shared" si="15"/>
        <v>-0.62084517272051865</v>
      </c>
      <c r="K131" s="39" t="s">
        <v>24</v>
      </c>
      <c r="L131" s="40" t="s">
        <v>31</v>
      </c>
    </row>
    <row r="132" spans="1:12" ht="15.75">
      <c r="A132" s="25" t="str">
        <v>McClelland ES</v>
      </c>
      <c r="B132" s="26" t="str">
        <v>NH</v>
      </c>
      <c r="C132" s="26" t="str">
        <f>Sites[[#This Row],[SOL'#]]</f>
        <v>SOL-10766</v>
      </c>
      <c r="D132" s="21">
        <v>1822.9083103328601</v>
      </c>
      <c r="E132" s="11">
        <v>5664.0169999999998</v>
      </c>
      <c r="F132" s="11">
        <f t="shared" si="12"/>
        <v>-3841.1086896671395</v>
      </c>
      <c r="G132" s="12">
        <f t="shared" si="13"/>
        <v>-0.67815980948982668</v>
      </c>
      <c r="H132" s="13">
        <v>3544.0749999999998</v>
      </c>
      <c r="I132" s="13">
        <f t="shared" si="14"/>
        <v>-1721.1666896671397</v>
      </c>
      <c r="J132" s="14">
        <f t="shared" si="15"/>
        <v>-0.48564623764089071</v>
      </c>
      <c r="K132" s="38" t="s">
        <v>24</v>
      </c>
      <c r="L132" s="38" t="s">
        <v>31</v>
      </c>
    </row>
    <row r="133" spans="1:12" ht="15.75">
      <c r="A133" s="27" t="str">
        <v>Portland St</v>
      </c>
      <c r="B133" s="28" t="str">
        <v>NH</v>
      </c>
      <c r="C133" s="28" t="str">
        <f>Sites[[#This Row],[SOL'#]]</f>
        <v>SOL-10771</v>
      </c>
      <c r="D133" s="10">
        <v>1250</v>
      </c>
      <c r="E133" s="15">
        <v>2762</v>
      </c>
      <c r="F133" s="15">
        <f t="shared" si="12"/>
        <v>-1512</v>
      </c>
      <c r="G133" s="16">
        <f t="shared" si="13"/>
        <v>-0.54742939898624188</v>
      </c>
      <c r="H133" s="17">
        <v>4395</v>
      </c>
      <c r="I133" s="17">
        <f t="shared" si="14"/>
        <v>-3145</v>
      </c>
      <c r="J133" s="16">
        <f t="shared" si="15"/>
        <v>-0.71558589306029574</v>
      </c>
      <c r="K133" s="39" t="s">
        <v>24</v>
      </c>
      <c r="L133" s="40" t="s">
        <v>31</v>
      </c>
    </row>
    <row r="134" spans="1:12" ht="15.75">
      <c r="A134" s="25" t="str">
        <v>Portsmouth HS</v>
      </c>
      <c r="B134" s="26" t="str">
        <v>NH</v>
      </c>
      <c r="C134" s="26" t="str">
        <f>Sites[[#This Row],[SOL'#]]</f>
        <v>SOL-10769</v>
      </c>
      <c r="D134" s="21">
        <v>6169.25</v>
      </c>
      <c r="E134" s="11">
        <v>11780.96</v>
      </c>
      <c r="F134" s="11">
        <f t="shared" si="12"/>
        <v>-5611.7099999999991</v>
      </c>
      <c r="G134" s="12">
        <f t="shared" si="13"/>
        <v>-0.47633724246580922</v>
      </c>
      <c r="H134" s="13">
        <v>7989.4369999999999</v>
      </c>
      <c r="I134" s="13">
        <f t="shared" si="14"/>
        <v>-1820.1869999999999</v>
      </c>
      <c r="J134" s="14">
        <f t="shared" si="15"/>
        <v>-0.2278241883627094</v>
      </c>
      <c r="K134" s="38" t="s">
        <v>24</v>
      </c>
      <c r="L134" s="38" t="s">
        <v>31</v>
      </c>
    </row>
    <row r="135" spans="1:12" ht="15.75">
      <c r="A135" s="27" t="str">
        <v>Portsmouth WTP</v>
      </c>
      <c r="B135" s="28" t="str">
        <v>NH</v>
      </c>
      <c r="C135" s="28" t="str">
        <f>Sites[[#This Row],[SOL'#]]</f>
        <v>SOL-10770</v>
      </c>
      <c r="D135" s="10">
        <v>7384.75</v>
      </c>
      <c r="E135" s="15">
        <v>15101.21</v>
      </c>
      <c r="F135" s="15">
        <f t="shared" si="12"/>
        <v>-7716.4599999999991</v>
      </c>
      <c r="G135" s="16">
        <f t="shared" si="13"/>
        <v>-0.51098289474816916</v>
      </c>
      <c r="H135" s="17">
        <v>14831.87</v>
      </c>
      <c r="I135" s="17">
        <f t="shared" si="14"/>
        <v>-7447.1200000000008</v>
      </c>
      <c r="J135" s="16">
        <f t="shared" si="15"/>
        <v>-0.50210256697233735</v>
      </c>
      <c r="K135" s="39" t="s">
        <v>24</v>
      </c>
      <c r="L135" s="40" t="s">
        <v>31</v>
      </c>
    </row>
    <row r="136" spans="1:12" ht="15.75">
      <c r="A136" s="25" t="str">
        <v>Rochester St</v>
      </c>
      <c r="B136" s="26" t="str">
        <v>NH</v>
      </c>
      <c r="C136" s="26" t="str">
        <f>Sites[[#This Row],[SOL'#]]</f>
        <v>SOL-10765</v>
      </c>
      <c r="D136" s="21">
        <v>5444.625</v>
      </c>
      <c r="E136" s="11">
        <v>16420.68</v>
      </c>
      <c r="F136" s="11">
        <f t="shared" si="12"/>
        <v>-10976.055</v>
      </c>
      <c r="G136" s="12">
        <f t="shared" si="13"/>
        <v>-0.66842877396063993</v>
      </c>
      <c r="H136" s="13">
        <v>11432.38</v>
      </c>
      <c r="I136" s="13">
        <f t="shared" si="14"/>
        <v>-5987.7549999999992</v>
      </c>
      <c r="J136" s="14">
        <f t="shared" si="15"/>
        <v>-0.52375402147234429</v>
      </c>
      <c r="K136" s="38" t="s">
        <v>24</v>
      </c>
      <c r="L136" s="38" t="s">
        <v>31</v>
      </c>
    </row>
    <row r="137" spans="1:12" ht="15.75">
      <c r="A137" s="27" t="str">
        <v>Spaulding HS</v>
      </c>
      <c r="B137" s="28" t="str">
        <v>NH</v>
      </c>
      <c r="C137" s="28" t="str">
        <f>Sites[[#This Row],[SOL'#]]</f>
        <v>SOL-10767</v>
      </c>
      <c r="D137" s="10">
        <v>2486.1234915329801</v>
      </c>
      <c r="E137" s="15">
        <v>6531.7079999999996</v>
      </c>
      <c r="F137" s="15">
        <f t="shared" si="12"/>
        <v>-4045.5845084670195</v>
      </c>
      <c r="G137" s="16">
        <f t="shared" si="13"/>
        <v>-0.61937620427413775</v>
      </c>
      <c r="H137" s="17">
        <v>5447.299</v>
      </c>
      <c r="I137" s="17">
        <f t="shared" si="14"/>
        <v>-2961.1755084670199</v>
      </c>
      <c r="J137" s="16">
        <f t="shared" si="15"/>
        <v>-0.54360436400994694</v>
      </c>
      <c r="K137" s="39" t="s">
        <v>24</v>
      </c>
      <c r="L137" s="40" t="s">
        <v>31</v>
      </c>
    </row>
    <row r="138" spans="1:12" ht="15.75">
      <c r="A138" s="25" t="str">
        <v>Ridgeway #2</v>
      </c>
      <c r="B138" s="26" t="str">
        <v>NY</v>
      </c>
      <c r="C138" s="26" t="str">
        <f>Sites[[#This Row],[SOL'#]]</f>
        <v>SOL-11027</v>
      </c>
      <c r="D138" s="21"/>
      <c r="E138" s="11"/>
      <c r="F138" s="11"/>
      <c r="G138" s="12"/>
      <c r="H138" s="13"/>
      <c r="I138" s="13"/>
      <c r="J138" s="14"/>
      <c r="K138" s="38"/>
      <c r="L138" s="38"/>
    </row>
    <row r="139" spans="1:12" ht="15.75">
      <c r="A139" s="27" t="str">
        <v>Spencer</v>
      </c>
      <c r="B139" s="28" t="str">
        <v>NY</v>
      </c>
      <c r="C139" s="28" t="str">
        <f>Sites[[#This Row],[SOL'#]]</f>
        <v>SOL-11017</v>
      </c>
      <c r="D139" s="10"/>
      <c r="E139" s="15"/>
      <c r="F139" s="15"/>
      <c r="G139" s="16"/>
      <c r="H139" s="17"/>
      <c r="I139" s="17"/>
      <c r="J139" s="16"/>
      <c r="K139" s="39"/>
      <c r="L139" s="40"/>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4.25">
      <c r="A341" s="18"/>
      <c r="B341" s="30"/>
      <c r="C341" s="30"/>
      <c r="D341" s="18"/>
      <c r="E341" s="18"/>
      <c r="F341" s="18"/>
      <c r="G341" s="19"/>
      <c r="H341" s="18"/>
      <c r="I341" s="18"/>
      <c r="J341" s="19"/>
      <c r="K341" s="18"/>
      <c r="L341" s="18"/>
    </row>
  </sheetData>
  <mergeCells count="4">
    <mergeCell ref="E1:G1"/>
    <mergeCell ref="A1:D1"/>
    <mergeCell ref="H1:J1"/>
    <mergeCell ref="A2:B2"/>
  </mergeCells>
  <conditionalFormatting sqref="G2 J2">
    <cfRule type="cellIs" dxfId="54" priority="12" stopIfTrue="1" operator="lessThanOrEqual">
      <formula>-0.1</formula>
    </cfRule>
    <cfRule type="expression" dxfId="53" priority="13">
      <formula>AND(ISNUMBER(G2), G2&gt;=0.1)</formula>
    </cfRule>
  </conditionalFormatting>
  <conditionalFormatting sqref="G4:G161 J4:J161">
    <cfRule type="cellIs" dxfId="52" priority="1" stopIfTrue="1" operator="lessThanOrEqual">
      <formula>-0.1</formula>
    </cfRule>
    <cfRule type="expression" dxfId="51" priority="2">
      <formula>AND(ISNUMBER(G4), G4&gt;=0.1)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42"/>
  <sheetViews>
    <sheetView zoomScale="70" zoomScaleNormal="70" workbookViewId="0">
      <pane xSplit="2" ySplit="3" topLeftCell="C129" activePane="bottomRight" state="frozen"/>
      <selection pane="bottomRight" activeCell="C161" sqref="C161"/>
      <selection pane="bottomLeft" activeCell="K49" sqref="K49"/>
      <selection pane="topRight" activeCell="K49" sqref="K49"/>
    </sheetView>
  </sheetViews>
  <sheetFormatPr defaultRowHeight="14.25"/>
  <cols>
    <col min="1" max="1" width="22.85546875" customWidth="1"/>
    <col min="2" max="3" width="22.85546875" style="31" customWidth="1"/>
    <col min="4" max="6" width="22.85546875" customWidth="1"/>
    <col min="7" max="7" width="22.85546875" style="1" customWidth="1"/>
    <col min="8" max="9" width="22.85546875" customWidth="1"/>
    <col min="10" max="10" width="22.85546875" style="1" customWidth="1"/>
    <col min="11" max="11" width="85.28515625" style="55" customWidth="1"/>
    <col min="12" max="22" width="22.85546875" customWidth="1"/>
  </cols>
  <sheetData>
    <row r="1" spans="1:12" ht="15">
      <c r="A1" s="123" t="str" cm="1">
        <f t="array" ref="A1">portfolio</f>
        <v>Generate Capital</v>
      </c>
      <c r="B1" s="123"/>
      <c r="C1" s="123"/>
      <c r="D1" s="123"/>
      <c r="E1" s="124" t="s">
        <v>126</v>
      </c>
      <c r="F1" s="124"/>
      <c r="G1" s="124"/>
      <c r="H1" s="122" t="s">
        <v>127</v>
      </c>
      <c r="I1" s="122"/>
      <c r="J1" s="122"/>
      <c r="K1" s="51"/>
      <c r="L1" s="5"/>
    </row>
    <row r="2" spans="1:12" ht="15">
      <c r="A2" s="125" t="s">
        <v>2</v>
      </c>
      <c r="B2" s="125"/>
      <c r="C2" s="72"/>
      <c r="D2" s="6">
        <f>SUM(D4:D137)</f>
        <v>16791596.324729182</v>
      </c>
      <c r="E2" s="6">
        <f>SUM(E4:E137)</f>
        <v>6681816.9851000011</v>
      </c>
      <c r="F2" s="6">
        <f>D2-E2</f>
        <v>10109779.339629181</v>
      </c>
      <c r="G2" s="7">
        <f>IFERROR(F2/E2, 0)</f>
        <v>1.5130284714731492</v>
      </c>
      <c r="H2" s="6">
        <f>SUM(H4:H137)</f>
        <v>11065785.448600005</v>
      </c>
      <c r="I2" s="8">
        <f>D2-H2</f>
        <v>5725810.8761291765</v>
      </c>
      <c r="J2" s="7">
        <f>IFERROR(I2/H2, 0)</f>
        <v>0.51743375133426073</v>
      </c>
      <c r="K2" s="52"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5">
      <c r="A3" s="9" t="s">
        <v>3</v>
      </c>
      <c r="B3" s="9" t="s">
        <v>4</v>
      </c>
      <c r="C3" s="9" t="s">
        <v>5</v>
      </c>
      <c r="D3" s="20" t="s">
        <v>6</v>
      </c>
      <c r="E3" s="32" t="s">
        <v>7</v>
      </c>
      <c r="F3" s="32" t="s">
        <v>8</v>
      </c>
      <c r="G3" s="33" t="s">
        <v>9</v>
      </c>
      <c r="H3" s="34" t="s">
        <v>10</v>
      </c>
      <c r="I3" s="35" t="s">
        <v>8</v>
      </c>
      <c r="J3" s="36" t="s">
        <v>9</v>
      </c>
      <c r="K3" s="53" t="s">
        <v>22</v>
      </c>
      <c r="L3" s="22" t="s">
        <v>23</v>
      </c>
    </row>
    <row r="4" spans="1:12" ht="15.75">
      <c r="A4" s="29" t="str" cm="1">
        <f t="array" ref="A4:A161">Sites[Site]</f>
        <v>Farmer</v>
      </c>
      <c r="B4" s="26" t="str" cm="1">
        <f t="array" ref="B4:B161">Sites[State]</f>
        <v>AZ</v>
      </c>
      <c r="C4" s="26" t="str">
        <f>Sites[[#This Row],[SOL'#]]</f>
        <v>SOL-10748</v>
      </c>
      <c r="D4" s="21">
        <v>10378.094243421099</v>
      </c>
      <c r="E4" s="11">
        <v>7847.527</v>
      </c>
      <c r="F4" s="11">
        <f>IF(AND(ISNUMBER(D4),ISNUMBER(E4)), D4-E4, "")</f>
        <v>2530.5672434210992</v>
      </c>
      <c r="G4" s="12">
        <f>IFERROR(F4/E4, "")</f>
        <v>0.32246684126363617</v>
      </c>
      <c r="H4" s="13">
        <v>10339.17</v>
      </c>
      <c r="I4" s="13">
        <f>IF(AND(ISNUMBER(D4),ISNUMBER(H4)), D4-H4, "")</f>
        <v>38.924243421099163</v>
      </c>
      <c r="J4" s="14">
        <f>IFERROR(I4/H4, "")</f>
        <v>3.7647357980475382E-3</v>
      </c>
      <c r="K4" s="54"/>
      <c r="L4" s="38"/>
    </row>
    <row r="5" spans="1:12" ht="57">
      <c r="A5" s="27" t="str">
        <v>Fulton</v>
      </c>
      <c r="B5" s="28" t="str">
        <v>AZ</v>
      </c>
      <c r="C5" s="28" t="str">
        <f>Sites[[#This Row],[SOL'#]]</f>
        <v>SOL-10749</v>
      </c>
      <c r="D5" s="10">
        <v>30613.5</v>
      </c>
      <c r="E5" s="15">
        <v>35548.239999999998</v>
      </c>
      <c r="F5" s="15">
        <f t="shared" ref="F5:F15" si="0">IF(AND(ISNUMBER(D5),ISNUMBER(E5)), D5-E5, "")</f>
        <v>-4934.739999999998</v>
      </c>
      <c r="G5" s="16">
        <f>IFERROR(F5/E5, "")</f>
        <v>-0.13881812432908067</v>
      </c>
      <c r="H5" s="17">
        <v>40290</v>
      </c>
      <c r="I5" s="17">
        <f t="shared" ref="I5:I15" si="1">IF(AND(ISNUMBER(D5),ISNUMBER(H5)), D5-H5, "")</f>
        <v>-9676.5</v>
      </c>
      <c r="J5" s="16">
        <f t="shared" ref="J5:J15" si="2">IFERROR(I5/H5, "")</f>
        <v>-0.24017125837676842</v>
      </c>
      <c r="K5" s="59" t="s">
        <v>128</v>
      </c>
      <c r="L5" s="59" t="s">
        <v>129</v>
      </c>
    </row>
    <row r="6" spans="1:12" ht="15.75">
      <c r="A6" s="25" t="str">
        <v>JFK Elementary</v>
      </c>
      <c r="B6" s="26" t="str">
        <v>AZ</v>
      </c>
      <c r="C6" s="26" t="str">
        <f>Sites[[#This Row],[SOL'#]]</f>
        <v>SOL-10758</v>
      </c>
      <c r="D6" s="21">
        <v>16543.18</v>
      </c>
      <c r="E6" s="11">
        <v>0</v>
      </c>
      <c r="F6" s="11">
        <f t="shared" si="0"/>
        <v>16543.18</v>
      </c>
      <c r="G6" s="12" t="str">
        <f t="shared" ref="G6:G15" si="3">IFERROR(F6/E6, "")</f>
        <v/>
      </c>
      <c r="H6" s="13">
        <v>1876</v>
      </c>
      <c r="I6" s="13">
        <f t="shared" si="1"/>
        <v>14667.18</v>
      </c>
      <c r="J6" s="14">
        <f t="shared" si="2"/>
        <v>7.8183262260127933</v>
      </c>
      <c r="K6" s="54"/>
      <c r="L6" s="57"/>
    </row>
    <row r="7" spans="1:12" ht="15.75">
      <c r="A7" s="27" t="str">
        <v>Noble</v>
      </c>
      <c r="B7" s="28" t="str">
        <v>AZ</v>
      </c>
      <c r="C7" s="28" t="str">
        <f>Sites[[#This Row],[SOL'#]]</f>
        <v>SOL-10750</v>
      </c>
      <c r="D7" s="10">
        <v>9896.6511571287392</v>
      </c>
      <c r="E7" s="15">
        <v>13290.27</v>
      </c>
      <c r="F7" s="15">
        <f t="shared" si="0"/>
        <v>-3393.6188428712612</v>
      </c>
      <c r="G7" s="16">
        <f t="shared" si="3"/>
        <v>-0.25534611733781637</v>
      </c>
      <c r="H7" s="17">
        <v>10566.75</v>
      </c>
      <c r="I7" s="17">
        <f t="shared" si="1"/>
        <v>-670.09884287126079</v>
      </c>
      <c r="J7" s="16">
        <f t="shared" si="2"/>
        <v>-6.3415794153477728E-2</v>
      </c>
      <c r="K7" s="59"/>
      <c r="L7" s="60"/>
    </row>
    <row r="8" spans="1:12" ht="28.5">
      <c r="A8" s="25" t="str">
        <v>Parking 3</v>
      </c>
      <c r="B8" s="26" t="str">
        <v>AZ</v>
      </c>
      <c r="C8" s="26" t="str">
        <f>Sites[[#This Row],[SOL'#]]</f>
        <v>SOL-10751</v>
      </c>
      <c r="D8" s="21">
        <v>24635.19</v>
      </c>
      <c r="E8" s="11">
        <v>26794.79</v>
      </c>
      <c r="F8" s="11">
        <f t="shared" si="0"/>
        <v>-2159.6000000000022</v>
      </c>
      <c r="G8" s="12">
        <f t="shared" si="3"/>
        <v>-8.0597757996983821E-2</v>
      </c>
      <c r="H8" s="13">
        <v>25826.39</v>
      </c>
      <c r="I8" s="13">
        <f t="shared" si="1"/>
        <v>-1191.2000000000007</v>
      </c>
      <c r="J8" s="14">
        <f t="shared" si="2"/>
        <v>-4.6123364512035976E-2</v>
      </c>
      <c r="K8" s="54" t="s">
        <v>130</v>
      </c>
      <c r="L8" s="57" t="s">
        <v>131</v>
      </c>
    </row>
    <row r="9" spans="1:12" ht="15.75">
      <c r="A9" s="27" t="str">
        <v>PE East</v>
      </c>
      <c r="B9" s="28" t="str">
        <v>AZ</v>
      </c>
      <c r="C9" s="28" t="str">
        <f>Sites[[#This Row],[SOL'#]]</f>
        <v>SOL-10752</v>
      </c>
      <c r="D9" s="10">
        <v>23621.417332634799</v>
      </c>
      <c r="E9" s="15">
        <v>18394.21</v>
      </c>
      <c r="F9" s="15">
        <f t="shared" si="0"/>
        <v>5227.2073326348</v>
      </c>
      <c r="G9" s="16">
        <f t="shared" si="3"/>
        <v>0.28417677805324609</v>
      </c>
      <c r="H9" s="17">
        <v>24794.87</v>
      </c>
      <c r="I9" s="17">
        <f t="shared" si="1"/>
        <v>-1173.4526673651999</v>
      </c>
      <c r="J9" s="16">
        <f t="shared" si="2"/>
        <v>-4.7326429514056738E-2</v>
      </c>
      <c r="K9" s="59"/>
      <c r="L9" s="60"/>
    </row>
    <row r="10" spans="1:12" ht="15.75">
      <c r="A10" s="25" t="str">
        <v>Schwada</v>
      </c>
      <c r="B10" s="26" t="str">
        <v>AZ</v>
      </c>
      <c r="C10" s="26" t="str">
        <f>Sites[[#This Row],[SOL'#]]</f>
        <v>SOL-10753</v>
      </c>
      <c r="D10" s="21">
        <v>10153.304277221199</v>
      </c>
      <c r="E10" s="11">
        <v>7717.9830000000002</v>
      </c>
      <c r="F10" s="11">
        <f t="shared" si="0"/>
        <v>2435.3212772211991</v>
      </c>
      <c r="G10" s="12">
        <f t="shared" si="3"/>
        <v>0.31553856457330876</v>
      </c>
      <c r="H10" s="13">
        <v>10882</v>
      </c>
      <c r="I10" s="13">
        <f t="shared" si="1"/>
        <v>-728.6957227788007</v>
      </c>
      <c r="J10" s="14">
        <f t="shared" si="2"/>
        <v>-6.6963400365631379E-2</v>
      </c>
      <c r="K10" s="54"/>
      <c r="L10" s="57"/>
    </row>
    <row r="11" spans="1:12" s="50" customFormat="1" ht="28.5">
      <c r="A11" s="44" t="str">
        <v>Starshine</v>
      </c>
      <c r="B11" s="45" t="str">
        <v>AZ</v>
      </c>
      <c r="C11" s="45" t="str">
        <f>Sites[[#This Row],[SOL'#]]</f>
        <v>SOL-10757</v>
      </c>
      <c r="D11" s="46">
        <v>3146.5940000000001</v>
      </c>
      <c r="E11" s="47">
        <v>0</v>
      </c>
      <c r="F11" s="47">
        <f t="shared" si="0"/>
        <v>3146.5940000000001</v>
      </c>
      <c r="G11" s="48" t="str">
        <f t="shared" si="3"/>
        <v/>
      </c>
      <c r="H11" s="49">
        <v>0</v>
      </c>
      <c r="I11" s="49">
        <f t="shared" si="1"/>
        <v>3146.5940000000001</v>
      </c>
      <c r="J11" s="48" t="str">
        <f t="shared" si="2"/>
        <v/>
      </c>
      <c r="K11" s="63" t="s">
        <v>132</v>
      </c>
      <c r="L11" s="64" t="s">
        <v>133</v>
      </c>
    </row>
    <row r="12" spans="1:12" ht="15.75">
      <c r="A12" s="25" t="str">
        <v>Yuma Airport</v>
      </c>
      <c r="B12" s="26" t="str">
        <v>AZ</v>
      </c>
      <c r="C12" s="26" t="str">
        <f>Sites[[#This Row],[SOL'#]]</f>
        <v>SOL-10754</v>
      </c>
      <c r="D12" s="21">
        <v>64193</v>
      </c>
      <c r="E12" s="11">
        <v>78368.52</v>
      </c>
      <c r="F12" s="11">
        <f t="shared" si="0"/>
        <v>-14175.520000000004</v>
      </c>
      <c r="G12" s="12">
        <f t="shared" si="3"/>
        <v>-0.18088283407674413</v>
      </c>
      <c r="H12" s="13">
        <v>63360</v>
      </c>
      <c r="I12" s="13">
        <f t="shared" si="1"/>
        <v>833</v>
      </c>
      <c r="J12" s="14">
        <f t="shared" si="2"/>
        <v>1.3147095959595959E-2</v>
      </c>
      <c r="K12" s="54"/>
      <c r="L12" s="57"/>
    </row>
    <row r="13" spans="1:12" ht="15.75">
      <c r="A13" s="27" t="str">
        <v>Kinsman</v>
      </c>
      <c r="B13" s="28" t="str">
        <v>OH</v>
      </c>
      <c r="C13" s="28" t="str">
        <f>Sites[[#This Row],[SOL'#]]</f>
        <v>SOL-10762</v>
      </c>
      <c r="D13" s="10">
        <v>84185.890625</v>
      </c>
      <c r="E13" s="15">
        <v>115574.5</v>
      </c>
      <c r="F13" s="15">
        <f t="shared" si="0"/>
        <v>-31388.609375</v>
      </c>
      <c r="G13" s="16">
        <f t="shared" si="3"/>
        <v>-0.27158767180476662</v>
      </c>
      <c r="H13" s="17">
        <v>65827</v>
      </c>
      <c r="I13" s="17">
        <f t="shared" si="1"/>
        <v>18358.890625</v>
      </c>
      <c r="J13" s="16">
        <f t="shared" si="2"/>
        <v>0.27889605519011956</v>
      </c>
      <c r="K13" s="59"/>
      <c r="L13" s="60"/>
    </row>
    <row r="14" spans="1:12" ht="15.75">
      <c r="A14" s="25" t="str">
        <v>Wooster</v>
      </c>
      <c r="B14" s="26" t="str">
        <v>OH</v>
      </c>
      <c r="C14" s="26" t="str">
        <f>Sites[[#This Row],[SOL'#]]</f>
        <v>SOL-10763</v>
      </c>
      <c r="D14" s="21">
        <v>16957.75</v>
      </c>
      <c r="E14" s="11">
        <v>0</v>
      </c>
      <c r="F14" s="11">
        <f t="shared" si="0"/>
        <v>16957.75</v>
      </c>
      <c r="G14" s="12" t="str">
        <f t="shared" si="3"/>
        <v/>
      </c>
      <c r="H14" s="13">
        <v>14218</v>
      </c>
      <c r="I14" s="13">
        <f t="shared" si="1"/>
        <v>2739.75</v>
      </c>
      <c r="J14" s="14">
        <f t="shared" si="2"/>
        <v>0.19269587846391897</v>
      </c>
      <c r="K14" s="54"/>
      <c r="L14" s="57"/>
    </row>
    <row r="15" spans="1:12" ht="15.75">
      <c r="A15" s="27" t="str">
        <v>Globe Gila CC</v>
      </c>
      <c r="B15" s="28" t="str">
        <v>AZ</v>
      </c>
      <c r="C15" s="28" t="str">
        <f>Sites[[#This Row],[SOL'#]]</f>
        <v>SOL-10755</v>
      </c>
      <c r="D15" s="10">
        <v>11714.4420394031</v>
      </c>
      <c r="E15" s="15">
        <v>0</v>
      </c>
      <c r="F15" s="15">
        <f t="shared" si="0"/>
        <v>11714.4420394031</v>
      </c>
      <c r="G15" s="16" t="str">
        <f t="shared" si="3"/>
        <v/>
      </c>
      <c r="H15" s="17">
        <v>10665</v>
      </c>
      <c r="I15" s="17">
        <f t="shared" si="1"/>
        <v>1049.4420394031004</v>
      </c>
      <c r="J15" s="16">
        <f t="shared" si="2"/>
        <v>9.8400566282522306E-2</v>
      </c>
      <c r="K15" s="59"/>
      <c r="L15" s="60"/>
    </row>
    <row r="16" spans="1:12" ht="15.75">
      <c r="A16" s="25" t="str">
        <v>Payson Gila CC</v>
      </c>
      <c r="B16" s="26" t="str">
        <v>AZ</v>
      </c>
      <c r="C16" s="26" t="str">
        <f>Sites[[#This Row],[SOL'#]]</f>
        <v>SOL-10756</v>
      </c>
      <c r="D16" s="21">
        <v>7699.9745473954799</v>
      </c>
      <c r="E16" s="11">
        <v>0</v>
      </c>
      <c r="F16" s="11">
        <f t="shared" ref="F16:F17" si="4">IF(AND(ISNUMBER(D16),ISNUMBER(E16)), D16-E16, "")</f>
        <v>7699.9745473954799</v>
      </c>
      <c r="G16" s="12" t="str">
        <f t="shared" ref="G16:G17" si="5">IFERROR(F16/E16, "")</f>
        <v/>
      </c>
      <c r="H16" s="13">
        <v>9141</v>
      </c>
      <c r="I16" s="13">
        <f t="shared" ref="I16:I17" si="6">IF(AND(ISNUMBER(D16),ISNUMBER(H16)), D16-H16, "")</f>
        <v>-1441.0254526045201</v>
      </c>
      <c r="J16" s="14">
        <f t="shared" ref="J16:J17" si="7">IFERROR(I16/H16, "")</f>
        <v>-0.15764418035275354</v>
      </c>
      <c r="K16" s="54"/>
      <c r="L16" s="57"/>
    </row>
    <row r="17" spans="1:12" ht="42.75">
      <c r="A17" s="27" t="str">
        <v>SCNM</v>
      </c>
      <c r="B17" s="28" t="str">
        <v>AZ</v>
      </c>
      <c r="C17" s="28" t="str">
        <f>Sites[[#This Row],[SOL'#]]</f>
        <v>SOL-10760</v>
      </c>
      <c r="D17" s="10">
        <v>56041.06</v>
      </c>
      <c r="E17" s="15">
        <v>0</v>
      </c>
      <c r="F17" s="15">
        <f t="shared" si="4"/>
        <v>56041.06</v>
      </c>
      <c r="G17" s="16" t="str">
        <f t="shared" si="5"/>
        <v/>
      </c>
      <c r="H17" s="17">
        <v>27038</v>
      </c>
      <c r="I17" s="17">
        <f t="shared" si="6"/>
        <v>29003.059999999998</v>
      </c>
      <c r="J17" s="16">
        <f t="shared" si="7"/>
        <v>1.0726777128485834</v>
      </c>
      <c r="K17" s="59" t="s">
        <v>134</v>
      </c>
      <c r="L17" s="60" t="s">
        <v>135</v>
      </c>
    </row>
    <row r="18" spans="1:12" ht="15.75">
      <c r="A18" s="25" t="str">
        <v>Sequoia Charter School</v>
      </c>
      <c r="B18" s="26" t="str">
        <v>AZ</v>
      </c>
      <c r="C18" s="26" t="str">
        <f>Sites[[#This Row],[SOL'#]]</f>
        <v>SOL-10759</v>
      </c>
      <c r="D18" s="21">
        <v>25607.37</v>
      </c>
      <c r="E18" s="11">
        <v>0</v>
      </c>
      <c r="F18" s="11">
        <f t="shared" ref="F18:F81" si="8">IF(AND(ISNUMBER(D18),ISNUMBER(E18)), D18-E18, "")</f>
        <v>25607.37</v>
      </c>
      <c r="G18" s="12" t="str">
        <f t="shared" ref="G18:G81" si="9">IFERROR(F18/E18, "")</f>
        <v/>
      </c>
      <c r="H18" s="13">
        <v>8900</v>
      </c>
      <c r="I18" s="13">
        <f t="shared" ref="I18:I81" si="10">IF(AND(ISNUMBER(D18),ISNUMBER(H18)), D18-H18, "")</f>
        <v>16707.37</v>
      </c>
      <c r="J18" s="14">
        <f t="shared" ref="J18:J81" si="11">IFERROR(I18/H18, "")</f>
        <v>1.8772325842696629</v>
      </c>
      <c r="K18" s="54"/>
      <c r="L18" s="57"/>
    </row>
    <row r="19" spans="1:12" ht="15.75">
      <c r="A19" s="27" t="str">
        <v>RCAB</v>
      </c>
      <c r="B19" s="28" t="str">
        <v>MA</v>
      </c>
      <c r="C19" s="28" t="str">
        <f>Sites[[#This Row],[SOL'#]]</f>
        <v>SOL-10838</v>
      </c>
      <c r="D19" s="10">
        <v>63236</v>
      </c>
      <c r="E19" s="15">
        <v>78953.95</v>
      </c>
      <c r="F19" s="15">
        <f t="shared" si="8"/>
        <v>-15717.949999999997</v>
      </c>
      <c r="G19" s="16">
        <f t="shared" si="9"/>
        <v>-0.19907743691100949</v>
      </c>
      <c r="H19" s="17">
        <v>64151.06</v>
      </c>
      <c r="I19" s="17">
        <f t="shared" si="10"/>
        <v>-915.05999999999767</v>
      </c>
      <c r="J19" s="16">
        <f t="shared" si="11"/>
        <v>-1.4264144661054669E-2</v>
      </c>
      <c r="K19" s="59"/>
      <c r="L19" s="60"/>
    </row>
    <row r="20" spans="1:12" ht="114">
      <c r="A20" s="25" t="str">
        <v>Spectro Coatings</v>
      </c>
      <c r="B20" s="26" t="str">
        <v>MA</v>
      </c>
      <c r="C20" s="26" t="str">
        <f>Sites[[#This Row],[SOL'#]]</f>
        <v>SOL-10074</v>
      </c>
      <c r="D20" s="21">
        <v>11878.5</v>
      </c>
      <c r="E20" s="11">
        <v>25057.18</v>
      </c>
      <c r="F20" s="11">
        <f t="shared" si="8"/>
        <v>-13178.68</v>
      </c>
      <c r="G20" s="12">
        <f t="shared" si="9"/>
        <v>-0.52594426028786956</v>
      </c>
      <c r="H20" s="13">
        <v>16839.5</v>
      </c>
      <c r="I20" s="13">
        <f t="shared" si="10"/>
        <v>-4961</v>
      </c>
      <c r="J20" s="14">
        <f t="shared" si="11"/>
        <v>-0.29460494670269305</v>
      </c>
      <c r="K20" s="54" t="s">
        <v>136</v>
      </c>
      <c r="L20" s="57" t="s">
        <v>137</v>
      </c>
    </row>
    <row r="21" spans="1:12" ht="15.75">
      <c r="A21" s="27" t="str">
        <v>K026</v>
      </c>
      <c r="B21" s="28" t="str">
        <v>NY</v>
      </c>
      <c r="C21" s="28" t="str">
        <f>Sites[[#This Row],[SOL'#]]</f>
        <v>SOL-10356</v>
      </c>
      <c r="D21" s="10">
        <v>14883.333433014501</v>
      </c>
      <c r="E21" s="15">
        <v>23285.08</v>
      </c>
      <c r="F21" s="15">
        <f t="shared" si="8"/>
        <v>-8401.746566985501</v>
      </c>
      <c r="G21" s="16">
        <f t="shared" si="9"/>
        <v>-0.36082103076242383</v>
      </c>
      <c r="H21" s="17">
        <v>23184.85</v>
      </c>
      <c r="I21" s="17">
        <f t="shared" si="10"/>
        <v>-8301.5165669854978</v>
      </c>
      <c r="J21" s="16">
        <f t="shared" si="11"/>
        <v>-0.35805780787822644</v>
      </c>
      <c r="K21" s="59"/>
      <c r="L21" s="60"/>
    </row>
    <row r="22" spans="1:12" ht="15.75">
      <c r="A22" s="25" t="str">
        <v>K041</v>
      </c>
      <c r="B22" s="26" t="str">
        <v>NY</v>
      </c>
      <c r="C22" s="26" t="str">
        <f>Sites[[#This Row],[SOL'#]]</f>
        <v>SOL-10357</v>
      </c>
      <c r="D22" s="21">
        <v>12699.726000000001</v>
      </c>
      <c r="E22" s="11">
        <v>0</v>
      </c>
      <c r="F22" s="11">
        <f t="shared" si="8"/>
        <v>12699.726000000001</v>
      </c>
      <c r="G22" s="12" t="str">
        <f t="shared" si="9"/>
        <v/>
      </c>
      <c r="H22" s="13">
        <v>0</v>
      </c>
      <c r="I22" s="13">
        <f t="shared" si="10"/>
        <v>12699.726000000001</v>
      </c>
      <c r="J22" s="14" t="str">
        <f t="shared" si="11"/>
        <v/>
      </c>
      <c r="K22" s="54"/>
      <c r="L22" s="57"/>
    </row>
    <row r="23" spans="1:12" ht="15.75">
      <c r="A23" s="27" t="str">
        <v>K043</v>
      </c>
      <c r="B23" s="28" t="str">
        <v>NY</v>
      </c>
      <c r="C23" s="28" t="str">
        <f>Sites[[#This Row],[SOL'#]]</f>
        <v>SOL-10358</v>
      </c>
      <c r="D23" s="10">
        <v>13738.875</v>
      </c>
      <c r="E23" s="15">
        <v>19314.28</v>
      </c>
      <c r="F23" s="15">
        <f t="shared" si="8"/>
        <v>-5575.4049999999988</v>
      </c>
      <c r="G23" s="16">
        <f t="shared" si="9"/>
        <v>-0.28866750404364022</v>
      </c>
      <c r="H23" s="17">
        <v>24182</v>
      </c>
      <c r="I23" s="17">
        <f t="shared" si="10"/>
        <v>-10443.125</v>
      </c>
      <c r="J23" s="16">
        <f t="shared" si="11"/>
        <v>-0.43185530559920604</v>
      </c>
      <c r="K23" s="59"/>
      <c r="L23" s="60"/>
    </row>
    <row r="24" spans="1:12" ht="15.75">
      <c r="A24" s="25" t="str">
        <v>K058</v>
      </c>
      <c r="B24" s="26" t="str">
        <v>NY</v>
      </c>
      <c r="C24" s="26" t="str">
        <f>Sites[[#This Row],[SOL'#]]</f>
        <v>SOL-10360</v>
      </c>
      <c r="D24" s="21">
        <v>11751.8125</v>
      </c>
      <c r="E24" s="11">
        <v>16058.48</v>
      </c>
      <c r="F24" s="11">
        <f t="shared" si="8"/>
        <v>-4306.6674999999996</v>
      </c>
      <c r="G24" s="12">
        <f t="shared" si="9"/>
        <v>-0.26818649710308817</v>
      </c>
      <c r="H24" s="13">
        <v>15926.33</v>
      </c>
      <c r="I24" s="13">
        <f t="shared" si="10"/>
        <v>-4174.5174999999999</v>
      </c>
      <c r="J24" s="14">
        <f t="shared" si="11"/>
        <v>-0.26211421589280143</v>
      </c>
      <c r="K24" s="54"/>
      <c r="L24" s="57"/>
    </row>
    <row r="25" spans="1:12" ht="42.75">
      <c r="A25" s="27" t="str">
        <v>K115</v>
      </c>
      <c r="B25" s="28" t="str">
        <v>NY</v>
      </c>
      <c r="C25" s="28" t="str">
        <f>Sites[[#This Row],[SOL'#]]</f>
        <v>SOL-10361</v>
      </c>
      <c r="D25" s="10">
        <v>2969.1286536069601</v>
      </c>
      <c r="E25" s="15">
        <v>8398.1460000000006</v>
      </c>
      <c r="F25" s="15">
        <f t="shared" si="8"/>
        <v>-5429.0173463930405</v>
      </c>
      <c r="G25" s="16">
        <f t="shared" si="9"/>
        <v>-0.64645427054888549</v>
      </c>
      <c r="H25" s="17">
        <v>5544.3429999999998</v>
      </c>
      <c r="I25" s="17">
        <f t="shared" si="10"/>
        <v>-2575.2143463930397</v>
      </c>
      <c r="J25" s="16">
        <f t="shared" si="11"/>
        <v>-0.46447601571422253</v>
      </c>
      <c r="K25" s="59" t="s">
        <v>36</v>
      </c>
      <c r="L25" s="60" t="s">
        <v>37</v>
      </c>
    </row>
    <row r="26" spans="1:12" ht="15.75">
      <c r="A26" s="25" t="str">
        <v>K152</v>
      </c>
      <c r="B26" s="26" t="str">
        <v>NY</v>
      </c>
      <c r="C26" s="26" t="str">
        <f>Sites[[#This Row],[SOL'#]]</f>
        <v>SOL-10362</v>
      </c>
      <c r="D26" s="21">
        <v>4632.078125</v>
      </c>
      <c r="E26" s="11">
        <v>5853.1670000000004</v>
      </c>
      <c r="F26" s="11">
        <f t="shared" si="8"/>
        <v>-1221.0888750000004</v>
      </c>
      <c r="G26" s="12">
        <f t="shared" si="9"/>
        <v>-0.20862020082461347</v>
      </c>
      <c r="H26" s="13">
        <v>1081</v>
      </c>
      <c r="I26" s="13">
        <f t="shared" si="10"/>
        <v>3551.078125</v>
      </c>
      <c r="J26" s="14">
        <f t="shared" si="11"/>
        <v>3.2849936401480111</v>
      </c>
      <c r="K26" s="54"/>
      <c r="L26" s="57"/>
    </row>
    <row r="27" spans="1:12" ht="15.75">
      <c r="A27" s="27" t="str">
        <v>K166</v>
      </c>
      <c r="B27" s="28" t="str">
        <v>NY</v>
      </c>
      <c r="C27" s="28" t="str">
        <f>Sites[[#This Row],[SOL'#]]</f>
        <v>SOL-10363</v>
      </c>
      <c r="D27" s="10">
        <v>16586.375</v>
      </c>
      <c r="E27" s="15">
        <v>22508.54</v>
      </c>
      <c r="F27" s="15">
        <f t="shared" si="8"/>
        <v>-5922.1650000000009</v>
      </c>
      <c r="G27" s="16">
        <f t="shared" si="9"/>
        <v>-0.26310746943160246</v>
      </c>
      <c r="H27" s="17">
        <v>23922.34</v>
      </c>
      <c r="I27" s="17">
        <f t="shared" si="10"/>
        <v>-7335.9650000000001</v>
      </c>
      <c r="J27" s="16">
        <f t="shared" si="11"/>
        <v>-0.30665750089665139</v>
      </c>
      <c r="K27" s="59"/>
      <c r="L27" s="60"/>
    </row>
    <row r="28" spans="1:12" ht="15.75">
      <c r="A28" s="25" t="str">
        <v>K206</v>
      </c>
      <c r="B28" s="26" t="str">
        <v>NY</v>
      </c>
      <c r="C28" s="26" t="str">
        <f>Sites[[#This Row],[SOL'#]]</f>
        <v>SOL-10927</v>
      </c>
      <c r="D28" s="21">
        <v>9460.9240000000009</v>
      </c>
      <c r="E28" s="11">
        <v>0</v>
      </c>
      <c r="F28" s="11">
        <f t="shared" si="8"/>
        <v>9460.9240000000009</v>
      </c>
      <c r="G28" s="12" t="str">
        <f t="shared" si="9"/>
        <v/>
      </c>
      <c r="H28" s="13">
        <v>0</v>
      </c>
      <c r="I28" s="13">
        <f t="shared" si="10"/>
        <v>9460.9240000000009</v>
      </c>
      <c r="J28" s="14" t="str">
        <f t="shared" si="11"/>
        <v/>
      </c>
      <c r="K28" s="54"/>
      <c r="L28" s="57"/>
    </row>
    <row r="29" spans="1:12" ht="15.75">
      <c r="A29" s="27" t="str">
        <v>K251</v>
      </c>
      <c r="B29" s="28" t="str">
        <v>NY</v>
      </c>
      <c r="C29" s="28" t="str">
        <f>Sites[[#This Row],[SOL'#]]</f>
        <v>SOL-10365</v>
      </c>
      <c r="D29" s="10">
        <v>10884.625</v>
      </c>
      <c r="E29" s="15">
        <v>14018.29</v>
      </c>
      <c r="F29" s="15">
        <f t="shared" si="8"/>
        <v>-3133.6650000000009</v>
      </c>
      <c r="G29" s="16">
        <f t="shared" si="9"/>
        <v>-0.22354117370948959</v>
      </c>
      <c r="H29" s="17">
        <v>12921.92</v>
      </c>
      <c r="I29" s="17">
        <f t="shared" si="10"/>
        <v>-2037.2950000000001</v>
      </c>
      <c r="J29" s="16">
        <f t="shared" si="11"/>
        <v>-0.15766194187860627</v>
      </c>
      <c r="K29" s="59"/>
      <c r="L29" s="60"/>
    </row>
    <row r="30" spans="1:12" ht="15.75">
      <c r="A30" s="25" t="str">
        <v>K269</v>
      </c>
      <c r="B30" s="26" t="str">
        <v>NY</v>
      </c>
      <c r="C30" s="26" t="str">
        <f>Sites[[#This Row],[SOL'#]]</f>
        <v>SOL-10366</v>
      </c>
      <c r="D30" s="21">
        <v>9933.21875</v>
      </c>
      <c r="E30" s="11">
        <v>0</v>
      </c>
      <c r="F30" s="11">
        <f t="shared" si="8"/>
        <v>9933.21875</v>
      </c>
      <c r="G30" s="12" t="str">
        <f t="shared" si="9"/>
        <v/>
      </c>
      <c r="H30" s="13">
        <v>14500.27</v>
      </c>
      <c r="I30" s="13">
        <f t="shared" si="10"/>
        <v>-4567.0512500000004</v>
      </c>
      <c r="J30" s="14">
        <f t="shared" si="11"/>
        <v>-0.31496318689238201</v>
      </c>
      <c r="K30" s="54"/>
      <c r="L30" s="57"/>
    </row>
    <row r="31" spans="1:12" ht="15.75">
      <c r="A31" s="27" t="str">
        <v>K273</v>
      </c>
      <c r="B31" s="28" t="str">
        <v>NY</v>
      </c>
      <c r="C31" s="28" t="str">
        <f>Sites[[#This Row],[SOL'#]]</f>
        <v>SOL-10367</v>
      </c>
      <c r="D31" s="10">
        <v>10966.5625</v>
      </c>
      <c r="E31" s="15">
        <v>0</v>
      </c>
      <c r="F31" s="15">
        <f t="shared" si="8"/>
        <v>10966.5625</v>
      </c>
      <c r="G31" s="16" t="str">
        <f t="shared" si="9"/>
        <v/>
      </c>
      <c r="H31" s="17">
        <v>14879</v>
      </c>
      <c r="I31" s="17">
        <f t="shared" si="10"/>
        <v>-3912.4375</v>
      </c>
      <c r="J31" s="16">
        <f t="shared" si="11"/>
        <v>-0.26295029907923917</v>
      </c>
      <c r="K31" s="59"/>
      <c r="L31" s="60"/>
    </row>
    <row r="32" spans="1:12" ht="15.75">
      <c r="A32" s="25" t="str">
        <v>K287</v>
      </c>
      <c r="B32" s="26" t="str">
        <v>NY</v>
      </c>
      <c r="C32" s="26" t="str">
        <f>Sites[[#This Row],[SOL'#]]</f>
        <v>SOL-10919</v>
      </c>
      <c r="D32" s="21">
        <v>8921.2469531250008</v>
      </c>
      <c r="E32" s="11">
        <v>10128.11</v>
      </c>
      <c r="F32" s="11">
        <f t="shared" si="8"/>
        <v>-1206.8630468749998</v>
      </c>
      <c r="G32" s="12">
        <f t="shared" si="9"/>
        <v>-0.11915974914125139</v>
      </c>
      <c r="H32" s="13">
        <v>0</v>
      </c>
      <c r="I32" s="13">
        <f t="shared" si="10"/>
        <v>8921.2469531250008</v>
      </c>
      <c r="J32" s="14" t="str">
        <f t="shared" si="11"/>
        <v/>
      </c>
      <c r="K32" s="54"/>
      <c r="L32" s="57"/>
    </row>
    <row r="33" spans="1:12" ht="28.5">
      <c r="A33" s="27" t="str">
        <v>K298</v>
      </c>
      <c r="B33" s="28" t="str">
        <v>NY</v>
      </c>
      <c r="C33" s="28" t="str">
        <f>Sites[[#This Row],[SOL'#]]</f>
        <v>SOL-10368</v>
      </c>
      <c r="D33" s="10">
        <v>8100.8125</v>
      </c>
      <c r="E33" s="15">
        <v>13207.68</v>
      </c>
      <c r="F33" s="15">
        <f t="shared" si="8"/>
        <v>-5106.8675000000003</v>
      </c>
      <c r="G33" s="16">
        <f t="shared" si="9"/>
        <v>-0.38665893631584047</v>
      </c>
      <c r="H33" s="17">
        <v>0</v>
      </c>
      <c r="I33" s="17">
        <f t="shared" si="10"/>
        <v>8100.8125</v>
      </c>
      <c r="J33" s="16" t="str">
        <f t="shared" si="11"/>
        <v/>
      </c>
      <c r="K33" s="59" t="s">
        <v>138</v>
      </c>
      <c r="L33" s="60" t="s">
        <v>139</v>
      </c>
    </row>
    <row r="34" spans="1:12" ht="15.75">
      <c r="A34" s="25" t="str">
        <v>K335</v>
      </c>
      <c r="B34" s="26" t="str">
        <v>NY</v>
      </c>
      <c r="C34" s="26" t="str">
        <f>Sites[[#This Row],[SOL'#]]</f>
        <v>SOL-10370</v>
      </c>
      <c r="D34" s="21">
        <v>9156.96875</v>
      </c>
      <c r="E34" s="11">
        <v>13942.97</v>
      </c>
      <c r="F34" s="11">
        <f t="shared" si="8"/>
        <v>-4786.0012499999993</v>
      </c>
      <c r="G34" s="12">
        <f t="shared" si="9"/>
        <v>-0.34325550797283505</v>
      </c>
      <c r="H34" s="13">
        <v>14555</v>
      </c>
      <c r="I34" s="13">
        <f t="shared" si="10"/>
        <v>-5398.03125</v>
      </c>
      <c r="J34" s="14">
        <f t="shared" si="11"/>
        <v>-0.37087126417038818</v>
      </c>
      <c r="K34" s="54"/>
      <c r="L34" s="57"/>
    </row>
    <row r="35" spans="1:12" ht="71.25">
      <c r="A35" s="27" t="str">
        <v>K345</v>
      </c>
      <c r="B35" s="28" t="str">
        <v>NY</v>
      </c>
      <c r="C35" s="28" t="str">
        <f>Sites[[#This Row],[SOL'#]]</f>
        <v>SOL-10920</v>
      </c>
      <c r="D35" s="10">
        <v>9252.7980664062507</v>
      </c>
      <c r="E35" s="15">
        <v>9601.5740000000005</v>
      </c>
      <c r="F35" s="15">
        <f t="shared" si="8"/>
        <v>-348.77593359374987</v>
      </c>
      <c r="G35" s="16">
        <f t="shared" si="9"/>
        <v>-3.6324870650765159E-2</v>
      </c>
      <c r="H35" s="17">
        <v>7610</v>
      </c>
      <c r="I35" s="17">
        <f t="shared" si="10"/>
        <v>1642.7980664062507</v>
      </c>
      <c r="J35" s="16">
        <f t="shared" si="11"/>
        <v>0.21587359611120246</v>
      </c>
      <c r="K35" s="59" t="s">
        <v>140</v>
      </c>
      <c r="L35" s="60" t="s">
        <v>141</v>
      </c>
    </row>
    <row r="36" spans="1:12" ht="15.75">
      <c r="A36" s="25" t="str">
        <v>K445</v>
      </c>
      <c r="B36" s="26" t="str">
        <v>NY</v>
      </c>
      <c r="C36" s="26" t="str">
        <f>Sites[[#This Row],[SOL'#]]</f>
        <v>SOL-10373</v>
      </c>
      <c r="D36" s="21">
        <v>9518.3829999999998</v>
      </c>
      <c r="E36" s="11">
        <v>0</v>
      </c>
      <c r="F36" s="11">
        <f t="shared" si="8"/>
        <v>9518.3829999999998</v>
      </c>
      <c r="G36" s="12" t="str">
        <f t="shared" si="9"/>
        <v/>
      </c>
      <c r="H36" s="13">
        <v>0</v>
      </c>
      <c r="I36" s="13">
        <f t="shared" si="10"/>
        <v>9518.3829999999998</v>
      </c>
      <c r="J36" s="14" t="str">
        <f t="shared" si="11"/>
        <v/>
      </c>
      <c r="K36" s="54"/>
      <c r="L36" s="57"/>
    </row>
    <row r="37" spans="1:12" ht="28.5">
      <c r="A37" s="27" t="str">
        <v>K495</v>
      </c>
      <c r="B37" s="28" t="str">
        <v>NY</v>
      </c>
      <c r="C37" s="28" t="str">
        <f>Sites[[#This Row],[SOL'#]]</f>
        <v>SOL-10374</v>
      </c>
      <c r="D37" s="10">
        <v>41137.3125</v>
      </c>
      <c r="E37" s="15">
        <v>0</v>
      </c>
      <c r="F37" s="15">
        <f t="shared" si="8"/>
        <v>41137.3125</v>
      </c>
      <c r="G37" s="16" t="str">
        <f t="shared" si="9"/>
        <v/>
      </c>
      <c r="H37" s="17">
        <v>0</v>
      </c>
      <c r="I37" s="17">
        <f t="shared" si="10"/>
        <v>41137.3125</v>
      </c>
      <c r="J37" s="16" t="str">
        <f t="shared" si="11"/>
        <v/>
      </c>
      <c r="K37" s="59" t="s">
        <v>142</v>
      </c>
      <c r="L37" s="60" t="s">
        <v>143</v>
      </c>
    </row>
    <row r="38" spans="1:12" ht="15.75">
      <c r="A38" s="25" t="str">
        <v>M020</v>
      </c>
      <c r="B38" s="26" t="str">
        <v>NY</v>
      </c>
      <c r="C38" s="26" t="str">
        <f>Sites[[#This Row],[SOL'#]]</f>
        <v>SOL-10380</v>
      </c>
      <c r="D38" s="21">
        <v>9899.21875</v>
      </c>
      <c r="E38" s="11">
        <v>8106.8879999999999</v>
      </c>
      <c r="F38" s="11">
        <f t="shared" si="8"/>
        <v>1792.3307500000001</v>
      </c>
      <c r="G38" s="12">
        <f t="shared" si="9"/>
        <v>0.22108739506454267</v>
      </c>
      <c r="H38" s="13">
        <v>0</v>
      </c>
      <c r="I38" s="13">
        <f t="shared" si="10"/>
        <v>9899.21875</v>
      </c>
      <c r="J38" s="14" t="str">
        <f t="shared" si="11"/>
        <v/>
      </c>
      <c r="K38" s="54"/>
      <c r="L38" s="57"/>
    </row>
    <row r="39" spans="1:12" ht="15.75">
      <c r="A39" s="27" t="str">
        <v>M092</v>
      </c>
      <c r="B39" s="28" t="str">
        <v>NY</v>
      </c>
      <c r="C39" s="28" t="str">
        <f>Sites[[#This Row],[SOL'#]]</f>
        <v>SOL-10383</v>
      </c>
      <c r="D39" s="10">
        <v>9074.4375</v>
      </c>
      <c r="E39" s="15">
        <v>13564.97</v>
      </c>
      <c r="F39" s="15">
        <f t="shared" si="8"/>
        <v>-4490.5324999999993</v>
      </c>
      <c r="G39" s="16">
        <f t="shared" si="9"/>
        <v>-0.33103888176678603</v>
      </c>
      <c r="H39" s="17">
        <v>14231.42</v>
      </c>
      <c r="I39" s="17">
        <f t="shared" si="10"/>
        <v>-5156.9825000000001</v>
      </c>
      <c r="J39" s="16">
        <f t="shared" si="11"/>
        <v>-0.36236598315558111</v>
      </c>
      <c r="K39" s="59"/>
      <c r="L39" s="60"/>
    </row>
    <row r="40" spans="1:12" ht="15.75">
      <c r="A40" s="25" t="str">
        <v>M143</v>
      </c>
      <c r="B40" s="26" t="str">
        <v>NY</v>
      </c>
      <c r="C40" s="26" t="str">
        <f>Sites[[#This Row],[SOL'#]]</f>
        <v>SOL-10384</v>
      </c>
      <c r="D40" s="21">
        <v>9946.8125</v>
      </c>
      <c r="E40" s="11">
        <v>15822.48</v>
      </c>
      <c r="F40" s="11">
        <f t="shared" si="8"/>
        <v>-5875.6674999999996</v>
      </c>
      <c r="G40" s="12">
        <f t="shared" si="9"/>
        <v>-0.37134933967367945</v>
      </c>
      <c r="H40" s="13">
        <v>18573.72</v>
      </c>
      <c r="I40" s="13">
        <f t="shared" si="10"/>
        <v>-8626.9075000000012</v>
      </c>
      <c r="J40" s="14">
        <f t="shared" si="11"/>
        <v>-0.46446848019675113</v>
      </c>
      <c r="K40" s="54"/>
      <c r="L40" s="57"/>
    </row>
    <row r="41" spans="1:12" ht="15.75">
      <c r="A41" s="27" t="str">
        <v>M144</v>
      </c>
      <c r="B41" s="28" t="str">
        <v>NY</v>
      </c>
      <c r="C41" s="28" t="str">
        <f>Sites[[#This Row],[SOL'#]]</f>
        <v>SOL-10385</v>
      </c>
      <c r="D41" s="10">
        <v>15594.5</v>
      </c>
      <c r="E41" s="15">
        <v>0</v>
      </c>
      <c r="F41" s="15">
        <f t="shared" si="8"/>
        <v>15594.5</v>
      </c>
      <c r="G41" s="16" t="str">
        <f t="shared" si="9"/>
        <v/>
      </c>
      <c r="H41" s="17">
        <v>0</v>
      </c>
      <c r="I41" s="17">
        <f t="shared" si="10"/>
        <v>15594.5</v>
      </c>
      <c r="J41" s="16" t="str">
        <f t="shared" si="11"/>
        <v/>
      </c>
      <c r="K41" s="59"/>
      <c r="L41" s="60"/>
    </row>
    <row r="42" spans="1:12" ht="57">
      <c r="A42" s="25" t="str">
        <v>M167</v>
      </c>
      <c r="B42" s="26" t="str">
        <v>NY</v>
      </c>
      <c r="C42" s="26" t="str">
        <f>Sites[[#This Row],[SOL'#]]</f>
        <v>SOL-10386</v>
      </c>
      <c r="D42" s="21">
        <v>10945.180405273401</v>
      </c>
      <c r="E42" s="11">
        <v>12895.85</v>
      </c>
      <c r="F42" s="11">
        <f t="shared" si="8"/>
        <v>-1950.6695947265998</v>
      </c>
      <c r="G42" s="12">
        <f t="shared" si="9"/>
        <v>-0.15126335950919093</v>
      </c>
      <c r="H42" s="13">
        <v>13415.56</v>
      </c>
      <c r="I42" s="13">
        <f t="shared" si="10"/>
        <v>-2470.379594726599</v>
      </c>
      <c r="J42" s="14">
        <f t="shared" si="11"/>
        <v>-0.18414286058327786</v>
      </c>
      <c r="K42" s="54" t="s">
        <v>144</v>
      </c>
      <c r="L42" s="57" t="s">
        <v>145</v>
      </c>
    </row>
    <row r="43" spans="1:12" ht="15.75">
      <c r="A43" s="27" t="str">
        <v>M188</v>
      </c>
      <c r="B43" s="28" t="str">
        <v>NY</v>
      </c>
      <c r="C43" s="28" t="str">
        <f>Sites[[#This Row],[SOL'#]]</f>
        <v>SOL-10387</v>
      </c>
      <c r="D43" s="10">
        <v>8728.4586718749797</v>
      </c>
      <c r="E43" s="15">
        <v>0</v>
      </c>
      <c r="F43" s="15">
        <f t="shared" si="8"/>
        <v>8728.4586718749797</v>
      </c>
      <c r="G43" s="16" t="str">
        <f t="shared" si="9"/>
        <v/>
      </c>
      <c r="H43" s="17">
        <v>0</v>
      </c>
      <c r="I43" s="17">
        <f t="shared" si="10"/>
        <v>8728.4586718749797</v>
      </c>
      <c r="J43" s="16" t="str">
        <f t="shared" si="11"/>
        <v/>
      </c>
      <c r="K43" s="59"/>
      <c r="L43" s="60"/>
    </row>
    <row r="44" spans="1:12" ht="15.75">
      <c r="A44" s="25" t="str">
        <v>EMHC</v>
      </c>
      <c r="B44" s="26" t="str">
        <v>NY</v>
      </c>
      <c r="C44" s="26" t="str">
        <f>Sites[[#This Row],[SOL'#]]</f>
        <v>SOL-10351</v>
      </c>
      <c r="D44" s="21">
        <v>2373.40241699219</v>
      </c>
      <c r="E44" s="11">
        <v>0</v>
      </c>
      <c r="F44" s="11">
        <f t="shared" si="8"/>
        <v>2373.40241699219</v>
      </c>
      <c r="G44" s="12" t="str">
        <f t="shared" si="9"/>
        <v/>
      </c>
      <c r="H44" s="13">
        <v>0</v>
      </c>
      <c r="I44" s="13">
        <f t="shared" si="10"/>
        <v>2373.40241699219</v>
      </c>
      <c r="J44" s="14" t="str">
        <f t="shared" si="11"/>
        <v/>
      </c>
      <c r="K44" s="54"/>
      <c r="L44" s="57"/>
    </row>
    <row r="45" spans="1:12" ht="15.75">
      <c r="A45" s="27" t="str">
        <v>Q008</v>
      </c>
      <c r="B45" s="28" t="str">
        <v>NY</v>
      </c>
      <c r="C45" s="28" t="str">
        <f>Sites[[#This Row],[SOL'#]]</f>
        <v>SOL-10397</v>
      </c>
      <c r="D45" s="10">
        <v>14341.1171875</v>
      </c>
      <c r="E45" s="15">
        <v>17495.71</v>
      </c>
      <c r="F45" s="15">
        <f t="shared" si="8"/>
        <v>-3154.5928124999991</v>
      </c>
      <c r="G45" s="16">
        <f t="shared" si="9"/>
        <v>-0.18030664731525609</v>
      </c>
      <c r="H45" s="17">
        <v>18089</v>
      </c>
      <c r="I45" s="17">
        <f t="shared" si="10"/>
        <v>-3747.8828125</v>
      </c>
      <c r="J45" s="16">
        <f t="shared" si="11"/>
        <v>-0.20719126610094532</v>
      </c>
      <c r="K45" s="59"/>
      <c r="L45" s="60"/>
    </row>
    <row r="46" spans="1:12" ht="15.75">
      <c r="A46" s="25" t="str">
        <v>Q018</v>
      </c>
      <c r="B46" s="26" t="str">
        <v>NY</v>
      </c>
      <c r="C46" s="26" t="str">
        <f>Sites[[#This Row],[SOL'#]]</f>
        <v>SOL-10398</v>
      </c>
      <c r="D46" s="21">
        <v>8095.6875</v>
      </c>
      <c r="E46" s="11">
        <v>12613.08</v>
      </c>
      <c r="F46" s="11">
        <f t="shared" si="8"/>
        <v>-4517.3924999999999</v>
      </c>
      <c r="G46" s="12">
        <f t="shared" si="9"/>
        <v>-0.35815141900313008</v>
      </c>
      <c r="H46" s="13">
        <v>12784.81</v>
      </c>
      <c r="I46" s="13">
        <f t="shared" si="10"/>
        <v>-4689.1224999999995</v>
      </c>
      <c r="J46" s="14">
        <f t="shared" si="11"/>
        <v>-0.36677295165121732</v>
      </c>
      <c r="K46" s="54"/>
      <c r="L46" s="57"/>
    </row>
    <row r="47" spans="1:12" ht="15.75">
      <c r="A47" s="27" t="str">
        <v>Q021</v>
      </c>
      <c r="B47" s="28" t="str">
        <v>NY</v>
      </c>
      <c r="C47" s="28" t="str">
        <f>Sites[[#This Row],[SOL'#]]</f>
        <v>SOL-10399</v>
      </c>
      <c r="D47" s="10">
        <v>6658.71875</v>
      </c>
      <c r="E47" s="15">
        <v>10734.29</v>
      </c>
      <c r="F47" s="15">
        <f t="shared" si="8"/>
        <v>-4075.5712500000009</v>
      </c>
      <c r="G47" s="16">
        <f t="shared" si="9"/>
        <v>-0.37967776629846972</v>
      </c>
      <c r="H47" s="17">
        <v>5480.9939999999997</v>
      </c>
      <c r="I47" s="17">
        <f t="shared" si="10"/>
        <v>1177.7247500000003</v>
      </c>
      <c r="J47" s="16">
        <f t="shared" si="11"/>
        <v>0.21487430017256001</v>
      </c>
      <c r="K47" s="59"/>
      <c r="L47" s="60"/>
    </row>
    <row r="48" spans="1:12" ht="15.75">
      <c r="A48" s="25" t="str">
        <v>Q025</v>
      </c>
      <c r="B48" s="26" t="str">
        <v>NY</v>
      </c>
      <c r="C48" s="26" t="str">
        <f>Sites[[#This Row],[SOL'#]]</f>
        <v>SOL-10400</v>
      </c>
      <c r="D48" s="21">
        <v>10992.375</v>
      </c>
      <c r="E48" s="11">
        <v>16909.419999999998</v>
      </c>
      <c r="F48" s="11">
        <f t="shared" si="8"/>
        <v>-5917.0449999999983</v>
      </c>
      <c r="G48" s="12">
        <f t="shared" si="9"/>
        <v>-0.34992595843027136</v>
      </c>
      <c r="H48" s="13">
        <v>9540</v>
      </c>
      <c r="I48" s="13">
        <f t="shared" si="10"/>
        <v>1452.375</v>
      </c>
      <c r="J48" s="14">
        <f t="shared" si="11"/>
        <v>0.15224056603773584</v>
      </c>
      <c r="K48" s="54"/>
      <c r="L48" s="57"/>
    </row>
    <row r="49" spans="1:12" ht="42.75">
      <c r="A49" s="27" t="str">
        <v>Q074</v>
      </c>
      <c r="B49" s="28" t="str">
        <v>NY</v>
      </c>
      <c r="C49" s="28" t="str">
        <f>Sites[[#This Row],[SOL'#]]</f>
        <v>SOL-10402</v>
      </c>
      <c r="D49" s="10">
        <v>6577.59375</v>
      </c>
      <c r="E49" s="15">
        <v>10436.129999999999</v>
      </c>
      <c r="F49" s="15">
        <f t="shared" si="8"/>
        <v>-3858.5362499999992</v>
      </c>
      <c r="G49" s="16">
        <f t="shared" si="9"/>
        <v>-0.36972864941314448</v>
      </c>
      <c r="H49" s="17">
        <v>10440.209999999999</v>
      </c>
      <c r="I49" s="17">
        <f t="shared" si="10"/>
        <v>-3862.6162499999991</v>
      </c>
      <c r="J49" s="16">
        <f t="shared" si="11"/>
        <v>-0.36997495740028213</v>
      </c>
      <c r="K49" s="59" t="s">
        <v>146</v>
      </c>
      <c r="L49" s="59" t="s">
        <v>147</v>
      </c>
    </row>
    <row r="50" spans="1:12" ht="15.75">
      <c r="A50" s="25" t="str">
        <v>Q115</v>
      </c>
      <c r="B50" s="26" t="str">
        <v>NY</v>
      </c>
      <c r="C50" s="26" t="str">
        <f>Sites[[#This Row],[SOL'#]]</f>
        <v>SOL-10872</v>
      </c>
      <c r="D50" s="21">
        <v>9157.21875</v>
      </c>
      <c r="E50" s="11">
        <v>15076.37</v>
      </c>
      <c r="F50" s="11">
        <f t="shared" si="8"/>
        <v>-5919.1512500000008</v>
      </c>
      <c r="G50" s="12">
        <f t="shared" si="9"/>
        <v>-0.39261116900155679</v>
      </c>
      <c r="H50" s="13">
        <v>14141.7</v>
      </c>
      <c r="I50" s="13">
        <f t="shared" si="10"/>
        <v>-4984.4812500000007</v>
      </c>
      <c r="J50" s="14">
        <f t="shared" si="11"/>
        <v>-0.35246690638324957</v>
      </c>
      <c r="K50" s="54"/>
      <c r="L50" s="57"/>
    </row>
    <row r="51" spans="1:12" ht="15.75">
      <c r="A51" s="27" t="str">
        <v>Q139</v>
      </c>
      <c r="B51" s="28" t="str">
        <v>NY</v>
      </c>
      <c r="C51" s="28" t="str">
        <f>Sites[[#This Row],[SOL'#]]</f>
        <v>SOL-10403</v>
      </c>
      <c r="D51" s="10">
        <v>5878.21875</v>
      </c>
      <c r="E51" s="15">
        <v>8344.6959999999999</v>
      </c>
      <c r="F51" s="15">
        <f t="shared" si="8"/>
        <v>-2466.4772499999999</v>
      </c>
      <c r="G51" s="16">
        <f t="shared" si="9"/>
        <v>-0.29557424860054815</v>
      </c>
      <c r="H51" s="17">
        <v>8025</v>
      </c>
      <c r="I51" s="17">
        <f t="shared" si="10"/>
        <v>-2146.78125</v>
      </c>
      <c r="J51" s="16">
        <f t="shared" si="11"/>
        <v>-0.26751168224299066</v>
      </c>
      <c r="K51" s="59"/>
      <c r="L51" s="60"/>
    </row>
    <row r="52" spans="1:12" ht="42.75">
      <c r="A52" s="25" t="str">
        <v>Q157</v>
      </c>
      <c r="B52" s="26" t="str">
        <v>NY</v>
      </c>
      <c r="C52" s="26" t="str">
        <f>Sites[[#This Row],[SOL'#]]</f>
        <v>SOL-10404</v>
      </c>
      <c r="D52" s="21">
        <v>9228.1875</v>
      </c>
      <c r="E52" s="11">
        <v>16163.48</v>
      </c>
      <c r="F52" s="11">
        <f t="shared" si="8"/>
        <v>-6935.2924999999996</v>
      </c>
      <c r="G52" s="12">
        <f t="shared" si="9"/>
        <v>-0.42907174073899929</v>
      </c>
      <c r="H52" s="13">
        <v>15359.34</v>
      </c>
      <c r="I52" s="13">
        <f t="shared" si="10"/>
        <v>-6131.1525000000001</v>
      </c>
      <c r="J52" s="14">
        <f t="shared" si="11"/>
        <v>-0.3991807265155925</v>
      </c>
      <c r="K52" s="54" t="s">
        <v>148</v>
      </c>
      <c r="L52" s="57" t="s">
        <v>149</v>
      </c>
    </row>
    <row r="53" spans="1:12" ht="15.75">
      <c r="A53" s="27" t="str">
        <v>Q192</v>
      </c>
      <c r="B53" s="28" t="str">
        <v>NY</v>
      </c>
      <c r="C53" s="28" t="str">
        <f>Sites[[#This Row],[SOL'#]]</f>
        <v>SOL-10406</v>
      </c>
      <c r="D53" s="10">
        <v>15802.6875</v>
      </c>
      <c r="E53" s="15">
        <v>24783.49</v>
      </c>
      <c r="F53" s="15">
        <f t="shared" si="8"/>
        <v>-8980.8025000000016</v>
      </c>
      <c r="G53" s="16">
        <f t="shared" si="9"/>
        <v>-0.36237037237289826</v>
      </c>
      <c r="H53" s="17">
        <v>21116.05</v>
      </c>
      <c r="I53" s="17">
        <f t="shared" si="10"/>
        <v>-5313.3624999999993</v>
      </c>
      <c r="J53" s="16">
        <f t="shared" si="11"/>
        <v>-0.25162672469519626</v>
      </c>
      <c r="K53" s="59"/>
      <c r="L53" s="60"/>
    </row>
    <row r="54" spans="1:12" ht="28.5">
      <c r="A54" s="25" t="str">
        <v>Q210</v>
      </c>
      <c r="B54" s="26" t="str">
        <v>NY</v>
      </c>
      <c r="C54" s="26" t="str">
        <f>Sites[[#This Row],[SOL'#]]</f>
        <v>SOL-10407</v>
      </c>
      <c r="D54" s="21">
        <v>12134.875</v>
      </c>
      <c r="E54" s="11">
        <v>17223.77</v>
      </c>
      <c r="F54" s="11">
        <f t="shared" si="8"/>
        <v>-5088.8950000000004</v>
      </c>
      <c r="G54" s="12">
        <f t="shared" si="9"/>
        <v>-0.29545767273947576</v>
      </c>
      <c r="H54" s="13">
        <v>18108</v>
      </c>
      <c r="I54" s="13">
        <f t="shared" si="10"/>
        <v>-5973.125</v>
      </c>
      <c r="J54" s="14">
        <f t="shared" si="11"/>
        <v>-0.3298611111111111</v>
      </c>
      <c r="K54" s="54" t="s">
        <v>150</v>
      </c>
      <c r="L54" s="57" t="s">
        <v>47</v>
      </c>
    </row>
    <row r="55" spans="1:12" ht="15.75">
      <c r="A55" s="27" t="str">
        <v>Q229</v>
      </c>
      <c r="B55" s="28" t="str">
        <v>NY</v>
      </c>
      <c r="C55" s="28" t="str">
        <f>Sites[[#This Row],[SOL'#]]</f>
        <v>SOL-10408</v>
      </c>
      <c r="D55" s="10">
        <v>5675.18749999994</v>
      </c>
      <c r="E55" s="15">
        <v>8021.049</v>
      </c>
      <c r="F55" s="15">
        <f t="shared" si="8"/>
        <v>-2345.86150000006</v>
      </c>
      <c r="G55" s="16">
        <f t="shared" si="9"/>
        <v>-0.29246318031470198</v>
      </c>
      <c r="H55" s="17">
        <v>8779.7330000000002</v>
      </c>
      <c r="I55" s="17">
        <f t="shared" si="10"/>
        <v>-3104.5455000000602</v>
      </c>
      <c r="J55" s="16">
        <f t="shared" si="11"/>
        <v>-0.35360363464356603</v>
      </c>
      <c r="K55" s="59"/>
      <c r="L55" s="60"/>
    </row>
    <row r="56" spans="1:12" ht="15.75">
      <c r="A56" s="25" t="str">
        <v>Q231</v>
      </c>
      <c r="B56" s="26" t="str">
        <v>NY</v>
      </c>
      <c r="C56" s="26" t="str">
        <f>Sites[[#This Row],[SOL'#]]</f>
        <v>SOL-10870</v>
      </c>
      <c r="D56" s="21">
        <v>22856.1875</v>
      </c>
      <c r="E56" s="11">
        <v>35658.61</v>
      </c>
      <c r="F56" s="11">
        <f t="shared" si="8"/>
        <v>-12802.422500000001</v>
      </c>
      <c r="G56" s="12">
        <f t="shared" si="9"/>
        <v>-0.35902752518956854</v>
      </c>
      <c r="H56" s="13">
        <v>0</v>
      </c>
      <c r="I56" s="13">
        <f t="shared" si="10"/>
        <v>22856.1875</v>
      </c>
      <c r="J56" s="14" t="str">
        <f t="shared" si="11"/>
        <v/>
      </c>
      <c r="K56" s="54"/>
      <c r="L56" s="57"/>
    </row>
    <row r="57" spans="1:12" ht="15.75">
      <c r="A57" s="27" t="str">
        <v>Q405</v>
      </c>
      <c r="B57" s="28" t="str">
        <v>NY</v>
      </c>
      <c r="C57" s="28" t="str">
        <f>Sites[[#This Row],[SOL'#]]</f>
        <v>SOL-10409</v>
      </c>
      <c r="D57" s="10">
        <v>23173.875</v>
      </c>
      <c r="E57" s="15">
        <v>34907.18</v>
      </c>
      <c r="F57" s="15">
        <f t="shared" si="8"/>
        <v>-11733.305</v>
      </c>
      <c r="G57" s="16">
        <f t="shared" si="9"/>
        <v>-0.33612869902409764</v>
      </c>
      <c r="H57" s="17">
        <v>26531.72</v>
      </c>
      <c r="I57" s="17">
        <f t="shared" si="10"/>
        <v>-3357.8450000000012</v>
      </c>
      <c r="J57" s="16">
        <f t="shared" si="11"/>
        <v>-0.12655964257123176</v>
      </c>
      <c r="K57" s="59"/>
      <c r="L57" s="60"/>
    </row>
    <row r="58" spans="1:12" ht="28.5">
      <c r="A58" s="25" t="str">
        <v>Q435</v>
      </c>
      <c r="B58" s="26" t="str">
        <v>NY</v>
      </c>
      <c r="C58" s="26" t="str">
        <f>Sites[[#This Row],[SOL'#]]</f>
        <v>SOL-10923</v>
      </c>
      <c r="D58" s="21"/>
      <c r="E58" s="11">
        <v>0</v>
      </c>
      <c r="F58" s="11" t="str">
        <f t="shared" si="8"/>
        <v/>
      </c>
      <c r="G58" s="12" t="str">
        <f t="shared" si="9"/>
        <v/>
      </c>
      <c r="H58" s="13">
        <v>0</v>
      </c>
      <c r="I58" s="13" t="str">
        <f t="shared" si="10"/>
        <v/>
      </c>
      <c r="J58" s="14" t="str">
        <f t="shared" si="11"/>
        <v/>
      </c>
      <c r="K58" s="54" t="s">
        <v>151</v>
      </c>
      <c r="L58" s="57" t="s">
        <v>51</v>
      </c>
    </row>
    <row r="59" spans="1:12" ht="142.5">
      <c r="A59" s="27" t="str">
        <v>Q485</v>
      </c>
      <c r="B59" s="28" t="str">
        <v>NY</v>
      </c>
      <c r="C59" s="28" t="str">
        <f>Sites[[#This Row],[SOL'#]]</f>
        <v>SOL-10869</v>
      </c>
      <c r="D59" s="10">
        <v>23492.947499999998</v>
      </c>
      <c r="E59" s="15">
        <v>26113.119999999999</v>
      </c>
      <c r="F59" s="15">
        <f t="shared" si="8"/>
        <v>-2620.1725000000006</v>
      </c>
      <c r="G59" s="16">
        <f t="shared" si="9"/>
        <v>-0.10033931219249177</v>
      </c>
      <c r="H59" s="17">
        <v>31669.23</v>
      </c>
      <c r="I59" s="17">
        <f t="shared" si="10"/>
        <v>-8176.2825000000012</v>
      </c>
      <c r="J59" s="16">
        <f t="shared" si="11"/>
        <v>-0.25817749594795963</v>
      </c>
      <c r="K59" s="59" t="s">
        <v>152</v>
      </c>
      <c r="L59" s="59" t="s">
        <v>153</v>
      </c>
    </row>
    <row r="60" spans="1:12" ht="71.25">
      <c r="A60" s="25" t="str">
        <v>Q490</v>
      </c>
      <c r="B60" s="26" t="str">
        <v>NY</v>
      </c>
      <c r="C60" s="26" t="str">
        <f>Sites[[#This Row],[SOL'#]]</f>
        <v>SOL-10411</v>
      </c>
      <c r="D60" s="21">
        <v>19705.7056880938</v>
      </c>
      <c r="E60" s="11">
        <v>0</v>
      </c>
      <c r="F60" s="11">
        <f t="shared" si="8"/>
        <v>19705.7056880938</v>
      </c>
      <c r="G60" s="12" t="str">
        <f t="shared" si="9"/>
        <v/>
      </c>
      <c r="H60" s="13">
        <v>28902.87</v>
      </c>
      <c r="I60" s="13">
        <f t="shared" si="10"/>
        <v>-9197.1643119061991</v>
      </c>
      <c r="J60" s="14">
        <f t="shared" si="11"/>
        <v>-0.3182093789269439</v>
      </c>
      <c r="K60" s="54" t="s">
        <v>154</v>
      </c>
      <c r="L60" s="57" t="s">
        <v>155</v>
      </c>
    </row>
    <row r="61" spans="1:12" ht="15.75">
      <c r="A61" s="27" t="str">
        <v>Q620</v>
      </c>
      <c r="B61" s="28" t="str">
        <v>NY</v>
      </c>
      <c r="C61" s="28" t="str">
        <f>Sites[[#This Row],[SOL'#]]</f>
        <v>SOL-10867</v>
      </c>
      <c r="D61" s="10">
        <v>29063.125</v>
      </c>
      <c r="E61" s="15">
        <v>43869.760000000002</v>
      </c>
      <c r="F61" s="15">
        <f t="shared" si="8"/>
        <v>-14806.635000000002</v>
      </c>
      <c r="G61" s="16">
        <f t="shared" si="9"/>
        <v>-0.33751347169439727</v>
      </c>
      <c r="H61" s="17">
        <v>45011.46</v>
      </c>
      <c r="I61" s="17">
        <f t="shared" si="10"/>
        <v>-15948.334999999999</v>
      </c>
      <c r="J61" s="16">
        <f t="shared" si="11"/>
        <v>-0.35431721166120805</v>
      </c>
      <c r="K61" s="59"/>
      <c r="L61" s="60"/>
    </row>
    <row r="62" spans="1:12" ht="15.75">
      <c r="A62" s="25" t="str">
        <v>QMOA</v>
      </c>
      <c r="B62" s="26" t="str">
        <v>NY</v>
      </c>
      <c r="C62" s="26" t="str">
        <f>Sites[[#This Row],[SOL'#]]</f>
        <v>SOL-10415</v>
      </c>
      <c r="D62" s="21">
        <v>3142</v>
      </c>
      <c r="E62" s="11">
        <v>0</v>
      </c>
      <c r="F62" s="11">
        <f t="shared" si="8"/>
        <v>3142</v>
      </c>
      <c r="G62" s="12" t="str">
        <f t="shared" si="9"/>
        <v/>
      </c>
      <c r="H62" s="13">
        <v>3731.7240000000002</v>
      </c>
      <c r="I62" s="13">
        <f t="shared" si="10"/>
        <v>-589.72400000000016</v>
      </c>
      <c r="J62" s="14">
        <f t="shared" si="11"/>
        <v>-0.15802990789243795</v>
      </c>
      <c r="K62" s="54"/>
      <c r="L62" s="57"/>
    </row>
    <row r="63" spans="1:12" ht="15.75">
      <c r="A63" s="27" t="str">
        <v>X024</v>
      </c>
      <c r="B63" s="28" t="str">
        <v>NY</v>
      </c>
      <c r="C63" s="28" t="str">
        <f>Sites[[#This Row],[SOL'#]]</f>
        <v>SOL-10419</v>
      </c>
      <c r="D63" s="10">
        <v>10749.876</v>
      </c>
      <c r="E63" s="15">
        <v>0</v>
      </c>
      <c r="F63" s="15">
        <f t="shared" si="8"/>
        <v>10749.876</v>
      </c>
      <c r="G63" s="16" t="str">
        <f t="shared" si="9"/>
        <v/>
      </c>
      <c r="H63" s="17">
        <v>0</v>
      </c>
      <c r="I63" s="17">
        <f t="shared" si="10"/>
        <v>10749.876</v>
      </c>
      <c r="J63" s="16" t="str">
        <f t="shared" si="11"/>
        <v/>
      </c>
      <c r="K63" s="59"/>
      <c r="L63" s="60"/>
    </row>
    <row r="64" spans="1:12" ht="28.5">
      <c r="A64" s="25" t="str">
        <v>X026</v>
      </c>
      <c r="B64" s="26" t="str">
        <v>NY</v>
      </c>
      <c r="C64" s="26" t="str">
        <f>Sites[[#This Row],[SOL'#]]</f>
        <v>SOL-10420</v>
      </c>
      <c r="D64" s="21">
        <v>8054.2000000000698</v>
      </c>
      <c r="E64" s="11">
        <v>14614.25</v>
      </c>
      <c r="F64" s="11">
        <f t="shared" si="8"/>
        <v>-6560.0499999999302</v>
      </c>
      <c r="G64" s="12">
        <f t="shared" si="9"/>
        <v>-0.44888037360794636</v>
      </c>
      <c r="H64" s="13">
        <v>16730.150000000001</v>
      </c>
      <c r="I64" s="13">
        <f t="shared" si="10"/>
        <v>-8675.9499999999316</v>
      </c>
      <c r="J64" s="14">
        <f t="shared" si="11"/>
        <v>-0.5185817222200596</v>
      </c>
      <c r="K64" s="54" t="s">
        <v>156</v>
      </c>
      <c r="L64" s="57" t="s">
        <v>157</v>
      </c>
    </row>
    <row r="65" spans="1:12" ht="15.75">
      <c r="A65" s="27" t="str">
        <v>X090</v>
      </c>
      <c r="B65" s="28" t="str">
        <v>NY</v>
      </c>
      <c r="C65" s="28" t="str">
        <f>Sites[[#This Row],[SOL'#]]</f>
        <v>SOL-10925</v>
      </c>
      <c r="D65" s="10">
        <v>9045.1328124999909</v>
      </c>
      <c r="E65" s="15">
        <v>9690.9269999999997</v>
      </c>
      <c r="F65" s="15">
        <f t="shared" si="8"/>
        <v>-645.79418750000877</v>
      </c>
      <c r="G65" s="16">
        <f t="shared" si="9"/>
        <v>-6.6639051919389014E-2</v>
      </c>
      <c r="H65" s="17">
        <v>11057</v>
      </c>
      <c r="I65" s="17">
        <f t="shared" si="10"/>
        <v>-2011.8671875000091</v>
      </c>
      <c r="J65" s="16">
        <f t="shared" si="11"/>
        <v>-0.181954163651986</v>
      </c>
      <c r="K65" s="59"/>
      <c r="L65" s="60"/>
    </row>
    <row r="66" spans="1:12" ht="15.75">
      <c r="A66" s="25" t="str">
        <v>X117</v>
      </c>
      <c r="B66" s="26" t="str">
        <v>NY</v>
      </c>
      <c r="C66" s="26" t="str">
        <f>Sites[[#This Row],[SOL'#]]</f>
        <v>SOL-10422</v>
      </c>
      <c r="D66" s="21">
        <v>6764.6000000000304</v>
      </c>
      <c r="E66" s="11">
        <v>12607.26</v>
      </c>
      <c r="F66" s="11">
        <f t="shared" si="8"/>
        <v>-5842.6599999999698</v>
      </c>
      <c r="G66" s="12">
        <f t="shared" si="9"/>
        <v>-0.46343614710888564</v>
      </c>
      <c r="H66" s="13">
        <v>18680.64</v>
      </c>
      <c r="I66" s="13">
        <f t="shared" si="10"/>
        <v>-11916.039999999968</v>
      </c>
      <c r="J66" s="14">
        <f t="shared" si="11"/>
        <v>-0.63788178563475173</v>
      </c>
      <c r="K66" s="54"/>
      <c r="L66" s="57"/>
    </row>
    <row r="67" spans="1:12" ht="15.75">
      <c r="A67" s="27" t="str">
        <v>X125</v>
      </c>
      <c r="B67" s="28" t="str">
        <v>NY</v>
      </c>
      <c r="C67" s="28" t="str">
        <f>Sites[[#This Row],[SOL'#]]</f>
        <v>SOL-10423</v>
      </c>
      <c r="D67" s="10">
        <v>14000.8125</v>
      </c>
      <c r="E67" s="15">
        <v>21066.57</v>
      </c>
      <c r="F67" s="15">
        <f t="shared" si="8"/>
        <v>-7065.7574999999997</v>
      </c>
      <c r="G67" s="16">
        <f t="shared" si="9"/>
        <v>-0.33540142035461873</v>
      </c>
      <c r="H67" s="17">
        <v>13446.52</v>
      </c>
      <c r="I67" s="17">
        <f t="shared" si="10"/>
        <v>554.29249999999956</v>
      </c>
      <c r="J67" s="16">
        <f t="shared" si="11"/>
        <v>4.1222003908818007E-2</v>
      </c>
      <c r="K67" s="59"/>
      <c r="L67" s="60"/>
    </row>
    <row r="68" spans="1:12" ht="15.75">
      <c r="A68" s="25" t="str">
        <v>X134</v>
      </c>
      <c r="B68" s="26" t="str">
        <v>NY</v>
      </c>
      <c r="C68" s="26" t="str">
        <f>Sites[[#This Row],[SOL'#]]</f>
        <v>SOL-10424</v>
      </c>
      <c r="D68" s="21">
        <v>12948.28125</v>
      </c>
      <c r="E68" s="11">
        <v>0</v>
      </c>
      <c r="F68" s="11">
        <f t="shared" si="8"/>
        <v>12948.28125</v>
      </c>
      <c r="G68" s="12" t="str">
        <f t="shared" si="9"/>
        <v/>
      </c>
      <c r="H68" s="13">
        <v>0</v>
      </c>
      <c r="I68" s="13">
        <f t="shared" si="10"/>
        <v>12948.28125</v>
      </c>
      <c r="J68" s="14" t="str">
        <f t="shared" si="11"/>
        <v/>
      </c>
      <c r="K68" s="54"/>
      <c r="L68" s="57"/>
    </row>
    <row r="69" spans="1:12" ht="15.75">
      <c r="A69" s="27" t="str">
        <v>X135</v>
      </c>
      <c r="B69" s="28" t="str">
        <v>NY</v>
      </c>
      <c r="C69" s="28" t="str">
        <f>Sites[[#This Row],[SOL'#]]</f>
        <v>SOL-10425</v>
      </c>
      <c r="D69" s="10">
        <v>9774.890625</v>
      </c>
      <c r="E69" s="15">
        <v>0</v>
      </c>
      <c r="F69" s="15">
        <f t="shared" si="8"/>
        <v>9774.890625</v>
      </c>
      <c r="G69" s="16" t="str">
        <f t="shared" si="9"/>
        <v/>
      </c>
      <c r="H69" s="17">
        <v>0</v>
      </c>
      <c r="I69" s="17">
        <f t="shared" si="10"/>
        <v>9774.890625</v>
      </c>
      <c r="J69" s="16" t="str">
        <f t="shared" si="11"/>
        <v/>
      </c>
      <c r="K69" s="59"/>
      <c r="L69" s="60"/>
    </row>
    <row r="70" spans="1:12" ht="15.75">
      <c r="A70" s="25" t="str">
        <v>X139 JHS 222</v>
      </c>
      <c r="B70" s="26" t="str">
        <v>NY</v>
      </c>
      <c r="C70" s="26" t="str">
        <f>Sites[[#This Row],[SOL'#]]</f>
        <v>SOL-10426</v>
      </c>
      <c r="D70" s="21">
        <v>17038.219891019799</v>
      </c>
      <c r="E70" s="11">
        <v>22535.35</v>
      </c>
      <c r="F70" s="11">
        <f t="shared" si="8"/>
        <v>-5497.1301089802</v>
      </c>
      <c r="G70" s="12">
        <f t="shared" si="9"/>
        <v>-0.24393364686948285</v>
      </c>
      <c r="H70" s="13">
        <v>28008</v>
      </c>
      <c r="I70" s="13">
        <f t="shared" si="10"/>
        <v>-10969.780108980201</v>
      </c>
      <c r="J70" s="14">
        <f t="shared" si="11"/>
        <v>-0.39166595647601404</v>
      </c>
      <c r="K70" s="54"/>
      <c r="L70" s="57"/>
    </row>
    <row r="71" spans="1:12" ht="42.75">
      <c r="A71" s="27" t="str">
        <v>X140</v>
      </c>
      <c r="B71" s="28" t="str">
        <v>NY</v>
      </c>
      <c r="C71" s="28" t="str">
        <f>Sites[[#This Row],[SOL'#]]</f>
        <v>SOL-10926</v>
      </c>
      <c r="D71" s="10">
        <v>9393.2780000000002</v>
      </c>
      <c r="E71" s="15">
        <v>11697.657999999999</v>
      </c>
      <c r="F71" s="15">
        <f t="shared" si="8"/>
        <v>-2304.3799999999992</v>
      </c>
      <c r="G71" s="16">
        <f t="shared" si="9"/>
        <v>-0.19699498822755798</v>
      </c>
      <c r="H71" s="17">
        <v>11811.069</v>
      </c>
      <c r="I71" s="17">
        <f t="shared" si="10"/>
        <v>-2417.7909999999993</v>
      </c>
      <c r="J71" s="16">
        <f t="shared" si="11"/>
        <v>-0.20470551818806573</v>
      </c>
      <c r="K71" s="59" t="s">
        <v>158</v>
      </c>
      <c r="L71" s="59" t="s">
        <v>159</v>
      </c>
    </row>
    <row r="72" spans="1:12" ht="15.75">
      <c r="A72" s="25" t="str">
        <v>X166</v>
      </c>
      <c r="B72" s="26" t="str">
        <v>NY</v>
      </c>
      <c r="C72" s="26" t="str">
        <f>Sites[[#This Row],[SOL'#]]</f>
        <v>SOL-10427</v>
      </c>
      <c r="D72" s="21">
        <v>10298.799999999999</v>
      </c>
      <c r="E72" s="11">
        <v>14615.42</v>
      </c>
      <c r="F72" s="11">
        <f t="shared" si="8"/>
        <v>-4316.6200000000008</v>
      </c>
      <c r="G72" s="12">
        <f t="shared" si="9"/>
        <v>-0.29534696915996944</v>
      </c>
      <c r="H72" s="13">
        <v>0</v>
      </c>
      <c r="I72" s="13">
        <f t="shared" si="10"/>
        <v>10298.799999999999</v>
      </c>
      <c r="J72" s="14" t="str">
        <f t="shared" si="11"/>
        <v/>
      </c>
      <c r="K72" s="54"/>
      <c r="L72" s="57"/>
    </row>
    <row r="73" spans="1:12" ht="270.75">
      <c r="A73" s="27" t="str">
        <v>Murphy</v>
      </c>
      <c r="B73" s="28" t="str">
        <v>MN</v>
      </c>
      <c r="C73" s="28" t="str">
        <f>Sites[[#This Row],[SOL'#]]</f>
        <v>SOL-10094</v>
      </c>
      <c r="D73" s="10">
        <v>575720</v>
      </c>
      <c r="E73" s="15">
        <v>738454.1</v>
      </c>
      <c r="F73" s="15">
        <f t="shared" si="8"/>
        <v>-162734.09999999998</v>
      </c>
      <c r="G73" s="16">
        <f t="shared" si="9"/>
        <v>-0.22037131353187692</v>
      </c>
      <c r="H73" s="17">
        <v>691411.1</v>
      </c>
      <c r="I73" s="17">
        <f t="shared" si="10"/>
        <v>-115691.09999999998</v>
      </c>
      <c r="J73" s="16">
        <f t="shared" si="11"/>
        <v>-0.16732606693760049</v>
      </c>
      <c r="K73" s="59" t="s">
        <v>160</v>
      </c>
      <c r="L73" s="59" t="s">
        <v>161</v>
      </c>
    </row>
    <row r="74" spans="1:12" ht="15.75">
      <c r="A74" s="25" t="str">
        <v>Terning</v>
      </c>
      <c r="B74" s="26" t="str">
        <v>MN</v>
      </c>
      <c r="C74" s="26" t="str">
        <f>Sites[[#This Row],[SOL'#]]</f>
        <v>SOL-10093</v>
      </c>
      <c r="D74" s="21">
        <v>579703</v>
      </c>
      <c r="E74" s="11">
        <v>721827.7</v>
      </c>
      <c r="F74" s="11">
        <f t="shared" si="8"/>
        <v>-142124.69999999995</v>
      </c>
      <c r="G74" s="12">
        <f t="shared" si="9"/>
        <v>-0.19689560264866526</v>
      </c>
      <c r="H74" s="13">
        <v>652717.9</v>
      </c>
      <c r="I74" s="13">
        <f t="shared" si="10"/>
        <v>-73014.900000000023</v>
      </c>
      <c r="J74" s="14">
        <f t="shared" si="11"/>
        <v>-0.11186287368555393</v>
      </c>
      <c r="K74" s="54"/>
      <c r="L74" s="57"/>
    </row>
    <row r="75" spans="1:12" ht="57">
      <c r="A75" s="27" t="str">
        <v>Boas Road 04</v>
      </c>
      <c r="B75" s="28" t="str">
        <v>NY</v>
      </c>
      <c r="C75" s="28" t="str">
        <f>Sites[[#This Row],[SOL'#]]</f>
        <v>SOL-10908</v>
      </c>
      <c r="D75" s="10">
        <v>192892</v>
      </c>
      <c r="E75" s="15">
        <v>264045.63</v>
      </c>
      <c r="F75" s="15">
        <f t="shared" si="8"/>
        <v>-71153.63</v>
      </c>
      <c r="G75" s="16">
        <f t="shared" si="9"/>
        <v>-0.2694747494968957</v>
      </c>
      <c r="H75" s="17">
        <v>220064.68</v>
      </c>
      <c r="I75" s="17">
        <f t="shared" si="10"/>
        <v>-27172.679999999993</v>
      </c>
      <c r="J75" s="16">
        <f t="shared" si="11"/>
        <v>-0.1234758799094884</v>
      </c>
      <c r="K75" s="59" t="s">
        <v>162</v>
      </c>
      <c r="L75" s="59" t="s">
        <v>163</v>
      </c>
    </row>
    <row r="76" spans="1:12" ht="71.25" customHeight="1">
      <c r="A76" s="25" t="str">
        <v>Kelly Bridge Farm</v>
      </c>
      <c r="B76" s="26" t="str">
        <v>NY</v>
      </c>
      <c r="C76" s="26" t="str">
        <f>Sites[[#This Row],[SOL'#]]</f>
        <v>SOL-10911</v>
      </c>
      <c r="D76" s="21">
        <v>242237</v>
      </c>
      <c r="E76" s="11">
        <v>291693.36</v>
      </c>
      <c r="F76" s="11">
        <f t="shared" si="8"/>
        <v>-49456.359999999986</v>
      </c>
      <c r="G76" s="12">
        <f t="shared" si="9"/>
        <v>-0.16954914571932658</v>
      </c>
      <c r="H76" s="13">
        <v>209445.59</v>
      </c>
      <c r="I76" s="13">
        <f t="shared" si="10"/>
        <v>32791.410000000003</v>
      </c>
      <c r="J76" s="14">
        <f t="shared" si="11"/>
        <v>0.15656290495302386</v>
      </c>
      <c r="K76" s="54" t="s">
        <v>164</v>
      </c>
      <c r="L76" s="57" t="s">
        <v>165</v>
      </c>
    </row>
    <row r="77" spans="1:12" ht="28.5">
      <c r="A77" s="27" t="str">
        <v>Pool Brook Road</v>
      </c>
      <c r="B77" s="28" t="str">
        <v>NY</v>
      </c>
      <c r="C77" s="28" t="str">
        <f>Sites[[#This Row],[SOL'#]]</f>
        <v>SOL-10909</v>
      </c>
      <c r="D77" s="10">
        <v>227358</v>
      </c>
      <c r="E77" s="15">
        <v>253637.61</v>
      </c>
      <c r="F77" s="15">
        <f t="shared" si="8"/>
        <v>-26279.609999999986</v>
      </c>
      <c r="G77" s="16">
        <f t="shared" si="9"/>
        <v>-0.1036108564498774</v>
      </c>
      <c r="H77" s="17">
        <v>194874.12</v>
      </c>
      <c r="I77" s="17">
        <f t="shared" si="10"/>
        <v>32483.880000000005</v>
      </c>
      <c r="J77" s="16">
        <f t="shared" si="11"/>
        <v>0.16669160584278717</v>
      </c>
      <c r="K77" s="59" t="s">
        <v>166</v>
      </c>
      <c r="L77" s="60" t="s">
        <v>167</v>
      </c>
    </row>
    <row r="78" spans="1:12" ht="28.5">
      <c r="A78" s="25" t="str">
        <v>Sackett Lake</v>
      </c>
      <c r="B78" s="26" t="str">
        <v>NY</v>
      </c>
      <c r="C78" s="26" t="str">
        <f>Sites[[#This Row],[SOL'#]]</f>
        <v>SOL-10910</v>
      </c>
      <c r="D78" s="21">
        <v>272809</v>
      </c>
      <c r="E78" s="11">
        <v>302531.58</v>
      </c>
      <c r="F78" s="11">
        <f t="shared" si="8"/>
        <v>-29722.580000000016</v>
      </c>
      <c r="G78" s="12">
        <f t="shared" si="9"/>
        <v>-9.8246206230767755E-2</v>
      </c>
      <c r="H78" s="13">
        <v>223309.11</v>
      </c>
      <c r="I78" s="13">
        <f t="shared" si="10"/>
        <v>49499.890000000014</v>
      </c>
      <c r="J78" s="14">
        <f t="shared" si="11"/>
        <v>0.22166534092585841</v>
      </c>
      <c r="K78" s="54" t="s">
        <v>168</v>
      </c>
      <c r="L78" s="57" t="s">
        <v>169</v>
      </c>
    </row>
    <row r="79" spans="1:12" ht="71.25">
      <c r="A79" s="27" t="str">
        <v>Burritt Road</v>
      </c>
      <c r="B79" s="28" t="str">
        <v>NY</v>
      </c>
      <c r="C79" s="28" t="str">
        <f>Sites[[#This Row],[SOL'#]]</f>
        <v>SOL-10913</v>
      </c>
      <c r="D79" s="10">
        <v>191650</v>
      </c>
      <c r="E79" s="15">
        <v>156033.66</v>
      </c>
      <c r="F79" s="15">
        <f t="shared" si="8"/>
        <v>35616.339999999997</v>
      </c>
      <c r="G79" s="16">
        <f t="shared" si="9"/>
        <v>0.22826062017644139</v>
      </c>
      <c r="H79" s="17">
        <v>175660.86</v>
      </c>
      <c r="I79" s="17">
        <f t="shared" si="10"/>
        <v>15989.140000000014</v>
      </c>
      <c r="J79" s="16">
        <f t="shared" si="11"/>
        <v>9.1022781056633875E-2</v>
      </c>
      <c r="K79" s="59" t="s">
        <v>170</v>
      </c>
      <c r="L79" s="59" t="s">
        <v>171</v>
      </c>
    </row>
    <row r="80" spans="1:12" ht="28.5">
      <c r="A80" s="25" t="str">
        <v>Villa Roma 1</v>
      </c>
      <c r="B80" s="26" t="str">
        <v>NY</v>
      </c>
      <c r="C80" s="26" t="str">
        <f>Sites[[#This Row],[SOL'#]]</f>
        <v>SOL-10914</v>
      </c>
      <c r="D80" s="21">
        <v>231364</v>
      </c>
      <c r="E80" s="11">
        <v>200.4</v>
      </c>
      <c r="F80" s="11">
        <f t="shared" si="8"/>
        <v>231163.6</v>
      </c>
      <c r="G80" s="12">
        <f t="shared" si="9"/>
        <v>1153.5109780439122</v>
      </c>
      <c r="H80" s="13">
        <v>154208.4</v>
      </c>
      <c r="I80" s="13">
        <f t="shared" si="10"/>
        <v>77155.600000000006</v>
      </c>
      <c r="J80" s="14">
        <f t="shared" si="11"/>
        <v>0.50033331517608648</v>
      </c>
      <c r="K80" s="54" t="s">
        <v>172</v>
      </c>
      <c r="L80" s="57"/>
    </row>
    <row r="81" spans="1:12" ht="33" customHeight="1">
      <c r="A81" s="27" t="str">
        <v>Villa Roma 2</v>
      </c>
      <c r="B81" s="28" t="str">
        <v>NY</v>
      </c>
      <c r="C81" s="28" t="str">
        <f>Sites[[#This Row],[SOL'#]]</f>
        <v>SOL-10915</v>
      </c>
      <c r="D81" s="56">
        <v>204180</v>
      </c>
      <c r="E81" s="15">
        <v>244833.94</v>
      </c>
      <c r="F81" s="15">
        <f t="shared" si="8"/>
        <v>-40653.94</v>
      </c>
      <c r="G81" s="16">
        <f t="shared" si="9"/>
        <v>-0.16604699495502953</v>
      </c>
      <c r="H81" s="17">
        <v>149312.26</v>
      </c>
      <c r="I81" s="17">
        <f t="shared" si="10"/>
        <v>54867.739999999991</v>
      </c>
      <c r="J81" s="16">
        <f t="shared" si="11"/>
        <v>0.36746975767428602</v>
      </c>
      <c r="K81" s="59" t="s">
        <v>173</v>
      </c>
      <c r="L81" s="60" t="s">
        <v>174</v>
      </c>
    </row>
    <row r="82" spans="1:12" ht="15.75">
      <c r="A82" s="25" t="str">
        <v>Washington 1</v>
      </c>
      <c r="B82" s="26" t="str">
        <v>NY</v>
      </c>
      <c r="C82" s="26" t="str">
        <f>Sites[[#This Row],[SOL'#]]</f>
        <v>SOL-10912</v>
      </c>
      <c r="D82" s="21">
        <v>209440</v>
      </c>
      <c r="E82" s="11">
        <v>242548.32</v>
      </c>
      <c r="F82" s="11">
        <f t="shared" ref="F82:F137" si="12">IF(AND(ISNUMBER(D82),ISNUMBER(E82)), D82-E82, "")</f>
        <v>-33108.320000000007</v>
      </c>
      <c r="G82" s="12">
        <f t="shared" ref="G82:G137" si="13">IFERROR(F82/E82, "")</f>
        <v>-0.13650195556910064</v>
      </c>
      <c r="H82" s="13">
        <v>173775.12</v>
      </c>
      <c r="I82" s="13">
        <f t="shared" ref="I82:I137" si="14">IF(AND(ISNUMBER(D82),ISNUMBER(H82)), D82-H82, "")</f>
        <v>35664.880000000005</v>
      </c>
      <c r="J82" s="14">
        <f t="shared" ref="J82:J137" si="15">IFERROR(I82/H82, "")</f>
        <v>0.20523582432283749</v>
      </c>
      <c r="K82" s="54"/>
      <c r="L82" s="57"/>
    </row>
    <row r="83" spans="1:12" ht="185.25">
      <c r="A83" s="27" t="str">
        <v>Washington 3</v>
      </c>
      <c r="B83" s="28" t="str">
        <v>NY</v>
      </c>
      <c r="C83" s="28" t="str">
        <f>Sites[[#This Row],[SOL'#]]</f>
        <v>SOL-10828</v>
      </c>
      <c r="D83" s="10">
        <v>188205</v>
      </c>
      <c r="E83" s="15">
        <v>225708.02</v>
      </c>
      <c r="F83" s="15">
        <f t="shared" si="12"/>
        <v>-37503.01999999999</v>
      </c>
      <c r="G83" s="16">
        <f t="shared" si="13"/>
        <v>-0.16615723269381386</v>
      </c>
      <c r="H83" s="17">
        <v>211399.74</v>
      </c>
      <c r="I83" s="17">
        <f t="shared" si="14"/>
        <v>-23194.739999999991</v>
      </c>
      <c r="J83" s="16">
        <f t="shared" si="15"/>
        <v>-0.10971981327886209</v>
      </c>
      <c r="K83" s="59" t="s">
        <v>175</v>
      </c>
      <c r="L83" s="60" t="s">
        <v>176</v>
      </c>
    </row>
    <row r="84" spans="1:12" ht="15.75">
      <c r="A84" s="25" t="str">
        <v>Washington 4</v>
      </c>
      <c r="B84" s="26" t="str">
        <v>NY</v>
      </c>
      <c r="C84" s="26" t="str">
        <f>Sites[[#This Row],[SOL'#]]</f>
        <v>SOL-10829</v>
      </c>
      <c r="D84" s="21">
        <v>255677</v>
      </c>
      <c r="E84" s="11">
        <v>0</v>
      </c>
      <c r="F84" s="11">
        <f t="shared" si="12"/>
        <v>255677</v>
      </c>
      <c r="G84" s="12" t="str">
        <f t="shared" si="13"/>
        <v/>
      </c>
      <c r="H84" s="13">
        <v>212129.44</v>
      </c>
      <c r="I84" s="13">
        <f t="shared" si="14"/>
        <v>43547.56</v>
      </c>
      <c r="J84" s="14">
        <f t="shared" si="15"/>
        <v>0.20528767718427013</v>
      </c>
      <c r="K84" s="54"/>
      <c r="L84" s="57"/>
    </row>
    <row r="85" spans="1:12" ht="15.75">
      <c r="A85" s="27" t="str">
        <v>Big Tree</v>
      </c>
      <c r="B85" s="28" t="str">
        <v>NY</v>
      </c>
      <c r="C85" s="28" t="str">
        <f>Sites[[#This Row],[SOL'#]]</f>
        <v>SOL-10966</v>
      </c>
      <c r="D85" s="10">
        <v>205830</v>
      </c>
      <c r="E85" s="15">
        <v>0</v>
      </c>
      <c r="F85" s="15">
        <f t="shared" si="12"/>
        <v>205830</v>
      </c>
      <c r="G85" s="16" t="str">
        <f t="shared" si="13"/>
        <v/>
      </c>
      <c r="H85" s="17">
        <v>100951</v>
      </c>
      <c r="I85" s="17">
        <f t="shared" si="14"/>
        <v>104879</v>
      </c>
      <c r="J85" s="16">
        <f t="shared" si="15"/>
        <v>1.038909966221236</v>
      </c>
      <c r="K85" s="59"/>
      <c r="L85" s="59"/>
    </row>
    <row r="86" spans="1:12" ht="71.25">
      <c r="A86" s="25" t="str">
        <v>Canoga</v>
      </c>
      <c r="B86" s="26" t="str">
        <v>NY</v>
      </c>
      <c r="C86" s="26" t="str">
        <f>Sites[[#This Row],[SOL'#]]</f>
        <v>SOL-10965</v>
      </c>
      <c r="D86" s="21">
        <v>588710</v>
      </c>
      <c r="E86" s="11">
        <v>0</v>
      </c>
      <c r="F86" s="11">
        <f t="shared" si="12"/>
        <v>588710</v>
      </c>
      <c r="G86" s="12" t="str">
        <f t="shared" si="13"/>
        <v/>
      </c>
      <c r="H86" s="13">
        <v>286181</v>
      </c>
      <c r="I86" s="13">
        <f t="shared" si="14"/>
        <v>302529</v>
      </c>
      <c r="J86" s="14">
        <f t="shared" si="15"/>
        <v>1.0571246868240729</v>
      </c>
      <c r="K86" s="54" t="s">
        <v>177</v>
      </c>
      <c r="L86" s="54" t="s">
        <v>178</v>
      </c>
    </row>
    <row r="87" spans="1:12" ht="57">
      <c r="A87" s="27" t="str">
        <v>County Route 84</v>
      </c>
      <c r="B87" s="28" t="str">
        <v>NY</v>
      </c>
      <c r="C87" s="28" t="str">
        <f>Sites[[#This Row],[SOL'#]]</f>
        <v>SOL-10967</v>
      </c>
      <c r="D87" s="10">
        <v>643919</v>
      </c>
      <c r="E87" s="15">
        <v>0</v>
      </c>
      <c r="F87" s="15">
        <f t="shared" si="12"/>
        <v>643919</v>
      </c>
      <c r="G87" s="16" t="str">
        <f t="shared" si="13"/>
        <v/>
      </c>
      <c r="H87" s="17">
        <v>352818</v>
      </c>
      <c r="I87" s="17">
        <f t="shared" si="14"/>
        <v>291101</v>
      </c>
      <c r="J87" s="16">
        <f t="shared" si="15"/>
        <v>0.82507411753368587</v>
      </c>
      <c r="K87" s="59" t="s">
        <v>179</v>
      </c>
      <c r="L87" s="59" t="s">
        <v>180</v>
      </c>
    </row>
    <row r="88" spans="1:12" ht="15.75">
      <c r="A88" s="25" t="str">
        <v>Donati</v>
      </c>
      <c r="B88" s="26" t="str">
        <v>NY</v>
      </c>
      <c r="C88" s="26" t="str">
        <f>Sites[[#This Row],[SOL'#]]</f>
        <v>SOL-10968</v>
      </c>
      <c r="D88" s="21">
        <v>235734</v>
      </c>
      <c r="E88" s="11">
        <v>0</v>
      </c>
      <c r="F88" s="11">
        <f t="shared" si="12"/>
        <v>235734</v>
      </c>
      <c r="G88" s="12" t="str">
        <f t="shared" si="13"/>
        <v/>
      </c>
      <c r="H88" s="13">
        <v>112628</v>
      </c>
      <c r="I88" s="13">
        <f t="shared" si="14"/>
        <v>123106</v>
      </c>
      <c r="J88" s="14">
        <f t="shared" si="15"/>
        <v>1.093031928117342</v>
      </c>
      <c r="K88" s="54"/>
      <c r="L88" s="54"/>
    </row>
    <row r="89" spans="1:12" ht="71.25">
      <c r="A89" s="27" t="str">
        <v>Henrietta</v>
      </c>
      <c r="B89" s="28" t="str">
        <v>NY</v>
      </c>
      <c r="C89" s="28" t="str">
        <f>Sites[[#This Row],[SOL'#]]</f>
        <v>SOL-10972</v>
      </c>
      <c r="D89" s="56">
        <v>413041</v>
      </c>
      <c r="E89" s="15">
        <v>0</v>
      </c>
      <c r="F89" s="15">
        <f t="shared" si="12"/>
        <v>413041</v>
      </c>
      <c r="G89" s="16" t="str">
        <f t="shared" si="13"/>
        <v/>
      </c>
      <c r="H89" s="17">
        <v>216878</v>
      </c>
      <c r="I89" s="17">
        <f t="shared" si="14"/>
        <v>196163</v>
      </c>
      <c r="J89" s="16">
        <f t="shared" si="15"/>
        <v>0.90448547109434796</v>
      </c>
      <c r="K89" s="59" t="s">
        <v>181</v>
      </c>
      <c r="L89" s="59" t="s">
        <v>182</v>
      </c>
    </row>
    <row r="90" spans="1:12" ht="85.5">
      <c r="A90" s="25" t="str">
        <v>NY 70</v>
      </c>
      <c r="B90" s="26" t="str">
        <v>NY</v>
      </c>
      <c r="C90" s="26" t="str">
        <f>Sites[[#This Row],[SOL'#]]</f>
        <v>SOL-10970</v>
      </c>
      <c r="D90" s="21">
        <v>513047</v>
      </c>
      <c r="E90" s="11">
        <v>0</v>
      </c>
      <c r="F90" s="11">
        <f t="shared" si="12"/>
        <v>513047</v>
      </c>
      <c r="G90" s="12" t="str">
        <f t="shared" si="13"/>
        <v/>
      </c>
      <c r="H90" s="13">
        <v>336952</v>
      </c>
      <c r="I90" s="13">
        <f t="shared" si="14"/>
        <v>176095</v>
      </c>
      <c r="J90" s="14">
        <f t="shared" si="15"/>
        <v>0.52261152923858589</v>
      </c>
      <c r="K90" s="54" t="s">
        <v>183</v>
      </c>
      <c r="L90" s="54" t="s">
        <v>184</v>
      </c>
    </row>
    <row r="91" spans="1:12" ht="85.5">
      <c r="A91" s="27" t="str">
        <v>Reid</v>
      </c>
      <c r="B91" s="28" t="str">
        <v>NY</v>
      </c>
      <c r="C91" s="28" t="str">
        <f>Sites[[#This Row],[SOL'#]]</f>
        <v>SOL-10991</v>
      </c>
      <c r="D91" s="10">
        <v>532878.94852957898</v>
      </c>
      <c r="E91" s="15">
        <v>547634.5</v>
      </c>
      <c r="F91" s="15">
        <f t="shared" si="12"/>
        <v>-14755.551470421022</v>
      </c>
      <c r="G91" s="16">
        <f t="shared" si="13"/>
        <v>-2.6944159782521047E-2</v>
      </c>
      <c r="H91" s="17">
        <v>486135</v>
      </c>
      <c r="I91" s="17">
        <f t="shared" si="14"/>
        <v>46743.948529578978</v>
      </c>
      <c r="J91" s="16">
        <f t="shared" si="15"/>
        <v>9.6154254537482345E-2</v>
      </c>
      <c r="K91" s="59" t="s">
        <v>185</v>
      </c>
      <c r="L91" s="59" t="s">
        <v>186</v>
      </c>
    </row>
    <row r="92" spans="1:12" ht="15.75">
      <c r="A92" s="25" t="str">
        <v>Sangolqui</v>
      </c>
      <c r="B92" s="26" t="str">
        <v>NY</v>
      </c>
      <c r="C92" s="26" t="str">
        <f>Sites[[#This Row],[SOL'#]]</f>
        <v>SOL-10975</v>
      </c>
      <c r="D92" s="21">
        <v>232615</v>
      </c>
      <c r="E92" s="11">
        <v>0</v>
      </c>
      <c r="F92" s="11">
        <f t="shared" si="12"/>
        <v>232615</v>
      </c>
      <c r="G92" s="12" t="str">
        <f t="shared" si="13"/>
        <v/>
      </c>
      <c r="H92" s="13">
        <v>109835</v>
      </c>
      <c r="I92" s="13">
        <f t="shared" si="14"/>
        <v>122780</v>
      </c>
      <c r="J92" s="14">
        <f t="shared" si="15"/>
        <v>1.1178586060909546</v>
      </c>
      <c r="K92" s="54"/>
      <c r="L92" s="57"/>
    </row>
    <row r="93" spans="1:12" ht="85.5">
      <c r="A93" s="27" t="str">
        <v>State Highway 17B</v>
      </c>
      <c r="B93" s="28" t="str">
        <v>NY</v>
      </c>
      <c r="C93" s="28" t="str">
        <f>Sites[[#This Row],[SOL'#]]</f>
        <v>SOL-10988</v>
      </c>
      <c r="D93" s="10">
        <v>573455</v>
      </c>
      <c r="E93" s="15">
        <v>0</v>
      </c>
      <c r="F93" s="15">
        <f t="shared" si="12"/>
        <v>573455</v>
      </c>
      <c r="G93" s="16" t="str">
        <f t="shared" si="13"/>
        <v/>
      </c>
      <c r="H93" s="17">
        <v>302852</v>
      </c>
      <c r="I93" s="17">
        <f t="shared" si="14"/>
        <v>270603</v>
      </c>
      <c r="J93" s="16">
        <f t="shared" si="15"/>
        <v>0.89351564460528576</v>
      </c>
      <c r="K93" s="59" t="s">
        <v>187</v>
      </c>
      <c r="L93" s="59" t="s">
        <v>188</v>
      </c>
    </row>
    <row r="94" spans="1:12" ht="42.75">
      <c r="A94" s="25" t="str">
        <v>State Route 14A</v>
      </c>
      <c r="B94" s="26" t="str">
        <v>NY</v>
      </c>
      <c r="C94" s="26" t="str">
        <f>Sites[[#This Row],[SOL'#]]</f>
        <v>SOL-10997</v>
      </c>
      <c r="D94" s="21">
        <v>556372</v>
      </c>
      <c r="E94" s="11">
        <v>0</v>
      </c>
      <c r="F94" s="11">
        <f t="shared" si="12"/>
        <v>556372</v>
      </c>
      <c r="G94" s="12" t="str">
        <f t="shared" si="13"/>
        <v/>
      </c>
      <c r="H94" s="13">
        <v>325152</v>
      </c>
      <c r="I94" s="13">
        <f t="shared" si="14"/>
        <v>231220</v>
      </c>
      <c r="J94" s="14">
        <f t="shared" si="15"/>
        <v>0.71111357149886822</v>
      </c>
      <c r="K94" s="54" t="s">
        <v>189</v>
      </c>
      <c r="L94" s="57" t="s">
        <v>190</v>
      </c>
    </row>
    <row r="95" spans="1:12" ht="15.75">
      <c r="A95" s="27" t="str">
        <v>West Creek</v>
      </c>
      <c r="B95" s="28" t="str">
        <v>NY</v>
      </c>
      <c r="C95" s="28" t="str">
        <f>Sites[[#This Row],[SOL'#]]</f>
        <v>SOL-10995</v>
      </c>
      <c r="D95" s="10">
        <v>644863</v>
      </c>
      <c r="E95" s="15">
        <v>0</v>
      </c>
      <c r="F95" s="15">
        <f t="shared" si="12"/>
        <v>644863</v>
      </c>
      <c r="G95" s="16" t="str">
        <f t="shared" si="13"/>
        <v/>
      </c>
      <c r="H95" s="17">
        <v>279159</v>
      </c>
      <c r="I95" s="17">
        <f t="shared" si="14"/>
        <v>365704</v>
      </c>
      <c r="J95" s="16">
        <f t="shared" si="15"/>
        <v>1.3100204542930731</v>
      </c>
      <c r="K95" s="59"/>
      <c r="L95" s="60"/>
    </row>
    <row r="96" spans="1:12" ht="15.75">
      <c r="A96" s="25" t="str">
        <v>Wildflower</v>
      </c>
      <c r="B96" s="26" t="str">
        <v>NY</v>
      </c>
      <c r="C96" s="26" t="str">
        <f>Sites[[#This Row],[SOL'#]]</f>
        <v>SOL-10982</v>
      </c>
      <c r="D96" s="21">
        <v>591798</v>
      </c>
      <c r="E96" s="11">
        <v>0</v>
      </c>
      <c r="F96" s="11">
        <f t="shared" si="12"/>
        <v>591798</v>
      </c>
      <c r="G96" s="12" t="str">
        <f t="shared" si="13"/>
        <v/>
      </c>
      <c r="H96" s="13">
        <v>380649</v>
      </c>
      <c r="I96" s="13">
        <f t="shared" si="14"/>
        <v>211149</v>
      </c>
      <c r="J96" s="14">
        <f t="shared" si="15"/>
        <v>0.55470788048832387</v>
      </c>
      <c r="K96" s="54"/>
      <c r="L96" s="57"/>
    </row>
    <row r="97" spans="1:13" ht="42.75">
      <c r="A97" s="27" t="str">
        <v>Glen Mary 1</v>
      </c>
      <c r="B97" s="28" t="str">
        <v>NY</v>
      </c>
      <c r="C97" s="28" t="str">
        <f>Sites[[#This Row],[SOL'#]]</f>
        <v>SOL-10993</v>
      </c>
      <c r="D97" s="10">
        <v>614649</v>
      </c>
      <c r="E97" s="15">
        <v>0</v>
      </c>
      <c r="F97" s="15">
        <f t="shared" si="12"/>
        <v>614649</v>
      </c>
      <c r="G97" s="16" t="str">
        <f t="shared" si="13"/>
        <v/>
      </c>
      <c r="H97" s="17">
        <v>364876</v>
      </c>
      <c r="I97" s="17">
        <f t="shared" si="14"/>
        <v>249773</v>
      </c>
      <c r="J97" s="16">
        <f t="shared" si="15"/>
        <v>0.68454214582488293</v>
      </c>
      <c r="K97" s="59" t="s">
        <v>191</v>
      </c>
      <c r="L97" s="60" t="s">
        <v>192</v>
      </c>
    </row>
    <row r="98" spans="1:13" ht="42.75">
      <c r="A98" s="25" t="str">
        <v>Glen Mary 2</v>
      </c>
      <c r="B98" s="26" t="str">
        <v>NY</v>
      </c>
      <c r="C98" s="26" t="str">
        <f>Sites[[#This Row],[SOL'#]]</f>
        <v>SOL-10994</v>
      </c>
      <c r="D98" s="21">
        <v>279832</v>
      </c>
      <c r="E98" s="11">
        <v>0</v>
      </c>
      <c r="F98" s="11">
        <f t="shared" si="12"/>
        <v>279832</v>
      </c>
      <c r="G98" s="12" t="str">
        <f t="shared" si="13"/>
        <v/>
      </c>
      <c r="H98" s="13">
        <v>148929</v>
      </c>
      <c r="I98" s="13">
        <f t="shared" si="14"/>
        <v>130903</v>
      </c>
      <c r="J98" s="14">
        <f t="shared" si="15"/>
        <v>0.87896245862122224</v>
      </c>
      <c r="K98" s="54" t="s">
        <v>193</v>
      </c>
      <c r="L98" s="57" t="s">
        <v>194</v>
      </c>
    </row>
    <row r="99" spans="1:13" ht="42.75">
      <c r="A99" s="27" t="str">
        <v>Telegraph 1</v>
      </c>
      <c r="B99" s="28" t="str">
        <v>NY</v>
      </c>
      <c r="C99" s="28" t="str">
        <f>Sites[[#This Row],[SOL'#]]</f>
        <v>SOL-11003</v>
      </c>
      <c r="D99" s="10">
        <v>399000</v>
      </c>
      <c r="E99" s="15">
        <v>0</v>
      </c>
      <c r="F99" s="15">
        <f t="shared" si="12"/>
        <v>399000</v>
      </c>
      <c r="G99" s="16" t="str">
        <f t="shared" si="13"/>
        <v/>
      </c>
      <c r="H99" s="17">
        <v>209445.59</v>
      </c>
      <c r="I99" s="17">
        <f t="shared" si="14"/>
        <v>189554.41</v>
      </c>
      <c r="J99" s="16">
        <f t="shared" si="15"/>
        <v>0.90502936824785862</v>
      </c>
      <c r="K99" s="59" t="s">
        <v>195</v>
      </c>
      <c r="L99" s="60" t="s">
        <v>196</v>
      </c>
    </row>
    <row r="100" spans="1:13" ht="28.5">
      <c r="A100" s="25" t="str">
        <v>Telegraph 2</v>
      </c>
      <c r="B100" s="26" t="str">
        <v>NY</v>
      </c>
      <c r="C100" s="26" t="str">
        <f>Sites[[#This Row],[SOL'#]]</f>
        <v>SOL-11004</v>
      </c>
      <c r="D100" s="21">
        <v>213368</v>
      </c>
      <c r="E100" s="11">
        <v>0</v>
      </c>
      <c r="F100" s="11">
        <f t="shared" si="12"/>
        <v>213368</v>
      </c>
      <c r="G100" s="12" t="str">
        <f t="shared" si="13"/>
        <v/>
      </c>
      <c r="H100" s="13">
        <v>194874.12</v>
      </c>
      <c r="I100" s="13">
        <f t="shared" si="14"/>
        <v>18493.880000000005</v>
      </c>
      <c r="J100" s="14">
        <f t="shared" si="15"/>
        <v>9.4901672936355042E-2</v>
      </c>
      <c r="K100" s="54" t="s">
        <v>197</v>
      </c>
      <c r="L100" s="57" t="s">
        <v>198</v>
      </c>
      <c r="M100" s="31"/>
    </row>
    <row r="101" spans="1:13" ht="15.75">
      <c r="A101" s="27" t="str">
        <v>Cafferty Hill</v>
      </c>
      <c r="B101" s="28" t="str">
        <v>NY</v>
      </c>
      <c r="C101" s="28" t="str">
        <f>Sites[[#This Row],[SOL'#]]</f>
        <v>SOL-10996</v>
      </c>
      <c r="D101" s="10">
        <v>661076</v>
      </c>
      <c r="E101" s="15">
        <v>0</v>
      </c>
      <c r="F101" s="15">
        <f t="shared" si="12"/>
        <v>661076</v>
      </c>
      <c r="G101" s="16" t="str">
        <f t="shared" si="13"/>
        <v/>
      </c>
      <c r="H101" s="17">
        <v>292175</v>
      </c>
      <c r="I101" s="17">
        <f t="shared" si="14"/>
        <v>368901</v>
      </c>
      <c r="J101" s="16">
        <f t="shared" si="15"/>
        <v>1.262602892102336</v>
      </c>
      <c r="K101" s="59"/>
      <c r="L101" s="60"/>
    </row>
    <row r="102" spans="1:13" ht="57">
      <c r="A102" s="25" t="str">
        <v>Dunkleman</v>
      </c>
      <c r="B102" s="26" t="str">
        <v>NY</v>
      </c>
      <c r="C102" s="26" t="str">
        <f>Sites[[#This Row],[SOL'#]]</f>
        <v>SOL-11008</v>
      </c>
      <c r="D102" s="21">
        <v>380284</v>
      </c>
      <c r="E102" s="11">
        <v>0</v>
      </c>
      <c r="F102" s="11">
        <f t="shared" si="12"/>
        <v>380284</v>
      </c>
      <c r="G102" s="12" t="str">
        <f t="shared" si="13"/>
        <v/>
      </c>
      <c r="H102" s="13">
        <v>305903</v>
      </c>
      <c r="I102" s="13">
        <f t="shared" si="14"/>
        <v>74381</v>
      </c>
      <c r="J102" s="14">
        <f t="shared" si="15"/>
        <v>0.24315224106988162</v>
      </c>
      <c r="K102" s="54" t="s">
        <v>199</v>
      </c>
      <c r="L102" s="57" t="s">
        <v>200</v>
      </c>
    </row>
    <row r="103" spans="1:13" ht="28.5">
      <c r="A103" s="27" t="str">
        <v>Route 19 1</v>
      </c>
      <c r="B103" s="28" t="str">
        <v>NY</v>
      </c>
      <c r="C103" s="28" t="str">
        <f>Sites[[#This Row],[SOL'#]]</f>
        <v>SOL-11001</v>
      </c>
      <c r="D103" s="10">
        <v>236607</v>
      </c>
      <c r="E103" s="15">
        <v>0</v>
      </c>
      <c r="F103" s="15">
        <f t="shared" si="12"/>
        <v>236607</v>
      </c>
      <c r="G103" s="16" t="str">
        <f t="shared" si="13"/>
        <v/>
      </c>
      <c r="H103" s="17">
        <v>223309.11</v>
      </c>
      <c r="I103" s="17">
        <f t="shared" si="14"/>
        <v>13297.890000000014</v>
      </c>
      <c r="J103" s="16">
        <f t="shared" si="15"/>
        <v>5.9549249916405179E-2</v>
      </c>
      <c r="K103" s="59" t="s">
        <v>201</v>
      </c>
      <c r="L103" s="60" t="s">
        <v>202</v>
      </c>
    </row>
    <row r="104" spans="1:13" ht="28.5">
      <c r="A104" s="25" t="str">
        <v>Route 19 2</v>
      </c>
      <c r="B104" s="26" t="str">
        <v>NY</v>
      </c>
      <c r="C104" s="26" t="str">
        <f>Sites[[#This Row],[SOL'#]]</f>
        <v>SOL-11002</v>
      </c>
      <c r="D104" s="21">
        <v>554800</v>
      </c>
      <c r="E104" s="11">
        <v>0</v>
      </c>
      <c r="F104" s="11">
        <f t="shared" si="12"/>
        <v>554800</v>
      </c>
      <c r="G104" s="12" t="str">
        <f t="shared" si="13"/>
        <v/>
      </c>
      <c r="H104" s="13">
        <v>337883</v>
      </c>
      <c r="I104" s="13">
        <f t="shared" si="14"/>
        <v>216917</v>
      </c>
      <c r="J104" s="14">
        <f t="shared" si="15"/>
        <v>0.64198849897745669</v>
      </c>
      <c r="K104" s="54" t="s">
        <v>203</v>
      </c>
      <c r="L104" s="57" t="s">
        <v>204</v>
      </c>
    </row>
    <row r="105" spans="1:13" ht="15.75">
      <c r="A105" s="27" t="str">
        <v>Yellow Mills 1</v>
      </c>
      <c r="B105" s="28" t="str">
        <v>NY</v>
      </c>
      <c r="C105" s="28" t="str">
        <f>Sites[[#This Row],[SOL'#]]</f>
        <v>SOL-11006</v>
      </c>
      <c r="D105" s="10">
        <v>231858</v>
      </c>
      <c r="E105" s="15">
        <v>0</v>
      </c>
      <c r="F105" s="15">
        <f t="shared" si="12"/>
        <v>231858</v>
      </c>
      <c r="G105" s="16" t="str">
        <f t="shared" si="13"/>
        <v/>
      </c>
      <c r="H105" s="17">
        <v>0</v>
      </c>
      <c r="I105" s="17">
        <f t="shared" si="14"/>
        <v>231858</v>
      </c>
      <c r="J105" s="16" t="str">
        <f t="shared" si="15"/>
        <v/>
      </c>
      <c r="K105" s="59"/>
      <c r="L105" s="59"/>
    </row>
    <row r="106" spans="1:13" ht="61.5" customHeight="1">
      <c r="A106" s="25" t="str">
        <v>Yellow Mills 2</v>
      </c>
      <c r="B106" s="26" t="str">
        <v>NY</v>
      </c>
      <c r="C106" s="26" t="str">
        <f>Sites[[#This Row],[SOL'#]]</f>
        <v>SOL-11005</v>
      </c>
      <c r="D106" s="21">
        <v>208657</v>
      </c>
      <c r="E106" s="11">
        <v>0</v>
      </c>
      <c r="F106" s="11">
        <f t="shared" si="12"/>
        <v>208657</v>
      </c>
      <c r="G106" s="12" t="str">
        <f t="shared" si="13"/>
        <v/>
      </c>
      <c r="H106" s="13">
        <v>0</v>
      </c>
      <c r="I106" s="13">
        <f t="shared" si="14"/>
        <v>208657</v>
      </c>
      <c r="J106" s="14" t="str">
        <f t="shared" si="15"/>
        <v/>
      </c>
      <c r="K106" s="54" t="s">
        <v>205</v>
      </c>
      <c r="L106" s="57" t="s">
        <v>206</v>
      </c>
    </row>
    <row r="107" spans="1:13" ht="28.5">
      <c r="A107" s="27" t="str">
        <v>Yellow Mills 3</v>
      </c>
      <c r="B107" s="28" t="str">
        <v>NY</v>
      </c>
      <c r="C107" s="28" t="str">
        <f>Sites[[#This Row],[SOL'#]]</f>
        <v>SOL-11007</v>
      </c>
      <c r="D107" s="10">
        <v>42064</v>
      </c>
      <c r="E107" s="15">
        <v>0</v>
      </c>
      <c r="F107" s="15">
        <f t="shared" si="12"/>
        <v>42064</v>
      </c>
      <c r="G107" s="16" t="str">
        <f t="shared" si="13"/>
        <v/>
      </c>
      <c r="H107" s="17">
        <v>0</v>
      </c>
      <c r="I107" s="17">
        <f t="shared" si="14"/>
        <v>42064</v>
      </c>
      <c r="J107" s="16" t="str">
        <f t="shared" si="15"/>
        <v/>
      </c>
      <c r="K107" s="59" t="s">
        <v>207</v>
      </c>
      <c r="L107" s="60" t="s">
        <v>208</v>
      </c>
    </row>
    <row r="108" spans="1:13" ht="57">
      <c r="A108" s="25" t="str">
        <v>Catskill</v>
      </c>
      <c r="B108" s="26" t="str">
        <v>NY</v>
      </c>
      <c r="C108" s="26" t="str">
        <f>Sites[[#This Row],[SOL'#]]</f>
        <v>SOL-11021</v>
      </c>
      <c r="D108" s="21">
        <v>454121</v>
      </c>
      <c r="E108" s="11">
        <v>0</v>
      </c>
      <c r="F108" s="11">
        <f t="shared" si="12"/>
        <v>454121</v>
      </c>
      <c r="G108" s="12" t="str">
        <f t="shared" si="13"/>
        <v/>
      </c>
      <c r="H108" s="13">
        <v>0</v>
      </c>
      <c r="I108" s="13">
        <f t="shared" si="14"/>
        <v>454121</v>
      </c>
      <c r="J108" s="14" t="str">
        <f t="shared" si="15"/>
        <v/>
      </c>
      <c r="K108" s="54" t="s">
        <v>209</v>
      </c>
      <c r="L108" s="57" t="s">
        <v>210</v>
      </c>
    </row>
    <row r="109" spans="1:13" ht="85.5">
      <c r="A109" s="27" t="str">
        <v>Eddy Ridge</v>
      </c>
      <c r="B109" s="28" t="str">
        <v>NY</v>
      </c>
      <c r="C109" s="28" t="str">
        <f>Sites[[#This Row],[SOL'#]]</f>
        <v>SOL-11054</v>
      </c>
      <c r="D109" s="10">
        <v>276167.8</v>
      </c>
      <c r="E109" s="15">
        <v>0</v>
      </c>
      <c r="F109" s="15">
        <f t="shared" si="12"/>
        <v>276167.8</v>
      </c>
      <c r="G109" s="16" t="str">
        <f t="shared" si="13"/>
        <v/>
      </c>
      <c r="H109" s="17">
        <v>0</v>
      </c>
      <c r="I109" s="17">
        <f t="shared" si="14"/>
        <v>276167.8</v>
      </c>
      <c r="J109" s="16" t="str">
        <f t="shared" si="15"/>
        <v/>
      </c>
      <c r="K109" s="59" t="s">
        <v>211</v>
      </c>
      <c r="L109" s="60" t="s">
        <v>212</v>
      </c>
    </row>
    <row r="110" spans="1:13" ht="78" customHeight="1">
      <c r="A110" s="25" t="str">
        <v>Ridgeway #1</v>
      </c>
      <c r="B110" s="26" t="str">
        <v>NY</v>
      </c>
      <c r="C110" s="26" t="str">
        <f>Sites[[#This Row],[SOL'#]]</f>
        <v>SOL-11018</v>
      </c>
      <c r="D110" s="21">
        <v>439556.49</v>
      </c>
      <c r="E110" s="11">
        <v>0</v>
      </c>
      <c r="F110" s="11">
        <f t="shared" si="12"/>
        <v>439556.49</v>
      </c>
      <c r="G110" s="12" t="str">
        <f t="shared" si="13"/>
        <v/>
      </c>
      <c r="H110" s="13">
        <v>0</v>
      </c>
      <c r="I110" s="13">
        <f t="shared" si="14"/>
        <v>439556.49</v>
      </c>
      <c r="J110" s="14" t="str">
        <f t="shared" si="15"/>
        <v/>
      </c>
      <c r="K110" s="57" t="s">
        <v>213</v>
      </c>
      <c r="L110" s="57" t="s">
        <v>214</v>
      </c>
    </row>
    <row r="111" spans="1:13" ht="71.849999999999994" customHeight="1">
      <c r="A111" s="27" t="str">
        <v>Rivard 1</v>
      </c>
      <c r="B111" s="28" t="str">
        <v>NY</v>
      </c>
      <c r="C111" s="28" t="str">
        <f>Sites[[#This Row],[SOL'#]]</f>
        <v>SOL-11011</v>
      </c>
      <c r="D111" s="10">
        <v>356850.90500000003</v>
      </c>
      <c r="E111" s="15">
        <v>440280.9</v>
      </c>
      <c r="F111" s="15">
        <f t="shared" si="12"/>
        <v>-83429.994999999995</v>
      </c>
      <c r="G111" s="16">
        <f t="shared" si="13"/>
        <v>-0.18949265116883332</v>
      </c>
      <c r="H111" s="17">
        <v>418704.8</v>
      </c>
      <c r="I111" s="17">
        <f t="shared" si="14"/>
        <v>-61853.89499999996</v>
      </c>
      <c r="J111" s="16">
        <f t="shared" si="15"/>
        <v>-0.14772673969823122</v>
      </c>
      <c r="K111" s="59" t="s">
        <v>215</v>
      </c>
      <c r="L111" s="59" t="s">
        <v>216</v>
      </c>
    </row>
    <row r="112" spans="1:13" ht="84.75" customHeight="1">
      <c r="A112" s="25" t="str">
        <v>Rivard 2</v>
      </c>
      <c r="B112" s="26" t="str">
        <v>NY</v>
      </c>
      <c r="C112" s="26" t="str">
        <f>Sites[[#This Row],[SOL'#]]</f>
        <v>SOL-11012</v>
      </c>
      <c r="D112" s="21">
        <v>367054.47894736798</v>
      </c>
      <c r="E112" s="11">
        <v>374976.3</v>
      </c>
      <c r="F112" s="11">
        <f t="shared" si="12"/>
        <v>-7921.8210526320036</v>
      </c>
      <c r="G112" s="12">
        <f t="shared" si="13"/>
        <v>-2.112619131564316E-2</v>
      </c>
      <c r="H112" s="13">
        <v>401534</v>
      </c>
      <c r="I112" s="13">
        <f t="shared" si="14"/>
        <v>-34479.521052632015</v>
      </c>
      <c r="J112" s="14">
        <f t="shared" si="15"/>
        <v>-8.5869493125443966E-2</v>
      </c>
      <c r="K112" s="54" t="s">
        <v>217</v>
      </c>
      <c r="L112" s="57" t="s">
        <v>218</v>
      </c>
    </row>
    <row r="113" spans="1:12" ht="15.75">
      <c r="A113" s="27" t="str">
        <v>Essex</v>
      </c>
      <c r="B113" s="28" t="str">
        <v>DC</v>
      </c>
      <c r="C113" s="28" t="str">
        <f>Sites[[#This Row],[SOL'#]]</f>
        <v>SOL-10036</v>
      </c>
      <c r="D113" s="10">
        <v>2236</v>
      </c>
      <c r="E113" s="15">
        <v>3005.7849999999999</v>
      </c>
      <c r="F113" s="15">
        <f t="shared" si="12"/>
        <v>-769.78499999999985</v>
      </c>
      <c r="G113" s="16">
        <f t="shared" si="13"/>
        <v>-0.25610115161264024</v>
      </c>
      <c r="H113" s="17">
        <v>2654.511</v>
      </c>
      <c r="I113" s="17">
        <f t="shared" si="14"/>
        <v>-418.51099999999997</v>
      </c>
      <c r="J113" s="16">
        <f t="shared" si="15"/>
        <v>-0.15766029976895932</v>
      </c>
      <c r="K113" s="59"/>
      <c r="L113" s="60"/>
    </row>
    <row r="114" spans="1:12" ht="28.5">
      <c r="A114" s="25" t="str">
        <v>Temple Sinai</v>
      </c>
      <c r="B114" s="26" t="str">
        <v>DC</v>
      </c>
      <c r="C114" s="26" t="str">
        <f>Sites[[#This Row],[SOL'#]]</f>
        <v>SOL-10028</v>
      </c>
      <c r="D114" s="21">
        <v>6407.6899999999396</v>
      </c>
      <c r="E114" s="11">
        <v>8966.9449999999997</v>
      </c>
      <c r="F114" s="11">
        <f t="shared" si="12"/>
        <v>-2559.2550000000601</v>
      </c>
      <c r="G114" s="12">
        <f t="shared" si="13"/>
        <v>-0.28540991385584058</v>
      </c>
      <c r="H114" s="13">
        <v>6422.192</v>
      </c>
      <c r="I114" s="13">
        <f t="shared" si="14"/>
        <v>-14.502000000060434</v>
      </c>
      <c r="J114" s="14">
        <f t="shared" si="15"/>
        <v>-2.2581075122108515E-3</v>
      </c>
      <c r="K114" s="54" t="s">
        <v>219</v>
      </c>
      <c r="L114" s="57" t="s">
        <v>220</v>
      </c>
    </row>
    <row r="115" spans="1:12" ht="15.75">
      <c r="A115" s="27" t="str">
        <v>Weinberg 1</v>
      </c>
      <c r="B115" s="28" t="str">
        <v>DC</v>
      </c>
      <c r="C115" s="28" t="str">
        <f>Sites[[#This Row],[SOL'#]]</f>
        <v>SOL-10039</v>
      </c>
      <c r="D115" s="10">
        <v>990</v>
      </c>
      <c r="E115" s="15">
        <v>1021.15</v>
      </c>
      <c r="F115" s="15">
        <f t="shared" si="12"/>
        <v>-31.149999999999977</v>
      </c>
      <c r="G115" s="16">
        <f t="shared" si="13"/>
        <v>-3.050482299368357E-2</v>
      </c>
      <c r="H115" s="17">
        <v>989.09860000000003</v>
      </c>
      <c r="I115" s="17">
        <f t="shared" si="14"/>
        <v>0.90139999999996689</v>
      </c>
      <c r="J115" s="16">
        <f t="shared" si="15"/>
        <v>9.113348254663052E-4</v>
      </c>
      <c r="K115" s="59"/>
      <c r="L115" s="60"/>
    </row>
    <row r="116" spans="1:12" ht="15.75">
      <c r="A116" s="25" t="str">
        <v>Weinberg 2</v>
      </c>
      <c r="B116" s="26" t="str">
        <v>DC</v>
      </c>
      <c r="C116" s="26" t="str">
        <f>Sites[[#This Row],[SOL'#]]</f>
        <v>SOL-10045</v>
      </c>
      <c r="D116" s="21">
        <v>1015</v>
      </c>
      <c r="E116" s="11">
        <v>957.60879999999997</v>
      </c>
      <c r="F116" s="11">
        <f t="shared" si="12"/>
        <v>57.391200000000026</v>
      </c>
      <c r="G116" s="12">
        <f t="shared" si="13"/>
        <v>5.9931780075538184E-2</v>
      </c>
      <c r="H116" s="13">
        <v>1030.5930000000001</v>
      </c>
      <c r="I116" s="13">
        <f t="shared" si="14"/>
        <v>-15.593000000000075</v>
      </c>
      <c r="J116" s="14">
        <f t="shared" si="15"/>
        <v>-1.5130124113010736E-2</v>
      </c>
      <c r="K116" s="54"/>
      <c r="L116" s="57"/>
    </row>
    <row r="117" spans="1:12" ht="15.75">
      <c r="A117" s="27" t="str">
        <v>Weinberg 3</v>
      </c>
      <c r="B117" s="28" t="str">
        <v>DC</v>
      </c>
      <c r="C117" s="28" t="str">
        <f>Sites[[#This Row],[SOL'#]]</f>
        <v>SOL-10042</v>
      </c>
      <c r="D117" s="10">
        <v>1162</v>
      </c>
      <c r="E117" s="15">
        <v>999.51030000000003</v>
      </c>
      <c r="F117" s="15">
        <f t="shared" si="12"/>
        <v>162.48969999999997</v>
      </c>
      <c r="G117" s="16">
        <f t="shared" si="13"/>
        <v>0.16256931019120061</v>
      </c>
      <c r="H117" s="17">
        <v>1068</v>
      </c>
      <c r="I117" s="17">
        <f t="shared" si="14"/>
        <v>94</v>
      </c>
      <c r="J117" s="16">
        <f t="shared" si="15"/>
        <v>8.8014981273408247E-2</v>
      </c>
      <c r="K117" s="59"/>
      <c r="L117" s="60"/>
    </row>
    <row r="118" spans="1:12" ht="28.5">
      <c r="A118" s="25" t="str">
        <v>Clayton Hall</v>
      </c>
      <c r="B118" s="26" t="str">
        <v>DE</v>
      </c>
      <c r="C118" s="26" t="str">
        <f>Sites[[#This Row],[SOL'#]]</f>
        <v>SOL-10820</v>
      </c>
      <c r="D118" s="21">
        <v>8519</v>
      </c>
      <c r="E118" s="11">
        <v>13058.816000000001</v>
      </c>
      <c r="F118" s="11">
        <f t="shared" si="12"/>
        <v>-4539.8160000000007</v>
      </c>
      <c r="G118" s="12">
        <f t="shared" si="13"/>
        <v>-0.34764376801082125</v>
      </c>
      <c r="H118" s="13">
        <v>2769.31</v>
      </c>
      <c r="I118" s="13">
        <f t="shared" si="14"/>
        <v>5749.6900000000005</v>
      </c>
      <c r="J118" s="14">
        <f t="shared" si="15"/>
        <v>2.0762175415536723</v>
      </c>
      <c r="K118" s="54" t="s">
        <v>221</v>
      </c>
      <c r="L118" s="57" t="s">
        <v>222</v>
      </c>
    </row>
    <row r="119" spans="1:12" ht="15.75">
      <c r="A119" s="27" t="str">
        <v>Field House</v>
      </c>
      <c r="B119" s="28" t="str">
        <v>DE</v>
      </c>
      <c r="C119" s="28" t="str">
        <f>Sites[[#This Row],[SOL'#]]</f>
        <v>SOL-10821</v>
      </c>
      <c r="D119" s="10">
        <v>41381</v>
      </c>
      <c r="E119" s="15">
        <v>0</v>
      </c>
      <c r="F119" s="15">
        <f t="shared" si="12"/>
        <v>41381</v>
      </c>
      <c r="G119" s="16" t="str">
        <f t="shared" si="13"/>
        <v/>
      </c>
      <c r="H119" s="17">
        <v>34707.084000000003</v>
      </c>
      <c r="I119" s="17">
        <f t="shared" si="14"/>
        <v>6673.9159999999974</v>
      </c>
      <c r="J119" s="16">
        <f t="shared" si="15"/>
        <v>0.19229261668885803</v>
      </c>
      <c r="K119" s="59"/>
      <c r="L119" s="60"/>
    </row>
    <row r="120" spans="1:12" ht="15.75">
      <c r="A120" s="25" t="str">
        <v>Wyoming Road</v>
      </c>
      <c r="B120" s="26" t="str">
        <v>DE</v>
      </c>
      <c r="C120" s="26" t="str">
        <f>Sites[[#This Row],[SOL'#]]</f>
        <v>SOL-10819</v>
      </c>
      <c r="D120" s="21">
        <v>21132</v>
      </c>
      <c r="E120" s="11">
        <v>20852.716</v>
      </c>
      <c r="F120" s="11">
        <f t="shared" si="12"/>
        <v>279.28399999999965</v>
      </c>
      <c r="G120" s="12">
        <f t="shared" si="13"/>
        <v>1.3393171421890542E-2</v>
      </c>
      <c r="H120" s="13">
        <v>23225.645</v>
      </c>
      <c r="I120" s="13">
        <f t="shared" si="14"/>
        <v>-2093.6450000000004</v>
      </c>
      <c r="J120" s="14">
        <f t="shared" si="15"/>
        <v>-9.014367523485356E-2</v>
      </c>
      <c r="K120" s="54"/>
      <c r="L120" s="57"/>
    </row>
    <row r="121" spans="1:12" ht="15.75">
      <c r="A121" s="27" t="str">
        <v>Leoku</v>
      </c>
      <c r="B121" s="28" t="str">
        <v>HI</v>
      </c>
      <c r="C121" s="28" t="str">
        <f>Sites[[#This Row],[SOL'#]]</f>
        <v>SOL-10071</v>
      </c>
      <c r="D121" s="10">
        <v>10185</v>
      </c>
      <c r="E121" s="15">
        <v>9559.4519999999993</v>
      </c>
      <c r="F121" s="15">
        <f t="shared" si="12"/>
        <v>625.54800000000068</v>
      </c>
      <c r="G121" s="16">
        <f t="shared" si="13"/>
        <v>6.5437642241417265E-2</v>
      </c>
      <c r="H121" s="17">
        <v>10774.923000000001</v>
      </c>
      <c r="I121" s="17">
        <f t="shared" si="14"/>
        <v>-589.92300000000068</v>
      </c>
      <c r="J121" s="16">
        <f t="shared" si="15"/>
        <v>-5.4749625588971784E-2</v>
      </c>
      <c r="K121" s="59"/>
      <c r="L121" s="60"/>
    </row>
    <row r="122" spans="1:12" ht="15.75">
      <c r="A122" s="25" t="str">
        <v>Waipahu</v>
      </c>
      <c r="B122" s="26" t="str">
        <v>HI</v>
      </c>
      <c r="C122" s="26" t="str">
        <f>Sites[[#This Row],[SOL'#]]</f>
        <v>SOL-10068</v>
      </c>
      <c r="D122" s="21">
        <v>11085</v>
      </c>
      <c r="E122" s="11">
        <v>9130.9279999999999</v>
      </c>
      <c r="F122" s="11">
        <f t="shared" si="12"/>
        <v>1954.0720000000001</v>
      </c>
      <c r="G122" s="12">
        <f t="shared" si="13"/>
        <v>0.21400584913165455</v>
      </c>
      <c r="H122" s="13">
        <v>10774.923000000001</v>
      </c>
      <c r="I122" s="13">
        <f t="shared" si="14"/>
        <v>310.07699999999932</v>
      </c>
      <c r="J122" s="14">
        <f t="shared" si="15"/>
        <v>2.8777653445876069E-2</v>
      </c>
      <c r="K122" s="54"/>
      <c r="L122" s="57"/>
    </row>
    <row r="123" spans="1:12" ht="15.75">
      <c r="A123" s="27" t="str">
        <v>Bird in Hand</v>
      </c>
      <c r="B123" s="28" t="str">
        <v>MD</v>
      </c>
      <c r="C123" s="28" t="str">
        <f>Sites[[#This Row],[SOL'#]]</f>
        <v>SOL-10092</v>
      </c>
      <c r="D123" s="10">
        <v>137720</v>
      </c>
      <c r="E123" s="15">
        <v>139927.70000000001</v>
      </c>
      <c r="F123" s="15">
        <f t="shared" si="12"/>
        <v>-2207.7000000000116</v>
      </c>
      <c r="G123" s="16">
        <f t="shared" si="13"/>
        <v>-1.5777433631797073E-2</v>
      </c>
      <c r="H123" s="17">
        <v>134561.5</v>
      </c>
      <c r="I123" s="17">
        <f t="shared" si="14"/>
        <v>3158.5</v>
      </c>
      <c r="J123" s="16">
        <f t="shared" si="15"/>
        <v>2.3472538579014057E-2</v>
      </c>
      <c r="K123" s="59"/>
      <c r="L123" s="60"/>
    </row>
    <row r="124" spans="1:12" ht="15.75">
      <c r="A124" s="25" t="str">
        <v>Shortal</v>
      </c>
      <c r="B124" s="26" t="str">
        <v>MD</v>
      </c>
      <c r="C124" s="26" t="str">
        <f>Sites[[#This Row],[SOL'#]]</f>
        <v>SOL-10091</v>
      </c>
      <c r="D124" s="21">
        <v>145554</v>
      </c>
      <c r="E124" s="11">
        <v>100718.3</v>
      </c>
      <c r="F124" s="11">
        <f t="shared" si="12"/>
        <v>44835.7</v>
      </c>
      <c r="G124" s="12">
        <f t="shared" si="13"/>
        <v>0.44515941988695196</v>
      </c>
      <c r="H124" s="13">
        <v>7485.1170000000002</v>
      </c>
      <c r="I124" s="13">
        <f t="shared" si="14"/>
        <v>138068.883</v>
      </c>
      <c r="J124" s="14">
        <f t="shared" si="15"/>
        <v>18.445788222148032</v>
      </c>
      <c r="K124" s="54"/>
      <c r="L124" s="57"/>
    </row>
    <row r="125" spans="1:12" ht="28.5">
      <c r="A125" s="27" t="str">
        <v>Aguadilla</v>
      </c>
      <c r="B125" s="28" t="str">
        <v>PR</v>
      </c>
      <c r="C125" s="28" t="str">
        <f>Sites[[#This Row],[SOL'#]]</f>
        <v>SOL-10072</v>
      </c>
      <c r="D125" s="10">
        <v>15313</v>
      </c>
      <c r="E125" s="15">
        <v>14685.7</v>
      </c>
      <c r="F125" s="15">
        <f t="shared" si="12"/>
        <v>627.29999999999927</v>
      </c>
      <c r="G125" s="16">
        <f t="shared" si="13"/>
        <v>4.2715022096324946E-2</v>
      </c>
      <c r="H125" s="17">
        <v>18246</v>
      </c>
      <c r="I125" s="17">
        <f t="shared" si="14"/>
        <v>-2933</v>
      </c>
      <c r="J125" s="16">
        <f t="shared" si="15"/>
        <v>-0.16074756110928423</v>
      </c>
      <c r="K125" s="59" t="s">
        <v>223</v>
      </c>
      <c r="L125" s="60" t="s">
        <v>224</v>
      </c>
    </row>
    <row r="126" spans="1:12" ht="114">
      <c r="A126" s="25" t="str">
        <v>Bayamon</v>
      </c>
      <c r="B126" s="26" t="str">
        <v>PR</v>
      </c>
      <c r="C126" s="26" t="str">
        <f>Sites[[#This Row],[SOL'#]]</f>
        <v>SOL-10073</v>
      </c>
      <c r="D126" s="21">
        <v>46973</v>
      </c>
      <c r="E126" s="11">
        <v>57930.46</v>
      </c>
      <c r="F126" s="11">
        <f t="shared" si="12"/>
        <v>-10957.46</v>
      </c>
      <c r="G126" s="12">
        <f t="shared" si="13"/>
        <v>-0.18914850667507213</v>
      </c>
      <c r="H126" s="13">
        <v>0</v>
      </c>
      <c r="I126" s="13">
        <f t="shared" si="14"/>
        <v>46973</v>
      </c>
      <c r="J126" s="14" t="str">
        <f t="shared" si="15"/>
        <v/>
      </c>
      <c r="K126" s="54" t="s">
        <v>225</v>
      </c>
      <c r="L126" s="57" t="s">
        <v>226</v>
      </c>
    </row>
    <row r="127" spans="1:12" ht="85.5">
      <c r="A127" s="27" t="str">
        <v>St Francis</v>
      </c>
      <c r="B127" s="28" t="str">
        <v>PR</v>
      </c>
      <c r="C127" s="28" t="str">
        <f>Sites[[#This Row],[SOL'#]]</f>
        <v>SOL-10034</v>
      </c>
      <c r="D127" s="10">
        <v>13954</v>
      </c>
      <c r="E127" s="15">
        <v>34576.160000000003</v>
      </c>
      <c r="F127" s="15">
        <f t="shared" si="12"/>
        <v>-20622.160000000003</v>
      </c>
      <c r="G127" s="16">
        <f t="shared" si="13"/>
        <v>-0.59642713360882182</v>
      </c>
      <c r="H127" s="17">
        <v>24282</v>
      </c>
      <c r="I127" s="17">
        <f t="shared" si="14"/>
        <v>-10328</v>
      </c>
      <c r="J127" s="16">
        <f t="shared" si="15"/>
        <v>-0.42533563956840459</v>
      </c>
      <c r="K127" s="59" t="s">
        <v>227</v>
      </c>
      <c r="L127" s="65" t="s">
        <v>228</v>
      </c>
    </row>
    <row r="128" spans="1:12" ht="28.5">
      <c r="A128" s="25" t="str">
        <v>Seaport</v>
      </c>
      <c r="B128" s="26" t="str">
        <v>MA</v>
      </c>
      <c r="C128" s="26" t="str">
        <f>Sites[[#This Row],[SOL'#]]</f>
        <v>SOL-10772</v>
      </c>
      <c r="D128" s="21">
        <v>41241</v>
      </c>
      <c r="E128" s="11">
        <v>35120.870000000003</v>
      </c>
      <c r="F128" s="11">
        <f t="shared" si="12"/>
        <v>6120.1299999999974</v>
      </c>
      <c r="G128" s="12">
        <f t="shared" si="13"/>
        <v>0.1742590659058274</v>
      </c>
      <c r="H128" s="13">
        <v>35874.839999999997</v>
      </c>
      <c r="I128" s="13">
        <f t="shared" si="14"/>
        <v>5366.1600000000035</v>
      </c>
      <c r="J128" s="14">
        <f t="shared" si="15"/>
        <v>0.14958003993885419</v>
      </c>
      <c r="K128" s="54" t="s">
        <v>229</v>
      </c>
      <c r="L128" s="57" t="s">
        <v>230</v>
      </c>
    </row>
    <row r="129" spans="1:12" ht="42.75">
      <c r="A129" s="27" t="str">
        <v>Sprague St</v>
      </c>
      <c r="B129" s="28" t="str">
        <v>MA</v>
      </c>
      <c r="C129" s="28" t="str">
        <f>Sites[[#This Row],[SOL'#]]</f>
        <v>SOL-10773</v>
      </c>
      <c r="D129" s="10">
        <v>94270.5</v>
      </c>
      <c r="E129" s="15">
        <v>92569.847999999998</v>
      </c>
      <c r="F129" s="15">
        <f t="shared" si="12"/>
        <v>1700.6520000000019</v>
      </c>
      <c r="G129" s="16">
        <f t="shared" si="13"/>
        <v>1.8371554418021751E-2</v>
      </c>
      <c r="H129" s="17">
        <v>73764.990999999995</v>
      </c>
      <c r="I129" s="17">
        <f t="shared" si="14"/>
        <v>20505.509000000005</v>
      </c>
      <c r="J129" s="16">
        <f t="shared" si="15"/>
        <v>0.27798429474491504</v>
      </c>
      <c r="K129" s="59" t="s">
        <v>231</v>
      </c>
      <c r="L129" s="60" t="s">
        <v>232</v>
      </c>
    </row>
    <row r="130" spans="1:12" ht="15.75">
      <c r="A130" s="25" t="str">
        <v>Summer St</v>
      </c>
      <c r="B130" s="26" t="str">
        <v>MA</v>
      </c>
      <c r="C130" s="26" t="str">
        <f>Sites[[#This Row],[SOL'#]]</f>
        <v>SOL-10764</v>
      </c>
      <c r="D130" s="21">
        <v>199486</v>
      </c>
      <c r="E130" s="11">
        <v>198743.2</v>
      </c>
      <c r="F130" s="11">
        <f t="shared" si="12"/>
        <v>742.79999999998836</v>
      </c>
      <c r="G130" s="12">
        <f t="shared" si="13"/>
        <v>3.7374863643132861E-3</v>
      </c>
      <c r="H130" s="13">
        <v>171694.9</v>
      </c>
      <c r="I130" s="13">
        <f t="shared" si="14"/>
        <v>27791.100000000006</v>
      </c>
      <c r="J130" s="14">
        <f t="shared" si="15"/>
        <v>0.16186328190295696</v>
      </c>
      <c r="K130" s="54"/>
      <c r="L130" s="57" t="s">
        <v>233</v>
      </c>
    </row>
    <row r="131" spans="1:12" ht="15.75">
      <c r="A131" s="27" t="str">
        <v>Brock St Vocational</v>
      </c>
      <c r="B131" s="28" t="str">
        <v>NH</v>
      </c>
      <c r="C131" s="28" t="str">
        <f>Sites[[#This Row],[SOL'#]]</f>
        <v>SOL-10768</v>
      </c>
      <c r="D131" s="10">
        <v>7683.0969245387796</v>
      </c>
      <c r="E131" s="15">
        <v>9051.2430000000004</v>
      </c>
      <c r="F131" s="15">
        <f t="shared" si="12"/>
        <v>-1368.1460754612208</v>
      </c>
      <c r="G131" s="16">
        <f t="shared" si="13"/>
        <v>-0.15115560099990916</v>
      </c>
      <c r="H131" s="17">
        <v>5578.1639999999998</v>
      </c>
      <c r="I131" s="17">
        <f t="shared" si="14"/>
        <v>2104.9329245387798</v>
      </c>
      <c r="J131" s="16">
        <f t="shared" si="15"/>
        <v>0.37735228375120916</v>
      </c>
      <c r="K131" s="59"/>
      <c r="L131" s="60"/>
    </row>
    <row r="132" spans="1:12" ht="15.75">
      <c r="A132" s="25" t="str">
        <v>McClelland ES</v>
      </c>
      <c r="B132" s="26" t="str">
        <v>NH</v>
      </c>
      <c r="C132" s="26" t="str">
        <f>Sites[[#This Row],[SOL'#]]</f>
        <v>SOL-10766</v>
      </c>
      <c r="D132" s="21">
        <v>6756.0919999999996</v>
      </c>
      <c r="E132" s="11">
        <v>9837.4619999999995</v>
      </c>
      <c r="F132" s="11">
        <f t="shared" si="12"/>
        <v>-3081.37</v>
      </c>
      <c r="G132" s="12">
        <f t="shared" si="13"/>
        <v>-0.31322814766654244</v>
      </c>
      <c r="H132" s="13">
        <v>4705.1850000000004</v>
      </c>
      <c r="I132" s="13">
        <f t="shared" si="14"/>
        <v>2050.9069999999992</v>
      </c>
      <c r="J132" s="14">
        <f t="shared" si="15"/>
        <v>0.43588232981274894</v>
      </c>
      <c r="K132" s="54"/>
      <c r="L132" s="57"/>
    </row>
    <row r="133" spans="1:12" ht="15.75">
      <c r="A133" s="27" t="str">
        <v>Portland St</v>
      </c>
      <c r="B133" s="28" t="str">
        <v>NH</v>
      </c>
      <c r="C133" s="28" t="str">
        <f>Sites[[#This Row],[SOL'#]]</f>
        <v>SOL-10771</v>
      </c>
      <c r="D133" s="10">
        <v>4841.2209999999995</v>
      </c>
      <c r="E133" s="15">
        <v>5080.41</v>
      </c>
      <c r="F133" s="15">
        <f t="shared" si="12"/>
        <v>-239.18900000000031</v>
      </c>
      <c r="G133" s="16">
        <f t="shared" si="13"/>
        <v>-4.7080649002738027E-2</v>
      </c>
      <c r="H133" s="17">
        <v>5616.41</v>
      </c>
      <c r="I133" s="17">
        <f t="shared" si="14"/>
        <v>-775.18900000000031</v>
      </c>
      <c r="J133" s="16">
        <f t="shared" si="15"/>
        <v>-0.1380221529411137</v>
      </c>
      <c r="K133" s="59"/>
      <c r="L133" s="60"/>
    </row>
    <row r="134" spans="1:12" ht="15.75">
      <c r="A134" s="25" t="str">
        <v>Portsmouth HS</v>
      </c>
      <c r="B134" s="26" t="str">
        <v>NH</v>
      </c>
      <c r="C134" s="26" t="str">
        <f>Sites[[#This Row],[SOL'#]]</f>
        <v>SOL-10769</v>
      </c>
      <c r="D134" s="21">
        <v>23245</v>
      </c>
      <c r="E134" s="11">
        <v>23386.526999999998</v>
      </c>
      <c r="F134" s="11">
        <f t="shared" si="12"/>
        <v>-141.52699999999822</v>
      </c>
      <c r="G134" s="12">
        <f t="shared" si="13"/>
        <v>-6.0516467451536618E-3</v>
      </c>
      <c r="H134" s="13">
        <v>10031.109</v>
      </c>
      <c r="I134" s="13">
        <f t="shared" si="14"/>
        <v>13213.891</v>
      </c>
      <c r="J134" s="14">
        <f t="shared" si="15"/>
        <v>1.3172911389956983</v>
      </c>
      <c r="K134" s="54"/>
      <c r="L134" s="57"/>
    </row>
    <row r="135" spans="1:12" ht="28.5">
      <c r="A135" s="27" t="str">
        <v>Portsmouth WTP</v>
      </c>
      <c r="B135" s="28" t="str">
        <v>NH</v>
      </c>
      <c r="C135" s="28" t="str">
        <f>Sites[[#This Row],[SOL'#]]</f>
        <v>SOL-10770</v>
      </c>
      <c r="D135" s="10">
        <v>24756.5</v>
      </c>
      <c r="E135" s="15">
        <v>28681.8</v>
      </c>
      <c r="F135" s="15">
        <f t="shared" si="12"/>
        <v>-3925.2999999999993</v>
      </c>
      <c r="G135" s="16">
        <f t="shared" si="13"/>
        <v>-0.1368568220962422</v>
      </c>
      <c r="H135" s="17">
        <v>15500.15</v>
      </c>
      <c r="I135" s="17">
        <f t="shared" si="14"/>
        <v>9256.35</v>
      </c>
      <c r="J135" s="16">
        <f t="shared" si="15"/>
        <v>0.59717809182491788</v>
      </c>
      <c r="K135" s="59" t="s">
        <v>234</v>
      </c>
      <c r="L135" s="60" t="s">
        <v>235</v>
      </c>
    </row>
    <row r="136" spans="1:12" ht="15.75">
      <c r="A136" s="25" t="str">
        <v>Rochester St</v>
      </c>
      <c r="B136" s="26" t="str">
        <v>NH</v>
      </c>
      <c r="C136" s="26" t="str">
        <f>Sites[[#This Row],[SOL'#]]</f>
        <v>SOL-10765</v>
      </c>
      <c r="D136" s="21">
        <v>20943.878000000001</v>
      </c>
      <c r="E136" s="11">
        <v>28162.888999999999</v>
      </c>
      <c r="F136" s="11">
        <f t="shared" si="12"/>
        <v>-7219.0109999999986</v>
      </c>
      <c r="G136" s="12">
        <f t="shared" si="13"/>
        <v>-0.25633062715973487</v>
      </c>
      <c r="H136" s="13">
        <v>14876.294</v>
      </c>
      <c r="I136" s="13">
        <f t="shared" si="14"/>
        <v>6067.5840000000007</v>
      </c>
      <c r="J136" s="14">
        <f t="shared" si="15"/>
        <v>0.40786932551884231</v>
      </c>
      <c r="K136" s="54"/>
      <c r="L136" s="57"/>
    </row>
    <row r="137" spans="1:12" ht="15.75">
      <c r="A137" s="27" t="str">
        <v>Spaulding HS</v>
      </c>
      <c r="B137" s="28" t="str">
        <v>NH</v>
      </c>
      <c r="C137" s="28" t="str">
        <f>Sites[[#This Row],[SOL'#]]</f>
        <v>SOL-10767</v>
      </c>
      <c r="D137" s="10">
        <v>9600.8161760828207</v>
      </c>
      <c r="E137" s="15">
        <v>11954.22</v>
      </c>
      <c r="F137" s="15">
        <f t="shared" si="12"/>
        <v>-2353.4038239171787</v>
      </c>
      <c r="G137" s="16">
        <f t="shared" si="13"/>
        <v>-0.19686803688715607</v>
      </c>
      <c r="H137" s="17">
        <v>6332.8559999999998</v>
      </c>
      <c r="I137" s="17">
        <f t="shared" si="14"/>
        <v>3267.9601760828209</v>
      </c>
      <c r="J137" s="16">
        <f t="shared" si="15"/>
        <v>0.51603260457569555</v>
      </c>
      <c r="K137" s="59"/>
      <c r="L137" s="40"/>
    </row>
    <row r="138" spans="1:12" ht="15.75">
      <c r="A138" s="25" t="str">
        <v>Ridgeway #2</v>
      </c>
      <c r="B138" s="26" t="str">
        <v>NY</v>
      </c>
      <c r="C138" s="26" t="str">
        <f>Sites[[#This Row],[SOL'#]]</f>
        <v>SOL-11027</v>
      </c>
      <c r="D138" s="21"/>
      <c r="E138" s="11"/>
      <c r="F138" s="11"/>
      <c r="G138" s="12"/>
      <c r="H138" s="13"/>
      <c r="I138" s="13"/>
      <c r="J138" s="14"/>
      <c r="K138" s="54"/>
      <c r="L138" s="57"/>
    </row>
    <row r="139" spans="1:12" ht="15.75">
      <c r="A139" s="27" t="str">
        <v>Spencer</v>
      </c>
      <c r="B139" s="28" t="str">
        <v>NY</v>
      </c>
      <c r="C139" s="28" t="str">
        <f>Sites[[#This Row],[SOL'#]]</f>
        <v>SOL-11017</v>
      </c>
      <c r="D139" s="10"/>
      <c r="E139" s="15"/>
      <c r="F139" s="15"/>
      <c r="G139" s="16"/>
      <c r="H139" s="17"/>
      <c r="I139" s="17"/>
      <c r="J139" s="16"/>
      <c r="K139" s="59"/>
      <c r="L139" s="40"/>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c r="A162" s="18"/>
      <c r="B162" s="30"/>
      <c r="C162" s="30"/>
      <c r="D162" s="18"/>
      <c r="E162" s="18"/>
      <c r="F162" s="18"/>
      <c r="G162" s="19"/>
      <c r="H162" s="18"/>
      <c r="I162" s="18"/>
      <c r="J162" s="19"/>
      <c r="L162" s="18"/>
    </row>
    <row r="163" spans="1:12">
      <c r="A163" s="18"/>
      <c r="B163" s="30"/>
      <c r="C163" s="30"/>
      <c r="D163" s="18"/>
      <c r="E163" s="18"/>
      <c r="F163" s="18"/>
      <c r="G163" s="19"/>
      <c r="H163" s="18"/>
      <c r="I163" s="18"/>
      <c r="J163" s="19"/>
      <c r="L163" s="18"/>
    </row>
    <row r="164" spans="1:12">
      <c r="A164" s="18"/>
      <c r="B164" s="30"/>
      <c r="C164" s="30"/>
      <c r="D164" s="18"/>
      <c r="E164" s="18"/>
      <c r="F164" s="18"/>
      <c r="G164" s="19"/>
      <c r="H164" s="18"/>
      <c r="I164" s="18"/>
      <c r="J164" s="19"/>
      <c r="L164" s="18"/>
    </row>
    <row r="165" spans="1:12">
      <c r="A165" s="18"/>
      <c r="B165" s="30"/>
      <c r="C165" s="30"/>
      <c r="D165" s="18"/>
      <c r="E165" s="18"/>
      <c r="F165" s="18"/>
      <c r="G165" s="19"/>
      <c r="H165" s="18"/>
      <c r="I165" s="18"/>
      <c r="J165" s="19"/>
      <c r="L165" s="18"/>
    </row>
    <row r="166" spans="1:12">
      <c r="A166" s="18"/>
      <c r="B166" s="30"/>
      <c r="C166" s="30"/>
      <c r="D166" s="18"/>
      <c r="E166" s="18"/>
      <c r="F166" s="18"/>
      <c r="G166" s="19"/>
      <c r="H166" s="18"/>
      <c r="I166" s="18"/>
      <c r="J166" s="19"/>
      <c r="L166" s="18"/>
    </row>
    <row r="167" spans="1:12">
      <c r="A167" s="18"/>
      <c r="B167" s="30"/>
      <c r="C167" s="30"/>
      <c r="D167" s="18"/>
      <c r="E167" s="18"/>
      <c r="F167" s="18"/>
      <c r="G167" s="19"/>
      <c r="H167" s="18"/>
      <c r="I167" s="18"/>
      <c r="J167" s="19"/>
      <c r="L167" s="18"/>
    </row>
    <row r="168" spans="1:12">
      <c r="A168" s="18"/>
      <c r="B168" s="30"/>
      <c r="C168" s="30"/>
      <c r="D168" s="18"/>
      <c r="E168" s="18"/>
      <c r="F168" s="18"/>
      <c r="G168" s="19"/>
      <c r="H168" s="18"/>
      <c r="I168" s="18"/>
      <c r="J168" s="19"/>
      <c r="L168" s="18"/>
    </row>
    <row r="169" spans="1:12">
      <c r="A169" s="18"/>
      <c r="B169" s="30"/>
      <c r="C169" s="30"/>
      <c r="D169" s="18"/>
      <c r="E169" s="18"/>
      <c r="F169" s="18"/>
      <c r="G169" s="19"/>
      <c r="H169" s="18"/>
      <c r="I169" s="18"/>
      <c r="J169" s="19"/>
      <c r="L169" s="18"/>
    </row>
    <row r="170" spans="1:12">
      <c r="A170" s="18"/>
      <c r="B170" s="30"/>
      <c r="C170" s="30"/>
      <c r="D170" s="18"/>
      <c r="E170" s="18"/>
      <c r="F170" s="18"/>
      <c r="G170" s="19"/>
      <c r="H170" s="18"/>
      <c r="I170" s="18"/>
      <c r="J170" s="19"/>
      <c r="L170" s="18"/>
    </row>
    <row r="171" spans="1:12">
      <c r="A171" s="18"/>
      <c r="B171" s="30"/>
      <c r="C171" s="30"/>
      <c r="D171" s="18"/>
      <c r="E171" s="18"/>
      <c r="F171" s="18"/>
      <c r="G171" s="19"/>
      <c r="H171" s="18"/>
      <c r="I171" s="18"/>
      <c r="J171" s="19"/>
      <c r="L171" s="18"/>
    </row>
    <row r="172" spans="1:12">
      <c r="A172" s="18"/>
      <c r="B172" s="30"/>
      <c r="C172" s="30"/>
      <c r="D172" s="18"/>
      <c r="E172" s="18"/>
      <c r="F172" s="18"/>
      <c r="G172" s="19"/>
      <c r="H172" s="18"/>
      <c r="I172" s="18"/>
      <c r="J172" s="19"/>
      <c r="L172" s="18"/>
    </row>
    <row r="173" spans="1:12">
      <c r="A173" s="18"/>
      <c r="B173" s="30"/>
      <c r="C173" s="30"/>
      <c r="D173" s="18"/>
      <c r="E173" s="18"/>
      <c r="F173" s="18"/>
      <c r="G173" s="19"/>
      <c r="H173" s="18"/>
      <c r="I173" s="18"/>
      <c r="J173" s="19"/>
      <c r="L173" s="18"/>
    </row>
    <row r="174" spans="1:12">
      <c r="A174" s="18"/>
      <c r="B174" s="30"/>
      <c r="C174" s="30"/>
      <c r="D174" s="18"/>
      <c r="E174" s="18"/>
      <c r="F174" s="18"/>
      <c r="G174" s="19"/>
      <c r="H174" s="18"/>
      <c r="I174" s="18"/>
      <c r="J174" s="19"/>
      <c r="L174" s="18"/>
    </row>
    <row r="175" spans="1:12">
      <c r="A175" s="18"/>
      <c r="B175" s="30"/>
      <c r="C175" s="30"/>
      <c r="D175" s="18"/>
      <c r="E175" s="18"/>
      <c r="F175" s="18"/>
      <c r="G175" s="19"/>
      <c r="H175" s="18"/>
      <c r="I175" s="18"/>
      <c r="J175" s="19"/>
      <c r="L175" s="18"/>
    </row>
    <row r="176" spans="1:12">
      <c r="A176" s="18"/>
      <c r="B176" s="30"/>
      <c r="C176" s="30"/>
      <c r="D176" s="18"/>
      <c r="E176" s="18"/>
      <c r="F176" s="18"/>
      <c r="G176" s="19"/>
      <c r="H176" s="18"/>
      <c r="I176" s="18"/>
      <c r="J176" s="19"/>
      <c r="L176" s="18"/>
    </row>
    <row r="177" spans="1:12">
      <c r="A177" s="18"/>
      <c r="B177" s="30"/>
      <c r="C177" s="30"/>
      <c r="D177" s="18"/>
      <c r="E177" s="18"/>
      <c r="F177" s="18"/>
      <c r="G177" s="19"/>
      <c r="H177" s="18"/>
      <c r="I177" s="18"/>
      <c r="J177" s="19"/>
      <c r="L177" s="18"/>
    </row>
    <row r="178" spans="1:12">
      <c r="A178" s="18"/>
      <c r="B178" s="30"/>
      <c r="C178" s="30"/>
      <c r="D178" s="18"/>
      <c r="E178" s="18"/>
      <c r="F178" s="18"/>
      <c r="G178" s="19"/>
      <c r="H178" s="18"/>
      <c r="I178" s="18"/>
      <c r="J178" s="19"/>
      <c r="L178" s="18"/>
    </row>
    <row r="179" spans="1:12">
      <c r="A179" s="18"/>
      <c r="B179" s="30"/>
      <c r="C179" s="30"/>
      <c r="D179" s="18"/>
      <c r="E179" s="18"/>
      <c r="F179" s="18"/>
      <c r="G179" s="19"/>
      <c r="H179" s="18"/>
      <c r="I179" s="18"/>
      <c r="J179" s="19"/>
      <c r="L179" s="18"/>
    </row>
    <row r="180" spans="1:12">
      <c r="A180" s="18"/>
      <c r="B180" s="30"/>
      <c r="C180" s="30"/>
      <c r="D180" s="18"/>
      <c r="E180" s="18"/>
      <c r="F180" s="18"/>
      <c r="G180" s="19"/>
      <c r="H180" s="18"/>
      <c r="I180" s="18"/>
      <c r="J180" s="19"/>
      <c r="L180" s="18"/>
    </row>
    <row r="181" spans="1:12">
      <c r="A181" s="18"/>
      <c r="B181" s="30"/>
      <c r="C181" s="30"/>
      <c r="D181" s="18"/>
      <c r="E181" s="18"/>
      <c r="F181" s="18"/>
      <c r="G181" s="19"/>
      <c r="H181" s="18"/>
      <c r="I181" s="18"/>
      <c r="J181" s="19"/>
      <c r="L181" s="18"/>
    </row>
    <row r="182" spans="1:12">
      <c r="A182" s="18"/>
      <c r="B182" s="30"/>
      <c r="C182" s="30"/>
      <c r="D182" s="18"/>
      <c r="E182" s="18"/>
      <c r="F182" s="18"/>
      <c r="G182" s="19"/>
      <c r="H182" s="18"/>
      <c r="I182" s="18"/>
      <c r="J182" s="19"/>
      <c r="L182" s="18"/>
    </row>
    <row r="183" spans="1:12">
      <c r="A183" s="18"/>
      <c r="B183" s="30"/>
      <c r="C183" s="30"/>
      <c r="D183" s="18"/>
      <c r="E183" s="18"/>
      <c r="F183" s="18"/>
      <c r="G183" s="19"/>
      <c r="H183" s="18"/>
      <c r="I183" s="18"/>
      <c r="J183" s="19"/>
      <c r="L183" s="18"/>
    </row>
    <row r="184" spans="1:12">
      <c r="A184" s="18"/>
      <c r="B184" s="30"/>
      <c r="C184" s="30"/>
      <c r="D184" s="18"/>
      <c r="E184" s="18"/>
      <c r="F184" s="18"/>
      <c r="G184" s="19"/>
      <c r="H184" s="18"/>
      <c r="I184" s="18"/>
      <c r="J184" s="19"/>
      <c r="L184" s="18"/>
    </row>
    <row r="185" spans="1:12">
      <c r="A185" s="18"/>
      <c r="B185" s="30"/>
      <c r="C185" s="30"/>
      <c r="D185" s="18"/>
      <c r="E185" s="18"/>
      <c r="F185" s="18"/>
      <c r="G185" s="19"/>
      <c r="H185" s="18"/>
      <c r="I185" s="18"/>
      <c r="J185" s="19"/>
      <c r="L185" s="18"/>
    </row>
    <row r="186" spans="1:12">
      <c r="A186" s="18"/>
      <c r="B186" s="30"/>
      <c r="C186" s="30"/>
      <c r="D186" s="18"/>
      <c r="E186" s="18"/>
      <c r="F186" s="18"/>
      <c r="G186" s="19"/>
      <c r="H186" s="18"/>
      <c r="I186" s="18"/>
      <c r="J186" s="19"/>
      <c r="L186" s="18"/>
    </row>
    <row r="187" spans="1:12">
      <c r="A187" s="18"/>
      <c r="B187" s="30"/>
      <c r="C187" s="30"/>
      <c r="D187" s="18"/>
      <c r="E187" s="18"/>
      <c r="F187" s="18"/>
      <c r="G187" s="19"/>
      <c r="H187" s="18"/>
      <c r="I187" s="18"/>
      <c r="J187" s="19"/>
      <c r="L187" s="18"/>
    </row>
    <row r="188" spans="1:12">
      <c r="A188" s="18"/>
      <c r="B188" s="30"/>
      <c r="C188" s="30"/>
      <c r="D188" s="18"/>
      <c r="E188" s="18"/>
      <c r="F188" s="18"/>
      <c r="G188" s="19"/>
      <c r="H188" s="18"/>
      <c r="I188" s="18"/>
      <c r="J188" s="19"/>
      <c r="L188" s="18"/>
    </row>
    <row r="189" spans="1:12">
      <c r="A189" s="18"/>
      <c r="B189" s="30"/>
      <c r="C189" s="30"/>
      <c r="D189" s="18"/>
      <c r="E189" s="18"/>
      <c r="F189" s="18"/>
      <c r="G189" s="19"/>
      <c r="H189" s="18"/>
      <c r="I189" s="18"/>
      <c r="J189" s="19"/>
      <c r="L189" s="18"/>
    </row>
    <row r="190" spans="1:12">
      <c r="A190" s="18"/>
      <c r="B190" s="30"/>
      <c r="C190" s="30"/>
      <c r="D190" s="18"/>
      <c r="E190" s="18"/>
      <c r="F190" s="18"/>
      <c r="G190" s="19"/>
      <c r="H190" s="18"/>
      <c r="I190" s="18"/>
      <c r="J190" s="19"/>
      <c r="L190" s="18"/>
    </row>
    <row r="191" spans="1:12">
      <c r="A191" s="18"/>
      <c r="B191" s="30"/>
      <c r="C191" s="30"/>
      <c r="D191" s="18"/>
      <c r="E191" s="18"/>
      <c r="F191" s="18"/>
      <c r="G191" s="19"/>
      <c r="H191" s="18"/>
      <c r="I191" s="18"/>
      <c r="J191" s="19"/>
      <c r="L191" s="18"/>
    </row>
    <row r="192" spans="1:12">
      <c r="A192" s="18"/>
      <c r="B192" s="30"/>
      <c r="C192" s="30"/>
      <c r="D192" s="18"/>
      <c r="E192" s="18"/>
      <c r="F192" s="18"/>
      <c r="G192" s="19"/>
      <c r="H192" s="18"/>
      <c r="I192" s="18"/>
      <c r="J192" s="19"/>
      <c r="L192" s="18"/>
    </row>
    <row r="193" spans="1:12">
      <c r="A193" s="18"/>
      <c r="B193" s="30"/>
      <c r="C193" s="30"/>
      <c r="D193" s="18"/>
      <c r="E193" s="18"/>
      <c r="F193" s="18"/>
      <c r="G193" s="19"/>
      <c r="H193" s="18"/>
      <c r="I193" s="18"/>
      <c r="J193" s="19"/>
      <c r="L193" s="18"/>
    </row>
    <row r="194" spans="1:12">
      <c r="A194" s="18"/>
      <c r="B194" s="30"/>
      <c r="C194" s="30"/>
      <c r="D194" s="18"/>
      <c r="E194" s="18"/>
      <c r="F194" s="18"/>
      <c r="G194" s="19"/>
      <c r="H194" s="18"/>
      <c r="I194" s="18"/>
      <c r="J194" s="19"/>
      <c r="L194" s="18"/>
    </row>
    <row r="195" spans="1:12">
      <c r="A195" s="18"/>
      <c r="B195" s="30"/>
      <c r="C195" s="30"/>
      <c r="D195" s="18"/>
      <c r="E195" s="18"/>
      <c r="F195" s="18"/>
      <c r="G195" s="19"/>
      <c r="H195" s="18"/>
      <c r="I195" s="18"/>
      <c r="J195" s="19"/>
      <c r="L195" s="18"/>
    </row>
    <row r="196" spans="1:12">
      <c r="A196" s="18"/>
      <c r="B196" s="30"/>
      <c r="C196" s="30"/>
      <c r="D196" s="18"/>
      <c r="E196" s="18"/>
      <c r="F196" s="18"/>
      <c r="G196" s="19"/>
      <c r="H196" s="18"/>
      <c r="I196" s="18"/>
      <c r="J196" s="19"/>
      <c r="L196" s="18"/>
    </row>
    <row r="197" spans="1:12">
      <c r="A197" s="18"/>
      <c r="B197" s="30"/>
      <c r="C197" s="30"/>
      <c r="D197" s="18"/>
      <c r="E197" s="18"/>
      <c r="F197" s="18"/>
      <c r="G197" s="19"/>
      <c r="H197" s="18"/>
      <c r="I197" s="18"/>
      <c r="J197" s="19"/>
      <c r="L197" s="18"/>
    </row>
    <row r="198" spans="1:12">
      <c r="A198" s="18"/>
      <c r="B198" s="30"/>
      <c r="C198" s="30"/>
      <c r="D198" s="18"/>
      <c r="E198" s="18"/>
      <c r="F198" s="18"/>
      <c r="G198" s="19"/>
      <c r="H198" s="18"/>
      <c r="I198" s="18"/>
      <c r="J198" s="19"/>
      <c r="L198" s="18"/>
    </row>
    <row r="199" spans="1:12">
      <c r="A199" s="18"/>
      <c r="B199" s="30"/>
      <c r="C199" s="30"/>
      <c r="D199" s="18"/>
      <c r="E199" s="18"/>
      <c r="F199" s="18"/>
      <c r="G199" s="19"/>
      <c r="H199" s="18"/>
      <c r="I199" s="18"/>
      <c r="J199" s="19"/>
      <c r="L199" s="18"/>
    </row>
    <row r="200" spans="1:12">
      <c r="A200" s="18"/>
      <c r="B200" s="30"/>
      <c r="C200" s="30"/>
      <c r="D200" s="18"/>
      <c r="E200" s="18"/>
      <c r="F200" s="18"/>
      <c r="G200" s="19"/>
      <c r="H200" s="18"/>
      <c r="I200" s="18"/>
      <c r="J200" s="19"/>
      <c r="L200" s="18"/>
    </row>
    <row r="201" spans="1:12">
      <c r="A201" s="18"/>
      <c r="B201" s="30"/>
      <c r="C201" s="30"/>
      <c r="D201" s="18"/>
      <c r="E201" s="18"/>
      <c r="F201" s="18"/>
      <c r="G201" s="19"/>
      <c r="H201" s="18"/>
      <c r="I201" s="18"/>
      <c r="J201" s="19"/>
      <c r="L201" s="18"/>
    </row>
    <row r="202" spans="1:12">
      <c r="A202" s="18"/>
      <c r="B202" s="30"/>
      <c r="C202" s="30"/>
      <c r="D202" s="18"/>
      <c r="E202" s="18"/>
      <c r="F202" s="18"/>
      <c r="G202" s="19"/>
      <c r="H202" s="18"/>
      <c r="I202" s="18"/>
      <c r="J202" s="19"/>
      <c r="L202" s="18"/>
    </row>
    <row r="203" spans="1:12">
      <c r="A203" s="18"/>
      <c r="B203" s="30"/>
      <c r="C203" s="30"/>
      <c r="D203" s="18"/>
      <c r="E203" s="18"/>
      <c r="F203" s="18"/>
      <c r="G203" s="19"/>
      <c r="H203" s="18"/>
      <c r="I203" s="18"/>
      <c r="J203" s="19"/>
      <c r="L203" s="18"/>
    </row>
    <row r="204" spans="1:12">
      <c r="A204" s="18"/>
      <c r="B204" s="30"/>
      <c r="C204" s="30"/>
      <c r="D204" s="18"/>
      <c r="E204" s="18"/>
      <c r="F204" s="18"/>
      <c r="G204" s="19"/>
      <c r="H204" s="18"/>
      <c r="I204" s="18"/>
      <c r="J204" s="19"/>
      <c r="L204" s="18"/>
    </row>
    <row r="205" spans="1:12">
      <c r="A205" s="18"/>
      <c r="B205" s="30"/>
      <c r="C205" s="30"/>
      <c r="D205" s="18"/>
      <c r="E205" s="18"/>
      <c r="F205" s="18"/>
      <c r="G205" s="19"/>
      <c r="H205" s="18"/>
      <c r="I205" s="18"/>
      <c r="J205" s="19"/>
      <c r="L205" s="18"/>
    </row>
    <row r="206" spans="1:12">
      <c r="A206" s="18"/>
      <c r="B206" s="30"/>
      <c r="C206" s="30"/>
      <c r="D206" s="18"/>
      <c r="E206" s="18"/>
      <c r="F206" s="18"/>
      <c r="G206" s="19"/>
      <c r="H206" s="18"/>
      <c r="I206" s="18"/>
      <c r="J206" s="19"/>
      <c r="L206" s="18"/>
    </row>
    <row r="207" spans="1:12">
      <c r="A207" s="18"/>
      <c r="B207" s="30"/>
      <c r="C207" s="30"/>
      <c r="D207" s="18"/>
      <c r="E207" s="18"/>
      <c r="F207" s="18"/>
      <c r="G207" s="19"/>
      <c r="H207" s="18"/>
      <c r="I207" s="18"/>
      <c r="J207" s="19"/>
      <c r="L207" s="18"/>
    </row>
    <row r="208" spans="1:12">
      <c r="A208" s="18"/>
      <c r="B208" s="30"/>
      <c r="C208" s="30"/>
      <c r="D208" s="18"/>
      <c r="E208" s="18"/>
      <c r="F208" s="18"/>
      <c r="G208" s="19"/>
      <c r="H208" s="18"/>
      <c r="I208" s="18"/>
      <c r="J208" s="19"/>
      <c r="L208" s="18"/>
    </row>
    <row r="209" spans="1:12">
      <c r="A209" s="18"/>
      <c r="B209" s="30"/>
      <c r="C209" s="30"/>
      <c r="D209" s="18"/>
      <c r="E209" s="18"/>
      <c r="F209" s="18"/>
      <c r="G209" s="19"/>
      <c r="H209" s="18"/>
      <c r="I209" s="18"/>
      <c r="J209" s="19"/>
      <c r="L209" s="18"/>
    </row>
    <row r="210" spans="1:12">
      <c r="A210" s="18"/>
      <c r="B210" s="30"/>
      <c r="C210" s="30"/>
      <c r="D210" s="18"/>
      <c r="E210" s="18"/>
      <c r="F210" s="18"/>
      <c r="G210" s="19"/>
      <c r="H210" s="18"/>
      <c r="I210" s="18"/>
      <c r="J210" s="19"/>
      <c r="L210" s="18"/>
    </row>
    <row r="211" spans="1:12">
      <c r="A211" s="18"/>
      <c r="B211" s="30"/>
      <c r="C211" s="30"/>
      <c r="D211" s="18"/>
      <c r="E211" s="18"/>
      <c r="F211" s="18"/>
      <c r="G211" s="19"/>
      <c r="H211" s="18"/>
      <c r="I211" s="18"/>
      <c r="J211" s="19"/>
      <c r="L211" s="18"/>
    </row>
    <row r="212" spans="1:12">
      <c r="A212" s="18"/>
      <c r="B212" s="30"/>
      <c r="C212" s="30"/>
      <c r="D212" s="18"/>
      <c r="E212" s="18"/>
      <c r="F212" s="18"/>
      <c r="G212" s="19"/>
      <c r="H212" s="18"/>
      <c r="I212" s="18"/>
      <c r="J212" s="19"/>
      <c r="L212" s="18"/>
    </row>
    <row r="213" spans="1:12">
      <c r="A213" s="18"/>
      <c r="B213" s="30"/>
      <c r="C213" s="30"/>
      <c r="D213" s="18"/>
      <c r="E213" s="18"/>
      <c r="F213" s="18"/>
      <c r="G213" s="19"/>
      <c r="H213" s="18"/>
      <c r="I213" s="18"/>
      <c r="J213" s="19"/>
      <c r="L213" s="18"/>
    </row>
    <row r="214" spans="1:12">
      <c r="A214" s="18"/>
      <c r="B214" s="30"/>
      <c r="C214" s="30"/>
      <c r="D214" s="18"/>
      <c r="E214" s="18"/>
      <c r="F214" s="18"/>
      <c r="G214" s="19"/>
      <c r="H214" s="18"/>
      <c r="I214" s="18"/>
      <c r="J214" s="19"/>
      <c r="L214" s="18"/>
    </row>
    <row r="215" spans="1:12">
      <c r="A215" s="18"/>
      <c r="B215" s="30"/>
      <c r="C215" s="30"/>
      <c r="D215" s="18"/>
      <c r="E215" s="18"/>
      <c r="F215" s="18"/>
      <c r="G215" s="19"/>
      <c r="H215" s="18"/>
      <c r="I215" s="18"/>
      <c r="J215" s="19"/>
      <c r="L215" s="18"/>
    </row>
    <row r="216" spans="1:12">
      <c r="A216" s="18"/>
      <c r="B216" s="30"/>
      <c r="C216" s="30"/>
      <c r="D216" s="18"/>
      <c r="E216" s="18"/>
      <c r="F216" s="18"/>
      <c r="G216" s="19"/>
      <c r="H216" s="18"/>
      <c r="I216" s="18"/>
      <c r="J216" s="19"/>
      <c r="L216" s="18"/>
    </row>
    <row r="217" spans="1:12">
      <c r="A217" s="18"/>
      <c r="B217" s="30"/>
      <c r="C217" s="30"/>
      <c r="D217" s="18"/>
      <c r="E217" s="18"/>
      <c r="F217" s="18"/>
      <c r="G217" s="19"/>
      <c r="H217" s="18"/>
      <c r="I217" s="18"/>
      <c r="J217" s="19"/>
      <c r="L217" s="18"/>
    </row>
    <row r="218" spans="1:12">
      <c r="A218" s="18"/>
      <c r="B218" s="30"/>
      <c r="C218" s="30"/>
      <c r="D218" s="18"/>
      <c r="E218" s="18"/>
      <c r="F218" s="18"/>
      <c r="G218" s="19"/>
      <c r="H218" s="18"/>
      <c r="I218" s="18"/>
      <c r="J218" s="19"/>
      <c r="L218" s="18"/>
    </row>
    <row r="219" spans="1:12">
      <c r="A219" s="18"/>
      <c r="B219" s="30"/>
      <c r="C219" s="30"/>
      <c r="D219" s="18"/>
      <c r="E219" s="18"/>
      <c r="F219" s="18"/>
      <c r="G219" s="19"/>
      <c r="H219" s="18"/>
      <c r="I219" s="18"/>
      <c r="J219" s="19"/>
      <c r="L219" s="18"/>
    </row>
    <row r="220" spans="1:12">
      <c r="A220" s="18"/>
      <c r="B220" s="30"/>
      <c r="C220" s="30"/>
      <c r="D220" s="18"/>
      <c r="E220" s="18"/>
      <c r="F220" s="18"/>
      <c r="G220" s="19"/>
      <c r="H220" s="18"/>
      <c r="I220" s="18"/>
      <c r="J220" s="19"/>
      <c r="L220" s="18"/>
    </row>
    <row r="221" spans="1:12">
      <c r="A221" s="18"/>
      <c r="B221" s="30"/>
      <c r="C221" s="30"/>
      <c r="D221" s="18"/>
      <c r="E221" s="18"/>
      <c r="F221" s="18"/>
      <c r="G221" s="19"/>
      <c r="H221" s="18"/>
      <c r="I221" s="18"/>
      <c r="J221" s="19"/>
      <c r="L221" s="18"/>
    </row>
    <row r="222" spans="1:12">
      <c r="A222" s="18"/>
      <c r="B222" s="30"/>
      <c r="C222" s="30"/>
      <c r="D222" s="18"/>
      <c r="E222" s="18"/>
      <c r="F222" s="18"/>
      <c r="G222" s="19"/>
      <c r="H222" s="18"/>
      <c r="I222" s="18"/>
      <c r="J222" s="19"/>
      <c r="L222" s="18"/>
    </row>
    <row r="223" spans="1:12">
      <c r="A223" s="18"/>
      <c r="B223" s="30"/>
      <c r="C223" s="30"/>
      <c r="D223" s="18"/>
      <c r="E223" s="18"/>
      <c r="F223" s="18"/>
      <c r="G223" s="19"/>
      <c r="H223" s="18"/>
      <c r="I223" s="18"/>
      <c r="J223" s="19"/>
      <c r="L223" s="18"/>
    </row>
    <row r="224" spans="1:12">
      <c r="A224" s="18"/>
      <c r="B224" s="30"/>
      <c r="C224" s="30"/>
      <c r="D224" s="18"/>
      <c r="E224" s="18"/>
      <c r="F224" s="18"/>
      <c r="G224" s="19"/>
      <c r="H224" s="18"/>
      <c r="I224" s="18"/>
      <c r="J224" s="19"/>
      <c r="L224" s="18"/>
    </row>
    <row r="225" spans="1:12">
      <c r="A225" s="18"/>
      <c r="B225" s="30"/>
      <c r="C225" s="30"/>
      <c r="D225" s="18"/>
      <c r="E225" s="18"/>
      <c r="F225" s="18"/>
      <c r="G225" s="19"/>
      <c r="H225" s="18"/>
      <c r="I225" s="18"/>
      <c r="J225" s="19"/>
      <c r="L225" s="18"/>
    </row>
    <row r="226" spans="1:12">
      <c r="A226" s="18"/>
      <c r="B226" s="30"/>
      <c r="C226" s="30"/>
      <c r="D226" s="18"/>
      <c r="E226" s="18"/>
      <c r="F226" s="18"/>
      <c r="G226" s="19"/>
      <c r="H226" s="18"/>
      <c r="I226" s="18"/>
      <c r="J226" s="19"/>
      <c r="L226" s="18"/>
    </row>
    <row r="227" spans="1:12">
      <c r="A227" s="18"/>
      <c r="B227" s="30"/>
      <c r="C227" s="30"/>
      <c r="D227" s="18"/>
      <c r="E227" s="18"/>
      <c r="F227" s="18"/>
      <c r="G227" s="19"/>
      <c r="H227" s="18"/>
      <c r="I227" s="18"/>
      <c r="J227" s="19"/>
      <c r="L227" s="18"/>
    </row>
    <row r="228" spans="1:12">
      <c r="A228" s="18"/>
      <c r="B228" s="30"/>
      <c r="C228" s="30"/>
      <c r="D228" s="18"/>
      <c r="E228" s="18"/>
      <c r="F228" s="18"/>
      <c r="G228" s="19"/>
      <c r="H228" s="18"/>
      <c r="I228" s="18"/>
      <c r="J228" s="19"/>
      <c r="L228" s="18"/>
    </row>
    <row r="229" spans="1:12">
      <c r="A229" s="18"/>
      <c r="B229" s="30"/>
      <c r="C229" s="30"/>
      <c r="D229" s="18"/>
      <c r="E229" s="18"/>
      <c r="F229" s="18"/>
      <c r="G229" s="19"/>
      <c r="H229" s="18"/>
      <c r="I229" s="18"/>
      <c r="J229" s="19"/>
      <c r="L229" s="18"/>
    </row>
    <row r="230" spans="1:12">
      <c r="A230" s="18"/>
      <c r="B230" s="30"/>
      <c r="C230" s="30"/>
      <c r="D230" s="18"/>
      <c r="E230" s="18"/>
      <c r="F230" s="18"/>
      <c r="G230" s="19"/>
      <c r="H230" s="18"/>
      <c r="I230" s="18"/>
      <c r="J230" s="19"/>
      <c r="L230" s="18"/>
    </row>
    <row r="231" spans="1:12">
      <c r="A231" s="18"/>
      <c r="B231" s="30"/>
      <c r="C231" s="30"/>
      <c r="D231" s="18"/>
      <c r="E231" s="18"/>
      <c r="F231" s="18"/>
      <c r="G231" s="19"/>
      <c r="H231" s="18"/>
      <c r="I231" s="18"/>
      <c r="J231" s="19"/>
      <c r="L231" s="18"/>
    </row>
    <row r="232" spans="1:12">
      <c r="A232" s="18"/>
      <c r="B232" s="30"/>
      <c r="C232" s="30"/>
      <c r="D232" s="18"/>
      <c r="E232" s="18"/>
      <c r="F232" s="18"/>
      <c r="G232" s="19"/>
      <c r="H232" s="18"/>
      <c r="I232" s="18"/>
      <c r="J232" s="19"/>
      <c r="L232" s="18"/>
    </row>
    <row r="233" spans="1:12">
      <c r="A233" s="18"/>
      <c r="B233" s="30"/>
      <c r="C233" s="30"/>
      <c r="D233" s="18"/>
      <c r="E233" s="18"/>
      <c r="F233" s="18"/>
      <c r="G233" s="19"/>
      <c r="H233" s="18"/>
      <c r="I233" s="18"/>
      <c r="J233" s="19"/>
      <c r="L233" s="18"/>
    </row>
    <row r="234" spans="1:12">
      <c r="A234" s="18"/>
      <c r="B234" s="30"/>
      <c r="C234" s="30"/>
      <c r="D234" s="18"/>
      <c r="E234" s="18"/>
      <c r="F234" s="18"/>
      <c r="G234" s="19"/>
      <c r="H234" s="18"/>
      <c r="I234" s="18"/>
      <c r="J234" s="19"/>
      <c r="L234" s="18"/>
    </row>
    <row r="235" spans="1:12">
      <c r="A235" s="18"/>
      <c r="B235" s="30"/>
      <c r="C235" s="30"/>
      <c r="D235" s="18"/>
      <c r="E235" s="18"/>
      <c r="F235" s="18"/>
      <c r="G235" s="19"/>
      <c r="H235" s="18"/>
      <c r="I235" s="18"/>
      <c r="J235" s="19"/>
      <c r="L235" s="18"/>
    </row>
    <row r="236" spans="1:12">
      <c r="A236" s="18"/>
      <c r="B236" s="30"/>
      <c r="C236" s="30"/>
      <c r="D236" s="18"/>
      <c r="E236" s="18"/>
      <c r="F236" s="18"/>
      <c r="G236" s="19"/>
      <c r="H236" s="18"/>
      <c r="I236" s="18"/>
      <c r="J236" s="19"/>
      <c r="L236" s="18"/>
    </row>
    <row r="237" spans="1:12">
      <c r="A237" s="18"/>
      <c r="B237" s="30"/>
      <c r="C237" s="30"/>
      <c r="D237" s="18"/>
      <c r="E237" s="18"/>
      <c r="F237" s="18"/>
      <c r="G237" s="19"/>
      <c r="H237" s="18"/>
      <c r="I237" s="18"/>
      <c r="J237" s="19"/>
      <c r="L237" s="18"/>
    </row>
    <row r="238" spans="1:12">
      <c r="A238" s="18"/>
      <c r="B238" s="30"/>
      <c r="C238" s="30"/>
      <c r="D238" s="18"/>
      <c r="E238" s="18"/>
      <c r="F238" s="18"/>
      <c r="G238" s="19"/>
      <c r="H238" s="18"/>
      <c r="I238" s="18"/>
      <c r="J238" s="19"/>
      <c r="L238" s="18"/>
    </row>
    <row r="239" spans="1:12">
      <c r="A239" s="18"/>
      <c r="B239" s="30"/>
      <c r="C239" s="30"/>
      <c r="D239" s="18"/>
      <c r="E239" s="18"/>
      <c r="F239" s="18"/>
      <c r="G239" s="19"/>
      <c r="H239" s="18"/>
      <c r="I239" s="18"/>
      <c r="J239" s="19"/>
      <c r="L239" s="18"/>
    </row>
    <row r="240" spans="1:12">
      <c r="A240" s="18"/>
      <c r="B240" s="30"/>
      <c r="C240" s="30"/>
      <c r="D240" s="18"/>
      <c r="E240" s="18"/>
      <c r="F240" s="18"/>
      <c r="G240" s="19"/>
      <c r="H240" s="18"/>
      <c r="I240" s="18"/>
      <c r="J240" s="19"/>
      <c r="L240" s="18"/>
    </row>
    <row r="241" spans="1:12">
      <c r="A241" s="18"/>
      <c r="B241" s="30"/>
      <c r="C241" s="30"/>
      <c r="D241" s="18"/>
      <c r="E241" s="18"/>
      <c r="F241" s="18"/>
      <c r="G241" s="19"/>
      <c r="H241" s="18"/>
      <c r="I241" s="18"/>
      <c r="J241" s="19"/>
      <c r="L241" s="18"/>
    </row>
    <row r="242" spans="1:12">
      <c r="A242" s="18"/>
      <c r="B242" s="30"/>
      <c r="C242" s="30"/>
      <c r="D242" s="18"/>
      <c r="E242" s="18"/>
      <c r="F242" s="18"/>
      <c r="G242" s="19"/>
      <c r="H242" s="18"/>
      <c r="I242" s="18"/>
      <c r="J242" s="19"/>
      <c r="L242" s="18"/>
    </row>
    <row r="243" spans="1:12">
      <c r="A243" s="18"/>
      <c r="B243" s="30"/>
      <c r="C243" s="30"/>
      <c r="D243" s="18"/>
      <c r="E243" s="18"/>
      <c r="F243" s="18"/>
      <c r="G243" s="19"/>
      <c r="H243" s="18"/>
      <c r="I243" s="18"/>
      <c r="J243" s="19"/>
      <c r="L243" s="18"/>
    </row>
    <row r="244" spans="1:12">
      <c r="A244" s="18"/>
      <c r="B244" s="30"/>
      <c r="C244" s="30"/>
      <c r="D244" s="18"/>
      <c r="E244" s="18"/>
      <c r="F244" s="18"/>
      <c r="G244" s="19"/>
      <c r="H244" s="18"/>
      <c r="I244" s="18"/>
      <c r="J244" s="19"/>
      <c r="L244" s="18"/>
    </row>
    <row r="245" spans="1:12">
      <c r="A245" s="18"/>
      <c r="B245" s="30"/>
      <c r="C245" s="30"/>
      <c r="D245" s="18"/>
      <c r="E245" s="18"/>
      <c r="F245" s="18"/>
      <c r="G245" s="19"/>
      <c r="H245" s="18"/>
      <c r="I245" s="18"/>
      <c r="J245" s="19"/>
      <c r="L245" s="18"/>
    </row>
    <row r="246" spans="1:12">
      <c r="A246" s="18"/>
      <c r="B246" s="30"/>
      <c r="C246" s="30"/>
      <c r="D246" s="18"/>
      <c r="E246" s="18"/>
      <c r="F246" s="18"/>
      <c r="G246" s="19"/>
      <c r="H246" s="18"/>
      <c r="I246" s="18"/>
      <c r="J246" s="19"/>
      <c r="L246" s="18"/>
    </row>
    <row r="247" spans="1:12">
      <c r="A247" s="18"/>
      <c r="B247" s="30"/>
      <c r="C247" s="30"/>
      <c r="D247" s="18"/>
      <c r="E247" s="18"/>
      <c r="F247" s="18"/>
      <c r="G247" s="19"/>
      <c r="H247" s="18"/>
      <c r="I247" s="18"/>
      <c r="J247" s="19"/>
      <c r="L247" s="18"/>
    </row>
    <row r="248" spans="1:12">
      <c r="A248" s="18"/>
      <c r="B248" s="30"/>
      <c r="C248" s="30"/>
      <c r="D248" s="18"/>
      <c r="E248" s="18"/>
      <c r="F248" s="18"/>
      <c r="G248" s="19"/>
      <c r="H248" s="18"/>
      <c r="I248" s="18"/>
      <c r="J248" s="19"/>
      <c r="L248" s="18"/>
    </row>
    <row r="249" spans="1:12">
      <c r="A249" s="18"/>
      <c r="B249" s="30"/>
      <c r="C249" s="30"/>
      <c r="D249" s="18"/>
      <c r="E249" s="18"/>
      <c r="F249" s="18"/>
      <c r="G249" s="19"/>
      <c r="H249" s="18"/>
      <c r="I249" s="18"/>
      <c r="J249" s="19"/>
      <c r="L249" s="18"/>
    </row>
    <row r="250" spans="1:12">
      <c r="A250" s="18"/>
      <c r="B250" s="30"/>
      <c r="C250" s="30"/>
      <c r="D250" s="18"/>
      <c r="E250" s="18"/>
      <c r="F250" s="18"/>
      <c r="G250" s="19"/>
      <c r="H250" s="18"/>
      <c r="I250" s="18"/>
      <c r="J250" s="19"/>
      <c r="L250" s="18"/>
    </row>
    <row r="251" spans="1:12">
      <c r="A251" s="18"/>
      <c r="B251" s="30"/>
      <c r="C251" s="30"/>
      <c r="D251" s="18"/>
      <c r="E251" s="18"/>
      <c r="F251" s="18"/>
      <c r="G251" s="19"/>
      <c r="H251" s="18"/>
      <c r="I251" s="18"/>
      <c r="J251" s="19"/>
      <c r="L251" s="18"/>
    </row>
    <row r="252" spans="1:12">
      <c r="A252" s="18"/>
      <c r="B252" s="30"/>
      <c r="C252" s="30"/>
      <c r="D252" s="18"/>
      <c r="E252" s="18"/>
      <c r="F252" s="18"/>
      <c r="G252" s="19"/>
      <c r="H252" s="18"/>
      <c r="I252" s="18"/>
      <c r="J252" s="19"/>
      <c r="L252" s="18"/>
    </row>
    <row r="253" spans="1:12">
      <c r="A253" s="18"/>
      <c r="B253" s="30"/>
      <c r="C253" s="30"/>
      <c r="D253" s="18"/>
      <c r="E253" s="18"/>
      <c r="F253" s="18"/>
      <c r="G253" s="19"/>
      <c r="H253" s="18"/>
      <c r="I253" s="18"/>
      <c r="J253" s="19"/>
      <c r="L253" s="18"/>
    </row>
    <row r="254" spans="1:12">
      <c r="A254" s="18"/>
      <c r="B254" s="30"/>
      <c r="C254" s="30"/>
      <c r="D254" s="18"/>
      <c r="E254" s="18"/>
      <c r="F254" s="18"/>
      <c r="G254" s="19"/>
      <c r="H254" s="18"/>
      <c r="I254" s="18"/>
      <c r="J254" s="19"/>
      <c r="L254" s="18"/>
    </row>
    <row r="255" spans="1:12">
      <c r="A255" s="18"/>
      <c r="B255" s="30"/>
      <c r="C255" s="30"/>
      <c r="D255" s="18"/>
      <c r="E255" s="18"/>
      <c r="F255" s="18"/>
      <c r="G255" s="19"/>
      <c r="H255" s="18"/>
      <c r="I255" s="18"/>
      <c r="J255" s="19"/>
      <c r="L255" s="18"/>
    </row>
    <row r="256" spans="1:12">
      <c r="A256" s="18"/>
      <c r="B256" s="30"/>
      <c r="C256" s="30"/>
      <c r="D256" s="18"/>
      <c r="E256" s="18"/>
      <c r="F256" s="18"/>
      <c r="G256" s="19"/>
      <c r="H256" s="18"/>
      <c r="I256" s="18"/>
      <c r="J256" s="19"/>
      <c r="L256" s="18"/>
    </row>
    <row r="257" spans="1:12">
      <c r="A257" s="18"/>
      <c r="B257" s="30"/>
      <c r="C257" s="30"/>
      <c r="D257" s="18"/>
      <c r="E257" s="18"/>
      <c r="F257" s="18"/>
      <c r="G257" s="19"/>
      <c r="H257" s="18"/>
      <c r="I257" s="18"/>
      <c r="J257" s="19"/>
      <c r="L257" s="18"/>
    </row>
    <row r="258" spans="1:12">
      <c r="A258" s="18"/>
      <c r="B258" s="30"/>
      <c r="C258" s="30"/>
      <c r="D258" s="18"/>
      <c r="E258" s="18"/>
      <c r="F258" s="18"/>
      <c r="G258" s="19"/>
      <c r="H258" s="18"/>
      <c r="I258" s="18"/>
      <c r="J258" s="19"/>
      <c r="L258" s="18"/>
    </row>
    <row r="259" spans="1:12">
      <c r="A259" s="18"/>
      <c r="B259" s="30"/>
      <c r="C259" s="30"/>
      <c r="D259" s="18"/>
      <c r="E259" s="18"/>
      <c r="F259" s="18"/>
      <c r="G259" s="19"/>
      <c r="H259" s="18"/>
      <c r="I259" s="18"/>
      <c r="J259" s="19"/>
      <c r="L259" s="18"/>
    </row>
    <row r="260" spans="1:12">
      <c r="A260" s="18"/>
      <c r="B260" s="30"/>
      <c r="C260" s="30"/>
      <c r="D260" s="18"/>
      <c r="E260" s="18"/>
      <c r="F260" s="18"/>
      <c r="G260" s="19"/>
      <c r="H260" s="18"/>
      <c r="I260" s="18"/>
      <c r="J260" s="19"/>
      <c r="L260" s="18"/>
    </row>
    <row r="261" spans="1:12">
      <c r="A261" s="18"/>
      <c r="B261" s="30"/>
      <c r="C261" s="30"/>
      <c r="D261" s="18"/>
      <c r="E261" s="18"/>
      <c r="F261" s="18"/>
      <c r="G261" s="19"/>
      <c r="H261" s="18"/>
      <c r="I261" s="18"/>
      <c r="J261" s="19"/>
      <c r="L261" s="18"/>
    </row>
    <row r="262" spans="1:12">
      <c r="A262" s="18"/>
      <c r="B262" s="30"/>
      <c r="C262" s="30"/>
      <c r="D262" s="18"/>
      <c r="E262" s="18"/>
      <c r="F262" s="18"/>
      <c r="G262" s="19"/>
      <c r="H262" s="18"/>
      <c r="I262" s="18"/>
      <c r="J262" s="19"/>
      <c r="L262" s="18"/>
    </row>
    <row r="263" spans="1:12">
      <c r="A263" s="18"/>
      <c r="B263" s="30"/>
      <c r="C263" s="30"/>
      <c r="D263" s="18"/>
      <c r="E263" s="18"/>
      <c r="F263" s="18"/>
      <c r="G263" s="19"/>
      <c r="H263" s="18"/>
      <c r="I263" s="18"/>
      <c r="J263" s="19"/>
      <c r="L263" s="18"/>
    </row>
    <row r="264" spans="1:12">
      <c r="A264" s="18"/>
      <c r="B264" s="30"/>
      <c r="C264" s="30"/>
      <c r="D264" s="18"/>
      <c r="E264" s="18"/>
      <c r="F264" s="18"/>
      <c r="G264" s="19"/>
      <c r="H264" s="18"/>
      <c r="I264" s="18"/>
      <c r="J264" s="19"/>
      <c r="L264" s="18"/>
    </row>
    <row r="265" spans="1:12">
      <c r="A265" s="18"/>
      <c r="B265" s="30"/>
      <c r="C265" s="30"/>
      <c r="D265" s="18"/>
      <c r="E265" s="18"/>
      <c r="F265" s="18"/>
      <c r="G265" s="19"/>
      <c r="H265" s="18"/>
      <c r="I265" s="18"/>
      <c r="J265" s="19"/>
      <c r="L265" s="18"/>
    </row>
    <row r="266" spans="1:12">
      <c r="A266" s="18"/>
      <c r="B266" s="30"/>
      <c r="C266" s="30"/>
      <c r="D266" s="18"/>
      <c r="E266" s="18"/>
      <c r="F266" s="18"/>
      <c r="G266" s="19"/>
      <c r="H266" s="18"/>
      <c r="I266" s="18"/>
      <c r="J266" s="19"/>
      <c r="L266" s="18"/>
    </row>
    <row r="267" spans="1:12">
      <c r="A267" s="18"/>
      <c r="B267" s="30"/>
      <c r="C267" s="30"/>
      <c r="D267" s="18"/>
      <c r="E267" s="18"/>
      <c r="F267" s="18"/>
      <c r="G267" s="19"/>
      <c r="H267" s="18"/>
      <c r="I267" s="18"/>
      <c r="J267" s="19"/>
      <c r="L267" s="18"/>
    </row>
    <row r="268" spans="1:12">
      <c r="A268" s="18"/>
      <c r="B268" s="30"/>
      <c r="C268" s="30"/>
      <c r="D268" s="18"/>
      <c r="E268" s="18"/>
      <c r="F268" s="18"/>
      <c r="G268" s="19"/>
      <c r="H268" s="18"/>
      <c r="I268" s="18"/>
      <c r="J268" s="19"/>
      <c r="L268" s="18"/>
    </row>
    <row r="269" spans="1:12">
      <c r="A269" s="18"/>
      <c r="B269" s="30"/>
      <c r="C269" s="30"/>
      <c r="D269" s="18"/>
      <c r="E269" s="18"/>
      <c r="F269" s="18"/>
      <c r="G269" s="19"/>
      <c r="H269" s="18"/>
      <c r="I269" s="18"/>
      <c r="J269" s="19"/>
      <c r="L269" s="18"/>
    </row>
    <row r="270" spans="1:12">
      <c r="A270" s="18"/>
      <c r="B270" s="30"/>
      <c r="C270" s="30"/>
      <c r="D270" s="18"/>
      <c r="E270" s="18"/>
      <c r="F270" s="18"/>
      <c r="G270" s="19"/>
      <c r="H270" s="18"/>
      <c r="I270" s="18"/>
      <c r="J270" s="19"/>
      <c r="L270" s="18"/>
    </row>
    <row r="271" spans="1:12">
      <c r="A271" s="18"/>
      <c r="B271" s="30"/>
      <c r="C271" s="30"/>
      <c r="D271" s="18"/>
      <c r="E271" s="18"/>
      <c r="F271" s="18"/>
      <c r="G271" s="19"/>
      <c r="H271" s="18"/>
      <c r="I271" s="18"/>
      <c r="J271" s="19"/>
      <c r="L271" s="18"/>
    </row>
    <row r="272" spans="1:12">
      <c r="A272" s="18"/>
      <c r="B272" s="30"/>
      <c r="C272" s="30"/>
      <c r="D272" s="18"/>
      <c r="E272" s="18"/>
      <c r="F272" s="18"/>
      <c r="G272" s="19"/>
      <c r="H272" s="18"/>
      <c r="I272" s="18"/>
      <c r="J272" s="19"/>
      <c r="L272" s="18"/>
    </row>
    <row r="273" spans="1:12">
      <c r="A273" s="18"/>
      <c r="B273" s="30"/>
      <c r="C273" s="30"/>
      <c r="D273" s="18"/>
      <c r="E273" s="18"/>
      <c r="F273" s="18"/>
      <c r="G273" s="19"/>
      <c r="H273" s="18"/>
      <c r="I273" s="18"/>
      <c r="J273" s="19"/>
      <c r="L273" s="18"/>
    </row>
    <row r="274" spans="1:12">
      <c r="A274" s="18"/>
      <c r="B274" s="30"/>
      <c r="C274" s="30"/>
      <c r="D274" s="18"/>
      <c r="E274" s="18"/>
      <c r="F274" s="18"/>
      <c r="G274" s="19"/>
      <c r="H274" s="18"/>
      <c r="I274" s="18"/>
      <c r="J274" s="19"/>
      <c r="L274" s="18"/>
    </row>
    <row r="275" spans="1:12">
      <c r="A275" s="18"/>
      <c r="B275" s="30"/>
      <c r="C275" s="30"/>
      <c r="D275" s="18"/>
      <c r="E275" s="18"/>
      <c r="F275" s="18"/>
      <c r="G275" s="19"/>
      <c r="H275" s="18"/>
      <c r="I275" s="18"/>
      <c r="J275" s="19"/>
      <c r="L275" s="18"/>
    </row>
    <row r="276" spans="1:12">
      <c r="A276" s="18"/>
      <c r="B276" s="30"/>
      <c r="C276" s="30"/>
      <c r="D276" s="18"/>
      <c r="E276" s="18"/>
      <c r="F276" s="18"/>
      <c r="G276" s="19"/>
      <c r="H276" s="18"/>
      <c r="I276" s="18"/>
      <c r="J276" s="19"/>
      <c r="L276" s="18"/>
    </row>
    <row r="277" spans="1:12">
      <c r="A277" s="18"/>
      <c r="B277" s="30"/>
      <c r="C277" s="30"/>
      <c r="D277" s="18"/>
      <c r="E277" s="18"/>
      <c r="F277" s="18"/>
      <c r="G277" s="19"/>
      <c r="H277" s="18"/>
      <c r="I277" s="18"/>
      <c r="J277" s="19"/>
      <c r="L277" s="18"/>
    </row>
    <row r="278" spans="1:12">
      <c r="A278" s="18"/>
      <c r="B278" s="30"/>
      <c r="C278" s="30"/>
      <c r="D278" s="18"/>
      <c r="E278" s="18"/>
      <c r="F278" s="18"/>
      <c r="G278" s="19"/>
      <c r="H278" s="18"/>
      <c r="I278" s="18"/>
      <c r="J278" s="19"/>
      <c r="L278" s="18"/>
    </row>
    <row r="279" spans="1:12">
      <c r="A279" s="18"/>
      <c r="B279" s="30"/>
      <c r="C279" s="30"/>
      <c r="D279" s="18"/>
      <c r="E279" s="18"/>
      <c r="F279" s="18"/>
      <c r="G279" s="19"/>
      <c r="H279" s="18"/>
      <c r="I279" s="18"/>
      <c r="J279" s="19"/>
      <c r="L279" s="18"/>
    </row>
    <row r="280" spans="1:12">
      <c r="A280" s="18"/>
      <c r="B280" s="30"/>
      <c r="C280" s="30"/>
      <c r="D280" s="18"/>
      <c r="E280" s="18"/>
      <c r="F280" s="18"/>
      <c r="G280" s="19"/>
      <c r="H280" s="18"/>
      <c r="I280" s="18"/>
      <c r="J280" s="19"/>
      <c r="L280" s="18"/>
    </row>
    <row r="281" spans="1:12">
      <c r="A281" s="18"/>
      <c r="B281" s="30"/>
      <c r="C281" s="30"/>
      <c r="D281" s="18"/>
      <c r="E281" s="18"/>
      <c r="F281" s="18"/>
      <c r="G281" s="19"/>
      <c r="H281" s="18"/>
      <c r="I281" s="18"/>
      <c r="J281" s="19"/>
      <c r="L281" s="18"/>
    </row>
    <row r="282" spans="1:12">
      <c r="A282" s="18"/>
      <c r="B282" s="30"/>
      <c r="C282" s="30"/>
      <c r="D282" s="18"/>
      <c r="E282" s="18"/>
      <c r="F282" s="18"/>
      <c r="G282" s="19"/>
      <c r="H282" s="18"/>
      <c r="I282" s="18"/>
      <c r="J282" s="19"/>
      <c r="L282" s="18"/>
    </row>
    <row r="283" spans="1:12">
      <c r="A283" s="18"/>
      <c r="B283" s="30"/>
      <c r="C283" s="30"/>
      <c r="D283" s="18"/>
      <c r="E283" s="18"/>
      <c r="F283" s="18"/>
      <c r="G283" s="19"/>
      <c r="H283" s="18"/>
      <c r="I283" s="18"/>
      <c r="J283" s="19"/>
      <c r="L283" s="18"/>
    </row>
    <row r="284" spans="1:12">
      <c r="A284" s="18"/>
      <c r="B284" s="30"/>
      <c r="C284" s="30"/>
      <c r="D284" s="18"/>
      <c r="E284" s="18"/>
      <c r="F284" s="18"/>
      <c r="G284" s="19"/>
      <c r="H284" s="18"/>
      <c r="I284" s="18"/>
      <c r="J284" s="19"/>
      <c r="L284" s="18"/>
    </row>
    <row r="285" spans="1:12">
      <c r="A285" s="18"/>
      <c r="B285" s="30"/>
      <c r="C285" s="30"/>
      <c r="D285" s="18"/>
      <c r="E285" s="18"/>
      <c r="F285" s="18"/>
      <c r="G285" s="19"/>
      <c r="H285" s="18"/>
      <c r="I285" s="18"/>
      <c r="J285" s="19"/>
      <c r="L285" s="18"/>
    </row>
    <row r="286" spans="1:12">
      <c r="A286" s="18"/>
      <c r="B286" s="30"/>
      <c r="C286" s="30"/>
      <c r="D286" s="18"/>
      <c r="E286" s="18"/>
      <c r="F286" s="18"/>
      <c r="G286" s="19"/>
      <c r="H286" s="18"/>
      <c r="I286" s="18"/>
      <c r="J286" s="19"/>
      <c r="L286" s="18"/>
    </row>
    <row r="287" spans="1:12">
      <c r="A287" s="18"/>
      <c r="B287" s="30"/>
      <c r="C287" s="30"/>
      <c r="D287" s="18"/>
      <c r="E287" s="18"/>
      <c r="F287" s="18"/>
      <c r="G287" s="19"/>
      <c r="H287" s="18"/>
      <c r="I287" s="18"/>
      <c r="J287" s="19"/>
      <c r="L287" s="18"/>
    </row>
    <row r="288" spans="1:12">
      <c r="A288" s="18"/>
      <c r="B288" s="30"/>
      <c r="C288" s="30"/>
      <c r="D288" s="18"/>
      <c r="E288" s="18"/>
      <c r="F288" s="18"/>
      <c r="G288" s="19"/>
      <c r="H288" s="18"/>
      <c r="I288" s="18"/>
      <c r="J288" s="19"/>
      <c r="L288" s="18"/>
    </row>
    <row r="289" spans="1:12">
      <c r="A289" s="18"/>
      <c r="B289" s="30"/>
      <c r="C289" s="30"/>
      <c r="D289" s="18"/>
      <c r="E289" s="18"/>
      <c r="F289" s="18"/>
      <c r="G289" s="19"/>
      <c r="H289" s="18"/>
      <c r="I289" s="18"/>
      <c r="J289" s="19"/>
      <c r="L289" s="18"/>
    </row>
    <row r="290" spans="1:12">
      <c r="A290" s="18"/>
      <c r="B290" s="30"/>
      <c r="C290" s="30"/>
      <c r="D290" s="18"/>
      <c r="E290" s="18"/>
      <c r="F290" s="18"/>
      <c r="G290" s="19"/>
      <c r="H290" s="18"/>
      <c r="I290" s="18"/>
      <c r="J290" s="19"/>
      <c r="L290" s="18"/>
    </row>
    <row r="291" spans="1:12">
      <c r="A291" s="18"/>
      <c r="B291" s="30"/>
      <c r="C291" s="30"/>
      <c r="D291" s="18"/>
      <c r="E291" s="18"/>
      <c r="F291" s="18"/>
      <c r="G291" s="19"/>
      <c r="H291" s="18"/>
      <c r="I291" s="18"/>
      <c r="J291" s="19"/>
      <c r="L291" s="18"/>
    </row>
    <row r="292" spans="1:12">
      <c r="A292" s="18"/>
      <c r="B292" s="30"/>
      <c r="C292" s="30"/>
      <c r="D292" s="18"/>
      <c r="E292" s="18"/>
      <c r="F292" s="18"/>
      <c r="G292" s="19"/>
      <c r="H292" s="18"/>
      <c r="I292" s="18"/>
      <c r="J292" s="19"/>
      <c r="L292" s="18"/>
    </row>
    <row r="293" spans="1:12">
      <c r="A293" s="18"/>
      <c r="B293" s="30"/>
      <c r="C293" s="30"/>
      <c r="D293" s="18"/>
      <c r="E293" s="18"/>
      <c r="F293" s="18"/>
      <c r="G293" s="19"/>
      <c r="H293" s="18"/>
      <c r="I293" s="18"/>
      <c r="J293" s="19"/>
      <c r="L293" s="18"/>
    </row>
    <row r="294" spans="1:12">
      <c r="A294" s="18"/>
      <c r="B294" s="30"/>
      <c r="C294" s="30"/>
      <c r="D294" s="18"/>
      <c r="E294" s="18"/>
      <c r="F294" s="18"/>
      <c r="G294" s="19"/>
      <c r="H294" s="18"/>
      <c r="I294" s="18"/>
      <c r="J294" s="19"/>
      <c r="L294" s="18"/>
    </row>
    <row r="295" spans="1:12">
      <c r="A295" s="18"/>
      <c r="B295" s="30"/>
      <c r="C295" s="30"/>
      <c r="D295" s="18"/>
      <c r="E295" s="18"/>
      <c r="F295" s="18"/>
      <c r="G295" s="19"/>
      <c r="H295" s="18"/>
      <c r="I295" s="18"/>
      <c r="J295" s="19"/>
      <c r="L295" s="18"/>
    </row>
    <row r="296" spans="1:12">
      <c r="A296" s="18"/>
      <c r="B296" s="30"/>
      <c r="C296" s="30"/>
      <c r="D296" s="18"/>
      <c r="E296" s="18"/>
      <c r="F296" s="18"/>
      <c r="G296" s="19"/>
      <c r="H296" s="18"/>
      <c r="I296" s="18"/>
      <c r="J296" s="19"/>
      <c r="L296" s="18"/>
    </row>
    <row r="297" spans="1:12">
      <c r="A297" s="18"/>
      <c r="B297" s="30"/>
      <c r="C297" s="30"/>
      <c r="D297" s="18"/>
      <c r="E297" s="18"/>
      <c r="F297" s="18"/>
      <c r="G297" s="19"/>
      <c r="H297" s="18"/>
      <c r="I297" s="18"/>
      <c r="J297" s="19"/>
      <c r="L297" s="18"/>
    </row>
    <row r="298" spans="1:12">
      <c r="A298" s="18"/>
      <c r="B298" s="30"/>
      <c r="C298" s="30"/>
      <c r="D298" s="18"/>
      <c r="E298" s="18"/>
      <c r="F298" s="18"/>
      <c r="G298" s="19"/>
      <c r="H298" s="18"/>
      <c r="I298" s="18"/>
      <c r="J298" s="19"/>
      <c r="L298" s="18"/>
    </row>
    <row r="299" spans="1:12">
      <c r="A299" s="18"/>
      <c r="B299" s="30"/>
      <c r="C299" s="30"/>
      <c r="D299" s="18"/>
      <c r="E299" s="18"/>
      <c r="F299" s="18"/>
      <c r="G299" s="19"/>
      <c r="H299" s="18"/>
      <c r="I299" s="18"/>
      <c r="J299" s="19"/>
      <c r="L299" s="18"/>
    </row>
    <row r="300" spans="1:12">
      <c r="A300" s="18"/>
      <c r="B300" s="30"/>
      <c r="C300" s="30"/>
      <c r="D300" s="18"/>
      <c r="E300" s="18"/>
      <c r="F300" s="18"/>
      <c r="G300" s="19"/>
      <c r="H300" s="18"/>
      <c r="I300" s="18"/>
      <c r="J300" s="19"/>
      <c r="L300" s="18"/>
    </row>
    <row r="301" spans="1:12">
      <c r="A301" s="18"/>
      <c r="B301" s="30"/>
      <c r="C301" s="30"/>
      <c r="D301" s="18"/>
      <c r="E301" s="18"/>
      <c r="F301" s="18"/>
      <c r="G301" s="19"/>
      <c r="H301" s="18"/>
      <c r="I301" s="18"/>
      <c r="J301" s="19"/>
      <c r="L301" s="18"/>
    </row>
    <row r="302" spans="1:12">
      <c r="A302" s="18"/>
      <c r="B302" s="30"/>
      <c r="C302" s="30"/>
      <c r="D302" s="18"/>
      <c r="E302" s="18"/>
      <c r="F302" s="18"/>
      <c r="G302" s="19"/>
      <c r="H302" s="18"/>
      <c r="I302" s="18"/>
      <c r="J302" s="19"/>
      <c r="L302" s="18"/>
    </row>
    <row r="303" spans="1:12">
      <c r="A303" s="18"/>
      <c r="B303" s="30"/>
      <c r="C303" s="30"/>
      <c r="D303" s="18"/>
      <c r="E303" s="18"/>
      <c r="F303" s="18"/>
      <c r="G303" s="19"/>
      <c r="H303" s="18"/>
      <c r="I303" s="18"/>
      <c r="J303" s="19"/>
      <c r="L303" s="18"/>
    </row>
    <row r="304" spans="1:12">
      <c r="A304" s="18"/>
      <c r="B304" s="30"/>
      <c r="C304" s="30"/>
      <c r="D304" s="18"/>
      <c r="E304" s="18"/>
      <c r="F304" s="18"/>
      <c r="G304" s="19"/>
      <c r="H304" s="18"/>
      <c r="I304" s="18"/>
      <c r="J304" s="19"/>
      <c r="L304" s="18"/>
    </row>
    <row r="305" spans="1:12">
      <c r="A305" s="18"/>
      <c r="B305" s="30"/>
      <c r="C305" s="30"/>
      <c r="D305" s="18"/>
      <c r="E305" s="18"/>
      <c r="F305" s="18"/>
      <c r="G305" s="19"/>
      <c r="H305" s="18"/>
      <c r="I305" s="18"/>
      <c r="J305" s="19"/>
      <c r="L305" s="18"/>
    </row>
    <row r="306" spans="1:12">
      <c r="A306" s="18"/>
      <c r="B306" s="30"/>
      <c r="C306" s="30"/>
      <c r="D306" s="18"/>
      <c r="E306" s="18"/>
      <c r="F306" s="18"/>
      <c r="G306" s="19"/>
      <c r="H306" s="18"/>
      <c r="I306" s="18"/>
      <c r="J306" s="19"/>
      <c r="L306" s="18"/>
    </row>
    <row r="307" spans="1:12">
      <c r="A307" s="18"/>
      <c r="B307" s="30"/>
      <c r="C307" s="30"/>
      <c r="D307" s="18"/>
      <c r="E307" s="18"/>
      <c r="F307" s="18"/>
      <c r="G307" s="19"/>
      <c r="H307" s="18"/>
      <c r="I307" s="18"/>
      <c r="J307" s="19"/>
      <c r="L307" s="18"/>
    </row>
    <row r="308" spans="1:12">
      <c r="A308" s="18"/>
      <c r="B308" s="30"/>
      <c r="C308" s="30"/>
      <c r="D308" s="18"/>
      <c r="E308" s="18"/>
      <c r="F308" s="18"/>
      <c r="G308" s="19"/>
      <c r="H308" s="18"/>
      <c r="I308" s="18"/>
      <c r="J308" s="19"/>
      <c r="L308" s="18"/>
    </row>
    <row r="309" spans="1:12">
      <c r="A309" s="18"/>
      <c r="B309" s="30"/>
      <c r="C309" s="30"/>
      <c r="D309" s="18"/>
      <c r="E309" s="18"/>
      <c r="F309" s="18"/>
      <c r="G309" s="19"/>
      <c r="H309" s="18"/>
      <c r="I309" s="18"/>
      <c r="J309" s="19"/>
      <c r="L309" s="18"/>
    </row>
    <row r="310" spans="1:12">
      <c r="A310" s="18"/>
      <c r="B310" s="30"/>
      <c r="C310" s="30"/>
      <c r="D310" s="18"/>
      <c r="E310" s="18"/>
      <c r="F310" s="18"/>
      <c r="G310" s="19"/>
      <c r="H310" s="18"/>
      <c r="I310" s="18"/>
      <c r="J310" s="19"/>
      <c r="L310" s="18"/>
    </row>
    <row r="311" spans="1:12">
      <c r="A311" s="18"/>
      <c r="B311" s="30"/>
      <c r="C311" s="30"/>
      <c r="D311" s="18"/>
      <c r="E311" s="18"/>
      <c r="F311" s="18"/>
      <c r="G311" s="19"/>
      <c r="H311" s="18"/>
      <c r="I311" s="18"/>
      <c r="J311" s="19"/>
      <c r="L311" s="18"/>
    </row>
    <row r="312" spans="1:12">
      <c r="A312" s="18"/>
      <c r="B312" s="30"/>
      <c r="C312" s="30"/>
      <c r="D312" s="18"/>
      <c r="E312" s="18"/>
      <c r="F312" s="18"/>
      <c r="G312" s="19"/>
      <c r="H312" s="18"/>
      <c r="I312" s="18"/>
      <c r="J312" s="19"/>
      <c r="L312" s="18"/>
    </row>
    <row r="313" spans="1:12">
      <c r="A313" s="18"/>
      <c r="B313" s="30"/>
      <c r="C313" s="30"/>
      <c r="D313" s="18"/>
      <c r="E313" s="18"/>
      <c r="F313" s="18"/>
      <c r="G313" s="19"/>
      <c r="H313" s="18"/>
      <c r="I313" s="18"/>
      <c r="J313" s="19"/>
      <c r="L313" s="18"/>
    </row>
    <row r="314" spans="1:12">
      <c r="A314" s="18"/>
      <c r="B314" s="30"/>
      <c r="C314" s="30"/>
      <c r="D314" s="18"/>
      <c r="E314" s="18"/>
      <c r="F314" s="18"/>
      <c r="G314" s="19"/>
      <c r="H314" s="18"/>
      <c r="I314" s="18"/>
      <c r="J314" s="19"/>
      <c r="L314" s="18"/>
    </row>
    <row r="315" spans="1:12">
      <c r="A315" s="18"/>
      <c r="B315" s="30"/>
      <c r="C315" s="30"/>
      <c r="D315" s="18"/>
      <c r="E315" s="18"/>
      <c r="F315" s="18"/>
      <c r="G315" s="19"/>
      <c r="H315" s="18"/>
      <c r="I315" s="18"/>
      <c r="J315" s="19"/>
      <c r="L315" s="18"/>
    </row>
    <row r="316" spans="1:12">
      <c r="A316" s="18"/>
      <c r="B316" s="30"/>
      <c r="C316" s="30"/>
      <c r="D316" s="18"/>
      <c r="E316" s="18"/>
      <c r="F316" s="18"/>
      <c r="G316" s="19"/>
      <c r="H316" s="18"/>
      <c r="I316" s="18"/>
      <c r="J316" s="19"/>
      <c r="L316" s="18"/>
    </row>
    <row r="317" spans="1:12">
      <c r="A317" s="18"/>
      <c r="B317" s="30"/>
      <c r="C317" s="30"/>
      <c r="D317" s="18"/>
      <c r="E317" s="18"/>
      <c r="F317" s="18"/>
      <c r="G317" s="19"/>
      <c r="H317" s="18"/>
      <c r="I317" s="18"/>
      <c r="J317" s="19"/>
      <c r="L317" s="18"/>
    </row>
    <row r="318" spans="1:12">
      <c r="A318" s="18"/>
      <c r="B318" s="30"/>
      <c r="C318" s="30"/>
      <c r="D318" s="18"/>
      <c r="E318" s="18"/>
      <c r="F318" s="18"/>
      <c r="G318" s="19"/>
      <c r="H318" s="18"/>
      <c r="I318" s="18"/>
      <c r="J318" s="19"/>
      <c r="L318" s="18"/>
    </row>
    <row r="319" spans="1:12">
      <c r="A319" s="18"/>
      <c r="B319" s="30"/>
      <c r="C319" s="30"/>
      <c r="D319" s="18"/>
      <c r="E319" s="18"/>
      <c r="F319" s="18"/>
      <c r="G319" s="19"/>
      <c r="H319" s="18"/>
      <c r="I319" s="18"/>
      <c r="J319" s="19"/>
      <c r="L319" s="18"/>
    </row>
    <row r="320" spans="1:12">
      <c r="A320" s="18"/>
      <c r="B320" s="30"/>
      <c r="C320" s="30"/>
      <c r="D320" s="18"/>
      <c r="E320" s="18"/>
      <c r="F320" s="18"/>
      <c r="G320" s="19"/>
      <c r="H320" s="18"/>
      <c r="I320" s="18"/>
      <c r="J320" s="19"/>
      <c r="L320" s="18"/>
    </row>
    <row r="321" spans="1:12">
      <c r="A321" s="18"/>
      <c r="B321" s="30"/>
      <c r="C321" s="30"/>
      <c r="D321" s="18"/>
      <c r="E321" s="18"/>
      <c r="F321" s="18"/>
      <c r="G321" s="19"/>
      <c r="H321" s="18"/>
      <c r="I321" s="18"/>
      <c r="J321" s="19"/>
      <c r="L321" s="18"/>
    </row>
    <row r="322" spans="1:12">
      <c r="A322" s="18"/>
      <c r="B322" s="30"/>
      <c r="C322" s="30"/>
      <c r="D322" s="18"/>
      <c r="E322" s="18"/>
      <c r="F322" s="18"/>
      <c r="G322" s="19"/>
      <c r="H322" s="18"/>
      <c r="I322" s="18"/>
      <c r="J322" s="19"/>
      <c r="L322" s="18"/>
    </row>
    <row r="323" spans="1:12">
      <c r="A323" s="18"/>
      <c r="B323" s="30"/>
      <c r="C323" s="30"/>
      <c r="D323" s="18"/>
      <c r="E323" s="18"/>
      <c r="F323" s="18"/>
      <c r="G323" s="19"/>
      <c r="H323" s="18"/>
      <c r="I323" s="18"/>
      <c r="J323" s="19"/>
      <c r="L323" s="18"/>
    </row>
    <row r="324" spans="1:12">
      <c r="A324" s="18"/>
      <c r="B324" s="30"/>
      <c r="C324" s="30"/>
      <c r="D324" s="18"/>
      <c r="E324" s="18"/>
      <c r="F324" s="18"/>
      <c r="G324" s="19"/>
      <c r="H324" s="18"/>
      <c r="I324" s="18"/>
      <c r="J324" s="19"/>
      <c r="L324" s="18"/>
    </row>
    <row r="325" spans="1:12">
      <c r="A325" s="18"/>
      <c r="B325" s="30"/>
      <c r="C325" s="30"/>
      <c r="D325" s="18"/>
      <c r="E325" s="18"/>
      <c r="F325" s="18"/>
      <c r="G325" s="19"/>
      <c r="H325" s="18"/>
      <c r="I325" s="18"/>
      <c r="J325" s="19"/>
      <c r="L325" s="18"/>
    </row>
    <row r="326" spans="1:12">
      <c r="A326" s="18"/>
      <c r="B326" s="30"/>
      <c r="C326" s="30"/>
      <c r="D326" s="18"/>
      <c r="E326" s="18"/>
      <c r="F326" s="18"/>
      <c r="G326" s="19"/>
      <c r="H326" s="18"/>
      <c r="I326" s="18"/>
      <c r="J326" s="19"/>
      <c r="L326" s="18"/>
    </row>
    <row r="327" spans="1:12">
      <c r="A327" s="18"/>
      <c r="B327" s="30"/>
      <c r="C327" s="30"/>
      <c r="D327" s="18"/>
      <c r="E327" s="18"/>
      <c r="F327" s="18"/>
      <c r="G327" s="19"/>
      <c r="H327" s="18"/>
      <c r="I327" s="18"/>
      <c r="J327" s="19"/>
      <c r="L327" s="18"/>
    </row>
    <row r="328" spans="1:12">
      <c r="A328" s="18"/>
      <c r="B328" s="30"/>
      <c r="C328" s="30"/>
      <c r="D328" s="18"/>
      <c r="E328" s="18"/>
      <c r="F328" s="18"/>
      <c r="G328" s="19"/>
      <c r="H328" s="18"/>
      <c r="I328" s="18"/>
      <c r="J328" s="19"/>
      <c r="L328" s="18"/>
    </row>
    <row r="329" spans="1:12">
      <c r="A329" s="18"/>
      <c r="B329" s="30"/>
      <c r="C329" s="30"/>
      <c r="D329" s="18"/>
      <c r="E329" s="18"/>
      <c r="F329" s="18"/>
      <c r="G329" s="19"/>
      <c r="H329" s="18"/>
      <c r="I329" s="18"/>
      <c r="J329" s="19"/>
      <c r="L329" s="18"/>
    </row>
    <row r="330" spans="1:12">
      <c r="A330" s="18"/>
      <c r="B330" s="30"/>
      <c r="C330" s="30"/>
      <c r="D330" s="18"/>
      <c r="E330" s="18"/>
      <c r="F330" s="18"/>
      <c r="G330" s="19"/>
      <c r="H330" s="18"/>
      <c r="I330" s="18"/>
      <c r="J330" s="19"/>
      <c r="L330" s="18"/>
    </row>
    <row r="331" spans="1:12">
      <c r="A331" s="18"/>
      <c r="B331" s="30"/>
      <c r="C331" s="30"/>
      <c r="D331" s="18"/>
      <c r="E331" s="18"/>
      <c r="F331" s="18"/>
      <c r="G331" s="19"/>
      <c r="H331" s="18"/>
      <c r="I331" s="18"/>
      <c r="J331" s="19"/>
      <c r="L331" s="18"/>
    </row>
    <row r="332" spans="1:12">
      <c r="A332" s="18"/>
      <c r="B332" s="30"/>
      <c r="C332" s="30"/>
      <c r="D332" s="18"/>
      <c r="E332" s="18"/>
      <c r="F332" s="18"/>
      <c r="G332" s="19"/>
      <c r="H332" s="18"/>
      <c r="I332" s="18"/>
      <c r="J332" s="19"/>
      <c r="L332" s="18"/>
    </row>
    <row r="333" spans="1:12">
      <c r="A333" s="18"/>
      <c r="B333" s="30"/>
      <c r="C333" s="30"/>
      <c r="D333" s="18"/>
      <c r="E333" s="18"/>
      <c r="F333" s="18"/>
      <c r="G333" s="19"/>
      <c r="H333" s="18"/>
      <c r="I333" s="18"/>
      <c r="J333" s="19"/>
      <c r="L333" s="18"/>
    </row>
    <row r="334" spans="1:12">
      <c r="A334" s="18"/>
      <c r="B334" s="30"/>
      <c r="C334" s="30"/>
      <c r="D334" s="18"/>
      <c r="E334" s="18"/>
      <c r="F334" s="18"/>
      <c r="G334" s="19"/>
      <c r="H334" s="18"/>
      <c r="I334" s="18"/>
      <c r="J334" s="19"/>
      <c r="L334" s="18"/>
    </row>
    <row r="335" spans="1:12">
      <c r="A335" s="18"/>
      <c r="B335" s="30"/>
      <c r="C335" s="30"/>
      <c r="D335" s="18"/>
      <c r="E335" s="18"/>
      <c r="F335" s="18"/>
      <c r="G335" s="19"/>
      <c r="H335" s="18"/>
      <c r="I335" s="18"/>
      <c r="J335" s="19"/>
      <c r="L335" s="18"/>
    </row>
    <row r="336" spans="1:12">
      <c r="A336" s="18"/>
      <c r="B336" s="30"/>
      <c r="C336" s="30"/>
      <c r="D336" s="18"/>
      <c r="E336" s="18"/>
      <c r="F336" s="18"/>
      <c r="G336" s="19"/>
      <c r="H336" s="18"/>
      <c r="I336" s="18"/>
      <c r="J336" s="19"/>
      <c r="L336" s="18"/>
    </row>
    <row r="337" spans="1:12">
      <c r="A337" s="18"/>
      <c r="B337" s="30"/>
      <c r="C337" s="30"/>
      <c r="D337" s="18"/>
      <c r="E337" s="18"/>
      <c r="F337" s="18"/>
      <c r="G337" s="19"/>
      <c r="H337" s="18"/>
      <c r="I337" s="18"/>
      <c r="J337" s="19"/>
      <c r="L337" s="18"/>
    </row>
    <row r="338" spans="1:12">
      <c r="A338" s="18"/>
      <c r="B338" s="30"/>
      <c r="C338" s="30"/>
      <c r="D338" s="18"/>
      <c r="E338" s="18"/>
      <c r="F338" s="18"/>
      <c r="G338" s="19"/>
      <c r="H338" s="18"/>
      <c r="I338" s="18"/>
      <c r="J338" s="19"/>
      <c r="L338" s="18"/>
    </row>
    <row r="339" spans="1:12">
      <c r="A339" s="18"/>
      <c r="B339" s="30"/>
      <c r="C339" s="30"/>
      <c r="D339" s="18"/>
      <c r="E339" s="18"/>
      <c r="F339" s="18"/>
      <c r="G339" s="19"/>
      <c r="H339" s="18"/>
      <c r="I339" s="18"/>
      <c r="J339" s="19"/>
      <c r="L339" s="18"/>
    </row>
    <row r="340" spans="1:12">
      <c r="A340" s="18"/>
      <c r="B340" s="30"/>
      <c r="C340" s="30"/>
      <c r="D340" s="18"/>
      <c r="E340" s="18"/>
      <c r="F340" s="18"/>
      <c r="G340" s="19"/>
      <c r="H340" s="18"/>
      <c r="I340" s="18"/>
      <c r="J340" s="19"/>
      <c r="L340" s="18"/>
    </row>
    <row r="341" spans="1:12">
      <c r="A341" s="18"/>
      <c r="B341" s="30"/>
      <c r="C341" s="30"/>
      <c r="D341" s="18"/>
      <c r="E341" s="18"/>
      <c r="F341" s="18"/>
      <c r="G341" s="19"/>
      <c r="H341" s="18"/>
      <c r="I341" s="18"/>
      <c r="J341" s="19"/>
      <c r="L341" s="18"/>
    </row>
    <row r="342" spans="1:12">
      <c r="D342" s="18"/>
      <c r="E342" s="18"/>
      <c r="F342" s="18"/>
      <c r="G342" s="19"/>
      <c r="H342" s="18"/>
      <c r="I342" s="18"/>
      <c r="J342" s="19"/>
      <c r="L342" s="18"/>
    </row>
  </sheetData>
  <mergeCells count="4">
    <mergeCell ref="H1:J1"/>
    <mergeCell ref="A1:D1"/>
    <mergeCell ref="E1:G1"/>
    <mergeCell ref="A2:B2"/>
  </mergeCells>
  <conditionalFormatting sqref="G2 J2">
    <cfRule type="cellIs" dxfId="50" priority="11" stopIfTrue="1" operator="lessThanOrEqual">
      <formula>-0.1</formula>
    </cfRule>
    <cfRule type="expression" dxfId="49" priority="12">
      <formula>AND(ISNUMBER(G2), G2&gt;=0.1)</formula>
    </cfRule>
  </conditionalFormatting>
  <conditionalFormatting sqref="G4:G161 J4:J161">
    <cfRule type="cellIs" dxfId="48" priority="1" stopIfTrue="1" operator="lessThanOrEqual">
      <formula>-0.1</formula>
    </cfRule>
    <cfRule type="expression" dxfId="47" priority="2">
      <formula>AND(ISNUMBER(G4), G4&gt;=0.1)</formula>
    </cfRule>
  </conditionalFormatting>
  <pageMargins left="0.4" right="0.7" top="0.25" bottom="0.25" header="0.3" footer="0.3"/>
  <pageSetup fitToHeight="99"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28"/>
  <sheetViews>
    <sheetView zoomScale="90" zoomScaleNormal="90" workbookViewId="0">
      <pane xSplit="2" ySplit="3" topLeftCell="C108" activePane="bottomRight" state="frozen"/>
      <selection pane="bottomRight" activeCell="E119" sqref="E119"/>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5" customWidth="1"/>
    <col min="12" max="12" width="24.85546875" customWidth="1"/>
  </cols>
  <sheetData>
    <row r="1" spans="1:12" ht="19.5" customHeight="1">
      <c r="A1" s="123" t="str" cm="1">
        <f t="array" ref="A1">portfolio</f>
        <v>Generate Capital</v>
      </c>
      <c r="B1" s="123"/>
      <c r="C1" s="123"/>
      <c r="D1" s="123"/>
      <c r="E1" s="124" t="s">
        <v>236</v>
      </c>
      <c r="F1" s="124"/>
      <c r="G1" s="124"/>
      <c r="H1" s="122" t="s">
        <v>237</v>
      </c>
      <c r="I1" s="122"/>
      <c r="J1" s="122"/>
      <c r="K1" s="5"/>
      <c r="L1" s="5"/>
    </row>
    <row r="2" spans="1:12" ht="19.5" customHeight="1">
      <c r="A2" s="125" t="s">
        <v>2</v>
      </c>
      <c r="B2" s="125"/>
      <c r="C2" s="72"/>
      <c r="D2" s="6">
        <f>SUM(D4:D138)</f>
        <v>21564422.222455598</v>
      </c>
      <c r="E2" s="6">
        <f>SUM(E4:E138)</f>
        <v>8493702.5550000016</v>
      </c>
      <c r="F2" s="6">
        <f>D2-E2</f>
        <v>13070719.667455597</v>
      </c>
      <c r="G2" s="7">
        <f>IFERROR(F2/E2, 0)</f>
        <v>1.5388718386142726</v>
      </c>
      <c r="H2" s="6">
        <f>SUM(H4:H138)</f>
        <v>13919916.714</v>
      </c>
      <c r="I2" s="8">
        <f>D2-H2</f>
        <v>7644505.5084555987</v>
      </c>
      <c r="J2" s="7">
        <f>IFERROR(I2/H2, 0)</f>
        <v>0.54917753213042675</v>
      </c>
      <c r="K2" s="23"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13308.393773474299</v>
      </c>
      <c r="E4" s="11">
        <v>9674.8619999999992</v>
      </c>
      <c r="F4" s="11">
        <f>IF(AND(ISNUMBER(D4),ISNUMBER(E4)), D4-E4, "")</f>
        <v>3633.5317734743003</v>
      </c>
      <c r="G4" s="12">
        <f>IFERROR(F4/E4, "")</f>
        <v>0.37556419652025019</v>
      </c>
      <c r="H4" s="13">
        <v>13365.37</v>
      </c>
      <c r="I4" s="13">
        <f>IF(AND(ISNUMBER(D4),ISNUMBER(H4)), D4-H4, "")</f>
        <v>-56.97622652570135</v>
      </c>
      <c r="J4" s="14">
        <f>IFERROR(I4/H4, "")</f>
        <v>-4.2629741283407305E-3</v>
      </c>
      <c r="K4" s="38"/>
      <c r="L4" s="38"/>
    </row>
    <row r="5" spans="1:12" ht="28.5">
      <c r="A5" s="27" t="str">
        <v>Fulton</v>
      </c>
      <c r="B5" s="28" t="str">
        <v>AZ</v>
      </c>
      <c r="C5" s="28" t="str">
        <f>Sites[[#This Row],[SOL'#]]</f>
        <v>SOL-10749</v>
      </c>
      <c r="D5" s="10">
        <v>47793.75</v>
      </c>
      <c r="E5" s="15">
        <v>47630.080000000002</v>
      </c>
      <c r="F5" s="15">
        <f t="shared" ref="F5:F13" si="0">IF(AND(ISNUMBER(D5),ISNUMBER(E5)), D5-E5, "")</f>
        <v>163.66999999999825</v>
      </c>
      <c r="G5" s="16">
        <f>IFERROR(F5/E5, "")</f>
        <v>3.4362738840665028E-3</v>
      </c>
      <c r="H5" s="17">
        <v>59035.29</v>
      </c>
      <c r="I5" s="17">
        <f t="shared" ref="I5:I17" si="1">IF(AND(ISNUMBER(D5),ISNUMBER(H5)), D5-H5, "")</f>
        <v>-11241.54</v>
      </c>
      <c r="J5" s="16">
        <f t="shared" ref="J5:J17" si="2">IFERROR(I5/H5, "")</f>
        <v>-0.19042067888545988</v>
      </c>
      <c r="K5" s="39" t="s">
        <v>238</v>
      </c>
      <c r="L5" s="39" t="s">
        <v>239</v>
      </c>
    </row>
    <row r="6" spans="1:12" ht="15.75">
      <c r="A6" s="25" t="str">
        <v>JFK Elementary</v>
      </c>
      <c r="B6" s="26" t="str">
        <v>AZ</v>
      </c>
      <c r="C6" s="26" t="str">
        <f>Sites[[#This Row],[SOL'#]]</f>
        <v>SOL-10758</v>
      </c>
      <c r="D6" s="21">
        <v>19927</v>
      </c>
      <c r="E6" s="11">
        <v>0</v>
      </c>
      <c r="F6" s="11">
        <f t="shared" si="0"/>
        <v>19927</v>
      </c>
      <c r="G6" s="12" t="str">
        <f t="shared" ref="G6:G13" si="3">IFERROR(F6/E6, "")</f>
        <v/>
      </c>
      <c r="H6" s="13">
        <v>2277</v>
      </c>
      <c r="I6" s="13">
        <f t="shared" si="1"/>
        <v>17650</v>
      </c>
      <c r="J6" s="14">
        <f t="shared" si="2"/>
        <v>7.7514273166447083</v>
      </c>
      <c r="K6" s="38"/>
      <c r="L6" s="38"/>
    </row>
    <row r="7" spans="1:12" ht="15.75">
      <c r="A7" s="27" t="str">
        <v>Noble</v>
      </c>
      <c r="B7" s="28" t="str">
        <v>AZ</v>
      </c>
      <c r="C7" s="28" t="str">
        <f>Sites[[#This Row],[SOL'#]]</f>
        <v>SOL-10750</v>
      </c>
      <c r="D7" s="10">
        <v>12445.343023461901</v>
      </c>
      <c r="E7" s="15">
        <v>16497.39</v>
      </c>
      <c r="F7" s="15">
        <f t="shared" si="0"/>
        <v>-4052.0469765380985</v>
      </c>
      <c r="G7" s="16">
        <f t="shared" si="3"/>
        <v>-0.24561745685457509</v>
      </c>
      <c r="H7" s="17">
        <v>14907.2</v>
      </c>
      <c r="I7" s="17">
        <f t="shared" si="1"/>
        <v>-2461.8569765380998</v>
      </c>
      <c r="J7" s="16">
        <f t="shared" si="2"/>
        <v>-0.16514549858713237</v>
      </c>
      <c r="K7" s="39"/>
      <c r="L7" s="40"/>
    </row>
    <row r="8" spans="1:12" ht="15.75">
      <c r="A8" s="25" t="str">
        <v>Parking 3</v>
      </c>
      <c r="B8" s="26" t="str">
        <v>AZ</v>
      </c>
      <c r="C8" s="26" t="str">
        <f>Sites[[#This Row],[SOL'#]]</f>
        <v>SOL-10751</v>
      </c>
      <c r="D8" s="21">
        <v>31608.79</v>
      </c>
      <c r="E8" s="11">
        <v>33379.620000000003</v>
      </c>
      <c r="F8" s="11">
        <f t="shared" si="0"/>
        <v>-1770.8300000000017</v>
      </c>
      <c r="G8" s="12">
        <f t="shared" si="3"/>
        <v>-5.3051233057776023E-2</v>
      </c>
      <c r="H8" s="13">
        <v>34093.980000000003</v>
      </c>
      <c r="I8" s="13">
        <f t="shared" si="1"/>
        <v>-2485.1900000000023</v>
      </c>
      <c r="J8" s="14">
        <f t="shared" si="2"/>
        <v>-7.2892340524632268E-2</v>
      </c>
      <c r="K8" s="38"/>
      <c r="L8" s="38"/>
    </row>
    <row r="9" spans="1:12" ht="15.75">
      <c r="A9" s="27" t="str">
        <v>PE East</v>
      </c>
      <c r="B9" s="28" t="str">
        <v>AZ</v>
      </c>
      <c r="C9" s="28" t="str">
        <f>Sites[[#This Row],[SOL'#]]</f>
        <v>SOL-10752</v>
      </c>
      <c r="D9" s="10">
        <v>29990.231515660002</v>
      </c>
      <c r="E9" s="15">
        <v>22677.51</v>
      </c>
      <c r="F9" s="15">
        <f t="shared" si="0"/>
        <v>7312.7215156600032</v>
      </c>
      <c r="G9" s="16">
        <f t="shared" si="3"/>
        <v>0.32246580491685389</v>
      </c>
      <c r="H9" s="17">
        <v>31562.71</v>
      </c>
      <c r="I9" s="17">
        <f t="shared" si="1"/>
        <v>-1572.4784843399975</v>
      </c>
      <c r="J9" s="16">
        <f t="shared" si="2"/>
        <v>-4.9820769013180347E-2</v>
      </c>
      <c r="K9" s="39"/>
      <c r="L9" s="40"/>
    </row>
    <row r="10" spans="1:12" ht="15.75">
      <c r="A10" s="25" t="str">
        <v>Schwada</v>
      </c>
      <c r="B10" s="26" t="str">
        <v>AZ</v>
      </c>
      <c r="C10" s="26" t="str">
        <f>Sites[[#This Row],[SOL'#]]</f>
        <v>SOL-10753</v>
      </c>
      <c r="D10" s="21">
        <v>13032.2579350591</v>
      </c>
      <c r="E10" s="11">
        <v>9418.3690000000006</v>
      </c>
      <c r="F10" s="11">
        <f t="shared" si="0"/>
        <v>3613.8889350590998</v>
      </c>
      <c r="G10" s="12">
        <f t="shared" si="3"/>
        <v>0.38370645013580373</v>
      </c>
      <c r="H10" s="13">
        <v>12913</v>
      </c>
      <c r="I10" s="13">
        <f t="shared" si="1"/>
        <v>119.25793505910042</v>
      </c>
      <c r="J10" s="14">
        <f t="shared" si="2"/>
        <v>9.2354940803144447E-3</v>
      </c>
      <c r="K10" s="38"/>
      <c r="L10" s="38"/>
    </row>
    <row r="11" spans="1:12" ht="28.5">
      <c r="A11" s="27" t="str">
        <v>Starshine</v>
      </c>
      <c r="B11" s="28" t="str">
        <v>AZ</v>
      </c>
      <c r="C11" s="28" t="str">
        <f>Sites[[#This Row],[SOL'#]]</f>
        <v>SOL-10757</v>
      </c>
      <c r="D11" s="10">
        <v>7256.8</v>
      </c>
      <c r="E11" s="15">
        <v>0</v>
      </c>
      <c r="F11" s="15">
        <f t="shared" si="0"/>
        <v>7256.8</v>
      </c>
      <c r="G11" s="16" t="str">
        <f t="shared" si="3"/>
        <v/>
      </c>
      <c r="H11" s="17">
        <v>0</v>
      </c>
      <c r="I11" s="17">
        <f t="shared" si="1"/>
        <v>7256.8</v>
      </c>
      <c r="J11" s="16" t="str">
        <f t="shared" si="2"/>
        <v/>
      </c>
      <c r="K11" s="39" t="s">
        <v>240</v>
      </c>
      <c r="L11" s="58" t="s">
        <v>241</v>
      </c>
    </row>
    <row r="12" spans="1:12" ht="15.75">
      <c r="A12" s="25" t="str">
        <v>Yuma Airport</v>
      </c>
      <c r="B12" s="26" t="str">
        <v>AZ</v>
      </c>
      <c r="C12" s="26" t="str">
        <f>Sites[[#This Row],[SOL'#]]</f>
        <v>SOL-10754</v>
      </c>
      <c r="D12" s="21">
        <v>80804</v>
      </c>
      <c r="E12" s="11">
        <v>98396.27</v>
      </c>
      <c r="F12" s="11">
        <f t="shared" si="0"/>
        <v>-17592.270000000004</v>
      </c>
      <c r="G12" s="12">
        <f t="shared" si="3"/>
        <v>-0.17879000901152048</v>
      </c>
      <c r="H12" s="13">
        <v>90210</v>
      </c>
      <c r="I12" s="13">
        <f t="shared" si="1"/>
        <v>-9406</v>
      </c>
      <c r="J12" s="14">
        <f t="shared" si="2"/>
        <v>-0.10426781953220264</v>
      </c>
      <c r="K12" s="38" t="s">
        <v>242</v>
      </c>
      <c r="L12" s="38" t="s">
        <v>243</v>
      </c>
    </row>
    <row r="13" spans="1:12" ht="28.5">
      <c r="A13" s="27" t="str">
        <v>Kinsman</v>
      </c>
      <c r="B13" s="28" t="str">
        <v>OH</v>
      </c>
      <c r="C13" s="28" t="str">
        <f>Sites[[#This Row],[SOL'#]]</f>
        <v>SOL-10762</v>
      </c>
      <c r="D13" s="10">
        <v>88565.4296875</v>
      </c>
      <c r="E13" s="15">
        <v>122677.1</v>
      </c>
      <c r="F13" s="15">
        <f t="shared" si="0"/>
        <v>-34111.670312500006</v>
      </c>
      <c r="G13" s="16">
        <f t="shared" si="3"/>
        <v>-0.27806061858733216</v>
      </c>
      <c r="H13" s="17">
        <v>96046</v>
      </c>
      <c r="I13" s="17">
        <f t="shared" si="1"/>
        <v>-7480.5703125</v>
      </c>
      <c r="J13" s="16">
        <f t="shared" si="2"/>
        <v>-7.7885287388334751E-2</v>
      </c>
      <c r="K13" s="39" t="s">
        <v>244</v>
      </c>
      <c r="L13" s="40" t="s">
        <v>245</v>
      </c>
    </row>
    <row r="14" spans="1:12" ht="15.75">
      <c r="A14" s="25" t="str">
        <v>Wooster</v>
      </c>
      <c r="B14" s="26" t="str">
        <v>OH</v>
      </c>
      <c r="C14" s="26" t="str">
        <f>Sites[[#This Row],[SOL'#]]</f>
        <v>SOL-10763</v>
      </c>
      <c r="D14" s="21">
        <v>18579.5</v>
      </c>
      <c r="E14" s="11">
        <v>0</v>
      </c>
      <c r="F14" s="11">
        <f t="shared" ref="F14:F77" si="4">IF(AND(ISNUMBER(D14),ISNUMBER(E14)), D14-E14, "")</f>
        <v>18579.5</v>
      </c>
      <c r="G14" s="12" t="str">
        <f t="shared" ref="G14:G77" si="5">IFERROR(F14/E14, "")</f>
        <v/>
      </c>
      <c r="H14" s="13">
        <v>22628</v>
      </c>
      <c r="I14" s="13">
        <f t="shared" si="1"/>
        <v>-4048.5</v>
      </c>
      <c r="J14" s="14">
        <f t="shared" si="2"/>
        <v>-0.17891550291674033</v>
      </c>
      <c r="K14" s="38"/>
      <c r="L14" s="38"/>
    </row>
    <row r="15" spans="1:12" ht="15.75">
      <c r="A15" s="27" t="str">
        <v>Globe Gila CC</v>
      </c>
      <c r="B15" s="28" t="str">
        <v>AZ</v>
      </c>
      <c r="C15" s="28" t="str">
        <f>Sites[[#This Row],[SOL'#]]</f>
        <v>SOL-10755</v>
      </c>
      <c r="D15" s="10">
        <v>15507.2588129833</v>
      </c>
      <c r="E15" s="15">
        <v>0</v>
      </c>
      <c r="F15" s="15">
        <f t="shared" si="4"/>
        <v>15507.2588129833</v>
      </c>
      <c r="G15" s="16" t="str">
        <f t="shared" si="5"/>
        <v/>
      </c>
      <c r="H15" s="17">
        <v>16233</v>
      </c>
      <c r="I15" s="17">
        <f t="shared" si="1"/>
        <v>-725.74118701669977</v>
      </c>
      <c r="J15" s="16">
        <f t="shared" si="2"/>
        <v>-4.4707767326846531E-2</v>
      </c>
      <c r="K15" s="39"/>
      <c r="L15" s="40"/>
    </row>
    <row r="16" spans="1:12" ht="15.75">
      <c r="A16" s="25" t="str">
        <v>Payson Gila CC</v>
      </c>
      <c r="B16" s="26" t="str">
        <v>AZ</v>
      </c>
      <c r="C16" s="26" t="str">
        <f>Sites[[#This Row],[SOL'#]]</f>
        <v>SOL-10756</v>
      </c>
      <c r="D16" s="21">
        <v>10729.978462409499</v>
      </c>
      <c r="E16" s="11">
        <v>0</v>
      </c>
      <c r="F16" s="11">
        <f t="shared" si="4"/>
        <v>10729.978462409499</v>
      </c>
      <c r="G16" s="12" t="str">
        <f t="shared" si="5"/>
        <v/>
      </c>
      <c r="H16" s="13">
        <v>12721</v>
      </c>
      <c r="I16" s="13">
        <f t="shared" si="1"/>
        <v>-1991.0215375905009</v>
      </c>
      <c r="J16" s="14">
        <f t="shared" si="2"/>
        <v>-0.15651454583684465</v>
      </c>
      <c r="K16" s="38"/>
      <c r="L16" s="38"/>
    </row>
    <row r="17" spans="1:12" ht="15.75">
      <c r="A17" s="27" t="str">
        <v>SCNM</v>
      </c>
      <c r="B17" s="28" t="str">
        <v>AZ</v>
      </c>
      <c r="C17" s="28" t="str">
        <f>Sites[[#This Row],[SOL'#]]</f>
        <v>SOL-10760</v>
      </c>
      <c r="D17" s="10">
        <v>73238.5</v>
      </c>
      <c r="E17" s="15">
        <v>0</v>
      </c>
      <c r="F17" s="15">
        <f t="shared" si="4"/>
        <v>73238.5</v>
      </c>
      <c r="G17" s="16" t="str">
        <f t="shared" si="5"/>
        <v/>
      </c>
      <c r="H17" s="17">
        <v>41460</v>
      </c>
      <c r="I17" s="17">
        <f t="shared" si="1"/>
        <v>31778.5</v>
      </c>
      <c r="J17" s="16">
        <f t="shared" si="2"/>
        <v>0.76648576941630486</v>
      </c>
      <c r="K17" s="59" t="s">
        <v>134</v>
      </c>
      <c r="L17" s="60" t="s">
        <v>135</v>
      </c>
    </row>
    <row r="18" spans="1:12" ht="12.75" customHeight="1">
      <c r="A18" s="25" t="str">
        <v>Sequoia Charter School</v>
      </c>
      <c r="B18" s="26" t="str">
        <v>AZ</v>
      </c>
      <c r="C18" s="26" t="str">
        <f>Sites[[#This Row],[SOL'#]]</f>
        <v>SOL-10759</v>
      </c>
      <c r="D18" s="21">
        <v>35577.629999999997</v>
      </c>
      <c r="E18" s="11">
        <v>0</v>
      </c>
      <c r="F18" s="11">
        <f t="shared" si="4"/>
        <v>35577.629999999997</v>
      </c>
      <c r="G18" s="12" t="str">
        <f t="shared" si="5"/>
        <v/>
      </c>
      <c r="H18" s="13">
        <v>11830</v>
      </c>
      <c r="I18" s="13">
        <f t="shared" ref="I18:I81" si="6">IF(AND(ISNUMBER(D18),ISNUMBER(H18)), D18-H18, "")</f>
        <v>23747.629999999997</v>
      </c>
      <c r="J18" s="14">
        <f t="shared" ref="J18:J81" si="7">IFERROR(I18/H18, "")</f>
        <v>2.0074074387151306</v>
      </c>
      <c r="K18" s="38"/>
      <c r="L18" s="38"/>
    </row>
    <row r="19" spans="1:12" ht="15.75">
      <c r="A19" s="27" t="str">
        <v>RCAB</v>
      </c>
      <c r="B19" s="28" t="str">
        <v>MA</v>
      </c>
      <c r="C19" s="28" t="str">
        <f>Sites[[#This Row],[SOL'#]]</f>
        <v>SOL-10838</v>
      </c>
      <c r="D19" s="10">
        <v>91724</v>
      </c>
      <c r="E19" s="15">
        <v>104793.2</v>
      </c>
      <c r="F19" s="15">
        <f t="shared" si="4"/>
        <v>-13069.199999999997</v>
      </c>
      <c r="G19" s="16">
        <f t="shared" si="5"/>
        <v>-0.12471419901291303</v>
      </c>
      <c r="H19" s="17">
        <v>97751.63</v>
      </c>
      <c r="I19" s="17">
        <f t="shared" si="6"/>
        <v>-6027.6300000000047</v>
      </c>
      <c r="J19" s="16">
        <f t="shared" si="7"/>
        <v>-6.1662705777898584E-2</v>
      </c>
      <c r="K19" s="39" t="s">
        <v>246</v>
      </c>
      <c r="L19" s="40" t="s">
        <v>247</v>
      </c>
    </row>
    <row r="20" spans="1:12" ht="28.5">
      <c r="A20" s="25" t="str">
        <v>Spectro Coatings</v>
      </c>
      <c r="B20" s="26" t="str">
        <v>MA</v>
      </c>
      <c r="C20" s="26" t="str">
        <f>Sites[[#This Row],[SOL'#]]</f>
        <v>SOL-10074</v>
      </c>
      <c r="D20" s="21">
        <v>23580</v>
      </c>
      <c r="E20" s="11">
        <v>28965.39</v>
      </c>
      <c r="F20" s="11">
        <f t="shared" si="4"/>
        <v>-5385.3899999999994</v>
      </c>
      <c r="G20" s="12">
        <f t="shared" si="5"/>
        <v>-0.18592499531337225</v>
      </c>
      <c r="H20" s="13">
        <v>27277.07</v>
      </c>
      <c r="I20" s="13">
        <f t="shared" si="6"/>
        <v>-3697.0699999999997</v>
      </c>
      <c r="J20" s="14">
        <f t="shared" si="7"/>
        <v>-0.13553765122133718</v>
      </c>
      <c r="K20" s="38" t="s">
        <v>248</v>
      </c>
      <c r="L20" s="38" t="s">
        <v>249</v>
      </c>
    </row>
    <row r="21" spans="1:12" ht="15.75">
      <c r="A21" s="27" t="str">
        <v>K026</v>
      </c>
      <c r="B21" s="28" t="str">
        <v>NY</v>
      </c>
      <c r="C21" s="28" t="str">
        <f>Sites[[#This Row],[SOL'#]]</f>
        <v>SOL-10356</v>
      </c>
      <c r="D21" s="10">
        <v>28425.479066985499</v>
      </c>
      <c r="E21" s="15">
        <v>30650.36</v>
      </c>
      <c r="F21" s="15">
        <f t="shared" si="4"/>
        <v>-2224.8809330145014</v>
      </c>
      <c r="G21" s="16">
        <f t="shared" si="5"/>
        <v>-7.2589063652580305E-2</v>
      </c>
      <c r="H21" s="17">
        <v>33455.97</v>
      </c>
      <c r="I21" s="17">
        <f t="shared" si="6"/>
        <v>-5030.4909330145019</v>
      </c>
      <c r="J21" s="16">
        <f t="shared" si="7"/>
        <v>-0.15036153287483525</v>
      </c>
      <c r="K21" s="39"/>
      <c r="L21" s="40"/>
    </row>
    <row r="22" spans="1:12" ht="15.75">
      <c r="A22" s="25" t="str">
        <v>K041</v>
      </c>
      <c r="B22" s="26" t="str">
        <v>NY</v>
      </c>
      <c r="C22" s="26" t="str">
        <f>Sites[[#This Row],[SOL'#]]</f>
        <v>SOL-10357</v>
      </c>
      <c r="D22" s="21">
        <v>21206.447851562501</v>
      </c>
      <c r="E22" s="11">
        <v>0</v>
      </c>
      <c r="F22" s="11">
        <f t="shared" si="4"/>
        <v>21206.447851562501</v>
      </c>
      <c r="G22" s="12" t="str">
        <f t="shared" si="5"/>
        <v/>
      </c>
      <c r="H22" s="13">
        <v>0</v>
      </c>
      <c r="I22" s="13">
        <f t="shared" si="6"/>
        <v>21206.447851562501</v>
      </c>
      <c r="J22" s="14" t="str">
        <f t="shared" si="7"/>
        <v/>
      </c>
      <c r="K22" s="38" t="s">
        <v>250</v>
      </c>
      <c r="L22" s="38" t="s">
        <v>251</v>
      </c>
    </row>
    <row r="23" spans="1:12" ht="15.75">
      <c r="A23" s="27" t="str">
        <v>K043</v>
      </c>
      <c r="B23" s="28" t="str">
        <v>NY</v>
      </c>
      <c r="C23" s="28" t="str">
        <f>Sites[[#This Row],[SOL'#]]</f>
        <v>SOL-10358</v>
      </c>
      <c r="D23" s="10">
        <v>24755.875</v>
      </c>
      <c r="E23" s="15">
        <v>26350.82</v>
      </c>
      <c r="F23" s="15">
        <f t="shared" si="4"/>
        <v>-1594.9449999999997</v>
      </c>
      <c r="G23" s="16">
        <f t="shared" si="5"/>
        <v>-6.0527338428177938E-2</v>
      </c>
      <c r="H23" s="17">
        <v>31320</v>
      </c>
      <c r="I23" s="17">
        <f t="shared" si="6"/>
        <v>-6564.125</v>
      </c>
      <c r="J23" s="16">
        <f t="shared" si="7"/>
        <v>-0.20958253512132821</v>
      </c>
      <c r="K23" s="39"/>
      <c r="L23" s="40"/>
    </row>
    <row r="24" spans="1:12" ht="15.75">
      <c r="A24" s="25" t="str">
        <v>K058</v>
      </c>
      <c r="B24" s="26" t="str">
        <v>NY</v>
      </c>
      <c r="C24" s="26" t="str">
        <f>Sites[[#This Row],[SOL'#]]</f>
        <v>SOL-10360</v>
      </c>
      <c r="D24" s="21">
        <v>20851.625</v>
      </c>
      <c r="E24" s="11">
        <v>21154.39</v>
      </c>
      <c r="F24" s="11">
        <f t="shared" si="4"/>
        <v>-302.76499999999942</v>
      </c>
      <c r="G24" s="12">
        <f t="shared" si="5"/>
        <v>-1.4312159320122178E-2</v>
      </c>
      <c r="H24" s="13">
        <v>20987.87</v>
      </c>
      <c r="I24" s="13">
        <f t="shared" si="6"/>
        <v>-136.24499999999898</v>
      </c>
      <c r="J24" s="14">
        <f t="shared" si="7"/>
        <v>-6.4916068186051746E-3</v>
      </c>
      <c r="K24" s="38"/>
      <c r="L24" s="38"/>
    </row>
    <row r="25" spans="1:12" ht="15.75">
      <c r="A25" s="27" t="str">
        <v>K115</v>
      </c>
      <c r="B25" s="28" t="str">
        <v>NY</v>
      </c>
      <c r="C25" s="28" t="str">
        <f>Sites[[#This Row],[SOL'#]]</f>
        <v>SOL-10361</v>
      </c>
      <c r="D25" s="10">
        <v>5488.1328125</v>
      </c>
      <c r="E25" s="15">
        <v>9789.2029999999995</v>
      </c>
      <c r="F25" s="15">
        <f t="shared" si="4"/>
        <v>-4301.0701874999995</v>
      </c>
      <c r="G25" s="16">
        <f t="shared" si="5"/>
        <v>-0.43936878083946157</v>
      </c>
      <c r="H25" s="17">
        <v>6974.866</v>
      </c>
      <c r="I25" s="17">
        <f t="shared" si="6"/>
        <v>-1486.7331875</v>
      </c>
      <c r="J25" s="16">
        <f t="shared" si="7"/>
        <v>-0.21315580650581675</v>
      </c>
      <c r="K25" s="39"/>
      <c r="L25" s="40"/>
    </row>
    <row r="26" spans="1:12" ht="15.75">
      <c r="A26" s="25" t="str">
        <v>K152</v>
      </c>
      <c r="B26" s="26" t="str">
        <v>NY</v>
      </c>
      <c r="C26" s="26" t="str">
        <f>Sites[[#This Row],[SOL'#]]</f>
        <v>SOL-10362</v>
      </c>
      <c r="D26" s="21">
        <v>8147.359375</v>
      </c>
      <c r="E26" s="11">
        <v>8137.5910000000003</v>
      </c>
      <c r="F26" s="11">
        <f t="shared" si="4"/>
        <v>9.7683749999996508</v>
      </c>
      <c r="G26" s="12">
        <f t="shared" si="5"/>
        <v>1.2004013227009873E-3</v>
      </c>
      <c r="H26" s="13">
        <v>1533</v>
      </c>
      <c r="I26" s="13">
        <f t="shared" si="6"/>
        <v>6614.359375</v>
      </c>
      <c r="J26" s="14">
        <f t="shared" si="7"/>
        <v>4.3146506033920415</v>
      </c>
      <c r="K26" s="38"/>
      <c r="L26" s="38"/>
    </row>
    <row r="27" spans="1:12" ht="15.75">
      <c r="A27" s="27" t="str">
        <v>K166</v>
      </c>
      <c r="B27" s="28" t="str">
        <v>NY</v>
      </c>
      <c r="C27" s="28" t="str">
        <f>Sites[[#This Row],[SOL'#]]</f>
        <v>SOL-10363</v>
      </c>
      <c r="D27" s="10">
        <v>28664.125</v>
      </c>
      <c r="E27" s="15">
        <v>30585.97</v>
      </c>
      <c r="F27" s="15">
        <f t="shared" si="4"/>
        <v>-1921.8450000000012</v>
      </c>
      <c r="G27" s="16">
        <f t="shared" si="5"/>
        <v>-6.2834201432879225E-2</v>
      </c>
      <c r="H27" s="17">
        <v>32101.71</v>
      </c>
      <c r="I27" s="17">
        <f t="shared" si="6"/>
        <v>-3437.5849999999991</v>
      </c>
      <c r="J27" s="16">
        <f t="shared" si="7"/>
        <v>-0.1070841709055374</v>
      </c>
      <c r="K27" s="39"/>
      <c r="L27" s="40"/>
    </row>
    <row r="28" spans="1:12" ht="28.5">
      <c r="A28" s="25" t="str">
        <v>K206</v>
      </c>
      <c r="B28" s="26" t="str">
        <v>NY</v>
      </c>
      <c r="C28" s="26" t="str">
        <f>Sites[[#This Row],[SOL'#]]</f>
        <v>SOL-10927</v>
      </c>
      <c r="D28" s="21">
        <v>12626.635224609399</v>
      </c>
      <c r="E28" s="11">
        <v>0</v>
      </c>
      <c r="F28" s="11">
        <f t="shared" si="4"/>
        <v>12626.635224609399</v>
      </c>
      <c r="G28" s="12" t="str">
        <f t="shared" si="5"/>
        <v/>
      </c>
      <c r="H28" s="13">
        <v>0</v>
      </c>
      <c r="I28" s="13">
        <f t="shared" si="6"/>
        <v>12626.635224609399</v>
      </c>
      <c r="J28" s="14" t="str">
        <f t="shared" si="7"/>
        <v/>
      </c>
      <c r="K28" s="38" t="s">
        <v>252</v>
      </c>
      <c r="L28" s="38" t="s">
        <v>253</v>
      </c>
    </row>
    <row r="29" spans="1:12" ht="15.75">
      <c r="A29" s="27" t="str">
        <v>K251</v>
      </c>
      <c r="B29" s="28" t="str">
        <v>NY</v>
      </c>
      <c r="C29" s="28" t="str">
        <f>Sites[[#This Row],[SOL'#]]</f>
        <v>SOL-10365</v>
      </c>
      <c r="D29" s="10">
        <v>14358.09375</v>
      </c>
      <c r="E29" s="15">
        <v>18723.29</v>
      </c>
      <c r="F29" s="15">
        <f t="shared" si="4"/>
        <v>-4365.1962500000009</v>
      </c>
      <c r="G29" s="16">
        <f t="shared" si="5"/>
        <v>-0.23314258605191721</v>
      </c>
      <c r="H29" s="17">
        <v>18132.59</v>
      </c>
      <c r="I29" s="17">
        <f t="shared" si="6"/>
        <v>-3774.4962500000001</v>
      </c>
      <c r="J29" s="16">
        <f t="shared" si="7"/>
        <v>-0.20816089979423791</v>
      </c>
      <c r="K29" s="39" t="s">
        <v>254</v>
      </c>
      <c r="L29" s="39" t="s">
        <v>255</v>
      </c>
    </row>
    <row r="30" spans="1:12" ht="15.75">
      <c r="A30" s="25" t="str">
        <v>K269</v>
      </c>
      <c r="B30" s="26" t="str">
        <v>NY</v>
      </c>
      <c r="C30" s="26" t="str">
        <f>Sites[[#This Row],[SOL'#]]</f>
        <v>SOL-10366</v>
      </c>
      <c r="D30" s="21">
        <v>17329.84375</v>
      </c>
      <c r="E30" s="11">
        <v>0</v>
      </c>
      <c r="F30" s="11">
        <f t="shared" si="4"/>
        <v>17329.84375</v>
      </c>
      <c r="G30" s="12" t="str">
        <f t="shared" si="5"/>
        <v/>
      </c>
      <c r="H30" s="13">
        <v>20269.12</v>
      </c>
      <c r="I30" s="13">
        <f t="shared" si="6"/>
        <v>-2939.276249999999</v>
      </c>
      <c r="J30" s="14">
        <f t="shared" si="7"/>
        <v>-0.14501252397736059</v>
      </c>
      <c r="K30" s="38"/>
      <c r="L30" s="38"/>
    </row>
    <row r="31" spans="1:12" ht="15.75">
      <c r="A31" s="27" t="str">
        <v>K273</v>
      </c>
      <c r="B31" s="28" t="str">
        <v>NY</v>
      </c>
      <c r="C31" s="28" t="str">
        <f>Sites[[#This Row],[SOL'#]]</f>
        <v>SOL-10367</v>
      </c>
      <c r="D31" s="10">
        <v>19692.9375</v>
      </c>
      <c r="E31" s="15">
        <v>0</v>
      </c>
      <c r="F31" s="15">
        <f t="shared" si="4"/>
        <v>19692.9375</v>
      </c>
      <c r="G31" s="16" t="str">
        <f t="shared" si="5"/>
        <v/>
      </c>
      <c r="H31" s="17">
        <v>20381</v>
      </c>
      <c r="I31" s="17">
        <f t="shared" si="6"/>
        <v>-688.0625</v>
      </c>
      <c r="J31" s="16">
        <f t="shared" si="7"/>
        <v>-3.3759997056081646E-2</v>
      </c>
      <c r="K31" s="39"/>
      <c r="L31" s="40"/>
    </row>
    <row r="32" spans="1:12" ht="15.75">
      <c r="A32" s="25" t="str">
        <v>K287</v>
      </c>
      <c r="B32" s="26" t="str">
        <v>NY</v>
      </c>
      <c r="C32" s="26" t="str">
        <f>Sites[[#This Row],[SOL'#]]</f>
        <v>SOL-10919</v>
      </c>
      <c r="D32" s="21">
        <v>15267.03125</v>
      </c>
      <c r="E32" s="11">
        <v>12956.46</v>
      </c>
      <c r="F32" s="11">
        <f t="shared" si="4"/>
        <v>2310.5712500000009</v>
      </c>
      <c r="G32" s="12">
        <f t="shared" si="5"/>
        <v>0.17833353014635178</v>
      </c>
      <c r="H32" s="13">
        <v>0</v>
      </c>
      <c r="I32" s="13">
        <f t="shared" si="6"/>
        <v>15267.03125</v>
      </c>
      <c r="J32" s="14" t="str">
        <f t="shared" si="7"/>
        <v/>
      </c>
      <c r="K32" s="38"/>
      <c r="L32" s="38"/>
    </row>
    <row r="33" spans="1:12" ht="15.75">
      <c r="A33" s="27" t="str">
        <v>K298</v>
      </c>
      <c r="B33" s="28" t="str">
        <v>NY</v>
      </c>
      <c r="C33" s="28" t="str">
        <f>Sites[[#This Row],[SOL'#]]</f>
        <v>SOL-10368</v>
      </c>
      <c r="D33" s="10">
        <v>16562.984375</v>
      </c>
      <c r="E33" s="15">
        <v>17371.77</v>
      </c>
      <c r="F33" s="15">
        <f t="shared" si="4"/>
        <v>-808.78562500000044</v>
      </c>
      <c r="G33" s="16">
        <f t="shared" si="5"/>
        <v>-4.6557467949437534E-2</v>
      </c>
      <c r="H33" s="17">
        <v>0</v>
      </c>
      <c r="I33" s="17">
        <f t="shared" si="6"/>
        <v>16562.984375</v>
      </c>
      <c r="J33" s="16" t="str">
        <f t="shared" si="7"/>
        <v/>
      </c>
      <c r="K33" s="39"/>
      <c r="L33" s="40"/>
    </row>
    <row r="34" spans="1:12" ht="15.75">
      <c r="A34" s="25" t="str">
        <v>K335</v>
      </c>
      <c r="B34" s="26" t="str">
        <v>NY</v>
      </c>
      <c r="C34" s="26" t="str">
        <f>Sites[[#This Row],[SOL'#]]</f>
        <v>SOL-10370</v>
      </c>
      <c r="D34" s="21">
        <v>15979.40625</v>
      </c>
      <c r="E34" s="11">
        <v>18687.03</v>
      </c>
      <c r="F34" s="11">
        <f t="shared" si="4"/>
        <v>-2707.6237499999988</v>
      </c>
      <c r="G34" s="12">
        <f t="shared" si="5"/>
        <v>-0.14489320935429542</v>
      </c>
      <c r="H34" s="13">
        <v>21169</v>
      </c>
      <c r="I34" s="13">
        <f t="shared" si="6"/>
        <v>-5189.59375</v>
      </c>
      <c r="J34" s="14">
        <f t="shared" si="7"/>
        <v>-0.2451506330010865</v>
      </c>
      <c r="K34" s="38" t="s">
        <v>256</v>
      </c>
      <c r="L34" s="38" t="s">
        <v>257</v>
      </c>
    </row>
    <row r="35" spans="1:12" ht="15.75">
      <c r="A35" s="27" t="str">
        <v>K345</v>
      </c>
      <c r="B35" s="28" t="str">
        <v>NY</v>
      </c>
      <c r="C35" s="28" t="str">
        <f>Sites[[#This Row],[SOL'#]]</f>
        <v>SOL-10920</v>
      </c>
      <c r="D35" s="10">
        <v>18286.3622460937</v>
      </c>
      <c r="E35" s="15">
        <v>12310.74</v>
      </c>
      <c r="F35" s="15">
        <f t="shared" si="4"/>
        <v>5975.6222460937006</v>
      </c>
      <c r="G35" s="16">
        <f t="shared" si="5"/>
        <v>0.48539911054036561</v>
      </c>
      <c r="H35" s="17">
        <v>10903</v>
      </c>
      <c r="I35" s="17">
        <f t="shared" si="6"/>
        <v>7383.3622460937004</v>
      </c>
      <c r="J35" s="16">
        <f t="shared" si="7"/>
        <v>0.67718630157696968</v>
      </c>
      <c r="K35" s="39" t="s">
        <v>258</v>
      </c>
      <c r="L35" s="40" t="s">
        <v>259</v>
      </c>
    </row>
    <row r="36" spans="1:12" ht="15.75">
      <c r="A36" s="25" t="str">
        <v>K445</v>
      </c>
      <c r="B36" s="26" t="str">
        <v>NY</v>
      </c>
      <c r="C36" s="26" t="str">
        <f>Sites[[#This Row],[SOL'#]]</f>
        <v>SOL-10373</v>
      </c>
      <c r="D36" s="21">
        <v>16171.765625</v>
      </c>
      <c r="E36" s="11">
        <v>17957.29</v>
      </c>
      <c r="F36" s="11">
        <f t="shared" si="4"/>
        <v>-1785.5243750000009</v>
      </c>
      <c r="G36" s="12">
        <f t="shared" si="5"/>
        <v>-9.9431728005729192E-2</v>
      </c>
      <c r="H36" s="13">
        <v>20544.73</v>
      </c>
      <c r="I36" s="13">
        <f t="shared" si="6"/>
        <v>-4372.9643749999996</v>
      </c>
      <c r="J36" s="14">
        <f t="shared" si="7"/>
        <v>-0.21285090507395327</v>
      </c>
      <c r="K36" s="38"/>
      <c r="L36" s="38"/>
    </row>
    <row r="37" spans="1:12" ht="42.75">
      <c r="A37" s="27" t="str">
        <v>K495</v>
      </c>
      <c r="B37" s="28" t="str">
        <v>NY</v>
      </c>
      <c r="C37" s="28" t="str">
        <f>Sites[[#This Row],[SOL'#]]</f>
        <v>SOL-10374</v>
      </c>
      <c r="D37" s="10">
        <v>60571.1875</v>
      </c>
      <c r="E37" s="15">
        <v>0</v>
      </c>
      <c r="F37" s="15">
        <f t="shared" si="4"/>
        <v>60571.1875</v>
      </c>
      <c r="G37" s="16" t="str">
        <f t="shared" si="5"/>
        <v/>
      </c>
      <c r="H37" s="17">
        <v>0</v>
      </c>
      <c r="I37" s="17">
        <f t="shared" si="6"/>
        <v>60571.1875</v>
      </c>
      <c r="J37" s="16" t="str">
        <f t="shared" si="7"/>
        <v/>
      </c>
      <c r="K37" s="61" t="s">
        <v>260</v>
      </c>
      <c r="L37" s="62" t="s">
        <v>261</v>
      </c>
    </row>
    <row r="38" spans="1:12" ht="15.75">
      <c r="A38" s="25" t="str">
        <v>M020</v>
      </c>
      <c r="B38" s="26" t="str">
        <v>NY</v>
      </c>
      <c r="C38" s="26" t="str">
        <f>Sites[[#This Row],[SOL'#]]</f>
        <v>SOL-10380</v>
      </c>
      <c r="D38" s="21">
        <v>16848.0625</v>
      </c>
      <c r="E38" s="11">
        <v>15388.65</v>
      </c>
      <c r="F38" s="11">
        <f t="shared" si="4"/>
        <v>1459.4125000000004</v>
      </c>
      <c r="G38" s="12">
        <f t="shared" si="5"/>
        <v>9.4836941512088477E-2</v>
      </c>
      <c r="H38" s="13">
        <v>0</v>
      </c>
      <c r="I38" s="13">
        <f t="shared" si="6"/>
        <v>16848.0625</v>
      </c>
      <c r="J38" s="14" t="str">
        <f t="shared" si="7"/>
        <v/>
      </c>
      <c r="K38" s="38"/>
      <c r="L38" s="38"/>
    </row>
    <row r="39" spans="1:12" ht="15.75">
      <c r="A39" s="27" t="str">
        <v>M092</v>
      </c>
      <c r="B39" s="28" t="str">
        <v>NY</v>
      </c>
      <c r="C39" s="28" t="str">
        <f>Sites[[#This Row],[SOL'#]]</f>
        <v>SOL-10383</v>
      </c>
      <c r="D39" s="10">
        <v>16658.0625</v>
      </c>
      <c r="E39" s="15">
        <v>18158.13</v>
      </c>
      <c r="F39" s="15">
        <f t="shared" si="4"/>
        <v>-1500.067500000001</v>
      </c>
      <c r="G39" s="16">
        <f t="shared" si="5"/>
        <v>-8.2611342687820874E-2</v>
      </c>
      <c r="H39" s="17">
        <v>19908.93</v>
      </c>
      <c r="I39" s="17">
        <f t="shared" si="6"/>
        <v>-3250.8675000000003</v>
      </c>
      <c r="J39" s="16">
        <f t="shared" si="7"/>
        <v>-0.16328690190783735</v>
      </c>
      <c r="K39" s="39"/>
      <c r="L39" s="40"/>
    </row>
    <row r="40" spans="1:12" ht="15.75">
      <c r="A40" s="25" t="str">
        <v>M143</v>
      </c>
      <c r="B40" s="26" t="str">
        <v>NY</v>
      </c>
      <c r="C40" s="26" t="str">
        <f>Sites[[#This Row],[SOL'#]]</f>
        <v>SOL-10384</v>
      </c>
      <c r="D40" s="21">
        <v>20092.34375</v>
      </c>
      <c r="E40" s="11">
        <v>22283.18</v>
      </c>
      <c r="F40" s="11">
        <f t="shared" si="4"/>
        <v>-2190.8362500000003</v>
      </c>
      <c r="G40" s="12">
        <f t="shared" si="5"/>
        <v>-9.8317935321619282E-2</v>
      </c>
      <c r="H40" s="13">
        <v>24549.07</v>
      </c>
      <c r="I40" s="13">
        <f t="shared" si="6"/>
        <v>-4456.7262499999997</v>
      </c>
      <c r="J40" s="14">
        <f t="shared" si="7"/>
        <v>-0.18154358800557413</v>
      </c>
      <c r="K40" s="38"/>
      <c r="L40" s="38"/>
    </row>
    <row r="41" spans="1:12" ht="15.75">
      <c r="A41" s="27" t="str">
        <v>M144</v>
      </c>
      <c r="B41" s="28" t="str">
        <v>NY</v>
      </c>
      <c r="C41" s="28" t="str">
        <f>Sites[[#This Row],[SOL'#]]</f>
        <v>SOL-10385</v>
      </c>
      <c r="D41" s="10">
        <v>27745.046875</v>
      </c>
      <c r="E41" s="15">
        <v>0</v>
      </c>
      <c r="F41" s="15">
        <f t="shared" si="4"/>
        <v>27745.046875</v>
      </c>
      <c r="G41" s="16" t="str">
        <f t="shared" si="5"/>
        <v/>
      </c>
      <c r="H41" s="17">
        <v>0</v>
      </c>
      <c r="I41" s="17">
        <f t="shared" si="6"/>
        <v>27745.046875</v>
      </c>
      <c r="J41" s="16" t="str">
        <f t="shared" si="7"/>
        <v/>
      </c>
      <c r="K41" s="39"/>
      <c r="L41" s="39"/>
    </row>
    <row r="42" spans="1:12" ht="15.75">
      <c r="A42" s="25" t="str">
        <v>M167</v>
      </c>
      <c r="B42" s="26" t="str">
        <v>NY</v>
      </c>
      <c r="C42" s="26" t="str">
        <f>Sites[[#This Row],[SOL'#]]</f>
        <v>SOL-10386</v>
      </c>
      <c r="D42" s="21">
        <v>21029.287109375</v>
      </c>
      <c r="E42" s="11">
        <v>15675.65</v>
      </c>
      <c r="F42" s="11">
        <f t="shared" si="4"/>
        <v>5353.6371093750004</v>
      </c>
      <c r="G42" s="12">
        <f t="shared" si="5"/>
        <v>0.34152568533840705</v>
      </c>
      <c r="H42" s="13">
        <v>19330.91</v>
      </c>
      <c r="I42" s="13">
        <f t="shared" si="6"/>
        <v>1698.3771093750001</v>
      </c>
      <c r="J42" s="14">
        <f t="shared" si="7"/>
        <v>8.7858104423175126E-2</v>
      </c>
      <c r="K42" s="38"/>
      <c r="L42" s="38"/>
    </row>
    <row r="43" spans="1:12" ht="15.75">
      <c r="A43" s="27" t="str">
        <v>M188</v>
      </c>
      <c r="B43" s="28" t="str">
        <v>NY</v>
      </c>
      <c r="C43" s="28" t="str">
        <f>Sites[[#This Row],[SOL'#]]</f>
        <v>SOL-10387</v>
      </c>
      <c r="D43" s="10">
        <v>15230.658515625</v>
      </c>
      <c r="E43" s="15">
        <v>0</v>
      </c>
      <c r="F43" s="15">
        <f t="shared" si="4"/>
        <v>15230.658515625</v>
      </c>
      <c r="G43" s="16" t="str">
        <f t="shared" si="5"/>
        <v/>
      </c>
      <c r="H43" s="17">
        <v>0</v>
      </c>
      <c r="I43" s="17">
        <f t="shared" si="6"/>
        <v>15230.658515625</v>
      </c>
      <c r="J43" s="16" t="str">
        <f t="shared" si="7"/>
        <v/>
      </c>
      <c r="K43" s="39"/>
      <c r="L43" s="40"/>
    </row>
    <row r="44" spans="1:12" ht="15.75">
      <c r="A44" s="25" t="str">
        <v>EMHC</v>
      </c>
      <c r="B44" s="26" t="str">
        <v>NY</v>
      </c>
      <c r="C44" s="26" t="str">
        <f>Sites[[#This Row],[SOL'#]]</f>
        <v>SOL-10351</v>
      </c>
      <c r="D44" s="21">
        <v>4392.8269115846497</v>
      </c>
      <c r="E44" s="11">
        <v>0</v>
      </c>
      <c r="F44" s="11">
        <f t="shared" si="4"/>
        <v>4392.8269115846497</v>
      </c>
      <c r="G44" s="12" t="str">
        <f t="shared" si="5"/>
        <v/>
      </c>
      <c r="H44" s="13">
        <v>0</v>
      </c>
      <c r="I44" s="13">
        <f t="shared" si="6"/>
        <v>4392.8269115846497</v>
      </c>
      <c r="J44" s="14" t="str">
        <f t="shared" si="7"/>
        <v/>
      </c>
      <c r="K44" s="38"/>
      <c r="L44" s="38"/>
    </row>
    <row r="45" spans="1:12" ht="15.75">
      <c r="A45" s="27" t="str">
        <v>Q008</v>
      </c>
      <c r="B45" s="28" t="str">
        <v>NY</v>
      </c>
      <c r="C45" s="28" t="str">
        <f>Sites[[#This Row],[SOL'#]]</f>
        <v>SOL-10397</v>
      </c>
      <c r="D45" s="10">
        <v>24188.484375</v>
      </c>
      <c r="E45" s="15">
        <v>23582.52</v>
      </c>
      <c r="F45" s="15">
        <f t="shared" si="4"/>
        <v>605.96437499999956</v>
      </c>
      <c r="G45" s="16">
        <f t="shared" si="5"/>
        <v>2.5695488650067912E-2</v>
      </c>
      <c r="H45" s="17">
        <v>25030</v>
      </c>
      <c r="I45" s="17">
        <f t="shared" si="6"/>
        <v>-841.515625</v>
      </c>
      <c r="J45" s="16">
        <f t="shared" si="7"/>
        <v>-3.3620280663204154E-2</v>
      </c>
      <c r="K45" s="39"/>
      <c r="L45" s="40"/>
    </row>
    <row r="46" spans="1:12" ht="15.75">
      <c r="A46" s="25" t="str">
        <v>Q018</v>
      </c>
      <c r="B46" s="26" t="str">
        <v>NY</v>
      </c>
      <c r="C46" s="26" t="str">
        <f>Sites[[#This Row],[SOL'#]]</f>
        <v>SOL-10398</v>
      </c>
      <c r="D46" s="21">
        <v>16216.9375</v>
      </c>
      <c r="E46" s="11">
        <v>14933.98</v>
      </c>
      <c r="F46" s="11">
        <f t="shared" si="4"/>
        <v>1282.9575000000004</v>
      </c>
      <c r="G46" s="12">
        <f t="shared" si="5"/>
        <v>8.5908612439550641E-2</v>
      </c>
      <c r="H46" s="13">
        <v>18170.75</v>
      </c>
      <c r="I46" s="13">
        <f t="shared" si="6"/>
        <v>-1953.8125</v>
      </c>
      <c r="J46" s="14">
        <f t="shared" si="7"/>
        <v>-0.10752514343106366</v>
      </c>
      <c r="K46" s="38"/>
      <c r="L46" s="38"/>
    </row>
    <row r="47" spans="1:12" ht="15.75">
      <c r="A47" s="27" t="str">
        <v>Q021</v>
      </c>
      <c r="B47" s="28" t="str">
        <v>NY</v>
      </c>
      <c r="C47" s="28" t="str">
        <f>Sites[[#This Row],[SOL'#]]</f>
        <v>SOL-10399</v>
      </c>
      <c r="D47" s="10">
        <v>12773.5</v>
      </c>
      <c r="E47" s="15">
        <v>13011.63</v>
      </c>
      <c r="F47" s="15">
        <f t="shared" si="4"/>
        <v>-238.1299999999992</v>
      </c>
      <c r="G47" s="16">
        <f t="shared" si="5"/>
        <v>-1.8301319665560672E-2</v>
      </c>
      <c r="H47" s="17">
        <v>7333.4089999999997</v>
      </c>
      <c r="I47" s="17">
        <f t="shared" si="6"/>
        <v>5440.0910000000003</v>
      </c>
      <c r="J47" s="16">
        <f t="shared" si="7"/>
        <v>0.74182293664515375</v>
      </c>
      <c r="K47" s="39"/>
      <c r="L47" s="40"/>
    </row>
    <row r="48" spans="1:12" ht="15.75">
      <c r="A48" s="25" t="str">
        <v>Q025</v>
      </c>
      <c r="B48" s="26" t="str">
        <v>NY</v>
      </c>
      <c r="C48" s="26" t="str">
        <f>Sites[[#This Row],[SOL'#]]</f>
        <v>SOL-10400</v>
      </c>
      <c r="D48" s="21">
        <v>21273.6875</v>
      </c>
      <c r="E48" s="11">
        <v>21733.1</v>
      </c>
      <c r="F48" s="11">
        <f t="shared" si="4"/>
        <v>-459.41249999999854</v>
      </c>
      <c r="G48" s="12">
        <f t="shared" si="5"/>
        <v>-2.1138838913914656E-2</v>
      </c>
      <c r="H48" s="13">
        <v>12738</v>
      </c>
      <c r="I48" s="13">
        <f t="shared" si="6"/>
        <v>8535.6875</v>
      </c>
      <c r="J48" s="14">
        <f t="shared" si="7"/>
        <v>0.67009636520646887</v>
      </c>
      <c r="K48" s="38"/>
      <c r="L48" s="38"/>
    </row>
    <row r="49" spans="1:12" ht="15.75">
      <c r="A49" s="27" t="str">
        <v>Q074</v>
      </c>
      <c r="B49" s="28" t="str">
        <v>NY</v>
      </c>
      <c r="C49" s="28" t="str">
        <f>Sites[[#This Row],[SOL'#]]</f>
        <v>SOL-10402</v>
      </c>
      <c r="D49" s="10">
        <v>14048.15625</v>
      </c>
      <c r="E49" s="15">
        <v>13983.17</v>
      </c>
      <c r="F49" s="15">
        <f t="shared" si="4"/>
        <v>64.986249999999927</v>
      </c>
      <c r="G49" s="16">
        <f t="shared" si="5"/>
        <v>4.6474619131427232E-3</v>
      </c>
      <c r="H49" s="17">
        <v>14504.74</v>
      </c>
      <c r="I49" s="17">
        <f t="shared" si="6"/>
        <v>-456.58374999999978</v>
      </c>
      <c r="J49" s="16">
        <f t="shared" si="7"/>
        <v>-3.1478244353225208E-2</v>
      </c>
      <c r="K49" s="39"/>
      <c r="L49" s="40"/>
    </row>
    <row r="50" spans="1:12" ht="15.75">
      <c r="A50" s="25" t="str">
        <v>Q115</v>
      </c>
      <c r="B50" s="26" t="str">
        <v>NY</v>
      </c>
      <c r="C50" s="26" t="str">
        <f>Sites[[#This Row],[SOL'#]]</f>
        <v>SOL-10872</v>
      </c>
      <c r="D50" s="21">
        <v>18469.8125</v>
      </c>
      <c r="E50" s="11">
        <v>19575.12</v>
      </c>
      <c r="F50" s="11">
        <f t="shared" si="4"/>
        <v>-1105.307499999999</v>
      </c>
      <c r="G50" s="12">
        <f t="shared" si="5"/>
        <v>-5.6464915668460729E-2</v>
      </c>
      <c r="H50" s="13">
        <v>20694.830000000002</v>
      </c>
      <c r="I50" s="13">
        <f t="shared" si="6"/>
        <v>-2225.0175000000017</v>
      </c>
      <c r="J50" s="14">
        <f t="shared" si="7"/>
        <v>-0.10751562105124814</v>
      </c>
      <c r="K50" s="38"/>
      <c r="L50" s="38"/>
    </row>
    <row r="51" spans="1:12" ht="15.75">
      <c r="A51" s="27" t="str">
        <v>Q139</v>
      </c>
      <c r="B51" s="28" t="str">
        <v>NY</v>
      </c>
      <c r="C51" s="28" t="str">
        <f>Sites[[#This Row],[SOL'#]]</f>
        <v>SOL-10403</v>
      </c>
      <c r="D51" s="10">
        <v>10877.1875</v>
      </c>
      <c r="E51" s="15">
        <v>10845.05</v>
      </c>
      <c r="F51" s="15">
        <f t="shared" si="4"/>
        <v>32.137500000000728</v>
      </c>
      <c r="G51" s="16">
        <f t="shared" si="5"/>
        <v>2.9633335023813382E-3</v>
      </c>
      <c r="H51" s="17">
        <v>11147</v>
      </c>
      <c r="I51" s="17">
        <f t="shared" si="6"/>
        <v>-269.8125</v>
      </c>
      <c r="J51" s="16">
        <f t="shared" si="7"/>
        <v>-2.4204943034000181E-2</v>
      </c>
      <c r="K51" s="39"/>
      <c r="L51" s="40"/>
    </row>
    <row r="52" spans="1:12" ht="15.75">
      <c r="A52" s="25" t="str">
        <v>Q157</v>
      </c>
      <c r="B52" s="26" t="str">
        <v>NY</v>
      </c>
      <c r="C52" s="26" t="str">
        <f>Sites[[#This Row],[SOL'#]]</f>
        <v>SOL-10404</v>
      </c>
      <c r="D52" s="21">
        <v>18581.125</v>
      </c>
      <c r="E52" s="11">
        <v>20964.98</v>
      </c>
      <c r="F52" s="11">
        <f t="shared" si="4"/>
        <v>-2383.8549999999996</v>
      </c>
      <c r="G52" s="12">
        <f t="shared" si="5"/>
        <v>-0.11370652392704403</v>
      </c>
      <c r="H52" s="13">
        <v>21438.27</v>
      </c>
      <c r="I52" s="13">
        <f t="shared" si="6"/>
        <v>-2857.1450000000004</v>
      </c>
      <c r="J52" s="14">
        <f t="shared" si="7"/>
        <v>-0.13327311392197227</v>
      </c>
      <c r="K52" s="38"/>
      <c r="L52" s="38"/>
    </row>
    <row r="53" spans="1:12" ht="15.75">
      <c r="A53" s="27" t="str">
        <v>Q192</v>
      </c>
      <c r="B53" s="28" t="str">
        <v>NY</v>
      </c>
      <c r="C53" s="28" t="str">
        <f>Sites[[#This Row],[SOL'#]]</f>
        <v>SOL-10406</v>
      </c>
      <c r="D53" s="10">
        <v>30148.75</v>
      </c>
      <c r="E53" s="15">
        <v>32400.26</v>
      </c>
      <c r="F53" s="15">
        <f t="shared" si="4"/>
        <v>-2251.5099999999984</v>
      </c>
      <c r="G53" s="16">
        <f t="shared" si="5"/>
        <v>-6.9490491742967453E-2</v>
      </c>
      <c r="H53" s="17">
        <v>31510.2</v>
      </c>
      <c r="I53" s="17">
        <f t="shared" si="6"/>
        <v>-1361.4500000000007</v>
      </c>
      <c r="J53" s="16">
        <f t="shared" si="7"/>
        <v>-4.3206644197751859E-2</v>
      </c>
      <c r="K53" s="39"/>
      <c r="L53" s="39"/>
    </row>
    <row r="54" spans="1:12" ht="15.75">
      <c r="A54" s="25" t="str">
        <v>Q210</v>
      </c>
      <c r="B54" s="26" t="str">
        <v>NY</v>
      </c>
      <c r="C54" s="26" t="str">
        <f>Sites[[#This Row],[SOL'#]]</f>
        <v>SOL-10407</v>
      </c>
      <c r="D54" s="21">
        <v>24844.5</v>
      </c>
      <c r="E54" s="11">
        <v>23654.31</v>
      </c>
      <c r="F54" s="11">
        <f t="shared" si="4"/>
        <v>1190.1899999999987</v>
      </c>
      <c r="G54" s="12">
        <f t="shared" si="5"/>
        <v>5.0315988925485403E-2</v>
      </c>
      <c r="H54" s="13">
        <v>22560</v>
      </c>
      <c r="I54" s="13">
        <f t="shared" si="6"/>
        <v>2284.5</v>
      </c>
      <c r="J54" s="14">
        <f t="shared" si="7"/>
        <v>0.10126329787234042</v>
      </c>
      <c r="K54" s="38"/>
      <c r="L54" s="38"/>
    </row>
    <row r="55" spans="1:12" ht="15.75">
      <c r="A55" s="27" t="str">
        <v>Q229</v>
      </c>
      <c r="B55" s="28" t="str">
        <v>NY</v>
      </c>
      <c r="C55" s="28" t="str">
        <f>Sites[[#This Row],[SOL'#]]</f>
        <v>SOL-10408</v>
      </c>
      <c r="D55" s="10">
        <v>10932.9375</v>
      </c>
      <c r="E55" s="15">
        <v>11221.02</v>
      </c>
      <c r="F55" s="15">
        <f t="shared" si="4"/>
        <v>-288.08250000000044</v>
      </c>
      <c r="G55" s="16">
        <f t="shared" si="5"/>
        <v>-2.5673468187384071E-2</v>
      </c>
      <c r="H55" s="17">
        <v>12926.66</v>
      </c>
      <c r="I55" s="17">
        <f t="shared" si="6"/>
        <v>-1993.7224999999999</v>
      </c>
      <c r="J55" s="16">
        <f t="shared" si="7"/>
        <v>-0.15423338279184259</v>
      </c>
      <c r="K55" s="39"/>
      <c r="L55" s="40"/>
    </row>
    <row r="56" spans="1:12" ht="28.5">
      <c r="A56" s="25" t="str">
        <v>Q231</v>
      </c>
      <c r="B56" s="26" t="str">
        <v>NY</v>
      </c>
      <c r="C56" s="26" t="str">
        <f>Sites[[#This Row],[SOL'#]]</f>
        <v>SOL-10870</v>
      </c>
      <c r="D56" s="21">
        <v>38473.0625</v>
      </c>
      <c r="E56" s="11">
        <v>40491.79</v>
      </c>
      <c r="F56" s="11">
        <f t="shared" si="4"/>
        <v>-2018.7275000000009</v>
      </c>
      <c r="G56" s="12">
        <f t="shared" si="5"/>
        <v>-4.985522991203898E-2</v>
      </c>
      <c r="H56" s="13">
        <v>0</v>
      </c>
      <c r="I56" s="13">
        <f t="shared" si="6"/>
        <v>38473.0625</v>
      </c>
      <c r="J56" s="14" t="str">
        <f t="shared" si="7"/>
        <v/>
      </c>
      <c r="K56" s="38" t="s">
        <v>262</v>
      </c>
      <c r="L56" s="38" t="s">
        <v>263</v>
      </c>
    </row>
    <row r="57" spans="1:12" ht="15.75">
      <c r="A57" s="27" t="str">
        <v>Q405</v>
      </c>
      <c r="B57" s="28" t="str">
        <v>NY</v>
      </c>
      <c r="C57" s="28" t="str">
        <f>Sites[[#This Row],[SOL'#]]</f>
        <v>SOL-10409</v>
      </c>
      <c r="D57" s="10">
        <v>44961.625</v>
      </c>
      <c r="E57" s="15">
        <v>44943.98</v>
      </c>
      <c r="F57" s="15">
        <f t="shared" si="4"/>
        <v>17.644999999996799</v>
      </c>
      <c r="G57" s="16">
        <f t="shared" si="5"/>
        <v>3.9259985430744666E-4</v>
      </c>
      <c r="H57" s="17">
        <v>38116.35</v>
      </c>
      <c r="I57" s="17">
        <f t="shared" si="6"/>
        <v>6845.2750000000015</v>
      </c>
      <c r="J57" s="16">
        <f t="shared" si="7"/>
        <v>0.17958894280276055</v>
      </c>
      <c r="K57" s="39"/>
      <c r="L57" s="40"/>
    </row>
    <row r="58" spans="1:12" ht="15.75">
      <c r="A58" s="25" t="str">
        <v>Q435</v>
      </c>
      <c r="B58" s="26" t="str">
        <v>NY</v>
      </c>
      <c r="C58" s="26" t="str">
        <f>Sites[[#This Row],[SOL'#]]</f>
        <v>SOL-10923</v>
      </c>
      <c r="D58" s="21">
        <v>0</v>
      </c>
      <c r="E58" s="11">
        <v>0</v>
      </c>
      <c r="F58" s="11">
        <f t="shared" si="4"/>
        <v>0</v>
      </c>
      <c r="G58" s="12" t="str">
        <f t="shared" si="5"/>
        <v/>
      </c>
      <c r="H58" s="13">
        <v>0</v>
      </c>
      <c r="I58" s="13">
        <f t="shared" si="6"/>
        <v>0</v>
      </c>
      <c r="J58" s="14" t="str">
        <f t="shared" si="7"/>
        <v/>
      </c>
      <c r="K58" s="66" t="s">
        <v>264</v>
      </c>
      <c r="L58" s="66" t="s">
        <v>265</v>
      </c>
    </row>
    <row r="59" spans="1:12" ht="15.75">
      <c r="A59" s="27" t="str">
        <v>Q485</v>
      </c>
      <c r="B59" s="28" t="str">
        <v>NY</v>
      </c>
      <c r="C59" s="28" t="str">
        <f>Sites[[#This Row],[SOL'#]]</f>
        <v>SOL-10869</v>
      </c>
      <c r="D59" s="10">
        <v>53745.268007812498</v>
      </c>
      <c r="E59" s="15">
        <v>40763.14</v>
      </c>
      <c r="F59" s="15">
        <f t="shared" si="4"/>
        <v>12982.128007812498</v>
      </c>
      <c r="G59" s="16">
        <f t="shared" si="5"/>
        <v>0.31847713419065604</v>
      </c>
      <c r="H59" s="17">
        <v>43927.16</v>
      </c>
      <c r="I59" s="17">
        <f t="shared" si="6"/>
        <v>9818.1080078124942</v>
      </c>
      <c r="J59" s="16">
        <f t="shared" si="7"/>
        <v>0.22350882706308564</v>
      </c>
      <c r="K59" s="39"/>
      <c r="L59" s="40"/>
    </row>
    <row r="60" spans="1:12" ht="15.75">
      <c r="A60" s="25" t="str">
        <v>Q490</v>
      </c>
      <c r="B60" s="26" t="str">
        <v>NY</v>
      </c>
      <c r="C60" s="26" t="str">
        <f>Sites[[#This Row],[SOL'#]]</f>
        <v>SOL-10411</v>
      </c>
      <c r="D60" s="21">
        <v>38784.8106435644</v>
      </c>
      <c r="E60" s="11" t="s">
        <v>24</v>
      </c>
      <c r="F60" s="11" t="str">
        <f t="shared" si="4"/>
        <v/>
      </c>
      <c r="G60" s="12" t="str">
        <f t="shared" si="5"/>
        <v/>
      </c>
      <c r="H60" s="13">
        <v>40666.44</v>
      </c>
      <c r="I60" s="13">
        <f t="shared" si="6"/>
        <v>-1881.6293564356019</v>
      </c>
      <c r="J60" s="14">
        <f t="shared" si="7"/>
        <v>-4.6269832236005948E-2</v>
      </c>
      <c r="K60" s="38"/>
      <c r="L60" s="38"/>
    </row>
    <row r="61" spans="1:12" ht="15.75">
      <c r="A61" s="27" t="str">
        <v>Q620</v>
      </c>
      <c r="B61" s="28" t="str">
        <v>NY</v>
      </c>
      <c r="C61" s="28" t="str">
        <f>Sites[[#This Row],[SOL'#]]</f>
        <v>SOL-10867</v>
      </c>
      <c r="D61" s="10">
        <v>58156.5</v>
      </c>
      <c r="E61" s="15">
        <v>58634.66</v>
      </c>
      <c r="F61" s="15">
        <f t="shared" si="4"/>
        <v>-478.16000000000349</v>
      </c>
      <c r="G61" s="16">
        <f t="shared" si="5"/>
        <v>-8.1549036013853146E-3</v>
      </c>
      <c r="H61" s="17">
        <v>62590.83</v>
      </c>
      <c r="I61" s="17">
        <f t="shared" si="6"/>
        <v>-4434.3300000000017</v>
      </c>
      <c r="J61" s="16">
        <f t="shared" si="7"/>
        <v>-7.0846320459402784E-2</v>
      </c>
      <c r="K61" s="39"/>
      <c r="L61" s="40"/>
    </row>
    <row r="62" spans="1:12" ht="15.75">
      <c r="A62" s="25" t="str">
        <v>QMOA</v>
      </c>
      <c r="B62" s="26" t="str">
        <v>NY</v>
      </c>
      <c r="C62" s="26" t="str">
        <f>Sites[[#This Row],[SOL'#]]</f>
        <v>SOL-10415</v>
      </c>
      <c r="D62" s="21">
        <v>4986.5</v>
      </c>
      <c r="E62" s="11" t="s">
        <v>24</v>
      </c>
      <c r="F62" s="11" t="str">
        <f t="shared" si="4"/>
        <v/>
      </c>
      <c r="G62" s="12" t="str">
        <f t="shared" si="5"/>
        <v/>
      </c>
      <c r="H62" s="13">
        <v>5158.6710000000003</v>
      </c>
      <c r="I62" s="13">
        <f t="shared" si="6"/>
        <v>-172.17100000000028</v>
      </c>
      <c r="J62" s="14">
        <f t="shared" si="7"/>
        <v>-3.3375068888866974E-2</v>
      </c>
      <c r="K62" s="38"/>
      <c r="L62" s="38"/>
    </row>
    <row r="63" spans="1:12" ht="15.75">
      <c r="A63" s="27" t="str">
        <v>X024</v>
      </c>
      <c r="B63" s="28" t="str">
        <v>NY</v>
      </c>
      <c r="C63" s="28" t="str">
        <f>Sites[[#This Row],[SOL'#]]</f>
        <v>SOL-10419</v>
      </c>
      <c r="D63" s="10">
        <v>22464</v>
      </c>
      <c r="E63" s="15">
        <v>0</v>
      </c>
      <c r="F63" s="15">
        <f t="shared" si="4"/>
        <v>22464</v>
      </c>
      <c r="G63" s="16" t="str">
        <f t="shared" si="5"/>
        <v/>
      </c>
      <c r="H63" s="17">
        <v>0</v>
      </c>
      <c r="I63" s="17">
        <f t="shared" si="6"/>
        <v>22464</v>
      </c>
      <c r="J63" s="16" t="str">
        <f t="shared" si="7"/>
        <v/>
      </c>
      <c r="K63" s="39"/>
      <c r="L63" s="40"/>
    </row>
    <row r="64" spans="1:12" ht="15.75">
      <c r="A64" s="25" t="str">
        <v>X026</v>
      </c>
      <c r="B64" s="26" t="str">
        <v>NY</v>
      </c>
      <c r="C64" s="26" t="str">
        <f>Sites[[#This Row],[SOL'#]]</f>
        <v>SOL-10420</v>
      </c>
      <c r="D64" s="21">
        <v>17410.099999999999</v>
      </c>
      <c r="E64" s="11">
        <v>18695.32</v>
      </c>
      <c r="F64" s="11">
        <f t="shared" si="4"/>
        <v>-1285.2200000000012</v>
      </c>
      <c r="G64" s="12">
        <f t="shared" si="5"/>
        <v>-6.8745547013905145E-2</v>
      </c>
      <c r="H64" s="13">
        <v>22181.89</v>
      </c>
      <c r="I64" s="13">
        <f t="shared" si="6"/>
        <v>-4771.7900000000009</v>
      </c>
      <c r="J64" s="14">
        <f t="shared" si="7"/>
        <v>-0.21512098382960157</v>
      </c>
      <c r="K64" s="66" t="s">
        <v>266</v>
      </c>
      <c r="L64" s="66" t="s">
        <v>267</v>
      </c>
    </row>
    <row r="65" spans="1:12" ht="15.75">
      <c r="A65" s="27" t="str">
        <v>X090</v>
      </c>
      <c r="B65" s="28" t="str">
        <v>NY</v>
      </c>
      <c r="C65" s="28" t="str">
        <f>Sites[[#This Row],[SOL'#]]</f>
        <v>SOL-10925</v>
      </c>
      <c r="D65" s="10">
        <v>16916.5703125</v>
      </c>
      <c r="E65" s="15">
        <v>13225.85</v>
      </c>
      <c r="F65" s="15">
        <f t="shared" si="4"/>
        <v>3690.7203124999996</v>
      </c>
      <c r="G65" s="16">
        <f t="shared" si="5"/>
        <v>0.27905354381759961</v>
      </c>
      <c r="H65" s="17">
        <v>15094</v>
      </c>
      <c r="I65" s="17">
        <f t="shared" si="6"/>
        <v>1822.5703125</v>
      </c>
      <c r="J65" s="16">
        <f t="shared" si="7"/>
        <v>0.12074800003312575</v>
      </c>
      <c r="K65" s="39"/>
      <c r="L65" s="39"/>
    </row>
    <row r="66" spans="1:12" ht="15.75">
      <c r="A66" s="25" t="str">
        <v>X117</v>
      </c>
      <c r="B66" s="26" t="str">
        <v>NY</v>
      </c>
      <c r="C66" s="26" t="str">
        <f>Sites[[#This Row],[SOL'#]]</f>
        <v>SOL-10422</v>
      </c>
      <c r="D66" s="21">
        <v>13455</v>
      </c>
      <c r="E66" s="11">
        <v>15855.09</v>
      </c>
      <c r="F66" s="11">
        <f t="shared" si="4"/>
        <v>-2400.09</v>
      </c>
      <c r="G66" s="12">
        <f t="shared" si="5"/>
        <v>-0.15137662416296596</v>
      </c>
      <c r="H66" s="13">
        <v>23583</v>
      </c>
      <c r="I66" s="13">
        <f t="shared" si="6"/>
        <v>-10128</v>
      </c>
      <c r="J66" s="14">
        <f t="shared" si="7"/>
        <v>-0.42946190052156213</v>
      </c>
      <c r="K66" s="38"/>
      <c r="L66" s="38"/>
    </row>
    <row r="67" spans="1:12" ht="15.75">
      <c r="A67" s="27" t="str">
        <v>X125</v>
      </c>
      <c r="B67" s="28" t="str">
        <v>NY</v>
      </c>
      <c r="C67" s="28" t="str">
        <f>Sites[[#This Row],[SOL'#]]</f>
        <v>SOL-10423</v>
      </c>
      <c r="D67" s="10">
        <v>26170.4375</v>
      </c>
      <c r="E67" s="15">
        <v>27691.59</v>
      </c>
      <c r="F67" s="15">
        <f t="shared" si="4"/>
        <v>-1521.1525000000001</v>
      </c>
      <c r="G67" s="16">
        <f t="shared" si="5"/>
        <v>-5.4931930596979088E-2</v>
      </c>
      <c r="H67" s="17">
        <v>19153.71</v>
      </c>
      <c r="I67" s="17">
        <f t="shared" si="6"/>
        <v>7016.7275000000009</v>
      </c>
      <c r="J67" s="16">
        <f t="shared" si="7"/>
        <v>0.36633777477052754</v>
      </c>
      <c r="K67" s="39"/>
      <c r="L67" s="40"/>
    </row>
    <row r="68" spans="1:12" ht="15.75">
      <c r="A68" s="25" t="str">
        <v>X134</v>
      </c>
      <c r="B68" s="26" t="str">
        <v>NY</v>
      </c>
      <c r="C68" s="26" t="str">
        <f>Sites[[#This Row],[SOL'#]]</f>
        <v>SOL-10424</v>
      </c>
      <c r="D68" s="21">
        <v>24982.8125</v>
      </c>
      <c r="E68" s="11">
        <v>0</v>
      </c>
      <c r="F68" s="11">
        <f>IF(AND(ISNUMBER(D68),ISNUMBER(E68)), D68-E68, "")</f>
        <v>24982.8125</v>
      </c>
      <c r="G68" s="12" t="str">
        <f>IFERROR(F68/E68, "")</f>
        <v/>
      </c>
      <c r="H68" s="13">
        <v>0</v>
      </c>
      <c r="I68" s="13">
        <f>IF(AND(ISNUMBER(D68),ISNUMBER(H68)), D68-H68, "")</f>
        <v>24982.8125</v>
      </c>
      <c r="J68" s="14" t="str">
        <f>IFERROR(I68/H68, "")</f>
        <v/>
      </c>
      <c r="K68" s="38"/>
      <c r="L68" s="38"/>
    </row>
    <row r="69" spans="1:12" ht="15.75">
      <c r="A69" s="27" t="str">
        <v>X135</v>
      </c>
      <c r="B69" s="28" t="str">
        <v>NY</v>
      </c>
      <c r="C69" s="28" t="str">
        <f>Sites[[#This Row],[SOL'#]]</f>
        <v>SOL-10425</v>
      </c>
      <c r="D69" s="10">
        <v>19923.84375</v>
      </c>
      <c r="E69" s="15">
        <v>0</v>
      </c>
      <c r="F69" s="15">
        <f t="shared" si="4"/>
        <v>19923.84375</v>
      </c>
      <c r="G69" s="16" t="str">
        <f t="shared" si="5"/>
        <v/>
      </c>
      <c r="H69" s="17">
        <v>0</v>
      </c>
      <c r="I69" s="17">
        <f t="shared" si="6"/>
        <v>19923.84375</v>
      </c>
      <c r="J69" s="16" t="str">
        <f t="shared" si="7"/>
        <v/>
      </c>
      <c r="K69" s="39"/>
      <c r="L69" s="40"/>
    </row>
    <row r="70" spans="1:12" ht="15.75">
      <c r="A70" s="25" t="str">
        <v>X139 JHS 222</v>
      </c>
      <c r="B70" s="26" t="str">
        <v>NY</v>
      </c>
      <c r="C70" s="26" t="str">
        <f>Sites[[#This Row],[SOL'#]]</f>
        <v>SOL-10426</v>
      </c>
      <c r="D70" s="21">
        <v>32288.4169392033</v>
      </c>
      <c r="E70" s="11">
        <v>33629.4</v>
      </c>
      <c r="F70" s="11">
        <f t="shared" si="4"/>
        <v>-1340.9830607967015</v>
      </c>
      <c r="G70" s="12">
        <f t="shared" si="5"/>
        <v>-3.9875319238425348E-2</v>
      </c>
      <c r="H70" s="13">
        <v>34382</v>
      </c>
      <c r="I70" s="13">
        <f t="shared" si="6"/>
        <v>-2093.5830607967</v>
      </c>
      <c r="J70" s="14">
        <f t="shared" si="7"/>
        <v>-6.0891834704109707E-2</v>
      </c>
      <c r="K70" s="38"/>
      <c r="L70" s="38"/>
    </row>
    <row r="71" spans="1:12" ht="15.75">
      <c r="A71" s="27" t="str">
        <v>X140</v>
      </c>
      <c r="B71" s="28" t="str">
        <v>NY</v>
      </c>
      <c r="C71" s="28" t="str">
        <f>Sites[[#This Row],[SOL'#]]</f>
        <v>SOL-10926</v>
      </c>
      <c r="D71" s="10">
        <v>17641</v>
      </c>
      <c r="E71" s="15">
        <v>15530</v>
      </c>
      <c r="F71" s="15">
        <f t="shared" si="4"/>
        <v>2111</v>
      </c>
      <c r="G71" s="16">
        <f t="shared" si="5"/>
        <v>0.1359304571796523</v>
      </c>
      <c r="H71" s="17">
        <v>15996</v>
      </c>
      <c r="I71" s="17">
        <f t="shared" si="6"/>
        <v>1645</v>
      </c>
      <c r="J71" s="16">
        <f t="shared" si="7"/>
        <v>0.10283820955238809</v>
      </c>
      <c r="K71" s="39"/>
      <c r="L71" s="40"/>
    </row>
    <row r="72" spans="1:12" ht="15.75">
      <c r="A72" s="25" t="str">
        <v>X166</v>
      </c>
      <c r="B72" s="26" t="str">
        <v>NY</v>
      </c>
      <c r="C72" s="26" t="str">
        <f>Sites[[#This Row],[SOL'#]]</f>
        <v>SOL-10427</v>
      </c>
      <c r="D72" s="21">
        <v>18860.8</v>
      </c>
      <c r="E72" s="11">
        <v>18371.54</v>
      </c>
      <c r="F72" s="11">
        <f t="shared" si="4"/>
        <v>489.2599999999984</v>
      </c>
      <c r="G72" s="12">
        <f t="shared" si="5"/>
        <v>2.663140923406521E-2</v>
      </c>
      <c r="H72" s="13">
        <v>0</v>
      </c>
      <c r="I72" s="13">
        <f t="shared" si="6"/>
        <v>18860.8</v>
      </c>
      <c r="J72" s="14" t="str">
        <f t="shared" si="7"/>
        <v/>
      </c>
      <c r="K72" s="38"/>
      <c r="L72" s="38"/>
    </row>
    <row r="73" spans="1:12" ht="53.25" customHeight="1">
      <c r="A73" s="27" t="str">
        <v>Murphy</v>
      </c>
      <c r="B73" s="28" t="str">
        <v>MN</v>
      </c>
      <c r="C73" s="28" t="str">
        <f>Sites[[#This Row],[SOL'#]]</f>
        <v>SOL-10094</v>
      </c>
      <c r="D73" s="10">
        <v>770630</v>
      </c>
      <c r="E73" s="15">
        <v>819414.3</v>
      </c>
      <c r="F73" s="15">
        <f t="shared" si="4"/>
        <v>-48784.300000000047</v>
      </c>
      <c r="G73" s="16">
        <f t="shared" si="5"/>
        <v>-5.9535573152677518E-2</v>
      </c>
      <c r="H73" s="17">
        <v>837992.8</v>
      </c>
      <c r="I73" s="17">
        <f t="shared" si="6"/>
        <v>-67362.800000000047</v>
      </c>
      <c r="J73" s="16">
        <f t="shared" si="7"/>
        <v>-8.0385893530350194E-2</v>
      </c>
      <c r="K73" s="39" t="s">
        <v>268</v>
      </c>
      <c r="L73" s="40" t="s">
        <v>269</v>
      </c>
    </row>
    <row r="74" spans="1:12" ht="15.75">
      <c r="A74" s="25" t="str">
        <v>Terning</v>
      </c>
      <c r="B74" s="26" t="str">
        <v>MN</v>
      </c>
      <c r="C74" s="26" t="str">
        <f>Sites[[#This Row],[SOL'#]]</f>
        <v>SOL-10093</v>
      </c>
      <c r="D74" s="21">
        <v>872406</v>
      </c>
      <c r="E74" s="11">
        <v>948035.2</v>
      </c>
      <c r="F74" s="11">
        <f t="shared" si="4"/>
        <v>-75629.199999999953</v>
      </c>
      <c r="G74" s="12">
        <f t="shared" si="5"/>
        <v>-7.9774675033163281E-2</v>
      </c>
      <c r="H74" s="13">
        <v>821225.2</v>
      </c>
      <c r="I74" s="13">
        <f t="shared" si="6"/>
        <v>51180.800000000047</v>
      </c>
      <c r="J74" s="14">
        <f t="shared" si="7"/>
        <v>6.2322490834426474E-2</v>
      </c>
      <c r="K74" s="38"/>
      <c r="L74" s="38"/>
    </row>
    <row r="75" spans="1:12" ht="15.75">
      <c r="A75" s="27" t="str">
        <v>Boas Road 04</v>
      </c>
      <c r="B75" s="28" t="str">
        <v>NY</v>
      </c>
      <c r="C75" s="28" t="str">
        <f>Sites[[#This Row],[SOL'#]]</f>
        <v>SOL-10908</v>
      </c>
      <c r="D75" s="86">
        <v>268362</v>
      </c>
      <c r="E75" s="87">
        <v>320248.15999999997</v>
      </c>
      <c r="F75" s="15">
        <f t="shared" si="4"/>
        <v>-51886.159999999974</v>
      </c>
      <c r="G75" s="16">
        <f t="shared" si="5"/>
        <v>-0.16201860457215422</v>
      </c>
      <c r="H75" s="86">
        <v>299474.2</v>
      </c>
      <c r="I75" s="17">
        <f t="shared" si="6"/>
        <v>-31112.200000000012</v>
      </c>
      <c r="J75" s="16">
        <f t="shared" si="7"/>
        <v>-0.10388941685126803</v>
      </c>
      <c r="K75" s="39" t="s">
        <v>270</v>
      </c>
      <c r="L75" s="40" t="s">
        <v>163</v>
      </c>
    </row>
    <row r="76" spans="1:12" ht="57">
      <c r="A76" s="25" t="str">
        <v>Kelly Bridge Farm</v>
      </c>
      <c r="B76" s="26" t="str">
        <v>NY</v>
      </c>
      <c r="C76" s="26" t="str">
        <f>Sites[[#This Row],[SOL'#]]</f>
        <v>SOL-10911</v>
      </c>
      <c r="D76" s="21">
        <v>277190</v>
      </c>
      <c r="E76" s="11">
        <v>283454.90000000002</v>
      </c>
      <c r="F76" s="11">
        <f t="shared" si="4"/>
        <v>-6264.9000000000233</v>
      </c>
      <c r="G76" s="12">
        <f t="shared" si="5"/>
        <v>-2.2101928737164264E-2</v>
      </c>
      <c r="H76" s="13">
        <v>330485.78000000003</v>
      </c>
      <c r="I76" s="13">
        <f t="shared" si="6"/>
        <v>-53295.780000000028</v>
      </c>
      <c r="J76" s="14">
        <f t="shared" si="7"/>
        <v>-0.16126497182420382</v>
      </c>
      <c r="K76" s="38" t="s">
        <v>271</v>
      </c>
      <c r="L76" s="38" t="s">
        <v>272</v>
      </c>
    </row>
    <row r="77" spans="1:12" ht="15.75">
      <c r="A77" s="27" t="str">
        <v>Pool Brook Road</v>
      </c>
      <c r="B77" s="28" t="str">
        <v>NY</v>
      </c>
      <c r="C77" s="28" t="str">
        <f>Sites[[#This Row],[SOL'#]]</f>
        <v>SOL-10909</v>
      </c>
      <c r="D77" s="88">
        <v>224156</v>
      </c>
      <c r="E77" s="87">
        <v>246274.06</v>
      </c>
      <c r="F77" s="15">
        <f t="shared" si="4"/>
        <v>-22118.059999999998</v>
      </c>
      <c r="G77" s="16">
        <f t="shared" si="5"/>
        <v>-8.9810757982387579E-2</v>
      </c>
      <c r="H77" s="88">
        <v>256031.69</v>
      </c>
      <c r="I77" s="17">
        <f t="shared" si="6"/>
        <v>-31875.690000000002</v>
      </c>
      <c r="J77" s="16">
        <f t="shared" si="7"/>
        <v>-0.12449900244770482</v>
      </c>
      <c r="K77" s="39"/>
      <c r="L77" s="39"/>
    </row>
    <row r="78" spans="1:12" ht="15.75">
      <c r="A78" s="25" t="str">
        <v>Sackett Lake</v>
      </c>
      <c r="B78" s="26" t="str">
        <v>NY</v>
      </c>
      <c r="C78" s="26" t="str">
        <f>Sites[[#This Row],[SOL'#]]</f>
        <v>SOL-10910</v>
      </c>
      <c r="D78" s="21">
        <v>281497</v>
      </c>
      <c r="E78" s="11">
        <v>294503.09000000003</v>
      </c>
      <c r="F78" s="11">
        <f t="shared" ref="F78:F139" si="8">IF(AND(ISNUMBER(D78),ISNUMBER(E78)), D78-E78, "")</f>
        <v>-13006.090000000026</v>
      </c>
      <c r="G78" s="12">
        <f t="shared" ref="G78:G138" si="9">IFERROR(F78/E78, "")</f>
        <v>-4.4162830345854859E-2</v>
      </c>
      <c r="H78" s="13">
        <v>308290.15000000002</v>
      </c>
      <c r="I78" s="13">
        <f t="shared" si="6"/>
        <v>-26793.150000000023</v>
      </c>
      <c r="J78" s="14">
        <f t="shared" si="7"/>
        <v>-8.690887464292979E-2</v>
      </c>
      <c r="K78" s="38" t="s">
        <v>273</v>
      </c>
      <c r="L78" s="38" t="s">
        <v>274</v>
      </c>
    </row>
    <row r="79" spans="1:12" ht="15.75">
      <c r="A79" s="27" t="str">
        <v>Burritt Road</v>
      </c>
      <c r="B79" s="28" t="str">
        <v>NY</v>
      </c>
      <c r="C79" s="28" t="str">
        <f>Sites[[#This Row],[SOL'#]]</f>
        <v>SOL-10913</v>
      </c>
      <c r="D79" s="10">
        <v>287110</v>
      </c>
      <c r="E79" s="15">
        <v>309262.42</v>
      </c>
      <c r="F79" s="15">
        <f t="shared" si="8"/>
        <v>-22152.419999999984</v>
      </c>
      <c r="G79" s="16">
        <f t="shared" si="9"/>
        <v>-7.1629847557941204E-2</v>
      </c>
      <c r="H79" s="17">
        <v>261564.22</v>
      </c>
      <c r="I79" s="17">
        <f t="shared" si="6"/>
        <v>25545.78</v>
      </c>
      <c r="J79" s="16">
        <f t="shared" si="7"/>
        <v>9.7665422281380837E-2</v>
      </c>
      <c r="K79" s="39"/>
      <c r="L79" s="40"/>
    </row>
    <row r="80" spans="1:12" ht="15.75">
      <c r="A80" s="25" t="str">
        <v>Villa Roma 1</v>
      </c>
      <c r="B80" s="26" t="str">
        <v>NY</v>
      </c>
      <c r="C80" s="26" t="str">
        <f>Sites[[#This Row],[SOL'#]]</f>
        <v>SOL-10914</v>
      </c>
      <c r="D80" s="21">
        <v>247197</v>
      </c>
      <c r="E80" s="11">
        <v>187438.62</v>
      </c>
      <c r="F80" s="11">
        <f t="shared" si="8"/>
        <v>59758.380000000005</v>
      </c>
      <c r="G80" s="12">
        <f t="shared" si="9"/>
        <v>0.31881572751655984</v>
      </c>
      <c r="H80" s="13">
        <v>229667.15</v>
      </c>
      <c r="I80" s="13">
        <f t="shared" si="6"/>
        <v>17529.850000000006</v>
      </c>
      <c r="J80" s="14">
        <f t="shared" si="7"/>
        <v>7.6327197860033558E-2</v>
      </c>
      <c r="K80" s="38"/>
      <c r="L80" s="38"/>
    </row>
    <row r="81" spans="1:12" ht="15.75">
      <c r="A81" s="27" t="str">
        <v>Villa Roma 2</v>
      </c>
      <c r="B81" s="28" t="str">
        <v>NY</v>
      </c>
      <c r="C81" s="28" t="str">
        <f>Sites[[#This Row],[SOL'#]]</f>
        <v>SOL-10915</v>
      </c>
      <c r="D81" s="10">
        <v>239163</v>
      </c>
      <c r="E81" s="15">
        <v>255555.88</v>
      </c>
      <c r="F81" s="15">
        <f t="shared" si="8"/>
        <v>-16392.880000000005</v>
      </c>
      <c r="G81" s="16">
        <f t="shared" si="9"/>
        <v>-6.4145970736419783E-2</v>
      </c>
      <c r="H81" s="17">
        <v>222310.5</v>
      </c>
      <c r="I81" s="17">
        <f t="shared" si="6"/>
        <v>16852.5</v>
      </c>
      <c r="J81" s="16">
        <f t="shared" si="7"/>
        <v>7.580613601246905E-2</v>
      </c>
      <c r="K81" s="39"/>
      <c r="L81" s="40"/>
    </row>
    <row r="82" spans="1:12" ht="15.75">
      <c r="A82" s="25" t="str">
        <v>Washington 1</v>
      </c>
      <c r="B82" s="26" t="str">
        <v>NY</v>
      </c>
      <c r="C82" s="26" t="str">
        <f>Sites[[#This Row],[SOL'#]]</f>
        <v>SOL-10912</v>
      </c>
      <c r="D82" s="21">
        <v>274890</v>
      </c>
      <c r="E82" s="11">
        <v>310472.96999999997</v>
      </c>
      <c r="F82" s="11">
        <f t="shared" si="8"/>
        <v>-35582.969999999972</v>
      </c>
      <c r="G82" s="12">
        <f t="shared" si="9"/>
        <v>-0.11460891426393729</v>
      </c>
      <c r="H82" s="13">
        <v>257720.66</v>
      </c>
      <c r="I82" s="13">
        <f t="shared" ref="I82:I138" si="10">IF(AND(ISNUMBER(D82),ISNUMBER(H82)), D82-H82, "")</f>
        <v>17169.339999999997</v>
      </c>
      <c r="J82" s="14">
        <f t="shared" ref="J82:J138" si="11">IFERROR(I82/H82, "")</f>
        <v>6.6619959765740144E-2</v>
      </c>
      <c r="K82" s="38"/>
      <c r="L82" s="38"/>
    </row>
    <row r="83" spans="1:12" ht="42.75">
      <c r="A83" s="27" t="str">
        <v>Washington 3</v>
      </c>
      <c r="B83" s="28" t="str">
        <v>NY</v>
      </c>
      <c r="C83" s="28" t="str">
        <f>Sites[[#This Row],[SOL'#]]</f>
        <v>SOL-10828</v>
      </c>
      <c r="D83" s="10">
        <v>278384</v>
      </c>
      <c r="E83" s="15">
        <v>329460.01</v>
      </c>
      <c r="F83" s="15">
        <f t="shared" si="8"/>
        <v>-51076.010000000009</v>
      </c>
      <c r="G83" s="16">
        <f t="shared" si="9"/>
        <v>-0.15502946776453994</v>
      </c>
      <c r="H83" s="17">
        <v>314397.57</v>
      </c>
      <c r="I83" s="17">
        <f t="shared" si="10"/>
        <v>-36013.570000000007</v>
      </c>
      <c r="J83" s="16">
        <f t="shared" si="11"/>
        <v>-0.11454786371281434</v>
      </c>
      <c r="K83" s="58" t="s">
        <v>275</v>
      </c>
      <c r="L83" s="58" t="s">
        <v>276</v>
      </c>
    </row>
    <row r="84" spans="1:12" ht="28.5">
      <c r="A84" s="25" t="str">
        <v>Washington 4</v>
      </c>
      <c r="B84" s="26" t="str">
        <v>NY</v>
      </c>
      <c r="C84" s="26" t="str">
        <f>Sites[[#This Row],[SOL'#]]</f>
        <v>SOL-10829</v>
      </c>
      <c r="D84" s="21">
        <v>325139</v>
      </c>
      <c r="E84" s="11">
        <v>0</v>
      </c>
      <c r="F84" s="11">
        <f t="shared" si="8"/>
        <v>325139</v>
      </c>
      <c r="G84" s="12" t="str">
        <f>IFERROR(F84/E84, "")</f>
        <v/>
      </c>
      <c r="H84" s="13">
        <v>315271.55</v>
      </c>
      <c r="I84" s="13">
        <f t="shared" si="10"/>
        <v>9867.4500000000116</v>
      </c>
      <c r="J84" s="14">
        <f t="shared" si="11"/>
        <v>3.1298257010504156E-2</v>
      </c>
      <c r="K84" s="38" t="s">
        <v>277</v>
      </c>
      <c r="L84" s="38" t="s">
        <v>278</v>
      </c>
    </row>
    <row r="85" spans="1:12" ht="15.75">
      <c r="A85" s="27" t="str">
        <v>Big Tree</v>
      </c>
      <c r="B85" s="28" t="str">
        <v>NY</v>
      </c>
      <c r="C85" s="28" t="str">
        <f>Sites[[#This Row],[SOL'#]]</f>
        <v>SOL-10966</v>
      </c>
      <c r="D85" s="10">
        <v>235506</v>
      </c>
      <c r="E85" s="15">
        <v>0</v>
      </c>
      <c r="F85" s="15">
        <f t="shared" si="8"/>
        <v>235506</v>
      </c>
      <c r="G85" s="16" t="str">
        <f t="shared" si="9"/>
        <v/>
      </c>
      <c r="H85" s="17">
        <v>107912</v>
      </c>
      <c r="I85" s="17">
        <f t="shared" si="10"/>
        <v>127594</v>
      </c>
      <c r="J85" s="16">
        <f t="shared" si="11"/>
        <v>1.1823893542886796</v>
      </c>
      <c r="K85" s="58"/>
      <c r="L85" s="58"/>
    </row>
    <row r="86" spans="1:12" ht="28.5">
      <c r="A86" s="25" t="str">
        <v>Canoga</v>
      </c>
      <c r="B86" s="26" t="str">
        <v>NY</v>
      </c>
      <c r="C86" s="26" t="str">
        <f>Sites[[#This Row],[SOL'#]]</f>
        <v>SOL-10965</v>
      </c>
      <c r="D86" s="21">
        <v>708100</v>
      </c>
      <c r="E86" s="11">
        <v>0</v>
      </c>
      <c r="F86" s="11">
        <f t="shared" si="8"/>
        <v>708100</v>
      </c>
      <c r="G86" s="12" t="str">
        <f t="shared" si="9"/>
        <v/>
      </c>
      <c r="H86" s="13">
        <v>305917</v>
      </c>
      <c r="I86" s="13">
        <f t="shared" si="10"/>
        <v>402183</v>
      </c>
      <c r="J86" s="14">
        <f t="shared" si="11"/>
        <v>1.314680125654998</v>
      </c>
      <c r="K86" s="38" t="s">
        <v>279</v>
      </c>
      <c r="L86" s="38" t="s">
        <v>280</v>
      </c>
    </row>
    <row r="87" spans="1:12" ht="15.75">
      <c r="A87" s="27" t="str">
        <v>County Route 84</v>
      </c>
      <c r="B87" s="28" t="str">
        <v>NY</v>
      </c>
      <c r="C87" s="28" t="str">
        <f>Sites[[#This Row],[SOL'#]]</f>
        <v>SOL-10967</v>
      </c>
      <c r="D87" s="10">
        <v>661187</v>
      </c>
      <c r="E87" s="15">
        <v>0</v>
      </c>
      <c r="F87" s="15">
        <f t="shared" si="8"/>
        <v>661187</v>
      </c>
      <c r="G87" s="16" t="str">
        <f t="shared" si="9"/>
        <v/>
      </c>
      <c r="H87" s="17">
        <v>377105</v>
      </c>
      <c r="I87" s="17">
        <f t="shared" si="10"/>
        <v>284082</v>
      </c>
      <c r="J87" s="16">
        <f t="shared" si="11"/>
        <v>0.75332334495697484</v>
      </c>
      <c r="K87" s="58" t="s">
        <v>281</v>
      </c>
      <c r="L87" s="58" t="s">
        <v>282</v>
      </c>
    </row>
    <row r="88" spans="1:12" ht="28.5">
      <c r="A88" s="25" t="str">
        <v>Donati</v>
      </c>
      <c r="B88" s="26" t="str">
        <v>NY</v>
      </c>
      <c r="C88" s="26" t="str">
        <f>Sites[[#This Row],[SOL'#]]</f>
        <v>SOL-10968</v>
      </c>
      <c r="D88" s="21">
        <v>310641</v>
      </c>
      <c r="E88" s="11">
        <v>0</v>
      </c>
      <c r="F88" s="11">
        <f t="shared" si="8"/>
        <v>310641</v>
      </c>
      <c r="G88" s="12" t="str">
        <f t="shared" si="9"/>
        <v/>
      </c>
      <c r="H88" s="13">
        <v>120395</v>
      </c>
      <c r="I88" s="13">
        <f t="shared" si="10"/>
        <v>190246</v>
      </c>
      <c r="J88" s="14">
        <f t="shared" si="11"/>
        <v>1.580181901241746</v>
      </c>
      <c r="K88" s="38" t="s">
        <v>283</v>
      </c>
      <c r="L88" s="38" t="s">
        <v>284</v>
      </c>
    </row>
    <row r="89" spans="1:12" ht="15.75">
      <c r="A89" s="27" t="str">
        <v>Henrietta</v>
      </c>
      <c r="B89" s="28" t="str">
        <v>NY</v>
      </c>
      <c r="C89" s="28" t="str">
        <f>Sites[[#This Row],[SOL'#]]</f>
        <v>SOL-10972</v>
      </c>
      <c r="D89" s="10">
        <v>792895</v>
      </c>
      <c r="E89" s="15">
        <v>0</v>
      </c>
      <c r="F89" s="15">
        <f t="shared" si="8"/>
        <v>792895</v>
      </c>
      <c r="G89" s="16" t="str">
        <f t="shared" si="9"/>
        <v/>
      </c>
      <c r="H89" s="17">
        <v>231835</v>
      </c>
      <c r="I89" s="17">
        <f t="shared" si="10"/>
        <v>561060</v>
      </c>
      <c r="J89" s="16">
        <f t="shared" si="11"/>
        <v>2.4200832488623374</v>
      </c>
      <c r="K89" s="58"/>
      <c r="L89" s="58"/>
    </row>
    <row r="90" spans="1:12" ht="28.5">
      <c r="A90" s="25" t="str">
        <v>NY 70</v>
      </c>
      <c r="B90" s="26" t="str">
        <v>NY</v>
      </c>
      <c r="C90" s="26" t="str">
        <f>Sites[[#This Row],[SOL'#]]</f>
        <v>SOL-10970</v>
      </c>
      <c r="D90" s="21">
        <v>769779</v>
      </c>
      <c r="E90" s="11">
        <v>0</v>
      </c>
      <c r="F90" s="11">
        <f t="shared" si="8"/>
        <v>769779</v>
      </c>
      <c r="G90" s="12" t="str">
        <f t="shared" si="9"/>
        <v/>
      </c>
      <c r="H90" s="13">
        <v>390190</v>
      </c>
      <c r="I90" s="13">
        <f t="shared" si="10"/>
        <v>379589</v>
      </c>
      <c r="J90" s="14">
        <f t="shared" si="11"/>
        <v>0.97283118480740149</v>
      </c>
      <c r="K90" s="38" t="s">
        <v>285</v>
      </c>
      <c r="L90" s="38" t="s">
        <v>286</v>
      </c>
    </row>
    <row r="91" spans="1:12" ht="65.25" customHeight="1">
      <c r="A91" s="27" t="str">
        <v>Reid</v>
      </c>
      <c r="B91" s="28" t="str">
        <v>NY</v>
      </c>
      <c r="C91" s="28" t="str">
        <f>Sites[[#This Row],[SOL'#]]</f>
        <v>SOL-10991</v>
      </c>
      <c r="D91" s="10">
        <v>553245.83025830204</v>
      </c>
      <c r="E91" s="15">
        <v>594456.80000000005</v>
      </c>
      <c r="F91" s="15">
        <f t="shared" si="8"/>
        <v>-41210.969741698005</v>
      </c>
      <c r="G91" s="16">
        <f t="shared" si="9"/>
        <v>-6.9325424053855556E-2</v>
      </c>
      <c r="H91" s="17">
        <v>703521</v>
      </c>
      <c r="I91" s="17">
        <f t="shared" si="10"/>
        <v>-150275.16974169796</v>
      </c>
      <c r="J91" s="16">
        <f t="shared" si="11"/>
        <v>-0.21360438386586605</v>
      </c>
      <c r="K91" s="61" t="s">
        <v>287</v>
      </c>
      <c r="L91" s="62" t="s">
        <v>288</v>
      </c>
    </row>
    <row r="92" spans="1:12" ht="42.75">
      <c r="A92" s="25" t="str">
        <v>Sangolqui</v>
      </c>
      <c r="B92" s="26" t="str">
        <v>NY</v>
      </c>
      <c r="C92" s="26" t="str">
        <f>Sites[[#This Row],[SOL'#]]</f>
        <v>SOL-10975</v>
      </c>
      <c r="D92" s="21">
        <v>293074</v>
      </c>
      <c r="E92" s="11">
        <v>0</v>
      </c>
      <c r="F92" s="11">
        <f t="shared" si="8"/>
        <v>293074</v>
      </c>
      <c r="G92" s="12" t="str">
        <f t="shared" si="9"/>
        <v/>
      </c>
      <c r="H92" s="13">
        <v>117410</v>
      </c>
      <c r="I92" s="13">
        <f t="shared" si="10"/>
        <v>175664</v>
      </c>
      <c r="J92" s="14">
        <f t="shared" si="11"/>
        <v>1.496158759901201</v>
      </c>
      <c r="K92" s="38" t="s">
        <v>289</v>
      </c>
      <c r="L92" s="38" t="s">
        <v>290</v>
      </c>
    </row>
    <row r="93" spans="1:12" ht="57">
      <c r="A93" s="27" t="str">
        <v>State Highway 17B</v>
      </c>
      <c r="B93" s="28" t="str">
        <v>NY</v>
      </c>
      <c r="C93" s="28" t="str">
        <f>Sites[[#This Row],[SOL'#]]</f>
        <v>SOL-10988</v>
      </c>
      <c r="D93" s="10">
        <v>629166</v>
      </c>
      <c r="E93" s="15">
        <v>0</v>
      </c>
      <c r="F93" s="15">
        <f t="shared" si="8"/>
        <v>629166</v>
      </c>
      <c r="G93" s="16" t="str">
        <f t="shared" si="9"/>
        <v/>
      </c>
      <c r="H93" s="17">
        <v>323738.17</v>
      </c>
      <c r="I93" s="17">
        <f t="shared" si="10"/>
        <v>305427.83</v>
      </c>
      <c r="J93" s="16">
        <f t="shared" si="11"/>
        <v>0.94344089855082591</v>
      </c>
      <c r="K93" s="61" t="s">
        <v>291</v>
      </c>
      <c r="L93" s="62" t="s">
        <v>292</v>
      </c>
    </row>
    <row r="94" spans="1:12" ht="15.75">
      <c r="A94" s="25" t="str">
        <v>State Route 14A</v>
      </c>
      <c r="B94" s="26" t="str">
        <v>NY</v>
      </c>
      <c r="C94" s="26" t="str">
        <f>Sites[[#This Row],[SOL'#]]</f>
        <v>SOL-10997</v>
      </c>
      <c r="D94" s="21">
        <v>726739</v>
      </c>
      <c r="E94" s="11">
        <v>0</v>
      </c>
      <c r="F94" s="11">
        <f>IF(AND(ISNUMBER(D94),ISNUMBER(E94)), D94-E94, "")</f>
        <v>726739</v>
      </c>
      <c r="G94" s="12" t="str">
        <f>IFERROR(F94/E94, "")</f>
        <v/>
      </c>
      <c r="H94" s="13">
        <v>347576</v>
      </c>
      <c r="I94" s="13">
        <f>IF(AND(ISNUMBER(D94),ISNUMBER(H94)), D94-H94, "")</f>
        <v>379163</v>
      </c>
      <c r="J94" s="14">
        <f>IFERROR(I94/H94, "")</f>
        <v>1.0908779662577393</v>
      </c>
      <c r="K94" s="38"/>
      <c r="L94" s="38"/>
    </row>
    <row r="95" spans="1:12" ht="15.75">
      <c r="A95" s="27" t="str">
        <v>West Creek</v>
      </c>
      <c r="B95" s="28" t="str">
        <v>NY</v>
      </c>
      <c r="C95" s="28" t="str">
        <f>Sites[[#This Row],[SOL'#]]</f>
        <v>SOL-10995</v>
      </c>
      <c r="D95" s="10">
        <v>651414</v>
      </c>
      <c r="E95" s="15">
        <v>0</v>
      </c>
      <c r="F95" s="15">
        <f t="shared" si="8"/>
        <v>651414</v>
      </c>
      <c r="G95" s="16" t="str">
        <f t="shared" si="9"/>
        <v/>
      </c>
      <c r="H95" s="17">
        <v>298411.45</v>
      </c>
      <c r="I95" s="17">
        <f t="shared" si="10"/>
        <v>353002.55</v>
      </c>
      <c r="J95" s="16">
        <f t="shared" si="11"/>
        <v>1.1829390259656591</v>
      </c>
      <c r="K95" s="61"/>
      <c r="L95" s="62"/>
    </row>
    <row r="96" spans="1:12" ht="28.5">
      <c r="A96" s="25" t="str">
        <v>Wildflower</v>
      </c>
      <c r="B96" s="26" t="str">
        <v>NY</v>
      </c>
      <c r="C96" s="26" t="str">
        <f>Sites[[#This Row],[SOL'#]]</f>
        <v>SOL-10982</v>
      </c>
      <c r="D96" s="21">
        <v>527026</v>
      </c>
      <c r="E96" s="11">
        <v>0</v>
      </c>
      <c r="F96" s="11">
        <f t="shared" si="8"/>
        <v>527026</v>
      </c>
      <c r="G96" s="12" t="str">
        <f t="shared" si="9"/>
        <v/>
      </c>
      <c r="H96" s="13">
        <v>406900.27</v>
      </c>
      <c r="I96" s="13">
        <f t="shared" si="10"/>
        <v>120125.72999999998</v>
      </c>
      <c r="J96" s="14">
        <f t="shared" si="11"/>
        <v>0.29522155392032545</v>
      </c>
      <c r="K96" s="70" t="s">
        <v>293</v>
      </c>
      <c r="L96" s="70" t="s">
        <v>294</v>
      </c>
    </row>
    <row r="97" spans="1:12" ht="57">
      <c r="A97" s="27" t="str">
        <v>Glen Mary 1</v>
      </c>
      <c r="B97" s="28" t="str">
        <v>NY</v>
      </c>
      <c r="C97" s="28" t="str">
        <f>Sites[[#This Row],[SOL'#]]</f>
        <v>SOL-10993</v>
      </c>
      <c r="D97" s="10">
        <v>607520</v>
      </c>
      <c r="E97" s="15">
        <v>0</v>
      </c>
      <c r="F97" s="15">
        <f t="shared" si="8"/>
        <v>607520</v>
      </c>
      <c r="G97" s="16" t="str">
        <f t="shared" si="9"/>
        <v/>
      </c>
      <c r="H97" s="17">
        <v>390040</v>
      </c>
      <c r="I97" s="17">
        <f t="shared" si="10"/>
        <v>217480</v>
      </c>
      <c r="J97" s="16">
        <f t="shared" si="11"/>
        <v>0.55758383755512253</v>
      </c>
      <c r="K97" s="58" t="s">
        <v>295</v>
      </c>
      <c r="L97" s="58" t="s">
        <v>296</v>
      </c>
    </row>
    <row r="98" spans="1:12" ht="57">
      <c r="A98" s="25" t="str">
        <v>Glen Mary 2</v>
      </c>
      <c r="B98" s="26" t="str">
        <v>NY</v>
      </c>
      <c r="C98" s="26" t="str">
        <f>Sites[[#This Row],[SOL'#]]</f>
        <v>SOL-10994</v>
      </c>
      <c r="D98" s="21">
        <v>272790</v>
      </c>
      <c r="E98" s="11">
        <v>0</v>
      </c>
      <c r="F98" s="11">
        <f t="shared" si="8"/>
        <v>272790</v>
      </c>
      <c r="G98" s="12" t="str">
        <f t="shared" si="9"/>
        <v/>
      </c>
      <c r="H98" s="13">
        <v>159200</v>
      </c>
      <c r="I98" s="13">
        <f t="shared" si="10"/>
        <v>113590</v>
      </c>
      <c r="J98" s="14">
        <f t="shared" si="11"/>
        <v>0.71350502512562819</v>
      </c>
      <c r="K98" s="38" t="s">
        <v>297</v>
      </c>
      <c r="L98" s="38" t="s">
        <v>298</v>
      </c>
    </row>
    <row r="99" spans="1:12" ht="15.75">
      <c r="A99" s="27" t="str">
        <v>Telegraph 1</v>
      </c>
      <c r="B99" s="28" t="str">
        <v>NY</v>
      </c>
      <c r="C99" s="28" t="str">
        <f>Sites[[#This Row],[SOL'#]]</f>
        <v>SOL-11003</v>
      </c>
      <c r="D99" s="10">
        <v>529535</v>
      </c>
      <c r="E99" s="15">
        <v>0</v>
      </c>
      <c r="F99" s="15">
        <f t="shared" si="8"/>
        <v>529535</v>
      </c>
      <c r="G99" s="16" t="str">
        <f t="shared" si="9"/>
        <v/>
      </c>
      <c r="H99" s="17">
        <v>264670</v>
      </c>
      <c r="I99" s="17">
        <f t="shared" si="10"/>
        <v>264865</v>
      </c>
      <c r="J99" s="16">
        <f t="shared" si="11"/>
        <v>1.0007367665394642</v>
      </c>
      <c r="K99" s="39"/>
      <c r="L99" s="40"/>
    </row>
    <row r="100" spans="1:12" ht="15.75">
      <c r="A100" s="25" t="str">
        <v>Telegraph 2</v>
      </c>
      <c r="B100" s="26" t="str">
        <v>NY</v>
      </c>
      <c r="C100" s="26" t="str">
        <f>Sites[[#This Row],[SOL'#]]</f>
        <v>SOL-11004</v>
      </c>
      <c r="D100" s="21">
        <v>282629</v>
      </c>
      <c r="E100" s="11">
        <v>0</v>
      </c>
      <c r="F100" s="11">
        <f t="shared" si="8"/>
        <v>282629</v>
      </c>
      <c r="G100" s="12" t="str">
        <f t="shared" si="9"/>
        <v/>
      </c>
      <c r="H100" s="13">
        <v>137310</v>
      </c>
      <c r="I100" s="13">
        <f t="shared" si="10"/>
        <v>145319</v>
      </c>
      <c r="J100" s="14">
        <f t="shared" si="11"/>
        <v>1.0583278712402593</v>
      </c>
      <c r="K100" s="38"/>
      <c r="L100" s="38"/>
    </row>
    <row r="101" spans="1:12" ht="15.75">
      <c r="A101" s="27" t="str">
        <v>Cafferty Hill</v>
      </c>
      <c r="B101" s="28" t="str">
        <v>NY</v>
      </c>
      <c r="C101" s="28" t="str">
        <f>Sites[[#This Row],[SOL'#]]</f>
        <v>SOL-10996</v>
      </c>
      <c r="D101" s="10">
        <v>665555</v>
      </c>
      <c r="E101" s="15">
        <v>0</v>
      </c>
      <c r="F101" s="15">
        <f t="shared" si="8"/>
        <v>665555</v>
      </c>
      <c r="G101" s="16" t="str">
        <f t="shared" si="9"/>
        <v/>
      </c>
      <c r="H101" s="17">
        <v>312325</v>
      </c>
      <c r="I101" s="17">
        <f t="shared" si="10"/>
        <v>353230</v>
      </c>
      <c r="J101" s="16">
        <f t="shared" si="11"/>
        <v>1.1309693428319858</v>
      </c>
      <c r="K101" s="39"/>
      <c r="L101" s="39"/>
    </row>
    <row r="102" spans="1:12" ht="15.75">
      <c r="A102" s="25" t="str">
        <v>Dunkleman</v>
      </c>
      <c r="B102" s="26" t="str">
        <v>NY</v>
      </c>
      <c r="C102" s="26" t="str">
        <f>Sites[[#This Row],[SOL'#]]</f>
        <v>SOL-11008</v>
      </c>
      <c r="D102" s="21">
        <v>434847</v>
      </c>
      <c r="E102" s="11">
        <v>0</v>
      </c>
      <c r="F102" s="11">
        <f t="shared" si="8"/>
        <v>434847</v>
      </c>
      <c r="G102" s="12" t="str">
        <f t="shared" si="9"/>
        <v/>
      </c>
      <c r="H102" s="13">
        <v>327000</v>
      </c>
      <c r="I102" s="13">
        <f t="shared" si="10"/>
        <v>107847</v>
      </c>
      <c r="J102" s="14">
        <f t="shared" si="11"/>
        <v>0.32980733944954127</v>
      </c>
      <c r="K102" s="38"/>
      <c r="L102" s="38"/>
    </row>
    <row r="103" spans="1:12" ht="15.75">
      <c r="A103" s="27" t="str">
        <v>Route 19 1</v>
      </c>
      <c r="B103" s="28" t="str">
        <v>NY</v>
      </c>
      <c r="C103" s="28" t="str">
        <f>Sites[[#This Row],[SOL'#]]</f>
        <v>SOL-11001</v>
      </c>
      <c r="D103" s="10">
        <v>333346</v>
      </c>
      <c r="E103" s="15">
        <v>0</v>
      </c>
      <c r="F103" s="15">
        <f t="shared" si="8"/>
        <v>333346</v>
      </c>
      <c r="G103" s="16" t="str">
        <f t="shared" si="9"/>
        <v/>
      </c>
      <c r="H103" s="17">
        <v>133330</v>
      </c>
      <c r="I103" s="17">
        <f t="shared" si="10"/>
        <v>200016</v>
      </c>
      <c r="J103" s="16">
        <f t="shared" si="11"/>
        <v>1.5001575039375985</v>
      </c>
      <c r="K103" s="39"/>
      <c r="L103" s="40"/>
    </row>
    <row r="104" spans="1:12" ht="15.75">
      <c r="A104" s="25" t="str">
        <v>Route 19 2</v>
      </c>
      <c r="B104" s="26" t="str">
        <v>NY</v>
      </c>
      <c r="C104" s="26" t="str">
        <f>Sites[[#This Row],[SOL'#]]</f>
        <v>SOL-11002</v>
      </c>
      <c r="D104" s="21">
        <v>803848</v>
      </c>
      <c r="E104" s="11">
        <v>0</v>
      </c>
      <c r="F104" s="11">
        <f t="shared" si="8"/>
        <v>803848</v>
      </c>
      <c r="G104" s="12" t="str">
        <f t="shared" si="9"/>
        <v/>
      </c>
      <c r="H104" s="13">
        <v>361185</v>
      </c>
      <c r="I104" s="13">
        <f t="shared" si="10"/>
        <v>442663</v>
      </c>
      <c r="J104" s="14">
        <f t="shared" si="11"/>
        <v>1.2255852264075198</v>
      </c>
      <c r="K104" s="38"/>
      <c r="L104" s="38"/>
    </row>
    <row r="105" spans="1:12" ht="15.75">
      <c r="A105" s="27" t="str">
        <v>Yellow Mills 1</v>
      </c>
      <c r="B105" s="28" t="str">
        <v>NY</v>
      </c>
      <c r="C105" s="28" t="str">
        <f>Sites[[#This Row],[SOL'#]]</f>
        <v>SOL-11006</v>
      </c>
      <c r="D105" s="10">
        <v>227839</v>
      </c>
      <c r="E105" s="15">
        <v>0</v>
      </c>
      <c r="F105" s="15">
        <f t="shared" si="8"/>
        <v>227839</v>
      </c>
      <c r="G105" s="16" t="str">
        <f t="shared" si="9"/>
        <v/>
      </c>
      <c r="H105" s="17">
        <v>0</v>
      </c>
      <c r="I105" s="17">
        <f t="shared" si="10"/>
        <v>227839</v>
      </c>
      <c r="J105" s="16" t="str">
        <f t="shared" si="11"/>
        <v/>
      </c>
      <c r="K105" s="58" t="s">
        <v>299</v>
      </c>
      <c r="L105" s="58" t="s">
        <v>300</v>
      </c>
    </row>
    <row r="106" spans="1:12" ht="28.5">
      <c r="A106" s="25" t="str">
        <v>Yellow Mills 2</v>
      </c>
      <c r="B106" s="26" t="str">
        <v>NY</v>
      </c>
      <c r="C106" s="26" t="str">
        <f>Sites[[#This Row],[SOL'#]]</f>
        <v>SOL-11005</v>
      </c>
      <c r="D106" s="21">
        <v>230441</v>
      </c>
      <c r="E106" s="11">
        <v>0</v>
      </c>
      <c r="F106" s="11">
        <f t="shared" si="8"/>
        <v>230441</v>
      </c>
      <c r="G106" s="12" t="str">
        <f t="shared" si="9"/>
        <v/>
      </c>
      <c r="H106" s="13">
        <v>0</v>
      </c>
      <c r="I106" s="13">
        <f t="shared" si="10"/>
        <v>230441</v>
      </c>
      <c r="J106" s="14" t="str">
        <f t="shared" si="11"/>
        <v/>
      </c>
      <c r="K106" s="38" t="s">
        <v>301</v>
      </c>
      <c r="L106" s="38" t="s">
        <v>302</v>
      </c>
    </row>
    <row r="107" spans="1:12" ht="15.75">
      <c r="A107" s="27" t="str">
        <v>Yellow Mills 3</v>
      </c>
      <c r="B107" s="28" t="str">
        <v>NY</v>
      </c>
      <c r="C107" s="28" t="str">
        <f>Sites[[#This Row],[SOL'#]]</f>
        <v>SOL-11007</v>
      </c>
      <c r="D107" s="10">
        <v>221170</v>
      </c>
      <c r="E107" s="15">
        <v>0</v>
      </c>
      <c r="F107" s="15">
        <f t="shared" si="8"/>
        <v>221170</v>
      </c>
      <c r="G107" s="16" t="str">
        <f t="shared" si="9"/>
        <v/>
      </c>
      <c r="H107" s="17">
        <v>0</v>
      </c>
      <c r="I107" s="17">
        <f t="shared" si="10"/>
        <v>221170</v>
      </c>
      <c r="J107" s="16" t="str">
        <f t="shared" si="11"/>
        <v/>
      </c>
      <c r="K107" s="58" t="s">
        <v>299</v>
      </c>
      <c r="L107" s="58" t="s">
        <v>303</v>
      </c>
    </row>
    <row r="108" spans="1:12" ht="114">
      <c r="A108" s="25" t="str">
        <v>Catskill</v>
      </c>
      <c r="B108" s="26" t="str">
        <v>NY</v>
      </c>
      <c r="C108" s="26" t="str">
        <f>Sites[[#This Row],[SOL'#]]</f>
        <v>SOL-11021</v>
      </c>
      <c r="D108" s="21">
        <v>361590</v>
      </c>
      <c r="E108" s="11">
        <v>0</v>
      </c>
      <c r="F108" s="11">
        <f t="shared" si="8"/>
        <v>361590</v>
      </c>
      <c r="G108" s="12" t="str">
        <f t="shared" si="9"/>
        <v/>
      </c>
      <c r="H108" s="13">
        <v>0</v>
      </c>
      <c r="I108" s="13">
        <f t="shared" si="10"/>
        <v>361590</v>
      </c>
      <c r="J108" s="14" t="str">
        <f t="shared" si="11"/>
        <v/>
      </c>
      <c r="K108" s="70" t="s">
        <v>304</v>
      </c>
      <c r="L108" s="70" t="s">
        <v>305</v>
      </c>
    </row>
    <row r="109" spans="1:12" ht="42.75">
      <c r="A109" s="27" t="str">
        <v>Eddy Ridge</v>
      </c>
      <c r="B109" s="28" t="str">
        <v>NY</v>
      </c>
      <c r="C109" s="28" t="str">
        <f>Sites[[#This Row],[SOL'#]]</f>
        <v>SOL-11054</v>
      </c>
      <c r="D109" s="10">
        <v>384779.6</v>
      </c>
      <c r="E109" s="15">
        <v>0</v>
      </c>
      <c r="F109" s="15">
        <f t="shared" si="8"/>
        <v>384779.6</v>
      </c>
      <c r="G109" s="16" t="str">
        <f t="shared" si="9"/>
        <v/>
      </c>
      <c r="H109" s="17">
        <v>0</v>
      </c>
      <c r="I109" s="17">
        <f t="shared" si="10"/>
        <v>384779.6</v>
      </c>
      <c r="J109" s="16" t="str">
        <f t="shared" si="11"/>
        <v/>
      </c>
      <c r="K109" s="58" t="s">
        <v>306</v>
      </c>
      <c r="L109" s="58" t="s">
        <v>307</v>
      </c>
    </row>
    <row r="110" spans="1:12" ht="28.5">
      <c r="A110" s="25" t="str">
        <v>Ridgeway #1</v>
      </c>
      <c r="B110" s="26" t="str">
        <v>NY</v>
      </c>
      <c r="C110" s="26" t="str">
        <f>Sites[[#This Row],[SOL'#]]</f>
        <v>SOL-11018</v>
      </c>
      <c r="D110" s="21">
        <v>830606.5</v>
      </c>
      <c r="E110" s="11">
        <v>0</v>
      </c>
      <c r="F110" s="11">
        <f t="shared" si="8"/>
        <v>830606.5</v>
      </c>
      <c r="G110" s="12" t="str">
        <f t="shared" si="9"/>
        <v/>
      </c>
      <c r="H110" s="13">
        <v>0</v>
      </c>
      <c r="I110" s="13">
        <f t="shared" si="10"/>
        <v>830606.5</v>
      </c>
      <c r="J110" s="14" t="str">
        <f t="shared" si="11"/>
        <v/>
      </c>
      <c r="K110" s="70" t="s">
        <v>308</v>
      </c>
      <c r="L110" s="70" t="s">
        <v>309</v>
      </c>
    </row>
    <row r="111" spans="1:12" ht="42.75">
      <c r="A111" s="27" t="str">
        <v>Rivard 1</v>
      </c>
      <c r="B111" s="28" t="str">
        <v>NY</v>
      </c>
      <c r="C111" s="28" t="str">
        <f>Sites[[#This Row],[SOL'#]]</f>
        <v>SOL-11011</v>
      </c>
      <c r="D111" s="10">
        <v>436042</v>
      </c>
      <c r="E111" s="15">
        <v>620396.80000000005</v>
      </c>
      <c r="F111" s="15">
        <f t="shared" si="8"/>
        <v>-184354.80000000005</v>
      </c>
      <c r="G111" s="16">
        <f t="shared" si="9"/>
        <v>-0.29715627159907987</v>
      </c>
      <c r="H111" s="17">
        <v>688243.6</v>
      </c>
      <c r="I111" s="17">
        <f t="shared" si="10"/>
        <v>-252201.59999999998</v>
      </c>
      <c r="J111" s="16">
        <f t="shared" si="11"/>
        <v>-0.36644234686671984</v>
      </c>
      <c r="K111" s="39" t="s">
        <v>310</v>
      </c>
      <c r="L111" s="40" t="s">
        <v>311</v>
      </c>
    </row>
    <row r="112" spans="1:12" ht="15.75">
      <c r="A112" s="25" t="str">
        <v>Rivard 2</v>
      </c>
      <c r="B112" s="26" t="str">
        <v>NY</v>
      </c>
      <c r="C112" s="26" t="str">
        <f>Sites[[#This Row],[SOL'#]]</f>
        <v>SOL-11012</v>
      </c>
      <c r="D112" s="21">
        <v>563959.52105263202</v>
      </c>
      <c r="E112" s="11">
        <v>562284.6</v>
      </c>
      <c r="F112" s="11">
        <f t="shared" si="8"/>
        <v>1674.9210526320385</v>
      </c>
      <c r="G112" s="12">
        <f t="shared" si="9"/>
        <v>2.9787781003286209E-3</v>
      </c>
      <c r="H112" s="13">
        <v>660266.4</v>
      </c>
      <c r="I112" s="13">
        <f t="shared" si="10"/>
        <v>-96306.878947368008</v>
      </c>
      <c r="J112" s="14">
        <f t="shared" si="11"/>
        <v>-0.14586063889873543</v>
      </c>
      <c r="K112" s="38"/>
      <c r="L112" s="38"/>
    </row>
    <row r="113" spans="1:12" ht="15.75">
      <c r="A113" s="27" t="str">
        <v>Essex</v>
      </c>
      <c r="B113" s="28" t="str">
        <v>DC</v>
      </c>
      <c r="C113" s="28" t="str">
        <f>Sites[[#This Row],[SOL'#]]</f>
        <v>SOL-10036</v>
      </c>
      <c r="D113" s="10">
        <v>3139</v>
      </c>
      <c r="E113" s="15">
        <v>4121.6329999999998</v>
      </c>
      <c r="F113" s="15">
        <f t="shared" si="8"/>
        <v>-982.63299999999981</v>
      </c>
      <c r="G113" s="16">
        <f t="shared" si="9"/>
        <v>-0.23840865986855206</v>
      </c>
      <c r="H113" s="17">
        <v>4028.5320000000002</v>
      </c>
      <c r="I113" s="17">
        <f t="shared" si="10"/>
        <v>-889.53200000000015</v>
      </c>
      <c r="J113" s="16">
        <f t="shared" si="11"/>
        <v>-0.22080797670218336</v>
      </c>
      <c r="K113" s="39"/>
      <c r="L113" s="39"/>
    </row>
    <row r="114" spans="1:12" ht="15.75">
      <c r="A114" s="25" t="str">
        <v>Temple Sinai</v>
      </c>
      <c r="B114" s="26" t="str">
        <v>DC</v>
      </c>
      <c r="C114" s="26" t="str">
        <f>Sites[[#This Row],[SOL'#]]</f>
        <v>SOL-10028</v>
      </c>
      <c r="D114" s="21">
        <v>8441.6299999999992</v>
      </c>
      <c r="E114" s="11">
        <v>11335.63</v>
      </c>
      <c r="F114" s="11">
        <f t="shared" si="8"/>
        <v>-2894</v>
      </c>
      <c r="G114" s="12">
        <f t="shared" si="9"/>
        <v>-0.25530120513813526</v>
      </c>
      <c r="H114" s="13">
        <v>9747.4089999999997</v>
      </c>
      <c r="I114" s="13">
        <f t="shared" si="10"/>
        <v>-1305.7790000000005</v>
      </c>
      <c r="J114" s="14">
        <f t="shared" si="11"/>
        <v>-0.13396165073200483</v>
      </c>
      <c r="K114" s="38" t="s">
        <v>312</v>
      </c>
      <c r="L114" s="38" t="s">
        <v>313</v>
      </c>
    </row>
    <row r="115" spans="1:12" ht="15.75">
      <c r="A115" s="27" t="str">
        <v>Weinberg 1</v>
      </c>
      <c r="B115" s="28" t="str">
        <v>DC</v>
      </c>
      <c r="C115" s="28" t="str">
        <f>Sites[[#This Row],[SOL'#]]</f>
        <v>SOL-10039</v>
      </c>
      <c r="D115" s="10">
        <v>1321</v>
      </c>
      <c r="E115" s="15">
        <v>1356.2239999999999</v>
      </c>
      <c r="F115" s="15">
        <f t="shared" si="8"/>
        <v>-35.223999999999933</v>
      </c>
      <c r="G115" s="16">
        <f t="shared" si="9"/>
        <v>-2.5972110801755415E-2</v>
      </c>
      <c r="H115" s="17">
        <v>1482.575</v>
      </c>
      <c r="I115" s="17">
        <f t="shared" si="10"/>
        <v>-161.57500000000005</v>
      </c>
      <c r="J115" s="16">
        <f t="shared" si="11"/>
        <v>-0.10898268215773235</v>
      </c>
      <c r="K115" s="39"/>
      <c r="L115" s="40"/>
    </row>
    <row r="116" spans="1:12" ht="15.75">
      <c r="A116" s="25" t="str">
        <v>Weinberg 2</v>
      </c>
      <c r="B116" s="26" t="str">
        <v>DC</v>
      </c>
      <c r="C116" s="26" t="str">
        <f>Sites[[#This Row],[SOL'#]]</f>
        <v>SOL-10045</v>
      </c>
      <c r="D116" s="21">
        <v>1284</v>
      </c>
      <c r="E116" s="11">
        <v>1325.67</v>
      </c>
      <c r="F116" s="11">
        <f t="shared" si="8"/>
        <v>-41.670000000000073</v>
      </c>
      <c r="G116" s="12">
        <f t="shared" si="9"/>
        <v>-3.1433162099165003E-2</v>
      </c>
      <c r="H116" s="13">
        <v>1523.088</v>
      </c>
      <c r="I116" s="13">
        <f t="shared" si="10"/>
        <v>-239.08799999999997</v>
      </c>
      <c r="J116" s="14">
        <f t="shared" si="11"/>
        <v>-0.15697582805458382</v>
      </c>
      <c r="K116" s="38"/>
      <c r="L116" s="38"/>
    </row>
    <row r="117" spans="1:12" ht="15.75">
      <c r="A117" s="27" t="str">
        <v>Weinberg 3</v>
      </c>
      <c r="B117" s="28" t="str">
        <v>DC</v>
      </c>
      <c r="C117" s="28" t="str">
        <f>Sites[[#This Row],[SOL'#]]</f>
        <v>SOL-10042</v>
      </c>
      <c r="D117" s="10">
        <v>1520</v>
      </c>
      <c r="E117" s="15">
        <v>1400.463</v>
      </c>
      <c r="F117" s="15">
        <f t="shared" si="8"/>
        <v>119.53700000000003</v>
      </c>
      <c r="G117" s="16">
        <f t="shared" si="9"/>
        <v>8.5355343197214092E-2</v>
      </c>
      <c r="H117" s="17">
        <v>1579</v>
      </c>
      <c r="I117" s="17">
        <f t="shared" si="10"/>
        <v>-59</v>
      </c>
      <c r="J117" s="16">
        <f t="shared" si="11"/>
        <v>-3.7365421152628246E-2</v>
      </c>
      <c r="K117" s="39"/>
      <c r="L117" s="40"/>
    </row>
    <row r="118" spans="1:12" ht="15.75">
      <c r="A118" s="25" t="str">
        <v>Clayton Hall</v>
      </c>
      <c r="B118" s="26" t="str">
        <v>DE</v>
      </c>
      <c r="C118" s="26" t="str">
        <f>Sites[[#This Row],[SOL'#]]</f>
        <v>SOL-10820</v>
      </c>
      <c r="D118" s="21">
        <v>13586</v>
      </c>
      <c r="E118" s="11">
        <v>17515</v>
      </c>
      <c r="F118" s="11">
        <f t="shared" si="8"/>
        <v>-3929</v>
      </c>
      <c r="G118" s="12">
        <f t="shared" si="9"/>
        <v>-0.2243220097059663</v>
      </c>
      <c r="H118" s="13">
        <v>4451</v>
      </c>
      <c r="I118" s="13">
        <f t="shared" si="10"/>
        <v>9135</v>
      </c>
      <c r="J118" s="14">
        <f t="shared" si="11"/>
        <v>2.052347787014154</v>
      </c>
      <c r="K118" s="38"/>
      <c r="L118" s="38"/>
    </row>
    <row r="119" spans="1:12" ht="15.75">
      <c r="A119" s="27" t="str">
        <v>Field House</v>
      </c>
      <c r="B119" s="28" t="str">
        <v>DE</v>
      </c>
      <c r="C119" s="28" t="str">
        <f>Sites[[#This Row],[SOL'#]]</f>
        <v>SOL-10821</v>
      </c>
      <c r="D119" s="10">
        <v>47458</v>
      </c>
      <c r="E119" s="15">
        <v>0</v>
      </c>
      <c r="F119" s="15">
        <f t="shared" si="8"/>
        <v>47458</v>
      </c>
      <c r="G119" s="16" t="str">
        <f t="shared" si="9"/>
        <v/>
      </c>
      <c r="H119" s="17">
        <v>43662</v>
      </c>
      <c r="I119" s="17">
        <f t="shared" si="10"/>
        <v>3796</v>
      </c>
      <c r="J119" s="16">
        <f t="shared" si="11"/>
        <v>8.6940589070587701E-2</v>
      </c>
      <c r="K119" s="39"/>
      <c r="L119" s="40"/>
    </row>
    <row r="120" spans="1:12" ht="15.75">
      <c r="A120" s="25" t="str">
        <v>Wyoming Road</v>
      </c>
      <c r="B120" s="26" t="str">
        <v>DE</v>
      </c>
      <c r="C120" s="26" t="str">
        <f>Sites[[#This Row],[SOL'#]]</f>
        <v>SOL-10819</v>
      </c>
      <c r="D120" s="21">
        <v>28485</v>
      </c>
      <c r="E120" s="11">
        <v>26789</v>
      </c>
      <c r="F120" s="11">
        <f t="shared" si="8"/>
        <v>1696</v>
      </c>
      <c r="G120" s="12">
        <f t="shared" si="9"/>
        <v>6.3309567359737209E-2</v>
      </c>
      <c r="H120" s="13">
        <v>29293</v>
      </c>
      <c r="I120" s="13">
        <f t="shared" si="10"/>
        <v>-808</v>
      </c>
      <c r="J120" s="14">
        <f t="shared" si="11"/>
        <v>-2.7583381695285562E-2</v>
      </c>
      <c r="K120" s="38"/>
      <c r="L120" s="38"/>
    </row>
    <row r="121" spans="1:12" ht="15.75">
      <c r="A121" s="27" t="str">
        <v>Leoku</v>
      </c>
      <c r="B121" s="28" t="str">
        <v>HI</v>
      </c>
      <c r="C121" s="28" t="str">
        <f>Sites[[#This Row],[SOL'#]]</f>
        <v>SOL-10071</v>
      </c>
      <c r="D121" s="10">
        <v>11229</v>
      </c>
      <c r="E121" s="15">
        <v>11096</v>
      </c>
      <c r="F121" s="15">
        <f t="shared" si="8"/>
        <v>133</v>
      </c>
      <c r="G121" s="16">
        <f t="shared" si="9"/>
        <v>1.1986301369863013E-2</v>
      </c>
      <c r="H121" s="17">
        <v>12854</v>
      </c>
      <c r="I121" s="17">
        <f t="shared" si="10"/>
        <v>-1625</v>
      </c>
      <c r="J121" s="16">
        <f t="shared" si="11"/>
        <v>-0.12641979150459001</v>
      </c>
      <c r="K121" s="39"/>
      <c r="L121" s="40"/>
    </row>
    <row r="122" spans="1:12" ht="15.75">
      <c r="A122" s="25" t="str">
        <v>Waipahu</v>
      </c>
      <c r="B122" s="26" t="str">
        <v>HI</v>
      </c>
      <c r="C122" s="26" t="str">
        <f>Sites[[#This Row],[SOL'#]]</f>
        <v>SOL-10068</v>
      </c>
      <c r="D122" s="21">
        <v>12489</v>
      </c>
      <c r="E122" s="11">
        <v>10287</v>
      </c>
      <c r="F122" s="11">
        <f t="shared" si="8"/>
        <v>2202</v>
      </c>
      <c r="G122" s="12">
        <f t="shared" si="9"/>
        <v>0.21405657626130067</v>
      </c>
      <c r="H122" s="13">
        <v>12854</v>
      </c>
      <c r="I122" s="13">
        <f t="shared" si="10"/>
        <v>-365</v>
      </c>
      <c r="J122" s="14">
        <f t="shared" si="11"/>
        <v>-2.8395830091800217E-2</v>
      </c>
      <c r="K122" s="38"/>
      <c r="L122" s="38"/>
    </row>
    <row r="123" spans="1:12" ht="15.75">
      <c r="A123" s="27" t="str">
        <v>Bird in Hand</v>
      </c>
      <c r="B123" s="28" t="str">
        <v>MD</v>
      </c>
      <c r="C123" s="28" t="str">
        <f>Sites[[#This Row],[SOL'#]]</f>
        <v>SOL-10092</v>
      </c>
      <c r="D123" s="10">
        <v>160503</v>
      </c>
      <c r="E123" s="15">
        <v>161280.1</v>
      </c>
      <c r="F123" s="15">
        <f t="shared" si="8"/>
        <v>-777.10000000000582</v>
      </c>
      <c r="G123" s="16">
        <f t="shared" si="9"/>
        <v>-4.8183253854629663E-3</v>
      </c>
      <c r="H123" s="17">
        <v>155732.29999999999</v>
      </c>
      <c r="I123" s="17">
        <f t="shared" si="10"/>
        <v>4770.7000000000116</v>
      </c>
      <c r="J123" s="16">
        <f t="shared" si="11"/>
        <v>3.0633978949774786E-2</v>
      </c>
      <c r="K123" s="61" t="s">
        <v>314</v>
      </c>
      <c r="L123" s="62" t="s">
        <v>315</v>
      </c>
    </row>
    <row r="124" spans="1:12" ht="15.75">
      <c r="A124" s="25" t="str">
        <v>Shortal</v>
      </c>
      <c r="B124" s="26" t="str">
        <v>MD</v>
      </c>
      <c r="C124" s="26" t="str">
        <f>Sites[[#This Row],[SOL'#]]</f>
        <v>SOL-10091</v>
      </c>
      <c r="D124" s="21">
        <v>165151</v>
      </c>
      <c r="E124" s="11">
        <v>140043.5</v>
      </c>
      <c r="F124" s="11">
        <f t="shared" si="8"/>
        <v>25107.5</v>
      </c>
      <c r="G124" s="12">
        <f t="shared" si="9"/>
        <v>0.179283579744865</v>
      </c>
      <c r="H124" s="13">
        <v>9459.6239999999998</v>
      </c>
      <c r="I124" s="13">
        <f t="shared" si="10"/>
        <v>155691.37599999999</v>
      </c>
      <c r="J124" s="14">
        <f t="shared" si="11"/>
        <v>16.458516321578955</v>
      </c>
      <c r="K124" s="66"/>
      <c r="L124" s="66"/>
    </row>
    <row r="125" spans="1:12" ht="15.75">
      <c r="A125" s="27" t="str">
        <v>Aguadilla</v>
      </c>
      <c r="B125" s="28" t="str">
        <v>PR</v>
      </c>
      <c r="C125" s="28" t="str">
        <f>Sites[[#This Row],[SOL'#]]</f>
        <v>SOL-10072</v>
      </c>
      <c r="D125" s="10">
        <v>20725</v>
      </c>
      <c r="E125" s="15">
        <v>18983.84</v>
      </c>
      <c r="F125" s="15">
        <f t="shared" si="8"/>
        <v>1741.1599999999999</v>
      </c>
      <c r="G125" s="16">
        <f t="shared" si="9"/>
        <v>9.1718008579929025E-2</v>
      </c>
      <c r="H125" s="17">
        <v>21992</v>
      </c>
      <c r="I125" s="17">
        <f t="shared" si="10"/>
        <v>-1267</v>
      </c>
      <c r="J125" s="16">
        <f t="shared" si="11"/>
        <v>-5.7611858857766464E-2</v>
      </c>
      <c r="K125" s="61" t="s">
        <v>316</v>
      </c>
      <c r="L125" s="61" t="s">
        <v>317</v>
      </c>
    </row>
    <row r="126" spans="1:12" ht="105.75" customHeight="1">
      <c r="A126" s="25" t="str">
        <v>Bayamon</v>
      </c>
      <c r="B126" s="26" t="str">
        <v>PR</v>
      </c>
      <c r="C126" s="26" t="str">
        <f>Sites[[#This Row],[SOL'#]]</f>
        <v>SOL-10073</v>
      </c>
      <c r="D126" s="21">
        <v>71341</v>
      </c>
      <c r="E126" s="11">
        <v>80679.929999999993</v>
      </c>
      <c r="F126" s="11">
        <f t="shared" si="8"/>
        <v>-9338.929999999993</v>
      </c>
      <c r="G126" s="12">
        <f t="shared" si="9"/>
        <v>-0.11575282725208108</v>
      </c>
      <c r="H126" s="13">
        <v>0</v>
      </c>
      <c r="I126" s="13">
        <f t="shared" si="10"/>
        <v>71341</v>
      </c>
      <c r="J126" s="14" t="str">
        <f t="shared" si="11"/>
        <v/>
      </c>
      <c r="K126" s="66" t="s">
        <v>318</v>
      </c>
      <c r="L126" s="66" t="s">
        <v>319</v>
      </c>
    </row>
    <row r="127" spans="1:12" ht="63" customHeight="1">
      <c r="A127" s="27" t="str">
        <v>St Francis</v>
      </c>
      <c r="B127" s="28" t="str">
        <v>PR</v>
      </c>
      <c r="C127" s="28" t="str">
        <f>Sites[[#This Row],[SOL'#]]</f>
        <v>SOL-10034</v>
      </c>
      <c r="D127" s="10">
        <v>20333.119999999901</v>
      </c>
      <c r="E127" s="15">
        <v>53729.53</v>
      </c>
      <c r="F127" s="15">
        <f t="shared" si="8"/>
        <v>-33396.410000000098</v>
      </c>
      <c r="G127" s="16">
        <f t="shared" si="9"/>
        <v>-0.62156527332362854</v>
      </c>
      <c r="H127" s="17">
        <v>31455</v>
      </c>
      <c r="I127" s="17">
        <f t="shared" si="10"/>
        <v>-11121.880000000099</v>
      </c>
      <c r="J127" s="16">
        <f t="shared" si="11"/>
        <v>-0.35358067079955807</v>
      </c>
      <c r="K127" s="69" t="s">
        <v>320</v>
      </c>
      <c r="L127" s="62" t="s">
        <v>321</v>
      </c>
    </row>
    <row r="128" spans="1:12" ht="15.75">
      <c r="A128" s="25" t="str">
        <v>Seaport</v>
      </c>
      <c r="B128" s="26" t="str">
        <v>MA</v>
      </c>
      <c r="C128" s="26" t="str">
        <f>Sites[[#This Row],[SOL'#]]</f>
        <v>SOL-10772</v>
      </c>
      <c r="D128" s="21">
        <v>54059</v>
      </c>
      <c r="E128" s="11">
        <v>50023.12</v>
      </c>
      <c r="F128" s="11">
        <f t="shared" si="8"/>
        <v>4035.8799999999974</v>
      </c>
      <c r="G128" s="12">
        <f t="shared" si="9"/>
        <v>8.0680293432316835E-2</v>
      </c>
      <c r="H128" s="13">
        <v>55754.61</v>
      </c>
      <c r="I128" s="13">
        <f t="shared" si="10"/>
        <v>-1695.6100000000006</v>
      </c>
      <c r="J128" s="14">
        <f t="shared" si="11"/>
        <v>-3.0412014360785604E-2</v>
      </c>
      <c r="K128" s="66"/>
      <c r="L128" s="66"/>
    </row>
    <row r="129" spans="1:12" ht="49.5" customHeight="1">
      <c r="A129" s="27" t="str">
        <v>Sprague St</v>
      </c>
      <c r="B129" s="28" t="str">
        <v>MA</v>
      </c>
      <c r="C129" s="28" t="str">
        <f>Sites[[#This Row],[SOL'#]]</f>
        <v>SOL-10773</v>
      </c>
      <c r="D129" s="10">
        <v>120666</v>
      </c>
      <c r="E129" s="15">
        <v>119643</v>
      </c>
      <c r="F129" s="15">
        <f t="shared" si="8"/>
        <v>1023</v>
      </c>
      <c r="G129" s="16">
        <f t="shared" si="9"/>
        <v>8.5504375517163559E-3</v>
      </c>
      <c r="H129" s="17">
        <v>115317</v>
      </c>
      <c r="I129" s="17">
        <f t="shared" si="10"/>
        <v>5349</v>
      </c>
      <c r="J129" s="16">
        <f t="shared" si="11"/>
        <v>4.6385181716485861E-2</v>
      </c>
      <c r="K129" s="61" t="s">
        <v>322</v>
      </c>
      <c r="L129" s="61" t="s">
        <v>323</v>
      </c>
    </row>
    <row r="130" spans="1:12" ht="15.75">
      <c r="A130" s="25" t="str">
        <v>Summer St</v>
      </c>
      <c r="B130" s="26" t="str">
        <v>MA</v>
      </c>
      <c r="C130" s="26" t="str">
        <f>Sites[[#This Row],[SOL'#]]</f>
        <v>SOL-10764</v>
      </c>
      <c r="D130" s="21">
        <v>255740</v>
      </c>
      <c r="E130" s="11">
        <v>253622.39999999999</v>
      </c>
      <c r="F130" s="11">
        <f t="shared" si="8"/>
        <v>2117.6000000000058</v>
      </c>
      <c r="G130" s="12">
        <f t="shared" si="9"/>
        <v>8.3494202404835131E-3</v>
      </c>
      <c r="H130" s="13">
        <v>264301</v>
      </c>
      <c r="I130" s="13">
        <f t="shared" si="10"/>
        <v>-8561</v>
      </c>
      <c r="J130" s="14">
        <f t="shared" si="11"/>
        <v>-3.2391099541810284E-2</v>
      </c>
      <c r="K130" s="66" t="s">
        <v>324</v>
      </c>
      <c r="L130" s="66" t="s">
        <v>233</v>
      </c>
    </row>
    <row r="131" spans="1:12" ht="15.75">
      <c r="A131" s="27" t="str">
        <v>Brock St Vocational</v>
      </c>
      <c r="B131" s="28" t="str">
        <v>NH</v>
      </c>
      <c r="C131" s="28" t="str">
        <f>Sites[[#This Row],[SOL'#]]</f>
        <v>SOL-10768</v>
      </c>
      <c r="D131" s="10">
        <v>10092.251364698999</v>
      </c>
      <c r="E131" s="15">
        <v>11331.49</v>
      </c>
      <c r="F131" s="15">
        <f t="shared" si="8"/>
        <v>-1239.2386353010006</v>
      </c>
      <c r="G131" s="16">
        <f t="shared" si="9"/>
        <v>-0.10936237293603936</v>
      </c>
      <c r="H131" s="17">
        <v>12852.65</v>
      </c>
      <c r="I131" s="17">
        <f t="shared" si="10"/>
        <v>-2760.3986353010005</v>
      </c>
      <c r="J131" s="16">
        <f t="shared" si="11"/>
        <v>-0.2147727227693122</v>
      </c>
      <c r="K131" s="39"/>
      <c r="L131" s="40"/>
    </row>
    <row r="132" spans="1:12" ht="15.75">
      <c r="A132" s="25" t="str">
        <v>McClelland ES</v>
      </c>
      <c r="B132" s="26" t="str">
        <v>NH</v>
      </c>
      <c r="C132" s="26" t="str">
        <f>Sites[[#This Row],[SOL'#]]</f>
        <v>SOL-10766</v>
      </c>
      <c r="D132" s="21">
        <v>7150</v>
      </c>
      <c r="E132" s="11">
        <v>10123</v>
      </c>
      <c r="F132" s="11">
        <f t="shared" si="8"/>
        <v>-2973</v>
      </c>
      <c r="G132" s="12">
        <f t="shared" si="9"/>
        <v>-0.29368764200335867</v>
      </c>
      <c r="H132" s="13">
        <v>9120</v>
      </c>
      <c r="I132" s="13">
        <f t="shared" si="10"/>
        <v>-1970</v>
      </c>
      <c r="J132" s="14">
        <f t="shared" si="11"/>
        <v>-0.21600877192982457</v>
      </c>
      <c r="K132" s="38"/>
      <c r="L132" s="38"/>
    </row>
    <row r="133" spans="1:12" ht="15.75">
      <c r="A133" s="27" t="str">
        <v>Portland St</v>
      </c>
      <c r="B133" s="28" t="str">
        <v>NH</v>
      </c>
      <c r="C133" s="28" t="str">
        <f>Sites[[#This Row],[SOL'#]]</f>
        <v>SOL-10771</v>
      </c>
      <c r="D133" s="10">
        <v>6337</v>
      </c>
      <c r="E133" s="15">
        <v>5846</v>
      </c>
      <c r="F133" s="15">
        <f t="shared" si="8"/>
        <v>491</v>
      </c>
      <c r="G133" s="16">
        <f t="shared" si="9"/>
        <v>8.3989052343482723E-2</v>
      </c>
      <c r="H133" s="17">
        <v>7754</v>
      </c>
      <c r="I133" s="17">
        <f t="shared" si="10"/>
        <v>-1417</v>
      </c>
      <c r="J133" s="16">
        <f t="shared" si="11"/>
        <v>-0.18274438999226206</v>
      </c>
      <c r="K133" s="39"/>
      <c r="L133" s="40"/>
    </row>
    <row r="134" spans="1:12" ht="15.75">
      <c r="A134" s="25" t="str">
        <v>Portsmouth HS</v>
      </c>
      <c r="B134" s="26" t="str">
        <v>NH</v>
      </c>
      <c r="C134" s="26" t="str">
        <f>Sites[[#This Row],[SOL'#]]</f>
        <v>SOL-10769</v>
      </c>
      <c r="D134" s="21">
        <v>27326</v>
      </c>
      <c r="E134" s="11">
        <v>26853</v>
      </c>
      <c r="F134" s="11">
        <f t="shared" si="8"/>
        <v>473</v>
      </c>
      <c r="G134" s="12">
        <f t="shared" si="9"/>
        <v>1.7614419245521915E-2</v>
      </c>
      <c r="H134" s="13">
        <v>13488</v>
      </c>
      <c r="I134" s="13">
        <f t="shared" si="10"/>
        <v>13838</v>
      </c>
      <c r="J134" s="14">
        <f t="shared" si="11"/>
        <v>1.0259489916963227</v>
      </c>
      <c r="K134" s="38"/>
      <c r="L134" s="38"/>
    </row>
    <row r="135" spans="1:12" ht="15.75">
      <c r="A135" s="27" t="str">
        <v>Portsmouth WTP</v>
      </c>
      <c r="B135" s="28" t="str">
        <v>NH</v>
      </c>
      <c r="C135" s="28" t="str">
        <f>Sites[[#This Row],[SOL'#]]</f>
        <v>SOL-10770</v>
      </c>
      <c r="D135" s="10">
        <v>27936.5</v>
      </c>
      <c r="E135" s="15">
        <v>29638.5</v>
      </c>
      <c r="F135" s="15">
        <f t="shared" si="8"/>
        <v>-1702</v>
      </c>
      <c r="G135" s="16">
        <f t="shared" si="9"/>
        <v>-5.742530829832819E-2</v>
      </c>
      <c r="H135" s="17">
        <v>34403</v>
      </c>
      <c r="I135" s="17">
        <f t="shared" si="10"/>
        <v>-6466.5</v>
      </c>
      <c r="J135" s="16">
        <f t="shared" si="11"/>
        <v>-0.1879632590181089</v>
      </c>
      <c r="K135" s="71" t="s">
        <v>325</v>
      </c>
      <c r="L135" s="71" t="s">
        <v>326</v>
      </c>
    </row>
    <row r="136" spans="1:12" ht="15.75">
      <c r="A136" s="25" t="str">
        <v>Rochester St</v>
      </c>
      <c r="B136" s="26" t="str">
        <v>NH</v>
      </c>
      <c r="C136" s="26" t="str">
        <f>Sites[[#This Row],[SOL'#]]</f>
        <v>SOL-10765</v>
      </c>
      <c r="D136" s="21">
        <v>22894</v>
      </c>
      <c r="E136" s="11">
        <v>28815</v>
      </c>
      <c r="F136" s="11">
        <f t="shared" si="8"/>
        <v>-5921</v>
      </c>
      <c r="G136" s="12">
        <f t="shared" si="9"/>
        <v>-0.20548325524900227</v>
      </c>
      <c r="H136" s="13">
        <v>28522</v>
      </c>
      <c r="I136" s="13">
        <f t="shared" si="10"/>
        <v>-5628</v>
      </c>
      <c r="J136" s="14">
        <f t="shared" si="11"/>
        <v>-0.1973213659631162</v>
      </c>
      <c r="K136" s="38"/>
      <c r="L136" s="38"/>
    </row>
    <row r="137" spans="1:12" ht="15.75">
      <c r="A137" s="27" t="str">
        <v>Spaulding HS</v>
      </c>
      <c r="B137" s="28" t="str">
        <v>NH</v>
      </c>
      <c r="C137" s="28" t="str">
        <f>Sites[[#This Row],[SOL'#]]</f>
        <v>SOL-10767</v>
      </c>
      <c r="D137" s="10">
        <v>11418.001552994099</v>
      </c>
      <c r="E137" s="15">
        <v>12577.9</v>
      </c>
      <c r="F137" s="15">
        <f t="shared" si="8"/>
        <v>-1159.8984470059004</v>
      </c>
      <c r="G137" s="16">
        <f t="shared" si="9"/>
        <v>-9.2217178305273567E-2</v>
      </c>
      <c r="H137" s="17">
        <v>14601.64</v>
      </c>
      <c r="I137" s="17">
        <f t="shared" si="10"/>
        <v>-3183.6384470059002</v>
      </c>
      <c r="J137" s="16">
        <f t="shared" si="11"/>
        <v>-0.21803293650616645</v>
      </c>
      <c r="K137" s="39"/>
      <c r="L137" s="40"/>
    </row>
    <row r="138" spans="1:12" ht="15.75">
      <c r="A138" s="25" t="str">
        <v>Ridgeway #2</v>
      </c>
      <c r="B138" s="26" t="str">
        <v>NY</v>
      </c>
      <c r="C138" s="26" t="str">
        <f>Sites[[#This Row],[SOL'#]]</f>
        <v>SOL-11027</v>
      </c>
      <c r="D138" s="21">
        <v>330777</v>
      </c>
      <c r="E138" s="11">
        <v>0</v>
      </c>
      <c r="F138" s="11">
        <f t="shared" si="8"/>
        <v>330777</v>
      </c>
      <c r="G138" s="12" t="str">
        <f t="shared" si="9"/>
        <v/>
      </c>
      <c r="H138" s="13">
        <v>0</v>
      </c>
      <c r="I138" s="13">
        <f t="shared" si="10"/>
        <v>330777</v>
      </c>
      <c r="J138" s="14" t="str">
        <f t="shared" si="11"/>
        <v/>
      </c>
      <c r="K138" s="38"/>
      <c r="L138" s="38"/>
    </row>
    <row r="139" spans="1:12" ht="15.75">
      <c r="A139" s="27" t="str">
        <v>Spencer</v>
      </c>
      <c r="B139" s="28" t="str">
        <v>NY</v>
      </c>
      <c r="C139" s="28" t="str">
        <f>Sites[[#This Row],[SOL'#]]</f>
        <v>SOL-11017</v>
      </c>
      <c r="D139" s="82"/>
      <c r="E139" s="15"/>
      <c r="F139" s="15" t="str">
        <f t="shared" si="8"/>
        <v/>
      </c>
      <c r="G139" s="16"/>
      <c r="H139" s="17"/>
      <c r="I139" s="17"/>
      <c r="J139" s="16"/>
      <c r="K139" s="39"/>
      <c r="L139" s="40"/>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3.9">
      <c r="D328" s="18"/>
      <c r="E328" s="18"/>
      <c r="F328" s="18"/>
      <c r="G328" s="19"/>
      <c r="H328" s="18"/>
      <c r="I328" s="18"/>
      <c r="J328" s="19"/>
      <c r="K328" s="18"/>
      <c r="L328" s="18"/>
    </row>
  </sheetData>
  <mergeCells count="4">
    <mergeCell ref="H1:J1"/>
    <mergeCell ref="A1:D1"/>
    <mergeCell ref="E1:G1"/>
    <mergeCell ref="A2:B2"/>
  </mergeCells>
  <conditionalFormatting sqref="G2 J2 G4:G161 J4:J161">
    <cfRule type="cellIs" dxfId="46" priority="7" stopIfTrue="1" operator="lessThanOrEqual">
      <formula>-0.1</formula>
    </cfRule>
    <cfRule type="expression" dxfId="45" priority="8">
      <formula>AND(ISNUMBER(G2), G2&gt;=0.1)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42"/>
  <sheetViews>
    <sheetView zoomScale="90" zoomScaleNormal="90" workbookViewId="0">
      <pane xSplit="2" ySplit="3" topLeftCell="C104" activePane="bottomRight" state="frozen"/>
      <selection pane="bottomRight" activeCell="E119" sqref="E119"/>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23" t="str" cm="1">
        <f t="array" ref="A1">portfolio</f>
        <v>Generate Capital</v>
      </c>
      <c r="B1" s="123"/>
      <c r="C1" s="123"/>
      <c r="D1" s="123"/>
      <c r="E1" s="124" t="s">
        <v>327</v>
      </c>
      <c r="F1" s="124"/>
      <c r="G1" s="124"/>
      <c r="H1" s="122" t="s">
        <v>328</v>
      </c>
      <c r="I1" s="122"/>
      <c r="J1" s="122"/>
      <c r="K1" s="5"/>
      <c r="L1" s="5"/>
    </row>
    <row r="2" spans="1:12" ht="19.5" customHeight="1">
      <c r="A2" s="125" t="s">
        <v>2</v>
      </c>
      <c r="B2" s="125"/>
      <c r="C2" s="72"/>
      <c r="D2" s="6">
        <f>SUM(D4:D160)</f>
        <v>23499964.442760956</v>
      </c>
      <c r="E2" s="6">
        <f>SUM(E4:E160)</f>
        <v>8684902.1839999985</v>
      </c>
      <c r="F2" s="6">
        <f>D2-E2</f>
        <v>14815062.258760957</v>
      </c>
      <c r="G2" s="7">
        <f>IFERROR(F2/E2, 0)</f>
        <v>1.705841003719583</v>
      </c>
      <c r="H2" s="6">
        <f>SUM(H4:H160)</f>
        <v>15257214.217999997</v>
      </c>
      <c r="I2" s="8">
        <f>D2-H2</f>
        <v>8242750.2247609589</v>
      </c>
      <c r="J2" s="7">
        <f>IFERROR(I2/H2, 0)</f>
        <v>0.54025263766935994</v>
      </c>
      <c r="K2" s="23"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15124.774689284501</v>
      </c>
      <c r="E4" s="11">
        <v>10511.74</v>
      </c>
      <c r="F4" s="11">
        <f>IF(AND(ISNUMBER(D4),ISNUMBER(E4)), D4-E4, "")</f>
        <v>4613.0346892845009</v>
      </c>
      <c r="G4" s="12">
        <f>IFERROR(F4/E4, "")</f>
        <v>0.43884596549044219</v>
      </c>
      <c r="H4" s="13">
        <v>13597.36</v>
      </c>
      <c r="I4" s="13">
        <f>IF(AND(ISNUMBER(D4),ISNUMBER(H4)), D4-H4, "")</f>
        <v>1527.4146892845001</v>
      </c>
      <c r="J4" s="14">
        <f>IFERROR(I4/H4, "")</f>
        <v>0.11233170919093854</v>
      </c>
      <c r="K4" s="38"/>
      <c r="L4" s="38"/>
    </row>
    <row r="5" spans="1:12" ht="15.75">
      <c r="A5" s="27" t="str">
        <v>Fulton</v>
      </c>
      <c r="B5" s="28" t="str">
        <v>AZ</v>
      </c>
      <c r="C5" s="28" t="str">
        <f>Sites[[#This Row],[SOL'#]]</f>
        <v>SOL-10749</v>
      </c>
      <c r="D5" s="10">
        <v>63763.5</v>
      </c>
      <c r="E5" s="15">
        <v>56728.68</v>
      </c>
      <c r="F5" s="15">
        <f t="shared" ref="F5:F68" si="0">IF(AND(ISNUMBER(D5),ISNUMBER(E5)), D5-E5, "")</f>
        <v>7034.82</v>
      </c>
      <c r="G5" s="16">
        <f>IFERROR(F5/E5, "")</f>
        <v>0.12400817364338461</v>
      </c>
      <c r="H5" s="17">
        <v>73887.64</v>
      </c>
      <c r="I5" s="17">
        <f t="shared" ref="I5:I68" si="1">IF(AND(ISNUMBER(D5),ISNUMBER(H5)), D5-H5, "")</f>
        <v>-10124.14</v>
      </c>
      <c r="J5" s="16">
        <f t="shared" ref="J5:J68" si="2">IFERROR(I5/H5, "")</f>
        <v>-0.13702075205000458</v>
      </c>
      <c r="K5" s="74" t="s">
        <v>329</v>
      </c>
      <c r="L5" s="74" t="s">
        <v>330</v>
      </c>
    </row>
    <row r="6" spans="1:12" ht="15.75">
      <c r="A6" s="25" t="str">
        <v>JFK Elementary</v>
      </c>
      <c r="B6" s="26" t="str">
        <v>AZ</v>
      </c>
      <c r="C6" s="26" t="str">
        <f>Sites[[#This Row],[SOL'#]]</f>
        <v>SOL-10758</v>
      </c>
      <c r="D6" s="21">
        <v>23044.27</v>
      </c>
      <c r="E6" s="11">
        <v>0</v>
      </c>
      <c r="F6" s="11">
        <f t="shared" si="0"/>
        <v>23044.27</v>
      </c>
      <c r="G6" s="12" t="str">
        <f t="shared" ref="G6:G69" si="3">IFERROR(F6/E6, "")</f>
        <v/>
      </c>
      <c r="H6" s="13">
        <v>2470</v>
      </c>
      <c r="I6" s="13">
        <f t="shared" si="1"/>
        <v>20574.27</v>
      </c>
      <c r="J6" s="14">
        <f t="shared" si="2"/>
        <v>8.3296639676113369</v>
      </c>
      <c r="K6" s="38"/>
      <c r="L6" s="38"/>
    </row>
    <row r="7" spans="1:12" ht="15.75">
      <c r="A7" s="27" t="str">
        <v>Noble</v>
      </c>
      <c r="B7" s="28" t="str">
        <v>AZ</v>
      </c>
      <c r="C7" s="28" t="str">
        <f>Sites[[#This Row],[SOL'#]]</f>
        <v>SOL-10750</v>
      </c>
      <c r="D7" s="10">
        <v>10664.460844641</v>
      </c>
      <c r="E7" s="15">
        <v>17985.099999999999</v>
      </c>
      <c r="F7" s="15">
        <f t="shared" si="0"/>
        <v>-7320.6391553589983</v>
      </c>
      <c r="G7" s="16">
        <f t="shared" si="3"/>
        <v>-0.40703911323034059</v>
      </c>
      <c r="H7" s="17">
        <v>15364.06</v>
      </c>
      <c r="I7" s="17">
        <f t="shared" si="1"/>
        <v>-4699.5991553589993</v>
      </c>
      <c r="J7" s="16">
        <f t="shared" si="2"/>
        <v>-0.30588263488680723</v>
      </c>
      <c r="K7" s="39"/>
      <c r="L7" s="40"/>
    </row>
    <row r="8" spans="1:12" ht="15.75">
      <c r="A8" s="25" t="str">
        <v>Parking 3</v>
      </c>
      <c r="B8" s="26" t="str">
        <v>AZ</v>
      </c>
      <c r="C8" s="26" t="str">
        <f>Sites[[#This Row],[SOL'#]]</f>
        <v>SOL-10751</v>
      </c>
      <c r="D8" s="21">
        <v>35808.68</v>
      </c>
      <c r="E8" s="11">
        <v>37712.31</v>
      </c>
      <c r="F8" s="11">
        <f t="shared" si="0"/>
        <v>-1903.6299999999974</v>
      </c>
      <c r="G8" s="12">
        <f t="shared" si="3"/>
        <v>-5.0477682221004162E-2</v>
      </c>
      <c r="H8" s="13">
        <v>38246.620000000003</v>
      </c>
      <c r="I8" s="13">
        <f t="shared" si="1"/>
        <v>-2437.9400000000023</v>
      </c>
      <c r="J8" s="14">
        <f t="shared" si="2"/>
        <v>-6.3742626145787573E-2</v>
      </c>
      <c r="K8" s="38"/>
      <c r="L8" s="38"/>
    </row>
    <row r="9" spans="1:12" ht="15.75">
      <c r="A9" s="27" t="str">
        <v>PE East</v>
      </c>
      <c r="B9" s="28" t="str">
        <v>AZ</v>
      </c>
      <c r="C9" s="28" t="str">
        <f>Sites[[#This Row],[SOL'#]]</f>
        <v>SOL-10752</v>
      </c>
      <c r="D9" s="10">
        <v>33595.783503043</v>
      </c>
      <c r="E9" s="15">
        <v>24639.17</v>
      </c>
      <c r="F9" s="15">
        <f t="shared" si="0"/>
        <v>8956.6135030430014</v>
      </c>
      <c r="G9" s="16">
        <f t="shared" si="3"/>
        <v>0.36351116953383583</v>
      </c>
      <c r="H9" s="17">
        <v>34562.199999999997</v>
      </c>
      <c r="I9" s="17">
        <f t="shared" si="1"/>
        <v>-966.41649695699743</v>
      </c>
      <c r="J9" s="16">
        <f t="shared" si="2"/>
        <v>-2.7961660338664714E-2</v>
      </c>
      <c r="K9" s="39"/>
      <c r="L9" s="40"/>
    </row>
    <row r="10" spans="1:12" ht="15.75">
      <c r="A10" s="25" t="str">
        <v>Schwada</v>
      </c>
      <c r="B10" s="26" t="str">
        <v>AZ</v>
      </c>
      <c r="C10" s="26" t="str">
        <f>Sites[[#This Row],[SOL'#]]</f>
        <v>SOL-10753</v>
      </c>
      <c r="D10" s="21">
        <v>14821.10833107</v>
      </c>
      <c r="E10" s="11">
        <v>10130.120000000001</v>
      </c>
      <c r="F10" s="11">
        <f t="shared" si="0"/>
        <v>4690.9883310699988</v>
      </c>
      <c r="G10" s="12">
        <f t="shared" si="3"/>
        <v>0.46307332302776261</v>
      </c>
      <c r="H10" s="13">
        <v>15051</v>
      </c>
      <c r="I10" s="13">
        <f t="shared" si="1"/>
        <v>-229.89166893000038</v>
      </c>
      <c r="J10" s="14">
        <f t="shared" si="2"/>
        <v>-1.5274179053219081E-2</v>
      </c>
      <c r="K10" s="38"/>
      <c r="L10" s="38"/>
    </row>
    <row r="11" spans="1:12" ht="15.75">
      <c r="A11" s="27" t="str">
        <v>Starshine</v>
      </c>
      <c r="B11" s="28" t="str">
        <v>AZ</v>
      </c>
      <c r="C11" s="28" t="str">
        <f>Sites[[#This Row],[SOL'#]]</f>
        <v>SOL-10757</v>
      </c>
      <c r="D11" s="10">
        <v>10117.5</v>
      </c>
      <c r="E11" s="15">
        <v>0</v>
      </c>
      <c r="F11" s="15">
        <f t="shared" si="0"/>
        <v>10117.5</v>
      </c>
      <c r="G11" s="16" t="str">
        <f t="shared" si="3"/>
        <v/>
      </c>
      <c r="H11" s="17">
        <v>0</v>
      </c>
      <c r="I11" s="17">
        <f t="shared" si="1"/>
        <v>10117.5</v>
      </c>
      <c r="J11" s="16" t="str">
        <f t="shared" si="2"/>
        <v/>
      </c>
      <c r="K11" s="39"/>
      <c r="L11" s="40"/>
    </row>
    <row r="12" spans="1:12" ht="15.75">
      <c r="A12" s="25" t="str">
        <v>Yuma Airport</v>
      </c>
      <c r="B12" s="26" t="str">
        <v>AZ</v>
      </c>
      <c r="C12" s="26" t="str">
        <f>Sites[[#This Row],[SOL'#]]</f>
        <v>SOL-10754</v>
      </c>
      <c r="D12" s="21">
        <v>87359</v>
      </c>
      <c r="E12" s="11">
        <v>101063.7</v>
      </c>
      <c r="F12" s="11">
        <f t="shared" si="0"/>
        <v>-13704.699999999997</v>
      </c>
      <c r="G12" s="12">
        <f t="shared" si="3"/>
        <v>-0.13560457414482152</v>
      </c>
      <c r="H12" s="13">
        <v>93817</v>
      </c>
      <c r="I12" s="13">
        <f t="shared" si="1"/>
        <v>-6458</v>
      </c>
      <c r="J12" s="14">
        <f t="shared" si="2"/>
        <v>-6.8836138439728412E-2</v>
      </c>
      <c r="K12" s="38"/>
      <c r="L12" s="38"/>
    </row>
    <row r="13" spans="1:12" ht="15.75">
      <c r="A13" s="27" t="str">
        <v>Kinsman</v>
      </c>
      <c r="B13" s="28" t="str">
        <v>OH</v>
      </c>
      <c r="C13" s="28" t="str">
        <f>Sites[[#This Row],[SOL'#]]</f>
        <v>SOL-10762</v>
      </c>
      <c r="D13" s="10">
        <v>110222.78125</v>
      </c>
      <c r="E13" s="15">
        <v>109623.5</v>
      </c>
      <c r="F13" s="15">
        <f t="shared" si="0"/>
        <v>599.28125</v>
      </c>
      <c r="G13" s="16">
        <f t="shared" si="3"/>
        <v>5.4667224637053183E-3</v>
      </c>
      <c r="H13" s="17">
        <v>116744</v>
      </c>
      <c r="I13" s="17">
        <f t="shared" si="1"/>
        <v>-6521.21875</v>
      </c>
      <c r="J13" s="16">
        <f t="shared" si="2"/>
        <v>-5.5859134088261493E-2</v>
      </c>
      <c r="K13" s="74" t="s">
        <v>331</v>
      </c>
      <c r="L13" s="75" t="s">
        <v>245</v>
      </c>
    </row>
    <row r="14" spans="1:12" ht="15.75">
      <c r="A14" s="25" t="str">
        <v>Wooster</v>
      </c>
      <c r="B14" s="26" t="str">
        <v>OH</v>
      </c>
      <c r="C14" s="26" t="str">
        <f>Sites[[#This Row],[SOL'#]]</f>
        <v>SOL-10763</v>
      </c>
      <c r="D14" s="21">
        <v>21835</v>
      </c>
      <c r="E14" s="11">
        <v>0</v>
      </c>
      <c r="F14" s="11">
        <f t="shared" si="0"/>
        <v>21835</v>
      </c>
      <c r="G14" s="12" t="str">
        <f t="shared" si="3"/>
        <v/>
      </c>
      <c r="H14" s="13">
        <v>27488</v>
      </c>
      <c r="I14" s="13">
        <f t="shared" si="1"/>
        <v>-5653</v>
      </c>
      <c r="J14" s="14">
        <f t="shared" si="2"/>
        <v>-0.20565337601862632</v>
      </c>
      <c r="K14" s="38"/>
      <c r="L14" s="38"/>
    </row>
    <row r="15" spans="1:12" ht="15.75">
      <c r="A15" s="27" t="str">
        <v>Globe Gila CC</v>
      </c>
      <c r="B15" s="28" t="str">
        <v>AZ</v>
      </c>
      <c r="C15" s="28" t="str">
        <f>Sites[[#This Row],[SOL'#]]</f>
        <v>SOL-10755</v>
      </c>
      <c r="D15" s="10">
        <v>18491.07</v>
      </c>
      <c r="E15" s="15">
        <v>11328</v>
      </c>
      <c r="F15" s="15">
        <f t="shared" si="0"/>
        <v>7163.07</v>
      </c>
      <c r="G15" s="16">
        <f t="shared" si="3"/>
        <v>0.63233315677966095</v>
      </c>
      <c r="H15" s="17">
        <v>19010</v>
      </c>
      <c r="I15" s="17">
        <f t="shared" si="1"/>
        <v>-518.93000000000029</v>
      </c>
      <c r="J15" s="16">
        <f t="shared" si="2"/>
        <v>-2.729773803261443E-2</v>
      </c>
      <c r="K15" s="39"/>
      <c r="L15" s="40"/>
    </row>
    <row r="16" spans="1:12" ht="15.75">
      <c r="A16" s="25" t="str">
        <v>Payson Gila CC</v>
      </c>
      <c r="B16" s="26" t="str">
        <v>AZ</v>
      </c>
      <c r="C16" s="26" t="str">
        <f>Sites[[#This Row],[SOL'#]]</f>
        <v>SOL-10756</v>
      </c>
      <c r="D16" s="21">
        <v>15285.367555385699</v>
      </c>
      <c r="E16" s="11">
        <v>0</v>
      </c>
      <c r="F16" s="11">
        <f t="shared" si="0"/>
        <v>15285.367555385699</v>
      </c>
      <c r="G16" s="12" t="str">
        <f t="shared" si="3"/>
        <v/>
      </c>
      <c r="H16" s="13">
        <v>14996</v>
      </c>
      <c r="I16" s="13">
        <f t="shared" si="1"/>
        <v>289.36755538569923</v>
      </c>
      <c r="J16" s="14">
        <f t="shared" si="2"/>
        <v>1.9296316043324834E-2</v>
      </c>
      <c r="K16" s="38"/>
      <c r="L16" s="38"/>
    </row>
    <row r="17" spans="1:12" ht="15.75">
      <c r="A17" s="27" t="str">
        <v>SCNM</v>
      </c>
      <c r="B17" s="28" t="str">
        <v>AZ</v>
      </c>
      <c r="C17" s="28" t="str">
        <f>Sites[[#This Row],[SOL'#]]</f>
        <v>SOL-10760</v>
      </c>
      <c r="D17" s="10">
        <v>90171.06</v>
      </c>
      <c r="E17" s="15">
        <v>0</v>
      </c>
      <c r="F17" s="15">
        <f t="shared" si="0"/>
        <v>90171.06</v>
      </c>
      <c r="G17" s="16" t="str">
        <f t="shared" si="3"/>
        <v/>
      </c>
      <c r="H17" s="17">
        <v>47321</v>
      </c>
      <c r="I17" s="17">
        <f t="shared" si="1"/>
        <v>42850.06</v>
      </c>
      <c r="J17" s="16">
        <f t="shared" si="2"/>
        <v>0.90551890281270464</v>
      </c>
      <c r="K17" s="39"/>
      <c r="L17" s="39"/>
    </row>
    <row r="18" spans="1:12" ht="12.75" customHeight="1">
      <c r="A18" s="25" t="str">
        <v>Sequoia Charter School</v>
      </c>
      <c r="B18" s="26" t="str">
        <v>AZ</v>
      </c>
      <c r="C18" s="26" t="str">
        <f>Sites[[#This Row],[SOL'#]]</f>
        <v>SOL-10759</v>
      </c>
      <c r="D18" s="21">
        <v>41126.44</v>
      </c>
      <c r="E18" s="11">
        <v>0</v>
      </c>
      <c r="F18" s="11">
        <f t="shared" si="0"/>
        <v>41126.44</v>
      </c>
      <c r="G18" s="12" t="str">
        <f t="shared" si="3"/>
        <v/>
      </c>
      <c r="H18" s="13">
        <v>14750</v>
      </c>
      <c r="I18" s="13">
        <f t="shared" si="1"/>
        <v>26376.440000000002</v>
      </c>
      <c r="J18" s="80">
        <f t="shared" si="2"/>
        <v>1.7882332203389832</v>
      </c>
      <c r="K18" s="38"/>
      <c r="L18" s="38"/>
    </row>
    <row r="19" spans="1:12" ht="31.5">
      <c r="A19" s="27" t="str">
        <v>RCAB</v>
      </c>
      <c r="B19" s="28" t="str">
        <v>MA</v>
      </c>
      <c r="C19" s="28" t="str">
        <f>Sites[[#This Row],[SOL'#]]</f>
        <v>SOL-10838</v>
      </c>
      <c r="D19" s="10">
        <v>117019</v>
      </c>
      <c r="E19" s="15">
        <v>132815.6</v>
      </c>
      <c r="F19" s="15">
        <f t="shared" si="0"/>
        <v>-15796.600000000006</v>
      </c>
      <c r="G19" s="16">
        <f t="shared" si="3"/>
        <v>-0.11893632976849108</v>
      </c>
      <c r="H19" s="17">
        <v>128367.8</v>
      </c>
      <c r="I19" s="17">
        <f t="shared" si="1"/>
        <v>-11348.800000000003</v>
      </c>
      <c r="J19" s="16">
        <f t="shared" si="2"/>
        <v>-8.8408463804785953E-2</v>
      </c>
      <c r="K19" s="74" t="s">
        <v>332</v>
      </c>
      <c r="L19" s="77" t="s">
        <v>333</v>
      </c>
    </row>
    <row r="20" spans="1:12" ht="15.75">
      <c r="A20" s="25" t="str">
        <v>Spectro Coatings</v>
      </c>
      <c r="B20" s="26" t="str">
        <v>MA</v>
      </c>
      <c r="C20" s="26" t="str">
        <f>Sites[[#This Row],[SOL'#]]</f>
        <v>SOL-10074</v>
      </c>
      <c r="D20" s="21">
        <v>30947.625</v>
      </c>
      <c r="E20" s="11">
        <v>32366.720000000001</v>
      </c>
      <c r="F20" s="11">
        <f t="shared" si="0"/>
        <v>-1419.0950000000012</v>
      </c>
      <c r="G20" s="12">
        <f t="shared" si="3"/>
        <v>-4.3844263490400048E-2</v>
      </c>
      <c r="H20" s="13">
        <v>34638.18</v>
      </c>
      <c r="I20" s="13">
        <f t="shared" si="1"/>
        <v>-3690.5550000000003</v>
      </c>
      <c r="J20" s="80">
        <f t="shared" si="2"/>
        <v>-0.10654586932685263</v>
      </c>
      <c r="K20" s="73" t="s">
        <v>334</v>
      </c>
      <c r="L20" s="73" t="s">
        <v>335</v>
      </c>
    </row>
    <row r="21" spans="1:12" ht="15.75">
      <c r="A21" s="27" t="str">
        <v>K026</v>
      </c>
      <c r="B21" s="28" t="str">
        <v>NY</v>
      </c>
      <c r="C21" s="28" t="str">
        <f>Sites[[#This Row],[SOL'#]]</f>
        <v>SOL-10356</v>
      </c>
      <c r="D21" s="10">
        <v>32171.25</v>
      </c>
      <c r="E21" s="15">
        <v>34586.76</v>
      </c>
      <c r="F21" s="15">
        <f t="shared" si="0"/>
        <v>-2415.510000000002</v>
      </c>
      <c r="G21" s="16">
        <f t="shared" si="3"/>
        <v>-6.9839152323027717E-2</v>
      </c>
      <c r="H21" s="17">
        <v>37399.879999999997</v>
      </c>
      <c r="I21" s="17">
        <f t="shared" si="1"/>
        <v>-5228.6299999999974</v>
      </c>
      <c r="J21" s="16">
        <f t="shared" si="2"/>
        <v>-0.13980338974349643</v>
      </c>
      <c r="K21" s="39"/>
      <c r="L21" s="40"/>
    </row>
    <row r="22" spans="1:12" ht="28.5">
      <c r="A22" s="25" t="str">
        <v>K041</v>
      </c>
      <c r="B22" s="26" t="str">
        <v>NY</v>
      </c>
      <c r="C22" s="26" t="str">
        <f>Sites[[#This Row],[SOL'#]]</f>
        <v>SOL-10357</v>
      </c>
      <c r="D22" s="21">
        <v>20243.9296875</v>
      </c>
      <c r="E22" s="11">
        <v>0</v>
      </c>
      <c r="F22" s="11">
        <f t="shared" si="0"/>
        <v>20243.9296875</v>
      </c>
      <c r="G22" s="12" t="str">
        <f t="shared" si="3"/>
        <v/>
      </c>
      <c r="H22" s="13">
        <v>0</v>
      </c>
      <c r="I22" s="13">
        <f t="shared" si="1"/>
        <v>20243.9296875</v>
      </c>
      <c r="J22" s="80" t="str">
        <f t="shared" si="2"/>
        <v/>
      </c>
      <c r="K22" s="73" t="s">
        <v>336</v>
      </c>
      <c r="L22" s="73" t="s">
        <v>337</v>
      </c>
    </row>
    <row r="23" spans="1:12" ht="15.75">
      <c r="A23" s="27" t="str">
        <v>K043</v>
      </c>
      <c r="B23" s="28" t="str">
        <v>NY</v>
      </c>
      <c r="C23" s="28" t="str">
        <f>Sites[[#This Row],[SOL'#]]</f>
        <v>SOL-10358</v>
      </c>
      <c r="D23" s="10">
        <v>28735.9375</v>
      </c>
      <c r="E23" s="15">
        <v>30006.39</v>
      </c>
      <c r="F23" s="15">
        <f t="shared" si="0"/>
        <v>-1270.4524999999994</v>
      </c>
      <c r="G23" s="16">
        <f t="shared" si="3"/>
        <v>-4.2339398374812813E-2</v>
      </c>
      <c r="H23" s="17">
        <v>36644</v>
      </c>
      <c r="I23" s="17">
        <f t="shared" si="1"/>
        <v>-7908.0625</v>
      </c>
      <c r="J23" s="16">
        <f t="shared" si="2"/>
        <v>-0.21580784030127714</v>
      </c>
      <c r="K23" s="39"/>
      <c r="L23" s="40"/>
    </row>
    <row r="24" spans="1:12" ht="15.75">
      <c r="A24" s="25" t="str">
        <v>K058</v>
      </c>
      <c r="B24" s="26" t="str">
        <v>NY</v>
      </c>
      <c r="C24" s="26" t="str">
        <f>Sites[[#This Row],[SOL'#]]</f>
        <v>SOL-10360</v>
      </c>
      <c r="D24" s="21">
        <v>23873.125</v>
      </c>
      <c r="E24" s="11">
        <v>24535.03</v>
      </c>
      <c r="F24" s="11">
        <f t="shared" si="0"/>
        <v>-661.90499999999884</v>
      </c>
      <c r="G24" s="12">
        <f t="shared" si="3"/>
        <v>-2.6977957638527398E-2</v>
      </c>
      <c r="H24" s="13">
        <v>22239.45</v>
      </c>
      <c r="I24" s="13">
        <f t="shared" si="1"/>
        <v>1633.6749999999993</v>
      </c>
      <c r="J24" s="80">
        <f t="shared" si="2"/>
        <v>7.345842635496827E-2</v>
      </c>
      <c r="K24" s="38"/>
      <c r="L24" s="38"/>
    </row>
    <row r="25" spans="1:12" ht="28.5">
      <c r="A25" s="27" t="str">
        <v>K115</v>
      </c>
      <c r="B25" s="28" t="str">
        <v>NY</v>
      </c>
      <c r="C25" s="28" t="str">
        <f>Sites[[#This Row],[SOL'#]]</f>
        <v>SOL-10361</v>
      </c>
      <c r="D25" s="10">
        <v>6370.2584374999997</v>
      </c>
      <c r="E25" s="15">
        <v>10410.89</v>
      </c>
      <c r="F25" s="15">
        <f t="shared" si="0"/>
        <v>-4040.6315624999997</v>
      </c>
      <c r="G25" s="16">
        <f t="shared" si="3"/>
        <v>-0.38811586353328104</v>
      </c>
      <c r="H25" s="17">
        <v>7923.335</v>
      </c>
      <c r="I25" s="17">
        <f t="shared" si="1"/>
        <v>-1553.0765625000004</v>
      </c>
      <c r="J25" s="16">
        <f t="shared" si="2"/>
        <v>-0.1960129872711428</v>
      </c>
      <c r="K25" s="76" t="s">
        <v>338</v>
      </c>
      <c r="L25" s="74" t="s">
        <v>37</v>
      </c>
    </row>
    <row r="26" spans="1:12" ht="15.75">
      <c r="A26" s="25" t="str">
        <v>K152</v>
      </c>
      <c r="B26" s="26" t="str">
        <v>NY</v>
      </c>
      <c r="C26" s="26" t="str">
        <f>Sites[[#This Row],[SOL'#]]</f>
        <v>SOL-10362</v>
      </c>
      <c r="D26" s="21">
        <v>9140.75</v>
      </c>
      <c r="E26" s="11">
        <v>9247.51</v>
      </c>
      <c r="F26" s="11">
        <f t="shared" si="0"/>
        <v>-106.76000000000022</v>
      </c>
      <c r="G26" s="12">
        <f t="shared" si="3"/>
        <v>-1.1544729337951537E-2</v>
      </c>
      <c r="H26" s="13">
        <v>1747</v>
      </c>
      <c r="I26" s="13">
        <f t="shared" si="1"/>
        <v>7393.75</v>
      </c>
      <c r="J26" s="80">
        <f t="shared" si="2"/>
        <v>4.2322552947910701</v>
      </c>
      <c r="K26" s="38"/>
      <c r="L26" s="38"/>
    </row>
    <row r="27" spans="1:12" ht="15.75">
      <c r="A27" s="27" t="str">
        <v>K166</v>
      </c>
      <c r="B27" s="28" t="str">
        <v>NY</v>
      </c>
      <c r="C27" s="28" t="str">
        <f>Sites[[#This Row],[SOL'#]]</f>
        <v>SOL-10363</v>
      </c>
      <c r="D27" s="10">
        <v>33466.375</v>
      </c>
      <c r="E27" s="15">
        <v>35415.769999999997</v>
      </c>
      <c r="F27" s="15">
        <f t="shared" si="0"/>
        <v>-1949.3949999999968</v>
      </c>
      <c r="G27" s="16">
        <f t="shared" si="3"/>
        <v>-5.5043134739128842E-2</v>
      </c>
      <c r="H27" s="17">
        <v>38408.519999999997</v>
      </c>
      <c r="I27" s="17">
        <f t="shared" si="1"/>
        <v>-4942.1449999999968</v>
      </c>
      <c r="J27" s="16">
        <f t="shared" si="2"/>
        <v>-0.12867314335465144</v>
      </c>
      <c r="K27" s="39"/>
      <c r="L27" s="40"/>
    </row>
    <row r="28" spans="1:12" ht="15.75">
      <c r="A28" s="25" t="str">
        <v>K206</v>
      </c>
      <c r="B28" s="26" t="str">
        <v>NY</v>
      </c>
      <c r="C28" s="26" t="str">
        <f>Sites[[#This Row],[SOL'#]]</f>
        <v>SOL-10927</v>
      </c>
      <c r="D28" s="21">
        <v>18668.4213671875</v>
      </c>
      <c r="E28" s="11">
        <v>0</v>
      </c>
      <c r="F28" s="11">
        <f t="shared" si="0"/>
        <v>18668.4213671875</v>
      </c>
      <c r="G28" s="12" t="str">
        <f t="shared" si="3"/>
        <v/>
      </c>
      <c r="H28" s="13">
        <v>0</v>
      </c>
      <c r="I28" s="13">
        <f t="shared" si="1"/>
        <v>18668.4213671875</v>
      </c>
      <c r="J28" s="80" t="str">
        <f t="shared" si="2"/>
        <v/>
      </c>
      <c r="K28" s="38"/>
      <c r="L28" s="38"/>
    </row>
    <row r="29" spans="1:12" ht="15.75">
      <c r="A29" s="27" t="str">
        <v>K251</v>
      </c>
      <c r="B29" s="28" t="str">
        <v>NY</v>
      </c>
      <c r="C29" s="28" t="str">
        <f>Sites[[#This Row],[SOL'#]]</f>
        <v>SOL-10365</v>
      </c>
      <c r="D29" s="10">
        <v>20644.03125</v>
      </c>
      <c r="E29" s="15">
        <v>21406.02</v>
      </c>
      <c r="F29" s="15">
        <f t="shared" si="0"/>
        <v>-761.98875000000044</v>
      </c>
      <c r="G29" s="16">
        <f t="shared" si="3"/>
        <v>-3.5596937216726902E-2</v>
      </c>
      <c r="H29" s="17">
        <v>20494.689999999999</v>
      </c>
      <c r="I29" s="17">
        <f t="shared" si="1"/>
        <v>149.34125000000131</v>
      </c>
      <c r="J29" s="16">
        <f t="shared" si="2"/>
        <v>7.2868264901787402E-3</v>
      </c>
      <c r="K29" s="74" t="s">
        <v>339</v>
      </c>
      <c r="L29" s="74" t="s">
        <v>255</v>
      </c>
    </row>
    <row r="30" spans="1:12" ht="15.75">
      <c r="A30" s="25" t="str">
        <v>K269</v>
      </c>
      <c r="B30" s="26" t="str">
        <v>NY</v>
      </c>
      <c r="C30" s="26" t="str">
        <f>Sites[[#This Row],[SOL'#]]</f>
        <v>SOL-10366</v>
      </c>
      <c r="D30" s="21">
        <v>19510.0625</v>
      </c>
      <c r="E30" s="11">
        <v>0</v>
      </c>
      <c r="F30" s="11">
        <f t="shared" si="0"/>
        <v>19510.0625</v>
      </c>
      <c r="G30" s="12" t="str">
        <f t="shared" si="3"/>
        <v/>
      </c>
      <c r="H30" s="13">
        <v>22665.81</v>
      </c>
      <c r="I30" s="13">
        <f t="shared" si="1"/>
        <v>-3155.7475000000013</v>
      </c>
      <c r="J30" s="80">
        <f t="shared" si="2"/>
        <v>-0.13922941646471054</v>
      </c>
      <c r="K30" s="38"/>
      <c r="L30" s="38"/>
    </row>
    <row r="31" spans="1:12" ht="15.75">
      <c r="A31" s="27" t="str">
        <v>K273</v>
      </c>
      <c r="B31" s="28" t="str">
        <v>NY</v>
      </c>
      <c r="C31" s="28" t="str">
        <f>Sites[[#This Row],[SOL'#]]</f>
        <v>SOL-10367</v>
      </c>
      <c r="D31" s="10">
        <v>22697.5</v>
      </c>
      <c r="E31" s="15">
        <v>0</v>
      </c>
      <c r="F31" s="15">
        <f t="shared" si="0"/>
        <v>22697.5</v>
      </c>
      <c r="G31" s="16" t="str">
        <f t="shared" si="3"/>
        <v/>
      </c>
      <c r="H31" s="17">
        <v>25882</v>
      </c>
      <c r="I31" s="17">
        <f t="shared" si="1"/>
        <v>-3184.5</v>
      </c>
      <c r="J31" s="16">
        <f t="shared" si="2"/>
        <v>-0.1230391778069701</v>
      </c>
      <c r="K31" s="74" t="s">
        <v>340</v>
      </c>
      <c r="L31" s="75" t="s">
        <v>341</v>
      </c>
    </row>
    <row r="32" spans="1:12" ht="15.75">
      <c r="A32" s="25" t="str">
        <v>K287</v>
      </c>
      <c r="B32" s="26" t="str">
        <v>NY</v>
      </c>
      <c r="C32" s="26" t="str">
        <f>Sites[[#This Row],[SOL'#]]</f>
        <v>SOL-10919</v>
      </c>
      <c r="D32" s="21">
        <v>17370.375</v>
      </c>
      <c r="E32" s="11">
        <v>15168.98</v>
      </c>
      <c r="F32" s="11">
        <f t="shared" si="0"/>
        <v>2201.3950000000004</v>
      </c>
      <c r="G32" s="12">
        <f t="shared" si="3"/>
        <v>0.14512478755987551</v>
      </c>
      <c r="H32" s="13">
        <v>18262</v>
      </c>
      <c r="I32" s="13">
        <f t="shared" si="1"/>
        <v>-891.625</v>
      </c>
      <c r="J32" s="80">
        <f t="shared" si="2"/>
        <v>-4.8824060891468624E-2</v>
      </c>
      <c r="K32" s="38"/>
      <c r="L32" s="38"/>
    </row>
    <row r="33" spans="1:12" ht="15.75">
      <c r="A33" s="27" t="str">
        <v>K298</v>
      </c>
      <c r="B33" s="28" t="str">
        <v>NY</v>
      </c>
      <c r="C33" s="28" t="str">
        <f>Sites[[#This Row],[SOL'#]]</f>
        <v>SOL-10368</v>
      </c>
      <c r="D33" s="10">
        <v>19067.9375</v>
      </c>
      <c r="E33" s="15">
        <v>19600.169999999998</v>
      </c>
      <c r="F33" s="15">
        <f t="shared" si="0"/>
        <v>-532.23249999999825</v>
      </c>
      <c r="G33" s="16">
        <f t="shared" si="3"/>
        <v>-2.7154483864170478E-2</v>
      </c>
      <c r="H33" s="17">
        <v>0</v>
      </c>
      <c r="I33" s="17">
        <f t="shared" si="1"/>
        <v>19067.9375</v>
      </c>
      <c r="J33" s="16" t="str">
        <f t="shared" si="2"/>
        <v/>
      </c>
      <c r="K33" s="39"/>
      <c r="L33" s="40"/>
    </row>
    <row r="34" spans="1:12" ht="28.5">
      <c r="A34" s="25" t="str">
        <v>K335</v>
      </c>
      <c r="B34" s="26" t="str">
        <v>NY</v>
      </c>
      <c r="C34" s="26" t="str">
        <f>Sites[[#This Row],[SOL'#]]</f>
        <v>SOL-10370</v>
      </c>
      <c r="D34" s="21">
        <v>18871.375</v>
      </c>
      <c r="E34" s="11">
        <v>21253.01</v>
      </c>
      <c r="F34" s="11">
        <f t="shared" si="0"/>
        <v>-2381.6349999999984</v>
      </c>
      <c r="G34" s="12">
        <f t="shared" si="3"/>
        <v>-0.1120610680557718</v>
      </c>
      <c r="H34" s="13">
        <v>23703</v>
      </c>
      <c r="I34" s="13">
        <f t="shared" si="1"/>
        <v>-4831.625</v>
      </c>
      <c r="J34" s="80">
        <f t="shared" si="2"/>
        <v>-0.20384023119436359</v>
      </c>
      <c r="K34" s="73" t="s">
        <v>342</v>
      </c>
      <c r="L34" s="73" t="s">
        <v>257</v>
      </c>
    </row>
    <row r="35" spans="1:12" ht="15.75">
      <c r="A35" s="27" t="str">
        <v>K345</v>
      </c>
      <c r="B35" s="28" t="str">
        <v>NY</v>
      </c>
      <c r="C35" s="28" t="str">
        <f>Sites[[#This Row],[SOL'#]]</f>
        <v>SOL-10920</v>
      </c>
      <c r="D35" s="10">
        <v>20820.3359375</v>
      </c>
      <c r="E35" s="15">
        <v>13629.56</v>
      </c>
      <c r="F35" s="15">
        <f t="shared" si="0"/>
        <v>7190.7759375000005</v>
      </c>
      <c r="G35" s="16">
        <f t="shared" si="3"/>
        <v>0.52758679939044262</v>
      </c>
      <c r="H35" s="17">
        <v>12110</v>
      </c>
      <c r="I35" s="17">
        <f t="shared" si="1"/>
        <v>8710.3359375</v>
      </c>
      <c r="J35" s="16">
        <f t="shared" si="2"/>
        <v>0.7192680377786953</v>
      </c>
      <c r="K35" s="74" t="s">
        <v>343</v>
      </c>
      <c r="L35" s="75" t="s">
        <v>259</v>
      </c>
    </row>
    <row r="36" spans="1:12" ht="15.75">
      <c r="A36" s="25" t="str">
        <v>K445</v>
      </c>
      <c r="B36" s="26" t="str">
        <v>NY</v>
      </c>
      <c r="C36" s="26" t="str">
        <f>Sites[[#This Row],[SOL'#]]</f>
        <v>SOL-10373</v>
      </c>
      <c r="D36" s="21">
        <v>18595.015625</v>
      </c>
      <c r="E36" s="11">
        <v>20119.12</v>
      </c>
      <c r="F36" s="11">
        <f t="shared" si="0"/>
        <v>-1524.104374999999</v>
      </c>
      <c r="G36" s="12">
        <f t="shared" si="3"/>
        <v>-7.5754027760657483E-2</v>
      </c>
      <c r="H36" s="13">
        <v>23218.89</v>
      </c>
      <c r="I36" s="13">
        <f t="shared" si="1"/>
        <v>-4623.8743749999994</v>
      </c>
      <c r="J36" s="80">
        <f t="shared" si="2"/>
        <v>-0.199142783096005</v>
      </c>
      <c r="K36" s="38"/>
      <c r="L36" s="38"/>
    </row>
    <row r="37" spans="1:12" ht="31.5">
      <c r="A37" s="27" t="str">
        <v>K495</v>
      </c>
      <c r="B37" s="28" t="str">
        <v>NY</v>
      </c>
      <c r="C37" s="28" t="str">
        <f>Sites[[#This Row],[SOL'#]]</f>
        <v>SOL-10374</v>
      </c>
      <c r="D37" s="10">
        <v>68781.755312499896</v>
      </c>
      <c r="E37" s="15">
        <v>0</v>
      </c>
      <c r="F37" s="15">
        <f t="shared" si="0"/>
        <v>68781.755312499896</v>
      </c>
      <c r="G37" s="16" t="str">
        <f t="shared" si="3"/>
        <v/>
      </c>
      <c r="H37" s="17">
        <v>0</v>
      </c>
      <c r="I37" s="17">
        <f t="shared" si="1"/>
        <v>68781.755312499896</v>
      </c>
      <c r="J37" s="16" t="str">
        <f t="shared" si="2"/>
        <v/>
      </c>
      <c r="K37" s="39" t="s">
        <v>344</v>
      </c>
      <c r="L37" s="40" t="s">
        <v>345</v>
      </c>
    </row>
    <row r="38" spans="1:12" ht="15.75">
      <c r="A38" s="25" t="str">
        <v>M020</v>
      </c>
      <c r="B38" s="26" t="str">
        <v>NY</v>
      </c>
      <c r="C38" s="26" t="str">
        <f>Sites[[#This Row],[SOL'#]]</f>
        <v>SOL-10380</v>
      </c>
      <c r="D38" s="21">
        <v>18813.484375</v>
      </c>
      <c r="E38" s="11">
        <v>21531.99</v>
      </c>
      <c r="F38" s="11">
        <f t="shared" si="0"/>
        <v>-2718.5056250000016</v>
      </c>
      <c r="G38" s="12">
        <f t="shared" si="3"/>
        <v>-0.12625426748758481</v>
      </c>
      <c r="H38" s="13">
        <v>0</v>
      </c>
      <c r="I38" s="13">
        <f t="shared" si="1"/>
        <v>18813.484375</v>
      </c>
      <c r="J38" s="80" t="str">
        <f t="shared" si="2"/>
        <v/>
      </c>
      <c r="K38" s="38"/>
      <c r="L38" s="38"/>
    </row>
    <row r="39" spans="1:12" ht="15.75">
      <c r="A39" s="27" t="str">
        <v>M092</v>
      </c>
      <c r="B39" s="28" t="str">
        <v>NY</v>
      </c>
      <c r="C39" s="28" t="str">
        <f>Sites[[#This Row],[SOL'#]]</f>
        <v>SOL-10383</v>
      </c>
      <c r="D39" s="10">
        <v>19299.125</v>
      </c>
      <c r="E39" s="15">
        <v>20876.509999999998</v>
      </c>
      <c r="F39" s="15">
        <f t="shared" si="0"/>
        <v>-1577.3849999999984</v>
      </c>
      <c r="G39" s="16">
        <f t="shared" si="3"/>
        <v>-7.5557887788715569E-2</v>
      </c>
      <c r="H39" s="17">
        <v>24023.46</v>
      </c>
      <c r="I39" s="17">
        <f t="shared" si="1"/>
        <v>-4724.3349999999991</v>
      </c>
      <c r="J39" s="16">
        <f t="shared" si="2"/>
        <v>-0.19665506134420269</v>
      </c>
      <c r="K39" s="39"/>
      <c r="L39" s="40"/>
    </row>
    <row r="40" spans="1:12" ht="15.75">
      <c r="A40" s="25" t="str">
        <v>M143</v>
      </c>
      <c r="B40" s="26" t="str">
        <v>NY</v>
      </c>
      <c r="C40" s="26" t="str">
        <f>Sites[[#This Row],[SOL'#]]</f>
        <v>SOL-10384</v>
      </c>
      <c r="D40" s="21">
        <v>22629.53125</v>
      </c>
      <c r="E40" s="11">
        <v>26223.48</v>
      </c>
      <c r="F40" s="11">
        <f t="shared" si="0"/>
        <v>-3593.9487499999996</v>
      </c>
      <c r="G40" s="12">
        <f t="shared" si="3"/>
        <v>-0.13705079379243335</v>
      </c>
      <c r="H40" s="13">
        <v>27372.3</v>
      </c>
      <c r="I40" s="13">
        <f t="shared" si="1"/>
        <v>-4742.7687499999993</v>
      </c>
      <c r="J40" s="80">
        <f t="shared" si="2"/>
        <v>-0.17326891602094086</v>
      </c>
      <c r="K40" s="38"/>
      <c r="L40" s="38"/>
    </row>
    <row r="41" spans="1:12" ht="15.75">
      <c r="A41" s="27" t="str">
        <v>M144</v>
      </c>
      <c r="B41" s="28" t="str">
        <v>NY</v>
      </c>
      <c r="C41" s="28" t="str">
        <f>Sites[[#This Row],[SOL'#]]</f>
        <v>SOL-10385</v>
      </c>
      <c r="D41" s="10">
        <v>31957.328125</v>
      </c>
      <c r="E41" s="15">
        <v>0</v>
      </c>
      <c r="F41" s="15">
        <f t="shared" si="0"/>
        <v>31957.328125</v>
      </c>
      <c r="G41" s="16" t="str">
        <f t="shared" si="3"/>
        <v/>
      </c>
      <c r="H41" s="17">
        <v>0</v>
      </c>
      <c r="I41" s="17">
        <f t="shared" si="1"/>
        <v>31957.328125</v>
      </c>
      <c r="J41" s="16" t="str">
        <f t="shared" si="2"/>
        <v/>
      </c>
      <c r="K41" s="39"/>
      <c r="L41" s="39"/>
    </row>
    <row r="42" spans="1:12" ht="15.75">
      <c r="A42" s="25" t="str">
        <v>M167</v>
      </c>
      <c r="B42" s="26" t="str">
        <v>NY</v>
      </c>
      <c r="C42" s="26" t="str">
        <f>Sites[[#This Row],[SOL'#]]</f>
        <v>SOL-10386</v>
      </c>
      <c r="D42" s="21">
        <v>21756.6875</v>
      </c>
      <c r="E42" s="11">
        <v>18528.39</v>
      </c>
      <c r="F42" s="11">
        <f t="shared" si="0"/>
        <v>3228.2975000000006</v>
      </c>
      <c r="G42" s="12">
        <f t="shared" si="3"/>
        <v>0.17423518719111594</v>
      </c>
      <c r="H42" s="13">
        <v>20833.27</v>
      </c>
      <c r="I42" s="13">
        <f t="shared" si="1"/>
        <v>923.41749999999956</v>
      </c>
      <c r="J42" s="80">
        <f t="shared" si="2"/>
        <v>4.4324174745491204E-2</v>
      </c>
      <c r="K42" s="73" t="s">
        <v>346</v>
      </c>
      <c r="L42" s="73" t="s">
        <v>347</v>
      </c>
    </row>
    <row r="43" spans="1:12" ht="15.75">
      <c r="A43" s="27" t="str">
        <v>M188</v>
      </c>
      <c r="B43" s="28" t="str">
        <v>NY</v>
      </c>
      <c r="C43" s="28" t="str">
        <f>Sites[[#This Row],[SOL'#]]</f>
        <v>SOL-10387</v>
      </c>
      <c r="D43" s="10">
        <v>17732.078125</v>
      </c>
      <c r="E43" s="15">
        <v>0</v>
      </c>
      <c r="F43" s="15">
        <f t="shared" si="0"/>
        <v>17732.078125</v>
      </c>
      <c r="G43" s="16" t="str">
        <f t="shared" si="3"/>
        <v/>
      </c>
      <c r="H43" s="17">
        <v>0</v>
      </c>
      <c r="I43" s="17">
        <f t="shared" si="1"/>
        <v>17732.078125</v>
      </c>
      <c r="J43" s="16" t="str">
        <f t="shared" si="2"/>
        <v/>
      </c>
      <c r="K43" s="39"/>
      <c r="L43" s="40"/>
    </row>
    <row r="44" spans="1:12" ht="15.75">
      <c r="A44" s="25" t="str">
        <v>EMHC</v>
      </c>
      <c r="B44" s="26" t="str">
        <v>NY</v>
      </c>
      <c r="C44" s="26" t="str">
        <f>Sites[[#This Row],[SOL'#]]</f>
        <v>SOL-10351</v>
      </c>
      <c r="D44" s="21">
        <v>4030.6416555433402</v>
      </c>
      <c r="E44" s="11">
        <v>6144.5990000000002</v>
      </c>
      <c r="F44" s="11">
        <f t="shared" si="0"/>
        <v>-2113.9573444566599</v>
      </c>
      <c r="G44" s="12">
        <f t="shared" si="3"/>
        <v>-0.34403503702302785</v>
      </c>
      <c r="H44" s="13">
        <v>8799.6059999999998</v>
      </c>
      <c r="I44" s="13">
        <f t="shared" si="1"/>
        <v>-4768.9643444566591</v>
      </c>
      <c r="J44" s="80">
        <f t="shared" si="2"/>
        <v>-0.5419520310860122</v>
      </c>
      <c r="K44" s="38"/>
      <c r="L44" s="38"/>
    </row>
    <row r="45" spans="1:12" ht="15.75">
      <c r="A45" s="27" t="str">
        <v>Q008</v>
      </c>
      <c r="B45" s="28" t="str">
        <v>NY</v>
      </c>
      <c r="C45" s="28" t="str">
        <f>Sites[[#This Row],[SOL'#]]</f>
        <v>SOL-10397</v>
      </c>
      <c r="D45" s="10">
        <v>28350.0625</v>
      </c>
      <c r="E45" s="15">
        <v>27821.040000000001</v>
      </c>
      <c r="F45" s="15">
        <f t="shared" si="0"/>
        <v>529.02249999999913</v>
      </c>
      <c r="G45" s="16">
        <f t="shared" si="3"/>
        <v>1.9015194974738511E-2</v>
      </c>
      <c r="H45" s="17">
        <v>27040</v>
      </c>
      <c r="I45" s="17">
        <f t="shared" si="1"/>
        <v>1310.0625</v>
      </c>
      <c r="J45" s="16">
        <f t="shared" si="2"/>
        <v>4.8449056952662724E-2</v>
      </c>
      <c r="K45" s="39"/>
      <c r="L45" s="40"/>
    </row>
    <row r="46" spans="1:12" ht="15.75">
      <c r="A46" s="25" t="str">
        <v>Q018</v>
      </c>
      <c r="B46" s="26" t="str">
        <v>NY</v>
      </c>
      <c r="C46" s="26" t="str">
        <f>Sites[[#This Row],[SOL'#]]</f>
        <v>SOL-10398</v>
      </c>
      <c r="D46" s="21">
        <v>18827.0625</v>
      </c>
      <c r="E46" s="11">
        <v>17172.93</v>
      </c>
      <c r="F46" s="11">
        <f t="shared" si="0"/>
        <v>1654.1324999999997</v>
      </c>
      <c r="G46" s="12">
        <f t="shared" si="3"/>
        <v>9.6322089474539269E-2</v>
      </c>
      <c r="H46" s="13">
        <v>20669.810000000001</v>
      </c>
      <c r="I46" s="13">
        <f t="shared" si="1"/>
        <v>-1842.7475000000013</v>
      </c>
      <c r="J46" s="80">
        <f t="shared" si="2"/>
        <v>-8.91516419357508E-2</v>
      </c>
      <c r="K46" s="38"/>
      <c r="L46" s="38"/>
    </row>
    <row r="47" spans="1:12" ht="15.75">
      <c r="A47" s="27" t="str">
        <v>Q021</v>
      </c>
      <c r="B47" s="28" t="str">
        <v>NY</v>
      </c>
      <c r="C47" s="28" t="str">
        <f>Sites[[#This Row],[SOL'#]]</f>
        <v>SOL-10399</v>
      </c>
      <c r="D47" s="10">
        <v>14707.6875</v>
      </c>
      <c r="E47" s="15">
        <v>14156.51</v>
      </c>
      <c r="F47" s="15">
        <f t="shared" si="0"/>
        <v>551.17749999999978</v>
      </c>
      <c r="G47" s="16">
        <f t="shared" si="3"/>
        <v>3.8934560848683734E-2</v>
      </c>
      <c r="H47" s="17">
        <v>7589.0519999999997</v>
      </c>
      <c r="I47" s="17">
        <f t="shared" si="1"/>
        <v>7118.6355000000003</v>
      </c>
      <c r="J47" s="16">
        <f t="shared" si="2"/>
        <v>0.93801379935201401</v>
      </c>
      <c r="K47" s="39"/>
      <c r="L47" s="40"/>
    </row>
    <row r="48" spans="1:12" ht="15.75">
      <c r="A48" s="25" t="str">
        <v>Q025</v>
      </c>
      <c r="B48" s="26" t="str">
        <v>NY</v>
      </c>
      <c r="C48" s="26" t="str">
        <f>Sites[[#This Row],[SOL'#]]</f>
        <v>SOL-10400</v>
      </c>
      <c r="D48" s="21">
        <v>22860.625</v>
      </c>
      <c r="E48" s="11">
        <v>24951.81</v>
      </c>
      <c r="F48" s="11">
        <f t="shared" si="0"/>
        <v>-2091.1850000000013</v>
      </c>
      <c r="G48" s="12">
        <f t="shared" si="3"/>
        <v>-8.3808950132275017E-2</v>
      </c>
      <c r="H48" s="13">
        <v>13314</v>
      </c>
      <c r="I48" s="13">
        <f t="shared" si="1"/>
        <v>9546.625</v>
      </c>
      <c r="J48" s="80">
        <f t="shared" si="2"/>
        <v>0.71703657803815535</v>
      </c>
      <c r="K48" s="73" t="s">
        <v>348</v>
      </c>
      <c r="L48" s="73" t="s">
        <v>349</v>
      </c>
    </row>
    <row r="49" spans="1:12" ht="15.75">
      <c r="A49" s="27" t="str">
        <v>Q074</v>
      </c>
      <c r="B49" s="28" t="str">
        <v>NY</v>
      </c>
      <c r="C49" s="28" t="str">
        <f>Sites[[#This Row],[SOL'#]]</f>
        <v>SOL-10402</v>
      </c>
      <c r="D49" s="10">
        <v>16561.71875</v>
      </c>
      <c r="E49" s="15">
        <v>16457.669999999998</v>
      </c>
      <c r="F49" s="15">
        <f t="shared" si="0"/>
        <v>104.04875000000175</v>
      </c>
      <c r="G49" s="16">
        <f t="shared" si="3"/>
        <v>6.3222041759253746E-3</v>
      </c>
      <c r="H49" s="17">
        <v>17263.27</v>
      </c>
      <c r="I49" s="17">
        <f t="shared" si="1"/>
        <v>-701.55125000000044</v>
      </c>
      <c r="J49" s="16">
        <f t="shared" si="2"/>
        <v>-4.0638375580061045E-2</v>
      </c>
      <c r="K49" s="39"/>
      <c r="L49" s="40"/>
    </row>
    <row r="50" spans="1:12" ht="15.75">
      <c r="A50" s="25" t="str">
        <v>Q115</v>
      </c>
      <c r="B50" s="26" t="str">
        <v>NY</v>
      </c>
      <c r="C50" s="26" t="str">
        <f>Sites[[#This Row],[SOL'#]]</f>
        <v>SOL-10872</v>
      </c>
      <c r="D50" s="21">
        <v>21347.125</v>
      </c>
      <c r="E50" s="11">
        <v>22358.55</v>
      </c>
      <c r="F50" s="11">
        <f t="shared" si="0"/>
        <v>-1011.4249999999993</v>
      </c>
      <c r="G50" s="12">
        <f t="shared" si="3"/>
        <v>-4.5236609708590197E-2</v>
      </c>
      <c r="H50" s="13">
        <v>24087.95</v>
      </c>
      <c r="I50" s="13">
        <f t="shared" si="1"/>
        <v>-2740.8250000000007</v>
      </c>
      <c r="J50" s="80">
        <f t="shared" si="2"/>
        <v>-0.11378407045846578</v>
      </c>
      <c r="K50" s="38"/>
      <c r="L50" s="38"/>
    </row>
    <row r="51" spans="1:12" ht="15.75">
      <c r="A51" s="27" t="str">
        <v>Q139</v>
      </c>
      <c r="B51" s="28" t="str">
        <v>NY</v>
      </c>
      <c r="C51" s="28" t="str">
        <f>Sites[[#This Row],[SOL'#]]</f>
        <v>SOL-10403</v>
      </c>
      <c r="D51" s="10">
        <v>12824.5625</v>
      </c>
      <c r="E51" s="15">
        <v>13770.59</v>
      </c>
      <c r="F51" s="15">
        <f t="shared" si="0"/>
        <v>-946.02750000000015</v>
      </c>
      <c r="G51" s="16">
        <f t="shared" si="3"/>
        <v>-6.8699126181231168E-2</v>
      </c>
      <c r="H51" s="17">
        <v>13772</v>
      </c>
      <c r="I51" s="17">
        <f t="shared" si="1"/>
        <v>-947.4375</v>
      </c>
      <c r="J51" s="16">
        <f t="shared" si="2"/>
        <v>-6.8794474295672384E-2</v>
      </c>
      <c r="K51" s="39"/>
      <c r="L51" s="40"/>
    </row>
    <row r="52" spans="1:12" ht="42.75">
      <c r="A52" s="25" t="str">
        <v>Q157</v>
      </c>
      <c r="B52" s="26" t="str">
        <v>NY</v>
      </c>
      <c r="C52" s="26" t="str">
        <f>Sites[[#This Row],[SOL'#]]</f>
        <v>SOL-10404</v>
      </c>
      <c r="D52" s="21">
        <v>19896.4375</v>
      </c>
      <c r="E52" s="11">
        <v>24392.17</v>
      </c>
      <c r="F52" s="11">
        <f t="shared" si="0"/>
        <v>-4495.7324999999983</v>
      </c>
      <c r="G52" s="12">
        <f t="shared" si="3"/>
        <v>-0.18431047750159163</v>
      </c>
      <c r="H52" s="13">
        <v>26050.57</v>
      </c>
      <c r="I52" s="13">
        <f t="shared" si="1"/>
        <v>-6154.1324999999997</v>
      </c>
      <c r="J52" s="80">
        <f t="shared" si="2"/>
        <v>-0.23623792108963451</v>
      </c>
      <c r="K52" s="38" t="s">
        <v>350</v>
      </c>
      <c r="L52" s="38" t="s">
        <v>351</v>
      </c>
    </row>
    <row r="53" spans="1:12" ht="15.75">
      <c r="A53" s="27" t="str">
        <v>Q192</v>
      </c>
      <c r="B53" s="28" t="str">
        <v>NY</v>
      </c>
      <c r="C53" s="28" t="str">
        <f>Sites[[#This Row],[SOL'#]]</f>
        <v>SOL-10406</v>
      </c>
      <c r="D53" s="10">
        <v>35318</v>
      </c>
      <c r="E53" s="15">
        <v>38028.449999999997</v>
      </c>
      <c r="F53" s="15">
        <f t="shared" si="0"/>
        <v>-2710.4499999999971</v>
      </c>
      <c r="G53" s="16">
        <f t="shared" si="3"/>
        <v>-7.1274269658637077E-2</v>
      </c>
      <c r="H53" s="17">
        <v>35584.730000000003</v>
      </c>
      <c r="I53" s="17">
        <f t="shared" si="1"/>
        <v>-266.7300000000032</v>
      </c>
      <c r="J53" s="16">
        <f t="shared" si="2"/>
        <v>-7.4956308506486683E-3</v>
      </c>
      <c r="K53" s="39"/>
      <c r="L53" s="39"/>
    </row>
    <row r="54" spans="1:12" ht="15.75">
      <c r="A54" s="25" t="str">
        <v>Q210</v>
      </c>
      <c r="B54" s="26" t="str">
        <v>NY</v>
      </c>
      <c r="C54" s="26" t="str">
        <f>Sites[[#This Row],[SOL'#]]</f>
        <v>SOL-10407</v>
      </c>
      <c r="D54" s="21">
        <v>28573.125</v>
      </c>
      <c r="E54" s="11">
        <v>28335.040000000001</v>
      </c>
      <c r="F54" s="11">
        <f t="shared" si="0"/>
        <v>238.08499999999913</v>
      </c>
      <c r="G54" s="12">
        <f t="shared" si="3"/>
        <v>8.4024938733101885E-3</v>
      </c>
      <c r="H54" s="13">
        <v>26314</v>
      </c>
      <c r="I54" s="13">
        <f t="shared" si="1"/>
        <v>2259.125</v>
      </c>
      <c r="J54" s="80">
        <f t="shared" si="2"/>
        <v>8.5852587975982372E-2</v>
      </c>
      <c r="K54" s="73" t="s">
        <v>352</v>
      </c>
      <c r="L54" s="73" t="s">
        <v>353</v>
      </c>
    </row>
    <row r="55" spans="1:12" ht="15.75">
      <c r="A55" s="27" t="str">
        <v>Q229</v>
      </c>
      <c r="B55" s="28" t="str">
        <v>NY</v>
      </c>
      <c r="C55" s="28" t="str">
        <f>Sites[[#This Row],[SOL'#]]</f>
        <v>SOL-10408</v>
      </c>
      <c r="D55" s="10">
        <v>12812.90625</v>
      </c>
      <c r="E55" s="15">
        <v>13781.93</v>
      </c>
      <c r="F55" s="15">
        <f t="shared" si="0"/>
        <v>-969.02375000000029</v>
      </c>
      <c r="G55" s="16">
        <f t="shared" si="3"/>
        <v>-7.0311179203493293E-2</v>
      </c>
      <c r="H55" s="17">
        <v>14716.48</v>
      </c>
      <c r="I55" s="17">
        <f t="shared" si="1"/>
        <v>-1903.5737499999996</v>
      </c>
      <c r="J55" s="16">
        <f t="shared" si="2"/>
        <v>-0.12934980035986865</v>
      </c>
      <c r="K55" s="39"/>
      <c r="L55" s="40"/>
    </row>
    <row r="56" spans="1:12" ht="15.75">
      <c r="A56" s="25" t="str">
        <v>Q231</v>
      </c>
      <c r="B56" s="26" t="str">
        <v>NY</v>
      </c>
      <c r="C56" s="26" t="str">
        <f>Sites[[#This Row],[SOL'#]]</f>
        <v>SOL-10870</v>
      </c>
      <c r="D56" s="21">
        <v>46914.4375</v>
      </c>
      <c r="E56" s="11">
        <v>48254.57</v>
      </c>
      <c r="F56" s="11">
        <f t="shared" si="0"/>
        <v>-1340.1324999999997</v>
      </c>
      <c r="G56" s="12">
        <f t="shared" si="3"/>
        <v>-2.777213640075955E-2</v>
      </c>
      <c r="H56" s="13">
        <v>0</v>
      </c>
      <c r="I56" s="13">
        <f t="shared" si="1"/>
        <v>46914.4375</v>
      </c>
      <c r="J56" s="80" t="str">
        <f t="shared" si="2"/>
        <v/>
      </c>
      <c r="K56" s="38"/>
      <c r="L56" s="38"/>
    </row>
    <row r="57" spans="1:12" ht="15.75">
      <c r="A57" s="27" t="str">
        <v>Q405</v>
      </c>
      <c r="B57" s="28" t="str">
        <v>NY</v>
      </c>
      <c r="C57" s="28" t="str">
        <f>Sites[[#This Row],[SOL'#]]</f>
        <v>SOL-10409</v>
      </c>
      <c r="D57" s="10">
        <v>50714.625</v>
      </c>
      <c r="E57" s="15">
        <v>53806.32</v>
      </c>
      <c r="F57" s="15">
        <f t="shared" si="0"/>
        <v>-3091.6949999999997</v>
      </c>
      <c r="G57" s="16">
        <f t="shared" si="3"/>
        <v>-5.7459699901424216E-2</v>
      </c>
      <c r="H57" s="17">
        <v>41785.1</v>
      </c>
      <c r="I57" s="17">
        <f t="shared" si="1"/>
        <v>8929.5250000000015</v>
      </c>
      <c r="J57" s="16">
        <f t="shared" si="2"/>
        <v>0.21370117577796874</v>
      </c>
      <c r="K57" s="74" t="s">
        <v>354</v>
      </c>
      <c r="L57" s="75" t="s">
        <v>355</v>
      </c>
    </row>
    <row r="58" spans="1:12" ht="71.25">
      <c r="A58" s="25" t="str">
        <v>Q435</v>
      </c>
      <c r="B58" s="26" t="str">
        <v>NY</v>
      </c>
      <c r="C58" s="26" t="str">
        <f>Sites[[#This Row],[SOL'#]]</f>
        <v>SOL-10923</v>
      </c>
      <c r="D58" s="21">
        <v>11142.8125</v>
      </c>
      <c r="E58" s="11">
        <v>10856.08</v>
      </c>
      <c r="F58" s="11">
        <f t="shared" si="0"/>
        <v>286.73250000000007</v>
      </c>
      <c r="G58" s="12">
        <f t="shared" si="3"/>
        <v>2.6412157979675912E-2</v>
      </c>
      <c r="H58" s="13">
        <v>0</v>
      </c>
      <c r="I58" s="13">
        <f t="shared" si="1"/>
        <v>11142.8125</v>
      </c>
      <c r="J58" s="80" t="str">
        <f t="shared" si="2"/>
        <v/>
      </c>
      <c r="K58" s="38" t="s">
        <v>356</v>
      </c>
      <c r="L58" s="38" t="s">
        <v>357</v>
      </c>
    </row>
    <row r="59" spans="1:12" ht="31.5">
      <c r="A59" s="27" t="str">
        <v>Q485</v>
      </c>
      <c r="B59" s="28" t="str">
        <v>NY</v>
      </c>
      <c r="C59" s="28" t="str">
        <f>Sites[[#This Row],[SOL'#]]</f>
        <v>SOL-10869</v>
      </c>
      <c r="D59" s="10">
        <v>63297.0546875</v>
      </c>
      <c r="E59" s="15">
        <v>48417.72</v>
      </c>
      <c r="F59" s="15">
        <f t="shared" si="0"/>
        <v>14879.334687499999</v>
      </c>
      <c r="G59" s="16">
        <f t="shared" si="3"/>
        <v>0.30731175874246036</v>
      </c>
      <c r="H59" s="17">
        <v>47482.09</v>
      </c>
      <c r="I59" s="17">
        <f t="shared" si="1"/>
        <v>15814.964687500003</v>
      </c>
      <c r="J59" s="16">
        <f t="shared" si="2"/>
        <v>0.33307221075357057</v>
      </c>
      <c r="K59" s="74" t="s">
        <v>358</v>
      </c>
      <c r="L59" s="40" t="s">
        <v>359</v>
      </c>
    </row>
    <row r="60" spans="1:12" ht="15.75">
      <c r="A60" s="25" t="str">
        <v>Q490</v>
      </c>
      <c r="B60" s="26" t="str">
        <v>NY</v>
      </c>
      <c r="C60" s="26" t="str">
        <f>Sites[[#This Row],[SOL'#]]</f>
        <v>SOL-10411</v>
      </c>
      <c r="D60" s="21">
        <v>45662.1875</v>
      </c>
      <c r="E60" s="11"/>
      <c r="F60" s="11" t="str">
        <f t="shared" si="0"/>
        <v/>
      </c>
      <c r="G60" s="12" t="str">
        <f t="shared" si="3"/>
        <v/>
      </c>
      <c r="H60" s="13">
        <v>49901.71</v>
      </c>
      <c r="I60" s="13">
        <f t="shared" si="1"/>
        <v>-4239.5224999999991</v>
      </c>
      <c r="J60" s="80">
        <f t="shared" si="2"/>
        <v>-8.4957459373636676E-2</v>
      </c>
      <c r="K60" s="38"/>
      <c r="L60" s="38"/>
    </row>
    <row r="61" spans="1:12" ht="15.75">
      <c r="A61" s="27" t="str">
        <v>Q620</v>
      </c>
      <c r="B61" s="28" t="str">
        <v>NY</v>
      </c>
      <c r="C61" s="28" t="str">
        <f>Sites[[#This Row],[SOL'#]]</f>
        <v>SOL-10867</v>
      </c>
      <c r="D61" s="10">
        <v>68204.5</v>
      </c>
      <c r="E61" s="15">
        <v>68635.75</v>
      </c>
      <c r="F61" s="15">
        <f t="shared" si="0"/>
        <v>-431.25</v>
      </c>
      <c r="G61" s="16">
        <f t="shared" si="3"/>
        <v>-6.2831687568067661E-3</v>
      </c>
      <c r="H61" s="17">
        <v>74239.320000000007</v>
      </c>
      <c r="I61" s="17">
        <f t="shared" si="1"/>
        <v>-6034.820000000007</v>
      </c>
      <c r="J61" s="16">
        <f t="shared" si="2"/>
        <v>-8.1288729476509294E-2</v>
      </c>
      <c r="K61" s="39"/>
      <c r="L61" s="40"/>
    </row>
    <row r="62" spans="1:12" ht="15.75">
      <c r="A62" s="25" t="str">
        <v>QMOA</v>
      </c>
      <c r="B62" s="26" t="str">
        <v>NY</v>
      </c>
      <c r="C62" s="26" t="str">
        <f>Sites[[#This Row],[SOL'#]]</f>
        <v>SOL-10415</v>
      </c>
      <c r="D62" s="21">
        <v>5745</v>
      </c>
      <c r="E62" s="11"/>
      <c r="F62" s="11" t="str">
        <f t="shared" si="0"/>
        <v/>
      </c>
      <c r="G62" s="12" t="str">
        <f t="shared" si="3"/>
        <v/>
      </c>
      <c r="H62" s="13">
        <v>6339.7030000000004</v>
      </c>
      <c r="I62" s="13">
        <f t="shared" si="1"/>
        <v>-594.70300000000043</v>
      </c>
      <c r="J62" s="80">
        <f t="shared" si="2"/>
        <v>-9.3806129403853841E-2</v>
      </c>
      <c r="K62" s="38"/>
      <c r="L62" s="38"/>
    </row>
    <row r="63" spans="1:12" ht="15.75">
      <c r="A63" s="27" t="str">
        <v>X024</v>
      </c>
      <c r="B63" s="28" t="str">
        <v>NY</v>
      </c>
      <c r="C63" s="28" t="str">
        <f>Sites[[#This Row],[SOL'#]]</f>
        <v>SOL-10419</v>
      </c>
      <c r="D63" s="10">
        <v>25442.5546875</v>
      </c>
      <c r="E63" s="15">
        <v>0</v>
      </c>
      <c r="F63" s="15">
        <f t="shared" si="0"/>
        <v>25442.5546875</v>
      </c>
      <c r="G63" s="16" t="str">
        <f t="shared" si="3"/>
        <v/>
      </c>
      <c r="H63" s="17">
        <v>0</v>
      </c>
      <c r="I63" s="17">
        <f t="shared" si="1"/>
        <v>25442.5546875</v>
      </c>
      <c r="J63" s="16" t="str">
        <f t="shared" si="2"/>
        <v/>
      </c>
      <c r="K63" s="39"/>
      <c r="L63" s="40"/>
    </row>
    <row r="64" spans="1:12" ht="15.75">
      <c r="A64" s="25" t="str">
        <v>X026</v>
      </c>
      <c r="B64" s="26" t="str">
        <v>NY</v>
      </c>
      <c r="C64" s="26" t="str">
        <f>Sites[[#This Row],[SOL'#]]</f>
        <v>SOL-10420</v>
      </c>
      <c r="D64" s="21">
        <v>22186</v>
      </c>
      <c r="E64" s="11">
        <v>20783</v>
      </c>
      <c r="F64" s="11">
        <f t="shared" si="0"/>
        <v>1403</v>
      </c>
      <c r="G64" s="12">
        <f t="shared" si="3"/>
        <v>6.7507097146706441E-2</v>
      </c>
      <c r="H64" s="13">
        <v>23221</v>
      </c>
      <c r="I64" s="13">
        <f t="shared" si="1"/>
        <v>-1035</v>
      </c>
      <c r="J64" s="80">
        <f t="shared" si="2"/>
        <v>-4.4571723870634343E-2</v>
      </c>
      <c r="K64" s="38"/>
      <c r="L64" s="38"/>
    </row>
    <row r="65" spans="1:12" ht="15.75">
      <c r="A65" s="27" t="str">
        <v>X090</v>
      </c>
      <c r="B65" s="28" t="str">
        <v>NY</v>
      </c>
      <c r="C65" s="28" t="str">
        <f>Sites[[#This Row],[SOL'#]]</f>
        <v>SOL-10925</v>
      </c>
      <c r="D65" s="10">
        <v>19040</v>
      </c>
      <c r="E65" s="15">
        <v>16832</v>
      </c>
      <c r="F65" s="15">
        <f t="shared" si="0"/>
        <v>2208</v>
      </c>
      <c r="G65" s="16">
        <f t="shared" si="3"/>
        <v>0.13117870722433461</v>
      </c>
      <c r="H65" s="17">
        <v>16450</v>
      </c>
      <c r="I65" s="17">
        <f t="shared" si="1"/>
        <v>2590</v>
      </c>
      <c r="J65" s="16">
        <f t="shared" si="2"/>
        <v>0.1574468085106383</v>
      </c>
      <c r="K65" s="39"/>
      <c r="L65" s="39"/>
    </row>
    <row r="66" spans="1:12" ht="15.75">
      <c r="A66" s="25" t="str">
        <v>X117</v>
      </c>
      <c r="B66" s="26" t="str">
        <v>NY</v>
      </c>
      <c r="C66" s="26" t="str">
        <f>Sites[[#This Row],[SOL'#]]</f>
        <v>SOL-10422</v>
      </c>
      <c r="D66" s="21">
        <v>15809</v>
      </c>
      <c r="E66" s="11">
        <v>17762</v>
      </c>
      <c r="F66" s="11">
        <f t="shared" si="0"/>
        <v>-1953</v>
      </c>
      <c r="G66" s="12">
        <f t="shared" si="3"/>
        <v>-0.10995383402769958</v>
      </c>
      <c r="H66" s="13">
        <v>23816</v>
      </c>
      <c r="I66" s="13">
        <f t="shared" si="1"/>
        <v>-8007</v>
      </c>
      <c r="J66" s="80">
        <f t="shared" si="2"/>
        <v>-0.33620255290560969</v>
      </c>
      <c r="K66" s="38"/>
      <c r="L66" s="38"/>
    </row>
    <row r="67" spans="1:12" ht="15.75">
      <c r="A67" s="27" t="str">
        <v>X125</v>
      </c>
      <c r="B67" s="28" t="str">
        <v>NY</v>
      </c>
      <c r="C67" s="28" t="str">
        <f>Sites[[#This Row],[SOL'#]]</f>
        <v>SOL-10423</v>
      </c>
      <c r="D67" s="10">
        <v>26460</v>
      </c>
      <c r="E67" s="15">
        <v>27391</v>
      </c>
      <c r="F67" s="15">
        <f t="shared" si="0"/>
        <v>-931</v>
      </c>
      <c r="G67" s="16">
        <f t="shared" si="3"/>
        <v>-3.3989266547406083E-2</v>
      </c>
      <c r="H67" s="17">
        <v>21727</v>
      </c>
      <c r="I67" s="17">
        <f t="shared" si="1"/>
        <v>4733</v>
      </c>
      <c r="J67" s="16">
        <f t="shared" si="2"/>
        <v>0.21783955447139502</v>
      </c>
      <c r="K67" s="74" t="s">
        <v>360</v>
      </c>
      <c r="L67" s="75" t="s">
        <v>361</v>
      </c>
    </row>
    <row r="68" spans="1:12" ht="15.75">
      <c r="A68" s="25" t="str">
        <v>X134</v>
      </c>
      <c r="B68" s="26" t="str">
        <v>NY</v>
      </c>
      <c r="C68" s="26" t="str">
        <f>Sites[[#This Row],[SOL'#]]</f>
        <v>SOL-10424</v>
      </c>
      <c r="D68" s="21">
        <v>28802</v>
      </c>
      <c r="E68" s="11">
        <v>0</v>
      </c>
      <c r="F68" s="11">
        <f t="shared" si="0"/>
        <v>28802</v>
      </c>
      <c r="G68" s="12" t="str">
        <f t="shared" si="3"/>
        <v/>
      </c>
      <c r="H68" s="13">
        <v>0</v>
      </c>
      <c r="I68" s="13">
        <f t="shared" si="1"/>
        <v>28802</v>
      </c>
      <c r="J68" s="80" t="str">
        <f t="shared" si="2"/>
        <v/>
      </c>
      <c r="K68" s="73" t="s">
        <v>362</v>
      </c>
      <c r="L68" s="78" t="s">
        <v>363</v>
      </c>
    </row>
    <row r="69" spans="1:12" ht="15.75">
      <c r="A69" s="27" t="str">
        <v>X135</v>
      </c>
      <c r="B69" s="28" t="str">
        <v>NY</v>
      </c>
      <c r="C69" s="28" t="str">
        <f>Sites[[#This Row],[SOL'#]]</f>
        <v>SOL-10425</v>
      </c>
      <c r="D69" s="10">
        <v>20295</v>
      </c>
      <c r="E69" s="15">
        <v>0</v>
      </c>
      <c r="F69" s="15">
        <f t="shared" ref="F69:F132" si="4">IF(AND(ISNUMBER(D69),ISNUMBER(E69)), D69-E69, "")</f>
        <v>20295</v>
      </c>
      <c r="G69" s="16" t="str">
        <f t="shared" si="3"/>
        <v/>
      </c>
      <c r="H69" s="17">
        <v>0</v>
      </c>
      <c r="I69" s="17">
        <f t="shared" ref="I69:I132" si="5">IF(AND(ISNUMBER(D69),ISNUMBER(H69)), D69-H69, "")</f>
        <v>20295</v>
      </c>
      <c r="J69" s="16" t="str">
        <f t="shared" ref="J69:J132" si="6">IFERROR(I69/H69, "")</f>
        <v/>
      </c>
      <c r="K69" s="39"/>
      <c r="L69" s="40"/>
    </row>
    <row r="70" spans="1:12" ht="15.75">
      <c r="A70" s="25" t="str">
        <v>X139 JHS 222</v>
      </c>
      <c r="B70" s="26" t="str">
        <v>NY</v>
      </c>
      <c r="C70" s="26" t="str">
        <f>Sites[[#This Row],[SOL'#]]</f>
        <v>SOL-10426</v>
      </c>
      <c r="D70" s="21">
        <v>37109.823772356998</v>
      </c>
      <c r="E70" s="11">
        <v>39019.199999999997</v>
      </c>
      <c r="F70" s="11">
        <f t="shared" si="4"/>
        <v>-1909.3762276429989</v>
      </c>
      <c r="G70" s="12">
        <f t="shared" ref="G70:G133" si="7">IFERROR(F70/E70, "")</f>
        <v>-4.8934274091806063E-2</v>
      </c>
      <c r="H70" s="13">
        <v>39643</v>
      </c>
      <c r="I70" s="13">
        <f t="shared" si="5"/>
        <v>-2533.1762276430018</v>
      </c>
      <c r="J70" s="80">
        <f t="shared" si="6"/>
        <v>-6.389971060825371E-2</v>
      </c>
      <c r="K70" s="38"/>
      <c r="L70" s="38"/>
    </row>
    <row r="71" spans="1:12" ht="15.75">
      <c r="A71" s="27" t="str">
        <v>X140</v>
      </c>
      <c r="B71" s="28" t="str">
        <v>NY</v>
      </c>
      <c r="C71" s="28" t="str">
        <f>Sites[[#This Row],[SOL'#]]</f>
        <v>SOL-10926</v>
      </c>
      <c r="D71" s="10">
        <v>20116.103515625</v>
      </c>
      <c r="E71" s="15">
        <v>16915.45</v>
      </c>
      <c r="F71" s="15">
        <f t="shared" si="4"/>
        <v>3200.6535156249993</v>
      </c>
      <c r="G71" s="16">
        <f t="shared" si="7"/>
        <v>0.18921480159410475</v>
      </c>
      <c r="H71" s="17">
        <v>19212</v>
      </c>
      <c r="I71" s="17">
        <f t="shared" si="5"/>
        <v>904.103515625</v>
      </c>
      <c r="J71" s="16">
        <f t="shared" si="6"/>
        <v>4.7059312701696859E-2</v>
      </c>
      <c r="K71" s="39"/>
      <c r="L71" s="40"/>
    </row>
    <row r="72" spans="1:12" ht="15.75">
      <c r="A72" s="25" t="str">
        <v>X166</v>
      </c>
      <c r="B72" s="26" t="str">
        <v>NY</v>
      </c>
      <c r="C72" s="26" t="str">
        <f>Sites[[#This Row],[SOL'#]]</f>
        <v>SOL-10427</v>
      </c>
      <c r="D72" s="21">
        <v>21260</v>
      </c>
      <c r="E72" s="11">
        <v>21616</v>
      </c>
      <c r="F72" s="11">
        <f t="shared" si="4"/>
        <v>-356</v>
      </c>
      <c r="G72" s="12">
        <f t="shared" si="7"/>
        <v>-1.6469282013323466E-2</v>
      </c>
      <c r="H72" s="13">
        <v>0</v>
      </c>
      <c r="I72" s="13">
        <f t="shared" si="5"/>
        <v>21260</v>
      </c>
      <c r="J72" s="80" t="str">
        <f t="shared" si="6"/>
        <v/>
      </c>
      <c r="K72" s="38"/>
      <c r="L72" s="38"/>
    </row>
    <row r="73" spans="1:12" ht="42.75">
      <c r="A73" s="27" t="str">
        <v>Murphy</v>
      </c>
      <c r="B73" s="28" t="str">
        <v>MN</v>
      </c>
      <c r="C73" s="28" t="str">
        <f>Sites[[#This Row],[SOL'#]]</f>
        <v>SOL-10094</v>
      </c>
      <c r="D73" s="10">
        <v>444960</v>
      </c>
      <c r="E73" s="15">
        <v>500145.7</v>
      </c>
      <c r="F73" s="15">
        <f t="shared" si="4"/>
        <v>-55185.700000000012</v>
      </c>
      <c r="G73" s="16">
        <f t="shared" si="7"/>
        <v>-0.11033924714338243</v>
      </c>
      <c r="H73" s="17">
        <v>913614.8</v>
      </c>
      <c r="I73" s="17">
        <f t="shared" si="5"/>
        <v>-468654.80000000005</v>
      </c>
      <c r="J73" s="16">
        <f t="shared" si="6"/>
        <v>-0.51296760954397846</v>
      </c>
      <c r="K73" s="39" t="s">
        <v>364</v>
      </c>
      <c r="L73" s="75" t="s">
        <v>365</v>
      </c>
    </row>
    <row r="74" spans="1:12" ht="15.75">
      <c r="A74" s="25" t="str">
        <v>Terning</v>
      </c>
      <c r="B74" s="26" t="str">
        <v>MN</v>
      </c>
      <c r="C74" s="26" t="str">
        <f>Sites[[#This Row],[SOL'#]]</f>
        <v>SOL-10093</v>
      </c>
      <c r="D74" s="21">
        <v>821786.1</v>
      </c>
      <c r="E74" s="11">
        <v>846962.6</v>
      </c>
      <c r="F74" s="11">
        <f t="shared" si="4"/>
        <v>-25176.5</v>
      </c>
      <c r="G74" s="12">
        <f t="shared" si="7"/>
        <v>-2.9725633693860862E-2</v>
      </c>
      <c r="H74" s="13">
        <v>997489.8</v>
      </c>
      <c r="I74" s="13">
        <f t="shared" si="5"/>
        <v>-175703.70000000007</v>
      </c>
      <c r="J74" s="80">
        <f t="shared" si="6"/>
        <v>-0.17614586134113858</v>
      </c>
      <c r="K74" s="38"/>
      <c r="L74" s="38"/>
    </row>
    <row r="75" spans="1:12" ht="31.5">
      <c r="A75" s="27" t="str">
        <v>Boas Road 04</v>
      </c>
      <c r="B75" s="28" t="str">
        <v>NY</v>
      </c>
      <c r="C75" s="28" t="str">
        <f>Sites[[#This Row],[SOL'#]]</f>
        <v>SOL-10908</v>
      </c>
      <c r="D75" s="10">
        <v>292497</v>
      </c>
      <c r="E75" s="15">
        <v>273061.74800000002</v>
      </c>
      <c r="F75" s="15">
        <f t="shared" si="4"/>
        <v>19435.251999999979</v>
      </c>
      <c r="G75" s="16">
        <f t="shared" si="7"/>
        <v>7.117530061369115E-2</v>
      </c>
      <c r="H75" s="17">
        <v>329945.36</v>
      </c>
      <c r="I75" s="17">
        <f t="shared" si="5"/>
        <v>-37448.359999999986</v>
      </c>
      <c r="J75" s="16">
        <f t="shared" si="6"/>
        <v>-0.11349867141638235</v>
      </c>
      <c r="K75" s="39" t="s">
        <v>366</v>
      </c>
      <c r="L75" s="75" t="s">
        <v>367</v>
      </c>
    </row>
    <row r="76" spans="1:12" ht="15.75">
      <c r="A76" s="25" t="str">
        <v>Kelly Bridge Farm</v>
      </c>
      <c r="B76" s="26" t="str">
        <v>NY</v>
      </c>
      <c r="C76" s="26" t="str">
        <f>Sites[[#This Row],[SOL'#]]</f>
        <v>SOL-10911</v>
      </c>
      <c r="D76" s="21">
        <v>289774</v>
      </c>
      <c r="E76" s="11">
        <v>300576.22499999998</v>
      </c>
      <c r="F76" s="11">
        <f t="shared" si="4"/>
        <v>-10802.224999999977</v>
      </c>
      <c r="G76" s="12">
        <f t="shared" si="7"/>
        <v>-3.5938388007900418E-2</v>
      </c>
      <c r="H76" s="13">
        <v>342418.23</v>
      </c>
      <c r="I76" s="13">
        <f t="shared" si="5"/>
        <v>-52644.229999999981</v>
      </c>
      <c r="J76" s="80">
        <f t="shared" si="6"/>
        <v>-0.15374248619882178</v>
      </c>
      <c r="K76" s="38"/>
      <c r="L76" s="38"/>
    </row>
    <row r="77" spans="1:12" ht="15.75">
      <c r="A77" s="27" t="str">
        <v>Pool Brook Road</v>
      </c>
      <c r="B77" s="28" t="str">
        <v>NY</v>
      </c>
      <c r="C77" s="28" t="str">
        <f>Sites[[#This Row],[SOL'#]]</f>
        <v>SOL-10909</v>
      </c>
      <c r="D77" s="10">
        <v>273008</v>
      </c>
      <c r="E77" s="15">
        <v>282340.15100000001</v>
      </c>
      <c r="F77" s="15">
        <f t="shared" si="4"/>
        <v>-9332.1510000000126</v>
      </c>
      <c r="G77" s="16">
        <f t="shared" si="7"/>
        <v>-3.305286537159928E-2</v>
      </c>
      <c r="H77" s="17">
        <v>313821.77</v>
      </c>
      <c r="I77" s="17">
        <f t="shared" si="5"/>
        <v>-40813.770000000019</v>
      </c>
      <c r="J77" s="16">
        <f t="shared" si="6"/>
        <v>-0.13005397936542137</v>
      </c>
      <c r="K77" s="39"/>
      <c r="L77" s="39"/>
    </row>
    <row r="78" spans="1:12" ht="35.25" customHeight="1">
      <c r="A78" s="25" t="str">
        <v>Sackett Lake</v>
      </c>
      <c r="B78" s="26" t="str">
        <v>NY</v>
      </c>
      <c r="C78" s="26" t="str">
        <f>Sites[[#This Row],[SOL'#]]</f>
        <v>SOL-10910</v>
      </c>
      <c r="D78" s="21">
        <v>270987</v>
      </c>
      <c r="E78" s="11">
        <v>295022.05</v>
      </c>
      <c r="F78" s="11">
        <f t="shared" si="4"/>
        <v>-24035.049999999988</v>
      </c>
      <c r="G78" s="12">
        <f t="shared" si="7"/>
        <v>-8.1468656325857647E-2</v>
      </c>
      <c r="H78" s="13">
        <v>335262.09999999998</v>
      </c>
      <c r="I78" s="13">
        <f t="shared" si="5"/>
        <v>-64275.099999999977</v>
      </c>
      <c r="J78" s="80">
        <f t="shared" si="6"/>
        <v>-0.19171597386045122</v>
      </c>
      <c r="K78" s="38" t="s">
        <v>368</v>
      </c>
      <c r="L78" s="38" t="s">
        <v>369</v>
      </c>
    </row>
    <row r="79" spans="1:12" ht="15.75">
      <c r="A79" s="27" t="str">
        <v>Burritt Road</v>
      </c>
      <c r="B79" s="28" t="str">
        <v>NY</v>
      </c>
      <c r="C79" s="28" t="str">
        <f>Sites[[#This Row],[SOL'#]]</f>
        <v>SOL-10913</v>
      </c>
      <c r="D79" s="10">
        <v>274470</v>
      </c>
      <c r="E79" s="15">
        <v>283953.72200000001</v>
      </c>
      <c r="F79" s="15">
        <f t="shared" si="4"/>
        <v>-9483.7220000000088</v>
      </c>
      <c r="G79" s="16">
        <f t="shared" si="7"/>
        <v>-3.3398829686761451E-2</v>
      </c>
      <c r="H79" s="17">
        <v>328579.65000000002</v>
      </c>
      <c r="I79" s="17">
        <f t="shared" si="5"/>
        <v>-54109.650000000023</v>
      </c>
      <c r="J79" s="16">
        <f t="shared" si="6"/>
        <v>-0.16467742296274288</v>
      </c>
      <c r="K79" s="39"/>
      <c r="L79" s="40"/>
    </row>
    <row r="80" spans="1:12" ht="42.75">
      <c r="A80" s="25" t="str">
        <v>Villa Roma 1</v>
      </c>
      <c r="B80" s="26" t="str">
        <v>NY</v>
      </c>
      <c r="C80" s="26" t="str">
        <f>Sites[[#This Row],[SOL'#]]</f>
        <v>SOL-10914</v>
      </c>
      <c r="D80" s="21">
        <v>219228</v>
      </c>
      <c r="E80" s="11">
        <v>271396.103</v>
      </c>
      <c r="F80" s="11">
        <f t="shared" si="4"/>
        <v>-52168.103000000003</v>
      </c>
      <c r="G80" s="12">
        <f t="shared" si="7"/>
        <v>-0.19222126781975202</v>
      </c>
      <c r="H80" s="13">
        <v>297572.26</v>
      </c>
      <c r="I80" s="13">
        <f t="shared" si="5"/>
        <v>-78344.260000000009</v>
      </c>
      <c r="J80" s="80">
        <f t="shared" si="6"/>
        <v>-0.26327810260270901</v>
      </c>
      <c r="K80" s="38" t="s">
        <v>370</v>
      </c>
      <c r="L80" s="38" t="s">
        <v>371</v>
      </c>
    </row>
    <row r="81" spans="1:12" ht="15.75">
      <c r="A81" s="27" t="str">
        <v>Villa Roma 2</v>
      </c>
      <c r="B81" s="28" t="str">
        <v>NY</v>
      </c>
      <c r="C81" s="28" t="str">
        <f>Sites[[#This Row],[SOL'#]]</f>
        <v>SOL-10915</v>
      </c>
      <c r="D81" s="10">
        <v>249002</v>
      </c>
      <c r="E81" s="15">
        <v>266834.21000000002</v>
      </c>
      <c r="F81" s="15">
        <f t="shared" si="4"/>
        <v>-17832.210000000021</v>
      </c>
      <c r="G81" s="16">
        <f t="shared" si="7"/>
        <v>-6.6828799800445454E-2</v>
      </c>
      <c r="H81" s="17">
        <v>288971.61</v>
      </c>
      <c r="I81" s="17">
        <f t="shared" si="5"/>
        <v>-39969.609999999986</v>
      </c>
      <c r="J81" s="16">
        <f t="shared" si="6"/>
        <v>-0.13831673637420641</v>
      </c>
      <c r="K81" s="79"/>
      <c r="L81" s="40"/>
    </row>
    <row r="82" spans="1:12" ht="28.5">
      <c r="A82" s="25" t="str">
        <v>Washington 1</v>
      </c>
      <c r="B82" s="26" t="str">
        <v>NY</v>
      </c>
      <c r="C82" s="26" t="str">
        <f>Sites[[#This Row],[SOL'#]]</f>
        <v>SOL-10912</v>
      </c>
      <c r="D82" s="21">
        <v>266090</v>
      </c>
      <c r="E82" s="11">
        <v>291602.038</v>
      </c>
      <c r="F82" s="11">
        <f t="shared" si="4"/>
        <v>-25512.038</v>
      </c>
      <c r="G82" s="12">
        <f t="shared" si="7"/>
        <v>-8.7489230785142869E-2</v>
      </c>
      <c r="H82" s="13">
        <v>324993.59000000003</v>
      </c>
      <c r="I82" s="13">
        <f t="shared" si="5"/>
        <v>-58903.590000000026</v>
      </c>
      <c r="J82" s="80">
        <f t="shared" si="6"/>
        <v>-0.18124539010138638</v>
      </c>
      <c r="K82" s="38" t="s">
        <v>372</v>
      </c>
      <c r="L82" s="38" t="s">
        <v>373</v>
      </c>
    </row>
    <row r="83" spans="1:12" ht="31.5">
      <c r="A83" s="27" t="str">
        <v>Washington 3</v>
      </c>
      <c r="B83" s="28" t="str">
        <v>NY</v>
      </c>
      <c r="C83" s="28" t="str">
        <f>Sites[[#This Row],[SOL'#]]</f>
        <v>SOL-10828</v>
      </c>
      <c r="D83" s="10">
        <v>295797</v>
      </c>
      <c r="E83" s="15">
        <v>303787.723</v>
      </c>
      <c r="F83" s="15">
        <f t="shared" si="4"/>
        <v>-7990.7229999999981</v>
      </c>
      <c r="G83" s="16">
        <f t="shared" si="7"/>
        <v>-2.6303640321896742E-2</v>
      </c>
      <c r="H83" s="17">
        <v>396869.73</v>
      </c>
      <c r="I83" s="17">
        <f t="shared" si="5"/>
        <v>-101072.72999999998</v>
      </c>
      <c r="J83" s="16">
        <f t="shared" si="6"/>
        <v>-0.25467482743014941</v>
      </c>
      <c r="K83" s="39" t="s">
        <v>374</v>
      </c>
      <c r="L83" s="40" t="s">
        <v>375</v>
      </c>
    </row>
    <row r="84" spans="1:12" ht="57">
      <c r="A84" s="25" t="str">
        <v>Washington 4</v>
      </c>
      <c r="B84" s="26" t="str">
        <v>NY</v>
      </c>
      <c r="C84" s="26" t="str">
        <f>Sites[[#This Row],[SOL'#]]</f>
        <v>SOL-10829</v>
      </c>
      <c r="D84" s="21">
        <v>295694</v>
      </c>
      <c r="E84" s="11">
        <v>0</v>
      </c>
      <c r="F84" s="11">
        <f t="shared" si="4"/>
        <v>295694</v>
      </c>
      <c r="G84" s="12" t="str">
        <f t="shared" si="7"/>
        <v/>
      </c>
      <c r="H84" s="13">
        <v>397692.63</v>
      </c>
      <c r="I84" s="13">
        <f t="shared" si="5"/>
        <v>-101998.63</v>
      </c>
      <c r="J84" s="80">
        <f t="shared" si="6"/>
        <v>-0.25647603778827888</v>
      </c>
      <c r="K84" s="38" t="s">
        <v>376</v>
      </c>
      <c r="L84" s="38" t="s">
        <v>377</v>
      </c>
    </row>
    <row r="85" spans="1:12" ht="15.75">
      <c r="A85" s="27" t="str">
        <v>Big Tree</v>
      </c>
      <c r="B85" s="28" t="str">
        <v>NY</v>
      </c>
      <c r="C85" s="28" t="str">
        <f>Sites[[#This Row],[SOL'#]]</f>
        <v>SOL-10966</v>
      </c>
      <c r="D85" s="10">
        <v>271297</v>
      </c>
      <c r="E85" s="15">
        <v>0</v>
      </c>
      <c r="F85" s="15">
        <f t="shared" si="4"/>
        <v>271297</v>
      </c>
      <c r="G85" s="16" t="str">
        <f t="shared" si="7"/>
        <v/>
      </c>
      <c r="H85" s="17">
        <v>104431.67</v>
      </c>
      <c r="I85" s="17">
        <f t="shared" si="5"/>
        <v>166865.33000000002</v>
      </c>
      <c r="J85" s="16">
        <f t="shared" si="6"/>
        <v>1.5978422062962319</v>
      </c>
      <c r="K85" s="74" t="s">
        <v>378</v>
      </c>
      <c r="L85" s="75" t="s">
        <v>379</v>
      </c>
    </row>
    <row r="86" spans="1:12" ht="42.75">
      <c r="A86" s="25" t="str">
        <v>Canoga</v>
      </c>
      <c r="B86" s="26" t="str">
        <v>NY</v>
      </c>
      <c r="C86" s="26" t="str">
        <f>Sites[[#This Row],[SOL'#]]</f>
        <v>SOL-10965</v>
      </c>
      <c r="D86" s="21">
        <v>678060</v>
      </c>
      <c r="E86" s="11">
        <v>0</v>
      </c>
      <c r="F86" s="11">
        <f t="shared" si="4"/>
        <v>678060</v>
      </c>
      <c r="G86" s="12" t="str">
        <f t="shared" si="7"/>
        <v/>
      </c>
      <c r="H86" s="13">
        <v>296049.40999999997</v>
      </c>
      <c r="I86" s="13">
        <f t="shared" si="5"/>
        <v>382010.59</v>
      </c>
      <c r="J86" s="80">
        <f t="shared" si="6"/>
        <v>1.2903609231985973</v>
      </c>
      <c r="K86" s="38" t="s">
        <v>380</v>
      </c>
      <c r="L86" s="38" t="s">
        <v>381</v>
      </c>
    </row>
    <row r="87" spans="1:12" ht="15.75">
      <c r="A87" s="27" t="str">
        <v>County Route 84</v>
      </c>
      <c r="B87" s="28" t="str">
        <v>NY</v>
      </c>
      <c r="C87" s="28" t="str">
        <f>Sites[[#This Row],[SOL'#]]</f>
        <v>SOL-10967</v>
      </c>
      <c r="D87" s="10">
        <v>718680</v>
      </c>
      <c r="E87" s="15">
        <v>0</v>
      </c>
      <c r="F87" s="15">
        <f t="shared" si="4"/>
        <v>718680</v>
      </c>
      <c r="G87" s="16" t="str">
        <f t="shared" si="7"/>
        <v/>
      </c>
      <c r="H87" s="17">
        <v>364940</v>
      </c>
      <c r="I87" s="17">
        <f t="shared" si="5"/>
        <v>353740</v>
      </c>
      <c r="J87" s="16">
        <f t="shared" si="6"/>
        <v>0.96931002356551765</v>
      </c>
      <c r="K87" s="74" t="s">
        <v>382</v>
      </c>
      <c r="L87" s="75" t="s">
        <v>383</v>
      </c>
    </row>
    <row r="88" spans="1:12" ht="15.75">
      <c r="A88" s="25" t="str">
        <v>Donati</v>
      </c>
      <c r="B88" s="26" t="str">
        <v>NY</v>
      </c>
      <c r="C88" s="26" t="str">
        <f>Sites[[#This Row],[SOL'#]]</f>
        <v>SOL-10968</v>
      </c>
      <c r="D88" s="21"/>
      <c r="E88" s="11">
        <v>0</v>
      </c>
      <c r="F88" s="11" t="str">
        <f t="shared" si="4"/>
        <v/>
      </c>
      <c r="G88" s="12" t="str">
        <f t="shared" si="7"/>
        <v/>
      </c>
      <c r="H88" s="13">
        <v>116511.29</v>
      </c>
      <c r="I88" s="13" t="str">
        <f t="shared" si="5"/>
        <v/>
      </c>
      <c r="J88" s="80" t="str">
        <f t="shared" si="6"/>
        <v/>
      </c>
      <c r="K88" s="73" t="s">
        <v>384</v>
      </c>
      <c r="L88" s="73" t="s">
        <v>385</v>
      </c>
    </row>
    <row r="89" spans="1:12" ht="28.5">
      <c r="A89" s="27" t="str">
        <v>Henrietta</v>
      </c>
      <c r="B89" s="28" t="str">
        <v>NY</v>
      </c>
      <c r="C89" s="28" t="str">
        <f>Sites[[#This Row],[SOL'#]]</f>
        <v>SOL-10972</v>
      </c>
      <c r="D89" s="10">
        <v>652231</v>
      </c>
      <c r="E89" s="15">
        <v>0</v>
      </c>
      <c r="F89" s="15">
        <f t="shared" si="4"/>
        <v>652231</v>
      </c>
      <c r="G89" s="16" t="str">
        <f t="shared" si="7"/>
        <v/>
      </c>
      <c r="H89" s="17">
        <v>224356.45</v>
      </c>
      <c r="I89" s="17">
        <f t="shared" si="5"/>
        <v>427874.55</v>
      </c>
      <c r="J89" s="16">
        <f t="shared" si="6"/>
        <v>1.9071194521040067</v>
      </c>
      <c r="K89" s="39" t="s">
        <v>386</v>
      </c>
      <c r="L89" s="39" t="s">
        <v>387</v>
      </c>
    </row>
    <row r="90" spans="1:12" ht="71.25">
      <c r="A90" s="25" t="str">
        <v>NY 70</v>
      </c>
      <c r="B90" s="26" t="str">
        <v>NY</v>
      </c>
      <c r="C90" s="26" t="str">
        <f>Sites[[#This Row],[SOL'#]]</f>
        <v>SOL-10970</v>
      </c>
      <c r="D90" s="21">
        <v>729676</v>
      </c>
      <c r="E90" s="11">
        <v>0</v>
      </c>
      <c r="F90" s="11">
        <f t="shared" si="4"/>
        <v>729676</v>
      </c>
      <c r="G90" s="12" t="str">
        <f t="shared" si="7"/>
        <v/>
      </c>
      <c r="H90" s="13">
        <v>348570.97</v>
      </c>
      <c r="I90" s="13">
        <f t="shared" si="5"/>
        <v>381105.03</v>
      </c>
      <c r="J90" s="80">
        <f t="shared" si="6"/>
        <v>1.0933355408225764</v>
      </c>
      <c r="K90" s="38" t="s">
        <v>388</v>
      </c>
      <c r="L90" s="38" t="s">
        <v>389</v>
      </c>
    </row>
    <row r="91" spans="1:12" ht="94.5">
      <c r="A91" s="27" t="str">
        <v>Reid</v>
      </c>
      <c r="B91" s="28" t="str">
        <v>NY</v>
      </c>
      <c r="C91" s="28" t="str">
        <f>Sites[[#This Row],[SOL'#]]</f>
        <v>SOL-10991</v>
      </c>
      <c r="D91" s="10">
        <v>615948.978116035</v>
      </c>
      <c r="E91" s="15">
        <v>584005.4</v>
      </c>
      <c r="F91" s="15">
        <f t="shared" si="4"/>
        <v>31943.578116034972</v>
      </c>
      <c r="G91" s="16">
        <f t="shared" si="7"/>
        <v>5.4697401969288247E-2</v>
      </c>
      <c r="H91" s="17">
        <v>732849</v>
      </c>
      <c r="I91" s="17">
        <f t="shared" si="5"/>
        <v>-116900.021883965</v>
      </c>
      <c r="J91" s="16">
        <f t="shared" si="6"/>
        <v>-0.15951447280949418</v>
      </c>
      <c r="K91" s="39" t="s">
        <v>390</v>
      </c>
      <c r="L91" s="40" t="s">
        <v>391</v>
      </c>
    </row>
    <row r="92" spans="1:12" ht="42.75">
      <c r="A92" s="25" t="str">
        <v>Sangolqui</v>
      </c>
      <c r="B92" s="26" t="str">
        <v>NY</v>
      </c>
      <c r="C92" s="26" t="str">
        <f>Sites[[#This Row],[SOL'#]]</f>
        <v>SOL-10975</v>
      </c>
      <c r="D92" s="21">
        <v>311949</v>
      </c>
      <c r="E92" s="11">
        <v>0</v>
      </c>
      <c r="F92" s="11">
        <f t="shared" si="4"/>
        <v>311949</v>
      </c>
      <c r="G92" s="12" t="str">
        <f t="shared" si="7"/>
        <v/>
      </c>
      <c r="H92" s="13">
        <v>113622.58</v>
      </c>
      <c r="I92" s="13">
        <f t="shared" si="5"/>
        <v>198326.41999999998</v>
      </c>
      <c r="J92" s="80">
        <f t="shared" si="6"/>
        <v>1.7454842162534945</v>
      </c>
      <c r="K92" s="38" t="s">
        <v>392</v>
      </c>
      <c r="L92" s="38" t="s">
        <v>393</v>
      </c>
    </row>
    <row r="93" spans="1:12" ht="114">
      <c r="A93" s="27" t="str">
        <v>State Highway 17B</v>
      </c>
      <c r="B93" s="28" t="str">
        <v>NY</v>
      </c>
      <c r="C93" s="28" t="str">
        <f>Sites[[#This Row],[SOL'#]]</f>
        <v>SOL-10988</v>
      </c>
      <c r="D93" s="10">
        <v>424400</v>
      </c>
      <c r="E93" s="15">
        <v>0</v>
      </c>
      <c r="F93" s="15">
        <f t="shared" si="4"/>
        <v>424400</v>
      </c>
      <c r="G93" s="16" t="str">
        <f t="shared" si="7"/>
        <v/>
      </c>
      <c r="H93" s="17">
        <v>313295</v>
      </c>
      <c r="I93" s="17">
        <f t="shared" si="5"/>
        <v>111105</v>
      </c>
      <c r="J93" s="16">
        <f t="shared" si="6"/>
        <v>0.35463381158333201</v>
      </c>
      <c r="K93" s="39" t="s">
        <v>394</v>
      </c>
      <c r="L93" s="40" t="s">
        <v>395</v>
      </c>
    </row>
    <row r="94" spans="1:12" ht="28.5">
      <c r="A94" s="25" t="str">
        <v>State Route 14A</v>
      </c>
      <c r="B94" s="26" t="str">
        <v>NY</v>
      </c>
      <c r="C94" s="26" t="str">
        <f>Sites[[#This Row],[SOL'#]]</f>
        <v>SOL-10997</v>
      </c>
      <c r="D94" s="21">
        <v>704633</v>
      </c>
      <c r="E94" s="11">
        <v>0</v>
      </c>
      <c r="F94" s="11">
        <f t="shared" si="4"/>
        <v>704633</v>
      </c>
      <c r="G94" s="12" t="str">
        <f t="shared" si="7"/>
        <v/>
      </c>
      <c r="H94" s="13">
        <v>336363.9</v>
      </c>
      <c r="I94" s="13">
        <f t="shared" si="5"/>
        <v>368269.1</v>
      </c>
      <c r="J94" s="80">
        <f t="shared" si="6"/>
        <v>1.0948532229528791</v>
      </c>
      <c r="K94" s="73" t="s">
        <v>396</v>
      </c>
      <c r="L94" s="73" t="s">
        <v>397</v>
      </c>
    </row>
    <row r="95" spans="1:12" ht="28.5">
      <c r="A95" s="27" t="str">
        <v>West Creek</v>
      </c>
      <c r="B95" s="28" t="str">
        <v>NY</v>
      </c>
      <c r="C95" s="28" t="str">
        <f>Sites[[#This Row],[SOL'#]]</f>
        <v>SOL-10995</v>
      </c>
      <c r="D95" s="10">
        <v>705698</v>
      </c>
      <c r="E95" s="15">
        <v>0</v>
      </c>
      <c r="F95" s="15">
        <f t="shared" si="4"/>
        <v>705698</v>
      </c>
      <c r="G95" s="16" t="str">
        <f t="shared" si="7"/>
        <v/>
      </c>
      <c r="H95" s="17">
        <v>288785.2</v>
      </c>
      <c r="I95" s="17">
        <f t="shared" si="5"/>
        <v>416912.8</v>
      </c>
      <c r="J95" s="16">
        <f t="shared" si="6"/>
        <v>1.4436778616078663</v>
      </c>
      <c r="K95" s="76" t="s">
        <v>398</v>
      </c>
      <c r="L95" s="77" t="s">
        <v>399</v>
      </c>
    </row>
    <row r="96" spans="1:12" ht="85.5">
      <c r="A96" s="25" t="str">
        <v>Wildflower</v>
      </c>
      <c r="B96" s="26" t="str">
        <v>NY</v>
      </c>
      <c r="C96" s="26" t="str">
        <f>Sites[[#This Row],[SOL'#]]</f>
        <v>SOL-10982</v>
      </c>
      <c r="D96" s="21">
        <v>657309</v>
      </c>
      <c r="E96" s="11">
        <v>0</v>
      </c>
      <c r="F96" s="11">
        <f t="shared" si="4"/>
        <v>657309</v>
      </c>
      <c r="G96" s="12" t="str">
        <f t="shared" si="7"/>
        <v/>
      </c>
      <c r="H96" s="13">
        <v>393774.4</v>
      </c>
      <c r="I96" s="13">
        <f t="shared" si="5"/>
        <v>263534.59999999998</v>
      </c>
      <c r="J96" s="80">
        <f t="shared" si="6"/>
        <v>0.66925274979785365</v>
      </c>
      <c r="K96" s="38" t="s">
        <v>400</v>
      </c>
      <c r="L96" s="38" t="s">
        <v>401</v>
      </c>
    </row>
    <row r="97" spans="1:12" ht="15.75">
      <c r="A97" s="27" t="str">
        <v>Glen Mary 1</v>
      </c>
      <c r="B97" s="28" t="str">
        <v>NY</v>
      </c>
      <c r="C97" s="28" t="str">
        <f>Sites[[#This Row],[SOL'#]]</f>
        <v>SOL-10993</v>
      </c>
      <c r="D97" s="10">
        <v>721316</v>
      </c>
      <c r="E97" s="15">
        <v>0</v>
      </c>
      <c r="F97" s="15">
        <f t="shared" si="4"/>
        <v>721316</v>
      </c>
      <c r="G97" s="16" t="str">
        <f t="shared" si="7"/>
        <v/>
      </c>
      <c r="H97" s="17">
        <v>377458</v>
      </c>
      <c r="I97" s="17">
        <f t="shared" si="5"/>
        <v>343858</v>
      </c>
      <c r="J97" s="16">
        <f t="shared" si="6"/>
        <v>0.91098347365799637</v>
      </c>
      <c r="K97" s="39"/>
      <c r="L97" s="40"/>
    </row>
    <row r="98" spans="1:12" ht="15.75">
      <c r="A98" s="25" t="str">
        <v>Glen Mary 2</v>
      </c>
      <c r="B98" s="26" t="str">
        <v>NY</v>
      </c>
      <c r="C98" s="26" t="str">
        <f>Sites[[#This Row],[SOL'#]]</f>
        <v>SOL-10994</v>
      </c>
      <c r="D98" s="21">
        <v>316463</v>
      </c>
      <c r="E98" s="11">
        <v>0</v>
      </c>
      <c r="F98" s="11">
        <f t="shared" si="4"/>
        <v>316463</v>
      </c>
      <c r="G98" s="12" t="str">
        <f t="shared" si="7"/>
        <v/>
      </c>
      <c r="H98" s="13">
        <v>154064.5</v>
      </c>
      <c r="I98" s="13">
        <f t="shared" si="5"/>
        <v>162398.5</v>
      </c>
      <c r="J98" s="80">
        <f t="shared" si="6"/>
        <v>1.0540942267686586</v>
      </c>
      <c r="K98" s="38"/>
      <c r="L98" s="38"/>
    </row>
    <row r="99" spans="1:12" ht="42.75">
      <c r="A99" s="27" t="str">
        <v>Telegraph 1</v>
      </c>
      <c r="B99" s="28" t="str">
        <v>NY</v>
      </c>
      <c r="C99" s="28" t="str">
        <f>Sites[[#This Row],[SOL'#]]</f>
        <v>SOL-11003</v>
      </c>
      <c r="D99" s="10">
        <v>514538</v>
      </c>
      <c r="E99" s="15">
        <v>0</v>
      </c>
      <c r="F99" s="15">
        <f t="shared" si="4"/>
        <v>514538</v>
      </c>
      <c r="G99" s="16" t="str">
        <f t="shared" si="7"/>
        <v/>
      </c>
      <c r="H99" s="17">
        <v>256132</v>
      </c>
      <c r="I99" s="17">
        <f t="shared" si="5"/>
        <v>258406</v>
      </c>
      <c r="J99" s="16">
        <f t="shared" si="6"/>
        <v>1.0088782346602534</v>
      </c>
      <c r="K99" s="39" t="s">
        <v>402</v>
      </c>
      <c r="L99" s="40" t="s">
        <v>403</v>
      </c>
    </row>
    <row r="100" spans="1:12" ht="57">
      <c r="A100" s="25" t="str">
        <v>Telegraph 2</v>
      </c>
      <c r="B100" s="26" t="str">
        <v>NY</v>
      </c>
      <c r="C100" s="26" t="str">
        <f>Sites[[#This Row],[SOL'#]]</f>
        <v>SOL-11004</v>
      </c>
      <c r="D100" s="21">
        <v>276370</v>
      </c>
      <c r="E100" s="11">
        <v>0</v>
      </c>
      <c r="F100" s="11">
        <f t="shared" si="4"/>
        <v>276370</v>
      </c>
      <c r="G100" s="12" t="str">
        <f t="shared" si="7"/>
        <v/>
      </c>
      <c r="H100" s="13">
        <v>132880.6</v>
      </c>
      <c r="I100" s="13">
        <f t="shared" si="5"/>
        <v>143489.4</v>
      </c>
      <c r="J100" s="80">
        <f t="shared" si="6"/>
        <v>1.0798370868283256</v>
      </c>
      <c r="K100" s="38" t="s">
        <v>404</v>
      </c>
      <c r="L100" s="38" t="s">
        <v>405</v>
      </c>
    </row>
    <row r="101" spans="1:12" ht="15.75">
      <c r="A101" s="27" t="str">
        <v>Cafferty Hill</v>
      </c>
      <c r="B101" s="28" t="str">
        <v>NY</v>
      </c>
      <c r="C101" s="28" t="str">
        <f>Sites[[#This Row],[SOL'#]]</f>
        <v>SOL-10996</v>
      </c>
      <c r="D101" s="10">
        <v>700116</v>
      </c>
      <c r="E101" s="15">
        <v>0</v>
      </c>
      <c r="F101" s="15">
        <f t="shared" si="4"/>
        <v>700116</v>
      </c>
      <c r="G101" s="16" t="str">
        <f t="shared" si="7"/>
        <v/>
      </c>
      <c r="H101" s="17">
        <v>302250.5</v>
      </c>
      <c r="I101" s="17">
        <f t="shared" si="5"/>
        <v>397865.5</v>
      </c>
      <c r="J101" s="16">
        <f t="shared" si="6"/>
        <v>1.3163435627070923</v>
      </c>
      <c r="K101" s="39"/>
      <c r="L101" s="39"/>
    </row>
    <row r="102" spans="1:12" ht="15.75">
      <c r="A102" s="25" t="str">
        <v>Dunkleman</v>
      </c>
      <c r="B102" s="26" t="str">
        <v>NY</v>
      </c>
      <c r="C102" s="26" t="str">
        <f>Sites[[#This Row],[SOL'#]]</f>
        <v>SOL-11008</v>
      </c>
      <c r="D102" s="21">
        <v>769394</v>
      </c>
      <c r="E102" s="11">
        <v>0</v>
      </c>
      <c r="F102" s="11">
        <f t="shared" si="4"/>
        <v>769394</v>
      </c>
      <c r="G102" s="12" t="str">
        <f t="shared" si="7"/>
        <v/>
      </c>
      <c r="H102" s="13">
        <v>316451.59999999998</v>
      </c>
      <c r="I102" s="13">
        <f t="shared" si="5"/>
        <v>452942.4</v>
      </c>
      <c r="J102" s="80">
        <f t="shared" si="6"/>
        <v>1.4313165109609181</v>
      </c>
      <c r="K102" s="73" t="s">
        <v>406</v>
      </c>
      <c r="L102" s="73" t="s">
        <v>407</v>
      </c>
    </row>
    <row r="103" spans="1:12" ht="28.5">
      <c r="A103" s="27" t="str">
        <v>Route 19 1</v>
      </c>
      <c r="B103" s="28" t="str">
        <v>NY</v>
      </c>
      <c r="C103" s="28" t="str">
        <f>Sites[[#This Row],[SOL'#]]</f>
        <v>SOL-11001</v>
      </c>
      <c r="D103" s="10">
        <v>334791</v>
      </c>
      <c r="E103" s="15">
        <v>0</v>
      </c>
      <c r="F103" s="15">
        <f t="shared" si="4"/>
        <v>334791</v>
      </c>
      <c r="G103" s="16" t="str">
        <f t="shared" si="7"/>
        <v/>
      </c>
      <c r="H103" s="17">
        <v>129029</v>
      </c>
      <c r="I103" s="17">
        <f t="shared" si="5"/>
        <v>205762</v>
      </c>
      <c r="J103" s="16">
        <f t="shared" si="6"/>
        <v>1.5946957660680932</v>
      </c>
      <c r="K103" s="76" t="s">
        <v>408</v>
      </c>
      <c r="L103" s="77" t="s">
        <v>409</v>
      </c>
    </row>
    <row r="104" spans="1:12" ht="42.75">
      <c r="A104" s="25" t="str">
        <v>Route 19 2</v>
      </c>
      <c r="B104" s="26" t="str">
        <v>NY</v>
      </c>
      <c r="C104" s="26" t="str">
        <f>Sites[[#This Row],[SOL'#]]</f>
        <v>SOL-11002</v>
      </c>
      <c r="D104" s="21">
        <v>793038</v>
      </c>
      <c r="E104" s="11">
        <v>0</v>
      </c>
      <c r="F104" s="11">
        <f t="shared" si="4"/>
        <v>793038</v>
      </c>
      <c r="G104" s="12" t="str">
        <f t="shared" si="7"/>
        <v/>
      </c>
      <c r="H104" s="13">
        <v>349533.8</v>
      </c>
      <c r="I104" s="13">
        <f t="shared" si="5"/>
        <v>443504.2</v>
      </c>
      <c r="J104" s="80">
        <f t="shared" si="6"/>
        <v>1.2688449586277495</v>
      </c>
      <c r="K104" s="38" t="s">
        <v>410</v>
      </c>
      <c r="L104" s="38" t="s">
        <v>411</v>
      </c>
    </row>
    <row r="105" spans="1:12" ht="15.75">
      <c r="A105" s="27" t="str">
        <v>Yellow Mills 1</v>
      </c>
      <c r="B105" s="28" t="str">
        <v>NY</v>
      </c>
      <c r="C105" s="28" t="str">
        <f>Sites[[#This Row],[SOL'#]]</f>
        <v>SOL-11006</v>
      </c>
      <c r="D105" s="10">
        <v>292754</v>
      </c>
      <c r="E105" s="15">
        <v>0</v>
      </c>
      <c r="F105" s="15">
        <f t="shared" si="4"/>
        <v>292754</v>
      </c>
      <c r="G105" s="16" t="str">
        <f t="shared" si="7"/>
        <v/>
      </c>
      <c r="H105" s="17">
        <v>0</v>
      </c>
      <c r="I105" s="17">
        <f t="shared" si="5"/>
        <v>292754</v>
      </c>
      <c r="J105" s="16" t="str">
        <f t="shared" si="6"/>
        <v/>
      </c>
      <c r="K105" s="39"/>
      <c r="L105" s="40"/>
    </row>
    <row r="106" spans="1:12" ht="15.75">
      <c r="A106" s="25" t="str">
        <v>Yellow Mills 2</v>
      </c>
      <c r="B106" s="26" t="str">
        <v>NY</v>
      </c>
      <c r="C106" s="26" t="str">
        <f>Sites[[#This Row],[SOL'#]]</f>
        <v>SOL-11005</v>
      </c>
      <c r="D106" s="21">
        <v>295204</v>
      </c>
      <c r="E106" s="11">
        <v>0</v>
      </c>
      <c r="F106" s="11">
        <f t="shared" si="4"/>
        <v>295204</v>
      </c>
      <c r="G106" s="12" t="str">
        <f t="shared" si="7"/>
        <v/>
      </c>
      <c r="H106" s="13">
        <v>0</v>
      </c>
      <c r="I106" s="13">
        <f t="shared" si="5"/>
        <v>295204</v>
      </c>
      <c r="J106" s="80" t="str">
        <f t="shared" si="6"/>
        <v/>
      </c>
      <c r="K106" s="38"/>
      <c r="L106" s="38"/>
    </row>
    <row r="107" spans="1:12" ht="15.75">
      <c r="A107" s="27" t="str">
        <v>Yellow Mills 3</v>
      </c>
      <c r="B107" s="28" t="str">
        <v>NY</v>
      </c>
      <c r="C107" s="28" t="str">
        <f>Sites[[#This Row],[SOL'#]]</f>
        <v>SOL-11007</v>
      </c>
      <c r="D107" s="10">
        <v>285946</v>
      </c>
      <c r="E107" s="15">
        <v>0</v>
      </c>
      <c r="F107" s="15">
        <f t="shared" si="4"/>
        <v>285946</v>
      </c>
      <c r="G107" s="16" t="str">
        <f t="shared" si="7"/>
        <v/>
      </c>
      <c r="H107" s="17">
        <v>0</v>
      </c>
      <c r="I107" s="17">
        <f t="shared" si="5"/>
        <v>285946</v>
      </c>
      <c r="J107" s="16" t="str">
        <f t="shared" si="6"/>
        <v/>
      </c>
      <c r="K107" s="39"/>
      <c r="L107" s="40"/>
    </row>
    <row r="108" spans="1:12" ht="28.5">
      <c r="A108" s="25" t="str">
        <v>Catskill</v>
      </c>
      <c r="B108" s="26" t="str">
        <v>NY</v>
      </c>
      <c r="C108" s="26" t="str">
        <f>Sites[[#This Row],[SOL'#]]</f>
        <v>SOL-11021</v>
      </c>
      <c r="D108" s="21">
        <v>535066</v>
      </c>
      <c r="E108" s="11">
        <v>0</v>
      </c>
      <c r="F108" s="11">
        <f t="shared" si="4"/>
        <v>535066</v>
      </c>
      <c r="G108" s="12" t="str">
        <f t="shared" si="7"/>
        <v/>
      </c>
      <c r="H108" s="13">
        <v>0</v>
      </c>
      <c r="I108" s="13">
        <f t="shared" si="5"/>
        <v>535066</v>
      </c>
      <c r="J108" s="80" t="str">
        <f t="shared" si="6"/>
        <v/>
      </c>
      <c r="K108" s="38" t="s">
        <v>412</v>
      </c>
      <c r="L108" s="38" t="s">
        <v>413</v>
      </c>
    </row>
    <row r="109" spans="1:12" ht="15.75">
      <c r="A109" s="27" t="str">
        <v>Eddy Ridge</v>
      </c>
      <c r="B109" s="28" t="str">
        <v>NY</v>
      </c>
      <c r="C109" s="28" t="str">
        <f>Sites[[#This Row],[SOL'#]]</f>
        <v>SOL-11054</v>
      </c>
      <c r="D109" s="10">
        <v>368483</v>
      </c>
      <c r="E109" s="15">
        <v>0</v>
      </c>
      <c r="F109" s="15">
        <f t="shared" si="4"/>
        <v>368483</v>
      </c>
      <c r="G109" s="16" t="str">
        <f t="shared" si="7"/>
        <v/>
      </c>
      <c r="H109" s="17">
        <v>0</v>
      </c>
      <c r="I109" s="17">
        <f t="shared" si="5"/>
        <v>368483</v>
      </c>
      <c r="J109" s="16" t="str">
        <f t="shared" si="6"/>
        <v/>
      </c>
      <c r="K109" s="39"/>
      <c r="L109" s="40"/>
    </row>
    <row r="110" spans="1:12" ht="15.75">
      <c r="A110" s="25" t="str">
        <v>Ridgeway #1</v>
      </c>
      <c r="B110" s="26" t="str">
        <v>NY</v>
      </c>
      <c r="C110" s="26" t="str">
        <f>Sites[[#This Row],[SOL'#]]</f>
        <v>SOL-11018</v>
      </c>
      <c r="D110" s="21">
        <v>829392.5</v>
      </c>
      <c r="E110" s="11">
        <v>0</v>
      </c>
      <c r="F110" s="11">
        <f t="shared" si="4"/>
        <v>829392.5</v>
      </c>
      <c r="G110" s="12" t="str">
        <f t="shared" si="7"/>
        <v/>
      </c>
      <c r="H110" s="13">
        <v>0</v>
      </c>
      <c r="I110" s="13">
        <f t="shared" si="5"/>
        <v>829392.5</v>
      </c>
      <c r="J110" s="80" t="str">
        <f t="shared" si="6"/>
        <v/>
      </c>
      <c r="K110" s="38"/>
      <c r="L110" s="38"/>
    </row>
    <row r="111" spans="1:12" ht="42.75">
      <c r="A111" s="27" t="str">
        <v>Rivard 1</v>
      </c>
      <c r="B111" s="28" t="str">
        <v>NY</v>
      </c>
      <c r="C111" s="28" t="str">
        <f>Sites[[#This Row],[SOL'#]]</f>
        <v>SOL-11011</v>
      </c>
      <c r="D111" s="10">
        <v>716894</v>
      </c>
      <c r="E111" s="15">
        <v>752430</v>
      </c>
      <c r="F111" s="15">
        <f t="shared" si="4"/>
        <v>-35536</v>
      </c>
      <c r="G111" s="16">
        <f t="shared" si="7"/>
        <v>-4.7228313597278151E-2</v>
      </c>
      <c r="H111" s="17">
        <v>844376.1</v>
      </c>
      <c r="I111" s="17">
        <f t="shared" si="5"/>
        <v>-127482.09999999998</v>
      </c>
      <c r="J111" s="16">
        <f t="shared" si="6"/>
        <v>-0.15097786401107277</v>
      </c>
      <c r="K111" s="39" t="s">
        <v>414</v>
      </c>
      <c r="L111" s="40" t="s">
        <v>415</v>
      </c>
    </row>
    <row r="112" spans="1:12" ht="15.75">
      <c r="A112" s="25" t="str">
        <v>Rivard 2</v>
      </c>
      <c r="B112" s="26" t="str">
        <v>NY</v>
      </c>
      <c r="C112" s="26" t="str">
        <f>Sites[[#This Row],[SOL'#]]</f>
        <v>SOL-11012</v>
      </c>
      <c r="D112" s="21">
        <v>702046.11499999999</v>
      </c>
      <c r="E112" s="11">
        <v>705298.2</v>
      </c>
      <c r="F112" s="11">
        <f t="shared" si="4"/>
        <v>-3252.0849999999627</v>
      </c>
      <c r="G112" s="12">
        <f t="shared" si="7"/>
        <v>-4.6109361969163725E-3</v>
      </c>
      <c r="H112" s="13">
        <v>810158.1</v>
      </c>
      <c r="I112" s="13">
        <f t="shared" si="5"/>
        <v>-108111.98499999999</v>
      </c>
      <c r="J112" s="80">
        <f t="shared" si="6"/>
        <v>-0.13344553982734975</v>
      </c>
      <c r="K112" s="73" t="s">
        <v>416</v>
      </c>
      <c r="L112" s="73" t="s">
        <v>417</v>
      </c>
    </row>
    <row r="113" spans="1:12" ht="15.75">
      <c r="A113" s="27" t="str">
        <v>Essex</v>
      </c>
      <c r="B113" s="28" t="str">
        <v>DC</v>
      </c>
      <c r="C113" s="28" t="str">
        <f>Sites[[#This Row],[SOL'#]]</f>
        <v>SOL-10036</v>
      </c>
      <c r="D113" s="10">
        <v>3350</v>
      </c>
      <c r="E113" s="15">
        <v>4573.8140000000003</v>
      </c>
      <c r="F113" s="15">
        <f t="shared" si="4"/>
        <v>-1223.8140000000003</v>
      </c>
      <c r="G113" s="16">
        <f t="shared" si="7"/>
        <v>-0.26756969129046354</v>
      </c>
      <c r="H113" s="17">
        <v>5035.9399999999996</v>
      </c>
      <c r="I113" s="17">
        <f t="shared" si="5"/>
        <v>-1685.9399999999996</v>
      </c>
      <c r="J113" s="16">
        <f t="shared" si="6"/>
        <v>-0.33478158993157181</v>
      </c>
      <c r="K113" s="74" t="s">
        <v>418</v>
      </c>
      <c r="L113" s="74" t="s">
        <v>419</v>
      </c>
    </row>
    <row r="114" spans="1:12" ht="15.75">
      <c r="A114" s="25" t="str">
        <v>Temple Sinai</v>
      </c>
      <c r="B114" s="26" t="str">
        <v>DC</v>
      </c>
      <c r="C114" s="26" t="str">
        <f>Sites[[#This Row],[SOL'#]]</f>
        <v>SOL-10028</v>
      </c>
      <c r="D114" s="21">
        <v>9065.9399999999405</v>
      </c>
      <c r="E114" s="11">
        <v>12374.39</v>
      </c>
      <c r="F114" s="11">
        <f t="shared" si="4"/>
        <v>-3308.4500000000589</v>
      </c>
      <c r="G114" s="12">
        <f t="shared" si="7"/>
        <v>-0.26736267403888669</v>
      </c>
      <c r="H114" s="13">
        <v>12183.17</v>
      </c>
      <c r="I114" s="13">
        <f t="shared" si="5"/>
        <v>-3117.2300000000596</v>
      </c>
      <c r="J114" s="80">
        <f t="shared" si="6"/>
        <v>-0.25586362170108923</v>
      </c>
      <c r="K114" s="73" t="s">
        <v>420</v>
      </c>
      <c r="L114" s="73" t="s">
        <v>313</v>
      </c>
    </row>
    <row r="115" spans="1:12" ht="15.75">
      <c r="A115" s="27" t="str">
        <v>Weinberg 1</v>
      </c>
      <c r="B115" s="28" t="str">
        <v>DC</v>
      </c>
      <c r="C115" s="28" t="str">
        <f>Sites[[#This Row],[SOL'#]]</f>
        <v>SOL-10039</v>
      </c>
      <c r="D115" s="10">
        <v>1447</v>
      </c>
      <c r="E115" s="15">
        <v>1517.306</v>
      </c>
      <c r="F115" s="15">
        <f t="shared" si="4"/>
        <v>-70.30600000000004</v>
      </c>
      <c r="G115" s="16">
        <f t="shared" si="7"/>
        <v>-4.6336071959117042E-2</v>
      </c>
      <c r="H115" s="17">
        <v>1827.1210000000001</v>
      </c>
      <c r="I115" s="17">
        <f t="shared" si="5"/>
        <v>-380.12100000000009</v>
      </c>
      <c r="J115" s="16">
        <f t="shared" si="6"/>
        <v>-0.20804369278225146</v>
      </c>
      <c r="K115" s="39"/>
      <c r="L115" s="40"/>
    </row>
    <row r="116" spans="1:12" ht="15.75">
      <c r="A116" s="25" t="str">
        <v>Weinberg 2</v>
      </c>
      <c r="B116" s="26" t="str">
        <v>DC</v>
      </c>
      <c r="C116" s="26" t="str">
        <f>Sites[[#This Row],[SOL'#]]</f>
        <v>SOL-10045</v>
      </c>
      <c r="D116" s="21">
        <v>1298</v>
      </c>
      <c r="E116" s="11">
        <v>1392.21</v>
      </c>
      <c r="F116" s="11">
        <f t="shared" si="4"/>
        <v>-94.210000000000036</v>
      </c>
      <c r="G116" s="12">
        <f t="shared" si="7"/>
        <v>-6.7669388957125751E-2</v>
      </c>
      <c r="H116" s="13">
        <v>1857.011</v>
      </c>
      <c r="I116" s="13">
        <f t="shared" si="5"/>
        <v>-559.01099999999997</v>
      </c>
      <c r="J116" s="80">
        <f t="shared" si="6"/>
        <v>-0.3010272960149401</v>
      </c>
      <c r="K116" s="38"/>
      <c r="L116" s="38"/>
    </row>
    <row r="117" spans="1:12" ht="15.75">
      <c r="A117" s="27" t="str">
        <v>Weinberg 3</v>
      </c>
      <c r="B117" s="28" t="str">
        <v>DC</v>
      </c>
      <c r="C117" s="28" t="str">
        <f>Sites[[#This Row],[SOL'#]]</f>
        <v>SOL-10042</v>
      </c>
      <c r="D117" s="10">
        <v>1636</v>
      </c>
      <c r="E117" s="15">
        <v>1601.9649999999999</v>
      </c>
      <c r="F117" s="15">
        <f t="shared" si="4"/>
        <v>34.035000000000082</v>
      </c>
      <c r="G117" s="16">
        <f t="shared" si="7"/>
        <v>2.1245782523338579E-2</v>
      </c>
      <c r="H117" s="17">
        <v>1926</v>
      </c>
      <c r="I117" s="17">
        <f t="shared" si="5"/>
        <v>-290</v>
      </c>
      <c r="J117" s="16">
        <f t="shared" si="6"/>
        <v>-0.1505711318795431</v>
      </c>
      <c r="K117" s="39"/>
      <c r="L117" s="40"/>
    </row>
    <row r="118" spans="1:12" ht="15.75">
      <c r="A118" s="25" t="str">
        <v>Clayton Hall</v>
      </c>
      <c r="B118" s="26" t="str">
        <v>DE</v>
      </c>
      <c r="C118" s="26" t="str">
        <f>Sites[[#This Row],[SOL'#]]</f>
        <v>SOL-10820</v>
      </c>
      <c r="D118" s="21">
        <v>13377</v>
      </c>
      <c r="E118" s="11">
        <v>19597</v>
      </c>
      <c r="F118" s="11">
        <f t="shared" si="4"/>
        <v>-6220</v>
      </c>
      <c r="G118" s="12">
        <f t="shared" si="7"/>
        <v>-0.31739551972240648</v>
      </c>
      <c r="H118" s="13">
        <v>4704</v>
      </c>
      <c r="I118" s="13">
        <f t="shared" si="5"/>
        <v>8673</v>
      </c>
      <c r="J118" s="80">
        <f t="shared" si="6"/>
        <v>1.84375</v>
      </c>
      <c r="K118" s="38"/>
      <c r="L118" s="38"/>
    </row>
    <row r="119" spans="1:12" ht="15.75">
      <c r="A119" s="27" t="str">
        <v>Field House</v>
      </c>
      <c r="B119" s="28" t="str">
        <v>DE</v>
      </c>
      <c r="C119" s="28" t="str">
        <f>Sites[[#This Row],[SOL'#]]</f>
        <v>SOL-10821</v>
      </c>
      <c r="D119" s="10">
        <v>48451</v>
      </c>
      <c r="E119" s="15">
        <v>0</v>
      </c>
      <c r="F119" s="15">
        <f t="shared" si="4"/>
        <v>48451</v>
      </c>
      <c r="G119" s="16" t="str">
        <f t="shared" si="7"/>
        <v/>
      </c>
      <c r="H119" s="17">
        <v>47464</v>
      </c>
      <c r="I119" s="17">
        <f t="shared" si="5"/>
        <v>987</v>
      </c>
      <c r="J119" s="16">
        <f t="shared" si="6"/>
        <v>2.0794707567840891E-2</v>
      </c>
      <c r="K119" s="39"/>
      <c r="L119" s="40"/>
    </row>
    <row r="120" spans="1:12" ht="15.75">
      <c r="A120" s="25" t="str">
        <v>Wyoming Road</v>
      </c>
      <c r="B120" s="26" t="str">
        <v>DE</v>
      </c>
      <c r="C120" s="26" t="str">
        <f>Sites[[#This Row],[SOL'#]]</f>
        <v>SOL-10819</v>
      </c>
      <c r="D120" s="67">
        <v>32245</v>
      </c>
      <c r="E120" s="11">
        <v>30396</v>
      </c>
      <c r="F120" s="11">
        <f t="shared" si="4"/>
        <v>1849</v>
      </c>
      <c r="G120" s="12">
        <f t="shared" si="7"/>
        <v>6.0830372417423346E-2</v>
      </c>
      <c r="H120" s="13">
        <v>33943</v>
      </c>
      <c r="I120" s="13">
        <f t="shared" si="5"/>
        <v>-1698</v>
      </c>
      <c r="J120" s="80">
        <f t="shared" si="6"/>
        <v>-5.0025041982146537E-2</v>
      </c>
      <c r="K120" s="38"/>
      <c r="L120" s="38"/>
    </row>
    <row r="121" spans="1:12" ht="15.75">
      <c r="A121" s="27" t="str">
        <v>Leoku</v>
      </c>
      <c r="B121" s="28" t="str">
        <v>HI</v>
      </c>
      <c r="C121" s="28" t="str">
        <f>Sites[[#This Row],[SOL'#]]</f>
        <v>SOL-10071</v>
      </c>
      <c r="D121" s="10">
        <v>12564</v>
      </c>
      <c r="E121" s="15">
        <v>10823</v>
      </c>
      <c r="F121" s="15">
        <f t="shared" si="4"/>
        <v>1741</v>
      </c>
      <c r="G121" s="16">
        <f t="shared" si="7"/>
        <v>0.16086112907696573</v>
      </c>
      <c r="H121" s="17">
        <v>12929</v>
      </c>
      <c r="I121" s="17">
        <f t="shared" si="5"/>
        <v>-365</v>
      </c>
      <c r="J121" s="16">
        <f t="shared" si="6"/>
        <v>-2.8231108361048807E-2</v>
      </c>
      <c r="K121" s="39"/>
      <c r="L121" s="40"/>
    </row>
    <row r="122" spans="1:12" ht="15.75">
      <c r="A122" s="25" t="str">
        <v>Waipahu</v>
      </c>
      <c r="B122" s="26" t="str">
        <v>HI</v>
      </c>
      <c r="C122" s="26" t="str">
        <f>Sites[[#This Row],[SOL'#]]</f>
        <v>SOL-10068</v>
      </c>
      <c r="D122" s="21">
        <v>12713</v>
      </c>
      <c r="E122" s="11">
        <v>10404</v>
      </c>
      <c r="F122" s="11">
        <f t="shared" si="4"/>
        <v>2309</v>
      </c>
      <c r="G122" s="12">
        <f t="shared" si="7"/>
        <v>0.22193387158785083</v>
      </c>
      <c r="H122" s="13">
        <v>12929</v>
      </c>
      <c r="I122" s="13">
        <f t="shared" si="5"/>
        <v>-216</v>
      </c>
      <c r="J122" s="80">
        <f t="shared" si="6"/>
        <v>-1.6706628509552169E-2</v>
      </c>
      <c r="K122" s="38"/>
      <c r="L122" s="38"/>
    </row>
    <row r="123" spans="1:12" ht="71.25">
      <c r="A123" s="27" t="str">
        <v>Bird in Hand</v>
      </c>
      <c r="B123" s="28" t="str">
        <v>MD</v>
      </c>
      <c r="C123" s="28" t="str">
        <f>Sites[[#This Row],[SOL'#]]</f>
        <v>SOL-10092</v>
      </c>
      <c r="D123" s="10">
        <v>148198</v>
      </c>
      <c r="E123" s="15">
        <v>159331.1</v>
      </c>
      <c r="F123" s="15">
        <f t="shared" si="4"/>
        <v>-11133.100000000006</v>
      </c>
      <c r="G123" s="16">
        <f t="shared" si="7"/>
        <v>-6.987399195762789E-2</v>
      </c>
      <c r="H123" s="17">
        <v>166705.20000000001</v>
      </c>
      <c r="I123" s="17">
        <f t="shared" si="5"/>
        <v>-18507.200000000012</v>
      </c>
      <c r="J123" s="16">
        <f t="shared" si="6"/>
        <v>-0.11101753274642909</v>
      </c>
      <c r="K123" s="39" t="s">
        <v>421</v>
      </c>
      <c r="L123" s="62" t="s">
        <v>422</v>
      </c>
    </row>
    <row r="124" spans="1:12" ht="15.75">
      <c r="A124" s="25" t="str">
        <v>Shortal</v>
      </c>
      <c r="B124" s="26" t="str">
        <v>MD</v>
      </c>
      <c r="C124" s="26" t="str">
        <f>Sites[[#This Row],[SOL'#]]</f>
        <v>SOL-10091</v>
      </c>
      <c r="D124" s="21">
        <v>161667</v>
      </c>
      <c r="E124" s="11">
        <v>154759.79999999999</v>
      </c>
      <c r="F124" s="11">
        <f t="shared" si="4"/>
        <v>6907.2000000000116</v>
      </c>
      <c r="G124" s="12">
        <f t="shared" si="7"/>
        <v>4.4631745453276701E-2</v>
      </c>
      <c r="H124" s="13">
        <v>10312.799999999999</v>
      </c>
      <c r="I124" s="13">
        <f t="shared" si="5"/>
        <v>151354.20000000001</v>
      </c>
      <c r="J124" s="80">
        <f t="shared" si="6"/>
        <v>14.676343960902958</v>
      </c>
      <c r="K124" s="38"/>
      <c r="L124" s="38"/>
    </row>
    <row r="125" spans="1:12" ht="99.75">
      <c r="A125" s="27" t="str">
        <v>Aguadilla</v>
      </c>
      <c r="B125" s="28" t="str">
        <v>PR</v>
      </c>
      <c r="C125" s="28" t="str">
        <f>Sites[[#This Row],[SOL'#]]</f>
        <v>SOL-10072</v>
      </c>
      <c r="D125" s="10">
        <v>17247</v>
      </c>
      <c r="E125" s="15">
        <v>18247.400000000001</v>
      </c>
      <c r="F125" s="15">
        <f t="shared" si="4"/>
        <v>-1000.4000000000015</v>
      </c>
      <c r="G125" s="16">
        <f t="shared" si="7"/>
        <v>-5.4824248934094794E-2</v>
      </c>
      <c r="H125" s="17">
        <v>22721</v>
      </c>
      <c r="I125" s="17">
        <f t="shared" si="5"/>
        <v>-5474</v>
      </c>
      <c r="J125" s="16">
        <f t="shared" si="6"/>
        <v>-0.24092249460851195</v>
      </c>
      <c r="K125" s="39" t="s">
        <v>423</v>
      </c>
      <c r="L125" s="61" t="s">
        <v>424</v>
      </c>
    </row>
    <row r="126" spans="1:12" ht="71.25">
      <c r="A126" s="25" t="str">
        <v>Bayamon</v>
      </c>
      <c r="B126" s="26" t="str">
        <v>PR</v>
      </c>
      <c r="C126" s="26" t="str">
        <f>Sites[[#This Row],[SOL'#]]</f>
        <v>SOL-10073</v>
      </c>
      <c r="D126" s="21">
        <v>64262</v>
      </c>
      <c r="E126" s="11">
        <v>71453.52</v>
      </c>
      <c r="F126" s="11">
        <f t="shared" si="4"/>
        <v>-7191.5200000000041</v>
      </c>
      <c r="G126" s="12">
        <f t="shared" si="7"/>
        <v>-0.10064612632099865</v>
      </c>
      <c r="H126" s="13">
        <v>0</v>
      </c>
      <c r="I126" s="13">
        <f t="shared" si="5"/>
        <v>64262</v>
      </c>
      <c r="J126" s="80" t="str">
        <f t="shared" si="6"/>
        <v/>
      </c>
      <c r="K126" s="38" t="s">
        <v>425</v>
      </c>
      <c r="L126" s="38" t="s">
        <v>426</v>
      </c>
    </row>
    <row r="127" spans="1:12" ht="234.75" customHeight="1">
      <c r="A127" s="27" t="str">
        <v>St Francis</v>
      </c>
      <c r="B127" s="28" t="str">
        <v>PR</v>
      </c>
      <c r="C127" s="28" t="str">
        <f>Sites[[#This Row],[SOL'#]]</f>
        <v>SOL-10034</v>
      </c>
      <c r="D127" s="10">
        <v>16654.5</v>
      </c>
      <c r="E127" s="15">
        <v>52221.36</v>
      </c>
      <c r="F127" s="15">
        <f t="shared" si="4"/>
        <v>-35566.86</v>
      </c>
      <c r="G127" s="16">
        <f t="shared" si="7"/>
        <v>-0.68107877696023233</v>
      </c>
      <c r="H127" s="17">
        <v>32364</v>
      </c>
      <c r="I127" s="17">
        <f t="shared" si="5"/>
        <v>-15709.5</v>
      </c>
      <c r="J127" s="16">
        <f t="shared" si="6"/>
        <v>-0.4854004449388209</v>
      </c>
      <c r="K127" s="39" t="s">
        <v>427</v>
      </c>
      <c r="L127" s="62" t="s">
        <v>428</v>
      </c>
    </row>
    <row r="128" spans="1:12" ht="15.75">
      <c r="A128" s="25" t="str">
        <v>Seaport</v>
      </c>
      <c r="B128" s="26" t="str">
        <v>MA</v>
      </c>
      <c r="C128" s="26" t="str">
        <f>Sites[[#This Row],[SOL'#]]</f>
        <v>SOL-10772</v>
      </c>
      <c r="D128" s="21">
        <v>63480</v>
      </c>
      <c r="E128" s="11">
        <v>56649.55</v>
      </c>
      <c r="F128" s="11">
        <f t="shared" si="4"/>
        <v>6830.4499999999971</v>
      </c>
      <c r="G128" s="12">
        <f t="shared" si="7"/>
        <v>0.12057377331329193</v>
      </c>
      <c r="H128" s="13">
        <v>68389.41</v>
      </c>
      <c r="I128" s="13">
        <f t="shared" si="5"/>
        <v>-4909.4100000000035</v>
      </c>
      <c r="J128" s="80">
        <f t="shared" si="6"/>
        <v>-7.1786114253654235E-2</v>
      </c>
      <c r="K128" s="38"/>
      <c r="L128" s="38"/>
    </row>
    <row r="129" spans="1:12" ht="71.25">
      <c r="A129" s="27" t="str">
        <v>Sprague St</v>
      </c>
      <c r="B129" s="28" t="str">
        <v>MA</v>
      </c>
      <c r="C129" s="28" t="str">
        <f>Sites[[#This Row],[SOL'#]]</f>
        <v>SOL-10773</v>
      </c>
      <c r="D129" s="10">
        <v>148209</v>
      </c>
      <c r="E129" s="15">
        <v>145119</v>
      </c>
      <c r="F129" s="15">
        <f t="shared" si="4"/>
        <v>3090</v>
      </c>
      <c r="G129" s="16">
        <f t="shared" si="7"/>
        <v>2.1292869989456929E-2</v>
      </c>
      <c r="H129" s="17">
        <v>150126</v>
      </c>
      <c r="I129" s="17">
        <f t="shared" si="5"/>
        <v>-1917</v>
      </c>
      <c r="J129" s="16">
        <f t="shared" si="6"/>
        <v>-1.27692738099996E-2</v>
      </c>
      <c r="K129" s="39" t="s">
        <v>429</v>
      </c>
      <c r="L129" s="62" t="s">
        <v>430</v>
      </c>
    </row>
    <row r="130" spans="1:12" ht="181.5" customHeight="1">
      <c r="A130" s="25" t="str">
        <v>Summer St</v>
      </c>
      <c r="B130" s="26" t="str">
        <v>MA</v>
      </c>
      <c r="C130" s="26" t="str">
        <f>Sites[[#This Row],[SOL'#]]</f>
        <v>SOL-10764</v>
      </c>
      <c r="D130" s="21">
        <v>306534</v>
      </c>
      <c r="E130" s="11">
        <v>307604.09999999998</v>
      </c>
      <c r="F130" s="11">
        <f t="shared" si="4"/>
        <v>-1070.0999999999767</v>
      </c>
      <c r="G130" s="12">
        <f t="shared" si="7"/>
        <v>-3.4788222913803061E-3</v>
      </c>
      <c r="H130" s="13">
        <v>322242.5</v>
      </c>
      <c r="I130" s="13">
        <f t="shared" si="5"/>
        <v>-15708.5</v>
      </c>
      <c r="J130" s="80">
        <f t="shared" si="6"/>
        <v>-4.8747449513953003E-2</v>
      </c>
      <c r="K130" s="38" t="s">
        <v>431</v>
      </c>
      <c r="L130" s="38" t="s">
        <v>432</v>
      </c>
    </row>
    <row r="131" spans="1:12" ht="15.75">
      <c r="A131" s="27" t="str">
        <v>Brock St Vocational</v>
      </c>
      <c r="B131" s="28" t="str">
        <v>NH</v>
      </c>
      <c r="C131" s="28" t="str">
        <f>Sites[[#This Row],[SOL'#]]</f>
        <v>SOL-10768</v>
      </c>
      <c r="D131" s="10">
        <v>13439.8478234824</v>
      </c>
      <c r="E131" s="15">
        <v>13909.84</v>
      </c>
      <c r="F131" s="15">
        <f t="shared" si="4"/>
        <v>-469.99217651760046</v>
      </c>
      <c r="G131" s="16">
        <f t="shared" si="7"/>
        <v>-3.3788467481840223E-2</v>
      </c>
      <c r="H131" s="17">
        <v>12995.68</v>
      </c>
      <c r="I131" s="17">
        <f t="shared" si="5"/>
        <v>444.1678234823994</v>
      </c>
      <c r="J131" s="16">
        <f t="shared" si="6"/>
        <v>3.4178113302451227E-2</v>
      </c>
      <c r="K131" s="39"/>
      <c r="L131" s="40"/>
    </row>
    <row r="132" spans="1:12" ht="15.75">
      <c r="A132" s="25" t="str">
        <v>McClelland ES</v>
      </c>
      <c r="B132" s="26" t="str">
        <v>NH</v>
      </c>
      <c r="C132" s="26" t="str">
        <f>Sites[[#This Row],[SOL'#]]</f>
        <v>SOL-10766</v>
      </c>
      <c r="D132" s="21">
        <v>9930</v>
      </c>
      <c r="E132" s="11">
        <v>11533</v>
      </c>
      <c r="F132" s="11">
        <f t="shared" si="4"/>
        <v>-1603</v>
      </c>
      <c r="G132" s="12">
        <f t="shared" si="7"/>
        <v>-0.13899245642937658</v>
      </c>
      <c r="H132" s="13">
        <v>9946</v>
      </c>
      <c r="I132" s="13">
        <f t="shared" si="5"/>
        <v>-16</v>
      </c>
      <c r="J132" s="80">
        <f t="shared" si="6"/>
        <v>-1.6086869093102755E-3</v>
      </c>
      <c r="K132" s="38"/>
      <c r="L132" s="38"/>
    </row>
    <row r="133" spans="1:12" ht="15.75">
      <c r="A133" s="27" t="str">
        <v>Portland St</v>
      </c>
      <c r="B133" s="28" t="str">
        <v>NH</v>
      </c>
      <c r="C133" s="28" t="str">
        <f>Sites[[#This Row],[SOL'#]]</f>
        <v>SOL-10771</v>
      </c>
      <c r="D133" s="10">
        <v>8143</v>
      </c>
      <c r="E133" s="15">
        <v>6765</v>
      </c>
      <c r="F133" s="15">
        <f t="shared" ref="F133:F139" si="8">IF(AND(ISNUMBER(D133),ISNUMBER(E133)), D133-E133, "")</f>
        <v>1378</v>
      </c>
      <c r="G133" s="16">
        <f t="shared" si="7"/>
        <v>0.20369549150036956</v>
      </c>
      <c r="H133" s="17">
        <v>8514</v>
      </c>
      <c r="I133" s="17">
        <f t="shared" ref="I133:I139" si="9">IF(AND(ISNUMBER(D133),ISNUMBER(H133)), D133-H133, "")</f>
        <v>-371</v>
      </c>
      <c r="J133" s="16">
        <f t="shared" ref="J133:J139" si="10">IFERROR(I133/H133, "")</f>
        <v>-4.3575287761334271E-2</v>
      </c>
      <c r="K133" s="39"/>
      <c r="L133" s="40"/>
    </row>
    <row r="134" spans="1:12" ht="15.75">
      <c r="A134" s="25" t="str">
        <v>Portsmouth HS</v>
      </c>
      <c r="B134" s="26" t="str">
        <v>NH</v>
      </c>
      <c r="C134" s="26" t="str">
        <f>Sites[[#This Row],[SOL'#]]</f>
        <v>SOL-10769</v>
      </c>
      <c r="D134" s="21">
        <v>34036</v>
      </c>
      <c r="E134" s="11">
        <v>32079</v>
      </c>
      <c r="F134" s="11">
        <f t="shared" si="8"/>
        <v>1957</v>
      </c>
      <c r="G134" s="12">
        <f t="shared" ref="G134:G139" si="11">IFERROR(F134/E134, "")</f>
        <v>6.1005642320521213E-2</v>
      </c>
      <c r="H134" s="13">
        <v>15116</v>
      </c>
      <c r="I134" s="13">
        <f t="shared" si="9"/>
        <v>18920</v>
      </c>
      <c r="J134" s="80">
        <f t="shared" si="10"/>
        <v>1.2516538766869543</v>
      </c>
      <c r="K134" s="38"/>
      <c r="L134" s="38"/>
    </row>
    <row r="135" spans="1:12" ht="15.75">
      <c r="A135" s="27" t="str">
        <v>Portsmouth WTP</v>
      </c>
      <c r="B135" s="28" t="str">
        <v>NH</v>
      </c>
      <c r="C135" s="28" t="str">
        <f>Sites[[#This Row],[SOL'#]]</f>
        <v>SOL-10770</v>
      </c>
      <c r="D135" s="10">
        <v>32939.75</v>
      </c>
      <c r="E135" s="15">
        <v>33160.29</v>
      </c>
      <c r="F135" s="15">
        <f t="shared" si="8"/>
        <v>-220.54000000000087</v>
      </c>
      <c r="G135" s="16">
        <f t="shared" si="11"/>
        <v>-6.650725913434438E-3</v>
      </c>
      <c r="H135" s="17">
        <v>32014.29</v>
      </c>
      <c r="I135" s="17">
        <f t="shared" si="9"/>
        <v>925.45999999999913</v>
      </c>
      <c r="J135" s="16">
        <f t="shared" si="10"/>
        <v>2.8907715898119218E-2</v>
      </c>
      <c r="K135" s="39"/>
      <c r="L135" s="40"/>
    </row>
    <row r="136" spans="1:12" ht="15.75">
      <c r="A136" s="25" t="str">
        <v>Rochester St</v>
      </c>
      <c r="B136" s="26" t="str">
        <v>NH</v>
      </c>
      <c r="C136" s="26" t="str">
        <f>Sites[[#This Row],[SOL'#]]</f>
        <v>SOL-10765</v>
      </c>
      <c r="D136" s="21">
        <v>29290</v>
      </c>
      <c r="E136" s="11">
        <v>32796</v>
      </c>
      <c r="F136" s="11">
        <f t="shared" si="8"/>
        <v>-3506</v>
      </c>
      <c r="G136" s="12">
        <f t="shared" si="11"/>
        <v>-0.10690328088791316</v>
      </c>
      <c r="H136" s="13">
        <v>30791</v>
      </c>
      <c r="I136" s="13">
        <f t="shared" si="9"/>
        <v>-1501</v>
      </c>
      <c r="J136" s="80">
        <f t="shared" si="10"/>
        <v>-4.8748010782371475E-2</v>
      </c>
      <c r="K136" s="38"/>
      <c r="L136" s="38"/>
    </row>
    <row r="137" spans="1:12" ht="15.75">
      <c r="A137" s="27" t="str">
        <v>Spaulding HS</v>
      </c>
      <c r="B137" s="28" t="str">
        <v>NH</v>
      </c>
      <c r="C137" s="28" t="str">
        <f>Sites[[#This Row],[SOL'#]]</f>
        <v>SOL-10767</v>
      </c>
      <c r="D137" s="10">
        <v>14662.5678373016</v>
      </c>
      <c r="E137" s="15">
        <v>14073.07</v>
      </c>
      <c r="F137" s="15">
        <f t="shared" si="8"/>
        <v>589.49783730160016</v>
      </c>
      <c r="G137" s="16">
        <f t="shared" si="11"/>
        <v>4.1888361054240486E-2</v>
      </c>
      <c r="H137" s="17">
        <v>14805.64</v>
      </c>
      <c r="I137" s="17">
        <f t="shared" si="9"/>
        <v>-143.07216269839955</v>
      </c>
      <c r="J137" s="16">
        <f t="shared" si="10"/>
        <v>-9.6633554982020059E-3</v>
      </c>
      <c r="K137" s="39"/>
      <c r="L137" s="40"/>
    </row>
    <row r="138" spans="1:12" ht="15.75">
      <c r="A138" s="25" t="str">
        <v>Ridgeway #2</v>
      </c>
      <c r="B138" s="26" t="str">
        <v>NY</v>
      </c>
      <c r="C138" s="26" t="str">
        <f>Sites[[#This Row],[SOL'#]]</f>
        <v>SOL-11027</v>
      </c>
      <c r="D138" s="21">
        <v>438037</v>
      </c>
      <c r="E138" s="11">
        <v>0</v>
      </c>
      <c r="F138" s="11">
        <f t="shared" si="8"/>
        <v>438037</v>
      </c>
      <c r="G138" s="12" t="str">
        <f t="shared" si="11"/>
        <v/>
      </c>
      <c r="H138" s="13">
        <v>0</v>
      </c>
      <c r="I138" s="13">
        <f t="shared" si="9"/>
        <v>438037</v>
      </c>
      <c r="J138" s="80" t="str">
        <f t="shared" si="10"/>
        <v/>
      </c>
      <c r="K138" s="38"/>
      <c r="L138" s="38"/>
    </row>
    <row r="139" spans="1:12" ht="15.75">
      <c r="A139" s="27" t="str">
        <v>Spencer</v>
      </c>
      <c r="B139" s="28" t="str">
        <v>NY</v>
      </c>
      <c r="C139" s="28" t="str">
        <f>Sites[[#This Row],[SOL'#]]</f>
        <v>SOL-11017</v>
      </c>
      <c r="D139" s="10">
        <v>907176</v>
      </c>
      <c r="E139" s="15">
        <v>0</v>
      </c>
      <c r="F139" s="15">
        <f t="shared" si="8"/>
        <v>907176</v>
      </c>
      <c r="G139" s="16" t="str">
        <f t="shared" si="11"/>
        <v/>
      </c>
      <c r="H139" s="17">
        <v>0</v>
      </c>
      <c r="I139" s="17">
        <f t="shared" si="9"/>
        <v>907176</v>
      </c>
      <c r="J139" s="16" t="str">
        <f t="shared" si="10"/>
        <v/>
      </c>
      <c r="K139" s="39" t="s">
        <v>433</v>
      </c>
      <c r="L139" s="40" t="s">
        <v>434</v>
      </c>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4.25">
      <c r="A341" s="18"/>
      <c r="B341" s="30"/>
      <c r="C341" s="30"/>
      <c r="D341" s="18"/>
      <c r="E341" s="18"/>
      <c r="F341" s="18"/>
      <c r="G341" s="19"/>
      <c r="H341" s="18"/>
      <c r="I341" s="18"/>
      <c r="J341" s="19"/>
      <c r="K341" s="18"/>
      <c r="L341" s="18"/>
    </row>
    <row r="342" spans="1:12" ht="13.9">
      <c r="D342" s="18"/>
      <c r="E342" s="18"/>
      <c r="F342" s="18"/>
      <c r="G342" s="19"/>
      <c r="H342" s="18"/>
      <c r="I342" s="18"/>
      <c r="J342" s="19"/>
      <c r="K342" s="18"/>
      <c r="L342" s="18"/>
    </row>
  </sheetData>
  <mergeCells count="4">
    <mergeCell ref="H1:J1"/>
    <mergeCell ref="A1:D1"/>
    <mergeCell ref="E1:G1"/>
    <mergeCell ref="A2:B2"/>
  </mergeCells>
  <conditionalFormatting sqref="G2 J2">
    <cfRule type="cellIs" dxfId="44" priority="9" stopIfTrue="1" operator="lessThanOrEqual">
      <formula>-0.1</formula>
    </cfRule>
    <cfRule type="expression" dxfId="43" priority="10">
      <formula>AND(ISNUMBER(G2), G2&gt;=0.1)</formula>
    </cfRule>
  </conditionalFormatting>
  <conditionalFormatting sqref="G4:G161 J4:J161">
    <cfRule type="cellIs" dxfId="42" priority="1" stopIfTrue="1" operator="lessThanOrEqual">
      <formula>-0.1</formula>
    </cfRule>
    <cfRule type="expression" dxfId="41" priority="2">
      <formula>AND(ISNUMBER(G4), G4&gt;=0.1)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0"/>
  <sheetViews>
    <sheetView zoomScale="80" zoomScaleNormal="80" workbookViewId="0">
      <pane xSplit="2" ySplit="3" topLeftCell="C106" activePane="bottomRight" state="frozen"/>
      <selection pane="bottomRight" activeCell="E119" sqref="E119"/>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5">
      <c r="A1" s="123" t="str" cm="1">
        <f t="array" ref="A1">portfolio</f>
        <v>Generate Capital</v>
      </c>
      <c r="B1" s="123"/>
      <c r="C1" s="123"/>
      <c r="D1" s="123"/>
      <c r="E1" s="124" t="s">
        <v>435</v>
      </c>
      <c r="F1" s="124"/>
      <c r="G1" s="124"/>
      <c r="H1" s="122" t="s">
        <v>436</v>
      </c>
      <c r="I1" s="122"/>
      <c r="J1" s="122"/>
      <c r="K1" s="5"/>
      <c r="L1" s="5"/>
    </row>
    <row r="2" spans="1:12" ht="15">
      <c r="A2" s="125" t="s">
        <v>2</v>
      </c>
      <c r="B2" s="125"/>
      <c r="C2" s="72"/>
      <c r="D2" s="6">
        <f>SUM(D4:D160)</f>
        <v>32035969.536606003</v>
      </c>
      <c r="E2" s="6">
        <f>SUM(E4:E160)</f>
        <v>10958092.783999998</v>
      </c>
      <c r="F2" s="6">
        <f>D2-E2</f>
        <v>21077876.752606004</v>
      </c>
      <c r="G2" s="7">
        <f>IFERROR(F2/E2, 0)</f>
        <v>1.9234986569361765</v>
      </c>
      <c r="H2" s="6">
        <f>SUM(H4:H160)</f>
        <v>16931803.296999998</v>
      </c>
      <c r="I2" s="8">
        <f>D2-H2</f>
        <v>15104166.239606004</v>
      </c>
      <c r="J2" s="7">
        <f>IFERROR(I2/H2, 0)</f>
        <v>0.89205892453771785</v>
      </c>
      <c r="K2" s="23"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5">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14557.700241516301</v>
      </c>
      <c r="E4" s="11">
        <v>10545.46</v>
      </c>
      <c r="F4" s="11">
        <f>IF(AND(ISNUMBER(D4),ISNUMBER(E4)), D4-E4, "")</f>
        <v>4012.2402415163015</v>
      </c>
      <c r="G4" s="12">
        <f>IFERROR(F4/E4, "")</f>
        <v>0.38047086058989382</v>
      </c>
      <c r="H4" s="13">
        <v>15226.78</v>
      </c>
      <c r="I4" s="13">
        <f>IF(AND(ISNUMBER(D4),ISNUMBER(H4)), D4-H4, "")</f>
        <v>-669.07975848370006</v>
      </c>
      <c r="J4" s="14">
        <f>IFERROR(I4/H4, "")</f>
        <v>-4.394098808045431E-2</v>
      </c>
      <c r="K4" s="66" t="s">
        <v>437</v>
      </c>
      <c r="L4" s="66" t="s">
        <v>438</v>
      </c>
    </row>
    <row r="5" spans="1:12" ht="15.75">
      <c r="A5" s="27" t="str">
        <v>Fulton</v>
      </c>
      <c r="B5" s="28" t="str">
        <v>AZ</v>
      </c>
      <c r="C5" s="28" t="str">
        <f>Sites[[#This Row],[SOL'#]]</f>
        <v>SOL-10749</v>
      </c>
      <c r="D5" s="10">
        <v>71260</v>
      </c>
      <c r="E5" s="15">
        <v>59060.800000000003</v>
      </c>
      <c r="F5" s="15">
        <f t="shared" ref="F5:F17" si="0">IF(AND(ISNUMBER(D5),ISNUMBER(E5)), D5-E5, "")</f>
        <v>12199.199999999997</v>
      </c>
      <c r="G5" s="16">
        <f>IFERROR(F5/E5, "")</f>
        <v>0.20655324682361223</v>
      </c>
      <c r="H5" s="17">
        <v>82195.990000000005</v>
      </c>
      <c r="I5" s="17">
        <f t="shared" ref="I5:I17" si="1">IF(AND(ISNUMBER(D5),ISNUMBER(H5)), D5-H5, "")</f>
        <v>-10935.990000000005</v>
      </c>
      <c r="J5" s="16">
        <f t="shared" ref="J5:J17" si="2">IFERROR(I5/H5, "")</f>
        <v>-0.13304773140392864</v>
      </c>
      <c r="K5" s="61"/>
      <c r="L5" s="61"/>
    </row>
    <row r="6" spans="1:12" ht="15.75">
      <c r="A6" s="25" t="str">
        <v>JFK Elementary</v>
      </c>
      <c r="B6" s="26" t="str">
        <v>AZ</v>
      </c>
      <c r="C6" s="26" t="str">
        <f>Sites[[#This Row],[SOL'#]]</f>
        <v>SOL-10758</v>
      </c>
      <c r="D6" s="21">
        <v>23569.985646785801</v>
      </c>
      <c r="E6" s="11">
        <v>0</v>
      </c>
      <c r="F6" s="11">
        <f t="shared" si="0"/>
        <v>23569.985646785801</v>
      </c>
      <c r="G6" s="12" t="str">
        <f t="shared" ref="G6:G17" si="3">IFERROR(F6/E6, "")</f>
        <v/>
      </c>
      <c r="H6" s="13">
        <v>2455</v>
      </c>
      <c r="I6" s="13">
        <f t="shared" si="1"/>
        <v>21114.985646785801</v>
      </c>
      <c r="J6" s="14">
        <f t="shared" si="2"/>
        <v>8.6008088174280246</v>
      </c>
      <c r="K6" s="66"/>
      <c r="L6" s="66"/>
    </row>
    <row r="7" spans="1:12" ht="15.75">
      <c r="A7" s="27" t="str">
        <v>Noble</v>
      </c>
      <c r="B7" s="28" t="str">
        <v>AZ</v>
      </c>
      <c r="C7" s="28" t="str">
        <f>Sites[[#This Row],[SOL'#]]</f>
        <v>SOL-10750</v>
      </c>
      <c r="D7" s="10">
        <v>9853.3812981966203</v>
      </c>
      <c r="E7" s="15">
        <v>18073.259999999998</v>
      </c>
      <c r="F7" s="15">
        <f t="shared" si="0"/>
        <v>-8219.8787018033781</v>
      </c>
      <c r="G7" s="16">
        <f t="shared" si="3"/>
        <v>-0.4548088558347182</v>
      </c>
      <c r="H7" s="17">
        <v>16982.46</v>
      </c>
      <c r="I7" s="17">
        <f t="shared" si="1"/>
        <v>-7129.0787018033789</v>
      </c>
      <c r="J7" s="16">
        <f t="shared" si="2"/>
        <v>-0.41979069591822266</v>
      </c>
      <c r="K7" s="61"/>
      <c r="L7" s="62"/>
    </row>
    <row r="8" spans="1:12" ht="15.75">
      <c r="A8" s="25" t="str">
        <v>Parking 3</v>
      </c>
      <c r="B8" s="26" t="str">
        <v>AZ</v>
      </c>
      <c r="C8" s="26" t="str">
        <f>Sites[[#This Row],[SOL'#]]</f>
        <v>SOL-10751</v>
      </c>
      <c r="D8" s="21">
        <v>36794.761686708</v>
      </c>
      <c r="E8" s="11">
        <v>39125.949999999997</v>
      </c>
      <c r="F8" s="11">
        <f t="shared" si="0"/>
        <v>-2331.1883132919975</v>
      </c>
      <c r="G8" s="12">
        <f t="shared" si="3"/>
        <v>-5.9581641168891683E-2</v>
      </c>
      <c r="H8" s="13">
        <v>40769.800000000003</v>
      </c>
      <c r="I8" s="13">
        <f t="shared" si="1"/>
        <v>-3975.0383132920033</v>
      </c>
      <c r="J8" s="14">
        <f t="shared" si="2"/>
        <v>-9.7499578445123664E-2</v>
      </c>
      <c r="K8" s="66"/>
      <c r="L8" s="66"/>
    </row>
    <row r="9" spans="1:12" ht="15.75">
      <c r="A9" s="27" t="str">
        <v>PE East</v>
      </c>
      <c r="B9" s="28" t="str">
        <v>AZ</v>
      </c>
      <c r="C9" s="28" t="str">
        <f>Sites[[#This Row],[SOL'#]]</f>
        <v>SOL-10752</v>
      </c>
      <c r="D9" s="10">
        <v>33926.135213435402</v>
      </c>
      <c r="E9" s="15">
        <v>24718.2</v>
      </c>
      <c r="F9" s="15">
        <f t="shared" si="0"/>
        <v>9207.9352134354012</v>
      </c>
      <c r="G9" s="16">
        <f t="shared" si="3"/>
        <v>0.37251641355096249</v>
      </c>
      <c r="H9" s="17">
        <v>35797.99</v>
      </c>
      <c r="I9" s="17">
        <f t="shared" si="1"/>
        <v>-1871.854786564596</v>
      </c>
      <c r="J9" s="16">
        <f t="shared" si="2"/>
        <v>-5.2289382352601249E-2</v>
      </c>
      <c r="K9" s="61"/>
      <c r="L9" s="62"/>
    </row>
    <row r="10" spans="1:12" ht="15.75">
      <c r="A10" s="25" t="str">
        <v>Schwada</v>
      </c>
      <c r="B10" s="26" t="str">
        <v>AZ</v>
      </c>
      <c r="C10" s="26" t="str">
        <f>Sites[[#This Row],[SOL'#]]</f>
        <v>SOL-10753</v>
      </c>
      <c r="D10" s="21">
        <v>15366.2630003018</v>
      </c>
      <c r="E10" s="11">
        <v>10086.36</v>
      </c>
      <c r="F10" s="11">
        <f t="shared" si="0"/>
        <v>5279.9030003017997</v>
      </c>
      <c r="G10" s="12">
        <f t="shared" si="3"/>
        <v>0.52346961642275303</v>
      </c>
      <c r="H10" s="13">
        <v>15051</v>
      </c>
      <c r="I10" s="13">
        <f t="shared" si="1"/>
        <v>315.26300030180028</v>
      </c>
      <c r="J10" s="14">
        <f t="shared" si="2"/>
        <v>2.0946315879463176E-2</v>
      </c>
      <c r="K10" s="66"/>
      <c r="L10" s="66"/>
    </row>
    <row r="11" spans="1:12" ht="28.5">
      <c r="A11" s="27" t="str">
        <v>Starshine</v>
      </c>
      <c r="B11" s="28" t="str">
        <v>AZ</v>
      </c>
      <c r="C11" s="28" t="str">
        <f>Sites[[#This Row],[SOL'#]]</f>
        <v>SOL-10757</v>
      </c>
      <c r="D11" s="10">
        <v>10924.195396011401</v>
      </c>
      <c r="E11" s="15">
        <v>0</v>
      </c>
      <c r="F11" s="15">
        <f t="shared" si="0"/>
        <v>10924.195396011401</v>
      </c>
      <c r="G11" s="16" t="str">
        <f t="shared" si="3"/>
        <v/>
      </c>
      <c r="H11" s="17">
        <v>0</v>
      </c>
      <c r="I11" s="17">
        <f t="shared" si="1"/>
        <v>10924.195396011401</v>
      </c>
      <c r="J11" s="16" t="str">
        <f t="shared" si="2"/>
        <v/>
      </c>
      <c r="K11" s="61" t="s">
        <v>439</v>
      </c>
      <c r="L11" s="62" t="s">
        <v>440</v>
      </c>
    </row>
    <row r="12" spans="1:12" ht="15.75">
      <c r="A12" s="25" t="str">
        <v>Yuma Airport</v>
      </c>
      <c r="B12" s="26" t="str">
        <v>AZ</v>
      </c>
      <c r="C12" s="26" t="str">
        <f>Sites[[#This Row],[SOL'#]]</f>
        <v>SOL-10754</v>
      </c>
      <c r="D12" s="21">
        <v>87310</v>
      </c>
      <c r="E12" s="11">
        <v>101966.2</v>
      </c>
      <c r="F12" s="11">
        <f t="shared" si="0"/>
        <v>-14656.199999999997</v>
      </c>
      <c r="G12" s="12">
        <f t="shared" si="3"/>
        <v>-0.14373586541422548</v>
      </c>
      <c r="H12" s="13">
        <v>94676</v>
      </c>
      <c r="I12" s="13">
        <f t="shared" si="1"/>
        <v>-7366</v>
      </c>
      <c r="J12" s="14">
        <f t="shared" si="2"/>
        <v>-7.7802188516625126E-2</v>
      </c>
      <c r="K12" s="66"/>
      <c r="L12" s="66"/>
    </row>
    <row r="13" spans="1:12" ht="28.5">
      <c r="A13" s="27" t="str">
        <v>Kinsman</v>
      </c>
      <c r="B13" s="28" t="str">
        <v>OH</v>
      </c>
      <c r="C13" s="28" t="str">
        <f>Sites[[#This Row],[SOL'#]]</f>
        <v>SOL-10762</v>
      </c>
      <c r="D13" s="10">
        <v>108967.6640625</v>
      </c>
      <c r="E13" s="15">
        <v>141168.6</v>
      </c>
      <c r="F13" s="15">
        <f t="shared" si="0"/>
        <v>-32200.935937500006</v>
      </c>
      <c r="G13" s="16">
        <f t="shared" si="3"/>
        <v>-0.22810267961501357</v>
      </c>
      <c r="H13" s="17">
        <v>134445</v>
      </c>
      <c r="I13" s="17">
        <f t="shared" si="1"/>
        <v>-25477.3359375</v>
      </c>
      <c r="J13" s="16">
        <f t="shared" si="2"/>
        <v>-0.18950006275800513</v>
      </c>
      <c r="K13" s="61" t="s">
        <v>441</v>
      </c>
      <c r="L13" s="62" t="s">
        <v>245</v>
      </c>
    </row>
    <row r="14" spans="1:12" ht="15.75">
      <c r="A14" s="25" t="str">
        <v>Wooster</v>
      </c>
      <c r="B14" s="26" t="str">
        <v>OH</v>
      </c>
      <c r="C14" s="26" t="str">
        <f>Sites[[#This Row],[SOL'#]]</f>
        <v>SOL-10763</v>
      </c>
      <c r="D14" s="21">
        <v>23066.75</v>
      </c>
      <c r="E14" s="11">
        <v>0</v>
      </c>
      <c r="F14" s="11">
        <f t="shared" si="0"/>
        <v>23066.75</v>
      </c>
      <c r="G14" s="12" t="str">
        <f t="shared" si="3"/>
        <v/>
      </c>
      <c r="H14" s="13">
        <v>32942</v>
      </c>
      <c r="I14" s="13">
        <f t="shared" si="1"/>
        <v>-9875.25</v>
      </c>
      <c r="J14" s="14">
        <f t="shared" si="2"/>
        <v>-0.29977688057798557</v>
      </c>
      <c r="K14" s="66"/>
      <c r="L14" s="66"/>
    </row>
    <row r="15" spans="1:12" ht="15.75">
      <c r="A15" s="27" t="str">
        <v>Globe Gila CC</v>
      </c>
      <c r="B15" s="28" t="str">
        <v>AZ</v>
      </c>
      <c r="C15" s="28" t="str">
        <f>Sites[[#This Row],[SOL'#]]</f>
        <v>SOL-10755</v>
      </c>
      <c r="D15" s="10">
        <v>20160.982966622199</v>
      </c>
      <c r="E15" s="15">
        <v>10041.120000000001</v>
      </c>
      <c r="F15" s="15">
        <f t="shared" si="0"/>
        <v>10119.862966622199</v>
      </c>
      <c r="G15" s="16">
        <f t="shared" si="3"/>
        <v>1.0078420501519947</v>
      </c>
      <c r="H15" s="17">
        <v>20743</v>
      </c>
      <c r="I15" s="17">
        <f t="shared" si="1"/>
        <v>-582.01703337780054</v>
      </c>
      <c r="J15" s="16">
        <f t="shared" si="2"/>
        <v>-2.8058479167806034E-2</v>
      </c>
      <c r="K15" s="61"/>
      <c r="L15" s="62"/>
    </row>
    <row r="16" spans="1:12" ht="15.75">
      <c r="A16" s="25" t="str">
        <v>Payson Gila CC</v>
      </c>
      <c r="B16" s="26" t="str">
        <v>AZ</v>
      </c>
      <c r="C16" s="26" t="str">
        <f>Sites[[#This Row],[SOL'#]]</f>
        <v>SOL-10756</v>
      </c>
      <c r="D16" s="21">
        <v>16612.9838883874</v>
      </c>
      <c r="E16" s="11">
        <v>7710.9229999999998</v>
      </c>
      <c r="F16" s="11">
        <f t="shared" si="0"/>
        <v>8902.0608883874011</v>
      </c>
      <c r="G16" s="12">
        <f t="shared" si="3"/>
        <v>1.1544740997137959</v>
      </c>
      <c r="H16" s="13">
        <v>16801</v>
      </c>
      <c r="I16" s="13">
        <f t="shared" si="1"/>
        <v>-188.01611161260007</v>
      </c>
      <c r="J16" s="14">
        <f t="shared" si="2"/>
        <v>-1.1190769097827515E-2</v>
      </c>
      <c r="K16" s="66"/>
      <c r="L16" s="66"/>
    </row>
    <row r="17" spans="1:12" ht="42.75">
      <c r="A17" s="27" t="str">
        <v>SCNM</v>
      </c>
      <c r="B17" s="28" t="str">
        <v>AZ</v>
      </c>
      <c r="C17" s="28" t="str">
        <f>Sites[[#This Row],[SOL'#]]</f>
        <v>SOL-10760</v>
      </c>
      <c r="D17" s="10">
        <v>94463.9399999999</v>
      </c>
      <c r="E17" s="15">
        <v>57121.14</v>
      </c>
      <c r="F17" s="15">
        <f t="shared" si="0"/>
        <v>37342.799999999901</v>
      </c>
      <c r="G17" s="16">
        <f t="shared" si="3"/>
        <v>0.65374745672092505</v>
      </c>
      <c r="H17" s="17">
        <v>49564</v>
      </c>
      <c r="I17" s="17">
        <f t="shared" si="1"/>
        <v>44899.9399999999</v>
      </c>
      <c r="J17" s="16">
        <f t="shared" si="2"/>
        <v>0.90589823258816682</v>
      </c>
      <c r="K17" s="61" t="s">
        <v>442</v>
      </c>
      <c r="L17" s="61" t="s">
        <v>443</v>
      </c>
    </row>
    <row r="18" spans="1:12" ht="15.75">
      <c r="A18" s="25" t="str">
        <v>Sequoia Charter School</v>
      </c>
      <c r="B18" s="26" t="str">
        <v>AZ</v>
      </c>
      <c r="C18" s="26" t="str">
        <f>Sites[[#This Row],[SOL'#]]</f>
        <v>SOL-10759</v>
      </c>
      <c r="D18" s="21">
        <v>29680.5799999997</v>
      </c>
      <c r="E18" s="11">
        <v>0</v>
      </c>
      <c r="F18" s="11">
        <f t="shared" ref="F18:F81" si="4">IF(AND(ISNUMBER(D18),ISNUMBER(E18)), D18-E18, "")</f>
        <v>29680.5799999997</v>
      </c>
      <c r="G18" s="12" t="str">
        <f t="shared" ref="G18:G81" si="5">IFERROR(F18/E18, "")</f>
        <v/>
      </c>
      <c r="H18" s="13">
        <v>15670</v>
      </c>
      <c r="I18" s="13">
        <f t="shared" ref="I18:I81" si="6">IF(AND(ISNUMBER(D18),ISNUMBER(H18)), D18-H18, "")</f>
        <v>14010.5799999997</v>
      </c>
      <c r="J18" s="16">
        <f t="shared" ref="J18:J81" si="7">IFERROR(I18/H18, "")</f>
        <v>0.89410210593488826</v>
      </c>
      <c r="K18" s="66"/>
      <c r="L18" s="66"/>
    </row>
    <row r="19" spans="1:12" ht="15.75">
      <c r="A19" s="27" t="str">
        <v>RCAB</v>
      </c>
      <c r="B19" s="28" t="str">
        <v>MA</v>
      </c>
      <c r="C19" s="28" t="str">
        <f>Sites[[#This Row],[SOL'#]]</f>
        <v>SOL-10838</v>
      </c>
      <c r="D19" s="10">
        <v>141113.5</v>
      </c>
      <c r="E19" s="15">
        <v>166233.4</v>
      </c>
      <c r="F19" s="15">
        <f t="shared" si="4"/>
        <v>-25119.899999999994</v>
      </c>
      <c r="G19" s="16">
        <f t="shared" si="5"/>
        <v>-0.15111223135663468</v>
      </c>
      <c r="H19" s="17">
        <v>147100.6</v>
      </c>
      <c r="I19" s="17">
        <f t="shared" si="6"/>
        <v>-5987.1000000000058</v>
      </c>
      <c r="J19" s="16">
        <f t="shared" si="7"/>
        <v>-4.0700717740104427E-2</v>
      </c>
      <c r="K19" s="61" t="s">
        <v>444</v>
      </c>
      <c r="L19" s="62" t="s">
        <v>445</v>
      </c>
    </row>
    <row r="20" spans="1:12" ht="15.75">
      <c r="A20" s="25" t="str">
        <v>Spectro Coatings</v>
      </c>
      <c r="B20" s="26" t="str">
        <v>MA</v>
      </c>
      <c r="C20" s="26" t="str">
        <f>Sites[[#This Row],[SOL'#]]</f>
        <v>SOL-10074</v>
      </c>
      <c r="D20" s="21">
        <v>36844.875</v>
      </c>
      <c r="E20" s="11">
        <v>36681.949999999997</v>
      </c>
      <c r="F20" s="11">
        <f t="shared" si="4"/>
        <v>162.92500000000291</v>
      </c>
      <c r="G20" s="12">
        <f t="shared" si="5"/>
        <v>4.4415577688755072E-3</v>
      </c>
      <c r="H20" s="13">
        <v>37825.18</v>
      </c>
      <c r="I20" s="13">
        <f t="shared" si="6"/>
        <v>-980.30500000000029</v>
      </c>
      <c r="J20" s="16">
        <f t="shared" si="7"/>
        <v>-2.5916730601149823E-2</v>
      </c>
      <c r="K20" s="66" t="s">
        <v>446</v>
      </c>
      <c r="L20" s="66" t="s">
        <v>447</v>
      </c>
    </row>
    <row r="21" spans="1:12" ht="15.75">
      <c r="A21" s="27" t="str">
        <v>K026</v>
      </c>
      <c r="B21" s="28" t="str">
        <v>NY</v>
      </c>
      <c r="C21" s="28" t="str">
        <f>Sites[[#This Row],[SOL'#]]</f>
        <v>SOL-10356</v>
      </c>
      <c r="D21" s="10">
        <v>36501.500000000102</v>
      </c>
      <c r="E21" s="15">
        <v>40166.720000000001</v>
      </c>
      <c r="F21" s="15">
        <f t="shared" si="4"/>
        <v>-3665.2199999998993</v>
      </c>
      <c r="G21" s="16">
        <f t="shared" si="5"/>
        <v>-9.1250169294378514E-2</v>
      </c>
      <c r="H21" s="17">
        <v>44752.11</v>
      </c>
      <c r="I21" s="17">
        <f t="shared" si="6"/>
        <v>-8250.6099999998987</v>
      </c>
      <c r="J21" s="16">
        <f t="shared" si="7"/>
        <v>-0.18436248033891359</v>
      </c>
      <c r="K21" s="61"/>
      <c r="L21" s="62"/>
    </row>
    <row r="22" spans="1:12" ht="15.75">
      <c r="A22" s="25" t="str">
        <v>K041</v>
      </c>
      <c r="B22" s="26" t="str">
        <v>NY</v>
      </c>
      <c r="C22" s="26" t="str">
        <f>Sites[[#This Row],[SOL'#]]</f>
        <v>SOL-10357</v>
      </c>
      <c r="D22" s="21">
        <v>27141.796875</v>
      </c>
      <c r="E22" s="11">
        <v>0</v>
      </c>
      <c r="F22" s="11">
        <f t="shared" si="4"/>
        <v>27141.796875</v>
      </c>
      <c r="G22" s="12" t="str">
        <f t="shared" si="5"/>
        <v/>
      </c>
      <c r="H22" s="13">
        <v>0</v>
      </c>
      <c r="I22" s="13">
        <f t="shared" si="6"/>
        <v>27141.796875</v>
      </c>
      <c r="J22" s="16" t="str">
        <f t="shared" si="7"/>
        <v/>
      </c>
      <c r="K22" s="66" t="s">
        <v>448</v>
      </c>
      <c r="L22" s="66" t="s">
        <v>449</v>
      </c>
    </row>
    <row r="23" spans="1:12" ht="15.75">
      <c r="A23" s="27" t="str">
        <v>K043</v>
      </c>
      <c r="B23" s="28" t="str">
        <v>NY</v>
      </c>
      <c r="C23" s="28" t="str">
        <f>Sites[[#This Row],[SOL'#]]</f>
        <v>SOL-10358</v>
      </c>
      <c r="D23" s="10">
        <v>34375.8125</v>
      </c>
      <c r="E23" s="15">
        <v>35628.89</v>
      </c>
      <c r="F23" s="15">
        <f t="shared" si="4"/>
        <v>-1253.0774999999994</v>
      </c>
      <c r="G23" s="16">
        <f t="shared" si="5"/>
        <v>-3.5170264917037813E-2</v>
      </c>
      <c r="H23" s="17">
        <v>36910</v>
      </c>
      <c r="I23" s="17">
        <f t="shared" si="6"/>
        <v>-2534.1875</v>
      </c>
      <c r="J23" s="16">
        <f t="shared" si="7"/>
        <v>-6.8658561365483609E-2</v>
      </c>
      <c r="K23" s="61" t="s">
        <v>450</v>
      </c>
      <c r="L23" s="62" t="s">
        <v>451</v>
      </c>
    </row>
    <row r="24" spans="1:12" ht="15.75">
      <c r="A24" s="25" t="str">
        <v>K058</v>
      </c>
      <c r="B24" s="26" t="str">
        <v>NY</v>
      </c>
      <c r="C24" s="26" t="str">
        <f>Sites[[#This Row],[SOL'#]]</f>
        <v>SOL-10360</v>
      </c>
      <c r="D24" s="21">
        <v>27339</v>
      </c>
      <c r="E24" s="11">
        <v>28433.58</v>
      </c>
      <c r="F24" s="11">
        <f t="shared" si="4"/>
        <v>-1094.5800000000017</v>
      </c>
      <c r="G24" s="12">
        <f t="shared" si="5"/>
        <v>-3.8496031804647945E-2</v>
      </c>
      <c r="H24" s="13">
        <v>23000.29</v>
      </c>
      <c r="I24" s="13">
        <f t="shared" si="6"/>
        <v>4338.7099999999991</v>
      </c>
      <c r="J24" s="16">
        <f t="shared" si="7"/>
        <v>0.18863718674851487</v>
      </c>
      <c r="K24" s="66"/>
      <c r="L24" s="66"/>
    </row>
    <row r="25" spans="1:12" ht="28.5">
      <c r="A25" s="27" t="str">
        <v>K115</v>
      </c>
      <c r="B25" s="28" t="str">
        <v>NY</v>
      </c>
      <c r="C25" s="28" t="str">
        <f>Sites[[#This Row],[SOL'#]]</f>
        <v>SOL-10361</v>
      </c>
      <c r="D25" s="10">
        <v>7510.3029687499902</v>
      </c>
      <c r="E25" s="15">
        <v>11683.45</v>
      </c>
      <c r="F25" s="15">
        <f t="shared" si="4"/>
        <v>-4173.1470312500105</v>
      </c>
      <c r="G25" s="16">
        <f t="shared" si="5"/>
        <v>-0.35718448157436461</v>
      </c>
      <c r="H25" s="17">
        <v>9189.7870000000003</v>
      </c>
      <c r="I25" s="17">
        <f t="shared" si="6"/>
        <v>-1679.48403125001</v>
      </c>
      <c r="J25" s="16">
        <f t="shared" si="7"/>
        <v>-0.18275549055163193</v>
      </c>
      <c r="K25" s="76" t="s">
        <v>338</v>
      </c>
      <c r="L25" s="76" t="s">
        <v>37</v>
      </c>
    </row>
    <row r="26" spans="1:12" ht="15.75">
      <c r="A26" s="25" t="str">
        <v>K152</v>
      </c>
      <c r="B26" s="26" t="str">
        <v>NY</v>
      </c>
      <c r="C26" s="26" t="str">
        <f>Sites[[#This Row],[SOL'#]]</f>
        <v>SOL-10362</v>
      </c>
      <c r="D26" s="21">
        <v>10384.03125</v>
      </c>
      <c r="E26" s="11">
        <v>10885.33</v>
      </c>
      <c r="F26" s="11">
        <f t="shared" si="4"/>
        <v>-501.29874999999993</v>
      </c>
      <c r="G26" s="12">
        <f t="shared" si="5"/>
        <v>-4.605269201760534E-2</v>
      </c>
      <c r="H26" s="13">
        <v>2041</v>
      </c>
      <c r="I26" s="13">
        <f t="shared" si="6"/>
        <v>8343.03125</v>
      </c>
      <c r="J26" s="16">
        <f t="shared" si="7"/>
        <v>4.0877174179323861</v>
      </c>
      <c r="K26" s="66"/>
      <c r="L26" s="66"/>
    </row>
    <row r="27" spans="1:12" ht="15.75">
      <c r="A27" s="27" t="str">
        <v>K166</v>
      </c>
      <c r="B27" s="28" t="str">
        <v>NY</v>
      </c>
      <c r="C27" s="28" t="str">
        <f>Sites[[#This Row],[SOL'#]]</f>
        <v>SOL-10363</v>
      </c>
      <c r="D27" s="10">
        <v>38089.375</v>
      </c>
      <c r="E27" s="15">
        <v>41603.08</v>
      </c>
      <c r="F27" s="15">
        <f t="shared" si="4"/>
        <v>-3513.7050000000017</v>
      </c>
      <c r="G27" s="16">
        <f t="shared" si="5"/>
        <v>-8.4457809373729098E-2</v>
      </c>
      <c r="H27" s="17">
        <v>45806.97</v>
      </c>
      <c r="I27" s="17">
        <f t="shared" si="6"/>
        <v>-7717.5950000000012</v>
      </c>
      <c r="J27" s="16">
        <f t="shared" si="7"/>
        <v>-0.16848080106586402</v>
      </c>
      <c r="K27" s="61"/>
      <c r="L27" s="62"/>
    </row>
    <row r="28" spans="1:12" ht="15.75">
      <c r="A28" s="25" t="str">
        <v>K206</v>
      </c>
      <c r="B28" s="26" t="str">
        <v>NY</v>
      </c>
      <c r="C28" s="26" t="str">
        <f>Sites[[#This Row],[SOL'#]]</f>
        <v>SOL-10927</v>
      </c>
      <c r="D28" s="21">
        <v>22742.546632350699</v>
      </c>
      <c r="E28" s="11">
        <v>0</v>
      </c>
      <c r="F28" s="11">
        <f t="shared" si="4"/>
        <v>22742.546632350699</v>
      </c>
      <c r="G28" s="12" t="str">
        <f t="shared" si="5"/>
        <v/>
      </c>
      <c r="H28" s="13">
        <v>0</v>
      </c>
      <c r="I28" s="13">
        <f t="shared" si="6"/>
        <v>22742.546632350699</v>
      </c>
      <c r="J28" s="16" t="str">
        <f t="shared" si="7"/>
        <v/>
      </c>
      <c r="K28" s="66"/>
      <c r="L28" s="66"/>
    </row>
    <row r="29" spans="1:12" ht="15.75">
      <c r="A29" s="27" t="str">
        <v>K251</v>
      </c>
      <c r="B29" s="28" t="str">
        <v>NY</v>
      </c>
      <c r="C29" s="28" t="str">
        <f>Sites[[#This Row],[SOL'#]]</f>
        <v>SOL-10365</v>
      </c>
      <c r="D29" s="10">
        <v>24232.84375</v>
      </c>
      <c r="E29" s="15">
        <v>25177.65</v>
      </c>
      <c r="F29" s="15">
        <f t="shared" si="4"/>
        <v>-944.80625000000146</v>
      </c>
      <c r="G29" s="16">
        <f t="shared" si="5"/>
        <v>-3.7525593135181459E-2</v>
      </c>
      <c r="H29" s="17">
        <v>23853.84</v>
      </c>
      <c r="I29" s="17">
        <f t="shared" si="6"/>
        <v>379.00374999999985</v>
      </c>
      <c r="J29" s="16">
        <f t="shared" si="7"/>
        <v>1.5888584395636084E-2</v>
      </c>
      <c r="K29" s="61"/>
      <c r="L29" s="61"/>
    </row>
    <row r="30" spans="1:12" ht="15.75">
      <c r="A30" s="25" t="str">
        <v>K269</v>
      </c>
      <c r="B30" s="26" t="str">
        <v>NY</v>
      </c>
      <c r="C30" s="26" t="str">
        <f>Sites[[#This Row],[SOL'#]]</f>
        <v>SOL-10366</v>
      </c>
      <c r="D30" s="21">
        <v>22552.09375</v>
      </c>
      <c r="E30" s="11">
        <v>0</v>
      </c>
      <c r="F30" s="11">
        <f t="shared" si="4"/>
        <v>22552.09375</v>
      </c>
      <c r="G30" s="12" t="str">
        <f t="shared" si="5"/>
        <v/>
      </c>
      <c r="H30" s="13">
        <v>26284.25</v>
      </c>
      <c r="I30" s="13">
        <f t="shared" si="6"/>
        <v>-3732.15625</v>
      </c>
      <c r="J30" s="16">
        <f t="shared" si="7"/>
        <v>-0.14199211504988729</v>
      </c>
      <c r="K30" s="66" t="s">
        <v>340</v>
      </c>
      <c r="L30" s="66" t="s">
        <v>341</v>
      </c>
    </row>
    <row r="31" spans="1:12" ht="15.75">
      <c r="A31" s="27" t="str">
        <v>K273</v>
      </c>
      <c r="B31" s="28" t="str">
        <v>NY</v>
      </c>
      <c r="C31" s="28" t="str">
        <f>Sites[[#This Row],[SOL'#]]</f>
        <v>SOL-10367</v>
      </c>
      <c r="D31" s="10">
        <v>25558.625</v>
      </c>
      <c r="E31" s="15">
        <v>0</v>
      </c>
      <c r="F31" s="15">
        <f t="shared" si="4"/>
        <v>25558.625</v>
      </c>
      <c r="G31" s="16" t="str">
        <f t="shared" si="5"/>
        <v/>
      </c>
      <c r="H31" s="17">
        <v>28850</v>
      </c>
      <c r="I31" s="17">
        <f t="shared" si="6"/>
        <v>-3291.375</v>
      </c>
      <c r="J31" s="16">
        <f t="shared" si="7"/>
        <v>-0.11408578856152513</v>
      </c>
      <c r="K31" s="76"/>
      <c r="L31" s="77"/>
    </row>
    <row r="32" spans="1:12" ht="15.75">
      <c r="A32" s="25" t="str">
        <v>K287</v>
      </c>
      <c r="B32" s="26" t="str">
        <v>NY</v>
      </c>
      <c r="C32" s="26" t="str">
        <f>Sites[[#This Row],[SOL'#]]</f>
        <v>SOL-10919</v>
      </c>
      <c r="D32" s="21">
        <v>20130.515625</v>
      </c>
      <c r="E32" s="11">
        <v>17304.29</v>
      </c>
      <c r="F32" s="11">
        <f t="shared" si="4"/>
        <v>2826.2256249999991</v>
      </c>
      <c r="G32" s="12">
        <f t="shared" si="5"/>
        <v>0.16332514220462088</v>
      </c>
      <c r="H32" s="13">
        <v>19009</v>
      </c>
      <c r="I32" s="13">
        <f t="shared" si="6"/>
        <v>1121.515625</v>
      </c>
      <c r="J32" s="16">
        <f t="shared" si="7"/>
        <v>5.8999191172602453E-2</v>
      </c>
      <c r="K32" s="66"/>
      <c r="L32" s="66"/>
    </row>
    <row r="33" spans="1:12" ht="15.75">
      <c r="A33" s="27" t="str">
        <v>K298</v>
      </c>
      <c r="B33" s="28" t="str">
        <v>NY</v>
      </c>
      <c r="C33" s="28" t="str">
        <f>Sites[[#This Row],[SOL'#]]</f>
        <v>SOL-10368</v>
      </c>
      <c r="D33" s="10">
        <v>22042.03125</v>
      </c>
      <c r="E33" s="15">
        <v>22742.22</v>
      </c>
      <c r="F33" s="15">
        <f t="shared" si="4"/>
        <v>-700.18875000000116</v>
      </c>
      <c r="G33" s="16">
        <f t="shared" si="5"/>
        <v>-3.0788056311125349E-2</v>
      </c>
      <c r="H33" s="17">
        <v>0</v>
      </c>
      <c r="I33" s="17">
        <f t="shared" si="6"/>
        <v>22042.03125</v>
      </c>
      <c r="J33" s="16" t="str">
        <f t="shared" si="7"/>
        <v/>
      </c>
      <c r="K33" s="61" t="s">
        <v>452</v>
      </c>
      <c r="L33" s="62" t="s">
        <v>257</v>
      </c>
    </row>
    <row r="34" spans="1:12" ht="15.75">
      <c r="A34" s="25" t="str">
        <v>K335</v>
      </c>
      <c r="B34" s="26" t="str">
        <v>NY</v>
      </c>
      <c r="C34" s="26" t="str">
        <f>Sites[[#This Row],[SOL'#]]</f>
        <v>SOL-10370</v>
      </c>
      <c r="D34" s="21">
        <v>22235.0625</v>
      </c>
      <c r="E34" s="11">
        <v>25329.46</v>
      </c>
      <c r="F34" s="11">
        <f t="shared" si="4"/>
        <v>-3094.3974999999991</v>
      </c>
      <c r="G34" s="12">
        <f t="shared" si="5"/>
        <v>-0.12216594826735348</v>
      </c>
      <c r="H34" s="13">
        <v>28408</v>
      </c>
      <c r="I34" s="13">
        <f t="shared" si="6"/>
        <v>-6172.9375</v>
      </c>
      <c r="J34" s="16">
        <f t="shared" si="7"/>
        <v>-0.2172957441565756</v>
      </c>
      <c r="K34" s="66"/>
      <c r="L34" s="66"/>
    </row>
    <row r="35" spans="1:12" ht="15.75">
      <c r="A35" s="27" t="str">
        <v>K345</v>
      </c>
      <c r="B35" s="28" t="str">
        <v>NY</v>
      </c>
      <c r="C35" s="28" t="str">
        <f>Sites[[#This Row],[SOL'#]]</f>
        <v>SOL-10920</v>
      </c>
      <c r="D35" s="10">
        <v>24136.0390625</v>
      </c>
      <c r="E35" s="15">
        <v>15601.08</v>
      </c>
      <c r="F35" s="15">
        <f t="shared" si="4"/>
        <v>8534.9590625000001</v>
      </c>
      <c r="G35" s="16">
        <f t="shared" si="5"/>
        <v>0.54707488600148191</v>
      </c>
      <c r="H35" s="17">
        <v>14358</v>
      </c>
      <c r="I35" s="17">
        <f t="shared" si="6"/>
        <v>9778.0390625</v>
      </c>
      <c r="J35" s="16">
        <f t="shared" si="7"/>
        <v>0.68101678942053212</v>
      </c>
      <c r="K35" s="61"/>
      <c r="L35" s="62"/>
    </row>
    <row r="36" spans="1:12" ht="15.75">
      <c r="A36" s="25" t="str">
        <v>K445</v>
      </c>
      <c r="B36" s="26" t="str">
        <v>NY</v>
      </c>
      <c r="C36" s="26" t="str">
        <f>Sites[[#This Row],[SOL'#]]</f>
        <v>SOL-10373</v>
      </c>
      <c r="D36" s="21">
        <v>21682.21875</v>
      </c>
      <c r="E36" s="11">
        <v>23396.34</v>
      </c>
      <c r="F36" s="11">
        <f t="shared" si="4"/>
        <v>-1714.1212500000001</v>
      </c>
      <c r="G36" s="12">
        <f t="shared" si="5"/>
        <v>-7.3264504191681262E-2</v>
      </c>
      <c r="H36" s="13">
        <v>26742.25</v>
      </c>
      <c r="I36" s="13">
        <f t="shared" si="6"/>
        <v>-5060.03125</v>
      </c>
      <c r="J36" s="16">
        <f t="shared" si="7"/>
        <v>-0.18921486598921183</v>
      </c>
      <c r="K36" s="66"/>
      <c r="L36" s="66"/>
    </row>
    <row r="37" spans="1:12" ht="15.75">
      <c r="A37" s="27" t="str">
        <v>K495</v>
      </c>
      <c r="B37" s="28" t="str">
        <v>NY</v>
      </c>
      <c r="C37" s="28" t="str">
        <f>Sites[[#This Row],[SOL'#]]</f>
        <v>SOL-10374</v>
      </c>
      <c r="D37" s="10">
        <v>91898.0625</v>
      </c>
      <c r="E37" s="15">
        <v>0</v>
      </c>
      <c r="F37" s="15">
        <f t="shared" si="4"/>
        <v>91898.0625</v>
      </c>
      <c r="G37" s="16" t="str">
        <f t="shared" si="5"/>
        <v/>
      </c>
      <c r="H37" s="17">
        <v>0</v>
      </c>
      <c r="I37" s="17">
        <f t="shared" si="6"/>
        <v>91898.0625</v>
      </c>
      <c r="J37" s="16" t="str">
        <f t="shared" si="7"/>
        <v/>
      </c>
      <c r="K37" s="61"/>
      <c r="L37" s="62"/>
    </row>
    <row r="38" spans="1:12" ht="15.75">
      <c r="A38" s="25" t="str">
        <v>M020</v>
      </c>
      <c r="B38" s="26" t="str">
        <v>NY</v>
      </c>
      <c r="C38" s="26" t="str">
        <f>Sites[[#This Row],[SOL'#]]</f>
        <v>SOL-10380</v>
      </c>
      <c r="D38" s="21">
        <v>22695.390625</v>
      </c>
      <c r="E38" s="11">
        <v>24973.03</v>
      </c>
      <c r="F38" s="11">
        <f t="shared" si="4"/>
        <v>-2277.6393749999988</v>
      </c>
      <c r="G38" s="12">
        <f t="shared" si="5"/>
        <v>-9.1203965838346363E-2</v>
      </c>
      <c r="H38" s="13">
        <v>0</v>
      </c>
      <c r="I38" s="13">
        <f t="shared" si="6"/>
        <v>22695.390625</v>
      </c>
      <c r="J38" s="16" t="str">
        <f t="shared" si="7"/>
        <v/>
      </c>
      <c r="K38" s="66"/>
      <c r="L38" s="66"/>
    </row>
    <row r="39" spans="1:12" ht="15.75">
      <c r="A39" s="27" t="str">
        <v>M092</v>
      </c>
      <c r="B39" s="28" t="str">
        <v>NY</v>
      </c>
      <c r="C39" s="28" t="str">
        <f>Sites[[#This Row],[SOL'#]]</f>
        <v>SOL-10383</v>
      </c>
      <c r="D39" s="10">
        <v>23010.625</v>
      </c>
      <c r="E39" s="15">
        <v>24969.87</v>
      </c>
      <c r="F39" s="15">
        <f t="shared" si="4"/>
        <v>-1959.244999999999</v>
      </c>
      <c r="G39" s="16">
        <f t="shared" si="5"/>
        <v>-7.8464365253002877E-2</v>
      </c>
      <c r="H39" s="17">
        <v>28291.18</v>
      </c>
      <c r="I39" s="17">
        <f t="shared" si="6"/>
        <v>-5280.5550000000003</v>
      </c>
      <c r="J39" s="16">
        <f t="shared" si="7"/>
        <v>-0.18665022102294779</v>
      </c>
      <c r="K39" s="61"/>
      <c r="L39" s="62"/>
    </row>
    <row r="40" spans="1:12" ht="15.75">
      <c r="A40" s="25" t="str">
        <v>M143</v>
      </c>
      <c r="B40" s="26" t="str">
        <v>NY</v>
      </c>
      <c r="C40" s="26" t="str">
        <f>Sites[[#This Row],[SOL'#]]</f>
        <v>SOL-10384</v>
      </c>
      <c r="D40" s="21">
        <v>26263.625</v>
      </c>
      <c r="E40" s="11">
        <v>31033.39</v>
      </c>
      <c r="F40" s="11">
        <f t="shared" si="4"/>
        <v>-4769.7649999999994</v>
      </c>
      <c r="G40" s="12">
        <f t="shared" si="5"/>
        <v>-0.15369783964948719</v>
      </c>
      <c r="H40" s="13">
        <v>27650.02</v>
      </c>
      <c r="I40" s="13">
        <f t="shared" si="6"/>
        <v>-1386.3950000000004</v>
      </c>
      <c r="J40" s="16">
        <f t="shared" si="7"/>
        <v>-5.0140831724534027E-2</v>
      </c>
      <c r="K40" s="66"/>
      <c r="L40" s="66"/>
    </row>
    <row r="41" spans="1:12" ht="15.75">
      <c r="A41" s="27" t="str">
        <v>M144</v>
      </c>
      <c r="B41" s="28" t="str">
        <v>NY</v>
      </c>
      <c r="C41" s="28" t="str">
        <f>Sites[[#This Row],[SOL'#]]</f>
        <v>SOL-10385</v>
      </c>
      <c r="D41" s="10">
        <v>37317.0625</v>
      </c>
      <c r="E41" s="15">
        <v>0</v>
      </c>
      <c r="F41" s="15">
        <f t="shared" si="4"/>
        <v>37317.0625</v>
      </c>
      <c r="G41" s="16" t="str">
        <f t="shared" si="5"/>
        <v/>
      </c>
      <c r="H41" s="17">
        <v>0</v>
      </c>
      <c r="I41" s="17">
        <f t="shared" si="6"/>
        <v>37317.0625</v>
      </c>
      <c r="J41" s="16" t="str">
        <f t="shared" si="7"/>
        <v/>
      </c>
      <c r="K41" s="61"/>
      <c r="L41" s="61"/>
    </row>
    <row r="42" spans="1:12" ht="42.75">
      <c r="A42" s="25" t="str">
        <v>M167</v>
      </c>
      <c r="B42" s="26" t="str">
        <v>NY</v>
      </c>
      <c r="C42" s="26" t="str">
        <f>Sites[[#This Row],[SOL'#]]</f>
        <v>SOL-10386</v>
      </c>
      <c r="D42" s="21">
        <v>24714.5078125</v>
      </c>
      <c r="E42" s="11">
        <v>22049.8</v>
      </c>
      <c r="F42" s="11">
        <f t="shared" si="4"/>
        <v>2664.7078125000007</v>
      </c>
      <c r="G42" s="12">
        <f t="shared" si="5"/>
        <v>0.12084952301154663</v>
      </c>
      <c r="H42" s="13">
        <v>22190.7</v>
      </c>
      <c r="I42" s="13">
        <f t="shared" si="6"/>
        <v>2523.8078124999993</v>
      </c>
      <c r="J42" s="16">
        <f t="shared" si="7"/>
        <v>0.11373268137102477</v>
      </c>
      <c r="K42" s="66" t="s">
        <v>453</v>
      </c>
      <c r="L42" s="66" t="s">
        <v>454</v>
      </c>
    </row>
    <row r="43" spans="1:12" ht="15.75">
      <c r="A43" s="27" t="str">
        <v>M188</v>
      </c>
      <c r="B43" s="28" t="str">
        <v>NY</v>
      </c>
      <c r="C43" s="28" t="str">
        <f>Sites[[#This Row],[SOL'#]]</f>
        <v>SOL-10387</v>
      </c>
      <c r="D43" s="10">
        <v>20482.1875</v>
      </c>
      <c r="E43" s="15">
        <v>0</v>
      </c>
      <c r="F43" s="15">
        <f t="shared" si="4"/>
        <v>20482.1875</v>
      </c>
      <c r="G43" s="16" t="str">
        <f t="shared" si="5"/>
        <v/>
      </c>
      <c r="H43" s="17">
        <v>0</v>
      </c>
      <c r="I43" s="17">
        <f t="shared" si="6"/>
        <v>20482.1875</v>
      </c>
      <c r="J43" s="16" t="str">
        <f t="shared" si="7"/>
        <v/>
      </c>
      <c r="K43" s="61"/>
      <c r="L43" s="62"/>
    </row>
    <row r="44" spans="1:12" ht="71.25">
      <c r="A44" s="25" t="str">
        <v>EMHC</v>
      </c>
      <c r="B44" s="26" t="str">
        <v>NY</v>
      </c>
      <c r="C44" s="26" t="str">
        <f>Sites[[#This Row],[SOL'#]]</f>
        <v>SOL-10351</v>
      </c>
      <c r="D44" s="21">
        <v>7207.59765625</v>
      </c>
      <c r="E44" s="11">
        <v>9126.9770000000008</v>
      </c>
      <c r="F44" s="11">
        <f t="shared" si="4"/>
        <v>-1919.3793437500008</v>
      </c>
      <c r="G44" s="12">
        <f t="shared" si="5"/>
        <v>-0.210297379269171</v>
      </c>
      <c r="H44" s="13">
        <v>11596.2</v>
      </c>
      <c r="I44" s="13">
        <f t="shared" si="6"/>
        <v>-4388.6023437500007</v>
      </c>
      <c r="J44" s="16">
        <f t="shared" si="7"/>
        <v>-0.37845176383211748</v>
      </c>
      <c r="K44" s="66" t="s">
        <v>455</v>
      </c>
      <c r="L44" s="66" t="s">
        <v>456</v>
      </c>
    </row>
    <row r="45" spans="1:12" ht="15.75">
      <c r="A45" s="27" t="str">
        <v>Q008</v>
      </c>
      <c r="B45" s="28" t="str">
        <v>NY</v>
      </c>
      <c r="C45" s="28" t="str">
        <f>Sites[[#This Row],[SOL'#]]</f>
        <v>SOL-10397</v>
      </c>
      <c r="D45" s="10">
        <v>31970.546875</v>
      </c>
      <c r="E45" s="15">
        <v>32574.49</v>
      </c>
      <c r="F45" s="15">
        <f t="shared" si="4"/>
        <v>-603.9431250000016</v>
      </c>
      <c r="G45" s="16">
        <f t="shared" si="5"/>
        <v>-1.8540370854616652E-2</v>
      </c>
      <c r="H45" s="17">
        <v>29425</v>
      </c>
      <c r="I45" s="17">
        <f t="shared" si="6"/>
        <v>2545.546875</v>
      </c>
      <c r="J45" s="16">
        <f t="shared" si="7"/>
        <v>8.6509664401019537E-2</v>
      </c>
      <c r="K45" s="61"/>
      <c r="L45" s="62"/>
    </row>
    <row r="46" spans="1:12" ht="15.75">
      <c r="A46" s="25" t="str">
        <v>Q018</v>
      </c>
      <c r="B46" s="26" t="str">
        <v>NY</v>
      </c>
      <c r="C46" s="26" t="str">
        <f>Sites[[#This Row],[SOL'#]]</f>
        <v>SOL-10398</v>
      </c>
      <c r="D46" s="21">
        <v>20977.875</v>
      </c>
      <c r="E46" s="11">
        <v>20294.47</v>
      </c>
      <c r="F46" s="11">
        <f t="shared" si="4"/>
        <v>683.40499999999884</v>
      </c>
      <c r="G46" s="12">
        <f t="shared" si="5"/>
        <v>3.3674444319068138E-2</v>
      </c>
      <c r="H46" s="13">
        <v>23731.5</v>
      </c>
      <c r="I46" s="13">
        <f t="shared" si="6"/>
        <v>-2753.625</v>
      </c>
      <c r="J46" s="16">
        <f t="shared" si="7"/>
        <v>-0.11603248846469882</v>
      </c>
      <c r="K46" s="66"/>
      <c r="L46" s="66"/>
    </row>
    <row r="47" spans="1:12" ht="15.75">
      <c r="A47" s="27" t="str">
        <v>Q021</v>
      </c>
      <c r="B47" s="28" t="str">
        <v>NY</v>
      </c>
      <c r="C47" s="28" t="str">
        <f>Sites[[#This Row],[SOL'#]]</f>
        <v>SOL-10399</v>
      </c>
      <c r="D47" s="10">
        <v>16699.90625</v>
      </c>
      <c r="E47" s="15">
        <v>16530.39</v>
      </c>
      <c r="F47" s="15">
        <f t="shared" si="4"/>
        <v>169.51625000000058</v>
      </c>
      <c r="G47" s="16">
        <f t="shared" si="5"/>
        <v>1.0254824598814704E-2</v>
      </c>
      <c r="H47" s="17">
        <v>8086.4570000000003</v>
      </c>
      <c r="I47" s="17">
        <f t="shared" si="6"/>
        <v>8613.4492499999997</v>
      </c>
      <c r="J47" s="16">
        <f t="shared" si="7"/>
        <v>1.0651697337907071</v>
      </c>
      <c r="K47" s="61"/>
      <c r="L47" s="62"/>
    </row>
    <row r="48" spans="1:12" ht="15.75">
      <c r="A48" s="25" t="str">
        <v>Q025</v>
      </c>
      <c r="B48" s="26" t="str">
        <v>NY</v>
      </c>
      <c r="C48" s="26" t="str">
        <f>Sites[[#This Row],[SOL'#]]</f>
        <v>SOL-10400</v>
      </c>
      <c r="D48" s="21">
        <v>24369.75</v>
      </c>
      <c r="E48" s="11">
        <v>28714.66</v>
      </c>
      <c r="F48" s="11">
        <f t="shared" si="4"/>
        <v>-4344.91</v>
      </c>
      <c r="G48" s="12">
        <f t="shared" si="5"/>
        <v>-0.15131330128930656</v>
      </c>
      <c r="H48" s="13">
        <v>15072</v>
      </c>
      <c r="I48" s="13">
        <f t="shared" si="6"/>
        <v>9297.75</v>
      </c>
      <c r="J48" s="16">
        <f t="shared" si="7"/>
        <v>0.61688893312101911</v>
      </c>
      <c r="K48" s="66" t="s">
        <v>457</v>
      </c>
      <c r="L48" s="66" t="s">
        <v>458</v>
      </c>
    </row>
    <row r="49" spans="1:12" ht="15.75">
      <c r="A49" s="27" t="str">
        <v>Q074</v>
      </c>
      <c r="B49" s="28" t="str">
        <v>NY</v>
      </c>
      <c r="C49" s="28" t="str">
        <f>Sites[[#This Row],[SOL'#]]</f>
        <v>SOL-10402</v>
      </c>
      <c r="D49" s="10">
        <v>18731.1875</v>
      </c>
      <c r="E49" s="15">
        <v>19257.63</v>
      </c>
      <c r="F49" s="15">
        <f t="shared" si="4"/>
        <v>-526.44250000000102</v>
      </c>
      <c r="G49" s="16">
        <f t="shared" si="5"/>
        <v>-2.7336827013500674E-2</v>
      </c>
      <c r="H49" s="17">
        <v>20421.080000000002</v>
      </c>
      <c r="I49" s="17">
        <f t="shared" si="6"/>
        <v>-1689.8925000000017</v>
      </c>
      <c r="J49" s="16">
        <f t="shared" si="7"/>
        <v>-8.275235687828468E-2</v>
      </c>
      <c r="K49" s="61"/>
      <c r="L49" s="62"/>
    </row>
    <row r="50" spans="1:12" ht="15.75">
      <c r="A50" s="25" t="str">
        <v>Q115</v>
      </c>
      <c r="B50" s="26" t="str">
        <v>NY</v>
      </c>
      <c r="C50" s="26" t="str">
        <f>Sites[[#This Row],[SOL'#]]</f>
        <v>SOL-10872</v>
      </c>
      <c r="D50" s="21">
        <v>24172.625</v>
      </c>
      <c r="E50" s="11">
        <v>25786.31</v>
      </c>
      <c r="F50" s="11">
        <f t="shared" si="4"/>
        <v>-1613.6850000000013</v>
      </c>
      <c r="G50" s="12">
        <f t="shared" si="5"/>
        <v>-6.2579135983395887E-2</v>
      </c>
      <c r="H50" s="13">
        <v>26852.74</v>
      </c>
      <c r="I50" s="13">
        <f t="shared" si="6"/>
        <v>-2680.1150000000016</v>
      </c>
      <c r="J50" s="16">
        <f t="shared" si="7"/>
        <v>-9.9807878078736159E-2</v>
      </c>
      <c r="K50" s="66"/>
      <c r="L50" s="66"/>
    </row>
    <row r="51" spans="1:12" ht="15.75">
      <c r="A51" s="27" t="str">
        <v>Q139</v>
      </c>
      <c r="B51" s="28" t="str">
        <v>NY</v>
      </c>
      <c r="C51" s="28" t="str">
        <f>Sites[[#This Row],[SOL'#]]</f>
        <v>SOL-10403</v>
      </c>
      <c r="D51" s="10">
        <v>14846.65625</v>
      </c>
      <c r="E51" s="15">
        <v>16666.53</v>
      </c>
      <c r="F51" s="15">
        <f t="shared" si="4"/>
        <v>-1819.8737499999988</v>
      </c>
      <c r="G51" s="16">
        <f t="shared" si="5"/>
        <v>-0.1091933203852271</v>
      </c>
      <c r="H51" s="17">
        <v>15300</v>
      </c>
      <c r="I51" s="17">
        <f t="shared" si="6"/>
        <v>-453.34375</v>
      </c>
      <c r="J51" s="16">
        <f t="shared" si="7"/>
        <v>-2.9630310457516341E-2</v>
      </c>
      <c r="K51" s="61"/>
      <c r="L51" s="62"/>
    </row>
    <row r="52" spans="1:12" ht="15.75">
      <c r="A52" s="25" t="str">
        <v>Q157</v>
      </c>
      <c r="B52" s="26" t="str">
        <v>NY</v>
      </c>
      <c r="C52" s="26" t="str">
        <f>Sites[[#This Row],[SOL'#]]</f>
        <v>SOL-10404</v>
      </c>
      <c r="D52" s="21">
        <v>24042.8125</v>
      </c>
      <c r="E52" s="11">
        <v>28236.240000000002</v>
      </c>
      <c r="F52" s="11">
        <f t="shared" si="4"/>
        <v>-4193.4275000000016</v>
      </c>
      <c r="G52" s="12">
        <f t="shared" si="5"/>
        <v>-0.14851224879799865</v>
      </c>
      <c r="H52" s="13">
        <v>29247.55</v>
      </c>
      <c r="I52" s="13">
        <f t="shared" si="6"/>
        <v>-5204.7374999999993</v>
      </c>
      <c r="J52" s="16">
        <f t="shared" si="7"/>
        <v>-0.17795464919283835</v>
      </c>
      <c r="K52" s="66" t="s">
        <v>459</v>
      </c>
      <c r="L52" s="66" t="s">
        <v>460</v>
      </c>
    </row>
    <row r="53" spans="1:12" ht="15.75">
      <c r="A53" s="27" t="str">
        <v>Q192</v>
      </c>
      <c r="B53" s="28" t="str">
        <v>NY</v>
      </c>
      <c r="C53" s="28" t="str">
        <f>Sites[[#This Row],[SOL'#]]</f>
        <v>SOL-10406</v>
      </c>
      <c r="D53" s="10">
        <v>40202.5</v>
      </c>
      <c r="E53" s="15">
        <v>44409.02</v>
      </c>
      <c r="F53" s="15">
        <f t="shared" si="4"/>
        <v>-4206.5199999999968</v>
      </c>
      <c r="G53" s="16">
        <f t="shared" si="5"/>
        <v>-9.4722198328177409E-2</v>
      </c>
      <c r="H53" s="17">
        <v>41491.699999999997</v>
      </c>
      <c r="I53" s="17">
        <f t="shared" si="6"/>
        <v>-1289.1999999999971</v>
      </c>
      <c r="J53" s="16">
        <f t="shared" si="7"/>
        <v>-3.1071274495862961E-2</v>
      </c>
      <c r="K53" s="61"/>
      <c r="L53" s="61"/>
    </row>
    <row r="54" spans="1:12" ht="15.75">
      <c r="A54" s="25" t="str">
        <v>Q210</v>
      </c>
      <c r="B54" s="26" t="str">
        <v>NY</v>
      </c>
      <c r="C54" s="26" t="str">
        <f>Sites[[#This Row],[SOL'#]]</f>
        <v>SOL-10407</v>
      </c>
      <c r="D54" s="21">
        <v>32066.125</v>
      </c>
      <c r="E54" s="11">
        <v>33092.01</v>
      </c>
      <c r="F54" s="11">
        <f t="shared" si="4"/>
        <v>-1025.885000000002</v>
      </c>
      <c r="G54" s="12">
        <f t="shared" si="5"/>
        <v>-3.1000987851750376E-2</v>
      </c>
      <c r="H54" s="13">
        <v>30546</v>
      </c>
      <c r="I54" s="13">
        <f t="shared" si="6"/>
        <v>1520.125</v>
      </c>
      <c r="J54" s="16">
        <f t="shared" si="7"/>
        <v>4.9765108361160215E-2</v>
      </c>
      <c r="K54" s="66"/>
      <c r="L54" s="66"/>
    </row>
    <row r="55" spans="1:12" ht="15.75">
      <c r="A55" s="27" t="str">
        <v>Q229</v>
      </c>
      <c r="B55" s="28" t="str">
        <v>NY</v>
      </c>
      <c r="C55" s="28" t="str">
        <f>Sites[[#This Row],[SOL'#]]</f>
        <v>SOL-10408</v>
      </c>
      <c r="D55" s="10">
        <v>14718.09375</v>
      </c>
      <c r="E55" s="15">
        <v>16352.9</v>
      </c>
      <c r="F55" s="15">
        <f t="shared" si="4"/>
        <v>-1634.8062499999996</v>
      </c>
      <c r="G55" s="16">
        <f t="shared" si="5"/>
        <v>-9.9970418090980784E-2</v>
      </c>
      <c r="H55" s="17">
        <v>17436.29</v>
      </c>
      <c r="I55" s="17">
        <f t="shared" si="6"/>
        <v>-2718.1962500000009</v>
      </c>
      <c r="J55" s="16">
        <f t="shared" si="7"/>
        <v>-0.155893039746414</v>
      </c>
      <c r="K55" s="61"/>
      <c r="L55" s="62"/>
    </row>
    <row r="56" spans="1:12" ht="15.75">
      <c r="A56" s="25" t="str">
        <v>Q231</v>
      </c>
      <c r="B56" s="26" t="str">
        <v>NY</v>
      </c>
      <c r="C56" s="26" t="str">
        <f>Sites[[#This Row],[SOL'#]]</f>
        <v>SOL-10870</v>
      </c>
      <c r="D56" s="21">
        <v>54035.875</v>
      </c>
      <c r="E56" s="11">
        <v>56972.36</v>
      </c>
      <c r="F56" s="11">
        <f t="shared" si="4"/>
        <v>-2936.4850000000006</v>
      </c>
      <c r="G56" s="12">
        <f t="shared" si="5"/>
        <v>-5.1542274183481264E-2</v>
      </c>
      <c r="H56" s="13">
        <v>0</v>
      </c>
      <c r="I56" s="13">
        <f t="shared" si="6"/>
        <v>54035.875</v>
      </c>
      <c r="J56" s="16" t="str">
        <f t="shared" si="7"/>
        <v/>
      </c>
      <c r="K56" s="66"/>
      <c r="L56" s="66"/>
    </row>
    <row r="57" spans="1:12" ht="28.5">
      <c r="A57" s="27" t="str">
        <v>Q405</v>
      </c>
      <c r="B57" s="28" t="str">
        <v>NY</v>
      </c>
      <c r="C57" s="28" t="str">
        <f>Sites[[#This Row],[SOL'#]]</f>
        <v>SOL-10409</v>
      </c>
      <c r="D57" s="10">
        <v>60094.75</v>
      </c>
      <c r="E57" s="15">
        <v>62190.46</v>
      </c>
      <c r="F57" s="15">
        <f t="shared" si="4"/>
        <v>-2095.7099999999991</v>
      </c>
      <c r="G57" s="16">
        <f t="shared" si="5"/>
        <v>-3.3698255327264004E-2</v>
      </c>
      <c r="H57" s="17">
        <v>48744.19</v>
      </c>
      <c r="I57" s="17">
        <f t="shared" si="6"/>
        <v>11350.559999999998</v>
      </c>
      <c r="J57" s="16">
        <f t="shared" si="7"/>
        <v>0.23285975210584064</v>
      </c>
      <c r="K57" s="61" t="s">
        <v>461</v>
      </c>
      <c r="L57" s="62" t="s">
        <v>462</v>
      </c>
    </row>
    <row r="58" spans="1:12" ht="28.5">
      <c r="A58" s="25" t="str">
        <v>Q435</v>
      </c>
      <c r="B58" s="26" t="str">
        <v>NY</v>
      </c>
      <c r="C58" s="26" t="str">
        <f>Sites[[#This Row],[SOL'#]]</f>
        <v>SOL-10923</v>
      </c>
      <c r="D58" s="21">
        <v>71093.265625000102</v>
      </c>
      <c r="E58" s="11">
        <v>57936.14</v>
      </c>
      <c r="F58" s="11">
        <f t="shared" si="4"/>
        <v>13157.125625000102</v>
      </c>
      <c r="G58" s="12">
        <f t="shared" si="5"/>
        <v>0.22709703520117328</v>
      </c>
      <c r="H58" s="13">
        <v>0</v>
      </c>
      <c r="I58" s="13">
        <f t="shared" si="6"/>
        <v>71093.265625000102</v>
      </c>
      <c r="J58" s="16" t="str">
        <f t="shared" si="7"/>
        <v/>
      </c>
      <c r="K58" s="66" t="s">
        <v>463</v>
      </c>
      <c r="L58" s="66" t="s">
        <v>464</v>
      </c>
    </row>
    <row r="59" spans="1:12" ht="57">
      <c r="A59" s="27" t="str">
        <v>Q485</v>
      </c>
      <c r="B59" s="28" t="str">
        <v>NY</v>
      </c>
      <c r="C59" s="28" t="str">
        <f>Sites[[#This Row],[SOL'#]]</f>
        <v>SOL-10869</v>
      </c>
      <c r="D59" s="10">
        <v>42622.765625</v>
      </c>
      <c r="E59" s="15">
        <v>33709.18</v>
      </c>
      <c r="F59" s="15">
        <f t="shared" si="4"/>
        <v>8913.5856249999997</v>
      </c>
      <c r="G59" s="16">
        <f t="shared" si="5"/>
        <v>0.26442605916251893</v>
      </c>
      <c r="H59" s="17">
        <v>54600.91</v>
      </c>
      <c r="I59" s="17">
        <f t="shared" si="6"/>
        <v>-11978.144375000003</v>
      </c>
      <c r="J59" s="16">
        <f t="shared" si="7"/>
        <v>-0.2193762773367697</v>
      </c>
      <c r="K59" s="61" t="s">
        <v>465</v>
      </c>
      <c r="L59" s="62" t="s">
        <v>466</v>
      </c>
    </row>
    <row r="60" spans="1:12" ht="15.75">
      <c r="A60" s="25" t="str">
        <v>Q490</v>
      </c>
      <c r="B60" s="26" t="str">
        <v>NY</v>
      </c>
      <c r="C60" s="26" t="str">
        <f>Sites[[#This Row],[SOL'#]]</f>
        <v>SOL-10411</v>
      </c>
      <c r="D60" s="21">
        <v>51552.8632425744</v>
      </c>
      <c r="E60" s="11"/>
      <c r="F60" s="11" t="str">
        <f t="shared" si="4"/>
        <v/>
      </c>
      <c r="G60" s="12" t="str">
        <f t="shared" si="5"/>
        <v/>
      </c>
      <c r="H60" s="13">
        <v>56387.54</v>
      </c>
      <c r="I60" s="13">
        <f t="shared" si="6"/>
        <v>-4834.676757425601</v>
      </c>
      <c r="J60" s="80">
        <f t="shared" si="7"/>
        <v>-8.5740160989920836E-2</v>
      </c>
      <c r="K60" s="66"/>
      <c r="L60" s="66"/>
    </row>
    <row r="61" spans="1:12" ht="15.75">
      <c r="A61" s="27" t="str">
        <v>Q620</v>
      </c>
      <c r="B61" s="28" t="str">
        <v>NY</v>
      </c>
      <c r="C61" s="28" t="str">
        <f>Sites[[#This Row],[SOL'#]]</f>
        <v>SOL-10867</v>
      </c>
      <c r="D61" s="10">
        <v>77398.75</v>
      </c>
      <c r="E61" s="15">
        <v>80027.13</v>
      </c>
      <c r="F61" s="15">
        <f t="shared" si="4"/>
        <v>-2628.3800000000047</v>
      </c>
      <c r="G61" s="16">
        <f t="shared" si="5"/>
        <v>-3.2843611910111037E-2</v>
      </c>
      <c r="H61" s="17">
        <v>87311.93</v>
      </c>
      <c r="I61" s="17">
        <f t="shared" si="6"/>
        <v>-9913.179999999993</v>
      </c>
      <c r="J61" s="16">
        <f t="shared" si="7"/>
        <v>-0.11353752001587863</v>
      </c>
      <c r="K61" s="61"/>
      <c r="L61" s="62"/>
    </row>
    <row r="62" spans="1:12" ht="15.75">
      <c r="A62" s="25" t="str">
        <v>QMOA</v>
      </c>
      <c r="B62" s="26" t="str">
        <v>NY</v>
      </c>
      <c r="C62" s="26" t="str">
        <f>Sites[[#This Row],[SOL'#]]</f>
        <v>SOL-10415</v>
      </c>
      <c r="D62" s="21">
        <v>6670.7</v>
      </c>
      <c r="E62" s="11">
        <v>0</v>
      </c>
      <c r="F62" s="11">
        <f t="shared" si="4"/>
        <v>6670.7</v>
      </c>
      <c r="G62" s="12" t="str">
        <f t="shared" si="5"/>
        <v/>
      </c>
      <c r="H62" s="13">
        <v>7032.8220000000001</v>
      </c>
      <c r="I62" s="13">
        <f t="shared" si="6"/>
        <v>-362.1220000000003</v>
      </c>
      <c r="J62" s="80">
        <f t="shared" si="7"/>
        <v>-5.1490283701194239E-2</v>
      </c>
      <c r="K62" s="66"/>
      <c r="L62" s="66"/>
    </row>
    <row r="63" spans="1:12" ht="15.75">
      <c r="A63" s="27" t="str">
        <v>X024</v>
      </c>
      <c r="B63" s="28" t="str">
        <v>NY</v>
      </c>
      <c r="C63" s="28" t="str">
        <f>Sites[[#This Row],[SOL'#]]</f>
        <v>SOL-10419</v>
      </c>
      <c r="D63" s="10">
        <v>29825.9140625</v>
      </c>
      <c r="E63" s="15">
        <v>0</v>
      </c>
      <c r="F63" s="15">
        <f t="shared" si="4"/>
        <v>29825.9140625</v>
      </c>
      <c r="G63" s="16" t="str">
        <f t="shared" si="5"/>
        <v/>
      </c>
      <c r="H63" s="17">
        <v>0</v>
      </c>
      <c r="I63" s="17">
        <f t="shared" si="6"/>
        <v>29825.9140625</v>
      </c>
      <c r="J63" s="16" t="str">
        <f t="shared" si="7"/>
        <v/>
      </c>
      <c r="K63" s="61"/>
      <c r="L63" s="62"/>
    </row>
    <row r="64" spans="1:12" ht="15.75">
      <c r="A64" s="25" t="str">
        <v>X026</v>
      </c>
      <c r="B64" s="26" t="str">
        <v>NY</v>
      </c>
      <c r="C64" s="26" t="str">
        <f>Sites[[#This Row],[SOL'#]]</f>
        <v>SOL-10420</v>
      </c>
      <c r="D64" s="21">
        <v>26509.377</v>
      </c>
      <c r="E64" s="11">
        <v>24343.08</v>
      </c>
      <c r="F64" s="11">
        <f t="shared" si="4"/>
        <v>2166.2969999999987</v>
      </c>
      <c r="G64" s="12">
        <f t="shared" si="5"/>
        <v>8.8990259244105446E-2</v>
      </c>
      <c r="H64" s="13">
        <v>23975.381000000001</v>
      </c>
      <c r="I64" s="13">
        <f t="shared" si="6"/>
        <v>2533.9959999999992</v>
      </c>
      <c r="J64" s="80">
        <f t="shared" si="7"/>
        <v>0.1056915842129891</v>
      </c>
      <c r="K64" s="66"/>
      <c r="L64" s="66"/>
    </row>
    <row r="65" spans="1:12" ht="15.75">
      <c r="A65" s="27" t="str">
        <v>X090</v>
      </c>
      <c r="B65" s="28" t="str">
        <v>NY</v>
      </c>
      <c r="C65" s="28" t="str">
        <f>Sites[[#This Row],[SOL'#]]</f>
        <v>SOL-10925</v>
      </c>
      <c r="D65" s="10">
        <v>22518.713</v>
      </c>
      <c r="E65" s="15">
        <v>20074.326000000001</v>
      </c>
      <c r="F65" s="15">
        <f t="shared" si="4"/>
        <v>2444.3869999999988</v>
      </c>
      <c r="G65" s="16">
        <f t="shared" si="5"/>
        <v>0.12176682793733641</v>
      </c>
      <c r="H65" s="17">
        <v>17525.5</v>
      </c>
      <c r="I65" s="17">
        <f t="shared" si="6"/>
        <v>4993.2129999999997</v>
      </c>
      <c r="J65" s="16">
        <f t="shared" si="7"/>
        <v>0.28491130067615761</v>
      </c>
      <c r="K65" s="61"/>
      <c r="L65" s="61"/>
    </row>
    <row r="66" spans="1:12" ht="15.75">
      <c r="A66" s="25" t="str">
        <v>X117</v>
      </c>
      <c r="B66" s="26" t="str">
        <v>NY</v>
      </c>
      <c r="C66" s="26" t="str">
        <f>Sites[[#This Row],[SOL'#]]</f>
        <v>SOL-10422</v>
      </c>
      <c r="D66" s="21">
        <v>28266.866999999998</v>
      </c>
      <c r="E66" s="11">
        <v>20905.937000000002</v>
      </c>
      <c r="F66" s="11">
        <f t="shared" si="4"/>
        <v>7360.9299999999967</v>
      </c>
      <c r="G66" s="12">
        <f t="shared" si="5"/>
        <v>0.352097588354925</v>
      </c>
      <c r="H66" s="13">
        <v>23956.351999999999</v>
      </c>
      <c r="I66" s="13">
        <f t="shared" si="6"/>
        <v>4310.5149999999994</v>
      </c>
      <c r="J66" s="80">
        <f t="shared" si="7"/>
        <v>0.17993202804834391</v>
      </c>
      <c r="K66" s="66"/>
      <c r="L66" s="66"/>
    </row>
    <row r="67" spans="1:12" ht="15.75">
      <c r="A67" s="27" t="str">
        <v>X125</v>
      </c>
      <c r="B67" s="28" t="str">
        <v>NY</v>
      </c>
      <c r="C67" s="28" t="str">
        <f>Sites[[#This Row],[SOL'#]]</f>
        <v>SOL-10423</v>
      </c>
      <c r="D67" s="10">
        <v>35606.754999999997</v>
      </c>
      <c r="E67" s="15">
        <v>36764.752999999997</v>
      </c>
      <c r="F67" s="15">
        <f>IF(AND(ISNUMBER(D67),ISNUMBER(E67)), D67-E67, "")</f>
        <v>-1157.9979999999996</v>
      </c>
      <c r="G67" s="16">
        <f>IFERROR(F67/E67, "")</f>
        <v>-3.1497505232797283E-2</v>
      </c>
      <c r="H67" s="17">
        <v>24280.710999999999</v>
      </c>
      <c r="I67" s="17">
        <f>IF(AND(ISNUMBER(D67),ISNUMBER(H67)), D67-H67, "")</f>
        <v>11326.043999999998</v>
      </c>
      <c r="J67" s="16">
        <f t="shared" si="7"/>
        <v>0.46646261717789067</v>
      </c>
      <c r="K67" s="61"/>
      <c r="L67" s="62"/>
    </row>
    <row r="68" spans="1:12" ht="28.5">
      <c r="A68" s="25" t="str">
        <v>X134</v>
      </c>
      <c r="B68" s="26" t="str">
        <v>NY</v>
      </c>
      <c r="C68" s="26" t="str">
        <f>Sites[[#This Row],[SOL'#]]</f>
        <v>SOL-10424</v>
      </c>
      <c r="D68" s="21">
        <v>32142.093000000001</v>
      </c>
      <c r="E68" s="11">
        <v>0</v>
      </c>
      <c r="F68" s="11">
        <f t="shared" si="4"/>
        <v>32142.093000000001</v>
      </c>
      <c r="G68" s="12" t="str">
        <f t="shared" si="5"/>
        <v/>
      </c>
      <c r="H68" s="13">
        <v>0</v>
      </c>
      <c r="I68" s="13">
        <f t="shared" si="6"/>
        <v>32142.093000000001</v>
      </c>
      <c r="J68" s="80" t="str">
        <f t="shared" si="7"/>
        <v/>
      </c>
      <c r="K68" s="66" t="s">
        <v>467</v>
      </c>
      <c r="L68" s="66" t="s">
        <v>468</v>
      </c>
    </row>
    <row r="69" spans="1:12" ht="15.75">
      <c r="A69" s="27" t="str">
        <v>X135</v>
      </c>
      <c r="B69" s="28" t="str">
        <v>NY</v>
      </c>
      <c r="C69" s="28" t="str">
        <f>Sites[[#This Row],[SOL'#]]</f>
        <v>SOL-10425</v>
      </c>
      <c r="D69" s="10">
        <v>23922.99</v>
      </c>
      <c r="E69" s="15">
        <v>0</v>
      </c>
      <c r="F69" s="15">
        <f t="shared" si="4"/>
        <v>23922.99</v>
      </c>
      <c r="G69" s="16" t="str">
        <f t="shared" si="5"/>
        <v/>
      </c>
      <c r="H69" s="17">
        <v>0</v>
      </c>
      <c r="I69" s="17">
        <f t="shared" si="6"/>
        <v>23922.99</v>
      </c>
      <c r="J69" s="16" t="str">
        <f t="shared" si="7"/>
        <v/>
      </c>
      <c r="K69" s="61"/>
      <c r="L69" s="62"/>
    </row>
    <row r="70" spans="1:12" ht="15.75">
      <c r="A70" s="25" t="str">
        <v>X139 JHS 222</v>
      </c>
      <c r="B70" s="26" t="str">
        <v>NY</v>
      </c>
      <c r="C70" s="26" t="str">
        <f>Sites[[#This Row],[SOL'#]]</f>
        <v>SOL-10426</v>
      </c>
      <c r="D70" s="21">
        <v>40385.799045902</v>
      </c>
      <c r="E70" s="11">
        <v>45193.71</v>
      </c>
      <c r="F70" s="11">
        <f t="shared" si="4"/>
        <v>-4807.9109540979989</v>
      </c>
      <c r="G70" s="12">
        <f t="shared" si="5"/>
        <v>-0.10638451576774731</v>
      </c>
      <c r="H70" s="13">
        <v>41409</v>
      </c>
      <c r="I70" s="13">
        <f t="shared" si="6"/>
        <v>-1023.2009540979998</v>
      </c>
      <c r="J70" s="80">
        <f t="shared" si="7"/>
        <v>-2.4709627233161866E-2</v>
      </c>
      <c r="K70" s="66" t="s">
        <v>469</v>
      </c>
      <c r="L70" s="66" t="s">
        <v>470</v>
      </c>
    </row>
    <row r="71" spans="1:12" ht="15.75">
      <c r="A71" s="27" t="str">
        <v>X140</v>
      </c>
      <c r="B71" s="28" t="str">
        <v>NY</v>
      </c>
      <c r="C71" s="28" t="str">
        <f>Sites[[#This Row],[SOL'#]]</f>
        <v>SOL-10926</v>
      </c>
      <c r="D71" s="10">
        <v>23885.3915772699</v>
      </c>
      <c r="E71" s="15">
        <v>20173.580000000002</v>
      </c>
      <c r="F71" s="15">
        <f t="shared" si="4"/>
        <v>3711.8115772698984</v>
      </c>
      <c r="G71" s="16">
        <f t="shared" si="5"/>
        <v>0.18399369756235126</v>
      </c>
      <c r="H71" s="17">
        <v>20709</v>
      </c>
      <c r="I71" s="17">
        <f t="shared" si="6"/>
        <v>3176.3915772699002</v>
      </c>
      <c r="J71" s="16">
        <f t="shared" si="7"/>
        <v>0.15338218056255251</v>
      </c>
      <c r="K71" s="61"/>
      <c r="L71" s="62"/>
    </row>
    <row r="72" spans="1:12" ht="15.75">
      <c r="A72" s="25" t="str">
        <v>X166</v>
      </c>
      <c r="B72" s="26" t="str">
        <v>NY</v>
      </c>
      <c r="C72" s="26" t="str">
        <f>Sites[[#This Row],[SOL'#]]</f>
        <v>SOL-10427</v>
      </c>
      <c r="D72" s="21">
        <v>25007</v>
      </c>
      <c r="E72" s="11">
        <v>25773</v>
      </c>
      <c r="F72" s="11">
        <f t="shared" si="4"/>
        <v>-766</v>
      </c>
      <c r="G72" s="12">
        <f t="shared" si="5"/>
        <v>-2.9721025879796685E-2</v>
      </c>
      <c r="H72" s="13"/>
      <c r="I72" s="13" t="str">
        <f t="shared" si="6"/>
        <v/>
      </c>
      <c r="J72" s="80" t="str">
        <f t="shared" si="7"/>
        <v/>
      </c>
      <c r="K72" s="66"/>
      <c r="L72" s="66"/>
    </row>
    <row r="73" spans="1:12" ht="31.5">
      <c r="A73" s="27" t="str">
        <v>Murphy</v>
      </c>
      <c r="B73" s="28" t="str">
        <v>MN</v>
      </c>
      <c r="C73" s="28" t="str">
        <f>Sites[[#This Row],[SOL'#]]</f>
        <v>SOL-10094</v>
      </c>
      <c r="D73" s="10">
        <v>1017210</v>
      </c>
      <c r="E73" s="15">
        <v>1040578</v>
      </c>
      <c r="F73" s="15">
        <f t="shared" si="4"/>
        <v>-23368</v>
      </c>
      <c r="G73" s="16">
        <f t="shared" si="5"/>
        <v>-2.2456749998558494E-2</v>
      </c>
      <c r="H73" s="17">
        <v>975718.3</v>
      </c>
      <c r="I73" s="17">
        <f t="shared" si="6"/>
        <v>41491.699999999953</v>
      </c>
      <c r="J73" s="16">
        <f t="shared" si="7"/>
        <v>4.2524261356992027E-2</v>
      </c>
      <c r="K73" s="61" t="s">
        <v>471</v>
      </c>
      <c r="L73" s="62" t="s">
        <v>472</v>
      </c>
    </row>
    <row r="74" spans="1:12" ht="15.75">
      <c r="A74" s="25" t="str">
        <v>Terning</v>
      </c>
      <c r="B74" s="26" t="str">
        <v>MN</v>
      </c>
      <c r="C74" s="26" t="str">
        <f>Sites[[#This Row],[SOL'#]]</f>
        <v>SOL-10093</v>
      </c>
      <c r="D74" s="21">
        <v>999312.42</v>
      </c>
      <c r="E74" s="11">
        <v>1055778</v>
      </c>
      <c r="F74" s="11">
        <f t="shared" si="4"/>
        <v>-56465.579999999958</v>
      </c>
      <c r="G74" s="12">
        <f t="shared" si="5"/>
        <v>-5.3482436648613588E-2</v>
      </c>
      <c r="H74" s="13">
        <v>977471.9</v>
      </c>
      <c r="I74" s="13">
        <f t="shared" si="6"/>
        <v>21840.520000000019</v>
      </c>
      <c r="J74" s="80">
        <f t="shared" si="7"/>
        <v>2.2343885282021938E-2</v>
      </c>
      <c r="K74" s="66" t="s">
        <v>473</v>
      </c>
      <c r="L74" s="66" t="s">
        <v>474</v>
      </c>
    </row>
    <row r="75" spans="1:12" ht="15.75">
      <c r="A75" s="27" t="str">
        <v>Boas Road 04</v>
      </c>
      <c r="B75" s="28" t="str">
        <v>NY</v>
      </c>
      <c r="C75" s="28" t="str">
        <f>Sites[[#This Row],[SOL'#]]</f>
        <v>SOL-10908</v>
      </c>
      <c r="D75" s="10">
        <v>369982</v>
      </c>
      <c r="E75" s="15">
        <v>0</v>
      </c>
      <c r="F75" s="15">
        <f t="shared" si="4"/>
        <v>369982</v>
      </c>
      <c r="G75" s="16" t="str">
        <f t="shared" si="5"/>
        <v/>
      </c>
      <c r="H75" s="17">
        <v>378292.3</v>
      </c>
      <c r="I75" s="17">
        <f t="shared" si="6"/>
        <v>-8310.2999999999884</v>
      </c>
      <c r="J75" s="16">
        <f t="shared" si="7"/>
        <v>-2.1967933262189022E-2</v>
      </c>
      <c r="K75" s="61" t="s">
        <v>475</v>
      </c>
      <c r="L75" s="62" t="s">
        <v>476</v>
      </c>
    </row>
    <row r="76" spans="1:12" ht="42.75">
      <c r="A76" s="25" t="str">
        <v>Kelly Bridge Farm</v>
      </c>
      <c r="B76" s="26" t="str">
        <v>NY</v>
      </c>
      <c r="C76" s="26" t="str">
        <f>Sites[[#This Row],[SOL'#]]</f>
        <v>SOL-10911</v>
      </c>
      <c r="D76" s="21">
        <v>361303</v>
      </c>
      <c r="E76" s="11">
        <v>373532.57</v>
      </c>
      <c r="F76" s="11">
        <f t="shared" si="4"/>
        <v>-12229.570000000007</v>
      </c>
      <c r="G76" s="12">
        <f t="shared" si="5"/>
        <v>-3.2740304279222573E-2</v>
      </c>
      <c r="H76" s="13">
        <v>378881.56</v>
      </c>
      <c r="I76" s="13">
        <f t="shared" si="6"/>
        <v>-17578.559999999998</v>
      </c>
      <c r="J76" s="80">
        <f t="shared" si="7"/>
        <v>-4.6395923834350761E-2</v>
      </c>
      <c r="K76" s="66" t="s">
        <v>477</v>
      </c>
      <c r="L76" s="66" t="s">
        <v>478</v>
      </c>
    </row>
    <row r="77" spans="1:12" ht="15.75">
      <c r="A77" s="27" t="str">
        <v>Pool Brook Road</v>
      </c>
      <c r="B77" s="28" t="str">
        <v>NY</v>
      </c>
      <c r="C77" s="28" t="str">
        <f>Sites[[#This Row],[SOL'#]]</f>
        <v>SOL-10909</v>
      </c>
      <c r="D77" s="10">
        <v>358748</v>
      </c>
      <c r="E77" s="15">
        <v>348311.96500000003</v>
      </c>
      <c r="F77" s="15">
        <f t="shared" si="4"/>
        <v>10436.034999999974</v>
      </c>
      <c r="G77" s="16">
        <f t="shared" si="5"/>
        <v>2.9961747079231039E-2</v>
      </c>
      <c r="H77" s="17">
        <v>370511.95</v>
      </c>
      <c r="I77" s="17">
        <f t="shared" si="6"/>
        <v>-11763.950000000012</v>
      </c>
      <c r="J77" s="16">
        <f t="shared" si="7"/>
        <v>-3.1750527884458278E-2</v>
      </c>
      <c r="K77" s="61"/>
      <c r="L77" s="61"/>
    </row>
    <row r="78" spans="1:12" ht="61.35" customHeight="1">
      <c r="A78" s="25" t="str">
        <v>Sackett Lake</v>
      </c>
      <c r="B78" s="26" t="str">
        <v>NY</v>
      </c>
      <c r="C78" s="26" t="str">
        <f>Sites[[#This Row],[SOL'#]]</f>
        <v>SOL-10910</v>
      </c>
      <c r="D78" s="21">
        <v>263169</v>
      </c>
      <c r="E78" s="11">
        <v>272103.114</v>
      </c>
      <c r="F78" s="11">
        <f t="shared" si="4"/>
        <v>-8934.1140000000014</v>
      </c>
      <c r="G78" s="12">
        <f t="shared" si="5"/>
        <v>-3.2833560295087258E-2</v>
      </c>
      <c r="H78" s="13">
        <v>375319.79</v>
      </c>
      <c r="I78" s="13">
        <f t="shared" si="6"/>
        <v>-112150.78999999998</v>
      </c>
      <c r="J78" s="80">
        <f t="shared" si="7"/>
        <v>-0.29881395276278927</v>
      </c>
      <c r="K78" s="66" t="s">
        <v>479</v>
      </c>
      <c r="L78" s="66" t="s">
        <v>480</v>
      </c>
    </row>
    <row r="79" spans="1:12" ht="47.85" customHeight="1">
      <c r="A79" s="27" t="str">
        <v>Burritt Road</v>
      </c>
      <c r="B79" s="28" t="str">
        <v>NY</v>
      </c>
      <c r="C79" s="28" t="str">
        <f>Sites[[#This Row],[SOL'#]]</f>
        <v>SOL-10913</v>
      </c>
      <c r="D79" s="10">
        <v>408000</v>
      </c>
      <c r="E79" s="15">
        <v>110555.553</v>
      </c>
      <c r="F79" s="15">
        <f t="shared" si="4"/>
        <v>297444.44699999999</v>
      </c>
      <c r="G79" s="16">
        <f t="shared" si="5"/>
        <v>2.6904523466134713</v>
      </c>
      <c r="H79" s="17">
        <v>386390.66</v>
      </c>
      <c r="I79" s="17">
        <f t="shared" si="6"/>
        <v>21609.340000000026</v>
      </c>
      <c r="J79" s="16">
        <f t="shared" si="7"/>
        <v>5.5926144798634697E-2</v>
      </c>
      <c r="K79" s="61" t="s">
        <v>481</v>
      </c>
      <c r="L79" s="62" t="s">
        <v>482</v>
      </c>
    </row>
    <row r="80" spans="1:12" ht="15.75">
      <c r="A80" s="25" t="str">
        <v>Villa Roma 1</v>
      </c>
      <c r="B80" s="26" t="str">
        <v>NY</v>
      </c>
      <c r="C80" s="26" t="str">
        <f>Sites[[#This Row],[SOL'#]]</f>
        <v>SOL-10914</v>
      </c>
      <c r="D80" s="21">
        <v>177799</v>
      </c>
      <c r="E80" s="11">
        <v>424760.09700000001</v>
      </c>
      <c r="F80" s="11">
        <f t="shared" si="4"/>
        <v>-246961.09700000001</v>
      </c>
      <c r="G80" s="12">
        <f t="shared" si="5"/>
        <v>-0.58141312883257956</v>
      </c>
      <c r="H80" s="13">
        <v>359705.31</v>
      </c>
      <c r="I80" s="13">
        <f t="shared" si="6"/>
        <v>-181906.31</v>
      </c>
      <c r="J80" s="80">
        <f t="shared" si="7"/>
        <v>-0.50570927073609229</v>
      </c>
      <c r="K80" s="66" t="s">
        <v>483</v>
      </c>
      <c r="L80" s="66" t="s">
        <v>484</v>
      </c>
    </row>
    <row r="81" spans="1:12" ht="15.75">
      <c r="A81" s="27" t="str">
        <v>Villa Roma 2</v>
      </c>
      <c r="B81" s="28" t="str">
        <v>NY</v>
      </c>
      <c r="C81" s="28" t="str">
        <f>Sites[[#This Row],[SOL'#]]</f>
        <v>SOL-10915</v>
      </c>
      <c r="D81" s="10">
        <v>312788</v>
      </c>
      <c r="E81" s="15">
        <v>336170.15100000001</v>
      </c>
      <c r="F81" s="15">
        <f t="shared" si="4"/>
        <v>-23382.151000000013</v>
      </c>
      <c r="G81" s="16">
        <f t="shared" si="5"/>
        <v>-6.9554512589667758E-2</v>
      </c>
      <c r="H81" s="17">
        <v>349137.57</v>
      </c>
      <c r="I81" s="17">
        <f t="shared" si="6"/>
        <v>-36349.570000000007</v>
      </c>
      <c r="J81" s="16">
        <f t="shared" si="7"/>
        <v>-0.10411245630196718</v>
      </c>
      <c r="K81" s="61"/>
      <c r="L81" s="62"/>
    </row>
    <row r="82" spans="1:12" ht="15.75">
      <c r="A82" s="25" t="str">
        <v>Washington 1</v>
      </c>
      <c r="B82" s="26" t="str">
        <v>NY</v>
      </c>
      <c r="C82" s="26" t="str">
        <f>Sites[[#This Row],[SOL'#]]</f>
        <v>SOL-10912</v>
      </c>
      <c r="D82" s="21">
        <v>404640</v>
      </c>
      <c r="E82" s="11">
        <v>429074.98800000001</v>
      </c>
      <c r="F82" s="11">
        <f t="shared" ref="F82:F145" si="8">IF(AND(ISNUMBER(D82),ISNUMBER(E82)), D82-E82, "")</f>
        <v>-24434.988000000012</v>
      </c>
      <c r="G82" s="12">
        <f t="shared" ref="G82:G145" si="9">IFERROR(F82/E82, "")</f>
        <v>-5.6948059624486923E-2</v>
      </c>
      <c r="H82" s="13">
        <v>382495.26</v>
      </c>
      <c r="I82" s="13">
        <f t="shared" ref="I82:I145" si="10">IF(AND(ISNUMBER(D82),ISNUMBER(H82)), D82-H82, "")</f>
        <v>22144.739999999991</v>
      </c>
      <c r="J82" s="80">
        <f t="shared" ref="J82:J145" si="11">IFERROR(I82/H82, "")</f>
        <v>5.7895462547692719E-2</v>
      </c>
      <c r="K82" s="66"/>
      <c r="L82" s="66"/>
    </row>
    <row r="83" spans="1:12" ht="15.75">
      <c r="A83" s="27" t="str">
        <v>Washington 3</v>
      </c>
      <c r="B83" s="28" t="str">
        <v>NY</v>
      </c>
      <c r="C83" s="28" t="str">
        <f>Sites[[#This Row],[SOL'#]]</f>
        <v>SOL-10828</v>
      </c>
      <c r="D83" s="10">
        <v>495581</v>
      </c>
      <c r="E83" s="15">
        <v>504525.57900000003</v>
      </c>
      <c r="F83" s="15">
        <f t="shared" si="8"/>
        <v>-8944.579000000027</v>
      </c>
      <c r="G83" s="16">
        <f t="shared" si="9"/>
        <v>-1.7728692800330795E-2</v>
      </c>
      <c r="H83" s="17">
        <v>467103.12</v>
      </c>
      <c r="I83" s="17">
        <f t="shared" si="10"/>
        <v>28477.880000000005</v>
      </c>
      <c r="J83" s="16">
        <f t="shared" si="11"/>
        <v>6.0967008741024904E-2</v>
      </c>
      <c r="K83" s="61"/>
      <c r="L83" s="62"/>
    </row>
    <row r="84" spans="1:12" ht="15.75">
      <c r="A84" s="25" t="str">
        <v>Washington 4</v>
      </c>
      <c r="B84" s="26" t="str">
        <v>NY</v>
      </c>
      <c r="C84" s="26" t="str">
        <f>Sites[[#This Row],[SOL'#]]</f>
        <v>SOL-10829</v>
      </c>
      <c r="D84" s="21">
        <v>497994</v>
      </c>
      <c r="E84" s="11">
        <v>0</v>
      </c>
      <c r="F84" s="11">
        <f t="shared" si="8"/>
        <v>497994</v>
      </c>
      <c r="G84" s="11" t="str">
        <f t="shared" si="9"/>
        <v/>
      </c>
      <c r="H84" s="13">
        <v>468088.59</v>
      </c>
      <c r="I84" s="13">
        <f t="shared" si="10"/>
        <v>29905.409999999974</v>
      </c>
      <c r="J84" s="80">
        <f t="shared" si="11"/>
        <v>6.3888354979983533E-2</v>
      </c>
      <c r="K84" s="66"/>
      <c r="L84" s="66"/>
    </row>
    <row r="85" spans="1:12" ht="15.75">
      <c r="A85" s="27" t="str">
        <v>Big Tree</v>
      </c>
      <c r="B85" s="28" t="str">
        <v>NY</v>
      </c>
      <c r="C85" s="28" t="str">
        <f>Sites[[#This Row],[SOL'#]]</f>
        <v>SOL-10966</v>
      </c>
      <c r="D85" s="10">
        <v>404497</v>
      </c>
      <c r="E85" s="15">
        <v>0</v>
      </c>
      <c r="F85" s="15">
        <f t="shared" si="8"/>
        <v>404497</v>
      </c>
      <c r="G85" s="47" t="str">
        <f t="shared" si="9"/>
        <v/>
      </c>
      <c r="H85" s="47">
        <v>107913</v>
      </c>
      <c r="I85" s="47">
        <f t="shared" si="10"/>
        <v>296584</v>
      </c>
      <c r="J85" s="16">
        <f t="shared" si="11"/>
        <v>2.7483621065117272</v>
      </c>
      <c r="K85" s="61"/>
      <c r="L85" s="62"/>
    </row>
    <row r="86" spans="1:12" ht="15.75">
      <c r="A86" s="25" t="str">
        <v>Canoga</v>
      </c>
      <c r="B86" s="26" t="str">
        <v>NY</v>
      </c>
      <c r="C86" s="26" t="str">
        <f>Sites[[#This Row],[SOL'#]]</f>
        <v>SOL-10965</v>
      </c>
      <c r="D86" s="21">
        <v>1042806</v>
      </c>
      <c r="E86" s="11">
        <v>0</v>
      </c>
      <c r="F86" s="11">
        <f t="shared" si="8"/>
        <v>1042806</v>
      </c>
      <c r="G86" s="11" t="str">
        <f t="shared" si="9"/>
        <v/>
      </c>
      <c r="H86" s="13">
        <v>305918</v>
      </c>
      <c r="I86" s="13">
        <f t="shared" si="10"/>
        <v>736888</v>
      </c>
      <c r="J86" s="80">
        <f t="shared" si="11"/>
        <v>2.4087762080034518</v>
      </c>
      <c r="K86" s="66"/>
      <c r="L86" s="66"/>
    </row>
    <row r="87" spans="1:12" ht="28.5">
      <c r="A87" s="27" t="str">
        <v>County Route 84</v>
      </c>
      <c r="B87" s="28" t="str">
        <v>NY</v>
      </c>
      <c r="C87" s="28" t="str">
        <f>Sites[[#This Row],[SOL'#]]</f>
        <v>SOL-10967</v>
      </c>
      <c r="D87" s="10">
        <v>911018</v>
      </c>
      <c r="E87" s="15">
        <v>0</v>
      </c>
      <c r="F87" s="47">
        <f t="shared" si="8"/>
        <v>911018</v>
      </c>
      <c r="G87" s="47" t="str">
        <f t="shared" si="9"/>
        <v/>
      </c>
      <c r="H87" s="17">
        <v>377105</v>
      </c>
      <c r="I87" s="17">
        <f t="shared" si="10"/>
        <v>533913</v>
      </c>
      <c r="J87" s="16">
        <f t="shared" si="11"/>
        <v>1.4158205274393074</v>
      </c>
      <c r="K87" s="61" t="s">
        <v>485</v>
      </c>
      <c r="L87" s="62" t="s">
        <v>486</v>
      </c>
    </row>
    <row r="88" spans="1:12" ht="15.75">
      <c r="A88" s="25" t="str">
        <v>Donati</v>
      </c>
      <c r="B88" s="26" t="str">
        <v>NY</v>
      </c>
      <c r="C88" s="26" t="str">
        <f>Sites[[#This Row],[SOL'#]]</f>
        <v>SOL-10968</v>
      </c>
      <c r="D88" s="21">
        <v>454874</v>
      </c>
      <c r="E88" s="11">
        <v>0</v>
      </c>
      <c r="F88" s="11">
        <f t="shared" si="8"/>
        <v>454874</v>
      </c>
      <c r="G88" s="11" t="str">
        <f t="shared" si="9"/>
        <v/>
      </c>
      <c r="H88" s="13">
        <v>120395</v>
      </c>
      <c r="I88" s="13">
        <f t="shared" si="10"/>
        <v>334479</v>
      </c>
      <c r="J88" s="80">
        <f t="shared" si="11"/>
        <v>2.7781801569832636</v>
      </c>
      <c r="K88" s="66"/>
      <c r="L88" s="66"/>
    </row>
    <row r="89" spans="1:12" ht="71.25">
      <c r="A89" s="27" t="str">
        <v>Henrietta</v>
      </c>
      <c r="B89" s="28" t="str">
        <v>NY</v>
      </c>
      <c r="C89" s="28" t="str">
        <f>Sites[[#This Row],[SOL'#]]</f>
        <v>SOL-10972</v>
      </c>
      <c r="D89" s="10">
        <v>958338</v>
      </c>
      <c r="E89" s="15">
        <v>0</v>
      </c>
      <c r="F89" s="15">
        <f t="shared" si="8"/>
        <v>958338</v>
      </c>
      <c r="G89" s="15" t="str">
        <f t="shared" si="9"/>
        <v/>
      </c>
      <c r="H89" s="15">
        <v>231835</v>
      </c>
      <c r="I89" s="15">
        <f t="shared" si="10"/>
        <v>726503</v>
      </c>
      <c r="J89" s="16">
        <f t="shared" si="11"/>
        <v>3.1337071624215498</v>
      </c>
      <c r="K89" s="61" t="s">
        <v>487</v>
      </c>
      <c r="L89" s="61" t="s">
        <v>488</v>
      </c>
    </row>
    <row r="90" spans="1:12" ht="15.75">
      <c r="A90" s="25" t="str">
        <v>NY 70</v>
      </c>
      <c r="B90" s="26" t="str">
        <v>NY</v>
      </c>
      <c r="C90" s="26" t="str">
        <f>Sites[[#This Row],[SOL'#]]</f>
        <v>SOL-10970</v>
      </c>
      <c r="D90" s="21">
        <v>1102872</v>
      </c>
      <c r="E90" s="11">
        <v>0</v>
      </c>
      <c r="F90" s="11">
        <f t="shared" si="8"/>
        <v>1102872</v>
      </c>
      <c r="G90" s="12" t="str">
        <f t="shared" si="9"/>
        <v/>
      </c>
      <c r="H90" s="13">
        <v>360190</v>
      </c>
      <c r="I90" s="13">
        <f t="shared" si="10"/>
        <v>742682</v>
      </c>
      <c r="J90" s="80">
        <f t="shared" si="11"/>
        <v>2.0619173214136985</v>
      </c>
      <c r="K90" s="66"/>
      <c r="L90" s="66"/>
    </row>
    <row r="91" spans="1:12" ht="161.85" customHeight="1">
      <c r="A91" s="27" t="str">
        <v>Reid</v>
      </c>
      <c r="B91" s="28" t="str">
        <v>NY</v>
      </c>
      <c r="C91" s="28" t="str">
        <f>Sites[[#This Row],[SOL'#]]</f>
        <v>SOL-10991</v>
      </c>
      <c r="D91" s="10">
        <v>870047.13422661298</v>
      </c>
      <c r="E91" s="15">
        <v>827216.7</v>
      </c>
      <c r="F91" s="15">
        <f t="shared" si="8"/>
        <v>42830.434226613026</v>
      </c>
      <c r="G91" s="16">
        <f t="shared" si="9"/>
        <v>5.1776558943518701E-2</v>
      </c>
      <c r="H91" s="17">
        <v>852696</v>
      </c>
      <c r="I91" s="17">
        <f t="shared" si="10"/>
        <v>17351.13422661298</v>
      </c>
      <c r="J91" s="16">
        <f t="shared" si="11"/>
        <v>2.0348558251255991E-2</v>
      </c>
      <c r="K91" s="61" t="s">
        <v>489</v>
      </c>
      <c r="L91" s="62" t="s">
        <v>490</v>
      </c>
    </row>
    <row r="92" spans="1:12" ht="15.75">
      <c r="A92" s="25" t="str">
        <v>Sangolqui</v>
      </c>
      <c r="B92" s="26" t="str">
        <v>NY</v>
      </c>
      <c r="C92" s="26" t="str">
        <f>Sites[[#This Row],[SOL'#]]</f>
        <v>SOL-10975</v>
      </c>
      <c r="D92" s="21">
        <v>468022</v>
      </c>
      <c r="E92" s="11">
        <v>0</v>
      </c>
      <c r="F92" s="11">
        <f t="shared" si="8"/>
        <v>468022</v>
      </c>
      <c r="G92" s="12" t="str">
        <f t="shared" si="9"/>
        <v/>
      </c>
      <c r="H92" s="13">
        <v>117410</v>
      </c>
      <c r="I92" s="13">
        <f t="shared" si="10"/>
        <v>350612</v>
      </c>
      <c r="J92" s="80">
        <f t="shared" si="11"/>
        <v>2.9862192317519805</v>
      </c>
      <c r="K92" s="66" t="s">
        <v>491</v>
      </c>
      <c r="L92" s="66" t="s">
        <v>492</v>
      </c>
    </row>
    <row r="93" spans="1:12" ht="15.75">
      <c r="A93" s="27" t="str">
        <v>State Highway 17B</v>
      </c>
      <c r="B93" s="28" t="str">
        <v>NY</v>
      </c>
      <c r="C93" s="28" t="str">
        <f>Sites[[#This Row],[SOL'#]]</f>
        <v>SOL-10988</v>
      </c>
      <c r="D93" s="10">
        <v>827270</v>
      </c>
      <c r="E93" s="15">
        <v>0</v>
      </c>
      <c r="F93" s="15">
        <f t="shared" si="8"/>
        <v>827270</v>
      </c>
      <c r="G93" s="16" t="str">
        <f t="shared" si="9"/>
        <v/>
      </c>
      <c r="H93" s="17">
        <v>323738</v>
      </c>
      <c r="I93" s="17">
        <f t="shared" si="10"/>
        <v>503532</v>
      </c>
      <c r="J93" s="16">
        <f t="shared" si="11"/>
        <v>1.5553688476484071</v>
      </c>
      <c r="K93" s="61"/>
      <c r="L93" s="62"/>
    </row>
    <row r="94" spans="1:12" ht="15.75">
      <c r="A94" s="25" t="str">
        <v>State Route 14A</v>
      </c>
      <c r="B94" s="26" t="str">
        <v>NY</v>
      </c>
      <c r="C94" s="26" t="str">
        <f>Sites[[#This Row],[SOL'#]]</f>
        <v>SOL-10997</v>
      </c>
      <c r="D94" s="21">
        <v>994535</v>
      </c>
      <c r="E94" s="11">
        <v>0</v>
      </c>
      <c r="F94" s="11">
        <f t="shared" si="8"/>
        <v>994535</v>
      </c>
      <c r="G94" s="12" t="str">
        <f t="shared" si="9"/>
        <v/>
      </c>
      <c r="H94" s="13">
        <v>347576</v>
      </c>
      <c r="I94" s="13">
        <f t="shared" si="10"/>
        <v>646959</v>
      </c>
      <c r="J94" s="80">
        <f t="shared" si="11"/>
        <v>1.8613454323658711</v>
      </c>
      <c r="K94" s="66"/>
      <c r="L94" s="66"/>
    </row>
    <row r="95" spans="1:12" ht="15.75">
      <c r="A95" s="27" t="str">
        <v>West Creek</v>
      </c>
      <c r="B95" s="28" t="str">
        <v>NY</v>
      </c>
      <c r="C95" s="28" t="str">
        <f>Sites[[#This Row],[SOL'#]]</f>
        <v>SOL-10995</v>
      </c>
      <c r="D95" s="10">
        <v>967569</v>
      </c>
      <c r="E95" s="15">
        <v>0</v>
      </c>
      <c r="F95" s="15">
        <f t="shared" si="8"/>
        <v>967569</v>
      </c>
      <c r="G95" s="16" t="str">
        <f t="shared" si="9"/>
        <v/>
      </c>
      <c r="H95" s="17">
        <v>298411</v>
      </c>
      <c r="I95" s="17">
        <f t="shared" si="10"/>
        <v>669158</v>
      </c>
      <c r="J95" s="16">
        <f t="shared" si="11"/>
        <v>2.2424039328308942</v>
      </c>
      <c r="K95" s="61"/>
      <c r="L95" s="62"/>
    </row>
    <row r="96" spans="1:12" ht="71.25">
      <c r="A96" s="25" t="str">
        <v>Wildflower</v>
      </c>
      <c r="B96" s="26" t="str">
        <v>NY</v>
      </c>
      <c r="C96" s="26" t="str">
        <f>Sites[[#This Row],[SOL'#]]</f>
        <v>SOL-10982</v>
      </c>
      <c r="D96" s="21">
        <v>958915</v>
      </c>
      <c r="E96" s="11">
        <v>0</v>
      </c>
      <c r="F96" s="11">
        <f t="shared" si="8"/>
        <v>958915</v>
      </c>
      <c r="G96" s="12" t="str">
        <f t="shared" si="9"/>
        <v/>
      </c>
      <c r="H96" s="13">
        <v>406900</v>
      </c>
      <c r="I96" s="13">
        <f t="shared" si="10"/>
        <v>552015</v>
      </c>
      <c r="J96" s="80">
        <f t="shared" si="11"/>
        <v>1.3566355369869747</v>
      </c>
      <c r="K96" s="66" t="s">
        <v>493</v>
      </c>
      <c r="L96" s="66" t="s">
        <v>494</v>
      </c>
    </row>
    <row r="97" spans="1:12" ht="15.75">
      <c r="A97" s="27" t="str">
        <v>Glen Mary 1</v>
      </c>
      <c r="B97" s="28" t="str">
        <v>NY</v>
      </c>
      <c r="C97" s="28" t="str">
        <f>Sites[[#This Row],[SOL'#]]</f>
        <v>SOL-10993</v>
      </c>
      <c r="D97" s="10">
        <v>943327</v>
      </c>
      <c r="E97" s="15">
        <v>0</v>
      </c>
      <c r="F97" s="15">
        <f t="shared" si="8"/>
        <v>943327</v>
      </c>
      <c r="G97" s="16" t="str">
        <f t="shared" si="9"/>
        <v/>
      </c>
      <c r="H97" s="17">
        <v>390040</v>
      </c>
      <c r="I97" s="17">
        <f t="shared" si="10"/>
        <v>553287</v>
      </c>
      <c r="J97" s="16">
        <f t="shared" si="11"/>
        <v>1.4185391241923906</v>
      </c>
      <c r="K97" s="61"/>
      <c r="L97" s="62"/>
    </row>
    <row r="98" spans="1:12" ht="15.75">
      <c r="A98" s="25" t="str">
        <v>Glen Mary 2</v>
      </c>
      <c r="B98" s="26" t="str">
        <v>NY</v>
      </c>
      <c r="C98" s="26" t="str">
        <f>Sites[[#This Row],[SOL'#]]</f>
        <v>SOL-10994</v>
      </c>
      <c r="D98" s="21">
        <v>410828</v>
      </c>
      <c r="E98" s="11">
        <v>0</v>
      </c>
      <c r="F98" s="11">
        <f t="shared" si="8"/>
        <v>410828</v>
      </c>
      <c r="G98" s="12" t="str">
        <f t="shared" si="9"/>
        <v/>
      </c>
      <c r="H98" s="13">
        <v>159200</v>
      </c>
      <c r="I98" s="13">
        <f t="shared" si="10"/>
        <v>251628</v>
      </c>
      <c r="J98" s="80">
        <f t="shared" si="11"/>
        <v>1.5805778894472362</v>
      </c>
      <c r="K98" s="66"/>
      <c r="L98" s="66"/>
    </row>
    <row r="99" spans="1:12" ht="15.75">
      <c r="A99" s="27" t="str">
        <v>Telegraph 1</v>
      </c>
      <c r="B99" s="28" t="str">
        <v>NY</v>
      </c>
      <c r="C99" s="28" t="str">
        <f>Sites[[#This Row],[SOL'#]]</f>
        <v>SOL-11003</v>
      </c>
      <c r="D99" s="10">
        <v>731731</v>
      </c>
      <c r="E99" s="15">
        <v>0</v>
      </c>
      <c r="F99" s="15">
        <f t="shared" si="8"/>
        <v>731731</v>
      </c>
      <c r="G99" s="16" t="str">
        <f t="shared" si="9"/>
        <v/>
      </c>
      <c r="H99" s="17">
        <v>264670</v>
      </c>
      <c r="I99" s="17">
        <f t="shared" si="10"/>
        <v>467061</v>
      </c>
      <c r="J99" s="16">
        <f t="shared" si="11"/>
        <v>1.7646918804549061</v>
      </c>
      <c r="K99" s="61" t="s">
        <v>495</v>
      </c>
      <c r="L99" s="62" t="s">
        <v>496</v>
      </c>
    </row>
    <row r="100" spans="1:12" ht="15.75">
      <c r="A100" s="25" t="str">
        <v>Telegraph 2</v>
      </c>
      <c r="B100" s="26" t="str">
        <v>NY</v>
      </c>
      <c r="C100" s="26" t="str">
        <f>Sites[[#This Row],[SOL'#]]</f>
        <v>SOL-11004</v>
      </c>
      <c r="D100" s="21">
        <v>390254</v>
      </c>
      <c r="E100" s="11">
        <v>0</v>
      </c>
      <c r="F100" s="11">
        <f t="shared" si="8"/>
        <v>390254</v>
      </c>
      <c r="G100" s="12" t="str">
        <f t="shared" si="9"/>
        <v/>
      </c>
      <c r="H100" s="13">
        <v>137310</v>
      </c>
      <c r="I100" s="13">
        <f t="shared" si="10"/>
        <v>252944</v>
      </c>
      <c r="J100" s="80">
        <f t="shared" si="11"/>
        <v>1.8421382273687277</v>
      </c>
      <c r="K100" s="89" t="s">
        <v>497</v>
      </c>
      <c r="L100" s="90" t="s">
        <v>498</v>
      </c>
    </row>
    <row r="101" spans="1:12" ht="15.75">
      <c r="A101" s="27" t="str">
        <v>Cafferty Hill</v>
      </c>
      <c r="B101" s="28" t="str">
        <v>NY</v>
      </c>
      <c r="C101" s="28" t="str">
        <f>Sites[[#This Row],[SOL'#]]</f>
        <v>SOL-10996</v>
      </c>
      <c r="D101" s="10">
        <v>907122</v>
      </c>
      <c r="E101" s="15">
        <v>0</v>
      </c>
      <c r="F101" s="15">
        <f t="shared" si="8"/>
        <v>907122</v>
      </c>
      <c r="G101" s="16" t="str">
        <f t="shared" si="9"/>
        <v/>
      </c>
      <c r="H101" s="17">
        <v>312326</v>
      </c>
      <c r="I101" s="17">
        <f t="shared" si="10"/>
        <v>594796</v>
      </c>
      <c r="J101" s="16">
        <f t="shared" si="11"/>
        <v>1.9044075741372797</v>
      </c>
      <c r="K101" s="61"/>
      <c r="L101" s="61"/>
    </row>
    <row r="102" spans="1:12" ht="15.75">
      <c r="A102" s="25" t="str">
        <v>Dunkleman</v>
      </c>
      <c r="B102" s="26" t="str">
        <v>NY</v>
      </c>
      <c r="C102" s="26" t="str">
        <f>Sites[[#This Row],[SOL'#]]</f>
        <v>SOL-11008</v>
      </c>
      <c r="D102" s="21">
        <v>464580</v>
      </c>
      <c r="E102" s="11">
        <v>0</v>
      </c>
      <c r="F102" s="11">
        <f t="shared" si="8"/>
        <v>464580</v>
      </c>
      <c r="G102" s="12" t="str">
        <f t="shared" si="9"/>
        <v/>
      </c>
      <c r="H102" s="13">
        <v>327000</v>
      </c>
      <c r="I102" s="13">
        <f t="shared" si="10"/>
        <v>137580</v>
      </c>
      <c r="J102" s="80">
        <f t="shared" si="11"/>
        <v>0.42073394495412841</v>
      </c>
      <c r="K102" s="66" t="s">
        <v>499</v>
      </c>
      <c r="L102" s="66" t="s">
        <v>500</v>
      </c>
    </row>
    <row r="103" spans="1:12" ht="15.75">
      <c r="A103" s="27" t="str">
        <v>Route 19 1</v>
      </c>
      <c r="B103" s="28" t="str">
        <v>NY</v>
      </c>
      <c r="C103" s="28" t="str">
        <f>Sites[[#This Row],[SOL'#]]</f>
        <v>SOL-11001</v>
      </c>
      <c r="D103" s="10">
        <v>487673</v>
      </c>
      <c r="E103" s="15">
        <v>0</v>
      </c>
      <c r="F103" s="15">
        <f t="shared" si="8"/>
        <v>487673</v>
      </c>
      <c r="G103" s="16" t="str">
        <f t="shared" si="9"/>
        <v/>
      </c>
      <c r="H103" s="17">
        <v>133330</v>
      </c>
      <c r="I103" s="17">
        <f t="shared" si="10"/>
        <v>354343</v>
      </c>
      <c r="J103" s="16">
        <f t="shared" si="11"/>
        <v>2.6576389409735244</v>
      </c>
      <c r="K103" s="61"/>
      <c r="L103" s="62"/>
    </row>
    <row r="104" spans="1:12" ht="15.75">
      <c r="A104" s="25" t="str">
        <v>Route 19 2</v>
      </c>
      <c r="B104" s="26" t="str">
        <v>NY</v>
      </c>
      <c r="C104" s="26" t="str">
        <f>Sites[[#This Row],[SOL'#]]</f>
        <v>SOL-11002</v>
      </c>
      <c r="D104" s="21">
        <v>1171633</v>
      </c>
      <c r="E104" s="11">
        <v>0</v>
      </c>
      <c r="F104" s="11">
        <f t="shared" si="8"/>
        <v>1171633</v>
      </c>
      <c r="G104" s="12" t="str">
        <f t="shared" si="9"/>
        <v/>
      </c>
      <c r="H104" s="13">
        <v>361185</v>
      </c>
      <c r="I104" s="13">
        <f t="shared" si="10"/>
        <v>810448</v>
      </c>
      <c r="J104" s="80">
        <f t="shared" si="11"/>
        <v>2.2438584105098496</v>
      </c>
      <c r="K104" s="66"/>
      <c r="L104" s="66"/>
    </row>
    <row r="105" spans="1:12" ht="15.75">
      <c r="A105" s="27" t="str">
        <v>Yellow Mills 1</v>
      </c>
      <c r="B105" s="28" t="str">
        <v>NY</v>
      </c>
      <c r="C105" s="28" t="str">
        <f>Sites[[#This Row],[SOL'#]]</f>
        <v>SOL-11006</v>
      </c>
      <c r="D105" s="10">
        <v>410943</v>
      </c>
      <c r="E105" s="15">
        <v>0</v>
      </c>
      <c r="F105" s="15">
        <f t="shared" si="8"/>
        <v>410943</v>
      </c>
      <c r="G105" s="16" t="str">
        <f t="shared" si="9"/>
        <v/>
      </c>
      <c r="H105" s="17">
        <v>0</v>
      </c>
      <c r="I105" s="17">
        <f t="shared" si="10"/>
        <v>410943</v>
      </c>
      <c r="J105" s="16" t="str">
        <f t="shared" si="11"/>
        <v/>
      </c>
      <c r="K105" s="61" t="s">
        <v>501</v>
      </c>
      <c r="L105" s="61" t="s">
        <v>502</v>
      </c>
    </row>
    <row r="106" spans="1:12" ht="15.75">
      <c r="A106" s="25" t="str">
        <v>Yellow Mills 2</v>
      </c>
      <c r="B106" s="26" t="str">
        <v>NY</v>
      </c>
      <c r="C106" s="26" t="str">
        <f>Sites[[#This Row],[SOL'#]]</f>
        <v>SOL-11005</v>
      </c>
      <c r="D106" s="21">
        <v>412467</v>
      </c>
      <c r="E106" s="11">
        <v>0</v>
      </c>
      <c r="F106" s="11">
        <f t="shared" si="8"/>
        <v>412467</v>
      </c>
      <c r="G106" s="12" t="str">
        <f t="shared" si="9"/>
        <v/>
      </c>
      <c r="H106" s="13">
        <v>0</v>
      </c>
      <c r="I106" s="13">
        <f t="shared" si="10"/>
        <v>412467</v>
      </c>
      <c r="J106" s="80" t="str">
        <f t="shared" si="11"/>
        <v/>
      </c>
      <c r="K106" s="66" t="s">
        <v>501</v>
      </c>
      <c r="L106" s="66" t="s">
        <v>503</v>
      </c>
    </row>
    <row r="107" spans="1:12" ht="15.75">
      <c r="A107" s="27" t="str">
        <v>Yellow Mills 3</v>
      </c>
      <c r="B107" s="28" t="str">
        <v>NY</v>
      </c>
      <c r="C107" s="28" t="str">
        <f>Sites[[#This Row],[SOL'#]]</f>
        <v>SOL-11007</v>
      </c>
      <c r="D107" s="10">
        <v>397786</v>
      </c>
      <c r="E107" s="15">
        <v>0</v>
      </c>
      <c r="F107" s="15">
        <f t="shared" si="8"/>
        <v>397786</v>
      </c>
      <c r="G107" s="16" t="str">
        <f t="shared" si="9"/>
        <v/>
      </c>
      <c r="H107" s="17">
        <v>0</v>
      </c>
      <c r="I107" s="17">
        <f t="shared" si="10"/>
        <v>397786</v>
      </c>
      <c r="J107" s="16" t="str">
        <f t="shared" si="11"/>
        <v/>
      </c>
      <c r="K107" s="61" t="s">
        <v>501</v>
      </c>
      <c r="L107" s="61" t="s">
        <v>504</v>
      </c>
    </row>
    <row r="108" spans="1:12" ht="15.75">
      <c r="A108" s="25" t="str">
        <v>Catskill</v>
      </c>
      <c r="B108" s="26" t="str">
        <v>NY</v>
      </c>
      <c r="C108" s="26" t="str">
        <f>Sites[[#This Row],[SOL'#]]</f>
        <v>SOL-11021</v>
      </c>
      <c r="D108" s="21">
        <v>720542</v>
      </c>
      <c r="E108" s="11">
        <v>0</v>
      </c>
      <c r="F108" s="11">
        <f t="shared" si="8"/>
        <v>720542</v>
      </c>
      <c r="G108" s="12" t="str">
        <f t="shared" si="9"/>
        <v/>
      </c>
      <c r="H108" s="13">
        <v>0</v>
      </c>
      <c r="I108" s="13">
        <f t="shared" si="10"/>
        <v>720542</v>
      </c>
      <c r="J108" s="80" t="str">
        <f t="shared" si="11"/>
        <v/>
      </c>
      <c r="K108" s="66" t="s">
        <v>505</v>
      </c>
      <c r="L108" s="66" t="s">
        <v>506</v>
      </c>
    </row>
    <row r="109" spans="1:12" ht="15.75">
      <c r="A109" s="27" t="str">
        <v>Eddy Ridge</v>
      </c>
      <c r="B109" s="28" t="str">
        <v>NY</v>
      </c>
      <c r="C109" s="28" t="str">
        <f>Sites[[#This Row],[SOL'#]]</f>
        <v>SOL-11054</v>
      </c>
      <c r="D109" s="10">
        <v>558701</v>
      </c>
      <c r="E109" s="15">
        <v>0</v>
      </c>
      <c r="F109" s="15">
        <f t="shared" si="8"/>
        <v>558701</v>
      </c>
      <c r="G109" s="16" t="str">
        <f t="shared" si="9"/>
        <v/>
      </c>
      <c r="H109" s="17">
        <v>0</v>
      </c>
      <c r="I109" s="17">
        <f t="shared" si="10"/>
        <v>558701</v>
      </c>
      <c r="J109" s="16" t="str">
        <f t="shared" si="11"/>
        <v/>
      </c>
      <c r="K109" s="61"/>
      <c r="L109" s="62"/>
    </row>
    <row r="110" spans="1:12" ht="15.75">
      <c r="A110" s="25" t="str">
        <v>Ridgeway #1</v>
      </c>
      <c r="B110" s="26" t="str">
        <v>NY</v>
      </c>
      <c r="C110" s="26" t="str">
        <f>Sites[[#This Row],[SOL'#]]</f>
        <v>SOL-11018</v>
      </c>
      <c r="D110" s="21">
        <v>1252209</v>
      </c>
      <c r="E110" s="11">
        <v>0</v>
      </c>
      <c r="F110" s="11">
        <f t="shared" si="8"/>
        <v>1252209</v>
      </c>
      <c r="G110" s="12" t="str">
        <f t="shared" si="9"/>
        <v/>
      </c>
      <c r="H110" s="13">
        <v>0</v>
      </c>
      <c r="I110" s="13">
        <f t="shared" si="10"/>
        <v>1252209</v>
      </c>
      <c r="J110" s="80" t="str">
        <f t="shared" si="11"/>
        <v/>
      </c>
      <c r="K110" s="66"/>
      <c r="L110" s="66"/>
    </row>
    <row r="111" spans="1:12" ht="57">
      <c r="A111" s="27" t="str">
        <v>Rivard 1</v>
      </c>
      <c r="B111" s="28" t="str">
        <v>NY</v>
      </c>
      <c r="C111" s="28" t="str">
        <f>Sites[[#This Row],[SOL'#]]</f>
        <v>SOL-11011</v>
      </c>
      <c r="D111" s="10">
        <v>681740</v>
      </c>
      <c r="E111" s="15">
        <v>1092688</v>
      </c>
      <c r="F111" s="15">
        <f t="shared" si="8"/>
        <v>-410948</v>
      </c>
      <c r="G111" s="16">
        <f t="shared" si="9"/>
        <v>-0.37608905744366189</v>
      </c>
      <c r="H111" s="17">
        <v>1053763</v>
      </c>
      <c r="I111" s="17">
        <f t="shared" si="10"/>
        <v>-372023</v>
      </c>
      <c r="J111" s="16">
        <f t="shared" si="11"/>
        <v>-0.35304238239528241</v>
      </c>
      <c r="K111" s="61" t="s">
        <v>507</v>
      </c>
      <c r="L111" s="62" t="s">
        <v>508</v>
      </c>
    </row>
    <row r="112" spans="1:12" ht="15.75">
      <c r="A112" s="25" t="str">
        <v>Rivard 2</v>
      </c>
      <c r="B112" s="26" t="str">
        <v>NY</v>
      </c>
      <c r="C112" s="26" t="str">
        <f>Sites[[#This Row],[SOL'#]]</f>
        <v>SOL-11012</v>
      </c>
      <c r="D112" s="21">
        <v>986307</v>
      </c>
      <c r="E112" s="11">
        <v>963929.4</v>
      </c>
      <c r="F112" s="11">
        <f t="shared" si="8"/>
        <v>22377.599999999977</v>
      </c>
      <c r="G112" s="12">
        <f t="shared" si="9"/>
        <v>2.3214978192386264E-2</v>
      </c>
      <c r="H112" s="13">
        <v>1011154</v>
      </c>
      <c r="I112" s="13">
        <f t="shared" si="10"/>
        <v>-24847</v>
      </c>
      <c r="J112" s="80">
        <f t="shared" si="11"/>
        <v>-2.457291372036307E-2</v>
      </c>
      <c r="K112" s="66"/>
      <c r="L112" s="66"/>
    </row>
    <row r="113" spans="1:12" ht="15.75">
      <c r="A113" s="27" t="str">
        <v>Essex</v>
      </c>
      <c r="B113" s="28" t="str">
        <v>DC</v>
      </c>
      <c r="C113" s="28" t="str">
        <f>Sites[[#This Row],[SOL'#]]</f>
        <v>SOL-10036</v>
      </c>
      <c r="D113" s="10">
        <v>3802</v>
      </c>
      <c r="E113" s="15">
        <v>5305.6030000000001</v>
      </c>
      <c r="F113" s="15">
        <f t="shared" si="8"/>
        <v>-1503.6030000000001</v>
      </c>
      <c r="G113" s="16">
        <f t="shared" si="9"/>
        <v>-0.28339907829515326</v>
      </c>
      <c r="H113" s="17">
        <v>4783.6229999999996</v>
      </c>
      <c r="I113" s="17">
        <f t="shared" si="10"/>
        <v>-981.62299999999959</v>
      </c>
      <c r="J113" s="16">
        <f t="shared" si="11"/>
        <v>-0.20520492522090467</v>
      </c>
      <c r="K113" s="61"/>
      <c r="L113" s="61"/>
    </row>
    <row r="114" spans="1:12" ht="15.75">
      <c r="A114" s="25" t="str">
        <v>Temple Sinai</v>
      </c>
      <c r="B114" s="26" t="str">
        <v>DC</v>
      </c>
      <c r="C114" s="26" t="str">
        <f>Sites[[#This Row],[SOL'#]]</f>
        <v>SOL-10028</v>
      </c>
      <c r="D114" s="21">
        <v>9352.0600000000595</v>
      </c>
      <c r="E114" s="11">
        <v>12952.48</v>
      </c>
      <c r="F114" s="11">
        <f t="shared" si="8"/>
        <v>-3600.41999999994</v>
      </c>
      <c r="G114" s="12">
        <f t="shared" si="9"/>
        <v>-0.27797147727693383</v>
      </c>
      <c r="H114" s="13">
        <v>11563.38</v>
      </c>
      <c r="I114" s="13">
        <f t="shared" si="10"/>
        <v>-2211.3199999999397</v>
      </c>
      <c r="J114" s="80">
        <f t="shared" si="11"/>
        <v>-0.19123474278281435</v>
      </c>
      <c r="K114" s="66"/>
      <c r="L114" s="66"/>
    </row>
    <row r="115" spans="1:12" ht="15.75">
      <c r="A115" s="27" t="str">
        <v>Weinberg 1</v>
      </c>
      <c r="B115" s="28" t="str">
        <v>DC</v>
      </c>
      <c r="C115" s="28" t="str">
        <f>Sites[[#This Row],[SOL'#]]</f>
        <v>SOL-10039</v>
      </c>
      <c r="D115" s="10">
        <v>1520</v>
      </c>
      <c r="E115" s="15">
        <v>1635.847</v>
      </c>
      <c r="F115" s="15">
        <f t="shared" si="8"/>
        <v>-115.84699999999998</v>
      </c>
      <c r="G115" s="16">
        <f t="shared" si="9"/>
        <v>-7.081774762554198E-2</v>
      </c>
      <c r="H115" s="17">
        <v>1728.0630000000001</v>
      </c>
      <c r="I115" s="17">
        <f t="shared" si="10"/>
        <v>-208.0630000000001</v>
      </c>
      <c r="J115" s="16">
        <f t="shared" si="11"/>
        <v>-0.1204024390314474</v>
      </c>
      <c r="K115" s="61"/>
      <c r="L115" s="62"/>
    </row>
    <row r="116" spans="1:12" ht="15.75">
      <c r="A116" s="25" t="str">
        <v>Weinberg 2</v>
      </c>
      <c r="B116" s="26" t="str">
        <v>DC</v>
      </c>
      <c r="C116" s="26" t="str">
        <f>Sites[[#This Row],[SOL'#]]</f>
        <v>SOL-10045</v>
      </c>
      <c r="D116" s="21">
        <v>1352</v>
      </c>
      <c r="E116" s="11">
        <v>1425.348</v>
      </c>
      <c r="F116" s="11">
        <f t="shared" si="8"/>
        <v>-73.347999999999956</v>
      </c>
      <c r="G116" s="12">
        <f t="shared" si="9"/>
        <v>-5.1459713697988109E-2</v>
      </c>
      <c r="H116" s="13">
        <v>1737.701</v>
      </c>
      <c r="I116" s="13">
        <f t="shared" si="10"/>
        <v>-385.70100000000002</v>
      </c>
      <c r="J116" s="80">
        <f t="shared" si="11"/>
        <v>-0.22196050989209307</v>
      </c>
      <c r="K116" s="66"/>
      <c r="L116" s="66"/>
    </row>
    <row r="117" spans="1:12" ht="15.75">
      <c r="A117" s="27" t="str">
        <v>Weinberg 3</v>
      </c>
      <c r="B117" s="28" t="str">
        <v>DC</v>
      </c>
      <c r="C117" s="28" t="str">
        <f>Sites[[#This Row],[SOL'#]]</f>
        <v>SOL-10042</v>
      </c>
      <c r="D117" s="10">
        <v>1699</v>
      </c>
      <c r="E117" s="15">
        <v>1665.962</v>
      </c>
      <c r="F117" s="15">
        <f t="shared" si="8"/>
        <v>33.038000000000011</v>
      </c>
      <c r="G117" s="16">
        <f t="shared" si="9"/>
        <v>1.9831184624859399E-2</v>
      </c>
      <c r="H117" s="17">
        <v>1803</v>
      </c>
      <c r="I117" s="17">
        <f t="shared" si="10"/>
        <v>-104</v>
      </c>
      <c r="J117" s="16">
        <f t="shared" si="11"/>
        <v>-5.7681641708264002E-2</v>
      </c>
      <c r="K117" s="61"/>
      <c r="L117" s="62"/>
    </row>
    <row r="118" spans="1:12" ht="15.75">
      <c r="A118" s="25" t="str">
        <v>Clayton Hall</v>
      </c>
      <c r="B118" s="26" t="str">
        <v>DE</v>
      </c>
      <c r="C118" s="26" t="str">
        <f>Sites[[#This Row],[SOL'#]]</f>
        <v>SOL-10820</v>
      </c>
      <c r="D118" s="21">
        <v>17076</v>
      </c>
      <c r="E118" s="11">
        <v>20989.873</v>
      </c>
      <c r="F118" s="11">
        <f t="shared" si="8"/>
        <v>-3913.8729999999996</v>
      </c>
      <c r="G118" s="12">
        <f t="shared" si="9"/>
        <v>-0.18646482520404004</v>
      </c>
      <c r="H118" s="13">
        <v>4958.8710000000001</v>
      </c>
      <c r="I118" s="13">
        <f t="shared" si="10"/>
        <v>12117.129000000001</v>
      </c>
      <c r="J118" s="80">
        <f t="shared" si="11"/>
        <v>2.4435257541484745</v>
      </c>
      <c r="K118" s="66"/>
      <c r="L118" s="66"/>
    </row>
    <row r="119" spans="1:12" ht="15.75">
      <c r="A119" s="27" t="str">
        <v>Field House</v>
      </c>
      <c r="B119" s="28" t="str">
        <v>DE</v>
      </c>
      <c r="C119" s="28" t="str">
        <f>Sites[[#This Row],[SOL'#]]</f>
        <v>SOL-10821</v>
      </c>
      <c r="D119" s="10">
        <v>48426</v>
      </c>
      <c r="E119" s="15">
        <v>0</v>
      </c>
      <c r="F119" s="15">
        <f t="shared" si="8"/>
        <v>48426</v>
      </c>
      <c r="G119" s="16" t="str">
        <f t="shared" si="9"/>
        <v/>
      </c>
      <c r="H119" s="17">
        <v>51900.112000000001</v>
      </c>
      <c r="I119" s="17">
        <f t="shared" si="10"/>
        <v>-3474.112000000001</v>
      </c>
      <c r="J119" s="16">
        <f t="shared" si="11"/>
        <v>-6.6938429728244153E-2</v>
      </c>
      <c r="K119" s="61"/>
      <c r="L119" s="62"/>
    </row>
    <row r="120" spans="1:12" ht="15.75">
      <c r="A120" s="25" t="str">
        <v>Wyoming Road</v>
      </c>
      <c r="B120" s="26" t="str">
        <v>DE</v>
      </c>
      <c r="C120" s="26" t="str">
        <f>Sites[[#This Row],[SOL'#]]</f>
        <v>SOL-10819</v>
      </c>
      <c r="D120" s="21">
        <v>31870</v>
      </c>
      <c r="E120" s="11">
        <v>32578.915000000001</v>
      </c>
      <c r="F120" s="11">
        <f t="shared" si="8"/>
        <v>-708.91500000000087</v>
      </c>
      <c r="G120" s="12">
        <f t="shared" si="9"/>
        <v>-2.175993276633064E-2</v>
      </c>
      <c r="H120" s="13">
        <v>38931.466</v>
      </c>
      <c r="I120" s="13">
        <f t="shared" si="10"/>
        <v>-7061.4660000000003</v>
      </c>
      <c r="J120" s="80">
        <f t="shared" si="11"/>
        <v>-0.18138197004962517</v>
      </c>
      <c r="K120" s="66"/>
      <c r="L120" s="66"/>
    </row>
    <row r="121" spans="1:12" ht="15.75">
      <c r="A121" s="27" t="str">
        <v>Leoku</v>
      </c>
      <c r="B121" s="28" t="str">
        <v>HI</v>
      </c>
      <c r="C121" s="28" t="str">
        <f>Sites[[#This Row],[SOL'#]]</f>
        <v>SOL-10071</v>
      </c>
      <c r="D121" s="10">
        <v>12666</v>
      </c>
      <c r="E121" s="15">
        <v>11161.191999999999</v>
      </c>
      <c r="F121" s="15">
        <f>IF(AND(ISNUMBER(D121),ISNUMBER(E121)), D121-E121, "")</f>
        <v>1504.8080000000009</v>
      </c>
      <c r="G121" s="16">
        <f>IFERROR(F121/E121, "")</f>
        <v>0.13482502585745332</v>
      </c>
      <c r="H121" s="17">
        <v>14146.605</v>
      </c>
      <c r="I121" s="17">
        <f>IF(AND(ISNUMBER(D121),ISNUMBER(H121)), D121-H121, "")</f>
        <v>-1480.6049999999996</v>
      </c>
      <c r="J121" s="16">
        <f t="shared" si="11"/>
        <v>-0.10466150712485431</v>
      </c>
      <c r="K121" s="61"/>
      <c r="L121" s="62"/>
    </row>
    <row r="122" spans="1:12" ht="15.75">
      <c r="A122" s="25" t="str">
        <v>Waipahu</v>
      </c>
      <c r="B122" s="26" t="str">
        <v>HI</v>
      </c>
      <c r="C122" s="26" t="str">
        <f>Sites[[#This Row],[SOL'#]]</f>
        <v>SOL-10068</v>
      </c>
      <c r="D122" s="21">
        <v>12751</v>
      </c>
      <c r="E122" s="11">
        <v>10348.629999999999</v>
      </c>
      <c r="F122" s="11">
        <f t="shared" si="8"/>
        <v>2402.3700000000008</v>
      </c>
      <c r="G122" s="12">
        <f t="shared" si="9"/>
        <v>0.23214377168765343</v>
      </c>
      <c r="H122" s="13">
        <v>14146.605</v>
      </c>
      <c r="I122" s="13">
        <f t="shared" si="10"/>
        <v>-1395.6049999999996</v>
      </c>
      <c r="J122" s="80">
        <f t="shared" si="11"/>
        <v>-9.8652998369573447E-2</v>
      </c>
      <c r="K122" s="66"/>
      <c r="L122" s="66"/>
    </row>
    <row r="123" spans="1:12" ht="42.75">
      <c r="A123" s="27" t="str">
        <v>Bird in Hand</v>
      </c>
      <c r="B123" s="28" t="str">
        <v>MD</v>
      </c>
      <c r="C123" s="28" t="str">
        <f>Sites[[#This Row],[SOL'#]]</f>
        <v>SOL-10092</v>
      </c>
      <c r="D123" s="10">
        <v>137569</v>
      </c>
      <c r="E123" s="15">
        <v>155394.70000000001</v>
      </c>
      <c r="F123" s="15">
        <f t="shared" si="8"/>
        <v>-17825.700000000012</v>
      </c>
      <c r="G123" s="16">
        <f t="shared" si="9"/>
        <v>-0.11471240653638773</v>
      </c>
      <c r="H123" s="17">
        <v>188275.4</v>
      </c>
      <c r="I123" s="17">
        <f t="shared" si="10"/>
        <v>-50706.399999999994</v>
      </c>
      <c r="J123" s="16">
        <f t="shared" si="11"/>
        <v>-0.26932036792910807</v>
      </c>
      <c r="K123" s="61" t="s">
        <v>509</v>
      </c>
      <c r="L123" s="62" t="s">
        <v>510</v>
      </c>
    </row>
    <row r="124" spans="1:12" ht="15.75">
      <c r="A124" s="25" t="str">
        <v>Shortal</v>
      </c>
      <c r="B124" s="26" t="str">
        <v>MD</v>
      </c>
      <c r="C124" s="26" t="str">
        <f>Sites[[#This Row],[SOL'#]]</f>
        <v>SOL-10091</v>
      </c>
      <c r="D124" s="21">
        <v>158036</v>
      </c>
      <c r="E124" s="11">
        <v>160520.4</v>
      </c>
      <c r="F124" s="11">
        <f t="shared" si="8"/>
        <v>-2484.3999999999942</v>
      </c>
      <c r="G124" s="12">
        <f t="shared" si="9"/>
        <v>-1.5477160535358711E-2</v>
      </c>
      <c r="H124" s="13">
        <v>11204.52</v>
      </c>
      <c r="I124" s="13">
        <f t="shared" si="10"/>
        <v>146831.48000000001</v>
      </c>
      <c r="J124" s="80">
        <f t="shared" si="11"/>
        <v>13.104664903092681</v>
      </c>
      <c r="K124" s="66"/>
      <c r="L124" s="66"/>
    </row>
    <row r="125" spans="1:12" ht="15.75">
      <c r="A125" s="27" t="str">
        <v>Aguadilla</v>
      </c>
      <c r="B125" s="28" t="str">
        <v>PR</v>
      </c>
      <c r="C125" s="28" t="str">
        <f>Sites[[#This Row],[SOL'#]]</f>
        <v>SOL-10072</v>
      </c>
      <c r="D125" s="10">
        <v>19972</v>
      </c>
      <c r="E125" s="15">
        <v>17604.080000000002</v>
      </c>
      <c r="F125" s="15">
        <f t="shared" si="8"/>
        <v>2367.9199999999983</v>
      </c>
      <c r="G125" s="16">
        <f t="shared" si="9"/>
        <v>0.13450972729049163</v>
      </c>
      <c r="H125" s="17">
        <v>20678</v>
      </c>
      <c r="I125" s="17">
        <f t="shared" si="10"/>
        <v>-706</v>
      </c>
      <c r="J125" s="16">
        <f t="shared" si="11"/>
        <v>-3.4142566979398395E-2</v>
      </c>
      <c r="K125" s="61" t="s">
        <v>511</v>
      </c>
      <c r="L125" s="61" t="s">
        <v>512</v>
      </c>
    </row>
    <row r="126" spans="1:12" ht="106.5" customHeight="1">
      <c r="A126" s="25" t="str">
        <v>Bayamon</v>
      </c>
      <c r="B126" s="26" t="str">
        <v>PR</v>
      </c>
      <c r="C126" s="26" t="str">
        <f>Sites[[#This Row],[SOL'#]]</f>
        <v>SOL-10073</v>
      </c>
      <c r="D126" s="21">
        <v>69466</v>
      </c>
      <c r="E126" s="11">
        <v>76549.8</v>
      </c>
      <c r="F126" s="11">
        <f t="shared" si="8"/>
        <v>-7083.8000000000029</v>
      </c>
      <c r="G126" s="12">
        <f t="shared" si="9"/>
        <v>-9.2538452092624707E-2</v>
      </c>
      <c r="H126" s="13">
        <v>0</v>
      </c>
      <c r="I126" s="13">
        <f t="shared" si="10"/>
        <v>69466</v>
      </c>
      <c r="J126" s="80" t="str">
        <f t="shared" si="11"/>
        <v/>
      </c>
      <c r="K126" s="66" t="s">
        <v>513</v>
      </c>
      <c r="L126" s="66" t="s">
        <v>514</v>
      </c>
    </row>
    <row r="127" spans="1:12" ht="122.25" customHeight="1">
      <c r="A127" s="27" t="str">
        <v>St Francis</v>
      </c>
      <c r="B127" s="28" t="str">
        <v>PR</v>
      </c>
      <c r="C127" s="28" t="str">
        <f>Sites[[#This Row],[SOL'#]]</f>
        <v>SOL-10034</v>
      </c>
      <c r="D127" s="10">
        <v>21740.25</v>
      </c>
      <c r="E127" s="15">
        <v>42330.31</v>
      </c>
      <c r="F127" s="15">
        <f t="shared" si="8"/>
        <v>-20590.059999999998</v>
      </c>
      <c r="G127" s="16">
        <f t="shared" si="9"/>
        <v>-0.48641410847215621</v>
      </c>
      <c r="H127" s="17">
        <v>32568</v>
      </c>
      <c r="I127" s="17">
        <f t="shared" si="10"/>
        <v>-10827.75</v>
      </c>
      <c r="J127" s="16">
        <f t="shared" si="11"/>
        <v>-0.33246591746499632</v>
      </c>
      <c r="K127" s="61" t="s">
        <v>515</v>
      </c>
      <c r="L127" s="61" t="s">
        <v>516</v>
      </c>
    </row>
    <row r="128" spans="1:12" ht="15.75">
      <c r="A128" s="25" t="str">
        <v>Seaport</v>
      </c>
      <c r="B128" s="26" t="str">
        <v>MA</v>
      </c>
      <c r="C128" s="26" t="str">
        <f>Sites[[#This Row],[SOL'#]]</f>
        <v>SOL-10772</v>
      </c>
      <c r="D128" s="21">
        <v>77608</v>
      </c>
      <c r="E128" s="11">
        <v>71581.52</v>
      </c>
      <c r="F128" s="11">
        <f t="shared" si="8"/>
        <v>6026.4799999999959</v>
      </c>
      <c r="G128" s="12">
        <f t="shared" si="9"/>
        <v>8.4190444684605681E-2</v>
      </c>
      <c r="H128" s="13">
        <v>86121.88</v>
      </c>
      <c r="I128" s="13">
        <f t="shared" si="10"/>
        <v>-8513.8800000000047</v>
      </c>
      <c r="J128" s="80">
        <f t="shared" si="11"/>
        <v>-9.8858501463275114E-2</v>
      </c>
      <c r="K128" s="66"/>
      <c r="L128" s="66"/>
    </row>
    <row r="129" spans="1:12" ht="57">
      <c r="A129" s="27" t="str">
        <v>Sprague St</v>
      </c>
      <c r="B129" s="28" t="str">
        <v>MA</v>
      </c>
      <c r="C129" s="28" t="str">
        <f>Sites[[#This Row],[SOL'#]]</f>
        <v>SOL-10773</v>
      </c>
      <c r="D129" s="10">
        <v>177501</v>
      </c>
      <c r="E129" s="15">
        <v>175264.239</v>
      </c>
      <c r="F129" s="15">
        <f t="shared" si="8"/>
        <v>2236.7609999999986</v>
      </c>
      <c r="G129" s="16">
        <f t="shared" si="9"/>
        <v>1.2762221276640459E-2</v>
      </c>
      <c r="H129" s="17">
        <v>188331.30900000001</v>
      </c>
      <c r="I129" s="17">
        <f t="shared" si="10"/>
        <v>-10830.309000000008</v>
      </c>
      <c r="J129" s="16">
        <f t="shared" si="11"/>
        <v>-5.7506683607238179E-2</v>
      </c>
      <c r="K129" s="61" t="s">
        <v>517</v>
      </c>
      <c r="L129" s="76" t="s">
        <v>518</v>
      </c>
    </row>
    <row r="130" spans="1:12" ht="78" customHeight="1">
      <c r="A130" s="25" t="str">
        <v>Summer St</v>
      </c>
      <c r="B130" s="26" t="str">
        <v>MA</v>
      </c>
      <c r="C130" s="26" t="str">
        <f>Sites[[#This Row],[SOL'#]]</f>
        <v>SOL-10764</v>
      </c>
      <c r="D130" s="21">
        <v>354654</v>
      </c>
      <c r="E130" s="11">
        <v>373857.1</v>
      </c>
      <c r="F130" s="11">
        <f t="shared" si="8"/>
        <v>-19203.099999999977</v>
      </c>
      <c r="G130" s="12">
        <f t="shared" si="9"/>
        <v>-5.1364812919160764E-2</v>
      </c>
      <c r="H130" s="13">
        <v>404085.6</v>
      </c>
      <c r="I130" s="13">
        <f t="shared" si="10"/>
        <v>-49431.599999999977</v>
      </c>
      <c r="J130" s="80">
        <f t="shared" si="11"/>
        <v>-0.12232952621919707</v>
      </c>
      <c r="K130" s="66" t="s">
        <v>519</v>
      </c>
      <c r="L130" s="66" t="s">
        <v>520</v>
      </c>
    </row>
    <row r="131" spans="1:12" ht="15.75">
      <c r="A131" s="27" t="str">
        <v>Brock St Vocational</v>
      </c>
      <c r="B131" s="28" t="str">
        <v>NH</v>
      </c>
      <c r="C131" s="28" t="str">
        <f>Sites[[#This Row],[SOL'#]]</f>
        <v>SOL-10768</v>
      </c>
      <c r="D131" s="10">
        <v>15995.6246027913</v>
      </c>
      <c r="E131" s="15">
        <v>15437.52</v>
      </c>
      <c r="F131" s="15">
        <f t="shared" si="8"/>
        <v>558.10460279129984</v>
      </c>
      <c r="G131" s="16">
        <f t="shared" si="9"/>
        <v>3.6152478039950704E-2</v>
      </c>
      <c r="H131" s="17">
        <v>16026.58</v>
      </c>
      <c r="I131" s="17">
        <f t="shared" si="10"/>
        <v>-30.955397208699651</v>
      </c>
      <c r="J131" s="16">
        <f t="shared" si="11"/>
        <v>-1.9315036151630386E-3</v>
      </c>
      <c r="K131" s="61"/>
      <c r="L131" s="62"/>
    </row>
    <row r="132" spans="1:12" ht="15.75">
      <c r="A132" s="25" t="str">
        <v>McClelland ES</v>
      </c>
      <c r="B132" s="26" t="str">
        <v>NH</v>
      </c>
      <c r="C132" s="26" t="str">
        <f>Sites[[#This Row],[SOL'#]]</f>
        <v>SOL-10766</v>
      </c>
      <c r="D132" s="21">
        <v>11630.623</v>
      </c>
      <c r="E132" s="11">
        <v>12158</v>
      </c>
      <c r="F132" s="11">
        <f t="shared" si="8"/>
        <v>-527.37700000000041</v>
      </c>
      <c r="G132" s="12">
        <f t="shared" si="9"/>
        <v>-4.3376953446290542E-2</v>
      </c>
      <c r="H132" s="13">
        <v>11615.5</v>
      </c>
      <c r="I132" s="13">
        <f t="shared" si="10"/>
        <v>15.122999999999593</v>
      </c>
      <c r="J132" s="80">
        <f t="shared" si="11"/>
        <v>1.3019671990012994E-3</v>
      </c>
      <c r="K132" s="66"/>
      <c r="L132" s="66"/>
    </row>
    <row r="133" spans="1:12" ht="15.75">
      <c r="A133" s="27" t="str">
        <v>Portland St</v>
      </c>
      <c r="B133" s="28" t="str">
        <v>NH</v>
      </c>
      <c r="C133" s="28" t="str">
        <f>Sites[[#This Row],[SOL'#]]</f>
        <v>SOL-10771</v>
      </c>
      <c r="D133" s="10">
        <v>10241</v>
      </c>
      <c r="E133" s="15">
        <v>7336</v>
      </c>
      <c r="F133" s="15">
        <f t="shared" si="8"/>
        <v>2905</v>
      </c>
      <c r="G133" s="16">
        <f t="shared" si="9"/>
        <v>0.39599236641221375</v>
      </c>
      <c r="H133" s="17">
        <v>9329</v>
      </c>
      <c r="I133" s="17">
        <f t="shared" si="10"/>
        <v>912</v>
      </c>
      <c r="J133" s="16">
        <f t="shared" si="11"/>
        <v>9.775967413441955E-2</v>
      </c>
      <c r="K133" s="61"/>
      <c r="L133" s="62"/>
    </row>
    <row r="134" spans="1:12" ht="15.75">
      <c r="A134" s="25" t="str">
        <v>Portsmouth HS</v>
      </c>
      <c r="B134" s="26" t="str">
        <v>NH</v>
      </c>
      <c r="C134" s="26" t="str">
        <f>Sites[[#This Row],[SOL'#]]</f>
        <v>SOL-10769</v>
      </c>
      <c r="D134" s="21">
        <v>39866.625</v>
      </c>
      <c r="E134" s="11">
        <v>32276.432000000001</v>
      </c>
      <c r="F134" s="11">
        <f t="shared" si="8"/>
        <v>7590.1929999999993</v>
      </c>
      <c r="G134" s="12">
        <f t="shared" si="9"/>
        <v>0.23516208359089999</v>
      </c>
      <c r="H134" s="13">
        <v>17085.452000000001</v>
      </c>
      <c r="I134" s="13">
        <f t="shared" si="10"/>
        <v>22781.172999999999</v>
      </c>
      <c r="J134" s="80">
        <f t="shared" si="11"/>
        <v>1.3333667145592636</v>
      </c>
      <c r="K134" s="66"/>
      <c r="L134" s="66"/>
    </row>
    <row r="135" spans="1:12" ht="15.75">
      <c r="A135" s="27" t="str">
        <v>Portsmouth WTP</v>
      </c>
      <c r="B135" s="28" t="str">
        <v>NH</v>
      </c>
      <c r="C135" s="28" t="str">
        <f>Sites[[#This Row],[SOL'#]]</f>
        <v>SOL-10770</v>
      </c>
      <c r="D135" s="10">
        <v>31903.25</v>
      </c>
      <c r="E135" s="15">
        <v>32056.91</v>
      </c>
      <c r="F135" s="15">
        <f t="shared" si="8"/>
        <v>-153.65999999999985</v>
      </c>
      <c r="G135" s="16">
        <f t="shared" si="9"/>
        <v>-4.7933503260295472E-3</v>
      </c>
      <c r="H135" s="17">
        <v>36748</v>
      </c>
      <c r="I135" s="17">
        <f t="shared" si="10"/>
        <v>-4844.75</v>
      </c>
      <c r="J135" s="16">
        <f t="shared" si="11"/>
        <v>-0.13183710678132143</v>
      </c>
      <c r="K135" s="61"/>
      <c r="L135" s="62"/>
    </row>
    <row r="136" spans="1:12" ht="15.75">
      <c r="A136" s="25" t="str">
        <v>Rochester St</v>
      </c>
      <c r="B136" s="26" t="str">
        <v>NH</v>
      </c>
      <c r="C136" s="26" t="str">
        <f>Sites[[#This Row],[SOL'#]]</f>
        <v>SOL-10765</v>
      </c>
      <c r="D136" s="21">
        <v>33812</v>
      </c>
      <c r="E136" s="11">
        <v>34962</v>
      </c>
      <c r="F136" s="11">
        <f t="shared" si="8"/>
        <v>-1150</v>
      </c>
      <c r="G136" s="12">
        <f t="shared" si="9"/>
        <v>-3.2892855099822663E-2</v>
      </c>
      <c r="H136" s="13">
        <v>35880</v>
      </c>
      <c r="I136" s="13">
        <f t="shared" si="10"/>
        <v>-2068</v>
      </c>
      <c r="J136" s="80">
        <f t="shared" si="11"/>
        <v>-5.7636566332218503E-2</v>
      </c>
      <c r="K136" s="66"/>
      <c r="L136" s="66"/>
    </row>
    <row r="137" spans="1:12" ht="15.75">
      <c r="A137" s="27" t="str">
        <v>Spaulding HS</v>
      </c>
      <c r="B137" s="28" t="str">
        <v>NH</v>
      </c>
      <c r="C137" s="28" t="str">
        <f>Sites[[#This Row],[SOL'#]]</f>
        <v>SOL-10767</v>
      </c>
      <c r="D137" s="10">
        <v>17266.2505655397</v>
      </c>
      <c r="E137" s="15">
        <v>14858.98</v>
      </c>
      <c r="F137" s="15">
        <f t="shared" si="8"/>
        <v>2407.2705655397003</v>
      </c>
      <c r="G137" s="16">
        <f t="shared" si="9"/>
        <v>0.16200779363992013</v>
      </c>
      <c r="H137" s="17">
        <v>18250.27</v>
      </c>
      <c r="I137" s="17">
        <f t="shared" si="10"/>
        <v>-984.01943446030054</v>
      </c>
      <c r="J137" s="16">
        <f t="shared" si="11"/>
        <v>-5.3918075429037517E-2</v>
      </c>
      <c r="K137" s="61"/>
      <c r="L137" s="62"/>
    </row>
    <row r="138" spans="1:12" ht="15.75">
      <c r="A138" s="25" t="str">
        <v>Ridgeway #2</v>
      </c>
      <c r="B138" s="26" t="str">
        <v>NY</v>
      </c>
      <c r="C138" s="26" t="str">
        <f>Sites[[#This Row],[SOL'#]]</f>
        <v>SOL-11027</v>
      </c>
      <c r="D138" s="21">
        <v>640777.4</v>
      </c>
      <c r="E138" s="11">
        <v>0</v>
      </c>
      <c r="F138" s="11">
        <f t="shared" si="8"/>
        <v>640777.4</v>
      </c>
      <c r="G138" s="12" t="str">
        <f t="shared" si="9"/>
        <v/>
      </c>
      <c r="H138" s="13">
        <v>0</v>
      </c>
      <c r="I138" s="13">
        <f t="shared" si="10"/>
        <v>640777.4</v>
      </c>
      <c r="J138" s="80" t="str">
        <f t="shared" si="11"/>
        <v/>
      </c>
      <c r="K138" s="66"/>
      <c r="L138" s="66"/>
    </row>
    <row r="139" spans="1:12" ht="15.75">
      <c r="A139" s="27" t="str">
        <v>Spencer</v>
      </c>
      <c r="B139" s="28" t="str">
        <v>NY</v>
      </c>
      <c r="C139" s="28" t="str">
        <f>Sites[[#This Row],[SOL'#]]</f>
        <v>SOL-11017</v>
      </c>
      <c r="D139" s="10">
        <v>1193229.3999999999</v>
      </c>
      <c r="E139" s="15">
        <v>0</v>
      </c>
      <c r="F139" s="15">
        <f t="shared" si="8"/>
        <v>1193229.3999999999</v>
      </c>
      <c r="G139" s="16" t="str">
        <f t="shared" si="9"/>
        <v/>
      </c>
      <c r="H139" s="17">
        <v>0</v>
      </c>
      <c r="I139" s="17">
        <f t="shared" si="10"/>
        <v>1193229.3999999999</v>
      </c>
      <c r="J139" s="16" t="str">
        <f t="shared" si="11"/>
        <v/>
      </c>
      <c r="K139" s="61" t="s">
        <v>521</v>
      </c>
      <c r="L139" s="62" t="s">
        <v>522</v>
      </c>
    </row>
    <row r="140" spans="1:12" ht="15.75">
      <c r="A140" s="29" t="str">
        <v>Reisender</v>
      </c>
      <c r="B140" s="26" t="str">
        <v>NY</v>
      </c>
      <c r="C140" s="26" t="str">
        <f>Sites[[#This Row],[SOL'#]]</f>
        <v>SOL-10886</v>
      </c>
      <c r="D140" s="67"/>
      <c r="E140" s="11"/>
      <c r="F140" s="11" t="str">
        <f t="shared" si="8"/>
        <v/>
      </c>
      <c r="G140" s="68" t="str">
        <f t="shared" si="9"/>
        <v/>
      </c>
      <c r="H140" s="83"/>
      <c r="I140" s="83" t="str">
        <f t="shared" si="10"/>
        <v/>
      </c>
      <c r="J140" s="80" t="str">
        <f t="shared" si="11"/>
        <v/>
      </c>
      <c r="K140" s="89"/>
      <c r="L140" s="66"/>
    </row>
    <row r="141" spans="1:12" ht="15.75">
      <c r="A141" s="27" t="str">
        <v>Finney</v>
      </c>
      <c r="B141" s="28" t="str">
        <v>NY</v>
      </c>
      <c r="C141" s="28" t="str">
        <f>Sites[[#This Row],[SOL'#]]</f>
        <v>SOL-10999</v>
      </c>
      <c r="D141" s="82"/>
      <c r="E141" s="15"/>
      <c r="F141" s="15" t="str">
        <f t="shared" si="8"/>
        <v/>
      </c>
      <c r="G141" s="84" t="str">
        <f t="shared" si="9"/>
        <v/>
      </c>
      <c r="H141" s="85"/>
      <c r="I141" s="85" t="str">
        <f t="shared" si="10"/>
        <v/>
      </c>
      <c r="J141" s="84" t="str">
        <f t="shared" si="11"/>
        <v/>
      </c>
      <c r="K141" s="61"/>
      <c r="L141" s="91"/>
    </row>
    <row r="142" spans="1:12" ht="15.75">
      <c r="A142" s="25" t="str">
        <v>Davis Solar</v>
      </c>
      <c r="B142" s="26" t="str">
        <v>NY</v>
      </c>
      <c r="C142" s="26" t="str">
        <f>Sites[[#This Row],[SOL'#]]</f>
        <v>SOL-10958</v>
      </c>
      <c r="D142" s="67"/>
      <c r="E142" s="11"/>
      <c r="F142" s="11" t="str">
        <f t="shared" si="8"/>
        <v/>
      </c>
      <c r="G142" s="68" t="str">
        <f t="shared" si="9"/>
        <v/>
      </c>
      <c r="H142" s="83"/>
      <c r="I142" s="83" t="str">
        <f t="shared" si="10"/>
        <v/>
      </c>
      <c r="J142" s="80" t="str">
        <f t="shared" si="11"/>
        <v/>
      </c>
      <c r="K142" s="89"/>
      <c r="L142" s="66"/>
    </row>
    <row r="143" spans="1:12" ht="15.75">
      <c r="A143" s="27" t="str">
        <v>Genesee</v>
      </c>
      <c r="B143" s="28" t="str">
        <v>NY</v>
      </c>
      <c r="C143" s="28" t="str">
        <f>Sites[[#This Row],[SOL'#]]</f>
        <v>SOL-10951</v>
      </c>
      <c r="D143" s="82"/>
      <c r="E143" s="15"/>
      <c r="F143" s="15" t="str">
        <f t="shared" si="8"/>
        <v/>
      </c>
      <c r="G143" s="84" t="str">
        <f t="shared" si="9"/>
        <v/>
      </c>
      <c r="H143" s="85"/>
      <c r="I143" s="85" t="str">
        <f t="shared" si="10"/>
        <v/>
      </c>
      <c r="J143" s="84" t="str">
        <f t="shared" si="11"/>
        <v/>
      </c>
      <c r="K143" s="39"/>
      <c r="L143" s="18"/>
    </row>
    <row r="144" spans="1:12" ht="15.75">
      <c r="A144" s="25" t="str">
        <v>Landau I</v>
      </c>
      <c r="B144" s="26" t="str">
        <v>NY</v>
      </c>
      <c r="C144" s="26" t="str">
        <f>Sites[[#This Row],[SOL'#]]</f>
        <v>SOL-10891</v>
      </c>
      <c r="D144" s="67"/>
      <c r="E144" s="11"/>
      <c r="F144" s="11" t="str">
        <f t="shared" si="8"/>
        <v/>
      </c>
      <c r="G144" s="68" t="str">
        <f t="shared" si="9"/>
        <v/>
      </c>
      <c r="H144" s="83"/>
      <c r="I144" s="83" t="str">
        <f t="shared" si="10"/>
        <v/>
      </c>
      <c r="J144" s="80" t="str">
        <f t="shared" si="11"/>
        <v/>
      </c>
      <c r="K144" s="70"/>
      <c r="L144" s="38"/>
    </row>
    <row r="145" spans="1:12" ht="15.75">
      <c r="A145" s="27" t="str">
        <v>Landau II</v>
      </c>
      <c r="B145" s="28" t="str">
        <v>NY</v>
      </c>
      <c r="C145" s="28" t="str">
        <f>Sites[[#This Row],[SOL'#]]</f>
        <v>SOL-10895</v>
      </c>
      <c r="D145" s="82"/>
      <c r="E145" s="15"/>
      <c r="F145" s="15" t="str">
        <f t="shared" si="8"/>
        <v/>
      </c>
      <c r="G145" s="84" t="str">
        <f t="shared" si="9"/>
        <v/>
      </c>
      <c r="H145" s="85"/>
      <c r="I145" s="85" t="str">
        <f t="shared" si="10"/>
        <v/>
      </c>
      <c r="J145" s="84" t="str">
        <f t="shared" si="11"/>
        <v/>
      </c>
      <c r="K145" s="39"/>
      <c r="L145" s="18"/>
    </row>
    <row r="146" spans="1:12" ht="15.75">
      <c r="A146" s="25" t="str">
        <v>New Beginnings</v>
      </c>
      <c r="B146" s="26" t="str">
        <v>NY</v>
      </c>
      <c r="C146" s="26" t="str">
        <f>Sites[[#This Row],[SOL'#]]</f>
        <v>SOL-10890</v>
      </c>
      <c r="D146" s="67"/>
      <c r="E146" s="11"/>
      <c r="F146" s="11" t="str">
        <f t="shared" ref="F146:F160" si="12">IF(AND(ISNUMBER(D146),ISNUMBER(E146)), D146-E146, "")</f>
        <v/>
      </c>
      <c r="G146" s="68" t="str">
        <f t="shared" ref="G146:G160" si="13">IFERROR(F146/E146, "")</f>
        <v/>
      </c>
      <c r="H146" s="83"/>
      <c r="I146" s="83" t="str">
        <f t="shared" ref="I146:I160" si="14">IF(AND(ISNUMBER(D146),ISNUMBER(H146)), D146-H146, "")</f>
        <v/>
      </c>
      <c r="J146" s="80" t="str">
        <f t="shared" ref="J146:J160" si="15">IFERROR(I146/H146, "")</f>
        <v/>
      </c>
      <c r="K146" s="70"/>
      <c r="L146" s="38"/>
    </row>
    <row r="147" spans="1:12" ht="15.75">
      <c r="A147" s="27" t="str">
        <v>Guilin Farm Solar</v>
      </c>
      <c r="B147" s="28" t="str">
        <v>NY</v>
      </c>
      <c r="C147" s="28" t="str">
        <f>Sites[[#This Row],[SOL'#]]</f>
        <v>SOL-10998</v>
      </c>
      <c r="D147" s="82"/>
      <c r="E147" s="15"/>
      <c r="F147" s="15" t="str">
        <f t="shared" si="12"/>
        <v/>
      </c>
      <c r="G147" s="84" t="str">
        <f t="shared" si="13"/>
        <v/>
      </c>
      <c r="H147" s="85"/>
      <c r="I147" s="85" t="str">
        <f t="shared" si="14"/>
        <v/>
      </c>
      <c r="J147" s="84" t="str">
        <f t="shared" si="15"/>
        <v/>
      </c>
      <c r="K147" s="39"/>
      <c r="L147" s="18"/>
    </row>
    <row r="148" spans="1:12" ht="15.75">
      <c r="A148" s="25" t="str">
        <v>Brodhead Solar</v>
      </c>
      <c r="B148" s="26" t="str">
        <v>NY</v>
      </c>
      <c r="C148" s="26" t="str">
        <f>Sites[[#This Row],[SOL'#]]</f>
        <v>SOL-10899</v>
      </c>
      <c r="D148" s="67"/>
      <c r="E148" s="11"/>
      <c r="F148" s="11" t="str">
        <f t="shared" si="12"/>
        <v/>
      </c>
      <c r="G148" s="68" t="str">
        <f t="shared" si="13"/>
        <v/>
      </c>
      <c r="H148" s="83"/>
      <c r="I148" s="83" t="str">
        <f t="shared" si="14"/>
        <v/>
      </c>
      <c r="J148" s="80" t="str">
        <f t="shared" si="15"/>
        <v/>
      </c>
      <c r="K148" s="70"/>
      <c r="L148" s="38"/>
    </row>
    <row r="149" spans="1:12" ht="15.75">
      <c r="A149" s="27" t="str">
        <v>Svenski</v>
      </c>
      <c r="B149" s="28" t="str">
        <v>NY</v>
      </c>
      <c r="C149" s="28" t="str">
        <f>Sites[[#This Row],[SOL'#]]</f>
        <v>SOL-10894</v>
      </c>
      <c r="D149" s="82"/>
      <c r="E149" s="15"/>
      <c r="F149" s="15" t="str">
        <f t="shared" si="12"/>
        <v/>
      </c>
      <c r="G149" s="84" t="str">
        <f t="shared" si="13"/>
        <v/>
      </c>
      <c r="H149" s="85"/>
      <c r="I149" s="85" t="str">
        <f t="shared" si="14"/>
        <v/>
      </c>
      <c r="J149" s="84" t="str">
        <f t="shared" si="15"/>
        <v/>
      </c>
      <c r="K149" s="39"/>
      <c r="L149" s="18"/>
    </row>
    <row r="150" spans="1:12" ht="15.75">
      <c r="A150" s="25" t="str">
        <v>Bantam</v>
      </c>
      <c r="B150" s="26" t="str">
        <v>NY</v>
      </c>
      <c r="C150" s="26" t="str">
        <f>Sites[[#This Row],[SOL'#]]</f>
        <v>SOL-10986</v>
      </c>
      <c r="D150" s="67"/>
      <c r="E150" s="11"/>
      <c r="F150" s="11" t="str">
        <f t="shared" si="12"/>
        <v/>
      </c>
      <c r="G150" s="68" t="str">
        <f t="shared" si="13"/>
        <v/>
      </c>
      <c r="H150" s="83"/>
      <c r="I150" s="83" t="str">
        <f t="shared" si="14"/>
        <v/>
      </c>
      <c r="J150" s="80" t="str">
        <f t="shared" si="15"/>
        <v/>
      </c>
      <c r="K150" s="70"/>
      <c r="L150" s="38"/>
    </row>
    <row r="151" spans="1:12" ht="15.75">
      <c r="A151" s="27" t="str">
        <v>Bogart</v>
      </c>
      <c r="B151" s="28" t="str">
        <v>NY</v>
      </c>
      <c r="C151" s="28" t="str">
        <f>Sites[[#This Row],[SOL'#]]</f>
        <v>SOL-10887</v>
      </c>
      <c r="D151" s="82"/>
      <c r="E151" s="15"/>
      <c r="F151" s="15" t="str">
        <f t="shared" si="12"/>
        <v/>
      </c>
      <c r="G151" s="84" t="str">
        <f t="shared" si="13"/>
        <v/>
      </c>
      <c r="H151" s="85"/>
      <c r="I151" s="85" t="str">
        <f t="shared" si="14"/>
        <v/>
      </c>
      <c r="J151" s="84" t="str">
        <f t="shared" si="15"/>
        <v/>
      </c>
      <c r="K151" s="39"/>
      <c r="L151" s="18"/>
    </row>
    <row r="152" spans="1:12" ht="15.75">
      <c r="A152" s="25" t="str">
        <v>Dubois</v>
      </c>
      <c r="B152" s="26" t="str">
        <v>NY</v>
      </c>
      <c r="C152" s="26" t="str">
        <f>Sites[[#This Row],[SOL'#]]</f>
        <v>SOL-10892</v>
      </c>
      <c r="D152" s="67"/>
      <c r="E152" s="11"/>
      <c r="F152" s="11" t="str">
        <f t="shared" si="12"/>
        <v/>
      </c>
      <c r="G152" s="68" t="str">
        <f t="shared" si="13"/>
        <v/>
      </c>
      <c r="H152" s="83"/>
      <c r="I152" s="83" t="str">
        <f t="shared" si="14"/>
        <v/>
      </c>
      <c r="J152" s="80" t="str">
        <f t="shared" si="15"/>
        <v/>
      </c>
      <c r="K152" s="70"/>
      <c r="L152" s="38"/>
    </row>
    <row r="153" spans="1:12" ht="15.75">
      <c r="A153" s="27" t="str">
        <v>Salt Point</v>
      </c>
      <c r="B153" s="28" t="str">
        <v>NY</v>
      </c>
      <c r="C153" s="28" t="str">
        <f>Sites[[#This Row],[SOL'#]]</f>
        <v>SOL-10888</v>
      </c>
      <c r="D153" s="82"/>
      <c r="E153" s="15"/>
      <c r="F153" s="15" t="str">
        <f t="shared" si="12"/>
        <v/>
      </c>
      <c r="G153" s="84" t="str">
        <f t="shared" si="13"/>
        <v/>
      </c>
      <c r="H153" s="85"/>
      <c r="I153" s="85" t="str">
        <f t="shared" si="14"/>
        <v/>
      </c>
      <c r="J153" s="84" t="str">
        <f t="shared" si="15"/>
        <v/>
      </c>
      <c r="K153" s="59"/>
      <c r="L153" s="18"/>
    </row>
    <row r="154" spans="1:12" ht="15.75">
      <c r="A154" s="25" t="str">
        <v>Wheatland 2A</v>
      </c>
      <c r="B154" s="26" t="str">
        <v>NY</v>
      </c>
      <c r="C154" s="26" t="str">
        <f>Sites[[#This Row],[SOL'#]]</f>
        <v>SOL-10971</v>
      </c>
      <c r="D154" s="67"/>
      <c r="E154" s="11"/>
      <c r="F154" s="11" t="str">
        <f t="shared" si="12"/>
        <v/>
      </c>
      <c r="G154" s="68" t="str">
        <f t="shared" si="13"/>
        <v/>
      </c>
      <c r="H154" s="83"/>
      <c r="I154" s="83" t="str">
        <f t="shared" si="14"/>
        <v/>
      </c>
      <c r="J154" s="80" t="str">
        <f t="shared" si="15"/>
        <v/>
      </c>
      <c r="K154" s="70"/>
      <c r="L154" s="38"/>
    </row>
    <row r="155" spans="1:12" ht="15.75">
      <c r="A155" s="27" t="str">
        <v>Wheatland 2B</v>
      </c>
      <c r="B155" s="28" t="str">
        <v>NY</v>
      </c>
      <c r="C155" s="28" t="str">
        <f>Sites[[#This Row],[SOL'#]]</f>
        <v>SOL-10961</v>
      </c>
      <c r="D155" s="82"/>
      <c r="E155" s="15"/>
      <c r="F155" s="15" t="str">
        <f t="shared" si="12"/>
        <v/>
      </c>
      <c r="G155" s="84" t="str">
        <f t="shared" si="13"/>
        <v/>
      </c>
      <c r="H155" s="85"/>
      <c r="I155" s="85" t="str">
        <f t="shared" si="14"/>
        <v/>
      </c>
      <c r="J155" s="84" t="str">
        <f t="shared" si="15"/>
        <v/>
      </c>
      <c r="K155" s="39"/>
      <c r="L155" s="18"/>
    </row>
    <row r="156" spans="1:12" ht="15.75">
      <c r="A156" s="25" t="str">
        <v>Brickchurch</v>
      </c>
      <c r="B156" s="26" t="str">
        <v>NY</v>
      </c>
      <c r="C156" s="26" t="str">
        <f>Sites[[#This Row],[SOL'#]]</f>
        <v>SOL-10889</v>
      </c>
      <c r="D156" s="67"/>
      <c r="E156" s="11"/>
      <c r="F156" s="11" t="str">
        <f t="shared" si="12"/>
        <v/>
      </c>
      <c r="G156" s="68" t="str">
        <f t="shared" si="13"/>
        <v/>
      </c>
      <c r="H156" s="83"/>
      <c r="I156" s="83" t="str">
        <f t="shared" si="14"/>
        <v/>
      </c>
      <c r="J156" s="80" t="str">
        <f t="shared" si="15"/>
        <v/>
      </c>
      <c r="K156" s="70"/>
      <c r="L156" s="38"/>
    </row>
    <row r="157" spans="1:12" ht="15.75">
      <c r="A157" s="27" t="str">
        <v>McCarthy Solar</v>
      </c>
      <c r="B157" s="28" t="str">
        <v>NY</v>
      </c>
      <c r="C157" s="28" t="str">
        <f>Sites[[#This Row],[SOL'#]]</f>
        <v>SOL-10992</v>
      </c>
      <c r="D157" s="82"/>
      <c r="E157" s="15"/>
      <c r="F157" s="15" t="str">
        <f t="shared" si="12"/>
        <v/>
      </c>
      <c r="G157" s="84" t="str">
        <f t="shared" si="13"/>
        <v/>
      </c>
      <c r="H157" s="85"/>
      <c r="I157" s="85" t="str">
        <f t="shared" si="14"/>
        <v/>
      </c>
      <c r="J157" s="84" t="str">
        <f t="shared" si="15"/>
        <v/>
      </c>
      <c r="K157" s="39"/>
      <c r="L157" s="18"/>
    </row>
    <row r="158" spans="1:12" ht="15.75">
      <c r="A158" s="25" t="str">
        <v>Costanza</v>
      </c>
      <c r="B158" s="26" t="str">
        <v>NY</v>
      </c>
      <c r="C158" s="26" t="str">
        <f>Sites[[#This Row],[SOL'#]]</f>
        <v>SOL-10907</v>
      </c>
      <c r="D158" s="67"/>
      <c r="E158" s="11"/>
      <c r="F158" s="11" t="str">
        <f t="shared" si="12"/>
        <v/>
      </c>
      <c r="G158" s="68" t="str">
        <f t="shared" si="13"/>
        <v/>
      </c>
      <c r="H158" s="83"/>
      <c r="I158" s="83" t="str">
        <f t="shared" si="14"/>
        <v/>
      </c>
      <c r="J158" s="80" t="str">
        <f t="shared" si="15"/>
        <v/>
      </c>
      <c r="K158" s="70"/>
      <c r="L158" s="38"/>
    </row>
    <row r="159" spans="1:12" ht="15.75">
      <c r="A159" s="27" t="str">
        <v>Lockenhurst Pond</v>
      </c>
      <c r="B159" s="28" t="str">
        <v>NY</v>
      </c>
      <c r="C159" s="28" t="str">
        <f>Sites[[#This Row],[SOL'#]]</f>
        <v>SOL-11000</v>
      </c>
      <c r="D159" s="82"/>
      <c r="E159" s="15"/>
      <c r="F159" s="15" t="str">
        <f t="shared" si="12"/>
        <v/>
      </c>
      <c r="G159" s="84" t="str">
        <f t="shared" si="13"/>
        <v/>
      </c>
      <c r="H159" s="85"/>
      <c r="I159" s="85" t="str">
        <f t="shared" si="14"/>
        <v/>
      </c>
      <c r="J159" s="84" t="str">
        <f t="shared" si="15"/>
        <v/>
      </c>
      <c r="K159" s="39"/>
      <c r="L159" s="18"/>
    </row>
    <row r="160" spans="1:12" ht="15.75">
      <c r="A160" s="25" t="str">
        <v>Drinkwater</v>
      </c>
      <c r="B160" s="26" t="str">
        <v>NY</v>
      </c>
      <c r="C160" s="26" t="str">
        <f>Sites[[#This Row],[SOL'#]]</f>
        <v>SOL-10896</v>
      </c>
      <c r="D160" s="67"/>
      <c r="E160" s="11"/>
      <c r="F160" s="11" t="str">
        <f t="shared" si="12"/>
        <v/>
      </c>
      <c r="G160" s="68" t="str">
        <f t="shared" si="13"/>
        <v/>
      </c>
      <c r="H160" s="83"/>
      <c r="I160" s="83" t="str">
        <f t="shared" si="14"/>
        <v/>
      </c>
      <c r="J160" s="80" t="str">
        <f t="shared" si="15"/>
        <v/>
      </c>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3.9">
      <c r="D340" s="18"/>
      <c r="E340" s="18"/>
      <c r="F340" s="18"/>
      <c r="G340" s="19"/>
      <c r="H340" s="18"/>
      <c r="I340" s="18"/>
      <c r="J340" s="19"/>
      <c r="K340" s="18"/>
      <c r="L340" s="18"/>
    </row>
  </sheetData>
  <mergeCells count="4">
    <mergeCell ref="H1:J1"/>
    <mergeCell ref="A1:D1"/>
    <mergeCell ref="E1:G1"/>
    <mergeCell ref="A2:B2"/>
  </mergeCells>
  <conditionalFormatting sqref="G2 J2">
    <cfRule type="cellIs" dxfId="40" priority="15" stopIfTrue="1" operator="lessThanOrEqual">
      <formula>-0.1</formula>
    </cfRule>
    <cfRule type="expression" dxfId="39" priority="16">
      <formula>AND(ISNUMBER(G2), G2&gt;=0.1)</formula>
    </cfRule>
  </conditionalFormatting>
  <conditionalFormatting sqref="G4:G83 G90:G161">
    <cfRule type="cellIs" dxfId="38" priority="3" stopIfTrue="1" operator="lessThanOrEqual">
      <formula>-0.1</formula>
    </cfRule>
    <cfRule type="expression" dxfId="37" priority="4">
      <formula>AND(ISNUMBER(G4), G4&gt;=0.1)</formula>
    </cfRule>
  </conditionalFormatting>
  <conditionalFormatting sqref="J4:J161">
    <cfRule type="cellIs" dxfId="36" priority="1" stopIfTrue="1" operator="lessThanOrEqual">
      <formula>-0.1</formula>
    </cfRule>
    <cfRule type="expression" dxfId="35" priority="2">
      <formula>AND(ISNUMBER(J4), J4&gt;=0.1)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40"/>
  <sheetViews>
    <sheetView zoomScale="80" zoomScaleNormal="80" workbookViewId="0">
      <pane xSplit="2" ySplit="3" topLeftCell="C111" activePane="bottomRight" state="frozen"/>
      <selection pane="bottomRight" activeCell="A119" sqref="A119"/>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0.5703125" bestFit="1" customWidth="1"/>
  </cols>
  <sheetData>
    <row r="1" spans="1:12" ht="19.5" customHeight="1">
      <c r="A1" s="123" t="str" cm="1">
        <f t="array" ref="A1">portfolio</f>
        <v>Generate Capital</v>
      </c>
      <c r="B1" s="123"/>
      <c r="C1" s="123"/>
      <c r="D1" s="123"/>
      <c r="E1" s="124" t="s">
        <v>523</v>
      </c>
      <c r="F1" s="124"/>
      <c r="G1" s="124"/>
      <c r="H1" s="122" t="s">
        <v>524</v>
      </c>
      <c r="I1" s="122"/>
      <c r="J1" s="122"/>
      <c r="K1" s="5"/>
      <c r="L1" s="5"/>
    </row>
    <row r="2" spans="1:12" ht="19.5" customHeight="1">
      <c r="A2" s="125" t="s">
        <v>2</v>
      </c>
      <c r="B2" s="125"/>
      <c r="C2" s="72"/>
      <c r="D2" s="6">
        <f>SUM(D4:D200)</f>
        <v>40920950.743922599</v>
      </c>
      <c r="E2" s="6">
        <f>SUM(E4:E200)</f>
        <v>16801317.177000001</v>
      </c>
      <c r="F2" s="6">
        <f>D2-E2</f>
        <v>24119633.566922598</v>
      </c>
      <c r="G2" s="7">
        <f>IFERROR(F2/E2, 0)</f>
        <v>1.4355799198851464</v>
      </c>
      <c r="H2" s="6">
        <f>SUM(H4:H200)</f>
        <v>20796907.619000003</v>
      </c>
      <c r="I2" s="8">
        <f>D2-H2</f>
        <v>20124043.124922596</v>
      </c>
      <c r="J2" s="7">
        <f>IFERROR(I2/H2, 0)</f>
        <v>0.96764593532825627</v>
      </c>
      <c r="K2" s="23" t="str">
        <f ca="1">IF(AND(TODAY()&gt;DATE(2024, 6,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28.5">
      <c r="A4" s="29" t="str" cm="1">
        <f t="array" ref="A4:A161">Sites[Site]</f>
        <v>Farmer</v>
      </c>
      <c r="B4" s="26" t="str" cm="1">
        <f t="array" ref="B4:B161">Sites[State]</f>
        <v>AZ</v>
      </c>
      <c r="C4" s="26" t="str">
        <f>Sites[[#This Row],[SOL'#]]</f>
        <v>SOL-10748</v>
      </c>
      <c r="D4" s="21">
        <v>13333.146320093399</v>
      </c>
      <c r="E4" s="11">
        <v>4619.6629999999996</v>
      </c>
      <c r="F4" s="11">
        <f>IF(AND(ISNUMBER(D4),ISNUMBER(E4)), D4-E4, "")</f>
        <v>8713.4833200934008</v>
      </c>
      <c r="G4" s="12">
        <f>IFERROR(F4/E4, "")</f>
        <v>1.8861729351455727</v>
      </c>
      <c r="H4" s="13">
        <v>14643.43</v>
      </c>
      <c r="I4" s="13">
        <f>IF(AND(ISNUMBER(D4),ISNUMBER(H4)), D4-H4, "")</f>
        <v>-1310.2836799066008</v>
      </c>
      <c r="J4" s="14">
        <f>IFERROR(I4/H4, "")</f>
        <v>-8.9479287291747964E-2</v>
      </c>
      <c r="K4" s="66" t="s">
        <v>525</v>
      </c>
      <c r="L4" s="66" t="s">
        <v>526</v>
      </c>
    </row>
    <row r="5" spans="1:12" ht="28.5">
      <c r="A5" s="27" t="str">
        <v>Fulton</v>
      </c>
      <c r="B5" s="28" t="str">
        <v>AZ</v>
      </c>
      <c r="C5" s="28" t="str">
        <f>Sites[[#This Row],[SOL'#]]</f>
        <v>SOL-10749</v>
      </c>
      <c r="D5" s="10">
        <v>60760.75</v>
      </c>
      <c r="E5" s="15">
        <v>32871.56</v>
      </c>
      <c r="F5" s="15">
        <f t="shared" ref="F5:F68" si="0">IF(AND(ISNUMBER(D5),ISNUMBER(E5)), D5-E5, "")</f>
        <v>27889.190000000002</v>
      </c>
      <c r="G5" s="16">
        <f>IFERROR(F5/E5, "")</f>
        <v>0.84842915882300696</v>
      </c>
      <c r="H5" s="17">
        <v>80533.259999999995</v>
      </c>
      <c r="I5" s="17">
        <f t="shared" ref="I5:I17" si="1">IF(AND(ISNUMBER(D5),ISNUMBER(H5)), D5-H5, "")</f>
        <v>-19772.509999999995</v>
      </c>
      <c r="J5" s="16">
        <f t="shared" ref="J5:J17" si="2">IFERROR(I5/H5, "")</f>
        <v>-0.24551980138392504</v>
      </c>
      <c r="K5" s="61" t="s">
        <v>525</v>
      </c>
      <c r="L5" s="61" t="s">
        <v>527</v>
      </c>
    </row>
    <row r="6" spans="1:12" ht="15.75">
      <c r="A6" s="25" t="str">
        <v>JFK Elementary</v>
      </c>
      <c r="B6" s="26" t="str">
        <v>AZ</v>
      </c>
      <c r="C6" s="26" t="str">
        <f>Sites[[#This Row],[SOL'#]]</f>
        <v>SOL-10758</v>
      </c>
      <c r="D6" s="21">
        <v>20023.884171049802</v>
      </c>
      <c r="E6" s="11">
        <v>0</v>
      </c>
      <c r="F6" s="11">
        <f t="shared" si="0"/>
        <v>20023.884171049802</v>
      </c>
      <c r="G6" s="12" t="str">
        <f t="shared" ref="G6:G69" si="3">IFERROR(F6/E6, "")</f>
        <v/>
      </c>
      <c r="H6" s="13">
        <v>2325</v>
      </c>
      <c r="I6" s="13">
        <f t="shared" si="1"/>
        <v>17698.884171049802</v>
      </c>
      <c r="J6" s="14">
        <f t="shared" si="2"/>
        <v>7.6124232993762586</v>
      </c>
      <c r="K6" s="66"/>
      <c r="L6" s="66"/>
    </row>
    <row r="7" spans="1:12" ht="28.5">
      <c r="A7" s="27" t="str">
        <v>Noble</v>
      </c>
      <c r="B7" s="28" t="str">
        <v>AZ</v>
      </c>
      <c r="C7" s="28" t="str">
        <f>Sites[[#This Row],[SOL'#]]</f>
        <v>SOL-10750</v>
      </c>
      <c r="D7" s="10">
        <v>8266.2726856024201</v>
      </c>
      <c r="E7" s="15">
        <v>7863.5940000000001</v>
      </c>
      <c r="F7" s="15">
        <f t="shared" si="0"/>
        <v>402.67868560242005</v>
      </c>
      <c r="G7" s="16">
        <f t="shared" si="3"/>
        <v>5.1207969994689455E-2</v>
      </c>
      <c r="H7" s="17">
        <v>16458.2</v>
      </c>
      <c r="I7" s="17">
        <f t="shared" si="1"/>
        <v>-8191.9273143975806</v>
      </c>
      <c r="J7" s="16">
        <f t="shared" si="2"/>
        <v>-0.49774138814679492</v>
      </c>
      <c r="K7" s="61" t="s">
        <v>528</v>
      </c>
      <c r="L7" s="61" t="s">
        <v>529</v>
      </c>
    </row>
    <row r="8" spans="1:12" ht="15.75">
      <c r="A8" s="25" t="str">
        <v>Parking 3</v>
      </c>
      <c r="B8" s="26" t="str">
        <v>AZ</v>
      </c>
      <c r="C8" s="26" t="str">
        <f>Sites[[#This Row],[SOL'#]]</f>
        <v>SOL-10751</v>
      </c>
      <c r="D8" s="21">
        <v>18705.922149006299</v>
      </c>
      <c r="E8" s="11">
        <v>19878.29</v>
      </c>
      <c r="F8" s="11">
        <f t="shared" si="0"/>
        <v>-1172.3678509937017</v>
      </c>
      <c r="G8" s="12">
        <f t="shared" si="3"/>
        <v>-5.8977298902154141E-2</v>
      </c>
      <c r="H8" s="13">
        <v>39620.58</v>
      </c>
      <c r="I8" s="13">
        <f t="shared" si="1"/>
        <v>-20914.657850993703</v>
      </c>
      <c r="J8" s="14">
        <f t="shared" si="2"/>
        <v>-0.52787359122440158</v>
      </c>
      <c r="K8" s="66" t="s">
        <v>530</v>
      </c>
      <c r="L8" s="66" t="s">
        <v>531</v>
      </c>
    </row>
    <row r="9" spans="1:12" ht="28.5">
      <c r="A9" s="27" t="str">
        <v>PE East</v>
      </c>
      <c r="B9" s="28" t="str">
        <v>AZ</v>
      </c>
      <c r="C9" s="28" t="str">
        <f>Sites[[#This Row],[SOL'#]]</f>
        <v>SOL-10752</v>
      </c>
      <c r="D9" s="10">
        <v>29501.905085572002</v>
      </c>
      <c r="E9" s="15">
        <v>10754.95</v>
      </c>
      <c r="F9" s="15">
        <f t="shared" si="0"/>
        <v>18746.955085572001</v>
      </c>
      <c r="G9" s="16">
        <f t="shared" si="3"/>
        <v>1.7431001618391531</v>
      </c>
      <c r="H9" s="17">
        <v>34408.699999999997</v>
      </c>
      <c r="I9" s="17">
        <f t="shared" si="1"/>
        <v>-4906.7949144279955</v>
      </c>
      <c r="J9" s="16">
        <f t="shared" si="2"/>
        <v>-0.14260332167236764</v>
      </c>
      <c r="K9" s="61" t="s">
        <v>532</v>
      </c>
      <c r="L9" s="61" t="s">
        <v>533</v>
      </c>
    </row>
    <row r="10" spans="1:12" ht="28.5">
      <c r="A10" s="25" t="str">
        <v>Schwada</v>
      </c>
      <c r="B10" s="26" t="str">
        <v>AZ</v>
      </c>
      <c r="C10" s="26" t="str">
        <f>Sites[[#This Row],[SOL'#]]</f>
        <v>SOL-10753</v>
      </c>
      <c r="D10" s="21">
        <v>13521.2974010322</v>
      </c>
      <c r="E10" s="11">
        <v>4427.8980000000001</v>
      </c>
      <c r="F10" s="11">
        <f t="shared" si="0"/>
        <v>9093.3994010321985</v>
      </c>
      <c r="G10" s="12">
        <f t="shared" si="3"/>
        <v>2.0536605407424013</v>
      </c>
      <c r="H10" s="13">
        <v>14860</v>
      </c>
      <c r="I10" s="13">
        <f t="shared" si="1"/>
        <v>-1338.7025989678004</v>
      </c>
      <c r="J10" s="14">
        <f t="shared" si="2"/>
        <v>-9.0087658073203264E-2</v>
      </c>
      <c r="K10" s="66" t="s">
        <v>532</v>
      </c>
      <c r="L10" s="66" t="s">
        <v>534</v>
      </c>
    </row>
    <row r="11" spans="1:12" ht="15.75">
      <c r="A11" s="27" t="str">
        <v>Starshine</v>
      </c>
      <c r="B11" s="28" t="str">
        <v>AZ</v>
      </c>
      <c r="C11" s="28" t="str">
        <f>Sites[[#This Row],[SOL'#]]</f>
        <v>SOL-10757</v>
      </c>
      <c r="D11" s="10">
        <v>9630.3999999999905</v>
      </c>
      <c r="E11" s="15">
        <v>0</v>
      </c>
      <c r="F11" s="15">
        <f t="shared" si="0"/>
        <v>9630.3999999999905</v>
      </c>
      <c r="G11" s="16" t="str">
        <f t="shared" si="3"/>
        <v/>
      </c>
      <c r="H11" s="17">
        <v>0</v>
      </c>
      <c r="I11" s="17">
        <f t="shared" si="1"/>
        <v>9630.3999999999905</v>
      </c>
      <c r="J11" s="16" t="str">
        <f t="shared" si="2"/>
        <v/>
      </c>
      <c r="K11" s="61"/>
      <c r="L11" s="61"/>
    </row>
    <row r="12" spans="1:12" ht="15.75">
      <c r="A12" s="25" t="str">
        <v>Yuma Airport</v>
      </c>
      <c r="B12" s="26" t="str">
        <v>AZ</v>
      </c>
      <c r="C12" s="26" t="str">
        <f>Sites[[#This Row],[SOL'#]]</f>
        <v>SOL-10754</v>
      </c>
      <c r="D12" s="21">
        <v>78146</v>
      </c>
      <c r="E12" s="11">
        <v>92632.09</v>
      </c>
      <c r="F12" s="11">
        <f t="shared" si="0"/>
        <v>-14486.089999999997</v>
      </c>
      <c r="G12" s="12">
        <f t="shared" si="3"/>
        <v>-0.15638306336389471</v>
      </c>
      <c r="H12" s="13">
        <v>81229</v>
      </c>
      <c r="I12" s="13">
        <f t="shared" si="1"/>
        <v>-3083</v>
      </c>
      <c r="J12" s="14">
        <f t="shared" si="2"/>
        <v>-3.7954425143729459E-2</v>
      </c>
      <c r="K12" s="66"/>
      <c r="L12" s="66"/>
    </row>
    <row r="13" spans="1:12" ht="28.5">
      <c r="A13" s="27" t="str">
        <v>Kinsman</v>
      </c>
      <c r="B13" s="28" t="str">
        <v>OH</v>
      </c>
      <c r="C13" s="28" t="str">
        <f>Sites[[#This Row],[SOL'#]]</f>
        <v>SOL-10762</v>
      </c>
      <c r="D13" s="10">
        <v>90055.5234375</v>
      </c>
      <c r="E13" s="15">
        <v>128646.2</v>
      </c>
      <c r="F13" s="15">
        <f t="shared" si="0"/>
        <v>-38590.676562499997</v>
      </c>
      <c r="G13" s="16">
        <f t="shared" si="3"/>
        <v>-0.29997525432154232</v>
      </c>
      <c r="H13" s="17">
        <v>142595</v>
      </c>
      <c r="I13" s="17">
        <f t="shared" si="1"/>
        <v>-52539.4765625</v>
      </c>
      <c r="J13" s="16">
        <f t="shared" si="2"/>
        <v>-0.36845244617623341</v>
      </c>
      <c r="K13" s="61" t="s">
        <v>441</v>
      </c>
      <c r="L13" s="61" t="s">
        <v>245</v>
      </c>
    </row>
    <row r="14" spans="1:12" ht="15.75">
      <c r="A14" s="25" t="str">
        <v>Wooster</v>
      </c>
      <c r="B14" s="26" t="str">
        <v>OH</v>
      </c>
      <c r="C14" s="26" t="str">
        <f>Sites[[#This Row],[SOL'#]]</f>
        <v>SOL-10763</v>
      </c>
      <c r="D14" s="21">
        <v>22929.75</v>
      </c>
      <c r="E14" s="11">
        <v>0</v>
      </c>
      <c r="F14" s="11">
        <f t="shared" si="0"/>
        <v>22929.75</v>
      </c>
      <c r="G14" s="12" t="str">
        <f t="shared" si="3"/>
        <v/>
      </c>
      <c r="H14" s="13">
        <v>34576</v>
      </c>
      <c r="I14" s="13">
        <f t="shared" si="1"/>
        <v>-11646.25</v>
      </c>
      <c r="J14" s="14">
        <f t="shared" si="2"/>
        <v>-0.33683046043498382</v>
      </c>
      <c r="K14" s="66" t="s">
        <v>535</v>
      </c>
      <c r="L14" s="66"/>
    </row>
    <row r="15" spans="1:12" ht="28.5">
      <c r="A15" s="27" t="str">
        <v>Globe Gila CC</v>
      </c>
      <c r="B15" s="28" t="str">
        <v>AZ</v>
      </c>
      <c r="C15" s="28" t="str">
        <f>Sites[[#This Row],[SOL'#]]</f>
        <v>SOL-10755</v>
      </c>
      <c r="D15" s="10">
        <v>17271.375780399001</v>
      </c>
      <c r="E15" s="15">
        <v>3495.732</v>
      </c>
      <c r="F15" s="15">
        <f t="shared" si="0"/>
        <v>13775.643780399001</v>
      </c>
      <c r="G15" s="16">
        <f t="shared" si="3"/>
        <v>3.9407036295685716</v>
      </c>
      <c r="H15" s="17">
        <v>20459</v>
      </c>
      <c r="I15" s="17">
        <f t="shared" si="1"/>
        <v>-3187.6242196009989</v>
      </c>
      <c r="J15" s="16">
        <f t="shared" si="2"/>
        <v>-0.15580547532142328</v>
      </c>
      <c r="K15" s="61" t="s">
        <v>532</v>
      </c>
      <c r="L15" s="61" t="s">
        <v>536</v>
      </c>
    </row>
    <row r="16" spans="1:12" ht="42.75">
      <c r="A16" s="25" t="str">
        <v>Payson Gila CC</v>
      </c>
      <c r="B16" s="26" t="str">
        <v>AZ</v>
      </c>
      <c r="C16" s="26" t="str">
        <f>Sites[[#This Row],[SOL'#]]</f>
        <v>SOL-10756</v>
      </c>
      <c r="D16" s="21">
        <v>9774.19126305799</v>
      </c>
      <c r="E16" s="11">
        <v>2693.761</v>
      </c>
      <c r="F16" s="11">
        <f t="shared" si="0"/>
        <v>7080.4302630579896</v>
      </c>
      <c r="G16" s="12">
        <f t="shared" si="3"/>
        <v>2.628455257559223</v>
      </c>
      <c r="H16" s="13">
        <v>16997</v>
      </c>
      <c r="I16" s="13">
        <f t="shared" si="1"/>
        <v>-7222.80873694201</v>
      </c>
      <c r="J16" s="14">
        <f t="shared" si="2"/>
        <v>-0.42494609265999939</v>
      </c>
      <c r="K16" s="66" t="s">
        <v>537</v>
      </c>
      <c r="L16" s="66" t="s">
        <v>538</v>
      </c>
    </row>
    <row r="17" spans="1:12" ht="42.75">
      <c r="A17" s="27" t="str">
        <v>SCNM</v>
      </c>
      <c r="B17" s="28" t="str">
        <v>AZ</v>
      </c>
      <c r="C17" s="28" t="str">
        <f>Sites[[#This Row],[SOL'#]]</f>
        <v>SOL-10760</v>
      </c>
      <c r="D17" s="10">
        <v>76784.180000000197</v>
      </c>
      <c r="E17" s="15">
        <v>20073.18</v>
      </c>
      <c r="F17" s="15">
        <f t="shared" si="0"/>
        <v>56711.000000000196</v>
      </c>
      <c r="G17" s="16">
        <f t="shared" si="3"/>
        <v>2.8252125472894778</v>
      </c>
      <c r="H17" s="17">
        <v>51202</v>
      </c>
      <c r="I17" s="17">
        <f t="shared" si="1"/>
        <v>25582.180000000197</v>
      </c>
      <c r="J17" s="16">
        <f t="shared" si="2"/>
        <v>0.49963243623296349</v>
      </c>
      <c r="K17" s="61" t="s">
        <v>539</v>
      </c>
      <c r="L17" s="61" t="s">
        <v>540</v>
      </c>
    </row>
    <row r="18" spans="1:12" ht="42.75" customHeight="1">
      <c r="A18" s="25" t="str">
        <v>Sequoia Charter School</v>
      </c>
      <c r="B18" s="26" t="str">
        <v>AZ</v>
      </c>
      <c r="C18" s="26" t="str">
        <f>Sites[[#This Row],[SOL'#]]</f>
        <v>SOL-10759</v>
      </c>
      <c r="D18" s="21">
        <v>25103.870000000101</v>
      </c>
      <c r="E18" s="11">
        <v>0</v>
      </c>
      <c r="F18" s="11">
        <f t="shared" si="0"/>
        <v>25103.870000000101</v>
      </c>
      <c r="G18" s="12" t="str">
        <f t="shared" si="3"/>
        <v/>
      </c>
      <c r="H18" s="13">
        <v>15130</v>
      </c>
      <c r="I18" s="13">
        <f t="shared" ref="I18:I81" si="4">IF(AND(ISNUMBER(D18),ISNUMBER(H18)), D18-H18, "")</f>
        <v>9973.8700000001008</v>
      </c>
      <c r="J18" s="14">
        <f t="shared" ref="J18:J81" si="5">IFERROR(I18/H18, "")</f>
        <v>0.65921150033047593</v>
      </c>
      <c r="K18" s="66" t="s">
        <v>541</v>
      </c>
      <c r="L18" s="66" t="s">
        <v>542</v>
      </c>
    </row>
    <row r="19" spans="1:12" ht="15.75">
      <c r="A19" s="27" t="str">
        <v>RCAB</v>
      </c>
      <c r="B19" s="28" t="str">
        <v>MA</v>
      </c>
      <c r="C19" s="28" t="str">
        <f>Sites[[#This Row],[SOL'#]]</f>
        <v>SOL-10838</v>
      </c>
      <c r="D19" s="10">
        <v>152901</v>
      </c>
      <c r="E19" s="15">
        <v>188278.39999999999</v>
      </c>
      <c r="F19" s="15">
        <f t="shared" si="0"/>
        <v>-35377.399999999994</v>
      </c>
      <c r="G19" s="16">
        <f t="shared" si="3"/>
        <v>-0.18789940853544534</v>
      </c>
      <c r="H19" s="17">
        <v>142083.5</v>
      </c>
      <c r="I19" s="17">
        <f t="shared" si="4"/>
        <v>10817.5</v>
      </c>
      <c r="J19" s="16">
        <f t="shared" si="5"/>
        <v>7.613480805301108E-2</v>
      </c>
      <c r="K19" s="61"/>
      <c r="L19" s="62"/>
    </row>
    <row r="20" spans="1:12" ht="15.75">
      <c r="A20" s="25" t="str">
        <v>Spectro Coatings</v>
      </c>
      <c r="B20" s="26" t="str">
        <v>MA</v>
      </c>
      <c r="C20" s="26" t="str">
        <f>Sites[[#This Row],[SOL'#]]</f>
        <v>SOL-10074</v>
      </c>
      <c r="D20" s="21">
        <v>41643.625</v>
      </c>
      <c r="E20" s="11">
        <v>40963.07</v>
      </c>
      <c r="F20" s="11">
        <f t="shared" si="0"/>
        <v>680.55500000000029</v>
      </c>
      <c r="G20" s="12">
        <f t="shared" si="3"/>
        <v>1.6613867075880796E-2</v>
      </c>
      <c r="H20" s="13">
        <v>37828.43</v>
      </c>
      <c r="I20" s="13">
        <f t="shared" si="4"/>
        <v>3815.1949999999997</v>
      </c>
      <c r="J20" s="14">
        <f t="shared" si="5"/>
        <v>0.10085522978352524</v>
      </c>
      <c r="K20" s="66"/>
      <c r="L20" s="66"/>
    </row>
    <row r="21" spans="1:12" ht="24" customHeight="1">
      <c r="A21" s="27" t="str">
        <v>K026</v>
      </c>
      <c r="B21" s="28" t="str">
        <v>NY</v>
      </c>
      <c r="C21" s="28" t="str">
        <f>Sites[[#This Row],[SOL'#]]</f>
        <v>SOL-10356</v>
      </c>
      <c r="D21" s="10">
        <v>40660.937499999898</v>
      </c>
      <c r="E21" s="15">
        <v>45858.74</v>
      </c>
      <c r="F21" s="15">
        <f t="shared" si="0"/>
        <v>-5197.8025000000998</v>
      </c>
      <c r="G21" s="16">
        <f t="shared" si="3"/>
        <v>-0.11334377045684421</v>
      </c>
      <c r="H21" s="17">
        <v>43469.57</v>
      </c>
      <c r="I21" s="17">
        <f t="shared" si="4"/>
        <v>-2808.6325000001016</v>
      </c>
      <c r="J21" s="16">
        <f t="shared" si="5"/>
        <v>-6.4611462685278495E-2</v>
      </c>
      <c r="K21" s="61" t="s">
        <v>543</v>
      </c>
      <c r="L21" s="61" t="s">
        <v>544</v>
      </c>
    </row>
    <row r="22" spans="1:12" ht="28.5">
      <c r="A22" s="25" t="str">
        <v>K041</v>
      </c>
      <c r="B22" s="26" t="str">
        <v>NY</v>
      </c>
      <c r="C22" s="26" t="str">
        <f>Sites[[#This Row],[SOL'#]]</f>
        <v>SOL-10357</v>
      </c>
      <c r="D22" s="21">
        <v>28750.3359375</v>
      </c>
      <c r="E22" s="11">
        <v>0</v>
      </c>
      <c r="F22" s="11">
        <f t="shared" si="0"/>
        <v>28750.3359375</v>
      </c>
      <c r="G22" s="12" t="str">
        <f t="shared" si="3"/>
        <v/>
      </c>
      <c r="H22" s="13">
        <v>0</v>
      </c>
      <c r="I22" s="13">
        <f t="shared" si="4"/>
        <v>28750.3359375</v>
      </c>
      <c r="J22" s="14" t="str">
        <f t="shared" si="5"/>
        <v/>
      </c>
      <c r="K22" s="66" t="s">
        <v>545</v>
      </c>
      <c r="L22" s="66" t="s">
        <v>546</v>
      </c>
    </row>
    <row r="23" spans="1:12" ht="28.5">
      <c r="A23" s="27" t="str">
        <v>K043</v>
      </c>
      <c r="B23" s="28" t="str">
        <v>NY</v>
      </c>
      <c r="C23" s="28" t="str">
        <f>Sites[[#This Row],[SOL'#]]</f>
        <v>SOL-10358</v>
      </c>
      <c r="D23" s="10">
        <v>39799.78125</v>
      </c>
      <c r="E23" s="15">
        <v>41524.660000000003</v>
      </c>
      <c r="F23" s="15">
        <f t="shared" si="0"/>
        <v>-1724.8787500000035</v>
      </c>
      <c r="G23" s="16">
        <f t="shared" si="3"/>
        <v>-4.1538660400831783E-2</v>
      </c>
      <c r="H23" s="17">
        <v>40020</v>
      </c>
      <c r="I23" s="17">
        <f t="shared" si="4"/>
        <v>-220.21875</v>
      </c>
      <c r="J23" s="16">
        <f t="shared" si="5"/>
        <v>-5.5027173913043482E-3</v>
      </c>
      <c r="K23" s="61" t="s">
        <v>547</v>
      </c>
      <c r="L23" s="61" t="s">
        <v>548</v>
      </c>
    </row>
    <row r="24" spans="1:12" ht="15.75">
      <c r="A24" s="25" t="str">
        <v>K058</v>
      </c>
      <c r="B24" s="26" t="str">
        <v>NY</v>
      </c>
      <c r="C24" s="26" t="str">
        <f>Sites[[#This Row],[SOL'#]]</f>
        <v>SOL-10360</v>
      </c>
      <c r="D24" s="21">
        <v>31398.1875</v>
      </c>
      <c r="E24" s="11">
        <v>32750.91</v>
      </c>
      <c r="F24" s="11">
        <f t="shared" si="0"/>
        <v>-1352.7224999999999</v>
      </c>
      <c r="G24" s="12">
        <f t="shared" si="3"/>
        <v>-4.1303356151019918E-2</v>
      </c>
      <c r="H24" s="13">
        <v>24318.95</v>
      </c>
      <c r="I24" s="13">
        <f t="shared" si="4"/>
        <v>7079.2374999999993</v>
      </c>
      <c r="J24" s="14">
        <f t="shared" si="5"/>
        <v>0.29109963629186292</v>
      </c>
      <c r="K24" s="66"/>
      <c r="L24" s="66"/>
    </row>
    <row r="25" spans="1:12" ht="28.5">
      <c r="A25" s="27" t="str">
        <v>K115</v>
      </c>
      <c r="B25" s="28" t="str">
        <v>NY</v>
      </c>
      <c r="C25" s="28" t="str">
        <f>Sites[[#This Row],[SOL'#]]</f>
        <v>SOL-10361</v>
      </c>
      <c r="D25" s="10">
        <v>8760.1260937499992</v>
      </c>
      <c r="E25" s="15">
        <v>13173.12</v>
      </c>
      <c r="F25" s="15">
        <f t="shared" si="0"/>
        <v>-4412.9939062500016</v>
      </c>
      <c r="G25" s="16">
        <f t="shared" si="3"/>
        <v>-0.33499990178864242</v>
      </c>
      <c r="H25" s="17">
        <v>8850.4760000000006</v>
      </c>
      <c r="I25" s="17">
        <f t="shared" si="4"/>
        <v>-90.349906250001368</v>
      </c>
      <c r="J25" s="16">
        <f t="shared" si="5"/>
        <v>-1.0208479888539483E-2</v>
      </c>
      <c r="K25" s="76" t="s">
        <v>338</v>
      </c>
      <c r="L25" s="76" t="s">
        <v>37</v>
      </c>
    </row>
    <row r="26" spans="1:12" ht="15.75">
      <c r="A26" s="25" t="str">
        <v>K152</v>
      </c>
      <c r="B26" s="26" t="str">
        <v>NY</v>
      </c>
      <c r="C26" s="26" t="str">
        <f>Sites[[#This Row],[SOL'#]]</f>
        <v>SOL-10362</v>
      </c>
      <c r="D26" s="21">
        <v>12088.46875</v>
      </c>
      <c r="E26" s="11">
        <v>12583.36</v>
      </c>
      <c r="F26" s="11">
        <f t="shared" si="0"/>
        <v>-494.89125000000058</v>
      </c>
      <c r="G26" s="12">
        <f t="shared" si="3"/>
        <v>-3.9329022613991856E-2</v>
      </c>
      <c r="H26" s="13">
        <v>2078</v>
      </c>
      <c r="I26" s="13">
        <f t="shared" si="4"/>
        <v>10010.46875</v>
      </c>
      <c r="J26" s="14">
        <f t="shared" si="5"/>
        <v>4.8173574350336859</v>
      </c>
      <c r="K26" s="66"/>
      <c r="L26" s="66"/>
    </row>
    <row r="27" spans="1:12" ht="15.75">
      <c r="A27" s="27" t="str">
        <v>K166</v>
      </c>
      <c r="B27" s="28" t="str">
        <v>NY</v>
      </c>
      <c r="C27" s="28" t="str">
        <f>Sites[[#This Row],[SOL'#]]</f>
        <v>SOL-10363</v>
      </c>
      <c r="D27" s="10">
        <v>43540.625</v>
      </c>
      <c r="E27" s="15">
        <v>47509.45</v>
      </c>
      <c r="F27" s="15">
        <f t="shared" si="0"/>
        <v>-3968.8249999999971</v>
      </c>
      <c r="G27" s="16">
        <f t="shared" si="3"/>
        <v>-8.3537590942433501E-2</v>
      </c>
      <c r="H27" s="17">
        <v>44734.96</v>
      </c>
      <c r="I27" s="17">
        <f t="shared" si="4"/>
        <v>-1194.3349999999991</v>
      </c>
      <c r="J27" s="16">
        <f t="shared" si="5"/>
        <v>-2.6698023201540789E-2</v>
      </c>
      <c r="K27" s="61"/>
      <c r="L27" s="62"/>
    </row>
    <row r="28" spans="1:12" ht="15.75">
      <c r="A28" s="25" t="str">
        <v>K206</v>
      </c>
      <c r="B28" s="26" t="str">
        <v>NY</v>
      </c>
      <c r="C28" s="26" t="str">
        <f>Sites[[#This Row],[SOL'#]]</f>
        <v>SOL-10927</v>
      </c>
      <c r="D28" s="21">
        <v>26787.535906711801</v>
      </c>
      <c r="E28" s="11">
        <v>0</v>
      </c>
      <c r="F28" s="11">
        <f t="shared" si="0"/>
        <v>26787.535906711801</v>
      </c>
      <c r="G28" s="12" t="str">
        <f t="shared" si="3"/>
        <v/>
      </c>
      <c r="H28" s="13">
        <v>0</v>
      </c>
      <c r="I28" s="13">
        <f t="shared" si="4"/>
        <v>26787.535906711801</v>
      </c>
      <c r="J28" s="14" t="str">
        <f t="shared" si="5"/>
        <v/>
      </c>
      <c r="K28" s="66"/>
      <c r="L28" s="66"/>
    </row>
    <row r="29" spans="1:12" ht="15.75">
      <c r="A29" s="27" t="str">
        <v>K251</v>
      </c>
      <c r="B29" s="28" t="str">
        <v>NY</v>
      </c>
      <c r="C29" s="28" t="str">
        <f>Sites[[#This Row],[SOL'#]]</f>
        <v>SOL-10365</v>
      </c>
      <c r="D29" s="10">
        <v>27935</v>
      </c>
      <c r="E29" s="15">
        <v>29436.04</v>
      </c>
      <c r="F29" s="15">
        <f t="shared" si="0"/>
        <v>-1501.0400000000009</v>
      </c>
      <c r="G29" s="16">
        <f t="shared" si="3"/>
        <v>-5.0993272192862926E-2</v>
      </c>
      <c r="H29" s="17">
        <v>24281.82</v>
      </c>
      <c r="I29" s="17">
        <f t="shared" si="4"/>
        <v>3653.1800000000003</v>
      </c>
      <c r="J29" s="16">
        <f t="shared" si="5"/>
        <v>0.15044918379264818</v>
      </c>
      <c r="K29" s="61"/>
      <c r="L29" s="61"/>
    </row>
    <row r="30" spans="1:12" ht="46.5" customHeight="1">
      <c r="A30" s="25" t="str">
        <v>K269</v>
      </c>
      <c r="B30" s="26" t="str">
        <v>NY</v>
      </c>
      <c r="C30" s="26" t="str">
        <f>Sites[[#This Row],[SOL'#]]</f>
        <v>SOL-10366</v>
      </c>
      <c r="D30" s="21">
        <v>25941.78125</v>
      </c>
      <c r="E30" s="11">
        <v>6230.46</v>
      </c>
      <c r="F30" s="11">
        <f t="shared" si="0"/>
        <v>19711.321250000001</v>
      </c>
      <c r="G30" s="12">
        <f t="shared" si="3"/>
        <v>3.1637023991807989</v>
      </c>
      <c r="H30" s="13">
        <v>26485.8</v>
      </c>
      <c r="I30" s="13">
        <f t="shared" si="4"/>
        <v>-544.01874999999927</v>
      </c>
      <c r="J30" s="14">
        <f t="shared" si="5"/>
        <v>-2.0540015782041669E-2</v>
      </c>
      <c r="K30" s="66" t="s">
        <v>549</v>
      </c>
      <c r="L30" s="66" t="s">
        <v>550</v>
      </c>
    </row>
    <row r="31" spans="1:12" ht="15.75">
      <c r="A31" s="27" t="str">
        <v>K273</v>
      </c>
      <c r="B31" s="28" t="str">
        <v>NY</v>
      </c>
      <c r="C31" s="28" t="str">
        <f>Sites[[#This Row],[SOL'#]]</f>
        <v>SOL-10367</v>
      </c>
      <c r="D31" s="10">
        <v>28977.0625</v>
      </c>
      <c r="E31" s="15">
        <v>0</v>
      </c>
      <c r="F31" s="15">
        <f t="shared" si="0"/>
        <v>28977.0625</v>
      </c>
      <c r="G31" s="16" t="str">
        <f t="shared" si="3"/>
        <v/>
      </c>
      <c r="H31" s="17">
        <v>29377</v>
      </c>
      <c r="I31" s="17">
        <f t="shared" si="4"/>
        <v>-399.9375</v>
      </c>
      <c r="J31" s="16">
        <f t="shared" si="5"/>
        <v>-1.3613966708649623E-2</v>
      </c>
      <c r="K31" s="61" t="s">
        <v>551</v>
      </c>
      <c r="L31" s="61" t="s">
        <v>552</v>
      </c>
    </row>
    <row r="32" spans="1:12" ht="15.75">
      <c r="A32" s="25" t="str">
        <v>K287</v>
      </c>
      <c r="B32" s="26" t="str">
        <v>NY</v>
      </c>
      <c r="C32" s="26" t="str">
        <f>Sites[[#This Row],[SOL'#]]</f>
        <v>SOL-10919</v>
      </c>
      <c r="D32" s="21">
        <v>23313.46875</v>
      </c>
      <c r="E32" s="11">
        <v>19841.04</v>
      </c>
      <c r="F32" s="11">
        <f t="shared" si="0"/>
        <v>3472.4287499999991</v>
      </c>
      <c r="G32" s="12">
        <f t="shared" si="3"/>
        <v>0.17501243634406255</v>
      </c>
      <c r="H32" s="13">
        <v>20256</v>
      </c>
      <c r="I32" s="13">
        <f t="shared" si="4"/>
        <v>3057.46875</v>
      </c>
      <c r="J32" s="14">
        <f t="shared" si="5"/>
        <v>0.15094138773696683</v>
      </c>
      <c r="K32" s="66"/>
      <c r="L32" s="66"/>
    </row>
    <row r="33" spans="1:12" ht="15.75">
      <c r="A33" s="27" t="str">
        <v>K298</v>
      </c>
      <c r="B33" s="28" t="str">
        <v>NY</v>
      </c>
      <c r="C33" s="28" t="str">
        <f>Sites[[#This Row],[SOL'#]]</f>
        <v>SOL-10368</v>
      </c>
      <c r="D33" s="10">
        <v>25362.65625</v>
      </c>
      <c r="E33" s="15">
        <v>25833.74</v>
      </c>
      <c r="F33" s="15">
        <f t="shared" si="0"/>
        <v>-471.0837500000016</v>
      </c>
      <c r="G33" s="16">
        <f t="shared" si="3"/>
        <v>-1.8235212942454386E-2</v>
      </c>
      <c r="H33" s="17">
        <v>0</v>
      </c>
      <c r="I33" s="17">
        <f t="shared" si="4"/>
        <v>25362.65625</v>
      </c>
      <c r="J33" s="16" t="str">
        <f t="shared" si="5"/>
        <v/>
      </c>
      <c r="K33" s="61"/>
      <c r="L33" s="62"/>
    </row>
    <row r="34" spans="1:12" ht="15.75">
      <c r="A34" s="25" t="str">
        <v>K335</v>
      </c>
      <c r="B34" s="26" t="str">
        <v>NY</v>
      </c>
      <c r="C34" s="26" t="str">
        <f>Sites[[#This Row],[SOL'#]]</f>
        <v>SOL-10370</v>
      </c>
      <c r="D34" s="21">
        <v>25783.625</v>
      </c>
      <c r="E34" s="11">
        <v>29127.03</v>
      </c>
      <c r="F34" s="11">
        <f t="shared" si="0"/>
        <v>-3343.4049999999988</v>
      </c>
      <c r="G34" s="12">
        <f t="shared" si="3"/>
        <v>-0.11478702085313879</v>
      </c>
      <c r="H34" s="13">
        <v>27755</v>
      </c>
      <c r="I34" s="13">
        <f t="shared" si="4"/>
        <v>-1971.375</v>
      </c>
      <c r="J34" s="14">
        <f t="shared" si="5"/>
        <v>-7.1027742749054226E-2</v>
      </c>
      <c r="K34" s="66"/>
      <c r="L34" s="66"/>
    </row>
    <row r="35" spans="1:12" ht="15.75">
      <c r="A35" s="27" t="str">
        <v>K345</v>
      </c>
      <c r="B35" s="28" t="str">
        <v>NY</v>
      </c>
      <c r="C35" s="28" t="str">
        <f>Sites[[#This Row],[SOL'#]]</f>
        <v>SOL-10920</v>
      </c>
      <c r="D35" s="10">
        <v>30008.5625</v>
      </c>
      <c r="E35" s="15">
        <v>17659.22</v>
      </c>
      <c r="F35" s="15">
        <f t="shared" si="0"/>
        <v>12349.342499999999</v>
      </c>
      <c r="G35" s="16">
        <f t="shared" si="3"/>
        <v>0.69931415430579591</v>
      </c>
      <c r="H35" s="17">
        <v>13936</v>
      </c>
      <c r="I35" s="17">
        <f t="shared" si="4"/>
        <v>16072.5625</v>
      </c>
      <c r="J35" s="16">
        <f t="shared" si="5"/>
        <v>1.1533124641216992</v>
      </c>
      <c r="K35" s="61"/>
      <c r="L35" s="62"/>
    </row>
    <row r="36" spans="1:12" ht="15.75">
      <c r="A36" s="25" t="str">
        <v>K445</v>
      </c>
      <c r="B36" s="26" t="str">
        <v>NY</v>
      </c>
      <c r="C36" s="26" t="str">
        <f>Sites[[#This Row],[SOL'#]]</f>
        <v>SOL-10373</v>
      </c>
      <c r="D36" s="21">
        <v>24850.1730410448</v>
      </c>
      <c r="E36" s="11">
        <v>27092.32</v>
      </c>
      <c r="F36" s="11">
        <f t="shared" si="0"/>
        <v>-2242.1469589551998</v>
      </c>
      <c r="G36" s="12">
        <f t="shared" si="3"/>
        <v>-8.2759503761774544E-2</v>
      </c>
      <c r="H36" s="13">
        <v>26124.89</v>
      </c>
      <c r="I36" s="13">
        <f t="shared" si="4"/>
        <v>-1274.7169589551995</v>
      </c>
      <c r="J36" s="14">
        <f t="shared" si="5"/>
        <v>-4.8793199089266964E-2</v>
      </c>
      <c r="K36" s="66" t="s">
        <v>553</v>
      </c>
      <c r="L36" s="66" t="s">
        <v>554</v>
      </c>
    </row>
    <row r="37" spans="1:12" ht="15.75">
      <c r="A37" s="27" t="str">
        <v>K495</v>
      </c>
      <c r="B37" s="28" t="str">
        <v>NY</v>
      </c>
      <c r="C37" s="28" t="str">
        <f>Sites[[#This Row],[SOL'#]]</f>
        <v>SOL-10374</v>
      </c>
      <c r="D37" s="10">
        <v>106862.875</v>
      </c>
      <c r="E37" s="15">
        <v>0</v>
      </c>
      <c r="F37" s="15">
        <f t="shared" si="0"/>
        <v>106862.875</v>
      </c>
      <c r="G37" s="16" t="str">
        <f t="shared" si="3"/>
        <v/>
      </c>
      <c r="H37" s="17">
        <v>0</v>
      </c>
      <c r="I37" s="17">
        <f t="shared" si="4"/>
        <v>106862.875</v>
      </c>
      <c r="J37" s="16" t="str">
        <f t="shared" si="5"/>
        <v/>
      </c>
      <c r="K37" s="61"/>
      <c r="L37" s="62"/>
    </row>
    <row r="38" spans="1:12" ht="71.25">
      <c r="A38" s="25" t="str">
        <v>M020</v>
      </c>
      <c r="B38" s="26" t="str">
        <v>NY</v>
      </c>
      <c r="C38" s="26" t="str">
        <f>Sites[[#This Row],[SOL'#]]</f>
        <v>SOL-10380</v>
      </c>
      <c r="D38" s="21">
        <v>25577.28125</v>
      </c>
      <c r="E38" s="11">
        <v>28021.63</v>
      </c>
      <c r="F38" s="11">
        <f t="shared" si="0"/>
        <v>-2444.348750000001</v>
      </c>
      <c r="G38" s="12">
        <f t="shared" si="3"/>
        <v>-8.7230783862323524E-2</v>
      </c>
      <c r="H38" s="13">
        <v>0</v>
      </c>
      <c r="I38" s="13">
        <f t="shared" si="4"/>
        <v>25577.28125</v>
      </c>
      <c r="J38" s="14" t="str">
        <f t="shared" si="5"/>
        <v/>
      </c>
      <c r="K38" s="66" t="s">
        <v>555</v>
      </c>
      <c r="L38" s="66" t="s">
        <v>556</v>
      </c>
    </row>
    <row r="39" spans="1:12" ht="15.75">
      <c r="A39" s="27" t="str">
        <v>M092</v>
      </c>
      <c r="B39" s="28" t="str">
        <v>NY</v>
      </c>
      <c r="C39" s="28" t="str">
        <f>Sites[[#This Row],[SOL'#]]</f>
        <v>SOL-10383</v>
      </c>
      <c r="D39" s="10">
        <v>27131.15625</v>
      </c>
      <c r="E39" s="15">
        <v>29054.83</v>
      </c>
      <c r="F39" s="15">
        <f t="shared" si="0"/>
        <v>-1923.6737500000017</v>
      </c>
      <c r="G39" s="16">
        <f t="shared" si="3"/>
        <v>-6.6208398052922751E-2</v>
      </c>
      <c r="H39" s="17">
        <v>28436.37</v>
      </c>
      <c r="I39" s="17">
        <f t="shared" si="4"/>
        <v>-1305.213749999999</v>
      </c>
      <c r="J39" s="16">
        <f t="shared" si="5"/>
        <v>-4.5899450246286673E-2</v>
      </c>
      <c r="K39" s="61"/>
      <c r="L39" s="62"/>
    </row>
    <row r="40" spans="1:12" ht="15.75">
      <c r="A40" s="25" t="str">
        <v>M143</v>
      </c>
      <c r="B40" s="26" t="str">
        <v>NY</v>
      </c>
      <c r="C40" s="26" t="str">
        <f>Sites[[#This Row],[SOL'#]]</f>
        <v>SOL-10384</v>
      </c>
      <c r="D40" s="21">
        <v>30922.59375</v>
      </c>
      <c r="E40" s="11">
        <v>36496.75</v>
      </c>
      <c r="F40" s="11">
        <f t="shared" si="0"/>
        <v>-5574.15625</v>
      </c>
      <c r="G40" s="12">
        <f t="shared" si="3"/>
        <v>-0.15273020885421304</v>
      </c>
      <c r="H40" s="13">
        <v>30445.81</v>
      </c>
      <c r="I40" s="13">
        <f t="shared" si="4"/>
        <v>476.78374999999869</v>
      </c>
      <c r="J40" s="14">
        <f t="shared" si="5"/>
        <v>1.566007769213559E-2</v>
      </c>
      <c r="K40" s="66"/>
      <c r="L40" s="66"/>
    </row>
    <row r="41" spans="1:12" ht="15.75">
      <c r="A41" s="27" t="str">
        <v>M144</v>
      </c>
      <c r="B41" s="28" t="str">
        <v>NY</v>
      </c>
      <c r="C41" s="28" t="str">
        <f>Sites[[#This Row],[SOL'#]]</f>
        <v>SOL-10385</v>
      </c>
      <c r="D41" s="10">
        <v>43575.25</v>
      </c>
      <c r="E41" s="15">
        <v>0</v>
      </c>
      <c r="F41" s="15">
        <f t="shared" si="0"/>
        <v>43575.25</v>
      </c>
      <c r="G41" s="16" t="str">
        <f t="shared" si="3"/>
        <v/>
      </c>
      <c r="H41" s="17">
        <v>0</v>
      </c>
      <c r="I41" s="17">
        <f t="shared" si="4"/>
        <v>43575.25</v>
      </c>
      <c r="J41" s="16" t="str">
        <f t="shared" si="5"/>
        <v/>
      </c>
      <c r="K41" s="61"/>
      <c r="L41" s="61"/>
    </row>
    <row r="42" spans="1:12" ht="28.5">
      <c r="A42" s="25" t="str">
        <v>M167</v>
      </c>
      <c r="B42" s="26" t="str">
        <v>NY</v>
      </c>
      <c r="C42" s="26" t="str">
        <f>Sites[[#This Row],[SOL'#]]</f>
        <v>SOL-10386</v>
      </c>
      <c r="D42" s="21">
        <v>29949.5234375</v>
      </c>
      <c r="E42" s="11">
        <v>25602.52</v>
      </c>
      <c r="F42" s="11">
        <f t="shared" si="0"/>
        <v>4347.0034374999996</v>
      </c>
      <c r="G42" s="12">
        <f t="shared" si="3"/>
        <v>0.16978810826043683</v>
      </c>
      <c r="H42" s="13">
        <v>24597.55</v>
      </c>
      <c r="I42" s="13">
        <f t="shared" si="4"/>
        <v>5351.9734375000007</v>
      </c>
      <c r="J42" s="14">
        <f t="shared" si="5"/>
        <v>0.21758156554209671</v>
      </c>
      <c r="K42" s="66" t="s">
        <v>557</v>
      </c>
      <c r="L42" s="66" t="s">
        <v>558</v>
      </c>
    </row>
    <row r="43" spans="1:12" ht="15.75">
      <c r="A43" s="27" t="str">
        <v>M188</v>
      </c>
      <c r="B43" s="28" t="str">
        <v>NY</v>
      </c>
      <c r="C43" s="28" t="str">
        <f>Sites[[#This Row],[SOL'#]]</f>
        <v>SOL-10387</v>
      </c>
      <c r="D43" s="10">
        <v>23572.984375</v>
      </c>
      <c r="E43" s="15">
        <v>0</v>
      </c>
      <c r="F43" s="15">
        <f t="shared" si="0"/>
        <v>23572.984375</v>
      </c>
      <c r="G43" s="16" t="str">
        <f t="shared" si="3"/>
        <v/>
      </c>
      <c r="H43" s="17">
        <v>0</v>
      </c>
      <c r="I43" s="17">
        <f t="shared" si="4"/>
        <v>23572.984375</v>
      </c>
      <c r="J43" s="16" t="str">
        <f t="shared" si="5"/>
        <v/>
      </c>
      <c r="K43" s="61"/>
      <c r="L43" s="62"/>
    </row>
    <row r="44" spans="1:12" ht="15.75">
      <c r="A44" s="25" t="str">
        <v>EMHC</v>
      </c>
      <c r="B44" s="26" t="str">
        <v>NY</v>
      </c>
      <c r="C44" s="26" t="str">
        <f>Sites[[#This Row],[SOL'#]]</f>
        <v>SOL-10351</v>
      </c>
      <c r="D44" s="21">
        <v>11311.96875</v>
      </c>
      <c r="E44" s="11">
        <v>8094.866</v>
      </c>
      <c r="F44" s="11">
        <f t="shared" si="0"/>
        <v>3217.10275</v>
      </c>
      <c r="G44" s="12">
        <f t="shared" si="3"/>
        <v>0.39742507782092995</v>
      </c>
      <c r="H44" s="13">
        <v>12300.98</v>
      </c>
      <c r="I44" s="13">
        <f t="shared" si="4"/>
        <v>-989.01124999999956</v>
      </c>
      <c r="J44" s="14">
        <f t="shared" si="5"/>
        <v>-8.0401012764836591E-2</v>
      </c>
      <c r="K44" s="66"/>
      <c r="L44" s="66"/>
    </row>
    <row r="45" spans="1:12" ht="15.75">
      <c r="A45" s="27" t="str">
        <v>Q008</v>
      </c>
      <c r="B45" s="28" t="str">
        <v>NY</v>
      </c>
      <c r="C45" s="28" t="str">
        <f>Sites[[#This Row],[SOL'#]]</f>
        <v>SOL-10397</v>
      </c>
      <c r="D45" s="10">
        <v>35588.796875</v>
      </c>
      <c r="E45" s="15">
        <v>36137.85</v>
      </c>
      <c r="F45" s="15">
        <f t="shared" si="0"/>
        <v>-549.05312499999854</v>
      </c>
      <c r="G45" s="16">
        <f t="shared" si="3"/>
        <v>-1.5193298024093813E-2</v>
      </c>
      <c r="H45" s="17">
        <v>30824</v>
      </c>
      <c r="I45" s="17">
        <f t="shared" si="4"/>
        <v>4764.796875</v>
      </c>
      <c r="J45" s="16">
        <f t="shared" si="5"/>
        <v>0.1545807447119128</v>
      </c>
      <c r="K45" s="61"/>
      <c r="L45" s="62"/>
    </row>
    <row r="46" spans="1:12" ht="15.75">
      <c r="A46" s="25" t="str">
        <v>Q018</v>
      </c>
      <c r="B46" s="26" t="str">
        <v>NY</v>
      </c>
      <c r="C46" s="26" t="str">
        <f>Sites[[#This Row],[SOL'#]]</f>
        <v>SOL-10398</v>
      </c>
      <c r="D46" s="21">
        <v>23666.6875</v>
      </c>
      <c r="E46" s="11">
        <v>25467</v>
      </c>
      <c r="F46" s="11">
        <f t="shared" si="0"/>
        <v>-1800.3125</v>
      </c>
      <c r="G46" s="12">
        <f t="shared" si="3"/>
        <v>-7.0691973927042837E-2</v>
      </c>
      <c r="H46" s="13">
        <v>24150.89</v>
      </c>
      <c r="I46" s="13">
        <f t="shared" si="4"/>
        <v>-484.20249999999942</v>
      </c>
      <c r="J46" s="14">
        <f t="shared" si="5"/>
        <v>-2.0049054092830511E-2</v>
      </c>
      <c r="K46" s="66" t="s">
        <v>535</v>
      </c>
      <c r="L46" s="66"/>
    </row>
    <row r="47" spans="1:12" ht="15.75">
      <c r="A47" s="27" t="str">
        <v>Q021</v>
      </c>
      <c r="B47" s="28" t="str">
        <v>NY</v>
      </c>
      <c r="C47" s="28" t="str">
        <f>Sites[[#This Row],[SOL'#]]</f>
        <v>SOL-10399</v>
      </c>
      <c r="D47" s="10">
        <v>19145.28125</v>
      </c>
      <c r="E47" s="15">
        <v>18553.77</v>
      </c>
      <c r="F47" s="15">
        <f t="shared" si="0"/>
        <v>591.51124999999956</v>
      </c>
      <c r="G47" s="16">
        <f t="shared" si="3"/>
        <v>3.1880919619031577E-2</v>
      </c>
      <c r="H47" s="17">
        <v>8480.7049999999999</v>
      </c>
      <c r="I47" s="17">
        <f t="shared" si="4"/>
        <v>10664.57625</v>
      </c>
      <c r="J47" s="16">
        <f t="shared" si="5"/>
        <v>1.2575105784247891</v>
      </c>
      <c r="K47" s="61"/>
      <c r="L47" s="62"/>
    </row>
    <row r="48" spans="1:12" ht="57">
      <c r="A48" s="25" t="str">
        <v>Q025</v>
      </c>
      <c r="B48" s="26" t="str">
        <v>NY</v>
      </c>
      <c r="C48" s="26" t="str">
        <f>Sites[[#This Row],[SOL'#]]</f>
        <v>SOL-10400</v>
      </c>
      <c r="D48" s="21">
        <v>32502.1875</v>
      </c>
      <c r="E48" s="11">
        <v>32818.18</v>
      </c>
      <c r="F48" s="11">
        <f t="shared" si="0"/>
        <v>-315.99250000000029</v>
      </c>
      <c r="G48" s="12">
        <f t="shared" si="3"/>
        <v>-9.6285808658493639E-3</v>
      </c>
      <c r="H48" s="13">
        <v>15102</v>
      </c>
      <c r="I48" s="13">
        <f t="shared" si="4"/>
        <v>17400.1875</v>
      </c>
      <c r="J48" s="14">
        <f t="shared" si="5"/>
        <v>1.1521776916964641</v>
      </c>
      <c r="K48" s="66" t="s">
        <v>559</v>
      </c>
      <c r="L48" s="66" t="s">
        <v>349</v>
      </c>
    </row>
    <row r="49" spans="1:12" ht="15.75">
      <c r="A49" s="27" t="str">
        <v>Q074</v>
      </c>
      <c r="B49" s="28" t="str">
        <v>NY</v>
      </c>
      <c r="C49" s="28" t="str">
        <f>Sites[[#This Row],[SOL'#]]</f>
        <v>SOL-10402</v>
      </c>
      <c r="D49" s="10">
        <v>21355.84375</v>
      </c>
      <c r="E49" s="15">
        <v>21996.48</v>
      </c>
      <c r="F49" s="15">
        <f t="shared" si="0"/>
        <v>-640.63624999999956</v>
      </c>
      <c r="G49" s="16">
        <f t="shared" si="3"/>
        <v>-2.9124489463768728E-2</v>
      </c>
      <c r="H49" s="17">
        <v>20150.79</v>
      </c>
      <c r="I49" s="17">
        <f t="shared" si="4"/>
        <v>1205.0537499999991</v>
      </c>
      <c r="J49" s="16">
        <f t="shared" si="5"/>
        <v>5.9801811740383334E-2</v>
      </c>
      <c r="K49" s="61"/>
      <c r="L49" s="62"/>
    </row>
    <row r="50" spans="1:12" ht="15.75">
      <c r="A50" s="25" t="str">
        <v>Q115</v>
      </c>
      <c r="B50" s="26" t="str">
        <v>NY</v>
      </c>
      <c r="C50" s="26" t="str">
        <f>Sites[[#This Row],[SOL'#]]</f>
        <v>SOL-10872</v>
      </c>
      <c r="D50" s="21">
        <v>27330.15625</v>
      </c>
      <c r="E50" s="11">
        <v>29550.51</v>
      </c>
      <c r="F50" s="11">
        <f t="shared" si="0"/>
        <v>-2220.3537499999984</v>
      </c>
      <c r="G50" s="12">
        <f t="shared" si="3"/>
        <v>-7.5137577997807778E-2</v>
      </c>
      <c r="H50" s="13">
        <v>27891.13</v>
      </c>
      <c r="I50" s="13">
        <f t="shared" si="4"/>
        <v>-560.97375000000102</v>
      </c>
      <c r="J50" s="14">
        <f t="shared" si="5"/>
        <v>-2.011298036329116E-2</v>
      </c>
      <c r="K50" s="66"/>
      <c r="L50" s="66"/>
    </row>
    <row r="51" spans="1:12" ht="15.75">
      <c r="A51" s="27" t="str">
        <v>Q139</v>
      </c>
      <c r="B51" s="28" t="str">
        <v>NY</v>
      </c>
      <c r="C51" s="28" t="str">
        <f>Sites[[#This Row],[SOL'#]]</f>
        <v>SOL-10403</v>
      </c>
      <c r="D51" s="10">
        <v>16844.96875</v>
      </c>
      <c r="E51" s="15">
        <v>18865.3</v>
      </c>
      <c r="F51" s="15">
        <f t="shared" si="0"/>
        <v>-2020.3312499999993</v>
      </c>
      <c r="G51" s="16">
        <f t="shared" si="3"/>
        <v>-0.10709245281018587</v>
      </c>
      <c r="H51" s="17">
        <v>16211</v>
      </c>
      <c r="I51" s="17">
        <f t="shared" si="4"/>
        <v>633.96875</v>
      </c>
      <c r="J51" s="16">
        <f t="shared" si="5"/>
        <v>3.9107319104311887E-2</v>
      </c>
      <c r="K51" s="61"/>
      <c r="L51" s="62"/>
    </row>
    <row r="52" spans="1:12" ht="15.75">
      <c r="A52" s="25" t="str">
        <v>Q157</v>
      </c>
      <c r="B52" s="26" t="str">
        <v>NY</v>
      </c>
      <c r="C52" s="26" t="str">
        <f>Sites[[#This Row],[SOL'#]]</f>
        <v>SOL-10404</v>
      </c>
      <c r="D52" s="21">
        <v>22624.625</v>
      </c>
      <c r="E52" s="11">
        <v>27603.95</v>
      </c>
      <c r="F52" s="11">
        <f t="shared" si="0"/>
        <v>-4979.3250000000007</v>
      </c>
      <c r="G52" s="12">
        <f t="shared" si="3"/>
        <v>-0.18038451018785356</v>
      </c>
      <c r="H52" s="13">
        <v>30804.75</v>
      </c>
      <c r="I52" s="13">
        <f t="shared" si="4"/>
        <v>-8180.125</v>
      </c>
      <c r="J52" s="14">
        <f t="shared" si="5"/>
        <v>-0.26554752108035284</v>
      </c>
      <c r="K52" s="66" t="s">
        <v>560</v>
      </c>
      <c r="L52" s="66" t="s">
        <v>561</v>
      </c>
    </row>
    <row r="53" spans="1:12" ht="15.75">
      <c r="A53" s="27" t="str">
        <v>Q192</v>
      </c>
      <c r="B53" s="28" t="str">
        <v>NY</v>
      </c>
      <c r="C53" s="28" t="str">
        <f>Sites[[#This Row],[SOL'#]]</f>
        <v>SOL-10406</v>
      </c>
      <c r="D53" s="10">
        <v>45171.625</v>
      </c>
      <c r="E53" s="15">
        <v>50176.26</v>
      </c>
      <c r="F53" s="15">
        <f t="shared" si="0"/>
        <v>-5004.635000000002</v>
      </c>
      <c r="G53" s="16">
        <f t="shared" si="3"/>
        <v>-9.9741092700013953E-2</v>
      </c>
      <c r="H53" s="17">
        <v>42277.18</v>
      </c>
      <c r="I53" s="17">
        <f t="shared" si="4"/>
        <v>2894.4449999999997</v>
      </c>
      <c r="J53" s="16">
        <f t="shared" si="5"/>
        <v>6.8463530443610476E-2</v>
      </c>
      <c r="K53" s="61"/>
      <c r="L53" s="61"/>
    </row>
    <row r="54" spans="1:12" ht="15.75">
      <c r="A54" s="25" t="str">
        <v>Q210</v>
      </c>
      <c r="B54" s="26" t="str">
        <v>NY</v>
      </c>
      <c r="C54" s="26" t="str">
        <f>Sites[[#This Row],[SOL'#]]</f>
        <v>SOL-10407</v>
      </c>
      <c r="D54" s="21">
        <v>37245.75</v>
      </c>
      <c r="E54" s="11">
        <v>38179.64</v>
      </c>
      <c r="F54" s="11">
        <f t="shared" si="0"/>
        <v>-933.88999999999942</v>
      </c>
      <c r="G54" s="12">
        <f t="shared" si="3"/>
        <v>-2.44604192182011E-2</v>
      </c>
      <c r="H54" s="13">
        <v>29392</v>
      </c>
      <c r="I54" s="13">
        <f t="shared" si="4"/>
        <v>7853.75</v>
      </c>
      <c r="J54" s="14">
        <f t="shared" si="5"/>
        <v>0.26720706314643439</v>
      </c>
      <c r="K54" s="66"/>
      <c r="L54" s="66"/>
    </row>
    <row r="55" spans="1:12" ht="15.75">
      <c r="A55" s="27" t="str">
        <v>Q229</v>
      </c>
      <c r="B55" s="28" t="str">
        <v>NY</v>
      </c>
      <c r="C55" s="28" t="str">
        <f>Sites[[#This Row],[SOL'#]]</f>
        <v>SOL-10408</v>
      </c>
      <c r="D55" s="10">
        <v>16502.031250000098</v>
      </c>
      <c r="E55" s="15">
        <v>18617.330000000002</v>
      </c>
      <c r="F55" s="15">
        <f t="shared" si="0"/>
        <v>-2115.2987499999035</v>
      </c>
      <c r="G55" s="16">
        <f t="shared" si="3"/>
        <v>-0.1136198772863726</v>
      </c>
      <c r="H55" s="17">
        <v>16851.62</v>
      </c>
      <c r="I55" s="17">
        <f t="shared" si="4"/>
        <v>-349.58874999990076</v>
      </c>
      <c r="J55" s="16">
        <f t="shared" si="5"/>
        <v>-2.0745112339341901E-2</v>
      </c>
      <c r="K55" s="61" t="s">
        <v>562</v>
      </c>
      <c r="L55" s="61" t="s">
        <v>563</v>
      </c>
    </row>
    <row r="56" spans="1:12" ht="15.75">
      <c r="A56" s="25" t="str">
        <v>Q231</v>
      </c>
      <c r="B56" s="26" t="str">
        <v>NY</v>
      </c>
      <c r="C56" s="26" t="str">
        <f>Sites[[#This Row],[SOL'#]]</f>
        <v>SOL-10870</v>
      </c>
      <c r="D56" s="21">
        <v>61176.687500000102</v>
      </c>
      <c r="E56" s="11">
        <v>63398.89</v>
      </c>
      <c r="F56" s="11">
        <f t="shared" si="0"/>
        <v>-2222.2024999998976</v>
      </c>
      <c r="G56" s="12">
        <f t="shared" si="3"/>
        <v>-3.5051126289433424E-2</v>
      </c>
      <c r="H56" s="13">
        <v>0</v>
      </c>
      <c r="I56" s="13">
        <f t="shared" si="4"/>
        <v>61176.687500000102</v>
      </c>
      <c r="J56" s="14" t="str">
        <f t="shared" si="5"/>
        <v/>
      </c>
      <c r="K56" s="66"/>
      <c r="L56" s="66"/>
    </row>
    <row r="57" spans="1:12" ht="15.75">
      <c r="A57" s="27" t="str">
        <v>Q405</v>
      </c>
      <c r="B57" s="28" t="str">
        <v>NY</v>
      </c>
      <c r="C57" s="28" t="str">
        <f>Sites[[#This Row],[SOL'#]]</f>
        <v>SOL-10409</v>
      </c>
      <c r="D57" s="10">
        <v>64818.5</v>
      </c>
      <c r="E57" s="15">
        <v>71040.899999999994</v>
      </c>
      <c r="F57" s="15">
        <f t="shared" si="0"/>
        <v>-6222.3999999999942</v>
      </c>
      <c r="G57" s="16">
        <f t="shared" si="3"/>
        <v>-8.7588980432398725E-2</v>
      </c>
      <c r="H57" s="17">
        <v>49754.23</v>
      </c>
      <c r="I57" s="17">
        <f t="shared" si="4"/>
        <v>15064.269999999997</v>
      </c>
      <c r="J57" s="16">
        <f t="shared" si="5"/>
        <v>0.30277365361698888</v>
      </c>
      <c r="K57" s="61" t="s">
        <v>564</v>
      </c>
      <c r="L57" s="62" t="s">
        <v>565</v>
      </c>
    </row>
    <row r="58" spans="1:12" ht="48" customHeight="1">
      <c r="A58" s="25" t="str">
        <v>Q435</v>
      </c>
      <c r="B58" s="26" t="str">
        <v>NY</v>
      </c>
      <c r="C58" s="26" t="str">
        <f>Sites[[#This Row],[SOL'#]]</f>
        <v>SOL-10923</v>
      </c>
      <c r="D58" s="21">
        <v>76971.718749999898</v>
      </c>
      <c r="E58" s="11">
        <v>63697.53</v>
      </c>
      <c r="F58" s="11">
        <f t="shared" si="0"/>
        <v>13274.188749999899</v>
      </c>
      <c r="G58" s="12">
        <f t="shared" si="3"/>
        <v>0.20839408922135441</v>
      </c>
      <c r="H58" s="13">
        <v>0</v>
      </c>
      <c r="I58" s="13">
        <f t="shared" si="4"/>
        <v>76971.718749999898</v>
      </c>
      <c r="J58" s="14" t="str">
        <f t="shared" si="5"/>
        <v/>
      </c>
      <c r="K58" s="66" t="s">
        <v>566</v>
      </c>
      <c r="L58" s="66" t="s">
        <v>567</v>
      </c>
    </row>
    <row r="59" spans="1:12" ht="63" customHeight="1">
      <c r="A59" s="27" t="str">
        <v>Q485</v>
      </c>
      <c r="B59" s="28" t="str">
        <v>NY</v>
      </c>
      <c r="C59" s="28" t="str">
        <f>Sites[[#This Row],[SOL'#]]</f>
        <v>SOL-10869</v>
      </c>
      <c r="D59" s="10">
        <v>82338.109375</v>
      </c>
      <c r="E59" s="15">
        <v>64894.35</v>
      </c>
      <c r="F59" s="15">
        <f t="shared" si="0"/>
        <v>17443.759375000001</v>
      </c>
      <c r="G59" s="16">
        <f t="shared" si="3"/>
        <v>0.26880243619051586</v>
      </c>
      <c r="H59" s="17">
        <v>51891.54</v>
      </c>
      <c r="I59" s="17">
        <f t="shared" si="4"/>
        <v>30446.569374999999</v>
      </c>
      <c r="J59" s="16">
        <f t="shared" si="5"/>
        <v>0.58673474279237037</v>
      </c>
      <c r="K59" s="61" t="s">
        <v>568</v>
      </c>
      <c r="L59" s="62" t="s">
        <v>569</v>
      </c>
    </row>
    <row r="60" spans="1:12" ht="15.75">
      <c r="A60" s="25" t="str">
        <v>Q490</v>
      </c>
      <c r="B60" s="26" t="str">
        <v>NY</v>
      </c>
      <c r="C60" s="26" t="str">
        <f>Sites[[#This Row],[SOL'#]]</f>
        <v>SOL-10411</v>
      </c>
      <c r="D60" s="21">
        <v>55696.2617574256</v>
      </c>
      <c r="E60" s="11">
        <v>0</v>
      </c>
      <c r="F60" s="11">
        <f t="shared" si="0"/>
        <v>55696.2617574256</v>
      </c>
      <c r="G60" s="12" t="str">
        <f t="shared" si="3"/>
        <v/>
      </c>
      <c r="H60" s="13">
        <v>59960.44</v>
      </c>
      <c r="I60" s="13">
        <f t="shared" si="4"/>
        <v>-4264.1782425744022</v>
      </c>
      <c r="J60" s="14">
        <f t="shared" si="5"/>
        <v>-7.1116526872958274E-2</v>
      </c>
      <c r="K60" s="66" t="s">
        <v>570</v>
      </c>
      <c r="L60" s="66" t="s">
        <v>571</v>
      </c>
    </row>
    <row r="61" spans="1:12" ht="15.75">
      <c r="A61" s="27" t="str">
        <v>Q620</v>
      </c>
      <c r="B61" s="28" t="str">
        <v>NY</v>
      </c>
      <c r="C61" s="28" t="str">
        <f>Sites[[#This Row],[SOL'#]]</f>
        <v>SOL-10867</v>
      </c>
      <c r="D61" s="10">
        <v>88049.875</v>
      </c>
      <c r="E61" s="15">
        <v>89949.47</v>
      </c>
      <c r="F61" s="15">
        <f t="shared" si="0"/>
        <v>-1899.5950000000012</v>
      </c>
      <c r="G61" s="16">
        <f t="shared" si="3"/>
        <v>-2.1118467957621109E-2</v>
      </c>
      <c r="H61" s="17">
        <v>86964.63</v>
      </c>
      <c r="I61" s="17">
        <f t="shared" si="4"/>
        <v>1085.2449999999953</v>
      </c>
      <c r="J61" s="16">
        <f t="shared" si="5"/>
        <v>1.2479153881296284E-2</v>
      </c>
      <c r="K61" s="61"/>
      <c r="L61" s="62"/>
    </row>
    <row r="62" spans="1:12" ht="15.75">
      <c r="A62" s="25" t="str">
        <v>QMOA</v>
      </c>
      <c r="B62" s="26" t="str">
        <v>NY</v>
      </c>
      <c r="C62" s="26" t="str">
        <f>Sites[[#This Row],[SOL'#]]</f>
        <v>SOL-10415</v>
      </c>
      <c r="D62" s="21">
        <v>7543.2</v>
      </c>
      <c r="E62" s="11">
        <v>0</v>
      </c>
      <c r="F62" s="11">
        <f t="shared" si="0"/>
        <v>7543.2</v>
      </c>
      <c r="G62" s="12" t="str">
        <f t="shared" si="3"/>
        <v/>
      </c>
      <c r="H62" s="13">
        <v>7466.96</v>
      </c>
      <c r="I62" s="13">
        <f t="shared" si="4"/>
        <v>76.239999999999782</v>
      </c>
      <c r="J62" s="14">
        <f t="shared" si="5"/>
        <v>1.0210313166268439E-2</v>
      </c>
      <c r="K62" s="66"/>
      <c r="L62" s="66"/>
    </row>
    <row r="63" spans="1:12" ht="15.75">
      <c r="A63" s="27" t="str">
        <v>X024</v>
      </c>
      <c r="B63" s="28" t="str">
        <v>NY</v>
      </c>
      <c r="C63" s="28" t="str">
        <f>Sites[[#This Row],[SOL'#]]</f>
        <v>SOL-10419</v>
      </c>
      <c r="D63" s="10">
        <v>34336.6796875</v>
      </c>
      <c r="E63" s="15">
        <v>0</v>
      </c>
      <c r="F63" s="15">
        <f t="shared" si="0"/>
        <v>34336.6796875</v>
      </c>
      <c r="G63" s="16" t="str">
        <f t="shared" si="3"/>
        <v/>
      </c>
      <c r="H63" s="17">
        <v>0</v>
      </c>
      <c r="I63" s="17">
        <f t="shared" si="4"/>
        <v>34336.6796875</v>
      </c>
      <c r="J63" s="16" t="str">
        <f t="shared" si="5"/>
        <v/>
      </c>
      <c r="K63" s="61"/>
      <c r="L63" s="62"/>
    </row>
    <row r="64" spans="1:12" ht="15.75">
      <c r="A64" s="25" t="str">
        <v>X026</v>
      </c>
      <c r="B64" s="26" t="str">
        <v>NY</v>
      </c>
      <c r="C64" s="26" t="str">
        <f>Sites[[#This Row],[SOL'#]]</f>
        <v>SOL-10420</v>
      </c>
      <c r="D64" s="21">
        <v>31165.7</v>
      </c>
      <c r="E64" s="11">
        <v>28464.58</v>
      </c>
      <c r="F64" s="11">
        <f t="shared" si="0"/>
        <v>2701.119999999999</v>
      </c>
      <c r="G64" s="12">
        <f t="shared" si="3"/>
        <v>9.4894075373674891E-2</v>
      </c>
      <c r="H64" s="13">
        <v>24102.57</v>
      </c>
      <c r="I64" s="13">
        <f t="shared" si="4"/>
        <v>7063.130000000001</v>
      </c>
      <c r="J64" s="14">
        <f t="shared" si="5"/>
        <v>0.29304468361672642</v>
      </c>
      <c r="K64" s="66"/>
      <c r="L64" s="66"/>
    </row>
    <row r="65" spans="1:12" ht="15.75">
      <c r="A65" s="27" t="str">
        <v>X090</v>
      </c>
      <c r="B65" s="28" t="str">
        <v>NY</v>
      </c>
      <c r="C65" s="28" t="str">
        <f>Sites[[#This Row],[SOL'#]]</f>
        <v>SOL-10925</v>
      </c>
      <c r="D65" s="10">
        <v>26005.35758</v>
      </c>
      <c r="E65" s="15">
        <v>23140.49</v>
      </c>
      <c r="F65" s="15">
        <f t="shared" si="0"/>
        <v>2864.8675799999983</v>
      </c>
      <c r="G65" s="16">
        <f t="shared" si="3"/>
        <v>0.123803237528678</v>
      </c>
      <c r="H65" s="17">
        <v>18531.669999999998</v>
      </c>
      <c r="I65" s="17">
        <f t="shared" si="4"/>
        <v>7473.6875800000016</v>
      </c>
      <c r="J65" s="16">
        <f t="shared" si="5"/>
        <v>0.40329271889689394</v>
      </c>
      <c r="K65" s="61"/>
      <c r="L65" s="61"/>
    </row>
    <row r="66" spans="1:12" ht="15.75">
      <c r="A66" s="25" t="str">
        <v>X117</v>
      </c>
      <c r="B66" s="26" t="str">
        <v>NY</v>
      </c>
      <c r="C66" s="26" t="str">
        <f>Sites[[#This Row],[SOL'#]]</f>
        <v>SOL-10422</v>
      </c>
      <c r="D66" s="21">
        <v>21901.3</v>
      </c>
      <c r="E66" s="11">
        <v>24439.89</v>
      </c>
      <c r="F66" s="11">
        <f t="shared" si="0"/>
        <v>-2538.59</v>
      </c>
      <c r="G66" s="12">
        <f t="shared" si="3"/>
        <v>-0.1038707621024481</v>
      </c>
      <c r="H66" s="13">
        <v>23775.01</v>
      </c>
      <c r="I66" s="13">
        <f t="shared" si="4"/>
        <v>-1873.7099999999991</v>
      </c>
      <c r="J66" s="14">
        <f t="shared" si="5"/>
        <v>-7.8810061488933103E-2</v>
      </c>
      <c r="K66" s="66"/>
      <c r="L66" s="66"/>
    </row>
    <row r="67" spans="1:12" ht="60" customHeight="1">
      <c r="A67" s="27" t="str">
        <v>X125</v>
      </c>
      <c r="B67" s="28" t="str">
        <v>NY</v>
      </c>
      <c r="C67" s="28" t="str">
        <f>Sites[[#This Row],[SOL'#]]</f>
        <v>SOL-10423</v>
      </c>
      <c r="D67" s="10">
        <v>38071.15625</v>
      </c>
      <c r="E67" s="15">
        <v>41240.080000000002</v>
      </c>
      <c r="F67" s="15">
        <f t="shared" si="0"/>
        <v>-3168.9237500000017</v>
      </c>
      <c r="G67" s="16">
        <f t="shared" si="3"/>
        <v>-7.6840873005096053E-2</v>
      </c>
      <c r="H67" s="17">
        <v>25574.57</v>
      </c>
      <c r="I67" s="17">
        <f t="shared" si="4"/>
        <v>12496.58625</v>
      </c>
      <c r="J67" s="16">
        <f t="shared" si="5"/>
        <v>0.48863328884904028</v>
      </c>
      <c r="K67" s="61" t="s">
        <v>572</v>
      </c>
      <c r="L67" s="61" t="s">
        <v>573</v>
      </c>
    </row>
    <row r="68" spans="1:12" ht="15.75">
      <c r="A68" s="25" t="str">
        <v>X134</v>
      </c>
      <c r="B68" s="26" t="str">
        <v>NY</v>
      </c>
      <c r="C68" s="26" t="str">
        <f>Sites[[#This Row],[SOL'#]]</f>
        <v>SOL-10424</v>
      </c>
      <c r="D68" s="21">
        <v>39346.734380000002</v>
      </c>
      <c r="E68" s="11">
        <v>0</v>
      </c>
      <c r="F68" s="11">
        <f t="shared" si="0"/>
        <v>39346.734380000002</v>
      </c>
      <c r="G68" s="12" t="str">
        <f t="shared" si="3"/>
        <v/>
      </c>
      <c r="H68" s="13">
        <v>0</v>
      </c>
      <c r="I68" s="13">
        <f t="shared" si="4"/>
        <v>39346.734380000002</v>
      </c>
      <c r="J68" s="14" t="str">
        <f t="shared" si="5"/>
        <v/>
      </c>
      <c r="K68" s="66"/>
      <c r="L68" s="66"/>
    </row>
    <row r="69" spans="1:12" ht="15.75">
      <c r="A69" s="27" t="str">
        <v>X135</v>
      </c>
      <c r="B69" s="28" t="str">
        <v>NY</v>
      </c>
      <c r="C69" s="28" t="str">
        <f>Sites[[#This Row],[SOL'#]]</f>
        <v>SOL-10425</v>
      </c>
      <c r="D69" s="10">
        <v>27383.765630000002</v>
      </c>
      <c r="E69" s="15">
        <v>0</v>
      </c>
      <c r="F69" s="15">
        <f t="shared" ref="F69:F132" si="6">IF(AND(ISNUMBER(D69),ISNUMBER(E69)), D69-E69, "")</f>
        <v>27383.765630000002</v>
      </c>
      <c r="G69" s="16" t="str">
        <f t="shared" si="3"/>
        <v/>
      </c>
      <c r="H69" s="17">
        <v>0</v>
      </c>
      <c r="I69" s="17">
        <f t="shared" si="4"/>
        <v>27383.765630000002</v>
      </c>
      <c r="J69" s="16" t="str">
        <f t="shared" si="5"/>
        <v/>
      </c>
      <c r="K69" s="61"/>
      <c r="L69" s="62"/>
    </row>
    <row r="70" spans="1:12" ht="15.75">
      <c r="A70" s="25" t="str">
        <v>X139 JHS 222</v>
      </c>
      <c r="B70" s="26" t="str">
        <v>NY</v>
      </c>
      <c r="C70" s="26" t="str">
        <f>Sites[[#This Row],[SOL'#]]</f>
        <v>SOL-10426</v>
      </c>
      <c r="D70" s="21">
        <v>50018.621124104102</v>
      </c>
      <c r="E70" s="11">
        <v>52350.9</v>
      </c>
      <c r="F70" s="11">
        <f t="shared" si="6"/>
        <v>-2332.2788758958995</v>
      </c>
      <c r="G70" s="12">
        <f t="shared" ref="G70:G133" si="7">IFERROR(F70/E70, "")</f>
        <v>-4.4550884051580766E-2</v>
      </c>
      <c r="H70" s="13">
        <v>44635</v>
      </c>
      <c r="I70" s="13">
        <f t="shared" si="4"/>
        <v>5383.6211241041019</v>
      </c>
      <c r="J70" s="14">
        <f t="shared" si="5"/>
        <v>0.12061434130400139</v>
      </c>
      <c r="K70" s="66" t="s">
        <v>574</v>
      </c>
      <c r="L70" s="66" t="s">
        <v>470</v>
      </c>
    </row>
    <row r="71" spans="1:12" ht="15.75">
      <c r="A71" s="27" t="str">
        <v>X140</v>
      </c>
      <c r="B71" s="28" t="str">
        <v>NY</v>
      </c>
      <c r="C71" s="28" t="str">
        <f>Sites[[#This Row],[SOL'#]]</f>
        <v>SOL-10926</v>
      </c>
      <c r="D71" s="10">
        <v>27657.5107664801</v>
      </c>
      <c r="E71" s="15">
        <v>23443.42</v>
      </c>
      <c r="F71" s="15">
        <f t="shared" si="6"/>
        <v>4214.0907664801016</v>
      </c>
      <c r="G71" s="16">
        <f t="shared" si="7"/>
        <v>0.17975580211761347</v>
      </c>
      <c r="H71" s="17">
        <v>22511</v>
      </c>
      <c r="I71" s="17">
        <f t="shared" si="4"/>
        <v>5146.5107664800998</v>
      </c>
      <c r="J71" s="16">
        <f t="shared" si="5"/>
        <v>0.22862204106792677</v>
      </c>
      <c r="K71" s="61"/>
      <c r="L71" s="62"/>
    </row>
    <row r="72" spans="1:12" ht="15.75">
      <c r="A72" s="25" t="str">
        <v>X166</v>
      </c>
      <c r="B72" s="26" t="str">
        <v>NY</v>
      </c>
      <c r="C72" s="26" t="str">
        <f>Sites[[#This Row],[SOL'#]]</f>
        <v>SOL-10427</v>
      </c>
      <c r="D72" s="21">
        <v>28346.5</v>
      </c>
      <c r="E72" s="11">
        <v>29181</v>
      </c>
      <c r="F72" s="11">
        <f t="shared" si="6"/>
        <v>-834.5</v>
      </c>
      <c r="G72" s="12">
        <f t="shared" si="7"/>
        <v>-2.8597375004283609E-2</v>
      </c>
      <c r="H72" s="13">
        <v>0</v>
      </c>
      <c r="I72" s="13">
        <f t="shared" si="4"/>
        <v>28346.5</v>
      </c>
      <c r="J72" s="14" t="str">
        <f t="shared" si="5"/>
        <v/>
      </c>
      <c r="K72" s="89" t="s">
        <v>575</v>
      </c>
      <c r="L72" s="66" t="s">
        <v>576</v>
      </c>
    </row>
    <row r="73" spans="1:12" ht="57">
      <c r="A73" s="27" t="str">
        <v>Murphy</v>
      </c>
      <c r="B73" s="28" t="str">
        <v>MN</v>
      </c>
      <c r="C73" s="28" t="str">
        <f>Sites[[#This Row],[SOL'#]]</f>
        <v>SOL-10094</v>
      </c>
      <c r="D73" s="10">
        <v>539560</v>
      </c>
      <c r="E73" s="15">
        <v>602915.4</v>
      </c>
      <c r="F73" s="15">
        <f t="shared" si="6"/>
        <v>-63355.400000000023</v>
      </c>
      <c r="G73" s="16">
        <f t="shared" si="7"/>
        <v>-0.1050817411530706</v>
      </c>
      <c r="H73" s="17">
        <v>976788.5</v>
      </c>
      <c r="I73" s="17">
        <f t="shared" si="4"/>
        <v>-437228.5</v>
      </c>
      <c r="J73" s="16">
        <f t="shared" si="5"/>
        <v>-0.44761839436070344</v>
      </c>
      <c r="K73" s="61" t="s">
        <v>577</v>
      </c>
      <c r="L73" s="61" t="s">
        <v>578</v>
      </c>
    </row>
    <row r="74" spans="1:12" ht="42.75">
      <c r="A74" s="25" t="str">
        <v>Terning</v>
      </c>
      <c r="B74" s="26" t="str">
        <v>MN</v>
      </c>
      <c r="C74" s="26" t="str">
        <f>Sites[[#This Row],[SOL'#]]</f>
        <v>SOL-10093</v>
      </c>
      <c r="D74" s="21">
        <v>810874.58</v>
      </c>
      <c r="E74" s="11">
        <v>963785.2</v>
      </c>
      <c r="F74" s="11">
        <f t="shared" si="6"/>
        <v>-152910.62</v>
      </c>
      <c r="G74" s="12">
        <f t="shared" si="7"/>
        <v>-0.15865632715671502</v>
      </c>
      <c r="H74" s="13">
        <v>996655.1</v>
      </c>
      <c r="I74" s="13">
        <f t="shared" si="4"/>
        <v>-185780.52000000002</v>
      </c>
      <c r="J74" s="14">
        <f t="shared" si="5"/>
        <v>-0.18640402281591698</v>
      </c>
      <c r="K74" s="66" t="s">
        <v>579</v>
      </c>
      <c r="L74" s="66" t="s">
        <v>580</v>
      </c>
    </row>
    <row r="75" spans="1:12" ht="15.75">
      <c r="A75" s="27" t="str">
        <v>Boas Road 04</v>
      </c>
      <c r="B75" s="28" t="str">
        <v>NY</v>
      </c>
      <c r="C75" s="28" t="str">
        <f>Sites[[#This Row],[SOL'#]]</f>
        <v>SOL-10908</v>
      </c>
      <c r="D75" s="10">
        <v>355248</v>
      </c>
      <c r="E75" s="15">
        <v>0</v>
      </c>
      <c r="F75" s="15">
        <f t="shared" si="6"/>
        <v>355248</v>
      </c>
      <c r="G75" s="16" t="str">
        <f t="shared" si="7"/>
        <v/>
      </c>
      <c r="H75" s="17">
        <v>379156.01</v>
      </c>
      <c r="I75" s="17">
        <f t="shared" si="4"/>
        <v>-23908.010000000009</v>
      </c>
      <c r="J75" s="16">
        <f t="shared" si="5"/>
        <v>-6.3055864523946251E-2</v>
      </c>
      <c r="K75" s="61" t="s">
        <v>581</v>
      </c>
      <c r="L75" s="61" t="s">
        <v>582</v>
      </c>
    </row>
    <row r="76" spans="1:12" ht="28.5">
      <c r="A76" s="25" t="str">
        <v>Kelly Bridge Farm</v>
      </c>
      <c r="B76" s="26" t="str">
        <v>NY</v>
      </c>
      <c r="C76" s="26" t="str">
        <f>Sites[[#This Row],[SOL'#]]</f>
        <v>SOL-10911</v>
      </c>
      <c r="D76" s="21">
        <v>375683</v>
      </c>
      <c r="E76" s="11">
        <v>390001</v>
      </c>
      <c r="F76" s="11">
        <f t="shared" si="6"/>
        <v>-14318</v>
      </c>
      <c r="G76" s="12">
        <f t="shared" si="7"/>
        <v>-3.6712726377624676E-2</v>
      </c>
      <c r="H76" s="13">
        <v>373792.35</v>
      </c>
      <c r="I76" s="13">
        <f t="shared" si="4"/>
        <v>1890.6500000000233</v>
      </c>
      <c r="J76" s="14">
        <f t="shared" si="5"/>
        <v>5.0580221879875913E-3</v>
      </c>
      <c r="K76" s="66" t="s">
        <v>583</v>
      </c>
      <c r="L76" s="66" t="s">
        <v>584</v>
      </c>
    </row>
    <row r="77" spans="1:12" ht="15.75">
      <c r="A77" s="27" t="str">
        <v>Pool Brook Road</v>
      </c>
      <c r="B77" s="28" t="str">
        <v>NY</v>
      </c>
      <c r="C77" s="28" t="str">
        <f>Sites[[#This Row],[SOL'#]]</f>
        <v>SOL-10909</v>
      </c>
      <c r="D77" s="10">
        <v>350736</v>
      </c>
      <c r="E77" s="15">
        <v>356175</v>
      </c>
      <c r="F77" s="15">
        <f t="shared" si="6"/>
        <v>-5439</v>
      </c>
      <c r="G77" s="16">
        <f t="shared" si="7"/>
        <v>-1.5270583280690671E-2</v>
      </c>
      <c r="H77" s="17">
        <v>357115.26</v>
      </c>
      <c r="I77" s="17">
        <f t="shared" si="4"/>
        <v>-6379.2600000000093</v>
      </c>
      <c r="J77" s="16">
        <f t="shared" si="5"/>
        <v>-1.7863308333561576E-2</v>
      </c>
      <c r="K77" s="61"/>
      <c r="L77" s="61"/>
    </row>
    <row r="78" spans="1:12" ht="15.75">
      <c r="A78" s="25" t="str">
        <v>Sackett Lake</v>
      </c>
      <c r="B78" s="26" t="str">
        <v>NY</v>
      </c>
      <c r="C78" s="26" t="str">
        <f>Sites[[#This Row],[SOL'#]]</f>
        <v>SOL-10910</v>
      </c>
      <c r="D78" s="21">
        <v>373931</v>
      </c>
      <c r="E78" s="11">
        <v>380184</v>
      </c>
      <c r="F78" s="11">
        <f t="shared" si="6"/>
        <v>-6253</v>
      </c>
      <c r="G78" s="12">
        <f t="shared" si="7"/>
        <v>-1.6447299202491425E-2</v>
      </c>
      <c r="H78" s="13">
        <v>364986.33</v>
      </c>
      <c r="I78" s="13">
        <f t="shared" si="4"/>
        <v>8944.6699999999837</v>
      </c>
      <c r="J78" s="14">
        <f t="shared" si="5"/>
        <v>2.4506863037856742E-2</v>
      </c>
      <c r="K78" s="66"/>
      <c r="L78" s="66"/>
    </row>
    <row r="79" spans="1:12" ht="42.75">
      <c r="A79" s="27" t="str">
        <v>Burritt Road</v>
      </c>
      <c r="B79" s="28" t="str">
        <v>NY</v>
      </c>
      <c r="C79" s="28" t="str">
        <f>Sites[[#This Row],[SOL'#]]</f>
        <v>SOL-10913</v>
      </c>
      <c r="D79" s="10">
        <v>375340</v>
      </c>
      <c r="E79" s="15">
        <v>0</v>
      </c>
      <c r="F79" s="15">
        <f t="shared" si="6"/>
        <v>375340</v>
      </c>
      <c r="G79" s="16" t="str">
        <f t="shared" si="7"/>
        <v/>
      </c>
      <c r="H79" s="17">
        <v>411799.3</v>
      </c>
      <c r="I79" s="17">
        <f t="shared" si="4"/>
        <v>-36459.299999999988</v>
      </c>
      <c r="J79" s="16">
        <f t="shared" si="5"/>
        <v>-8.8536575948526361E-2</v>
      </c>
      <c r="K79" s="61" t="s">
        <v>585</v>
      </c>
      <c r="L79" s="61" t="s">
        <v>586</v>
      </c>
    </row>
    <row r="80" spans="1:12" ht="15.75">
      <c r="A80" s="25" t="str">
        <v>Villa Roma 1</v>
      </c>
      <c r="B80" s="26" t="str">
        <v>NY</v>
      </c>
      <c r="C80" s="26" t="str">
        <f>Sites[[#This Row],[SOL'#]]</f>
        <v>SOL-10914</v>
      </c>
      <c r="D80" s="21">
        <v>484829</v>
      </c>
      <c r="E80" s="11">
        <v>538921</v>
      </c>
      <c r="F80" s="11">
        <f t="shared" si="6"/>
        <v>-54092</v>
      </c>
      <c r="G80" s="12">
        <f t="shared" si="7"/>
        <v>-0.1003709263509865</v>
      </c>
      <c r="H80" s="13">
        <v>346009</v>
      </c>
      <c r="I80" s="13">
        <f t="shared" si="4"/>
        <v>138820</v>
      </c>
      <c r="J80" s="14">
        <f t="shared" si="5"/>
        <v>0.40120343690482041</v>
      </c>
      <c r="K80" s="66" t="s">
        <v>587</v>
      </c>
      <c r="L80" s="66" t="s">
        <v>588</v>
      </c>
    </row>
    <row r="81" spans="1:12" ht="15.75">
      <c r="A81" s="27" t="str">
        <v>Villa Roma 2</v>
      </c>
      <c r="B81" s="28" t="str">
        <v>NY</v>
      </c>
      <c r="C81" s="28" t="str">
        <f>Sites[[#This Row],[SOL'#]]</f>
        <v>SOL-10915</v>
      </c>
      <c r="D81" s="10">
        <v>325199</v>
      </c>
      <c r="E81" s="15">
        <v>346956</v>
      </c>
      <c r="F81" s="15">
        <f t="shared" si="6"/>
        <v>-21757</v>
      </c>
      <c r="G81" s="16">
        <f t="shared" si="7"/>
        <v>-6.2708239661513274E-2</v>
      </c>
      <c r="H81" s="17">
        <v>335498</v>
      </c>
      <c r="I81" s="17">
        <f t="shared" si="4"/>
        <v>-10299</v>
      </c>
      <c r="J81" s="16">
        <f t="shared" si="5"/>
        <v>-3.0697649464378328E-2</v>
      </c>
      <c r="K81" s="61"/>
      <c r="L81" s="61"/>
    </row>
    <row r="82" spans="1:12" ht="15.75">
      <c r="A82" s="25" t="str">
        <v>Washington 1</v>
      </c>
      <c r="B82" s="26" t="str">
        <v>NY</v>
      </c>
      <c r="C82" s="26" t="str">
        <f>Sites[[#This Row],[SOL'#]]</f>
        <v>SOL-10912</v>
      </c>
      <c r="D82" s="21">
        <v>376060</v>
      </c>
      <c r="E82" s="11">
        <v>393970</v>
      </c>
      <c r="F82" s="11">
        <f t="shared" si="6"/>
        <v>-17910</v>
      </c>
      <c r="G82" s="12">
        <f t="shared" si="7"/>
        <v>-4.5460314237124655E-2</v>
      </c>
      <c r="H82" s="13">
        <v>407543</v>
      </c>
      <c r="I82" s="13">
        <f t="shared" ref="I82:I145" si="8">IF(AND(ISNUMBER(D82),ISNUMBER(H82)), D82-H82, "")</f>
        <v>-31483</v>
      </c>
      <c r="J82" s="14">
        <f t="shared" ref="J82:J145" si="9">IFERROR(I82/H82, "")</f>
        <v>-7.7250744093261325E-2</v>
      </c>
      <c r="K82" s="66"/>
      <c r="L82" s="66"/>
    </row>
    <row r="83" spans="1:12" ht="57">
      <c r="A83" s="27" t="str">
        <v>Washington 3</v>
      </c>
      <c r="B83" s="28" t="str">
        <v>NY</v>
      </c>
      <c r="C83" s="28" t="str">
        <f>Sites[[#This Row],[SOL'#]]</f>
        <v>SOL-10828</v>
      </c>
      <c r="D83" s="10">
        <v>380301</v>
      </c>
      <c r="E83" s="15">
        <v>130582</v>
      </c>
      <c r="F83" s="15">
        <f t="shared" si="6"/>
        <v>249719</v>
      </c>
      <c r="G83" s="16">
        <f t="shared" si="7"/>
        <v>1.9123539232053421</v>
      </c>
      <c r="H83" s="17">
        <v>496815</v>
      </c>
      <c r="I83" s="17">
        <f t="shared" si="8"/>
        <v>-116514</v>
      </c>
      <c r="J83" s="16">
        <f t="shared" si="9"/>
        <v>-0.234521904531868</v>
      </c>
      <c r="K83" s="61" t="s">
        <v>589</v>
      </c>
      <c r="L83" s="61" t="s">
        <v>590</v>
      </c>
    </row>
    <row r="84" spans="1:12" ht="57">
      <c r="A84" s="25" t="str">
        <v>Washington 4</v>
      </c>
      <c r="B84" s="26" t="str">
        <v>NY</v>
      </c>
      <c r="C84" s="26" t="str">
        <f>Sites[[#This Row],[SOL'#]]</f>
        <v>SOL-10829</v>
      </c>
      <c r="D84" s="21">
        <v>245232</v>
      </c>
      <c r="E84" s="11">
        <v>0</v>
      </c>
      <c r="F84" s="11">
        <f t="shared" si="6"/>
        <v>245232</v>
      </c>
      <c r="G84" s="12" t="str">
        <f t="shared" si="7"/>
        <v/>
      </c>
      <c r="H84" s="13">
        <v>497937</v>
      </c>
      <c r="I84" s="13">
        <f t="shared" si="8"/>
        <v>-252705</v>
      </c>
      <c r="J84" s="14">
        <f t="shared" si="9"/>
        <v>-0.50750396134450748</v>
      </c>
      <c r="K84" s="66" t="s">
        <v>591</v>
      </c>
      <c r="L84" s="66" t="s">
        <v>592</v>
      </c>
    </row>
    <row r="85" spans="1:12" ht="28.5">
      <c r="A85" s="27" t="str">
        <v>Big Tree</v>
      </c>
      <c r="B85" s="28" t="str">
        <v>NY</v>
      </c>
      <c r="C85" s="28" t="str">
        <f>Sites[[#This Row],[SOL'#]]</f>
        <v>SOL-10966</v>
      </c>
      <c r="D85" s="10">
        <v>346327</v>
      </c>
      <c r="E85" s="15">
        <v>400672</v>
      </c>
      <c r="F85" s="15">
        <f t="shared" si="6"/>
        <v>-54345</v>
      </c>
      <c r="G85" s="16">
        <f t="shared" si="7"/>
        <v>-0.13563463381519048</v>
      </c>
      <c r="H85" s="17">
        <v>104431</v>
      </c>
      <c r="I85" s="17">
        <f t="shared" si="8"/>
        <v>241896</v>
      </c>
      <c r="J85" s="16">
        <f t="shared" si="9"/>
        <v>2.3163236969865268</v>
      </c>
      <c r="K85" s="61" t="s">
        <v>593</v>
      </c>
      <c r="L85" s="61" t="s">
        <v>594</v>
      </c>
    </row>
    <row r="86" spans="1:12" ht="42.75">
      <c r="A86" s="25" t="str">
        <v>Canoga</v>
      </c>
      <c r="B86" s="26" t="str">
        <v>NY</v>
      </c>
      <c r="C86" s="26" t="str">
        <f>Sites[[#This Row],[SOL'#]]</f>
        <v>SOL-10965</v>
      </c>
      <c r="D86" s="21">
        <v>914656</v>
      </c>
      <c r="E86" s="11">
        <v>0</v>
      </c>
      <c r="F86" s="11">
        <f t="shared" si="6"/>
        <v>914656</v>
      </c>
      <c r="G86" s="12" t="str">
        <f t="shared" si="7"/>
        <v/>
      </c>
      <c r="H86" s="13">
        <v>296042</v>
      </c>
      <c r="I86" s="13">
        <f t="shared" si="8"/>
        <v>618614</v>
      </c>
      <c r="J86" s="14">
        <f t="shared" si="9"/>
        <v>2.0896156626424629</v>
      </c>
      <c r="K86" s="66" t="s">
        <v>595</v>
      </c>
      <c r="L86" s="66" t="s">
        <v>596</v>
      </c>
    </row>
    <row r="87" spans="1:12" ht="172.5" customHeight="1">
      <c r="A87" s="27" t="str">
        <v>County Route 84</v>
      </c>
      <c r="B87" s="28" t="str">
        <v>NY</v>
      </c>
      <c r="C87" s="28" t="str">
        <f>Sites[[#This Row],[SOL'#]]</f>
        <v>SOL-10967</v>
      </c>
      <c r="D87" s="10">
        <v>736049</v>
      </c>
      <c r="E87" s="15">
        <v>0</v>
      </c>
      <c r="F87" s="15">
        <f t="shared" si="6"/>
        <v>736049</v>
      </c>
      <c r="G87" s="16" t="str">
        <f t="shared" si="7"/>
        <v/>
      </c>
      <c r="H87" s="17">
        <v>364940</v>
      </c>
      <c r="I87" s="17">
        <f t="shared" si="8"/>
        <v>371109</v>
      </c>
      <c r="J87" s="16">
        <f t="shared" si="9"/>
        <v>1.0169041486271715</v>
      </c>
      <c r="K87" s="61" t="s">
        <v>597</v>
      </c>
      <c r="L87" s="61" t="s">
        <v>598</v>
      </c>
    </row>
    <row r="88" spans="1:12" ht="15.75">
      <c r="A88" s="25" t="str">
        <v>Donati</v>
      </c>
      <c r="B88" s="26" t="str">
        <v>NY</v>
      </c>
      <c r="C88" s="26" t="str">
        <f>Sites[[#This Row],[SOL'#]]</f>
        <v>SOL-10968</v>
      </c>
      <c r="D88" s="21">
        <v>456332</v>
      </c>
      <c r="E88" s="11">
        <v>0</v>
      </c>
      <c r="F88" s="11">
        <f t="shared" si="6"/>
        <v>456332</v>
      </c>
      <c r="G88" s="12" t="str">
        <f t="shared" si="7"/>
        <v/>
      </c>
      <c r="H88" s="13">
        <v>116511</v>
      </c>
      <c r="I88" s="13">
        <f t="shared" si="8"/>
        <v>339821</v>
      </c>
      <c r="J88" s="14">
        <f t="shared" si="9"/>
        <v>2.9166430637450542</v>
      </c>
      <c r="K88" s="66"/>
      <c r="L88" s="66"/>
    </row>
    <row r="89" spans="1:12" ht="15.75">
      <c r="A89" s="27" t="str">
        <v>Henrietta</v>
      </c>
      <c r="B89" s="28" t="str">
        <v>NY</v>
      </c>
      <c r="C89" s="28" t="str">
        <f>Sites[[#This Row],[SOL'#]]</f>
        <v>SOL-10972</v>
      </c>
      <c r="D89" s="10">
        <v>950768</v>
      </c>
      <c r="E89" s="15">
        <v>923077</v>
      </c>
      <c r="F89" s="15">
        <f t="shared" si="6"/>
        <v>27691</v>
      </c>
      <c r="G89" s="16">
        <f t="shared" si="7"/>
        <v>2.9998580833451596E-2</v>
      </c>
      <c r="H89" s="17">
        <v>224356</v>
      </c>
      <c r="I89" s="17">
        <f t="shared" si="8"/>
        <v>726412</v>
      </c>
      <c r="J89" s="16">
        <f t="shared" si="9"/>
        <v>3.2377649806557436</v>
      </c>
      <c r="K89" s="61" t="s">
        <v>599</v>
      </c>
      <c r="L89" s="61" t="s">
        <v>600</v>
      </c>
    </row>
    <row r="90" spans="1:12" ht="119.25" customHeight="1">
      <c r="A90" s="25" t="str">
        <v>NY 70</v>
      </c>
      <c r="B90" s="26" t="str">
        <v>NY</v>
      </c>
      <c r="C90" s="26" t="str">
        <f>Sites[[#This Row],[SOL'#]]</f>
        <v>SOL-10970</v>
      </c>
      <c r="D90" s="21">
        <v>949573</v>
      </c>
      <c r="E90" s="11">
        <v>0</v>
      </c>
      <c r="F90" s="11">
        <f t="shared" si="6"/>
        <v>949573</v>
      </c>
      <c r="G90" s="12" t="str">
        <f t="shared" si="7"/>
        <v/>
      </c>
      <c r="H90" s="13">
        <v>348970</v>
      </c>
      <c r="I90" s="13">
        <f t="shared" si="8"/>
        <v>600603</v>
      </c>
      <c r="J90" s="14">
        <f t="shared" si="9"/>
        <v>1.7210734447087142</v>
      </c>
      <c r="K90" s="66" t="s">
        <v>601</v>
      </c>
      <c r="L90" s="66" t="s">
        <v>602</v>
      </c>
    </row>
    <row r="91" spans="1:12" ht="156" customHeight="1">
      <c r="A91" s="27" t="str">
        <v>Reid</v>
      </c>
      <c r="B91" s="28" t="str">
        <v>NY</v>
      </c>
      <c r="C91" s="28" t="str">
        <f>Sites[[#This Row],[SOL'#]]</f>
        <v>SOL-10991</v>
      </c>
      <c r="D91" s="10">
        <v>799850.86577338004</v>
      </c>
      <c r="E91" s="15">
        <v>766025.4</v>
      </c>
      <c r="F91" s="15">
        <f t="shared" si="6"/>
        <v>33825.465773380012</v>
      </c>
      <c r="G91" s="16">
        <f t="shared" si="7"/>
        <v>4.4157107288322305E-2</v>
      </c>
      <c r="H91" s="17">
        <v>833703</v>
      </c>
      <c r="I91" s="17">
        <f t="shared" si="8"/>
        <v>-33852.134226619964</v>
      </c>
      <c r="J91" s="16">
        <f t="shared" si="9"/>
        <v>-4.0604548894054557E-2</v>
      </c>
      <c r="K91" s="61" t="s">
        <v>603</v>
      </c>
      <c r="L91" s="61" t="s">
        <v>604</v>
      </c>
    </row>
    <row r="92" spans="1:12" ht="15.75">
      <c r="A92" s="25" t="str">
        <v>Sangolqui</v>
      </c>
      <c r="B92" s="26" t="str">
        <v>NY</v>
      </c>
      <c r="C92" s="26" t="str">
        <f>Sites[[#This Row],[SOL'#]]</f>
        <v>SOL-10975</v>
      </c>
      <c r="D92" s="21">
        <v>470381</v>
      </c>
      <c r="E92" s="11">
        <v>482020</v>
      </c>
      <c r="F92" s="11">
        <f t="shared" si="6"/>
        <v>-11639</v>
      </c>
      <c r="G92" s="12">
        <f t="shared" si="7"/>
        <v>-2.4146300983361686E-2</v>
      </c>
      <c r="H92" s="13">
        <v>113622</v>
      </c>
      <c r="I92" s="13">
        <f t="shared" si="8"/>
        <v>356759</v>
      </c>
      <c r="J92" s="14">
        <f t="shared" si="9"/>
        <v>3.1398760803365544</v>
      </c>
      <c r="K92" s="66"/>
      <c r="L92" s="66"/>
    </row>
    <row r="93" spans="1:12" ht="42.75">
      <c r="A93" s="27" t="str">
        <v>State Highway 17B</v>
      </c>
      <c r="B93" s="28" t="str">
        <v>NY</v>
      </c>
      <c r="C93" s="28" t="str">
        <f>Sites[[#This Row],[SOL'#]]</f>
        <v>SOL-10988</v>
      </c>
      <c r="D93" s="10">
        <v>799270</v>
      </c>
      <c r="E93" s="15">
        <v>849596</v>
      </c>
      <c r="F93" s="15">
        <f t="shared" si="6"/>
        <v>-50326</v>
      </c>
      <c r="G93" s="16">
        <f t="shared" si="7"/>
        <v>-5.9235212971812487E-2</v>
      </c>
      <c r="H93" s="17">
        <v>313294</v>
      </c>
      <c r="I93" s="17">
        <f t="shared" si="8"/>
        <v>485976</v>
      </c>
      <c r="J93" s="16">
        <f t="shared" si="9"/>
        <v>1.5511819568839493</v>
      </c>
      <c r="K93" s="61" t="s">
        <v>605</v>
      </c>
      <c r="L93" s="61" t="s">
        <v>606</v>
      </c>
    </row>
    <row r="94" spans="1:12" ht="31.5" customHeight="1">
      <c r="A94" s="25" t="str">
        <v>State Route 14A</v>
      </c>
      <c r="B94" s="26" t="str">
        <v>NY</v>
      </c>
      <c r="C94" s="26" t="str">
        <f>Sites[[#This Row],[SOL'#]]</f>
        <v>SOL-10997</v>
      </c>
      <c r="D94" s="21">
        <v>873459</v>
      </c>
      <c r="E94" s="11">
        <v>0</v>
      </c>
      <c r="F94" s="11">
        <f t="shared" si="6"/>
        <v>873459</v>
      </c>
      <c r="G94" s="12" t="str">
        <f t="shared" si="7"/>
        <v/>
      </c>
      <c r="H94" s="13">
        <v>336363</v>
      </c>
      <c r="I94" s="13">
        <f t="shared" si="8"/>
        <v>537096</v>
      </c>
      <c r="J94" s="14">
        <f t="shared" si="9"/>
        <v>1.5967749128174027</v>
      </c>
      <c r="K94" s="66" t="s">
        <v>607</v>
      </c>
      <c r="L94" s="66" t="s">
        <v>608</v>
      </c>
    </row>
    <row r="95" spans="1:12" ht="30" customHeight="1">
      <c r="A95" s="27" t="str">
        <v>West Creek</v>
      </c>
      <c r="B95" s="28" t="str">
        <v>NY</v>
      </c>
      <c r="C95" s="28" t="str">
        <f>Sites[[#This Row],[SOL'#]]</f>
        <v>SOL-10995</v>
      </c>
      <c r="D95" s="10">
        <v>993910</v>
      </c>
      <c r="E95" s="15">
        <v>0</v>
      </c>
      <c r="F95" s="15">
        <f t="shared" si="6"/>
        <v>993910</v>
      </c>
      <c r="G95" s="16" t="str">
        <f t="shared" si="7"/>
        <v/>
      </c>
      <c r="H95" s="17">
        <v>288785</v>
      </c>
      <c r="I95" s="17">
        <f t="shared" si="8"/>
        <v>705125</v>
      </c>
      <c r="J95" s="16">
        <f t="shared" si="9"/>
        <v>2.4416953789151097</v>
      </c>
      <c r="K95" s="61" t="s">
        <v>609</v>
      </c>
      <c r="L95" s="61" t="s">
        <v>610</v>
      </c>
    </row>
    <row r="96" spans="1:12" ht="71.25">
      <c r="A96" s="25" t="str">
        <v>Wildflower</v>
      </c>
      <c r="B96" s="26" t="str">
        <v>NY</v>
      </c>
      <c r="C96" s="26" t="str">
        <f>Sites[[#This Row],[SOL'#]]</f>
        <v>SOL-10982</v>
      </c>
      <c r="D96" s="21">
        <v>169186</v>
      </c>
      <c r="E96" s="11">
        <v>0</v>
      </c>
      <c r="F96" s="11">
        <f t="shared" si="6"/>
        <v>169186</v>
      </c>
      <c r="G96" s="12" t="str">
        <f t="shared" si="7"/>
        <v/>
      </c>
      <c r="H96" s="13">
        <v>393774</v>
      </c>
      <c r="I96" s="13">
        <f t="shared" si="8"/>
        <v>-224588</v>
      </c>
      <c r="J96" s="14">
        <f t="shared" si="9"/>
        <v>-0.57034745818667565</v>
      </c>
      <c r="K96" s="66" t="s">
        <v>611</v>
      </c>
      <c r="L96" s="66" t="s">
        <v>612</v>
      </c>
    </row>
    <row r="97" spans="1:12" ht="33.6" customHeight="1">
      <c r="A97" s="27" t="str">
        <v>Glen Mary 1</v>
      </c>
      <c r="B97" s="28" t="str">
        <v>NY</v>
      </c>
      <c r="C97" s="28" t="str">
        <f>Sites[[#This Row],[SOL'#]]</f>
        <v>SOL-10993</v>
      </c>
      <c r="D97" s="10">
        <v>940474</v>
      </c>
      <c r="E97" s="15">
        <v>0</v>
      </c>
      <c r="F97" s="15">
        <f t="shared" si="6"/>
        <v>940474</v>
      </c>
      <c r="G97" s="16" t="str">
        <f t="shared" si="7"/>
        <v/>
      </c>
      <c r="H97" s="17">
        <v>377458</v>
      </c>
      <c r="I97" s="17">
        <f t="shared" si="8"/>
        <v>563016</v>
      </c>
      <c r="J97" s="16">
        <f t="shared" si="9"/>
        <v>1.4915990653264735</v>
      </c>
      <c r="K97" s="61" t="s">
        <v>613</v>
      </c>
      <c r="L97" s="61" t="s">
        <v>614</v>
      </c>
    </row>
    <row r="98" spans="1:12" ht="15.75">
      <c r="A98" s="25" t="str">
        <v>Glen Mary 2</v>
      </c>
      <c r="B98" s="26" t="str">
        <v>NY</v>
      </c>
      <c r="C98" s="26" t="str">
        <f>Sites[[#This Row],[SOL'#]]</f>
        <v>SOL-10994</v>
      </c>
      <c r="D98" s="21">
        <v>426930</v>
      </c>
      <c r="E98" s="11">
        <v>0</v>
      </c>
      <c r="F98" s="11">
        <f t="shared" si="6"/>
        <v>426930</v>
      </c>
      <c r="G98" s="12" t="str">
        <f t="shared" si="7"/>
        <v/>
      </c>
      <c r="H98" s="13">
        <v>154064</v>
      </c>
      <c r="I98" s="13">
        <f t="shared" si="8"/>
        <v>272866</v>
      </c>
      <c r="J98" s="14">
        <f t="shared" si="9"/>
        <v>1.7711210925329732</v>
      </c>
      <c r="K98" s="66"/>
      <c r="L98" s="66"/>
    </row>
    <row r="99" spans="1:12" ht="15.75">
      <c r="A99" s="27" t="str">
        <v>Telegraph 1</v>
      </c>
      <c r="B99" s="28" t="str">
        <v>NY</v>
      </c>
      <c r="C99" s="28" t="str">
        <f>Sites[[#This Row],[SOL'#]]</f>
        <v>SOL-11003</v>
      </c>
      <c r="D99" s="10">
        <v>561736</v>
      </c>
      <c r="E99" s="15">
        <v>0</v>
      </c>
      <c r="F99" s="15">
        <f t="shared" si="6"/>
        <v>561736</v>
      </c>
      <c r="G99" s="16" t="str">
        <f t="shared" si="7"/>
        <v/>
      </c>
      <c r="H99" s="17">
        <v>256132</v>
      </c>
      <c r="I99" s="17">
        <f t="shared" si="8"/>
        <v>305604</v>
      </c>
      <c r="J99" s="16">
        <f t="shared" si="9"/>
        <v>1.1931504068214827</v>
      </c>
      <c r="K99" s="61" t="s">
        <v>615</v>
      </c>
      <c r="L99" s="61" t="s">
        <v>616</v>
      </c>
    </row>
    <row r="100" spans="1:12" ht="15.75">
      <c r="A100" s="25" t="str">
        <v>Telegraph 2</v>
      </c>
      <c r="B100" s="26" t="str">
        <v>NY</v>
      </c>
      <c r="C100" s="26" t="str">
        <f>Sites[[#This Row],[SOL'#]]</f>
        <v>SOL-11004</v>
      </c>
      <c r="D100" s="21">
        <v>373108</v>
      </c>
      <c r="E100" s="11">
        <v>0</v>
      </c>
      <c r="F100" s="11">
        <f t="shared" si="6"/>
        <v>373108</v>
      </c>
      <c r="G100" s="12" t="str">
        <f t="shared" si="7"/>
        <v/>
      </c>
      <c r="H100" s="13">
        <v>132881</v>
      </c>
      <c r="I100" s="13">
        <f t="shared" si="8"/>
        <v>240227</v>
      </c>
      <c r="J100" s="14">
        <f t="shared" si="9"/>
        <v>1.8078355822126564</v>
      </c>
      <c r="K100" s="66"/>
      <c r="L100" s="66"/>
    </row>
    <row r="101" spans="1:12" ht="15.75">
      <c r="A101" s="27" t="str">
        <v>Cafferty Hill</v>
      </c>
      <c r="B101" s="28" t="str">
        <v>NY</v>
      </c>
      <c r="C101" s="28" t="str">
        <f>Sites[[#This Row],[SOL'#]]</f>
        <v>SOL-10996</v>
      </c>
      <c r="D101" s="10">
        <v>976672</v>
      </c>
      <c r="E101" s="15">
        <v>0</v>
      </c>
      <c r="F101" s="15">
        <f t="shared" si="6"/>
        <v>976672</v>
      </c>
      <c r="G101" s="16" t="str">
        <f t="shared" si="7"/>
        <v/>
      </c>
      <c r="H101" s="17">
        <v>302250</v>
      </c>
      <c r="I101" s="17">
        <f t="shared" si="8"/>
        <v>674422</v>
      </c>
      <c r="J101" s="16">
        <f t="shared" si="9"/>
        <v>2.2313382961124897</v>
      </c>
      <c r="K101" s="61"/>
      <c r="L101" s="61"/>
    </row>
    <row r="102" spans="1:12" ht="28.5">
      <c r="A102" s="25" t="str">
        <v>Dunkleman</v>
      </c>
      <c r="B102" s="26" t="str">
        <v>NY</v>
      </c>
      <c r="C102" s="26" t="str">
        <f>Sites[[#This Row],[SOL'#]]</f>
        <v>SOL-11008</v>
      </c>
      <c r="D102" s="21">
        <v>1109320</v>
      </c>
      <c r="E102" s="11">
        <v>0</v>
      </c>
      <c r="F102" s="11">
        <f t="shared" si="6"/>
        <v>1109320</v>
      </c>
      <c r="G102" s="12" t="str">
        <f t="shared" si="7"/>
        <v/>
      </c>
      <c r="H102" s="13">
        <v>316452</v>
      </c>
      <c r="I102" s="13">
        <f t="shared" si="8"/>
        <v>792868</v>
      </c>
      <c r="J102" s="14">
        <f t="shared" si="9"/>
        <v>2.5054921441482438</v>
      </c>
      <c r="K102" s="66" t="s">
        <v>617</v>
      </c>
      <c r="L102" s="66" t="s">
        <v>618</v>
      </c>
    </row>
    <row r="103" spans="1:12" ht="15.75">
      <c r="A103" s="27" t="str">
        <v>Route 19 1</v>
      </c>
      <c r="B103" s="28" t="str">
        <v>NY</v>
      </c>
      <c r="C103" s="28" t="str">
        <f>Sites[[#This Row],[SOL'#]]</f>
        <v>SOL-11001</v>
      </c>
      <c r="D103" s="10">
        <v>468180</v>
      </c>
      <c r="E103" s="15">
        <v>0</v>
      </c>
      <c r="F103" s="15">
        <f t="shared" si="6"/>
        <v>468180</v>
      </c>
      <c r="G103" s="16" t="str">
        <f t="shared" si="7"/>
        <v/>
      </c>
      <c r="H103" s="17">
        <v>129029</v>
      </c>
      <c r="I103" s="17">
        <f t="shared" si="8"/>
        <v>339151</v>
      </c>
      <c r="J103" s="16">
        <f t="shared" si="9"/>
        <v>2.6284866192871368</v>
      </c>
      <c r="K103" s="61"/>
      <c r="L103" s="62"/>
    </row>
    <row r="104" spans="1:12" ht="42.75">
      <c r="A104" s="25" t="str">
        <v>Route 19 2</v>
      </c>
      <c r="B104" s="26" t="str">
        <v>NY</v>
      </c>
      <c r="C104" s="26" t="str">
        <f>Sites[[#This Row],[SOL'#]]</f>
        <v>SOL-11002</v>
      </c>
      <c r="D104" s="21">
        <v>1074921</v>
      </c>
      <c r="E104" s="11">
        <v>0</v>
      </c>
      <c r="F104" s="11">
        <f t="shared" si="6"/>
        <v>1074921</v>
      </c>
      <c r="G104" s="12" t="str">
        <f t="shared" si="7"/>
        <v/>
      </c>
      <c r="H104" s="13">
        <v>349534</v>
      </c>
      <c r="I104" s="13">
        <f t="shared" si="8"/>
        <v>725387</v>
      </c>
      <c r="J104" s="14">
        <f t="shared" si="9"/>
        <v>2.07529739596148</v>
      </c>
      <c r="K104" s="66" t="s">
        <v>619</v>
      </c>
      <c r="L104" s="66" t="s">
        <v>620</v>
      </c>
    </row>
    <row r="105" spans="1:12" ht="28.5">
      <c r="A105" s="27" t="str">
        <v>Yellow Mills 1</v>
      </c>
      <c r="B105" s="28" t="str">
        <v>NY</v>
      </c>
      <c r="C105" s="28" t="str">
        <f>Sites[[#This Row],[SOL'#]]</f>
        <v>SOL-11006</v>
      </c>
      <c r="D105" s="10">
        <v>402626</v>
      </c>
      <c r="E105" s="15">
        <v>0</v>
      </c>
      <c r="F105" s="15">
        <f t="shared" si="6"/>
        <v>402626</v>
      </c>
      <c r="G105" s="16" t="str">
        <f t="shared" si="7"/>
        <v/>
      </c>
      <c r="H105" s="17">
        <v>0</v>
      </c>
      <c r="I105" s="17">
        <f t="shared" si="8"/>
        <v>402626</v>
      </c>
      <c r="J105" s="16" t="str">
        <f t="shared" si="9"/>
        <v/>
      </c>
      <c r="K105" s="61" t="s">
        <v>621</v>
      </c>
      <c r="L105" s="61" t="s">
        <v>622</v>
      </c>
    </row>
    <row r="106" spans="1:12" ht="28.5">
      <c r="A106" s="25" t="str">
        <v>Yellow Mills 2</v>
      </c>
      <c r="B106" s="26" t="str">
        <v>NY</v>
      </c>
      <c r="C106" s="26" t="str">
        <f>Sites[[#This Row],[SOL'#]]</f>
        <v>SOL-11005</v>
      </c>
      <c r="D106" s="21">
        <v>405471</v>
      </c>
      <c r="E106" s="11">
        <v>0</v>
      </c>
      <c r="F106" s="11">
        <f t="shared" si="6"/>
        <v>405471</v>
      </c>
      <c r="G106" s="12" t="str">
        <f t="shared" si="7"/>
        <v/>
      </c>
      <c r="H106" s="13">
        <v>0</v>
      </c>
      <c r="I106" s="13">
        <f t="shared" si="8"/>
        <v>405471</v>
      </c>
      <c r="J106" s="14" t="str">
        <f t="shared" si="9"/>
        <v/>
      </c>
      <c r="K106" s="66" t="s">
        <v>621</v>
      </c>
      <c r="L106" s="66" t="s">
        <v>623</v>
      </c>
    </row>
    <row r="107" spans="1:12" ht="28.5">
      <c r="A107" s="27" t="str">
        <v>Yellow Mills 3</v>
      </c>
      <c r="B107" s="28" t="str">
        <v>NY</v>
      </c>
      <c r="C107" s="28" t="str">
        <f>Sites[[#This Row],[SOL'#]]</f>
        <v>SOL-11007</v>
      </c>
      <c r="D107" s="10">
        <v>387659</v>
      </c>
      <c r="E107" s="15">
        <v>0</v>
      </c>
      <c r="F107" s="15">
        <f t="shared" si="6"/>
        <v>387659</v>
      </c>
      <c r="G107" s="16" t="str">
        <f t="shared" si="7"/>
        <v/>
      </c>
      <c r="H107" s="17">
        <v>0</v>
      </c>
      <c r="I107" s="17">
        <f t="shared" si="8"/>
        <v>387659</v>
      </c>
      <c r="J107" s="16" t="str">
        <f t="shared" si="9"/>
        <v/>
      </c>
      <c r="K107" s="61" t="s">
        <v>624</v>
      </c>
      <c r="L107" s="61" t="s">
        <v>625</v>
      </c>
    </row>
    <row r="108" spans="1:12" ht="15.75">
      <c r="A108" s="25" t="str">
        <v>Catskill</v>
      </c>
      <c r="B108" s="26" t="str">
        <v>NY</v>
      </c>
      <c r="C108" s="26" t="str">
        <f>Sites[[#This Row],[SOL'#]]</f>
        <v>SOL-11021</v>
      </c>
      <c r="D108" s="21">
        <v>749944</v>
      </c>
      <c r="E108" s="11">
        <v>0</v>
      </c>
      <c r="F108" s="11">
        <f t="shared" si="6"/>
        <v>749944</v>
      </c>
      <c r="G108" s="12" t="str">
        <f t="shared" si="7"/>
        <v/>
      </c>
      <c r="H108" s="13">
        <v>0</v>
      </c>
      <c r="I108" s="13">
        <f t="shared" si="8"/>
        <v>749944</v>
      </c>
      <c r="J108" s="14" t="str">
        <f t="shared" si="9"/>
        <v/>
      </c>
      <c r="K108" s="66" t="s">
        <v>626</v>
      </c>
      <c r="L108" s="66" t="s">
        <v>627</v>
      </c>
    </row>
    <row r="109" spans="1:12" ht="57">
      <c r="A109" s="27" t="str">
        <v>Eddy Ridge</v>
      </c>
      <c r="B109" s="28" t="str">
        <v>NY</v>
      </c>
      <c r="C109" s="28" t="str">
        <f>Sites[[#This Row],[SOL'#]]</f>
        <v>SOL-11054</v>
      </c>
      <c r="D109" s="10">
        <v>493435</v>
      </c>
      <c r="E109" s="15">
        <v>0</v>
      </c>
      <c r="F109" s="15">
        <f t="shared" si="6"/>
        <v>493435</v>
      </c>
      <c r="G109" s="16" t="str">
        <f t="shared" si="7"/>
        <v/>
      </c>
      <c r="H109" s="17">
        <v>0</v>
      </c>
      <c r="I109" s="17">
        <f t="shared" si="8"/>
        <v>493435</v>
      </c>
      <c r="J109" s="16" t="str">
        <f t="shared" si="9"/>
        <v/>
      </c>
      <c r="K109" s="61" t="s">
        <v>628</v>
      </c>
      <c r="L109" s="61" t="s">
        <v>629</v>
      </c>
    </row>
    <row r="110" spans="1:12" ht="15.75">
      <c r="A110" s="25" t="str">
        <v>Ridgeway #1</v>
      </c>
      <c r="B110" s="26" t="str">
        <v>NY</v>
      </c>
      <c r="C110" s="26" t="str">
        <f>Sites[[#This Row],[SOL'#]]</f>
        <v>SOL-11018</v>
      </c>
      <c r="D110" s="21">
        <v>1228031</v>
      </c>
      <c r="E110" s="11">
        <v>0</v>
      </c>
      <c r="F110" s="11">
        <f t="shared" si="6"/>
        <v>1228031</v>
      </c>
      <c r="G110" s="12" t="str">
        <f t="shared" si="7"/>
        <v/>
      </c>
      <c r="H110" s="13">
        <v>0</v>
      </c>
      <c r="I110" s="13">
        <f t="shared" si="8"/>
        <v>1228031</v>
      </c>
      <c r="J110" s="14" t="str">
        <f t="shared" si="9"/>
        <v/>
      </c>
      <c r="K110" s="66"/>
      <c r="L110" s="66"/>
    </row>
    <row r="111" spans="1:12" ht="67.5" customHeight="1">
      <c r="A111" s="27" t="str">
        <v>Rivard 1</v>
      </c>
      <c r="B111" s="28" t="str">
        <v>NY</v>
      </c>
      <c r="C111" s="28" t="str">
        <f>Sites[[#This Row],[SOL'#]]</f>
        <v>SOL-11011</v>
      </c>
      <c r="D111" s="10">
        <v>799869</v>
      </c>
      <c r="E111" s="15">
        <v>1047812</v>
      </c>
      <c r="F111" s="15">
        <f t="shared" si="6"/>
        <v>-247943</v>
      </c>
      <c r="G111" s="16">
        <f t="shared" si="7"/>
        <v>-0.23662928082518619</v>
      </c>
      <c r="H111" s="17">
        <v>1055682</v>
      </c>
      <c r="I111" s="17">
        <f t="shared" si="8"/>
        <v>-255813</v>
      </c>
      <c r="J111" s="16">
        <f t="shared" si="9"/>
        <v>-0.24232013049384191</v>
      </c>
      <c r="K111" s="61" t="s">
        <v>630</v>
      </c>
      <c r="L111" s="61" t="s">
        <v>631</v>
      </c>
    </row>
    <row r="112" spans="1:12" ht="15.75">
      <c r="A112" s="25" t="str">
        <v>Rivard 2</v>
      </c>
      <c r="B112" s="26" t="str">
        <v>NY</v>
      </c>
      <c r="C112" s="26" t="str">
        <f>Sites[[#This Row],[SOL'#]]</f>
        <v>SOL-11012</v>
      </c>
      <c r="D112" s="21">
        <v>958119.69499999995</v>
      </c>
      <c r="E112" s="11">
        <v>931607.7</v>
      </c>
      <c r="F112" s="11">
        <f t="shared" si="6"/>
        <v>26511.994999999995</v>
      </c>
      <c r="G112" s="12">
        <f t="shared" si="7"/>
        <v>2.8458325322987345E-2</v>
      </c>
      <c r="H112" s="13">
        <v>1012960</v>
      </c>
      <c r="I112" s="13">
        <f t="shared" si="8"/>
        <v>-54840.305000000051</v>
      </c>
      <c r="J112" s="14">
        <f t="shared" si="9"/>
        <v>-5.4138667864476436E-2</v>
      </c>
      <c r="K112" s="66"/>
      <c r="L112" s="66"/>
    </row>
    <row r="113" spans="1:12" ht="15.75">
      <c r="A113" s="27" t="str">
        <v>Essex</v>
      </c>
      <c r="B113" s="28" t="str">
        <v>DC</v>
      </c>
      <c r="C113" s="28" t="str">
        <f>Sites[[#This Row],[SOL'#]]</f>
        <v>SOL-10036</v>
      </c>
      <c r="D113" s="10">
        <v>4859</v>
      </c>
      <c r="E113" s="15">
        <v>6971.5929999999998</v>
      </c>
      <c r="F113" s="15">
        <f t="shared" si="6"/>
        <v>-2112.5929999999998</v>
      </c>
      <c r="G113" s="16">
        <f t="shared" si="7"/>
        <v>-0.30302873389195267</v>
      </c>
      <c r="H113" s="17">
        <v>5459.5680000000002</v>
      </c>
      <c r="I113" s="17">
        <f t="shared" si="8"/>
        <v>-600.56800000000021</v>
      </c>
      <c r="J113" s="16">
        <f t="shared" si="9"/>
        <v>-0.11000284271576069</v>
      </c>
      <c r="K113" s="61"/>
      <c r="L113" s="61"/>
    </row>
    <row r="114" spans="1:12" ht="71.25">
      <c r="A114" s="25" t="str">
        <v>Temple Sinai</v>
      </c>
      <c r="B114" s="26" t="str">
        <v>DC</v>
      </c>
      <c r="C114" s="26" t="str">
        <f>Sites[[#This Row],[SOL'#]]</f>
        <v>SOL-10028</v>
      </c>
      <c r="D114" s="21">
        <v>11991.1899999999</v>
      </c>
      <c r="E114" s="11">
        <v>16505.740000000002</v>
      </c>
      <c r="F114" s="11">
        <f t="shared" si="6"/>
        <v>-4514.5500000001011</v>
      </c>
      <c r="G114" s="12">
        <f t="shared" si="7"/>
        <v>-0.27351394121076067</v>
      </c>
      <c r="H114" s="13">
        <v>13195.24</v>
      </c>
      <c r="I114" s="13">
        <f t="shared" si="8"/>
        <v>-1204.0500000000993</v>
      </c>
      <c r="J114" s="14">
        <f t="shared" si="9"/>
        <v>-9.1248813966255962E-2</v>
      </c>
      <c r="K114" s="66" t="s">
        <v>632</v>
      </c>
      <c r="L114" s="66" t="s">
        <v>633</v>
      </c>
    </row>
    <row r="115" spans="1:12" ht="15.75">
      <c r="A115" s="27" t="str">
        <v>Weinberg 1</v>
      </c>
      <c r="B115" s="28" t="str">
        <v>DC</v>
      </c>
      <c r="C115" s="28" t="str">
        <f>Sites[[#This Row],[SOL'#]]</f>
        <v>SOL-10039</v>
      </c>
      <c r="D115" s="10">
        <v>1962</v>
      </c>
      <c r="E115" s="15">
        <v>2113</v>
      </c>
      <c r="F115" s="15">
        <f t="shared" si="6"/>
        <v>-151</v>
      </c>
      <c r="G115" s="16">
        <f t="shared" si="7"/>
        <v>-7.146237576904875E-2</v>
      </c>
      <c r="H115" s="17">
        <v>1890</v>
      </c>
      <c r="I115" s="17">
        <f t="shared" si="8"/>
        <v>72</v>
      </c>
      <c r="J115" s="16">
        <f t="shared" si="9"/>
        <v>3.8095238095238099E-2</v>
      </c>
      <c r="K115" s="61"/>
      <c r="L115" s="62"/>
    </row>
    <row r="116" spans="1:12" ht="15.75">
      <c r="A116" s="25" t="str">
        <v>Weinberg 2</v>
      </c>
      <c r="B116" s="26" t="str">
        <v>DC</v>
      </c>
      <c r="C116" s="26" t="str">
        <f>Sites[[#This Row],[SOL'#]]</f>
        <v>SOL-10045</v>
      </c>
      <c r="D116" s="21">
        <v>1730</v>
      </c>
      <c r="E116" s="11">
        <v>1833</v>
      </c>
      <c r="F116" s="11">
        <f t="shared" si="6"/>
        <v>-103</v>
      </c>
      <c r="G116" s="12">
        <f t="shared" si="7"/>
        <v>-5.6192034915439171E-2</v>
      </c>
      <c r="H116" s="13">
        <v>1977</v>
      </c>
      <c r="I116" s="13">
        <f t="shared" si="8"/>
        <v>-247</v>
      </c>
      <c r="J116" s="14">
        <f t="shared" si="9"/>
        <v>-0.12493677288821446</v>
      </c>
      <c r="K116" s="66"/>
      <c r="L116" s="66"/>
    </row>
    <row r="117" spans="1:12" ht="15.75">
      <c r="A117" s="27" t="str">
        <v>Weinberg 3</v>
      </c>
      <c r="B117" s="28" t="str">
        <v>DC</v>
      </c>
      <c r="C117" s="28" t="str">
        <f>Sites[[#This Row],[SOL'#]]</f>
        <v>SOL-10042</v>
      </c>
      <c r="D117" s="10">
        <v>2171</v>
      </c>
      <c r="E117" s="15">
        <v>2135</v>
      </c>
      <c r="F117" s="15">
        <f t="shared" si="6"/>
        <v>36</v>
      </c>
      <c r="G117" s="16">
        <f t="shared" si="7"/>
        <v>1.6861826697892272E-2</v>
      </c>
      <c r="H117" s="17">
        <v>2048</v>
      </c>
      <c r="I117" s="17">
        <f t="shared" si="8"/>
        <v>123</v>
      </c>
      <c r="J117" s="16">
        <f t="shared" si="9"/>
        <v>6.005859375E-2</v>
      </c>
      <c r="K117" s="61"/>
      <c r="L117" s="62"/>
    </row>
    <row r="118" spans="1:12" ht="15.75">
      <c r="A118" s="25" t="str">
        <v>Clayton Hall</v>
      </c>
      <c r="B118" s="26" t="str">
        <v>DE</v>
      </c>
      <c r="C118" s="26" t="str">
        <f>Sites[[#This Row],[SOL'#]]</f>
        <v>SOL-10820</v>
      </c>
      <c r="D118" s="21">
        <v>25048</v>
      </c>
      <c r="E118" s="11">
        <v>28122</v>
      </c>
      <c r="F118" s="11">
        <f t="shared" si="6"/>
        <v>-3074</v>
      </c>
      <c r="G118" s="12">
        <f t="shared" si="7"/>
        <v>-0.1093094374511059</v>
      </c>
      <c r="H118" s="13">
        <v>5434</v>
      </c>
      <c r="I118" s="13">
        <f t="shared" si="8"/>
        <v>19614</v>
      </c>
      <c r="J118" s="14">
        <f t="shared" si="9"/>
        <v>3.6094957673905044</v>
      </c>
      <c r="K118" s="66"/>
      <c r="L118" s="66"/>
    </row>
    <row r="119" spans="1:12" ht="15.75">
      <c r="A119" s="27" t="str">
        <v>Field House</v>
      </c>
      <c r="B119" s="28" t="str">
        <v>DE</v>
      </c>
      <c r="C119" s="28" t="str">
        <f>Sites[[#This Row],[SOL'#]]</f>
        <v>SOL-10821</v>
      </c>
      <c r="D119" s="10">
        <v>61661</v>
      </c>
      <c r="E119" s="15">
        <v>0</v>
      </c>
      <c r="F119" s="15">
        <f t="shared" si="6"/>
        <v>61661</v>
      </c>
      <c r="G119" s="16" t="str">
        <f t="shared" si="7"/>
        <v/>
      </c>
      <c r="H119" s="17">
        <v>54215</v>
      </c>
      <c r="I119" s="17">
        <f t="shared" si="8"/>
        <v>7446</v>
      </c>
      <c r="J119" s="16">
        <f t="shared" si="9"/>
        <v>0.13734206400442681</v>
      </c>
      <c r="K119" s="61"/>
      <c r="L119" s="62"/>
    </row>
    <row r="120" spans="1:12" ht="15.75">
      <c r="A120" s="25" t="str">
        <v>Wyoming Road</v>
      </c>
      <c r="B120" s="26" t="str">
        <v>DE</v>
      </c>
      <c r="C120" s="26" t="str">
        <f>Sites[[#This Row],[SOL'#]]</f>
        <v>SOL-10819</v>
      </c>
      <c r="D120" s="21">
        <v>41971</v>
      </c>
      <c r="E120" s="11">
        <v>42978</v>
      </c>
      <c r="F120" s="11">
        <f t="shared" si="6"/>
        <v>-1007</v>
      </c>
      <c r="G120" s="12">
        <f t="shared" si="7"/>
        <v>-2.3430592396109638E-2</v>
      </c>
      <c r="H120" s="13">
        <v>40771</v>
      </c>
      <c r="I120" s="13">
        <f t="shared" si="8"/>
        <v>1200</v>
      </c>
      <c r="J120" s="14">
        <f t="shared" si="9"/>
        <v>2.9432684996688822E-2</v>
      </c>
      <c r="K120" s="66"/>
      <c r="L120" s="66"/>
    </row>
    <row r="121" spans="1:12" ht="15.75">
      <c r="A121" s="27" t="str">
        <v>Leoku</v>
      </c>
      <c r="B121" s="28" t="str">
        <v>HI</v>
      </c>
      <c r="C121" s="28" t="str">
        <f>Sites[[#This Row],[SOL'#]]</f>
        <v>SOL-10071</v>
      </c>
      <c r="D121" s="10">
        <v>14293</v>
      </c>
      <c r="E121" s="15">
        <v>12852</v>
      </c>
      <c r="F121" s="15">
        <f t="shared" si="6"/>
        <v>1441</v>
      </c>
      <c r="G121" s="16">
        <f t="shared" si="7"/>
        <v>0.11212262682850918</v>
      </c>
      <c r="H121" s="17">
        <v>13841</v>
      </c>
      <c r="I121" s="17">
        <f t="shared" si="8"/>
        <v>452</v>
      </c>
      <c r="J121" s="16">
        <f t="shared" si="9"/>
        <v>3.2656599956650531E-2</v>
      </c>
      <c r="K121" s="61"/>
      <c r="L121" s="62"/>
    </row>
    <row r="122" spans="1:12" ht="15.75">
      <c r="A122" s="25" t="str">
        <v>Waipahu</v>
      </c>
      <c r="B122" s="26" t="str">
        <v>HI</v>
      </c>
      <c r="C122" s="26" t="str">
        <f>Sites[[#This Row],[SOL'#]]</f>
        <v>SOL-10068</v>
      </c>
      <c r="D122" s="21">
        <v>14424</v>
      </c>
      <c r="E122" s="11">
        <v>11621</v>
      </c>
      <c r="F122" s="11">
        <f t="shared" si="6"/>
        <v>2803</v>
      </c>
      <c r="G122" s="12">
        <f t="shared" si="7"/>
        <v>0.24120127355649257</v>
      </c>
      <c r="H122" s="13">
        <v>13833</v>
      </c>
      <c r="I122" s="13">
        <f t="shared" si="8"/>
        <v>591</v>
      </c>
      <c r="J122" s="14">
        <f t="shared" si="9"/>
        <v>4.2723921058338755E-2</v>
      </c>
      <c r="K122" s="66"/>
      <c r="L122" s="66"/>
    </row>
    <row r="123" spans="1:12" ht="15.75">
      <c r="A123" s="27" t="str">
        <v>Bird in Hand</v>
      </c>
      <c r="B123" s="28" t="str">
        <v>MD</v>
      </c>
      <c r="C123" s="28" t="str">
        <f>Sites[[#This Row],[SOL'#]]</f>
        <v>SOL-10092</v>
      </c>
      <c r="D123" s="10">
        <v>189719</v>
      </c>
      <c r="E123" s="15">
        <v>202837</v>
      </c>
      <c r="F123" s="15">
        <f t="shared" si="6"/>
        <v>-13118</v>
      </c>
      <c r="G123" s="16">
        <f t="shared" si="7"/>
        <v>-6.4672618900890863E-2</v>
      </c>
      <c r="H123" s="17">
        <v>191756</v>
      </c>
      <c r="I123" s="17">
        <f t="shared" si="8"/>
        <v>-2037</v>
      </c>
      <c r="J123" s="16">
        <f t="shared" si="9"/>
        <v>-1.0622874903523228E-2</v>
      </c>
      <c r="K123" s="61" t="s">
        <v>634</v>
      </c>
      <c r="L123" s="61" t="s">
        <v>510</v>
      </c>
    </row>
    <row r="124" spans="1:12" ht="42.75">
      <c r="A124" s="25" t="str">
        <v>Shortal</v>
      </c>
      <c r="B124" s="26" t="str">
        <v>MD</v>
      </c>
      <c r="C124" s="26" t="str">
        <f>Sites[[#This Row],[SOL'#]]</f>
        <v>SOL-10091</v>
      </c>
      <c r="D124" s="21">
        <v>207079</v>
      </c>
      <c r="E124" s="11">
        <v>218810</v>
      </c>
      <c r="F124" s="11">
        <f t="shared" si="6"/>
        <v>-11731</v>
      </c>
      <c r="G124" s="12">
        <f t="shared" si="7"/>
        <v>-5.3612723367304965E-2</v>
      </c>
      <c r="H124" s="13">
        <v>11617</v>
      </c>
      <c r="I124" s="13">
        <f t="shared" si="8"/>
        <v>195462</v>
      </c>
      <c r="J124" s="14">
        <f t="shared" si="9"/>
        <v>16.825514332443831</v>
      </c>
      <c r="K124" s="66" t="s">
        <v>635</v>
      </c>
      <c r="L124" s="66" t="s">
        <v>636</v>
      </c>
    </row>
    <row r="125" spans="1:12" ht="15.75">
      <c r="A125" s="27" t="str">
        <v>Aguadilla</v>
      </c>
      <c r="B125" s="28" t="str">
        <v>PR</v>
      </c>
      <c r="C125" s="28" t="str">
        <f>Sites[[#This Row],[SOL'#]]</f>
        <v>SOL-10072</v>
      </c>
      <c r="D125" s="10">
        <v>21224</v>
      </c>
      <c r="E125" s="15">
        <v>18087</v>
      </c>
      <c r="F125" s="15">
        <f t="shared" si="6"/>
        <v>3137</v>
      </c>
      <c r="G125" s="16">
        <f t="shared" si="7"/>
        <v>0.17343948692431027</v>
      </c>
      <c r="H125" s="17">
        <v>22987</v>
      </c>
      <c r="I125" s="17">
        <f t="shared" si="8"/>
        <v>-1763</v>
      </c>
      <c r="J125" s="16">
        <f t="shared" si="9"/>
        <v>-7.6695523556792974E-2</v>
      </c>
      <c r="K125" s="61" t="s">
        <v>637</v>
      </c>
      <c r="L125" s="61" t="s">
        <v>512</v>
      </c>
    </row>
    <row r="126" spans="1:12" ht="28.5">
      <c r="A126" s="25" t="str">
        <v>Bayamon</v>
      </c>
      <c r="B126" s="26" t="str">
        <v>PR</v>
      </c>
      <c r="C126" s="26" t="str">
        <f>Sites[[#This Row],[SOL'#]]</f>
        <v>SOL-10073</v>
      </c>
      <c r="D126" s="21">
        <v>72559</v>
      </c>
      <c r="E126" s="11">
        <v>75049</v>
      </c>
      <c r="F126" s="11">
        <f t="shared" si="6"/>
        <v>-2490</v>
      </c>
      <c r="G126" s="12">
        <f t="shared" si="7"/>
        <v>-3.3178323495316395E-2</v>
      </c>
      <c r="H126" s="13">
        <v>0</v>
      </c>
      <c r="I126" s="13">
        <f t="shared" si="8"/>
        <v>72559</v>
      </c>
      <c r="J126" s="14" t="str">
        <f t="shared" si="9"/>
        <v/>
      </c>
      <c r="K126" s="66" t="s">
        <v>638</v>
      </c>
      <c r="L126" s="94" t="s">
        <v>639</v>
      </c>
    </row>
    <row r="127" spans="1:12" ht="137.25" customHeight="1">
      <c r="A127" s="27" t="str">
        <v>St Francis</v>
      </c>
      <c r="B127" s="28" t="str">
        <v>PR</v>
      </c>
      <c r="C127" s="28" t="str">
        <f>Sites[[#This Row],[SOL'#]]</f>
        <v>SOL-10034</v>
      </c>
      <c r="D127" s="10">
        <v>26624</v>
      </c>
      <c r="E127" s="15">
        <v>45660</v>
      </c>
      <c r="F127" s="15">
        <f t="shared" si="6"/>
        <v>-19036</v>
      </c>
      <c r="G127" s="16">
        <f t="shared" si="7"/>
        <v>-0.41690757774857645</v>
      </c>
      <c r="H127" s="17">
        <v>33362</v>
      </c>
      <c r="I127" s="17">
        <f t="shared" si="8"/>
        <v>-6738</v>
      </c>
      <c r="J127" s="16">
        <f t="shared" si="9"/>
        <v>-0.20196630897428211</v>
      </c>
      <c r="K127" s="61" t="s">
        <v>640</v>
      </c>
      <c r="L127" s="61" t="s">
        <v>641</v>
      </c>
    </row>
    <row r="128" spans="1:12" ht="15.75">
      <c r="A128" s="25" t="str">
        <v>Seaport</v>
      </c>
      <c r="B128" s="26" t="str">
        <v>MA</v>
      </c>
      <c r="C128" s="26" t="str">
        <f>Sites[[#This Row],[SOL'#]]</f>
        <v>SOL-10772</v>
      </c>
      <c r="D128" s="21">
        <v>85022</v>
      </c>
      <c r="E128" s="11">
        <v>82198</v>
      </c>
      <c r="F128" s="11">
        <f t="shared" si="6"/>
        <v>2824</v>
      </c>
      <c r="G128" s="12">
        <f t="shared" si="7"/>
        <v>3.4356067057592643E-2</v>
      </c>
      <c r="H128" s="13">
        <v>85076</v>
      </c>
      <c r="I128" s="13">
        <f t="shared" si="8"/>
        <v>-54</v>
      </c>
      <c r="J128" s="14">
        <f t="shared" si="9"/>
        <v>-6.3472659739527014E-4</v>
      </c>
      <c r="K128" s="66"/>
      <c r="L128" s="66"/>
    </row>
    <row r="129" spans="1:12" ht="15.75">
      <c r="A129" s="27" t="str">
        <v>Sprague St</v>
      </c>
      <c r="B129" s="28" t="str">
        <v>MA</v>
      </c>
      <c r="C129" s="28" t="str">
        <f>Sites[[#This Row],[SOL'#]]</f>
        <v>SOL-10773</v>
      </c>
      <c r="D129" s="10">
        <v>194147</v>
      </c>
      <c r="E129" s="15">
        <v>194047</v>
      </c>
      <c r="F129" s="15">
        <f t="shared" si="6"/>
        <v>100</v>
      </c>
      <c r="G129" s="16">
        <f t="shared" si="7"/>
        <v>5.1533906733935595E-4</v>
      </c>
      <c r="H129" s="17">
        <v>187743</v>
      </c>
      <c r="I129" s="17">
        <f t="shared" si="8"/>
        <v>6404</v>
      </c>
      <c r="J129" s="16">
        <f t="shared" si="9"/>
        <v>3.411045951114023E-2</v>
      </c>
      <c r="K129" s="61"/>
      <c r="L129" s="62"/>
    </row>
    <row r="130" spans="1:12" ht="72" customHeight="1">
      <c r="A130" s="25" t="str">
        <v>Summer St</v>
      </c>
      <c r="B130" s="26" t="str">
        <v>MA</v>
      </c>
      <c r="C130" s="26" t="str">
        <f>Sites[[#This Row],[SOL'#]]</f>
        <v>SOL-10764</v>
      </c>
      <c r="D130" s="21">
        <v>384176</v>
      </c>
      <c r="E130" s="11">
        <v>413957</v>
      </c>
      <c r="F130" s="11">
        <f t="shared" si="6"/>
        <v>-29781</v>
      </c>
      <c r="G130" s="12">
        <f t="shared" si="7"/>
        <v>-7.1942254871882827E-2</v>
      </c>
      <c r="H130" s="13">
        <v>397254</v>
      </c>
      <c r="I130" s="13">
        <f t="shared" si="8"/>
        <v>-13078</v>
      </c>
      <c r="J130" s="14">
        <f t="shared" si="9"/>
        <v>-3.2921002683421692E-2</v>
      </c>
      <c r="K130" s="66" t="s">
        <v>642</v>
      </c>
      <c r="L130" s="66" t="s">
        <v>643</v>
      </c>
    </row>
    <row r="131" spans="1:12" ht="15.75">
      <c r="A131" s="27" t="str">
        <v>Brock St Vocational</v>
      </c>
      <c r="B131" s="28" t="str">
        <v>NH</v>
      </c>
      <c r="C131" s="28" t="str">
        <f>Sites[[#This Row],[SOL'#]]</f>
        <v>SOL-10768</v>
      </c>
      <c r="D131" s="10">
        <v>17472</v>
      </c>
      <c r="E131" s="15">
        <v>16999</v>
      </c>
      <c r="F131" s="15">
        <f t="shared" si="6"/>
        <v>473</v>
      </c>
      <c r="G131" s="16">
        <f t="shared" si="7"/>
        <v>2.7825166186246249E-2</v>
      </c>
      <c r="H131" s="17">
        <v>13793</v>
      </c>
      <c r="I131" s="17">
        <f t="shared" si="8"/>
        <v>3679</v>
      </c>
      <c r="J131" s="16">
        <f t="shared" si="9"/>
        <v>0.26672950047125354</v>
      </c>
      <c r="K131" s="61"/>
      <c r="L131" s="62"/>
    </row>
    <row r="132" spans="1:12" ht="15.75">
      <c r="A132" s="25" t="str">
        <v>McClelland ES</v>
      </c>
      <c r="B132" s="26" t="str">
        <v>NH</v>
      </c>
      <c r="C132" s="26" t="str">
        <f>Sites[[#This Row],[SOL'#]]</f>
        <v>SOL-10766</v>
      </c>
      <c r="D132" s="21">
        <v>12402</v>
      </c>
      <c r="E132" s="11">
        <v>13119</v>
      </c>
      <c r="F132" s="11">
        <f t="shared" si="6"/>
        <v>-717</v>
      </c>
      <c r="G132" s="12">
        <f t="shared" si="7"/>
        <v>-5.4653555911273723E-2</v>
      </c>
      <c r="H132" s="13">
        <v>10719</v>
      </c>
      <c r="I132" s="13">
        <f t="shared" si="8"/>
        <v>1683</v>
      </c>
      <c r="J132" s="14">
        <f t="shared" si="9"/>
        <v>0.15701091519731319</v>
      </c>
      <c r="K132" s="66"/>
      <c r="L132" s="66"/>
    </row>
    <row r="133" spans="1:12" ht="15.75">
      <c r="A133" s="27" t="str">
        <v>Portland St</v>
      </c>
      <c r="B133" s="28" t="str">
        <v>NH</v>
      </c>
      <c r="C133" s="28" t="str">
        <f>Sites[[#This Row],[SOL'#]]</f>
        <v>SOL-10771</v>
      </c>
      <c r="D133" s="10">
        <v>11063</v>
      </c>
      <c r="E133" s="15">
        <v>7829</v>
      </c>
      <c r="F133" s="15">
        <f t="shared" ref="F133:F160" si="10">IF(AND(ISNUMBER(D133),ISNUMBER(E133)), D133-E133, "")</f>
        <v>3234</v>
      </c>
      <c r="G133" s="16">
        <f t="shared" si="7"/>
        <v>0.41307957593562394</v>
      </c>
      <c r="H133" s="17">
        <v>9339</v>
      </c>
      <c r="I133" s="17">
        <f t="shared" si="8"/>
        <v>1724</v>
      </c>
      <c r="J133" s="16">
        <f t="shared" si="9"/>
        <v>0.18460220580361922</v>
      </c>
      <c r="K133" s="61"/>
      <c r="L133" s="62"/>
    </row>
    <row r="134" spans="1:12" ht="15.75">
      <c r="A134" s="25" t="str">
        <v>Portsmouth HS</v>
      </c>
      <c r="B134" s="26" t="str">
        <v>NH</v>
      </c>
      <c r="C134" s="26" t="str">
        <f>Sites[[#This Row],[SOL'#]]</f>
        <v>SOL-10769</v>
      </c>
      <c r="D134" s="21">
        <v>41395</v>
      </c>
      <c r="E134" s="11">
        <v>39141</v>
      </c>
      <c r="F134" s="11">
        <f t="shared" si="10"/>
        <v>2254</v>
      </c>
      <c r="G134" s="12">
        <f t="shared" ref="G134:G160" si="11">IFERROR(F134/E134, "")</f>
        <v>5.7586673820290743E-2</v>
      </c>
      <c r="H134" s="13">
        <v>16994</v>
      </c>
      <c r="I134" s="13">
        <f t="shared" si="8"/>
        <v>24401</v>
      </c>
      <c r="J134" s="14">
        <f t="shared" si="9"/>
        <v>1.4358597151935977</v>
      </c>
      <c r="K134" s="66"/>
      <c r="L134" s="66"/>
    </row>
    <row r="135" spans="1:12" ht="15.75">
      <c r="A135" s="27" t="str">
        <v>Portsmouth WTP</v>
      </c>
      <c r="B135" s="28" t="str">
        <v>NH</v>
      </c>
      <c r="C135" s="28" t="str">
        <f>Sites[[#This Row],[SOL'#]]</f>
        <v>SOL-10770</v>
      </c>
      <c r="D135" s="10">
        <v>36468</v>
      </c>
      <c r="E135" s="15">
        <v>38600</v>
      </c>
      <c r="F135" s="15">
        <f t="shared" si="10"/>
        <v>-2132</v>
      </c>
      <c r="G135" s="16">
        <f t="shared" si="11"/>
        <v>-5.5233160621761659E-2</v>
      </c>
      <c r="H135" s="17">
        <v>33042</v>
      </c>
      <c r="I135" s="17">
        <f t="shared" si="8"/>
        <v>3426</v>
      </c>
      <c r="J135" s="16">
        <f t="shared" si="9"/>
        <v>0.10368621754131106</v>
      </c>
      <c r="K135" s="61" t="s">
        <v>644</v>
      </c>
      <c r="L135" s="61" t="s">
        <v>645</v>
      </c>
    </row>
    <row r="136" spans="1:12" ht="15.75">
      <c r="A136" s="25" t="str">
        <v>Rochester St</v>
      </c>
      <c r="B136" s="26" t="str">
        <v>NH</v>
      </c>
      <c r="C136" s="26" t="str">
        <f>Sites[[#This Row],[SOL'#]]</f>
        <v>SOL-10765</v>
      </c>
      <c r="D136" s="21">
        <v>36667</v>
      </c>
      <c r="E136" s="11">
        <v>37534</v>
      </c>
      <c r="F136" s="11">
        <f t="shared" si="10"/>
        <v>-867</v>
      </c>
      <c r="G136" s="12">
        <f t="shared" si="11"/>
        <v>-2.3099056855118025E-2</v>
      </c>
      <c r="H136" s="13">
        <v>33050</v>
      </c>
      <c r="I136" s="13">
        <f t="shared" si="8"/>
        <v>3617</v>
      </c>
      <c r="J136" s="14">
        <f t="shared" si="9"/>
        <v>0.10944024205748866</v>
      </c>
      <c r="K136" s="66"/>
      <c r="L136" s="66"/>
    </row>
    <row r="137" spans="1:12" ht="15.75">
      <c r="A137" s="27" t="str">
        <v>Spaulding HS</v>
      </c>
      <c r="B137" s="28" t="str">
        <v>NH</v>
      </c>
      <c r="C137" s="28" t="str">
        <f>Sites[[#This Row],[SOL'#]]</f>
        <v>SOL-10767</v>
      </c>
      <c r="D137" s="10">
        <v>19095</v>
      </c>
      <c r="E137" s="15">
        <v>15755</v>
      </c>
      <c r="F137" s="15">
        <f t="shared" si="10"/>
        <v>3340</v>
      </c>
      <c r="G137" s="16">
        <f t="shared" si="11"/>
        <v>0.2119961916851793</v>
      </c>
      <c r="H137" s="17">
        <v>16293</v>
      </c>
      <c r="I137" s="17">
        <f t="shared" si="8"/>
        <v>2802</v>
      </c>
      <c r="J137" s="16">
        <f t="shared" si="9"/>
        <v>0.1719756950837783</v>
      </c>
      <c r="K137" s="61"/>
      <c r="L137" s="62"/>
    </row>
    <row r="138" spans="1:12" ht="28.5">
      <c r="A138" s="25" t="str">
        <v>Ridgeway #2</v>
      </c>
      <c r="B138" s="26" t="str">
        <v>NY</v>
      </c>
      <c r="C138" s="26" t="str">
        <f>Sites[[#This Row],[SOL'#]]</f>
        <v>SOL-11027</v>
      </c>
      <c r="D138" s="21">
        <v>597276</v>
      </c>
      <c r="E138" s="11">
        <v>0</v>
      </c>
      <c r="F138" s="11">
        <f t="shared" si="10"/>
        <v>597276</v>
      </c>
      <c r="G138" s="12" t="str">
        <f t="shared" si="11"/>
        <v/>
      </c>
      <c r="H138" s="13">
        <v>0</v>
      </c>
      <c r="I138" s="13">
        <f t="shared" si="8"/>
        <v>597276</v>
      </c>
      <c r="J138" s="14" t="str">
        <f t="shared" si="9"/>
        <v/>
      </c>
      <c r="K138" s="66" t="s">
        <v>646</v>
      </c>
      <c r="L138" s="66" t="s">
        <v>647</v>
      </c>
    </row>
    <row r="139" spans="1:12" ht="147.75" customHeight="1">
      <c r="A139" s="27" t="str">
        <v>Spencer</v>
      </c>
      <c r="B139" s="28" t="str">
        <v>NY</v>
      </c>
      <c r="C139" s="28" t="str">
        <f>Sites[[#This Row],[SOL'#]]</f>
        <v>SOL-11017</v>
      </c>
      <c r="D139" s="10">
        <v>921238</v>
      </c>
      <c r="E139" s="15">
        <v>0</v>
      </c>
      <c r="F139" s="15">
        <f t="shared" si="10"/>
        <v>921238</v>
      </c>
      <c r="G139" s="16" t="str">
        <f t="shared" si="11"/>
        <v/>
      </c>
      <c r="H139" s="17">
        <v>0</v>
      </c>
      <c r="I139" s="17">
        <f t="shared" si="8"/>
        <v>921238</v>
      </c>
      <c r="J139" s="16" t="str">
        <f t="shared" si="9"/>
        <v/>
      </c>
      <c r="K139" s="61" t="s">
        <v>648</v>
      </c>
      <c r="L139" s="61" t="s">
        <v>649</v>
      </c>
    </row>
    <row r="140" spans="1:12" ht="15.75">
      <c r="A140" s="29" t="str">
        <v>Reisender</v>
      </c>
      <c r="B140" s="26" t="str">
        <v>NY</v>
      </c>
      <c r="C140" s="26" t="str">
        <f>Sites[[#This Row],[SOL'#]]</f>
        <v>SOL-10886</v>
      </c>
      <c r="D140" s="67">
        <v>391080</v>
      </c>
      <c r="E140" s="11">
        <v>392206</v>
      </c>
      <c r="F140" s="11">
        <f t="shared" si="10"/>
        <v>-1126</v>
      </c>
      <c r="G140" s="68">
        <f t="shared" si="11"/>
        <v>-2.8709402711840208E-3</v>
      </c>
      <c r="H140" s="83">
        <v>381489</v>
      </c>
      <c r="I140" s="83">
        <f t="shared" si="8"/>
        <v>9591</v>
      </c>
      <c r="J140" s="80">
        <f t="shared" si="9"/>
        <v>2.5140960814073274E-2</v>
      </c>
      <c r="K140" s="89"/>
      <c r="L140" s="66"/>
    </row>
    <row r="141" spans="1:12" ht="42.75">
      <c r="A141" s="27" t="str">
        <v>Finney</v>
      </c>
      <c r="B141" s="28" t="str">
        <v>NY</v>
      </c>
      <c r="C141" s="28" t="str">
        <f>Sites[[#This Row],[SOL'#]]</f>
        <v>SOL-10999</v>
      </c>
      <c r="D141" s="82">
        <v>316580</v>
      </c>
      <c r="E141" s="15"/>
      <c r="F141" s="15" t="str">
        <f t="shared" si="10"/>
        <v/>
      </c>
      <c r="G141" s="84" t="str">
        <f t="shared" si="11"/>
        <v/>
      </c>
      <c r="H141" s="85"/>
      <c r="I141" s="85" t="str">
        <f t="shared" si="8"/>
        <v/>
      </c>
      <c r="J141" s="84" t="str">
        <f t="shared" si="9"/>
        <v/>
      </c>
      <c r="K141" s="61" t="s">
        <v>650</v>
      </c>
      <c r="L141" s="91" t="s">
        <v>651</v>
      </c>
    </row>
    <row r="142" spans="1:12" ht="99.75" customHeight="1">
      <c r="A142" s="25" t="str">
        <v>Davis Solar</v>
      </c>
      <c r="B142" s="26" t="str">
        <v>NY</v>
      </c>
      <c r="C142" s="26" t="str">
        <f>Sites[[#This Row],[SOL'#]]</f>
        <v>SOL-10958</v>
      </c>
      <c r="D142" s="67">
        <v>379098</v>
      </c>
      <c r="E142" s="11">
        <v>415825.2</v>
      </c>
      <c r="F142" s="11">
        <f t="shared" si="10"/>
        <v>-36727.200000000012</v>
      </c>
      <c r="G142" s="68">
        <f t="shared" si="11"/>
        <v>-8.8323651380435839E-2</v>
      </c>
      <c r="H142" s="83">
        <v>235847</v>
      </c>
      <c r="I142" s="83">
        <f t="shared" si="8"/>
        <v>143251</v>
      </c>
      <c r="J142" s="80">
        <f t="shared" si="9"/>
        <v>0.60738953643675775</v>
      </c>
      <c r="K142" s="89" t="s">
        <v>652</v>
      </c>
      <c r="L142" s="66" t="s">
        <v>653</v>
      </c>
    </row>
    <row r="143" spans="1:12" ht="47.25" customHeight="1">
      <c r="A143" s="27" t="str">
        <v>Genesee</v>
      </c>
      <c r="B143" s="28" t="str">
        <v>NY</v>
      </c>
      <c r="C143" s="28" t="str">
        <f>Sites[[#This Row],[SOL'#]]</f>
        <v>SOL-10951</v>
      </c>
      <c r="D143" s="82">
        <v>881988</v>
      </c>
      <c r="E143" s="15">
        <v>0</v>
      </c>
      <c r="F143" s="15">
        <f t="shared" si="10"/>
        <v>881988</v>
      </c>
      <c r="G143" s="84" t="str">
        <f t="shared" si="11"/>
        <v/>
      </c>
      <c r="H143" s="85">
        <v>0</v>
      </c>
      <c r="I143" s="85">
        <f t="shared" si="8"/>
        <v>881988</v>
      </c>
      <c r="J143" s="84" t="str">
        <f t="shared" si="9"/>
        <v/>
      </c>
      <c r="K143" s="61" t="s">
        <v>654</v>
      </c>
      <c r="L143" s="91" t="s">
        <v>655</v>
      </c>
    </row>
    <row r="144" spans="1:12" ht="15.75">
      <c r="A144" s="25" t="str">
        <v>Landau I</v>
      </c>
      <c r="B144" s="26" t="str">
        <v>NY</v>
      </c>
      <c r="C144" s="26" t="str">
        <f>Sites[[#This Row],[SOL'#]]</f>
        <v>SOL-10891</v>
      </c>
      <c r="D144" s="67">
        <v>404690</v>
      </c>
      <c r="E144" s="11">
        <v>0</v>
      </c>
      <c r="F144" s="11">
        <f t="shared" si="10"/>
        <v>404690</v>
      </c>
      <c r="G144" s="68" t="str">
        <f t="shared" si="11"/>
        <v/>
      </c>
      <c r="H144" s="83">
        <v>0</v>
      </c>
      <c r="I144" s="83">
        <f t="shared" si="8"/>
        <v>404690</v>
      </c>
      <c r="J144" s="80" t="str">
        <f t="shared" si="9"/>
        <v/>
      </c>
      <c r="K144" s="89"/>
      <c r="L144" s="66"/>
    </row>
    <row r="145" spans="1:12" ht="92.25" customHeight="1">
      <c r="A145" s="27" t="str">
        <v>Landau II</v>
      </c>
      <c r="B145" s="28" t="str">
        <v>NY</v>
      </c>
      <c r="C145" s="28" t="str">
        <f>Sites[[#This Row],[SOL'#]]</f>
        <v>SOL-10895</v>
      </c>
      <c r="D145" s="82">
        <v>334690</v>
      </c>
      <c r="E145" s="15">
        <v>0</v>
      </c>
      <c r="F145" s="15">
        <f t="shared" si="10"/>
        <v>334690</v>
      </c>
      <c r="G145" s="84" t="str">
        <f t="shared" si="11"/>
        <v/>
      </c>
      <c r="H145" s="85">
        <v>0</v>
      </c>
      <c r="I145" s="85">
        <f t="shared" si="8"/>
        <v>334690</v>
      </c>
      <c r="J145" s="84" t="str">
        <f t="shared" si="9"/>
        <v/>
      </c>
      <c r="K145" s="61" t="s">
        <v>656</v>
      </c>
      <c r="L145" s="92" t="s">
        <v>657</v>
      </c>
    </row>
    <row r="146" spans="1:12" ht="39.75" customHeight="1">
      <c r="A146" s="25" t="str">
        <v>New Beginnings</v>
      </c>
      <c r="B146" s="26" t="str">
        <v>NY</v>
      </c>
      <c r="C146" s="26" t="str">
        <f>Sites[[#This Row],[SOL'#]]</f>
        <v>SOL-10890</v>
      </c>
      <c r="D146" s="67">
        <v>401940</v>
      </c>
      <c r="E146" s="11">
        <v>401968</v>
      </c>
      <c r="F146" s="11">
        <f t="shared" si="10"/>
        <v>-28</v>
      </c>
      <c r="G146" s="68">
        <f t="shared" si="11"/>
        <v>-6.9657286152131518E-5</v>
      </c>
      <c r="H146" s="83">
        <v>398278</v>
      </c>
      <c r="I146" s="83">
        <f t="shared" ref="I146:I160" si="12">IF(AND(ISNUMBER(D146),ISNUMBER(H146)), D146-H146, "")</f>
        <v>3662</v>
      </c>
      <c r="J146" s="80">
        <f t="shared" ref="J146:J160" si="13">IFERROR(I146/H146, "")</f>
        <v>9.1945826784306448E-3</v>
      </c>
      <c r="K146" s="89" t="s">
        <v>658</v>
      </c>
      <c r="L146" s="66" t="s">
        <v>659</v>
      </c>
    </row>
    <row r="147" spans="1:12" ht="28.5">
      <c r="A147" s="27" t="str">
        <v>Guilin Farm Solar</v>
      </c>
      <c r="B147" s="28" t="str">
        <v>NY</v>
      </c>
      <c r="C147" s="28" t="str">
        <f>Sites[[#This Row],[SOL'#]]</f>
        <v>SOL-10998</v>
      </c>
      <c r="D147" s="82">
        <v>673297</v>
      </c>
      <c r="E147" s="15">
        <v>683546</v>
      </c>
      <c r="F147" s="15">
        <f t="shared" si="10"/>
        <v>-10249</v>
      </c>
      <c r="G147" s="84">
        <f t="shared" si="11"/>
        <v>-1.499387020039617E-2</v>
      </c>
      <c r="H147" s="85">
        <v>1048743</v>
      </c>
      <c r="I147" s="85">
        <f t="shared" si="12"/>
        <v>-375446</v>
      </c>
      <c r="J147" s="84">
        <f t="shared" si="13"/>
        <v>-0.3579961916313148</v>
      </c>
      <c r="K147" s="61" t="s">
        <v>660</v>
      </c>
      <c r="L147" s="91" t="s">
        <v>661</v>
      </c>
    </row>
    <row r="148" spans="1:12" ht="15.75">
      <c r="A148" s="25" t="str">
        <v>Brodhead Solar</v>
      </c>
      <c r="B148" s="26" t="str">
        <v>NY</v>
      </c>
      <c r="C148" s="26" t="str">
        <f>Sites[[#This Row],[SOL'#]]</f>
        <v>SOL-10899</v>
      </c>
      <c r="D148" s="67">
        <v>486584</v>
      </c>
      <c r="E148" s="11">
        <v>509888</v>
      </c>
      <c r="F148" s="11">
        <f t="shared" si="10"/>
        <v>-23304</v>
      </c>
      <c r="G148" s="68">
        <f t="shared" si="11"/>
        <v>-4.5704154637881259E-2</v>
      </c>
      <c r="H148" s="83">
        <v>522919</v>
      </c>
      <c r="I148" s="83">
        <f t="shared" si="12"/>
        <v>-36335</v>
      </c>
      <c r="J148" s="80">
        <f t="shared" si="13"/>
        <v>-6.9484948911781752E-2</v>
      </c>
      <c r="K148" s="89"/>
      <c r="L148" s="66"/>
    </row>
    <row r="149" spans="1:12" ht="159.6" customHeight="1">
      <c r="A149" s="27" t="str">
        <v>Svenski</v>
      </c>
      <c r="B149" s="28" t="str">
        <v>NY</v>
      </c>
      <c r="C149" s="28" t="str">
        <f>Sites[[#This Row],[SOL'#]]</f>
        <v>SOL-10894</v>
      </c>
      <c r="D149" s="82">
        <v>304918</v>
      </c>
      <c r="E149" s="15">
        <v>0</v>
      </c>
      <c r="F149" s="15">
        <f t="shared" si="10"/>
        <v>304918</v>
      </c>
      <c r="G149" s="84" t="str">
        <f t="shared" si="11"/>
        <v/>
      </c>
      <c r="H149" s="85">
        <v>0</v>
      </c>
      <c r="I149" s="85">
        <f t="shared" si="12"/>
        <v>304918</v>
      </c>
      <c r="J149" s="84" t="str">
        <f t="shared" si="13"/>
        <v/>
      </c>
      <c r="K149" s="61" t="s">
        <v>662</v>
      </c>
      <c r="L149" s="92" t="s">
        <v>663</v>
      </c>
    </row>
    <row r="150" spans="1:12" ht="15.75">
      <c r="A150" s="25" t="str">
        <v>Bantam</v>
      </c>
      <c r="B150" s="26" t="str">
        <v>NY</v>
      </c>
      <c r="C150" s="26" t="str">
        <f>Sites[[#This Row],[SOL'#]]</f>
        <v>SOL-10986</v>
      </c>
      <c r="D150" s="67">
        <v>1133220</v>
      </c>
      <c r="E150" s="11">
        <v>0</v>
      </c>
      <c r="F150" s="11">
        <f t="shared" si="10"/>
        <v>1133220</v>
      </c>
      <c r="G150" s="68" t="str">
        <f t="shared" si="11"/>
        <v/>
      </c>
      <c r="H150" s="83">
        <v>0</v>
      </c>
      <c r="I150" s="83">
        <f t="shared" si="12"/>
        <v>1133220</v>
      </c>
      <c r="J150" s="80" t="str">
        <f t="shared" si="13"/>
        <v/>
      </c>
      <c r="K150" s="89"/>
      <c r="L150" s="66"/>
    </row>
    <row r="151" spans="1:12" ht="28.5">
      <c r="A151" s="27" t="str">
        <v>Bogart</v>
      </c>
      <c r="B151" s="28" t="str">
        <v>NY</v>
      </c>
      <c r="C151" s="28" t="str">
        <f>Sites[[#This Row],[SOL'#]]</f>
        <v>SOL-10887</v>
      </c>
      <c r="D151" s="82">
        <v>358420</v>
      </c>
      <c r="E151" s="15">
        <v>382168</v>
      </c>
      <c r="F151" s="15">
        <f t="shared" si="10"/>
        <v>-23748</v>
      </c>
      <c r="G151" s="84">
        <f t="shared" si="11"/>
        <v>-6.2140210588013646E-2</v>
      </c>
      <c r="H151" s="85">
        <v>391479</v>
      </c>
      <c r="I151" s="85">
        <f t="shared" si="12"/>
        <v>-33059</v>
      </c>
      <c r="J151" s="84">
        <f t="shared" si="13"/>
        <v>-8.4446419859047356E-2</v>
      </c>
      <c r="K151" s="61" t="s">
        <v>664</v>
      </c>
      <c r="L151" s="91" t="s">
        <v>665</v>
      </c>
    </row>
    <row r="152" spans="1:12" ht="28.5">
      <c r="A152" s="25" t="str">
        <v>Dubois</v>
      </c>
      <c r="B152" s="26" t="str">
        <v>NY</v>
      </c>
      <c r="C152" s="26" t="str">
        <f>Sites[[#This Row],[SOL'#]]</f>
        <v>SOL-10892</v>
      </c>
      <c r="D152" s="67">
        <v>359955</v>
      </c>
      <c r="E152" s="11">
        <v>0</v>
      </c>
      <c r="F152" s="11">
        <f t="shared" si="10"/>
        <v>359955</v>
      </c>
      <c r="G152" s="68" t="str">
        <f t="shared" si="11"/>
        <v/>
      </c>
      <c r="H152" s="83">
        <v>0</v>
      </c>
      <c r="I152" s="83">
        <f t="shared" si="12"/>
        <v>359955</v>
      </c>
      <c r="J152" s="80" t="str">
        <f t="shared" si="13"/>
        <v/>
      </c>
      <c r="K152" s="89" t="s">
        <v>666</v>
      </c>
      <c r="L152" s="66" t="s">
        <v>667</v>
      </c>
    </row>
    <row r="153" spans="1:12" ht="15.75">
      <c r="A153" s="27" t="str">
        <v>Salt Point</v>
      </c>
      <c r="B153" s="28" t="str">
        <v>NY</v>
      </c>
      <c r="C153" s="28" t="str">
        <f>Sites[[#This Row],[SOL'#]]</f>
        <v>SOL-10888</v>
      </c>
      <c r="D153" s="82">
        <v>418107</v>
      </c>
      <c r="E153" s="15">
        <v>0</v>
      </c>
      <c r="F153" s="15">
        <f t="shared" si="10"/>
        <v>418107</v>
      </c>
      <c r="G153" s="84" t="str">
        <f t="shared" si="11"/>
        <v/>
      </c>
      <c r="H153" s="85">
        <v>0</v>
      </c>
      <c r="I153" s="85">
        <f t="shared" si="12"/>
        <v>418107</v>
      </c>
      <c r="J153" s="84" t="str">
        <f t="shared" si="13"/>
        <v/>
      </c>
      <c r="K153" s="59" t="s">
        <v>668</v>
      </c>
      <c r="L153" s="93" t="s">
        <v>669</v>
      </c>
    </row>
    <row r="154" spans="1:12" ht="28.5">
      <c r="A154" s="25" t="str">
        <v>Wheatland 2A</v>
      </c>
      <c r="B154" s="26" t="str">
        <v>NY</v>
      </c>
      <c r="C154" s="26" t="str">
        <f>Sites[[#This Row],[SOL'#]]</f>
        <v>SOL-10971</v>
      </c>
      <c r="D154" s="67">
        <v>941330</v>
      </c>
      <c r="E154" s="11">
        <v>0</v>
      </c>
      <c r="F154" s="11">
        <f t="shared" si="10"/>
        <v>941330</v>
      </c>
      <c r="G154" s="68" t="str">
        <f t="shared" si="11"/>
        <v/>
      </c>
      <c r="H154" s="83">
        <v>0</v>
      </c>
      <c r="I154" s="83">
        <f t="shared" si="12"/>
        <v>941330</v>
      </c>
      <c r="J154" s="80" t="str">
        <f t="shared" si="13"/>
        <v/>
      </c>
      <c r="K154" s="89" t="s">
        <v>670</v>
      </c>
      <c r="L154" s="66" t="s">
        <v>671</v>
      </c>
    </row>
    <row r="155" spans="1:12" ht="28.5">
      <c r="A155" s="27" t="str">
        <v>Wheatland 2B</v>
      </c>
      <c r="B155" s="28" t="str">
        <v>NY</v>
      </c>
      <c r="C155" s="28" t="str">
        <f>Sites[[#This Row],[SOL'#]]</f>
        <v>SOL-10961</v>
      </c>
      <c r="D155" s="82">
        <v>949970</v>
      </c>
      <c r="E155" s="15">
        <v>0</v>
      </c>
      <c r="F155" s="15">
        <f t="shared" si="10"/>
        <v>949970</v>
      </c>
      <c r="G155" s="84" t="str">
        <f t="shared" si="11"/>
        <v/>
      </c>
      <c r="H155" s="85">
        <v>0</v>
      </c>
      <c r="I155" s="85">
        <f t="shared" si="12"/>
        <v>949970</v>
      </c>
      <c r="J155" s="84" t="str">
        <f t="shared" si="13"/>
        <v/>
      </c>
      <c r="K155" s="61" t="s">
        <v>670</v>
      </c>
      <c r="L155" s="93" t="s">
        <v>672</v>
      </c>
    </row>
    <row r="156" spans="1:12" ht="15.75">
      <c r="A156" s="25" t="str">
        <v>Brickchurch</v>
      </c>
      <c r="B156" s="26" t="str">
        <v>NY</v>
      </c>
      <c r="C156" s="26" t="str">
        <f>Sites[[#This Row],[SOL'#]]</f>
        <v>SOL-10889</v>
      </c>
      <c r="D156" s="67">
        <v>450560</v>
      </c>
      <c r="E156" s="11">
        <v>486732</v>
      </c>
      <c r="F156" s="11">
        <f t="shared" si="10"/>
        <v>-36172</v>
      </c>
      <c r="G156" s="68">
        <f t="shared" si="11"/>
        <v>-7.4316050721957877E-2</v>
      </c>
      <c r="H156" s="83">
        <v>496313</v>
      </c>
      <c r="I156" s="83">
        <f t="shared" si="12"/>
        <v>-45753</v>
      </c>
      <c r="J156" s="80">
        <f t="shared" si="13"/>
        <v>-9.2185777926429485E-2</v>
      </c>
      <c r="K156" s="89"/>
      <c r="L156" s="66"/>
    </row>
    <row r="157" spans="1:12" ht="15.75">
      <c r="A157" s="27" t="str">
        <v>McCarthy Solar</v>
      </c>
      <c r="B157" s="28" t="str">
        <v>NY</v>
      </c>
      <c r="C157" s="28" t="str">
        <f>Sites[[#This Row],[SOL'#]]</f>
        <v>SOL-10992</v>
      </c>
      <c r="D157" s="82">
        <v>429624</v>
      </c>
      <c r="E157" s="15">
        <v>0</v>
      </c>
      <c r="F157" s="15">
        <f t="shared" si="10"/>
        <v>429624</v>
      </c>
      <c r="G157" s="84" t="str">
        <f t="shared" si="11"/>
        <v/>
      </c>
      <c r="H157" s="85">
        <v>0</v>
      </c>
      <c r="I157" s="85">
        <f t="shared" si="12"/>
        <v>429624</v>
      </c>
      <c r="J157" s="84" t="str">
        <f t="shared" si="13"/>
        <v/>
      </c>
      <c r="K157" s="61"/>
      <c r="L157" s="91"/>
    </row>
    <row r="158" spans="1:12" ht="15.75">
      <c r="A158" s="25" t="str">
        <v>Costanza</v>
      </c>
      <c r="B158" s="26" t="str">
        <v>NY</v>
      </c>
      <c r="C158" s="26" t="str">
        <f>Sites[[#This Row],[SOL'#]]</f>
        <v>SOL-10907</v>
      </c>
      <c r="D158" s="67">
        <v>17824</v>
      </c>
      <c r="E158" s="11">
        <v>0</v>
      </c>
      <c r="F158" s="11">
        <f t="shared" si="10"/>
        <v>17824</v>
      </c>
      <c r="G158" s="68" t="str">
        <f t="shared" si="11"/>
        <v/>
      </c>
      <c r="H158" s="83">
        <v>0</v>
      </c>
      <c r="I158" s="83">
        <f t="shared" si="12"/>
        <v>17824</v>
      </c>
      <c r="J158" s="80" t="str">
        <f t="shared" si="13"/>
        <v/>
      </c>
      <c r="K158" s="89"/>
      <c r="L158" s="66"/>
    </row>
    <row r="159" spans="1:12" ht="15.75">
      <c r="A159" s="27" t="str">
        <v>Lockenhurst Pond</v>
      </c>
      <c r="B159" s="28" t="str">
        <v>NY</v>
      </c>
      <c r="C159" s="28" t="str">
        <f>Sites[[#This Row],[SOL'#]]</f>
        <v>SOL-11000</v>
      </c>
      <c r="D159" s="82">
        <v>523420.72888888902</v>
      </c>
      <c r="E159" s="15">
        <v>553634.1</v>
      </c>
      <c r="F159" s="15">
        <f t="shared" si="10"/>
        <v>-30213.371111110959</v>
      </c>
      <c r="G159" s="84">
        <f t="shared" si="11"/>
        <v>-5.4572814628128866E-2</v>
      </c>
      <c r="H159" s="85">
        <v>491101</v>
      </c>
      <c r="I159" s="85">
        <f t="shared" si="12"/>
        <v>32319.728888889018</v>
      </c>
      <c r="J159" s="84">
        <f t="shared" si="13"/>
        <v>6.5810757642295617E-2</v>
      </c>
      <c r="K159" s="61"/>
      <c r="L159" s="91"/>
    </row>
    <row r="160" spans="1:12" ht="15.75">
      <c r="A160" s="25" t="str">
        <v>Drinkwater</v>
      </c>
      <c r="B160" s="26" t="str">
        <v>NY</v>
      </c>
      <c r="C160" s="26" t="str">
        <f>Sites[[#This Row],[SOL'#]]</f>
        <v>SOL-10896</v>
      </c>
      <c r="D160" s="67">
        <v>410647</v>
      </c>
      <c r="E160" s="11">
        <v>0</v>
      </c>
      <c r="F160" s="11">
        <f t="shared" si="10"/>
        <v>410647</v>
      </c>
      <c r="G160" s="68" t="str">
        <f t="shared" si="11"/>
        <v/>
      </c>
      <c r="H160" s="83">
        <v>0</v>
      </c>
      <c r="I160" s="83">
        <f t="shared" si="12"/>
        <v>410647</v>
      </c>
      <c r="J160" s="80" t="str">
        <f t="shared" si="13"/>
        <v/>
      </c>
      <c r="K160" s="89"/>
      <c r="L160" s="66"/>
    </row>
    <row r="161" spans="1:12" ht="15.75">
      <c r="A161" s="27" t="str">
        <v>Altamont</v>
      </c>
      <c r="B161" s="28" t="str">
        <v>NY</v>
      </c>
      <c r="C161" s="28" t="s">
        <v>11</v>
      </c>
      <c r="D161" s="82"/>
      <c r="E161" s="15"/>
      <c r="F161" s="15"/>
      <c r="G161" s="84"/>
      <c r="H161" s="85"/>
      <c r="I161" s="85"/>
      <c r="J161" s="84"/>
      <c r="K161" s="61"/>
      <c r="L161" s="91"/>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3.9">
      <c r="D340" s="18"/>
      <c r="E340" s="18"/>
      <c r="F340" s="18"/>
      <c r="G340" s="19"/>
      <c r="H340" s="18"/>
      <c r="I340" s="18"/>
      <c r="J340" s="19"/>
      <c r="K340" s="18"/>
      <c r="L340" s="18"/>
    </row>
  </sheetData>
  <mergeCells count="4">
    <mergeCell ref="H1:J1"/>
    <mergeCell ref="A1:D1"/>
    <mergeCell ref="E1:G1"/>
    <mergeCell ref="A2:B2"/>
  </mergeCells>
  <conditionalFormatting sqref="G2 J2">
    <cfRule type="cellIs" dxfId="34" priority="11" stopIfTrue="1" operator="lessThanOrEqual">
      <formula>-0.1</formula>
    </cfRule>
    <cfRule type="expression" dxfId="33" priority="12">
      <formula>AND(ISNUMBER(G2), G2&gt;=0.1)</formula>
    </cfRule>
  </conditionalFormatting>
  <conditionalFormatting sqref="G4:G161 J4:J161">
    <cfRule type="cellIs" dxfId="32" priority="1" stopIfTrue="1" operator="lessThanOrEqual">
      <formula>-0.1</formula>
    </cfRule>
    <cfRule type="expression" dxfId="31" priority="2">
      <formula>AND(ISNUMBER(G4), G4&gt;=0.1)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339"/>
  <sheetViews>
    <sheetView zoomScale="60" zoomScaleNormal="60" workbookViewId="0">
      <pane xSplit="2" ySplit="3" topLeftCell="D106" activePane="bottomRight" state="frozen"/>
      <selection pane="bottomRight" activeCell="D152" sqref="D152"/>
      <selection pane="bottomLeft" activeCell="K49" sqref="K49"/>
      <selection pane="topRight" activeCell="K49" sqref="K49"/>
    </sheetView>
  </sheetViews>
  <sheetFormatPr defaultRowHeight="13.5"/>
  <cols>
    <col min="1" max="1" width="35.85546875" bestFit="1" customWidth="1"/>
    <col min="2" max="2" width="8.42578125" style="31" customWidth="1"/>
    <col min="3" max="3" width="17.7109375" style="3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23" t="str" cm="1">
        <f t="array" ref="A1">portfolio</f>
        <v>Generate Capital</v>
      </c>
      <c r="B1" s="123"/>
      <c r="C1" s="123"/>
      <c r="D1" s="123"/>
      <c r="E1" s="124" t="s">
        <v>673</v>
      </c>
      <c r="F1" s="124"/>
      <c r="G1" s="124"/>
      <c r="H1" s="122" t="s">
        <v>674</v>
      </c>
      <c r="I1" s="122"/>
      <c r="J1" s="122"/>
      <c r="K1" s="5"/>
      <c r="L1" s="5"/>
    </row>
    <row r="2" spans="1:12" ht="19.5" customHeight="1">
      <c r="A2" s="125" t="s">
        <v>2</v>
      </c>
      <c r="B2" s="125"/>
      <c r="C2" s="72"/>
      <c r="D2" s="6">
        <f>SUM(D4:D201)</f>
        <v>44181852.696192995</v>
      </c>
      <c r="E2" s="6">
        <f>SUM(E4:E101)</f>
        <v>6790367.068</v>
      </c>
      <c r="F2" s="6">
        <f>D2-E2</f>
        <v>37391485.628192991</v>
      </c>
      <c r="G2" s="7">
        <f>IFERROR(F2/E2, 0)</f>
        <v>5.5065485052203647</v>
      </c>
      <c r="H2" s="6">
        <f>SUM(H4:H201)</f>
        <v>51365636</v>
      </c>
      <c r="I2" s="8">
        <f>D2-H2</f>
        <v>-7183783.3038070053</v>
      </c>
      <c r="J2" s="7">
        <f>IFERROR(I2/H2, 0)</f>
        <v>-0.1398558231383917</v>
      </c>
      <c r="K2" s="23"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14276</v>
      </c>
      <c r="E4" s="11">
        <v>8494</v>
      </c>
      <c r="F4" s="11">
        <f>IF(AND(ISNUMBER(D4),ISNUMBER(E4)), D4-E4, "")</f>
        <v>5782</v>
      </c>
      <c r="G4" s="12">
        <f>IFERROR(F4/E4, "")</f>
        <v>0.68071579938780313</v>
      </c>
      <c r="H4" s="13">
        <v>14587</v>
      </c>
      <c r="I4" s="13">
        <f>IF(AND(ISNUMBER(D4),ISNUMBER(H4)), D4-H4, "")</f>
        <v>-311</v>
      </c>
      <c r="J4" s="14">
        <f>IFERROR(I4/H4, "")</f>
        <v>-2.1320353739631179E-2</v>
      </c>
      <c r="K4" s="66"/>
      <c r="L4" s="66"/>
    </row>
    <row r="5" spans="1:12" ht="15.75">
      <c r="A5" s="27" t="str">
        <v>Fulton</v>
      </c>
      <c r="B5" s="28" t="str">
        <v>AZ</v>
      </c>
      <c r="C5" s="28" t="str">
        <f>Sites[[#This Row],[SOL'#]]</f>
        <v>SOL-10749</v>
      </c>
      <c r="D5" s="10">
        <v>59135</v>
      </c>
      <c r="E5" s="15">
        <v>59187</v>
      </c>
      <c r="F5" s="15">
        <f t="shared" ref="F5:F69" si="0">IF(AND(ISNUMBER(D5),ISNUMBER(E5)), D5-E5, "")</f>
        <v>-52</v>
      </c>
      <c r="G5" s="16">
        <f>IFERROR(F5/E5, "")</f>
        <v>-8.7857130788855664E-4</v>
      </c>
      <c r="H5" s="17">
        <v>73938</v>
      </c>
      <c r="I5" s="17">
        <f t="shared" ref="I5:I17" si="1">IF(AND(ISNUMBER(D5),ISNUMBER(H5)), D5-H5, "")</f>
        <v>-14803</v>
      </c>
      <c r="J5" s="16">
        <f t="shared" ref="J5:J17" si="2">IFERROR(I5/H5, "")</f>
        <v>-0.20020828261516405</v>
      </c>
      <c r="K5" s="61"/>
      <c r="L5" s="61"/>
    </row>
    <row r="6" spans="1:12" ht="15.75">
      <c r="A6" s="29" t="str">
        <v>JFK Elementary</v>
      </c>
      <c r="B6" s="26" t="str">
        <v>AZ</v>
      </c>
      <c r="C6" s="26" t="str">
        <f>Sites[[#This Row],[SOL'#]]</f>
        <v>SOL-10758</v>
      </c>
      <c r="D6" s="21">
        <v>21247</v>
      </c>
      <c r="E6" s="11">
        <v>0</v>
      </c>
      <c r="F6" s="11">
        <f t="shared" si="0"/>
        <v>21247</v>
      </c>
      <c r="G6" s="12" t="str">
        <f t="shared" ref="G6:G70" si="3">IFERROR(F6/E6, "")</f>
        <v/>
      </c>
      <c r="H6" s="13">
        <v>18696</v>
      </c>
      <c r="I6" s="13">
        <f t="shared" si="1"/>
        <v>2551</v>
      </c>
      <c r="J6" s="14">
        <f t="shared" si="2"/>
        <v>0.13644629867351304</v>
      </c>
      <c r="K6" s="66"/>
      <c r="L6" s="66"/>
    </row>
    <row r="7" spans="1:12" ht="15.75">
      <c r="A7" s="27" t="str">
        <v>Noble</v>
      </c>
      <c r="B7" s="28" t="str">
        <v>AZ</v>
      </c>
      <c r="C7" s="28" t="str">
        <f>Sites[[#This Row],[SOL'#]]</f>
        <v>SOL-10750</v>
      </c>
      <c r="D7" s="10">
        <v>6558</v>
      </c>
      <c r="E7" s="15">
        <v>14416</v>
      </c>
      <c r="F7" s="15">
        <f t="shared" si="0"/>
        <v>-7858</v>
      </c>
      <c r="G7" s="16">
        <f t="shared" si="3"/>
        <v>-0.54508879023307433</v>
      </c>
      <c r="H7" s="17">
        <v>16404</v>
      </c>
      <c r="I7" s="17">
        <f t="shared" si="1"/>
        <v>-9846</v>
      </c>
      <c r="J7" s="16">
        <f t="shared" si="2"/>
        <v>-0.60021945866861737</v>
      </c>
      <c r="K7" s="61" t="s">
        <v>675</v>
      </c>
      <c r="L7" s="61" t="s">
        <v>676</v>
      </c>
    </row>
    <row r="8" spans="1:12" ht="28.5">
      <c r="A8" s="29" t="str">
        <v>Parking 3</v>
      </c>
      <c r="B8" s="26" t="str">
        <v>AZ</v>
      </c>
      <c r="C8" s="26" t="str">
        <f>Sites[[#This Row],[SOL'#]]</f>
        <v>SOL-10751</v>
      </c>
      <c r="D8" s="21">
        <v>11110</v>
      </c>
      <c r="E8" s="11">
        <v>35313</v>
      </c>
      <c r="F8" s="11">
        <f t="shared" si="0"/>
        <v>-24203</v>
      </c>
      <c r="G8" s="12">
        <f t="shared" si="3"/>
        <v>-0.68538498569931749</v>
      </c>
      <c r="H8" s="13">
        <v>33985</v>
      </c>
      <c r="I8" s="13">
        <f t="shared" si="1"/>
        <v>-22875</v>
      </c>
      <c r="J8" s="14">
        <f t="shared" si="2"/>
        <v>-0.6730910695895248</v>
      </c>
      <c r="K8" s="66" t="s">
        <v>677</v>
      </c>
      <c r="L8" s="66" t="s">
        <v>678</v>
      </c>
    </row>
    <row r="9" spans="1:12" ht="15.75">
      <c r="A9" s="27" t="str">
        <v>PE East</v>
      </c>
      <c r="B9" s="28" t="str">
        <v>AZ</v>
      </c>
      <c r="C9" s="28" t="str">
        <f>Sites[[#This Row],[SOL'#]]</f>
        <v>SOL-10752</v>
      </c>
      <c r="D9" s="10">
        <v>31004</v>
      </c>
      <c r="E9" s="15">
        <v>0</v>
      </c>
      <c r="F9" s="15">
        <f t="shared" si="0"/>
        <v>31004</v>
      </c>
      <c r="G9" s="16" t="str">
        <f t="shared" si="3"/>
        <v/>
      </c>
      <c r="H9" s="17">
        <v>34280</v>
      </c>
      <c r="I9" s="17">
        <f t="shared" si="1"/>
        <v>-3276</v>
      </c>
      <c r="J9" s="16">
        <f t="shared" si="2"/>
        <v>-9.5565927654609098E-2</v>
      </c>
      <c r="K9" s="61"/>
      <c r="L9" s="61"/>
    </row>
    <row r="10" spans="1:12" ht="15.75">
      <c r="A10" s="29" t="str">
        <v>Schwada</v>
      </c>
      <c r="B10" s="26" t="str">
        <v>AZ</v>
      </c>
      <c r="C10" s="26" t="str">
        <f>Sites[[#This Row],[SOL'#]]</f>
        <v>SOL-10753</v>
      </c>
      <c r="D10" s="21">
        <v>14076</v>
      </c>
      <c r="E10" s="11">
        <v>0</v>
      </c>
      <c r="F10" s="11">
        <f t="shared" si="0"/>
        <v>14076</v>
      </c>
      <c r="G10" s="12" t="str">
        <f t="shared" si="3"/>
        <v/>
      </c>
      <c r="H10" s="13">
        <v>13894</v>
      </c>
      <c r="I10" s="13">
        <f t="shared" si="1"/>
        <v>182</v>
      </c>
      <c r="J10" s="14">
        <f t="shared" si="2"/>
        <v>1.3099179501943285E-2</v>
      </c>
      <c r="K10" s="66"/>
      <c r="L10" s="66"/>
    </row>
    <row r="11" spans="1:12" ht="28.5">
      <c r="A11" s="27" t="str">
        <v>Starshine</v>
      </c>
      <c r="B11" s="28" t="str">
        <v>AZ</v>
      </c>
      <c r="C11" s="28" t="str">
        <f>Sites[[#This Row],[SOL'#]]</f>
        <v>SOL-10757</v>
      </c>
      <c r="D11" s="10">
        <v>9608</v>
      </c>
      <c r="E11" s="15">
        <v>0</v>
      </c>
      <c r="F11" s="15">
        <f t="shared" si="0"/>
        <v>9608</v>
      </c>
      <c r="G11" s="16" t="str">
        <f t="shared" si="3"/>
        <v/>
      </c>
      <c r="H11" s="17">
        <v>11002</v>
      </c>
      <c r="I11" s="17">
        <f t="shared" si="1"/>
        <v>-1394</v>
      </c>
      <c r="J11" s="16">
        <f t="shared" si="2"/>
        <v>-0.12670423559352845</v>
      </c>
      <c r="K11" s="61" t="s">
        <v>679</v>
      </c>
      <c r="L11" s="61" t="s">
        <v>680</v>
      </c>
    </row>
    <row r="12" spans="1:12" ht="15.75">
      <c r="A12" s="29" t="str">
        <v>Yuma Airport</v>
      </c>
      <c r="B12" s="26" t="str">
        <v>AZ</v>
      </c>
      <c r="C12" s="26" t="str">
        <f>Sites[[#This Row],[SOL'#]]</f>
        <v>SOL-10754</v>
      </c>
      <c r="D12" s="21">
        <v>77989</v>
      </c>
      <c r="E12" s="11">
        <v>89947</v>
      </c>
      <c r="F12" s="11">
        <f t="shared" si="0"/>
        <v>-11958</v>
      </c>
      <c r="G12" s="12">
        <f t="shared" si="3"/>
        <v>-0.13294495647436824</v>
      </c>
      <c r="H12" s="13">
        <v>82137</v>
      </c>
      <c r="I12" s="13">
        <f t="shared" si="1"/>
        <v>-4148</v>
      </c>
      <c r="J12" s="14">
        <f t="shared" si="2"/>
        <v>-5.0500992244664401E-2</v>
      </c>
      <c r="K12" s="66"/>
      <c r="L12" s="66"/>
    </row>
    <row r="13" spans="1:12" ht="15.75">
      <c r="A13" s="27" t="str">
        <v>Kinsman</v>
      </c>
      <c r="B13" s="28" t="str">
        <v>OH</v>
      </c>
      <c r="C13" s="28" t="str">
        <f>Sites[[#This Row],[SOL'#]]</f>
        <v>SOL-10762</v>
      </c>
      <c r="D13" s="10">
        <v>96228</v>
      </c>
      <c r="E13" s="15">
        <v>138283</v>
      </c>
      <c r="F13" s="15">
        <f t="shared" si="0"/>
        <v>-42055</v>
      </c>
      <c r="G13" s="16">
        <f t="shared" si="3"/>
        <v>-0.30412270488780258</v>
      </c>
      <c r="H13" s="17">
        <v>133750</v>
      </c>
      <c r="I13" s="17">
        <f t="shared" si="1"/>
        <v>-37522</v>
      </c>
      <c r="J13" s="16">
        <f t="shared" si="2"/>
        <v>-0.28053831775700933</v>
      </c>
      <c r="K13" s="61" t="s">
        <v>681</v>
      </c>
      <c r="L13" s="61" t="s">
        <v>245</v>
      </c>
    </row>
    <row r="14" spans="1:12" ht="15.75">
      <c r="A14" s="29" t="str">
        <v>Wooster</v>
      </c>
      <c r="B14" s="26" t="str">
        <v>OH</v>
      </c>
      <c r="C14" s="26" t="str">
        <f>Sites[[#This Row],[SOL'#]]</f>
        <v>SOL-10763</v>
      </c>
      <c r="D14" s="21">
        <v>22469</v>
      </c>
      <c r="E14" s="11">
        <v>0</v>
      </c>
      <c r="F14" s="11">
        <f t="shared" si="0"/>
        <v>22469</v>
      </c>
      <c r="G14" s="12" t="str">
        <f t="shared" si="3"/>
        <v/>
      </c>
      <c r="H14" s="13">
        <v>32092</v>
      </c>
      <c r="I14" s="13">
        <f t="shared" si="1"/>
        <v>-9623</v>
      </c>
      <c r="J14" s="14">
        <f t="shared" si="2"/>
        <v>-0.29985666209647266</v>
      </c>
      <c r="K14" s="66"/>
      <c r="L14" s="66"/>
    </row>
    <row r="15" spans="1:12" ht="15.75">
      <c r="A15" s="27" t="str">
        <v>Globe Gila CC</v>
      </c>
      <c r="B15" s="28" t="str">
        <v>AZ</v>
      </c>
      <c r="C15" s="28" t="str">
        <f>Sites[[#This Row],[SOL'#]]</f>
        <v>SOL-10755</v>
      </c>
      <c r="D15" s="10">
        <v>17932</v>
      </c>
      <c r="E15" s="15">
        <v>0</v>
      </c>
      <c r="F15" s="15">
        <f t="shared" si="0"/>
        <v>17932</v>
      </c>
      <c r="G15" s="16" t="str">
        <f t="shared" si="3"/>
        <v/>
      </c>
      <c r="H15" s="17">
        <v>17822</v>
      </c>
      <c r="I15" s="17">
        <f t="shared" si="1"/>
        <v>110</v>
      </c>
      <c r="J15" s="16">
        <f t="shared" si="2"/>
        <v>6.1721467848726294E-3</v>
      </c>
      <c r="K15" s="61" t="s">
        <v>682</v>
      </c>
      <c r="L15" s="61"/>
    </row>
    <row r="16" spans="1:12" ht="15.75">
      <c r="A16" s="29" t="str">
        <v>Payson Gila CC</v>
      </c>
      <c r="B16" s="26" t="str">
        <v>AZ</v>
      </c>
      <c r="C16" s="26" t="str">
        <f>Sites[[#This Row],[SOL'#]]</f>
        <v>SOL-10756</v>
      </c>
      <c r="D16" s="21">
        <v>8438</v>
      </c>
      <c r="E16" s="11">
        <v>0</v>
      </c>
      <c r="F16" s="11">
        <f t="shared" si="0"/>
        <v>8438</v>
      </c>
      <c r="G16" s="12" t="str">
        <f t="shared" si="3"/>
        <v/>
      </c>
      <c r="H16" s="13">
        <v>15449</v>
      </c>
      <c r="I16" s="13">
        <f t="shared" si="1"/>
        <v>-7011</v>
      </c>
      <c r="J16" s="14">
        <f t="shared" si="2"/>
        <v>-0.45381578095669622</v>
      </c>
      <c r="K16" s="66" t="s">
        <v>683</v>
      </c>
      <c r="L16" s="66" t="s">
        <v>684</v>
      </c>
    </row>
    <row r="17" spans="1:12" ht="15.75">
      <c r="A17" s="27" t="str">
        <v>SCNM</v>
      </c>
      <c r="B17" s="28" t="str">
        <v>AZ</v>
      </c>
      <c r="C17" s="28" t="str">
        <f>Sites[[#This Row],[SOL'#]]</f>
        <v>SOL-10760</v>
      </c>
      <c r="D17" s="10">
        <v>77477</v>
      </c>
      <c r="E17" s="15">
        <v>0</v>
      </c>
      <c r="F17" s="15">
        <f t="shared" si="0"/>
        <v>77477</v>
      </c>
      <c r="G17" s="16" t="str">
        <f t="shared" si="3"/>
        <v/>
      </c>
      <c r="H17" s="17">
        <v>91007</v>
      </c>
      <c r="I17" s="17">
        <f t="shared" si="1"/>
        <v>-13530</v>
      </c>
      <c r="J17" s="16">
        <f t="shared" si="2"/>
        <v>-0.14866988253650817</v>
      </c>
      <c r="K17" s="61" t="s">
        <v>685</v>
      </c>
      <c r="L17" s="61" t="s">
        <v>686</v>
      </c>
    </row>
    <row r="18" spans="1:12" ht="12.75" customHeight="1">
      <c r="A18" s="29" t="str">
        <v>Sequoia Charter School</v>
      </c>
      <c r="B18" s="26" t="str">
        <v>AZ</v>
      </c>
      <c r="C18" s="26" t="str">
        <f>Sites[[#This Row],[SOL'#]]</f>
        <v>SOL-10759</v>
      </c>
      <c r="D18" s="21">
        <v>26691</v>
      </c>
      <c r="E18" s="11"/>
      <c r="F18" s="11" t="str">
        <f t="shared" si="0"/>
        <v/>
      </c>
      <c r="G18" s="12" t="str">
        <f t="shared" si="3"/>
        <v/>
      </c>
      <c r="H18" s="13">
        <v>52037</v>
      </c>
      <c r="I18" s="13">
        <f t="shared" ref="I18:I74" si="4">IF(AND(ISNUMBER(D18),ISNUMBER(H18)), D18-H18, "")</f>
        <v>-25346</v>
      </c>
      <c r="J18" s="14">
        <f t="shared" ref="J18:J74" si="5">IFERROR(I18/H18, "")</f>
        <v>-0.48707650325729768</v>
      </c>
      <c r="K18" s="66" t="s">
        <v>687</v>
      </c>
      <c r="L18" s="66" t="s">
        <v>688</v>
      </c>
    </row>
    <row r="19" spans="1:12" ht="15.75">
      <c r="A19" s="27" t="str">
        <v>RCAB</v>
      </c>
      <c r="B19" s="28" t="str">
        <v>MA</v>
      </c>
      <c r="C19" s="28" t="str">
        <f>Sites[[#This Row],[SOL'#]]</f>
        <v>SOL-10838</v>
      </c>
      <c r="D19" s="10">
        <v>138421</v>
      </c>
      <c r="E19" s="15">
        <v>172889</v>
      </c>
      <c r="F19" s="15">
        <f t="shared" si="0"/>
        <v>-34468</v>
      </c>
      <c r="G19" s="16">
        <f t="shared" si="3"/>
        <v>-0.1993649104338622</v>
      </c>
      <c r="H19" s="17">
        <v>148860</v>
      </c>
      <c r="I19" s="17">
        <f t="shared" si="4"/>
        <v>-10439</v>
      </c>
      <c r="J19" s="16">
        <f t="shared" si="5"/>
        <v>-7.0126293161359668E-2</v>
      </c>
      <c r="K19" s="61" t="s">
        <v>689</v>
      </c>
      <c r="L19" s="61" t="s">
        <v>445</v>
      </c>
    </row>
    <row r="20" spans="1:12" ht="28.5">
      <c r="A20" s="29" t="str">
        <v>Spectro Coatings</v>
      </c>
      <c r="B20" s="26" t="str">
        <v>MA</v>
      </c>
      <c r="C20" s="26" t="str">
        <f>Sites[[#This Row],[SOL'#]]</f>
        <v>SOL-10074</v>
      </c>
      <c r="D20" s="21">
        <v>25773</v>
      </c>
      <c r="E20" s="11">
        <v>40169</v>
      </c>
      <c r="F20" s="11">
        <f t="shared" si="0"/>
        <v>-14396</v>
      </c>
      <c r="G20" s="12">
        <f t="shared" si="3"/>
        <v>-0.35838581991087654</v>
      </c>
      <c r="H20" s="13">
        <v>40335</v>
      </c>
      <c r="I20" s="13">
        <f t="shared" si="4"/>
        <v>-14562</v>
      </c>
      <c r="J20" s="14">
        <f t="shared" si="5"/>
        <v>-0.36102640386760876</v>
      </c>
      <c r="K20" s="66" t="s">
        <v>690</v>
      </c>
      <c r="L20" s="66" t="s">
        <v>691</v>
      </c>
    </row>
    <row r="21" spans="1:12" ht="15.75">
      <c r="A21" s="27" t="str">
        <v>K026</v>
      </c>
      <c r="B21" s="28" t="str">
        <v>NY</v>
      </c>
      <c r="C21" s="28" t="str">
        <f>Sites[[#This Row],[SOL'#]]</f>
        <v>SOL-10356</v>
      </c>
      <c r="D21" s="10">
        <v>39964</v>
      </c>
      <c r="E21" s="15">
        <v>43358</v>
      </c>
      <c r="F21" s="15">
        <f t="shared" si="0"/>
        <v>-3394</v>
      </c>
      <c r="G21" s="16">
        <f t="shared" si="3"/>
        <v>-7.8278518381844187E-2</v>
      </c>
      <c r="H21" s="17">
        <v>38453</v>
      </c>
      <c r="I21" s="17">
        <f t="shared" si="4"/>
        <v>1511</v>
      </c>
      <c r="J21" s="16">
        <f t="shared" si="5"/>
        <v>3.9294723428601151E-2</v>
      </c>
      <c r="K21" s="61"/>
      <c r="L21" s="61"/>
    </row>
    <row r="22" spans="1:12" ht="15.75">
      <c r="A22" s="29" t="str">
        <v>K041</v>
      </c>
      <c r="B22" s="26" t="str">
        <v>NY</v>
      </c>
      <c r="C22" s="26" t="str">
        <f>Sites[[#This Row],[SOL'#]]</f>
        <v>SOL-10357</v>
      </c>
      <c r="D22" s="21">
        <v>31648</v>
      </c>
      <c r="E22" s="11">
        <v>0</v>
      </c>
      <c r="F22" s="11">
        <f t="shared" si="0"/>
        <v>31648</v>
      </c>
      <c r="G22" s="12" t="str">
        <f t="shared" si="3"/>
        <v/>
      </c>
      <c r="H22" s="13">
        <v>32538</v>
      </c>
      <c r="I22" s="13">
        <f t="shared" si="4"/>
        <v>-890</v>
      </c>
      <c r="J22" s="14">
        <f t="shared" si="5"/>
        <v>-2.7352633843506054E-2</v>
      </c>
      <c r="K22" s="66"/>
      <c r="L22" s="66"/>
    </row>
    <row r="23" spans="1:12" ht="15.75">
      <c r="A23" s="27" t="str">
        <v>K043</v>
      </c>
      <c r="B23" s="28" t="str">
        <v>NY</v>
      </c>
      <c r="C23" s="28" t="str">
        <f>Sites[[#This Row],[SOL'#]]</f>
        <v>SOL-10358</v>
      </c>
      <c r="D23" s="10">
        <v>38983</v>
      </c>
      <c r="E23" s="15">
        <v>39339</v>
      </c>
      <c r="F23" s="15">
        <f t="shared" si="0"/>
        <v>-356</v>
      </c>
      <c r="G23" s="16">
        <f t="shared" si="3"/>
        <v>-9.0495437098045192E-3</v>
      </c>
      <c r="H23" s="17">
        <v>7115</v>
      </c>
      <c r="I23" s="17">
        <f t="shared" si="4"/>
        <v>31868</v>
      </c>
      <c r="J23" s="16">
        <f t="shared" si="5"/>
        <v>4.4789880534082922</v>
      </c>
      <c r="K23" s="61" t="s">
        <v>692</v>
      </c>
      <c r="L23" s="61" t="s">
        <v>693</v>
      </c>
    </row>
    <row r="24" spans="1:12" ht="15.75">
      <c r="A24" s="29" t="str">
        <v>K058</v>
      </c>
      <c r="B24" s="26" t="str">
        <v>NY</v>
      </c>
      <c r="C24" s="26" t="str">
        <f>Sites[[#This Row],[SOL'#]]</f>
        <v>SOL-10360</v>
      </c>
      <c r="D24" s="21">
        <v>30640</v>
      </c>
      <c r="E24" s="11">
        <v>31360</v>
      </c>
      <c r="F24" s="11">
        <f t="shared" si="0"/>
        <v>-720</v>
      </c>
      <c r="G24" s="12">
        <f t="shared" si="3"/>
        <v>-2.2959183673469389E-2</v>
      </c>
      <c r="H24" s="13">
        <v>28709</v>
      </c>
      <c r="I24" s="13">
        <f t="shared" si="4"/>
        <v>1931</v>
      </c>
      <c r="J24" s="14">
        <f t="shared" si="5"/>
        <v>6.7261137622348394E-2</v>
      </c>
      <c r="K24" s="66"/>
      <c r="L24" s="66"/>
    </row>
    <row r="25" spans="1:12" ht="28.5">
      <c r="A25" s="27" t="str">
        <v>K115</v>
      </c>
      <c r="B25" s="28" t="str">
        <v>NY</v>
      </c>
      <c r="C25" s="28" t="str">
        <f>Sites[[#This Row],[SOL'#]]</f>
        <v>SOL-10361</v>
      </c>
      <c r="D25" s="10">
        <v>8295</v>
      </c>
      <c r="E25" s="15">
        <v>13322</v>
      </c>
      <c r="F25" s="15">
        <f t="shared" si="0"/>
        <v>-5027</v>
      </c>
      <c r="G25" s="16">
        <f t="shared" si="3"/>
        <v>-0.37734574388229997</v>
      </c>
      <c r="H25" s="17">
        <v>18922</v>
      </c>
      <c r="I25" s="17">
        <f t="shared" si="4"/>
        <v>-10627</v>
      </c>
      <c r="J25" s="16">
        <f t="shared" si="5"/>
        <v>-0.56162139308741144</v>
      </c>
      <c r="K25" s="61" t="s">
        <v>338</v>
      </c>
      <c r="L25" s="61" t="s">
        <v>37</v>
      </c>
    </row>
    <row r="26" spans="1:12" ht="15.75">
      <c r="A26" s="29" t="str">
        <v>K152</v>
      </c>
      <c r="B26" s="26" t="str">
        <v>NY</v>
      </c>
      <c r="C26" s="26" t="str">
        <f>Sites[[#This Row],[SOL'#]]</f>
        <v>SOL-10362</v>
      </c>
      <c r="D26" s="21">
        <v>11355</v>
      </c>
      <c r="E26" s="11">
        <v>11736</v>
      </c>
      <c r="F26" s="11">
        <f t="shared" si="0"/>
        <v>-381</v>
      </c>
      <c r="G26" s="12">
        <f t="shared" si="3"/>
        <v>-3.2464212678936608E-2</v>
      </c>
      <c r="H26" s="13">
        <v>10840</v>
      </c>
      <c r="I26" s="13">
        <f t="shared" si="4"/>
        <v>515</v>
      </c>
      <c r="J26" s="14">
        <f t="shared" si="5"/>
        <v>4.7509225092250924E-2</v>
      </c>
      <c r="K26" s="66"/>
      <c r="L26" s="66"/>
    </row>
    <row r="27" spans="1:12" ht="15.75">
      <c r="A27" s="27" t="str">
        <v>K166</v>
      </c>
      <c r="B27" s="28" t="str">
        <v>NY</v>
      </c>
      <c r="C27" s="28" t="str">
        <f>Sites[[#This Row],[SOL'#]]</f>
        <v>SOL-10363</v>
      </c>
      <c r="D27" s="10">
        <v>41589</v>
      </c>
      <c r="E27" s="15">
        <v>45004</v>
      </c>
      <c r="F27" s="15">
        <f t="shared" si="0"/>
        <v>-3415</v>
      </c>
      <c r="G27" s="16">
        <f t="shared" si="3"/>
        <v>-7.5882143809439168E-2</v>
      </c>
      <c r="H27" s="17">
        <v>40722</v>
      </c>
      <c r="I27" s="17">
        <f t="shared" si="4"/>
        <v>867</v>
      </c>
      <c r="J27" s="16">
        <f t="shared" si="5"/>
        <v>2.1290702814203626E-2</v>
      </c>
      <c r="K27" s="61"/>
      <c r="L27" s="61"/>
    </row>
    <row r="28" spans="1:12" ht="15.75">
      <c r="A28" s="29" t="str">
        <v>K206</v>
      </c>
      <c r="B28" s="26" t="str">
        <v>NY</v>
      </c>
      <c r="C28" s="26" t="str">
        <f>Sites[[#This Row],[SOL'#]]</f>
        <v>SOL-10927</v>
      </c>
      <c r="D28" s="21">
        <v>4161</v>
      </c>
      <c r="E28" s="11">
        <v>0</v>
      </c>
      <c r="F28" s="11">
        <f t="shared" si="0"/>
        <v>4161</v>
      </c>
      <c r="G28" s="12" t="str">
        <f t="shared" si="3"/>
        <v/>
      </c>
      <c r="H28" s="13">
        <v>24570</v>
      </c>
      <c r="I28" s="13">
        <f t="shared" si="4"/>
        <v>-20409</v>
      </c>
      <c r="J28" s="14">
        <f t="shared" si="5"/>
        <v>-0.83064713064713069</v>
      </c>
      <c r="K28" s="66" t="s">
        <v>694</v>
      </c>
      <c r="L28" s="66" t="s">
        <v>695</v>
      </c>
    </row>
    <row r="29" spans="1:12" ht="15.75">
      <c r="A29" s="27" t="str">
        <v>K251</v>
      </c>
      <c r="B29" s="28" t="str">
        <v>NY</v>
      </c>
      <c r="C29" s="28" t="str">
        <f>Sites[[#This Row],[SOL'#]]</f>
        <v>SOL-10365</v>
      </c>
      <c r="D29" s="10">
        <v>26874</v>
      </c>
      <c r="E29" s="15">
        <v>27772</v>
      </c>
      <c r="F29" s="15">
        <f t="shared" si="0"/>
        <v>-898</v>
      </c>
      <c r="G29" s="16">
        <f t="shared" si="3"/>
        <v>-3.2334725622929571E-2</v>
      </c>
      <c r="H29" s="17">
        <v>25862</v>
      </c>
      <c r="I29" s="17">
        <f t="shared" si="4"/>
        <v>1012</v>
      </c>
      <c r="J29" s="16">
        <f t="shared" si="5"/>
        <v>3.9130771015389372E-2</v>
      </c>
      <c r="K29" s="61"/>
      <c r="L29" s="61"/>
    </row>
    <row r="30" spans="1:12" ht="15.75">
      <c r="A30" s="29" t="str">
        <v>K269</v>
      </c>
      <c r="B30" s="26" t="str">
        <v>NY</v>
      </c>
      <c r="C30" s="26" t="str">
        <f>Sites[[#This Row],[SOL'#]]</f>
        <v>SOL-10366</v>
      </c>
      <c r="D30" s="21">
        <v>24837</v>
      </c>
      <c r="E30" s="11">
        <v>28840</v>
      </c>
      <c r="F30" s="11">
        <f t="shared" si="0"/>
        <v>-4003</v>
      </c>
      <c r="G30" s="12">
        <f t="shared" si="3"/>
        <v>-0.13880027739251041</v>
      </c>
      <c r="H30" s="13">
        <v>26201</v>
      </c>
      <c r="I30" s="13">
        <f t="shared" si="4"/>
        <v>-1364</v>
      </c>
      <c r="J30" s="14">
        <f t="shared" si="5"/>
        <v>-5.2059081714438384E-2</v>
      </c>
      <c r="K30" s="66"/>
      <c r="L30" s="66"/>
    </row>
    <row r="31" spans="1:12" ht="15.75">
      <c r="A31" s="27" t="str">
        <v>K273</v>
      </c>
      <c r="B31" s="28" t="str">
        <v>NY</v>
      </c>
      <c r="C31" s="28" t="str">
        <f>Sites[[#This Row],[SOL'#]]</f>
        <v>SOL-10367</v>
      </c>
      <c r="D31" s="10">
        <v>28021</v>
      </c>
      <c r="E31" s="15"/>
      <c r="F31" s="15" t="str">
        <f t="shared" si="0"/>
        <v/>
      </c>
      <c r="G31" s="16" t="str">
        <f t="shared" si="3"/>
        <v/>
      </c>
      <c r="H31" s="17">
        <v>30662</v>
      </c>
      <c r="I31" s="17">
        <f t="shared" si="4"/>
        <v>-2641</v>
      </c>
      <c r="J31" s="16">
        <f t="shared" si="5"/>
        <v>-8.6132672363185697E-2</v>
      </c>
      <c r="K31" s="61" t="s">
        <v>696</v>
      </c>
      <c r="L31" s="61" t="s">
        <v>552</v>
      </c>
    </row>
    <row r="32" spans="1:12" ht="15.75">
      <c r="A32" s="29" t="str">
        <v>K287</v>
      </c>
      <c r="B32" s="26" t="str">
        <v>NY</v>
      </c>
      <c r="C32" s="26" t="str">
        <f>Sites[[#This Row],[SOL'#]]</f>
        <v>SOL-10919</v>
      </c>
      <c r="D32" s="21">
        <v>22421</v>
      </c>
      <c r="E32" s="11">
        <v>18897</v>
      </c>
      <c r="F32" s="11">
        <f t="shared" si="0"/>
        <v>3524</v>
      </c>
      <c r="G32" s="12">
        <f t="shared" si="3"/>
        <v>0.18648462718950098</v>
      </c>
      <c r="H32" s="13">
        <v>22153</v>
      </c>
      <c r="I32" s="13">
        <f t="shared" si="4"/>
        <v>268</v>
      </c>
      <c r="J32" s="14">
        <f t="shared" si="5"/>
        <v>1.2097684286552611E-2</v>
      </c>
      <c r="K32" s="66"/>
      <c r="L32" s="66"/>
    </row>
    <row r="33" spans="1:12" ht="15.75">
      <c r="A33" s="27" t="str">
        <v>K298</v>
      </c>
      <c r="B33" s="28" t="str">
        <v>NY</v>
      </c>
      <c r="C33" s="28" t="str">
        <f>Sites[[#This Row],[SOL'#]]</f>
        <v>SOL-10368</v>
      </c>
      <c r="D33" s="10">
        <v>24437</v>
      </c>
      <c r="E33" s="15">
        <v>25018</v>
      </c>
      <c r="F33" s="15">
        <f t="shared" si="0"/>
        <v>-581</v>
      </c>
      <c r="G33" s="16">
        <f t="shared" si="3"/>
        <v>-2.3223279238947958E-2</v>
      </c>
      <c r="H33" s="17">
        <v>26042</v>
      </c>
      <c r="I33" s="17">
        <f t="shared" si="4"/>
        <v>-1605</v>
      </c>
      <c r="J33" s="16">
        <f t="shared" si="5"/>
        <v>-6.1631211120497659E-2</v>
      </c>
      <c r="K33" s="61"/>
      <c r="L33" s="61"/>
    </row>
    <row r="34" spans="1:12" ht="15.75">
      <c r="A34" s="29" t="str">
        <v>K335</v>
      </c>
      <c r="B34" s="26" t="str">
        <v>NY</v>
      </c>
      <c r="C34" s="26"/>
      <c r="D34" s="21">
        <v>24961</v>
      </c>
      <c r="E34" s="11">
        <v>27720</v>
      </c>
      <c r="F34" s="11"/>
      <c r="G34" s="11">
        <f t="shared" si="3"/>
        <v>0</v>
      </c>
      <c r="H34" s="13">
        <v>253</v>
      </c>
      <c r="I34" s="13"/>
      <c r="J34" s="14"/>
      <c r="K34" s="66"/>
      <c r="L34" s="66"/>
    </row>
    <row r="35" spans="1:12" ht="15.75">
      <c r="A35" s="27" t="str">
        <v>K345</v>
      </c>
      <c r="B35" s="28" t="str">
        <v>NY</v>
      </c>
      <c r="C35" s="28" t="str">
        <f>Sites[[#This Row],[SOL'#]]</f>
        <v>SOL-10920</v>
      </c>
      <c r="D35" s="10">
        <v>28262</v>
      </c>
      <c r="E35" s="15">
        <v>16618</v>
      </c>
      <c r="F35" s="15">
        <f t="shared" si="0"/>
        <v>11644</v>
      </c>
      <c r="G35" s="16">
        <f t="shared" si="3"/>
        <v>0.70068600312913709</v>
      </c>
      <c r="H35" s="17">
        <v>29496</v>
      </c>
      <c r="I35" s="17">
        <f t="shared" si="4"/>
        <v>-1234</v>
      </c>
      <c r="J35" s="16">
        <f t="shared" si="5"/>
        <v>-4.1836181177108758E-2</v>
      </c>
      <c r="K35" s="61" t="s">
        <v>697</v>
      </c>
      <c r="L35" s="61" t="s">
        <v>698</v>
      </c>
    </row>
    <row r="36" spans="1:12" ht="15.75">
      <c r="A36" s="29" t="str">
        <v>K445</v>
      </c>
      <c r="B36" s="26" t="str">
        <v>NY</v>
      </c>
      <c r="C36" s="26" t="str">
        <f>Sites[[#This Row],[SOL'#]]</f>
        <v>SOL-10373</v>
      </c>
      <c r="D36" s="21">
        <v>24496</v>
      </c>
      <c r="E36" s="11">
        <v>26171</v>
      </c>
      <c r="F36" s="11">
        <f t="shared" si="0"/>
        <v>-1675</v>
      </c>
      <c r="G36" s="12">
        <f t="shared" si="3"/>
        <v>-6.4002139773031222E-2</v>
      </c>
      <c r="H36" s="13">
        <v>24375</v>
      </c>
      <c r="I36" s="13">
        <f t="shared" si="4"/>
        <v>121</v>
      </c>
      <c r="J36" s="14">
        <f t="shared" si="5"/>
        <v>4.9641025641025639E-3</v>
      </c>
      <c r="K36" s="66"/>
      <c r="L36" s="66"/>
    </row>
    <row r="37" spans="1:12" ht="57">
      <c r="A37" s="27" t="str">
        <v>K495</v>
      </c>
      <c r="B37" s="28" t="str">
        <v>NY</v>
      </c>
      <c r="C37" s="28" t="str">
        <f>Sites[[#This Row],[SOL'#]]</f>
        <v>SOL-10374</v>
      </c>
      <c r="D37" s="10">
        <v>91756</v>
      </c>
      <c r="E37" s="15">
        <v>0</v>
      </c>
      <c r="F37" s="15">
        <f t="shared" si="0"/>
        <v>91756</v>
      </c>
      <c r="G37" s="16" t="str">
        <f t="shared" si="3"/>
        <v/>
      </c>
      <c r="H37" s="17">
        <v>103391</v>
      </c>
      <c r="I37" s="17">
        <f t="shared" si="4"/>
        <v>-11635</v>
      </c>
      <c r="J37" s="16">
        <f t="shared" si="5"/>
        <v>-0.11253397297637126</v>
      </c>
      <c r="K37" s="61" t="s">
        <v>699</v>
      </c>
      <c r="L37" s="61" t="s">
        <v>700</v>
      </c>
    </row>
    <row r="38" spans="1:12" ht="28.5">
      <c r="A38" s="29" t="str">
        <v>M020</v>
      </c>
      <c r="B38" s="26" t="str">
        <v>NY</v>
      </c>
      <c r="C38" s="26" t="str">
        <f>Sites[[#This Row],[SOL'#]]</f>
        <v>SOL-10380</v>
      </c>
      <c r="D38" s="21">
        <v>25586</v>
      </c>
      <c r="E38" s="11">
        <v>27059</v>
      </c>
      <c r="F38" s="11">
        <f t="shared" si="0"/>
        <v>-1473</v>
      </c>
      <c r="G38" s="12">
        <f t="shared" si="3"/>
        <v>-5.4436601500424994E-2</v>
      </c>
      <c r="H38" s="13">
        <v>27712</v>
      </c>
      <c r="I38" s="13">
        <f t="shared" si="4"/>
        <v>-2126</v>
      </c>
      <c r="J38" s="14">
        <f t="shared" si="5"/>
        <v>-7.6717667436489612E-2</v>
      </c>
      <c r="K38" s="66" t="s">
        <v>701</v>
      </c>
      <c r="L38" s="66" t="s">
        <v>702</v>
      </c>
    </row>
    <row r="39" spans="1:12" ht="15.75">
      <c r="A39" s="27" t="str">
        <v>M092</v>
      </c>
      <c r="B39" s="28" t="str">
        <v>NY</v>
      </c>
      <c r="C39" s="28" t="str">
        <f>Sites[[#This Row],[SOL'#]]</f>
        <v>SOL-10383</v>
      </c>
      <c r="D39" s="10">
        <v>25976</v>
      </c>
      <c r="E39" s="15">
        <v>27333</v>
      </c>
      <c r="F39" s="15">
        <f t="shared" si="0"/>
        <v>-1357</v>
      </c>
      <c r="G39" s="16">
        <f t="shared" si="3"/>
        <v>-4.9646946913986759E-2</v>
      </c>
      <c r="H39" s="17">
        <v>27415</v>
      </c>
      <c r="I39" s="17">
        <f t="shared" si="4"/>
        <v>-1439</v>
      </c>
      <c r="J39" s="16">
        <f t="shared" si="5"/>
        <v>-5.2489513040306399E-2</v>
      </c>
      <c r="K39" s="61"/>
      <c r="L39" s="61"/>
    </row>
    <row r="40" spans="1:12" ht="15.75">
      <c r="A40" s="29" t="str">
        <v>M143</v>
      </c>
      <c r="B40" s="26" t="str">
        <v>NY</v>
      </c>
      <c r="C40" s="26" t="str">
        <f>Sites[[#This Row],[SOL'#]]</f>
        <v>SOL-10384</v>
      </c>
      <c r="D40" s="21">
        <v>29796</v>
      </c>
      <c r="E40" s="11">
        <v>34725</v>
      </c>
      <c r="F40" s="11">
        <f t="shared" si="0"/>
        <v>-4929</v>
      </c>
      <c r="G40" s="12">
        <f t="shared" si="3"/>
        <v>-0.1419438444924406</v>
      </c>
      <c r="H40" s="13">
        <v>29414</v>
      </c>
      <c r="I40" s="13">
        <f t="shared" si="4"/>
        <v>382</v>
      </c>
      <c r="J40" s="14">
        <f t="shared" si="5"/>
        <v>1.2987012987012988E-2</v>
      </c>
      <c r="K40" s="66"/>
      <c r="L40" s="66"/>
    </row>
    <row r="41" spans="1:12" ht="15.75">
      <c r="A41" s="27" t="str">
        <v>M144</v>
      </c>
      <c r="B41" s="28" t="str">
        <v>NY</v>
      </c>
      <c r="C41" s="28" t="str">
        <f>Sites[[#This Row],[SOL'#]]</f>
        <v>SOL-10385</v>
      </c>
      <c r="D41" s="10">
        <v>33225</v>
      </c>
      <c r="E41" s="15">
        <v>0</v>
      </c>
      <c r="F41" s="15">
        <f t="shared" si="0"/>
        <v>33225</v>
      </c>
      <c r="G41" s="16" t="str">
        <f t="shared" si="3"/>
        <v/>
      </c>
      <c r="H41" s="17">
        <v>42642</v>
      </c>
      <c r="I41" s="17">
        <f t="shared" si="4"/>
        <v>-9417</v>
      </c>
      <c r="J41" s="16">
        <f t="shared" si="5"/>
        <v>-0.22083860982130293</v>
      </c>
      <c r="K41" s="61" t="s">
        <v>703</v>
      </c>
      <c r="L41" s="61" t="s">
        <v>704</v>
      </c>
    </row>
    <row r="42" spans="1:12" ht="15.75">
      <c r="A42" s="29" t="str">
        <v>M167</v>
      </c>
      <c r="B42" s="26" t="str">
        <v>NY</v>
      </c>
      <c r="C42" s="26" t="str">
        <f>Sites[[#This Row],[SOL'#]]</f>
        <v>SOL-10386</v>
      </c>
      <c r="D42" s="21">
        <v>34407</v>
      </c>
      <c r="E42" s="11">
        <v>24515</v>
      </c>
      <c r="F42" s="11">
        <f t="shared" si="0"/>
        <v>9892</v>
      </c>
      <c r="G42" s="12">
        <f t="shared" si="3"/>
        <v>0.4035080562920661</v>
      </c>
      <c r="H42" s="13">
        <v>36330</v>
      </c>
      <c r="I42" s="13">
        <f t="shared" si="4"/>
        <v>-1923</v>
      </c>
      <c r="J42" s="14">
        <f t="shared" si="5"/>
        <v>-5.2931461601981832E-2</v>
      </c>
      <c r="K42" s="66"/>
      <c r="L42" s="66"/>
    </row>
    <row r="43" spans="1:12" ht="15.75">
      <c r="A43" s="27" t="str">
        <v>M188</v>
      </c>
      <c r="B43" s="28" t="str">
        <v>NY</v>
      </c>
      <c r="C43" s="28" t="str">
        <f>Sites[[#This Row],[SOL'#]]</f>
        <v>SOL-10387</v>
      </c>
      <c r="D43" s="10">
        <v>22942</v>
      </c>
      <c r="E43" s="15">
        <v>0</v>
      </c>
      <c r="F43" s="15">
        <f t="shared" si="0"/>
        <v>22942</v>
      </c>
      <c r="G43" s="16" t="str">
        <f t="shared" si="3"/>
        <v/>
      </c>
      <c r="H43" s="17">
        <v>23216</v>
      </c>
      <c r="I43" s="17">
        <f t="shared" si="4"/>
        <v>-274</v>
      </c>
      <c r="J43" s="16">
        <f t="shared" si="5"/>
        <v>-1.1802205375603033E-2</v>
      </c>
      <c r="K43" s="61"/>
      <c r="L43" s="61"/>
    </row>
    <row r="44" spans="1:12" ht="15.75">
      <c r="A44" s="29" t="str">
        <v>EMHC</v>
      </c>
      <c r="B44" s="26" t="str">
        <v>NY</v>
      </c>
      <c r="C44" s="26" t="str">
        <f>Sites[[#This Row],[SOL'#]]</f>
        <v>SOL-10351</v>
      </c>
      <c r="D44" s="21">
        <v>10862</v>
      </c>
      <c r="E44" s="11">
        <v>7701</v>
      </c>
      <c r="F44" s="11">
        <f t="shared" si="0"/>
        <v>3161</v>
      </c>
      <c r="G44" s="12">
        <f t="shared" si="3"/>
        <v>0.4104661732242566</v>
      </c>
      <c r="H44" s="13">
        <v>12055</v>
      </c>
      <c r="I44" s="13">
        <f t="shared" si="4"/>
        <v>-1193</v>
      </c>
      <c r="J44" s="14">
        <f t="shared" si="5"/>
        <v>-9.8963085856491079E-2</v>
      </c>
      <c r="K44" s="66"/>
      <c r="L44" s="66"/>
    </row>
    <row r="45" spans="1:12" ht="15.75">
      <c r="A45" s="27" t="str">
        <v>Q008</v>
      </c>
      <c r="B45" s="28" t="str">
        <v>NY</v>
      </c>
      <c r="C45" s="28" t="str">
        <f>Sites[[#This Row],[SOL'#]]</f>
        <v>SOL-10397</v>
      </c>
      <c r="D45" s="10">
        <v>31942</v>
      </c>
      <c r="E45" s="15">
        <v>35263</v>
      </c>
      <c r="F45" s="15">
        <f t="shared" si="0"/>
        <v>-3321</v>
      </c>
      <c r="G45" s="16">
        <f t="shared" si="3"/>
        <v>-9.4178033632986421E-2</v>
      </c>
      <c r="H45" s="17">
        <v>36312</v>
      </c>
      <c r="I45" s="17">
        <f t="shared" si="4"/>
        <v>-4370</v>
      </c>
      <c r="J45" s="16">
        <f t="shared" si="5"/>
        <v>-0.12034589116545495</v>
      </c>
      <c r="K45" s="61"/>
      <c r="L45" s="61"/>
    </row>
    <row r="46" spans="1:12" ht="15.75">
      <c r="A46" s="29" t="str">
        <v>Q018</v>
      </c>
      <c r="B46" s="26" t="str">
        <v>NY</v>
      </c>
      <c r="C46" s="26" t="str">
        <f>Sites[[#This Row],[SOL'#]]</f>
        <v>SOL-10398</v>
      </c>
      <c r="D46" s="21">
        <v>23012</v>
      </c>
      <c r="E46" s="11">
        <v>24724</v>
      </c>
      <c r="F46" s="11">
        <f t="shared" si="0"/>
        <v>-1712</v>
      </c>
      <c r="G46" s="12">
        <f t="shared" si="3"/>
        <v>-6.9244458825432773E-2</v>
      </c>
      <c r="H46" s="13">
        <v>20263</v>
      </c>
      <c r="I46" s="13">
        <f t="shared" si="4"/>
        <v>2749</v>
      </c>
      <c r="J46" s="14">
        <f t="shared" si="5"/>
        <v>0.13566599220253664</v>
      </c>
      <c r="K46" s="66"/>
      <c r="L46" s="66"/>
    </row>
    <row r="47" spans="1:12" ht="15.75">
      <c r="A47" s="27" t="str">
        <v>Q021</v>
      </c>
      <c r="B47" s="28" t="str">
        <v>NY</v>
      </c>
      <c r="C47" s="28" t="str">
        <f>Sites[[#This Row],[SOL'#]]</f>
        <v>SOL-10399</v>
      </c>
      <c r="D47" s="10">
        <v>18691</v>
      </c>
      <c r="E47" s="15">
        <v>18285</v>
      </c>
      <c r="F47" s="15">
        <f t="shared" si="0"/>
        <v>406</v>
      </c>
      <c r="G47" s="16">
        <f t="shared" si="3"/>
        <v>2.2203992343450916E-2</v>
      </c>
      <c r="H47" s="17">
        <v>17001</v>
      </c>
      <c r="I47" s="17">
        <f t="shared" si="4"/>
        <v>1690</v>
      </c>
      <c r="J47" s="16">
        <f t="shared" si="5"/>
        <v>9.9405917298982419E-2</v>
      </c>
      <c r="K47" s="61"/>
      <c r="L47" s="61"/>
    </row>
    <row r="48" spans="1:12" ht="15.75">
      <c r="A48" s="29" t="str">
        <v>Q025</v>
      </c>
      <c r="B48" s="26" t="str">
        <v>NY</v>
      </c>
      <c r="C48" s="26" t="str">
        <f>Sites[[#This Row],[SOL'#]]</f>
        <v>SOL-10400</v>
      </c>
      <c r="D48" s="21">
        <v>32436</v>
      </c>
      <c r="E48" s="11">
        <v>31811</v>
      </c>
      <c r="F48" s="11">
        <f t="shared" si="0"/>
        <v>625</v>
      </c>
      <c r="G48" s="12">
        <f t="shared" si="3"/>
        <v>1.9647291817295905E-2</v>
      </c>
      <c r="H48" s="13">
        <v>29652</v>
      </c>
      <c r="I48" s="13">
        <f t="shared" si="4"/>
        <v>2784</v>
      </c>
      <c r="J48" s="14">
        <f t="shared" si="5"/>
        <v>9.3889113719142048E-2</v>
      </c>
      <c r="K48" s="66"/>
      <c r="L48" s="66"/>
    </row>
    <row r="49" spans="1:12" ht="15.75">
      <c r="A49" s="27" t="str">
        <v>Q074</v>
      </c>
      <c r="B49" s="28" t="str">
        <v>NY</v>
      </c>
      <c r="C49" s="28" t="str">
        <f>Sites[[#This Row],[SOL'#]]</f>
        <v>SOL-10402</v>
      </c>
      <c r="D49" s="10">
        <v>21215</v>
      </c>
      <c r="E49" s="15">
        <v>21427</v>
      </c>
      <c r="F49" s="15">
        <f t="shared" si="0"/>
        <v>-212</v>
      </c>
      <c r="G49" s="16">
        <f t="shared" si="3"/>
        <v>-9.8940588976524947E-3</v>
      </c>
      <c r="H49" s="17">
        <v>19334</v>
      </c>
      <c r="I49" s="17">
        <f t="shared" si="4"/>
        <v>1881</v>
      </c>
      <c r="J49" s="16">
        <f t="shared" si="5"/>
        <v>9.7289748629357603E-2</v>
      </c>
      <c r="K49" s="61"/>
      <c r="L49" s="61"/>
    </row>
    <row r="50" spans="1:12" ht="15.75">
      <c r="A50" s="29" t="str">
        <v>Q115</v>
      </c>
      <c r="B50" s="26" t="str">
        <v>NY</v>
      </c>
      <c r="C50" s="26" t="str">
        <f>Sites[[#This Row],[SOL'#]]</f>
        <v>SOL-10872</v>
      </c>
      <c r="D50" s="21">
        <v>26782</v>
      </c>
      <c r="E50" s="11">
        <v>28200</v>
      </c>
      <c r="F50" s="11">
        <f t="shared" si="0"/>
        <v>-1418</v>
      </c>
      <c r="G50" s="12">
        <f t="shared" si="3"/>
        <v>-5.0283687943262413E-2</v>
      </c>
      <c r="H50" s="13">
        <v>25400</v>
      </c>
      <c r="I50" s="13">
        <f t="shared" si="4"/>
        <v>1382</v>
      </c>
      <c r="J50" s="14">
        <f t="shared" si="5"/>
        <v>5.4409448818897636E-2</v>
      </c>
      <c r="K50" s="66"/>
      <c r="L50" s="66"/>
    </row>
    <row r="51" spans="1:12" ht="15.75">
      <c r="A51" s="27" t="str">
        <v>Q139</v>
      </c>
      <c r="B51" s="28" t="str">
        <v>NY</v>
      </c>
      <c r="C51" s="28" t="str">
        <f>Sites[[#This Row],[SOL'#]]</f>
        <v>SOL-10403</v>
      </c>
      <c r="D51" s="10">
        <v>16321</v>
      </c>
      <c r="E51" s="15">
        <v>17677</v>
      </c>
      <c r="F51" s="15">
        <f t="shared" si="0"/>
        <v>-1356</v>
      </c>
      <c r="G51" s="16">
        <f t="shared" si="3"/>
        <v>-7.6709848956270865E-2</v>
      </c>
      <c r="H51" s="17">
        <v>15860</v>
      </c>
      <c r="I51" s="17">
        <f t="shared" si="4"/>
        <v>461</v>
      </c>
      <c r="J51" s="16">
        <f t="shared" si="5"/>
        <v>2.9066834804539723E-2</v>
      </c>
      <c r="K51" s="61"/>
      <c r="L51" s="61"/>
    </row>
    <row r="52" spans="1:12" ht="15.75">
      <c r="A52" s="29" t="str">
        <v>Q157</v>
      </c>
      <c r="B52" s="26" t="str">
        <v>NY</v>
      </c>
      <c r="C52" s="26" t="str">
        <f>Sites[[#This Row],[SOL'#]]</f>
        <v>SOL-10404</v>
      </c>
      <c r="D52" s="21">
        <v>28381</v>
      </c>
      <c r="E52" s="11">
        <v>31116</v>
      </c>
      <c r="F52" s="11">
        <f t="shared" si="0"/>
        <v>-2735</v>
      </c>
      <c r="G52" s="12">
        <f t="shared" si="3"/>
        <v>-8.7896901915413286E-2</v>
      </c>
      <c r="H52" s="13">
        <v>28931</v>
      </c>
      <c r="I52" s="13">
        <f t="shared" si="4"/>
        <v>-550</v>
      </c>
      <c r="J52" s="14">
        <f t="shared" si="5"/>
        <v>-1.9010749714838755E-2</v>
      </c>
      <c r="K52" s="66"/>
      <c r="L52" s="66"/>
    </row>
    <row r="53" spans="1:12" ht="15.75">
      <c r="A53" s="27" t="str">
        <v>Q192</v>
      </c>
      <c r="B53" s="28" t="str">
        <v>NY</v>
      </c>
      <c r="C53" s="28" t="str">
        <f>Sites[[#This Row],[SOL'#]]</f>
        <v>SOL-10406</v>
      </c>
      <c r="D53" s="10">
        <v>43903</v>
      </c>
      <c r="E53" s="15">
        <v>47655</v>
      </c>
      <c r="F53" s="15">
        <f t="shared" si="0"/>
        <v>-3752</v>
      </c>
      <c r="G53" s="16">
        <f t="shared" si="3"/>
        <v>-7.8732556919525756E-2</v>
      </c>
      <c r="H53" s="17">
        <v>41489</v>
      </c>
      <c r="I53" s="17">
        <f t="shared" si="4"/>
        <v>2414</v>
      </c>
      <c r="J53" s="16">
        <f t="shared" si="5"/>
        <v>5.8184096989563498E-2</v>
      </c>
      <c r="K53" s="61"/>
      <c r="L53" s="61"/>
    </row>
    <row r="54" spans="1:12" ht="15.75">
      <c r="A54" s="29" t="str">
        <v>Q210</v>
      </c>
      <c r="B54" s="26" t="str">
        <v>NY</v>
      </c>
      <c r="C54" s="26" t="str">
        <f>Sites[[#This Row],[SOL'#]]</f>
        <v>SOL-10407</v>
      </c>
      <c r="D54" s="21">
        <v>35838</v>
      </c>
      <c r="E54" s="11">
        <v>36130</v>
      </c>
      <c r="F54" s="11">
        <f t="shared" si="0"/>
        <v>-292</v>
      </c>
      <c r="G54" s="12">
        <f t="shared" si="3"/>
        <v>-8.0819263769720453E-3</v>
      </c>
      <c r="H54" s="13">
        <v>33897</v>
      </c>
      <c r="I54" s="13">
        <f t="shared" si="4"/>
        <v>1941</v>
      </c>
      <c r="J54" s="14">
        <f t="shared" si="5"/>
        <v>5.7261704575626161E-2</v>
      </c>
      <c r="K54" s="66"/>
      <c r="L54" s="66"/>
    </row>
    <row r="55" spans="1:12" ht="28.5">
      <c r="A55" s="27" t="str">
        <v>Q229</v>
      </c>
      <c r="B55" s="28" t="str">
        <v>NY</v>
      </c>
      <c r="C55" s="28" t="str">
        <f>Sites[[#This Row],[SOL'#]]</f>
        <v>SOL-10408</v>
      </c>
      <c r="D55" s="10">
        <v>14989</v>
      </c>
      <c r="E55" s="15">
        <v>17688</v>
      </c>
      <c r="F55" s="15">
        <f t="shared" si="0"/>
        <v>-2699</v>
      </c>
      <c r="G55" s="16">
        <f t="shared" si="3"/>
        <v>-0.1525893260967888</v>
      </c>
      <c r="H55" s="17">
        <v>14940</v>
      </c>
      <c r="I55" s="17">
        <f t="shared" si="4"/>
        <v>49</v>
      </c>
      <c r="J55" s="16">
        <f t="shared" si="5"/>
        <v>3.2797858099062917E-3</v>
      </c>
      <c r="K55" s="61" t="s">
        <v>705</v>
      </c>
      <c r="L55" s="61" t="s">
        <v>706</v>
      </c>
    </row>
    <row r="56" spans="1:12" ht="15.75">
      <c r="A56" s="29" t="str">
        <v>Q231</v>
      </c>
      <c r="B56" s="26" t="str">
        <v>NY</v>
      </c>
      <c r="C56" s="26" t="str">
        <f>Sites[[#This Row],[SOL'#]]</f>
        <v>SOL-10870</v>
      </c>
      <c r="D56" s="21">
        <v>57475</v>
      </c>
      <c r="E56" s="11">
        <v>60051</v>
      </c>
      <c r="F56" s="11">
        <f t="shared" si="0"/>
        <v>-2576</v>
      </c>
      <c r="G56" s="12">
        <f t="shared" si="3"/>
        <v>-4.2896870992989292E-2</v>
      </c>
      <c r="H56" s="13">
        <v>61540</v>
      </c>
      <c r="I56" s="13">
        <f t="shared" si="4"/>
        <v>-4065</v>
      </c>
      <c r="J56" s="14">
        <f t="shared" si="5"/>
        <v>-6.6054598635034129E-2</v>
      </c>
      <c r="K56" s="66" t="s">
        <v>707</v>
      </c>
      <c r="L56" s="66" t="s">
        <v>708</v>
      </c>
    </row>
    <row r="57" spans="1:12" ht="57">
      <c r="A57" s="27" t="str">
        <v>Q405</v>
      </c>
      <c r="B57" s="28" t="str">
        <v>NY</v>
      </c>
      <c r="C57" s="28" t="str">
        <f>Sites[[#This Row],[SOL'#]]</f>
        <v>SOL-10409</v>
      </c>
      <c r="D57" s="10">
        <v>62094</v>
      </c>
      <c r="E57" s="15">
        <v>68518</v>
      </c>
      <c r="F57" s="15">
        <f t="shared" si="0"/>
        <v>-6424</v>
      </c>
      <c r="G57" s="16">
        <f t="shared" si="3"/>
        <v>-9.3756385183455443E-2</v>
      </c>
      <c r="H57" s="17">
        <v>62456</v>
      </c>
      <c r="I57" s="17">
        <f t="shared" si="4"/>
        <v>-362</v>
      </c>
      <c r="J57" s="16">
        <f t="shared" si="5"/>
        <v>-5.7960804406302037E-3</v>
      </c>
      <c r="K57" s="61" t="s">
        <v>709</v>
      </c>
      <c r="L57" s="61" t="s">
        <v>710</v>
      </c>
    </row>
    <row r="58" spans="1:12" ht="42.75">
      <c r="A58" s="29" t="str">
        <v>Q435</v>
      </c>
      <c r="B58" s="26" t="str">
        <v>NY</v>
      </c>
      <c r="C58" s="26" t="str">
        <f>Sites[[#This Row],[SOL'#]]</f>
        <v>SOL-10923</v>
      </c>
      <c r="D58" s="21">
        <v>80286</v>
      </c>
      <c r="E58" s="11">
        <v>63823</v>
      </c>
      <c r="F58" s="11">
        <f t="shared" si="0"/>
        <v>16463</v>
      </c>
      <c r="G58" s="12">
        <f t="shared" si="3"/>
        <v>0.25794776177866913</v>
      </c>
      <c r="H58" s="13">
        <v>84298</v>
      </c>
      <c r="I58" s="13">
        <f t="shared" si="4"/>
        <v>-4012</v>
      </c>
      <c r="J58" s="14">
        <f t="shared" si="5"/>
        <v>-4.7593062706114027E-2</v>
      </c>
      <c r="K58" s="66" t="s">
        <v>711</v>
      </c>
      <c r="L58" s="66" t="s">
        <v>712</v>
      </c>
    </row>
    <row r="59" spans="1:12" ht="42.75">
      <c r="A59" s="27" t="str">
        <v>Q485</v>
      </c>
      <c r="B59" s="28" t="str">
        <v>NY</v>
      </c>
      <c r="C59" s="28" t="str">
        <f>Sites[[#This Row],[SOL'#]]</f>
        <v>SOL-10869</v>
      </c>
      <c r="D59" s="10">
        <v>78567</v>
      </c>
      <c r="E59" s="15">
        <v>62491</v>
      </c>
      <c r="F59" s="15">
        <f t="shared" si="0"/>
        <v>16076</v>
      </c>
      <c r="G59" s="16">
        <f t="shared" si="3"/>
        <v>0.25725304443839914</v>
      </c>
      <c r="H59" s="17">
        <v>81414</v>
      </c>
      <c r="I59" s="17">
        <f t="shared" si="4"/>
        <v>-2847</v>
      </c>
      <c r="J59" s="16">
        <f t="shared" si="5"/>
        <v>-3.4969415579630042E-2</v>
      </c>
      <c r="K59" s="61" t="s">
        <v>713</v>
      </c>
      <c r="L59" s="61" t="s">
        <v>714</v>
      </c>
    </row>
    <row r="60" spans="1:12" ht="15.75">
      <c r="A60" s="29" t="str">
        <v>Q490</v>
      </c>
      <c r="B60" s="26" t="str">
        <v>NY</v>
      </c>
      <c r="C60" s="26" t="str">
        <f>Sites[[#This Row],[SOL'#]]</f>
        <v>SOL-10411</v>
      </c>
      <c r="D60" s="21">
        <v>49857</v>
      </c>
      <c r="E60" s="11"/>
      <c r="F60" s="11" t="str">
        <f t="shared" si="0"/>
        <v/>
      </c>
      <c r="G60" s="12" t="str">
        <f t="shared" si="3"/>
        <v/>
      </c>
      <c r="H60" s="13">
        <v>54231</v>
      </c>
      <c r="I60" s="13">
        <f t="shared" si="4"/>
        <v>-4374</v>
      </c>
      <c r="J60" s="14">
        <f t="shared" si="5"/>
        <v>-8.0654975936272605E-2</v>
      </c>
      <c r="K60" s="66" t="s">
        <v>715</v>
      </c>
      <c r="L60" s="66" t="s">
        <v>571</v>
      </c>
    </row>
    <row r="61" spans="1:12" ht="15.75">
      <c r="A61" s="27" t="str">
        <v>Q620</v>
      </c>
      <c r="B61" s="28" t="str">
        <v>NY</v>
      </c>
      <c r="C61" s="28" t="str">
        <f>Sites[[#This Row],[SOL'#]]</f>
        <v>SOL-10867</v>
      </c>
      <c r="D61" s="10">
        <v>85686</v>
      </c>
      <c r="E61" s="15">
        <v>87480</v>
      </c>
      <c r="F61" s="15">
        <f t="shared" si="0"/>
        <v>-1794</v>
      </c>
      <c r="G61" s="16">
        <f t="shared" si="3"/>
        <v>-2.0507544581618655E-2</v>
      </c>
      <c r="H61" s="17">
        <v>85629</v>
      </c>
      <c r="I61" s="17">
        <f t="shared" si="4"/>
        <v>57</v>
      </c>
      <c r="J61" s="16">
        <f t="shared" si="5"/>
        <v>6.6566233402235223E-4</v>
      </c>
      <c r="K61" s="61"/>
      <c r="L61" s="61"/>
    </row>
    <row r="62" spans="1:12" ht="15.75">
      <c r="A62" s="29" t="str">
        <v>QMOA</v>
      </c>
      <c r="B62" s="26" t="str">
        <v>NY</v>
      </c>
      <c r="C62" s="26" t="str">
        <f>Sites[[#This Row],[SOL'#]]</f>
        <v>SOL-10415</v>
      </c>
      <c r="D62" s="21">
        <v>7368</v>
      </c>
      <c r="E62" s="11">
        <v>0</v>
      </c>
      <c r="F62" s="11">
        <f t="shared" si="0"/>
        <v>7368</v>
      </c>
      <c r="G62" s="12" t="str">
        <f t="shared" si="3"/>
        <v/>
      </c>
      <c r="H62" s="13">
        <v>7495</v>
      </c>
      <c r="I62" s="13">
        <f>IF(AND(ISNUMBER(D62),ISNUMBER(H62)), D62-H62, "")</f>
        <v>-127</v>
      </c>
      <c r="J62" s="14">
        <f t="shared" si="5"/>
        <v>-1.694462975316878E-2</v>
      </c>
      <c r="K62" s="66"/>
      <c r="L62" s="66"/>
    </row>
    <row r="63" spans="1:12" ht="15.75">
      <c r="A63" s="27" t="str">
        <v>X024</v>
      </c>
      <c r="B63" s="28" t="str">
        <v>NY</v>
      </c>
      <c r="C63" s="28" t="str">
        <f>Sites[[#This Row],[SOL'#]]</f>
        <v>SOL-10419</v>
      </c>
      <c r="D63" s="10">
        <v>32982</v>
      </c>
      <c r="E63" s="15">
        <v>0</v>
      </c>
      <c r="F63" s="15">
        <f t="shared" si="0"/>
        <v>32982</v>
      </c>
      <c r="G63" s="16" t="str">
        <f t="shared" si="3"/>
        <v/>
      </c>
      <c r="H63" s="17">
        <v>32693</v>
      </c>
      <c r="I63" s="17">
        <f>IF(AND(ISNUMBER(D63),ISNUMBER(H63)), D63-H63, "")</f>
        <v>289</v>
      </c>
      <c r="J63" s="16">
        <f t="shared" si="5"/>
        <v>8.8398128039641512E-3</v>
      </c>
      <c r="K63" s="61"/>
      <c r="L63" s="61"/>
    </row>
    <row r="64" spans="1:12" ht="15.75">
      <c r="A64" s="29" t="str">
        <v>X026</v>
      </c>
      <c r="B64" s="26" t="str">
        <v>NY</v>
      </c>
      <c r="C64" s="26" t="str">
        <f>Sites[[#This Row],[SOL'#]]</f>
        <v>SOL-10420</v>
      </c>
      <c r="D64" s="21">
        <v>29903.9</v>
      </c>
      <c r="E64" s="11">
        <v>26850.28</v>
      </c>
      <c r="F64" s="11">
        <f t="shared" si="0"/>
        <v>3053.6200000000026</v>
      </c>
      <c r="G64" s="12">
        <f t="shared" si="3"/>
        <v>0.113727678072631</v>
      </c>
      <c r="H64" s="13">
        <v>28524</v>
      </c>
      <c r="I64" s="13">
        <f t="shared" si="4"/>
        <v>1379.9000000000015</v>
      </c>
      <c r="J64" s="14">
        <f t="shared" si="5"/>
        <v>4.837680549712528E-2</v>
      </c>
      <c r="K64" s="66"/>
      <c r="L64" s="66"/>
    </row>
    <row r="65" spans="1:12" ht="15.75">
      <c r="A65" s="27" t="str">
        <v>X090</v>
      </c>
      <c r="B65" s="28" t="str">
        <v>NY</v>
      </c>
      <c r="C65" s="28" t="str">
        <f>Sites[[#This Row],[SOL'#]]</f>
        <v>SOL-10925</v>
      </c>
      <c r="D65" s="10">
        <v>24697.79867</v>
      </c>
      <c r="E65" s="15">
        <v>21546.42</v>
      </c>
      <c r="F65" s="15">
        <f t="shared" si="0"/>
        <v>3151.3786700000019</v>
      </c>
      <c r="G65" s="16">
        <f t="shared" si="3"/>
        <v>0.1462599666209051</v>
      </c>
      <c r="H65" s="17">
        <v>24800</v>
      </c>
      <c r="I65" s="17">
        <f t="shared" si="4"/>
        <v>-102.20132999999987</v>
      </c>
      <c r="J65" s="16">
        <f t="shared" si="5"/>
        <v>-4.1210213709677364E-3</v>
      </c>
      <c r="K65" s="61"/>
      <c r="L65" s="61"/>
    </row>
    <row r="66" spans="1:12" ht="15.75">
      <c r="A66" s="29" t="str">
        <v>X117</v>
      </c>
      <c r="B66" s="26" t="str">
        <v>NY</v>
      </c>
      <c r="C66" s="26" t="str">
        <f>Sites[[#This Row],[SOL'#]]</f>
        <v>SOL-10422</v>
      </c>
      <c r="D66" s="21">
        <v>21094.1</v>
      </c>
      <c r="E66" s="11">
        <v>22675</v>
      </c>
      <c r="F66" s="11">
        <f t="shared" si="0"/>
        <v>-1580.9000000000015</v>
      </c>
      <c r="G66" s="12">
        <f t="shared" si="3"/>
        <v>-6.9719955898566763E-2</v>
      </c>
      <c r="H66" s="13">
        <v>20744</v>
      </c>
      <c r="I66" s="13">
        <f t="shared" si="4"/>
        <v>350.09999999999854</v>
      </c>
      <c r="J66" s="14">
        <f t="shared" si="5"/>
        <v>1.6877169301966765E-2</v>
      </c>
      <c r="K66" s="66"/>
      <c r="L66" s="66"/>
    </row>
    <row r="67" spans="1:12" ht="15.75">
      <c r="A67" s="27" t="str">
        <v>X125</v>
      </c>
      <c r="B67" s="28" t="str">
        <v>NY</v>
      </c>
      <c r="C67" s="28" t="str">
        <f>Sites[[#This Row],[SOL'#]]</f>
        <v>SOL-10423</v>
      </c>
      <c r="D67" s="10">
        <v>39341.46875</v>
      </c>
      <c r="E67" s="15">
        <v>39626.519999999997</v>
      </c>
      <c r="F67" s="15">
        <f t="shared" si="0"/>
        <v>-285.0512499999968</v>
      </c>
      <c r="G67" s="16">
        <f t="shared" si="3"/>
        <v>-7.1934464595931414E-3</v>
      </c>
      <c r="H67" s="17">
        <v>37986</v>
      </c>
      <c r="I67" s="17">
        <f t="shared" si="4"/>
        <v>1355.46875</v>
      </c>
      <c r="J67" s="16">
        <f t="shared" si="5"/>
        <v>3.5683376770389089E-2</v>
      </c>
      <c r="K67" s="61"/>
      <c r="L67" s="61"/>
    </row>
    <row r="68" spans="1:12" ht="15.75">
      <c r="A68" s="29" t="str">
        <v>X134</v>
      </c>
      <c r="B68" s="26" t="str">
        <v>NY</v>
      </c>
      <c r="C68" s="26" t="str">
        <f>Sites[[#This Row],[SOL'#]]</f>
        <v>SOL-10424</v>
      </c>
      <c r="D68" s="21">
        <v>37133.90625</v>
      </c>
      <c r="E68" s="11">
        <v>0</v>
      </c>
      <c r="F68" s="11">
        <f t="shared" si="0"/>
        <v>37133.90625</v>
      </c>
      <c r="G68" s="12" t="str">
        <f t="shared" si="3"/>
        <v/>
      </c>
      <c r="H68" s="13">
        <v>37970</v>
      </c>
      <c r="I68" s="13">
        <f t="shared" si="4"/>
        <v>-836.09375</v>
      </c>
      <c r="J68" s="14">
        <f t="shared" si="5"/>
        <v>-2.2019851198314459E-2</v>
      </c>
      <c r="K68" s="66"/>
      <c r="L68" s="66"/>
    </row>
    <row r="69" spans="1:12" ht="15.75">
      <c r="A69" s="27" t="str">
        <v>X135</v>
      </c>
      <c r="B69" s="28" t="str">
        <v>NY</v>
      </c>
      <c r="C69" s="28" t="str">
        <f>Sites[[#This Row],[SOL'#]]</f>
        <v>SOL-10425</v>
      </c>
      <c r="D69" s="10">
        <v>26367.84375</v>
      </c>
      <c r="E69" s="15">
        <v>0</v>
      </c>
      <c r="F69" s="15">
        <f t="shared" si="0"/>
        <v>26367.84375</v>
      </c>
      <c r="G69" s="16" t="str">
        <f t="shared" si="3"/>
        <v/>
      </c>
      <c r="H69" s="17">
        <v>30069</v>
      </c>
      <c r="I69" s="17">
        <f t="shared" si="4"/>
        <v>-3701.15625</v>
      </c>
      <c r="J69" s="16">
        <f t="shared" si="5"/>
        <v>-0.12308877082709768</v>
      </c>
      <c r="K69" s="61"/>
      <c r="L69" s="61"/>
    </row>
    <row r="70" spans="1:12" ht="15.75">
      <c r="A70" s="29" t="str">
        <v>X139 JHS 222</v>
      </c>
      <c r="B70" s="26" t="str">
        <v>NY</v>
      </c>
      <c r="C70" s="26" t="str">
        <f>Sites[[#This Row],[SOL'#]]</f>
        <v>SOL-10426</v>
      </c>
      <c r="D70" s="21">
        <v>48905.60727</v>
      </c>
      <c r="E70" s="11">
        <v>48539</v>
      </c>
      <c r="F70" s="11">
        <f t="shared" ref="F70:F109" si="6">IF(AND(ISNUMBER(D70),ISNUMBER(E70)), D70-E70, "")</f>
        <v>366.60727000000043</v>
      </c>
      <c r="G70" s="12">
        <f t="shared" si="3"/>
        <v>7.5528393662827919E-3</v>
      </c>
      <c r="H70" s="13">
        <v>48383</v>
      </c>
      <c r="I70" s="13">
        <f t="shared" si="4"/>
        <v>522.60727000000043</v>
      </c>
      <c r="J70" s="14">
        <f t="shared" si="5"/>
        <v>1.0801464770683927E-2</v>
      </c>
      <c r="K70" s="66"/>
      <c r="L70" s="66"/>
    </row>
    <row r="71" spans="1:12" ht="15.75">
      <c r="A71" s="27" t="str">
        <v>X140</v>
      </c>
      <c r="B71" s="28" t="str">
        <v>NY</v>
      </c>
      <c r="C71" s="28" t="str">
        <f>Sites[[#This Row],[SOL'#]]</f>
        <v>SOL-10926</v>
      </c>
      <c r="D71" s="10">
        <v>25805.257809999999</v>
      </c>
      <c r="E71" s="15">
        <v>21724.73</v>
      </c>
      <c r="F71" s="15">
        <f t="shared" si="6"/>
        <v>4080.5278099999996</v>
      </c>
      <c r="G71" s="16">
        <f t="shared" ref="G71:G110" si="7">IFERROR(F71/E71, "")</f>
        <v>0.18782870074794944</v>
      </c>
      <c r="H71" s="17">
        <v>25647</v>
      </c>
      <c r="I71" s="17">
        <f t="shared" si="4"/>
        <v>158.25780999999915</v>
      </c>
      <c r="J71" s="16">
        <f t="shared" si="5"/>
        <v>6.1706168362771147E-3</v>
      </c>
      <c r="K71" s="61"/>
      <c r="L71" s="61"/>
    </row>
    <row r="72" spans="1:12" ht="28.5">
      <c r="A72" s="29" t="str">
        <v>X166</v>
      </c>
      <c r="B72" s="26" t="str">
        <v>NY</v>
      </c>
      <c r="C72" s="26" t="str">
        <f>Sites[[#This Row],[SOL'#]]</f>
        <v>SOL-10427</v>
      </c>
      <c r="D72" s="21">
        <v>25663.200000000001</v>
      </c>
      <c r="E72" s="11">
        <v>27157</v>
      </c>
      <c r="F72" s="11">
        <f t="shared" si="6"/>
        <v>-1493.7999999999993</v>
      </c>
      <c r="G72" s="12">
        <f t="shared" si="7"/>
        <v>-5.5006075781566417E-2</v>
      </c>
      <c r="H72" s="13">
        <v>28572</v>
      </c>
      <c r="I72" s="13">
        <f t="shared" si="4"/>
        <v>-2908.7999999999993</v>
      </c>
      <c r="J72" s="14">
        <f t="shared" si="5"/>
        <v>-0.10180596388072236</v>
      </c>
      <c r="K72" s="66" t="s">
        <v>716</v>
      </c>
      <c r="L72" s="66" t="s">
        <v>717</v>
      </c>
    </row>
    <row r="73" spans="1:12" ht="28.5">
      <c r="A73" s="27" t="str">
        <v>Murphy</v>
      </c>
      <c r="B73" s="28" t="str">
        <v>MN</v>
      </c>
      <c r="C73" s="28" t="str">
        <f>Sites[[#This Row],[SOL'#]]</f>
        <v>SOL-10094</v>
      </c>
      <c r="D73" s="10">
        <v>0</v>
      </c>
      <c r="E73" s="15">
        <v>0</v>
      </c>
      <c r="F73" s="15">
        <f t="shared" si="6"/>
        <v>0</v>
      </c>
      <c r="G73" s="16" t="str">
        <f t="shared" si="7"/>
        <v/>
      </c>
      <c r="H73" s="17">
        <v>1122261</v>
      </c>
      <c r="I73" s="17">
        <f t="shared" si="4"/>
        <v>-1122261</v>
      </c>
      <c r="J73" s="16">
        <f t="shared" si="5"/>
        <v>-1</v>
      </c>
      <c r="K73" s="61" t="s">
        <v>718</v>
      </c>
      <c r="L73" s="61" t="s">
        <v>719</v>
      </c>
    </row>
    <row r="74" spans="1:12" ht="15.75">
      <c r="A74" s="29" t="str">
        <v>Terning</v>
      </c>
      <c r="B74" s="26" t="str">
        <v>MN</v>
      </c>
      <c r="C74" s="26" t="str">
        <f>Sites[[#This Row],[SOL'#]]</f>
        <v>SOL-10093</v>
      </c>
      <c r="D74" s="21">
        <v>1025075</v>
      </c>
      <c r="E74" s="11">
        <v>1116460.0179999999</v>
      </c>
      <c r="F74" s="11">
        <f t="shared" si="6"/>
        <v>-91385.017999999924</v>
      </c>
      <c r="G74" s="12">
        <f t="shared" si="7"/>
        <v>-8.185247704947364E-2</v>
      </c>
      <c r="H74" s="13">
        <v>1119333</v>
      </c>
      <c r="I74" s="13">
        <f t="shared" si="4"/>
        <v>-94258</v>
      </c>
      <c r="J74" s="14">
        <f t="shared" si="5"/>
        <v>-8.4209078084895195E-2</v>
      </c>
      <c r="K74" s="66"/>
      <c r="L74" s="66"/>
    </row>
    <row r="75" spans="1:12" ht="15.75">
      <c r="A75" s="27" t="str">
        <v>Boas Road 04</v>
      </c>
      <c r="B75" s="28" t="str">
        <v>NY</v>
      </c>
      <c r="C75" s="28" t="str">
        <f>Sites[[#This Row],[SOL'#]]</f>
        <v>SOL-10908</v>
      </c>
      <c r="D75" s="10">
        <v>407467</v>
      </c>
      <c r="E75" s="15">
        <v>0</v>
      </c>
      <c r="F75" s="15">
        <v>407467</v>
      </c>
      <c r="G75" s="15" t="str">
        <f t="shared" si="7"/>
        <v/>
      </c>
      <c r="H75" s="17">
        <v>423425</v>
      </c>
      <c r="I75" s="17">
        <v>-11413.400000000023</v>
      </c>
      <c r="J75" s="16">
        <v>-2.7247395676665755E-2</v>
      </c>
      <c r="K75" s="61" t="s">
        <v>581</v>
      </c>
      <c r="L75" s="61" t="s">
        <v>720</v>
      </c>
    </row>
    <row r="76" spans="1:12" ht="15.75">
      <c r="A76" s="29" t="str">
        <v>Kelly Bridge Farm</v>
      </c>
      <c r="B76" s="26" t="str">
        <v>NY</v>
      </c>
      <c r="C76" s="26" t="str">
        <f>Sites[[#This Row],[SOL'#]]</f>
        <v>SOL-10911</v>
      </c>
      <c r="D76" s="21">
        <v>393894</v>
      </c>
      <c r="E76" s="11">
        <v>409545.82</v>
      </c>
      <c r="F76" s="11">
        <v>-15651.820000000007</v>
      </c>
      <c r="G76" s="12">
        <f t="shared" si="7"/>
        <v>-3.8217506407463776E-2</v>
      </c>
      <c r="H76" s="13">
        <v>411663</v>
      </c>
      <c r="I76" s="13">
        <v>-15763.390000000014</v>
      </c>
      <c r="J76" s="14">
        <v>-3.8479447423125979E-2</v>
      </c>
      <c r="K76" s="66" t="s">
        <v>31</v>
      </c>
      <c r="L76" s="66"/>
    </row>
    <row r="77" spans="1:12" ht="15.75">
      <c r="A77" s="27" t="str">
        <v>Pool Brook Road</v>
      </c>
      <c r="B77" s="28" t="str">
        <v>NY</v>
      </c>
      <c r="C77" s="28" t="str">
        <f>Sites[[#This Row],[SOL'#]]</f>
        <v>SOL-10909</v>
      </c>
      <c r="D77" s="10">
        <v>390015</v>
      </c>
      <c r="E77" s="15">
        <v>398660.84</v>
      </c>
      <c r="F77" s="15">
        <v>-8645.8400000000256</v>
      </c>
      <c r="G77" s="16">
        <f t="shared" si="7"/>
        <v>-2.1687206598972764E-2</v>
      </c>
      <c r="H77" s="17">
        <v>390080</v>
      </c>
      <c r="I77" s="17">
        <v>6123.3699999999953</v>
      </c>
      <c r="J77" s="16">
        <v>1.5950777567096203E-2</v>
      </c>
      <c r="K77" s="61"/>
      <c r="L77" s="61"/>
    </row>
    <row r="78" spans="1:12" ht="15.75">
      <c r="A78" s="29" t="str">
        <v>Sackett Lake</v>
      </c>
      <c r="B78" s="26" t="str">
        <v>NY</v>
      </c>
      <c r="C78" s="26" t="str">
        <f>Sites[[#This Row],[SOL'#]]</f>
        <v>SOL-10910</v>
      </c>
      <c r="D78" s="21">
        <v>396701</v>
      </c>
      <c r="E78" s="11">
        <v>401120.63</v>
      </c>
      <c r="F78" s="11">
        <v>-4419.6300000000047</v>
      </c>
      <c r="G78" s="12">
        <f t="shared" si="7"/>
        <v>-1.1018206667655076E-2</v>
      </c>
      <c r="H78" s="13">
        <v>403940</v>
      </c>
      <c r="I78" s="13">
        <v>-5394.820000000007</v>
      </c>
      <c r="J78" s="14">
        <v>-1.3416752255718567E-2</v>
      </c>
      <c r="K78" s="66"/>
      <c r="L78" s="66"/>
    </row>
    <row r="79" spans="1:12" ht="15.75">
      <c r="A79" s="27" t="str">
        <v>Burritt Road</v>
      </c>
      <c r="B79" s="28" t="str">
        <v>NY</v>
      </c>
      <c r="C79" s="28" t="str">
        <f>Sites[[#This Row],[SOL'#]]</f>
        <v>SOL-10913</v>
      </c>
      <c r="D79" s="10">
        <v>426730</v>
      </c>
      <c r="E79" s="15">
        <v>0</v>
      </c>
      <c r="F79" s="15">
        <v>426730</v>
      </c>
      <c r="G79" s="16" t="str">
        <f t="shared" si="7"/>
        <v/>
      </c>
      <c r="H79" s="17">
        <v>413769</v>
      </c>
      <c r="I79" s="17">
        <v>16279.219999999972</v>
      </c>
      <c r="J79" s="16">
        <v>3.9661807927371881E-2</v>
      </c>
      <c r="K79" s="61" t="s">
        <v>721</v>
      </c>
      <c r="L79" s="61" t="s">
        <v>722</v>
      </c>
    </row>
    <row r="80" spans="1:12" ht="42.75">
      <c r="A80" s="29" t="str">
        <v>Villa Roma 1</v>
      </c>
      <c r="B80" s="26" t="str">
        <v>NY</v>
      </c>
      <c r="C80" s="26" t="str">
        <f>Sites[[#This Row],[SOL'#]]</f>
        <v>SOL-10914</v>
      </c>
      <c r="D80" s="21">
        <v>199412</v>
      </c>
      <c r="E80" s="11">
        <v>542322.34</v>
      </c>
      <c r="F80" s="11">
        <v>-342910.33999999997</v>
      </c>
      <c r="G80" s="12">
        <f t="shared" si="7"/>
        <v>-0.63229986063270049</v>
      </c>
      <c r="H80" s="13">
        <v>362358</v>
      </c>
      <c r="I80" s="13">
        <v>-159433.04999999999</v>
      </c>
      <c r="J80" s="14">
        <v>-0.44429496798130558</v>
      </c>
      <c r="K80" s="66" t="s">
        <v>723</v>
      </c>
      <c r="L80" s="66" t="s">
        <v>724</v>
      </c>
    </row>
    <row r="81" spans="1:12" ht="42.75">
      <c r="A81" s="27" t="str">
        <v>Villa Roma 2</v>
      </c>
      <c r="B81" s="28" t="str">
        <v>NY</v>
      </c>
      <c r="C81" s="28" t="str">
        <f>Sites[[#This Row],[SOL'#]]</f>
        <v>SOL-10915</v>
      </c>
      <c r="D81" s="10">
        <v>134090</v>
      </c>
      <c r="E81" s="15">
        <v>350810.07</v>
      </c>
      <c r="F81" s="15">
        <v>-216720.07</v>
      </c>
      <c r="G81" s="16">
        <f t="shared" si="7"/>
        <v>-0.61777037928244194</v>
      </c>
      <c r="H81" s="17">
        <v>351468</v>
      </c>
      <c r="I81" s="17">
        <v>-213947.62</v>
      </c>
      <c r="J81" s="16">
        <v>-0.6147255575417393</v>
      </c>
      <c r="K81" s="61" t="s">
        <v>725</v>
      </c>
      <c r="L81" s="61" t="s">
        <v>726</v>
      </c>
    </row>
    <row r="82" spans="1:12" ht="15.75">
      <c r="A82" s="29" t="str">
        <v>Washington 1</v>
      </c>
      <c r="B82" s="26" t="str">
        <v>NY</v>
      </c>
      <c r="C82" s="26" t="str">
        <f>Sites[[#This Row],[SOL'#]]</f>
        <v>SOL-10912</v>
      </c>
      <c r="D82" s="21">
        <v>421470</v>
      </c>
      <c r="E82" s="11">
        <v>451364.43</v>
      </c>
      <c r="F82" s="11">
        <v>-29894.429999999993</v>
      </c>
      <c r="G82" s="12">
        <f t="shared" si="7"/>
        <v>-6.6231249103966813E-2</v>
      </c>
      <c r="H82" s="13">
        <v>408891</v>
      </c>
      <c r="I82" s="13">
        <v>15429.299999999988</v>
      </c>
      <c r="J82" s="14">
        <v>3.7999392671719825E-2</v>
      </c>
      <c r="K82" s="66"/>
      <c r="L82" s="66"/>
    </row>
    <row r="83" spans="1:12" ht="15.75">
      <c r="A83" s="27" t="str">
        <v>Washington 3</v>
      </c>
      <c r="B83" s="28" t="str">
        <v>NY</v>
      </c>
      <c r="C83" s="28" t="str">
        <f>Sites[[#This Row],[SOL'#]]</f>
        <v>SOL-10828</v>
      </c>
      <c r="D83" s="10">
        <v>573970</v>
      </c>
      <c r="E83" s="15">
        <v>344067.07</v>
      </c>
      <c r="F83" s="15">
        <v>229902.93</v>
      </c>
      <c r="G83" s="16">
        <f t="shared" si="7"/>
        <v>0.6681921928768132</v>
      </c>
      <c r="H83" s="17">
        <v>499583</v>
      </c>
      <c r="I83" s="17">
        <v>79382.710000000021</v>
      </c>
      <c r="J83" s="16">
        <v>0.16050293164630255</v>
      </c>
      <c r="K83" s="61" t="s">
        <v>727</v>
      </c>
      <c r="L83" s="61" t="s">
        <v>728</v>
      </c>
    </row>
    <row r="84" spans="1:12" ht="15.75">
      <c r="A84" s="29" t="str">
        <v>Washington 4</v>
      </c>
      <c r="B84" s="26" t="str">
        <v>NY</v>
      </c>
      <c r="C84" s="26" t="str">
        <f>Sites[[#This Row],[SOL'#]]</f>
        <v>SOL-10829</v>
      </c>
      <c r="D84" s="21">
        <v>0</v>
      </c>
      <c r="E84" s="11">
        <v>0</v>
      </c>
      <c r="F84" s="11"/>
      <c r="G84" s="12" t="str">
        <f t="shared" si="7"/>
        <v/>
      </c>
      <c r="H84" s="13">
        <v>500745</v>
      </c>
      <c r="I84" s="13"/>
      <c r="J84" s="14"/>
      <c r="K84" s="66" t="s">
        <v>729</v>
      </c>
      <c r="L84" s="66" t="s">
        <v>730</v>
      </c>
    </row>
    <row r="85" spans="1:12" ht="15.75">
      <c r="A85" s="27" t="str">
        <v>Big Tree</v>
      </c>
      <c r="B85" s="28" t="str">
        <v>NY</v>
      </c>
      <c r="C85" s="28" t="str">
        <f>Sites[[#This Row],[SOL'#]]</f>
        <v>SOL-10966</v>
      </c>
      <c r="D85" s="10">
        <v>442461</v>
      </c>
      <c r="E85" s="15">
        <v>0</v>
      </c>
      <c r="F85" s="15">
        <f t="shared" si="6"/>
        <v>442461</v>
      </c>
      <c r="G85" s="16" t="str">
        <f t="shared" si="7"/>
        <v/>
      </c>
      <c r="H85" s="17">
        <v>418906</v>
      </c>
      <c r="I85" s="17">
        <f t="shared" ref="I85:I110" si="8">IF(AND(ISNUMBER(D85),ISNUMBER(H85)), D85-H85, "")</f>
        <v>23555</v>
      </c>
      <c r="J85" s="16">
        <f t="shared" ref="J85:J110" si="9">IFERROR(I85/H85, "")</f>
        <v>5.6229798570562373E-2</v>
      </c>
      <c r="K85" s="95" t="s">
        <v>731</v>
      </c>
      <c r="L85" s="61" t="s">
        <v>732</v>
      </c>
    </row>
    <row r="86" spans="1:12" ht="42.75">
      <c r="A86" s="29" t="str">
        <v>Canoga</v>
      </c>
      <c r="B86" s="26" t="str">
        <v>NY</v>
      </c>
      <c r="C86" s="26" t="str">
        <f>Sites[[#This Row],[SOL'#]]</f>
        <v>SOL-10965</v>
      </c>
      <c r="D86" s="21">
        <v>996386</v>
      </c>
      <c r="E86" s="11">
        <v>0</v>
      </c>
      <c r="F86" s="11">
        <f t="shared" si="6"/>
        <v>996386</v>
      </c>
      <c r="G86" s="12" t="str">
        <f t="shared" si="7"/>
        <v/>
      </c>
      <c r="H86" s="13">
        <v>1068138</v>
      </c>
      <c r="I86" s="13">
        <f t="shared" si="8"/>
        <v>-71752</v>
      </c>
      <c r="J86" s="14">
        <f t="shared" si="9"/>
        <v>-6.7174840704103775E-2</v>
      </c>
      <c r="K86" s="66" t="s">
        <v>733</v>
      </c>
      <c r="L86" s="66" t="s">
        <v>734</v>
      </c>
    </row>
    <row r="87" spans="1:12" ht="42.75">
      <c r="A87" s="27" t="str">
        <v>County Route 84</v>
      </c>
      <c r="B87" s="28" t="str">
        <v>NY</v>
      </c>
      <c r="C87" s="28" t="str">
        <f>Sites[[#This Row],[SOL'#]]</f>
        <v>SOL-10967</v>
      </c>
      <c r="D87" s="10">
        <v>1041279</v>
      </c>
      <c r="E87" s="15">
        <v>0</v>
      </c>
      <c r="F87" s="15">
        <f t="shared" si="6"/>
        <v>1041279</v>
      </c>
      <c r="G87" s="16" t="str">
        <f t="shared" si="7"/>
        <v/>
      </c>
      <c r="H87" s="17">
        <v>1057154</v>
      </c>
      <c r="I87" s="17">
        <f t="shared" si="8"/>
        <v>-15875</v>
      </c>
      <c r="J87" s="16">
        <f t="shared" si="9"/>
        <v>-1.5016733607402516E-2</v>
      </c>
      <c r="K87" s="61" t="s">
        <v>735</v>
      </c>
      <c r="L87" s="61" t="s">
        <v>736</v>
      </c>
    </row>
    <row r="88" spans="1:12" ht="15.75">
      <c r="A88" s="29" t="str">
        <v>Donati</v>
      </c>
      <c r="B88" s="26" t="str">
        <v>NY</v>
      </c>
      <c r="C88" s="26" t="str">
        <f>Sites[[#This Row],[SOL'#]]</f>
        <v>SOL-10968</v>
      </c>
      <c r="D88" s="21">
        <v>530222</v>
      </c>
      <c r="E88" s="11">
        <v>0</v>
      </c>
      <c r="F88" s="11">
        <f t="shared" si="6"/>
        <v>530222</v>
      </c>
      <c r="G88" s="12" t="str">
        <f t="shared" si="7"/>
        <v/>
      </c>
      <c r="H88" s="13">
        <v>548244</v>
      </c>
      <c r="I88" s="13">
        <f t="shared" si="8"/>
        <v>-18022</v>
      </c>
      <c r="J88" s="14">
        <f t="shared" si="9"/>
        <v>-3.2872224775829739E-2</v>
      </c>
      <c r="K88" s="66"/>
      <c r="L88" s="66"/>
    </row>
    <row r="89" spans="1:12" ht="57">
      <c r="A89" s="27" t="str">
        <v>Henrietta</v>
      </c>
      <c r="B89" s="28" t="str">
        <v>NY</v>
      </c>
      <c r="C89" s="28" t="str">
        <f>Sites[[#This Row],[SOL'#]]</f>
        <v>SOL-10972</v>
      </c>
      <c r="D89" s="10">
        <v>1073244</v>
      </c>
      <c r="E89" s="15">
        <v>0</v>
      </c>
      <c r="F89" s="15">
        <f t="shared" si="6"/>
        <v>1073244</v>
      </c>
      <c r="G89" s="16" t="str">
        <f t="shared" si="7"/>
        <v/>
      </c>
      <c r="H89" s="17">
        <v>1158329</v>
      </c>
      <c r="I89" s="17">
        <f t="shared" si="8"/>
        <v>-85085</v>
      </c>
      <c r="J89" s="16">
        <f t="shared" si="9"/>
        <v>-7.3454951054493151E-2</v>
      </c>
      <c r="K89" s="61" t="s">
        <v>737</v>
      </c>
      <c r="L89" s="61" t="s">
        <v>738</v>
      </c>
    </row>
    <row r="90" spans="1:12" ht="79.5" customHeight="1">
      <c r="A90" s="29" t="str">
        <v>NY 70</v>
      </c>
      <c r="B90" s="26" t="str">
        <v>NY</v>
      </c>
      <c r="C90" s="26" t="str">
        <f>Sites[[#This Row],[SOL'#]]</f>
        <v>SOL-10970</v>
      </c>
      <c r="D90" s="21">
        <v>912454</v>
      </c>
      <c r="E90" s="11">
        <v>0</v>
      </c>
      <c r="F90" s="11">
        <f t="shared" si="6"/>
        <v>912454</v>
      </c>
      <c r="G90" s="12" t="str">
        <f t="shared" si="7"/>
        <v/>
      </c>
      <c r="H90" s="13">
        <v>1276262</v>
      </c>
      <c r="I90" s="13">
        <f t="shared" si="8"/>
        <v>-363808</v>
      </c>
      <c r="J90" s="14">
        <f t="shared" si="9"/>
        <v>-0.28505745685447031</v>
      </c>
      <c r="K90" s="66" t="s">
        <v>739</v>
      </c>
      <c r="L90" s="66" t="s">
        <v>740</v>
      </c>
    </row>
    <row r="91" spans="1:12" ht="409.5">
      <c r="A91" s="27" t="str">
        <v>Reid</v>
      </c>
      <c r="B91" s="28" t="str">
        <v>NY</v>
      </c>
      <c r="C91" s="28" t="str">
        <f>Sites[[#This Row],[SOL'#]]</f>
        <v>SOL-10991</v>
      </c>
      <c r="D91" s="10">
        <v>915086.05599647795</v>
      </c>
      <c r="E91" s="15">
        <v>880371.9</v>
      </c>
      <c r="F91" s="15">
        <f>IF(AND(ISNUMBER(D91),ISNUMBER(E91)), D91-E91, "")</f>
        <v>34714.15599647793</v>
      </c>
      <c r="G91" s="16">
        <f t="shared" si="7"/>
        <v>3.9431240361576657E-2</v>
      </c>
      <c r="H91" s="17">
        <v>948879</v>
      </c>
      <c r="I91" s="85">
        <f>IF(AND(ISNUMBER(D91),ISNUMBER(H91)), D91-H91, "")</f>
        <v>-33792.944003522047</v>
      </c>
      <c r="J91" s="16">
        <v>8.6439560318745237</v>
      </c>
      <c r="K91" s="61" t="s">
        <v>741</v>
      </c>
      <c r="L91" s="61" t="s">
        <v>742</v>
      </c>
    </row>
    <row r="92" spans="1:12" ht="15.75">
      <c r="A92" s="29" t="str">
        <v>Sangolqui</v>
      </c>
      <c r="B92" s="26" t="str">
        <v>NY</v>
      </c>
      <c r="C92" s="26" t="str">
        <f>Sites[[#This Row],[SOL'#]]</f>
        <v>SOL-10975</v>
      </c>
      <c r="D92" s="21">
        <v>549237</v>
      </c>
      <c r="E92" s="11">
        <v>0</v>
      </c>
      <c r="F92" s="11">
        <f t="shared" si="6"/>
        <v>549237</v>
      </c>
      <c r="G92" s="12" t="str">
        <f t="shared" si="7"/>
        <v/>
      </c>
      <c r="H92" s="13">
        <v>537522</v>
      </c>
      <c r="I92" s="13">
        <f t="shared" si="8"/>
        <v>11715</v>
      </c>
      <c r="J92" s="14">
        <f t="shared" si="9"/>
        <v>2.1794456785024612E-2</v>
      </c>
      <c r="K92" s="66"/>
      <c r="L92" s="66"/>
    </row>
    <row r="93" spans="1:12" ht="42.75">
      <c r="A93" s="27" t="str">
        <v>State Highway 17B</v>
      </c>
      <c r="B93" s="28" t="str">
        <v>NY</v>
      </c>
      <c r="C93" s="28" t="str">
        <f>Sites[[#This Row],[SOL'#]]</f>
        <v>SOL-10988</v>
      </c>
      <c r="D93" s="10">
        <v>896440</v>
      </c>
      <c r="E93" s="15">
        <v>0</v>
      </c>
      <c r="F93" s="15">
        <f t="shared" si="6"/>
        <v>896440</v>
      </c>
      <c r="G93" s="16" t="str">
        <f t="shared" si="7"/>
        <v/>
      </c>
      <c r="H93" s="17">
        <v>902647</v>
      </c>
      <c r="I93" s="17">
        <f t="shared" si="8"/>
        <v>-6207</v>
      </c>
      <c r="J93" s="16">
        <f t="shared" si="9"/>
        <v>-6.876442285854825E-3</v>
      </c>
      <c r="K93" s="61" t="s">
        <v>743</v>
      </c>
      <c r="L93" s="61" t="s">
        <v>744</v>
      </c>
    </row>
    <row r="94" spans="1:12" ht="42.75">
      <c r="A94" s="29" t="str">
        <v>State Route 14A</v>
      </c>
      <c r="B94" s="26" t="str">
        <v>NY</v>
      </c>
      <c r="C94" s="26" t="str">
        <f>Sites[[#This Row],[SOL'#]]</f>
        <v>SOL-10997</v>
      </c>
      <c r="D94" s="21">
        <v>1038968</v>
      </c>
      <c r="E94" s="11">
        <v>0</v>
      </c>
      <c r="F94" s="11">
        <f t="shared" si="6"/>
        <v>1038968</v>
      </c>
      <c r="G94" s="12" t="str">
        <f t="shared" si="7"/>
        <v/>
      </c>
      <c r="H94" s="13">
        <v>1029017</v>
      </c>
      <c r="I94" s="13">
        <f t="shared" si="8"/>
        <v>9951</v>
      </c>
      <c r="J94" s="14">
        <f t="shared" si="9"/>
        <v>9.6703941723023032E-3</v>
      </c>
      <c r="K94" s="66" t="s">
        <v>745</v>
      </c>
      <c r="L94" s="66" t="s">
        <v>746</v>
      </c>
    </row>
    <row r="95" spans="1:12" ht="15.75">
      <c r="A95" s="27" t="str">
        <v>West Creek</v>
      </c>
      <c r="B95" s="28" t="str">
        <v>NY</v>
      </c>
      <c r="C95" s="28" t="str">
        <f>Sites[[#This Row],[SOL'#]]</f>
        <v>SOL-10995</v>
      </c>
      <c r="D95" s="10">
        <v>1094560</v>
      </c>
      <c r="E95" s="15">
        <v>0</v>
      </c>
      <c r="F95" s="15">
        <f t="shared" si="6"/>
        <v>1094560</v>
      </c>
      <c r="G95" s="16" t="str">
        <f t="shared" si="7"/>
        <v/>
      </c>
      <c r="H95" s="17">
        <v>1061473</v>
      </c>
      <c r="I95" s="17">
        <f t="shared" si="8"/>
        <v>33087</v>
      </c>
      <c r="J95" s="16">
        <f t="shared" si="9"/>
        <v>3.1170835244985037E-2</v>
      </c>
      <c r="K95" s="61"/>
      <c r="L95" s="61"/>
    </row>
    <row r="96" spans="1:12" ht="57">
      <c r="A96" s="29" t="str">
        <v>Wildflower</v>
      </c>
      <c r="B96" s="26" t="str">
        <v>NY</v>
      </c>
      <c r="C96" s="26" t="str">
        <f>Sites[[#This Row],[SOL'#]]</f>
        <v>SOL-10982</v>
      </c>
      <c r="D96" s="21">
        <v>1103072</v>
      </c>
      <c r="E96" s="11">
        <v>0</v>
      </c>
      <c r="F96" s="11">
        <f t="shared" si="6"/>
        <v>1103072</v>
      </c>
      <c r="G96" s="12" t="str">
        <f t="shared" si="7"/>
        <v/>
      </c>
      <c r="H96" s="13">
        <v>997213</v>
      </c>
      <c r="I96" s="13">
        <f t="shared" si="8"/>
        <v>105859</v>
      </c>
      <c r="J96" s="14">
        <f t="shared" si="9"/>
        <v>0.10615485357691887</v>
      </c>
      <c r="K96" s="66" t="s">
        <v>747</v>
      </c>
      <c r="L96" s="66" t="s">
        <v>748</v>
      </c>
    </row>
    <row r="97" spans="1:12" ht="15.75">
      <c r="A97" s="27" t="str">
        <v>Glen Mary 1</v>
      </c>
      <c r="B97" s="28" t="str">
        <v>NY</v>
      </c>
      <c r="C97" s="28" t="str">
        <f>Sites[[#This Row],[SOL'#]]</f>
        <v>SOL-10993</v>
      </c>
      <c r="D97" s="10">
        <v>1062910</v>
      </c>
      <c r="E97" s="15">
        <v>0</v>
      </c>
      <c r="F97" s="15">
        <f t="shared" si="6"/>
        <v>1062910</v>
      </c>
      <c r="G97" s="16" t="str">
        <f t="shared" si="7"/>
        <v/>
      </c>
      <c r="H97" s="17">
        <v>1003832</v>
      </c>
      <c r="I97" s="17">
        <f t="shared" si="8"/>
        <v>59078</v>
      </c>
      <c r="J97" s="16">
        <f t="shared" si="9"/>
        <v>5.8852477306959729E-2</v>
      </c>
      <c r="K97" s="61" t="s">
        <v>749</v>
      </c>
      <c r="L97" s="61" t="s">
        <v>750</v>
      </c>
    </row>
    <row r="98" spans="1:12" ht="15.75">
      <c r="A98" s="29" t="str">
        <v>Glen Mary 2</v>
      </c>
      <c r="B98" s="26" t="str">
        <v>NY</v>
      </c>
      <c r="C98" s="26" t="str">
        <f>Sites[[#This Row],[SOL'#]]</f>
        <v>SOL-10994</v>
      </c>
      <c r="D98" s="21">
        <v>469824</v>
      </c>
      <c r="E98" s="11">
        <v>0</v>
      </c>
      <c r="F98" s="11">
        <f t="shared" si="6"/>
        <v>469824</v>
      </c>
      <c r="G98" s="12" t="str">
        <f t="shared" si="7"/>
        <v/>
      </c>
      <c r="H98" s="13">
        <v>427758</v>
      </c>
      <c r="I98" s="13">
        <f t="shared" si="8"/>
        <v>42066</v>
      </c>
      <c r="J98" s="14">
        <f t="shared" si="9"/>
        <v>9.8340650554752926E-2</v>
      </c>
      <c r="K98" s="66" t="s">
        <v>751</v>
      </c>
      <c r="L98" s="66" t="s">
        <v>752</v>
      </c>
    </row>
    <row r="99" spans="1:12" ht="28.5">
      <c r="A99" s="27" t="str">
        <v>Telegraph 1</v>
      </c>
      <c r="B99" s="28" t="str">
        <v>NY</v>
      </c>
      <c r="C99" s="28" t="str">
        <f>Sites[[#This Row],[SOL'#]]</f>
        <v>SOL-11003</v>
      </c>
      <c r="D99" s="10">
        <v>420287</v>
      </c>
      <c r="E99" s="15">
        <v>0</v>
      </c>
      <c r="F99" s="15">
        <f t="shared" si="6"/>
        <v>420287</v>
      </c>
      <c r="G99" s="16" t="str">
        <f t="shared" si="7"/>
        <v/>
      </c>
      <c r="H99" s="17">
        <v>751811</v>
      </c>
      <c r="I99" s="17">
        <f t="shared" si="8"/>
        <v>-331524</v>
      </c>
      <c r="J99" s="16">
        <f t="shared" si="9"/>
        <v>-0.44096721117408499</v>
      </c>
      <c r="K99" s="97" t="s">
        <v>753</v>
      </c>
      <c r="L99" s="61" t="s">
        <v>754</v>
      </c>
    </row>
    <row r="100" spans="1:12" ht="15.75">
      <c r="A100" s="29" t="str">
        <v>Telegraph 2</v>
      </c>
      <c r="B100" s="26" t="str">
        <v>NY</v>
      </c>
      <c r="C100" s="26" t="str">
        <f>Sites[[#This Row],[SOL'#]]</f>
        <v>SOL-11004</v>
      </c>
      <c r="D100" s="21">
        <v>430072</v>
      </c>
      <c r="E100" s="11">
        <v>0</v>
      </c>
      <c r="F100" s="11">
        <f t="shared" si="6"/>
        <v>430072</v>
      </c>
      <c r="G100" s="12" t="str">
        <f t="shared" si="7"/>
        <v/>
      </c>
      <c r="H100" s="13">
        <v>392102</v>
      </c>
      <c r="I100" s="13">
        <f t="shared" si="8"/>
        <v>37970</v>
      </c>
      <c r="J100" s="14">
        <f t="shared" si="9"/>
        <v>9.6837047502945667E-2</v>
      </c>
      <c r="K100" s="66" t="s">
        <v>755</v>
      </c>
      <c r="L100" s="66" t="s">
        <v>756</v>
      </c>
    </row>
    <row r="101" spans="1:12" ht="15.75">
      <c r="A101" s="27" t="str">
        <v>Cafferty Hill</v>
      </c>
      <c r="B101" s="28" t="str">
        <v>NY</v>
      </c>
      <c r="C101" s="28" t="str">
        <f>Sites[[#This Row],[SOL'#]]</f>
        <v>SOL-10996</v>
      </c>
      <c r="D101" s="10">
        <v>213590</v>
      </c>
      <c r="E101" s="15">
        <v>0</v>
      </c>
      <c r="F101" s="15">
        <f t="shared" si="6"/>
        <v>213590</v>
      </c>
      <c r="G101" s="16" t="str">
        <f t="shared" si="7"/>
        <v/>
      </c>
      <c r="H101" s="17">
        <v>1016044</v>
      </c>
      <c r="I101" s="17">
        <f t="shared" si="8"/>
        <v>-802454</v>
      </c>
      <c r="J101" s="16">
        <f t="shared" si="9"/>
        <v>-0.78978272594493937</v>
      </c>
      <c r="K101" s="61" t="s">
        <v>757</v>
      </c>
      <c r="L101" s="61" t="s">
        <v>758</v>
      </c>
    </row>
    <row r="102" spans="1:12" ht="28.5">
      <c r="A102" s="29" t="str">
        <v>Dunkleman</v>
      </c>
      <c r="B102" s="26" t="str">
        <v>NY</v>
      </c>
      <c r="C102" s="26" t="str">
        <f>Sites[[#This Row],[SOL'#]]</f>
        <v>SOL-11008</v>
      </c>
      <c r="D102" s="21">
        <v>418740</v>
      </c>
      <c r="E102" s="11">
        <v>0</v>
      </c>
      <c r="F102" s="11">
        <f t="shared" si="6"/>
        <v>418740</v>
      </c>
      <c r="G102" s="12" t="str">
        <f t="shared" si="7"/>
        <v/>
      </c>
      <c r="H102" s="13">
        <v>1309645</v>
      </c>
      <c r="I102" s="13">
        <f t="shared" si="8"/>
        <v>-890905</v>
      </c>
      <c r="J102" s="14">
        <f t="shared" si="9"/>
        <v>-0.68026449915816878</v>
      </c>
      <c r="K102" s="66" t="s">
        <v>759</v>
      </c>
      <c r="L102" s="66" t="s">
        <v>760</v>
      </c>
    </row>
    <row r="103" spans="1:12" ht="15.75">
      <c r="A103" s="27" t="str">
        <v>Route 19 1</v>
      </c>
      <c r="B103" s="28" t="str">
        <v>NY</v>
      </c>
      <c r="C103" s="28" t="str">
        <f>Sites[[#This Row],[SOL'#]]</f>
        <v>SOL-11001</v>
      </c>
      <c r="D103" s="10">
        <v>550197</v>
      </c>
      <c r="E103" s="15">
        <v>0</v>
      </c>
      <c r="F103" s="15">
        <f t="shared" si="6"/>
        <v>550197</v>
      </c>
      <c r="G103" s="16" t="str">
        <f t="shared" si="7"/>
        <v/>
      </c>
      <c r="H103" s="17">
        <v>530204</v>
      </c>
      <c r="I103" s="17">
        <f t="shared" si="8"/>
        <v>19993</v>
      </c>
      <c r="J103" s="16">
        <f t="shared" si="9"/>
        <v>3.7708127437740942E-2</v>
      </c>
      <c r="K103" s="96" t="s">
        <v>761</v>
      </c>
      <c r="L103" s="61" t="s">
        <v>762</v>
      </c>
    </row>
    <row r="104" spans="1:12" ht="28.5">
      <c r="A104" s="29" t="str">
        <v>Route 19 2</v>
      </c>
      <c r="B104" s="26" t="str">
        <v>NY</v>
      </c>
      <c r="C104" s="26" t="str">
        <f>Sites[[#This Row],[SOL'#]]</f>
        <v>SOL-11002</v>
      </c>
      <c r="D104" s="21">
        <v>1302922</v>
      </c>
      <c r="E104" s="11">
        <v>0</v>
      </c>
      <c r="F104" s="11">
        <f t="shared" si="6"/>
        <v>1302922</v>
      </c>
      <c r="G104" s="12" t="str">
        <f t="shared" si="7"/>
        <v/>
      </c>
      <c r="H104" s="13">
        <v>1312551</v>
      </c>
      <c r="I104" s="13">
        <f t="shared" si="8"/>
        <v>-9629</v>
      </c>
      <c r="J104" s="14">
        <f t="shared" si="9"/>
        <v>-7.336095892654838E-3</v>
      </c>
      <c r="K104" s="66" t="s">
        <v>763</v>
      </c>
      <c r="L104" s="66" t="s">
        <v>764</v>
      </c>
    </row>
    <row r="105" spans="1:12" ht="42.75">
      <c r="A105" s="27" t="str">
        <v>Yellow Mills 1</v>
      </c>
      <c r="B105" s="28" t="str">
        <v>NY</v>
      </c>
      <c r="C105" s="28" t="str">
        <f>Sites[[#This Row],[SOL'#]]</f>
        <v>SOL-11006</v>
      </c>
      <c r="D105" s="10">
        <v>171287</v>
      </c>
      <c r="E105" s="15">
        <v>0</v>
      </c>
      <c r="F105" s="15">
        <f t="shared" si="6"/>
        <v>171287</v>
      </c>
      <c r="G105" s="16" t="str">
        <f t="shared" si="7"/>
        <v/>
      </c>
      <c r="H105" s="17">
        <v>436721</v>
      </c>
      <c r="I105" s="17">
        <f t="shared" si="8"/>
        <v>-265434</v>
      </c>
      <c r="J105" s="16">
        <f t="shared" si="9"/>
        <v>-0.60778849654584965</v>
      </c>
      <c r="K105" s="61" t="s">
        <v>765</v>
      </c>
      <c r="L105" s="61" t="s">
        <v>766</v>
      </c>
    </row>
    <row r="106" spans="1:12" ht="28.5">
      <c r="A106" s="29" t="str">
        <v>Yellow Mills 2</v>
      </c>
      <c r="B106" s="26" t="str">
        <v>NY</v>
      </c>
      <c r="C106" s="26" t="str">
        <f>Sites[[#This Row],[SOL'#]]</f>
        <v>SOL-11005</v>
      </c>
      <c r="D106" s="21">
        <v>453983</v>
      </c>
      <c r="E106" s="11">
        <v>0</v>
      </c>
      <c r="F106" s="11">
        <f t="shared" si="6"/>
        <v>453983</v>
      </c>
      <c r="G106" s="12" t="str">
        <f t="shared" si="7"/>
        <v/>
      </c>
      <c r="H106" s="13">
        <v>452783</v>
      </c>
      <c r="I106" s="13">
        <f t="shared" si="8"/>
        <v>1200</v>
      </c>
      <c r="J106" s="14">
        <f t="shared" si="9"/>
        <v>2.6502761808636808E-3</v>
      </c>
      <c r="K106" s="66" t="s">
        <v>767</v>
      </c>
      <c r="L106" s="66" t="s">
        <v>768</v>
      </c>
    </row>
    <row r="107" spans="1:12" ht="28.5">
      <c r="A107" s="27" t="str">
        <v>Yellow Mills 3</v>
      </c>
      <c r="B107" s="28" t="str">
        <v>NY</v>
      </c>
      <c r="C107" s="28" t="str">
        <f>Sites[[#This Row],[SOL'#]]</f>
        <v>SOL-11007</v>
      </c>
      <c r="D107" s="10">
        <v>427641</v>
      </c>
      <c r="E107" s="15">
        <v>0</v>
      </c>
      <c r="F107" s="15">
        <f t="shared" si="6"/>
        <v>427641</v>
      </c>
      <c r="G107" s="16" t="str">
        <f t="shared" si="7"/>
        <v/>
      </c>
      <c r="H107" s="17">
        <v>430802</v>
      </c>
      <c r="I107" s="17">
        <f t="shared" si="8"/>
        <v>-3161</v>
      </c>
      <c r="J107" s="16">
        <f t="shared" si="9"/>
        <v>-7.3374775418869921E-3</v>
      </c>
      <c r="K107" s="61" t="s">
        <v>769</v>
      </c>
      <c r="L107" s="61" t="s">
        <v>770</v>
      </c>
    </row>
    <row r="108" spans="1:12" ht="15.75">
      <c r="A108" s="29" t="str">
        <v>Catskill</v>
      </c>
      <c r="B108" s="26" t="str">
        <v>NY</v>
      </c>
      <c r="C108" s="26" t="str">
        <f>Sites[[#This Row],[SOL'#]]</f>
        <v>SOL-11021</v>
      </c>
      <c r="D108" s="21">
        <v>835400</v>
      </c>
      <c r="E108" s="11">
        <v>0</v>
      </c>
      <c r="F108" s="11">
        <f t="shared" si="6"/>
        <v>835400</v>
      </c>
      <c r="G108" s="12" t="str">
        <f t="shared" si="7"/>
        <v/>
      </c>
      <c r="H108" s="13">
        <v>787764</v>
      </c>
      <c r="I108" s="13">
        <f t="shared" si="8"/>
        <v>47636</v>
      </c>
      <c r="J108" s="14">
        <f t="shared" si="9"/>
        <v>6.0469886920448253E-2</v>
      </c>
      <c r="K108" s="66" t="s">
        <v>771</v>
      </c>
      <c r="L108" s="66" t="s">
        <v>772</v>
      </c>
    </row>
    <row r="109" spans="1:12" ht="15.75">
      <c r="A109" s="27" t="str">
        <v>Eddy Ridge</v>
      </c>
      <c r="B109" s="28" t="str">
        <v>NY</v>
      </c>
      <c r="C109" s="28" t="str">
        <f>Sites[[#This Row],[SOL'#]]</f>
        <v>SOL-11054</v>
      </c>
      <c r="D109" s="10">
        <v>658512</v>
      </c>
      <c r="E109" s="15">
        <v>0</v>
      </c>
      <c r="F109" s="15">
        <f t="shared" si="6"/>
        <v>658512</v>
      </c>
      <c r="G109" s="16" t="str">
        <f t="shared" si="7"/>
        <v/>
      </c>
      <c r="H109" s="17">
        <v>652000</v>
      </c>
      <c r="I109" s="17">
        <f t="shared" si="8"/>
        <v>6512</v>
      </c>
      <c r="J109" s="16">
        <f t="shared" si="9"/>
        <v>9.9877300613496929E-3</v>
      </c>
      <c r="K109" s="61"/>
      <c r="L109" s="61"/>
    </row>
    <row r="110" spans="1:12" ht="15.75">
      <c r="A110" s="29" t="str">
        <v>Ridgeway #1</v>
      </c>
      <c r="B110" s="26" t="str">
        <v>NY</v>
      </c>
      <c r="C110" s="26" t="str">
        <f>Sites[[#This Row],[SOL'#]]</f>
        <v>SOL-11018</v>
      </c>
      <c r="D110" s="21">
        <v>1145292</v>
      </c>
      <c r="E110" s="11">
        <v>0</v>
      </c>
      <c r="F110" s="11">
        <f t="shared" ref="F110:F138" si="10">IF(AND(ISNUMBER(D110),ISNUMBER(E110)), D110-E110, "")</f>
        <v>1145292</v>
      </c>
      <c r="G110" s="12" t="str">
        <f t="shared" si="7"/>
        <v/>
      </c>
      <c r="H110" s="13">
        <v>1348829</v>
      </c>
      <c r="I110" s="13">
        <f t="shared" si="8"/>
        <v>-203537</v>
      </c>
      <c r="J110" s="14">
        <f t="shared" si="9"/>
        <v>-0.15089903909242758</v>
      </c>
      <c r="K110" s="66" t="s">
        <v>773</v>
      </c>
      <c r="L110" s="66" t="s">
        <v>774</v>
      </c>
    </row>
    <row r="111" spans="1:12" ht="99.75">
      <c r="A111" s="27" t="str">
        <v>Rivard 1</v>
      </c>
      <c r="B111" s="28" t="str">
        <v>NY</v>
      </c>
      <c r="C111" s="28" t="str">
        <f>Sites[[#This Row],[SOL'#]]</f>
        <v>SOL-11011</v>
      </c>
      <c r="D111" s="10">
        <v>681855.86069651705</v>
      </c>
      <c r="E111" s="15">
        <v>1212691</v>
      </c>
      <c r="F111" s="15">
        <f t="shared" si="10"/>
        <v>-530835.13930348295</v>
      </c>
      <c r="G111" s="16">
        <f t="shared" ref="G111:G138" si="11">IFERROR(F111/E111, "")</f>
        <v>-0.43773322248081575</v>
      </c>
      <c r="H111" s="17">
        <v>1130000</v>
      </c>
      <c r="I111" s="17">
        <f t="shared" ref="I111:I144" si="12">IF(AND(ISNUMBER(D111),ISNUMBER(H111)), D111-H111, "")</f>
        <v>-448144.13930348295</v>
      </c>
      <c r="J111" s="16">
        <f t="shared" ref="J111:J144" si="13">IFERROR(I111/H111, "")</f>
        <v>-0.39658773389688756</v>
      </c>
      <c r="K111" s="61" t="s">
        <v>775</v>
      </c>
      <c r="L111" s="61" t="s">
        <v>776</v>
      </c>
    </row>
    <row r="112" spans="1:12" ht="15.75">
      <c r="A112" s="29" t="str">
        <v>Rivard 2</v>
      </c>
      <c r="B112" s="26" t="str">
        <v>NY</v>
      </c>
      <c r="C112" s="26" t="str">
        <f>Sites[[#This Row],[SOL'#]]</f>
        <v>SOL-11012</v>
      </c>
      <c r="D112" s="21">
        <v>1147854.1850000001</v>
      </c>
      <c r="E112" s="11">
        <v>1135557</v>
      </c>
      <c r="F112" s="11">
        <f t="shared" si="10"/>
        <v>12297.185000000056</v>
      </c>
      <c r="G112" s="12">
        <f t="shared" si="11"/>
        <v>1.0829209806288945E-2</v>
      </c>
      <c r="H112" s="13">
        <v>1090000</v>
      </c>
      <c r="I112" s="13">
        <f t="shared" si="12"/>
        <v>57854.185000000056</v>
      </c>
      <c r="J112" s="14">
        <f t="shared" si="13"/>
        <v>5.3077233944954179E-2</v>
      </c>
      <c r="K112" s="66" t="s">
        <v>777</v>
      </c>
      <c r="L112" s="66" t="s">
        <v>778</v>
      </c>
    </row>
    <row r="113" spans="1:12" ht="15.75">
      <c r="A113" s="27" t="str">
        <v>Essex</v>
      </c>
      <c r="B113" s="28" t="str">
        <v>DC</v>
      </c>
      <c r="C113" s="28" t="str">
        <f>Sites[[#This Row],[SOL'#]]</f>
        <v>SOL-10036</v>
      </c>
      <c r="D113" s="10">
        <v>4433</v>
      </c>
      <c r="E113" s="15">
        <v>6188.817</v>
      </c>
      <c r="F113" s="15">
        <f t="shared" si="10"/>
        <v>-1755.817</v>
      </c>
      <c r="G113" s="16">
        <f t="shared" si="11"/>
        <v>-0.28370801721879968</v>
      </c>
      <c r="H113" s="17">
        <v>5354</v>
      </c>
      <c r="I113" s="17">
        <f t="shared" si="12"/>
        <v>-921</v>
      </c>
      <c r="J113" s="16">
        <f t="shared" si="13"/>
        <v>-0.17202091893911095</v>
      </c>
      <c r="K113" s="61"/>
      <c r="L113" s="61"/>
    </row>
    <row r="114" spans="1:12" ht="28.5">
      <c r="A114" s="29" t="str">
        <v>Temple Sinai</v>
      </c>
      <c r="B114" s="26" t="str">
        <v>DC</v>
      </c>
      <c r="C114" s="26" t="str">
        <f>Sites[[#This Row],[SOL'#]]</f>
        <v>SOL-10028</v>
      </c>
      <c r="D114" s="21">
        <v>10852.5600000001</v>
      </c>
      <c r="E114" s="11">
        <v>14677.99</v>
      </c>
      <c r="F114" s="11">
        <f t="shared" si="10"/>
        <v>-3825.4299999999002</v>
      </c>
      <c r="G114" s="12">
        <f t="shared" si="11"/>
        <v>-0.26062355949281207</v>
      </c>
      <c r="H114" s="13">
        <v>12934</v>
      </c>
      <c r="I114" s="13">
        <f t="shared" si="12"/>
        <v>-2081.4399999999005</v>
      </c>
      <c r="J114" s="14">
        <f t="shared" si="13"/>
        <v>-0.16092778722745479</v>
      </c>
      <c r="K114" s="66" t="s">
        <v>779</v>
      </c>
      <c r="L114" s="66" t="s">
        <v>633</v>
      </c>
    </row>
    <row r="115" spans="1:12" ht="15.75">
      <c r="A115" s="27" t="str">
        <v>Weinberg 1</v>
      </c>
      <c r="B115" s="28" t="str">
        <v>DC</v>
      </c>
      <c r="C115" s="28" t="str">
        <f>Sites[[#This Row],[SOL'#]]</f>
        <v>SOL-10039</v>
      </c>
      <c r="D115" s="10">
        <v>1771</v>
      </c>
      <c r="E115" s="15">
        <v>1869</v>
      </c>
      <c r="F115" s="15">
        <f t="shared" si="10"/>
        <v>-98</v>
      </c>
      <c r="G115" s="16">
        <f t="shared" si="11"/>
        <v>-5.2434456928838954E-2</v>
      </c>
      <c r="H115" s="17">
        <v>1924</v>
      </c>
      <c r="I115" s="17">
        <f t="shared" si="12"/>
        <v>-153</v>
      </c>
      <c r="J115" s="16">
        <f t="shared" si="13"/>
        <v>-7.9521829521829526E-2</v>
      </c>
      <c r="K115" s="61"/>
      <c r="L115" s="61"/>
    </row>
    <row r="116" spans="1:12" ht="15.75">
      <c r="A116" s="29" t="str">
        <v>Weinberg 2</v>
      </c>
      <c r="B116" s="26" t="str">
        <v>DC</v>
      </c>
      <c r="C116" s="26" t="str">
        <f>Sites[[#This Row],[SOL'#]]</f>
        <v>SOL-10045</v>
      </c>
      <c r="D116" s="21">
        <v>1575</v>
      </c>
      <c r="E116" s="11">
        <v>1627</v>
      </c>
      <c r="F116" s="11">
        <f t="shared" si="10"/>
        <v>-52</v>
      </c>
      <c r="G116" s="12">
        <f t="shared" si="11"/>
        <v>-3.196066379840197E-2</v>
      </c>
      <c r="H116" s="13">
        <v>1942</v>
      </c>
      <c r="I116" s="13">
        <f t="shared" si="12"/>
        <v>-367</v>
      </c>
      <c r="J116" s="14">
        <f t="shared" si="13"/>
        <v>-0.18898043254376931</v>
      </c>
      <c r="K116" s="66"/>
      <c r="L116" s="66"/>
    </row>
    <row r="117" spans="1:12" ht="15.75">
      <c r="A117" s="27" t="str">
        <v>Weinberg 3</v>
      </c>
      <c r="B117" s="28" t="str">
        <v>DC</v>
      </c>
      <c r="C117" s="28" t="str">
        <f>Sites[[#This Row],[SOL'#]]</f>
        <v>SOL-10042</v>
      </c>
      <c r="D117" s="10">
        <v>1961</v>
      </c>
      <c r="E117" s="15">
        <v>1896</v>
      </c>
      <c r="F117" s="15">
        <f t="shared" si="10"/>
        <v>65</v>
      </c>
      <c r="G117" s="16">
        <f t="shared" si="11"/>
        <v>3.4282700421940926E-2</v>
      </c>
      <c r="H117" s="17">
        <v>1942</v>
      </c>
      <c r="I117" s="17">
        <f t="shared" si="12"/>
        <v>19</v>
      </c>
      <c r="J117" s="16">
        <f t="shared" si="13"/>
        <v>9.7837281153450046E-3</v>
      </c>
      <c r="K117" s="61"/>
      <c r="L117" s="61"/>
    </row>
    <row r="118" spans="1:12" ht="15.75">
      <c r="A118" s="29" t="str">
        <v>Clayton Hall</v>
      </c>
      <c r="B118" s="26" t="str">
        <v>DE</v>
      </c>
      <c r="C118" s="26" t="str">
        <f>Sites[[#This Row],[SOL'#]]</f>
        <v>SOL-10820</v>
      </c>
      <c r="D118" s="21">
        <v>22981</v>
      </c>
      <c r="E118" s="11">
        <v>25723</v>
      </c>
      <c r="F118" s="11">
        <f t="shared" si="10"/>
        <v>-2742</v>
      </c>
      <c r="G118" s="12">
        <f t="shared" si="11"/>
        <v>-0.1065972087237103</v>
      </c>
      <c r="H118" s="13">
        <v>20255</v>
      </c>
      <c r="I118" s="13">
        <f t="shared" si="12"/>
        <v>2726</v>
      </c>
      <c r="J118" s="14">
        <f t="shared" si="13"/>
        <v>0.13458405332016787</v>
      </c>
      <c r="K118" s="66"/>
      <c r="L118" s="66"/>
    </row>
    <row r="119" spans="1:12" ht="15.75">
      <c r="A119" s="27" t="str">
        <v>Field House</v>
      </c>
      <c r="B119" s="28" t="str">
        <v>DE</v>
      </c>
      <c r="C119" s="28" t="str">
        <f>Sites[[#This Row],[SOL'#]]</f>
        <v>SOL-10821</v>
      </c>
      <c r="D119" s="10">
        <v>57449</v>
      </c>
      <c r="E119" s="15">
        <v>0</v>
      </c>
      <c r="F119" s="15">
        <f t="shared" si="10"/>
        <v>57449</v>
      </c>
      <c r="G119" s="16" t="str">
        <f t="shared" si="11"/>
        <v/>
      </c>
      <c r="H119" s="17">
        <v>49697</v>
      </c>
      <c r="I119" s="17">
        <f t="shared" si="12"/>
        <v>7752</v>
      </c>
      <c r="J119" s="16">
        <f t="shared" si="13"/>
        <v>0.15598527074068858</v>
      </c>
      <c r="K119" s="61"/>
      <c r="L119" s="61"/>
    </row>
    <row r="120" spans="1:12" ht="15.75">
      <c r="A120" s="29" t="str">
        <v>Wyoming Road</v>
      </c>
      <c r="B120" s="26" t="str">
        <v>DE</v>
      </c>
      <c r="C120" s="26" t="str">
        <f>Sites[[#This Row],[SOL'#]]</f>
        <v>SOL-10819</v>
      </c>
      <c r="D120" s="21">
        <v>16769</v>
      </c>
      <c r="E120" s="11">
        <v>39289</v>
      </c>
      <c r="F120" s="11">
        <f t="shared" si="10"/>
        <v>-22520</v>
      </c>
      <c r="G120" s="12">
        <f t="shared" si="11"/>
        <v>-0.57318842424088168</v>
      </c>
      <c r="H120" s="13">
        <v>39229</v>
      </c>
      <c r="I120" s="13">
        <f t="shared" si="12"/>
        <v>-22460</v>
      </c>
      <c r="J120" s="14">
        <f t="shared" si="13"/>
        <v>-0.57253562415559922</v>
      </c>
      <c r="K120" s="66" t="s">
        <v>780</v>
      </c>
      <c r="L120" s="66" t="s">
        <v>781</v>
      </c>
    </row>
    <row r="121" spans="1:12" ht="15.75">
      <c r="A121" s="27" t="str">
        <v>Leoku</v>
      </c>
      <c r="B121" s="28" t="str">
        <v>HI</v>
      </c>
      <c r="C121" s="28" t="str">
        <f>Sites[[#This Row],[SOL'#]]</f>
        <v>SOL-10071</v>
      </c>
      <c r="D121" s="10">
        <v>13697</v>
      </c>
      <c r="E121" s="15">
        <v>12360</v>
      </c>
      <c r="F121" s="15">
        <f t="shared" si="10"/>
        <v>1337</v>
      </c>
      <c r="G121" s="16">
        <f t="shared" si="11"/>
        <v>0.10817152103559871</v>
      </c>
      <c r="H121" s="17">
        <v>14384</v>
      </c>
      <c r="I121" s="17">
        <f t="shared" si="12"/>
        <v>-687</v>
      </c>
      <c r="J121" s="16">
        <f t="shared" si="13"/>
        <v>-4.7761401557285872E-2</v>
      </c>
      <c r="K121" s="61"/>
      <c r="L121" s="61"/>
    </row>
    <row r="122" spans="1:12" ht="15.75">
      <c r="A122" s="29" t="str">
        <v>Waipahu</v>
      </c>
      <c r="B122" s="26" t="str">
        <v>HI</v>
      </c>
      <c r="C122" s="26" t="str">
        <f>Sites[[#This Row],[SOL'#]]</f>
        <v>SOL-10068</v>
      </c>
      <c r="D122" s="21">
        <v>13835</v>
      </c>
      <c r="E122" s="11">
        <v>11159</v>
      </c>
      <c r="F122" s="11">
        <f t="shared" si="10"/>
        <v>2676</v>
      </c>
      <c r="G122" s="12">
        <f t="shared" si="11"/>
        <v>0.23980643426830361</v>
      </c>
      <c r="H122" s="13">
        <v>14384</v>
      </c>
      <c r="I122" s="13">
        <f t="shared" si="12"/>
        <v>-549</v>
      </c>
      <c r="J122" s="14">
        <f t="shared" si="13"/>
        <v>-3.8167408231368188E-2</v>
      </c>
      <c r="K122" s="66"/>
      <c r="L122" s="66"/>
    </row>
    <row r="123" spans="1:12" ht="28.5">
      <c r="A123" s="27" t="str">
        <v>Bird in Hand</v>
      </c>
      <c r="B123" s="28" t="str">
        <v>MD</v>
      </c>
      <c r="C123" s="28" t="str">
        <f>Sites[[#This Row],[SOL'#]]</f>
        <v>SOL-10092</v>
      </c>
      <c r="D123" s="10">
        <v>171210</v>
      </c>
      <c r="E123" s="15">
        <v>182750</v>
      </c>
      <c r="F123" s="15">
        <f t="shared" si="10"/>
        <v>-11540</v>
      </c>
      <c r="G123" s="16">
        <f t="shared" si="11"/>
        <v>-6.3146374829001373E-2</v>
      </c>
      <c r="H123" s="17">
        <v>186484</v>
      </c>
      <c r="I123" s="17">
        <f t="shared" si="12"/>
        <v>-15274</v>
      </c>
      <c r="J123" s="16">
        <f t="shared" si="13"/>
        <v>-8.1905150039681685E-2</v>
      </c>
      <c r="K123" s="61" t="s">
        <v>782</v>
      </c>
      <c r="L123" s="61" t="s">
        <v>783</v>
      </c>
    </row>
    <row r="124" spans="1:12" ht="15.75">
      <c r="A124" s="29" t="str">
        <v>Shortal</v>
      </c>
      <c r="B124" s="26" t="str">
        <v>MD</v>
      </c>
      <c r="C124" s="26" t="str">
        <f>Sites[[#This Row],[SOL'#]]</f>
        <v>SOL-10091</v>
      </c>
      <c r="D124" s="21">
        <v>188633</v>
      </c>
      <c r="E124" s="11">
        <v>196020.05499999999</v>
      </c>
      <c r="F124" s="11">
        <f t="shared" si="10"/>
        <v>-7387.054999999993</v>
      </c>
      <c r="G124" s="12">
        <f t="shared" si="11"/>
        <v>-3.7685200118936772E-2</v>
      </c>
      <c r="H124" s="13">
        <v>160073</v>
      </c>
      <c r="I124" s="13">
        <f t="shared" si="12"/>
        <v>28560</v>
      </c>
      <c r="J124" s="14">
        <f t="shared" si="13"/>
        <v>0.17841859651533987</v>
      </c>
      <c r="K124" s="66"/>
      <c r="L124" s="66"/>
    </row>
    <row r="125" spans="1:12" ht="15.75">
      <c r="A125" s="27" t="str">
        <v>Aguadilla</v>
      </c>
      <c r="B125" s="28" t="str">
        <v>PR</v>
      </c>
      <c r="C125" s="28" t="str">
        <f>Sites[[#This Row],[SOL'#]]</f>
        <v>SOL-10072</v>
      </c>
      <c r="D125" s="10">
        <v>22184</v>
      </c>
      <c r="E125" s="15">
        <v>19035.078000000001</v>
      </c>
      <c r="F125" s="15">
        <f t="shared" si="10"/>
        <v>3148.9219999999987</v>
      </c>
      <c r="G125" s="16">
        <f t="shared" si="11"/>
        <v>0.16542732317671607</v>
      </c>
      <c r="H125" s="17">
        <v>23213</v>
      </c>
      <c r="I125" s="17">
        <f t="shared" si="12"/>
        <v>-1029</v>
      </c>
      <c r="J125" s="16">
        <f t="shared" si="13"/>
        <v>-4.4328608969112136E-2</v>
      </c>
      <c r="K125" s="61"/>
      <c r="L125" s="61"/>
    </row>
    <row r="126" spans="1:12" ht="15.75">
      <c r="A126" s="29" t="str">
        <v>Bayamon</v>
      </c>
      <c r="B126" s="26" t="str">
        <v>PR</v>
      </c>
      <c r="C126" s="26" t="str">
        <f>Sites[[#This Row],[SOL'#]]</f>
        <v>SOL-10073</v>
      </c>
      <c r="D126" s="21">
        <v>74219</v>
      </c>
      <c r="E126" s="11">
        <v>73608.009999999995</v>
      </c>
      <c r="F126" s="11">
        <f t="shared" si="10"/>
        <v>610.99000000000524</v>
      </c>
      <c r="G126" s="12">
        <f t="shared" si="11"/>
        <v>8.3005911992459144E-3</v>
      </c>
      <c r="H126" s="13">
        <v>86974</v>
      </c>
      <c r="I126" s="13">
        <f t="shared" si="12"/>
        <v>-12755</v>
      </c>
      <c r="J126" s="14">
        <f t="shared" si="13"/>
        <v>-0.14665302274242878</v>
      </c>
      <c r="K126" s="66" t="s">
        <v>784</v>
      </c>
      <c r="L126" s="66" t="s">
        <v>785</v>
      </c>
    </row>
    <row r="127" spans="1:12" ht="198.75" customHeight="1">
      <c r="A127" s="27" t="str">
        <v>St Francis</v>
      </c>
      <c r="B127" s="28" t="str">
        <v>PR</v>
      </c>
      <c r="C127" s="28" t="str">
        <f>Sites[[#This Row],[SOL'#]]</f>
        <v>SOL-10034</v>
      </c>
      <c r="D127" s="10">
        <v>27397</v>
      </c>
      <c r="E127" s="15">
        <v>59876.385000000002</v>
      </c>
      <c r="F127" s="15">
        <f t="shared" si="10"/>
        <v>-32479.385000000002</v>
      </c>
      <c r="G127" s="16">
        <f t="shared" si="11"/>
        <v>-0.54244064667564684</v>
      </c>
      <c r="H127" s="17">
        <v>44155</v>
      </c>
      <c r="I127" s="17">
        <f t="shared" si="12"/>
        <v>-16758</v>
      </c>
      <c r="J127" s="16">
        <f t="shared" si="13"/>
        <v>-0.37952666742158309</v>
      </c>
      <c r="K127" s="61" t="s">
        <v>786</v>
      </c>
      <c r="L127" s="61" t="s">
        <v>787</v>
      </c>
    </row>
    <row r="128" spans="1:12" ht="15.75">
      <c r="A128" s="29" t="str">
        <v>Seaport</v>
      </c>
      <c r="B128" s="26" t="str">
        <v>MA</v>
      </c>
      <c r="C128" s="26" t="str">
        <f>Sites[[#This Row],[SOL'#]]</f>
        <v>SOL-10772</v>
      </c>
      <c r="D128" s="21">
        <v>77897</v>
      </c>
      <c r="E128" s="11">
        <v>74970.854999999996</v>
      </c>
      <c r="F128" s="11">
        <f t="shared" si="10"/>
        <v>2926.1450000000041</v>
      </c>
      <c r="G128" s="12">
        <f t="shared" si="11"/>
        <v>3.903043389327765E-2</v>
      </c>
      <c r="H128" s="13">
        <v>89506</v>
      </c>
      <c r="I128" s="13">
        <f t="shared" si="12"/>
        <v>-11609</v>
      </c>
      <c r="J128" s="14">
        <f t="shared" si="13"/>
        <v>-0.12970080218085939</v>
      </c>
      <c r="K128" s="66"/>
      <c r="L128" s="66"/>
    </row>
    <row r="129" spans="1:12" ht="15.75">
      <c r="A129" s="27" t="str">
        <v>Sprague St</v>
      </c>
      <c r="B129" s="28" t="str">
        <v>MA</v>
      </c>
      <c r="C129" s="28" t="str">
        <f>Sites[[#This Row],[SOL'#]]</f>
        <v>SOL-10773</v>
      </c>
      <c r="D129" s="10">
        <v>175135</v>
      </c>
      <c r="E129" s="15">
        <v>177357.96</v>
      </c>
      <c r="F129" s="15">
        <f t="shared" si="10"/>
        <v>-2222.9599999999919</v>
      </c>
      <c r="G129" s="16">
        <f t="shared" si="11"/>
        <v>-1.2533748132872028E-2</v>
      </c>
      <c r="H129" s="17">
        <v>200777</v>
      </c>
      <c r="I129" s="17">
        <f t="shared" si="12"/>
        <v>-25642</v>
      </c>
      <c r="J129" s="16">
        <f t="shared" si="13"/>
        <v>-0.12771383176359841</v>
      </c>
      <c r="K129" s="61" t="s">
        <v>788</v>
      </c>
      <c r="L129" s="61" t="s">
        <v>789</v>
      </c>
    </row>
    <row r="130" spans="1:12" ht="57">
      <c r="A130" s="29" t="str">
        <v>Summer St</v>
      </c>
      <c r="B130" s="26" t="str">
        <v>MA</v>
      </c>
      <c r="C130" s="26" t="str">
        <f>Sites[[#This Row],[SOL'#]]</f>
        <v>SOL-10764</v>
      </c>
      <c r="D130" s="21">
        <v>355272</v>
      </c>
      <c r="E130" s="11">
        <v>376260.12300000002</v>
      </c>
      <c r="F130" s="11">
        <f t="shared" si="10"/>
        <v>-20988.123000000021</v>
      </c>
      <c r="G130" s="12">
        <f t="shared" si="11"/>
        <v>-5.5780885927154231E-2</v>
      </c>
      <c r="H130" s="13">
        <v>426307</v>
      </c>
      <c r="I130" s="13">
        <f t="shared" si="12"/>
        <v>-71035</v>
      </c>
      <c r="J130" s="14">
        <f t="shared" si="13"/>
        <v>-0.16662874407410622</v>
      </c>
      <c r="K130" s="66" t="s">
        <v>790</v>
      </c>
      <c r="L130" s="66" t="s">
        <v>791</v>
      </c>
    </row>
    <row r="131" spans="1:12" ht="15.75">
      <c r="A131" s="27" t="str">
        <v>Brock St Vocational</v>
      </c>
      <c r="B131" s="28" t="str">
        <v>NH</v>
      </c>
      <c r="C131" s="28" t="str">
        <f>Sites[[#This Row],[SOL'#]]</f>
        <v>SOL-10768</v>
      </c>
      <c r="D131" s="10">
        <v>18170.121999999999</v>
      </c>
      <c r="E131" s="15">
        <v>17596.841</v>
      </c>
      <c r="F131" s="15">
        <f t="shared" si="10"/>
        <v>573.28099999999904</v>
      </c>
      <c r="G131" s="16">
        <f t="shared" si="11"/>
        <v>3.2578631585066832E-2</v>
      </c>
      <c r="H131" s="17">
        <v>13796</v>
      </c>
      <c r="I131" s="17">
        <f t="shared" si="12"/>
        <v>4374.1219999999994</v>
      </c>
      <c r="J131" s="16">
        <f t="shared" si="13"/>
        <v>0.31705726297477527</v>
      </c>
      <c r="L131" s="61"/>
    </row>
    <row r="132" spans="1:12" ht="15.75">
      <c r="A132" s="29" t="str">
        <v>McClelland ES</v>
      </c>
      <c r="B132" s="26" t="str">
        <v>NH</v>
      </c>
      <c r="C132" s="26" t="str">
        <f>Sites[[#This Row],[SOL'#]]</f>
        <v>SOL-10766</v>
      </c>
      <c r="D132" s="21">
        <v>13283.218999999999</v>
      </c>
      <c r="E132" s="11">
        <v>14125.928</v>
      </c>
      <c r="F132" s="11">
        <f t="shared" si="10"/>
        <v>-842.70900000000074</v>
      </c>
      <c r="G132" s="12">
        <f t="shared" si="11"/>
        <v>-5.9656894754100458E-2</v>
      </c>
      <c r="H132" s="13">
        <v>10078</v>
      </c>
      <c r="I132" s="13">
        <f t="shared" si="12"/>
        <v>3205.2189999999991</v>
      </c>
      <c r="J132" s="14">
        <f t="shared" si="13"/>
        <v>0.3180411788053184</v>
      </c>
      <c r="K132" s="89"/>
      <c r="L132" s="66"/>
    </row>
    <row r="133" spans="1:12" ht="15.75">
      <c r="A133" s="27" t="str">
        <v>Portland St</v>
      </c>
      <c r="B133" s="28" t="str">
        <v>NH</v>
      </c>
      <c r="C133" s="28" t="str">
        <f>Sites[[#This Row],[SOL'#]]</f>
        <v>SOL-10771</v>
      </c>
      <c r="D133" s="10">
        <v>11698.188</v>
      </c>
      <c r="E133" s="15">
        <v>8345.1129999999994</v>
      </c>
      <c r="F133" s="15">
        <f t="shared" si="10"/>
        <v>3353.0750000000007</v>
      </c>
      <c r="G133" s="16">
        <f t="shared" si="11"/>
        <v>0.40180103013584129</v>
      </c>
      <c r="H133" s="17">
        <v>9993</v>
      </c>
      <c r="I133" s="17">
        <f t="shared" si="12"/>
        <v>1705.1880000000001</v>
      </c>
      <c r="J133" s="16">
        <f t="shared" si="13"/>
        <v>0.17063824677274092</v>
      </c>
      <c r="K133" s="61"/>
      <c r="L133" s="61"/>
    </row>
    <row r="134" spans="1:12" ht="15.75">
      <c r="A134" s="29" t="str">
        <v>Portsmouth HS</v>
      </c>
      <c r="B134" s="26" t="str">
        <v>NH</v>
      </c>
      <c r="C134" s="26" t="str">
        <f>Sites[[#This Row],[SOL'#]]</f>
        <v>SOL-10769</v>
      </c>
      <c r="D134" s="21">
        <v>42001</v>
      </c>
      <c r="E134" s="11">
        <v>39078.904000000002</v>
      </c>
      <c r="F134" s="11">
        <f t="shared" si="10"/>
        <v>2922.0959999999977</v>
      </c>
      <c r="G134" s="12">
        <f t="shared" si="11"/>
        <v>7.4774256719175078E-2</v>
      </c>
      <c r="H134" s="13">
        <v>37065</v>
      </c>
      <c r="I134" s="13">
        <f t="shared" si="12"/>
        <v>4936</v>
      </c>
      <c r="J134" s="14">
        <f t="shared" si="13"/>
        <v>0.13317145555105894</v>
      </c>
      <c r="K134" s="66"/>
      <c r="L134" s="66"/>
    </row>
    <row r="135" spans="1:12" ht="15.75">
      <c r="A135" s="27" t="str">
        <v>Portsmouth WTP</v>
      </c>
      <c r="B135" s="28" t="str">
        <v>NH</v>
      </c>
      <c r="C135" s="28" t="str">
        <f>Sites[[#This Row],[SOL'#]]</f>
        <v>SOL-10770</v>
      </c>
      <c r="D135" s="10">
        <v>30680</v>
      </c>
      <c r="E135" s="15">
        <v>39020.446000000004</v>
      </c>
      <c r="F135" s="15">
        <f t="shared" si="10"/>
        <v>-8340.4460000000036</v>
      </c>
      <c r="G135" s="16">
        <f t="shared" si="11"/>
        <v>-0.21374553227812934</v>
      </c>
      <c r="H135" s="17">
        <v>32008</v>
      </c>
      <c r="I135" s="17">
        <f t="shared" si="12"/>
        <v>-1328</v>
      </c>
      <c r="J135" s="84">
        <f t="shared" si="13"/>
        <v>-4.1489627593101722E-2</v>
      </c>
      <c r="K135" s="61" t="s">
        <v>644</v>
      </c>
      <c r="L135" s="61" t="s">
        <v>645</v>
      </c>
    </row>
    <row r="136" spans="1:12" ht="15.75">
      <c r="A136" s="29" t="str">
        <v>Rochester St</v>
      </c>
      <c r="B136" s="26" t="str">
        <v>NH</v>
      </c>
      <c r="C136" s="26" t="str">
        <f>Sites[[#This Row],[SOL'#]]</f>
        <v>SOL-10765</v>
      </c>
      <c r="D136" s="21">
        <v>38847.379000000001</v>
      </c>
      <c r="E136" s="11">
        <v>40587.976000000002</v>
      </c>
      <c r="F136" s="11">
        <f t="shared" si="10"/>
        <v>-1740.5970000000016</v>
      </c>
      <c r="G136" s="12">
        <f t="shared" si="11"/>
        <v>-4.2884547876937774E-2</v>
      </c>
      <c r="H136" s="13">
        <v>31677</v>
      </c>
      <c r="I136" s="13">
        <f t="shared" si="12"/>
        <v>7170.3790000000008</v>
      </c>
      <c r="J136" s="14">
        <f t="shared" si="13"/>
        <v>0.22635915648577834</v>
      </c>
      <c r="K136" s="66"/>
      <c r="L136" s="66"/>
    </row>
    <row r="137" spans="1:12" ht="15.75">
      <c r="A137" s="27" t="str">
        <v>Spaulding HS</v>
      </c>
      <c r="B137" s="28" t="str">
        <v>NH</v>
      </c>
      <c r="C137" s="28" t="str">
        <f>Sites[[#This Row],[SOL'#]]</f>
        <v>SOL-10767</v>
      </c>
      <c r="D137" s="10">
        <v>19902.743999999999</v>
      </c>
      <c r="E137" s="15">
        <v>16581.517</v>
      </c>
      <c r="F137" s="15">
        <f t="shared" si="10"/>
        <v>3321.226999999999</v>
      </c>
      <c r="G137" s="16">
        <f t="shared" si="11"/>
        <v>0.20029693302488541</v>
      </c>
      <c r="H137" s="17">
        <v>15688</v>
      </c>
      <c r="I137" s="17">
        <f t="shared" si="12"/>
        <v>4214.7439999999988</v>
      </c>
      <c r="J137" s="16">
        <f t="shared" si="13"/>
        <v>0.26866037735849047</v>
      </c>
      <c r="K137" s="61"/>
      <c r="L137" s="61"/>
    </row>
    <row r="138" spans="1:12" ht="15.75">
      <c r="A138" s="29" t="str">
        <v>Ridgeway #2</v>
      </c>
      <c r="B138" s="26" t="str">
        <v>NY</v>
      </c>
      <c r="C138" s="26" t="str">
        <f>Sites[[#This Row],[SOL'#]]</f>
        <v>SOL-11027</v>
      </c>
      <c r="D138" s="21">
        <v>676648</v>
      </c>
      <c r="E138" s="11">
        <v>0</v>
      </c>
      <c r="F138" s="11">
        <f t="shared" si="10"/>
        <v>676648</v>
      </c>
      <c r="G138" s="12" t="str">
        <f t="shared" si="11"/>
        <v/>
      </c>
      <c r="H138" s="13">
        <v>685679</v>
      </c>
      <c r="I138" s="13">
        <f t="shared" si="12"/>
        <v>-9031</v>
      </c>
      <c r="J138" s="14">
        <f t="shared" si="13"/>
        <v>-1.31708860851798E-2</v>
      </c>
      <c r="K138" s="66" t="s">
        <v>792</v>
      </c>
      <c r="L138" s="66" t="s">
        <v>793</v>
      </c>
    </row>
    <row r="139" spans="1:12" ht="42.75">
      <c r="A139" s="27" t="str">
        <v>Spencer</v>
      </c>
      <c r="B139" s="28" t="str">
        <v>NY</v>
      </c>
      <c r="C139" s="28" t="str">
        <f>Sites[[#This Row],[SOL'#]]</f>
        <v>SOL-11017</v>
      </c>
      <c r="D139" s="10">
        <v>1303360.3999999999</v>
      </c>
      <c r="E139" s="15">
        <v>0</v>
      </c>
      <c r="F139" s="15">
        <f t="shared" ref="F139:F159" si="14">IF(AND(ISNUMBER(D139),ISNUMBER(E139)), D139-E139, "")</f>
        <v>1303360.3999999999</v>
      </c>
      <c r="G139" s="16" t="str">
        <f t="shared" ref="G139:G159" si="15">IFERROR(F139/E139, "")</f>
        <v/>
      </c>
      <c r="H139" s="17">
        <v>1310000</v>
      </c>
      <c r="I139" s="17">
        <f t="shared" si="12"/>
        <v>-6639.6000000000931</v>
      </c>
      <c r="J139" s="16">
        <f t="shared" si="13"/>
        <v>-5.0683969465649568E-3</v>
      </c>
      <c r="K139" s="61" t="s">
        <v>794</v>
      </c>
      <c r="L139" s="61" t="s">
        <v>795</v>
      </c>
    </row>
    <row r="140" spans="1:12" ht="15.75">
      <c r="A140" s="29" t="str">
        <v>Reisender</v>
      </c>
      <c r="B140" s="26" t="str">
        <v>NY</v>
      </c>
      <c r="C140" s="26" t="str">
        <f>Sites[[#This Row],[SOL'#]]</f>
        <v>SOL-10886</v>
      </c>
      <c r="D140" s="21">
        <v>393490</v>
      </c>
      <c r="E140" s="11">
        <v>393626.34</v>
      </c>
      <c r="F140" s="11">
        <f t="shared" si="14"/>
        <v>-136.34000000002561</v>
      </c>
      <c r="G140" s="12">
        <f t="shared" si="15"/>
        <v>-3.4636909714940724E-4</v>
      </c>
      <c r="H140" s="13">
        <v>417219</v>
      </c>
      <c r="I140" s="13">
        <f t="shared" si="12"/>
        <v>-23729</v>
      </c>
      <c r="J140" s="14">
        <f t="shared" si="13"/>
        <v>-5.6874207550471095E-2</v>
      </c>
      <c r="K140" s="66"/>
      <c r="L140" s="66"/>
    </row>
    <row r="141" spans="1:12" ht="28.5">
      <c r="A141" s="27" t="str">
        <v>Finney</v>
      </c>
      <c r="B141" s="28" t="str">
        <v>NY</v>
      </c>
      <c r="C141" s="28" t="str">
        <f>Sites[[#This Row],[SOL'#]]</f>
        <v>SOL-10999</v>
      </c>
      <c r="D141" s="10">
        <v>960330</v>
      </c>
      <c r="E141" s="15">
        <v>0</v>
      </c>
      <c r="F141" s="15">
        <f t="shared" si="14"/>
        <v>960330</v>
      </c>
      <c r="G141" s="16" t="str">
        <f t="shared" si="15"/>
        <v/>
      </c>
      <c r="H141" s="17">
        <v>1320303</v>
      </c>
      <c r="I141" s="17">
        <f t="shared" si="12"/>
        <v>-359973</v>
      </c>
      <c r="J141" s="16">
        <f t="shared" si="13"/>
        <v>-0.27264423393720988</v>
      </c>
      <c r="K141" s="61" t="s">
        <v>796</v>
      </c>
      <c r="L141" s="61" t="s">
        <v>797</v>
      </c>
    </row>
    <row r="142" spans="1:12" ht="171">
      <c r="A142" s="29" t="str">
        <v>Davis Solar</v>
      </c>
      <c r="B142" s="26" t="str">
        <v>NY</v>
      </c>
      <c r="C142" s="26" t="str">
        <f>Sites[[#This Row],[SOL'#]]</f>
        <v>SOL-10958</v>
      </c>
      <c r="D142" s="21">
        <v>367020</v>
      </c>
      <c r="E142" s="11">
        <v>443010</v>
      </c>
      <c r="F142" s="11">
        <f t="shared" si="14"/>
        <v>-75990</v>
      </c>
      <c r="G142" s="12">
        <f t="shared" si="15"/>
        <v>-0.17153111667908175</v>
      </c>
      <c r="H142" s="13">
        <v>479574</v>
      </c>
      <c r="I142" s="13">
        <f t="shared" si="12"/>
        <v>-112554</v>
      </c>
      <c r="J142" s="14">
        <f t="shared" si="13"/>
        <v>-0.23469579251585782</v>
      </c>
      <c r="K142" s="89" t="s">
        <v>798</v>
      </c>
      <c r="L142" s="66" t="s">
        <v>799</v>
      </c>
    </row>
    <row r="143" spans="1:12" ht="42.75">
      <c r="A143" s="27" t="str">
        <v>Genesee</v>
      </c>
      <c r="B143" s="28" t="str">
        <v>NY</v>
      </c>
      <c r="C143" s="28" t="str">
        <f>Sites[[#This Row],[SOL'#]]</f>
        <v>SOL-10951</v>
      </c>
      <c r="D143" s="10">
        <v>968228.9</v>
      </c>
      <c r="E143" s="15">
        <v>0</v>
      </c>
      <c r="F143" s="15">
        <f t="shared" si="14"/>
        <v>968228.9</v>
      </c>
      <c r="G143" s="16" t="str">
        <f t="shared" si="15"/>
        <v/>
      </c>
      <c r="H143" s="17">
        <v>1018453</v>
      </c>
      <c r="I143" s="17">
        <f t="shared" si="12"/>
        <v>-50224.099999999977</v>
      </c>
      <c r="J143" s="16">
        <f t="shared" si="13"/>
        <v>-4.9314106787451142E-2</v>
      </c>
      <c r="K143" s="61" t="s">
        <v>800</v>
      </c>
      <c r="L143" s="61" t="s">
        <v>801</v>
      </c>
    </row>
    <row r="144" spans="1:12" ht="15.75">
      <c r="A144" s="29" t="str">
        <v>Landau I</v>
      </c>
      <c r="B144" s="26" t="str">
        <v>NY</v>
      </c>
      <c r="C144" s="26" t="str">
        <f>Sites[[#This Row],[SOL'#]]</f>
        <v>SOL-10891</v>
      </c>
      <c r="D144" s="21">
        <v>385068</v>
      </c>
      <c r="E144" s="11">
        <v>0</v>
      </c>
      <c r="F144" s="11">
        <f t="shared" si="14"/>
        <v>385068</v>
      </c>
      <c r="G144" s="12" t="str">
        <f t="shared" si="15"/>
        <v/>
      </c>
      <c r="H144" s="13">
        <v>451185</v>
      </c>
      <c r="I144" s="13">
        <f t="shared" si="12"/>
        <v>-66117</v>
      </c>
      <c r="J144" s="14">
        <f t="shared" si="13"/>
        <v>-0.1465407759566475</v>
      </c>
      <c r="K144" s="66" t="s">
        <v>802</v>
      </c>
      <c r="L144" s="66" t="s">
        <v>803</v>
      </c>
    </row>
    <row r="145" spans="1:12" ht="185.25">
      <c r="A145" s="27" t="str">
        <v>Landau II</v>
      </c>
      <c r="B145" s="28" t="str">
        <v>NY</v>
      </c>
      <c r="C145" s="28" t="str">
        <f>Sites[[#This Row],[SOL'#]]</f>
        <v>SOL-10895</v>
      </c>
      <c r="D145" s="10">
        <v>299660</v>
      </c>
      <c r="E145" s="15">
        <v>0</v>
      </c>
      <c r="F145" s="15"/>
      <c r="G145" s="16"/>
      <c r="H145" s="17">
        <v>945841</v>
      </c>
      <c r="I145" s="85">
        <f>IF(AND(ISNUMBER(D145),ISNUMBER(H145)), D145-H145, "")</f>
        <v>-646181</v>
      </c>
      <c r="J145" s="80">
        <f>IFERROR(I145/H145, "")</f>
        <v>-0.6831814226704066</v>
      </c>
      <c r="K145" s="61" t="s">
        <v>804</v>
      </c>
      <c r="L145" s="61" t="s">
        <v>805</v>
      </c>
    </row>
    <row r="146" spans="1:12" ht="15.75">
      <c r="A146" s="29" t="str">
        <v>New Beginnings</v>
      </c>
      <c r="B146" s="26" t="str">
        <v>NY</v>
      </c>
      <c r="C146" s="26" t="str">
        <f>Sites[[#This Row],[SOL'#]]</f>
        <v>SOL-10890</v>
      </c>
      <c r="D146" s="21">
        <v>394510</v>
      </c>
      <c r="E146" s="11">
        <v>401137.41</v>
      </c>
      <c r="F146" s="11">
        <v>-6627.4099999999744</v>
      </c>
      <c r="G146" s="12">
        <v>-1.6521545572126956E-2</v>
      </c>
      <c r="H146" s="13">
        <v>432175</v>
      </c>
      <c r="I146" s="13">
        <v>-30598.210000000021</v>
      </c>
      <c r="J146" s="14">
        <v>-7.1977461926693964E-2</v>
      </c>
      <c r="K146" s="66" t="s">
        <v>806</v>
      </c>
      <c r="L146" s="66" t="s">
        <v>807</v>
      </c>
    </row>
    <row r="147" spans="1:12" ht="15.75">
      <c r="A147" s="27" t="str">
        <v>Guilin Farm Solar</v>
      </c>
      <c r="B147" s="28" t="str">
        <v>NY</v>
      </c>
      <c r="C147" s="28" t="str">
        <f>Sites[[#This Row],[SOL'#]]</f>
        <v>SOL-10998</v>
      </c>
      <c r="D147" s="10">
        <v>1274210</v>
      </c>
      <c r="E147" s="15">
        <v>1299987</v>
      </c>
      <c r="F147" s="15">
        <f t="shared" si="14"/>
        <v>-25777</v>
      </c>
      <c r="G147" s="16">
        <f t="shared" si="15"/>
        <v>-1.982865982505979E-2</v>
      </c>
      <c r="H147" s="17">
        <v>1271770</v>
      </c>
      <c r="I147" s="17">
        <f t="shared" ref="I147:I159" si="16">IF(AND(ISNUMBER(D147),ISNUMBER(H147)), D147-H147, "")</f>
        <v>2440</v>
      </c>
      <c r="J147" s="16">
        <f t="shared" ref="J147:J158" si="17">IFERROR(I147/H147, "")</f>
        <v>1.9185859078292458E-3</v>
      </c>
      <c r="K147" s="61"/>
      <c r="L147" s="61"/>
    </row>
    <row r="148" spans="1:12" ht="15.75">
      <c r="A148" s="29" t="str">
        <v>Brodhead Solar</v>
      </c>
      <c r="B148" s="26" t="str">
        <v>NY</v>
      </c>
      <c r="C148" s="26" t="str">
        <f>Sites[[#This Row],[SOL'#]]</f>
        <v>SOL-10899</v>
      </c>
      <c r="D148" s="21">
        <v>511889</v>
      </c>
      <c r="E148" s="11">
        <v>536240</v>
      </c>
      <c r="F148" s="11">
        <f t="shared" si="14"/>
        <v>-24351</v>
      </c>
      <c r="G148" s="12">
        <f t="shared" si="15"/>
        <v>-4.5410637028196331E-2</v>
      </c>
      <c r="H148" s="13">
        <v>538931</v>
      </c>
      <c r="I148" s="13">
        <f t="shared" si="16"/>
        <v>-27042</v>
      </c>
      <c r="J148" s="14">
        <f t="shared" si="17"/>
        <v>-5.0177109871207999E-2</v>
      </c>
      <c r="K148" s="66"/>
      <c r="L148" s="66"/>
    </row>
    <row r="149" spans="1:12" ht="114">
      <c r="A149" s="27" t="str">
        <v>Svenski</v>
      </c>
      <c r="B149" s="28" t="str">
        <v>NY</v>
      </c>
      <c r="C149" s="28" t="str">
        <f>Sites[[#This Row],[SOL'#]]</f>
        <v>SOL-10894</v>
      </c>
      <c r="D149" s="10">
        <v>349558</v>
      </c>
      <c r="E149" s="15">
        <v>0</v>
      </c>
      <c r="F149" s="15">
        <f t="shared" si="14"/>
        <v>349558</v>
      </c>
      <c r="G149" s="16" t="str">
        <f t="shared" si="15"/>
        <v/>
      </c>
      <c r="H149" s="17">
        <v>457772</v>
      </c>
      <c r="I149" s="17">
        <f t="shared" si="16"/>
        <v>-108214</v>
      </c>
      <c r="J149" s="16">
        <f t="shared" si="17"/>
        <v>-0.23639278942355582</v>
      </c>
      <c r="K149" s="61" t="s">
        <v>808</v>
      </c>
      <c r="L149" s="61" t="s">
        <v>809</v>
      </c>
    </row>
    <row r="150" spans="1:12" ht="15.75">
      <c r="A150" s="29" t="str">
        <v>Bantam</v>
      </c>
      <c r="B150" s="26" t="str">
        <v>NY</v>
      </c>
      <c r="C150" s="26" t="str">
        <f>Sites[[#This Row],[SOL'#]]</f>
        <v>SOL-10986</v>
      </c>
      <c r="D150" s="21">
        <v>1299910</v>
      </c>
      <c r="E150" s="11">
        <v>0</v>
      </c>
      <c r="F150" s="11">
        <f t="shared" si="14"/>
        <v>1299910</v>
      </c>
      <c r="G150" s="12" t="str">
        <f t="shared" si="15"/>
        <v/>
      </c>
      <c r="H150" s="13">
        <v>1302191</v>
      </c>
      <c r="I150" s="13">
        <f t="shared" si="16"/>
        <v>-2281</v>
      </c>
      <c r="J150" s="14">
        <f t="shared" si="17"/>
        <v>-1.7516631584767518E-3</v>
      </c>
      <c r="K150" s="66"/>
      <c r="L150" s="66"/>
    </row>
    <row r="151" spans="1:12" ht="15.75">
      <c r="A151" s="27" t="str">
        <v>Bogart</v>
      </c>
      <c r="B151" s="28" t="str">
        <v>NY</v>
      </c>
      <c r="C151" s="28" t="str">
        <f>Sites[[#This Row],[SOL'#]]</f>
        <v>SOL-10887</v>
      </c>
      <c r="D151" s="10">
        <v>369420</v>
      </c>
      <c r="E151" s="15">
        <v>400685.88</v>
      </c>
      <c r="F151" s="15">
        <f t="shared" si="14"/>
        <v>-31265.880000000005</v>
      </c>
      <c r="G151" s="16">
        <f t="shared" si="15"/>
        <v>-7.8030900415058307E-2</v>
      </c>
      <c r="H151" s="17">
        <v>421461</v>
      </c>
      <c r="I151" s="17">
        <f t="shared" si="16"/>
        <v>-52041</v>
      </c>
      <c r="J151" s="16">
        <f t="shared" si="17"/>
        <v>-0.12347761714607046</v>
      </c>
      <c r="K151" s="61"/>
      <c r="L151" s="61"/>
    </row>
    <row r="152" spans="1:12" ht="42.75">
      <c r="A152" s="29" t="str">
        <v>Dubois</v>
      </c>
      <c r="B152" s="26" t="str">
        <v>NY</v>
      </c>
      <c r="C152" s="26" t="str">
        <f>Sites[[#This Row],[SOL'#]]</f>
        <v>SOL-10892</v>
      </c>
      <c r="D152" s="21">
        <v>395655</v>
      </c>
      <c r="E152" s="11">
        <v>0</v>
      </c>
      <c r="F152" s="11">
        <f t="shared" si="14"/>
        <v>395655</v>
      </c>
      <c r="G152" s="12" t="str">
        <f t="shared" si="15"/>
        <v/>
      </c>
      <c r="H152" s="13">
        <v>438467</v>
      </c>
      <c r="I152" s="13">
        <f t="shared" si="16"/>
        <v>-42812</v>
      </c>
      <c r="J152" s="14">
        <f t="shared" si="17"/>
        <v>-9.7640187288895175E-2</v>
      </c>
      <c r="K152" s="66" t="s">
        <v>810</v>
      </c>
      <c r="L152" s="66" t="s">
        <v>811</v>
      </c>
    </row>
    <row r="153" spans="1:12" ht="42.75">
      <c r="A153" s="27" t="str">
        <v>Salt Point</v>
      </c>
      <c r="B153" s="28" t="str">
        <v>NY</v>
      </c>
      <c r="C153" s="28" t="str">
        <f>Sites[[#This Row],[SOL'#]]</f>
        <v>SOL-10888</v>
      </c>
      <c r="D153" s="10">
        <v>420440</v>
      </c>
      <c r="E153" s="15">
        <v>0</v>
      </c>
      <c r="F153" s="15">
        <f t="shared" si="14"/>
        <v>420440</v>
      </c>
      <c r="G153" s="16" t="str">
        <f t="shared" si="15"/>
        <v/>
      </c>
      <c r="H153" s="17">
        <v>517492</v>
      </c>
      <c r="I153" s="17">
        <f t="shared" si="16"/>
        <v>-97052</v>
      </c>
      <c r="J153" s="16">
        <f t="shared" si="17"/>
        <v>-0.18754299583375203</v>
      </c>
      <c r="K153" s="61" t="s">
        <v>812</v>
      </c>
      <c r="L153" s="61" t="s">
        <v>813</v>
      </c>
    </row>
    <row r="154" spans="1:12" ht="15.75">
      <c r="A154" s="29" t="str">
        <v>Wheatland 2A</v>
      </c>
      <c r="B154" s="26" t="str">
        <v>NY</v>
      </c>
      <c r="C154" s="26" t="str">
        <f>Sites[[#This Row],[SOL'#]]</f>
        <v>SOL-10971</v>
      </c>
      <c r="D154" s="21">
        <v>1158780</v>
      </c>
      <c r="E154" s="11">
        <v>0</v>
      </c>
      <c r="F154" s="11">
        <f t="shared" si="14"/>
        <v>1158780</v>
      </c>
      <c r="G154" s="12" t="str">
        <f t="shared" si="15"/>
        <v/>
      </c>
      <c r="H154" s="13">
        <v>1183271</v>
      </c>
      <c r="I154" s="13">
        <f t="shared" si="16"/>
        <v>-24491</v>
      </c>
      <c r="J154" s="14">
        <f t="shared" si="17"/>
        <v>-2.069770999204747E-2</v>
      </c>
      <c r="K154" s="66" t="s">
        <v>814</v>
      </c>
      <c r="L154" s="66" t="s">
        <v>815</v>
      </c>
    </row>
    <row r="155" spans="1:12" ht="15.75">
      <c r="A155" s="27" t="str">
        <v>Wheatland 2B</v>
      </c>
      <c r="B155" s="28" t="str">
        <v>NY</v>
      </c>
      <c r="C155" s="28" t="str">
        <f>Sites[[#This Row],[SOL'#]]</f>
        <v>SOL-10961</v>
      </c>
      <c r="D155" s="10">
        <v>1173510</v>
      </c>
      <c r="E155" s="15">
        <v>0</v>
      </c>
      <c r="F155" s="15">
        <f t="shared" si="14"/>
        <v>1173510</v>
      </c>
      <c r="G155" s="16" t="str">
        <f t="shared" si="15"/>
        <v/>
      </c>
      <c r="H155" s="17">
        <v>1173921</v>
      </c>
      <c r="I155" s="17">
        <f t="shared" si="16"/>
        <v>-411</v>
      </c>
      <c r="J155" s="16">
        <f t="shared" si="17"/>
        <v>-3.5010873815188588E-4</v>
      </c>
      <c r="K155" s="61" t="s">
        <v>816</v>
      </c>
      <c r="L155" s="61" t="s">
        <v>817</v>
      </c>
    </row>
    <row r="156" spans="1:12" ht="15.75">
      <c r="A156" s="29" t="str">
        <v>Brickchurch</v>
      </c>
      <c r="B156" s="26" t="str">
        <v>NY</v>
      </c>
      <c r="C156" s="26" t="str">
        <f>Sites[[#This Row],[SOL'#]]</f>
        <v>SOL-10889</v>
      </c>
      <c r="D156" s="21">
        <v>514280</v>
      </c>
      <c r="E156" s="11">
        <v>565408.27</v>
      </c>
      <c r="F156" s="11">
        <f t="shared" si="14"/>
        <v>-51128.270000000019</v>
      </c>
      <c r="G156" s="12">
        <f t="shared" si="15"/>
        <v>-9.0427170440927615E-2</v>
      </c>
      <c r="H156" s="13">
        <v>534720</v>
      </c>
      <c r="I156" s="13">
        <f t="shared" si="16"/>
        <v>-20440</v>
      </c>
      <c r="J156" s="14">
        <f t="shared" si="17"/>
        <v>-3.8225613405146616E-2</v>
      </c>
      <c r="K156" s="66"/>
      <c r="L156" s="66"/>
    </row>
    <row r="157" spans="1:12" ht="15.75">
      <c r="A157" s="27" t="str">
        <v>McCarthy Solar</v>
      </c>
      <c r="B157" s="28" t="str">
        <v>NY</v>
      </c>
      <c r="C157" s="28" t="str">
        <f>Sites[[#This Row],[SOL'#]]</f>
        <v>SOL-10992</v>
      </c>
      <c r="D157" s="10">
        <v>440247</v>
      </c>
      <c r="E157" s="15">
        <v>0</v>
      </c>
      <c r="F157" s="15">
        <f t="shared" si="14"/>
        <v>440247</v>
      </c>
      <c r="G157" s="16" t="str">
        <f t="shared" si="15"/>
        <v/>
      </c>
      <c r="H157" s="17">
        <v>450707</v>
      </c>
      <c r="I157" s="17">
        <f t="shared" si="16"/>
        <v>-10460</v>
      </c>
      <c r="J157" s="16">
        <f t="shared" si="17"/>
        <v>-2.3207982125860036E-2</v>
      </c>
      <c r="K157" s="61"/>
      <c r="L157" s="61"/>
    </row>
    <row r="158" spans="1:12" ht="15.75">
      <c r="A158" s="29" t="str">
        <v>Costanza</v>
      </c>
      <c r="B158" s="26" t="str">
        <v>NY</v>
      </c>
      <c r="C158" s="26" t="str">
        <f>Sites[[#This Row],[SOL'#]]</f>
        <v>SOL-10907</v>
      </c>
      <c r="D158" s="21">
        <v>438430</v>
      </c>
      <c r="E158" s="11">
        <v>0</v>
      </c>
      <c r="F158" s="11">
        <f t="shared" si="14"/>
        <v>438430</v>
      </c>
      <c r="G158" s="12" t="str">
        <f t="shared" si="15"/>
        <v/>
      </c>
      <c r="H158" s="13">
        <v>451333</v>
      </c>
      <c r="I158" s="13">
        <f t="shared" si="16"/>
        <v>-12903</v>
      </c>
      <c r="J158" s="14">
        <f t="shared" si="17"/>
        <v>-2.8588647406681985E-2</v>
      </c>
      <c r="K158" s="66"/>
      <c r="L158" s="66"/>
    </row>
    <row r="159" spans="1:12" ht="42.75">
      <c r="A159" s="27" t="str">
        <v>Lockenhurst Pond</v>
      </c>
      <c r="B159" s="28" t="str">
        <v>NY</v>
      </c>
      <c r="C159" s="28" t="str">
        <f>Sites[[#This Row],[SOL'#]]</f>
        <v>SOL-11000</v>
      </c>
      <c r="D159" s="10">
        <v>487057</v>
      </c>
      <c r="E159" s="15">
        <v>521671</v>
      </c>
      <c r="F159" s="15">
        <f t="shared" si="14"/>
        <v>-34614</v>
      </c>
      <c r="G159" s="16">
        <f t="shared" si="15"/>
        <v>-6.6352164486812568E-2</v>
      </c>
      <c r="H159" s="17">
        <v>531355</v>
      </c>
      <c r="I159" s="17">
        <f t="shared" si="16"/>
        <v>-44298</v>
      </c>
      <c r="J159" s="84">
        <f>IFERROR(I159/H159, "")</f>
        <v>-8.3367993149589259E-2</v>
      </c>
      <c r="K159" s="61" t="s">
        <v>818</v>
      </c>
      <c r="L159" s="61" t="s">
        <v>819</v>
      </c>
    </row>
    <row r="160" spans="1:12" ht="15.75">
      <c r="A160" s="29" t="str">
        <v>Drinkwater</v>
      </c>
      <c r="B160" s="26" t="str">
        <v>NY</v>
      </c>
      <c r="C160" s="26" t="str">
        <f>Sites[[#This Row],[SOL'#]]</f>
        <v>SOL-10896</v>
      </c>
      <c r="D160" s="21">
        <v>465034</v>
      </c>
      <c r="E160" s="11">
        <v>0</v>
      </c>
      <c r="F160" s="11"/>
      <c r="G160" s="12"/>
      <c r="H160" s="13">
        <v>462938</v>
      </c>
      <c r="I160" s="83">
        <f>IF(AND(ISNUMBER(D160),ISNUMBER(H160)), D160-H160, "")</f>
        <v>2096</v>
      </c>
      <c r="J160" s="80">
        <f>IFERROR(I160/H160, "")</f>
        <v>4.5276041284146038E-3</v>
      </c>
      <c r="K160" s="66"/>
      <c r="L160" s="66"/>
    </row>
    <row r="161" spans="1:12" ht="15.75">
      <c r="A161" s="27" t="str">
        <v>Altamont</v>
      </c>
      <c r="B161" s="28" t="str">
        <v>NY</v>
      </c>
      <c r="C161" s="28" t="s">
        <v>11</v>
      </c>
      <c r="D161" s="10"/>
      <c r="E161" s="15"/>
      <c r="F161" s="15"/>
      <c r="G161" s="16"/>
      <c r="H161" s="17"/>
      <c r="I161" s="17"/>
      <c r="J161" s="84"/>
      <c r="K161" s="61"/>
      <c r="L161" s="61"/>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G172"/>
      <c r="J172"/>
    </row>
    <row r="173" spans="1:12" ht="14.25">
      <c r="A173" s="18"/>
      <c r="B173" s="30"/>
      <c r="C173" s="30"/>
      <c r="D173" s="18"/>
      <c r="E173" s="18"/>
      <c r="G173"/>
      <c r="J173"/>
    </row>
    <row r="174" spans="1:12" ht="14.25">
      <c r="A174" s="18"/>
      <c r="B174" s="30"/>
      <c r="C174" s="30"/>
      <c r="D174" s="18"/>
      <c r="E174" s="18"/>
      <c r="G174"/>
      <c r="J174"/>
    </row>
    <row r="175" spans="1:12" ht="14.25">
      <c r="A175" s="18"/>
      <c r="B175" s="30"/>
      <c r="C175" s="30"/>
      <c r="D175" s="18"/>
      <c r="E175" s="18"/>
      <c r="G175"/>
      <c r="J175"/>
    </row>
    <row r="176" spans="1:12" ht="14.25">
      <c r="A176" s="18"/>
      <c r="B176" s="30"/>
      <c r="C176" s="30"/>
      <c r="D176" s="18"/>
      <c r="E176" s="18"/>
      <c r="G176"/>
      <c r="J176"/>
    </row>
    <row r="177" spans="1:12" ht="14.25">
      <c r="A177" s="18"/>
      <c r="B177" s="30"/>
      <c r="C177" s="30"/>
      <c r="D177" s="18"/>
      <c r="E177" s="18"/>
      <c r="G177"/>
      <c r="J177"/>
    </row>
    <row r="178" spans="1:12" ht="14.25">
      <c r="A178" s="18"/>
      <c r="B178" s="30"/>
      <c r="C178" s="30"/>
      <c r="D178" s="18"/>
      <c r="E178" s="18"/>
      <c r="G178"/>
      <c r="J178"/>
    </row>
    <row r="179" spans="1:12" ht="14.25">
      <c r="A179" s="18"/>
      <c r="B179" s="30"/>
      <c r="C179" s="30"/>
      <c r="D179" s="18"/>
      <c r="E179" s="18"/>
      <c r="G179"/>
      <c r="J179"/>
    </row>
    <row r="180" spans="1:12" ht="14.25">
      <c r="A180" s="18"/>
      <c r="B180" s="30"/>
      <c r="C180" s="30"/>
      <c r="D180" s="18"/>
      <c r="E180" s="18"/>
      <c r="G180"/>
      <c r="J180"/>
    </row>
    <row r="181" spans="1:12" ht="14.25">
      <c r="A181" s="18"/>
      <c r="B181" s="30"/>
      <c r="C181" s="30"/>
      <c r="D181" s="18"/>
      <c r="E181" s="18"/>
      <c r="G181"/>
      <c r="J181"/>
    </row>
    <row r="182" spans="1:12" ht="14.25">
      <c r="A182" s="18"/>
      <c r="B182" s="30"/>
      <c r="C182" s="30"/>
      <c r="D182" s="18"/>
      <c r="E182" s="18"/>
      <c r="G182"/>
      <c r="J182"/>
    </row>
    <row r="183" spans="1:12" ht="14.25">
      <c r="A183" s="18"/>
      <c r="B183" s="30"/>
      <c r="C183" s="30"/>
      <c r="D183" s="18"/>
      <c r="E183" s="18"/>
      <c r="G183"/>
      <c r="J183"/>
    </row>
    <row r="184" spans="1:12" ht="14.25">
      <c r="A184" s="18"/>
      <c r="B184" s="30"/>
      <c r="C184" s="30"/>
      <c r="D184" s="18"/>
      <c r="E184" s="18"/>
      <c r="G184"/>
      <c r="J184"/>
    </row>
    <row r="185" spans="1:12" ht="14.25">
      <c r="A185" s="18"/>
      <c r="B185" s="30"/>
      <c r="C185" s="30"/>
      <c r="D185" s="18"/>
      <c r="E185" s="18"/>
      <c r="G185"/>
      <c r="J185"/>
    </row>
    <row r="186" spans="1:12" ht="14.25">
      <c r="A186" s="18"/>
      <c r="B186" s="30"/>
      <c r="C186" s="30"/>
      <c r="D186" s="18"/>
      <c r="E186" s="18"/>
      <c r="G186"/>
      <c r="J186"/>
    </row>
    <row r="187" spans="1:12" ht="14.25">
      <c r="A187" s="18"/>
      <c r="B187" s="30"/>
      <c r="C187" s="30"/>
      <c r="D187" s="18"/>
      <c r="E187" s="18"/>
      <c r="G187"/>
      <c r="J187"/>
    </row>
    <row r="188" spans="1:12" ht="14.25">
      <c r="A188" s="18"/>
      <c r="B188" s="30"/>
      <c r="C188" s="30"/>
      <c r="D188" s="18"/>
      <c r="E188" s="18"/>
      <c r="G188"/>
      <c r="J18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3.9">
      <c r="D339" s="18"/>
      <c r="E339" s="18"/>
      <c r="F339" s="18"/>
      <c r="G339" s="19"/>
      <c r="H339" s="18"/>
      <c r="I339" s="18"/>
      <c r="J339" s="19"/>
      <c r="K339" s="18"/>
      <c r="L339" s="18"/>
    </row>
  </sheetData>
  <sortState xmlns:xlrd2="http://schemas.microsoft.com/office/spreadsheetml/2017/richdata2" ref="A3:L15">
    <sortCondition ref="A3:A15"/>
  </sortState>
  <mergeCells count="4">
    <mergeCell ref="H1:J1"/>
    <mergeCell ref="A1:D1"/>
    <mergeCell ref="E1:G1"/>
    <mergeCell ref="A2:B2"/>
  </mergeCells>
  <phoneticPr fontId="43" type="noConversion"/>
  <conditionalFormatting sqref="G2 J2">
    <cfRule type="cellIs" dxfId="30" priority="31" stopIfTrue="1" operator="lessThanOrEqual">
      <formula>-0.1</formula>
    </cfRule>
    <cfRule type="expression" dxfId="29" priority="32">
      <formula>AND(ISNUMBER(G2), G2&gt;=0.1)</formula>
    </cfRule>
  </conditionalFormatting>
  <conditionalFormatting sqref="G4:G33 G35:G74 G76:G161">
    <cfRule type="cellIs" dxfId="28" priority="11" stopIfTrue="1" operator="lessThanOrEqual">
      <formula>-0.1</formula>
    </cfRule>
    <cfRule type="expression" dxfId="27" priority="12">
      <formula>AND(ISNUMBER(G4), G4&gt;=0.1)</formula>
    </cfRule>
  </conditionalFormatting>
  <conditionalFormatting sqref="J4:J161">
    <cfRule type="cellIs" dxfId="26" priority="1" stopIfTrue="1" operator="lessThanOrEqual">
      <formula>-0.1</formula>
    </cfRule>
    <cfRule type="expression" dxfId="25" priority="2">
      <formula>AND(ISNUMBER(J4), J4&gt;=0.1)</formula>
    </cfRule>
  </conditionalFormatting>
  <pageMargins left="0.4" right="0.7" top="0.25" bottom="0.25" header="0.3" footer="0.3"/>
  <pageSetup fitToHeight="99"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M341"/>
  <sheetViews>
    <sheetView zoomScale="70" zoomScaleNormal="70" workbookViewId="0">
      <pane xSplit="2" ySplit="3" topLeftCell="D107" activePane="bottomRight" state="frozen"/>
      <selection pane="bottomRight" activeCell="D119" sqref="D119"/>
      <selection pane="bottomLeft" activeCell="K49" sqref="K49"/>
      <selection pane="topRight" activeCell="K49" sqref="K49"/>
    </sheetView>
  </sheetViews>
  <sheetFormatPr defaultRowHeight="13.5"/>
  <cols>
    <col min="1" max="1" width="35.85546875" bestFit="1" customWidth="1"/>
    <col min="2" max="2" width="8.42578125" style="31" customWidth="1"/>
    <col min="3" max="3" width="18" style="3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23" t="str" cm="1">
        <f t="array" ref="A1">portfolio</f>
        <v>Generate Capital</v>
      </c>
      <c r="B1" s="123"/>
      <c r="C1" s="123"/>
      <c r="D1" s="123"/>
      <c r="E1" s="124" t="s">
        <v>820</v>
      </c>
      <c r="F1" s="124"/>
      <c r="G1" s="124"/>
      <c r="H1" s="122" t="s">
        <v>821</v>
      </c>
      <c r="I1" s="122"/>
      <c r="J1" s="122"/>
      <c r="K1" s="5"/>
      <c r="L1" s="5"/>
    </row>
    <row r="2" spans="1:12" ht="19.5" customHeight="1">
      <c r="A2" s="125" t="s">
        <v>2</v>
      </c>
      <c r="B2" s="125"/>
      <c r="C2" s="72"/>
      <c r="D2" s="6">
        <f>SUM(D4:D200)</f>
        <v>37416062.27719</v>
      </c>
      <c r="E2" s="6">
        <f>SUM(E4:E100)</f>
        <v>6992775.25</v>
      </c>
      <c r="F2" s="6">
        <f>D2-E2</f>
        <v>30423287.02719</v>
      </c>
      <c r="G2" s="7">
        <f>IFERROR(F2/E2, 0)</f>
        <v>4.3506742229689133</v>
      </c>
      <c r="H2" s="6">
        <f>SUM(H4:H200)</f>
        <v>47174826.049999997</v>
      </c>
      <c r="I2" s="8">
        <f>D2-H2</f>
        <v>-9758763.7728099972</v>
      </c>
      <c r="J2" s="7">
        <f>IFERROR(I2/H2, 0)</f>
        <v>-0.20686379982550032</v>
      </c>
      <c r="K2" s="23"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99">
        <v>13471</v>
      </c>
      <c r="E4" s="100">
        <v>8211</v>
      </c>
      <c r="F4" s="11">
        <f>IF(AND(ISNUMBER(D4),ISNUMBER(E4)), D4-E4, "")</f>
        <v>5260</v>
      </c>
      <c r="G4" s="12">
        <f>IFERROR(F4/E4, "")</f>
        <v>0.6406040677140421</v>
      </c>
      <c r="H4" s="83">
        <v>13577</v>
      </c>
      <c r="I4" s="13">
        <f>IF(AND(ISNUMBER(D4),ISNUMBER(H4)), D4-H4, "")</f>
        <v>-106</v>
      </c>
      <c r="J4" s="14">
        <f>IFERROR(I4/H4, "")</f>
        <v>-7.8073212049790085E-3</v>
      </c>
      <c r="K4" s="66"/>
      <c r="L4" s="66"/>
    </row>
    <row r="5" spans="1:12" ht="15.75">
      <c r="A5" s="27" t="str">
        <v>Fulton</v>
      </c>
      <c r="B5" s="28" t="str">
        <v>AZ</v>
      </c>
      <c r="C5" s="28" t="str">
        <f>Sites[[#This Row],[SOL'#]]</f>
        <v>SOL-10749</v>
      </c>
      <c r="D5" s="88">
        <v>53215</v>
      </c>
      <c r="E5" s="101">
        <v>53906</v>
      </c>
      <c r="F5" s="15">
        <f t="shared" ref="F5:F17" si="0">IF(AND(ISNUMBER(D5),ISNUMBER(E5)), D5-E5, "")</f>
        <v>-691</v>
      </c>
      <c r="G5" s="16">
        <f>IFERROR(F5/E5, "")</f>
        <v>-1.2818610173264572E-2</v>
      </c>
      <c r="H5" s="85">
        <v>65525</v>
      </c>
      <c r="I5" s="17">
        <f t="shared" ref="I5:I17" si="1">IF(AND(ISNUMBER(D5),ISNUMBER(H5)), D5-H5, "")</f>
        <v>-12310</v>
      </c>
      <c r="J5" s="16">
        <f t="shared" ref="J5:J17" si="2">IFERROR(I5/H5, "")</f>
        <v>-0.18786722624952309</v>
      </c>
      <c r="K5" s="61"/>
      <c r="L5" s="61"/>
    </row>
    <row r="6" spans="1:12" ht="15.75">
      <c r="A6" s="25" t="str">
        <v>JFK Elementary</v>
      </c>
      <c r="B6" s="26" t="str">
        <v>AZ</v>
      </c>
      <c r="C6" s="26" t="str">
        <f>Sites[[#This Row],[SOL'#]]</f>
        <v>SOL-10758</v>
      </c>
      <c r="D6" s="99">
        <v>20252</v>
      </c>
      <c r="E6" s="100">
        <v>0</v>
      </c>
      <c r="F6" s="11">
        <f t="shared" si="0"/>
        <v>20252</v>
      </c>
      <c r="G6" s="12" t="str">
        <f t="shared" ref="G6:G17" si="3">IFERROR(F6/E6, "")</f>
        <v/>
      </c>
      <c r="H6" s="83">
        <v>19123</v>
      </c>
      <c r="I6" s="13">
        <f t="shared" si="1"/>
        <v>1129</v>
      </c>
      <c r="J6" s="14">
        <f t="shared" si="2"/>
        <v>5.9038853736338444E-2</v>
      </c>
      <c r="K6" s="66"/>
      <c r="L6" s="66"/>
    </row>
    <row r="7" spans="1:12" ht="15.75">
      <c r="A7" s="27" t="str">
        <v>Noble</v>
      </c>
      <c r="B7" s="28" t="str">
        <v>AZ</v>
      </c>
      <c r="C7" s="28" t="str">
        <f>Sites[[#This Row],[SOL'#]]</f>
        <v>SOL-10750</v>
      </c>
      <c r="D7" s="88">
        <v>8962</v>
      </c>
      <c r="E7" s="101">
        <v>13899</v>
      </c>
      <c r="F7" s="15">
        <f t="shared" si="0"/>
        <v>-4937</v>
      </c>
      <c r="G7" s="16">
        <f t="shared" si="3"/>
        <v>-0.35520541046118426</v>
      </c>
      <c r="H7" s="85">
        <v>15252</v>
      </c>
      <c r="I7" s="17">
        <f t="shared" si="1"/>
        <v>-6290</v>
      </c>
      <c r="J7" s="16">
        <f t="shared" si="2"/>
        <v>-0.41240493050091792</v>
      </c>
      <c r="K7" s="61" t="s">
        <v>822</v>
      </c>
      <c r="L7" s="61" t="s">
        <v>823</v>
      </c>
    </row>
    <row r="8" spans="1:12" ht="15.75">
      <c r="A8" s="25" t="str">
        <v>Parking 3</v>
      </c>
      <c r="B8" s="26" t="str">
        <v>AZ</v>
      </c>
      <c r="C8" s="26" t="str">
        <f>Sites[[#This Row],[SOL'#]]</f>
        <v>SOL-10751</v>
      </c>
      <c r="D8" s="99">
        <v>32145</v>
      </c>
      <c r="E8" s="100">
        <v>31718</v>
      </c>
      <c r="F8" s="11">
        <f t="shared" si="0"/>
        <v>427</v>
      </c>
      <c r="G8" s="12">
        <f t="shared" si="3"/>
        <v>1.3462387287975282E-2</v>
      </c>
      <c r="H8" s="83">
        <v>32718</v>
      </c>
      <c r="I8" s="13">
        <f t="shared" si="1"/>
        <v>-573</v>
      </c>
      <c r="J8" s="14">
        <f t="shared" si="2"/>
        <v>-1.7513295433706218E-2</v>
      </c>
      <c r="K8" s="66"/>
      <c r="L8" s="66"/>
    </row>
    <row r="9" spans="1:12" ht="15.75">
      <c r="A9" s="27" t="str">
        <v>PE East</v>
      </c>
      <c r="B9" s="28" t="str">
        <v>AZ</v>
      </c>
      <c r="C9" s="28" t="str">
        <f>Sites[[#This Row],[SOL'#]]</f>
        <v>SOL-10752</v>
      </c>
      <c r="D9" s="88">
        <v>29299</v>
      </c>
      <c r="E9" s="101">
        <v>22936</v>
      </c>
      <c r="F9" s="15">
        <f t="shared" si="0"/>
        <v>6363</v>
      </c>
      <c r="G9" s="16">
        <f t="shared" si="3"/>
        <v>0.27742413672828742</v>
      </c>
      <c r="H9" s="85">
        <v>30081</v>
      </c>
      <c r="I9" s="17">
        <f t="shared" si="1"/>
        <v>-782</v>
      </c>
      <c r="J9" s="16">
        <f t="shared" si="2"/>
        <v>-2.5996476180978025E-2</v>
      </c>
      <c r="K9" s="61"/>
      <c r="L9" s="61"/>
    </row>
    <row r="10" spans="1:12" ht="15.75">
      <c r="A10" s="25" t="str">
        <v>Schwada</v>
      </c>
      <c r="B10" s="26" t="str">
        <v>AZ</v>
      </c>
      <c r="C10" s="26" t="str">
        <f>Sites[[#This Row],[SOL'#]]</f>
        <v>SOL-10753</v>
      </c>
      <c r="D10" s="99">
        <v>13276</v>
      </c>
      <c r="E10" s="100">
        <v>9443</v>
      </c>
      <c r="F10" s="11">
        <f t="shared" si="0"/>
        <v>3833</v>
      </c>
      <c r="G10" s="12">
        <f t="shared" si="3"/>
        <v>0.40590913904479509</v>
      </c>
      <c r="H10" s="83">
        <v>13115</v>
      </c>
      <c r="I10" s="13">
        <f t="shared" si="1"/>
        <v>161</v>
      </c>
      <c r="J10" s="14">
        <f t="shared" si="2"/>
        <v>1.2276019824628288E-2</v>
      </c>
      <c r="K10" s="66"/>
      <c r="L10" s="66"/>
    </row>
    <row r="11" spans="1:12" ht="28.5">
      <c r="A11" s="27" t="str">
        <v>Starshine</v>
      </c>
      <c r="B11" s="28" t="str">
        <v>AZ</v>
      </c>
      <c r="C11" s="28" t="str">
        <f>Sites[[#This Row],[SOL'#]]</f>
        <v>SOL-10757</v>
      </c>
      <c r="D11" s="88">
        <v>8892</v>
      </c>
      <c r="E11" s="101">
        <v>0</v>
      </c>
      <c r="F11" s="15">
        <f t="shared" si="0"/>
        <v>8892</v>
      </c>
      <c r="G11" s="16" t="str">
        <f t="shared" si="3"/>
        <v/>
      </c>
      <c r="H11" s="85">
        <v>9502</v>
      </c>
      <c r="I11" s="17">
        <f t="shared" si="1"/>
        <v>-610</v>
      </c>
      <c r="J11" s="16">
        <f t="shared" si="2"/>
        <v>-6.4197011155546199E-2</v>
      </c>
      <c r="K11" s="61" t="s">
        <v>824</v>
      </c>
      <c r="L11" s="61" t="s">
        <v>825</v>
      </c>
    </row>
    <row r="12" spans="1:12" ht="15.75">
      <c r="A12" s="25" t="str">
        <v>Yuma Airport</v>
      </c>
      <c r="B12" s="26" t="str">
        <v>AZ</v>
      </c>
      <c r="C12" s="26" t="str">
        <f>Sites[[#This Row],[SOL'#]]</f>
        <v>SOL-10754</v>
      </c>
      <c r="D12" s="99">
        <v>80192</v>
      </c>
      <c r="E12" s="100">
        <v>92168</v>
      </c>
      <c r="F12" s="11">
        <f t="shared" si="0"/>
        <v>-11976</v>
      </c>
      <c r="G12" s="12">
        <f t="shared" si="3"/>
        <v>-0.12993663744466627</v>
      </c>
      <c r="H12" s="83">
        <v>74541</v>
      </c>
      <c r="I12" s="13">
        <f t="shared" si="1"/>
        <v>5651</v>
      </c>
      <c r="J12" s="14">
        <f t="shared" si="2"/>
        <v>7.5810627708241096E-2</v>
      </c>
      <c r="K12" s="66"/>
      <c r="L12" s="66"/>
    </row>
    <row r="13" spans="1:12" ht="15.75">
      <c r="A13" s="27" t="str">
        <v>Kinsman</v>
      </c>
      <c r="B13" s="28" t="str">
        <v>OH</v>
      </c>
      <c r="C13" s="28" t="str">
        <f>Sites[[#This Row],[SOL'#]]</f>
        <v>SOL-10762</v>
      </c>
      <c r="D13" s="88">
        <v>90249</v>
      </c>
      <c r="E13" s="101">
        <v>129542</v>
      </c>
      <c r="F13" s="15">
        <f t="shared" si="0"/>
        <v>-39293</v>
      </c>
      <c r="G13" s="16">
        <f t="shared" si="3"/>
        <v>-0.303322474564234</v>
      </c>
      <c r="H13" s="85">
        <v>128225</v>
      </c>
      <c r="I13" s="17">
        <f t="shared" si="1"/>
        <v>-37976</v>
      </c>
      <c r="J13" s="16">
        <f t="shared" si="2"/>
        <v>-0.29616689413140962</v>
      </c>
      <c r="K13" s="61" t="s">
        <v>826</v>
      </c>
      <c r="L13" s="61" t="s">
        <v>827</v>
      </c>
    </row>
    <row r="14" spans="1:12" ht="15.75">
      <c r="A14" s="25" t="str">
        <v>Wooster</v>
      </c>
      <c r="B14" s="26" t="str">
        <v>OH</v>
      </c>
      <c r="C14" s="26" t="str">
        <f>Sites[[#This Row],[SOL'#]]</f>
        <v>SOL-10763</v>
      </c>
      <c r="D14" s="99">
        <v>21358</v>
      </c>
      <c r="E14" s="100"/>
      <c r="F14" s="11" t="str">
        <f t="shared" si="0"/>
        <v/>
      </c>
      <c r="G14" s="12" t="str">
        <f t="shared" si="3"/>
        <v/>
      </c>
      <c r="H14" s="83">
        <v>30332</v>
      </c>
      <c r="I14" s="13">
        <f t="shared" si="1"/>
        <v>-8974</v>
      </c>
      <c r="J14" s="14">
        <f t="shared" si="2"/>
        <v>-0.29585915864433604</v>
      </c>
      <c r="K14" s="66"/>
      <c r="L14" s="66"/>
    </row>
    <row r="15" spans="1:12" ht="15.75">
      <c r="A15" s="27" t="str">
        <v>Globe Gila CC</v>
      </c>
      <c r="B15" s="28" t="str">
        <v>AZ</v>
      </c>
      <c r="C15" s="28" t="str">
        <f>Sites[[#This Row],[SOL'#]]</f>
        <v>SOL-10755</v>
      </c>
      <c r="D15" s="88">
        <v>15962</v>
      </c>
      <c r="E15" s="101"/>
      <c r="F15" s="15" t="str">
        <f t="shared" si="0"/>
        <v/>
      </c>
      <c r="G15" s="16" t="str">
        <f t="shared" si="3"/>
        <v/>
      </c>
      <c r="H15" s="85">
        <v>18272</v>
      </c>
      <c r="I15" s="17">
        <f t="shared" si="1"/>
        <v>-2310</v>
      </c>
      <c r="J15" s="16">
        <f t="shared" si="2"/>
        <v>-0.12642294220665498</v>
      </c>
      <c r="K15" s="61" t="s">
        <v>682</v>
      </c>
      <c r="L15" s="61"/>
    </row>
    <row r="16" spans="1:12" ht="15.75">
      <c r="A16" s="25" t="str">
        <v>Payson Gila CC</v>
      </c>
      <c r="B16" s="26" t="str">
        <v>AZ</v>
      </c>
      <c r="C16" s="26" t="str">
        <f>Sites[[#This Row],[SOL'#]]</f>
        <v>SOL-10756</v>
      </c>
      <c r="D16" s="99">
        <v>7316</v>
      </c>
      <c r="E16" s="100">
        <v>5716</v>
      </c>
      <c r="F16" s="11">
        <f t="shared" si="0"/>
        <v>1600</v>
      </c>
      <c r="G16" s="12">
        <f t="shared" si="3"/>
        <v>0.27991602519244224</v>
      </c>
      <c r="H16" s="83">
        <v>13721</v>
      </c>
      <c r="I16" s="13">
        <f t="shared" si="1"/>
        <v>-6405</v>
      </c>
      <c r="J16" s="14">
        <f t="shared" si="2"/>
        <v>-0.46680271117265504</v>
      </c>
      <c r="K16" s="66" t="s">
        <v>683</v>
      </c>
      <c r="L16" s="66" t="s">
        <v>828</v>
      </c>
    </row>
    <row r="17" spans="1:12" ht="15.75">
      <c r="A17" s="27" t="str">
        <v>SCNM</v>
      </c>
      <c r="B17" s="28" t="str">
        <v>AZ</v>
      </c>
      <c r="C17" s="28" t="str">
        <f>Sites[[#This Row],[SOL'#]]</f>
        <v>SOL-10760</v>
      </c>
      <c r="D17" s="88">
        <v>78820</v>
      </c>
      <c r="E17" s="101">
        <v>42128</v>
      </c>
      <c r="F17" s="15">
        <f t="shared" si="0"/>
        <v>36692</v>
      </c>
      <c r="G17" s="16">
        <f t="shared" si="3"/>
        <v>0.87096467907330044</v>
      </c>
      <c r="H17" s="85">
        <v>83780</v>
      </c>
      <c r="I17" s="17">
        <f t="shared" si="1"/>
        <v>-4960</v>
      </c>
      <c r="J17" s="16">
        <f t="shared" si="2"/>
        <v>-5.9202673669133447E-2</v>
      </c>
      <c r="K17" s="61" t="s">
        <v>829</v>
      </c>
      <c r="L17" s="61" t="s">
        <v>830</v>
      </c>
    </row>
    <row r="18" spans="1:12" ht="70.150000000000006" customHeight="1">
      <c r="A18" s="25" t="str">
        <v>Sequoia Charter School</v>
      </c>
      <c r="B18" s="26" t="str">
        <v>AZ</v>
      </c>
      <c r="C18" s="26" t="str">
        <f>Sites[[#This Row],[SOL'#]]</f>
        <v>SOL-10759</v>
      </c>
      <c r="D18" s="99">
        <v>24620</v>
      </c>
      <c r="E18" s="100">
        <v>0</v>
      </c>
      <c r="F18" s="11">
        <f t="shared" ref="F18:F81" si="4">IF(AND(ISNUMBER(D18),ISNUMBER(E18)), D18-E18, "")</f>
        <v>24620</v>
      </c>
      <c r="G18" s="84" t="str">
        <f>IFERROR(F18/E18, "")</f>
        <v/>
      </c>
      <c r="H18" s="83">
        <v>50610</v>
      </c>
      <c r="I18" s="13">
        <f t="shared" ref="I18:I81" si="5">IF(AND(ISNUMBER(D18),ISNUMBER(H18)), D18-H18, "")</f>
        <v>-25990</v>
      </c>
      <c r="J18" s="14">
        <f t="shared" ref="J18:J81" si="6">IFERROR(I18/H18, "")</f>
        <v>-0.51353487453072511</v>
      </c>
      <c r="K18" s="66" t="s">
        <v>831</v>
      </c>
      <c r="L18" s="66" t="s">
        <v>832</v>
      </c>
    </row>
    <row r="19" spans="1:12" ht="15.75">
      <c r="A19" s="27" t="str">
        <v>RCAB</v>
      </c>
      <c r="B19" s="28" t="str">
        <v>MA</v>
      </c>
      <c r="C19" s="28" t="str">
        <f>Sites[[#This Row],[SOL'#]]</f>
        <v>SOL-10838</v>
      </c>
      <c r="D19" s="88">
        <v>127399</v>
      </c>
      <c r="E19" s="101">
        <v>160132</v>
      </c>
      <c r="F19" s="15">
        <f t="shared" si="4"/>
        <v>-32733</v>
      </c>
      <c r="G19" s="16">
        <f t="shared" ref="G19:G81" si="7">IFERROR(F19/E19, "")</f>
        <v>-0.20441260959708241</v>
      </c>
      <c r="H19" s="85">
        <v>129451</v>
      </c>
      <c r="I19" s="17">
        <f t="shared" si="5"/>
        <v>-2052</v>
      </c>
      <c r="J19" s="16">
        <f t="shared" si="6"/>
        <v>-1.5851557732269352E-2</v>
      </c>
      <c r="K19" s="61" t="s">
        <v>833</v>
      </c>
      <c r="L19" s="61" t="s">
        <v>834</v>
      </c>
    </row>
    <row r="20" spans="1:12" ht="15.75">
      <c r="A20" s="25" t="str">
        <v>Spectro Coatings</v>
      </c>
      <c r="B20" s="26" t="str">
        <v>MA</v>
      </c>
      <c r="C20" s="26" t="str">
        <f>Sites[[#This Row],[SOL'#]]</f>
        <v>SOL-10074</v>
      </c>
      <c r="D20" s="99">
        <v>31785</v>
      </c>
      <c r="E20" s="100">
        <v>33994</v>
      </c>
      <c r="F20" s="11">
        <f t="shared" si="4"/>
        <v>-2209</v>
      </c>
      <c r="G20" s="12">
        <f t="shared" si="7"/>
        <v>-6.498205565688063E-2</v>
      </c>
      <c r="H20" s="83">
        <v>35827</v>
      </c>
      <c r="I20" s="13">
        <f t="shared" si="5"/>
        <v>-4042</v>
      </c>
      <c r="J20" s="14">
        <f t="shared" si="6"/>
        <v>-0.11281994026851258</v>
      </c>
      <c r="K20" s="66" t="s">
        <v>835</v>
      </c>
      <c r="L20" s="66" t="s">
        <v>836</v>
      </c>
    </row>
    <row r="21" spans="1:12" ht="15.75">
      <c r="A21" s="27" t="str">
        <v>K026</v>
      </c>
      <c r="B21" s="28" t="str">
        <v>NY</v>
      </c>
      <c r="C21" s="28" t="str">
        <f>Sites[[#This Row],[SOL'#]]</f>
        <v>SOL-10356</v>
      </c>
      <c r="D21" s="88">
        <v>33774</v>
      </c>
      <c r="E21" s="101">
        <v>36879</v>
      </c>
      <c r="F21" s="15">
        <f t="shared" si="4"/>
        <v>-3105</v>
      </c>
      <c r="G21" s="16">
        <f t="shared" si="7"/>
        <v>-8.4194256894167416E-2</v>
      </c>
      <c r="H21" s="85">
        <v>38490</v>
      </c>
      <c r="I21" s="17">
        <f t="shared" si="5"/>
        <v>-4716</v>
      </c>
      <c r="J21" s="16">
        <f t="shared" si="6"/>
        <v>-0.12252533125487139</v>
      </c>
      <c r="K21" s="61"/>
      <c r="L21" s="61"/>
    </row>
    <row r="22" spans="1:12" ht="15.75">
      <c r="A22" s="25" t="str">
        <v>K041</v>
      </c>
      <c r="B22" s="26" t="str">
        <v>NY</v>
      </c>
      <c r="C22" s="26" t="str">
        <f>Sites[[#This Row],[SOL'#]]</f>
        <v>SOL-10357</v>
      </c>
      <c r="D22" s="99">
        <v>26806</v>
      </c>
      <c r="E22" s="100"/>
      <c r="F22" s="11" t="str">
        <f t="shared" si="4"/>
        <v/>
      </c>
      <c r="G22" s="12" t="str">
        <f t="shared" si="7"/>
        <v/>
      </c>
      <c r="H22" s="83">
        <v>28973</v>
      </c>
      <c r="I22" s="13">
        <f t="shared" si="5"/>
        <v>-2167</v>
      </c>
      <c r="J22" s="14">
        <f t="shared" si="6"/>
        <v>-7.4793773513270975E-2</v>
      </c>
      <c r="K22" s="66"/>
      <c r="L22" s="66"/>
    </row>
    <row r="23" spans="1:12" ht="15.75">
      <c r="A23" s="27" t="str">
        <v>K043</v>
      </c>
      <c r="B23" s="28" t="str">
        <v>NY</v>
      </c>
      <c r="C23" s="28" t="str">
        <f>Sites[[#This Row],[SOL'#]]</f>
        <v>SOL-10358</v>
      </c>
      <c r="D23" s="88">
        <v>33589</v>
      </c>
      <c r="E23" s="101">
        <v>33541</v>
      </c>
      <c r="F23" s="15">
        <f t="shared" si="4"/>
        <v>48</v>
      </c>
      <c r="G23" s="16">
        <f t="shared" si="7"/>
        <v>1.431084344533556E-3</v>
      </c>
      <c r="H23" s="85">
        <v>6325</v>
      </c>
      <c r="I23" s="17">
        <f t="shared" si="5"/>
        <v>27264</v>
      </c>
      <c r="J23" s="16">
        <f t="shared" si="6"/>
        <v>4.3105138339920952</v>
      </c>
      <c r="K23" s="61"/>
      <c r="L23" s="61"/>
    </row>
    <row r="24" spans="1:12" ht="15.75">
      <c r="A24" s="25" t="str">
        <v>K058</v>
      </c>
      <c r="B24" s="26" t="str">
        <v>NY</v>
      </c>
      <c r="C24" s="26" t="str">
        <f>Sites[[#This Row],[SOL'#]]</f>
        <v>SOL-10360</v>
      </c>
      <c r="D24" s="99">
        <v>26257</v>
      </c>
      <c r="E24" s="100">
        <v>27058</v>
      </c>
      <c r="F24" s="11">
        <f t="shared" si="4"/>
        <v>-801</v>
      </c>
      <c r="G24" s="12">
        <f t="shared" si="7"/>
        <v>-2.9603074876191883E-2</v>
      </c>
      <c r="H24" s="83">
        <v>28609</v>
      </c>
      <c r="I24" s="13">
        <f t="shared" si="5"/>
        <v>-2352</v>
      </c>
      <c r="J24" s="14">
        <f t="shared" si="6"/>
        <v>-8.2211891362857836E-2</v>
      </c>
      <c r="K24" s="66"/>
      <c r="L24" s="66"/>
    </row>
    <row r="25" spans="1:12" ht="15.75">
      <c r="A25" s="27" t="str">
        <v>K115</v>
      </c>
      <c r="B25" s="28" t="str">
        <v>NY</v>
      </c>
      <c r="C25" s="28" t="str">
        <f>Sites[[#This Row],[SOL'#]]</f>
        <v>SOL-10361</v>
      </c>
      <c r="D25" s="88">
        <v>7038</v>
      </c>
      <c r="E25" s="101">
        <v>11628</v>
      </c>
      <c r="F25" s="15">
        <f t="shared" si="4"/>
        <v>-4590</v>
      </c>
      <c r="G25" s="16">
        <f t="shared" si="7"/>
        <v>-0.39473684210526316</v>
      </c>
      <c r="H25" s="85">
        <v>16464</v>
      </c>
      <c r="I25" s="17">
        <f t="shared" si="5"/>
        <v>-9426</v>
      </c>
      <c r="J25" s="16">
        <f t="shared" si="6"/>
        <v>-0.57252186588921283</v>
      </c>
      <c r="K25" s="61"/>
      <c r="L25" s="61"/>
    </row>
    <row r="26" spans="1:12" ht="15.75">
      <c r="A26" s="25" t="str">
        <v>K152</v>
      </c>
      <c r="B26" s="26" t="str">
        <v>NY</v>
      </c>
      <c r="C26" s="26" t="str">
        <f>Sites[[#This Row],[SOL'#]]</f>
        <v>SOL-10362</v>
      </c>
      <c r="D26" s="99">
        <v>9870</v>
      </c>
      <c r="E26" s="100">
        <v>10169</v>
      </c>
      <c r="F26" s="11">
        <f t="shared" si="4"/>
        <v>-299</v>
      </c>
      <c r="G26" s="12">
        <f t="shared" si="7"/>
        <v>-2.9403087815911104E-2</v>
      </c>
      <c r="H26" s="83">
        <v>11000</v>
      </c>
      <c r="I26" s="13">
        <f t="shared" si="5"/>
        <v>-1130</v>
      </c>
      <c r="J26" s="14">
        <f t="shared" si="6"/>
        <v>-0.10272727272727272</v>
      </c>
      <c r="K26" s="66"/>
      <c r="L26" s="66"/>
    </row>
    <row r="27" spans="1:12" ht="15.75">
      <c r="A27" s="27" t="str">
        <v>K166</v>
      </c>
      <c r="B27" s="28" t="str">
        <v>NY</v>
      </c>
      <c r="C27" s="28" t="str">
        <f>Sites[[#This Row],[SOL'#]]</f>
        <v>SOL-10363</v>
      </c>
      <c r="D27" s="88">
        <v>35323</v>
      </c>
      <c r="E27" s="101">
        <v>38511</v>
      </c>
      <c r="F27" s="15">
        <f t="shared" si="4"/>
        <v>-3188</v>
      </c>
      <c r="G27" s="16">
        <f t="shared" si="7"/>
        <v>-8.2781542935784574E-2</v>
      </c>
      <c r="H27" s="85">
        <v>40648</v>
      </c>
      <c r="I27" s="17">
        <f t="shared" si="5"/>
        <v>-5325</v>
      </c>
      <c r="J27" s="16">
        <f t="shared" si="6"/>
        <v>-0.13100275536311751</v>
      </c>
      <c r="K27" s="61"/>
      <c r="L27" s="61"/>
    </row>
    <row r="28" spans="1:12" ht="15.75">
      <c r="A28" s="25" t="str">
        <v>K206</v>
      </c>
      <c r="B28" s="26" t="str">
        <v>NY</v>
      </c>
      <c r="C28" s="26" t="str">
        <f>Sites[[#This Row],[SOL'#]]</f>
        <v>SOL-10927</v>
      </c>
      <c r="D28" s="99"/>
      <c r="E28" s="100"/>
      <c r="F28" s="11" t="str">
        <f t="shared" si="4"/>
        <v/>
      </c>
      <c r="G28" s="12" t="str">
        <f t="shared" si="7"/>
        <v/>
      </c>
      <c r="H28" s="83"/>
      <c r="I28" s="13" t="str">
        <f t="shared" si="5"/>
        <v/>
      </c>
      <c r="J28" s="14" t="str">
        <f t="shared" si="6"/>
        <v/>
      </c>
      <c r="K28" s="66" t="s">
        <v>837</v>
      </c>
      <c r="L28" s="66" t="s">
        <v>838</v>
      </c>
    </row>
    <row r="29" spans="1:12" ht="15.75">
      <c r="A29" s="27" t="str">
        <v>K251</v>
      </c>
      <c r="B29" s="28" t="str">
        <v>NY</v>
      </c>
      <c r="C29" s="28" t="str">
        <f>Sites[[#This Row],[SOL'#]]</f>
        <v>SOL-10365</v>
      </c>
      <c r="D29" s="88">
        <v>22920</v>
      </c>
      <c r="E29" s="101">
        <v>23863</v>
      </c>
      <c r="F29" s="15">
        <f t="shared" si="4"/>
        <v>-943</v>
      </c>
      <c r="G29" s="16">
        <f t="shared" si="7"/>
        <v>-3.9517244269370991E-2</v>
      </c>
      <c r="H29" s="85">
        <v>25845</v>
      </c>
      <c r="I29" s="17">
        <f t="shared" si="5"/>
        <v>-2925</v>
      </c>
      <c r="J29" s="16">
        <f t="shared" si="6"/>
        <v>-0.11317469529889727</v>
      </c>
      <c r="K29" s="61" t="s">
        <v>839</v>
      </c>
      <c r="L29" s="61" t="s">
        <v>840</v>
      </c>
    </row>
    <row r="30" spans="1:12" ht="15.75">
      <c r="A30" s="25" t="str">
        <v>K269</v>
      </c>
      <c r="B30" s="26" t="str">
        <v>NY</v>
      </c>
      <c r="C30" s="26" t="str">
        <f>Sites[[#This Row],[SOL'#]]</f>
        <v>SOL-10366</v>
      </c>
      <c r="D30" s="99">
        <v>21081</v>
      </c>
      <c r="E30" s="100">
        <v>24780</v>
      </c>
      <c r="F30" s="11">
        <f t="shared" si="4"/>
        <v>-3699</v>
      </c>
      <c r="G30" s="12">
        <f t="shared" si="7"/>
        <v>-0.14927360774818402</v>
      </c>
      <c r="H30" s="83">
        <v>23150</v>
      </c>
      <c r="I30" s="13">
        <f t="shared" si="5"/>
        <v>-2069</v>
      </c>
      <c r="J30" s="14">
        <f t="shared" si="6"/>
        <v>-8.9373650107991365E-2</v>
      </c>
      <c r="K30" s="66"/>
      <c r="L30" s="66"/>
    </row>
    <row r="31" spans="1:12" ht="15.75">
      <c r="A31" s="27" t="str">
        <v>K273</v>
      </c>
      <c r="B31" s="28" t="str">
        <v>NY</v>
      </c>
      <c r="C31" s="28" t="str">
        <f>Sites[[#This Row],[SOL'#]]</f>
        <v>SOL-10367</v>
      </c>
      <c r="D31" s="88">
        <v>23488</v>
      </c>
      <c r="E31" s="101"/>
      <c r="F31" s="15" t="str">
        <f t="shared" si="4"/>
        <v/>
      </c>
      <c r="G31" s="16" t="str">
        <f t="shared" si="7"/>
        <v/>
      </c>
      <c r="H31" s="85">
        <v>31080</v>
      </c>
      <c r="I31" s="17">
        <f t="shared" si="5"/>
        <v>-7592</v>
      </c>
      <c r="J31" s="16">
        <f t="shared" si="6"/>
        <v>-0.24427284427284426</v>
      </c>
      <c r="K31" s="61"/>
      <c r="L31" s="61"/>
    </row>
    <row r="32" spans="1:12" ht="15.75">
      <c r="A32" s="25" t="str">
        <v>K287</v>
      </c>
      <c r="B32" s="26" t="str">
        <v>NY</v>
      </c>
      <c r="C32" s="26" t="str">
        <f>Sites[[#This Row],[SOL'#]]</f>
        <v>SOL-10919</v>
      </c>
      <c r="D32" s="99">
        <v>18379</v>
      </c>
      <c r="E32" s="100">
        <v>16004</v>
      </c>
      <c r="F32" s="11">
        <f t="shared" si="4"/>
        <v>2375</v>
      </c>
      <c r="G32" s="12">
        <f t="shared" si="7"/>
        <v>0.14840039990002499</v>
      </c>
      <c r="H32" s="83">
        <v>19892</v>
      </c>
      <c r="I32" s="13">
        <f t="shared" si="5"/>
        <v>-1513</v>
      </c>
      <c r="J32" s="14">
        <f t="shared" si="6"/>
        <v>-7.6060727930826466E-2</v>
      </c>
      <c r="K32" s="66"/>
      <c r="L32" s="66"/>
    </row>
    <row r="33" spans="1:12" ht="15.75">
      <c r="A33" s="27" t="str">
        <v>K298</v>
      </c>
      <c r="B33" s="28" t="str">
        <v>NY</v>
      </c>
      <c r="C33" s="28" t="str">
        <f>Sites[[#This Row],[SOL'#]]</f>
        <v>SOL-10368</v>
      </c>
      <c r="D33" s="88">
        <v>20486</v>
      </c>
      <c r="E33" s="101">
        <v>21250</v>
      </c>
      <c r="F33" s="15">
        <f t="shared" si="4"/>
        <v>-764</v>
      </c>
      <c r="G33" s="16">
        <f t="shared" si="7"/>
        <v>-3.595294117647059E-2</v>
      </c>
      <c r="H33" s="85">
        <v>22900</v>
      </c>
      <c r="I33" s="17">
        <f t="shared" si="5"/>
        <v>-2414</v>
      </c>
      <c r="J33" s="16">
        <f t="shared" si="6"/>
        <v>-0.10541484716157205</v>
      </c>
      <c r="K33" s="61"/>
      <c r="L33" s="61"/>
    </row>
    <row r="34" spans="1:12" ht="15.75">
      <c r="A34" s="25" t="str">
        <v>K335</v>
      </c>
      <c r="B34" s="26" t="str">
        <v>NY</v>
      </c>
      <c r="C34" s="26" t="str">
        <f>Sites[[#This Row],[SOL'#]]</f>
        <v>SOL-10370</v>
      </c>
      <c r="D34" s="99">
        <v>21037</v>
      </c>
      <c r="E34" s="100">
        <v>23364</v>
      </c>
      <c r="F34" s="11">
        <f t="shared" si="4"/>
        <v>-2327</v>
      </c>
      <c r="G34" s="12">
        <f t="shared" si="7"/>
        <v>-9.9597671631569934E-2</v>
      </c>
      <c r="H34" s="83">
        <v>25730</v>
      </c>
      <c r="I34" s="13">
        <f t="shared" si="5"/>
        <v>-4693</v>
      </c>
      <c r="J34" s="14">
        <f t="shared" si="6"/>
        <v>-0.18239409249902838</v>
      </c>
      <c r="K34" s="66"/>
      <c r="L34" s="66"/>
    </row>
    <row r="35" spans="1:12" ht="15.75">
      <c r="A35" s="27" t="str">
        <v>K345</v>
      </c>
      <c r="B35" s="28" t="str">
        <v>NY</v>
      </c>
      <c r="C35" s="28" t="str">
        <f>Sites[[#This Row],[SOL'#]]</f>
        <v>SOL-10920</v>
      </c>
      <c r="D35" s="88">
        <v>24065</v>
      </c>
      <c r="E35" s="101">
        <v>14303</v>
      </c>
      <c r="F35" s="15">
        <f t="shared" si="4"/>
        <v>9762</v>
      </c>
      <c r="G35" s="16">
        <f t="shared" si="7"/>
        <v>0.68251415786897851</v>
      </c>
      <c r="H35" s="85">
        <v>26340</v>
      </c>
      <c r="I35" s="17">
        <f t="shared" si="5"/>
        <v>-2275</v>
      </c>
      <c r="J35" s="16">
        <f t="shared" si="6"/>
        <v>-8.6370539104024299E-2</v>
      </c>
      <c r="K35" s="61"/>
      <c r="L35" s="61"/>
    </row>
    <row r="36" spans="1:12" ht="15.75">
      <c r="A36" s="25" t="str">
        <v>K445</v>
      </c>
      <c r="B36" s="26" t="str">
        <v>NY</v>
      </c>
      <c r="C36" s="26" t="str">
        <f>Sites[[#This Row],[SOL'#]]</f>
        <v>SOL-10373</v>
      </c>
      <c r="D36" s="99">
        <v>20689</v>
      </c>
      <c r="E36" s="100">
        <v>22185</v>
      </c>
      <c r="F36" s="11">
        <f t="shared" si="4"/>
        <v>-1496</v>
      </c>
      <c r="G36" s="12">
        <f t="shared" si="7"/>
        <v>-6.7432950191570876E-2</v>
      </c>
      <c r="H36" s="83">
        <v>21941</v>
      </c>
      <c r="I36" s="13">
        <f t="shared" si="5"/>
        <v>-1252</v>
      </c>
      <c r="J36" s="14">
        <f t="shared" si="6"/>
        <v>-5.706212114306549E-2</v>
      </c>
      <c r="K36" s="66"/>
      <c r="L36" s="66"/>
    </row>
    <row r="37" spans="1:12" ht="153.75" customHeight="1">
      <c r="A37" s="27" t="str">
        <v>K495</v>
      </c>
      <c r="B37" s="28" t="str">
        <v>NY</v>
      </c>
      <c r="C37" s="28" t="str">
        <f>Sites[[#This Row],[SOL'#]]</f>
        <v>SOL-10374</v>
      </c>
      <c r="D37" s="88">
        <v>39472</v>
      </c>
      <c r="E37" s="101">
        <v>0</v>
      </c>
      <c r="F37" s="15">
        <f t="shared" si="4"/>
        <v>39472</v>
      </c>
      <c r="G37" s="16" t="str">
        <f t="shared" si="7"/>
        <v/>
      </c>
      <c r="H37" s="85">
        <v>91593</v>
      </c>
      <c r="I37" s="17">
        <f t="shared" si="5"/>
        <v>-52121</v>
      </c>
      <c r="J37" s="16">
        <f t="shared" si="6"/>
        <v>-0.56905003657484743</v>
      </c>
      <c r="K37" s="61" t="s">
        <v>841</v>
      </c>
      <c r="L37" s="61" t="s">
        <v>842</v>
      </c>
    </row>
    <row r="38" spans="1:12" ht="15.75">
      <c r="A38" s="25" t="str">
        <v>M020</v>
      </c>
      <c r="B38" s="26" t="str">
        <v>NY</v>
      </c>
      <c r="C38" s="26" t="str">
        <f>Sites[[#This Row],[SOL'#]]</f>
        <v>SOL-10380</v>
      </c>
      <c r="D38" s="99">
        <v>21685</v>
      </c>
      <c r="E38" s="100">
        <v>22899</v>
      </c>
      <c r="F38" s="11">
        <f t="shared" si="4"/>
        <v>-1214</v>
      </c>
      <c r="G38" s="12">
        <f t="shared" si="7"/>
        <v>-5.3015415520328402E-2</v>
      </c>
      <c r="H38" s="83">
        <v>25211</v>
      </c>
      <c r="I38" s="13">
        <f t="shared" si="5"/>
        <v>-3526</v>
      </c>
      <c r="J38" s="14">
        <f t="shared" si="6"/>
        <v>-0.13985958510174129</v>
      </c>
      <c r="K38" s="66"/>
      <c r="L38" s="66"/>
    </row>
    <row r="39" spans="1:12" ht="15.75">
      <c r="A39" s="27" t="str">
        <v>M092</v>
      </c>
      <c r="B39" s="28" t="str">
        <v>NY</v>
      </c>
      <c r="C39" s="28" t="str">
        <f>Sites[[#This Row],[SOL'#]]</f>
        <v>SOL-10383</v>
      </c>
      <c r="D39" s="88">
        <v>22005</v>
      </c>
      <c r="E39" s="101">
        <v>23580</v>
      </c>
      <c r="F39" s="15">
        <f t="shared" si="4"/>
        <v>-1575</v>
      </c>
      <c r="G39" s="16">
        <f t="shared" si="7"/>
        <v>-6.6793893129770993E-2</v>
      </c>
      <c r="H39" s="85">
        <v>23870</v>
      </c>
      <c r="I39" s="17">
        <f t="shared" si="5"/>
        <v>-1865</v>
      </c>
      <c r="J39" s="16">
        <f t="shared" si="6"/>
        <v>-7.8131545873481353E-2</v>
      </c>
      <c r="K39" s="61"/>
      <c r="L39" s="61"/>
    </row>
    <row r="40" spans="1:12" ht="15.75">
      <c r="A40" s="25" t="str">
        <v>M143</v>
      </c>
      <c r="B40" s="26" t="str">
        <v>NY</v>
      </c>
      <c r="C40" s="26" t="str">
        <f>Sites[[#This Row],[SOL'#]]</f>
        <v>SOL-10384</v>
      </c>
      <c r="D40" s="99">
        <v>25066</v>
      </c>
      <c r="E40" s="100">
        <v>28441</v>
      </c>
      <c r="F40" s="11">
        <f t="shared" si="4"/>
        <v>-3375</v>
      </c>
      <c r="G40" s="12">
        <f t="shared" si="7"/>
        <v>-0.11866671354734362</v>
      </c>
      <c r="H40" s="83">
        <v>26049</v>
      </c>
      <c r="I40" s="13">
        <f t="shared" si="5"/>
        <v>-983</v>
      </c>
      <c r="J40" s="14">
        <f t="shared" si="6"/>
        <v>-3.7736573380935931E-2</v>
      </c>
      <c r="K40" s="66"/>
      <c r="L40" s="66"/>
    </row>
    <row r="41" spans="1:12" ht="15.75">
      <c r="A41" s="27" t="str">
        <v>M144</v>
      </c>
      <c r="B41" s="28" t="str">
        <v>NY</v>
      </c>
      <c r="C41" s="28" t="str">
        <f>Sites[[#This Row],[SOL'#]]</f>
        <v>SOL-10385</v>
      </c>
      <c r="D41" s="88">
        <v>17917</v>
      </c>
      <c r="E41" s="101"/>
      <c r="F41" s="15" t="str">
        <f t="shared" si="4"/>
        <v/>
      </c>
      <c r="G41" s="16" t="str">
        <f t="shared" si="7"/>
        <v/>
      </c>
      <c r="H41" s="85">
        <v>37780</v>
      </c>
      <c r="I41" s="17">
        <f t="shared" si="5"/>
        <v>-19863</v>
      </c>
      <c r="J41" s="16">
        <f t="shared" si="6"/>
        <v>-0.52575436739015347</v>
      </c>
      <c r="K41" s="61" t="s">
        <v>843</v>
      </c>
      <c r="L41" s="61" t="s">
        <v>844</v>
      </c>
    </row>
    <row r="42" spans="1:12" ht="15.75">
      <c r="A42" s="25" t="str">
        <v>M167</v>
      </c>
      <c r="B42" s="26" t="str">
        <v>NY</v>
      </c>
      <c r="C42" s="26" t="str">
        <f>Sites[[#This Row],[SOL'#]]</f>
        <v>SOL-10386</v>
      </c>
      <c r="D42" s="99">
        <v>26355</v>
      </c>
      <c r="E42" s="100">
        <v>20155</v>
      </c>
      <c r="F42" s="11">
        <f t="shared" si="4"/>
        <v>6200</v>
      </c>
      <c r="G42" s="12">
        <f t="shared" si="7"/>
        <v>0.3076159761845696</v>
      </c>
      <c r="H42" s="83">
        <v>31955</v>
      </c>
      <c r="I42" s="13">
        <f t="shared" si="5"/>
        <v>-5600</v>
      </c>
      <c r="J42" s="14">
        <f t="shared" si="6"/>
        <v>-0.17524644030668127</v>
      </c>
      <c r="K42" s="66"/>
      <c r="L42" s="66"/>
    </row>
    <row r="43" spans="1:12" ht="15.75">
      <c r="A43" s="27" t="str">
        <v>M188</v>
      </c>
      <c r="B43" s="28" t="str">
        <v>NY</v>
      </c>
      <c r="C43" s="28" t="str">
        <f>Sites[[#This Row],[SOL'#]]</f>
        <v>SOL-10387</v>
      </c>
      <c r="D43" s="88">
        <v>19083</v>
      </c>
      <c r="E43" s="101"/>
      <c r="F43" s="15" t="str">
        <f t="shared" si="4"/>
        <v/>
      </c>
      <c r="G43" s="16" t="str">
        <f t="shared" si="7"/>
        <v/>
      </c>
      <c r="H43" s="85">
        <v>20546</v>
      </c>
      <c r="I43" s="17">
        <f t="shared" si="5"/>
        <v>-1463</v>
      </c>
      <c r="J43" s="16">
        <f t="shared" si="6"/>
        <v>-7.1206074175021908E-2</v>
      </c>
      <c r="K43" s="61"/>
      <c r="L43" s="61"/>
    </row>
    <row r="44" spans="1:12" ht="15.75">
      <c r="A44" s="25" t="str">
        <v>EMHC</v>
      </c>
      <c r="B44" s="26" t="str">
        <v>NY</v>
      </c>
      <c r="C44" s="26" t="str">
        <f>Sites[[#This Row],[SOL'#]]</f>
        <v>SOL-10351</v>
      </c>
      <c r="D44" s="99">
        <v>8861</v>
      </c>
      <c r="E44" s="100">
        <v>6351</v>
      </c>
      <c r="F44" s="11">
        <f t="shared" si="4"/>
        <v>2510</v>
      </c>
      <c r="G44" s="12">
        <f t="shared" si="7"/>
        <v>0.39521335222799558</v>
      </c>
      <c r="H44" s="83">
        <v>10457</v>
      </c>
      <c r="I44" s="13">
        <f t="shared" si="5"/>
        <v>-1596</v>
      </c>
      <c r="J44" s="14">
        <f t="shared" si="6"/>
        <v>-0.15262503586114565</v>
      </c>
      <c r="K44" s="66"/>
      <c r="L44" s="66"/>
    </row>
    <row r="45" spans="1:12" ht="15.75">
      <c r="A45" s="27" t="str">
        <v>Q008</v>
      </c>
      <c r="B45" s="28" t="str">
        <v>NY</v>
      </c>
      <c r="C45" s="28" t="str">
        <f>Sites[[#This Row],[SOL'#]]</f>
        <v>SOL-10397</v>
      </c>
      <c r="D45" s="88">
        <v>29500</v>
      </c>
      <c r="E45" s="101">
        <v>29748</v>
      </c>
      <c r="F45" s="15">
        <f t="shared" si="4"/>
        <v>-248</v>
      </c>
      <c r="G45" s="16">
        <f t="shared" si="7"/>
        <v>-8.3366949038590835E-3</v>
      </c>
      <c r="H45" s="85">
        <v>31495</v>
      </c>
      <c r="I45" s="17">
        <f t="shared" si="5"/>
        <v>-1995</v>
      </c>
      <c r="J45" s="16">
        <f t="shared" si="6"/>
        <v>-6.3343387839339571E-2</v>
      </c>
      <c r="K45" s="61"/>
      <c r="L45" s="61"/>
    </row>
    <row r="46" spans="1:12" ht="15.75">
      <c r="A46" s="25" t="str">
        <v>Q018</v>
      </c>
      <c r="B46" s="26" t="str">
        <v>NY</v>
      </c>
      <c r="C46" s="26" t="str">
        <f>Sites[[#This Row],[SOL'#]]</f>
        <v>SOL-10398</v>
      </c>
      <c r="D46" s="99">
        <v>18731</v>
      </c>
      <c r="E46" s="100">
        <v>20425</v>
      </c>
      <c r="F46" s="11">
        <f t="shared" si="4"/>
        <v>-1694</v>
      </c>
      <c r="G46" s="12">
        <f t="shared" si="7"/>
        <v>-8.2937576499388002E-2</v>
      </c>
      <c r="H46" s="83">
        <v>20147</v>
      </c>
      <c r="I46" s="13">
        <f t="shared" si="5"/>
        <v>-1416</v>
      </c>
      <c r="J46" s="14">
        <f t="shared" si="6"/>
        <v>-7.0283416885888725E-2</v>
      </c>
      <c r="K46" s="66" t="s">
        <v>845</v>
      </c>
      <c r="L46" s="66" t="s">
        <v>846</v>
      </c>
    </row>
    <row r="47" spans="1:12" ht="15.75">
      <c r="A47" s="27" t="str">
        <v>Q021</v>
      </c>
      <c r="B47" s="28" t="str">
        <v>NY</v>
      </c>
      <c r="C47" s="28" t="str">
        <f>Sites[[#This Row],[SOL'#]]</f>
        <v>SOL-10399</v>
      </c>
      <c r="D47" s="88">
        <v>15298</v>
      </c>
      <c r="E47" s="101">
        <v>15298</v>
      </c>
      <c r="F47" s="15">
        <f t="shared" si="4"/>
        <v>0</v>
      </c>
      <c r="G47" s="16">
        <f t="shared" si="7"/>
        <v>0</v>
      </c>
      <c r="H47" s="85">
        <v>16954</v>
      </c>
      <c r="I47" s="17">
        <f t="shared" si="5"/>
        <v>-1656</v>
      </c>
      <c r="J47" s="16">
        <f t="shared" si="6"/>
        <v>-9.7676064645511387E-2</v>
      </c>
      <c r="K47" s="61"/>
      <c r="L47" s="61"/>
    </row>
    <row r="48" spans="1:12" ht="15.75">
      <c r="A48" s="25" t="str">
        <v>Q025</v>
      </c>
      <c r="B48" s="26" t="str">
        <v>NY</v>
      </c>
      <c r="C48" s="26" t="str">
        <f>Sites[[#This Row],[SOL'#]]</f>
        <v>SOL-10400</v>
      </c>
      <c r="D48" s="99">
        <v>22713</v>
      </c>
      <c r="E48" s="100">
        <v>26167</v>
      </c>
      <c r="F48" s="11">
        <f t="shared" si="4"/>
        <v>-3454</v>
      </c>
      <c r="G48" s="12">
        <f t="shared" si="7"/>
        <v>-0.13199831849275806</v>
      </c>
      <c r="H48" s="83">
        <v>14697</v>
      </c>
      <c r="I48" s="13">
        <f t="shared" si="5"/>
        <v>8016</v>
      </c>
      <c r="J48" s="14">
        <f t="shared" si="6"/>
        <v>0.54541743212900595</v>
      </c>
      <c r="K48" s="66" t="s">
        <v>847</v>
      </c>
      <c r="L48" s="66" t="s">
        <v>848</v>
      </c>
    </row>
    <row r="49" spans="1:12" ht="15.75">
      <c r="A49" s="27" t="str">
        <v>Q074</v>
      </c>
      <c r="B49" s="28" t="str">
        <v>NY</v>
      </c>
      <c r="C49" s="28" t="str">
        <f>Sites[[#This Row],[SOL'#]]</f>
        <v>SOL-10402</v>
      </c>
      <c r="D49" s="88">
        <v>17130</v>
      </c>
      <c r="E49" s="101">
        <v>17203</v>
      </c>
      <c r="F49" s="15">
        <f t="shared" si="4"/>
        <v>-73</v>
      </c>
      <c r="G49" s="16">
        <f t="shared" si="7"/>
        <v>-4.2434459105969886E-3</v>
      </c>
      <c r="H49" s="85">
        <v>19123</v>
      </c>
      <c r="I49" s="17">
        <f t="shared" si="5"/>
        <v>-1993</v>
      </c>
      <c r="J49" s="16">
        <f t="shared" si="6"/>
        <v>-0.10422004915546723</v>
      </c>
      <c r="K49" s="61"/>
      <c r="L49" s="61"/>
    </row>
    <row r="50" spans="1:12" ht="15.75">
      <c r="A50" s="25" t="str">
        <v>Q115</v>
      </c>
      <c r="B50" s="26" t="str">
        <v>NY</v>
      </c>
      <c r="C50" s="26" t="str">
        <f>Sites[[#This Row],[SOL'#]]</f>
        <v>SOL-10872</v>
      </c>
      <c r="D50" s="99">
        <v>22706</v>
      </c>
      <c r="E50" s="100">
        <v>24142</v>
      </c>
      <c r="F50" s="11">
        <f t="shared" si="4"/>
        <v>-1436</v>
      </c>
      <c r="G50" s="12">
        <f t="shared" si="7"/>
        <v>-5.9481401706569466E-2</v>
      </c>
      <c r="H50" s="83">
        <v>25432</v>
      </c>
      <c r="I50" s="13">
        <f t="shared" si="5"/>
        <v>-2726</v>
      </c>
      <c r="J50" s="14">
        <f t="shared" si="6"/>
        <v>-0.10718779490405787</v>
      </c>
      <c r="K50" s="66"/>
      <c r="L50" s="66"/>
    </row>
    <row r="51" spans="1:12" ht="15.75">
      <c r="A51" s="27" t="str">
        <v>Q139</v>
      </c>
      <c r="B51" s="28" t="str">
        <v>NY</v>
      </c>
      <c r="C51" s="28" t="str">
        <f>Sites[[#This Row],[SOL'#]]</f>
        <v>SOL-10403</v>
      </c>
      <c r="D51" s="88">
        <v>13424</v>
      </c>
      <c r="E51" s="101">
        <v>14685</v>
      </c>
      <c r="F51" s="15">
        <f t="shared" si="4"/>
        <v>-1261</v>
      </c>
      <c r="G51" s="16">
        <f t="shared" si="7"/>
        <v>-8.5869935308137552E-2</v>
      </c>
      <c r="H51" s="85">
        <v>15998</v>
      </c>
      <c r="I51" s="17">
        <f t="shared" si="5"/>
        <v>-2574</v>
      </c>
      <c r="J51" s="16">
        <f t="shared" si="6"/>
        <v>-0.16089511188898611</v>
      </c>
      <c r="K51" s="61"/>
      <c r="L51" s="61"/>
    </row>
    <row r="52" spans="1:12" ht="15.75">
      <c r="A52" s="25" t="str">
        <v>Q157</v>
      </c>
      <c r="B52" s="26" t="str">
        <v>NY</v>
      </c>
      <c r="C52" s="26" t="str">
        <f>Sites[[#This Row],[SOL'#]]</f>
        <v>SOL-10404</v>
      </c>
      <c r="D52" s="99">
        <v>22911</v>
      </c>
      <c r="E52" s="100">
        <v>25895</v>
      </c>
      <c r="F52" s="11">
        <f t="shared" si="4"/>
        <v>-2984</v>
      </c>
      <c r="G52" s="12">
        <f t="shared" si="7"/>
        <v>-0.11523460127437729</v>
      </c>
      <c r="H52" s="83">
        <v>28498</v>
      </c>
      <c r="I52" s="13">
        <f t="shared" si="5"/>
        <v>-5587</v>
      </c>
      <c r="J52" s="14">
        <f t="shared" si="6"/>
        <v>-0.19604884553301985</v>
      </c>
      <c r="K52" s="66" t="s">
        <v>849</v>
      </c>
      <c r="L52" s="66" t="s">
        <v>850</v>
      </c>
    </row>
    <row r="53" spans="1:12" ht="15.75">
      <c r="A53" s="27" t="str">
        <v>Q192</v>
      </c>
      <c r="B53" s="28" t="str">
        <v>NY</v>
      </c>
      <c r="C53" s="28" t="str">
        <f>Sites[[#This Row],[SOL'#]]</f>
        <v>SOL-10406</v>
      </c>
      <c r="D53" s="88">
        <v>37828</v>
      </c>
      <c r="E53" s="101">
        <v>41310</v>
      </c>
      <c r="F53" s="15">
        <f t="shared" si="4"/>
        <v>-3482</v>
      </c>
      <c r="G53" s="16">
        <f t="shared" si="7"/>
        <v>-8.4289518276446387E-2</v>
      </c>
      <c r="H53" s="85">
        <v>41398</v>
      </c>
      <c r="I53" s="17">
        <f t="shared" si="5"/>
        <v>-3570</v>
      </c>
      <c r="J53" s="16">
        <f t="shared" si="6"/>
        <v>-8.6236050050727084E-2</v>
      </c>
      <c r="K53" s="61"/>
      <c r="L53" s="61"/>
    </row>
    <row r="54" spans="1:12" ht="15.75">
      <c r="A54" s="25" t="str">
        <v>Q210</v>
      </c>
      <c r="B54" s="26" t="str">
        <v>NY</v>
      </c>
      <c r="C54" s="26" t="str">
        <f>Sites[[#This Row],[SOL'#]]</f>
        <v>SOL-10407</v>
      </c>
      <c r="D54" s="99">
        <v>29803</v>
      </c>
      <c r="E54" s="100">
        <v>30625</v>
      </c>
      <c r="F54" s="11">
        <f t="shared" si="4"/>
        <v>-822</v>
      </c>
      <c r="G54" s="12">
        <f t="shared" si="7"/>
        <v>-2.6840816326530612E-2</v>
      </c>
      <c r="H54" s="83">
        <v>34388</v>
      </c>
      <c r="I54" s="13">
        <f t="shared" si="5"/>
        <v>-4585</v>
      </c>
      <c r="J54" s="14">
        <f t="shared" si="6"/>
        <v>-0.13333139467256019</v>
      </c>
      <c r="K54" s="66" t="s">
        <v>851</v>
      </c>
      <c r="L54" s="66" t="s">
        <v>852</v>
      </c>
    </row>
    <row r="55" spans="1:12" ht="86.25" customHeight="1">
      <c r="A55" s="27" t="str">
        <v>Q229</v>
      </c>
      <c r="B55" s="28" t="str">
        <v>NY</v>
      </c>
      <c r="C55" s="28" t="str">
        <f>Sites[[#This Row],[SOL'#]]</f>
        <v>SOL-10408</v>
      </c>
      <c r="D55" s="88">
        <v>9891</v>
      </c>
      <c r="E55" s="101">
        <v>14757</v>
      </c>
      <c r="F55" s="15">
        <f t="shared" si="4"/>
        <v>-4866</v>
      </c>
      <c r="G55" s="16">
        <f t="shared" si="7"/>
        <v>-0.32974181744256964</v>
      </c>
      <c r="H55" s="85">
        <v>14763</v>
      </c>
      <c r="I55" s="17">
        <f t="shared" si="5"/>
        <v>-4872</v>
      </c>
      <c r="J55" s="16">
        <f t="shared" si="6"/>
        <v>-0.33001422475106684</v>
      </c>
      <c r="K55" s="61" t="s">
        <v>853</v>
      </c>
      <c r="L55" s="61" t="s">
        <v>854</v>
      </c>
    </row>
    <row r="56" spans="1:12" ht="15.75">
      <c r="A56" s="25" t="str">
        <v>Q231</v>
      </c>
      <c r="B56" s="26" t="str">
        <v>NY</v>
      </c>
      <c r="C56" s="26" t="str">
        <f>Sites[[#This Row],[SOL'#]]</f>
        <v>SOL-10870</v>
      </c>
      <c r="D56" s="99">
        <v>51380</v>
      </c>
      <c r="E56" s="100">
        <v>52343</v>
      </c>
      <c r="F56" s="11">
        <f t="shared" si="4"/>
        <v>-963</v>
      </c>
      <c r="G56" s="12">
        <f t="shared" si="7"/>
        <v>-1.8397875551649696E-2</v>
      </c>
      <c r="H56" s="83">
        <v>53954</v>
      </c>
      <c r="I56" s="13">
        <f t="shared" si="5"/>
        <v>-2574</v>
      </c>
      <c r="J56" s="14">
        <f t="shared" si="6"/>
        <v>-4.7707306223820294E-2</v>
      </c>
      <c r="K56" s="66"/>
      <c r="L56" s="66"/>
    </row>
    <row r="57" spans="1:12" ht="15.75">
      <c r="A57" s="27" t="str">
        <v>Q405</v>
      </c>
      <c r="B57" s="28" t="str">
        <v>NY</v>
      </c>
      <c r="C57" s="28" t="str">
        <f>Sites[[#This Row],[SOL'#]]</f>
        <v>SOL-10409</v>
      </c>
      <c r="D57" s="88">
        <v>56054</v>
      </c>
      <c r="E57" s="101">
        <v>57004</v>
      </c>
      <c r="F57" s="15">
        <f t="shared" si="4"/>
        <v>-950</v>
      </c>
      <c r="G57" s="16">
        <f t="shared" si="7"/>
        <v>-1.6665497158094168E-2</v>
      </c>
      <c r="H57" s="85">
        <v>61713</v>
      </c>
      <c r="I57" s="17">
        <f t="shared" si="5"/>
        <v>-5659</v>
      </c>
      <c r="J57" s="16">
        <f t="shared" si="6"/>
        <v>-9.169866964821026E-2</v>
      </c>
      <c r="K57" s="61" t="s">
        <v>855</v>
      </c>
      <c r="L57" s="61" t="s">
        <v>856</v>
      </c>
    </row>
    <row r="58" spans="1:12" ht="15.75">
      <c r="A58" s="25" t="str">
        <v>Q435</v>
      </c>
      <c r="B58" s="26" t="str">
        <v>NY</v>
      </c>
      <c r="C58" s="26" t="str">
        <f>Sites[[#This Row],[SOL'#]]</f>
        <v>SOL-10923</v>
      </c>
      <c r="D58" s="99">
        <v>71768</v>
      </c>
      <c r="E58" s="100">
        <v>50960</v>
      </c>
      <c r="F58" s="11">
        <f t="shared" si="4"/>
        <v>20808</v>
      </c>
      <c r="G58" s="12">
        <f t="shared" si="7"/>
        <v>0.40832025117739401</v>
      </c>
      <c r="H58" s="83">
        <v>75413</v>
      </c>
      <c r="I58" s="13">
        <f t="shared" si="5"/>
        <v>-3645</v>
      </c>
      <c r="J58" s="14">
        <f t="shared" si="6"/>
        <v>-4.8333841645339666E-2</v>
      </c>
      <c r="K58" s="66" t="s">
        <v>857</v>
      </c>
      <c r="L58" s="66" t="s">
        <v>858</v>
      </c>
    </row>
    <row r="59" spans="1:12" ht="15.75">
      <c r="A59" s="27" t="str">
        <v>Q485</v>
      </c>
      <c r="B59" s="28" t="str">
        <v>NY</v>
      </c>
      <c r="C59" s="28" t="str">
        <f>Sites[[#This Row],[SOL'#]]</f>
        <v>SOL-10869</v>
      </c>
      <c r="D59" s="88">
        <v>62070</v>
      </c>
      <c r="E59" s="101">
        <v>52699</v>
      </c>
      <c r="F59" s="15">
        <f t="shared" si="4"/>
        <v>9371</v>
      </c>
      <c r="G59" s="16">
        <f t="shared" si="7"/>
        <v>0.17782121102867227</v>
      </c>
      <c r="H59" s="85">
        <v>71546</v>
      </c>
      <c r="I59" s="17">
        <f t="shared" si="5"/>
        <v>-9476</v>
      </c>
      <c r="J59" s="16">
        <f t="shared" si="6"/>
        <v>-0.13244625835127052</v>
      </c>
      <c r="K59" s="61" t="s">
        <v>859</v>
      </c>
      <c r="L59" s="61" t="s">
        <v>860</v>
      </c>
    </row>
    <row r="60" spans="1:12" ht="15.75">
      <c r="A60" s="25" t="str">
        <v>Q490</v>
      </c>
      <c r="B60" s="26" t="str">
        <v>NY</v>
      </c>
      <c r="C60" s="26" t="str">
        <f>Sites[[#This Row],[SOL'#]]</f>
        <v>SOL-10411</v>
      </c>
      <c r="D60" s="99">
        <v>46255</v>
      </c>
      <c r="E60" s="100"/>
      <c r="F60" s="11" t="str">
        <f t="shared" si="4"/>
        <v/>
      </c>
      <c r="G60" s="12" t="str">
        <f t="shared" si="7"/>
        <v/>
      </c>
      <c r="H60" s="83">
        <v>53578</v>
      </c>
      <c r="I60" s="13">
        <f t="shared" si="5"/>
        <v>-7323</v>
      </c>
      <c r="J60" s="14">
        <f t="shared" si="6"/>
        <v>-0.13667923401396095</v>
      </c>
      <c r="K60" s="66" t="s">
        <v>861</v>
      </c>
      <c r="L60" s="66" t="s">
        <v>862</v>
      </c>
    </row>
    <row r="61" spans="1:12" ht="15.75">
      <c r="A61" s="27" t="str">
        <v>Q620</v>
      </c>
      <c r="B61" s="28" t="str">
        <v>NY</v>
      </c>
      <c r="C61" s="28" t="str">
        <f>Sites[[#This Row],[SOL'#]]</f>
        <v>SOL-10867</v>
      </c>
      <c r="D61" s="88">
        <v>71845</v>
      </c>
      <c r="E61" s="101">
        <v>73628</v>
      </c>
      <c r="F61" s="15">
        <f t="shared" si="4"/>
        <v>-1783</v>
      </c>
      <c r="G61" s="16">
        <f t="shared" si="7"/>
        <v>-2.4216330743738794E-2</v>
      </c>
      <c r="H61" s="85">
        <v>75954</v>
      </c>
      <c r="I61" s="17">
        <f t="shared" si="5"/>
        <v>-4109</v>
      </c>
      <c r="J61" s="16">
        <f t="shared" si="6"/>
        <v>-5.4098533322800645E-2</v>
      </c>
      <c r="K61" s="61"/>
      <c r="L61" s="61"/>
    </row>
    <row r="62" spans="1:12" ht="15.75">
      <c r="A62" s="25" t="str">
        <v>QMOA</v>
      </c>
      <c r="B62" s="26" t="str">
        <v>NY</v>
      </c>
      <c r="C62" s="26" t="str">
        <f>Sites[[#This Row],[SOL'#]]</f>
        <v>SOL-10415</v>
      </c>
      <c r="D62" s="99">
        <v>6209</v>
      </c>
      <c r="E62" s="100"/>
      <c r="F62" s="11" t="str">
        <f t="shared" si="4"/>
        <v/>
      </c>
      <c r="G62" s="12" t="str">
        <f t="shared" si="7"/>
        <v/>
      </c>
      <c r="H62" s="83">
        <v>6895</v>
      </c>
      <c r="I62" s="13">
        <f t="shared" si="5"/>
        <v>-686</v>
      </c>
      <c r="J62" s="14">
        <f t="shared" si="6"/>
        <v>-9.9492385786802029E-2</v>
      </c>
      <c r="K62" s="66"/>
      <c r="L62" s="66"/>
    </row>
    <row r="63" spans="1:12" ht="28.5">
      <c r="A63" s="27" t="str">
        <v>X024</v>
      </c>
      <c r="B63" s="28" t="str">
        <v>NY</v>
      </c>
      <c r="C63" s="28" t="str">
        <f>Sites[[#This Row],[SOL'#]]</f>
        <v>SOL-10419</v>
      </c>
      <c r="D63" s="88">
        <v>27699</v>
      </c>
      <c r="E63" s="101">
        <v>0</v>
      </c>
      <c r="F63" s="15">
        <f t="shared" si="4"/>
        <v>27699</v>
      </c>
      <c r="G63" s="16" t="str">
        <f t="shared" si="7"/>
        <v/>
      </c>
      <c r="H63" s="85">
        <v>28668</v>
      </c>
      <c r="I63" s="17">
        <f t="shared" si="5"/>
        <v>-969</v>
      </c>
      <c r="J63" s="16">
        <f t="shared" si="6"/>
        <v>-3.3800753453327753E-2</v>
      </c>
      <c r="K63" s="61" t="s">
        <v>863</v>
      </c>
      <c r="L63" s="61" t="s">
        <v>864</v>
      </c>
    </row>
    <row r="64" spans="1:12" ht="15.75">
      <c r="A64" s="25" t="str">
        <v>X026</v>
      </c>
      <c r="B64" s="26" t="str">
        <v>NY</v>
      </c>
      <c r="C64" s="26" t="str">
        <f>Sites[[#This Row],[SOL'#]]</f>
        <v>SOL-10420</v>
      </c>
      <c r="D64" s="99">
        <v>24569.7</v>
      </c>
      <c r="E64" s="100">
        <v>22754.36</v>
      </c>
      <c r="F64" s="11">
        <f t="shared" si="4"/>
        <v>1815.3400000000001</v>
      </c>
      <c r="G64" s="12">
        <f t="shared" si="7"/>
        <v>7.9779875153596941E-2</v>
      </c>
      <c r="H64" s="83">
        <v>38545.129999999997</v>
      </c>
      <c r="I64" s="13">
        <f t="shared" si="5"/>
        <v>-13975.429999999997</v>
      </c>
      <c r="J64" s="14">
        <f t="shared" si="6"/>
        <v>-0.36257317072221568</v>
      </c>
      <c r="K64" s="66"/>
      <c r="L64" s="66"/>
    </row>
    <row r="65" spans="1:12" ht="15.75">
      <c r="A65" s="27" t="str">
        <v>X090</v>
      </c>
      <c r="B65" s="28" t="str">
        <v>NY</v>
      </c>
      <c r="C65" s="28" t="str">
        <f>Sites[[#This Row],[SOL'#]]</f>
        <v>SOL-10925</v>
      </c>
      <c r="D65" s="88">
        <v>21161.859380000002</v>
      </c>
      <c r="E65" s="101">
        <v>18502.400000000001</v>
      </c>
      <c r="F65" s="15">
        <f t="shared" si="4"/>
        <v>2659.4593800000002</v>
      </c>
      <c r="G65" s="16">
        <f t="shared" si="7"/>
        <v>0.1437359142597717</v>
      </c>
      <c r="H65" s="85">
        <v>22204</v>
      </c>
      <c r="I65" s="17">
        <f t="shared" si="5"/>
        <v>-1042.1406199999983</v>
      </c>
      <c r="J65" s="16">
        <f t="shared" si="6"/>
        <v>-4.693481444784716E-2</v>
      </c>
      <c r="K65" s="61"/>
      <c r="L65" s="61"/>
    </row>
    <row r="66" spans="1:12" ht="15.75">
      <c r="A66" s="25" t="str">
        <v>X117</v>
      </c>
      <c r="B66" s="26" t="str">
        <v>NY</v>
      </c>
      <c r="C66" s="26" t="str">
        <f>Sites[[#This Row],[SOL'#]]</f>
        <v>SOL-10422</v>
      </c>
      <c r="D66" s="99">
        <v>17820.599999999999</v>
      </c>
      <c r="E66" s="100">
        <v>19275.82</v>
      </c>
      <c r="F66" s="11">
        <f t="shared" si="4"/>
        <v>-1455.2200000000012</v>
      </c>
      <c r="G66" s="12">
        <f t="shared" si="7"/>
        <v>-7.5494583369215995E-2</v>
      </c>
      <c r="H66" s="83">
        <v>20658.43</v>
      </c>
      <c r="I66" s="13">
        <f t="shared" si="5"/>
        <v>-2837.8300000000017</v>
      </c>
      <c r="J66" s="14">
        <f t="shared" si="6"/>
        <v>-0.13736910307317651</v>
      </c>
      <c r="K66" s="66"/>
      <c r="L66" s="66"/>
    </row>
    <row r="67" spans="1:12" ht="15.75">
      <c r="A67" s="27" t="str">
        <v>X125</v>
      </c>
      <c r="B67" s="28" t="str">
        <v>NY</v>
      </c>
      <c r="C67" s="28" t="str">
        <f>Sites[[#This Row],[SOL'#]]</f>
        <v>SOL-10423</v>
      </c>
      <c r="D67" s="88">
        <v>32608.375</v>
      </c>
      <c r="E67" s="101">
        <v>33256.050000000003</v>
      </c>
      <c r="F67" s="15">
        <f t="shared" si="4"/>
        <v>-647.67500000000291</v>
      </c>
      <c r="G67" s="16">
        <f t="shared" si="7"/>
        <v>-1.9475403723533097E-2</v>
      </c>
      <c r="H67" s="85">
        <v>33778.74</v>
      </c>
      <c r="I67" s="17">
        <f t="shared" si="5"/>
        <v>-1170.364999999998</v>
      </c>
      <c r="J67" s="16">
        <f t="shared" si="6"/>
        <v>-3.4647976804344921E-2</v>
      </c>
      <c r="K67" s="61"/>
      <c r="L67" s="61"/>
    </row>
    <row r="68" spans="1:12" ht="15.75">
      <c r="A68" s="25" t="str">
        <v>X134</v>
      </c>
      <c r="B68" s="26" t="str">
        <v>NY</v>
      </c>
      <c r="C68" s="26" t="str">
        <f>Sites[[#This Row],[SOL'#]]</f>
        <v>SOL-10424</v>
      </c>
      <c r="D68" s="99">
        <v>31739.375</v>
      </c>
      <c r="E68" s="100">
        <v>0</v>
      </c>
      <c r="F68" s="11">
        <f t="shared" si="4"/>
        <v>31739.375</v>
      </c>
      <c r="G68" s="12" t="str">
        <f t="shared" si="7"/>
        <v/>
      </c>
      <c r="H68" s="83">
        <v>33773</v>
      </c>
      <c r="I68" s="13">
        <f t="shared" si="5"/>
        <v>-2033.625</v>
      </c>
      <c r="J68" s="14">
        <f t="shared" si="6"/>
        <v>-6.0214520474935598E-2</v>
      </c>
      <c r="K68" s="66"/>
      <c r="L68" s="66"/>
    </row>
    <row r="69" spans="1:12" ht="15.75">
      <c r="A69" s="27" t="str">
        <v>X135</v>
      </c>
      <c r="B69" s="28" t="str">
        <v>NY</v>
      </c>
      <c r="C69" s="28" t="str">
        <f>Sites[[#This Row],[SOL'#]]</f>
        <v>SOL-10425</v>
      </c>
      <c r="D69" s="88">
        <v>22276.53125</v>
      </c>
      <c r="E69" s="101">
        <v>0</v>
      </c>
      <c r="F69" s="15">
        <f t="shared" si="4"/>
        <v>22276.53125</v>
      </c>
      <c r="G69" s="16" t="str">
        <f t="shared" si="7"/>
        <v/>
      </c>
      <c r="H69" s="85">
        <v>26680</v>
      </c>
      <c r="I69" s="17">
        <f t="shared" si="5"/>
        <v>-4403.46875</v>
      </c>
      <c r="J69" s="16">
        <f t="shared" si="6"/>
        <v>-0.16504755434782609</v>
      </c>
      <c r="K69" s="61"/>
      <c r="L69" s="61"/>
    </row>
    <row r="70" spans="1:12" ht="15.75">
      <c r="A70" s="25" t="str">
        <v>X139 JHS 222</v>
      </c>
      <c r="B70" s="26" t="str">
        <v>NY</v>
      </c>
      <c r="C70" s="26" t="str">
        <f>Sites[[#This Row],[SOL'#]]</f>
        <v>SOL-10426</v>
      </c>
      <c r="D70" s="99">
        <v>41774</v>
      </c>
      <c r="E70" s="100">
        <v>42759</v>
      </c>
      <c r="F70" s="11">
        <f t="shared" si="4"/>
        <v>-985</v>
      </c>
      <c r="G70" s="12">
        <f t="shared" si="7"/>
        <v>-2.3036085970205102E-2</v>
      </c>
      <c r="H70" s="83">
        <v>43069</v>
      </c>
      <c r="I70" s="13">
        <f t="shared" si="5"/>
        <v>-1295</v>
      </c>
      <c r="J70" s="14">
        <f t="shared" si="6"/>
        <v>-3.0068030369871601E-2</v>
      </c>
      <c r="K70" s="66"/>
      <c r="L70" s="66"/>
    </row>
    <row r="71" spans="1:12" ht="15.75">
      <c r="A71" s="27" t="str">
        <v>X140</v>
      </c>
      <c r="B71" s="28" t="str">
        <v>NY</v>
      </c>
      <c r="C71" s="28" t="str">
        <f>Sites[[#This Row],[SOL'#]]</f>
        <v>SOL-10926</v>
      </c>
      <c r="D71" s="88">
        <v>21982</v>
      </c>
      <c r="E71" s="101">
        <v>18345</v>
      </c>
      <c r="F71" s="15">
        <f t="shared" si="4"/>
        <v>3637</v>
      </c>
      <c r="G71" s="16">
        <f t="shared" si="7"/>
        <v>0.19825565549195967</v>
      </c>
      <c r="H71" s="85">
        <v>22757</v>
      </c>
      <c r="I71" s="17">
        <f t="shared" si="5"/>
        <v>-775</v>
      </c>
      <c r="J71" s="16">
        <f t="shared" si="6"/>
        <v>-3.405545546425276E-2</v>
      </c>
      <c r="K71" s="61"/>
      <c r="L71" s="61"/>
    </row>
    <row r="72" spans="1:12" ht="15.75">
      <c r="A72" s="25" t="str">
        <v>X166</v>
      </c>
      <c r="B72" s="26" t="str">
        <v>NY</v>
      </c>
      <c r="C72" s="26" t="str">
        <f>Sites[[#This Row],[SOL'#]]</f>
        <v>SOL-10427</v>
      </c>
      <c r="D72" s="99">
        <v>23528.5</v>
      </c>
      <c r="E72" s="100">
        <v>23410.62</v>
      </c>
      <c r="F72" s="11">
        <f t="shared" si="4"/>
        <v>117.88000000000102</v>
      </c>
      <c r="G72" s="12">
        <f t="shared" si="7"/>
        <v>5.0353215762761099E-3</v>
      </c>
      <c r="H72" s="83">
        <v>25236</v>
      </c>
      <c r="I72" s="13">
        <f t="shared" si="5"/>
        <v>-1707.5</v>
      </c>
      <c r="J72" s="14">
        <f t="shared" si="6"/>
        <v>-6.7661277540022186E-2</v>
      </c>
      <c r="K72" s="66"/>
      <c r="L72" s="66"/>
    </row>
    <row r="73" spans="1:12" ht="28.5">
      <c r="A73" s="27" t="str">
        <v>Murphy</v>
      </c>
      <c r="B73" s="28" t="str">
        <v>MN</v>
      </c>
      <c r="C73" s="28" t="str">
        <f>Sites[[#This Row],[SOL'#]]</f>
        <v>SOL-10094</v>
      </c>
      <c r="D73" s="88">
        <v>737830</v>
      </c>
      <c r="E73" s="101">
        <v>939169</v>
      </c>
      <c r="F73" s="15">
        <f t="shared" si="4"/>
        <v>-201339</v>
      </c>
      <c r="G73" s="16">
        <f t="shared" si="7"/>
        <v>-0.21437994652719586</v>
      </c>
      <c r="H73" s="85">
        <v>996337</v>
      </c>
      <c r="I73" s="17">
        <f t="shared" si="5"/>
        <v>-258507</v>
      </c>
      <c r="J73" s="16">
        <f t="shared" si="6"/>
        <v>-0.25945739242846549</v>
      </c>
      <c r="K73" s="61" t="s">
        <v>865</v>
      </c>
      <c r="L73" s="61" t="s">
        <v>866</v>
      </c>
    </row>
    <row r="74" spans="1:12" ht="28.5">
      <c r="A74" s="25" t="str">
        <v>Terning</v>
      </c>
      <c r="B74" s="26" t="str">
        <v>MN</v>
      </c>
      <c r="C74" s="26" t="str">
        <f>Sites[[#This Row],[SOL'#]]</f>
        <v>SOL-10093</v>
      </c>
      <c r="D74" s="99">
        <v>885300</v>
      </c>
      <c r="E74" s="100">
        <v>1004252</v>
      </c>
      <c r="F74" s="11">
        <f t="shared" si="4"/>
        <v>-118952</v>
      </c>
      <c r="G74" s="12">
        <f t="shared" si="7"/>
        <v>-0.11844835758355472</v>
      </c>
      <c r="H74" s="83">
        <v>978433</v>
      </c>
      <c r="I74" s="13">
        <f t="shared" si="5"/>
        <v>-93133</v>
      </c>
      <c r="J74" s="14">
        <f t="shared" si="6"/>
        <v>-9.5185873738927451E-2</v>
      </c>
      <c r="K74" s="66" t="s">
        <v>867</v>
      </c>
      <c r="L74" s="66" t="s">
        <v>868</v>
      </c>
    </row>
    <row r="75" spans="1:12" ht="24.75" customHeight="1">
      <c r="A75" s="27" t="str">
        <v>Boas Road 04</v>
      </c>
      <c r="B75" s="28" t="str">
        <v>NY</v>
      </c>
      <c r="C75" s="28" t="str">
        <f>Sites[[#This Row],[SOL'#]]</f>
        <v>SOL-10908</v>
      </c>
      <c r="D75" s="88">
        <v>332861</v>
      </c>
      <c r="E75" s="101">
        <v>0</v>
      </c>
      <c r="F75" s="15">
        <f t="shared" si="4"/>
        <v>332861</v>
      </c>
      <c r="G75" s="16" t="str">
        <f t="shared" si="7"/>
        <v/>
      </c>
      <c r="H75" s="85">
        <v>364734</v>
      </c>
      <c r="I75" s="17">
        <f t="shared" si="5"/>
        <v>-31873</v>
      </c>
      <c r="J75" s="16">
        <f t="shared" si="6"/>
        <v>-8.738697242373894E-2</v>
      </c>
      <c r="K75" s="61" t="s">
        <v>869</v>
      </c>
      <c r="L75" s="61" t="s">
        <v>720</v>
      </c>
    </row>
    <row r="76" spans="1:12" ht="42.75">
      <c r="A76" s="25" t="str">
        <v>Kelly Bridge Farm</v>
      </c>
      <c r="B76" s="26" t="str">
        <v>NY</v>
      </c>
      <c r="C76" s="26" t="str">
        <f>Sites[[#This Row],[SOL'#]]</f>
        <v>SOL-10911</v>
      </c>
      <c r="D76" s="99">
        <v>328978</v>
      </c>
      <c r="E76" s="100">
        <v>342445</v>
      </c>
      <c r="F76" s="11">
        <f t="shared" si="4"/>
        <v>-13467</v>
      </c>
      <c r="G76" s="12">
        <f t="shared" si="7"/>
        <v>-3.9326023157003315E-2</v>
      </c>
      <c r="H76" s="83">
        <v>368254</v>
      </c>
      <c r="I76" s="13">
        <f t="shared" si="5"/>
        <v>-39276</v>
      </c>
      <c r="J76" s="14">
        <f t="shared" si="6"/>
        <v>-0.10665464597804776</v>
      </c>
      <c r="K76" s="66" t="s">
        <v>870</v>
      </c>
      <c r="L76" s="66" t="s">
        <v>871</v>
      </c>
    </row>
    <row r="77" spans="1:12" ht="15.75">
      <c r="A77" s="27" t="str">
        <v>Pool Brook Road</v>
      </c>
      <c r="B77" s="28" t="str">
        <v>NY</v>
      </c>
      <c r="C77" s="28" t="str">
        <f>Sites[[#This Row],[SOL'#]]</f>
        <v>SOL-10909</v>
      </c>
      <c r="D77" s="88">
        <v>281898</v>
      </c>
      <c r="E77" s="101">
        <v>290552</v>
      </c>
      <c r="F77" s="15">
        <f t="shared" si="4"/>
        <v>-8654</v>
      </c>
      <c r="G77" s="16">
        <f t="shared" si="7"/>
        <v>-2.9784685701698836E-2</v>
      </c>
      <c r="H77" s="85">
        <v>363462</v>
      </c>
      <c r="I77" s="17">
        <f t="shared" si="5"/>
        <v>-81564</v>
      </c>
      <c r="J77" s="16">
        <f t="shared" si="6"/>
        <v>-0.22440860392558232</v>
      </c>
      <c r="K77" s="61"/>
      <c r="L77" s="61"/>
    </row>
    <row r="78" spans="1:12" ht="42.75">
      <c r="A78" s="25" t="str">
        <v>Sackett Lake</v>
      </c>
      <c r="B78" s="26" t="str">
        <v>NY</v>
      </c>
      <c r="C78" s="26" t="str">
        <f>Sites[[#This Row],[SOL'#]]</f>
        <v>SOL-10910</v>
      </c>
      <c r="D78" s="99">
        <v>304373</v>
      </c>
      <c r="E78" s="100">
        <v>338608</v>
      </c>
      <c r="F78" s="11">
        <f t="shared" si="4"/>
        <v>-34235</v>
      </c>
      <c r="G78" s="12">
        <f t="shared" si="7"/>
        <v>-0.10110511269668762</v>
      </c>
      <c r="H78" s="83">
        <v>369011</v>
      </c>
      <c r="I78" s="13">
        <f t="shared" si="5"/>
        <v>-64638</v>
      </c>
      <c r="J78" s="14">
        <f t="shared" si="6"/>
        <v>-0.17516550997124747</v>
      </c>
      <c r="K78" s="66" t="s">
        <v>872</v>
      </c>
      <c r="L78" s="66" t="s">
        <v>873</v>
      </c>
    </row>
    <row r="79" spans="1:12" ht="79.5" customHeight="1">
      <c r="A79" s="27" t="str">
        <v>Burritt Road</v>
      </c>
      <c r="B79" s="28" t="str">
        <v>NY</v>
      </c>
      <c r="C79" s="28" t="str">
        <f>Sites[[#This Row],[SOL'#]]</f>
        <v>SOL-10913</v>
      </c>
      <c r="D79" s="88">
        <v>353540</v>
      </c>
      <c r="E79" s="101">
        <v>22903</v>
      </c>
      <c r="F79" s="15">
        <f t="shared" si="4"/>
        <v>330637</v>
      </c>
      <c r="G79" s="16">
        <f t="shared" si="7"/>
        <v>14.436405711042221</v>
      </c>
      <c r="H79" s="85">
        <v>377507</v>
      </c>
      <c r="I79" s="17">
        <f t="shared" si="5"/>
        <v>-23967</v>
      </c>
      <c r="J79" s="16">
        <f t="shared" si="6"/>
        <v>-6.3487564469003221E-2</v>
      </c>
      <c r="K79" s="61" t="s">
        <v>874</v>
      </c>
      <c r="L79" s="61" t="s">
        <v>875</v>
      </c>
    </row>
    <row r="80" spans="1:12" ht="15.75">
      <c r="A80" s="25" t="str">
        <v>Villa Roma 1</v>
      </c>
      <c r="B80" s="26" t="str">
        <v>NY</v>
      </c>
      <c r="C80" s="26" t="str">
        <f>Sites[[#This Row],[SOL'#]]</f>
        <v>SOL-10914</v>
      </c>
      <c r="D80" s="99">
        <v>264506</v>
      </c>
      <c r="E80" s="100">
        <v>458536</v>
      </c>
      <c r="F80" s="11">
        <f t="shared" si="4"/>
        <v>-194030</v>
      </c>
      <c r="G80" s="12">
        <f t="shared" si="7"/>
        <v>-0.4231510721077516</v>
      </c>
      <c r="H80" s="83">
        <v>332070</v>
      </c>
      <c r="I80" s="13">
        <f t="shared" si="5"/>
        <v>-67564</v>
      </c>
      <c r="J80" s="14">
        <f t="shared" si="6"/>
        <v>-0.20346312524467733</v>
      </c>
      <c r="K80" s="66" t="s">
        <v>876</v>
      </c>
      <c r="L80" s="66" t="s">
        <v>877</v>
      </c>
    </row>
    <row r="81" spans="1:12" ht="71.25">
      <c r="A81" s="27" t="str">
        <v>Villa Roma 2</v>
      </c>
      <c r="B81" s="28" t="str">
        <v>NY</v>
      </c>
      <c r="C81" s="28" t="str">
        <f>Sites[[#This Row],[SOL'#]]</f>
        <v>SOL-10915</v>
      </c>
      <c r="D81" s="88">
        <v>198759</v>
      </c>
      <c r="E81" s="101">
        <v>293722</v>
      </c>
      <c r="F81" s="15">
        <f t="shared" si="4"/>
        <v>-94963</v>
      </c>
      <c r="G81" s="16">
        <f t="shared" si="7"/>
        <v>-0.32330911542206575</v>
      </c>
      <c r="H81" s="85">
        <v>321550</v>
      </c>
      <c r="I81" s="17">
        <f t="shared" si="5"/>
        <v>-122791</v>
      </c>
      <c r="J81" s="16">
        <f t="shared" si="6"/>
        <v>-0.38187218162027681</v>
      </c>
      <c r="K81" s="61" t="s">
        <v>878</v>
      </c>
      <c r="L81" s="61" t="s">
        <v>879</v>
      </c>
    </row>
    <row r="82" spans="1:12" ht="15.75">
      <c r="A82" s="25" t="str">
        <v>Washington 1</v>
      </c>
      <c r="B82" s="26" t="str">
        <v>NY</v>
      </c>
      <c r="C82" s="26" t="str">
        <f>Sites[[#This Row],[SOL'#]]</f>
        <v>SOL-10912</v>
      </c>
      <c r="D82" s="99">
        <v>360210</v>
      </c>
      <c r="E82" s="100">
        <v>384850</v>
      </c>
      <c r="F82" s="11">
        <f t="shared" ref="F82:F145" si="8">IF(AND(ISNUMBER(D82),ISNUMBER(E82)), D82-E82, "")</f>
        <v>-24640</v>
      </c>
      <c r="G82" s="12">
        <f t="shared" ref="G82:G145" si="9">IFERROR(F82/E82, "")</f>
        <v>-6.4024944783681953E-2</v>
      </c>
      <c r="H82" s="83">
        <v>373094</v>
      </c>
      <c r="I82" s="13">
        <f t="shared" ref="I82:I145" si="10">IF(AND(ISNUMBER(D82),ISNUMBER(H82)), D82-H82, "")</f>
        <v>-12884</v>
      </c>
      <c r="J82" s="14">
        <f t="shared" ref="J82:J145" si="11">IFERROR(I82/H82, "")</f>
        <v>-3.4532852310677736E-2</v>
      </c>
      <c r="K82" s="66"/>
      <c r="L82" s="66"/>
    </row>
    <row r="83" spans="1:12" ht="59.45" customHeight="1">
      <c r="A83" s="27" t="str">
        <v>Washington 3</v>
      </c>
      <c r="B83" s="28" t="str">
        <v>NY</v>
      </c>
      <c r="C83" s="28" t="str">
        <f>Sites[[#This Row],[SOL'#]]</f>
        <v>SOL-10828</v>
      </c>
      <c r="D83" s="88">
        <v>408612</v>
      </c>
      <c r="E83" s="101">
        <v>480296</v>
      </c>
      <c r="F83" s="15">
        <f t="shared" si="8"/>
        <v>-71684</v>
      </c>
      <c r="G83" s="16">
        <f t="shared" si="9"/>
        <v>-0.14924962939520628</v>
      </c>
      <c r="H83" s="85">
        <v>454868</v>
      </c>
      <c r="I83" s="17">
        <f t="shared" si="10"/>
        <v>-46256</v>
      </c>
      <c r="J83" s="16">
        <f t="shared" si="11"/>
        <v>-0.10169104003798904</v>
      </c>
      <c r="K83" s="61" t="s">
        <v>880</v>
      </c>
      <c r="L83" s="61" t="s">
        <v>881</v>
      </c>
    </row>
    <row r="84" spans="1:12" ht="15.75">
      <c r="A84" s="25" t="str">
        <v>Washington 4</v>
      </c>
      <c r="B84" s="26" t="str">
        <v>NY</v>
      </c>
      <c r="C84" s="26" t="str">
        <f>Sites[[#This Row],[SOL'#]]</f>
        <v>SOL-10829</v>
      </c>
      <c r="D84" s="99" t="s">
        <v>882</v>
      </c>
      <c r="E84" s="100">
        <v>0</v>
      </c>
      <c r="F84" s="11" t="str">
        <f t="shared" si="8"/>
        <v/>
      </c>
      <c r="G84" s="12" t="str">
        <f t="shared" si="9"/>
        <v/>
      </c>
      <c r="H84" s="83">
        <v>455885</v>
      </c>
      <c r="I84" s="13" t="str">
        <f t="shared" si="10"/>
        <v/>
      </c>
      <c r="J84" s="14" t="str">
        <f t="shared" si="11"/>
        <v/>
      </c>
      <c r="K84" s="66"/>
      <c r="L84" s="66"/>
    </row>
    <row r="85" spans="1:12" ht="15.75">
      <c r="A85" s="27" t="str">
        <v>Big Tree</v>
      </c>
      <c r="B85" s="28" t="str">
        <v>NY</v>
      </c>
      <c r="C85" s="28" t="str">
        <f>Sites[[#This Row],[SOL'#]]</f>
        <v>SOL-10966</v>
      </c>
      <c r="D85" s="88">
        <v>358700</v>
      </c>
      <c r="E85" s="101">
        <v>0</v>
      </c>
      <c r="F85" s="15">
        <f t="shared" si="8"/>
        <v>358700</v>
      </c>
      <c r="G85" s="16" t="str">
        <f t="shared" si="9"/>
        <v/>
      </c>
      <c r="H85" s="85">
        <v>380100</v>
      </c>
      <c r="I85" s="17">
        <f t="shared" si="10"/>
        <v>-21400</v>
      </c>
      <c r="J85" s="16">
        <f t="shared" si="11"/>
        <v>-5.6300973428045249E-2</v>
      </c>
      <c r="K85" s="61"/>
      <c r="L85" s="61"/>
    </row>
    <row r="86" spans="1:12" ht="15.75">
      <c r="A86" s="25" t="str">
        <v>Canoga</v>
      </c>
      <c r="B86" s="26" t="str">
        <v>NY</v>
      </c>
      <c r="C86" s="26" t="str">
        <f>Sites[[#This Row],[SOL'#]]</f>
        <v>SOL-10965</v>
      </c>
      <c r="D86" s="99">
        <v>920598</v>
      </c>
      <c r="E86" s="100">
        <v>0</v>
      </c>
      <c r="F86" s="11">
        <f t="shared" si="8"/>
        <v>920598</v>
      </c>
      <c r="G86" s="12" t="str">
        <f t="shared" si="9"/>
        <v/>
      </c>
      <c r="H86" s="83">
        <v>972868</v>
      </c>
      <c r="I86" s="13">
        <f t="shared" si="10"/>
        <v>-52270</v>
      </c>
      <c r="J86" s="14">
        <f t="shared" si="11"/>
        <v>-5.3727741070731076E-2</v>
      </c>
      <c r="K86" s="66" t="s">
        <v>883</v>
      </c>
      <c r="L86" s="66" t="s">
        <v>884</v>
      </c>
    </row>
    <row r="87" spans="1:12" ht="42.75">
      <c r="A87" s="27" t="str">
        <v>County Route 84</v>
      </c>
      <c r="B87" s="28" t="str">
        <v>NY</v>
      </c>
      <c r="C87" s="28" t="str">
        <f>Sites[[#This Row],[SOL'#]]</f>
        <v>SOL-10967</v>
      </c>
      <c r="D87" s="88">
        <v>844090</v>
      </c>
      <c r="E87" s="101">
        <v>0</v>
      </c>
      <c r="F87" s="15">
        <f t="shared" si="8"/>
        <v>844090</v>
      </c>
      <c r="G87" s="16" t="str">
        <f t="shared" si="9"/>
        <v/>
      </c>
      <c r="H87" s="85">
        <v>970746</v>
      </c>
      <c r="I87" s="17">
        <f t="shared" si="10"/>
        <v>-126656</v>
      </c>
      <c r="J87" s="16">
        <f t="shared" si="11"/>
        <v>-0.13047285283689039</v>
      </c>
      <c r="K87" s="61" t="s">
        <v>885</v>
      </c>
      <c r="L87" s="61" t="s">
        <v>886</v>
      </c>
    </row>
    <row r="88" spans="1:12" ht="28.5">
      <c r="A88" s="25" t="str">
        <v>Donati</v>
      </c>
      <c r="B88" s="26" t="str">
        <v>NY</v>
      </c>
      <c r="C88" s="26" t="str">
        <f>Sites[[#This Row],[SOL'#]]</f>
        <v>SOL-10968</v>
      </c>
      <c r="D88" s="99">
        <v>424017</v>
      </c>
      <c r="E88" s="100">
        <v>0</v>
      </c>
      <c r="F88" s="11">
        <f t="shared" si="8"/>
        <v>424017</v>
      </c>
      <c r="G88" s="12" t="str">
        <f t="shared" si="9"/>
        <v/>
      </c>
      <c r="H88" s="83">
        <v>489110</v>
      </c>
      <c r="I88" s="13">
        <f t="shared" si="10"/>
        <v>-65093</v>
      </c>
      <c r="J88" s="14">
        <f t="shared" si="11"/>
        <v>-0.13308458220032304</v>
      </c>
      <c r="K88" s="66" t="s">
        <v>887</v>
      </c>
      <c r="L88" s="66" t="s">
        <v>888</v>
      </c>
    </row>
    <row r="89" spans="1:12" ht="15.75">
      <c r="A89" s="27" t="str">
        <v>Henrietta</v>
      </c>
      <c r="B89" s="28" t="str">
        <v>NY</v>
      </c>
      <c r="C89" s="28" t="str">
        <f>Sites[[#This Row],[SOL'#]]</f>
        <v>SOL-10972</v>
      </c>
      <c r="D89" s="88">
        <v>844216</v>
      </c>
      <c r="E89" s="101">
        <v>0</v>
      </c>
      <c r="F89" s="15">
        <f t="shared" si="8"/>
        <v>844216</v>
      </c>
      <c r="G89" s="16" t="str">
        <f t="shared" si="9"/>
        <v/>
      </c>
      <c r="H89" s="85">
        <v>1009826</v>
      </c>
      <c r="I89" s="17">
        <f t="shared" si="10"/>
        <v>-165610</v>
      </c>
      <c r="J89" s="16">
        <f t="shared" si="11"/>
        <v>-0.16399855024528978</v>
      </c>
      <c r="K89" s="61" t="s">
        <v>889</v>
      </c>
      <c r="L89" s="61" t="s">
        <v>890</v>
      </c>
    </row>
    <row r="90" spans="1:12" ht="28.5">
      <c r="A90" s="25" t="str">
        <v>NY 70</v>
      </c>
      <c r="B90" s="26" t="str">
        <v>NY</v>
      </c>
      <c r="C90" s="26" t="str">
        <f>Sites[[#This Row],[SOL'#]]</f>
        <v>SOL-10970</v>
      </c>
      <c r="D90" s="99">
        <v>719001</v>
      </c>
      <c r="E90" s="100">
        <v>0</v>
      </c>
      <c r="F90" s="11">
        <f t="shared" si="8"/>
        <v>719001</v>
      </c>
      <c r="G90" s="12" t="str">
        <f t="shared" si="9"/>
        <v/>
      </c>
      <c r="H90" s="83">
        <v>1096926</v>
      </c>
      <c r="I90" s="13">
        <f t="shared" si="10"/>
        <v>-377925</v>
      </c>
      <c r="J90" s="14">
        <f t="shared" si="11"/>
        <v>-0.34453098932835946</v>
      </c>
      <c r="K90" s="66" t="s">
        <v>891</v>
      </c>
      <c r="L90" s="66" t="s">
        <v>892</v>
      </c>
    </row>
    <row r="91" spans="1:12" ht="199.5">
      <c r="A91" s="27" t="str">
        <v>Reid</v>
      </c>
      <c r="B91" s="28" t="str">
        <v>NY</v>
      </c>
      <c r="C91" s="28" t="str">
        <f>Sites[[#This Row],[SOL'#]]</f>
        <v>SOL-10991</v>
      </c>
      <c r="D91" s="88">
        <v>708870</v>
      </c>
      <c r="E91" s="101">
        <v>703496</v>
      </c>
      <c r="F91" s="15">
        <f t="shared" si="8"/>
        <v>5374</v>
      </c>
      <c r="G91" s="16">
        <f t="shared" si="9"/>
        <v>7.6389915507693003E-3</v>
      </c>
      <c r="H91" s="85">
        <v>880052</v>
      </c>
      <c r="I91" s="17">
        <f t="shared" si="10"/>
        <v>-171182</v>
      </c>
      <c r="J91" s="16">
        <f t="shared" si="11"/>
        <v>-0.19451350602009881</v>
      </c>
      <c r="K91" s="61" t="s">
        <v>893</v>
      </c>
      <c r="L91" s="61" t="s">
        <v>894</v>
      </c>
    </row>
    <row r="92" spans="1:12" ht="15.75">
      <c r="A92" s="25" t="str">
        <v>Sangolqui</v>
      </c>
      <c r="B92" s="26" t="str">
        <v>NY</v>
      </c>
      <c r="C92" s="26" t="str">
        <f>Sites[[#This Row],[SOL'#]]</f>
        <v>SOL-10975</v>
      </c>
      <c r="D92" s="99">
        <v>439311</v>
      </c>
      <c r="E92" s="100">
        <v>0</v>
      </c>
      <c r="F92" s="11">
        <f t="shared" si="8"/>
        <v>439311</v>
      </c>
      <c r="G92" s="12" t="str">
        <f t="shared" si="9"/>
        <v/>
      </c>
      <c r="H92" s="83">
        <v>476788</v>
      </c>
      <c r="I92" s="13">
        <f t="shared" si="10"/>
        <v>-37477</v>
      </c>
      <c r="J92" s="14">
        <f t="shared" si="11"/>
        <v>-7.8603068869182946E-2</v>
      </c>
      <c r="K92" s="66"/>
      <c r="L92" s="66"/>
    </row>
    <row r="93" spans="1:12" ht="42.75">
      <c r="A93" s="27" t="str">
        <v>State Highway 17B</v>
      </c>
      <c r="B93" s="28" t="str">
        <v>NY</v>
      </c>
      <c r="C93" s="28" t="str">
        <f>Sites[[#This Row],[SOL'#]]</f>
        <v>SOL-10988</v>
      </c>
      <c r="D93" s="88">
        <v>664340</v>
      </c>
      <c r="E93" s="101">
        <v>0</v>
      </c>
      <c r="F93" s="15">
        <f t="shared" si="8"/>
        <v>664340</v>
      </c>
      <c r="G93" s="16" t="str">
        <f t="shared" si="9"/>
        <v/>
      </c>
      <c r="H93" s="85">
        <v>847160</v>
      </c>
      <c r="I93" s="17">
        <f t="shared" si="10"/>
        <v>-182820</v>
      </c>
      <c r="J93" s="16">
        <f t="shared" si="11"/>
        <v>-0.21580339015062089</v>
      </c>
      <c r="K93" s="61" t="s">
        <v>895</v>
      </c>
      <c r="L93" s="61" t="s">
        <v>896</v>
      </c>
    </row>
    <row r="94" spans="1:12" ht="15.75">
      <c r="A94" s="25" t="str">
        <v>State Route 14A</v>
      </c>
      <c r="B94" s="26" t="str">
        <v>NY</v>
      </c>
      <c r="C94" s="26" t="str">
        <f>Sites[[#This Row],[SOL'#]]</f>
        <v>SOL-10997</v>
      </c>
      <c r="D94" s="99">
        <v>902121</v>
      </c>
      <c r="E94" s="100">
        <v>0</v>
      </c>
      <c r="F94" s="11">
        <f t="shared" si="8"/>
        <v>902121</v>
      </c>
      <c r="G94" s="12" t="str">
        <f t="shared" si="9"/>
        <v/>
      </c>
      <c r="H94" s="83">
        <v>988504</v>
      </c>
      <c r="I94" s="13">
        <f t="shared" si="10"/>
        <v>-86383</v>
      </c>
      <c r="J94" s="14">
        <f t="shared" si="11"/>
        <v>-8.7387607940888457E-2</v>
      </c>
      <c r="K94" s="66"/>
      <c r="L94" s="66"/>
    </row>
    <row r="95" spans="1:12" ht="15.75">
      <c r="A95" s="27" t="str">
        <v>West Creek</v>
      </c>
      <c r="B95" s="28" t="str">
        <v>NY</v>
      </c>
      <c r="C95" s="28" t="str">
        <f>Sites[[#This Row],[SOL'#]]</f>
        <v>SOL-10995</v>
      </c>
      <c r="D95" s="88">
        <v>803420</v>
      </c>
      <c r="E95" s="101">
        <v>0</v>
      </c>
      <c r="F95" s="15">
        <f t="shared" si="8"/>
        <v>803420</v>
      </c>
      <c r="G95" s="16" t="str">
        <f t="shared" si="9"/>
        <v/>
      </c>
      <c r="H95" s="85">
        <v>980931</v>
      </c>
      <c r="I95" s="17">
        <f t="shared" si="10"/>
        <v>-177511</v>
      </c>
      <c r="J95" s="16">
        <f t="shared" si="11"/>
        <v>-0.18096175979758006</v>
      </c>
      <c r="K95" s="61"/>
      <c r="L95" s="61"/>
    </row>
    <row r="96" spans="1:12" ht="15.75">
      <c r="A96" s="25" t="str">
        <v>Wildflower</v>
      </c>
      <c r="B96" s="26" t="str">
        <v>NY</v>
      </c>
      <c r="C96" s="26" t="str">
        <f>Sites[[#This Row],[SOL'#]]</f>
        <v>SOL-10982</v>
      </c>
      <c r="D96" s="99">
        <v>856997</v>
      </c>
      <c r="E96" s="100">
        <v>0</v>
      </c>
      <c r="F96" s="11">
        <f t="shared" si="8"/>
        <v>856997</v>
      </c>
      <c r="G96" s="12" t="str">
        <f t="shared" si="9"/>
        <v/>
      </c>
      <c r="H96" s="83">
        <v>944262</v>
      </c>
      <c r="I96" s="13">
        <f t="shared" si="10"/>
        <v>-87265</v>
      </c>
      <c r="J96" s="14">
        <f t="shared" si="11"/>
        <v>-9.2416087907805256E-2</v>
      </c>
      <c r="K96" s="66" t="s">
        <v>897</v>
      </c>
      <c r="L96" s="66" t="s">
        <v>898</v>
      </c>
    </row>
    <row r="97" spans="1:12" ht="42.75">
      <c r="A97" s="27" t="str">
        <v>Glen Mary 1</v>
      </c>
      <c r="B97" s="28" t="str">
        <v>NY</v>
      </c>
      <c r="C97" s="28" t="str">
        <f>Sites[[#This Row],[SOL'#]]</f>
        <v>SOL-10993</v>
      </c>
      <c r="D97" s="88">
        <v>779720</v>
      </c>
      <c r="E97" s="101">
        <v>0</v>
      </c>
      <c r="F97" s="15">
        <f t="shared" si="8"/>
        <v>779720</v>
      </c>
      <c r="G97" s="16" t="str">
        <f t="shared" si="9"/>
        <v/>
      </c>
      <c r="H97" s="85">
        <v>982397</v>
      </c>
      <c r="I97" s="17">
        <f t="shared" si="10"/>
        <v>-202677</v>
      </c>
      <c r="J97" s="16">
        <f t="shared" si="11"/>
        <v>-0.20630865118684197</v>
      </c>
      <c r="K97" s="61" t="s">
        <v>899</v>
      </c>
      <c r="L97" s="61" t="s">
        <v>900</v>
      </c>
    </row>
    <row r="98" spans="1:12" ht="15.75">
      <c r="A98" s="25" t="str">
        <v>Glen Mary 2</v>
      </c>
      <c r="B98" s="26" t="str">
        <v>NY</v>
      </c>
      <c r="C98" s="26" t="str">
        <f>Sites[[#This Row],[SOL'#]]</f>
        <v>SOL-10994</v>
      </c>
      <c r="D98" s="99">
        <v>343589</v>
      </c>
      <c r="E98" s="100">
        <v>0</v>
      </c>
      <c r="F98" s="11">
        <f t="shared" si="8"/>
        <v>343589</v>
      </c>
      <c r="G98" s="12" t="str">
        <f t="shared" si="9"/>
        <v/>
      </c>
      <c r="H98" s="83">
        <v>418546</v>
      </c>
      <c r="I98" s="13">
        <f t="shared" si="10"/>
        <v>-74957</v>
      </c>
      <c r="J98" s="14">
        <f t="shared" si="11"/>
        <v>-0.17908903680837948</v>
      </c>
      <c r="K98" s="66" t="s">
        <v>901</v>
      </c>
      <c r="L98" s="66" t="s">
        <v>902</v>
      </c>
    </row>
    <row r="99" spans="1:12" ht="15.75">
      <c r="A99" s="27" t="str">
        <v>Telegraph 1</v>
      </c>
      <c r="B99" s="28" t="str">
        <v>NY</v>
      </c>
      <c r="C99" s="28" t="str">
        <f>Sites[[#This Row],[SOL'#]]</f>
        <v>SOL-11003</v>
      </c>
      <c r="D99" s="88">
        <v>557728</v>
      </c>
      <c r="E99" s="101">
        <v>0</v>
      </c>
      <c r="F99" s="15">
        <f t="shared" si="8"/>
        <v>557728</v>
      </c>
      <c r="G99" s="16" t="str">
        <f t="shared" si="9"/>
        <v/>
      </c>
      <c r="H99" s="85">
        <v>689447</v>
      </c>
      <c r="I99" s="17">
        <f t="shared" si="10"/>
        <v>-131719</v>
      </c>
      <c r="J99" s="16">
        <f t="shared" si="11"/>
        <v>-0.19105021850845677</v>
      </c>
      <c r="K99" s="61" t="s">
        <v>903</v>
      </c>
      <c r="L99" s="61" t="s">
        <v>904</v>
      </c>
    </row>
    <row r="100" spans="1:12" ht="15.75">
      <c r="A100" s="25" t="str">
        <v>Telegraph 2</v>
      </c>
      <c r="B100" s="26" t="str">
        <v>NY</v>
      </c>
      <c r="C100" s="26" t="str">
        <f>Sites[[#This Row],[SOL'#]]</f>
        <v>SOL-11004</v>
      </c>
      <c r="D100" s="99">
        <v>373321</v>
      </c>
      <c r="E100" s="100">
        <v>0</v>
      </c>
      <c r="F100" s="11">
        <f t="shared" si="8"/>
        <v>373321</v>
      </c>
      <c r="G100" s="12" t="str">
        <f t="shared" si="9"/>
        <v/>
      </c>
      <c r="H100" s="83">
        <v>358870</v>
      </c>
      <c r="I100" s="13">
        <f t="shared" si="10"/>
        <v>14451</v>
      </c>
      <c r="J100" s="14">
        <f t="shared" si="11"/>
        <v>4.0268063644216569E-2</v>
      </c>
      <c r="K100" s="66"/>
      <c r="L100" s="66"/>
    </row>
    <row r="101" spans="1:12" ht="15.75">
      <c r="A101" s="27" t="str">
        <v>Cafferty Hill</v>
      </c>
      <c r="B101" s="28" t="str">
        <v>NY</v>
      </c>
      <c r="C101" s="28" t="str">
        <f>Sites[[#This Row],[SOL'#]]</f>
        <v>SOL-10996</v>
      </c>
      <c r="D101" s="88" t="s">
        <v>882</v>
      </c>
      <c r="E101" s="101">
        <v>0</v>
      </c>
      <c r="F101" s="15" t="str">
        <f t="shared" si="8"/>
        <v/>
      </c>
      <c r="G101" s="16" t="str">
        <f t="shared" si="9"/>
        <v/>
      </c>
      <c r="H101" s="85">
        <v>942734</v>
      </c>
      <c r="I101" s="17" t="str">
        <f t="shared" si="10"/>
        <v/>
      </c>
      <c r="J101" s="16" t="str">
        <f t="shared" si="11"/>
        <v/>
      </c>
      <c r="K101" s="61" t="s">
        <v>757</v>
      </c>
      <c r="L101" s="61" t="s">
        <v>758</v>
      </c>
    </row>
    <row r="102" spans="1:12" ht="15.75">
      <c r="A102" s="25" t="str">
        <v>Dunkleman</v>
      </c>
      <c r="B102" s="26" t="str">
        <v>NY</v>
      </c>
      <c r="C102" s="26" t="str">
        <f>Sites[[#This Row],[SOL'#]]</f>
        <v>SOL-11008</v>
      </c>
      <c r="D102" s="99">
        <v>1044440</v>
      </c>
      <c r="E102" s="100">
        <v>0</v>
      </c>
      <c r="F102" s="11">
        <f t="shared" si="8"/>
        <v>1044440</v>
      </c>
      <c r="G102" s="12" t="str">
        <f t="shared" si="9"/>
        <v/>
      </c>
      <c r="H102" s="83">
        <v>1157360</v>
      </c>
      <c r="I102" s="13">
        <f t="shared" si="10"/>
        <v>-112920</v>
      </c>
      <c r="J102" s="14">
        <f t="shared" si="11"/>
        <v>-9.7566876339254857E-2</v>
      </c>
      <c r="K102" s="66"/>
      <c r="L102" s="66"/>
    </row>
    <row r="103" spans="1:12" ht="15.75">
      <c r="A103" s="27" t="str">
        <v>Route 19 1</v>
      </c>
      <c r="B103" s="28" t="str">
        <v>NY</v>
      </c>
      <c r="C103" s="28" t="str">
        <f>Sites[[#This Row],[SOL'#]]</f>
        <v>SOL-11001</v>
      </c>
      <c r="D103" s="88">
        <v>440579</v>
      </c>
      <c r="E103" s="101">
        <v>0</v>
      </c>
      <c r="F103" s="15">
        <f t="shared" si="8"/>
        <v>440579</v>
      </c>
      <c r="G103" s="16" t="str">
        <f t="shared" si="9"/>
        <v/>
      </c>
      <c r="H103" s="85">
        <v>473074</v>
      </c>
      <c r="I103" s="17">
        <f t="shared" si="10"/>
        <v>-32495</v>
      </c>
      <c r="J103" s="16">
        <f t="shared" si="11"/>
        <v>-6.8689042306277662E-2</v>
      </c>
      <c r="K103" s="61"/>
      <c r="L103" s="61"/>
    </row>
    <row r="104" spans="1:12" ht="15.75">
      <c r="A104" s="25" t="str">
        <v>Route 19 2</v>
      </c>
      <c r="B104" s="26" t="str">
        <v>NY</v>
      </c>
      <c r="C104" s="26" t="str">
        <f>Sites[[#This Row],[SOL'#]]</f>
        <v>SOL-11002</v>
      </c>
      <c r="D104" s="99">
        <v>1015690</v>
      </c>
      <c r="E104" s="100">
        <v>0</v>
      </c>
      <c r="F104" s="11">
        <f t="shared" si="8"/>
        <v>1015690</v>
      </c>
      <c r="G104" s="12" t="str">
        <f t="shared" si="9"/>
        <v/>
      </c>
      <c r="H104" s="83">
        <v>1163394</v>
      </c>
      <c r="I104" s="13">
        <f t="shared" si="10"/>
        <v>-147704</v>
      </c>
      <c r="J104" s="14">
        <f t="shared" si="11"/>
        <v>-0.12695956829758448</v>
      </c>
      <c r="K104" s="66"/>
      <c r="L104" s="66"/>
    </row>
    <row r="105" spans="1:12" ht="28.5">
      <c r="A105" s="27" t="str">
        <v>Yellow Mills 1</v>
      </c>
      <c r="B105" s="28" t="str">
        <v>NY</v>
      </c>
      <c r="C105" s="28" t="str">
        <f>Sites[[#This Row],[SOL'#]]</f>
        <v>SOL-11006</v>
      </c>
      <c r="D105" s="88">
        <v>290603</v>
      </c>
      <c r="E105" s="101">
        <v>0</v>
      </c>
      <c r="F105" s="15">
        <f t="shared" si="8"/>
        <v>290603</v>
      </c>
      <c r="G105" s="16" t="str">
        <f t="shared" si="9"/>
        <v/>
      </c>
      <c r="H105" s="85">
        <v>400354</v>
      </c>
      <c r="I105" s="17">
        <f t="shared" si="10"/>
        <v>-109751</v>
      </c>
      <c r="J105" s="16">
        <f t="shared" si="11"/>
        <v>-0.27413489062179969</v>
      </c>
      <c r="K105" s="61" t="s">
        <v>905</v>
      </c>
      <c r="L105" s="61" t="s">
        <v>906</v>
      </c>
    </row>
    <row r="106" spans="1:12" ht="15.75">
      <c r="A106" s="25" t="str">
        <v>Yellow Mills 2</v>
      </c>
      <c r="B106" s="26" t="str">
        <v>NY</v>
      </c>
      <c r="C106" s="26" t="str">
        <f>Sites[[#This Row],[SOL'#]]</f>
        <v>SOL-11005</v>
      </c>
      <c r="D106" s="99">
        <v>391673</v>
      </c>
      <c r="E106" s="100">
        <v>0</v>
      </c>
      <c r="F106" s="11">
        <f t="shared" si="8"/>
        <v>391673</v>
      </c>
      <c r="G106" s="12" t="str">
        <f t="shared" si="9"/>
        <v/>
      </c>
      <c r="H106" s="83">
        <v>415632</v>
      </c>
      <c r="I106" s="13">
        <f t="shared" si="10"/>
        <v>-23959</v>
      </c>
      <c r="J106" s="14">
        <f t="shared" si="11"/>
        <v>-5.7644743426877622E-2</v>
      </c>
      <c r="K106" s="66"/>
      <c r="L106" s="66"/>
    </row>
    <row r="107" spans="1:12" ht="15.75">
      <c r="A107" s="27" t="str">
        <v>Yellow Mills 3</v>
      </c>
      <c r="B107" s="28" t="str">
        <v>NY</v>
      </c>
      <c r="C107" s="28" t="str">
        <f>Sites[[#This Row],[SOL'#]]</f>
        <v>SOL-11007</v>
      </c>
      <c r="D107" s="88">
        <v>377192</v>
      </c>
      <c r="E107" s="101">
        <v>0</v>
      </c>
      <c r="F107" s="15">
        <f t="shared" si="8"/>
        <v>377192</v>
      </c>
      <c r="G107" s="16" t="str">
        <f t="shared" si="9"/>
        <v/>
      </c>
      <c r="H107" s="85">
        <v>396338</v>
      </c>
      <c r="I107" s="17">
        <f t="shared" si="10"/>
        <v>-19146</v>
      </c>
      <c r="J107" s="16">
        <f t="shared" si="11"/>
        <v>-4.8307252900302265E-2</v>
      </c>
      <c r="K107" s="61"/>
      <c r="L107" s="61"/>
    </row>
    <row r="108" spans="1:12" ht="15.75">
      <c r="A108" s="25" t="str">
        <v>Catskill</v>
      </c>
      <c r="B108" s="26" t="str">
        <v>NY</v>
      </c>
      <c r="C108" s="26" t="str">
        <f>Sites[[#This Row],[SOL'#]]</f>
        <v>SOL-11021</v>
      </c>
      <c r="D108" s="99">
        <v>621666</v>
      </c>
      <c r="E108" s="100">
        <v>0</v>
      </c>
      <c r="F108" s="11">
        <f t="shared" si="8"/>
        <v>621666</v>
      </c>
      <c r="G108" s="12" t="str">
        <f t="shared" si="9"/>
        <v/>
      </c>
      <c r="H108" s="83">
        <v>727393</v>
      </c>
      <c r="I108" s="13">
        <f t="shared" si="10"/>
        <v>-105727</v>
      </c>
      <c r="J108" s="14">
        <f t="shared" si="11"/>
        <v>-0.14535058764656794</v>
      </c>
      <c r="K108" s="66" t="s">
        <v>907</v>
      </c>
      <c r="L108" s="66" t="s">
        <v>908</v>
      </c>
    </row>
    <row r="109" spans="1:12" ht="28.5">
      <c r="A109" s="27" t="str">
        <v>Eddy Ridge</v>
      </c>
      <c r="B109" s="28" t="str">
        <v>NY</v>
      </c>
      <c r="C109" s="28" t="str">
        <f>Sites[[#This Row],[SOL'#]]</f>
        <v>SOL-11054</v>
      </c>
      <c r="D109" s="88">
        <v>434956</v>
      </c>
      <c r="E109" s="101">
        <v>0</v>
      </c>
      <c r="F109" s="15">
        <f t="shared" si="8"/>
        <v>434956</v>
      </c>
      <c r="G109" s="16" t="str">
        <f t="shared" si="9"/>
        <v/>
      </c>
      <c r="H109" s="85">
        <v>572000</v>
      </c>
      <c r="I109" s="17">
        <f t="shared" si="10"/>
        <v>-137044</v>
      </c>
      <c r="J109" s="16">
        <f t="shared" si="11"/>
        <v>-0.23958741258741259</v>
      </c>
      <c r="K109" s="61" t="s">
        <v>909</v>
      </c>
      <c r="L109" s="61" t="s">
        <v>910</v>
      </c>
    </row>
    <row r="110" spans="1:12" ht="15.75">
      <c r="A110" s="27" t="str">
        <v>Ridgeway #1</v>
      </c>
      <c r="B110" s="26" t="str">
        <v>NY</v>
      </c>
      <c r="C110" s="26" t="str">
        <f>Sites[[#This Row],[SOL'#]]</f>
        <v>SOL-11018</v>
      </c>
      <c r="D110" s="99">
        <v>440562</v>
      </c>
      <c r="E110" s="100">
        <v>0</v>
      </c>
      <c r="F110" s="11">
        <f t="shared" si="8"/>
        <v>440562</v>
      </c>
      <c r="G110" s="12" t="str">
        <f t="shared" si="9"/>
        <v/>
      </c>
      <c r="H110" s="83">
        <v>1213298</v>
      </c>
      <c r="I110" s="13">
        <f t="shared" si="10"/>
        <v>-772736</v>
      </c>
      <c r="J110" s="14">
        <f t="shared" si="11"/>
        <v>-0.6368888764343138</v>
      </c>
      <c r="K110" s="66"/>
      <c r="L110" s="66"/>
    </row>
    <row r="111" spans="1:12" ht="64.5" customHeight="1">
      <c r="A111" s="27" t="str">
        <v>Rivard 1</v>
      </c>
      <c r="B111" s="28" t="str">
        <v>NY</v>
      </c>
      <c r="C111" s="28" t="str">
        <f>Sites[[#This Row],[SOL'#]]</f>
        <v>SOL-11011</v>
      </c>
      <c r="D111" s="88">
        <v>792227</v>
      </c>
      <c r="E111" s="101">
        <v>969113</v>
      </c>
      <c r="F111" s="15">
        <f t="shared" si="8"/>
        <v>-176886</v>
      </c>
      <c r="G111" s="16">
        <f t="shared" si="9"/>
        <v>-0.18252360663823516</v>
      </c>
      <c r="H111" s="85">
        <v>940368</v>
      </c>
      <c r="I111" s="17">
        <f t="shared" si="10"/>
        <v>-148141</v>
      </c>
      <c r="J111" s="16">
        <f t="shared" si="11"/>
        <v>-0.15753513518112058</v>
      </c>
      <c r="K111" s="61" t="s">
        <v>911</v>
      </c>
      <c r="L111" s="61" t="s">
        <v>912</v>
      </c>
    </row>
    <row r="112" spans="1:12" ht="15.75">
      <c r="A112" s="25" t="str">
        <v>Rivard 2</v>
      </c>
      <c r="B112" s="26" t="str">
        <v>NY</v>
      </c>
      <c r="C112" s="26" t="str">
        <f>Sites[[#This Row],[SOL'#]]</f>
        <v>SOL-11012</v>
      </c>
      <c r="D112" s="99">
        <v>888259</v>
      </c>
      <c r="E112" s="100">
        <v>887131</v>
      </c>
      <c r="F112" s="11">
        <f t="shared" si="8"/>
        <v>1128</v>
      </c>
      <c r="G112" s="12">
        <f t="shared" si="9"/>
        <v>1.2715145790193332E-3</v>
      </c>
      <c r="H112" s="83">
        <v>903666</v>
      </c>
      <c r="I112" s="13">
        <f t="shared" si="10"/>
        <v>-15407</v>
      </c>
      <c r="J112" s="14">
        <f t="shared" si="11"/>
        <v>-1.7049440833228208E-2</v>
      </c>
      <c r="K112" s="66" t="s">
        <v>913</v>
      </c>
      <c r="L112" s="66" t="s">
        <v>914</v>
      </c>
    </row>
    <row r="113" spans="1:13" ht="15.75">
      <c r="A113" s="27" t="str">
        <v>Essex</v>
      </c>
      <c r="B113" s="28" t="str">
        <v>DC</v>
      </c>
      <c r="C113" s="28" t="str">
        <f>Sites[[#This Row],[SOL'#]]</f>
        <v>SOL-10036</v>
      </c>
      <c r="D113" s="88">
        <v>4104</v>
      </c>
      <c r="E113" s="101">
        <v>5521</v>
      </c>
      <c r="F113" s="15">
        <f t="shared" si="8"/>
        <v>-1417</v>
      </c>
      <c r="G113" s="16">
        <f t="shared" si="9"/>
        <v>-0.25665640282557506</v>
      </c>
      <c r="H113" s="85">
        <v>4971</v>
      </c>
      <c r="I113" s="17">
        <f t="shared" si="10"/>
        <v>-867</v>
      </c>
      <c r="J113" s="16">
        <f t="shared" si="11"/>
        <v>-0.17441158720579361</v>
      </c>
      <c r="K113" s="61"/>
      <c r="L113" s="61"/>
    </row>
    <row r="114" spans="1:13" ht="85.5">
      <c r="A114" s="25" t="str">
        <v>Temple Sinai</v>
      </c>
      <c r="B114" s="26" t="str">
        <v>DC</v>
      </c>
      <c r="C114" s="26" t="str">
        <f>Sites[[#This Row],[SOL'#]]</f>
        <v>SOL-10028</v>
      </c>
      <c r="D114" s="99">
        <v>9828</v>
      </c>
      <c r="E114" s="100">
        <v>11384</v>
      </c>
      <c r="F114" s="11">
        <f t="shared" si="8"/>
        <v>-1556</v>
      </c>
      <c r="G114" s="12">
        <f t="shared" si="9"/>
        <v>-0.13668306394940266</v>
      </c>
      <c r="H114" s="83">
        <v>11569</v>
      </c>
      <c r="I114" s="13">
        <f t="shared" si="10"/>
        <v>-1741</v>
      </c>
      <c r="J114" s="14">
        <f t="shared" si="11"/>
        <v>-0.15048837410320684</v>
      </c>
      <c r="K114" s="66" t="s">
        <v>915</v>
      </c>
      <c r="L114" s="66" t="s">
        <v>916</v>
      </c>
    </row>
    <row r="115" spans="1:13" ht="15.75">
      <c r="A115" s="27" t="str">
        <v>Weinberg 1</v>
      </c>
      <c r="B115" s="28" t="str">
        <v>DC</v>
      </c>
      <c r="C115" s="28" t="str">
        <f>Sites[[#This Row],[SOL'#]]</f>
        <v>SOL-10039</v>
      </c>
      <c r="D115" s="88">
        <v>1636</v>
      </c>
      <c r="E115" s="101">
        <v>1686.29</v>
      </c>
      <c r="F115" s="15">
        <f t="shared" si="8"/>
        <v>-50.289999999999964</v>
      </c>
      <c r="G115" s="16">
        <f t="shared" si="9"/>
        <v>-2.9822865580653366E-2</v>
      </c>
      <c r="H115" s="85">
        <v>1749.9469999999999</v>
      </c>
      <c r="I115" s="17">
        <f t="shared" si="10"/>
        <v>-113.94699999999989</v>
      </c>
      <c r="J115" s="16">
        <f t="shared" si="11"/>
        <v>-6.5114543469030714E-2</v>
      </c>
      <c r="K115" s="61"/>
      <c r="L115" s="61"/>
    </row>
    <row r="116" spans="1:13" ht="15.75">
      <c r="A116" s="25" t="str">
        <v>Weinberg 2</v>
      </c>
      <c r="B116" s="26" t="str">
        <v>DC</v>
      </c>
      <c r="C116" s="26" t="str">
        <f>Sites[[#This Row],[SOL'#]]</f>
        <v>SOL-10045</v>
      </c>
      <c r="D116" s="99">
        <v>1489</v>
      </c>
      <c r="E116" s="100">
        <v>1487</v>
      </c>
      <c r="F116" s="11">
        <f t="shared" si="8"/>
        <v>2</v>
      </c>
      <c r="G116" s="12">
        <f t="shared" si="9"/>
        <v>1.3449899125756557E-3</v>
      </c>
      <c r="H116" s="83">
        <v>1758</v>
      </c>
      <c r="I116" s="13">
        <f t="shared" si="10"/>
        <v>-269</v>
      </c>
      <c r="J116" s="14">
        <f t="shared" si="11"/>
        <v>-0.15301478953356087</v>
      </c>
      <c r="K116" s="66"/>
      <c r="L116" s="66"/>
    </row>
    <row r="117" spans="1:13" ht="15.75">
      <c r="A117" s="27" t="str">
        <v>Weinberg 3</v>
      </c>
      <c r="B117" s="28" t="str">
        <v>DC</v>
      </c>
      <c r="C117" s="28" t="str">
        <f>Sites[[#This Row],[SOL'#]]</f>
        <v>SOL-10042</v>
      </c>
      <c r="D117" s="88">
        <v>1833</v>
      </c>
      <c r="E117" s="101">
        <v>1763</v>
      </c>
      <c r="F117" s="15">
        <f t="shared" si="8"/>
        <v>70</v>
      </c>
      <c r="G117" s="16">
        <f t="shared" si="9"/>
        <v>3.970504821327283E-2</v>
      </c>
      <c r="H117" s="85">
        <v>1827</v>
      </c>
      <c r="I117" s="17">
        <f t="shared" si="10"/>
        <v>6</v>
      </c>
      <c r="J117" s="16">
        <f t="shared" si="11"/>
        <v>3.2840722495894909E-3</v>
      </c>
      <c r="K117" s="61"/>
      <c r="L117" s="61"/>
    </row>
    <row r="118" spans="1:13" ht="15.75">
      <c r="A118" s="25" t="str">
        <v>Clayton Hall</v>
      </c>
      <c r="B118" s="26" t="str">
        <v>DE</v>
      </c>
      <c r="C118" s="26" t="str">
        <f>Sites[[#This Row],[SOL'#]]</f>
        <v>SOL-10820</v>
      </c>
      <c r="D118" s="99">
        <v>19914</v>
      </c>
      <c r="E118" s="100">
        <v>22019.236000000001</v>
      </c>
      <c r="F118" s="11">
        <f t="shared" si="8"/>
        <v>-2105.2360000000008</v>
      </c>
      <c r="G118" s="12">
        <f t="shared" si="9"/>
        <v>-9.5608948466695237E-2</v>
      </c>
      <c r="H118" s="83">
        <v>18905</v>
      </c>
      <c r="I118" s="13">
        <f t="shared" si="10"/>
        <v>1009</v>
      </c>
      <c r="J118" s="14">
        <f t="shared" si="11"/>
        <v>5.3372123776778628E-2</v>
      </c>
      <c r="K118" s="66"/>
      <c r="L118" s="66"/>
    </row>
    <row r="119" spans="1:13" ht="15.75">
      <c r="A119" s="27" t="str">
        <v>Field House</v>
      </c>
      <c r="B119" s="28" t="str">
        <v>DE</v>
      </c>
      <c r="C119" s="28" t="str">
        <f>Sites[[#This Row],[SOL'#]]</f>
        <v>SOL-10821</v>
      </c>
      <c r="D119" s="88">
        <v>52566</v>
      </c>
      <c r="E119" s="101">
        <v>0</v>
      </c>
      <c r="F119" s="15">
        <f t="shared" si="8"/>
        <v>52566</v>
      </c>
      <c r="G119" s="16" t="str">
        <f t="shared" si="9"/>
        <v/>
      </c>
      <c r="H119" s="85">
        <v>48292</v>
      </c>
      <c r="I119" s="17">
        <f t="shared" si="10"/>
        <v>4274</v>
      </c>
      <c r="J119" s="16">
        <f t="shared" si="11"/>
        <v>8.8503271763439084E-2</v>
      </c>
      <c r="K119" s="61"/>
      <c r="L119" s="61"/>
    </row>
    <row r="120" spans="1:13" ht="15.75">
      <c r="A120" s="25" t="str">
        <v>Wyoming Road</v>
      </c>
      <c r="B120" s="26" t="str">
        <v>DE</v>
      </c>
      <c r="C120" s="26" t="str">
        <f>Sites[[#This Row],[SOL'#]]</f>
        <v>SOL-10819</v>
      </c>
      <c r="D120" s="99"/>
      <c r="E120" s="100"/>
      <c r="F120" s="11" t="str">
        <f t="shared" si="8"/>
        <v/>
      </c>
      <c r="G120" s="12" t="str">
        <f t="shared" si="9"/>
        <v/>
      </c>
      <c r="H120" s="83">
        <v>36430</v>
      </c>
      <c r="I120" s="13" t="str">
        <f t="shared" si="10"/>
        <v/>
      </c>
      <c r="J120" s="14" t="str">
        <f t="shared" si="11"/>
        <v/>
      </c>
      <c r="K120" s="66" t="s">
        <v>917</v>
      </c>
      <c r="L120" s="66"/>
    </row>
    <row r="121" spans="1:13" ht="15.75">
      <c r="A121" s="27" t="str">
        <v>Leoku</v>
      </c>
      <c r="B121" s="28" t="str">
        <v>HI</v>
      </c>
      <c r="C121" s="28" t="str">
        <f>Sites[[#This Row],[SOL'#]]</f>
        <v>SOL-10071</v>
      </c>
      <c r="D121" s="88">
        <v>13292</v>
      </c>
      <c r="E121" s="101">
        <v>11507.05</v>
      </c>
      <c r="F121" s="15">
        <f t="shared" si="8"/>
        <v>1784.9500000000007</v>
      </c>
      <c r="G121" s="16">
        <f t="shared" si="9"/>
        <v>0.15511794943100107</v>
      </c>
      <c r="H121" s="85">
        <v>13770.9</v>
      </c>
      <c r="I121" s="17">
        <f t="shared" si="10"/>
        <v>-478.89999999999964</v>
      </c>
      <c r="J121" s="16">
        <f t="shared" si="11"/>
        <v>-3.4776231037913254E-2</v>
      </c>
      <c r="K121" s="61"/>
      <c r="L121" s="61"/>
    </row>
    <row r="122" spans="1:13" ht="15.75">
      <c r="A122" s="25" t="str">
        <v>Waipahu</v>
      </c>
      <c r="B122" s="26" t="str">
        <v>HI</v>
      </c>
      <c r="C122" s="26" t="str">
        <f>Sites[[#This Row],[SOL'#]]</f>
        <v>SOL-10068</v>
      </c>
      <c r="D122" s="99">
        <v>13507</v>
      </c>
      <c r="E122" s="100">
        <v>10804.81</v>
      </c>
      <c r="F122" s="11">
        <f t="shared" si="8"/>
        <v>2702.1900000000005</v>
      </c>
      <c r="G122" s="12">
        <f t="shared" si="9"/>
        <v>0.25009139448079148</v>
      </c>
      <c r="H122" s="83">
        <v>13763.53</v>
      </c>
      <c r="I122" s="13">
        <f t="shared" si="10"/>
        <v>-256.53000000000065</v>
      </c>
      <c r="J122" s="14">
        <f t="shared" si="11"/>
        <v>-1.8638387099821095E-2</v>
      </c>
      <c r="K122" s="66"/>
      <c r="L122" s="66"/>
    </row>
    <row r="123" spans="1:13" ht="15.75">
      <c r="A123" s="27" t="str">
        <v>Bird in Hand</v>
      </c>
      <c r="B123" s="28" t="str">
        <v>MD</v>
      </c>
      <c r="C123" s="28" t="str">
        <f>Sites[[#This Row],[SOL'#]]</f>
        <v>SOL-10092</v>
      </c>
      <c r="D123" s="88">
        <v>177727</v>
      </c>
      <c r="E123" s="101">
        <v>179462.7</v>
      </c>
      <c r="F123" s="15">
        <f t="shared" si="8"/>
        <v>-1735.7000000000116</v>
      </c>
      <c r="G123" s="16">
        <f t="shared" si="9"/>
        <v>-9.6716476460011556E-3</v>
      </c>
      <c r="H123" s="85">
        <v>169532.1</v>
      </c>
      <c r="I123" s="17">
        <f t="shared" si="10"/>
        <v>8194.8999999999942</v>
      </c>
      <c r="J123" s="16">
        <f t="shared" si="11"/>
        <v>4.8338338285197874E-2</v>
      </c>
      <c r="K123" s="61"/>
      <c r="L123" s="61"/>
    </row>
    <row r="124" spans="1:13" ht="15.75">
      <c r="A124" s="25" t="str">
        <v>Shortal</v>
      </c>
      <c r="B124" s="26" t="str">
        <v>MD</v>
      </c>
      <c r="C124" s="26" t="str">
        <f>Sites[[#This Row],[SOL'#]]</f>
        <v>SOL-10091</v>
      </c>
      <c r="D124" s="99">
        <v>185282</v>
      </c>
      <c r="E124" s="100">
        <v>173944.1</v>
      </c>
      <c r="F124" s="11">
        <f t="shared" si="8"/>
        <v>11337.899999999994</v>
      </c>
      <c r="G124" s="12">
        <f t="shared" si="9"/>
        <v>6.518128525198609E-2</v>
      </c>
      <c r="H124" s="83">
        <v>181207.5</v>
      </c>
      <c r="I124" s="13">
        <f t="shared" si="10"/>
        <v>4074.5</v>
      </c>
      <c r="J124" s="14">
        <f t="shared" si="11"/>
        <v>2.2485272408702732E-2</v>
      </c>
      <c r="K124" s="66"/>
      <c r="L124" s="66"/>
    </row>
    <row r="125" spans="1:13" ht="15.75">
      <c r="A125" s="27" t="str">
        <v>Aguadilla</v>
      </c>
      <c r="B125" s="28" t="str">
        <v>PR</v>
      </c>
      <c r="C125" s="28" t="str">
        <f>Sites[[#This Row],[SOL'#]]</f>
        <v>SOL-10072</v>
      </c>
      <c r="D125" s="88">
        <v>20623</v>
      </c>
      <c r="E125" s="101">
        <v>18798.080000000002</v>
      </c>
      <c r="F125" s="15">
        <f>IF(AND(ISNUMBER(D125),ISNUMBER(E125)), D125-E125, "")</f>
        <v>1824.9199999999983</v>
      </c>
      <c r="G125" s="16">
        <f t="shared" si="9"/>
        <v>9.7080127332152974E-2</v>
      </c>
      <c r="H125" s="85">
        <v>23367</v>
      </c>
      <c r="I125" s="17">
        <f>IF(AND(ISNUMBER(D125),ISNUMBER(H125)), D125-H125, "")</f>
        <v>-2744</v>
      </c>
      <c r="J125" s="16">
        <f t="shared" si="11"/>
        <v>-0.11743056447126289</v>
      </c>
      <c r="K125" s="61" t="s">
        <v>918</v>
      </c>
      <c r="L125" s="61" t="s">
        <v>919</v>
      </c>
    </row>
    <row r="126" spans="1:13" ht="129" customHeight="1">
      <c r="A126" s="25" t="str">
        <v>Bayamon</v>
      </c>
      <c r="B126" s="26" t="str">
        <v>PR</v>
      </c>
      <c r="C126" s="26" t="str">
        <f>Sites[[#This Row],[SOL'#]]</f>
        <v>SOL-10073</v>
      </c>
      <c r="D126" s="99">
        <v>72065</v>
      </c>
      <c r="E126" s="100">
        <v>75775.19</v>
      </c>
      <c r="F126" s="11">
        <f t="shared" si="8"/>
        <v>-3710.1900000000023</v>
      </c>
      <c r="G126" s="12">
        <f t="shared" si="9"/>
        <v>-4.8963123682038964E-2</v>
      </c>
      <c r="H126" s="83">
        <v>90656</v>
      </c>
      <c r="I126" s="13">
        <f t="shared" si="10"/>
        <v>-18591</v>
      </c>
      <c r="J126" s="14">
        <f t="shared" si="11"/>
        <v>-0.20507192022590892</v>
      </c>
      <c r="K126" s="66" t="s">
        <v>920</v>
      </c>
      <c r="L126" s="66" t="s">
        <v>921</v>
      </c>
    </row>
    <row r="127" spans="1:13" ht="256.5">
      <c r="A127" s="27" t="str">
        <v>St Francis</v>
      </c>
      <c r="B127" s="28" t="str">
        <v>PR</v>
      </c>
      <c r="C127" s="28" t="str">
        <f>Sites[[#This Row],[SOL'#]]</f>
        <v>SOL-10034</v>
      </c>
      <c r="D127" s="88">
        <v>28020</v>
      </c>
      <c r="E127" s="101">
        <v>53415.65</v>
      </c>
      <c r="F127" s="15">
        <f t="shared" si="8"/>
        <v>-25395.65</v>
      </c>
      <c r="G127" s="16">
        <f t="shared" si="9"/>
        <v>-0.47543463385730589</v>
      </c>
      <c r="H127" s="85">
        <v>43380</v>
      </c>
      <c r="I127" s="17">
        <f t="shared" si="10"/>
        <v>-15360</v>
      </c>
      <c r="J127" s="16">
        <f t="shared" si="11"/>
        <v>-0.35408022130013833</v>
      </c>
      <c r="K127" s="61" t="s">
        <v>922</v>
      </c>
      <c r="L127" s="61" t="s">
        <v>923</v>
      </c>
      <c r="M127" s="102"/>
    </row>
    <row r="128" spans="1:13" ht="15.75">
      <c r="A128" s="25" t="str">
        <v>Seaport</v>
      </c>
      <c r="B128" s="26" t="str">
        <v>MA</v>
      </c>
      <c r="C128" s="26" t="str">
        <f>Sites[[#This Row],[SOL'#]]</f>
        <v>SOL-10772</v>
      </c>
      <c r="D128" s="99">
        <v>73468.5</v>
      </c>
      <c r="E128" s="100">
        <v>69441.179999999993</v>
      </c>
      <c r="F128" s="11">
        <f t="shared" si="8"/>
        <v>4027.320000000007</v>
      </c>
      <c r="G128" s="12">
        <f t="shared" si="9"/>
        <v>5.7996134282280447E-2</v>
      </c>
      <c r="H128" s="83">
        <v>79847.55</v>
      </c>
      <c r="I128" s="13">
        <f t="shared" si="10"/>
        <v>-6379.0500000000029</v>
      </c>
      <c r="J128" s="14">
        <f t="shared" si="11"/>
        <v>-7.9890366078859062E-2</v>
      </c>
      <c r="K128" s="66"/>
      <c r="L128" s="66"/>
    </row>
    <row r="129" spans="1:13" ht="15.75">
      <c r="A129" s="27" t="str">
        <v>Sprague St</v>
      </c>
      <c r="B129" s="28" t="str">
        <v>MA</v>
      </c>
      <c r="C129" s="28" t="str">
        <f>Sites[[#This Row],[SOL'#]]</f>
        <v>SOL-10773</v>
      </c>
      <c r="D129" s="88">
        <v>164429</v>
      </c>
      <c r="E129" s="101">
        <v>166812</v>
      </c>
      <c r="F129" s="15">
        <f t="shared" si="8"/>
        <v>-2383</v>
      </c>
      <c r="G129" s="16">
        <f t="shared" si="9"/>
        <v>-1.4285543006498333E-2</v>
      </c>
      <c r="H129" s="85">
        <v>173399.7</v>
      </c>
      <c r="I129" s="17">
        <f t="shared" si="10"/>
        <v>-8970.7000000000116</v>
      </c>
      <c r="J129" s="16">
        <f t="shared" si="11"/>
        <v>-5.1734230220698257E-2</v>
      </c>
      <c r="K129" s="61"/>
      <c r="L129" s="61"/>
    </row>
    <row r="130" spans="1:13" ht="42.75">
      <c r="A130" s="25" t="str">
        <v>Summer St</v>
      </c>
      <c r="B130" s="26" t="str">
        <v>MA</v>
      </c>
      <c r="C130" s="26" t="str">
        <f>Sites[[#This Row],[SOL'#]]</f>
        <v>SOL-10764</v>
      </c>
      <c r="D130" s="99">
        <v>338944</v>
      </c>
      <c r="E130" s="100">
        <v>352843.4</v>
      </c>
      <c r="F130" s="11">
        <f t="shared" si="8"/>
        <v>-13899.400000000023</v>
      </c>
      <c r="G130" s="12">
        <f t="shared" si="9"/>
        <v>-3.9392546381766022E-2</v>
      </c>
      <c r="H130" s="83">
        <v>373085.3</v>
      </c>
      <c r="I130" s="13">
        <f t="shared" si="10"/>
        <v>-34141.299999999988</v>
      </c>
      <c r="J130" s="14">
        <f t="shared" si="11"/>
        <v>-9.1510708141006869E-2</v>
      </c>
      <c r="K130" s="66" t="s">
        <v>924</v>
      </c>
      <c r="L130" s="66" t="s">
        <v>925</v>
      </c>
    </row>
    <row r="131" spans="1:13" ht="15.75">
      <c r="A131" s="27" t="str">
        <v>Brock St Vocational</v>
      </c>
      <c r="B131" s="28" t="str">
        <v>NH</v>
      </c>
      <c r="C131" s="28" t="str">
        <f>Sites[[#This Row],[SOL'#]]</f>
        <v>SOL-10768</v>
      </c>
      <c r="D131" s="88">
        <v>15335.561750000001</v>
      </c>
      <c r="E131" s="101">
        <v>14673.71</v>
      </c>
      <c r="F131" s="15">
        <f t="shared" si="8"/>
        <v>661.85175000000163</v>
      </c>
      <c r="G131" s="16">
        <f t="shared" si="9"/>
        <v>4.5104595225065894E-2</v>
      </c>
      <c r="H131" s="85">
        <v>12246.16</v>
      </c>
      <c r="I131" s="17">
        <f t="shared" si="10"/>
        <v>3089.4017500000009</v>
      </c>
      <c r="J131" s="16">
        <f t="shared" si="11"/>
        <v>0.25227514175872279</v>
      </c>
      <c r="K131" s="61"/>
      <c r="L131" s="61"/>
      <c r="M131" s="102"/>
    </row>
    <row r="132" spans="1:13" ht="15.75">
      <c r="A132" s="25" t="str">
        <v>McClelland ES</v>
      </c>
      <c r="B132" s="26" t="str">
        <v>NH</v>
      </c>
      <c r="C132" s="26" t="str">
        <f>Sites[[#This Row],[SOL'#]]</f>
        <v>SOL-10766</v>
      </c>
      <c r="D132" s="99">
        <v>10999.404979999999</v>
      </c>
      <c r="E132" s="100">
        <v>11946.75</v>
      </c>
      <c r="F132" s="11">
        <f t="shared" si="8"/>
        <v>-947.34502000000066</v>
      </c>
      <c r="G132" s="12">
        <f t="shared" si="9"/>
        <v>-7.9297300102538396E-2</v>
      </c>
      <c r="H132" s="83">
        <v>9111.8629999999994</v>
      </c>
      <c r="I132" s="13">
        <f t="shared" si="10"/>
        <v>1887.54198</v>
      </c>
      <c r="J132" s="14">
        <f t="shared" si="11"/>
        <v>0.20715214660273099</v>
      </c>
      <c r="K132" s="66" t="s">
        <v>926</v>
      </c>
      <c r="L132" s="66" t="s">
        <v>927</v>
      </c>
    </row>
    <row r="133" spans="1:13" ht="15.75">
      <c r="A133" s="27" t="str">
        <v>Portland St</v>
      </c>
      <c r="B133" s="28" t="str">
        <v>NH</v>
      </c>
      <c r="C133" s="28" t="str">
        <f>Sites[[#This Row],[SOL'#]]</f>
        <v>SOL-10771</v>
      </c>
      <c r="D133" s="88">
        <v>9533.25</v>
      </c>
      <c r="E133" s="101">
        <v>7008.933</v>
      </c>
      <c r="F133" s="15">
        <f t="shared" si="8"/>
        <v>2524.317</v>
      </c>
      <c r="G133" s="16">
        <f t="shared" si="9"/>
        <v>0.36015710237207288</v>
      </c>
      <c r="H133" s="85">
        <v>9248</v>
      </c>
      <c r="I133" s="17">
        <f t="shared" si="10"/>
        <v>285.25</v>
      </c>
      <c r="J133" s="16">
        <f t="shared" si="11"/>
        <v>3.0844506920415224E-2</v>
      </c>
      <c r="K133" s="61"/>
      <c r="L133" s="61"/>
      <c r="M133" s="102"/>
    </row>
    <row r="134" spans="1:13" ht="15.75">
      <c r="A134" s="25" t="str">
        <v>Portsmouth HS</v>
      </c>
      <c r="B134" s="26" t="str">
        <v>NH</v>
      </c>
      <c r="C134" s="26" t="str">
        <f>Sites[[#This Row],[SOL'#]]</f>
        <v>SOL-10769</v>
      </c>
      <c r="D134" s="99">
        <v>39126.25</v>
      </c>
      <c r="E134" s="100">
        <v>33959.43</v>
      </c>
      <c r="F134" s="11">
        <f t="shared" si="8"/>
        <v>5166.82</v>
      </c>
      <c r="G134" s="12">
        <f t="shared" si="9"/>
        <v>0.1521468410983341</v>
      </c>
      <c r="H134" s="83">
        <v>32389.119999999999</v>
      </c>
      <c r="I134" s="13">
        <f t="shared" si="10"/>
        <v>6737.130000000001</v>
      </c>
      <c r="J134" s="14">
        <f t="shared" si="11"/>
        <v>0.20800596002608288</v>
      </c>
      <c r="K134" s="66"/>
      <c r="L134" s="66"/>
    </row>
    <row r="135" spans="1:13" ht="15.75">
      <c r="A135" s="27" t="str">
        <v>Portsmouth WTP</v>
      </c>
      <c r="B135" s="28" t="str">
        <v>NH</v>
      </c>
      <c r="C135" s="28" t="str">
        <f>Sites[[#This Row],[SOL'#]]</f>
        <v>SOL-10770</v>
      </c>
      <c r="D135" s="88">
        <v>28989.25</v>
      </c>
      <c r="E135" s="101">
        <v>35424</v>
      </c>
      <c r="F135" s="15">
        <f t="shared" si="8"/>
        <v>-6434.75</v>
      </c>
      <c r="G135" s="16">
        <f t="shared" si="9"/>
        <v>-0.18164944670280037</v>
      </c>
      <c r="H135" s="85">
        <v>29560.79</v>
      </c>
      <c r="I135" s="17">
        <f t="shared" si="10"/>
        <v>-571.54000000000087</v>
      </c>
      <c r="J135" s="16">
        <f t="shared" si="11"/>
        <v>-1.9334395325700051E-2</v>
      </c>
      <c r="K135" s="61" t="s">
        <v>928</v>
      </c>
      <c r="L135" s="61" t="s">
        <v>929</v>
      </c>
    </row>
    <row r="136" spans="1:13" ht="15.75">
      <c r="A136" s="25" t="str">
        <v>Rochester St</v>
      </c>
      <c r="B136" s="26" t="str">
        <v>NH</v>
      </c>
      <c r="C136" s="26" t="str">
        <f>Sites[[#This Row],[SOL'#]]</f>
        <v>SOL-10765</v>
      </c>
      <c r="D136" s="99">
        <v>33133.619859999999</v>
      </c>
      <c r="E136" s="100">
        <v>35461.760000000002</v>
      </c>
      <c r="F136" s="11">
        <f t="shared" si="8"/>
        <v>-2328.1401400000032</v>
      </c>
      <c r="G136" s="12">
        <f t="shared" si="9"/>
        <v>-6.5652131761085836E-2</v>
      </c>
      <c r="H136" s="83">
        <v>28311.24</v>
      </c>
      <c r="I136" s="13">
        <f t="shared" si="10"/>
        <v>4822.3798599999973</v>
      </c>
      <c r="J136" s="14">
        <f t="shared" si="11"/>
        <v>0.17033446292002741</v>
      </c>
      <c r="K136" s="66"/>
      <c r="L136" s="66"/>
    </row>
    <row r="137" spans="1:13" ht="15.75">
      <c r="A137" s="27" t="str">
        <v>Spaulding HS</v>
      </c>
      <c r="B137" s="28" t="str">
        <v>NH</v>
      </c>
      <c r="C137" s="28" t="str">
        <f>Sites[[#This Row],[SOL'#]]</f>
        <v>SOL-10767</v>
      </c>
      <c r="D137" s="88">
        <v>16797.499970000001</v>
      </c>
      <c r="E137" s="101">
        <v>14141.58</v>
      </c>
      <c r="F137" s="15">
        <f t="shared" si="8"/>
        <v>2655.9199700000008</v>
      </c>
      <c r="G137" s="16">
        <f t="shared" si="9"/>
        <v>0.18780928085829171</v>
      </c>
      <c r="H137" s="85">
        <v>13920.25</v>
      </c>
      <c r="I137" s="17">
        <f t="shared" si="10"/>
        <v>2877.2499700000008</v>
      </c>
      <c r="J137" s="16">
        <f t="shared" si="11"/>
        <v>0.20669527989799039</v>
      </c>
      <c r="K137" s="61"/>
      <c r="L137" s="61"/>
    </row>
    <row r="138" spans="1:13" ht="15.75">
      <c r="A138" s="25" t="str">
        <v>Ridgeway #2</v>
      </c>
      <c r="B138" s="26" t="str">
        <v>NY</v>
      </c>
      <c r="C138" s="26" t="str">
        <f>Sites[[#This Row],[SOL'#]]</f>
        <v>SOL-11027</v>
      </c>
      <c r="D138" s="99">
        <v>536888</v>
      </c>
      <c r="E138" s="100">
        <v>0</v>
      </c>
      <c r="F138" s="11">
        <f t="shared" si="8"/>
        <v>536888</v>
      </c>
      <c r="G138" s="12" t="str">
        <f t="shared" si="9"/>
        <v/>
      </c>
      <c r="H138" s="83">
        <v>618215</v>
      </c>
      <c r="I138" s="13">
        <f t="shared" si="10"/>
        <v>-81327</v>
      </c>
      <c r="J138" s="14">
        <f t="shared" si="11"/>
        <v>-0.13155132114232104</v>
      </c>
      <c r="K138" s="66"/>
      <c r="L138" s="66"/>
    </row>
    <row r="139" spans="1:13" ht="15.75">
      <c r="A139" s="27" t="str">
        <v>Spencer</v>
      </c>
      <c r="B139" s="28" t="str">
        <v>NY</v>
      </c>
      <c r="C139" s="28" t="str">
        <f>Sites[[#This Row],[SOL'#]]</f>
        <v>SOL-11017</v>
      </c>
      <c r="D139" s="88">
        <v>960106</v>
      </c>
      <c r="E139" s="101">
        <v>0</v>
      </c>
      <c r="F139" s="15">
        <f t="shared" si="8"/>
        <v>960106</v>
      </c>
      <c r="G139" s="16" t="str">
        <f t="shared" si="9"/>
        <v/>
      </c>
      <c r="H139" s="85">
        <v>1200000</v>
      </c>
      <c r="I139" s="17">
        <f t="shared" si="10"/>
        <v>-239894</v>
      </c>
      <c r="J139" s="16">
        <f t="shared" si="11"/>
        <v>-0.19991166666666665</v>
      </c>
      <c r="K139" s="61" t="s">
        <v>930</v>
      </c>
      <c r="L139" s="61" t="s">
        <v>931</v>
      </c>
    </row>
    <row r="140" spans="1:13" ht="15.75">
      <c r="A140" s="29" t="str">
        <v>Reisender</v>
      </c>
      <c r="B140" s="26" t="str">
        <v>NY</v>
      </c>
      <c r="C140" s="26" t="str">
        <f>Sites[[#This Row],[SOL'#]]</f>
        <v>SOL-10886</v>
      </c>
      <c r="D140" s="99">
        <v>332500</v>
      </c>
      <c r="E140" s="100">
        <v>337661</v>
      </c>
      <c r="F140" s="11">
        <f t="shared" si="8"/>
        <v>-5161</v>
      </c>
      <c r="G140" s="12">
        <f t="shared" si="9"/>
        <v>-1.5284560550374488E-2</v>
      </c>
      <c r="H140" s="83">
        <v>373889</v>
      </c>
      <c r="I140" s="13">
        <f t="shared" si="10"/>
        <v>-41389</v>
      </c>
      <c r="J140" s="14">
        <f t="shared" si="11"/>
        <v>-0.11069862980724225</v>
      </c>
      <c r="K140" s="66"/>
      <c r="L140" s="66"/>
    </row>
    <row r="141" spans="1:13" ht="15.75">
      <c r="A141" s="27" t="str">
        <v>Finney</v>
      </c>
      <c r="B141" s="28" t="str">
        <v>NY</v>
      </c>
      <c r="C141" s="28" t="str">
        <f>Sites[[#This Row],[SOL'#]]</f>
        <v>SOL-10999</v>
      </c>
      <c r="D141" s="88">
        <v>977400</v>
      </c>
      <c r="E141" s="101">
        <v>0</v>
      </c>
      <c r="F141" s="15">
        <f t="shared" si="8"/>
        <v>977400</v>
      </c>
      <c r="G141" s="16" t="str">
        <f t="shared" si="9"/>
        <v/>
      </c>
      <c r="H141" s="85">
        <v>1219684</v>
      </c>
      <c r="I141" s="17">
        <f t="shared" si="10"/>
        <v>-242284</v>
      </c>
      <c r="J141" s="16">
        <f t="shared" si="11"/>
        <v>-0.19864489490720547</v>
      </c>
      <c r="K141" s="61" t="s">
        <v>932</v>
      </c>
      <c r="L141" s="61" t="s">
        <v>933</v>
      </c>
    </row>
    <row r="142" spans="1:13" ht="71.25">
      <c r="A142" s="29" t="str">
        <v>Davis Solar</v>
      </c>
      <c r="B142" s="26" t="str">
        <v>NY</v>
      </c>
      <c r="C142" s="26" t="str">
        <f>Sites[[#This Row],[SOL'#]]</f>
        <v>SOL-10958</v>
      </c>
      <c r="D142" s="99">
        <v>302823</v>
      </c>
      <c r="E142" s="100">
        <v>374121</v>
      </c>
      <c r="F142" s="11">
        <f t="shared" si="8"/>
        <v>-71298</v>
      </c>
      <c r="G142" s="12">
        <f t="shared" si="9"/>
        <v>-0.19057470711347399</v>
      </c>
      <c r="H142" s="83">
        <v>433878</v>
      </c>
      <c r="I142" s="13">
        <f t="shared" si="10"/>
        <v>-131055</v>
      </c>
      <c r="J142" s="14">
        <f t="shared" si="11"/>
        <v>-0.30205495554049755</v>
      </c>
      <c r="K142" s="66" t="s">
        <v>934</v>
      </c>
      <c r="L142" s="66" t="s">
        <v>935</v>
      </c>
      <c r="M142" s="102"/>
    </row>
    <row r="143" spans="1:13" ht="15.75">
      <c r="A143" s="27" t="str">
        <v>Genesee</v>
      </c>
      <c r="B143" s="28" t="str">
        <v>NY</v>
      </c>
      <c r="C143" s="28" t="str">
        <f>Sites[[#This Row],[SOL'#]]</f>
        <v>SOL-10951</v>
      </c>
      <c r="D143" s="88">
        <v>822347</v>
      </c>
      <c r="E143" s="101">
        <v>0</v>
      </c>
      <c r="F143" s="15">
        <f t="shared" si="8"/>
        <v>822347</v>
      </c>
      <c r="G143" s="16" t="str">
        <f t="shared" si="9"/>
        <v/>
      </c>
      <c r="H143" s="85">
        <v>929894</v>
      </c>
      <c r="I143" s="17">
        <f t="shared" si="10"/>
        <v>-107547</v>
      </c>
      <c r="J143" s="16">
        <f t="shared" si="11"/>
        <v>-0.11565511768007966</v>
      </c>
      <c r="K143" s="61"/>
      <c r="L143" s="61"/>
    </row>
    <row r="144" spans="1:13" ht="15.75">
      <c r="A144" s="25" t="str">
        <v>Landau I</v>
      </c>
      <c r="B144" s="26" t="str">
        <v>NY</v>
      </c>
      <c r="C144" s="26" t="str">
        <f>Sites[[#This Row],[SOL'#]]</f>
        <v>SOL-10891</v>
      </c>
      <c r="D144" s="99">
        <v>219376</v>
      </c>
      <c r="E144" s="100">
        <v>0</v>
      </c>
      <c r="F144" s="11">
        <f t="shared" si="8"/>
        <v>219376</v>
      </c>
      <c r="G144" s="12" t="str">
        <f t="shared" si="9"/>
        <v/>
      </c>
      <c r="H144" s="83">
        <v>410264</v>
      </c>
      <c r="I144" s="13">
        <f t="shared" si="10"/>
        <v>-190888</v>
      </c>
      <c r="J144" s="14">
        <f t="shared" si="11"/>
        <v>-0.4652808923034924</v>
      </c>
      <c r="K144" s="66" t="s">
        <v>936</v>
      </c>
      <c r="L144" s="66" t="s">
        <v>937</v>
      </c>
    </row>
    <row r="145" spans="1:12" ht="71.25">
      <c r="A145" s="27" t="str">
        <v>Landau II</v>
      </c>
      <c r="B145" s="28" t="str">
        <v>NY</v>
      </c>
      <c r="C145" s="28" t="str">
        <f>Sites[[#This Row],[SOL'#]]</f>
        <v>SOL-10895</v>
      </c>
      <c r="D145" s="88">
        <v>44710</v>
      </c>
      <c r="E145" s="101">
        <v>0</v>
      </c>
      <c r="F145" s="15">
        <f t="shared" si="8"/>
        <v>44710</v>
      </c>
      <c r="G145" s="16" t="str">
        <f t="shared" si="9"/>
        <v/>
      </c>
      <c r="H145" s="85">
        <v>858044</v>
      </c>
      <c r="I145" s="17">
        <f t="shared" si="10"/>
        <v>-813334</v>
      </c>
      <c r="J145" s="16">
        <f t="shared" si="11"/>
        <v>-0.94789311503838969</v>
      </c>
      <c r="K145" s="61" t="s">
        <v>938</v>
      </c>
      <c r="L145" s="61" t="s">
        <v>939</v>
      </c>
    </row>
    <row r="146" spans="1:12" ht="15.75">
      <c r="A146" s="25" t="str">
        <v>New Beginnings</v>
      </c>
      <c r="B146" s="26" t="str">
        <v>NY</v>
      </c>
      <c r="C146" s="26" t="str">
        <f>Sites[[#This Row],[SOL'#]]</f>
        <v>SOL-10890</v>
      </c>
      <c r="D146" s="99">
        <v>251030</v>
      </c>
      <c r="E146" s="100">
        <v>256265</v>
      </c>
      <c r="F146" s="11">
        <f t="shared" ref="F146:F161" si="12">IF(AND(ISNUMBER(D146),ISNUMBER(E146)), D146-E146, "")</f>
        <v>-5235</v>
      </c>
      <c r="G146" s="12">
        <f t="shared" ref="G146:G161" si="13">IFERROR(F146/E146, "")</f>
        <v>-2.0428072503072991E-2</v>
      </c>
      <c r="H146" s="83">
        <v>392149</v>
      </c>
      <c r="I146" s="13">
        <f t="shared" ref="I146:I161" si="14">IF(AND(ISNUMBER(D146),ISNUMBER(H146)), D146-H146, "")</f>
        <v>-141119</v>
      </c>
      <c r="J146" s="14">
        <f t="shared" ref="J146:J161" si="15">IFERROR(I146/H146, "")</f>
        <v>-0.35986066520633736</v>
      </c>
      <c r="K146" s="66" t="s">
        <v>940</v>
      </c>
      <c r="L146" s="66" t="s">
        <v>941</v>
      </c>
    </row>
    <row r="147" spans="1:12" ht="42.75">
      <c r="A147" s="27" t="str">
        <v>Guilin Farm Solar</v>
      </c>
      <c r="B147" s="28" t="str">
        <v>NY</v>
      </c>
      <c r="C147" s="28" t="str">
        <f>Sites[[#This Row],[SOL'#]]</f>
        <v>SOL-10998</v>
      </c>
      <c r="D147" s="104">
        <v>901515</v>
      </c>
      <c r="E147" s="101">
        <v>965149</v>
      </c>
      <c r="F147" s="15">
        <f t="shared" si="12"/>
        <v>-63634</v>
      </c>
      <c r="G147" s="16">
        <f t="shared" si="13"/>
        <v>-6.5931788770438551E-2</v>
      </c>
      <c r="H147" s="85">
        <v>1128731</v>
      </c>
      <c r="I147" s="17">
        <f t="shared" si="14"/>
        <v>-227216</v>
      </c>
      <c r="J147" s="16">
        <f t="shared" si="15"/>
        <v>-0.20130217031338735</v>
      </c>
      <c r="K147" s="61" t="s">
        <v>942</v>
      </c>
      <c r="L147" s="61" t="s">
        <v>943</v>
      </c>
    </row>
    <row r="148" spans="1:12" ht="15.75">
      <c r="A148" s="25" t="str">
        <v>Brodhead Solar</v>
      </c>
      <c r="B148" s="26" t="str">
        <v>NY</v>
      </c>
      <c r="C148" s="26" t="str">
        <f>Sites[[#This Row],[SOL'#]]</f>
        <v>SOL-10899</v>
      </c>
      <c r="D148" s="99">
        <v>433057</v>
      </c>
      <c r="E148" s="100">
        <v>459483.2</v>
      </c>
      <c r="F148" s="11">
        <f t="shared" si="12"/>
        <v>-26426.200000000012</v>
      </c>
      <c r="G148" s="12">
        <f t="shared" si="13"/>
        <v>-5.7512875334723906E-2</v>
      </c>
      <c r="H148" s="83">
        <v>495674.8</v>
      </c>
      <c r="I148" s="13">
        <f t="shared" si="14"/>
        <v>-62617.799999999988</v>
      </c>
      <c r="J148" s="14">
        <f t="shared" si="15"/>
        <v>-0.12632839111449681</v>
      </c>
      <c r="K148" s="66"/>
      <c r="L148" s="66"/>
    </row>
    <row r="149" spans="1:12" ht="57">
      <c r="A149" s="27" t="str">
        <v>Svenski</v>
      </c>
      <c r="B149" s="28" t="str">
        <v>NY</v>
      </c>
      <c r="C149" s="28" t="str">
        <f>Sites[[#This Row],[SOL'#]]</f>
        <v>SOL-10894</v>
      </c>
      <c r="D149" s="88">
        <v>361718</v>
      </c>
      <c r="E149" s="101">
        <v>0</v>
      </c>
      <c r="F149" s="15">
        <f t="shared" si="12"/>
        <v>361718</v>
      </c>
      <c r="G149" s="16" t="str">
        <f t="shared" si="13"/>
        <v/>
      </c>
      <c r="H149" s="85">
        <v>415162</v>
      </c>
      <c r="I149" s="17">
        <f t="shared" si="14"/>
        <v>-53444</v>
      </c>
      <c r="J149" s="16">
        <f t="shared" si="15"/>
        <v>-0.12873047147860353</v>
      </c>
      <c r="K149" s="61" t="s">
        <v>944</v>
      </c>
      <c r="L149" s="61" t="s">
        <v>945</v>
      </c>
    </row>
    <row r="150" spans="1:12" ht="57">
      <c r="A150" s="25" t="str">
        <v>Bantam</v>
      </c>
      <c r="B150" s="26" t="str">
        <v>NY</v>
      </c>
      <c r="C150" s="26" t="str">
        <f>Sites[[#This Row],[SOL'#]]</f>
        <v>SOL-10986</v>
      </c>
      <c r="D150" s="99">
        <v>945570</v>
      </c>
      <c r="E150" s="100">
        <v>0</v>
      </c>
      <c r="F150" s="11">
        <f t="shared" si="12"/>
        <v>945570</v>
      </c>
      <c r="G150" s="12" t="str">
        <f t="shared" si="13"/>
        <v/>
      </c>
      <c r="H150" s="83">
        <v>1176088</v>
      </c>
      <c r="I150" s="13">
        <f t="shared" si="14"/>
        <v>-230518</v>
      </c>
      <c r="J150" s="14">
        <f t="shared" si="15"/>
        <v>-0.19600404051397516</v>
      </c>
      <c r="K150" s="66" t="s">
        <v>946</v>
      </c>
      <c r="L150" s="66" t="s">
        <v>947</v>
      </c>
    </row>
    <row r="151" spans="1:12" ht="63" customHeight="1">
      <c r="A151" s="27" t="str">
        <v>Bogart</v>
      </c>
      <c r="B151" s="28" t="str">
        <v>NY</v>
      </c>
      <c r="C151" s="28" t="str">
        <f>Sites[[#This Row],[SOL'#]]</f>
        <v>SOL-10887</v>
      </c>
      <c r="D151" s="88">
        <v>311360</v>
      </c>
      <c r="E151" s="101">
        <v>338082</v>
      </c>
      <c r="F151" s="15">
        <f t="shared" si="12"/>
        <v>-26722</v>
      </c>
      <c r="G151" s="16">
        <f t="shared" si="13"/>
        <v>-7.9039996213936259E-2</v>
      </c>
      <c r="H151" s="85">
        <v>385631</v>
      </c>
      <c r="I151" s="17">
        <f t="shared" si="14"/>
        <v>-74271</v>
      </c>
      <c r="J151" s="16">
        <f t="shared" si="15"/>
        <v>-0.19259603092075067</v>
      </c>
      <c r="K151" s="61" t="s">
        <v>948</v>
      </c>
      <c r="L151" s="61" t="s">
        <v>949</v>
      </c>
    </row>
    <row r="152" spans="1:12" ht="28.5">
      <c r="A152" s="25" t="str">
        <v>Dubois</v>
      </c>
      <c r="B152" s="26" t="str">
        <v>NY</v>
      </c>
      <c r="C152" s="26" t="str">
        <f>Sites[[#This Row],[SOL'#]]</f>
        <v>SOL-10892</v>
      </c>
      <c r="D152" s="99">
        <v>327940</v>
      </c>
      <c r="E152" s="100">
        <v>0</v>
      </c>
      <c r="F152" s="11">
        <f t="shared" si="12"/>
        <v>327940</v>
      </c>
      <c r="G152" s="12" t="str">
        <f t="shared" si="13"/>
        <v/>
      </c>
      <c r="H152" s="83">
        <v>409885</v>
      </c>
      <c r="I152" s="13">
        <f t="shared" si="14"/>
        <v>-81945</v>
      </c>
      <c r="J152" s="14">
        <f t="shared" si="15"/>
        <v>-0.19992192932163899</v>
      </c>
      <c r="K152" s="66" t="s">
        <v>950</v>
      </c>
      <c r="L152" s="66" t="s">
        <v>951</v>
      </c>
    </row>
    <row r="153" spans="1:12" ht="15.75">
      <c r="A153" s="27" t="str">
        <v>Salt Point</v>
      </c>
      <c r="B153" s="28" t="str">
        <v>NY</v>
      </c>
      <c r="C153" s="28" t="str">
        <f>Sites[[#This Row],[SOL'#]]</f>
        <v>SOL-10888</v>
      </c>
      <c r="D153" s="88">
        <v>376430</v>
      </c>
      <c r="E153" s="101">
        <v>0</v>
      </c>
      <c r="F153" s="15">
        <f t="shared" si="12"/>
        <v>376430</v>
      </c>
      <c r="G153" s="16" t="str">
        <f t="shared" si="13"/>
        <v/>
      </c>
      <c r="H153" s="85">
        <v>455693</v>
      </c>
      <c r="I153" s="17">
        <f t="shared" si="14"/>
        <v>-79263</v>
      </c>
      <c r="J153" s="16">
        <f t="shared" si="15"/>
        <v>-0.17393947240795887</v>
      </c>
      <c r="K153" s="61" t="s">
        <v>952</v>
      </c>
      <c r="L153" s="61" t="s">
        <v>953</v>
      </c>
    </row>
    <row r="154" spans="1:12" ht="15.75">
      <c r="A154" s="25" t="str">
        <v>Wheatland 2A</v>
      </c>
      <c r="B154" s="26" t="str">
        <v>NY</v>
      </c>
      <c r="C154" s="26" t="str">
        <f>Sites[[#This Row],[SOL'#]]</f>
        <v>SOL-10971</v>
      </c>
      <c r="D154" s="99">
        <v>907010</v>
      </c>
      <c r="E154" s="100">
        <v>0</v>
      </c>
      <c r="F154" s="11">
        <f t="shared" si="12"/>
        <v>907010</v>
      </c>
      <c r="G154" s="12" t="str">
        <f t="shared" si="13"/>
        <v/>
      </c>
      <c r="H154" s="83">
        <v>1035671</v>
      </c>
      <c r="I154" s="13">
        <f t="shared" si="14"/>
        <v>-128661</v>
      </c>
      <c r="J154" s="14">
        <f t="shared" si="15"/>
        <v>-0.12422960573386722</v>
      </c>
      <c r="K154" s="66"/>
      <c r="L154" s="66"/>
    </row>
    <row r="155" spans="1:12" ht="15.75">
      <c r="A155" s="27" t="str">
        <v>Wheatland 2B</v>
      </c>
      <c r="B155" s="28" t="str">
        <v>NY</v>
      </c>
      <c r="C155" s="28" t="str">
        <f>Sites[[#This Row],[SOL'#]]</f>
        <v>SOL-10961</v>
      </c>
      <c r="D155" s="88">
        <v>922880</v>
      </c>
      <c r="E155" s="101">
        <v>0</v>
      </c>
      <c r="F155" s="15">
        <f t="shared" si="12"/>
        <v>922880</v>
      </c>
      <c r="G155" s="16" t="str">
        <f t="shared" si="13"/>
        <v/>
      </c>
      <c r="H155" s="85">
        <v>1024832</v>
      </c>
      <c r="I155" s="17">
        <f t="shared" si="14"/>
        <v>-101952</v>
      </c>
      <c r="J155" s="16">
        <f t="shared" si="15"/>
        <v>-9.948167114219697E-2</v>
      </c>
      <c r="K155" s="61"/>
      <c r="L155" s="61"/>
    </row>
    <row r="156" spans="1:12" ht="28.5">
      <c r="A156" s="25" t="str">
        <v>Brickchurch</v>
      </c>
      <c r="B156" s="26" t="str">
        <v>NY</v>
      </c>
      <c r="C156" s="26" t="str">
        <f>Sites[[#This Row],[SOL'#]]</f>
        <v>SOL-10889</v>
      </c>
      <c r="D156" s="99">
        <v>405570</v>
      </c>
      <c r="E156" s="100">
        <v>438940</v>
      </c>
      <c r="F156" s="11">
        <f t="shared" si="12"/>
        <v>-33370</v>
      </c>
      <c r="G156" s="12">
        <f t="shared" si="13"/>
        <v>-7.602405795780745E-2</v>
      </c>
      <c r="H156" s="83">
        <v>468855</v>
      </c>
      <c r="I156" s="13">
        <f t="shared" si="14"/>
        <v>-63285</v>
      </c>
      <c r="J156" s="14">
        <f t="shared" si="15"/>
        <v>-0.13497776498064434</v>
      </c>
      <c r="K156" s="66" t="s">
        <v>954</v>
      </c>
      <c r="L156" s="66" t="s">
        <v>955</v>
      </c>
    </row>
    <row r="157" spans="1:12" ht="15.75">
      <c r="A157" s="27" t="str">
        <v>McCarthy Solar</v>
      </c>
      <c r="B157" s="28" t="str">
        <v>NY</v>
      </c>
      <c r="C157" s="28" t="str">
        <f>Sites[[#This Row],[SOL'#]]</f>
        <v>SOL-10992</v>
      </c>
      <c r="D157" s="88">
        <v>370764</v>
      </c>
      <c r="E157" s="101">
        <v>0</v>
      </c>
      <c r="F157" s="15">
        <f t="shared" si="12"/>
        <v>370764</v>
      </c>
      <c r="G157" s="16" t="str">
        <f t="shared" si="13"/>
        <v/>
      </c>
      <c r="H157" s="85">
        <v>413294</v>
      </c>
      <c r="I157" s="17">
        <f t="shared" si="14"/>
        <v>-42530</v>
      </c>
      <c r="J157" s="16">
        <f t="shared" si="15"/>
        <v>-0.10290495385851234</v>
      </c>
      <c r="K157" s="61"/>
      <c r="L157" s="61"/>
    </row>
    <row r="158" spans="1:12" ht="15.75">
      <c r="A158" s="25" t="str">
        <v>Costanza</v>
      </c>
      <c r="B158" s="26" t="str">
        <v>NY</v>
      </c>
      <c r="C158" s="26" t="str">
        <f>Sites[[#This Row],[SOL'#]]</f>
        <v>SOL-10907</v>
      </c>
      <c r="D158" s="99">
        <v>104210</v>
      </c>
      <c r="E158" s="100">
        <v>0</v>
      </c>
      <c r="F158" s="11">
        <f t="shared" si="12"/>
        <v>104210</v>
      </c>
      <c r="G158" s="12" t="str">
        <f t="shared" si="13"/>
        <v/>
      </c>
      <c r="H158" s="83">
        <v>406406</v>
      </c>
      <c r="I158" s="13">
        <f t="shared" si="14"/>
        <v>-302196</v>
      </c>
      <c r="J158" s="14">
        <f t="shared" si="15"/>
        <v>-0.74358154161109824</v>
      </c>
      <c r="K158" s="66" t="s">
        <v>956</v>
      </c>
      <c r="L158" s="66" t="s">
        <v>957</v>
      </c>
    </row>
    <row r="159" spans="1:12" ht="15.75">
      <c r="A159" s="27" t="str">
        <v>Lockenhurst Pond</v>
      </c>
      <c r="B159" s="28" t="str">
        <v>NY</v>
      </c>
      <c r="C159" s="28" t="str">
        <f>Sites[[#This Row],[SOL'#]]</f>
        <v>SOL-11000</v>
      </c>
      <c r="D159" s="88">
        <v>426108</v>
      </c>
      <c r="E159" s="101">
        <v>447901</v>
      </c>
      <c r="F159" s="15">
        <f t="shared" si="12"/>
        <v>-21793</v>
      </c>
      <c r="G159" s="16">
        <f t="shared" si="13"/>
        <v>-4.8655841357800052E-2</v>
      </c>
      <c r="H159" s="85">
        <v>491418</v>
      </c>
      <c r="I159" s="17">
        <f t="shared" si="14"/>
        <v>-65310</v>
      </c>
      <c r="J159" s="16">
        <f t="shared" si="15"/>
        <v>-0.13290111473328206</v>
      </c>
      <c r="K159" s="61" t="s">
        <v>958</v>
      </c>
      <c r="L159" s="61" t="s">
        <v>959</v>
      </c>
    </row>
    <row r="160" spans="1:12" ht="15.75">
      <c r="A160" s="25" t="str">
        <v>Drinkwater</v>
      </c>
      <c r="B160" s="26" t="str">
        <v>NY</v>
      </c>
      <c r="C160" s="26" t="str">
        <f>Sites[[#This Row],[SOL'#]]</f>
        <v>SOL-10896</v>
      </c>
      <c r="D160" s="99">
        <v>372732</v>
      </c>
      <c r="E160" s="100">
        <v>0</v>
      </c>
      <c r="F160" s="11">
        <f t="shared" si="12"/>
        <v>372732</v>
      </c>
      <c r="G160" s="12" t="str">
        <f t="shared" si="13"/>
        <v/>
      </c>
      <c r="H160" s="83">
        <v>427378</v>
      </c>
      <c r="I160" s="13">
        <f t="shared" si="14"/>
        <v>-54646</v>
      </c>
      <c r="J160" s="14">
        <f t="shared" si="15"/>
        <v>-0.12786339025406082</v>
      </c>
      <c r="K160" s="66"/>
      <c r="L160" s="66"/>
    </row>
    <row r="161" spans="1:12" ht="15.75">
      <c r="A161" s="27" t="str">
        <v>Altamont</v>
      </c>
      <c r="B161" s="28" t="str">
        <v>NY</v>
      </c>
      <c r="C161" s="28" t="s">
        <v>11</v>
      </c>
      <c r="D161" s="88">
        <v>681488</v>
      </c>
      <c r="E161" s="101">
        <v>709859</v>
      </c>
      <c r="F161" s="15">
        <f t="shared" si="12"/>
        <v>-28371</v>
      </c>
      <c r="G161" s="16">
        <f t="shared" si="13"/>
        <v>-3.9967092056309772E-2</v>
      </c>
      <c r="H161" s="85">
        <v>678627</v>
      </c>
      <c r="I161" s="17">
        <f t="shared" si="14"/>
        <v>2861</v>
      </c>
      <c r="J161" s="16">
        <f t="shared" si="15"/>
        <v>4.2158652691390115E-3</v>
      </c>
      <c r="K161" s="61" t="s">
        <v>960</v>
      </c>
      <c r="L161" s="61" t="s">
        <v>961</v>
      </c>
    </row>
    <row r="162" spans="1:12" ht="14.25">
      <c r="A162" s="18"/>
      <c r="B162" s="30"/>
      <c r="C162" s="28"/>
      <c r="D162" s="18"/>
      <c r="E162" s="18"/>
      <c r="F162" s="18"/>
      <c r="G162" s="19"/>
      <c r="H162" s="18"/>
      <c r="I162" s="18"/>
      <c r="J162" s="19"/>
      <c r="K162" s="18"/>
      <c r="L162" s="18"/>
    </row>
    <row r="163" spans="1:12" ht="14.25">
      <c r="A163" s="18"/>
      <c r="B163" s="30"/>
      <c r="C163" s="28"/>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24" priority="15" stopIfTrue="1" operator="lessThanOrEqual">
      <formula>-0.1</formula>
    </cfRule>
    <cfRule type="expression" dxfId="23" priority="16">
      <formula>AND(ISNUMBER(G2), G2&gt;=0.1)</formula>
    </cfRule>
  </conditionalFormatting>
  <conditionalFormatting sqref="G4:G161">
    <cfRule type="cellIs" dxfId="22" priority="3" stopIfTrue="1" operator="lessThanOrEqual">
      <formula>-0.1</formula>
    </cfRule>
    <cfRule type="expression" dxfId="21" priority="4">
      <formula>AND(ISNUMBER(G4), G4&gt;=0.1)</formula>
    </cfRule>
  </conditionalFormatting>
  <conditionalFormatting sqref="J4:J161">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XFD341"/>
  <sheetViews>
    <sheetView zoomScale="60" zoomScaleNormal="60" workbookViewId="0">
      <pane xSplit="2" ySplit="3" topLeftCell="C79" activePane="bottomRight" state="frozen"/>
      <selection pane="bottomRight" activeCell="M84" sqref="M84"/>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23" t="str" cm="1">
        <f t="array" ref="A1">portfolio</f>
        <v>Generate Capital</v>
      </c>
      <c r="B1" s="123"/>
      <c r="C1" s="123"/>
      <c r="D1" s="123"/>
      <c r="E1" s="124" t="s">
        <v>962</v>
      </c>
      <c r="F1" s="124"/>
      <c r="G1" s="124"/>
      <c r="H1" s="122" t="s">
        <v>963</v>
      </c>
      <c r="I1" s="122"/>
      <c r="J1" s="122"/>
      <c r="K1" s="5"/>
      <c r="L1" s="5"/>
    </row>
    <row r="2" spans="1:12" ht="19.5" customHeight="1">
      <c r="A2" s="125" t="s">
        <v>2</v>
      </c>
      <c r="B2" s="125"/>
      <c r="C2" s="72"/>
      <c r="D2" s="6">
        <f>SUM(D4:D200)</f>
        <v>35806972.853324682</v>
      </c>
      <c r="E2" s="6">
        <f>SUM(E4:E100)</f>
        <v>7611374.5339999991</v>
      </c>
      <c r="F2" s="6">
        <f>D2-E2</f>
        <v>28195598.319324683</v>
      </c>
      <c r="G2" s="7">
        <f>IFERROR(F2/E2, 0)</f>
        <v>3.7044029555207127</v>
      </c>
      <c r="H2" s="6">
        <f>SUM(H4:H200)</f>
        <v>38017635.445</v>
      </c>
      <c r="I2" s="8">
        <f>D2-H2</f>
        <v>-2210662.5916753188</v>
      </c>
      <c r="J2" s="7">
        <f>IFERROR(I2/H2, 0)</f>
        <v>-5.8148345256071432E-2</v>
      </c>
      <c r="K2" s="23" t="str">
        <f ca="1">IF(AND(TODAY()&gt;DATE(2024, 9, 1), COUNTA(Sites[Site])&lt;&gt;(COUNT(D:D)-1)), "Some sites are missing actual data; if new sites were added, make sure they are aligned correctly (including prior months!)", "")</f>
        <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13347.5308870968</v>
      </c>
      <c r="E4" s="11">
        <v>8165.4650000000001</v>
      </c>
      <c r="F4" s="11">
        <f>IF(AND(ISNUMBER(D4),ISNUMBER(E4)), D4-E4, "")</f>
        <v>5182.0658870968</v>
      </c>
      <c r="G4" s="12">
        <f>IFERROR(F4/E4, "")</f>
        <v>0.63463206162745167</v>
      </c>
      <c r="H4" s="13">
        <v>12696</v>
      </c>
      <c r="I4" s="13">
        <f>IF(AND(ISNUMBER(D4),ISNUMBER(H4)), D4-H4, "")</f>
        <v>651.53088709680014</v>
      </c>
      <c r="J4" s="14">
        <f>IFERROR(I4/H4, "")</f>
        <v>5.1317807742344054E-2</v>
      </c>
      <c r="K4" s="38"/>
      <c r="L4" s="38"/>
    </row>
    <row r="5" spans="1:12" ht="15.75">
      <c r="A5" s="27" t="str">
        <v>Fulton</v>
      </c>
      <c r="B5" s="28" t="str">
        <v>AZ</v>
      </c>
      <c r="C5" s="28" t="str">
        <f>Sites[[#This Row],[SOL'#]]</f>
        <v>SOL-10749</v>
      </c>
      <c r="D5" s="10">
        <v>47585.75</v>
      </c>
      <c r="E5" s="15">
        <v>51719.25</v>
      </c>
      <c r="F5" s="15">
        <f t="shared" ref="F5:F68" si="0">IF(AND(ISNUMBER(D5),ISNUMBER(E5)), D5-E5, "")</f>
        <v>-4133.5</v>
      </c>
      <c r="G5" s="16">
        <f>IFERROR(F5/E5, "")</f>
        <v>-7.9921885951555749E-2</v>
      </c>
      <c r="H5" s="17">
        <v>64629</v>
      </c>
      <c r="I5" s="17">
        <f t="shared" ref="I5:I68" si="1">IF(AND(ISNUMBER(D5),ISNUMBER(H5)), D5-H5, "")</f>
        <v>-17043.25</v>
      </c>
      <c r="J5" s="16">
        <f t="shared" ref="J5:J68" si="2">IFERROR(I5/H5, "")</f>
        <v>-0.26370901607637437</v>
      </c>
      <c r="K5" s="39"/>
      <c r="L5" s="39"/>
    </row>
    <row r="6" spans="1:12" ht="15.75">
      <c r="A6" s="25" t="str">
        <v>JFK Elementary</v>
      </c>
      <c r="B6" s="26" t="str">
        <v>AZ</v>
      </c>
      <c r="C6" s="26" t="str">
        <f>Sites[[#This Row],[SOL'#]]</f>
        <v>SOL-10758</v>
      </c>
      <c r="D6" s="21">
        <v>21249.363887174299</v>
      </c>
      <c r="E6" s="11">
        <v>0</v>
      </c>
      <c r="F6" s="11">
        <f t="shared" si="0"/>
        <v>21249.363887174299</v>
      </c>
      <c r="G6" s="12" t="str">
        <f t="shared" ref="G6:G17" si="3">IFERROR(F6/E6, "")</f>
        <v/>
      </c>
      <c r="H6" s="13">
        <v>18324</v>
      </c>
      <c r="I6" s="13">
        <f t="shared" si="1"/>
        <v>2925.3638871742987</v>
      </c>
      <c r="J6" s="14">
        <f t="shared" si="2"/>
        <v>0.15964657755808223</v>
      </c>
      <c r="K6" s="38"/>
      <c r="L6" s="38"/>
    </row>
    <row r="7" spans="1:12" ht="15.75">
      <c r="A7" s="27" t="str">
        <v>Noble</v>
      </c>
      <c r="B7" s="28" t="str">
        <v>AZ</v>
      </c>
      <c r="C7" s="28" t="str">
        <f>Sites[[#This Row],[SOL'#]]</f>
        <v>SOL-10750</v>
      </c>
      <c r="D7" s="10">
        <v>12490.717793375799</v>
      </c>
      <c r="E7" s="15">
        <v>13742.68</v>
      </c>
      <c r="F7" s="15">
        <f t="shared" si="0"/>
        <v>-1251.9622066242009</v>
      </c>
      <c r="G7" s="16">
        <f t="shared" si="3"/>
        <v>-9.1100295329892056E-2</v>
      </c>
      <c r="H7" s="17">
        <v>15323</v>
      </c>
      <c r="I7" s="17">
        <f t="shared" si="1"/>
        <v>-2832.2822066242006</v>
      </c>
      <c r="J7" s="16">
        <f t="shared" si="2"/>
        <v>-0.18483862211213212</v>
      </c>
      <c r="K7" s="39"/>
      <c r="L7" s="40"/>
    </row>
    <row r="8" spans="1:12" ht="15.75">
      <c r="A8" s="25" t="str">
        <v>Parking 3</v>
      </c>
      <c r="B8" s="26" t="str">
        <v>AZ</v>
      </c>
      <c r="C8" s="26" t="str">
        <f>Sites[[#This Row],[SOL'#]]</f>
        <v>SOL-10751</v>
      </c>
      <c r="D8" s="21">
        <v>32464.0465061422</v>
      </c>
      <c r="E8" s="11">
        <v>28687.74</v>
      </c>
      <c r="F8" s="11">
        <f t="shared" si="0"/>
        <v>3776.3065061421985</v>
      </c>
      <c r="G8" s="12">
        <f t="shared" si="3"/>
        <v>0.13163485538220154</v>
      </c>
      <c r="H8" s="13">
        <v>33325</v>
      </c>
      <c r="I8" s="13">
        <f t="shared" si="1"/>
        <v>-860.95349385779991</v>
      </c>
      <c r="J8" s="14">
        <f t="shared" si="2"/>
        <v>-2.5835063581629406E-2</v>
      </c>
      <c r="K8" s="38"/>
      <c r="L8" s="38"/>
    </row>
    <row r="9" spans="1:12" ht="15.75">
      <c r="A9" s="27" t="str">
        <v>PE East</v>
      </c>
      <c r="B9" s="28" t="str">
        <v>AZ</v>
      </c>
      <c r="C9" s="28" t="str">
        <f>Sites[[#This Row],[SOL'#]]</f>
        <v>SOL-10752</v>
      </c>
      <c r="D9" s="10">
        <v>28979.9197095491</v>
      </c>
      <c r="E9" s="15">
        <v>20718.2</v>
      </c>
      <c r="F9" s="15">
        <f t="shared" si="0"/>
        <v>8261.7197095490992</v>
      </c>
      <c r="G9" s="16">
        <f t="shared" si="3"/>
        <v>0.39876628807276204</v>
      </c>
      <c r="H9" s="17">
        <v>30329</v>
      </c>
      <c r="I9" s="17">
        <f t="shared" si="1"/>
        <v>-1349.0802904509001</v>
      </c>
      <c r="J9" s="16">
        <f t="shared" si="2"/>
        <v>-4.4481528914599888E-2</v>
      </c>
      <c r="K9" s="39"/>
      <c r="L9" s="40"/>
    </row>
    <row r="10" spans="1:12" ht="15.75">
      <c r="A10" s="25" t="str">
        <v>Schwada</v>
      </c>
      <c r="B10" s="26" t="str">
        <v>AZ</v>
      </c>
      <c r="C10" s="26" t="str">
        <f>Sites[[#This Row],[SOL'#]]</f>
        <v>SOL-10753</v>
      </c>
      <c r="D10" s="21">
        <v>13141.810362416099</v>
      </c>
      <c r="E10" s="11">
        <v>8529.8459999999995</v>
      </c>
      <c r="F10" s="11">
        <f t="shared" si="0"/>
        <v>4611.9643624160999</v>
      </c>
      <c r="G10" s="12">
        <f t="shared" si="3"/>
        <v>0.54068553669270236</v>
      </c>
      <c r="H10" s="13">
        <v>13247</v>
      </c>
      <c r="I10" s="13">
        <f t="shared" si="1"/>
        <v>-105.18963758390055</v>
      </c>
      <c r="J10" s="14">
        <f t="shared" si="2"/>
        <v>-7.9406384527742537E-3</v>
      </c>
      <c r="K10" s="38"/>
      <c r="L10" s="38"/>
    </row>
    <row r="11" spans="1:12" ht="15.75">
      <c r="A11" s="27" t="str">
        <v>Starshine</v>
      </c>
      <c r="B11" s="28" t="str">
        <v>AZ</v>
      </c>
      <c r="C11" s="28" t="str">
        <f>Sites[[#This Row],[SOL'#]]</f>
        <v>SOL-10757</v>
      </c>
      <c r="D11" s="10">
        <v>8872.0954966318695</v>
      </c>
      <c r="E11" s="15">
        <v>0</v>
      </c>
      <c r="F11" s="15">
        <f t="shared" si="0"/>
        <v>8872.0954966318695</v>
      </c>
      <c r="G11" s="16" t="str">
        <f t="shared" si="3"/>
        <v/>
      </c>
      <c r="H11" s="17">
        <v>9616</v>
      </c>
      <c r="I11" s="17">
        <f t="shared" si="1"/>
        <v>-743.90450336813046</v>
      </c>
      <c r="J11" s="16">
        <f t="shared" si="2"/>
        <v>-7.7361117238782293E-2</v>
      </c>
      <c r="K11" s="39" t="s">
        <v>964</v>
      </c>
      <c r="L11" s="39" t="s">
        <v>965</v>
      </c>
    </row>
    <row r="12" spans="1:12" ht="15.75">
      <c r="A12" s="25" t="str">
        <v>Yuma Airport</v>
      </c>
      <c r="B12" s="26" t="str">
        <v>AZ</v>
      </c>
      <c r="C12" s="26" t="str">
        <f>Sites[[#This Row],[SOL'#]]</f>
        <v>SOL-10754</v>
      </c>
      <c r="D12" s="21">
        <v>77494</v>
      </c>
      <c r="E12" s="11">
        <v>91269.65</v>
      </c>
      <c r="F12" s="11">
        <f t="shared" si="0"/>
        <v>-13775.649999999994</v>
      </c>
      <c r="G12" s="12">
        <f t="shared" si="3"/>
        <v>-0.15093352499982191</v>
      </c>
      <c r="H12" s="13">
        <v>73998</v>
      </c>
      <c r="I12" s="13">
        <f t="shared" si="1"/>
        <v>3496</v>
      </c>
      <c r="J12" s="14">
        <f t="shared" si="2"/>
        <v>4.7244520122165463E-2</v>
      </c>
      <c r="K12" s="38"/>
      <c r="L12" s="38"/>
    </row>
    <row r="13" spans="1:12" ht="15.75">
      <c r="A13" s="27" t="str">
        <v>Kinsman</v>
      </c>
      <c r="B13" s="28" t="str">
        <v>OH</v>
      </c>
      <c r="C13" s="28" t="str">
        <f>Sites[[#This Row],[SOL'#]]</f>
        <v>SOL-10762</v>
      </c>
      <c r="D13" s="10">
        <v>78755.96875</v>
      </c>
      <c r="E13" s="15">
        <v>115210.2</v>
      </c>
      <c r="F13" s="15">
        <f t="shared" si="0"/>
        <v>-36454.231249999997</v>
      </c>
      <c r="G13" s="16">
        <f t="shared" si="3"/>
        <v>-0.31641496369245081</v>
      </c>
      <c r="H13" s="17">
        <v>112530</v>
      </c>
      <c r="I13" s="17">
        <f t="shared" si="1"/>
        <v>-33774.03125</v>
      </c>
      <c r="J13" s="16">
        <f t="shared" si="2"/>
        <v>-0.30013357549098019</v>
      </c>
      <c r="K13" s="39"/>
      <c r="L13" s="40"/>
    </row>
    <row r="14" spans="1:12" ht="15.75">
      <c r="A14" s="25" t="str">
        <v>Wooster</v>
      </c>
      <c r="B14" s="26" t="str">
        <v>OH</v>
      </c>
      <c r="C14" s="26" t="str">
        <f>Sites[[#This Row],[SOL'#]]</f>
        <v>SOL-10763</v>
      </c>
      <c r="D14" s="21">
        <v>16197.25</v>
      </c>
      <c r="E14" s="11">
        <v>0</v>
      </c>
      <c r="F14" s="11">
        <f t="shared" si="0"/>
        <v>16197.25</v>
      </c>
      <c r="G14" s="12" t="str">
        <f t="shared" si="3"/>
        <v/>
      </c>
      <c r="H14" s="13">
        <v>24994</v>
      </c>
      <c r="I14" s="13">
        <f t="shared" si="1"/>
        <v>-8796.75</v>
      </c>
      <c r="J14" s="14">
        <f t="shared" si="2"/>
        <v>-0.35195446907257744</v>
      </c>
      <c r="K14" s="38" t="s">
        <v>966</v>
      </c>
      <c r="L14" s="38" t="s">
        <v>967</v>
      </c>
    </row>
    <row r="15" spans="1:12" ht="15.75">
      <c r="A15" s="27" t="str">
        <v>Globe Gila CC</v>
      </c>
      <c r="B15" s="28" t="str">
        <v>AZ</v>
      </c>
      <c r="C15" s="28" t="str">
        <f>Sites[[#This Row],[SOL'#]]</f>
        <v>SOL-10755</v>
      </c>
      <c r="D15" s="10">
        <v>14169.661677803801</v>
      </c>
      <c r="E15" s="15">
        <v>0</v>
      </c>
      <c r="F15" s="15">
        <f t="shared" si="0"/>
        <v>14169.661677803801</v>
      </c>
      <c r="G15" s="16" t="str">
        <f t="shared" si="3"/>
        <v/>
      </c>
      <c r="H15" s="17">
        <v>15498</v>
      </c>
      <c r="I15" s="17">
        <f t="shared" si="1"/>
        <v>-1328.3383221961994</v>
      </c>
      <c r="J15" s="16">
        <f t="shared" si="2"/>
        <v>-8.5710305987624177E-2</v>
      </c>
      <c r="K15" s="39"/>
      <c r="L15" s="40"/>
    </row>
    <row r="16" spans="1:12" ht="15.75">
      <c r="A16" s="25" t="str">
        <v>Payson Gila CC</v>
      </c>
      <c r="B16" s="26" t="str">
        <v>AZ</v>
      </c>
      <c r="C16" s="26" t="str">
        <f>Sites[[#This Row],[SOL'#]]</f>
        <v>SOL-10756</v>
      </c>
      <c r="D16" s="21">
        <v>6712.1773298725002</v>
      </c>
      <c r="E16" s="11">
        <v>5216.8</v>
      </c>
      <c r="F16" s="11">
        <f t="shared" si="0"/>
        <v>1495.3773298725</v>
      </c>
      <c r="G16" s="12">
        <f t="shared" si="3"/>
        <v>0.28664647482604277</v>
      </c>
      <c r="H16" s="13">
        <v>12563</v>
      </c>
      <c r="I16" s="13">
        <f t="shared" si="1"/>
        <v>-5850.8226701274998</v>
      </c>
      <c r="J16" s="14">
        <f t="shared" si="2"/>
        <v>-0.46571859190698878</v>
      </c>
      <c r="K16" s="38"/>
      <c r="L16" s="38"/>
    </row>
    <row r="17" spans="1:12" ht="15.75">
      <c r="A17" s="27" t="str">
        <v>SCNM</v>
      </c>
      <c r="B17" s="28" t="str">
        <v>AZ</v>
      </c>
      <c r="C17" s="28" t="str">
        <f>Sites[[#This Row],[SOL'#]]</f>
        <v>SOL-10760</v>
      </c>
      <c r="D17" s="10">
        <v>77980.75</v>
      </c>
      <c r="E17" s="15">
        <v>37557.03</v>
      </c>
      <c r="F17" s="15">
        <f t="shared" si="0"/>
        <v>40423.72</v>
      </c>
      <c r="G17" s="16">
        <f t="shared" si="3"/>
        <v>1.0763289855454492</v>
      </c>
      <c r="H17" s="17">
        <v>81633</v>
      </c>
      <c r="I17" s="17">
        <f t="shared" si="1"/>
        <v>-3652.25</v>
      </c>
      <c r="J17" s="16">
        <f t="shared" si="2"/>
        <v>-4.4739872355542491E-2</v>
      </c>
      <c r="K17" s="39"/>
      <c r="L17" s="39"/>
    </row>
    <row r="18" spans="1:12" ht="12.75" customHeight="1">
      <c r="A18" s="25" t="str">
        <v>Sequoia Charter School</v>
      </c>
      <c r="B18" s="26" t="str">
        <v>AZ</v>
      </c>
      <c r="C18" s="26" t="str">
        <f>Sites[[#This Row],[SOL'#]]</f>
        <v>SOL-10759</v>
      </c>
      <c r="D18" s="21">
        <v>26359.9900000001</v>
      </c>
      <c r="E18" s="11">
        <v>0</v>
      </c>
      <c r="F18" s="11">
        <f t="shared" si="0"/>
        <v>26359.9900000001</v>
      </c>
      <c r="G18" s="12" t="str">
        <f t="shared" ref="G18:G49" si="4">IFERROR(F18/E18, "")</f>
        <v/>
      </c>
      <c r="H18" s="13">
        <v>48783</v>
      </c>
      <c r="I18" s="13">
        <f t="shared" si="1"/>
        <v>-22423.0099999999</v>
      </c>
      <c r="J18" s="14">
        <f t="shared" si="2"/>
        <v>-0.45964803312629193</v>
      </c>
      <c r="K18" s="38"/>
      <c r="L18" s="38"/>
    </row>
    <row r="19" spans="1:12" ht="15.75">
      <c r="A19" s="27" t="str">
        <v>RCAB</v>
      </c>
      <c r="B19" s="28" t="str">
        <v>MA</v>
      </c>
      <c r="C19" s="28" t="str">
        <f>Sites[[#This Row],[SOL'#]]</f>
        <v>SOL-10838</v>
      </c>
      <c r="D19" s="10">
        <v>96697.5</v>
      </c>
      <c r="E19" s="15">
        <v>122951.9</v>
      </c>
      <c r="F19" s="15">
        <f t="shared" si="0"/>
        <v>-26254.399999999994</v>
      </c>
      <c r="G19" s="16">
        <f t="shared" si="4"/>
        <v>-0.21353391041537378</v>
      </c>
      <c r="H19" s="17">
        <v>103952</v>
      </c>
      <c r="I19" s="17">
        <f t="shared" si="1"/>
        <v>-7254.5</v>
      </c>
      <c r="J19" s="16">
        <f t="shared" si="2"/>
        <v>-6.9787017084808375E-2</v>
      </c>
      <c r="K19" s="39"/>
      <c r="L19" s="40"/>
    </row>
    <row r="20" spans="1:12" ht="15.75">
      <c r="A20" s="25" t="str">
        <v>Spectro Coatings</v>
      </c>
      <c r="B20" s="26" t="str">
        <v>MA</v>
      </c>
      <c r="C20" s="26" t="str">
        <f>Sites[[#This Row],[SOL'#]]</f>
        <v>SOL-10074</v>
      </c>
      <c r="D20" s="21">
        <v>30217.75</v>
      </c>
      <c r="E20" s="11">
        <v>30586.73</v>
      </c>
      <c r="F20" s="11">
        <f t="shared" si="0"/>
        <v>-368.97999999999956</v>
      </c>
      <c r="G20" s="12">
        <f t="shared" si="4"/>
        <v>-1.2063401350847233E-2</v>
      </c>
      <c r="H20" s="13">
        <v>30153</v>
      </c>
      <c r="I20" s="13">
        <f t="shared" si="1"/>
        <v>64.75</v>
      </c>
      <c r="J20" s="14">
        <f t="shared" si="2"/>
        <v>2.1473816867310053E-3</v>
      </c>
      <c r="K20" s="38"/>
      <c r="L20" s="38"/>
    </row>
    <row r="21" spans="1:12" ht="15.75">
      <c r="A21" s="27" t="str">
        <v>K026</v>
      </c>
      <c r="B21" s="28" t="str">
        <v>NY</v>
      </c>
      <c r="C21" s="28" t="str">
        <f>Sites[[#This Row],[SOL'#]]</f>
        <v>SOL-10356</v>
      </c>
      <c r="D21" s="10">
        <v>26225.75</v>
      </c>
      <c r="E21" s="15">
        <v>30704.7</v>
      </c>
      <c r="F21" s="15">
        <f t="shared" si="0"/>
        <v>-4478.9500000000007</v>
      </c>
      <c r="G21" s="16">
        <f t="shared" si="4"/>
        <v>-0.14587180464228605</v>
      </c>
      <c r="H21" s="17">
        <v>29525</v>
      </c>
      <c r="I21" s="17">
        <f t="shared" si="1"/>
        <v>-3299.25</v>
      </c>
      <c r="J21" s="16">
        <f t="shared" si="2"/>
        <v>-0.11174428450465707</v>
      </c>
      <c r="K21" s="39" t="s">
        <v>968</v>
      </c>
      <c r="L21" s="39" t="s">
        <v>969</v>
      </c>
    </row>
    <row r="22" spans="1:12" ht="28.5">
      <c r="A22" s="25" t="str">
        <v>K041</v>
      </c>
      <c r="B22" s="26" t="str">
        <v>NY</v>
      </c>
      <c r="C22" s="26" t="str">
        <f>Sites[[#This Row],[SOL'#]]</f>
        <v>SOL-10357</v>
      </c>
      <c r="D22" s="21">
        <v>21751.25</v>
      </c>
      <c r="E22" s="11">
        <v>24454.95</v>
      </c>
      <c r="F22" s="11">
        <f t="shared" si="0"/>
        <v>-2703.7000000000007</v>
      </c>
      <c r="G22" s="12">
        <f t="shared" si="4"/>
        <v>-0.11055839410835028</v>
      </c>
      <c r="H22" s="13">
        <v>23486</v>
      </c>
      <c r="I22" s="13">
        <f t="shared" si="1"/>
        <v>-1734.75</v>
      </c>
      <c r="J22" s="14">
        <f t="shared" si="2"/>
        <v>-7.3863152516392749E-2</v>
      </c>
      <c r="K22" s="38" t="s">
        <v>970</v>
      </c>
      <c r="L22" s="38" t="s">
        <v>971</v>
      </c>
    </row>
    <row r="23" spans="1:12" ht="15.75">
      <c r="A23" s="27" t="str">
        <v>K043</v>
      </c>
      <c r="B23" s="28" t="str">
        <v>NY</v>
      </c>
      <c r="C23" s="28" t="str">
        <f>Sites[[#This Row],[SOL'#]]</f>
        <v>SOL-10358</v>
      </c>
      <c r="D23" s="10">
        <v>26390.875</v>
      </c>
      <c r="E23" s="15">
        <v>27055.58</v>
      </c>
      <c r="F23" s="15">
        <f t="shared" si="0"/>
        <v>-664.70500000000175</v>
      </c>
      <c r="G23" s="16">
        <f t="shared" si="4"/>
        <v>-2.4568129753640533E-2</v>
      </c>
      <c r="H23" s="17">
        <v>5235</v>
      </c>
      <c r="I23" s="17">
        <f t="shared" si="1"/>
        <v>21155.875</v>
      </c>
      <c r="J23" s="16">
        <f t="shared" si="2"/>
        <v>4.041236867239733</v>
      </c>
      <c r="K23" s="39"/>
      <c r="L23" s="40"/>
    </row>
    <row r="24" spans="1:12" ht="15.75">
      <c r="A24" s="25" t="str">
        <v>K058</v>
      </c>
      <c r="B24" s="26" t="str">
        <v>NY</v>
      </c>
      <c r="C24" s="26" t="str">
        <f>Sites[[#This Row],[SOL'#]]</f>
        <v>SOL-10360</v>
      </c>
      <c r="D24" s="21">
        <v>4168.5625</v>
      </c>
      <c r="E24" s="11">
        <v>13123.49</v>
      </c>
      <c r="F24" s="11">
        <f t="shared" si="0"/>
        <v>-8954.9274999999998</v>
      </c>
      <c r="G24" s="12">
        <f t="shared" si="4"/>
        <v>-0.68235869421929685</v>
      </c>
      <c r="H24" s="13">
        <v>22080</v>
      </c>
      <c r="I24" s="13">
        <f t="shared" si="1"/>
        <v>-17911.4375</v>
      </c>
      <c r="J24" s="14">
        <f t="shared" si="2"/>
        <v>-0.81120640851449277</v>
      </c>
      <c r="K24" s="38" t="s">
        <v>972</v>
      </c>
      <c r="L24" s="38" t="s">
        <v>973</v>
      </c>
    </row>
    <row r="25" spans="1:12" ht="15.75">
      <c r="A25" s="27" t="str">
        <v>K115</v>
      </c>
      <c r="B25" s="28" t="str">
        <v>NY</v>
      </c>
      <c r="C25" s="28" t="str">
        <f>Sites[[#This Row],[SOL'#]]</f>
        <v>SOL-10361</v>
      </c>
      <c r="D25" s="10">
        <v>5631.7421875</v>
      </c>
      <c r="E25" s="15">
        <v>9972.6569999999992</v>
      </c>
      <c r="F25" s="15">
        <f t="shared" si="0"/>
        <v>-4340.9148124999992</v>
      </c>
      <c r="G25" s="16">
        <f t="shared" si="4"/>
        <v>-0.43528167192554595</v>
      </c>
      <c r="H25" s="17">
        <v>13466</v>
      </c>
      <c r="I25" s="17">
        <f t="shared" si="1"/>
        <v>-7834.2578125</v>
      </c>
      <c r="J25" s="16">
        <f t="shared" si="2"/>
        <v>-0.5817806187806327</v>
      </c>
      <c r="K25" s="39" t="s">
        <v>974</v>
      </c>
      <c r="L25" s="61" t="s">
        <v>37</v>
      </c>
    </row>
    <row r="26" spans="1:12" ht="15.75">
      <c r="A26" s="25" t="str">
        <v>K152</v>
      </c>
      <c r="B26" s="26" t="str">
        <v>NY</v>
      </c>
      <c r="C26" s="26" t="str">
        <f>Sites[[#This Row],[SOL'#]]</f>
        <v>SOL-10362</v>
      </c>
      <c r="D26" s="21">
        <v>7887.875</v>
      </c>
      <c r="E26" s="11">
        <v>8149.4340000000002</v>
      </c>
      <c r="F26" s="11">
        <f t="shared" si="0"/>
        <v>-261.5590000000002</v>
      </c>
      <c r="G26" s="12">
        <f t="shared" si="4"/>
        <v>-3.209535778803782E-2</v>
      </c>
      <c r="H26" s="13">
        <v>8361</v>
      </c>
      <c r="I26" s="13">
        <f t="shared" si="1"/>
        <v>-473.125</v>
      </c>
      <c r="J26" s="14">
        <f t="shared" si="2"/>
        <v>-5.6587130725989712E-2</v>
      </c>
      <c r="K26" s="38"/>
      <c r="L26" s="38"/>
    </row>
    <row r="27" spans="1:12" ht="15.75">
      <c r="A27" s="27" t="str">
        <v>K166</v>
      </c>
      <c r="B27" s="28" t="str">
        <v>NY</v>
      </c>
      <c r="C27" s="28" t="str">
        <f>Sites[[#This Row],[SOL'#]]</f>
        <v>SOL-10363</v>
      </c>
      <c r="D27" s="10">
        <v>28452.4375</v>
      </c>
      <c r="E27" s="15">
        <v>31205.9</v>
      </c>
      <c r="F27" s="15">
        <f t="shared" si="0"/>
        <v>-2753.4625000000015</v>
      </c>
      <c r="G27" s="16">
        <f t="shared" si="4"/>
        <v>-8.8235317680310496E-2</v>
      </c>
      <c r="H27" s="17">
        <v>31159</v>
      </c>
      <c r="I27" s="17">
        <f t="shared" si="1"/>
        <v>-2706.5625</v>
      </c>
      <c r="J27" s="16">
        <f t="shared" si="2"/>
        <v>-8.6862944895535796E-2</v>
      </c>
      <c r="K27" s="39"/>
      <c r="L27" s="40"/>
    </row>
    <row r="28" spans="1:12" ht="15.75">
      <c r="A28" s="25" t="str">
        <v>K206</v>
      </c>
      <c r="B28" s="26" t="str">
        <v>NY</v>
      </c>
      <c r="C28" s="26" t="str">
        <f>Sites[[#This Row],[SOL'#]]</f>
        <v>SOL-10927</v>
      </c>
      <c r="D28" s="21">
        <v>8630.8138541899007</v>
      </c>
      <c r="E28" s="11">
        <v>8835.3580000000002</v>
      </c>
      <c r="F28" s="11">
        <f t="shared" si="0"/>
        <v>-204.54414581009951</v>
      </c>
      <c r="G28" s="12">
        <f t="shared" si="4"/>
        <v>-2.3150634734902593E-2</v>
      </c>
      <c r="H28" s="13">
        <v>17349</v>
      </c>
      <c r="I28" s="13">
        <f t="shared" si="1"/>
        <v>-8718.1861458100993</v>
      </c>
      <c r="J28" s="14">
        <f t="shared" si="2"/>
        <v>-0.50251807861030029</v>
      </c>
      <c r="K28" s="38" t="s">
        <v>975</v>
      </c>
      <c r="L28" s="38" t="s">
        <v>838</v>
      </c>
    </row>
    <row r="29" spans="1:12" ht="15.75">
      <c r="A29" s="27" t="str">
        <v>K251</v>
      </c>
      <c r="B29" s="28" t="str">
        <v>NY</v>
      </c>
      <c r="C29" s="28" t="str">
        <f>Sites[[#This Row],[SOL'#]]</f>
        <v>SOL-10365</v>
      </c>
      <c r="D29" s="10">
        <v>18828.6875</v>
      </c>
      <c r="E29" s="15">
        <v>19392.849999999999</v>
      </c>
      <c r="F29" s="15">
        <f t="shared" si="0"/>
        <v>-564.16249999999854</v>
      </c>
      <c r="G29" s="16">
        <f t="shared" si="4"/>
        <v>-2.9091263017039713E-2</v>
      </c>
      <c r="H29" s="17">
        <v>20028</v>
      </c>
      <c r="I29" s="17">
        <f t="shared" si="1"/>
        <v>-1199.3125</v>
      </c>
      <c r="J29" s="16">
        <f t="shared" si="2"/>
        <v>-5.988179049330937E-2</v>
      </c>
      <c r="K29" s="39"/>
      <c r="L29" s="39"/>
    </row>
    <row r="30" spans="1:12" ht="15.75">
      <c r="A30" s="25" t="str">
        <v>K269</v>
      </c>
      <c r="B30" s="26" t="str">
        <v>NY</v>
      </c>
      <c r="C30" s="26" t="str">
        <f>Sites[[#This Row],[SOL'#]]</f>
        <v>SOL-10366</v>
      </c>
      <c r="D30" s="21">
        <v>17206.75</v>
      </c>
      <c r="E30" s="11">
        <v>20504.669999999998</v>
      </c>
      <c r="F30" s="11">
        <f t="shared" si="0"/>
        <v>-3297.9199999999983</v>
      </c>
      <c r="G30" s="12">
        <f t="shared" si="4"/>
        <v>-0.16083750677284728</v>
      </c>
      <c r="H30" s="13">
        <v>18975</v>
      </c>
      <c r="I30" s="13">
        <f t="shared" si="1"/>
        <v>-1768.25</v>
      </c>
      <c r="J30" s="14">
        <f t="shared" si="2"/>
        <v>-9.3188405797101442E-2</v>
      </c>
      <c r="K30" s="38"/>
      <c r="L30" s="38"/>
    </row>
    <row r="31" spans="1:12" ht="15.75">
      <c r="A31" s="27" t="str">
        <v>K273</v>
      </c>
      <c r="B31" s="28" t="str">
        <v>NY</v>
      </c>
      <c r="C31" s="28" t="str">
        <f>Sites[[#This Row],[SOL'#]]</f>
        <v>SOL-10367</v>
      </c>
      <c r="D31" s="10">
        <v>18865.5</v>
      </c>
      <c r="E31" s="15">
        <v>0</v>
      </c>
      <c r="F31" s="15">
        <f t="shared" si="0"/>
        <v>18865.5</v>
      </c>
      <c r="G31" s="16" t="str">
        <f t="shared" si="4"/>
        <v/>
      </c>
      <c r="H31" s="17">
        <v>23376</v>
      </c>
      <c r="I31" s="17">
        <f t="shared" si="1"/>
        <v>-4510.5</v>
      </c>
      <c r="J31" s="16">
        <f t="shared" si="2"/>
        <v>-0.19295431211498973</v>
      </c>
      <c r="K31" s="39"/>
      <c r="L31" s="40"/>
    </row>
    <row r="32" spans="1:12" ht="15.75">
      <c r="A32" s="25" t="str">
        <v>K287</v>
      </c>
      <c r="B32" s="26" t="str">
        <v>NY</v>
      </c>
      <c r="C32" s="26" t="str">
        <f>Sites[[#This Row],[SOL'#]]</f>
        <v>SOL-10919</v>
      </c>
      <c r="D32" s="21">
        <v>15564.90625</v>
      </c>
      <c r="E32" s="11">
        <v>13533.13</v>
      </c>
      <c r="F32" s="11">
        <f t="shared" si="0"/>
        <v>2031.7762500000008</v>
      </c>
      <c r="G32" s="12">
        <f t="shared" si="4"/>
        <v>0.15013350570045517</v>
      </c>
      <c r="H32" s="13">
        <v>16073</v>
      </c>
      <c r="I32" s="13">
        <f t="shared" si="1"/>
        <v>-508.09375</v>
      </c>
      <c r="J32" s="14">
        <f t="shared" si="2"/>
        <v>-3.1611631307161075E-2</v>
      </c>
      <c r="K32" s="38"/>
      <c r="L32" s="38"/>
    </row>
    <row r="33" spans="1:12" ht="15.75">
      <c r="A33" s="27" t="str">
        <v>K298</v>
      </c>
      <c r="B33" s="28" t="str">
        <v>NY</v>
      </c>
      <c r="C33" s="28" t="str">
        <f>Sites[[#This Row],[SOL'#]]</f>
        <v>SOL-10368</v>
      </c>
      <c r="D33" s="10">
        <v>16360.9375</v>
      </c>
      <c r="E33" s="15">
        <v>17486.77</v>
      </c>
      <c r="F33" s="15">
        <f t="shared" si="0"/>
        <v>-1125.8325000000004</v>
      </c>
      <c r="G33" s="16">
        <f t="shared" si="4"/>
        <v>-6.4381958474892753E-2</v>
      </c>
      <c r="H33" s="17">
        <v>17902</v>
      </c>
      <c r="I33" s="17">
        <f t="shared" si="1"/>
        <v>-1541.0625</v>
      </c>
      <c r="J33" s="16">
        <f t="shared" si="2"/>
        <v>-8.6083258853759351E-2</v>
      </c>
      <c r="K33" s="39"/>
      <c r="L33" s="40"/>
    </row>
    <row r="34" spans="1:12" ht="15.75">
      <c r="A34" s="25" t="str">
        <v>K335</v>
      </c>
      <c r="B34" s="26" t="str">
        <v>NY</v>
      </c>
      <c r="C34" s="26" t="str">
        <f>Sites[[#This Row],[SOL'#]]</f>
        <v>SOL-10370</v>
      </c>
      <c r="D34" s="21">
        <v>17250.875</v>
      </c>
      <c r="E34" s="11">
        <v>18990.32</v>
      </c>
      <c r="F34" s="11">
        <f t="shared" si="0"/>
        <v>-1739.4449999999997</v>
      </c>
      <c r="G34" s="12">
        <f t="shared" si="4"/>
        <v>-9.1596402798899634E-2</v>
      </c>
      <c r="H34" s="13">
        <v>19554</v>
      </c>
      <c r="I34" s="13">
        <f t="shared" si="1"/>
        <v>-2303.125</v>
      </c>
      <c r="J34" s="14">
        <f t="shared" si="2"/>
        <v>-0.1177828065868876</v>
      </c>
      <c r="K34" s="38"/>
      <c r="L34" s="38"/>
    </row>
    <row r="35" spans="1:12" ht="15.75">
      <c r="A35" s="27" t="str">
        <v>K345</v>
      </c>
      <c r="B35" s="28" t="str">
        <v>NY</v>
      </c>
      <c r="C35" s="28" t="str">
        <f>Sites[[#This Row],[SOL'#]]</f>
        <v>SOL-10920</v>
      </c>
      <c r="D35" s="10">
        <v>19700.9375</v>
      </c>
      <c r="E35" s="15">
        <v>12074.72</v>
      </c>
      <c r="F35" s="15">
        <f t="shared" si="0"/>
        <v>7626.2175000000007</v>
      </c>
      <c r="G35" s="16">
        <f t="shared" si="4"/>
        <v>0.6315854529131939</v>
      </c>
      <c r="H35" s="17">
        <v>21258</v>
      </c>
      <c r="I35" s="17">
        <f t="shared" si="1"/>
        <v>-1557.0625</v>
      </c>
      <c r="J35" s="16">
        <f t="shared" si="2"/>
        <v>-7.3245954464201707E-2</v>
      </c>
      <c r="K35" s="39"/>
      <c r="L35" s="40"/>
    </row>
    <row r="36" spans="1:12" ht="15.75">
      <c r="A36" s="25" t="str">
        <v>K445</v>
      </c>
      <c r="B36" s="26" t="str">
        <v>NY</v>
      </c>
      <c r="C36" s="26" t="str">
        <f>Sites[[#This Row],[SOL'#]]</f>
        <v>SOL-10373</v>
      </c>
      <c r="D36" s="67">
        <v>16481.671875</v>
      </c>
      <c r="E36" s="11">
        <v>18022.96</v>
      </c>
      <c r="F36" s="11">
        <f t="shared" si="0"/>
        <v>-1541.2881249999991</v>
      </c>
      <c r="G36" s="68">
        <f t="shared" si="4"/>
        <v>-8.5518035050846208E-2</v>
      </c>
      <c r="H36" s="83">
        <v>17405</v>
      </c>
      <c r="I36" s="83">
        <f t="shared" si="1"/>
        <v>-923.328125</v>
      </c>
      <c r="J36" s="80">
        <f t="shared" si="2"/>
        <v>-5.3049590634875035E-2</v>
      </c>
      <c r="K36" s="70"/>
      <c r="L36" s="70"/>
    </row>
    <row r="37" spans="1:12" ht="178.5" customHeight="1">
      <c r="A37" s="27" t="str">
        <v>K495</v>
      </c>
      <c r="B37" s="28" t="str">
        <v>NY</v>
      </c>
      <c r="C37" s="28" t="str">
        <f>Sites[[#This Row],[SOL'#]]</f>
        <v>SOL-10374</v>
      </c>
      <c r="D37" s="10">
        <v>34970.125</v>
      </c>
      <c r="E37" s="15">
        <v>57081.41</v>
      </c>
      <c r="F37" s="15">
        <f t="shared" si="0"/>
        <v>-22111.285000000003</v>
      </c>
      <c r="G37" s="16">
        <f t="shared" si="4"/>
        <v>-0.38736402972526435</v>
      </c>
      <c r="H37" s="17">
        <v>74001</v>
      </c>
      <c r="I37" s="17">
        <f t="shared" si="1"/>
        <v>-39030.875</v>
      </c>
      <c r="J37" s="16">
        <f t="shared" si="2"/>
        <v>-0.52743712922798336</v>
      </c>
      <c r="K37" s="39" t="s">
        <v>976</v>
      </c>
      <c r="L37" s="58" t="s">
        <v>977</v>
      </c>
    </row>
    <row r="38" spans="1:12" ht="15.75">
      <c r="A38" s="25" t="str">
        <v>M020</v>
      </c>
      <c r="B38" s="26" t="str">
        <v>NY</v>
      </c>
      <c r="C38" s="26" t="str">
        <f>Sites[[#This Row],[SOL'#]]</f>
        <v>SOL-10380</v>
      </c>
      <c r="D38" s="67">
        <v>17915.9375</v>
      </c>
      <c r="E38" s="11">
        <v>19025.38</v>
      </c>
      <c r="F38" s="11">
        <f t="shared" si="0"/>
        <v>-1109.442500000001</v>
      </c>
      <c r="G38" s="68">
        <f t="shared" si="4"/>
        <v>-5.8313815545340014E-2</v>
      </c>
      <c r="H38" s="83">
        <v>20188</v>
      </c>
      <c r="I38" s="83">
        <f t="shared" si="1"/>
        <v>-2272.0625</v>
      </c>
      <c r="J38" s="80">
        <f t="shared" si="2"/>
        <v>-0.1125452001188825</v>
      </c>
      <c r="K38" s="70"/>
      <c r="L38" s="70"/>
    </row>
    <row r="39" spans="1:12" ht="15.75">
      <c r="A39" s="27" t="str">
        <v>M092</v>
      </c>
      <c r="B39" s="28" t="str">
        <v>NY</v>
      </c>
      <c r="C39" s="28" t="str">
        <f>Sites[[#This Row],[SOL'#]]</f>
        <v>SOL-10383</v>
      </c>
      <c r="D39" s="10">
        <v>17858.375</v>
      </c>
      <c r="E39" s="15">
        <v>19150.509999999998</v>
      </c>
      <c r="F39" s="15">
        <f t="shared" si="0"/>
        <v>-1292.1349999999984</v>
      </c>
      <c r="G39" s="16">
        <f t="shared" si="4"/>
        <v>-6.7472615611803469E-2</v>
      </c>
      <c r="H39" s="17">
        <v>19104</v>
      </c>
      <c r="I39" s="17">
        <f t="shared" si="1"/>
        <v>-1245.625</v>
      </c>
      <c r="J39" s="16">
        <f t="shared" si="2"/>
        <v>-6.5202313651591293E-2</v>
      </c>
      <c r="K39" s="39"/>
      <c r="L39" s="40"/>
    </row>
    <row r="40" spans="1:12" ht="15.75">
      <c r="A40" s="25" t="str">
        <v>M143</v>
      </c>
      <c r="B40" s="26" t="str">
        <v>NY</v>
      </c>
      <c r="C40" s="26" t="str">
        <f>Sites[[#This Row],[SOL'#]]</f>
        <v>SOL-10384</v>
      </c>
      <c r="D40" s="67">
        <v>20936.5</v>
      </c>
      <c r="E40" s="11">
        <v>23648.32</v>
      </c>
      <c r="F40" s="11">
        <f t="shared" si="0"/>
        <v>-2711.8199999999997</v>
      </c>
      <c r="G40" s="68">
        <f t="shared" si="4"/>
        <v>-0.11467283933911583</v>
      </c>
      <c r="H40" s="83">
        <v>21249</v>
      </c>
      <c r="I40" s="83">
        <f t="shared" si="1"/>
        <v>-312.5</v>
      </c>
      <c r="J40" s="80">
        <f t="shared" si="2"/>
        <v>-1.470657442703186E-2</v>
      </c>
      <c r="K40" s="70"/>
      <c r="L40" s="70"/>
    </row>
    <row r="41" spans="1:12" ht="28.5">
      <c r="A41" s="27" t="str">
        <v>M144</v>
      </c>
      <c r="B41" s="28" t="str">
        <v>NY</v>
      </c>
      <c r="C41" s="28" t="str">
        <f>Sites[[#This Row],[SOL'#]]</f>
        <v>SOL-10385</v>
      </c>
      <c r="D41" s="10">
        <v>17955.6875</v>
      </c>
      <c r="E41" s="15">
        <v>0</v>
      </c>
      <c r="F41" s="15">
        <f t="shared" si="0"/>
        <v>17955.6875</v>
      </c>
      <c r="G41" s="16" t="str">
        <f t="shared" si="4"/>
        <v/>
      </c>
      <c r="H41" s="17">
        <v>31121</v>
      </c>
      <c r="I41" s="17">
        <f t="shared" si="1"/>
        <v>-13165.3125</v>
      </c>
      <c r="J41" s="16">
        <f t="shared" si="2"/>
        <v>-0.42303629382089264</v>
      </c>
      <c r="K41" s="39" t="s">
        <v>978</v>
      </c>
      <c r="L41" s="39" t="s">
        <v>979</v>
      </c>
    </row>
    <row r="42" spans="1:12" ht="15.75">
      <c r="A42" s="25" t="str">
        <v>M167</v>
      </c>
      <c r="B42" s="26" t="str">
        <v>NY</v>
      </c>
      <c r="C42" s="26" t="str">
        <f>Sites[[#This Row],[SOL'#]]</f>
        <v>SOL-10386</v>
      </c>
      <c r="D42" s="67">
        <v>21539.1875</v>
      </c>
      <c r="E42" s="11">
        <v>16407.52</v>
      </c>
      <c r="F42" s="11">
        <f t="shared" si="0"/>
        <v>5131.6674999999996</v>
      </c>
      <c r="G42" s="68">
        <f t="shared" si="4"/>
        <v>0.31276314153510093</v>
      </c>
      <c r="H42" s="83">
        <v>26243</v>
      </c>
      <c r="I42" s="83">
        <f t="shared" si="1"/>
        <v>-4703.8125</v>
      </c>
      <c r="J42" s="80">
        <f t="shared" si="2"/>
        <v>-0.17924065465076403</v>
      </c>
      <c r="K42" s="70"/>
      <c r="L42" s="70"/>
    </row>
    <row r="43" spans="1:12" ht="15.75">
      <c r="A43" s="27" t="str">
        <v>M188</v>
      </c>
      <c r="B43" s="28" t="str">
        <v>NY</v>
      </c>
      <c r="C43" s="28" t="str">
        <f>Sites[[#This Row],[SOL'#]]</f>
        <v>SOL-10387</v>
      </c>
      <c r="D43" s="10">
        <v>15438.34375</v>
      </c>
      <c r="E43" s="15">
        <v>0</v>
      </c>
      <c r="F43" s="15">
        <f t="shared" si="0"/>
        <v>15438.34375</v>
      </c>
      <c r="G43" s="16" t="str">
        <f t="shared" si="4"/>
        <v/>
      </c>
      <c r="H43" s="17">
        <v>16708</v>
      </c>
      <c r="I43" s="17">
        <f t="shared" si="1"/>
        <v>-1269.65625</v>
      </c>
      <c r="J43" s="16">
        <f t="shared" si="2"/>
        <v>-7.5990917524539139E-2</v>
      </c>
      <c r="K43" s="39"/>
      <c r="L43" s="40"/>
    </row>
    <row r="44" spans="1:12" ht="15.75">
      <c r="A44" s="25" t="str">
        <v>EMHC</v>
      </c>
      <c r="B44" s="26" t="str">
        <v>NY</v>
      </c>
      <c r="C44" s="26" t="str">
        <f>Sites[[#This Row],[SOL'#]]</f>
        <v>SOL-10351</v>
      </c>
      <c r="D44" s="67">
        <v>7082.86328125</v>
      </c>
      <c r="E44" s="11">
        <v>4940.2939999999999</v>
      </c>
      <c r="F44" s="11">
        <f t="shared" si="0"/>
        <v>2142.5692812500001</v>
      </c>
      <c r="G44" s="68">
        <f t="shared" si="4"/>
        <v>0.4336926671266933</v>
      </c>
      <c r="H44" s="83">
        <v>7763.16</v>
      </c>
      <c r="I44" s="83">
        <f t="shared" si="1"/>
        <v>-680.29671874999985</v>
      </c>
      <c r="J44" s="80">
        <f t="shared" si="2"/>
        <v>-8.7631417972835787E-2</v>
      </c>
      <c r="K44" s="70"/>
      <c r="L44" s="70"/>
    </row>
    <row r="45" spans="1:12" ht="15.75">
      <c r="A45" s="27" t="str">
        <v>Q008</v>
      </c>
      <c r="B45" s="28" t="str">
        <v>NY</v>
      </c>
      <c r="C45" s="28" t="str">
        <f>Sites[[#This Row],[SOL'#]]</f>
        <v>SOL-10397</v>
      </c>
      <c r="D45" s="10">
        <v>23640.53125</v>
      </c>
      <c r="E45" s="15">
        <v>24819.86</v>
      </c>
      <c r="F45" s="15">
        <f t="shared" si="0"/>
        <v>-1179.3287500000006</v>
      </c>
      <c r="G45" s="16">
        <f t="shared" si="4"/>
        <v>-4.7515527887747981E-2</v>
      </c>
      <c r="H45" s="17">
        <v>25538</v>
      </c>
      <c r="I45" s="17">
        <f t="shared" si="1"/>
        <v>-1897.46875</v>
      </c>
      <c r="J45" s="16">
        <f t="shared" si="2"/>
        <v>-7.4299817918396113E-2</v>
      </c>
      <c r="K45" s="39"/>
      <c r="L45" s="40"/>
    </row>
    <row r="46" spans="1:12" ht="15.75">
      <c r="A46" s="25" t="str">
        <v>Q018</v>
      </c>
      <c r="B46" s="26" t="str">
        <v>NY</v>
      </c>
      <c r="C46" s="26" t="str">
        <f>Sites[[#This Row],[SOL'#]]</f>
        <v>SOL-10398</v>
      </c>
      <c r="D46" s="67">
        <v>15642.5</v>
      </c>
      <c r="E46" s="11">
        <v>16331.09</v>
      </c>
      <c r="F46" s="11">
        <f t="shared" si="0"/>
        <v>-688.59000000000015</v>
      </c>
      <c r="G46" s="68">
        <f t="shared" si="4"/>
        <v>-4.2164362574696496E-2</v>
      </c>
      <c r="H46" s="83">
        <v>15633</v>
      </c>
      <c r="I46" s="83">
        <f t="shared" si="1"/>
        <v>9.5</v>
      </c>
      <c r="J46" s="80">
        <f t="shared" si="2"/>
        <v>6.0768886330198936E-4</v>
      </c>
      <c r="K46" s="70"/>
      <c r="L46" s="70"/>
    </row>
    <row r="47" spans="1:12" ht="15.75">
      <c r="A47" s="27" t="str">
        <v>Q021</v>
      </c>
      <c r="B47" s="28" t="str">
        <v>NY</v>
      </c>
      <c r="C47" s="28" t="str">
        <f>Sites[[#This Row],[SOL'#]]</f>
        <v>SOL-10399</v>
      </c>
      <c r="D47" s="10">
        <v>13029.8125</v>
      </c>
      <c r="E47" s="15">
        <v>13480.39</v>
      </c>
      <c r="F47" s="15">
        <f t="shared" si="0"/>
        <v>-450.57749999999942</v>
      </c>
      <c r="G47" s="16">
        <f t="shared" si="4"/>
        <v>-3.3424663529764302E-2</v>
      </c>
      <c r="H47" s="17">
        <v>13003</v>
      </c>
      <c r="I47" s="17">
        <f t="shared" si="1"/>
        <v>26.8125</v>
      </c>
      <c r="J47" s="16">
        <f t="shared" si="2"/>
        <v>2.0620241482734755E-3</v>
      </c>
      <c r="K47" s="39"/>
      <c r="L47" s="40"/>
    </row>
    <row r="48" spans="1:12" ht="42.75">
      <c r="A48" s="25" t="str">
        <v>Q025</v>
      </c>
      <c r="B48" s="26" t="str">
        <v>NY</v>
      </c>
      <c r="C48" s="26" t="str">
        <f>Sites[[#This Row],[SOL'#]]</f>
        <v>SOL-10400</v>
      </c>
      <c r="D48" s="67">
        <v>15873.125</v>
      </c>
      <c r="E48" s="11">
        <v>22163.05</v>
      </c>
      <c r="F48" s="11">
        <f t="shared" si="0"/>
        <v>-6289.9249999999993</v>
      </c>
      <c r="G48" s="68">
        <f t="shared" si="4"/>
        <v>-0.28380231962658564</v>
      </c>
      <c r="H48" s="83">
        <v>23034</v>
      </c>
      <c r="I48" s="83">
        <f t="shared" si="1"/>
        <v>-7160.875</v>
      </c>
      <c r="J48" s="80">
        <f t="shared" si="2"/>
        <v>-0.31088282538855605</v>
      </c>
      <c r="K48" s="70" t="s">
        <v>980</v>
      </c>
      <c r="L48" s="70" t="s">
        <v>981</v>
      </c>
    </row>
    <row r="49" spans="1:16384" ht="15.75">
      <c r="A49" s="27" t="str">
        <v>Q074</v>
      </c>
      <c r="B49" s="28" t="str">
        <v>NY</v>
      </c>
      <c r="C49" s="28" t="str">
        <f>Sites[[#This Row],[SOL'#]]</f>
        <v>SOL-10402</v>
      </c>
      <c r="D49" s="10">
        <v>14211.6875</v>
      </c>
      <c r="E49" s="15">
        <v>14170.16</v>
      </c>
      <c r="F49" s="15">
        <f t="shared" si="0"/>
        <v>41.527500000000146</v>
      </c>
      <c r="G49" s="16">
        <f t="shared" si="4"/>
        <v>2.9306302822268869E-3</v>
      </c>
      <c r="H49" s="17">
        <v>14920</v>
      </c>
      <c r="I49" s="17">
        <f t="shared" si="1"/>
        <v>-708.3125</v>
      </c>
      <c r="J49" s="16">
        <f t="shared" si="2"/>
        <v>-4.7474028150134046E-2</v>
      </c>
      <c r="K49" s="39"/>
      <c r="L49" s="40"/>
    </row>
    <row r="50" spans="1:16384" ht="15.75">
      <c r="A50" s="25" t="str">
        <v>Q115</v>
      </c>
      <c r="B50" s="26" t="str">
        <v>NY</v>
      </c>
      <c r="C50" s="26" t="str">
        <f>Sites[[#This Row],[SOL'#]]</f>
        <v>SOL-10872</v>
      </c>
      <c r="D50" s="67">
        <v>18537.5</v>
      </c>
      <c r="E50" s="11">
        <v>19820.21</v>
      </c>
      <c r="F50" s="11">
        <f t="shared" si="0"/>
        <v>-1282.7099999999991</v>
      </c>
      <c r="G50" s="68">
        <f t="shared" ref="G50:G81" si="5">IFERROR(F50/E50, "")</f>
        <v>-6.4717275952172013E-2</v>
      </c>
      <c r="H50" s="83">
        <v>19634</v>
      </c>
      <c r="I50" s="83">
        <f t="shared" si="1"/>
        <v>-1096.5</v>
      </c>
      <c r="J50" s="80">
        <f t="shared" si="2"/>
        <v>-5.5847000101864115E-2</v>
      </c>
      <c r="K50" s="70"/>
      <c r="L50" s="70"/>
      <c r="EV50" s="83"/>
      <c r="EW50" s="83"/>
      <c r="EX50" s="80"/>
      <c r="EY50" s="70"/>
      <c r="EZ50" s="70"/>
      <c r="FA50" s="25"/>
      <c r="FB50" s="26"/>
      <c r="FC50" s="26"/>
      <c r="FD50" s="67"/>
      <c r="FE50" s="11"/>
      <c r="FF50" s="11"/>
      <c r="FG50" s="68"/>
      <c r="FH50" s="83"/>
      <c r="FI50" s="83"/>
      <c r="FJ50" s="80"/>
      <c r="FK50" s="70"/>
      <c r="FL50" s="70"/>
      <c r="FM50" s="25"/>
      <c r="FN50" s="26"/>
      <c r="FO50" s="26"/>
      <c r="FP50" s="67"/>
      <c r="FQ50" s="11"/>
      <c r="FR50" s="11"/>
      <c r="FS50" s="68"/>
      <c r="FT50" s="83"/>
      <c r="FU50" s="83"/>
      <c r="FV50" s="80"/>
      <c r="FW50" s="70"/>
      <c r="FX50" s="70"/>
      <c r="FY50" s="25"/>
      <c r="FZ50" s="26"/>
      <c r="GA50" s="26"/>
      <c r="GB50" s="67"/>
      <c r="GC50" s="11"/>
      <c r="GD50" s="11"/>
      <c r="GE50" s="68"/>
      <c r="GF50" s="83"/>
      <c r="GG50" s="83"/>
      <c r="GH50" s="80"/>
      <c r="GI50" s="70"/>
      <c r="GJ50" s="70"/>
      <c r="GK50" s="25"/>
      <c r="GL50" s="26"/>
      <c r="GM50" s="26"/>
      <c r="GN50" s="67"/>
      <c r="GO50" s="11"/>
      <c r="GP50" s="11"/>
      <c r="GQ50" s="68"/>
      <c r="GR50" s="83"/>
      <c r="GS50" s="83"/>
      <c r="GT50" s="80"/>
      <c r="GU50" s="70"/>
      <c r="GV50" s="70"/>
      <c r="GW50" s="25"/>
      <c r="GX50" s="26"/>
      <c r="GY50" s="26"/>
      <c r="GZ50" s="67"/>
      <c r="HA50" s="11"/>
      <c r="HB50" s="11"/>
      <c r="HC50" s="68"/>
      <c r="HD50" s="83"/>
      <c r="HE50" s="83"/>
      <c r="HF50" s="80"/>
      <c r="HG50" s="70"/>
      <c r="HH50" s="70"/>
      <c r="HI50" s="25"/>
      <c r="HJ50" s="26"/>
      <c r="HK50" s="26"/>
      <c r="HL50" s="67"/>
      <c r="HM50" s="11"/>
      <c r="HN50" s="11"/>
      <c r="HO50" s="68"/>
      <c r="HP50" s="83"/>
      <c r="HQ50" s="83"/>
      <c r="HR50" s="80"/>
      <c r="HS50" s="70"/>
      <c r="HT50" s="70"/>
      <c r="HU50" s="25"/>
      <c r="HV50" s="26"/>
      <c r="HW50" s="26"/>
      <c r="HX50" s="67"/>
      <c r="HY50" s="11"/>
      <c r="HZ50" s="11"/>
      <c r="IA50" s="68"/>
      <c r="IB50" s="83"/>
      <c r="IC50" s="83"/>
      <c r="ID50" s="80"/>
      <c r="IE50" s="70"/>
      <c r="IF50" s="70"/>
      <c r="IG50" s="25"/>
      <c r="IH50" s="26"/>
      <c r="II50" s="26"/>
      <c r="IJ50" s="67"/>
      <c r="IK50" s="11"/>
      <c r="IL50" s="11"/>
      <c r="IM50" s="68"/>
      <c r="IN50" s="83"/>
      <c r="IO50" s="83"/>
      <c r="IP50" s="80"/>
      <c r="IQ50" s="70"/>
      <c r="IR50" s="70"/>
      <c r="IS50" s="25"/>
      <c r="IT50" s="26"/>
      <c r="IU50" s="26"/>
      <c r="IV50" s="67"/>
      <c r="IW50" s="11"/>
      <c r="IX50" s="11"/>
      <c r="IY50" s="68"/>
      <c r="IZ50" s="83"/>
      <c r="JA50" s="83"/>
      <c r="JB50" s="80"/>
      <c r="JC50" s="70"/>
      <c r="JD50" s="70"/>
      <c r="JE50" s="25"/>
      <c r="JF50" s="26"/>
      <c r="JG50" s="26"/>
      <c r="JH50" s="67"/>
      <c r="JI50" s="11"/>
      <c r="JJ50" s="11"/>
      <c r="JK50" s="68"/>
      <c r="JL50" s="83"/>
      <c r="JM50" s="83"/>
      <c r="JN50" s="80"/>
      <c r="JO50" s="70"/>
      <c r="JP50" s="70"/>
      <c r="JQ50" s="25"/>
      <c r="JR50" s="26"/>
      <c r="JS50" s="26"/>
      <c r="JT50" s="67"/>
      <c r="JU50" s="11"/>
      <c r="JV50" s="11"/>
      <c r="JW50" s="68"/>
      <c r="JX50" s="83"/>
      <c r="JY50" s="83"/>
      <c r="JZ50" s="80"/>
      <c r="KA50" s="70"/>
      <c r="KB50" s="70"/>
      <c r="KC50" s="25"/>
      <c r="KD50" s="26"/>
      <c r="KE50" s="26"/>
      <c r="KF50" s="67"/>
      <c r="KG50" s="11"/>
      <c r="KH50" s="11"/>
      <c r="KI50" s="68"/>
      <c r="KJ50" s="83"/>
      <c r="KK50" s="83"/>
      <c r="KL50" s="80"/>
      <c r="KM50" s="70"/>
      <c r="KN50" s="70"/>
      <c r="KO50" s="25"/>
      <c r="KP50" s="26"/>
      <c r="KQ50" s="26"/>
      <c r="KR50" s="67"/>
      <c r="KS50" s="11"/>
      <c r="KT50" s="11"/>
      <c r="KU50" s="68"/>
      <c r="KV50" s="83"/>
      <c r="KW50" s="83"/>
      <c r="KX50" s="80"/>
      <c r="KY50" s="70"/>
      <c r="KZ50" s="70"/>
      <c r="LA50" s="25"/>
      <c r="LB50" s="26"/>
      <c r="LC50" s="26"/>
      <c r="LD50" s="67"/>
      <c r="LE50" s="11"/>
      <c r="LF50" s="11"/>
      <c r="LG50" s="68"/>
      <c r="LH50" s="83"/>
      <c r="LI50" s="83"/>
      <c r="LJ50" s="80"/>
      <c r="LK50" s="70"/>
      <c r="LL50" s="70"/>
      <c r="LM50" s="25"/>
      <c r="LN50" s="26"/>
      <c r="LO50" s="26"/>
      <c r="LP50" s="67"/>
      <c r="LQ50" s="11"/>
      <c r="LR50" s="11"/>
      <c r="LS50" s="68"/>
      <c r="LT50" s="83"/>
      <c r="LU50" s="83"/>
      <c r="LV50" s="80"/>
      <c r="LW50" s="70"/>
      <c r="LX50" s="70"/>
      <c r="LY50" s="25"/>
      <c r="LZ50" s="26"/>
      <c r="MA50" s="26"/>
      <c r="MB50" s="67"/>
      <c r="MC50" s="11"/>
      <c r="MD50" s="11"/>
      <c r="ME50" s="68"/>
      <c r="MF50" s="83"/>
      <c r="MG50" s="83"/>
      <c r="MH50" s="80"/>
      <c r="MI50" s="70"/>
      <c r="MJ50" s="70"/>
      <c r="MK50" s="25"/>
      <c r="ML50" s="26"/>
      <c r="MM50" s="26"/>
      <c r="MN50" s="67"/>
      <c r="MO50" s="11"/>
      <c r="MP50" s="11"/>
      <c r="MQ50" s="68"/>
      <c r="MR50" s="83"/>
      <c r="MS50" s="83"/>
      <c r="MT50" s="80"/>
      <c r="MU50" s="70"/>
      <c r="MV50" s="70"/>
      <c r="MW50" s="25"/>
      <c r="MX50" s="26"/>
      <c r="MY50" s="26"/>
      <c r="MZ50" s="67"/>
      <c r="NA50" s="11"/>
      <c r="NB50" s="11"/>
      <c r="NC50" s="68"/>
      <c r="ND50" s="83"/>
      <c r="NE50" s="83"/>
      <c r="NF50" s="80"/>
      <c r="NG50" s="70"/>
      <c r="NH50" s="70"/>
      <c r="NI50" s="25"/>
      <c r="NJ50" s="26"/>
      <c r="NK50" s="26"/>
      <c r="NL50" s="67"/>
      <c r="NM50" s="11"/>
      <c r="NN50" s="11"/>
      <c r="NO50" s="68"/>
      <c r="NP50" s="83"/>
      <c r="NQ50" s="83"/>
      <c r="NR50" s="80"/>
      <c r="NS50" s="70"/>
      <c r="NT50" s="70"/>
      <c r="NU50" s="25"/>
      <c r="NV50" s="26"/>
      <c r="NW50" s="26"/>
      <c r="NX50" s="67"/>
      <c r="NY50" s="11"/>
      <c r="NZ50" s="11"/>
      <c r="OA50" s="68"/>
      <c r="OB50" s="83"/>
      <c r="OC50" s="83"/>
      <c r="OD50" s="80"/>
      <c r="OE50" s="70"/>
      <c r="OF50" s="70"/>
      <c r="OG50" s="25"/>
      <c r="OH50" s="26"/>
      <c r="OI50" s="26"/>
      <c r="OJ50" s="67"/>
      <c r="OK50" s="11"/>
      <c r="OL50" s="11"/>
      <c r="OM50" s="68"/>
      <c r="ON50" s="83"/>
      <c r="OO50" s="83"/>
      <c r="OP50" s="80"/>
      <c r="OQ50" s="70"/>
      <c r="OR50" s="70"/>
      <c r="OS50" s="25"/>
      <c r="OT50" s="26"/>
      <c r="OU50" s="26"/>
      <c r="OV50" s="67"/>
      <c r="OW50" s="11"/>
      <c r="OX50" s="11"/>
      <c r="OY50" s="68"/>
      <c r="OZ50" s="83"/>
      <c r="PA50" s="83"/>
      <c r="PB50" s="80"/>
      <c r="PC50" s="70"/>
      <c r="PD50" s="70"/>
      <c r="PE50" s="25"/>
      <c r="PF50" s="26"/>
      <c r="PG50" s="26"/>
      <c r="PH50" s="67"/>
      <c r="PI50" s="11"/>
      <c r="PJ50" s="11"/>
      <c r="PK50" s="68"/>
      <c r="PL50" s="83"/>
      <c r="PM50" s="83"/>
      <c r="PN50" s="80"/>
      <c r="PO50" s="70"/>
      <c r="PP50" s="70"/>
      <c r="PQ50" s="25"/>
      <c r="PR50" s="26"/>
      <c r="PS50" s="26"/>
      <c r="PT50" s="67"/>
      <c r="PU50" s="11"/>
      <c r="PV50" s="11"/>
      <c r="PW50" s="68"/>
      <c r="PX50" s="83"/>
      <c r="PY50" s="83"/>
      <c r="PZ50" s="80"/>
      <c r="QA50" s="70"/>
      <c r="QB50" s="70"/>
      <c r="QC50" s="25"/>
      <c r="QD50" s="26"/>
      <c r="QE50" s="26"/>
      <c r="QF50" s="67"/>
      <c r="QG50" s="11"/>
      <c r="QH50" s="11"/>
      <c r="QI50" s="68"/>
      <c r="QJ50" s="83"/>
      <c r="QK50" s="83"/>
      <c r="QL50" s="80"/>
      <c r="QM50" s="70"/>
      <c r="QN50" s="70"/>
      <c r="QO50" s="25"/>
      <c r="QP50" s="26"/>
      <c r="QQ50" s="26"/>
      <c r="QR50" s="67"/>
      <c r="QS50" s="11"/>
      <c r="QT50" s="11"/>
      <c r="QU50" s="68"/>
      <c r="QV50" s="83"/>
      <c r="QW50" s="83"/>
      <c r="QX50" s="80"/>
      <c r="QY50" s="70"/>
      <c r="QZ50" s="70"/>
      <c r="RA50" s="25"/>
      <c r="RB50" s="26"/>
      <c r="RC50" s="26"/>
      <c r="RD50" s="67"/>
      <c r="RE50" s="11"/>
      <c r="RF50" s="11"/>
      <c r="RG50" s="68"/>
      <c r="RH50" s="83"/>
      <c r="RI50" s="83"/>
      <c r="RJ50" s="80"/>
      <c r="RK50" s="70"/>
      <c r="RL50" s="70"/>
      <c r="RM50" s="25"/>
      <c r="RN50" s="26"/>
      <c r="RO50" s="26"/>
      <c r="RP50" s="67"/>
      <c r="RQ50" s="11"/>
      <c r="RR50" s="11"/>
      <c r="RS50" s="68"/>
      <c r="RT50" s="83"/>
      <c r="RU50" s="83"/>
      <c r="RV50" s="80"/>
      <c r="RW50" s="70"/>
      <c r="RX50" s="70"/>
      <c r="RY50" s="25"/>
      <c r="RZ50" s="26"/>
      <c r="SA50" s="26"/>
      <c r="SB50" s="67"/>
      <c r="SC50" s="11"/>
      <c r="SD50" s="11"/>
      <c r="SE50" s="68"/>
      <c r="SF50" s="83"/>
      <c r="SG50" s="83"/>
      <c r="SH50" s="80"/>
      <c r="SI50" s="70"/>
      <c r="SJ50" s="70"/>
      <c r="SK50" s="25"/>
      <c r="SL50" s="26"/>
      <c r="SM50" s="26"/>
      <c r="SN50" s="67"/>
      <c r="SO50" s="11"/>
      <c r="SP50" s="11"/>
      <c r="SQ50" s="68"/>
      <c r="SR50" s="83"/>
      <c r="SS50" s="83"/>
      <c r="ST50" s="80"/>
      <c r="SU50" s="70"/>
      <c r="SV50" s="70"/>
      <c r="SW50" s="25"/>
      <c r="SX50" s="26"/>
      <c r="SY50" s="26"/>
      <c r="SZ50" s="67"/>
      <c r="TA50" s="11"/>
      <c r="TB50" s="11"/>
      <c r="TC50" s="68"/>
      <c r="TD50" s="83"/>
      <c r="TE50" s="83"/>
      <c r="TF50" s="80"/>
      <c r="TG50" s="70"/>
      <c r="TH50" s="70"/>
      <c r="TI50" s="25"/>
      <c r="TJ50" s="26"/>
      <c r="TK50" s="26"/>
      <c r="TL50" s="67"/>
      <c r="TM50" s="11"/>
      <c r="TN50" s="11"/>
      <c r="TO50" s="68"/>
      <c r="TP50" s="83"/>
      <c r="TQ50" s="83"/>
      <c r="TR50" s="80"/>
      <c r="TS50" s="70"/>
      <c r="TT50" s="70"/>
      <c r="TU50" s="25"/>
      <c r="TV50" s="26"/>
      <c r="TW50" s="26"/>
      <c r="TX50" s="67"/>
      <c r="TY50" s="11"/>
      <c r="TZ50" s="11"/>
      <c r="UA50" s="68"/>
      <c r="UB50" s="83"/>
      <c r="UC50" s="83"/>
      <c r="UD50" s="80"/>
      <c r="UE50" s="70"/>
      <c r="UF50" s="70"/>
      <c r="UG50" s="25"/>
      <c r="UH50" s="26"/>
      <c r="UI50" s="26"/>
      <c r="UJ50" s="67"/>
      <c r="UK50" s="11"/>
      <c r="UL50" s="11"/>
      <c r="UM50" s="68"/>
      <c r="UN50" s="83"/>
      <c r="UO50" s="83"/>
      <c r="UP50" s="80"/>
      <c r="UQ50" s="70"/>
      <c r="UR50" s="70"/>
      <c r="US50" s="25"/>
      <c r="UT50" s="26"/>
      <c r="UU50" s="26"/>
      <c r="UV50" s="67"/>
      <c r="UW50" s="11"/>
      <c r="UX50" s="11"/>
      <c r="UY50" s="68"/>
      <c r="UZ50" s="83"/>
      <c r="VA50" s="83"/>
      <c r="VB50" s="80"/>
      <c r="VC50" s="70"/>
      <c r="VD50" s="70"/>
      <c r="VE50" s="25"/>
      <c r="VF50" s="26"/>
      <c r="VG50" s="26"/>
      <c r="VH50" s="67"/>
      <c r="VI50" s="11"/>
      <c r="VJ50" s="11"/>
      <c r="VK50" s="68"/>
      <c r="VL50" s="83"/>
      <c r="VM50" s="83"/>
      <c r="VN50" s="80"/>
      <c r="VO50" s="70"/>
      <c r="VP50" s="70"/>
      <c r="VQ50" s="25"/>
      <c r="VR50" s="26"/>
      <c r="VS50" s="26"/>
      <c r="VT50" s="67"/>
      <c r="VU50" s="11"/>
      <c r="VV50" s="11"/>
      <c r="VW50" s="68"/>
      <c r="VX50" s="83"/>
      <c r="VY50" s="83"/>
      <c r="VZ50" s="80"/>
      <c r="WA50" s="70"/>
      <c r="WB50" s="70"/>
      <c r="WC50" s="25"/>
      <c r="WD50" s="26"/>
      <c r="WE50" s="26"/>
      <c r="WF50" s="67"/>
      <c r="WG50" s="11"/>
      <c r="WH50" s="11"/>
      <c r="WI50" s="68"/>
      <c r="WJ50" s="83"/>
      <c r="WK50" s="83"/>
      <c r="WL50" s="80"/>
      <c r="WM50" s="70"/>
      <c r="WN50" s="70"/>
      <c r="WO50" s="25"/>
      <c r="WP50" s="26"/>
      <c r="WQ50" s="26"/>
      <c r="WR50" s="67"/>
      <c r="WS50" s="11"/>
      <c r="WT50" s="11"/>
      <c r="WU50" s="68"/>
      <c r="WV50" s="83"/>
      <c r="WW50" s="83"/>
      <c r="WX50" s="80"/>
      <c r="WY50" s="70"/>
      <c r="WZ50" s="70"/>
      <c r="XA50" s="25"/>
      <c r="XB50" s="26"/>
      <c r="XC50" s="26"/>
      <c r="XD50" s="67"/>
      <c r="XE50" s="11"/>
      <c r="XF50" s="11"/>
      <c r="XG50" s="68"/>
      <c r="XH50" s="83"/>
      <c r="XI50" s="83"/>
      <c r="XJ50" s="80"/>
      <c r="XK50" s="70"/>
      <c r="XL50" s="70"/>
      <c r="XM50" s="25"/>
      <c r="XN50" s="26"/>
      <c r="XO50" s="26"/>
      <c r="XP50" s="67"/>
      <c r="XQ50" s="11"/>
      <c r="XR50" s="11"/>
      <c r="XS50" s="68"/>
      <c r="XT50" s="83"/>
      <c r="XU50" s="83"/>
      <c r="XV50" s="80"/>
      <c r="XW50" s="70"/>
      <c r="XX50" s="70"/>
      <c r="XY50" s="25"/>
      <c r="XZ50" s="26"/>
      <c r="YA50" s="26"/>
      <c r="YB50" s="67"/>
      <c r="YC50" s="11"/>
      <c r="YD50" s="11"/>
      <c r="YE50" s="68"/>
      <c r="YF50" s="83"/>
      <c r="YG50" s="83"/>
      <c r="YH50" s="80"/>
      <c r="YI50" s="70"/>
      <c r="YJ50" s="70"/>
      <c r="YK50" s="25"/>
      <c r="YL50" s="26"/>
      <c r="YM50" s="26"/>
      <c r="YN50" s="67"/>
      <c r="YO50" s="11"/>
      <c r="YP50" s="11"/>
      <c r="YQ50" s="68"/>
      <c r="YR50" s="83"/>
      <c r="YS50" s="83"/>
      <c r="YT50" s="80"/>
      <c r="YU50" s="70"/>
      <c r="YV50" s="70"/>
      <c r="YW50" s="25"/>
      <c r="YX50" s="26"/>
      <c r="YY50" s="26"/>
      <c r="YZ50" s="67"/>
      <c r="ZA50" s="11"/>
      <c r="ZB50" s="11"/>
      <c r="ZC50" s="68"/>
      <c r="ZD50" s="83"/>
      <c r="ZE50" s="83"/>
      <c r="ZF50" s="80"/>
      <c r="ZG50" s="70"/>
      <c r="ZH50" s="70"/>
      <c r="ZI50" s="25"/>
      <c r="ZJ50" s="26"/>
      <c r="ZK50" s="26"/>
      <c r="ZL50" s="67"/>
      <c r="ZM50" s="11"/>
      <c r="ZN50" s="11"/>
      <c r="ZO50" s="68"/>
      <c r="ZP50" s="83"/>
      <c r="ZQ50" s="83"/>
      <c r="ZR50" s="80"/>
      <c r="ZS50" s="70"/>
      <c r="ZT50" s="70"/>
      <c r="ZU50" s="25"/>
      <c r="ZV50" s="26"/>
      <c r="ZW50" s="26"/>
      <c r="ZX50" s="67"/>
      <c r="ZY50" s="11"/>
      <c r="ZZ50" s="11"/>
      <c r="AAA50" s="68"/>
      <c r="AAB50" s="83"/>
      <c r="AAC50" s="83"/>
      <c r="AAD50" s="80"/>
      <c r="AAE50" s="70"/>
      <c r="AAF50" s="70"/>
      <c r="AAG50" s="25"/>
      <c r="AAH50" s="26"/>
      <c r="AAI50" s="26"/>
      <c r="AAJ50" s="67"/>
      <c r="AAK50" s="11"/>
      <c r="AAL50" s="11"/>
      <c r="AAM50" s="68"/>
      <c r="AAN50" s="83"/>
      <c r="AAO50" s="83"/>
      <c r="AAP50" s="80"/>
      <c r="AAQ50" s="70"/>
      <c r="AAR50" s="70"/>
      <c r="AAS50" s="25"/>
      <c r="AAT50" s="26"/>
      <c r="AAU50" s="26"/>
      <c r="AAV50" s="67"/>
      <c r="AAW50" s="11"/>
      <c r="AAX50" s="11"/>
      <c r="AAY50" s="68"/>
      <c r="AAZ50" s="83"/>
      <c r="ABA50" s="83"/>
      <c r="ABB50" s="80"/>
      <c r="ABC50" s="70"/>
      <c r="ABD50" s="70"/>
      <c r="ABE50" s="25"/>
      <c r="ABF50" s="26"/>
      <c r="ABG50" s="26"/>
      <c r="ABH50" s="67"/>
      <c r="ABI50" s="11"/>
      <c r="ABJ50" s="11"/>
      <c r="ABK50" s="68"/>
      <c r="ABL50" s="83"/>
      <c r="ABM50" s="83"/>
      <c r="ABN50" s="80"/>
      <c r="ABO50" s="70"/>
      <c r="ABP50" s="70"/>
      <c r="ABQ50" s="25"/>
      <c r="ABR50" s="26"/>
      <c r="ABS50" s="26"/>
      <c r="ABT50" s="67"/>
      <c r="ABU50" s="11"/>
      <c r="ABV50" s="11"/>
      <c r="ABW50" s="68"/>
      <c r="ABX50" s="83"/>
      <c r="ABY50" s="83"/>
      <c r="ABZ50" s="80"/>
      <c r="ACA50" s="70"/>
      <c r="ACB50" s="70"/>
      <c r="ACC50" s="25"/>
      <c r="ACD50" s="26"/>
      <c r="ACE50" s="26"/>
      <c r="ACF50" s="67"/>
      <c r="ACG50" s="11"/>
      <c r="ACH50" s="11"/>
      <c r="ACI50" s="68"/>
      <c r="ACJ50" s="83"/>
      <c r="ACK50" s="83"/>
      <c r="ACL50" s="80"/>
      <c r="ACM50" s="70"/>
      <c r="ACN50" s="70"/>
      <c r="ACO50" s="25"/>
      <c r="ACP50" s="26"/>
      <c r="ACQ50" s="26"/>
      <c r="ACR50" s="67"/>
      <c r="ACS50" s="11"/>
      <c r="ACT50" s="11"/>
      <c r="ACU50" s="68"/>
      <c r="ACV50" s="83"/>
      <c r="ACW50" s="83"/>
      <c r="ACX50" s="80"/>
      <c r="ACY50" s="70"/>
      <c r="ACZ50" s="70"/>
      <c r="ADA50" s="25"/>
      <c r="ADB50" s="26"/>
      <c r="ADC50" s="26"/>
      <c r="ADD50" s="67"/>
      <c r="ADE50" s="11"/>
      <c r="ADF50" s="11"/>
      <c r="ADG50" s="68"/>
      <c r="ADH50" s="83"/>
      <c r="ADI50" s="83"/>
      <c r="ADJ50" s="80"/>
      <c r="ADK50" s="70"/>
      <c r="ADL50" s="70"/>
      <c r="ADM50" s="25"/>
      <c r="ADN50" s="26"/>
      <c r="ADO50" s="26"/>
      <c r="ADP50" s="67"/>
      <c r="ADQ50" s="11"/>
      <c r="ADR50" s="11"/>
      <c r="ADS50" s="68"/>
      <c r="ADT50" s="83"/>
      <c r="ADU50" s="83"/>
      <c r="ADV50" s="80"/>
      <c r="ADW50" s="70"/>
      <c r="ADX50" s="70"/>
      <c r="ADY50" s="25"/>
      <c r="ADZ50" s="26"/>
      <c r="AEA50" s="26"/>
      <c r="AEB50" s="67"/>
      <c r="AEC50" s="11"/>
      <c r="AED50" s="11"/>
      <c r="AEE50" s="68"/>
      <c r="AEF50" s="83"/>
      <c r="AEG50" s="83"/>
      <c r="AEH50" s="80"/>
      <c r="AEI50" s="70"/>
      <c r="AEJ50" s="70"/>
      <c r="AEK50" s="25"/>
      <c r="AEL50" s="26"/>
      <c r="AEM50" s="26"/>
      <c r="AEN50" s="67"/>
      <c r="AEO50" s="11"/>
      <c r="AEP50" s="11"/>
      <c r="AEQ50" s="68"/>
      <c r="AER50" s="83"/>
      <c r="AES50" s="83"/>
      <c r="AET50" s="80"/>
      <c r="AEU50" s="70"/>
      <c r="AEV50" s="70"/>
      <c r="AEW50" s="25"/>
      <c r="AEX50" s="26"/>
      <c r="AEY50" s="26"/>
      <c r="AEZ50" s="67"/>
      <c r="AFA50" s="11"/>
      <c r="AFB50" s="11"/>
      <c r="AFC50" s="68"/>
      <c r="AFD50" s="83"/>
      <c r="AFE50" s="83"/>
      <c r="AFF50" s="80"/>
      <c r="AFG50" s="70"/>
      <c r="AFH50" s="70"/>
      <c r="AFI50" s="25"/>
      <c r="AFJ50" s="26"/>
      <c r="AFK50" s="26"/>
      <c r="AFL50" s="67"/>
      <c r="AFM50" s="11"/>
      <c r="AFN50" s="11"/>
      <c r="AFO50" s="68"/>
      <c r="AFP50" s="83"/>
      <c r="AFQ50" s="83"/>
      <c r="AFR50" s="80"/>
      <c r="AFS50" s="70"/>
      <c r="AFT50" s="70"/>
      <c r="AFU50" s="25"/>
      <c r="AFV50" s="26"/>
      <c r="AFW50" s="26"/>
      <c r="AFX50" s="67"/>
      <c r="AFY50" s="11"/>
      <c r="AFZ50" s="11"/>
      <c r="AGA50" s="68"/>
      <c r="AGB50" s="83"/>
      <c r="AGC50" s="83"/>
      <c r="AGD50" s="80"/>
      <c r="AGE50" s="70"/>
      <c r="AGF50" s="70"/>
      <c r="AGG50" s="25"/>
      <c r="AGH50" s="26"/>
      <c r="AGI50" s="26"/>
      <c r="AGJ50" s="67"/>
      <c r="AGK50" s="11"/>
      <c r="AGL50" s="11"/>
      <c r="AGM50" s="68"/>
      <c r="AGN50" s="83"/>
      <c r="AGO50" s="83"/>
      <c r="AGP50" s="80"/>
      <c r="AGQ50" s="70"/>
      <c r="AGR50" s="70"/>
      <c r="AGS50" s="25"/>
      <c r="AGT50" s="26"/>
      <c r="AGU50" s="26"/>
      <c r="AGV50" s="67"/>
      <c r="AGW50" s="11"/>
      <c r="AGX50" s="11"/>
      <c r="AGY50" s="68"/>
      <c r="AGZ50" s="83"/>
      <c r="AHA50" s="83"/>
      <c r="AHB50" s="80"/>
      <c r="AHC50" s="70"/>
      <c r="AHD50" s="70"/>
      <c r="AHE50" s="25"/>
      <c r="AHF50" s="26"/>
      <c r="AHG50" s="26"/>
      <c r="AHH50" s="67"/>
      <c r="AHI50" s="11"/>
      <c r="AHJ50" s="11"/>
      <c r="AHK50" s="68"/>
      <c r="AHL50" s="83"/>
      <c r="AHM50" s="83"/>
      <c r="AHN50" s="80"/>
      <c r="AHO50" s="70"/>
      <c r="AHP50" s="70"/>
      <c r="AHQ50" s="25"/>
      <c r="AHR50" s="26"/>
      <c r="AHS50" s="26"/>
      <c r="AHT50" s="67"/>
      <c r="AHU50" s="11"/>
      <c r="AHV50" s="11"/>
      <c r="AHW50" s="68"/>
      <c r="AHX50" s="83"/>
      <c r="AHY50" s="83"/>
      <c r="AHZ50" s="80"/>
      <c r="AIA50" s="70"/>
      <c r="AIB50" s="70"/>
      <c r="AIC50" s="25"/>
      <c r="AID50" s="26"/>
      <c r="AIE50" s="26"/>
      <c r="AIF50" s="67"/>
      <c r="AIG50" s="11"/>
      <c r="AIH50" s="11"/>
      <c r="AII50" s="68"/>
      <c r="AIJ50" s="83"/>
      <c r="AIK50" s="83"/>
      <c r="AIL50" s="80"/>
      <c r="AIM50" s="70"/>
      <c r="AIN50" s="70"/>
      <c r="AIO50" s="25"/>
      <c r="AIP50" s="26"/>
      <c r="AIQ50" s="26"/>
      <c r="AIR50" s="67"/>
      <c r="AIS50" s="11"/>
      <c r="AIT50" s="11"/>
      <c r="AIU50" s="68"/>
      <c r="AIV50" s="83"/>
      <c r="AIW50" s="83"/>
      <c r="AIX50" s="80"/>
      <c r="AIY50" s="70"/>
      <c r="AIZ50" s="70"/>
      <c r="AJA50" s="25"/>
      <c r="AJB50" s="26"/>
      <c r="AJC50" s="26"/>
      <c r="AJD50" s="67"/>
      <c r="AJE50" s="11"/>
      <c r="AJF50" s="11"/>
      <c r="AJG50" s="68"/>
      <c r="AJH50" s="83"/>
      <c r="AJI50" s="83"/>
      <c r="AJJ50" s="80"/>
      <c r="AJK50" s="70"/>
      <c r="AJL50" s="70"/>
      <c r="AJM50" s="25"/>
      <c r="AJN50" s="26"/>
      <c r="AJO50" s="26"/>
      <c r="AJP50" s="67"/>
      <c r="AJQ50" s="11"/>
      <c r="AJR50" s="11"/>
      <c r="AJS50" s="68"/>
      <c r="AJT50" s="83"/>
      <c r="AJU50" s="83"/>
      <c r="AJV50" s="80"/>
      <c r="AJW50" s="70"/>
      <c r="AJX50" s="70"/>
      <c r="AJY50" s="25"/>
      <c r="AJZ50" s="26"/>
      <c r="AKA50" s="26"/>
      <c r="AKB50" s="67"/>
      <c r="AKC50" s="11"/>
      <c r="AKD50" s="11"/>
      <c r="AKE50" s="68"/>
      <c r="AKF50" s="83"/>
      <c r="AKG50" s="83"/>
      <c r="AKH50" s="80"/>
      <c r="AKI50" s="70"/>
      <c r="AKJ50" s="70"/>
      <c r="AKK50" s="25"/>
      <c r="AKL50" s="26"/>
      <c r="AKM50" s="26"/>
      <c r="AKN50" s="67"/>
      <c r="AKO50" s="11"/>
      <c r="AKP50" s="11"/>
      <c r="AKQ50" s="68"/>
      <c r="AKR50" s="83"/>
      <c r="AKS50" s="83"/>
      <c r="AKT50" s="80"/>
      <c r="AKU50" s="70"/>
      <c r="AKV50" s="70"/>
      <c r="AKW50" s="25"/>
      <c r="AKX50" s="26"/>
      <c r="AKY50" s="26"/>
      <c r="AKZ50" s="67"/>
      <c r="ALA50" s="11"/>
      <c r="ALB50" s="11"/>
      <c r="ALC50" s="68"/>
      <c r="ALD50" s="83"/>
      <c r="ALE50" s="83"/>
      <c r="ALF50" s="80"/>
      <c r="ALG50" s="70"/>
      <c r="ALH50" s="70"/>
      <c r="ALI50" s="25"/>
      <c r="ALJ50" s="26"/>
      <c r="ALK50" s="26"/>
      <c r="ALL50" s="67"/>
      <c r="ALM50" s="11"/>
      <c r="ALN50" s="11"/>
      <c r="ALO50" s="68"/>
      <c r="ALP50" s="83"/>
      <c r="ALQ50" s="83"/>
      <c r="ALR50" s="80"/>
      <c r="ALS50" s="70"/>
      <c r="ALT50" s="70"/>
      <c r="ALU50" s="25"/>
      <c r="ALV50" s="26"/>
      <c r="ALW50" s="26"/>
      <c r="ALX50" s="67"/>
      <c r="ALY50" s="11"/>
      <c r="ALZ50" s="11"/>
      <c r="AMA50" s="68"/>
      <c r="AMB50" s="83"/>
      <c r="AMC50" s="83"/>
      <c r="AMD50" s="80"/>
      <c r="AME50" s="70"/>
      <c r="AMF50" s="70"/>
      <c r="AMG50" s="25"/>
      <c r="AMH50" s="26"/>
      <c r="AMI50" s="26"/>
      <c r="AMJ50" s="67"/>
      <c r="AMK50" s="11"/>
      <c r="AML50" s="11"/>
      <c r="AMM50" s="68"/>
      <c r="AMN50" s="83"/>
      <c r="AMO50" s="83"/>
      <c r="AMP50" s="80"/>
      <c r="AMQ50" s="70"/>
      <c r="AMR50" s="70"/>
      <c r="AMS50" s="25"/>
      <c r="AMT50" s="26"/>
      <c r="AMU50" s="26"/>
      <c r="AMV50" s="67"/>
      <c r="AMW50" s="11"/>
      <c r="AMX50" s="11"/>
      <c r="AMY50" s="68"/>
      <c r="AMZ50" s="83"/>
      <c r="ANA50" s="83"/>
      <c r="ANB50" s="80"/>
      <c r="ANC50" s="70"/>
      <c r="AND50" s="70"/>
      <c r="ANE50" s="25"/>
      <c r="ANF50" s="26"/>
      <c r="ANG50" s="26"/>
      <c r="ANH50" s="67"/>
      <c r="ANI50" s="11"/>
      <c r="ANJ50" s="11"/>
      <c r="ANK50" s="68"/>
      <c r="ANL50" s="83"/>
      <c r="ANM50" s="83"/>
      <c r="ANN50" s="80"/>
      <c r="ANO50" s="70"/>
      <c r="ANP50" s="70"/>
      <c r="ANQ50" s="25"/>
      <c r="ANR50" s="26"/>
      <c r="ANS50" s="26"/>
      <c r="ANT50" s="67"/>
      <c r="ANU50" s="11"/>
      <c r="ANV50" s="11"/>
      <c r="ANW50" s="68"/>
      <c r="ANX50" s="83"/>
      <c r="ANY50" s="83"/>
      <c r="ANZ50" s="80"/>
      <c r="AOA50" s="70"/>
      <c r="AOB50" s="70"/>
      <c r="AOC50" s="25"/>
      <c r="AOD50" s="26"/>
      <c r="AOE50" s="26"/>
      <c r="AOF50" s="67"/>
      <c r="AOG50" s="11"/>
      <c r="AOH50" s="11"/>
      <c r="AOI50" s="68"/>
      <c r="AOJ50" s="83"/>
      <c r="AOK50" s="83"/>
      <c r="AOL50" s="80"/>
      <c r="AOM50" s="70"/>
      <c r="AON50" s="70"/>
      <c r="AOO50" s="25"/>
      <c r="AOP50" s="26"/>
      <c r="AOQ50" s="26"/>
      <c r="AOR50" s="67"/>
      <c r="AOS50" s="11"/>
      <c r="AOT50" s="11"/>
      <c r="AOU50" s="68"/>
      <c r="AOV50" s="83"/>
      <c r="AOW50" s="83"/>
      <c r="AOX50" s="80"/>
      <c r="AOY50" s="70"/>
      <c r="AOZ50" s="70"/>
      <c r="APA50" s="25"/>
      <c r="APB50" s="26"/>
      <c r="APC50" s="26"/>
      <c r="APD50" s="67"/>
      <c r="APE50" s="11"/>
      <c r="APF50" s="11"/>
      <c r="APG50" s="68"/>
      <c r="APH50" s="83"/>
      <c r="API50" s="83"/>
      <c r="APJ50" s="80"/>
      <c r="APK50" s="70"/>
      <c r="APL50" s="70"/>
      <c r="APM50" s="25"/>
      <c r="APN50" s="26"/>
      <c r="APO50" s="26"/>
      <c r="APP50" s="67"/>
      <c r="APQ50" s="11"/>
      <c r="APR50" s="11"/>
      <c r="APS50" s="68"/>
      <c r="APT50" s="83"/>
      <c r="APU50" s="83"/>
      <c r="APV50" s="80"/>
      <c r="APW50" s="70"/>
      <c r="APX50" s="70"/>
      <c r="APY50" s="25"/>
      <c r="APZ50" s="26"/>
      <c r="AQA50" s="26"/>
      <c r="AQB50" s="67"/>
      <c r="AQC50" s="11"/>
      <c r="AQD50" s="11"/>
      <c r="AQE50" s="68"/>
      <c r="AQF50" s="83"/>
      <c r="AQG50" s="83"/>
      <c r="AQH50" s="80"/>
      <c r="AQI50" s="70"/>
      <c r="AQJ50" s="70"/>
      <c r="AQK50" s="25"/>
      <c r="AQL50" s="26"/>
      <c r="AQM50" s="26"/>
      <c r="AQN50" s="67"/>
      <c r="AQO50" s="11"/>
      <c r="AQP50" s="11"/>
      <c r="AQQ50" s="68"/>
      <c r="AQR50" s="83"/>
      <c r="AQS50" s="83"/>
      <c r="AQT50" s="80"/>
      <c r="AQU50" s="70"/>
      <c r="AQV50" s="70"/>
      <c r="AQW50" s="25"/>
      <c r="AQX50" s="26"/>
      <c r="AQY50" s="26"/>
      <c r="AQZ50" s="67"/>
      <c r="ARA50" s="11"/>
      <c r="ARB50" s="11"/>
      <c r="ARC50" s="68"/>
      <c r="ARD50" s="83"/>
      <c r="ARE50" s="83"/>
      <c r="ARF50" s="80"/>
      <c r="ARG50" s="70"/>
      <c r="ARH50" s="70"/>
      <c r="ARI50" s="25"/>
      <c r="ARJ50" s="26"/>
      <c r="ARK50" s="26"/>
      <c r="ARL50" s="67"/>
      <c r="ARM50" s="11"/>
      <c r="ARN50" s="11"/>
      <c r="ARO50" s="68"/>
      <c r="ARP50" s="83"/>
      <c r="ARQ50" s="83"/>
      <c r="ARR50" s="80"/>
      <c r="ARS50" s="70"/>
      <c r="ART50" s="70"/>
      <c r="ARU50" s="25"/>
      <c r="ARV50" s="26"/>
      <c r="ARW50" s="26"/>
      <c r="ARX50" s="67"/>
      <c r="ARY50" s="11"/>
      <c r="ARZ50" s="11"/>
      <c r="ASA50" s="68"/>
      <c r="ASB50" s="83"/>
      <c r="ASC50" s="83"/>
      <c r="ASD50" s="80"/>
      <c r="ASE50" s="70"/>
      <c r="ASF50" s="70"/>
      <c r="ASG50" s="25"/>
      <c r="ASH50" s="26"/>
      <c r="ASI50" s="26"/>
      <c r="ASJ50" s="67"/>
      <c r="ASK50" s="11"/>
      <c r="ASL50" s="11"/>
      <c r="ASM50" s="68"/>
      <c r="ASN50" s="83"/>
      <c r="ASO50" s="83"/>
      <c r="ASP50" s="80"/>
      <c r="ASQ50" s="70"/>
      <c r="ASR50" s="70"/>
      <c r="ASS50" s="25"/>
      <c r="AST50" s="26"/>
      <c r="ASU50" s="26"/>
      <c r="ASV50" s="67"/>
      <c r="ASW50" s="11"/>
      <c r="ASX50" s="11"/>
      <c r="ASY50" s="68"/>
      <c r="ASZ50" s="83"/>
      <c r="ATA50" s="83"/>
      <c r="ATB50" s="80"/>
      <c r="ATC50" s="70"/>
      <c r="ATD50" s="70"/>
      <c r="ATE50" s="25"/>
      <c r="ATF50" s="26"/>
      <c r="ATG50" s="26"/>
      <c r="ATH50" s="67"/>
      <c r="ATI50" s="11"/>
      <c r="ATJ50" s="11"/>
      <c r="ATK50" s="68"/>
      <c r="ATL50" s="83"/>
      <c r="ATM50" s="83"/>
      <c r="ATN50" s="80"/>
      <c r="ATO50" s="70"/>
      <c r="ATP50" s="70"/>
      <c r="ATQ50" s="25"/>
      <c r="ATR50" s="26"/>
      <c r="ATS50" s="26"/>
      <c r="ATT50" s="67"/>
      <c r="ATU50" s="11"/>
      <c r="ATV50" s="11"/>
      <c r="ATW50" s="68"/>
      <c r="ATX50" s="83"/>
      <c r="ATY50" s="83"/>
      <c r="ATZ50" s="80"/>
      <c r="AUA50" s="70"/>
      <c r="AUB50" s="70"/>
      <c r="AUC50" s="25"/>
      <c r="AUD50" s="26"/>
      <c r="AUE50" s="26"/>
      <c r="AUF50" s="67"/>
      <c r="AUG50" s="11"/>
      <c r="AUH50" s="11"/>
      <c r="AUI50" s="68"/>
      <c r="AUJ50" s="83"/>
      <c r="AUK50" s="83"/>
      <c r="AUL50" s="80"/>
      <c r="AUM50" s="70"/>
      <c r="AUN50" s="70"/>
      <c r="AUO50" s="25"/>
      <c r="AUP50" s="26"/>
      <c r="AUQ50" s="26"/>
      <c r="AUR50" s="67"/>
      <c r="AUS50" s="11"/>
      <c r="AUT50" s="11"/>
      <c r="AUU50" s="68"/>
      <c r="AUV50" s="83"/>
      <c r="AUW50" s="83"/>
      <c r="AUX50" s="80"/>
      <c r="AUY50" s="70"/>
      <c r="AUZ50" s="70"/>
      <c r="AVA50" s="25"/>
      <c r="AVB50" s="26"/>
      <c r="AVC50" s="26"/>
      <c r="AVD50" s="67"/>
      <c r="AVE50" s="11"/>
      <c r="AVF50" s="11"/>
      <c r="AVG50" s="68"/>
      <c r="AVH50" s="83"/>
      <c r="AVI50" s="83"/>
      <c r="AVJ50" s="80"/>
      <c r="AVK50" s="70"/>
      <c r="AVL50" s="70"/>
      <c r="AVM50" s="25"/>
      <c r="AVN50" s="26"/>
      <c r="AVO50" s="26"/>
      <c r="AVP50" s="67"/>
      <c r="AVQ50" s="11"/>
      <c r="AVR50" s="11"/>
      <c r="AVS50" s="68"/>
      <c r="AVT50" s="83"/>
      <c r="AVU50" s="83"/>
      <c r="AVV50" s="80"/>
      <c r="AVW50" s="70"/>
      <c r="AVX50" s="70"/>
      <c r="AVY50" s="25"/>
      <c r="AVZ50" s="26"/>
      <c r="AWA50" s="26"/>
      <c r="AWB50" s="67"/>
      <c r="AWC50" s="11"/>
      <c r="AWD50" s="11"/>
      <c r="AWE50" s="68"/>
      <c r="AWF50" s="83"/>
      <c r="AWG50" s="83"/>
      <c r="AWH50" s="80"/>
      <c r="AWI50" s="70"/>
      <c r="AWJ50" s="70"/>
      <c r="AWK50" s="25"/>
      <c r="AWL50" s="26"/>
      <c r="AWM50" s="26"/>
      <c r="AWN50" s="67"/>
      <c r="AWO50" s="11"/>
      <c r="AWP50" s="11"/>
      <c r="AWQ50" s="68"/>
      <c r="AWR50" s="83"/>
      <c r="AWS50" s="83"/>
      <c r="AWT50" s="80"/>
      <c r="AWU50" s="70"/>
      <c r="AWV50" s="70"/>
      <c r="AWW50" s="25"/>
      <c r="AWX50" s="26"/>
      <c r="AWY50" s="26"/>
      <c r="AWZ50" s="67"/>
      <c r="AXA50" s="11"/>
      <c r="AXB50" s="11"/>
      <c r="AXC50" s="68"/>
      <c r="AXD50" s="83"/>
      <c r="AXE50" s="83"/>
      <c r="AXF50" s="80"/>
      <c r="AXG50" s="70"/>
      <c r="AXH50" s="70"/>
      <c r="AXI50" s="25"/>
      <c r="AXJ50" s="26"/>
      <c r="AXK50" s="26"/>
      <c r="AXL50" s="67"/>
      <c r="AXM50" s="11"/>
      <c r="AXN50" s="11"/>
      <c r="AXO50" s="68"/>
      <c r="AXP50" s="83"/>
      <c r="AXQ50" s="83"/>
      <c r="AXR50" s="80"/>
      <c r="AXS50" s="70"/>
      <c r="AXT50" s="70"/>
      <c r="AXU50" s="25"/>
      <c r="AXV50" s="26"/>
      <c r="AXW50" s="26"/>
      <c r="AXX50" s="67"/>
      <c r="AXY50" s="11"/>
      <c r="AXZ50" s="11"/>
      <c r="AYA50" s="68"/>
      <c r="AYB50" s="83"/>
      <c r="AYC50" s="83"/>
      <c r="AYD50" s="80"/>
      <c r="AYE50" s="70"/>
      <c r="AYF50" s="70"/>
      <c r="AYG50" s="25"/>
      <c r="AYH50" s="26"/>
      <c r="AYI50" s="26"/>
      <c r="AYJ50" s="67"/>
      <c r="AYK50" s="11"/>
      <c r="AYL50" s="11"/>
      <c r="AYM50" s="68"/>
      <c r="AYN50" s="83"/>
      <c r="AYO50" s="83"/>
      <c r="AYP50" s="80"/>
      <c r="AYQ50" s="70"/>
      <c r="AYR50" s="70"/>
      <c r="AYS50" s="25"/>
      <c r="AYT50" s="26"/>
      <c r="AYU50" s="26"/>
      <c r="AYV50" s="67"/>
      <c r="AYW50" s="11"/>
      <c r="AYX50" s="11"/>
      <c r="AYY50" s="68"/>
      <c r="AYZ50" s="83"/>
      <c r="AZA50" s="83"/>
      <c r="AZB50" s="80"/>
      <c r="AZC50" s="70"/>
      <c r="AZD50" s="70"/>
      <c r="AZE50" s="25"/>
      <c r="AZF50" s="26"/>
      <c r="AZG50" s="26"/>
      <c r="AZH50" s="67"/>
      <c r="AZI50" s="11"/>
      <c r="AZJ50" s="11"/>
      <c r="AZK50" s="68"/>
      <c r="AZL50" s="83"/>
      <c r="AZM50" s="83"/>
      <c r="AZN50" s="80"/>
      <c r="AZO50" s="70"/>
      <c r="AZP50" s="70"/>
      <c r="AZQ50" s="25"/>
      <c r="AZR50" s="26"/>
      <c r="AZS50" s="26"/>
      <c r="AZT50" s="67"/>
      <c r="AZU50" s="11"/>
      <c r="AZV50" s="11"/>
      <c r="AZW50" s="68"/>
      <c r="AZX50" s="83"/>
      <c r="AZY50" s="83"/>
      <c r="AZZ50" s="80"/>
      <c r="BAA50" s="70"/>
      <c r="BAB50" s="70"/>
      <c r="BAC50" s="25"/>
      <c r="BAD50" s="26"/>
      <c r="BAE50" s="26"/>
      <c r="BAF50" s="67"/>
      <c r="BAG50" s="11"/>
      <c r="BAH50" s="11"/>
      <c r="BAI50" s="68"/>
      <c r="BAJ50" s="83"/>
      <c r="BAK50" s="83"/>
      <c r="BAL50" s="80"/>
      <c r="BAM50" s="70"/>
      <c r="BAN50" s="70"/>
      <c r="BAO50" s="25"/>
      <c r="BAP50" s="26"/>
      <c r="BAQ50" s="26"/>
      <c r="BAR50" s="67"/>
      <c r="BAS50" s="11"/>
      <c r="BAT50" s="11"/>
      <c r="BAU50" s="68"/>
      <c r="BAV50" s="83"/>
      <c r="BAW50" s="83"/>
      <c r="BAX50" s="80"/>
      <c r="BAY50" s="70"/>
      <c r="BAZ50" s="70"/>
      <c r="BBA50" s="25"/>
      <c r="BBB50" s="26"/>
      <c r="BBC50" s="26"/>
      <c r="BBD50" s="67"/>
      <c r="BBE50" s="11"/>
      <c r="BBF50" s="11"/>
      <c r="BBG50" s="68"/>
      <c r="BBH50" s="83"/>
      <c r="BBI50" s="83"/>
      <c r="BBJ50" s="80"/>
      <c r="BBK50" s="70"/>
      <c r="BBL50" s="70"/>
      <c r="BBM50" s="25"/>
      <c r="BBN50" s="26"/>
      <c r="BBO50" s="26"/>
      <c r="BBP50" s="67"/>
      <c r="BBQ50" s="11"/>
      <c r="BBR50" s="11"/>
      <c r="BBS50" s="68"/>
      <c r="BBT50" s="83"/>
      <c r="BBU50" s="83"/>
      <c r="BBV50" s="80"/>
      <c r="BBW50" s="70"/>
      <c r="BBX50" s="70"/>
      <c r="BBY50" s="25"/>
      <c r="BBZ50" s="26"/>
      <c r="BCA50" s="26"/>
      <c r="BCB50" s="67"/>
      <c r="BCC50" s="11"/>
      <c r="BCD50" s="11"/>
      <c r="BCE50" s="68"/>
      <c r="BCF50" s="83"/>
      <c r="BCG50" s="83"/>
      <c r="BCH50" s="80"/>
      <c r="BCI50" s="70"/>
      <c r="BCJ50" s="70"/>
      <c r="BCK50" s="25"/>
      <c r="BCL50" s="26"/>
      <c r="BCM50" s="26"/>
      <c r="BCN50" s="67"/>
      <c r="BCO50" s="11"/>
      <c r="BCP50" s="11"/>
      <c r="BCQ50" s="68"/>
      <c r="BCR50" s="83"/>
      <c r="BCS50" s="83"/>
      <c r="BCT50" s="80"/>
      <c r="BCU50" s="70"/>
      <c r="BCV50" s="70"/>
      <c r="BCW50" s="25"/>
      <c r="BCX50" s="26"/>
      <c r="BCY50" s="26"/>
      <c r="BCZ50" s="67"/>
      <c r="BDA50" s="11"/>
      <c r="BDB50" s="11"/>
      <c r="BDC50" s="68"/>
      <c r="BDD50" s="83"/>
      <c r="BDE50" s="83"/>
      <c r="BDF50" s="80"/>
      <c r="BDG50" s="70"/>
      <c r="BDH50" s="70"/>
      <c r="BDI50" s="25"/>
      <c r="BDJ50" s="26"/>
      <c r="BDK50" s="26"/>
      <c r="BDL50" s="67"/>
      <c r="BDM50" s="11"/>
      <c r="BDN50" s="11"/>
      <c r="BDO50" s="68"/>
      <c r="BDP50" s="83"/>
      <c r="BDQ50" s="83"/>
      <c r="BDR50" s="80"/>
      <c r="BDS50" s="70"/>
      <c r="BDT50" s="70"/>
      <c r="BDU50" s="25"/>
      <c r="BDV50" s="26"/>
      <c r="BDW50" s="26"/>
      <c r="BDX50" s="67"/>
      <c r="BDY50" s="11"/>
      <c r="BDZ50" s="11"/>
      <c r="BEA50" s="68"/>
      <c r="BEB50" s="83"/>
      <c r="BEC50" s="83"/>
      <c r="BED50" s="80"/>
      <c r="BEE50" s="70"/>
      <c r="BEF50" s="70"/>
      <c r="BEG50" s="25"/>
      <c r="BEH50" s="26"/>
      <c r="BEI50" s="26"/>
      <c r="BEJ50" s="67"/>
      <c r="BEK50" s="11"/>
      <c r="BEL50" s="11"/>
      <c r="BEM50" s="68"/>
      <c r="BEN50" s="83"/>
      <c r="BEO50" s="83"/>
      <c r="BEP50" s="80"/>
      <c r="BEQ50" s="70"/>
      <c r="BER50" s="70"/>
      <c r="BES50" s="25"/>
      <c r="BET50" s="26"/>
      <c r="BEU50" s="26"/>
      <c r="BEV50" s="67"/>
      <c r="BEW50" s="11"/>
      <c r="BEX50" s="11"/>
      <c r="BEY50" s="68"/>
      <c r="BEZ50" s="83"/>
      <c r="BFA50" s="83"/>
      <c r="BFB50" s="80"/>
      <c r="BFC50" s="70"/>
      <c r="BFD50" s="70"/>
      <c r="BFE50" s="25"/>
      <c r="BFF50" s="26"/>
      <c r="BFG50" s="26"/>
      <c r="BFH50" s="67"/>
      <c r="BFI50" s="11"/>
      <c r="BFJ50" s="11"/>
      <c r="BFK50" s="68"/>
      <c r="BFL50" s="83"/>
      <c r="BFM50" s="83"/>
      <c r="BFN50" s="80"/>
      <c r="BFO50" s="70"/>
      <c r="BFP50" s="70"/>
      <c r="BFQ50" s="25"/>
      <c r="BFR50" s="26"/>
      <c r="BFS50" s="26"/>
      <c r="BFT50" s="67"/>
      <c r="BFU50" s="11"/>
      <c r="BFV50" s="11"/>
      <c r="BFW50" s="68"/>
      <c r="BFX50" s="83"/>
      <c r="BFY50" s="83"/>
      <c r="BFZ50" s="80"/>
      <c r="BGA50" s="70"/>
      <c r="BGB50" s="70"/>
      <c r="BGC50" s="25"/>
      <c r="BGD50" s="26"/>
      <c r="BGE50" s="26"/>
      <c r="BGF50" s="67"/>
      <c r="BGG50" s="11"/>
      <c r="BGH50" s="11"/>
      <c r="BGI50" s="68"/>
      <c r="BGJ50" s="83"/>
      <c r="BGK50" s="83"/>
      <c r="BGL50" s="80"/>
      <c r="BGM50" s="70"/>
      <c r="BGN50" s="70"/>
      <c r="BGO50" s="25"/>
      <c r="BGP50" s="26"/>
      <c r="BGQ50" s="26"/>
      <c r="BGR50" s="67"/>
      <c r="BGS50" s="11"/>
      <c r="BGT50" s="11"/>
      <c r="BGU50" s="68"/>
      <c r="BGV50" s="83"/>
      <c r="BGW50" s="83"/>
      <c r="BGX50" s="80"/>
      <c r="BGY50" s="70"/>
      <c r="BGZ50" s="70"/>
      <c r="BHA50" s="25"/>
      <c r="BHB50" s="26"/>
      <c r="BHC50" s="26"/>
      <c r="BHD50" s="67"/>
      <c r="BHE50" s="11"/>
      <c r="BHF50" s="11"/>
      <c r="BHG50" s="68"/>
      <c r="BHH50" s="83"/>
      <c r="BHI50" s="83"/>
      <c r="BHJ50" s="80"/>
      <c r="BHK50" s="70"/>
      <c r="BHL50" s="70"/>
      <c r="BHM50" s="25"/>
      <c r="BHN50" s="26"/>
      <c r="BHO50" s="26"/>
      <c r="BHP50" s="67"/>
      <c r="BHQ50" s="11"/>
      <c r="BHR50" s="11"/>
      <c r="BHS50" s="68"/>
      <c r="BHT50" s="83"/>
      <c r="BHU50" s="83"/>
      <c r="BHV50" s="80"/>
      <c r="BHW50" s="70"/>
      <c r="BHX50" s="70"/>
      <c r="BHY50" s="25"/>
      <c r="BHZ50" s="26"/>
      <c r="BIA50" s="26"/>
      <c r="BIB50" s="67"/>
      <c r="BIC50" s="11"/>
      <c r="BID50" s="11"/>
      <c r="BIE50" s="68"/>
      <c r="BIF50" s="83"/>
      <c r="BIG50" s="83"/>
      <c r="BIH50" s="80"/>
      <c r="BII50" s="70"/>
      <c r="BIJ50" s="70"/>
      <c r="BIK50" s="25"/>
      <c r="BIL50" s="26"/>
      <c r="BIM50" s="26"/>
      <c r="BIN50" s="67"/>
      <c r="BIO50" s="11"/>
      <c r="BIP50" s="11"/>
      <c r="BIQ50" s="68"/>
      <c r="BIR50" s="83"/>
      <c r="BIS50" s="83"/>
      <c r="BIT50" s="80"/>
      <c r="BIU50" s="70"/>
      <c r="BIV50" s="70"/>
      <c r="BIW50" s="25"/>
      <c r="BIX50" s="26"/>
      <c r="BIY50" s="26"/>
      <c r="BIZ50" s="67"/>
      <c r="BJA50" s="11"/>
      <c r="BJB50" s="11"/>
      <c r="BJC50" s="68"/>
      <c r="BJD50" s="83"/>
      <c r="BJE50" s="83"/>
      <c r="BJF50" s="80"/>
      <c r="BJG50" s="70"/>
      <c r="BJH50" s="70"/>
      <c r="BJI50" s="25"/>
      <c r="BJJ50" s="26"/>
      <c r="BJK50" s="26"/>
      <c r="BJL50" s="67"/>
      <c r="BJM50" s="11"/>
      <c r="BJN50" s="11"/>
      <c r="BJO50" s="68"/>
      <c r="BJP50" s="83"/>
      <c r="BJQ50" s="83"/>
      <c r="BJR50" s="80"/>
      <c r="BJS50" s="70"/>
      <c r="BJT50" s="70"/>
      <c r="BJU50" s="25"/>
      <c r="BJV50" s="26"/>
      <c r="BJW50" s="26"/>
      <c r="BJX50" s="67"/>
      <c r="BJY50" s="11"/>
      <c r="BJZ50" s="11"/>
      <c r="BKA50" s="68"/>
      <c r="BKB50" s="83"/>
      <c r="BKC50" s="83"/>
      <c r="BKD50" s="80"/>
      <c r="BKE50" s="70"/>
      <c r="BKF50" s="70"/>
      <c r="BKG50" s="25"/>
      <c r="BKH50" s="26"/>
      <c r="BKI50" s="26"/>
      <c r="BKJ50" s="67"/>
      <c r="BKK50" s="11"/>
      <c r="BKL50" s="11"/>
      <c r="BKM50" s="68"/>
      <c r="BKN50" s="83"/>
      <c r="BKO50" s="83"/>
      <c r="BKP50" s="80"/>
      <c r="BKQ50" s="70"/>
      <c r="BKR50" s="70"/>
      <c r="BKS50" s="25"/>
      <c r="BKT50" s="26"/>
      <c r="BKU50" s="26"/>
      <c r="BKV50" s="67"/>
      <c r="BKW50" s="11"/>
      <c r="BKX50" s="11"/>
      <c r="BKY50" s="68"/>
      <c r="BKZ50" s="83"/>
      <c r="BLA50" s="83"/>
      <c r="BLB50" s="80"/>
      <c r="BLC50" s="70"/>
      <c r="BLD50" s="70"/>
      <c r="BLE50" s="25"/>
      <c r="BLF50" s="26"/>
      <c r="BLG50" s="26"/>
      <c r="BLH50" s="67"/>
      <c r="BLI50" s="11"/>
      <c r="BLJ50" s="11"/>
      <c r="BLK50" s="68"/>
      <c r="BLL50" s="83"/>
      <c r="BLM50" s="83"/>
      <c r="BLN50" s="80"/>
      <c r="BLO50" s="70"/>
      <c r="BLP50" s="70"/>
      <c r="BLQ50" s="25"/>
      <c r="BLR50" s="26"/>
      <c r="BLS50" s="26"/>
      <c r="BLT50" s="67"/>
      <c r="BLU50" s="11"/>
      <c r="BLV50" s="11"/>
      <c r="BLW50" s="68"/>
      <c r="BLX50" s="83"/>
      <c r="BLY50" s="83"/>
      <c r="BLZ50" s="80"/>
      <c r="BMA50" s="70"/>
      <c r="BMB50" s="70"/>
      <c r="BMC50" s="25"/>
      <c r="BMD50" s="26"/>
      <c r="BME50" s="26"/>
      <c r="BMF50" s="67"/>
      <c r="BMG50" s="11"/>
      <c r="BMH50" s="11"/>
      <c r="BMI50" s="68"/>
      <c r="BMJ50" s="83"/>
      <c r="BMK50" s="83"/>
      <c r="BML50" s="80"/>
      <c r="BMM50" s="70"/>
      <c r="BMN50" s="70"/>
      <c r="BMO50" s="25"/>
      <c r="BMP50" s="26"/>
      <c r="BMQ50" s="26"/>
      <c r="BMR50" s="67"/>
      <c r="BMS50" s="11"/>
      <c r="BMT50" s="11"/>
      <c r="BMU50" s="68"/>
      <c r="BMV50" s="83"/>
      <c r="BMW50" s="83"/>
      <c r="BMX50" s="80"/>
      <c r="BMY50" s="70"/>
      <c r="BMZ50" s="70"/>
      <c r="BNA50" s="25"/>
      <c r="BNB50" s="26"/>
      <c r="BNC50" s="26"/>
      <c r="BND50" s="67"/>
      <c r="BNE50" s="11"/>
      <c r="BNF50" s="11"/>
      <c r="BNG50" s="68"/>
      <c r="BNH50" s="83"/>
      <c r="BNI50" s="83"/>
      <c r="BNJ50" s="80"/>
      <c r="BNK50" s="70"/>
      <c r="BNL50" s="70"/>
      <c r="BNM50" s="25"/>
      <c r="BNN50" s="26"/>
      <c r="BNO50" s="26"/>
      <c r="BNP50" s="67"/>
      <c r="BNQ50" s="11"/>
      <c r="BNR50" s="11"/>
      <c r="BNS50" s="68"/>
      <c r="BNT50" s="83"/>
      <c r="BNU50" s="83"/>
      <c r="BNV50" s="80"/>
      <c r="BNW50" s="70"/>
      <c r="BNX50" s="70"/>
      <c r="BNY50" s="25"/>
      <c r="BNZ50" s="26"/>
      <c r="BOA50" s="26"/>
      <c r="BOB50" s="67"/>
      <c r="BOC50" s="11"/>
      <c r="BOD50" s="11"/>
      <c r="BOE50" s="68"/>
      <c r="BOF50" s="83"/>
      <c r="BOG50" s="83"/>
      <c r="BOH50" s="80"/>
      <c r="BOI50" s="70"/>
      <c r="BOJ50" s="70"/>
      <c r="BOK50" s="25"/>
      <c r="BOL50" s="26"/>
      <c r="BOM50" s="26"/>
      <c r="BON50" s="67"/>
      <c r="BOO50" s="11"/>
      <c r="BOP50" s="11"/>
      <c r="BOQ50" s="68"/>
      <c r="BOR50" s="83"/>
      <c r="BOS50" s="83"/>
      <c r="BOT50" s="80"/>
      <c r="BOU50" s="70"/>
      <c r="BOV50" s="70"/>
      <c r="BOW50" s="25"/>
      <c r="BOX50" s="26"/>
      <c r="BOY50" s="26"/>
      <c r="BOZ50" s="67"/>
      <c r="BPA50" s="11"/>
      <c r="BPB50" s="11"/>
      <c r="BPC50" s="68"/>
      <c r="BPD50" s="83"/>
      <c r="BPE50" s="83"/>
      <c r="BPF50" s="80"/>
      <c r="BPG50" s="70"/>
      <c r="BPH50" s="70"/>
      <c r="BPI50" s="25"/>
      <c r="BPJ50" s="26"/>
      <c r="BPK50" s="26"/>
      <c r="BPL50" s="67"/>
      <c r="BPM50" s="11"/>
      <c r="BPN50" s="11"/>
      <c r="BPO50" s="68"/>
      <c r="BPP50" s="83"/>
      <c r="BPQ50" s="83"/>
      <c r="BPR50" s="80"/>
      <c r="BPS50" s="70"/>
      <c r="BPT50" s="70"/>
      <c r="BPU50" s="25"/>
      <c r="BPV50" s="26"/>
      <c r="BPW50" s="26"/>
      <c r="BPX50" s="67"/>
      <c r="BPY50" s="11"/>
      <c r="BPZ50" s="11"/>
      <c r="BQA50" s="68"/>
      <c r="BQB50" s="83"/>
      <c r="BQC50" s="83"/>
      <c r="BQD50" s="80"/>
      <c r="BQE50" s="70"/>
      <c r="BQF50" s="70"/>
      <c r="BQG50" s="25"/>
      <c r="BQH50" s="26"/>
      <c r="BQI50" s="26"/>
      <c r="BQJ50" s="67"/>
      <c r="BQK50" s="11"/>
      <c r="BQL50" s="11"/>
      <c r="BQM50" s="68"/>
      <c r="BQN50" s="83"/>
      <c r="BQO50" s="83"/>
      <c r="BQP50" s="80"/>
      <c r="BQQ50" s="70"/>
      <c r="BQR50" s="70"/>
      <c r="BQS50" s="25"/>
      <c r="BQT50" s="26"/>
      <c r="BQU50" s="26"/>
      <c r="BQV50" s="67"/>
      <c r="BQW50" s="11"/>
      <c r="BQX50" s="11"/>
      <c r="BQY50" s="68"/>
      <c r="BQZ50" s="83"/>
      <c r="BRA50" s="83"/>
      <c r="BRB50" s="80"/>
      <c r="BRC50" s="70"/>
      <c r="BRD50" s="70"/>
      <c r="BRE50" s="25"/>
      <c r="BRF50" s="26"/>
      <c r="BRG50" s="26"/>
      <c r="BRH50" s="67"/>
      <c r="BRI50" s="11"/>
      <c r="BRJ50" s="11"/>
      <c r="BRK50" s="68"/>
      <c r="BRL50" s="83"/>
      <c r="BRM50" s="83"/>
      <c r="BRN50" s="80"/>
      <c r="BRO50" s="70"/>
      <c r="BRP50" s="70"/>
      <c r="BRQ50" s="25"/>
      <c r="BRR50" s="26"/>
      <c r="BRS50" s="26"/>
      <c r="BRT50" s="67"/>
      <c r="BRU50" s="11"/>
      <c r="BRV50" s="11"/>
      <c r="BRW50" s="68"/>
      <c r="BRX50" s="83"/>
      <c r="BRY50" s="83"/>
      <c r="BRZ50" s="80"/>
      <c r="BSA50" s="70"/>
      <c r="BSB50" s="70"/>
      <c r="BSC50" s="25"/>
      <c r="BSD50" s="26"/>
      <c r="BSE50" s="26"/>
      <c r="BSF50" s="67"/>
      <c r="BSG50" s="11"/>
      <c r="BSH50" s="11"/>
      <c r="BSI50" s="68"/>
      <c r="BSJ50" s="83"/>
      <c r="BSK50" s="83"/>
      <c r="BSL50" s="80"/>
      <c r="BSM50" s="70"/>
      <c r="BSN50" s="70"/>
      <c r="BSO50" s="25"/>
      <c r="BSP50" s="26"/>
      <c r="BSQ50" s="26"/>
      <c r="BSR50" s="67"/>
      <c r="BSS50" s="11"/>
      <c r="BST50" s="11"/>
      <c r="BSU50" s="68"/>
      <c r="BSV50" s="83"/>
      <c r="BSW50" s="83"/>
      <c r="BSX50" s="80"/>
      <c r="BSY50" s="70"/>
      <c r="BSZ50" s="70"/>
      <c r="BTA50" s="25"/>
      <c r="BTB50" s="26"/>
      <c r="BTC50" s="26"/>
      <c r="BTD50" s="67"/>
      <c r="BTE50" s="11"/>
      <c r="BTF50" s="11"/>
      <c r="BTG50" s="68"/>
      <c r="BTH50" s="83"/>
      <c r="BTI50" s="83"/>
      <c r="BTJ50" s="80"/>
      <c r="BTK50" s="70"/>
      <c r="BTL50" s="70"/>
      <c r="BTM50" s="25"/>
      <c r="BTN50" s="26"/>
      <c r="BTO50" s="26"/>
      <c r="BTP50" s="67"/>
      <c r="BTQ50" s="11"/>
      <c r="BTR50" s="11"/>
      <c r="BTS50" s="68"/>
      <c r="BTT50" s="83"/>
      <c r="BTU50" s="83"/>
      <c r="BTV50" s="80"/>
      <c r="BTW50" s="70"/>
      <c r="BTX50" s="70"/>
      <c r="BTY50" s="25"/>
      <c r="BTZ50" s="26"/>
      <c r="BUA50" s="26"/>
      <c r="BUB50" s="67"/>
      <c r="BUC50" s="11"/>
      <c r="BUD50" s="11"/>
      <c r="BUE50" s="68"/>
      <c r="BUF50" s="83"/>
      <c r="BUG50" s="83"/>
      <c r="BUH50" s="80"/>
      <c r="BUI50" s="70"/>
      <c r="BUJ50" s="70"/>
      <c r="BUK50" s="25"/>
      <c r="BUL50" s="26"/>
      <c r="BUM50" s="26"/>
      <c r="BUN50" s="67"/>
      <c r="BUO50" s="11"/>
      <c r="BUP50" s="11"/>
      <c r="BUQ50" s="68"/>
      <c r="BUR50" s="83"/>
      <c r="BUS50" s="83"/>
      <c r="BUT50" s="80"/>
      <c r="BUU50" s="70"/>
      <c r="BUV50" s="70"/>
      <c r="BUW50" s="25"/>
      <c r="BUX50" s="26"/>
      <c r="BUY50" s="26"/>
      <c r="BUZ50" s="67"/>
      <c r="BVA50" s="11"/>
      <c r="BVB50" s="11"/>
      <c r="BVC50" s="68"/>
      <c r="BVD50" s="83"/>
      <c r="BVE50" s="83"/>
      <c r="BVF50" s="80"/>
      <c r="BVG50" s="70"/>
      <c r="BVH50" s="70"/>
      <c r="BVI50" s="25"/>
      <c r="BVJ50" s="26"/>
      <c r="BVK50" s="26"/>
      <c r="BVL50" s="67"/>
      <c r="BVM50" s="11"/>
      <c r="BVN50" s="11"/>
      <c r="BVO50" s="68"/>
      <c r="BVP50" s="83"/>
      <c r="BVQ50" s="83"/>
      <c r="BVR50" s="80"/>
      <c r="BVS50" s="70"/>
      <c r="BVT50" s="70"/>
      <c r="BVU50" s="25"/>
      <c r="BVV50" s="26"/>
      <c r="BVW50" s="26"/>
      <c r="BVX50" s="67"/>
      <c r="BVY50" s="11"/>
      <c r="BVZ50" s="11"/>
      <c r="BWA50" s="68"/>
      <c r="BWB50" s="83"/>
      <c r="BWC50" s="83"/>
      <c r="BWD50" s="80"/>
      <c r="BWE50" s="70"/>
      <c r="BWF50" s="70"/>
      <c r="BWG50" s="25"/>
      <c r="BWH50" s="26"/>
      <c r="BWI50" s="26"/>
      <c r="BWJ50" s="67"/>
      <c r="BWK50" s="11"/>
      <c r="BWL50" s="11"/>
      <c r="BWM50" s="68"/>
      <c r="BWN50" s="83"/>
      <c r="BWO50" s="83"/>
      <c r="BWP50" s="80"/>
      <c r="BWQ50" s="70"/>
      <c r="BWR50" s="70"/>
      <c r="BWS50" s="25"/>
      <c r="BWT50" s="26"/>
      <c r="BWU50" s="26"/>
      <c r="BWV50" s="67"/>
      <c r="BWW50" s="11"/>
      <c r="BWX50" s="11"/>
      <c r="BWY50" s="68"/>
      <c r="BWZ50" s="83"/>
      <c r="BXA50" s="83"/>
      <c r="BXB50" s="80"/>
      <c r="BXC50" s="70"/>
      <c r="BXD50" s="70"/>
      <c r="BXE50" s="25"/>
      <c r="BXF50" s="26"/>
      <c r="BXG50" s="26"/>
      <c r="BXH50" s="67"/>
      <c r="BXI50" s="11"/>
      <c r="BXJ50" s="11"/>
      <c r="BXK50" s="68"/>
      <c r="BXL50" s="83"/>
      <c r="BXM50" s="83"/>
      <c r="BXN50" s="80"/>
      <c r="BXO50" s="70"/>
      <c r="BXP50" s="70"/>
      <c r="BXQ50" s="25"/>
      <c r="BXR50" s="26"/>
      <c r="BXS50" s="26"/>
      <c r="BXT50" s="67"/>
      <c r="BXU50" s="11"/>
      <c r="BXV50" s="11"/>
      <c r="BXW50" s="68"/>
      <c r="BXX50" s="83"/>
      <c r="BXY50" s="83"/>
      <c r="BXZ50" s="80"/>
      <c r="BYA50" s="70"/>
      <c r="BYB50" s="70"/>
      <c r="BYC50" s="25"/>
      <c r="BYD50" s="26"/>
      <c r="BYE50" s="26"/>
      <c r="BYF50" s="67"/>
      <c r="BYG50" s="11"/>
      <c r="BYH50" s="11"/>
      <c r="BYI50" s="68"/>
      <c r="BYJ50" s="83"/>
      <c r="BYK50" s="83"/>
      <c r="BYL50" s="80"/>
      <c r="BYM50" s="70"/>
      <c r="BYN50" s="70"/>
      <c r="BYO50" s="25"/>
      <c r="BYP50" s="26"/>
      <c r="BYQ50" s="26"/>
      <c r="BYR50" s="67"/>
      <c r="BYS50" s="11"/>
      <c r="BYT50" s="11"/>
      <c r="BYU50" s="68"/>
      <c r="BYV50" s="83"/>
      <c r="BYW50" s="83"/>
      <c r="BYX50" s="80"/>
      <c r="BYY50" s="70"/>
      <c r="BYZ50" s="70"/>
      <c r="BZA50" s="25"/>
      <c r="BZB50" s="26"/>
      <c r="BZC50" s="26"/>
      <c r="BZD50" s="67"/>
      <c r="BZE50" s="11"/>
      <c r="BZF50" s="11"/>
      <c r="BZG50" s="68"/>
      <c r="BZH50" s="83"/>
      <c r="BZI50" s="83"/>
      <c r="BZJ50" s="80"/>
      <c r="BZK50" s="70"/>
      <c r="BZL50" s="70"/>
      <c r="BZM50" s="25"/>
      <c r="BZN50" s="26"/>
      <c r="BZO50" s="26"/>
      <c r="BZP50" s="67"/>
      <c r="BZQ50" s="11"/>
      <c r="BZR50" s="11"/>
      <c r="BZS50" s="68"/>
      <c r="BZT50" s="83"/>
      <c r="BZU50" s="83"/>
      <c r="BZV50" s="80"/>
      <c r="BZW50" s="70"/>
      <c r="BZX50" s="70"/>
      <c r="BZY50" s="25"/>
      <c r="BZZ50" s="26"/>
      <c r="CAA50" s="26"/>
      <c r="CAB50" s="67"/>
      <c r="CAC50" s="11"/>
      <c r="CAD50" s="11"/>
      <c r="CAE50" s="68"/>
      <c r="CAF50" s="83"/>
      <c r="CAG50" s="83"/>
      <c r="CAH50" s="80"/>
      <c r="CAI50" s="70"/>
      <c r="CAJ50" s="70"/>
      <c r="CAK50" s="25"/>
      <c r="CAL50" s="26"/>
      <c r="CAM50" s="26"/>
      <c r="CAN50" s="67"/>
      <c r="CAO50" s="11"/>
      <c r="CAP50" s="11"/>
      <c r="CAQ50" s="68"/>
      <c r="CAR50" s="83"/>
      <c r="CAS50" s="83"/>
      <c r="CAT50" s="80"/>
      <c r="CAU50" s="70"/>
      <c r="CAV50" s="70"/>
      <c r="CAW50" s="25"/>
      <c r="CAX50" s="26"/>
      <c r="CAY50" s="26"/>
      <c r="CAZ50" s="67"/>
      <c r="CBA50" s="11"/>
      <c r="CBB50" s="11"/>
      <c r="CBC50" s="68"/>
      <c r="CBD50" s="83"/>
      <c r="CBE50" s="83"/>
      <c r="CBF50" s="80"/>
      <c r="CBG50" s="70"/>
      <c r="CBH50" s="70"/>
      <c r="CBI50" s="25"/>
      <c r="CBJ50" s="26"/>
      <c r="CBK50" s="26"/>
      <c r="CBL50" s="67"/>
      <c r="CBM50" s="11"/>
      <c r="CBN50" s="11"/>
      <c r="CBO50" s="68"/>
      <c r="CBP50" s="83"/>
      <c r="CBQ50" s="83"/>
      <c r="CBR50" s="80"/>
      <c r="CBS50" s="70"/>
      <c r="CBT50" s="70"/>
      <c r="CBU50" s="25"/>
      <c r="CBV50" s="26"/>
      <c r="CBW50" s="26"/>
      <c r="CBX50" s="67"/>
      <c r="CBY50" s="11"/>
      <c r="CBZ50" s="11"/>
      <c r="CCA50" s="68"/>
      <c r="CCB50" s="83"/>
      <c r="CCC50" s="83"/>
      <c r="CCD50" s="80"/>
      <c r="CCE50" s="70"/>
      <c r="CCF50" s="70"/>
      <c r="CCG50" s="25"/>
      <c r="CCH50" s="26"/>
      <c r="CCI50" s="26"/>
      <c r="CCJ50" s="67"/>
      <c r="CCK50" s="11"/>
      <c r="CCL50" s="11"/>
      <c r="CCM50" s="68"/>
      <c r="CCN50" s="83"/>
      <c r="CCO50" s="83"/>
      <c r="CCP50" s="80"/>
      <c r="CCQ50" s="70"/>
      <c r="CCR50" s="70"/>
      <c r="CCS50" s="25"/>
      <c r="CCT50" s="26"/>
      <c r="CCU50" s="26"/>
      <c r="CCV50" s="67"/>
      <c r="CCW50" s="11"/>
      <c r="CCX50" s="11"/>
      <c r="CCY50" s="68"/>
      <c r="CCZ50" s="83"/>
      <c r="CDA50" s="83"/>
      <c r="CDB50" s="80"/>
      <c r="CDC50" s="70"/>
      <c r="CDD50" s="70"/>
      <c r="CDE50" s="25"/>
      <c r="CDF50" s="26"/>
      <c r="CDG50" s="26"/>
      <c r="CDH50" s="67"/>
      <c r="CDI50" s="11"/>
      <c r="CDJ50" s="11"/>
      <c r="CDK50" s="68"/>
      <c r="CDL50" s="83"/>
      <c r="CDM50" s="83"/>
      <c r="CDN50" s="80"/>
      <c r="CDO50" s="70"/>
      <c r="CDP50" s="70"/>
      <c r="CDQ50" s="25"/>
      <c r="CDR50" s="26"/>
      <c r="CDS50" s="26"/>
      <c r="CDT50" s="67"/>
      <c r="CDU50" s="11"/>
      <c r="CDV50" s="11"/>
      <c r="CDW50" s="68"/>
      <c r="CDX50" s="83"/>
      <c r="CDY50" s="83"/>
      <c r="CDZ50" s="80"/>
      <c r="CEA50" s="70"/>
      <c r="CEB50" s="70"/>
      <c r="CEC50" s="25"/>
      <c r="CED50" s="26"/>
      <c r="CEE50" s="26"/>
      <c r="CEF50" s="67"/>
      <c r="CEG50" s="11"/>
      <c r="CEH50" s="11"/>
      <c r="CEI50" s="68"/>
      <c r="CEJ50" s="83"/>
      <c r="CEK50" s="83"/>
      <c r="CEL50" s="80"/>
      <c r="CEM50" s="70"/>
      <c r="CEN50" s="70"/>
      <c r="CEO50" s="25"/>
      <c r="CEP50" s="26"/>
      <c r="CEQ50" s="26"/>
      <c r="CER50" s="67"/>
      <c r="CES50" s="11"/>
      <c r="CET50" s="11"/>
      <c r="CEU50" s="68"/>
      <c r="CEV50" s="83"/>
      <c r="CEW50" s="83"/>
      <c r="CEX50" s="80"/>
      <c r="CEY50" s="70"/>
      <c r="CEZ50" s="70"/>
      <c r="CFA50" s="25"/>
      <c r="CFB50" s="26"/>
      <c r="CFC50" s="26"/>
      <c r="CFD50" s="67"/>
      <c r="CFE50" s="11"/>
      <c r="CFF50" s="11"/>
      <c r="CFG50" s="68"/>
      <c r="CFH50" s="83"/>
      <c r="CFI50" s="83"/>
      <c r="CFJ50" s="80"/>
      <c r="CFK50" s="70"/>
      <c r="CFL50" s="70"/>
      <c r="CFM50" s="25"/>
      <c r="CFN50" s="26"/>
      <c r="CFO50" s="26"/>
      <c r="CFP50" s="67"/>
      <c r="CFQ50" s="11"/>
      <c r="CFR50" s="11"/>
      <c r="CFS50" s="68"/>
      <c r="CFT50" s="83"/>
      <c r="CFU50" s="83"/>
      <c r="CFV50" s="80"/>
      <c r="CFW50" s="70"/>
      <c r="CFX50" s="70"/>
      <c r="CFY50" s="25"/>
      <c r="CFZ50" s="26"/>
      <c r="CGA50" s="26"/>
      <c r="CGB50" s="67"/>
      <c r="CGC50" s="11"/>
      <c r="CGD50" s="11"/>
      <c r="CGE50" s="68"/>
      <c r="CGF50" s="83"/>
      <c r="CGG50" s="83"/>
      <c r="CGH50" s="80"/>
      <c r="CGI50" s="70"/>
      <c r="CGJ50" s="70"/>
      <c r="CGK50" s="25"/>
      <c r="CGL50" s="26"/>
      <c r="CGM50" s="26"/>
      <c r="CGN50" s="67"/>
      <c r="CGO50" s="11"/>
      <c r="CGP50" s="11"/>
      <c r="CGQ50" s="68"/>
      <c r="CGR50" s="83"/>
      <c r="CGS50" s="83"/>
      <c r="CGT50" s="80"/>
      <c r="CGU50" s="70"/>
      <c r="CGV50" s="70"/>
      <c r="CGW50" s="25"/>
      <c r="CGX50" s="26"/>
      <c r="CGY50" s="26"/>
      <c r="CGZ50" s="67"/>
      <c r="CHA50" s="11"/>
      <c r="CHB50" s="11"/>
      <c r="CHC50" s="68"/>
      <c r="CHD50" s="83"/>
      <c r="CHE50" s="83"/>
      <c r="CHF50" s="80"/>
      <c r="CHG50" s="70"/>
      <c r="CHH50" s="70"/>
      <c r="CHI50" s="25"/>
      <c r="CHJ50" s="26"/>
      <c r="CHK50" s="26"/>
      <c r="CHL50" s="67"/>
      <c r="CHM50" s="11"/>
      <c r="CHN50" s="11"/>
      <c r="CHO50" s="68"/>
      <c r="CHP50" s="83"/>
      <c r="CHQ50" s="83"/>
      <c r="CHR50" s="80"/>
      <c r="CHS50" s="70"/>
      <c r="CHT50" s="70"/>
      <c r="CHU50" s="25"/>
      <c r="CHV50" s="26"/>
      <c r="CHW50" s="26"/>
      <c r="CHX50" s="67"/>
      <c r="CHY50" s="11"/>
      <c r="CHZ50" s="11"/>
      <c r="CIA50" s="68"/>
      <c r="CIB50" s="83"/>
      <c r="CIC50" s="83"/>
      <c r="CID50" s="80"/>
      <c r="CIE50" s="70"/>
      <c r="CIF50" s="70"/>
      <c r="CIG50" s="25"/>
      <c r="CIH50" s="26"/>
      <c r="CII50" s="26"/>
      <c r="CIJ50" s="67"/>
      <c r="CIK50" s="11"/>
      <c r="CIL50" s="11"/>
      <c r="CIM50" s="68"/>
      <c r="CIN50" s="83"/>
      <c r="CIO50" s="83"/>
      <c r="CIP50" s="80"/>
      <c r="CIQ50" s="70"/>
      <c r="CIR50" s="70"/>
      <c r="CIS50" s="25"/>
      <c r="CIT50" s="26"/>
      <c r="CIU50" s="26"/>
      <c r="CIV50" s="67"/>
      <c r="CIW50" s="11"/>
      <c r="CIX50" s="11"/>
      <c r="CIY50" s="68"/>
      <c r="CIZ50" s="83"/>
      <c r="CJA50" s="83"/>
      <c r="CJB50" s="80"/>
      <c r="CJC50" s="70"/>
      <c r="CJD50" s="70"/>
      <c r="CJE50" s="25"/>
      <c r="CJF50" s="26"/>
      <c r="CJG50" s="26"/>
      <c r="CJH50" s="67"/>
      <c r="CJI50" s="11"/>
      <c r="CJJ50" s="11"/>
      <c r="CJK50" s="68"/>
      <c r="CJL50" s="83"/>
      <c r="CJM50" s="83"/>
      <c r="CJN50" s="80"/>
      <c r="CJO50" s="70"/>
      <c r="CJP50" s="70"/>
      <c r="CJQ50" s="25"/>
      <c r="CJR50" s="26"/>
      <c r="CJS50" s="26"/>
      <c r="CJT50" s="67"/>
      <c r="CJU50" s="11"/>
      <c r="CJV50" s="11"/>
      <c r="CJW50" s="68"/>
      <c r="CJX50" s="83"/>
      <c r="CJY50" s="83"/>
      <c r="CJZ50" s="80"/>
      <c r="CKA50" s="70"/>
      <c r="CKB50" s="70"/>
      <c r="CKC50" s="25"/>
      <c r="CKD50" s="26"/>
      <c r="CKE50" s="26"/>
      <c r="CKF50" s="67"/>
      <c r="CKG50" s="11"/>
      <c r="CKH50" s="11"/>
      <c r="CKI50" s="68"/>
      <c r="CKJ50" s="83"/>
      <c r="CKK50" s="83"/>
      <c r="CKL50" s="80"/>
      <c r="CKM50" s="70"/>
      <c r="CKN50" s="70"/>
      <c r="CKO50" s="25"/>
      <c r="CKP50" s="26"/>
      <c r="CKQ50" s="26"/>
      <c r="CKR50" s="67"/>
      <c r="CKS50" s="11"/>
      <c r="CKT50" s="11"/>
      <c r="CKU50" s="68"/>
      <c r="CKV50" s="83"/>
      <c r="CKW50" s="83"/>
      <c r="CKX50" s="80"/>
      <c r="CKY50" s="70"/>
      <c r="CKZ50" s="70"/>
      <c r="CLA50" s="25"/>
      <c r="CLB50" s="26"/>
      <c r="CLC50" s="26"/>
      <c r="CLD50" s="67"/>
      <c r="CLE50" s="11"/>
      <c r="CLF50" s="11"/>
      <c r="CLG50" s="68"/>
      <c r="CLH50" s="83"/>
      <c r="CLI50" s="83"/>
      <c r="CLJ50" s="80"/>
      <c r="CLK50" s="70"/>
      <c r="CLL50" s="70"/>
      <c r="CLM50" s="25"/>
      <c r="CLN50" s="26"/>
      <c r="CLO50" s="26"/>
      <c r="CLP50" s="67"/>
      <c r="CLQ50" s="11"/>
      <c r="CLR50" s="11"/>
      <c r="CLS50" s="68"/>
      <c r="CLT50" s="83"/>
      <c r="CLU50" s="83"/>
      <c r="CLV50" s="80"/>
      <c r="CLW50" s="70"/>
      <c r="CLX50" s="70"/>
      <c r="CLY50" s="25"/>
      <c r="CLZ50" s="26"/>
      <c r="CMA50" s="26"/>
      <c r="CMB50" s="67"/>
      <c r="CMC50" s="11"/>
      <c r="CMD50" s="11"/>
      <c r="CME50" s="68"/>
      <c r="CMF50" s="83"/>
      <c r="CMG50" s="83"/>
      <c r="CMH50" s="80"/>
      <c r="CMI50" s="70"/>
      <c r="CMJ50" s="70"/>
      <c r="CMK50" s="25"/>
      <c r="CML50" s="26"/>
      <c r="CMM50" s="26"/>
      <c r="CMN50" s="67"/>
      <c r="CMO50" s="11"/>
      <c r="CMP50" s="11"/>
      <c r="CMQ50" s="68"/>
      <c r="CMR50" s="83"/>
      <c r="CMS50" s="83"/>
      <c r="CMT50" s="80"/>
      <c r="CMU50" s="70"/>
      <c r="CMV50" s="70"/>
      <c r="CMW50" s="25"/>
      <c r="CMX50" s="26"/>
      <c r="CMY50" s="26"/>
      <c r="CMZ50" s="67"/>
      <c r="CNA50" s="11"/>
      <c r="CNB50" s="11"/>
      <c r="CNC50" s="68"/>
      <c r="CND50" s="83"/>
      <c r="CNE50" s="83"/>
      <c r="CNF50" s="80"/>
      <c r="CNG50" s="70"/>
      <c r="CNH50" s="70"/>
      <c r="CNI50" s="25"/>
      <c r="CNJ50" s="26"/>
      <c r="CNK50" s="26"/>
      <c r="CNL50" s="67"/>
      <c r="CNM50" s="11"/>
      <c r="CNN50" s="11"/>
      <c r="CNO50" s="68"/>
      <c r="CNP50" s="83"/>
      <c r="CNQ50" s="83"/>
      <c r="CNR50" s="80"/>
      <c r="CNS50" s="70"/>
      <c r="CNT50" s="70"/>
      <c r="CNU50" s="25"/>
      <c r="CNV50" s="26"/>
      <c r="CNW50" s="26"/>
      <c r="CNX50" s="67"/>
      <c r="CNY50" s="11"/>
      <c r="CNZ50" s="11"/>
      <c r="COA50" s="68"/>
      <c r="COB50" s="83"/>
      <c r="COC50" s="83"/>
      <c r="COD50" s="80"/>
      <c r="COE50" s="70"/>
      <c r="COF50" s="70"/>
      <c r="COG50" s="25"/>
      <c r="COH50" s="26"/>
      <c r="COI50" s="26"/>
      <c r="COJ50" s="67"/>
      <c r="COK50" s="11"/>
      <c r="COL50" s="11"/>
      <c r="COM50" s="68"/>
      <c r="CON50" s="83"/>
      <c r="COO50" s="83"/>
      <c r="COP50" s="80"/>
      <c r="COQ50" s="70"/>
      <c r="COR50" s="70"/>
      <c r="COS50" s="25"/>
      <c r="COT50" s="26"/>
      <c r="COU50" s="26"/>
      <c r="COV50" s="67"/>
      <c r="COW50" s="11"/>
      <c r="COX50" s="11"/>
      <c r="COY50" s="68"/>
      <c r="COZ50" s="83"/>
      <c r="CPA50" s="83"/>
      <c r="CPB50" s="80"/>
      <c r="CPC50" s="70"/>
      <c r="CPD50" s="70"/>
      <c r="CPE50" s="25"/>
      <c r="CPF50" s="26"/>
      <c r="CPG50" s="26"/>
      <c r="CPH50" s="67"/>
      <c r="CPI50" s="11"/>
      <c r="CPJ50" s="11"/>
      <c r="CPK50" s="68"/>
      <c r="CPL50" s="83"/>
      <c r="CPM50" s="83"/>
      <c r="CPN50" s="80"/>
      <c r="CPO50" s="70"/>
      <c r="CPP50" s="70"/>
      <c r="CPQ50" s="25"/>
      <c r="CPR50" s="26"/>
      <c r="CPS50" s="26"/>
      <c r="CPT50" s="67"/>
      <c r="CPU50" s="11"/>
      <c r="CPV50" s="11"/>
      <c r="CPW50" s="68"/>
      <c r="CPX50" s="83"/>
      <c r="CPY50" s="83"/>
      <c r="CPZ50" s="80"/>
      <c r="CQA50" s="70"/>
      <c r="CQB50" s="70"/>
      <c r="CQC50" s="25"/>
      <c r="CQD50" s="26"/>
      <c r="CQE50" s="26"/>
      <c r="CQF50" s="67"/>
      <c r="CQG50" s="11"/>
      <c r="CQH50" s="11"/>
      <c r="CQI50" s="68"/>
      <c r="CQJ50" s="83"/>
      <c r="CQK50" s="83"/>
      <c r="CQL50" s="80"/>
      <c r="CQM50" s="70"/>
      <c r="CQN50" s="70"/>
      <c r="CQO50" s="25"/>
      <c r="CQP50" s="26"/>
      <c r="CQQ50" s="26"/>
      <c r="CQR50" s="67"/>
      <c r="CQS50" s="11"/>
      <c r="CQT50" s="11"/>
      <c r="CQU50" s="68"/>
      <c r="CQV50" s="83"/>
      <c r="CQW50" s="83"/>
      <c r="CQX50" s="80"/>
      <c r="CQY50" s="70"/>
      <c r="CQZ50" s="70"/>
      <c r="CRA50" s="25"/>
      <c r="CRB50" s="26"/>
      <c r="CRC50" s="26"/>
      <c r="CRD50" s="67"/>
      <c r="CRE50" s="11"/>
      <c r="CRF50" s="11"/>
      <c r="CRG50" s="68"/>
      <c r="CRH50" s="83"/>
      <c r="CRI50" s="83"/>
      <c r="CRJ50" s="80"/>
      <c r="CRK50" s="70"/>
      <c r="CRL50" s="70"/>
      <c r="CRM50" s="25"/>
      <c r="CRN50" s="26"/>
      <c r="CRO50" s="26"/>
      <c r="CRP50" s="67"/>
      <c r="CRQ50" s="11"/>
      <c r="CRR50" s="11"/>
      <c r="CRS50" s="68"/>
      <c r="CRT50" s="83"/>
      <c r="CRU50" s="83"/>
      <c r="CRV50" s="80"/>
      <c r="CRW50" s="70"/>
      <c r="CRX50" s="70"/>
      <c r="CRY50" s="25"/>
      <c r="CRZ50" s="26"/>
      <c r="CSA50" s="26"/>
      <c r="CSB50" s="67"/>
      <c r="CSC50" s="11"/>
      <c r="CSD50" s="11"/>
      <c r="CSE50" s="68"/>
      <c r="CSF50" s="83"/>
      <c r="CSG50" s="83"/>
      <c r="CSH50" s="80"/>
      <c r="CSI50" s="70"/>
      <c r="CSJ50" s="70"/>
      <c r="CSK50" s="25"/>
      <c r="CSL50" s="26"/>
      <c r="CSM50" s="26"/>
      <c r="CSN50" s="67"/>
      <c r="CSO50" s="11"/>
      <c r="CSP50" s="11"/>
      <c r="CSQ50" s="68"/>
      <c r="CSR50" s="83"/>
      <c r="CSS50" s="83"/>
      <c r="CST50" s="80"/>
      <c r="CSU50" s="70"/>
      <c r="CSV50" s="70"/>
      <c r="CSW50" s="25"/>
      <c r="CSX50" s="26"/>
      <c r="CSY50" s="26"/>
      <c r="CSZ50" s="67"/>
      <c r="CTA50" s="11"/>
      <c r="CTB50" s="11"/>
      <c r="CTC50" s="68"/>
      <c r="CTD50" s="83"/>
      <c r="CTE50" s="83"/>
      <c r="CTF50" s="80"/>
      <c r="CTG50" s="70"/>
      <c r="CTH50" s="70"/>
      <c r="CTI50" s="25"/>
      <c r="CTJ50" s="26"/>
      <c r="CTK50" s="26"/>
      <c r="CTL50" s="67"/>
      <c r="CTM50" s="11"/>
      <c r="CTN50" s="11"/>
      <c r="CTO50" s="68"/>
      <c r="CTP50" s="83"/>
      <c r="CTQ50" s="83"/>
      <c r="CTR50" s="80"/>
      <c r="CTS50" s="70"/>
      <c r="CTT50" s="70"/>
      <c r="CTU50" s="25"/>
      <c r="CTV50" s="26"/>
      <c r="CTW50" s="26"/>
      <c r="CTX50" s="67"/>
      <c r="CTY50" s="11"/>
      <c r="CTZ50" s="11"/>
      <c r="CUA50" s="68"/>
      <c r="CUB50" s="83"/>
      <c r="CUC50" s="83"/>
      <c r="CUD50" s="80"/>
      <c r="CUE50" s="70"/>
      <c r="CUF50" s="70"/>
      <c r="CUG50" s="25"/>
      <c r="CUH50" s="26"/>
      <c r="CUI50" s="26"/>
      <c r="CUJ50" s="67"/>
      <c r="CUK50" s="11"/>
      <c r="CUL50" s="11"/>
      <c r="CUM50" s="68"/>
      <c r="CUN50" s="83"/>
      <c r="CUO50" s="83"/>
      <c r="CUP50" s="80"/>
      <c r="CUQ50" s="70"/>
      <c r="CUR50" s="70"/>
      <c r="CUS50" s="25"/>
      <c r="CUT50" s="26"/>
      <c r="CUU50" s="26"/>
      <c r="CUV50" s="67"/>
      <c r="CUW50" s="11"/>
      <c r="CUX50" s="11"/>
      <c r="CUY50" s="68"/>
      <c r="CUZ50" s="83"/>
      <c r="CVA50" s="83"/>
      <c r="CVB50" s="80"/>
      <c r="CVC50" s="70"/>
      <c r="CVD50" s="70"/>
      <c r="CVE50" s="25"/>
      <c r="CVF50" s="26"/>
      <c r="CVG50" s="26"/>
      <c r="CVH50" s="67"/>
      <c r="CVI50" s="11"/>
      <c r="CVJ50" s="11"/>
      <c r="CVK50" s="68"/>
      <c r="CVL50" s="83"/>
      <c r="CVM50" s="83"/>
      <c r="CVN50" s="80"/>
      <c r="CVO50" s="70"/>
      <c r="CVP50" s="70"/>
      <c r="CVQ50" s="25"/>
      <c r="CVR50" s="26"/>
      <c r="CVS50" s="26"/>
      <c r="CVT50" s="67"/>
      <c r="CVU50" s="11"/>
      <c r="CVV50" s="11"/>
      <c r="CVW50" s="68"/>
      <c r="CVX50" s="83"/>
      <c r="CVY50" s="83"/>
      <c r="CVZ50" s="80"/>
      <c r="CWA50" s="70"/>
      <c r="CWB50" s="70"/>
      <c r="CWC50" s="25"/>
      <c r="CWD50" s="26"/>
      <c r="CWE50" s="26"/>
      <c r="CWF50" s="67"/>
      <c r="CWG50" s="11"/>
      <c r="CWH50" s="11"/>
      <c r="CWI50" s="68"/>
      <c r="CWJ50" s="83"/>
      <c r="CWK50" s="83"/>
      <c r="CWL50" s="80"/>
      <c r="CWM50" s="70"/>
      <c r="CWN50" s="70"/>
      <c r="CWO50" s="25"/>
      <c r="CWP50" s="26"/>
      <c r="CWQ50" s="26"/>
      <c r="CWR50" s="67"/>
      <c r="CWS50" s="11"/>
      <c r="CWT50" s="11"/>
      <c r="CWU50" s="68"/>
      <c r="CWV50" s="83"/>
      <c r="CWW50" s="83"/>
      <c r="CWX50" s="80"/>
      <c r="CWY50" s="70"/>
      <c r="CWZ50" s="70"/>
      <c r="CXA50" s="25"/>
      <c r="CXB50" s="26"/>
      <c r="CXC50" s="26"/>
      <c r="CXD50" s="67"/>
      <c r="CXE50" s="11"/>
      <c r="CXF50" s="11"/>
      <c r="CXG50" s="68"/>
      <c r="CXH50" s="83"/>
      <c r="CXI50" s="83"/>
      <c r="CXJ50" s="80"/>
      <c r="CXK50" s="70"/>
      <c r="CXL50" s="70"/>
      <c r="CXM50" s="25"/>
      <c r="CXN50" s="26"/>
      <c r="CXO50" s="26"/>
      <c r="CXP50" s="67"/>
      <c r="CXQ50" s="11"/>
      <c r="CXR50" s="11"/>
      <c r="CXS50" s="68"/>
      <c r="CXT50" s="83"/>
      <c r="CXU50" s="83"/>
      <c r="CXV50" s="80"/>
      <c r="CXW50" s="70"/>
      <c r="CXX50" s="70"/>
      <c r="CXY50" s="25"/>
      <c r="CXZ50" s="26"/>
      <c r="CYA50" s="26"/>
      <c r="CYB50" s="67"/>
      <c r="CYC50" s="11"/>
      <c r="CYD50" s="11"/>
      <c r="CYE50" s="68"/>
      <c r="CYF50" s="83"/>
      <c r="CYG50" s="83"/>
      <c r="CYH50" s="80"/>
      <c r="CYI50" s="70"/>
      <c r="CYJ50" s="70"/>
      <c r="CYK50" s="25"/>
      <c r="CYL50" s="26"/>
      <c r="CYM50" s="26"/>
      <c r="CYN50" s="67"/>
      <c r="CYO50" s="11"/>
      <c r="CYP50" s="11"/>
      <c r="CYQ50" s="68"/>
      <c r="CYR50" s="83"/>
      <c r="CYS50" s="83"/>
      <c r="CYT50" s="80"/>
      <c r="CYU50" s="70"/>
      <c r="CYV50" s="70"/>
      <c r="CYW50" s="25"/>
      <c r="CYX50" s="26"/>
      <c r="CYY50" s="26"/>
      <c r="CYZ50" s="67"/>
      <c r="CZA50" s="11"/>
      <c r="CZB50" s="11"/>
      <c r="CZC50" s="68"/>
      <c r="CZD50" s="83"/>
      <c r="CZE50" s="83"/>
      <c r="CZF50" s="80"/>
      <c r="CZG50" s="70"/>
      <c r="CZH50" s="70"/>
      <c r="CZI50" s="25"/>
      <c r="CZJ50" s="26"/>
      <c r="CZK50" s="26"/>
      <c r="CZL50" s="67"/>
      <c r="CZM50" s="11"/>
      <c r="CZN50" s="11"/>
      <c r="CZO50" s="68"/>
      <c r="CZP50" s="83"/>
      <c r="CZQ50" s="83"/>
      <c r="CZR50" s="80"/>
      <c r="CZS50" s="70"/>
      <c r="CZT50" s="70"/>
      <c r="CZU50" s="25"/>
      <c r="CZV50" s="26"/>
      <c r="CZW50" s="26"/>
      <c r="CZX50" s="67"/>
      <c r="CZY50" s="11"/>
      <c r="CZZ50" s="11"/>
      <c r="DAA50" s="68"/>
      <c r="DAB50" s="83"/>
      <c r="DAC50" s="83"/>
      <c r="DAD50" s="80"/>
      <c r="DAE50" s="70"/>
      <c r="DAF50" s="70"/>
      <c r="DAG50" s="25"/>
      <c r="DAH50" s="26"/>
      <c r="DAI50" s="26"/>
      <c r="DAJ50" s="67"/>
      <c r="DAK50" s="11"/>
      <c r="DAL50" s="11"/>
      <c r="DAM50" s="68"/>
      <c r="DAN50" s="83"/>
      <c r="DAO50" s="83"/>
      <c r="DAP50" s="80"/>
      <c r="DAQ50" s="70"/>
      <c r="DAR50" s="70"/>
      <c r="DAS50" s="25"/>
      <c r="DAT50" s="26"/>
      <c r="DAU50" s="26"/>
      <c r="DAV50" s="67"/>
      <c r="DAW50" s="11"/>
      <c r="DAX50" s="11"/>
      <c r="DAY50" s="68"/>
      <c r="DAZ50" s="83"/>
      <c r="DBA50" s="83"/>
      <c r="DBB50" s="80"/>
      <c r="DBC50" s="70"/>
      <c r="DBD50" s="70"/>
      <c r="DBE50" s="25"/>
      <c r="DBF50" s="26"/>
      <c r="DBG50" s="26"/>
      <c r="DBH50" s="67"/>
      <c r="DBI50" s="11"/>
      <c r="DBJ50" s="11"/>
      <c r="DBK50" s="68"/>
      <c r="DBL50" s="83"/>
      <c r="DBM50" s="83"/>
      <c r="DBN50" s="80"/>
      <c r="DBO50" s="70"/>
      <c r="DBP50" s="70"/>
      <c r="DBQ50" s="25"/>
      <c r="DBR50" s="26"/>
      <c r="DBS50" s="26"/>
      <c r="DBT50" s="67"/>
      <c r="DBU50" s="11"/>
      <c r="DBV50" s="11"/>
      <c r="DBW50" s="68"/>
      <c r="DBX50" s="83"/>
      <c r="DBY50" s="83"/>
      <c r="DBZ50" s="80"/>
      <c r="DCA50" s="70"/>
      <c r="DCB50" s="70"/>
      <c r="DCC50" s="25"/>
      <c r="DCD50" s="26"/>
      <c r="DCE50" s="26"/>
      <c r="DCF50" s="67"/>
      <c r="DCG50" s="11"/>
      <c r="DCH50" s="11"/>
      <c r="DCI50" s="68"/>
      <c r="DCJ50" s="83"/>
      <c r="DCK50" s="83"/>
      <c r="DCL50" s="80"/>
      <c r="DCM50" s="70"/>
      <c r="DCN50" s="70"/>
      <c r="DCO50" s="25"/>
      <c r="DCP50" s="26"/>
      <c r="DCQ50" s="26"/>
      <c r="DCR50" s="67"/>
      <c r="DCS50" s="11"/>
      <c r="DCT50" s="11"/>
      <c r="DCU50" s="68"/>
      <c r="DCV50" s="83"/>
      <c r="DCW50" s="83"/>
      <c r="DCX50" s="80"/>
      <c r="DCY50" s="70"/>
      <c r="DCZ50" s="70"/>
      <c r="DDA50" s="25"/>
      <c r="DDB50" s="26"/>
      <c r="DDC50" s="26"/>
      <c r="DDD50" s="67"/>
      <c r="DDE50" s="11"/>
      <c r="DDF50" s="11"/>
      <c r="DDG50" s="68"/>
      <c r="DDH50" s="83"/>
      <c r="DDI50" s="83"/>
      <c r="DDJ50" s="80"/>
      <c r="DDK50" s="70"/>
      <c r="DDL50" s="70"/>
      <c r="DDM50" s="25"/>
      <c r="DDN50" s="26"/>
      <c r="DDO50" s="26"/>
      <c r="DDP50" s="67"/>
      <c r="DDQ50" s="11"/>
      <c r="DDR50" s="11"/>
      <c r="DDS50" s="68"/>
      <c r="DDT50" s="83"/>
      <c r="DDU50" s="83"/>
      <c r="DDV50" s="80"/>
      <c r="DDW50" s="70"/>
      <c r="DDX50" s="70"/>
      <c r="DDY50" s="25"/>
      <c r="DDZ50" s="26"/>
      <c r="DEA50" s="26"/>
      <c r="DEB50" s="67"/>
      <c r="DEC50" s="11"/>
      <c r="DED50" s="11"/>
      <c r="DEE50" s="68"/>
      <c r="DEF50" s="83"/>
      <c r="DEG50" s="83"/>
      <c r="DEH50" s="80"/>
      <c r="DEI50" s="70"/>
      <c r="DEJ50" s="70"/>
      <c r="DEK50" s="25"/>
      <c r="DEL50" s="26"/>
      <c r="DEM50" s="26"/>
      <c r="DEN50" s="67"/>
      <c r="DEO50" s="11"/>
      <c r="DEP50" s="11"/>
      <c r="DEQ50" s="68"/>
      <c r="DER50" s="83"/>
      <c r="DES50" s="83"/>
      <c r="DET50" s="80"/>
      <c r="DEU50" s="70"/>
      <c r="DEV50" s="70"/>
      <c r="DEW50" s="25"/>
      <c r="DEX50" s="26"/>
      <c r="DEY50" s="26"/>
      <c r="DEZ50" s="67"/>
      <c r="DFA50" s="11"/>
      <c r="DFB50" s="11"/>
      <c r="DFC50" s="68"/>
      <c r="DFD50" s="83"/>
      <c r="DFE50" s="83"/>
      <c r="DFF50" s="80"/>
      <c r="DFG50" s="70"/>
      <c r="DFH50" s="70"/>
      <c r="DFI50" s="25"/>
      <c r="DFJ50" s="26"/>
      <c r="DFK50" s="26"/>
      <c r="DFL50" s="67"/>
      <c r="DFM50" s="11"/>
      <c r="DFN50" s="11"/>
      <c r="DFO50" s="68"/>
      <c r="DFP50" s="83"/>
      <c r="DFQ50" s="83"/>
      <c r="DFR50" s="80"/>
      <c r="DFS50" s="70"/>
      <c r="DFT50" s="70"/>
      <c r="DFU50" s="25"/>
      <c r="DFV50" s="26"/>
      <c r="DFW50" s="26"/>
      <c r="DFX50" s="67"/>
      <c r="DFY50" s="11"/>
      <c r="DFZ50" s="11"/>
      <c r="DGA50" s="68"/>
      <c r="DGB50" s="83"/>
      <c r="DGC50" s="83"/>
      <c r="DGD50" s="80"/>
      <c r="DGE50" s="70"/>
      <c r="DGF50" s="70"/>
      <c r="DGG50" s="25"/>
      <c r="DGH50" s="26"/>
      <c r="DGI50" s="26"/>
      <c r="DGJ50" s="67"/>
      <c r="DGK50" s="11"/>
      <c r="DGL50" s="11"/>
      <c r="DGM50" s="68"/>
      <c r="DGN50" s="83"/>
      <c r="DGO50" s="83"/>
      <c r="DGP50" s="80"/>
      <c r="DGQ50" s="70"/>
      <c r="DGR50" s="70"/>
      <c r="DGS50" s="25"/>
      <c r="DGT50" s="26"/>
      <c r="DGU50" s="26"/>
      <c r="DGV50" s="67"/>
      <c r="DGW50" s="11"/>
      <c r="DGX50" s="11"/>
      <c r="DGY50" s="68"/>
      <c r="DGZ50" s="83"/>
      <c r="DHA50" s="83"/>
      <c r="DHB50" s="80"/>
      <c r="DHC50" s="70"/>
      <c r="DHD50" s="70"/>
      <c r="DHE50" s="25"/>
      <c r="DHF50" s="26"/>
      <c r="DHG50" s="26"/>
      <c r="DHH50" s="67"/>
      <c r="DHI50" s="11"/>
      <c r="DHJ50" s="11"/>
      <c r="DHK50" s="68"/>
      <c r="DHL50" s="83"/>
      <c r="DHM50" s="83"/>
      <c r="DHN50" s="80"/>
      <c r="DHO50" s="70"/>
      <c r="DHP50" s="70"/>
      <c r="DHQ50" s="25"/>
      <c r="DHR50" s="26"/>
      <c r="DHS50" s="26"/>
      <c r="DHT50" s="67"/>
      <c r="DHU50" s="11"/>
      <c r="DHV50" s="11"/>
      <c r="DHW50" s="68"/>
      <c r="DHX50" s="83"/>
      <c r="DHY50" s="83"/>
      <c r="DHZ50" s="80"/>
      <c r="DIA50" s="70"/>
      <c r="DIB50" s="70"/>
      <c r="DIC50" s="25"/>
      <c r="DID50" s="26"/>
      <c r="DIE50" s="26"/>
      <c r="DIF50" s="67"/>
      <c r="DIG50" s="11"/>
      <c r="DIH50" s="11"/>
      <c r="DII50" s="68"/>
      <c r="DIJ50" s="83"/>
      <c r="DIK50" s="83"/>
      <c r="DIL50" s="80"/>
      <c r="DIM50" s="70"/>
      <c r="DIN50" s="70"/>
      <c r="DIO50" s="25"/>
      <c r="DIP50" s="26"/>
      <c r="DIQ50" s="26"/>
      <c r="DIR50" s="67"/>
      <c r="DIS50" s="11"/>
      <c r="DIT50" s="11"/>
      <c r="DIU50" s="68"/>
      <c r="DIV50" s="83"/>
      <c r="DIW50" s="83"/>
      <c r="DIX50" s="80"/>
      <c r="DIY50" s="70"/>
      <c r="DIZ50" s="70"/>
      <c r="DJA50" s="25"/>
      <c r="DJB50" s="26"/>
      <c r="DJC50" s="26"/>
      <c r="DJD50" s="67"/>
      <c r="DJE50" s="11"/>
      <c r="DJF50" s="11"/>
      <c r="DJG50" s="68"/>
      <c r="DJH50" s="83"/>
      <c r="DJI50" s="83"/>
      <c r="DJJ50" s="80"/>
      <c r="DJK50" s="70"/>
      <c r="DJL50" s="70"/>
      <c r="DJM50" s="25"/>
      <c r="DJN50" s="26"/>
      <c r="DJO50" s="26"/>
      <c r="DJP50" s="67"/>
      <c r="DJQ50" s="11"/>
      <c r="DJR50" s="11"/>
      <c r="DJS50" s="68"/>
      <c r="DJT50" s="83"/>
      <c r="DJU50" s="83"/>
      <c r="DJV50" s="80"/>
      <c r="DJW50" s="70"/>
      <c r="DJX50" s="70"/>
      <c r="DJY50" s="25"/>
      <c r="DJZ50" s="26"/>
      <c r="DKA50" s="26"/>
      <c r="DKB50" s="67"/>
      <c r="DKC50" s="11"/>
      <c r="DKD50" s="11"/>
      <c r="DKE50" s="68"/>
      <c r="DKF50" s="83"/>
      <c r="DKG50" s="83"/>
      <c r="DKH50" s="80"/>
      <c r="DKI50" s="70"/>
      <c r="DKJ50" s="70"/>
      <c r="DKK50" s="25"/>
      <c r="DKL50" s="26"/>
      <c r="DKM50" s="26"/>
      <c r="DKN50" s="67"/>
      <c r="DKO50" s="11"/>
      <c r="DKP50" s="11"/>
      <c r="DKQ50" s="68"/>
      <c r="DKR50" s="83"/>
      <c r="DKS50" s="83"/>
      <c r="DKT50" s="80"/>
      <c r="DKU50" s="70"/>
      <c r="DKV50" s="70"/>
      <c r="DKW50" s="25"/>
      <c r="DKX50" s="26"/>
      <c r="DKY50" s="26"/>
      <c r="DKZ50" s="67"/>
      <c r="DLA50" s="11"/>
      <c r="DLB50" s="11"/>
      <c r="DLC50" s="68"/>
      <c r="DLD50" s="83"/>
      <c r="DLE50" s="83"/>
      <c r="DLF50" s="80"/>
      <c r="DLG50" s="70"/>
      <c r="DLH50" s="70"/>
      <c r="DLI50" s="25"/>
      <c r="DLJ50" s="26"/>
      <c r="DLK50" s="26"/>
      <c r="DLL50" s="67"/>
      <c r="DLM50" s="11"/>
      <c r="DLN50" s="11"/>
      <c r="DLO50" s="68"/>
      <c r="DLP50" s="83"/>
      <c r="DLQ50" s="83"/>
      <c r="DLR50" s="80"/>
      <c r="DLS50" s="70"/>
      <c r="DLT50" s="70"/>
      <c r="DLU50" s="25"/>
      <c r="DLV50" s="26"/>
      <c r="DLW50" s="26"/>
      <c r="DLX50" s="67"/>
      <c r="DLY50" s="11"/>
      <c r="DLZ50" s="11"/>
      <c r="DMA50" s="68"/>
      <c r="DMB50" s="83"/>
      <c r="DMC50" s="83"/>
      <c r="DMD50" s="80"/>
      <c r="DME50" s="70"/>
      <c r="DMF50" s="70"/>
      <c r="DMG50" s="25"/>
      <c r="DMH50" s="26"/>
      <c r="DMI50" s="26"/>
      <c r="DMJ50" s="67"/>
      <c r="DMK50" s="11"/>
      <c r="DML50" s="11"/>
      <c r="DMM50" s="68"/>
      <c r="DMN50" s="83"/>
      <c r="DMO50" s="83"/>
      <c r="DMP50" s="80"/>
      <c r="DMQ50" s="70"/>
      <c r="DMR50" s="70"/>
      <c r="DMS50" s="25"/>
      <c r="DMT50" s="26"/>
      <c r="DMU50" s="26"/>
      <c r="DMV50" s="67"/>
      <c r="DMW50" s="11"/>
      <c r="DMX50" s="11"/>
      <c r="DMY50" s="68"/>
      <c r="DMZ50" s="83"/>
      <c r="DNA50" s="83"/>
      <c r="DNB50" s="80"/>
      <c r="DNC50" s="70"/>
      <c r="DND50" s="70"/>
      <c r="DNE50" s="25"/>
      <c r="DNF50" s="26"/>
      <c r="DNG50" s="26"/>
      <c r="DNH50" s="67"/>
      <c r="DNI50" s="11"/>
      <c r="DNJ50" s="11"/>
      <c r="DNK50" s="68"/>
      <c r="DNL50" s="83"/>
      <c r="DNM50" s="83"/>
      <c r="DNN50" s="80"/>
      <c r="DNO50" s="70"/>
      <c r="DNP50" s="70"/>
      <c r="DNQ50" s="25"/>
      <c r="DNR50" s="26"/>
      <c r="DNS50" s="26"/>
      <c r="DNT50" s="67"/>
      <c r="DNU50" s="11"/>
      <c r="DNV50" s="11"/>
      <c r="DNW50" s="68"/>
      <c r="DNX50" s="83"/>
      <c r="DNY50" s="83"/>
      <c r="DNZ50" s="80"/>
      <c r="DOA50" s="70"/>
      <c r="DOB50" s="70"/>
      <c r="DOC50" s="25"/>
      <c r="DOD50" s="26"/>
      <c r="DOE50" s="26"/>
      <c r="DOF50" s="67"/>
      <c r="DOG50" s="11"/>
      <c r="DOH50" s="11"/>
      <c r="DOI50" s="68"/>
      <c r="DOJ50" s="83"/>
      <c r="DOK50" s="83"/>
      <c r="DOL50" s="80"/>
      <c r="DOM50" s="70"/>
      <c r="DON50" s="70"/>
      <c r="DOO50" s="25"/>
      <c r="DOP50" s="26"/>
      <c r="DOQ50" s="26"/>
      <c r="DOR50" s="67"/>
      <c r="DOS50" s="11"/>
      <c r="DOT50" s="11"/>
      <c r="DOU50" s="68"/>
      <c r="DOV50" s="83"/>
      <c r="DOW50" s="83"/>
      <c r="DOX50" s="80"/>
      <c r="DOY50" s="70"/>
      <c r="DOZ50" s="70"/>
      <c r="DPA50" s="25"/>
      <c r="DPB50" s="26"/>
      <c r="DPC50" s="26"/>
      <c r="DPD50" s="67"/>
      <c r="DPE50" s="11"/>
      <c r="DPF50" s="11"/>
      <c r="DPG50" s="68"/>
      <c r="DPH50" s="83"/>
      <c r="DPI50" s="83"/>
      <c r="DPJ50" s="80"/>
      <c r="DPK50" s="70"/>
      <c r="DPL50" s="70"/>
      <c r="DPM50" s="25"/>
      <c r="DPN50" s="26"/>
      <c r="DPO50" s="26"/>
      <c r="DPP50" s="67"/>
      <c r="DPQ50" s="11"/>
      <c r="DPR50" s="11"/>
      <c r="DPS50" s="68"/>
      <c r="DPT50" s="83"/>
      <c r="DPU50" s="83"/>
      <c r="DPV50" s="80"/>
      <c r="DPW50" s="70"/>
      <c r="DPX50" s="70"/>
      <c r="DPY50" s="25"/>
      <c r="DPZ50" s="26"/>
      <c r="DQA50" s="26"/>
      <c r="DQB50" s="67"/>
      <c r="DQC50" s="11"/>
      <c r="DQD50" s="11"/>
      <c r="DQE50" s="68"/>
      <c r="DQF50" s="83"/>
      <c r="DQG50" s="83"/>
      <c r="DQH50" s="80"/>
      <c r="DQI50" s="70"/>
      <c r="DQJ50" s="70"/>
      <c r="DQK50" s="25"/>
      <c r="DQL50" s="26"/>
      <c r="DQM50" s="26"/>
      <c r="DQN50" s="67"/>
      <c r="DQO50" s="11"/>
      <c r="DQP50" s="11"/>
      <c r="DQQ50" s="68"/>
      <c r="DQR50" s="83"/>
      <c r="DQS50" s="83"/>
      <c r="DQT50" s="80"/>
      <c r="DQU50" s="70"/>
      <c r="DQV50" s="70"/>
      <c r="DQW50" s="25"/>
      <c r="DQX50" s="26"/>
      <c r="DQY50" s="26"/>
      <c r="DQZ50" s="67"/>
      <c r="DRA50" s="11"/>
      <c r="DRB50" s="11"/>
      <c r="DRC50" s="68"/>
      <c r="DRD50" s="83"/>
      <c r="DRE50" s="83"/>
      <c r="DRF50" s="80"/>
      <c r="DRG50" s="70"/>
      <c r="DRH50" s="70"/>
      <c r="DRI50" s="25"/>
      <c r="DRJ50" s="26"/>
      <c r="DRK50" s="26"/>
      <c r="DRL50" s="67"/>
      <c r="DRM50" s="11"/>
      <c r="DRN50" s="11"/>
      <c r="DRO50" s="68"/>
      <c r="DRP50" s="83"/>
      <c r="DRQ50" s="83"/>
      <c r="DRR50" s="80"/>
      <c r="DRS50" s="70"/>
      <c r="DRT50" s="70"/>
      <c r="DRU50" s="25"/>
      <c r="DRV50" s="26"/>
      <c r="DRW50" s="26"/>
      <c r="DRX50" s="67"/>
      <c r="DRY50" s="11"/>
      <c r="DRZ50" s="11"/>
      <c r="DSA50" s="68"/>
      <c r="DSB50" s="83"/>
      <c r="DSC50" s="83"/>
      <c r="DSD50" s="80"/>
      <c r="DSE50" s="70"/>
      <c r="DSF50" s="70"/>
      <c r="DSG50" s="25"/>
      <c r="DSH50" s="26"/>
      <c r="DSI50" s="26"/>
      <c r="DSJ50" s="67"/>
      <c r="DSK50" s="11"/>
      <c r="DSL50" s="11"/>
      <c r="DSM50" s="68"/>
      <c r="DSN50" s="83"/>
      <c r="DSO50" s="83"/>
      <c r="DSP50" s="80"/>
      <c r="DSQ50" s="70"/>
      <c r="DSR50" s="70"/>
      <c r="DSS50" s="25"/>
      <c r="DST50" s="26"/>
      <c r="DSU50" s="26"/>
      <c r="DSV50" s="67"/>
      <c r="DSW50" s="11"/>
      <c r="DSX50" s="11"/>
      <c r="DSY50" s="68"/>
      <c r="DSZ50" s="83"/>
      <c r="DTA50" s="83"/>
      <c r="DTB50" s="80"/>
      <c r="DTC50" s="70"/>
      <c r="DTD50" s="70"/>
      <c r="DTE50" s="25"/>
      <c r="DTF50" s="26"/>
      <c r="DTG50" s="26"/>
      <c r="DTH50" s="67"/>
      <c r="DTI50" s="11"/>
      <c r="DTJ50" s="11"/>
      <c r="DTK50" s="68"/>
      <c r="DTL50" s="83"/>
      <c r="DTM50" s="83"/>
      <c r="DTN50" s="80"/>
      <c r="DTO50" s="70"/>
      <c r="DTP50" s="70"/>
      <c r="DTQ50" s="25"/>
      <c r="DTR50" s="26"/>
      <c r="DTS50" s="26"/>
      <c r="DTT50" s="67"/>
      <c r="DTU50" s="11"/>
      <c r="DTV50" s="11"/>
      <c r="DTW50" s="68"/>
      <c r="DTX50" s="83"/>
      <c r="DTY50" s="83"/>
      <c r="DTZ50" s="80"/>
      <c r="DUA50" s="70"/>
      <c r="DUB50" s="70"/>
      <c r="DUC50" s="25"/>
      <c r="DUD50" s="26"/>
      <c r="DUE50" s="26"/>
      <c r="DUF50" s="67"/>
      <c r="DUG50" s="11"/>
      <c r="DUH50" s="11"/>
      <c r="DUI50" s="68"/>
      <c r="DUJ50" s="83"/>
      <c r="DUK50" s="83"/>
      <c r="DUL50" s="80"/>
      <c r="DUM50" s="70"/>
      <c r="DUN50" s="70"/>
      <c r="DUO50" s="25"/>
      <c r="DUP50" s="26"/>
      <c r="DUQ50" s="26"/>
      <c r="DUR50" s="67"/>
      <c r="DUS50" s="11"/>
      <c r="DUT50" s="11"/>
      <c r="DUU50" s="68"/>
      <c r="DUV50" s="83"/>
      <c r="DUW50" s="83"/>
      <c r="DUX50" s="80"/>
      <c r="DUY50" s="70"/>
      <c r="DUZ50" s="70"/>
      <c r="DVA50" s="25"/>
      <c r="DVB50" s="26"/>
      <c r="DVC50" s="26"/>
      <c r="DVD50" s="67"/>
      <c r="DVE50" s="11"/>
      <c r="DVF50" s="11"/>
      <c r="DVG50" s="68"/>
      <c r="DVH50" s="83"/>
      <c r="DVI50" s="83"/>
      <c r="DVJ50" s="80"/>
      <c r="DVK50" s="70"/>
      <c r="DVL50" s="70"/>
      <c r="DVM50" s="25"/>
      <c r="DVN50" s="26"/>
      <c r="DVO50" s="26"/>
      <c r="DVP50" s="67"/>
      <c r="DVQ50" s="11"/>
      <c r="DVR50" s="11"/>
      <c r="DVS50" s="68"/>
      <c r="DVT50" s="83"/>
      <c r="DVU50" s="83"/>
      <c r="DVV50" s="80"/>
      <c r="DVW50" s="70"/>
      <c r="DVX50" s="70"/>
      <c r="DVY50" s="25"/>
      <c r="DVZ50" s="26"/>
      <c r="DWA50" s="26"/>
      <c r="DWB50" s="67"/>
      <c r="DWC50" s="11"/>
      <c r="DWD50" s="11"/>
      <c r="DWE50" s="68"/>
      <c r="DWF50" s="83"/>
      <c r="DWG50" s="83"/>
      <c r="DWH50" s="80"/>
      <c r="DWI50" s="70"/>
      <c r="DWJ50" s="70"/>
      <c r="DWK50" s="25"/>
      <c r="DWL50" s="26"/>
      <c r="DWM50" s="26"/>
      <c r="DWN50" s="67"/>
      <c r="DWO50" s="11"/>
      <c r="DWP50" s="11"/>
      <c r="DWQ50" s="68"/>
      <c r="DWR50" s="83"/>
      <c r="DWS50" s="83"/>
      <c r="DWT50" s="80"/>
      <c r="DWU50" s="70"/>
      <c r="DWV50" s="70"/>
      <c r="DWW50" s="25"/>
      <c r="DWX50" s="26"/>
      <c r="DWY50" s="26"/>
      <c r="DWZ50" s="67"/>
      <c r="DXA50" s="11"/>
      <c r="DXB50" s="11"/>
      <c r="DXC50" s="68"/>
      <c r="DXD50" s="83"/>
      <c r="DXE50" s="83"/>
      <c r="DXF50" s="80"/>
      <c r="DXG50" s="70"/>
      <c r="DXH50" s="70"/>
      <c r="DXI50" s="25"/>
      <c r="DXJ50" s="26"/>
      <c r="DXK50" s="26"/>
      <c r="DXL50" s="67"/>
      <c r="DXM50" s="11"/>
      <c r="DXN50" s="11"/>
      <c r="DXO50" s="68"/>
      <c r="DXP50" s="83"/>
      <c r="DXQ50" s="83"/>
      <c r="DXR50" s="80"/>
      <c r="DXS50" s="70"/>
      <c r="DXT50" s="70"/>
      <c r="DXU50" s="25"/>
      <c r="DXV50" s="26"/>
      <c r="DXW50" s="26"/>
      <c r="DXX50" s="67"/>
      <c r="DXY50" s="11"/>
      <c r="DXZ50" s="11"/>
      <c r="DYA50" s="68"/>
      <c r="DYB50" s="83"/>
      <c r="DYC50" s="83"/>
      <c r="DYD50" s="80"/>
      <c r="DYE50" s="70"/>
      <c r="DYF50" s="70"/>
      <c r="DYG50" s="25"/>
      <c r="DYH50" s="26"/>
      <c r="DYI50" s="26"/>
      <c r="DYJ50" s="67"/>
      <c r="DYK50" s="11"/>
      <c r="DYL50" s="11"/>
      <c r="DYM50" s="68"/>
      <c r="DYN50" s="83"/>
      <c r="DYO50" s="83"/>
      <c r="DYP50" s="80"/>
      <c r="DYQ50" s="70"/>
      <c r="DYR50" s="70"/>
      <c r="DYS50" s="25"/>
      <c r="DYT50" s="26"/>
      <c r="DYU50" s="26"/>
      <c r="DYV50" s="67"/>
      <c r="DYW50" s="11"/>
      <c r="DYX50" s="11"/>
      <c r="DYY50" s="68"/>
      <c r="DYZ50" s="83"/>
      <c r="DZA50" s="83"/>
      <c r="DZB50" s="80"/>
      <c r="DZC50" s="70"/>
      <c r="DZD50" s="70"/>
      <c r="DZE50" s="25"/>
      <c r="DZF50" s="26"/>
      <c r="DZG50" s="26"/>
      <c r="DZH50" s="67"/>
      <c r="DZI50" s="11"/>
      <c r="DZJ50" s="11"/>
      <c r="DZK50" s="68"/>
      <c r="DZL50" s="83"/>
      <c r="DZM50" s="83"/>
      <c r="DZN50" s="80"/>
      <c r="DZO50" s="70"/>
      <c r="DZP50" s="70"/>
      <c r="DZQ50" s="25"/>
      <c r="DZR50" s="26"/>
      <c r="DZS50" s="26"/>
      <c r="DZT50" s="67"/>
      <c r="DZU50" s="11"/>
      <c r="DZV50" s="11"/>
      <c r="DZW50" s="68"/>
      <c r="DZX50" s="83"/>
      <c r="DZY50" s="83"/>
      <c r="DZZ50" s="80"/>
      <c r="EAA50" s="70"/>
      <c r="EAB50" s="70"/>
      <c r="EAC50" s="25"/>
      <c r="EAD50" s="26"/>
      <c r="EAE50" s="26"/>
      <c r="EAF50" s="67"/>
      <c r="EAG50" s="11"/>
      <c r="EAH50" s="11"/>
      <c r="EAI50" s="68"/>
      <c r="EAJ50" s="83"/>
      <c r="EAK50" s="83"/>
      <c r="EAL50" s="80"/>
      <c r="EAM50" s="70"/>
      <c r="EAN50" s="70"/>
      <c r="EAO50" s="25"/>
      <c r="EAP50" s="26"/>
      <c r="EAQ50" s="26"/>
      <c r="EAR50" s="67"/>
      <c r="EAS50" s="11"/>
      <c r="EAT50" s="11"/>
      <c r="EAU50" s="68"/>
      <c r="EAV50" s="83"/>
      <c r="EAW50" s="83"/>
      <c r="EAX50" s="80"/>
      <c r="EAY50" s="70"/>
      <c r="EAZ50" s="70"/>
      <c r="EBA50" s="25"/>
      <c r="EBB50" s="26"/>
      <c r="EBC50" s="26"/>
      <c r="EBD50" s="67"/>
      <c r="EBE50" s="11"/>
      <c r="EBF50" s="11"/>
      <c r="EBG50" s="68"/>
      <c r="EBH50" s="83"/>
      <c r="EBI50" s="83"/>
      <c r="EBJ50" s="80"/>
      <c r="EBK50" s="70"/>
      <c r="EBL50" s="70"/>
      <c r="EBM50" s="25"/>
      <c r="EBN50" s="26"/>
      <c r="EBO50" s="26"/>
      <c r="EBP50" s="67"/>
      <c r="EBQ50" s="11"/>
      <c r="EBR50" s="11"/>
      <c r="EBS50" s="68"/>
      <c r="EBT50" s="83"/>
      <c r="EBU50" s="83"/>
      <c r="EBV50" s="80"/>
      <c r="EBW50" s="70"/>
      <c r="EBX50" s="70"/>
      <c r="EBY50" s="25"/>
      <c r="EBZ50" s="26"/>
      <c r="ECA50" s="26"/>
      <c r="ECB50" s="67"/>
      <c r="ECC50" s="11"/>
      <c r="ECD50" s="11"/>
      <c r="ECE50" s="68"/>
      <c r="ECF50" s="83"/>
      <c r="ECG50" s="83"/>
      <c r="ECH50" s="80"/>
      <c r="ECI50" s="70"/>
      <c r="ECJ50" s="70"/>
      <c r="ECK50" s="25"/>
      <c r="ECL50" s="26"/>
      <c r="ECM50" s="26"/>
      <c r="ECN50" s="67"/>
      <c r="ECO50" s="11"/>
      <c r="ECP50" s="11"/>
      <c r="ECQ50" s="68"/>
      <c r="ECR50" s="83"/>
      <c r="ECS50" s="83"/>
      <c r="ECT50" s="80"/>
      <c r="ECU50" s="70"/>
      <c r="ECV50" s="70"/>
      <c r="ECW50" s="25"/>
      <c r="ECX50" s="26"/>
      <c r="ECY50" s="26"/>
      <c r="ECZ50" s="67"/>
      <c r="EDA50" s="11"/>
      <c r="EDB50" s="11"/>
      <c r="EDC50" s="68"/>
      <c r="EDD50" s="83"/>
      <c r="EDE50" s="83"/>
      <c r="EDF50" s="80"/>
      <c r="EDG50" s="70"/>
      <c r="EDH50" s="70"/>
      <c r="EDI50" s="25"/>
      <c r="EDJ50" s="26"/>
      <c r="EDK50" s="26"/>
      <c r="EDL50" s="67"/>
      <c r="EDM50" s="11"/>
      <c r="EDN50" s="11"/>
      <c r="EDO50" s="68"/>
      <c r="EDP50" s="83"/>
      <c r="EDQ50" s="83"/>
      <c r="EDR50" s="80"/>
      <c r="EDS50" s="70"/>
      <c r="EDT50" s="70"/>
      <c r="EDU50" s="25"/>
      <c r="EDV50" s="26"/>
      <c r="EDW50" s="26"/>
      <c r="EDX50" s="67"/>
      <c r="EDY50" s="11"/>
      <c r="EDZ50" s="11"/>
      <c r="EEA50" s="68"/>
      <c r="EEB50" s="83"/>
      <c r="EEC50" s="83"/>
      <c r="EED50" s="80"/>
      <c r="EEE50" s="70"/>
      <c r="EEF50" s="70"/>
      <c r="EEG50" s="25"/>
      <c r="EEH50" s="26"/>
      <c r="EEI50" s="26"/>
      <c r="EEJ50" s="67"/>
      <c r="EEK50" s="11"/>
      <c r="EEL50" s="11"/>
      <c r="EEM50" s="68"/>
      <c r="EEN50" s="83"/>
      <c r="EEO50" s="83"/>
      <c r="EEP50" s="80"/>
      <c r="EEQ50" s="70"/>
      <c r="EER50" s="70"/>
      <c r="EES50" s="25"/>
      <c r="EET50" s="26"/>
      <c r="EEU50" s="26"/>
      <c r="EEV50" s="67"/>
      <c r="EEW50" s="11"/>
      <c r="EEX50" s="11"/>
      <c r="EEY50" s="68"/>
      <c r="EEZ50" s="83"/>
      <c r="EFA50" s="83"/>
      <c r="EFB50" s="80"/>
      <c r="EFC50" s="70"/>
      <c r="EFD50" s="70"/>
      <c r="EFE50" s="25"/>
      <c r="EFF50" s="26"/>
      <c r="EFG50" s="26"/>
      <c r="EFH50" s="67"/>
      <c r="EFI50" s="11"/>
      <c r="EFJ50" s="11"/>
      <c r="EFK50" s="68"/>
      <c r="EFL50" s="83"/>
      <c r="EFM50" s="83"/>
      <c r="EFN50" s="80"/>
      <c r="EFO50" s="70"/>
      <c r="EFP50" s="70"/>
      <c r="EFQ50" s="25"/>
      <c r="EFR50" s="26"/>
      <c r="EFS50" s="26"/>
      <c r="EFT50" s="67"/>
      <c r="EFU50" s="11"/>
      <c r="EFV50" s="11"/>
      <c r="EFW50" s="68"/>
      <c r="EFX50" s="83"/>
      <c r="EFY50" s="83"/>
      <c r="EFZ50" s="80"/>
      <c r="EGA50" s="70"/>
      <c r="EGB50" s="70"/>
      <c r="EGC50" s="25"/>
      <c r="EGD50" s="26"/>
      <c r="EGE50" s="26"/>
      <c r="EGF50" s="67"/>
      <c r="EGG50" s="11"/>
      <c r="EGH50" s="11"/>
      <c r="EGI50" s="68"/>
      <c r="EGJ50" s="83"/>
      <c r="EGK50" s="83"/>
      <c r="EGL50" s="80"/>
      <c r="EGM50" s="70"/>
      <c r="EGN50" s="70"/>
      <c r="EGO50" s="25"/>
      <c r="EGP50" s="26"/>
      <c r="EGQ50" s="26"/>
      <c r="EGR50" s="67"/>
      <c r="EGS50" s="11"/>
      <c r="EGT50" s="11"/>
      <c r="EGU50" s="68"/>
      <c r="EGV50" s="83"/>
      <c r="EGW50" s="83"/>
      <c r="EGX50" s="80"/>
      <c r="EGY50" s="70"/>
      <c r="EGZ50" s="70"/>
      <c r="EHA50" s="25"/>
      <c r="EHB50" s="26"/>
      <c r="EHC50" s="26"/>
      <c r="EHD50" s="67"/>
      <c r="EHE50" s="11"/>
      <c r="EHF50" s="11"/>
      <c r="EHG50" s="68"/>
      <c r="EHH50" s="83"/>
      <c r="EHI50" s="83"/>
      <c r="EHJ50" s="80"/>
      <c r="EHK50" s="70"/>
      <c r="EHL50" s="70"/>
      <c r="EHM50" s="25"/>
      <c r="EHN50" s="26"/>
      <c r="EHO50" s="26"/>
      <c r="EHP50" s="67"/>
      <c r="EHQ50" s="11"/>
      <c r="EHR50" s="11"/>
      <c r="EHS50" s="68"/>
      <c r="EHT50" s="83"/>
      <c r="EHU50" s="83"/>
      <c r="EHV50" s="80"/>
      <c r="EHW50" s="70"/>
      <c r="EHX50" s="70"/>
      <c r="EHY50" s="25"/>
      <c r="EHZ50" s="26"/>
      <c r="EIA50" s="26"/>
      <c r="EIB50" s="67"/>
      <c r="EIC50" s="11"/>
      <c r="EID50" s="11"/>
      <c r="EIE50" s="68"/>
      <c r="EIF50" s="83"/>
      <c r="EIG50" s="83"/>
      <c r="EIH50" s="80"/>
      <c r="EII50" s="70"/>
      <c r="EIJ50" s="70"/>
      <c r="EIK50" s="25"/>
      <c r="EIL50" s="26"/>
      <c r="EIM50" s="26"/>
      <c r="EIN50" s="67"/>
      <c r="EIO50" s="11"/>
      <c r="EIP50" s="11"/>
      <c r="EIQ50" s="68"/>
      <c r="EIR50" s="83"/>
      <c r="EIS50" s="83"/>
      <c r="EIT50" s="80"/>
      <c r="EIU50" s="70"/>
      <c r="EIV50" s="70"/>
      <c r="EIW50" s="25"/>
      <c r="EIX50" s="26"/>
      <c r="EIY50" s="26"/>
      <c r="EIZ50" s="67"/>
      <c r="EJA50" s="11"/>
      <c r="EJB50" s="11"/>
      <c r="EJC50" s="68"/>
      <c r="EJD50" s="83"/>
      <c r="EJE50" s="83"/>
      <c r="EJF50" s="80"/>
      <c r="EJG50" s="70"/>
      <c r="EJH50" s="70"/>
      <c r="EJI50" s="25"/>
      <c r="EJJ50" s="26"/>
      <c r="EJK50" s="26"/>
      <c r="EJL50" s="67"/>
      <c r="EJM50" s="11"/>
      <c r="EJN50" s="11"/>
      <c r="EJO50" s="68"/>
      <c r="EJP50" s="83"/>
      <c r="EJQ50" s="83"/>
      <c r="EJR50" s="80"/>
      <c r="EJS50" s="70"/>
      <c r="EJT50" s="70"/>
      <c r="EJU50" s="25"/>
      <c r="EJV50" s="26"/>
      <c r="EJW50" s="26"/>
      <c r="EJX50" s="67"/>
      <c r="EJY50" s="11"/>
      <c r="EJZ50" s="11"/>
      <c r="EKA50" s="68"/>
      <c r="EKB50" s="83"/>
      <c r="EKC50" s="83"/>
      <c r="EKD50" s="80"/>
      <c r="EKE50" s="70"/>
      <c r="EKF50" s="70"/>
      <c r="EKG50" s="25"/>
      <c r="EKH50" s="26"/>
      <c r="EKI50" s="26"/>
      <c r="EKJ50" s="67"/>
      <c r="EKK50" s="11"/>
      <c r="EKL50" s="11"/>
      <c r="EKM50" s="68"/>
      <c r="EKN50" s="83"/>
      <c r="EKO50" s="83"/>
      <c r="EKP50" s="80"/>
      <c r="EKQ50" s="70"/>
      <c r="EKR50" s="70"/>
      <c r="EKS50" s="25"/>
      <c r="EKT50" s="26"/>
      <c r="EKU50" s="26"/>
      <c r="EKV50" s="67"/>
      <c r="EKW50" s="11"/>
      <c r="EKX50" s="11"/>
      <c r="EKY50" s="68"/>
      <c r="EKZ50" s="83"/>
      <c r="ELA50" s="83"/>
      <c r="ELB50" s="80"/>
      <c r="ELC50" s="70"/>
      <c r="ELD50" s="70"/>
      <c r="ELE50" s="25"/>
      <c r="ELF50" s="26"/>
      <c r="ELG50" s="26"/>
      <c r="ELH50" s="67"/>
      <c r="ELI50" s="11"/>
      <c r="ELJ50" s="11"/>
      <c r="ELK50" s="68"/>
      <c r="ELL50" s="83"/>
      <c r="ELM50" s="83"/>
      <c r="ELN50" s="80"/>
      <c r="ELO50" s="70"/>
      <c r="ELP50" s="70"/>
      <c r="ELQ50" s="25"/>
      <c r="ELR50" s="26"/>
      <c r="ELS50" s="26"/>
      <c r="ELT50" s="67"/>
      <c r="ELU50" s="11"/>
      <c r="ELV50" s="11"/>
      <c r="ELW50" s="68"/>
      <c r="ELX50" s="83"/>
      <c r="ELY50" s="83"/>
      <c r="ELZ50" s="80"/>
      <c r="EMA50" s="70"/>
      <c r="EMB50" s="70"/>
      <c r="EMC50" s="25"/>
      <c r="EMD50" s="26"/>
      <c r="EME50" s="26"/>
      <c r="EMF50" s="67"/>
      <c r="EMG50" s="11"/>
      <c r="EMH50" s="11"/>
      <c r="EMI50" s="68"/>
      <c r="EMJ50" s="83"/>
      <c r="EMK50" s="83"/>
      <c r="EML50" s="80"/>
      <c r="EMM50" s="70"/>
      <c r="EMN50" s="70"/>
      <c r="EMO50" s="25"/>
      <c r="EMP50" s="26"/>
      <c r="EMQ50" s="26"/>
      <c r="EMR50" s="67"/>
      <c r="EMS50" s="11"/>
      <c r="EMT50" s="11"/>
      <c r="EMU50" s="68"/>
      <c r="EMV50" s="83"/>
      <c r="EMW50" s="83"/>
      <c r="EMX50" s="80"/>
      <c r="EMY50" s="70"/>
      <c r="EMZ50" s="70"/>
      <c r="ENA50" s="25"/>
      <c r="ENB50" s="26"/>
      <c r="ENC50" s="26"/>
      <c r="END50" s="67"/>
      <c r="ENE50" s="11"/>
      <c r="ENF50" s="11"/>
      <c r="ENG50" s="68"/>
      <c r="ENH50" s="83"/>
      <c r="ENI50" s="83"/>
      <c r="ENJ50" s="80"/>
      <c r="ENK50" s="70"/>
      <c r="ENL50" s="70"/>
      <c r="ENM50" s="25"/>
      <c r="ENN50" s="26"/>
      <c r="ENO50" s="26"/>
      <c r="ENP50" s="67"/>
      <c r="ENQ50" s="11"/>
      <c r="ENR50" s="11"/>
      <c r="ENS50" s="68"/>
      <c r="ENT50" s="83"/>
      <c r="ENU50" s="83"/>
      <c r="ENV50" s="80"/>
      <c r="ENW50" s="70"/>
      <c r="ENX50" s="70"/>
      <c r="ENY50" s="25"/>
      <c r="ENZ50" s="26"/>
      <c r="EOA50" s="26"/>
      <c r="EOB50" s="67"/>
      <c r="EOC50" s="11"/>
      <c r="EOD50" s="11"/>
      <c r="EOE50" s="68"/>
      <c r="EOF50" s="83"/>
      <c r="EOG50" s="83"/>
      <c r="EOH50" s="80"/>
      <c r="EOI50" s="70"/>
      <c r="EOJ50" s="70"/>
      <c r="EOK50" s="25"/>
      <c r="EOL50" s="26"/>
      <c r="EOM50" s="26"/>
      <c r="EON50" s="67"/>
      <c r="EOO50" s="11"/>
      <c r="EOP50" s="11"/>
      <c r="EOQ50" s="68"/>
      <c r="EOR50" s="83"/>
      <c r="EOS50" s="83"/>
      <c r="EOT50" s="80"/>
      <c r="EOU50" s="70"/>
      <c r="EOV50" s="70"/>
      <c r="EOW50" s="25"/>
      <c r="EOX50" s="26"/>
      <c r="EOY50" s="26"/>
      <c r="EOZ50" s="67"/>
      <c r="EPA50" s="11"/>
      <c r="EPB50" s="11"/>
      <c r="EPC50" s="68"/>
      <c r="EPD50" s="83"/>
      <c r="EPE50" s="83"/>
      <c r="EPF50" s="80"/>
      <c r="EPG50" s="70"/>
      <c r="EPH50" s="70"/>
      <c r="EPI50" s="25"/>
      <c r="EPJ50" s="26"/>
      <c r="EPK50" s="26"/>
      <c r="EPL50" s="67"/>
      <c r="EPM50" s="11"/>
      <c r="EPN50" s="11"/>
      <c r="EPO50" s="68"/>
      <c r="EPP50" s="83"/>
      <c r="EPQ50" s="83"/>
      <c r="EPR50" s="80"/>
      <c r="EPS50" s="70"/>
      <c r="EPT50" s="70"/>
      <c r="EPU50" s="25"/>
      <c r="EPV50" s="26"/>
      <c r="EPW50" s="26"/>
      <c r="EPX50" s="67"/>
      <c r="EPY50" s="11"/>
      <c r="EPZ50" s="11"/>
      <c r="EQA50" s="68"/>
      <c r="EQB50" s="83"/>
      <c r="EQC50" s="83"/>
      <c r="EQD50" s="80"/>
      <c r="EQE50" s="70"/>
      <c r="EQF50" s="70"/>
      <c r="EQG50" s="25"/>
      <c r="EQH50" s="26"/>
      <c r="EQI50" s="26"/>
      <c r="EQJ50" s="67"/>
      <c r="EQK50" s="11"/>
      <c r="EQL50" s="11"/>
      <c r="EQM50" s="68"/>
      <c r="EQN50" s="83"/>
      <c r="EQO50" s="83"/>
      <c r="EQP50" s="80"/>
      <c r="EQQ50" s="70"/>
      <c r="EQR50" s="70"/>
      <c r="EQS50" s="25"/>
      <c r="EQT50" s="26"/>
      <c r="EQU50" s="26"/>
      <c r="EQV50" s="67"/>
      <c r="EQW50" s="11"/>
      <c r="EQX50" s="11"/>
      <c r="EQY50" s="68"/>
      <c r="EQZ50" s="83"/>
      <c r="ERA50" s="83"/>
      <c r="ERB50" s="80"/>
      <c r="ERC50" s="70"/>
      <c r="ERD50" s="70"/>
      <c r="ERE50" s="25"/>
      <c r="ERF50" s="26"/>
      <c r="ERG50" s="26"/>
      <c r="ERH50" s="67"/>
      <c r="ERI50" s="11"/>
      <c r="ERJ50" s="11"/>
      <c r="ERK50" s="68"/>
      <c r="ERL50" s="83"/>
      <c r="ERM50" s="83"/>
      <c r="ERN50" s="80"/>
      <c r="ERO50" s="70"/>
      <c r="ERP50" s="70"/>
      <c r="ERQ50" s="25"/>
      <c r="ERR50" s="26"/>
      <c r="ERS50" s="26"/>
      <c r="ERT50" s="67"/>
      <c r="ERU50" s="11"/>
      <c r="ERV50" s="11"/>
      <c r="ERW50" s="68"/>
      <c r="ERX50" s="83"/>
      <c r="ERY50" s="83"/>
      <c r="ERZ50" s="80"/>
      <c r="ESA50" s="70"/>
      <c r="ESB50" s="70"/>
      <c r="ESC50" s="25"/>
      <c r="ESD50" s="26"/>
      <c r="ESE50" s="26"/>
      <c r="ESF50" s="67"/>
      <c r="ESG50" s="11"/>
      <c r="ESH50" s="11"/>
      <c r="ESI50" s="68"/>
      <c r="ESJ50" s="83"/>
      <c r="ESK50" s="83"/>
      <c r="ESL50" s="80"/>
      <c r="ESM50" s="70"/>
      <c r="ESN50" s="70"/>
      <c r="ESO50" s="25"/>
      <c r="ESP50" s="26"/>
      <c r="ESQ50" s="26"/>
      <c r="ESR50" s="67"/>
      <c r="ESS50" s="11"/>
      <c r="EST50" s="11"/>
      <c r="ESU50" s="68"/>
      <c r="ESV50" s="83"/>
      <c r="ESW50" s="83"/>
      <c r="ESX50" s="80"/>
      <c r="ESY50" s="70"/>
      <c r="ESZ50" s="70"/>
      <c r="ETA50" s="25"/>
      <c r="ETB50" s="26"/>
      <c r="ETC50" s="26"/>
      <c r="ETD50" s="67"/>
      <c r="ETE50" s="11"/>
      <c r="ETF50" s="11"/>
      <c r="ETG50" s="68"/>
      <c r="ETH50" s="83"/>
      <c r="ETI50" s="83"/>
      <c r="ETJ50" s="80"/>
      <c r="ETK50" s="70"/>
      <c r="ETL50" s="70"/>
      <c r="ETM50" s="25"/>
      <c r="ETN50" s="26"/>
      <c r="ETO50" s="26"/>
      <c r="ETP50" s="67"/>
      <c r="ETQ50" s="11"/>
      <c r="ETR50" s="11"/>
      <c r="ETS50" s="68"/>
      <c r="ETT50" s="83"/>
      <c r="ETU50" s="83"/>
      <c r="ETV50" s="80"/>
      <c r="ETW50" s="70"/>
      <c r="ETX50" s="70"/>
      <c r="ETY50" s="25"/>
      <c r="ETZ50" s="26"/>
      <c r="EUA50" s="26"/>
      <c r="EUB50" s="67"/>
      <c r="EUC50" s="11"/>
      <c r="EUD50" s="11"/>
      <c r="EUE50" s="68"/>
      <c r="EUF50" s="83"/>
      <c r="EUG50" s="83"/>
      <c r="EUH50" s="80"/>
      <c r="EUI50" s="70"/>
      <c r="EUJ50" s="70"/>
      <c r="EUK50" s="25"/>
      <c r="EUL50" s="26"/>
      <c r="EUM50" s="26"/>
      <c r="EUN50" s="67"/>
      <c r="EUO50" s="11"/>
      <c r="EUP50" s="11"/>
      <c r="EUQ50" s="68"/>
      <c r="EUR50" s="83"/>
      <c r="EUS50" s="83"/>
      <c r="EUT50" s="80"/>
      <c r="EUU50" s="70"/>
      <c r="EUV50" s="70"/>
      <c r="EUW50" s="25"/>
      <c r="EUX50" s="26"/>
      <c r="EUY50" s="26"/>
      <c r="EUZ50" s="67"/>
      <c r="EVA50" s="11"/>
      <c r="EVB50" s="11"/>
      <c r="EVC50" s="68"/>
      <c r="EVD50" s="83"/>
      <c r="EVE50" s="83"/>
      <c r="EVF50" s="80"/>
      <c r="EVG50" s="70"/>
      <c r="EVH50" s="70"/>
      <c r="EVI50" s="25"/>
      <c r="EVJ50" s="26"/>
      <c r="EVK50" s="26"/>
      <c r="EVL50" s="67"/>
      <c r="EVM50" s="11"/>
      <c r="EVN50" s="11"/>
      <c r="EVO50" s="68"/>
      <c r="EVP50" s="83"/>
      <c r="EVQ50" s="83"/>
      <c r="EVR50" s="80"/>
      <c r="EVS50" s="70"/>
      <c r="EVT50" s="70"/>
      <c r="EVU50" s="25"/>
      <c r="EVV50" s="26"/>
      <c r="EVW50" s="26"/>
      <c r="EVX50" s="67"/>
      <c r="EVY50" s="11"/>
      <c r="EVZ50" s="11"/>
      <c r="EWA50" s="68"/>
      <c r="EWB50" s="83"/>
      <c r="EWC50" s="83"/>
      <c r="EWD50" s="80"/>
      <c r="EWE50" s="70"/>
      <c r="EWF50" s="70"/>
      <c r="EWG50" s="25"/>
      <c r="EWH50" s="26"/>
      <c r="EWI50" s="26"/>
      <c r="EWJ50" s="67"/>
      <c r="EWK50" s="11"/>
      <c r="EWL50" s="11"/>
      <c r="EWM50" s="68"/>
      <c r="EWN50" s="83"/>
      <c r="EWO50" s="83"/>
      <c r="EWP50" s="80"/>
      <c r="EWQ50" s="70"/>
      <c r="EWR50" s="70"/>
      <c r="EWS50" s="25"/>
      <c r="EWT50" s="26"/>
      <c r="EWU50" s="26"/>
      <c r="EWV50" s="67"/>
      <c r="EWW50" s="11"/>
      <c r="EWX50" s="11"/>
      <c r="EWY50" s="68"/>
      <c r="EWZ50" s="83"/>
      <c r="EXA50" s="83"/>
      <c r="EXB50" s="80"/>
      <c r="EXC50" s="70"/>
      <c r="EXD50" s="70"/>
      <c r="EXE50" s="25"/>
      <c r="EXF50" s="26"/>
      <c r="EXG50" s="26"/>
      <c r="EXH50" s="67"/>
      <c r="EXI50" s="11"/>
      <c r="EXJ50" s="11"/>
      <c r="EXK50" s="68"/>
      <c r="EXL50" s="83"/>
      <c r="EXM50" s="83"/>
      <c r="EXN50" s="80"/>
      <c r="EXO50" s="70"/>
      <c r="EXP50" s="70"/>
      <c r="EXQ50" s="25"/>
      <c r="EXR50" s="26"/>
      <c r="EXS50" s="26"/>
      <c r="EXT50" s="67"/>
      <c r="EXU50" s="11"/>
      <c r="EXV50" s="11"/>
      <c r="EXW50" s="68"/>
      <c r="EXX50" s="83"/>
      <c r="EXY50" s="83"/>
      <c r="EXZ50" s="80"/>
      <c r="EYA50" s="70"/>
      <c r="EYB50" s="70"/>
      <c r="EYC50" s="25"/>
      <c r="EYD50" s="26"/>
      <c r="EYE50" s="26"/>
      <c r="EYF50" s="67"/>
      <c r="EYG50" s="11"/>
      <c r="EYH50" s="11"/>
      <c r="EYI50" s="68"/>
      <c r="EYJ50" s="83"/>
      <c r="EYK50" s="83"/>
      <c r="EYL50" s="80"/>
      <c r="EYM50" s="70"/>
      <c r="EYN50" s="70"/>
      <c r="EYO50" s="25"/>
      <c r="EYP50" s="26"/>
      <c r="EYQ50" s="26"/>
      <c r="EYR50" s="67"/>
      <c r="EYS50" s="11"/>
      <c r="EYT50" s="11"/>
      <c r="EYU50" s="68"/>
      <c r="EYV50" s="83"/>
      <c r="EYW50" s="83"/>
      <c r="EYX50" s="80"/>
      <c r="EYY50" s="70"/>
      <c r="EYZ50" s="70"/>
      <c r="EZA50" s="25"/>
      <c r="EZB50" s="26"/>
      <c r="EZC50" s="26"/>
      <c r="EZD50" s="67"/>
      <c r="EZE50" s="11"/>
      <c r="EZF50" s="11"/>
      <c r="EZG50" s="68"/>
      <c r="EZH50" s="83"/>
      <c r="EZI50" s="83"/>
      <c r="EZJ50" s="80"/>
      <c r="EZK50" s="70"/>
      <c r="EZL50" s="70"/>
      <c r="EZM50" s="25"/>
      <c r="EZN50" s="26"/>
      <c r="EZO50" s="26"/>
      <c r="EZP50" s="67"/>
      <c r="EZQ50" s="11"/>
      <c r="EZR50" s="11"/>
      <c r="EZS50" s="68"/>
      <c r="EZT50" s="83"/>
      <c r="EZU50" s="83"/>
      <c r="EZV50" s="80"/>
      <c r="EZW50" s="70"/>
      <c r="EZX50" s="70"/>
      <c r="EZY50" s="25"/>
      <c r="EZZ50" s="26"/>
      <c r="FAA50" s="26"/>
      <c r="FAB50" s="67"/>
      <c r="FAC50" s="11"/>
      <c r="FAD50" s="11"/>
      <c r="FAE50" s="68"/>
      <c r="FAF50" s="83"/>
      <c r="FAG50" s="83"/>
      <c r="FAH50" s="80"/>
      <c r="FAI50" s="70"/>
      <c r="FAJ50" s="70"/>
      <c r="FAK50" s="25"/>
      <c r="FAL50" s="26"/>
      <c r="FAM50" s="26"/>
      <c r="FAN50" s="67"/>
      <c r="FAO50" s="11"/>
      <c r="FAP50" s="11"/>
      <c r="FAQ50" s="68"/>
      <c r="FAR50" s="83"/>
      <c r="FAS50" s="83"/>
      <c r="FAT50" s="80"/>
      <c r="FAU50" s="70"/>
      <c r="FAV50" s="70"/>
      <c r="FAW50" s="25"/>
      <c r="FAX50" s="26"/>
      <c r="FAY50" s="26"/>
      <c r="FAZ50" s="67"/>
      <c r="FBA50" s="11"/>
      <c r="FBB50" s="11"/>
      <c r="FBC50" s="68"/>
      <c r="FBD50" s="83"/>
      <c r="FBE50" s="83"/>
      <c r="FBF50" s="80"/>
      <c r="FBG50" s="70"/>
      <c r="FBH50" s="70"/>
      <c r="FBI50" s="25"/>
      <c r="FBJ50" s="26"/>
      <c r="FBK50" s="26"/>
      <c r="FBL50" s="67"/>
      <c r="FBM50" s="11"/>
      <c r="FBN50" s="11"/>
      <c r="FBO50" s="68"/>
      <c r="FBP50" s="83"/>
      <c r="FBQ50" s="83"/>
      <c r="FBR50" s="80"/>
      <c r="FBS50" s="70"/>
      <c r="FBT50" s="70"/>
      <c r="FBU50" s="25"/>
      <c r="FBV50" s="26"/>
      <c r="FBW50" s="26"/>
      <c r="FBX50" s="67"/>
      <c r="FBY50" s="11"/>
      <c r="FBZ50" s="11"/>
      <c r="FCA50" s="68"/>
      <c r="FCB50" s="83"/>
      <c r="FCC50" s="83"/>
      <c r="FCD50" s="80"/>
      <c r="FCE50" s="70"/>
      <c r="FCF50" s="70"/>
      <c r="FCG50" s="25"/>
      <c r="FCH50" s="26"/>
      <c r="FCI50" s="26"/>
      <c r="FCJ50" s="67"/>
      <c r="FCK50" s="11"/>
      <c r="FCL50" s="11"/>
      <c r="FCM50" s="68"/>
      <c r="FCN50" s="83"/>
      <c r="FCO50" s="83"/>
      <c r="FCP50" s="80"/>
      <c r="FCQ50" s="70"/>
      <c r="FCR50" s="70"/>
      <c r="FCS50" s="25"/>
      <c r="FCT50" s="26"/>
      <c r="FCU50" s="26"/>
      <c r="FCV50" s="67"/>
      <c r="FCW50" s="11"/>
      <c r="FCX50" s="11"/>
      <c r="FCY50" s="68"/>
      <c r="FCZ50" s="83"/>
      <c r="FDA50" s="83"/>
      <c r="FDB50" s="80"/>
      <c r="FDC50" s="70"/>
      <c r="FDD50" s="70"/>
      <c r="FDE50" s="25"/>
      <c r="FDF50" s="26"/>
      <c r="FDG50" s="26"/>
      <c r="FDH50" s="67"/>
      <c r="FDI50" s="11"/>
      <c r="FDJ50" s="11"/>
      <c r="FDK50" s="68"/>
      <c r="FDL50" s="83"/>
      <c r="FDM50" s="83"/>
      <c r="FDN50" s="80"/>
      <c r="FDO50" s="70"/>
      <c r="FDP50" s="70"/>
      <c r="FDQ50" s="25"/>
      <c r="FDR50" s="26"/>
      <c r="FDS50" s="26"/>
      <c r="FDT50" s="67"/>
      <c r="FDU50" s="11"/>
      <c r="FDV50" s="11"/>
      <c r="FDW50" s="68"/>
      <c r="FDX50" s="83"/>
      <c r="FDY50" s="83"/>
      <c r="FDZ50" s="80"/>
      <c r="FEA50" s="70"/>
      <c r="FEB50" s="70"/>
      <c r="FEC50" s="25"/>
      <c r="FED50" s="26"/>
      <c r="FEE50" s="26"/>
      <c r="FEF50" s="67"/>
      <c r="FEG50" s="11"/>
      <c r="FEH50" s="11"/>
      <c r="FEI50" s="68"/>
      <c r="FEJ50" s="83"/>
      <c r="FEK50" s="83"/>
      <c r="FEL50" s="80"/>
      <c r="FEM50" s="70"/>
      <c r="FEN50" s="70"/>
      <c r="FEO50" s="25"/>
      <c r="FEP50" s="26"/>
      <c r="FEQ50" s="26"/>
      <c r="FER50" s="67"/>
      <c r="FES50" s="11"/>
      <c r="FET50" s="11"/>
      <c r="FEU50" s="68"/>
      <c r="FEV50" s="83"/>
      <c r="FEW50" s="83"/>
      <c r="FEX50" s="80"/>
      <c r="FEY50" s="70"/>
      <c r="FEZ50" s="70"/>
      <c r="FFA50" s="25"/>
      <c r="FFB50" s="26"/>
      <c r="FFC50" s="26"/>
      <c r="FFD50" s="67"/>
      <c r="FFE50" s="11"/>
      <c r="FFF50" s="11"/>
      <c r="FFG50" s="68"/>
      <c r="FFH50" s="83"/>
      <c r="FFI50" s="83"/>
      <c r="FFJ50" s="80"/>
      <c r="FFK50" s="70"/>
      <c r="FFL50" s="70"/>
      <c r="FFM50" s="25"/>
      <c r="FFN50" s="26"/>
      <c r="FFO50" s="26"/>
      <c r="FFP50" s="67"/>
      <c r="FFQ50" s="11"/>
      <c r="FFR50" s="11"/>
      <c r="FFS50" s="68"/>
      <c r="FFT50" s="83"/>
      <c r="FFU50" s="83"/>
      <c r="FFV50" s="80"/>
      <c r="FFW50" s="70"/>
      <c r="FFX50" s="70"/>
      <c r="FFY50" s="25"/>
      <c r="FFZ50" s="26"/>
      <c r="FGA50" s="26"/>
      <c r="FGB50" s="67"/>
      <c r="FGC50" s="11"/>
      <c r="FGD50" s="11"/>
      <c r="FGE50" s="68"/>
      <c r="FGF50" s="83"/>
      <c r="FGG50" s="83"/>
      <c r="FGH50" s="80"/>
      <c r="FGI50" s="70"/>
      <c r="FGJ50" s="70"/>
      <c r="FGK50" s="25"/>
      <c r="FGL50" s="26"/>
      <c r="FGM50" s="26"/>
      <c r="FGN50" s="67"/>
      <c r="FGO50" s="11"/>
      <c r="FGP50" s="11"/>
      <c r="FGQ50" s="68"/>
      <c r="FGR50" s="83"/>
      <c r="FGS50" s="83"/>
      <c r="FGT50" s="80"/>
      <c r="FGU50" s="70"/>
      <c r="FGV50" s="70"/>
      <c r="FGW50" s="25"/>
      <c r="FGX50" s="26"/>
      <c r="FGY50" s="26"/>
      <c r="FGZ50" s="67"/>
      <c r="FHA50" s="11"/>
      <c r="FHB50" s="11"/>
      <c r="FHC50" s="68"/>
      <c r="FHD50" s="83"/>
      <c r="FHE50" s="83"/>
      <c r="FHF50" s="80"/>
      <c r="FHG50" s="70"/>
      <c r="FHH50" s="70"/>
      <c r="FHI50" s="25"/>
      <c r="FHJ50" s="26"/>
      <c r="FHK50" s="26"/>
      <c r="FHL50" s="67"/>
      <c r="FHM50" s="11"/>
      <c r="FHN50" s="11"/>
      <c r="FHO50" s="68"/>
      <c r="FHP50" s="83"/>
      <c r="FHQ50" s="83"/>
      <c r="FHR50" s="80"/>
      <c r="FHS50" s="70"/>
      <c r="FHT50" s="70"/>
      <c r="FHU50" s="25"/>
      <c r="FHV50" s="26"/>
      <c r="FHW50" s="26"/>
      <c r="FHX50" s="67"/>
      <c r="FHY50" s="11"/>
      <c r="FHZ50" s="11"/>
      <c r="FIA50" s="68"/>
      <c r="FIB50" s="83"/>
      <c r="FIC50" s="83"/>
      <c r="FID50" s="80"/>
      <c r="FIE50" s="70"/>
      <c r="FIF50" s="70"/>
      <c r="FIG50" s="25"/>
      <c r="FIH50" s="26"/>
      <c r="FII50" s="26"/>
      <c r="FIJ50" s="67"/>
      <c r="FIK50" s="11"/>
      <c r="FIL50" s="11"/>
      <c r="FIM50" s="68"/>
      <c r="FIN50" s="83"/>
      <c r="FIO50" s="83"/>
      <c r="FIP50" s="80"/>
      <c r="FIQ50" s="70"/>
      <c r="FIR50" s="70"/>
      <c r="FIS50" s="25"/>
      <c r="FIT50" s="26"/>
      <c r="FIU50" s="26"/>
      <c r="FIV50" s="67"/>
      <c r="FIW50" s="11"/>
      <c r="FIX50" s="11"/>
      <c r="FIY50" s="68"/>
      <c r="FIZ50" s="83"/>
      <c r="FJA50" s="83"/>
      <c r="FJB50" s="80"/>
      <c r="FJC50" s="70"/>
      <c r="FJD50" s="70"/>
      <c r="FJE50" s="25"/>
      <c r="FJF50" s="26"/>
      <c r="FJG50" s="26"/>
      <c r="FJH50" s="67"/>
      <c r="FJI50" s="11"/>
      <c r="FJJ50" s="11"/>
      <c r="FJK50" s="68"/>
      <c r="FJL50" s="83"/>
      <c r="FJM50" s="83"/>
      <c r="FJN50" s="80"/>
      <c r="FJO50" s="70"/>
      <c r="FJP50" s="70"/>
      <c r="FJQ50" s="25"/>
      <c r="FJR50" s="26"/>
      <c r="FJS50" s="26"/>
      <c r="FJT50" s="67"/>
      <c r="FJU50" s="11"/>
      <c r="FJV50" s="11"/>
      <c r="FJW50" s="68"/>
      <c r="FJX50" s="83"/>
      <c r="FJY50" s="83"/>
      <c r="FJZ50" s="80"/>
      <c r="FKA50" s="70"/>
      <c r="FKB50" s="70"/>
      <c r="FKC50" s="25"/>
      <c r="FKD50" s="26"/>
      <c r="FKE50" s="26"/>
      <c r="FKF50" s="67"/>
      <c r="FKG50" s="11"/>
      <c r="FKH50" s="11"/>
      <c r="FKI50" s="68"/>
      <c r="FKJ50" s="83"/>
      <c r="FKK50" s="83"/>
      <c r="FKL50" s="80"/>
      <c r="FKM50" s="70"/>
      <c r="FKN50" s="70"/>
      <c r="FKO50" s="25"/>
      <c r="FKP50" s="26"/>
      <c r="FKQ50" s="26"/>
      <c r="FKR50" s="67"/>
      <c r="FKS50" s="11"/>
      <c r="FKT50" s="11"/>
      <c r="FKU50" s="68"/>
      <c r="FKV50" s="83"/>
      <c r="FKW50" s="83"/>
      <c r="FKX50" s="80"/>
      <c r="FKY50" s="70"/>
      <c r="FKZ50" s="70"/>
      <c r="FLA50" s="25"/>
      <c r="FLB50" s="26"/>
      <c r="FLC50" s="26"/>
      <c r="FLD50" s="67"/>
      <c r="FLE50" s="11"/>
      <c r="FLF50" s="11"/>
      <c r="FLG50" s="68"/>
      <c r="FLH50" s="83"/>
      <c r="FLI50" s="83"/>
      <c r="FLJ50" s="80"/>
      <c r="FLK50" s="70"/>
      <c r="FLL50" s="70"/>
      <c r="FLM50" s="25"/>
      <c r="FLN50" s="26"/>
      <c r="FLO50" s="26"/>
      <c r="FLP50" s="67"/>
      <c r="FLQ50" s="11"/>
      <c r="FLR50" s="11"/>
      <c r="FLS50" s="68"/>
      <c r="FLT50" s="83"/>
      <c r="FLU50" s="83"/>
      <c r="FLV50" s="80"/>
      <c r="FLW50" s="70"/>
      <c r="FLX50" s="70"/>
      <c r="FLY50" s="25"/>
      <c r="FLZ50" s="26"/>
      <c r="FMA50" s="26"/>
      <c r="FMB50" s="67"/>
      <c r="FMC50" s="11"/>
      <c r="FMD50" s="11"/>
      <c r="FME50" s="68"/>
      <c r="FMF50" s="83"/>
      <c r="FMG50" s="83"/>
      <c r="FMH50" s="80"/>
      <c r="FMI50" s="70"/>
      <c r="FMJ50" s="70"/>
      <c r="FMK50" s="25"/>
      <c r="FML50" s="26"/>
      <c r="FMM50" s="26"/>
      <c r="FMN50" s="67"/>
      <c r="FMO50" s="11"/>
      <c r="FMP50" s="11"/>
      <c r="FMQ50" s="68"/>
      <c r="FMR50" s="83"/>
      <c r="FMS50" s="83"/>
      <c r="FMT50" s="80"/>
      <c r="FMU50" s="70"/>
      <c r="FMV50" s="70"/>
      <c r="FMW50" s="25"/>
      <c r="FMX50" s="26"/>
      <c r="FMY50" s="26"/>
      <c r="FMZ50" s="67"/>
      <c r="FNA50" s="11"/>
      <c r="FNB50" s="11"/>
      <c r="FNC50" s="68"/>
      <c r="FND50" s="83"/>
      <c r="FNE50" s="83"/>
      <c r="FNF50" s="80"/>
      <c r="FNG50" s="70"/>
      <c r="FNH50" s="70"/>
      <c r="FNI50" s="25"/>
      <c r="FNJ50" s="26"/>
      <c r="FNK50" s="26"/>
      <c r="FNL50" s="67"/>
      <c r="FNM50" s="11"/>
      <c r="FNN50" s="11"/>
      <c r="FNO50" s="68"/>
      <c r="FNP50" s="83"/>
      <c r="FNQ50" s="83"/>
      <c r="FNR50" s="80"/>
      <c r="FNS50" s="70"/>
      <c r="FNT50" s="70"/>
      <c r="FNU50" s="25"/>
      <c r="FNV50" s="26"/>
      <c r="FNW50" s="26"/>
      <c r="FNX50" s="67"/>
      <c r="FNY50" s="11"/>
      <c r="FNZ50" s="11"/>
      <c r="FOA50" s="68"/>
      <c r="FOB50" s="83"/>
      <c r="FOC50" s="83"/>
      <c r="FOD50" s="80"/>
      <c r="FOE50" s="70"/>
      <c r="FOF50" s="70"/>
      <c r="FOG50" s="25"/>
      <c r="FOH50" s="26"/>
      <c r="FOI50" s="26"/>
      <c r="FOJ50" s="67"/>
      <c r="FOK50" s="11"/>
      <c r="FOL50" s="11"/>
      <c r="FOM50" s="68"/>
      <c r="FON50" s="83"/>
      <c r="FOO50" s="83"/>
      <c r="FOP50" s="80"/>
      <c r="FOQ50" s="70"/>
      <c r="FOR50" s="70"/>
      <c r="FOS50" s="25"/>
      <c r="FOT50" s="26"/>
      <c r="FOU50" s="26"/>
      <c r="FOV50" s="67"/>
      <c r="FOW50" s="11"/>
      <c r="FOX50" s="11"/>
      <c r="FOY50" s="68"/>
      <c r="FOZ50" s="83"/>
      <c r="FPA50" s="83"/>
      <c r="FPB50" s="80"/>
      <c r="FPC50" s="70"/>
      <c r="FPD50" s="70"/>
      <c r="FPE50" s="25"/>
      <c r="FPF50" s="26"/>
      <c r="FPG50" s="26"/>
      <c r="FPH50" s="67"/>
      <c r="FPI50" s="11"/>
      <c r="FPJ50" s="11"/>
      <c r="FPK50" s="68"/>
      <c r="FPL50" s="83"/>
      <c r="FPM50" s="83"/>
      <c r="FPN50" s="80"/>
      <c r="FPO50" s="70"/>
      <c r="FPP50" s="70"/>
      <c r="FPQ50" s="25"/>
      <c r="FPR50" s="26"/>
      <c r="FPS50" s="26"/>
      <c r="FPT50" s="67"/>
      <c r="FPU50" s="11"/>
      <c r="FPV50" s="11"/>
      <c r="FPW50" s="68"/>
      <c r="FPX50" s="83"/>
      <c r="FPY50" s="83"/>
      <c r="FPZ50" s="80"/>
      <c r="FQA50" s="70"/>
      <c r="FQB50" s="70"/>
      <c r="FQC50" s="25"/>
      <c r="FQD50" s="26"/>
      <c r="FQE50" s="26"/>
      <c r="FQF50" s="67"/>
      <c r="FQG50" s="11"/>
      <c r="FQH50" s="11"/>
      <c r="FQI50" s="68"/>
      <c r="FQJ50" s="83"/>
      <c r="FQK50" s="83"/>
      <c r="FQL50" s="80"/>
      <c r="FQM50" s="70"/>
      <c r="FQN50" s="70"/>
      <c r="FQO50" s="25"/>
      <c r="FQP50" s="26"/>
      <c r="FQQ50" s="26"/>
      <c r="FQR50" s="67"/>
      <c r="FQS50" s="11"/>
      <c r="FQT50" s="11"/>
      <c r="FQU50" s="68"/>
      <c r="FQV50" s="83"/>
      <c r="FQW50" s="83"/>
      <c r="FQX50" s="80"/>
      <c r="FQY50" s="70"/>
      <c r="FQZ50" s="70"/>
      <c r="FRA50" s="25"/>
      <c r="FRB50" s="26"/>
      <c r="FRC50" s="26"/>
      <c r="FRD50" s="67"/>
      <c r="FRE50" s="11"/>
      <c r="FRF50" s="11"/>
      <c r="FRG50" s="68"/>
      <c r="FRH50" s="83"/>
      <c r="FRI50" s="83"/>
      <c r="FRJ50" s="80"/>
      <c r="FRK50" s="70"/>
      <c r="FRL50" s="70"/>
      <c r="FRM50" s="25"/>
      <c r="FRN50" s="26"/>
      <c r="FRO50" s="26"/>
      <c r="FRP50" s="67"/>
      <c r="FRQ50" s="11"/>
      <c r="FRR50" s="11"/>
      <c r="FRS50" s="68"/>
      <c r="FRT50" s="83"/>
      <c r="FRU50" s="83"/>
      <c r="FRV50" s="80"/>
      <c r="FRW50" s="70"/>
      <c r="FRX50" s="70"/>
      <c r="FRY50" s="25"/>
      <c r="FRZ50" s="26"/>
      <c r="FSA50" s="26"/>
      <c r="FSB50" s="67"/>
      <c r="FSC50" s="11"/>
      <c r="FSD50" s="11"/>
      <c r="FSE50" s="68"/>
      <c r="FSF50" s="83"/>
      <c r="FSG50" s="83"/>
      <c r="FSH50" s="80"/>
      <c r="FSI50" s="70"/>
      <c r="FSJ50" s="70"/>
      <c r="FSK50" s="25"/>
      <c r="FSL50" s="26"/>
      <c r="FSM50" s="26"/>
      <c r="FSN50" s="67"/>
      <c r="FSO50" s="11"/>
      <c r="FSP50" s="11"/>
      <c r="FSQ50" s="68"/>
      <c r="FSR50" s="83"/>
      <c r="FSS50" s="83"/>
      <c r="FST50" s="80"/>
      <c r="FSU50" s="70"/>
      <c r="FSV50" s="70"/>
      <c r="FSW50" s="25"/>
      <c r="FSX50" s="26"/>
      <c r="FSY50" s="26"/>
      <c r="FSZ50" s="67"/>
      <c r="FTA50" s="11"/>
      <c r="FTB50" s="11"/>
      <c r="FTC50" s="68"/>
      <c r="FTD50" s="83"/>
      <c r="FTE50" s="83"/>
      <c r="FTF50" s="80"/>
      <c r="FTG50" s="70"/>
      <c r="FTH50" s="70"/>
      <c r="FTI50" s="25"/>
      <c r="FTJ50" s="26"/>
      <c r="FTK50" s="26"/>
      <c r="FTL50" s="67"/>
      <c r="FTM50" s="11"/>
      <c r="FTN50" s="11"/>
      <c r="FTO50" s="68"/>
      <c r="FTP50" s="83"/>
      <c r="FTQ50" s="83"/>
      <c r="FTR50" s="80"/>
      <c r="FTS50" s="70"/>
      <c r="FTT50" s="70"/>
      <c r="FTU50" s="25"/>
      <c r="FTV50" s="26"/>
      <c r="FTW50" s="26"/>
      <c r="FTX50" s="67"/>
      <c r="FTY50" s="11"/>
      <c r="FTZ50" s="11"/>
      <c r="FUA50" s="68"/>
      <c r="FUB50" s="83"/>
      <c r="FUC50" s="83"/>
      <c r="FUD50" s="80"/>
      <c r="FUE50" s="70"/>
      <c r="FUF50" s="70"/>
      <c r="FUG50" s="25"/>
      <c r="FUH50" s="26"/>
      <c r="FUI50" s="26"/>
      <c r="FUJ50" s="67"/>
      <c r="FUK50" s="11"/>
      <c r="FUL50" s="11"/>
      <c r="FUM50" s="68"/>
      <c r="FUN50" s="83"/>
      <c r="FUO50" s="83"/>
      <c r="FUP50" s="80"/>
      <c r="FUQ50" s="70"/>
      <c r="FUR50" s="70"/>
      <c r="FUS50" s="25"/>
      <c r="FUT50" s="26"/>
      <c r="FUU50" s="26"/>
      <c r="FUV50" s="67"/>
      <c r="FUW50" s="11"/>
      <c r="FUX50" s="11"/>
      <c r="FUY50" s="68"/>
      <c r="FUZ50" s="83"/>
      <c r="FVA50" s="83"/>
      <c r="FVB50" s="80"/>
      <c r="FVC50" s="70"/>
      <c r="FVD50" s="70"/>
      <c r="FVE50" s="25"/>
      <c r="FVF50" s="26"/>
      <c r="FVG50" s="26"/>
      <c r="FVH50" s="67"/>
      <c r="FVI50" s="11"/>
      <c r="FVJ50" s="11"/>
      <c r="FVK50" s="68"/>
      <c r="FVL50" s="83"/>
      <c r="FVM50" s="83"/>
      <c r="FVN50" s="80"/>
      <c r="FVO50" s="70"/>
      <c r="FVP50" s="70"/>
      <c r="FVQ50" s="25"/>
      <c r="FVR50" s="26"/>
      <c r="FVS50" s="26"/>
      <c r="FVT50" s="67"/>
      <c r="FVU50" s="11"/>
      <c r="FVV50" s="11"/>
      <c r="FVW50" s="68"/>
      <c r="FVX50" s="83"/>
      <c r="FVY50" s="83"/>
      <c r="FVZ50" s="80"/>
      <c r="FWA50" s="70"/>
      <c r="FWB50" s="70"/>
      <c r="FWC50" s="25"/>
      <c r="FWD50" s="26"/>
      <c r="FWE50" s="26"/>
      <c r="FWF50" s="67"/>
      <c r="FWG50" s="11"/>
      <c r="FWH50" s="11"/>
      <c r="FWI50" s="68"/>
      <c r="FWJ50" s="83"/>
      <c r="FWK50" s="83"/>
      <c r="FWL50" s="80"/>
      <c r="FWM50" s="70"/>
      <c r="FWN50" s="70"/>
      <c r="FWO50" s="25"/>
      <c r="FWP50" s="26"/>
      <c r="FWQ50" s="26"/>
      <c r="FWR50" s="67"/>
      <c r="FWS50" s="11"/>
      <c r="FWT50" s="11"/>
      <c r="FWU50" s="68"/>
      <c r="FWV50" s="83"/>
      <c r="FWW50" s="83"/>
      <c r="FWX50" s="80"/>
      <c r="FWY50" s="70"/>
      <c r="FWZ50" s="70"/>
      <c r="FXA50" s="25"/>
      <c r="FXB50" s="26"/>
      <c r="FXC50" s="26"/>
      <c r="FXD50" s="67"/>
      <c r="FXE50" s="11"/>
      <c r="FXF50" s="11"/>
      <c r="FXG50" s="68"/>
      <c r="FXH50" s="83"/>
      <c r="FXI50" s="83"/>
      <c r="FXJ50" s="80"/>
      <c r="FXK50" s="70"/>
      <c r="FXL50" s="70"/>
      <c r="FXM50" s="25"/>
      <c r="FXN50" s="26"/>
      <c r="FXO50" s="26"/>
      <c r="FXP50" s="67"/>
      <c r="FXQ50" s="11"/>
      <c r="FXR50" s="11"/>
      <c r="FXS50" s="68"/>
      <c r="FXT50" s="83"/>
      <c r="FXU50" s="83"/>
      <c r="FXV50" s="80"/>
      <c r="FXW50" s="70"/>
      <c r="FXX50" s="70"/>
      <c r="FXY50" s="25"/>
      <c r="FXZ50" s="26"/>
      <c r="FYA50" s="26"/>
      <c r="FYB50" s="67"/>
      <c r="FYC50" s="11"/>
      <c r="FYD50" s="11"/>
      <c r="FYE50" s="68"/>
      <c r="FYF50" s="83"/>
      <c r="FYG50" s="83"/>
      <c r="FYH50" s="80"/>
      <c r="FYI50" s="70"/>
      <c r="FYJ50" s="70"/>
      <c r="FYK50" s="25"/>
      <c r="FYL50" s="26"/>
      <c r="FYM50" s="26"/>
      <c r="FYN50" s="67"/>
      <c r="FYO50" s="11"/>
      <c r="FYP50" s="11"/>
      <c r="FYQ50" s="68"/>
      <c r="FYR50" s="83"/>
      <c r="FYS50" s="83"/>
      <c r="FYT50" s="80"/>
      <c r="FYU50" s="70"/>
      <c r="FYV50" s="70"/>
      <c r="FYW50" s="25"/>
      <c r="FYX50" s="26"/>
      <c r="FYY50" s="26"/>
      <c r="FYZ50" s="67"/>
      <c r="FZA50" s="11"/>
      <c r="FZB50" s="11"/>
      <c r="FZC50" s="68"/>
      <c r="FZD50" s="83"/>
      <c r="FZE50" s="83"/>
      <c r="FZF50" s="80"/>
      <c r="FZG50" s="70"/>
      <c r="FZH50" s="70"/>
      <c r="FZI50" s="25"/>
      <c r="FZJ50" s="26"/>
      <c r="FZK50" s="26"/>
      <c r="FZL50" s="67"/>
      <c r="FZM50" s="11"/>
      <c r="FZN50" s="11"/>
      <c r="FZO50" s="68"/>
      <c r="FZP50" s="83"/>
      <c r="FZQ50" s="83"/>
      <c r="FZR50" s="80"/>
      <c r="FZS50" s="70"/>
      <c r="FZT50" s="70"/>
      <c r="FZU50" s="25"/>
      <c r="FZV50" s="26"/>
      <c r="FZW50" s="26"/>
      <c r="FZX50" s="67"/>
      <c r="FZY50" s="11"/>
      <c r="FZZ50" s="11"/>
      <c r="GAA50" s="68"/>
      <c r="GAB50" s="83"/>
      <c r="GAC50" s="83"/>
      <c r="GAD50" s="80"/>
      <c r="GAE50" s="70"/>
      <c r="GAF50" s="70"/>
      <c r="GAG50" s="25"/>
      <c r="GAH50" s="26"/>
      <c r="GAI50" s="26"/>
      <c r="GAJ50" s="67"/>
      <c r="GAK50" s="11"/>
      <c r="GAL50" s="11"/>
      <c r="GAM50" s="68"/>
      <c r="GAN50" s="83"/>
      <c r="GAO50" s="83"/>
      <c r="GAP50" s="80"/>
      <c r="GAQ50" s="70"/>
      <c r="GAR50" s="70"/>
      <c r="GAS50" s="25"/>
      <c r="GAT50" s="26"/>
      <c r="GAU50" s="26"/>
      <c r="GAV50" s="67"/>
      <c r="GAW50" s="11"/>
      <c r="GAX50" s="11"/>
      <c r="GAY50" s="68"/>
      <c r="GAZ50" s="83"/>
      <c r="GBA50" s="83"/>
      <c r="GBB50" s="80"/>
      <c r="GBC50" s="70"/>
      <c r="GBD50" s="70"/>
      <c r="GBE50" s="25"/>
      <c r="GBF50" s="26"/>
      <c r="GBG50" s="26"/>
      <c r="GBH50" s="67"/>
      <c r="GBI50" s="11"/>
      <c r="GBJ50" s="11"/>
      <c r="GBK50" s="68"/>
      <c r="GBL50" s="83"/>
      <c r="GBM50" s="83"/>
      <c r="GBN50" s="80"/>
      <c r="GBO50" s="70"/>
      <c r="GBP50" s="70"/>
      <c r="GBQ50" s="25"/>
      <c r="GBR50" s="26"/>
      <c r="GBS50" s="26"/>
      <c r="GBT50" s="67"/>
      <c r="GBU50" s="11"/>
      <c r="GBV50" s="11"/>
      <c r="GBW50" s="68"/>
      <c r="GBX50" s="83"/>
      <c r="GBY50" s="83"/>
      <c r="GBZ50" s="80"/>
      <c r="GCA50" s="70"/>
      <c r="GCB50" s="70"/>
      <c r="GCC50" s="25"/>
      <c r="GCD50" s="26"/>
      <c r="GCE50" s="26"/>
      <c r="GCF50" s="67"/>
      <c r="GCG50" s="11"/>
      <c r="GCH50" s="11"/>
      <c r="GCI50" s="68"/>
      <c r="GCJ50" s="83"/>
      <c r="GCK50" s="83"/>
      <c r="GCL50" s="80"/>
      <c r="GCM50" s="70"/>
      <c r="GCN50" s="70"/>
      <c r="GCO50" s="25"/>
      <c r="GCP50" s="26"/>
      <c r="GCQ50" s="26"/>
      <c r="GCR50" s="67"/>
      <c r="GCS50" s="11"/>
      <c r="GCT50" s="11"/>
      <c r="GCU50" s="68"/>
      <c r="GCV50" s="83"/>
      <c r="GCW50" s="83"/>
      <c r="GCX50" s="80"/>
      <c r="GCY50" s="70"/>
      <c r="GCZ50" s="70"/>
      <c r="GDA50" s="25"/>
      <c r="GDB50" s="26"/>
      <c r="GDC50" s="26"/>
      <c r="GDD50" s="67"/>
      <c r="GDE50" s="11"/>
      <c r="GDF50" s="11"/>
      <c r="GDG50" s="68"/>
      <c r="GDH50" s="83"/>
      <c r="GDI50" s="83"/>
      <c r="GDJ50" s="80"/>
      <c r="GDK50" s="70"/>
      <c r="GDL50" s="70"/>
      <c r="GDM50" s="25"/>
      <c r="GDN50" s="26"/>
      <c r="GDO50" s="26"/>
      <c r="GDP50" s="67"/>
      <c r="GDQ50" s="11"/>
      <c r="GDR50" s="11"/>
      <c r="GDS50" s="68"/>
      <c r="GDT50" s="83"/>
      <c r="GDU50" s="83"/>
      <c r="GDV50" s="80"/>
      <c r="GDW50" s="70"/>
      <c r="GDX50" s="70"/>
      <c r="GDY50" s="25"/>
      <c r="GDZ50" s="26"/>
      <c r="GEA50" s="26"/>
      <c r="GEB50" s="67"/>
      <c r="GEC50" s="11"/>
      <c r="GED50" s="11"/>
      <c r="GEE50" s="68"/>
      <c r="GEF50" s="83"/>
      <c r="GEG50" s="83"/>
      <c r="GEH50" s="80"/>
      <c r="GEI50" s="70"/>
      <c r="GEJ50" s="70"/>
      <c r="GEK50" s="25"/>
      <c r="GEL50" s="26"/>
      <c r="GEM50" s="26"/>
      <c r="GEN50" s="67"/>
      <c r="GEO50" s="11"/>
      <c r="GEP50" s="11"/>
      <c r="GEQ50" s="68"/>
      <c r="GER50" s="83"/>
      <c r="GES50" s="83"/>
      <c r="GET50" s="80"/>
      <c r="GEU50" s="70"/>
      <c r="GEV50" s="70"/>
      <c r="GEW50" s="25"/>
      <c r="GEX50" s="26"/>
      <c r="GEY50" s="26"/>
      <c r="GEZ50" s="67"/>
      <c r="GFA50" s="11"/>
      <c r="GFB50" s="11"/>
      <c r="GFC50" s="68"/>
      <c r="GFD50" s="83"/>
      <c r="GFE50" s="83"/>
      <c r="GFF50" s="80"/>
      <c r="GFG50" s="70"/>
      <c r="GFH50" s="70"/>
      <c r="GFI50" s="25"/>
      <c r="GFJ50" s="26"/>
      <c r="GFK50" s="26"/>
      <c r="GFL50" s="67"/>
      <c r="GFM50" s="11"/>
      <c r="GFN50" s="11"/>
      <c r="GFO50" s="68"/>
      <c r="GFP50" s="83"/>
      <c r="GFQ50" s="83"/>
      <c r="GFR50" s="80"/>
      <c r="GFS50" s="70"/>
      <c r="GFT50" s="70"/>
      <c r="GFU50" s="25"/>
      <c r="GFV50" s="26"/>
      <c r="GFW50" s="26"/>
      <c r="GFX50" s="67"/>
      <c r="GFY50" s="11"/>
      <c r="GFZ50" s="11"/>
      <c r="GGA50" s="68"/>
      <c r="GGB50" s="83"/>
      <c r="GGC50" s="83"/>
      <c r="GGD50" s="80"/>
      <c r="GGE50" s="70"/>
      <c r="GGF50" s="70"/>
      <c r="GGG50" s="25"/>
      <c r="GGH50" s="26"/>
      <c r="GGI50" s="26"/>
      <c r="GGJ50" s="67"/>
      <c r="GGK50" s="11"/>
      <c r="GGL50" s="11"/>
      <c r="GGM50" s="68"/>
      <c r="GGN50" s="83"/>
      <c r="GGO50" s="83"/>
      <c r="GGP50" s="80"/>
      <c r="GGQ50" s="70"/>
      <c r="GGR50" s="70"/>
      <c r="GGS50" s="25"/>
      <c r="GGT50" s="26"/>
      <c r="GGU50" s="26"/>
      <c r="GGV50" s="67"/>
      <c r="GGW50" s="11"/>
      <c r="GGX50" s="11"/>
      <c r="GGY50" s="68"/>
      <c r="GGZ50" s="83"/>
      <c r="GHA50" s="83"/>
      <c r="GHB50" s="80"/>
      <c r="GHC50" s="70"/>
      <c r="GHD50" s="70"/>
      <c r="GHE50" s="25"/>
      <c r="GHF50" s="26"/>
      <c r="GHG50" s="26"/>
      <c r="GHH50" s="67"/>
      <c r="GHI50" s="11"/>
      <c r="GHJ50" s="11"/>
      <c r="GHK50" s="68"/>
      <c r="GHL50" s="83"/>
      <c r="GHM50" s="83"/>
      <c r="GHN50" s="80"/>
      <c r="GHO50" s="70"/>
      <c r="GHP50" s="70"/>
      <c r="GHQ50" s="25"/>
      <c r="GHR50" s="26"/>
      <c r="GHS50" s="26"/>
      <c r="GHT50" s="67"/>
      <c r="GHU50" s="11"/>
      <c r="GHV50" s="11"/>
      <c r="GHW50" s="68"/>
      <c r="GHX50" s="83"/>
      <c r="GHY50" s="83"/>
      <c r="GHZ50" s="80"/>
      <c r="GIA50" s="70"/>
      <c r="GIB50" s="70"/>
      <c r="GIC50" s="25"/>
      <c r="GID50" s="26"/>
      <c r="GIE50" s="26"/>
      <c r="GIF50" s="67"/>
      <c r="GIG50" s="11"/>
      <c r="GIH50" s="11"/>
      <c r="GII50" s="68"/>
      <c r="GIJ50" s="83"/>
      <c r="GIK50" s="83"/>
      <c r="GIL50" s="80"/>
      <c r="GIM50" s="70"/>
      <c r="GIN50" s="70"/>
      <c r="GIO50" s="25"/>
      <c r="GIP50" s="26"/>
      <c r="GIQ50" s="26"/>
      <c r="GIR50" s="67"/>
      <c r="GIS50" s="11"/>
      <c r="GIT50" s="11"/>
      <c r="GIU50" s="68"/>
      <c r="GIV50" s="83"/>
      <c r="GIW50" s="83"/>
      <c r="GIX50" s="80"/>
      <c r="GIY50" s="70"/>
      <c r="GIZ50" s="70"/>
      <c r="GJA50" s="25"/>
      <c r="GJB50" s="26"/>
      <c r="GJC50" s="26"/>
      <c r="GJD50" s="67"/>
      <c r="GJE50" s="11"/>
      <c r="GJF50" s="11"/>
      <c r="GJG50" s="68"/>
      <c r="GJH50" s="83"/>
      <c r="GJI50" s="83"/>
      <c r="GJJ50" s="80"/>
      <c r="GJK50" s="70"/>
      <c r="GJL50" s="70"/>
      <c r="GJM50" s="25"/>
      <c r="GJN50" s="26"/>
      <c r="GJO50" s="26"/>
      <c r="GJP50" s="67"/>
      <c r="GJQ50" s="11"/>
      <c r="GJR50" s="11"/>
      <c r="GJS50" s="68"/>
      <c r="GJT50" s="83"/>
      <c r="GJU50" s="83"/>
      <c r="GJV50" s="80"/>
      <c r="GJW50" s="70"/>
      <c r="GJX50" s="70"/>
      <c r="GJY50" s="25"/>
      <c r="GJZ50" s="26"/>
      <c r="GKA50" s="26"/>
      <c r="GKB50" s="67"/>
      <c r="GKC50" s="11"/>
      <c r="GKD50" s="11"/>
      <c r="GKE50" s="68"/>
      <c r="GKF50" s="83"/>
      <c r="GKG50" s="83"/>
      <c r="GKH50" s="80"/>
      <c r="GKI50" s="70"/>
      <c r="GKJ50" s="70"/>
      <c r="GKK50" s="25"/>
      <c r="GKL50" s="26"/>
      <c r="GKM50" s="26"/>
      <c r="GKN50" s="67"/>
      <c r="GKO50" s="11"/>
      <c r="GKP50" s="11"/>
      <c r="GKQ50" s="68"/>
      <c r="GKR50" s="83"/>
      <c r="GKS50" s="83"/>
      <c r="GKT50" s="80"/>
      <c r="GKU50" s="70"/>
      <c r="GKV50" s="70"/>
      <c r="GKW50" s="25"/>
      <c r="GKX50" s="26"/>
      <c r="GKY50" s="26"/>
      <c r="GKZ50" s="67"/>
      <c r="GLA50" s="11"/>
      <c r="GLB50" s="11"/>
      <c r="GLC50" s="68"/>
      <c r="GLD50" s="83"/>
      <c r="GLE50" s="83"/>
      <c r="GLF50" s="80"/>
      <c r="GLG50" s="70"/>
      <c r="GLH50" s="70"/>
      <c r="GLI50" s="25"/>
      <c r="GLJ50" s="26"/>
      <c r="GLK50" s="26"/>
      <c r="GLL50" s="67"/>
      <c r="GLM50" s="11"/>
      <c r="GLN50" s="11"/>
      <c r="GLO50" s="68"/>
      <c r="GLP50" s="83"/>
      <c r="GLQ50" s="83"/>
      <c r="GLR50" s="80"/>
      <c r="GLS50" s="70"/>
      <c r="GLT50" s="70"/>
      <c r="GLU50" s="25"/>
      <c r="GLV50" s="26"/>
      <c r="GLW50" s="26"/>
      <c r="GLX50" s="67"/>
      <c r="GLY50" s="11"/>
      <c r="GLZ50" s="11"/>
      <c r="GMA50" s="68"/>
      <c r="GMB50" s="83"/>
      <c r="GMC50" s="83"/>
      <c r="GMD50" s="80"/>
      <c r="GME50" s="70"/>
      <c r="GMF50" s="70"/>
      <c r="GMG50" s="25"/>
      <c r="GMH50" s="26"/>
      <c r="GMI50" s="26"/>
      <c r="GMJ50" s="67"/>
      <c r="GMK50" s="11"/>
      <c r="GML50" s="11"/>
      <c r="GMM50" s="68"/>
      <c r="GMN50" s="83"/>
      <c r="GMO50" s="83"/>
      <c r="GMP50" s="80"/>
      <c r="GMQ50" s="70"/>
      <c r="GMR50" s="70"/>
      <c r="GMS50" s="25"/>
      <c r="GMT50" s="26"/>
      <c r="GMU50" s="26"/>
      <c r="GMV50" s="67"/>
      <c r="GMW50" s="11"/>
      <c r="GMX50" s="11"/>
      <c r="GMY50" s="68"/>
      <c r="GMZ50" s="83"/>
      <c r="GNA50" s="83"/>
      <c r="GNB50" s="80"/>
      <c r="GNC50" s="70"/>
      <c r="GND50" s="70"/>
      <c r="GNE50" s="25"/>
      <c r="GNF50" s="26"/>
      <c r="GNG50" s="26"/>
      <c r="GNH50" s="67"/>
      <c r="GNI50" s="11"/>
      <c r="GNJ50" s="11"/>
      <c r="GNK50" s="68"/>
      <c r="GNL50" s="83"/>
      <c r="GNM50" s="83"/>
      <c r="GNN50" s="80"/>
      <c r="GNO50" s="70"/>
      <c r="GNP50" s="70"/>
      <c r="GNQ50" s="25"/>
      <c r="GNR50" s="26"/>
      <c r="GNS50" s="26"/>
      <c r="GNT50" s="67"/>
      <c r="GNU50" s="11"/>
      <c r="GNV50" s="11"/>
      <c r="GNW50" s="68"/>
      <c r="GNX50" s="83"/>
      <c r="GNY50" s="83"/>
      <c r="GNZ50" s="80"/>
      <c r="GOA50" s="70"/>
      <c r="GOB50" s="70"/>
      <c r="GOC50" s="25"/>
      <c r="GOD50" s="26"/>
      <c r="GOE50" s="26"/>
      <c r="GOF50" s="67"/>
      <c r="GOG50" s="11"/>
      <c r="GOH50" s="11"/>
      <c r="GOI50" s="68"/>
      <c r="GOJ50" s="83"/>
      <c r="GOK50" s="83"/>
      <c r="GOL50" s="80"/>
      <c r="GOM50" s="70"/>
      <c r="GON50" s="70"/>
      <c r="GOO50" s="25"/>
      <c r="GOP50" s="26"/>
      <c r="GOQ50" s="26"/>
      <c r="GOR50" s="67"/>
      <c r="GOS50" s="11"/>
      <c r="GOT50" s="11"/>
      <c r="GOU50" s="68"/>
      <c r="GOV50" s="83"/>
      <c r="GOW50" s="83"/>
      <c r="GOX50" s="80"/>
      <c r="GOY50" s="70"/>
      <c r="GOZ50" s="70"/>
      <c r="GPA50" s="25"/>
      <c r="GPB50" s="26"/>
      <c r="GPC50" s="26"/>
      <c r="GPD50" s="67"/>
      <c r="GPE50" s="11"/>
      <c r="GPF50" s="11"/>
      <c r="GPG50" s="68"/>
      <c r="GPH50" s="83"/>
      <c r="GPI50" s="83"/>
      <c r="GPJ50" s="80"/>
      <c r="GPK50" s="70"/>
      <c r="GPL50" s="70"/>
      <c r="GPM50" s="25"/>
      <c r="GPN50" s="26"/>
      <c r="GPO50" s="26"/>
      <c r="GPP50" s="67"/>
      <c r="GPQ50" s="11"/>
      <c r="GPR50" s="11"/>
      <c r="GPS50" s="68"/>
      <c r="GPT50" s="83"/>
      <c r="GPU50" s="83"/>
      <c r="GPV50" s="80"/>
      <c r="GPW50" s="70"/>
      <c r="GPX50" s="70"/>
      <c r="GPY50" s="25"/>
      <c r="GPZ50" s="26"/>
      <c r="GQA50" s="26"/>
      <c r="GQB50" s="67"/>
      <c r="GQC50" s="11"/>
      <c r="GQD50" s="11"/>
      <c r="GQE50" s="68"/>
      <c r="GQF50" s="83"/>
      <c r="GQG50" s="83"/>
      <c r="GQH50" s="80"/>
      <c r="GQI50" s="70"/>
      <c r="GQJ50" s="70"/>
      <c r="GQK50" s="25"/>
      <c r="GQL50" s="26"/>
      <c r="GQM50" s="26"/>
      <c r="GQN50" s="67"/>
      <c r="GQO50" s="11"/>
      <c r="GQP50" s="11"/>
      <c r="GQQ50" s="68"/>
      <c r="GQR50" s="83"/>
      <c r="GQS50" s="83"/>
      <c r="GQT50" s="80"/>
      <c r="GQU50" s="70"/>
      <c r="GQV50" s="70"/>
      <c r="GQW50" s="25"/>
      <c r="GQX50" s="26"/>
      <c r="GQY50" s="26"/>
      <c r="GQZ50" s="67"/>
      <c r="GRA50" s="11"/>
      <c r="GRB50" s="11"/>
      <c r="GRC50" s="68"/>
      <c r="GRD50" s="83"/>
      <c r="GRE50" s="83"/>
      <c r="GRF50" s="80"/>
      <c r="GRG50" s="70"/>
      <c r="GRH50" s="70"/>
      <c r="GRI50" s="25"/>
      <c r="GRJ50" s="26"/>
      <c r="GRK50" s="26"/>
      <c r="GRL50" s="67"/>
      <c r="GRM50" s="11"/>
      <c r="GRN50" s="11"/>
      <c r="GRO50" s="68"/>
      <c r="GRP50" s="83"/>
      <c r="GRQ50" s="83"/>
      <c r="GRR50" s="80"/>
      <c r="GRS50" s="70"/>
      <c r="GRT50" s="70"/>
      <c r="GRU50" s="25"/>
      <c r="GRV50" s="26"/>
      <c r="GRW50" s="26"/>
      <c r="GRX50" s="67"/>
      <c r="GRY50" s="11"/>
      <c r="GRZ50" s="11"/>
      <c r="GSA50" s="68"/>
      <c r="GSB50" s="83"/>
      <c r="GSC50" s="83"/>
      <c r="GSD50" s="80"/>
      <c r="GSE50" s="70"/>
      <c r="GSF50" s="70"/>
      <c r="GSG50" s="25"/>
      <c r="GSH50" s="26"/>
      <c r="GSI50" s="26"/>
      <c r="GSJ50" s="67"/>
      <c r="GSK50" s="11"/>
      <c r="GSL50" s="11"/>
      <c r="GSM50" s="68"/>
      <c r="GSN50" s="83"/>
      <c r="GSO50" s="83"/>
      <c r="GSP50" s="80"/>
      <c r="GSQ50" s="70"/>
      <c r="GSR50" s="70"/>
      <c r="GSS50" s="25"/>
      <c r="GST50" s="26"/>
      <c r="GSU50" s="26"/>
      <c r="GSV50" s="67"/>
      <c r="GSW50" s="11"/>
      <c r="GSX50" s="11"/>
      <c r="GSY50" s="68"/>
      <c r="GSZ50" s="83"/>
      <c r="GTA50" s="83"/>
      <c r="GTB50" s="80"/>
      <c r="GTC50" s="70"/>
      <c r="GTD50" s="70"/>
      <c r="GTE50" s="25"/>
      <c r="GTF50" s="26"/>
      <c r="GTG50" s="26"/>
      <c r="GTH50" s="67"/>
      <c r="GTI50" s="11"/>
      <c r="GTJ50" s="11"/>
      <c r="GTK50" s="68"/>
      <c r="GTL50" s="83"/>
      <c r="GTM50" s="83"/>
      <c r="GTN50" s="80"/>
      <c r="GTO50" s="70"/>
      <c r="GTP50" s="70"/>
      <c r="GTQ50" s="25"/>
      <c r="GTR50" s="26"/>
      <c r="GTS50" s="26"/>
      <c r="GTT50" s="67"/>
      <c r="GTU50" s="11"/>
      <c r="GTV50" s="11"/>
      <c r="GTW50" s="68"/>
      <c r="GTX50" s="83"/>
      <c r="GTY50" s="83"/>
      <c r="GTZ50" s="80"/>
      <c r="GUA50" s="70"/>
      <c r="GUB50" s="70"/>
      <c r="GUC50" s="25"/>
      <c r="GUD50" s="26"/>
      <c r="GUE50" s="26"/>
      <c r="GUF50" s="67"/>
      <c r="GUG50" s="11"/>
      <c r="GUH50" s="11"/>
      <c r="GUI50" s="68"/>
      <c r="GUJ50" s="83"/>
      <c r="GUK50" s="83"/>
      <c r="GUL50" s="80"/>
      <c r="GUM50" s="70"/>
      <c r="GUN50" s="70"/>
      <c r="GUO50" s="25"/>
      <c r="GUP50" s="26"/>
      <c r="GUQ50" s="26"/>
      <c r="GUR50" s="67"/>
      <c r="GUS50" s="11"/>
      <c r="GUT50" s="11"/>
      <c r="GUU50" s="68"/>
      <c r="GUV50" s="83"/>
      <c r="GUW50" s="83"/>
      <c r="GUX50" s="80"/>
      <c r="GUY50" s="70"/>
      <c r="GUZ50" s="70"/>
      <c r="GVA50" s="25"/>
      <c r="GVB50" s="26"/>
      <c r="GVC50" s="26"/>
      <c r="GVD50" s="67"/>
      <c r="GVE50" s="11"/>
      <c r="GVF50" s="11"/>
      <c r="GVG50" s="68"/>
      <c r="GVH50" s="83"/>
      <c r="GVI50" s="83"/>
      <c r="GVJ50" s="80"/>
      <c r="GVK50" s="70"/>
      <c r="GVL50" s="70"/>
      <c r="GVM50" s="25"/>
      <c r="GVN50" s="26"/>
      <c r="GVO50" s="26"/>
      <c r="GVP50" s="67"/>
      <c r="GVQ50" s="11"/>
      <c r="GVR50" s="11"/>
      <c r="GVS50" s="68"/>
      <c r="GVT50" s="83"/>
      <c r="GVU50" s="83"/>
      <c r="GVV50" s="80"/>
      <c r="GVW50" s="70"/>
      <c r="GVX50" s="70"/>
      <c r="GVY50" s="25"/>
      <c r="GVZ50" s="26"/>
      <c r="GWA50" s="26"/>
      <c r="GWB50" s="67"/>
      <c r="GWC50" s="11"/>
      <c r="GWD50" s="11"/>
      <c r="GWE50" s="68"/>
      <c r="GWF50" s="83"/>
      <c r="GWG50" s="83"/>
      <c r="GWH50" s="80"/>
      <c r="GWI50" s="70"/>
      <c r="GWJ50" s="70"/>
      <c r="GWK50" s="25"/>
      <c r="GWL50" s="26"/>
      <c r="GWM50" s="26"/>
      <c r="GWN50" s="67"/>
      <c r="GWO50" s="11"/>
      <c r="GWP50" s="11"/>
      <c r="GWQ50" s="68"/>
      <c r="GWR50" s="83"/>
      <c r="GWS50" s="83"/>
      <c r="GWT50" s="80"/>
      <c r="GWU50" s="70"/>
      <c r="GWV50" s="70"/>
      <c r="GWW50" s="25"/>
      <c r="GWX50" s="26"/>
      <c r="GWY50" s="26"/>
      <c r="GWZ50" s="67"/>
      <c r="GXA50" s="11"/>
      <c r="GXB50" s="11"/>
      <c r="GXC50" s="68"/>
      <c r="GXD50" s="83"/>
      <c r="GXE50" s="83"/>
      <c r="GXF50" s="80"/>
      <c r="GXG50" s="70"/>
      <c r="GXH50" s="70"/>
      <c r="GXI50" s="25"/>
      <c r="GXJ50" s="26"/>
      <c r="GXK50" s="26"/>
      <c r="GXL50" s="67"/>
      <c r="GXM50" s="11"/>
      <c r="GXN50" s="11"/>
      <c r="GXO50" s="68"/>
      <c r="GXP50" s="83"/>
      <c r="GXQ50" s="83"/>
      <c r="GXR50" s="80"/>
      <c r="GXS50" s="70"/>
      <c r="GXT50" s="70"/>
      <c r="GXU50" s="25"/>
      <c r="GXV50" s="26"/>
      <c r="GXW50" s="26"/>
      <c r="GXX50" s="67"/>
      <c r="GXY50" s="11"/>
      <c r="GXZ50" s="11"/>
      <c r="GYA50" s="68"/>
      <c r="GYB50" s="83"/>
      <c r="GYC50" s="83"/>
      <c r="GYD50" s="80"/>
      <c r="GYE50" s="70"/>
      <c r="GYF50" s="70"/>
      <c r="GYG50" s="25"/>
      <c r="GYH50" s="26"/>
      <c r="GYI50" s="26"/>
      <c r="GYJ50" s="67"/>
      <c r="GYK50" s="11"/>
      <c r="GYL50" s="11"/>
      <c r="GYM50" s="68"/>
      <c r="GYN50" s="83"/>
      <c r="GYO50" s="83"/>
      <c r="GYP50" s="80"/>
      <c r="GYQ50" s="70"/>
      <c r="GYR50" s="70"/>
      <c r="GYS50" s="25"/>
      <c r="GYT50" s="26"/>
      <c r="GYU50" s="26"/>
      <c r="GYV50" s="67"/>
      <c r="GYW50" s="11"/>
      <c r="GYX50" s="11"/>
      <c r="GYY50" s="68"/>
      <c r="GYZ50" s="83"/>
      <c r="GZA50" s="83"/>
      <c r="GZB50" s="80"/>
      <c r="GZC50" s="70"/>
      <c r="GZD50" s="70"/>
      <c r="GZE50" s="25"/>
      <c r="GZF50" s="26"/>
      <c r="GZG50" s="26"/>
      <c r="GZH50" s="67"/>
      <c r="GZI50" s="11"/>
      <c r="GZJ50" s="11"/>
      <c r="GZK50" s="68"/>
      <c r="GZL50" s="83"/>
      <c r="GZM50" s="83"/>
      <c r="GZN50" s="80"/>
      <c r="GZO50" s="70"/>
      <c r="GZP50" s="70"/>
      <c r="GZQ50" s="25"/>
      <c r="GZR50" s="26"/>
      <c r="GZS50" s="26"/>
      <c r="GZT50" s="67"/>
      <c r="GZU50" s="11"/>
      <c r="GZV50" s="11"/>
      <c r="GZW50" s="68"/>
      <c r="GZX50" s="83"/>
      <c r="GZY50" s="83"/>
      <c r="GZZ50" s="80"/>
      <c r="HAA50" s="70"/>
      <c r="HAB50" s="70"/>
      <c r="HAC50" s="25"/>
      <c r="HAD50" s="26"/>
      <c r="HAE50" s="26"/>
      <c r="HAF50" s="67"/>
      <c r="HAG50" s="11"/>
      <c r="HAH50" s="11"/>
      <c r="HAI50" s="68"/>
      <c r="HAJ50" s="83"/>
      <c r="HAK50" s="83"/>
      <c r="HAL50" s="80"/>
      <c r="HAM50" s="70"/>
      <c r="HAN50" s="70"/>
      <c r="HAO50" s="25"/>
      <c r="HAP50" s="26"/>
      <c r="HAQ50" s="26"/>
      <c r="HAR50" s="67"/>
      <c r="HAS50" s="11"/>
      <c r="HAT50" s="11"/>
      <c r="HAU50" s="68"/>
      <c r="HAV50" s="83"/>
      <c r="HAW50" s="83"/>
      <c r="HAX50" s="80"/>
      <c r="HAY50" s="70"/>
      <c r="HAZ50" s="70"/>
      <c r="HBA50" s="25"/>
      <c r="HBB50" s="26"/>
      <c r="HBC50" s="26"/>
      <c r="HBD50" s="67"/>
      <c r="HBE50" s="11"/>
      <c r="HBF50" s="11"/>
      <c r="HBG50" s="68"/>
      <c r="HBH50" s="83"/>
      <c r="HBI50" s="83"/>
      <c r="HBJ50" s="80"/>
      <c r="HBK50" s="70"/>
      <c r="HBL50" s="70"/>
      <c r="HBM50" s="25"/>
      <c r="HBN50" s="26"/>
      <c r="HBO50" s="26"/>
      <c r="HBP50" s="67"/>
      <c r="HBQ50" s="11"/>
      <c r="HBR50" s="11"/>
      <c r="HBS50" s="68"/>
      <c r="HBT50" s="83"/>
      <c r="HBU50" s="83"/>
      <c r="HBV50" s="80"/>
      <c r="HBW50" s="70"/>
      <c r="HBX50" s="70"/>
      <c r="HBY50" s="25"/>
      <c r="HBZ50" s="26"/>
      <c r="HCA50" s="26"/>
      <c r="HCB50" s="67"/>
      <c r="HCC50" s="11"/>
      <c r="HCD50" s="11"/>
      <c r="HCE50" s="68"/>
      <c r="HCF50" s="83"/>
      <c r="HCG50" s="83"/>
      <c r="HCH50" s="80"/>
      <c r="HCI50" s="70"/>
      <c r="HCJ50" s="70"/>
      <c r="HCK50" s="25"/>
      <c r="HCL50" s="26"/>
      <c r="HCM50" s="26"/>
      <c r="HCN50" s="67"/>
      <c r="HCO50" s="11"/>
      <c r="HCP50" s="11"/>
      <c r="HCQ50" s="68"/>
      <c r="HCR50" s="83"/>
      <c r="HCS50" s="83"/>
      <c r="HCT50" s="80"/>
      <c r="HCU50" s="70"/>
      <c r="HCV50" s="70"/>
      <c r="HCW50" s="25"/>
      <c r="HCX50" s="26"/>
      <c r="HCY50" s="26"/>
      <c r="HCZ50" s="67"/>
      <c r="HDA50" s="11"/>
      <c r="HDB50" s="11"/>
      <c r="HDC50" s="68"/>
      <c r="HDD50" s="83"/>
      <c r="HDE50" s="83"/>
      <c r="HDF50" s="80"/>
      <c r="HDG50" s="70"/>
      <c r="HDH50" s="70"/>
      <c r="HDI50" s="25"/>
      <c r="HDJ50" s="26"/>
      <c r="HDK50" s="26"/>
      <c r="HDL50" s="67"/>
      <c r="HDM50" s="11"/>
      <c r="HDN50" s="11"/>
      <c r="HDO50" s="68"/>
      <c r="HDP50" s="83"/>
      <c r="HDQ50" s="83"/>
      <c r="HDR50" s="80"/>
      <c r="HDS50" s="70"/>
      <c r="HDT50" s="70"/>
      <c r="HDU50" s="25"/>
      <c r="HDV50" s="26"/>
      <c r="HDW50" s="26"/>
      <c r="HDX50" s="67"/>
      <c r="HDY50" s="11"/>
      <c r="HDZ50" s="11"/>
      <c r="HEA50" s="68"/>
      <c r="HEB50" s="83"/>
      <c r="HEC50" s="83"/>
      <c r="HED50" s="80"/>
      <c r="HEE50" s="70"/>
      <c r="HEF50" s="70"/>
      <c r="HEG50" s="25"/>
      <c r="HEH50" s="26"/>
      <c r="HEI50" s="26"/>
      <c r="HEJ50" s="67"/>
      <c r="HEK50" s="11"/>
      <c r="HEL50" s="11"/>
      <c r="HEM50" s="68"/>
      <c r="HEN50" s="83"/>
      <c r="HEO50" s="83"/>
      <c r="HEP50" s="80"/>
      <c r="HEQ50" s="70"/>
      <c r="HER50" s="70"/>
      <c r="HES50" s="25"/>
      <c r="HET50" s="26"/>
      <c r="HEU50" s="26"/>
      <c r="HEV50" s="67"/>
      <c r="HEW50" s="11"/>
      <c r="HEX50" s="11"/>
      <c r="HEY50" s="68"/>
      <c r="HEZ50" s="83"/>
      <c r="HFA50" s="83"/>
      <c r="HFB50" s="80"/>
      <c r="HFC50" s="70"/>
      <c r="HFD50" s="70"/>
      <c r="HFE50" s="25"/>
      <c r="HFF50" s="26"/>
      <c r="HFG50" s="26"/>
      <c r="HFH50" s="67"/>
      <c r="HFI50" s="11"/>
      <c r="HFJ50" s="11"/>
      <c r="HFK50" s="68"/>
      <c r="HFL50" s="83"/>
      <c r="HFM50" s="83"/>
      <c r="HFN50" s="80"/>
      <c r="HFO50" s="70"/>
      <c r="HFP50" s="70"/>
      <c r="HFQ50" s="25"/>
      <c r="HFR50" s="26"/>
      <c r="HFS50" s="26"/>
      <c r="HFT50" s="67"/>
      <c r="HFU50" s="11"/>
      <c r="HFV50" s="11"/>
      <c r="HFW50" s="68"/>
      <c r="HFX50" s="83"/>
      <c r="HFY50" s="83"/>
      <c r="HFZ50" s="80"/>
      <c r="HGA50" s="70"/>
      <c r="HGB50" s="70"/>
      <c r="HGC50" s="25"/>
      <c r="HGD50" s="26"/>
      <c r="HGE50" s="26"/>
      <c r="HGF50" s="67"/>
      <c r="HGG50" s="11"/>
      <c r="HGH50" s="11"/>
      <c r="HGI50" s="68"/>
      <c r="HGJ50" s="83"/>
      <c r="HGK50" s="83"/>
      <c r="HGL50" s="80"/>
      <c r="HGM50" s="70"/>
      <c r="HGN50" s="70"/>
      <c r="HGO50" s="25"/>
      <c r="HGP50" s="26"/>
      <c r="HGQ50" s="26"/>
      <c r="HGR50" s="67"/>
      <c r="HGS50" s="11"/>
      <c r="HGT50" s="11"/>
      <c r="HGU50" s="68"/>
      <c r="HGV50" s="83"/>
      <c r="HGW50" s="83"/>
      <c r="HGX50" s="80"/>
      <c r="HGY50" s="70"/>
      <c r="HGZ50" s="70"/>
      <c r="HHA50" s="25"/>
      <c r="HHB50" s="26"/>
      <c r="HHC50" s="26"/>
      <c r="HHD50" s="67"/>
      <c r="HHE50" s="11"/>
      <c r="HHF50" s="11"/>
      <c r="HHG50" s="68"/>
      <c r="HHH50" s="83"/>
      <c r="HHI50" s="83"/>
      <c r="HHJ50" s="80"/>
      <c r="HHK50" s="70"/>
      <c r="HHL50" s="70"/>
      <c r="HHM50" s="25"/>
      <c r="HHN50" s="26"/>
      <c r="HHO50" s="26"/>
      <c r="HHP50" s="67"/>
      <c r="HHQ50" s="11"/>
      <c r="HHR50" s="11"/>
      <c r="HHS50" s="68"/>
      <c r="HHT50" s="83"/>
      <c r="HHU50" s="83"/>
      <c r="HHV50" s="80"/>
      <c r="HHW50" s="70"/>
      <c r="HHX50" s="70"/>
      <c r="HHY50" s="25"/>
      <c r="HHZ50" s="26"/>
      <c r="HIA50" s="26"/>
      <c r="HIB50" s="67"/>
      <c r="HIC50" s="11"/>
      <c r="HID50" s="11"/>
      <c r="HIE50" s="68"/>
      <c r="HIF50" s="83"/>
      <c r="HIG50" s="83"/>
      <c r="HIH50" s="80"/>
      <c r="HII50" s="70"/>
      <c r="HIJ50" s="70"/>
      <c r="HIK50" s="25"/>
      <c r="HIL50" s="26"/>
      <c r="HIM50" s="26"/>
      <c r="HIN50" s="67"/>
      <c r="HIO50" s="11"/>
      <c r="HIP50" s="11"/>
      <c r="HIQ50" s="68"/>
      <c r="HIR50" s="83"/>
      <c r="HIS50" s="83"/>
      <c r="HIT50" s="80"/>
      <c r="HIU50" s="70"/>
      <c r="HIV50" s="70"/>
      <c r="HIW50" s="25"/>
      <c r="HIX50" s="26"/>
      <c r="HIY50" s="26"/>
      <c r="HIZ50" s="67"/>
      <c r="HJA50" s="11"/>
      <c r="HJB50" s="11"/>
      <c r="HJC50" s="68"/>
      <c r="HJD50" s="83"/>
      <c r="HJE50" s="83"/>
      <c r="HJF50" s="80"/>
      <c r="HJG50" s="70"/>
      <c r="HJH50" s="70"/>
      <c r="HJI50" s="25"/>
      <c r="HJJ50" s="26"/>
      <c r="HJK50" s="26"/>
      <c r="HJL50" s="67"/>
      <c r="HJM50" s="11"/>
      <c r="HJN50" s="11"/>
      <c r="HJO50" s="68"/>
      <c r="HJP50" s="83"/>
      <c r="HJQ50" s="83"/>
      <c r="HJR50" s="80"/>
      <c r="HJS50" s="70"/>
      <c r="HJT50" s="70"/>
      <c r="HJU50" s="25"/>
      <c r="HJV50" s="26"/>
      <c r="HJW50" s="26"/>
      <c r="HJX50" s="67"/>
      <c r="HJY50" s="11"/>
      <c r="HJZ50" s="11"/>
      <c r="HKA50" s="68"/>
      <c r="HKB50" s="83"/>
      <c r="HKC50" s="83"/>
      <c r="HKD50" s="80"/>
      <c r="HKE50" s="70"/>
      <c r="HKF50" s="70"/>
      <c r="HKG50" s="25"/>
      <c r="HKH50" s="26"/>
      <c r="HKI50" s="26"/>
      <c r="HKJ50" s="67"/>
      <c r="HKK50" s="11"/>
      <c r="HKL50" s="11"/>
      <c r="HKM50" s="68"/>
      <c r="HKN50" s="83"/>
      <c r="HKO50" s="83"/>
      <c r="HKP50" s="80"/>
      <c r="HKQ50" s="70"/>
      <c r="HKR50" s="70"/>
      <c r="HKS50" s="25"/>
      <c r="HKT50" s="26"/>
      <c r="HKU50" s="26"/>
      <c r="HKV50" s="67"/>
      <c r="HKW50" s="11"/>
      <c r="HKX50" s="11"/>
      <c r="HKY50" s="68"/>
      <c r="HKZ50" s="83"/>
      <c r="HLA50" s="83"/>
      <c r="HLB50" s="80"/>
      <c r="HLC50" s="70"/>
      <c r="HLD50" s="70"/>
      <c r="HLE50" s="25"/>
      <c r="HLF50" s="26"/>
      <c r="HLG50" s="26"/>
      <c r="HLH50" s="67"/>
      <c r="HLI50" s="11"/>
      <c r="HLJ50" s="11"/>
      <c r="HLK50" s="68"/>
      <c r="HLL50" s="83"/>
      <c r="HLM50" s="83"/>
      <c r="HLN50" s="80"/>
      <c r="HLO50" s="70"/>
      <c r="HLP50" s="70"/>
      <c r="HLQ50" s="25"/>
      <c r="HLR50" s="26"/>
      <c r="HLS50" s="26"/>
      <c r="HLT50" s="67"/>
      <c r="HLU50" s="11"/>
      <c r="HLV50" s="11"/>
      <c r="HLW50" s="68"/>
      <c r="HLX50" s="83"/>
      <c r="HLY50" s="83"/>
      <c r="HLZ50" s="80"/>
      <c r="HMA50" s="70"/>
      <c r="HMB50" s="70"/>
      <c r="HMC50" s="25"/>
      <c r="HMD50" s="26"/>
      <c r="HME50" s="26"/>
      <c r="HMF50" s="67"/>
      <c r="HMG50" s="11"/>
      <c r="HMH50" s="11"/>
      <c r="HMI50" s="68"/>
      <c r="HMJ50" s="83"/>
      <c r="HMK50" s="83"/>
      <c r="HML50" s="80"/>
      <c r="HMM50" s="70"/>
      <c r="HMN50" s="70"/>
      <c r="HMO50" s="25"/>
      <c r="HMP50" s="26"/>
      <c r="HMQ50" s="26"/>
      <c r="HMR50" s="67"/>
      <c r="HMS50" s="11"/>
      <c r="HMT50" s="11"/>
      <c r="HMU50" s="68"/>
      <c r="HMV50" s="83"/>
      <c r="HMW50" s="83"/>
      <c r="HMX50" s="80"/>
      <c r="HMY50" s="70"/>
      <c r="HMZ50" s="70"/>
      <c r="HNA50" s="25"/>
      <c r="HNB50" s="26"/>
      <c r="HNC50" s="26"/>
      <c r="HND50" s="67"/>
      <c r="HNE50" s="11"/>
      <c r="HNF50" s="11"/>
      <c r="HNG50" s="68"/>
      <c r="HNH50" s="83"/>
      <c r="HNI50" s="83"/>
      <c r="HNJ50" s="80"/>
      <c r="HNK50" s="70"/>
      <c r="HNL50" s="70"/>
      <c r="HNM50" s="25"/>
      <c r="HNN50" s="26"/>
      <c r="HNO50" s="26"/>
      <c r="HNP50" s="67"/>
      <c r="HNQ50" s="11"/>
      <c r="HNR50" s="11"/>
      <c r="HNS50" s="68"/>
      <c r="HNT50" s="83"/>
      <c r="HNU50" s="83"/>
      <c r="HNV50" s="80"/>
      <c r="HNW50" s="70"/>
      <c r="HNX50" s="70"/>
      <c r="HNY50" s="25"/>
      <c r="HNZ50" s="26"/>
      <c r="HOA50" s="26"/>
      <c r="HOB50" s="67"/>
      <c r="HOC50" s="11"/>
      <c r="HOD50" s="11"/>
      <c r="HOE50" s="68"/>
      <c r="HOF50" s="83"/>
      <c r="HOG50" s="83"/>
      <c r="HOH50" s="80"/>
      <c r="HOI50" s="70"/>
      <c r="HOJ50" s="70"/>
      <c r="HOK50" s="25"/>
      <c r="HOL50" s="26"/>
      <c r="HOM50" s="26"/>
      <c r="HON50" s="67"/>
      <c r="HOO50" s="11"/>
      <c r="HOP50" s="11"/>
      <c r="HOQ50" s="68"/>
      <c r="HOR50" s="83"/>
      <c r="HOS50" s="83"/>
      <c r="HOT50" s="80"/>
      <c r="HOU50" s="70"/>
      <c r="HOV50" s="70"/>
      <c r="HOW50" s="25"/>
      <c r="HOX50" s="26"/>
      <c r="HOY50" s="26"/>
      <c r="HOZ50" s="67"/>
      <c r="HPA50" s="11"/>
      <c r="HPB50" s="11"/>
      <c r="HPC50" s="68"/>
      <c r="HPD50" s="83"/>
      <c r="HPE50" s="83"/>
      <c r="HPF50" s="80"/>
      <c r="HPG50" s="70"/>
      <c r="HPH50" s="70"/>
      <c r="HPI50" s="25"/>
      <c r="HPJ50" s="26"/>
      <c r="HPK50" s="26"/>
      <c r="HPL50" s="67"/>
      <c r="HPM50" s="11"/>
      <c r="HPN50" s="11"/>
      <c r="HPO50" s="68"/>
      <c r="HPP50" s="83"/>
      <c r="HPQ50" s="83"/>
      <c r="HPR50" s="80"/>
      <c r="HPS50" s="70"/>
      <c r="HPT50" s="70"/>
      <c r="HPU50" s="25"/>
      <c r="HPV50" s="26"/>
      <c r="HPW50" s="26"/>
      <c r="HPX50" s="67"/>
      <c r="HPY50" s="11"/>
      <c r="HPZ50" s="11"/>
      <c r="HQA50" s="68"/>
      <c r="HQB50" s="83"/>
      <c r="HQC50" s="83"/>
      <c r="HQD50" s="80"/>
      <c r="HQE50" s="70"/>
      <c r="HQF50" s="70"/>
      <c r="HQG50" s="25"/>
      <c r="HQH50" s="26"/>
      <c r="HQI50" s="26"/>
      <c r="HQJ50" s="67"/>
      <c r="HQK50" s="11"/>
      <c r="HQL50" s="11"/>
      <c r="HQM50" s="68"/>
      <c r="HQN50" s="83"/>
      <c r="HQO50" s="83"/>
      <c r="HQP50" s="80"/>
      <c r="HQQ50" s="70"/>
      <c r="HQR50" s="70"/>
      <c r="HQS50" s="25"/>
      <c r="HQT50" s="26"/>
      <c r="HQU50" s="26"/>
      <c r="HQV50" s="67"/>
      <c r="HQW50" s="11"/>
      <c r="HQX50" s="11"/>
      <c r="HQY50" s="68"/>
      <c r="HQZ50" s="83"/>
      <c r="HRA50" s="83"/>
      <c r="HRB50" s="80"/>
      <c r="HRC50" s="70"/>
      <c r="HRD50" s="70"/>
      <c r="HRE50" s="25"/>
      <c r="HRF50" s="26"/>
      <c r="HRG50" s="26"/>
      <c r="HRH50" s="67"/>
      <c r="HRI50" s="11"/>
      <c r="HRJ50" s="11"/>
      <c r="HRK50" s="68"/>
      <c r="HRL50" s="83"/>
      <c r="HRM50" s="83"/>
      <c r="HRN50" s="80"/>
      <c r="HRO50" s="70"/>
      <c r="HRP50" s="70"/>
      <c r="HRQ50" s="25"/>
      <c r="HRR50" s="26"/>
      <c r="HRS50" s="26"/>
      <c r="HRT50" s="67"/>
      <c r="HRU50" s="11"/>
      <c r="HRV50" s="11"/>
      <c r="HRW50" s="68"/>
      <c r="HRX50" s="83"/>
      <c r="HRY50" s="83"/>
      <c r="HRZ50" s="80"/>
      <c r="HSA50" s="70"/>
      <c r="HSB50" s="70"/>
      <c r="HSC50" s="25"/>
      <c r="HSD50" s="26"/>
      <c r="HSE50" s="26"/>
      <c r="HSF50" s="67"/>
      <c r="HSG50" s="11"/>
      <c r="HSH50" s="11"/>
      <c r="HSI50" s="68"/>
      <c r="HSJ50" s="83"/>
      <c r="HSK50" s="83"/>
      <c r="HSL50" s="80"/>
      <c r="HSM50" s="70"/>
      <c r="HSN50" s="70"/>
      <c r="HSO50" s="25"/>
      <c r="HSP50" s="26"/>
      <c r="HSQ50" s="26"/>
      <c r="HSR50" s="67"/>
      <c r="HSS50" s="11"/>
      <c r="HST50" s="11"/>
      <c r="HSU50" s="68"/>
      <c r="HSV50" s="83"/>
      <c r="HSW50" s="83"/>
      <c r="HSX50" s="80"/>
      <c r="HSY50" s="70"/>
      <c r="HSZ50" s="70"/>
      <c r="HTA50" s="25"/>
      <c r="HTB50" s="26"/>
      <c r="HTC50" s="26"/>
      <c r="HTD50" s="67"/>
      <c r="HTE50" s="11"/>
      <c r="HTF50" s="11"/>
      <c r="HTG50" s="68"/>
      <c r="HTH50" s="83"/>
      <c r="HTI50" s="83"/>
      <c r="HTJ50" s="80"/>
      <c r="HTK50" s="70"/>
      <c r="HTL50" s="70"/>
      <c r="HTM50" s="25"/>
      <c r="HTN50" s="26"/>
      <c r="HTO50" s="26"/>
      <c r="HTP50" s="67"/>
      <c r="HTQ50" s="11"/>
      <c r="HTR50" s="11"/>
      <c r="HTS50" s="68"/>
      <c r="HTT50" s="83"/>
      <c r="HTU50" s="83"/>
      <c r="HTV50" s="80"/>
      <c r="HTW50" s="70"/>
      <c r="HTX50" s="70"/>
      <c r="HTY50" s="25"/>
      <c r="HTZ50" s="26"/>
      <c r="HUA50" s="26"/>
      <c r="HUB50" s="67"/>
      <c r="HUC50" s="11"/>
      <c r="HUD50" s="11"/>
      <c r="HUE50" s="68"/>
      <c r="HUF50" s="83"/>
      <c r="HUG50" s="83"/>
      <c r="HUH50" s="80"/>
      <c r="HUI50" s="70"/>
      <c r="HUJ50" s="70"/>
      <c r="HUK50" s="25"/>
      <c r="HUL50" s="26"/>
      <c r="HUM50" s="26"/>
      <c r="HUN50" s="67"/>
      <c r="HUO50" s="11"/>
      <c r="HUP50" s="11"/>
      <c r="HUQ50" s="68"/>
      <c r="HUR50" s="83"/>
      <c r="HUS50" s="83"/>
      <c r="HUT50" s="80"/>
      <c r="HUU50" s="70"/>
      <c r="HUV50" s="70"/>
      <c r="HUW50" s="25"/>
      <c r="HUX50" s="26"/>
      <c r="HUY50" s="26"/>
      <c r="HUZ50" s="67"/>
      <c r="HVA50" s="11"/>
      <c r="HVB50" s="11"/>
      <c r="HVC50" s="68"/>
      <c r="HVD50" s="83"/>
      <c r="HVE50" s="83"/>
      <c r="HVF50" s="80"/>
      <c r="HVG50" s="70"/>
      <c r="HVH50" s="70"/>
      <c r="HVI50" s="25"/>
      <c r="HVJ50" s="26"/>
      <c r="HVK50" s="26"/>
      <c r="HVL50" s="67"/>
      <c r="HVM50" s="11"/>
      <c r="HVN50" s="11"/>
      <c r="HVO50" s="68"/>
      <c r="HVP50" s="83"/>
      <c r="HVQ50" s="83"/>
      <c r="HVR50" s="80"/>
      <c r="HVS50" s="70"/>
      <c r="HVT50" s="70"/>
      <c r="HVU50" s="25"/>
      <c r="HVV50" s="26"/>
      <c r="HVW50" s="26"/>
      <c r="HVX50" s="67"/>
      <c r="HVY50" s="11"/>
      <c r="HVZ50" s="11"/>
      <c r="HWA50" s="68"/>
      <c r="HWB50" s="83"/>
      <c r="HWC50" s="83"/>
      <c r="HWD50" s="80"/>
      <c r="HWE50" s="70"/>
      <c r="HWF50" s="70"/>
      <c r="HWG50" s="25"/>
      <c r="HWH50" s="26"/>
      <c r="HWI50" s="26"/>
      <c r="HWJ50" s="67"/>
      <c r="HWK50" s="11"/>
      <c r="HWL50" s="11"/>
      <c r="HWM50" s="68"/>
      <c r="HWN50" s="83"/>
      <c r="HWO50" s="83"/>
      <c r="HWP50" s="80"/>
      <c r="HWQ50" s="70"/>
      <c r="HWR50" s="70"/>
      <c r="HWS50" s="25"/>
      <c r="HWT50" s="26"/>
      <c r="HWU50" s="26"/>
      <c r="HWV50" s="67"/>
      <c r="HWW50" s="11"/>
      <c r="HWX50" s="11"/>
      <c r="HWY50" s="68"/>
      <c r="HWZ50" s="83"/>
      <c r="HXA50" s="83"/>
      <c r="HXB50" s="80"/>
      <c r="HXC50" s="70"/>
      <c r="HXD50" s="70"/>
      <c r="HXE50" s="25"/>
      <c r="HXF50" s="26"/>
      <c r="HXG50" s="26"/>
      <c r="HXH50" s="67"/>
      <c r="HXI50" s="11"/>
      <c r="HXJ50" s="11"/>
      <c r="HXK50" s="68"/>
      <c r="HXL50" s="83"/>
      <c r="HXM50" s="83"/>
      <c r="HXN50" s="80"/>
      <c r="HXO50" s="70"/>
      <c r="HXP50" s="70"/>
      <c r="HXQ50" s="25"/>
      <c r="HXR50" s="26"/>
      <c r="HXS50" s="26"/>
      <c r="HXT50" s="67"/>
      <c r="HXU50" s="11"/>
      <c r="HXV50" s="11"/>
      <c r="HXW50" s="68"/>
      <c r="HXX50" s="83"/>
      <c r="HXY50" s="83"/>
      <c r="HXZ50" s="80"/>
      <c r="HYA50" s="70"/>
      <c r="HYB50" s="70"/>
      <c r="HYC50" s="25"/>
      <c r="HYD50" s="26"/>
      <c r="HYE50" s="26"/>
      <c r="HYF50" s="67"/>
      <c r="HYG50" s="11"/>
      <c r="HYH50" s="11"/>
      <c r="HYI50" s="68"/>
      <c r="HYJ50" s="83"/>
      <c r="HYK50" s="83"/>
      <c r="HYL50" s="80"/>
      <c r="HYM50" s="70"/>
      <c r="HYN50" s="70"/>
      <c r="HYO50" s="25"/>
      <c r="HYP50" s="26"/>
      <c r="HYQ50" s="26"/>
      <c r="HYR50" s="67"/>
      <c r="HYS50" s="11"/>
      <c r="HYT50" s="11"/>
      <c r="HYU50" s="68"/>
      <c r="HYV50" s="83"/>
      <c r="HYW50" s="83"/>
      <c r="HYX50" s="80"/>
      <c r="HYY50" s="70"/>
      <c r="HYZ50" s="70"/>
      <c r="HZA50" s="25"/>
      <c r="HZB50" s="26"/>
      <c r="HZC50" s="26"/>
      <c r="HZD50" s="67"/>
      <c r="HZE50" s="11"/>
      <c r="HZF50" s="11"/>
      <c r="HZG50" s="68"/>
      <c r="HZH50" s="83"/>
      <c r="HZI50" s="83"/>
      <c r="HZJ50" s="80"/>
      <c r="HZK50" s="70"/>
      <c r="HZL50" s="70"/>
      <c r="HZM50" s="25"/>
      <c r="HZN50" s="26"/>
      <c r="HZO50" s="26"/>
      <c r="HZP50" s="67"/>
      <c r="HZQ50" s="11"/>
      <c r="HZR50" s="11"/>
      <c r="HZS50" s="68"/>
      <c r="HZT50" s="83"/>
      <c r="HZU50" s="83"/>
      <c r="HZV50" s="80"/>
      <c r="HZW50" s="70"/>
      <c r="HZX50" s="70"/>
      <c r="HZY50" s="25"/>
      <c r="HZZ50" s="26"/>
      <c r="IAA50" s="26"/>
      <c r="IAB50" s="67"/>
      <c r="IAC50" s="11"/>
      <c r="IAD50" s="11"/>
      <c r="IAE50" s="68"/>
      <c r="IAF50" s="83"/>
      <c r="IAG50" s="83"/>
      <c r="IAH50" s="80"/>
      <c r="IAI50" s="70"/>
      <c r="IAJ50" s="70"/>
      <c r="IAK50" s="25"/>
      <c r="IAL50" s="26"/>
      <c r="IAM50" s="26"/>
      <c r="IAN50" s="67"/>
      <c r="IAO50" s="11"/>
      <c r="IAP50" s="11"/>
      <c r="IAQ50" s="68"/>
      <c r="IAR50" s="83"/>
      <c r="IAS50" s="83"/>
      <c r="IAT50" s="80"/>
      <c r="IAU50" s="70"/>
      <c r="IAV50" s="70"/>
      <c r="IAW50" s="25"/>
      <c r="IAX50" s="26"/>
      <c r="IAY50" s="26"/>
      <c r="IAZ50" s="67"/>
      <c r="IBA50" s="11"/>
      <c r="IBB50" s="11"/>
      <c r="IBC50" s="68"/>
      <c r="IBD50" s="83"/>
      <c r="IBE50" s="83"/>
      <c r="IBF50" s="80"/>
      <c r="IBG50" s="70"/>
      <c r="IBH50" s="70"/>
      <c r="IBI50" s="25"/>
      <c r="IBJ50" s="26"/>
      <c r="IBK50" s="26"/>
      <c r="IBL50" s="67"/>
      <c r="IBM50" s="11"/>
      <c r="IBN50" s="11"/>
      <c r="IBO50" s="68"/>
      <c r="IBP50" s="83"/>
      <c r="IBQ50" s="83"/>
      <c r="IBR50" s="80"/>
      <c r="IBS50" s="70"/>
      <c r="IBT50" s="70"/>
      <c r="IBU50" s="25"/>
      <c r="IBV50" s="26"/>
      <c r="IBW50" s="26"/>
      <c r="IBX50" s="67"/>
      <c r="IBY50" s="11"/>
      <c r="IBZ50" s="11"/>
      <c r="ICA50" s="68"/>
      <c r="ICB50" s="83"/>
      <c r="ICC50" s="83"/>
      <c r="ICD50" s="80"/>
      <c r="ICE50" s="70"/>
      <c r="ICF50" s="70"/>
      <c r="ICG50" s="25"/>
      <c r="ICH50" s="26"/>
      <c r="ICI50" s="26"/>
      <c r="ICJ50" s="67"/>
      <c r="ICK50" s="11"/>
      <c r="ICL50" s="11"/>
      <c r="ICM50" s="68"/>
      <c r="ICN50" s="83"/>
      <c r="ICO50" s="83"/>
      <c r="ICP50" s="80"/>
      <c r="ICQ50" s="70"/>
      <c r="ICR50" s="70"/>
      <c r="ICS50" s="25"/>
      <c r="ICT50" s="26"/>
      <c r="ICU50" s="26"/>
      <c r="ICV50" s="67"/>
      <c r="ICW50" s="11"/>
      <c r="ICX50" s="11"/>
      <c r="ICY50" s="68"/>
      <c r="ICZ50" s="83"/>
      <c r="IDA50" s="83"/>
      <c r="IDB50" s="80"/>
      <c r="IDC50" s="70"/>
      <c r="IDD50" s="70"/>
      <c r="IDE50" s="25"/>
      <c r="IDF50" s="26"/>
      <c r="IDG50" s="26"/>
      <c r="IDH50" s="67"/>
      <c r="IDI50" s="11"/>
      <c r="IDJ50" s="11"/>
      <c r="IDK50" s="68"/>
      <c r="IDL50" s="83"/>
      <c r="IDM50" s="83"/>
      <c r="IDN50" s="80"/>
      <c r="IDO50" s="70"/>
      <c r="IDP50" s="70"/>
      <c r="IDQ50" s="25"/>
      <c r="IDR50" s="26"/>
      <c r="IDS50" s="26"/>
      <c r="IDT50" s="67"/>
      <c r="IDU50" s="11"/>
      <c r="IDV50" s="11"/>
      <c r="IDW50" s="68"/>
      <c r="IDX50" s="83"/>
      <c r="IDY50" s="83"/>
      <c r="IDZ50" s="80"/>
      <c r="IEA50" s="70"/>
      <c r="IEB50" s="70"/>
      <c r="IEC50" s="25"/>
      <c r="IED50" s="26"/>
      <c r="IEE50" s="26"/>
      <c r="IEF50" s="67"/>
      <c r="IEG50" s="11"/>
      <c r="IEH50" s="11"/>
      <c r="IEI50" s="68"/>
      <c r="IEJ50" s="83"/>
      <c r="IEK50" s="83"/>
      <c r="IEL50" s="80"/>
      <c r="IEM50" s="70"/>
      <c r="IEN50" s="70"/>
      <c r="IEO50" s="25"/>
      <c r="IEP50" s="26"/>
      <c r="IEQ50" s="26"/>
      <c r="IER50" s="67"/>
      <c r="IES50" s="11"/>
      <c r="IET50" s="11"/>
      <c r="IEU50" s="68"/>
      <c r="IEV50" s="83"/>
      <c r="IEW50" s="83"/>
      <c r="IEX50" s="80"/>
      <c r="IEY50" s="70"/>
      <c r="IEZ50" s="70"/>
      <c r="IFA50" s="25"/>
      <c r="IFB50" s="26"/>
      <c r="IFC50" s="26"/>
      <c r="IFD50" s="67"/>
      <c r="IFE50" s="11"/>
      <c r="IFF50" s="11"/>
      <c r="IFG50" s="68"/>
      <c r="IFH50" s="83"/>
      <c r="IFI50" s="83"/>
      <c r="IFJ50" s="80"/>
      <c r="IFK50" s="70"/>
      <c r="IFL50" s="70"/>
      <c r="IFM50" s="25"/>
      <c r="IFN50" s="26"/>
      <c r="IFO50" s="26"/>
      <c r="IFP50" s="67"/>
      <c r="IFQ50" s="11"/>
      <c r="IFR50" s="11"/>
      <c r="IFS50" s="68"/>
      <c r="IFT50" s="83"/>
      <c r="IFU50" s="83"/>
      <c r="IFV50" s="80"/>
      <c r="IFW50" s="70"/>
      <c r="IFX50" s="70"/>
      <c r="IFY50" s="25"/>
      <c r="IFZ50" s="26"/>
      <c r="IGA50" s="26"/>
      <c r="IGB50" s="67"/>
      <c r="IGC50" s="11"/>
      <c r="IGD50" s="11"/>
      <c r="IGE50" s="68"/>
      <c r="IGF50" s="83"/>
      <c r="IGG50" s="83"/>
      <c r="IGH50" s="80"/>
      <c r="IGI50" s="70"/>
      <c r="IGJ50" s="70"/>
      <c r="IGK50" s="25"/>
      <c r="IGL50" s="26"/>
      <c r="IGM50" s="26"/>
      <c r="IGN50" s="67"/>
      <c r="IGO50" s="11"/>
      <c r="IGP50" s="11"/>
      <c r="IGQ50" s="68"/>
      <c r="IGR50" s="83"/>
      <c r="IGS50" s="83"/>
      <c r="IGT50" s="80"/>
      <c r="IGU50" s="70"/>
      <c r="IGV50" s="70"/>
      <c r="IGW50" s="25"/>
      <c r="IGX50" s="26"/>
      <c r="IGY50" s="26"/>
      <c r="IGZ50" s="67"/>
      <c r="IHA50" s="11"/>
      <c r="IHB50" s="11"/>
      <c r="IHC50" s="68"/>
      <c r="IHD50" s="83"/>
      <c r="IHE50" s="83"/>
      <c r="IHF50" s="80"/>
      <c r="IHG50" s="70"/>
      <c r="IHH50" s="70"/>
      <c r="IHI50" s="25"/>
      <c r="IHJ50" s="26"/>
      <c r="IHK50" s="26"/>
      <c r="IHL50" s="67"/>
      <c r="IHM50" s="11"/>
      <c r="IHN50" s="11"/>
      <c r="IHO50" s="68"/>
      <c r="IHP50" s="83"/>
      <c r="IHQ50" s="83"/>
      <c r="IHR50" s="80"/>
      <c r="IHS50" s="70"/>
      <c r="IHT50" s="70"/>
      <c r="IHU50" s="25"/>
      <c r="IHV50" s="26"/>
      <c r="IHW50" s="26"/>
      <c r="IHX50" s="67"/>
      <c r="IHY50" s="11"/>
      <c r="IHZ50" s="11"/>
      <c r="IIA50" s="68"/>
      <c r="IIB50" s="83"/>
      <c r="IIC50" s="83"/>
      <c r="IID50" s="80"/>
      <c r="IIE50" s="70"/>
      <c r="IIF50" s="70"/>
      <c r="IIG50" s="25"/>
      <c r="IIH50" s="26"/>
      <c r="III50" s="26"/>
      <c r="IIJ50" s="67"/>
      <c r="IIK50" s="11"/>
      <c r="IIL50" s="11"/>
      <c r="IIM50" s="68"/>
      <c r="IIN50" s="83"/>
      <c r="IIO50" s="83"/>
      <c r="IIP50" s="80"/>
      <c r="IIQ50" s="70"/>
      <c r="IIR50" s="70"/>
      <c r="IIS50" s="25"/>
      <c r="IIT50" s="26"/>
      <c r="IIU50" s="26"/>
      <c r="IIV50" s="67"/>
      <c r="IIW50" s="11"/>
      <c r="IIX50" s="11"/>
      <c r="IIY50" s="68"/>
      <c r="IIZ50" s="83"/>
      <c r="IJA50" s="83"/>
      <c r="IJB50" s="80"/>
      <c r="IJC50" s="70"/>
      <c r="IJD50" s="70"/>
      <c r="IJE50" s="25"/>
      <c r="IJF50" s="26"/>
      <c r="IJG50" s="26"/>
      <c r="IJH50" s="67"/>
      <c r="IJI50" s="11"/>
      <c r="IJJ50" s="11"/>
      <c r="IJK50" s="68"/>
      <c r="IJL50" s="83"/>
      <c r="IJM50" s="83"/>
      <c r="IJN50" s="80"/>
      <c r="IJO50" s="70"/>
      <c r="IJP50" s="70"/>
      <c r="IJQ50" s="25"/>
      <c r="IJR50" s="26"/>
      <c r="IJS50" s="26"/>
      <c r="IJT50" s="67"/>
      <c r="IJU50" s="11"/>
      <c r="IJV50" s="11"/>
      <c r="IJW50" s="68"/>
      <c r="IJX50" s="83"/>
      <c r="IJY50" s="83"/>
      <c r="IJZ50" s="80"/>
      <c r="IKA50" s="70"/>
      <c r="IKB50" s="70"/>
      <c r="IKC50" s="25"/>
      <c r="IKD50" s="26"/>
      <c r="IKE50" s="26"/>
      <c r="IKF50" s="67"/>
      <c r="IKG50" s="11"/>
      <c r="IKH50" s="11"/>
      <c r="IKI50" s="68"/>
      <c r="IKJ50" s="83"/>
      <c r="IKK50" s="83"/>
      <c r="IKL50" s="80"/>
      <c r="IKM50" s="70"/>
      <c r="IKN50" s="70"/>
      <c r="IKO50" s="25"/>
      <c r="IKP50" s="26"/>
      <c r="IKQ50" s="26"/>
      <c r="IKR50" s="67"/>
      <c r="IKS50" s="11"/>
      <c r="IKT50" s="11"/>
      <c r="IKU50" s="68"/>
      <c r="IKV50" s="83"/>
      <c r="IKW50" s="83"/>
      <c r="IKX50" s="80"/>
      <c r="IKY50" s="70"/>
      <c r="IKZ50" s="70"/>
      <c r="ILA50" s="25"/>
      <c r="ILB50" s="26"/>
      <c r="ILC50" s="26"/>
      <c r="ILD50" s="67"/>
      <c r="ILE50" s="11"/>
      <c r="ILF50" s="11"/>
      <c r="ILG50" s="68"/>
      <c r="ILH50" s="83"/>
      <c r="ILI50" s="83"/>
      <c r="ILJ50" s="80"/>
      <c r="ILK50" s="70"/>
      <c r="ILL50" s="70"/>
      <c r="ILM50" s="25"/>
      <c r="ILN50" s="26"/>
      <c r="ILO50" s="26"/>
      <c r="ILP50" s="67"/>
      <c r="ILQ50" s="11"/>
      <c r="ILR50" s="11"/>
      <c r="ILS50" s="68"/>
      <c r="ILT50" s="83"/>
      <c r="ILU50" s="83"/>
      <c r="ILV50" s="80"/>
      <c r="ILW50" s="70"/>
      <c r="ILX50" s="70"/>
      <c r="ILY50" s="25"/>
      <c r="ILZ50" s="26"/>
      <c r="IMA50" s="26"/>
      <c r="IMB50" s="67"/>
      <c r="IMC50" s="11"/>
      <c r="IMD50" s="11"/>
      <c r="IME50" s="68"/>
      <c r="IMF50" s="83"/>
      <c r="IMG50" s="83"/>
      <c r="IMH50" s="80"/>
      <c r="IMI50" s="70"/>
      <c r="IMJ50" s="70"/>
      <c r="IMK50" s="25"/>
      <c r="IML50" s="26"/>
      <c r="IMM50" s="26"/>
      <c r="IMN50" s="67"/>
      <c r="IMO50" s="11"/>
      <c r="IMP50" s="11"/>
      <c r="IMQ50" s="68"/>
      <c r="IMR50" s="83"/>
      <c r="IMS50" s="83"/>
      <c r="IMT50" s="80"/>
      <c r="IMU50" s="70"/>
      <c r="IMV50" s="70"/>
      <c r="IMW50" s="25"/>
      <c r="IMX50" s="26"/>
      <c r="IMY50" s="26"/>
      <c r="IMZ50" s="67"/>
      <c r="INA50" s="11"/>
      <c r="INB50" s="11"/>
      <c r="INC50" s="68"/>
      <c r="IND50" s="83"/>
      <c r="INE50" s="83"/>
      <c r="INF50" s="80"/>
      <c r="ING50" s="70"/>
      <c r="INH50" s="70"/>
      <c r="INI50" s="25"/>
      <c r="INJ50" s="26"/>
      <c r="INK50" s="26"/>
      <c r="INL50" s="67"/>
      <c r="INM50" s="11"/>
      <c r="INN50" s="11"/>
      <c r="INO50" s="68"/>
      <c r="INP50" s="83"/>
      <c r="INQ50" s="83"/>
      <c r="INR50" s="80"/>
      <c r="INS50" s="70"/>
      <c r="INT50" s="70"/>
      <c r="INU50" s="25"/>
      <c r="INV50" s="26"/>
      <c r="INW50" s="26"/>
      <c r="INX50" s="67"/>
      <c r="INY50" s="11"/>
      <c r="INZ50" s="11"/>
      <c r="IOA50" s="68"/>
      <c r="IOB50" s="83"/>
      <c r="IOC50" s="83"/>
      <c r="IOD50" s="80"/>
      <c r="IOE50" s="70"/>
      <c r="IOF50" s="70"/>
      <c r="IOG50" s="25"/>
      <c r="IOH50" s="26"/>
      <c r="IOI50" s="26"/>
      <c r="IOJ50" s="67"/>
      <c r="IOK50" s="11"/>
      <c r="IOL50" s="11"/>
      <c r="IOM50" s="68"/>
      <c r="ION50" s="83"/>
      <c r="IOO50" s="83"/>
      <c r="IOP50" s="80"/>
      <c r="IOQ50" s="70"/>
      <c r="IOR50" s="70"/>
      <c r="IOS50" s="25"/>
      <c r="IOT50" s="26"/>
      <c r="IOU50" s="26"/>
      <c r="IOV50" s="67"/>
      <c r="IOW50" s="11"/>
      <c r="IOX50" s="11"/>
      <c r="IOY50" s="68"/>
      <c r="IOZ50" s="83"/>
      <c r="IPA50" s="83"/>
      <c r="IPB50" s="80"/>
      <c r="IPC50" s="70"/>
      <c r="IPD50" s="70"/>
      <c r="IPE50" s="25"/>
      <c r="IPF50" s="26"/>
      <c r="IPG50" s="26"/>
      <c r="IPH50" s="67"/>
      <c r="IPI50" s="11"/>
      <c r="IPJ50" s="11"/>
      <c r="IPK50" s="68"/>
      <c r="IPL50" s="83"/>
      <c r="IPM50" s="83"/>
      <c r="IPN50" s="80"/>
      <c r="IPO50" s="70"/>
      <c r="IPP50" s="70"/>
      <c r="IPQ50" s="25"/>
      <c r="IPR50" s="26"/>
      <c r="IPS50" s="26"/>
      <c r="IPT50" s="67"/>
      <c r="IPU50" s="11"/>
      <c r="IPV50" s="11"/>
      <c r="IPW50" s="68"/>
      <c r="IPX50" s="83"/>
      <c r="IPY50" s="83"/>
      <c r="IPZ50" s="80"/>
      <c r="IQA50" s="70"/>
      <c r="IQB50" s="70"/>
      <c r="IQC50" s="25"/>
      <c r="IQD50" s="26"/>
      <c r="IQE50" s="26"/>
      <c r="IQF50" s="67"/>
      <c r="IQG50" s="11"/>
      <c r="IQH50" s="11"/>
      <c r="IQI50" s="68"/>
      <c r="IQJ50" s="83"/>
      <c r="IQK50" s="83"/>
      <c r="IQL50" s="80"/>
      <c r="IQM50" s="70"/>
      <c r="IQN50" s="70"/>
      <c r="IQO50" s="25"/>
      <c r="IQP50" s="26"/>
      <c r="IQQ50" s="26"/>
      <c r="IQR50" s="67"/>
      <c r="IQS50" s="11"/>
      <c r="IQT50" s="11"/>
      <c r="IQU50" s="68"/>
      <c r="IQV50" s="83"/>
      <c r="IQW50" s="83"/>
      <c r="IQX50" s="80"/>
      <c r="IQY50" s="70"/>
      <c r="IQZ50" s="70"/>
      <c r="IRA50" s="25"/>
      <c r="IRB50" s="26"/>
      <c r="IRC50" s="26"/>
      <c r="IRD50" s="67"/>
      <c r="IRE50" s="11"/>
      <c r="IRF50" s="11"/>
      <c r="IRG50" s="68"/>
      <c r="IRH50" s="83"/>
      <c r="IRI50" s="83"/>
      <c r="IRJ50" s="80"/>
      <c r="IRK50" s="70"/>
      <c r="IRL50" s="70"/>
      <c r="IRM50" s="25"/>
      <c r="IRN50" s="26"/>
      <c r="IRO50" s="26"/>
      <c r="IRP50" s="67"/>
      <c r="IRQ50" s="11"/>
      <c r="IRR50" s="11"/>
      <c r="IRS50" s="68"/>
      <c r="IRT50" s="83"/>
      <c r="IRU50" s="83"/>
      <c r="IRV50" s="80"/>
      <c r="IRW50" s="70"/>
      <c r="IRX50" s="70"/>
      <c r="IRY50" s="25"/>
      <c r="IRZ50" s="26"/>
      <c r="ISA50" s="26"/>
      <c r="ISB50" s="67"/>
      <c r="ISC50" s="11"/>
      <c r="ISD50" s="11"/>
      <c r="ISE50" s="68"/>
      <c r="ISF50" s="83"/>
      <c r="ISG50" s="83"/>
      <c r="ISH50" s="80"/>
      <c r="ISI50" s="70"/>
      <c r="ISJ50" s="70"/>
      <c r="ISK50" s="25"/>
      <c r="ISL50" s="26"/>
      <c r="ISM50" s="26"/>
      <c r="ISN50" s="67"/>
      <c r="ISO50" s="11"/>
      <c r="ISP50" s="11"/>
      <c r="ISQ50" s="68"/>
      <c r="ISR50" s="83"/>
      <c r="ISS50" s="83"/>
      <c r="IST50" s="80"/>
      <c r="ISU50" s="70"/>
      <c r="ISV50" s="70"/>
      <c r="ISW50" s="25"/>
      <c r="ISX50" s="26"/>
      <c r="ISY50" s="26"/>
      <c r="ISZ50" s="67"/>
      <c r="ITA50" s="11"/>
      <c r="ITB50" s="11"/>
      <c r="ITC50" s="68"/>
      <c r="ITD50" s="83"/>
      <c r="ITE50" s="83"/>
      <c r="ITF50" s="80"/>
      <c r="ITG50" s="70"/>
      <c r="ITH50" s="70"/>
      <c r="ITI50" s="25"/>
      <c r="ITJ50" s="26"/>
      <c r="ITK50" s="26"/>
      <c r="ITL50" s="67"/>
      <c r="ITM50" s="11"/>
      <c r="ITN50" s="11"/>
      <c r="ITO50" s="68"/>
      <c r="ITP50" s="83"/>
      <c r="ITQ50" s="83"/>
      <c r="ITR50" s="80"/>
      <c r="ITS50" s="70"/>
      <c r="ITT50" s="70"/>
      <c r="ITU50" s="25"/>
      <c r="ITV50" s="26"/>
      <c r="ITW50" s="26"/>
      <c r="ITX50" s="67"/>
      <c r="ITY50" s="11"/>
      <c r="ITZ50" s="11"/>
      <c r="IUA50" s="68"/>
      <c r="IUB50" s="83"/>
      <c r="IUC50" s="83"/>
      <c r="IUD50" s="80"/>
      <c r="IUE50" s="70"/>
      <c r="IUF50" s="70"/>
      <c r="IUG50" s="25"/>
      <c r="IUH50" s="26"/>
      <c r="IUI50" s="26"/>
      <c r="IUJ50" s="67"/>
      <c r="IUK50" s="11"/>
      <c r="IUL50" s="11"/>
      <c r="IUM50" s="68"/>
      <c r="IUN50" s="83"/>
      <c r="IUO50" s="83"/>
      <c r="IUP50" s="80"/>
      <c r="IUQ50" s="70"/>
      <c r="IUR50" s="70"/>
      <c r="IUS50" s="25"/>
      <c r="IUT50" s="26"/>
      <c r="IUU50" s="26"/>
      <c r="IUV50" s="67"/>
      <c r="IUW50" s="11"/>
      <c r="IUX50" s="11"/>
      <c r="IUY50" s="68"/>
      <c r="IUZ50" s="83"/>
      <c r="IVA50" s="83"/>
      <c r="IVB50" s="80"/>
      <c r="IVC50" s="70"/>
      <c r="IVD50" s="70"/>
      <c r="IVE50" s="25"/>
      <c r="IVF50" s="26"/>
      <c r="IVG50" s="26"/>
      <c r="IVH50" s="67"/>
      <c r="IVI50" s="11"/>
      <c r="IVJ50" s="11"/>
      <c r="IVK50" s="68"/>
      <c r="IVL50" s="83"/>
      <c r="IVM50" s="83"/>
      <c r="IVN50" s="80"/>
      <c r="IVO50" s="70"/>
      <c r="IVP50" s="70"/>
      <c r="IVQ50" s="25"/>
      <c r="IVR50" s="26"/>
      <c r="IVS50" s="26"/>
      <c r="IVT50" s="67"/>
      <c r="IVU50" s="11"/>
      <c r="IVV50" s="11"/>
      <c r="IVW50" s="68"/>
      <c r="IVX50" s="83"/>
      <c r="IVY50" s="83"/>
      <c r="IVZ50" s="80"/>
      <c r="IWA50" s="70"/>
      <c r="IWB50" s="70"/>
      <c r="IWC50" s="25"/>
      <c r="IWD50" s="26"/>
      <c r="IWE50" s="26"/>
      <c r="IWF50" s="67"/>
      <c r="IWG50" s="11"/>
      <c r="IWH50" s="11"/>
      <c r="IWI50" s="68"/>
      <c r="IWJ50" s="83"/>
      <c r="IWK50" s="83"/>
      <c r="IWL50" s="80"/>
      <c r="IWM50" s="70"/>
      <c r="IWN50" s="70"/>
      <c r="IWO50" s="25"/>
      <c r="IWP50" s="26"/>
      <c r="IWQ50" s="26"/>
      <c r="IWR50" s="67"/>
      <c r="IWS50" s="11"/>
      <c r="IWT50" s="11"/>
      <c r="IWU50" s="68"/>
      <c r="IWV50" s="83"/>
      <c r="IWW50" s="83"/>
      <c r="IWX50" s="80"/>
      <c r="IWY50" s="70"/>
      <c r="IWZ50" s="70"/>
      <c r="IXA50" s="25"/>
      <c r="IXB50" s="26"/>
      <c r="IXC50" s="26"/>
      <c r="IXD50" s="67"/>
      <c r="IXE50" s="11"/>
      <c r="IXF50" s="11"/>
      <c r="IXG50" s="68"/>
      <c r="IXH50" s="83"/>
      <c r="IXI50" s="83"/>
      <c r="IXJ50" s="80"/>
      <c r="IXK50" s="70"/>
      <c r="IXL50" s="70"/>
      <c r="IXM50" s="25"/>
      <c r="IXN50" s="26"/>
      <c r="IXO50" s="26"/>
      <c r="IXP50" s="67"/>
      <c r="IXQ50" s="11"/>
      <c r="IXR50" s="11"/>
      <c r="IXS50" s="68"/>
      <c r="IXT50" s="83"/>
      <c r="IXU50" s="83"/>
      <c r="IXV50" s="80"/>
      <c r="IXW50" s="70"/>
      <c r="IXX50" s="70"/>
      <c r="IXY50" s="25"/>
      <c r="IXZ50" s="26"/>
      <c r="IYA50" s="26"/>
      <c r="IYB50" s="67"/>
      <c r="IYC50" s="11"/>
      <c r="IYD50" s="11"/>
      <c r="IYE50" s="68"/>
      <c r="IYF50" s="83"/>
      <c r="IYG50" s="83"/>
      <c r="IYH50" s="80"/>
      <c r="IYI50" s="70"/>
      <c r="IYJ50" s="70"/>
      <c r="IYK50" s="25"/>
      <c r="IYL50" s="26"/>
      <c r="IYM50" s="26"/>
      <c r="IYN50" s="67"/>
      <c r="IYO50" s="11"/>
      <c r="IYP50" s="11"/>
      <c r="IYQ50" s="68"/>
      <c r="IYR50" s="83"/>
      <c r="IYS50" s="83"/>
      <c r="IYT50" s="80"/>
      <c r="IYU50" s="70"/>
      <c r="IYV50" s="70"/>
      <c r="IYW50" s="25"/>
      <c r="IYX50" s="26"/>
      <c r="IYY50" s="26"/>
      <c r="IYZ50" s="67"/>
      <c r="IZA50" s="11"/>
      <c r="IZB50" s="11"/>
      <c r="IZC50" s="68"/>
      <c r="IZD50" s="83"/>
      <c r="IZE50" s="83"/>
      <c r="IZF50" s="80"/>
      <c r="IZG50" s="70"/>
      <c r="IZH50" s="70"/>
      <c r="IZI50" s="25"/>
      <c r="IZJ50" s="26"/>
      <c r="IZK50" s="26"/>
      <c r="IZL50" s="67"/>
      <c r="IZM50" s="11"/>
      <c r="IZN50" s="11"/>
      <c r="IZO50" s="68"/>
      <c r="IZP50" s="83"/>
      <c r="IZQ50" s="83"/>
      <c r="IZR50" s="80"/>
      <c r="IZS50" s="70"/>
      <c r="IZT50" s="70"/>
      <c r="IZU50" s="25"/>
      <c r="IZV50" s="26"/>
      <c r="IZW50" s="26"/>
      <c r="IZX50" s="67"/>
      <c r="IZY50" s="11"/>
      <c r="IZZ50" s="11"/>
      <c r="JAA50" s="68"/>
      <c r="JAB50" s="83"/>
      <c r="JAC50" s="83"/>
      <c r="JAD50" s="80"/>
      <c r="JAE50" s="70"/>
      <c r="JAF50" s="70"/>
      <c r="JAG50" s="25"/>
      <c r="JAH50" s="26"/>
      <c r="JAI50" s="26"/>
      <c r="JAJ50" s="67"/>
      <c r="JAK50" s="11"/>
      <c r="JAL50" s="11"/>
      <c r="JAM50" s="68"/>
      <c r="JAN50" s="83"/>
      <c r="JAO50" s="83"/>
      <c r="JAP50" s="80"/>
      <c r="JAQ50" s="70"/>
      <c r="JAR50" s="70"/>
      <c r="JAS50" s="25"/>
      <c r="JAT50" s="26"/>
      <c r="JAU50" s="26"/>
      <c r="JAV50" s="67"/>
      <c r="JAW50" s="11"/>
      <c r="JAX50" s="11"/>
      <c r="JAY50" s="68"/>
      <c r="JAZ50" s="83"/>
      <c r="JBA50" s="83"/>
      <c r="JBB50" s="80"/>
      <c r="JBC50" s="70"/>
      <c r="JBD50" s="70"/>
      <c r="JBE50" s="25"/>
      <c r="JBF50" s="26"/>
      <c r="JBG50" s="26"/>
      <c r="JBH50" s="67"/>
      <c r="JBI50" s="11"/>
      <c r="JBJ50" s="11"/>
      <c r="JBK50" s="68"/>
      <c r="JBL50" s="83"/>
      <c r="JBM50" s="83"/>
      <c r="JBN50" s="80"/>
      <c r="JBO50" s="70"/>
      <c r="JBP50" s="70"/>
      <c r="JBQ50" s="25"/>
      <c r="JBR50" s="26"/>
      <c r="JBS50" s="26"/>
      <c r="JBT50" s="67"/>
      <c r="JBU50" s="11"/>
      <c r="JBV50" s="11"/>
      <c r="JBW50" s="68"/>
      <c r="JBX50" s="83"/>
      <c r="JBY50" s="83"/>
      <c r="JBZ50" s="80"/>
      <c r="JCA50" s="70"/>
      <c r="JCB50" s="70"/>
      <c r="JCC50" s="25"/>
      <c r="JCD50" s="26"/>
      <c r="JCE50" s="26"/>
      <c r="JCF50" s="67"/>
      <c r="JCG50" s="11"/>
      <c r="JCH50" s="11"/>
      <c r="JCI50" s="68"/>
      <c r="JCJ50" s="83"/>
      <c r="JCK50" s="83"/>
      <c r="JCL50" s="80"/>
      <c r="JCM50" s="70"/>
      <c r="JCN50" s="70"/>
      <c r="JCO50" s="25"/>
      <c r="JCP50" s="26"/>
      <c r="JCQ50" s="26"/>
      <c r="JCR50" s="67"/>
      <c r="JCS50" s="11"/>
      <c r="JCT50" s="11"/>
      <c r="JCU50" s="68"/>
      <c r="JCV50" s="83"/>
      <c r="JCW50" s="83"/>
      <c r="JCX50" s="80"/>
      <c r="JCY50" s="70"/>
      <c r="JCZ50" s="70"/>
      <c r="JDA50" s="25"/>
      <c r="JDB50" s="26"/>
      <c r="JDC50" s="26"/>
      <c r="JDD50" s="67"/>
      <c r="JDE50" s="11"/>
      <c r="JDF50" s="11"/>
      <c r="JDG50" s="68"/>
      <c r="JDH50" s="83"/>
      <c r="JDI50" s="83"/>
      <c r="JDJ50" s="80"/>
      <c r="JDK50" s="70"/>
      <c r="JDL50" s="70"/>
      <c r="JDM50" s="25"/>
      <c r="JDN50" s="26"/>
      <c r="JDO50" s="26"/>
      <c r="JDP50" s="67"/>
      <c r="JDQ50" s="11"/>
      <c r="JDR50" s="11"/>
      <c r="JDS50" s="68"/>
      <c r="JDT50" s="83"/>
      <c r="JDU50" s="83"/>
      <c r="JDV50" s="80"/>
      <c r="JDW50" s="70"/>
      <c r="JDX50" s="70"/>
      <c r="JDY50" s="25"/>
      <c r="JDZ50" s="26"/>
      <c r="JEA50" s="26"/>
      <c r="JEB50" s="67"/>
      <c r="JEC50" s="11"/>
      <c r="JED50" s="11"/>
      <c r="JEE50" s="68"/>
      <c r="JEF50" s="83"/>
      <c r="JEG50" s="83"/>
      <c r="JEH50" s="80"/>
      <c r="JEI50" s="70"/>
      <c r="JEJ50" s="70"/>
      <c r="JEK50" s="25"/>
      <c r="JEL50" s="26"/>
      <c r="JEM50" s="26"/>
      <c r="JEN50" s="67"/>
      <c r="JEO50" s="11"/>
      <c r="JEP50" s="11"/>
      <c r="JEQ50" s="68"/>
      <c r="JER50" s="83"/>
      <c r="JES50" s="83"/>
      <c r="JET50" s="80"/>
      <c r="JEU50" s="70"/>
      <c r="JEV50" s="70"/>
      <c r="JEW50" s="25"/>
      <c r="JEX50" s="26"/>
      <c r="JEY50" s="26"/>
      <c r="JEZ50" s="67"/>
      <c r="JFA50" s="11"/>
      <c r="JFB50" s="11"/>
      <c r="JFC50" s="68"/>
      <c r="JFD50" s="83"/>
      <c r="JFE50" s="83"/>
      <c r="JFF50" s="80"/>
      <c r="JFG50" s="70"/>
      <c r="JFH50" s="70"/>
      <c r="JFI50" s="25"/>
      <c r="JFJ50" s="26"/>
      <c r="JFK50" s="26"/>
      <c r="JFL50" s="67"/>
      <c r="JFM50" s="11"/>
      <c r="JFN50" s="11"/>
      <c r="JFO50" s="68"/>
      <c r="JFP50" s="83"/>
      <c r="JFQ50" s="83"/>
      <c r="JFR50" s="80"/>
      <c r="JFS50" s="70"/>
      <c r="JFT50" s="70"/>
      <c r="JFU50" s="25"/>
      <c r="JFV50" s="26"/>
      <c r="JFW50" s="26"/>
      <c r="JFX50" s="67"/>
      <c r="JFY50" s="11"/>
      <c r="JFZ50" s="11"/>
      <c r="JGA50" s="68"/>
      <c r="JGB50" s="83"/>
      <c r="JGC50" s="83"/>
      <c r="JGD50" s="80"/>
      <c r="JGE50" s="70"/>
      <c r="JGF50" s="70"/>
      <c r="JGG50" s="25"/>
      <c r="JGH50" s="26"/>
      <c r="JGI50" s="26"/>
      <c r="JGJ50" s="67"/>
      <c r="JGK50" s="11"/>
      <c r="JGL50" s="11"/>
      <c r="JGM50" s="68"/>
      <c r="JGN50" s="83"/>
      <c r="JGO50" s="83"/>
      <c r="JGP50" s="80"/>
      <c r="JGQ50" s="70"/>
      <c r="JGR50" s="70"/>
      <c r="JGS50" s="25"/>
      <c r="JGT50" s="26"/>
      <c r="JGU50" s="26"/>
      <c r="JGV50" s="67"/>
      <c r="JGW50" s="11"/>
      <c r="JGX50" s="11"/>
      <c r="JGY50" s="68"/>
      <c r="JGZ50" s="83"/>
      <c r="JHA50" s="83"/>
      <c r="JHB50" s="80"/>
      <c r="JHC50" s="70"/>
      <c r="JHD50" s="70"/>
      <c r="JHE50" s="25"/>
      <c r="JHF50" s="26"/>
      <c r="JHG50" s="26"/>
      <c r="JHH50" s="67"/>
      <c r="JHI50" s="11"/>
      <c r="JHJ50" s="11"/>
      <c r="JHK50" s="68"/>
      <c r="JHL50" s="83"/>
      <c r="JHM50" s="83"/>
      <c r="JHN50" s="80"/>
      <c r="JHO50" s="70"/>
      <c r="JHP50" s="70"/>
      <c r="JHQ50" s="25"/>
      <c r="JHR50" s="26"/>
      <c r="JHS50" s="26"/>
      <c r="JHT50" s="67"/>
      <c r="JHU50" s="11"/>
      <c r="JHV50" s="11"/>
      <c r="JHW50" s="68"/>
      <c r="JHX50" s="83"/>
      <c r="JHY50" s="83"/>
      <c r="JHZ50" s="80"/>
      <c r="JIA50" s="70"/>
      <c r="JIB50" s="70"/>
      <c r="JIC50" s="25"/>
      <c r="JID50" s="26"/>
      <c r="JIE50" s="26"/>
      <c r="JIF50" s="67"/>
      <c r="JIG50" s="11"/>
      <c r="JIH50" s="11"/>
      <c r="JII50" s="68"/>
      <c r="JIJ50" s="83"/>
      <c r="JIK50" s="83"/>
      <c r="JIL50" s="80"/>
      <c r="JIM50" s="70"/>
      <c r="JIN50" s="70"/>
      <c r="JIO50" s="25"/>
      <c r="JIP50" s="26"/>
      <c r="JIQ50" s="26"/>
      <c r="JIR50" s="67"/>
      <c r="JIS50" s="11"/>
      <c r="JIT50" s="11"/>
      <c r="JIU50" s="68"/>
      <c r="JIV50" s="83"/>
      <c r="JIW50" s="83"/>
      <c r="JIX50" s="80"/>
      <c r="JIY50" s="70"/>
      <c r="JIZ50" s="70"/>
      <c r="JJA50" s="25"/>
      <c r="JJB50" s="26"/>
      <c r="JJC50" s="26"/>
      <c r="JJD50" s="67"/>
      <c r="JJE50" s="11"/>
      <c r="JJF50" s="11"/>
      <c r="JJG50" s="68"/>
      <c r="JJH50" s="83"/>
      <c r="JJI50" s="83"/>
      <c r="JJJ50" s="80"/>
      <c r="JJK50" s="70"/>
      <c r="JJL50" s="70"/>
      <c r="JJM50" s="25"/>
      <c r="JJN50" s="26"/>
      <c r="JJO50" s="26"/>
      <c r="JJP50" s="67"/>
      <c r="JJQ50" s="11"/>
      <c r="JJR50" s="11"/>
      <c r="JJS50" s="68"/>
      <c r="JJT50" s="83"/>
      <c r="JJU50" s="83"/>
      <c r="JJV50" s="80"/>
      <c r="JJW50" s="70"/>
      <c r="JJX50" s="70"/>
      <c r="JJY50" s="25"/>
      <c r="JJZ50" s="26"/>
      <c r="JKA50" s="26"/>
      <c r="JKB50" s="67"/>
      <c r="JKC50" s="11"/>
      <c r="JKD50" s="11"/>
      <c r="JKE50" s="68"/>
      <c r="JKF50" s="83"/>
      <c r="JKG50" s="83"/>
      <c r="JKH50" s="80"/>
      <c r="JKI50" s="70"/>
      <c r="JKJ50" s="70"/>
      <c r="JKK50" s="25"/>
      <c r="JKL50" s="26"/>
      <c r="JKM50" s="26"/>
      <c r="JKN50" s="67"/>
      <c r="JKO50" s="11"/>
      <c r="JKP50" s="11"/>
      <c r="JKQ50" s="68"/>
      <c r="JKR50" s="83"/>
      <c r="JKS50" s="83"/>
      <c r="JKT50" s="80"/>
      <c r="JKU50" s="70"/>
      <c r="JKV50" s="70"/>
      <c r="JKW50" s="25"/>
      <c r="JKX50" s="26"/>
      <c r="JKY50" s="26"/>
      <c r="JKZ50" s="67"/>
      <c r="JLA50" s="11"/>
      <c r="JLB50" s="11"/>
      <c r="JLC50" s="68"/>
      <c r="JLD50" s="83"/>
      <c r="JLE50" s="83"/>
      <c r="JLF50" s="80"/>
      <c r="JLG50" s="70"/>
      <c r="JLH50" s="70"/>
      <c r="JLI50" s="25"/>
      <c r="JLJ50" s="26"/>
      <c r="JLK50" s="26"/>
      <c r="JLL50" s="67"/>
      <c r="JLM50" s="11"/>
      <c r="JLN50" s="11"/>
      <c r="JLO50" s="68"/>
      <c r="JLP50" s="83"/>
      <c r="JLQ50" s="83"/>
      <c r="JLR50" s="80"/>
      <c r="JLS50" s="70"/>
      <c r="JLT50" s="70"/>
      <c r="JLU50" s="25"/>
      <c r="JLV50" s="26"/>
      <c r="JLW50" s="26"/>
      <c r="JLX50" s="67"/>
      <c r="JLY50" s="11"/>
      <c r="JLZ50" s="11"/>
      <c r="JMA50" s="68"/>
      <c r="JMB50" s="83"/>
      <c r="JMC50" s="83"/>
      <c r="JMD50" s="80"/>
      <c r="JME50" s="70"/>
      <c r="JMF50" s="70"/>
      <c r="JMG50" s="25"/>
      <c r="JMH50" s="26"/>
      <c r="JMI50" s="26"/>
      <c r="JMJ50" s="67"/>
      <c r="JMK50" s="11"/>
      <c r="JML50" s="11"/>
      <c r="JMM50" s="68"/>
      <c r="JMN50" s="83"/>
      <c r="JMO50" s="83"/>
      <c r="JMP50" s="80"/>
      <c r="JMQ50" s="70"/>
      <c r="JMR50" s="70"/>
      <c r="JMS50" s="25"/>
      <c r="JMT50" s="26"/>
      <c r="JMU50" s="26"/>
      <c r="JMV50" s="67"/>
      <c r="JMW50" s="11"/>
      <c r="JMX50" s="11"/>
      <c r="JMY50" s="68"/>
      <c r="JMZ50" s="83"/>
      <c r="JNA50" s="83"/>
      <c r="JNB50" s="80"/>
      <c r="JNC50" s="70"/>
      <c r="JND50" s="70"/>
      <c r="JNE50" s="25"/>
      <c r="JNF50" s="26"/>
      <c r="JNG50" s="26"/>
      <c r="JNH50" s="67"/>
      <c r="JNI50" s="11"/>
      <c r="JNJ50" s="11"/>
      <c r="JNK50" s="68"/>
      <c r="JNL50" s="83"/>
      <c r="JNM50" s="83"/>
      <c r="JNN50" s="80"/>
      <c r="JNO50" s="70"/>
      <c r="JNP50" s="70"/>
      <c r="JNQ50" s="25"/>
      <c r="JNR50" s="26"/>
      <c r="JNS50" s="26"/>
      <c r="JNT50" s="67"/>
      <c r="JNU50" s="11"/>
      <c r="JNV50" s="11"/>
      <c r="JNW50" s="68"/>
      <c r="JNX50" s="83"/>
      <c r="JNY50" s="83"/>
      <c r="JNZ50" s="80"/>
      <c r="JOA50" s="70"/>
      <c r="JOB50" s="70"/>
      <c r="JOC50" s="25"/>
      <c r="JOD50" s="26"/>
      <c r="JOE50" s="26"/>
      <c r="JOF50" s="67"/>
      <c r="JOG50" s="11"/>
      <c r="JOH50" s="11"/>
      <c r="JOI50" s="68"/>
      <c r="JOJ50" s="83"/>
      <c r="JOK50" s="83"/>
      <c r="JOL50" s="80"/>
      <c r="JOM50" s="70"/>
      <c r="JON50" s="70"/>
      <c r="JOO50" s="25"/>
      <c r="JOP50" s="26"/>
      <c r="JOQ50" s="26"/>
      <c r="JOR50" s="67"/>
      <c r="JOS50" s="11"/>
      <c r="JOT50" s="11"/>
      <c r="JOU50" s="68"/>
      <c r="JOV50" s="83"/>
      <c r="JOW50" s="83"/>
      <c r="JOX50" s="80"/>
      <c r="JOY50" s="70"/>
      <c r="JOZ50" s="70"/>
      <c r="JPA50" s="25"/>
      <c r="JPB50" s="26"/>
      <c r="JPC50" s="26"/>
      <c r="JPD50" s="67"/>
      <c r="JPE50" s="11"/>
      <c r="JPF50" s="11"/>
      <c r="JPG50" s="68"/>
      <c r="JPH50" s="83"/>
      <c r="JPI50" s="83"/>
      <c r="JPJ50" s="80"/>
      <c r="JPK50" s="70"/>
      <c r="JPL50" s="70"/>
      <c r="JPM50" s="25"/>
      <c r="JPN50" s="26"/>
      <c r="JPO50" s="26"/>
      <c r="JPP50" s="67"/>
      <c r="JPQ50" s="11"/>
      <c r="JPR50" s="11"/>
      <c r="JPS50" s="68"/>
      <c r="JPT50" s="83"/>
      <c r="JPU50" s="83"/>
      <c r="JPV50" s="80"/>
      <c r="JPW50" s="70"/>
      <c r="JPX50" s="70"/>
      <c r="JPY50" s="25"/>
      <c r="JPZ50" s="26"/>
      <c r="JQA50" s="26"/>
      <c r="JQB50" s="67"/>
      <c r="JQC50" s="11"/>
      <c r="JQD50" s="11"/>
      <c r="JQE50" s="68"/>
      <c r="JQF50" s="83"/>
      <c r="JQG50" s="83"/>
      <c r="JQH50" s="80"/>
      <c r="JQI50" s="70"/>
      <c r="JQJ50" s="70"/>
      <c r="JQK50" s="25"/>
      <c r="JQL50" s="26"/>
      <c r="JQM50" s="26"/>
      <c r="JQN50" s="67"/>
      <c r="JQO50" s="11"/>
      <c r="JQP50" s="11"/>
      <c r="JQQ50" s="68"/>
      <c r="JQR50" s="83"/>
      <c r="JQS50" s="83"/>
      <c r="JQT50" s="80"/>
      <c r="JQU50" s="70"/>
      <c r="JQV50" s="70"/>
      <c r="JQW50" s="25"/>
      <c r="JQX50" s="26"/>
      <c r="JQY50" s="26"/>
      <c r="JQZ50" s="67"/>
      <c r="JRA50" s="11"/>
      <c r="JRB50" s="11"/>
      <c r="JRC50" s="68"/>
      <c r="JRD50" s="83"/>
      <c r="JRE50" s="83"/>
      <c r="JRF50" s="80"/>
      <c r="JRG50" s="70"/>
      <c r="JRH50" s="70"/>
      <c r="JRI50" s="25"/>
      <c r="JRJ50" s="26"/>
      <c r="JRK50" s="26"/>
      <c r="JRL50" s="67"/>
      <c r="JRM50" s="11"/>
      <c r="JRN50" s="11"/>
      <c r="JRO50" s="68"/>
      <c r="JRP50" s="83"/>
      <c r="JRQ50" s="83"/>
      <c r="JRR50" s="80"/>
      <c r="JRS50" s="70"/>
      <c r="JRT50" s="70"/>
      <c r="JRU50" s="25"/>
      <c r="JRV50" s="26"/>
      <c r="JRW50" s="26"/>
      <c r="JRX50" s="67"/>
      <c r="JRY50" s="11"/>
      <c r="JRZ50" s="11"/>
      <c r="JSA50" s="68"/>
      <c r="JSB50" s="83"/>
      <c r="JSC50" s="83"/>
      <c r="JSD50" s="80"/>
      <c r="JSE50" s="70"/>
      <c r="JSF50" s="70"/>
      <c r="JSG50" s="25"/>
      <c r="JSH50" s="26"/>
      <c r="JSI50" s="26"/>
      <c r="JSJ50" s="67"/>
      <c r="JSK50" s="11"/>
      <c r="JSL50" s="11"/>
      <c r="JSM50" s="68"/>
      <c r="JSN50" s="83"/>
      <c r="JSO50" s="83"/>
      <c r="JSP50" s="80"/>
      <c r="JSQ50" s="70"/>
      <c r="JSR50" s="70"/>
      <c r="JSS50" s="25"/>
      <c r="JST50" s="26"/>
      <c r="JSU50" s="26"/>
      <c r="JSV50" s="67"/>
      <c r="JSW50" s="11"/>
      <c r="JSX50" s="11"/>
      <c r="JSY50" s="68"/>
      <c r="JSZ50" s="83"/>
      <c r="JTA50" s="83"/>
      <c r="JTB50" s="80"/>
      <c r="JTC50" s="70"/>
      <c r="JTD50" s="70"/>
      <c r="JTE50" s="25"/>
      <c r="JTF50" s="26"/>
      <c r="JTG50" s="26"/>
      <c r="JTH50" s="67"/>
      <c r="JTI50" s="11"/>
      <c r="JTJ50" s="11"/>
      <c r="JTK50" s="68"/>
      <c r="JTL50" s="83"/>
      <c r="JTM50" s="83"/>
      <c r="JTN50" s="80"/>
      <c r="JTO50" s="70"/>
      <c r="JTP50" s="70"/>
      <c r="JTQ50" s="25"/>
      <c r="JTR50" s="26"/>
      <c r="JTS50" s="26"/>
      <c r="JTT50" s="67"/>
      <c r="JTU50" s="11"/>
      <c r="JTV50" s="11"/>
      <c r="JTW50" s="68"/>
      <c r="JTX50" s="83"/>
      <c r="JTY50" s="83"/>
      <c r="JTZ50" s="80"/>
      <c r="JUA50" s="70"/>
      <c r="JUB50" s="70"/>
      <c r="JUC50" s="25"/>
      <c r="JUD50" s="26"/>
      <c r="JUE50" s="26"/>
      <c r="JUF50" s="67"/>
      <c r="JUG50" s="11"/>
      <c r="JUH50" s="11"/>
      <c r="JUI50" s="68"/>
      <c r="JUJ50" s="83"/>
      <c r="JUK50" s="83"/>
      <c r="JUL50" s="80"/>
      <c r="JUM50" s="70"/>
      <c r="JUN50" s="70"/>
      <c r="JUO50" s="25"/>
      <c r="JUP50" s="26"/>
      <c r="JUQ50" s="26"/>
      <c r="JUR50" s="67"/>
      <c r="JUS50" s="11"/>
      <c r="JUT50" s="11"/>
      <c r="JUU50" s="68"/>
      <c r="JUV50" s="83"/>
      <c r="JUW50" s="83"/>
      <c r="JUX50" s="80"/>
      <c r="JUY50" s="70"/>
      <c r="JUZ50" s="70"/>
      <c r="JVA50" s="25"/>
      <c r="JVB50" s="26"/>
      <c r="JVC50" s="26"/>
      <c r="JVD50" s="67"/>
      <c r="JVE50" s="11"/>
      <c r="JVF50" s="11"/>
      <c r="JVG50" s="68"/>
      <c r="JVH50" s="83"/>
      <c r="JVI50" s="83"/>
      <c r="JVJ50" s="80"/>
      <c r="JVK50" s="70"/>
      <c r="JVL50" s="70"/>
      <c r="JVM50" s="25"/>
      <c r="JVN50" s="26"/>
      <c r="JVO50" s="26"/>
      <c r="JVP50" s="67"/>
      <c r="JVQ50" s="11"/>
      <c r="JVR50" s="11"/>
      <c r="JVS50" s="68"/>
      <c r="JVT50" s="83"/>
      <c r="JVU50" s="83"/>
      <c r="JVV50" s="80"/>
      <c r="JVW50" s="70"/>
      <c r="JVX50" s="70"/>
      <c r="JVY50" s="25"/>
      <c r="JVZ50" s="26"/>
      <c r="JWA50" s="26"/>
      <c r="JWB50" s="67"/>
      <c r="JWC50" s="11"/>
      <c r="JWD50" s="11"/>
      <c r="JWE50" s="68"/>
      <c r="JWF50" s="83"/>
      <c r="JWG50" s="83"/>
      <c r="JWH50" s="80"/>
      <c r="JWI50" s="70"/>
      <c r="JWJ50" s="70"/>
      <c r="JWK50" s="25"/>
      <c r="JWL50" s="26"/>
      <c r="JWM50" s="26"/>
      <c r="JWN50" s="67"/>
      <c r="JWO50" s="11"/>
      <c r="JWP50" s="11"/>
      <c r="JWQ50" s="68"/>
      <c r="JWR50" s="83"/>
      <c r="JWS50" s="83"/>
      <c r="JWT50" s="80"/>
      <c r="JWU50" s="70"/>
      <c r="JWV50" s="70"/>
      <c r="JWW50" s="25"/>
      <c r="JWX50" s="26"/>
      <c r="JWY50" s="26"/>
      <c r="JWZ50" s="67"/>
      <c r="JXA50" s="11"/>
      <c r="JXB50" s="11"/>
      <c r="JXC50" s="68"/>
      <c r="JXD50" s="83"/>
      <c r="JXE50" s="83"/>
      <c r="JXF50" s="80"/>
      <c r="JXG50" s="70"/>
      <c r="JXH50" s="70"/>
      <c r="JXI50" s="25"/>
      <c r="JXJ50" s="26"/>
      <c r="JXK50" s="26"/>
      <c r="JXL50" s="67"/>
      <c r="JXM50" s="11"/>
      <c r="JXN50" s="11"/>
      <c r="JXO50" s="68"/>
      <c r="JXP50" s="83"/>
      <c r="JXQ50" s="83"/>
      <c r="JXR50" s="80"/>
      <c r="JXS50" s="70"/>
      <c r="JXT50" s="70"/>
      <c r="JXU50" s="25"/>
      <c r="JXV50" s="26"/>
      <c r="JXW50" s="26"/>
      <c r="JXX50" s="67"/>
      <c r="JXY50" s="11"/>
      <c r="JXZ50" s="11"/>
      <c r="JYA50" s="68"/>
      <c r="JYB50" s="83"/>
      <c r="JYC50" s="83"/>
      <c r="JYD50" s="80"/>
      <c r="JYE50" s="70"/>
      <c r="JYF50" s="70"/>
      <c r="JYG50" s="25"/>
      <c r="JYH50" s="26"/>
      <c r="JYI50" s="26"/>
      <c r="JYJ50" s="67"/>
      <c r="JYK50" s="11"/>
      <c r="JYL50" s="11"/>
      <c r="JYM50" s="68"/>
      <c r="JYN50" s="83"/>
      <c r="JYO50" s="83"/>
      <c r="JYP50" s="80"/>
      <c r="JYQ50" s="70"/>
      <c r="JYR50" s="70"/>
      <c r="JYS50" s="25"/>
      <c r="JYT50" s="26"/>
      <c r="JYU50" s="26"/>
      <c r="JYV50" s="67"/>
      <c r="JYW50" s="11"/>
      <c r="JYX50" s="11"/>
      <c r="JYY50" s="68"/>
      <c r="JYZ50" s="83"/>
      <c r="JZA50" s="83"/>
      <c r="JZB50" s="80"/>
      <c r="JZC50" s="70"/>
      <c r="JZD50" s="70"/>
      <c r="JZE50" s="25"/>
      <c r="JZF50" s="26"/>
      <c r="JZG50" s="26"/>
      <c r="JZH50" s="67"/>
      <c r="JZI50" s="11"/>
      <c r="JZJ50" s="11"/>
      <c r="JZK50" s="68"/>
      <c r="JZL50" s="83"/>
      <c r="JZM50" s="83"/>
      <c r="JZN50" s="80"/>
      <c r="JZO50" s="70"/>
      <c r="JZP50" s="70"/>
      <c r="JZQ50" s="25"/>
      <c r="JZR50" s="26"/>
      <c r="JZS50" s="26"/>
      <c r="JZT50" s="67"/>
      <c r="JZU50" s="11"/>
      <c r="JZV50" s="11"/>
      <c r="JZW50" s="68"/>
      <c r="JZX50" s="83"/>
      <c r="JZY50" s="83"/>
      <c r="JZZ50" s="80"/>
      <c r="KAA50" s="70"/>
      <c r="KAB50" s="70"/>
      <c r="KAC50" s="25"/>
      <c r="KAD50" s="26"/>
      <c r="KAE50" s="26"/>
      <c r="KAF50" s="67"/>
      <c r="KAG50" s="11"/>
      <c r="KAH50" s="11"/>
      <c r="KAI50" s="68"/>
      <c r="KAJ50" s="83"/>
      <c r="KAK50" s="83"/>
      <c r="KAL50" s="80"/>
      <c r="KAM50" s="70"/>
      <c r="KAN50" s="70"/>
      <c r="KAO50" s="25"/>
      <c r="KAP50" s="26"/>
      <c r="KAQ50" s="26"/>
      <c r="KAR50" s="67"/>
      <c r="KAS50" s="11"/>
      <c r="KAT50" s="11"/>
      <c r="KAU50" s="68"/>
      <c r="KAV50" s="83"/>
      <c r="KAW50" s="83"/>
      <c r="KAX50" s="80"/>
      <c r="KAY50" s="70"/>
      <c r="KAZ50" s="70"/>
      <c r="KBA50" s="25"/>
      <c r="KBB50" s="26"/>
      <c r="KBC50" s="26"/>
      <c r="KBD50" s="67"/>
      <c r="KBE50" s="11"/>
      <c r="KBF50" s="11"/>
      <c r="KBG50" s="68"/>
      <c r="KBH50" s="83"/>
      <c r="KBI50" s="83"/>
      <c r="KBJ50" s="80"/>
      <c r="KBK50" s="70"/>
      <c r="KBL50" s="70"/>
      <c r="KBM50" s="25"/>
      <c r="KBN50" s="26"/>
      <c r="KBO50" s="26"/>
      <c r="KBP50" s="67"/>
      <c r="KBQ50" s="11"/>
      <c r="KBR50" s="11"/>
      <c r="KBS50" s="68"/>
      <c r="KBT50" s="83"/>
      <c r="KBU50" s="83"/>
      <c r="KBV50" s="80"/>
      <c r="KBW50" s="70"/>
      <c r="KBX50" s="70"/>
      <c r="KBY50" s="25"/>
      <c r="KBZ50" s="26"/>
      <c r="KCA50" s="26"/>
      <c r="KCB50" s="67"/>
      <c r="KCC50" s="11"/>
      <c r="KCD50" s="11"/>
      <c r="KCE50" s="68"/>
      <c r="KCF50" s="83"/>
      <c r="KCG50" s="83"/>
      <c r="KCH50" s="80"/>
      <c r="KCI50" s="70"/>
      <c r="KCJ50" s="70"/>
      <c r="KCK50" s="25"/>
      <c r="KCL50" s="26"/>
      <c r="KCM50" s="26"/>
      <c r="KCN50" s="67"/>
      <c r="KCO50" s="11"/>
      <c r="KCP50" s="11"/>
      <c r="KCQ50" s="68"/>
      <c r="KCR50" s="83"/>
      <c r="KCS50" s="83"/>
      <c r="KCT50" s="80"/>
      <c r="KCU50" s="70"/>
      <c r="KCV50" s="70"/>
      <c r="KCW50" s="25"/>
      <c r="KCX50" s="26"/>
      <c r="KCY50" s="26"/>
      <c r="KCZ50" s="67"/>
      <c r="KDA50" s="11"/>
      <c r="KDB50" s="11"/>
      <c r="KDC50" s="68"/>
      <c r="KDD50" s="83"/>
      <c r="KDE50" s="83"/>
      <c r="KDF50" s="80"/>
      <c r="KDG50" s="70"/>
      <c r="KDH50" s="70"/>
      <c r="KDI50" s="25"/>
      <c r="KDJ50" s="26"/>
      <c r="KDK50" s="26"/>
      <c r="KDL50" s="67"/>
      <c r="KDM50" s="11"/>
      <c r="KDN50" s="11"/>
      <c r="KDO50" s="68"/>
      <c r="KDP50" s="83"/>
      <c r="KDQ50" s="83"/>
      <c r="KDR50" s="80"/>
      <c r="KDS50" s="70"/>
      <c r="KDT50" s="70"/>
      <c r="KDU50" s="25"/>
      <c r="KDV50" s="26"/>
      <c r="KDW50" s="26"/>
      <c r="KDX50" s="67"/>
      <c r="KDY50" s="11"/>
      <c r="KDZ50" s="11"/>
      <c r="KEA50" s="68"/>
      <c r="KEB50" s="83"/>
      <c r="KEC50" s="83"/>
      <c r="KED50" s="80"/>
      <c r="KEE50" s="70"/>
      <c r="KEF50" s="70"/>
      <c r="KEG50" s="25"/>
      <c r="KEH50" s="26"/>
      <c r="KEI50" s="26"/>
      <c r="KEJ50" s="67"/>
      <c r="KEK50" s="11"/>
      <c r="KEL50" s="11"/>
      <c r="KEM50" s="68"/>
      <c r="KEN50" s="83"/>
      <c r="KEO50" s="83"/>
      <c r="KEP50" s="80"/>
      <c r="KEQ50" s="70"/>
      <c r="KER50" s="70"/>
      <c r="KES50" s="25"/>
      <c r="KET50" s="26"/>
      <c r="KEU50" s="26"/>
      <c r="KEV50" s="67"/>
      <c r="KEW50" s="11"/>
      <c r="KEX50" s="11"/>
      <c r="KEY50" s="68"/>
      <c r="KEZ50" s="83"/>
      <c r="KFA50" s="83"/>
      <c r="KFB50" s="80"/>
      <c r="KFC50" s="70"/>
      <c r="KFD50" s="70"/>
      <c r="KFE50" s="25"/>
      <c r="KFF50" s="26"/>
      <c r="KFG50" s="26"/>
      <c r="KFH50" s="67"/>
      <c r="KFI50" s="11"/>
      <c r="KFJ50" s="11"/>
      <c r="KFK50" s="68"/>
      <c r="KFL50" s="83"/>
      <c r="KFM50" s="83"/>
      <c r="KFN50" s="80"/>
      <c r="KFO50" s="70"/>
      <c r="KFP50" s="70"/>
      <c r="KFQ50" s="25"/>
      <c r="KFR50" s="26"/>
      <c r="KFS50" s="26"/>
      <c r="KFT50" s="67"/>
      <c r="KFU50" s="11"/>
      <c r="KFV50" s="11"/>
      <c r="KFW50" s="68"/>
      <c r="KFX50" s="83"/>
      <c r="KFY50" s="83"/>
      <c r="KFZ50" s="80"/>
      <c r="KGA50" s="70"/>
      <c r="KGB50" s="70"/>
      <c r="KGC50" s="25"/>
      <c r="KGD50" s="26"/>
      <c r="KGE50" s="26"/>
      <c r="KGF50" s="67"/>
      <c r="KGG50" s="11"/>
      <c r="KGH50" s="11"/>
      <c r="KGI50" s="68"/>
      <c r="KGJ50" s="83"/>
      <c r="KGK50" s="83"/>
      <c r="KGL50" s="80"/>
      <c r="KGM50" s="70"/>
      <c r="KGN50" s="70"/>
      <c r="KGO50" s="25"/>
      <c r="KGP50" s="26"/>
      <c r="KGQ50" s="26"/>
      <c r="KGR50" s="67"/>
      <c r="KGS50" s="11"/>
      <c r="KGT50" s="11"/>
      <c r="KGU50" s="68"/>
      <c r="KGV50" s="83"/>
      <c r="KGW50" s="83"/>
      <c r="KGX50" s="80"/>
      <c r="KGY50" s="70"/>
      <c r="KGZ50" s="70"/>
      <c r="KHA50" s="25"/>
      <c r="KHB50" s="26"/>
      <c r="KHC50" s="26"/>
      <c r="KHD50" s="67"/>
      <c r="KHE50" s="11"/>
      <c r="KHF50" s="11"/>
      <c r="KHG50" s="68"/>
      <c r="KHH50" s="83"/>
      <c r="KHI50" s="83"/>
      <c r="KHJ50" s="80"/>
      <c r="KHK50" s="70"/>
      <c r="KHL50" s="70"/>
      <c r="KHM50" s="25"/>
      <c r="KHN50" s="26"/>
      <c r="KHO50" s="26"/>
      <c r="KHP50" s="67"/>
      <c r="KHQ50" s="11"/>
      <c r="KHR50" s="11"/>
      <c r="KHS50" s="68"/>
      <c r="KHT50" s="83"/>
      <c r="KHU50" s="83"/>
      <c r="KHV50" s="80"/>
      <c r="KHW50" s="70"/>
      <c r="KHX50" s="70"/>
      <c r="KHY50" s="25"/>
      <c r="KHZ50" s="26"/>
      <c r="KIA50" s="26"/>
      <c r="KIB50" s="67"/>
      <c r="KIC50" s="11"/>
      <c r="KID50" s="11"/>
      <c r="KIE50" s="68"/>
      <c r="KIF50" s="83"/>
      <c r="KIG50" s="83"/>
      <c r="KIH50" s="80"/>
      <c r="KII50" s="70"/>
      <c r="KIJ50" s="70"/>
      <c r="KIK50" s="25"/>
      <c r="KIL50" s="26"/>
      <c r="KIM50" s="26"/>
      <c r="KIN50" s="67"/>
      <c r="KIO50" s="11"/>
      <c r="KIP50" s="11"/>
      <c r="KIQ50" s="68"/>
      <c r="KIR50" s="83"/>
      <c r="KIS50" s="83"/>
      <c r="KIT50" s="80"/>
      <c r="KIU50" s="70"/>
      <c r="KIV50" s="70"/>
      <c r="KIW50" s="25"/>
      <c r="KIX50" s="26"/>
      <c r="KIY50" s="26"/>
      <c r="KIZ50" s="67"/>
      <c r="KJA50" s="11"/>
      <c r="KJB50" s="11"/>
      <c r="KJC50" s="68"/>
      <c r="KJD50" s="83"/>
      <c r="KJE50" s="83"/>
      <c r="KJF50" s="80"/>
      <c r="KJG50" s="70"/>
      <c r="KJH50" s="70"/>
      <c r="KJI50" s="25"/>
      <c r="KJJ50" s="26"/>
      <c r="KJK50" s="26"/>
      <c r="KJL50" s="67"/>
      <c r="KJM50" s="11"/>
      <c r="KJN50" s="11"/>
      <c r="KJO50" s="68"/>
      <c r="KJP50" s="83"/>
      <c r="KJQ50" s="83"/>
      <c r="KJR50" s="80"/>
      <c r="KJS50" s="70"/>
      <c r="KJT50" s="70"/>
      <c r="KJU50" s="25"/>
      <c r="KJV50" s="26"/>
      <c r="KJW50" s="26"/>
      <c r="KJX50" s="67"/>
      <c r="KJY50" s="11"/>
      <c r="KJZ50" s="11"/>
      <c r="KKA50" s="68"/>
      <c r="KKB50" s="83"/>
      <c r="KKC50" s="83"/>
      <c r="KKD50" s="80"/>
      <c r="KKE50" s="70"/>
      <c r="KKF50" s="70"/>
      <c r="KKG50" s="25"/>
      <c r="KKH50" s="26"/>
      <c r="KKI50" s="26"/>
      <c r="KKJ50" s="67"/>
      <c r="KKK50" s="11"/>
      <c r="KKL50" s="11"/>
      <c r="KKM50" s="68"/>
      <c r="KKN50" s="83"/>
      <c r="KKO50" s="83"/>
      <c r="KKP50" s="80"/>
      <c r="KKQ50" s="70"/>
      <c r="KKR50" s="70"/>
      <c r="KKS50" s="25"/>
      <c r="KKT50" s="26"/>
      <c r="KKU50" s="26"/>
      <c r="KKV50" s="67"/>
      <c r="KKW50" s="11"/>
      <c r="KKX50" s="11"/>
      <c r="KKY50" s="68"/>
      <c r="KKZ50" s="83"/>
      <c r="KLA50" s="83"/>
      <c r="KLB50" s="80"/>
      <c r="KLC50" s="70"/>
      <c r="KLD50" s="70"/>
      <c r="KLE50" s="25"/>
      <c r="KLF50" s="26"/>
      <c r="KLG50" s="26"/>
      <c r="KLH50" s="67"/>
      <c r="KLI50" s="11"/>
      <c r="KLJ50" s="11"/>
      <c r="KLK50" s="68"/>
      <c r="KLL50" s="83"/>
      <c r="KLM50" s="83"/>
      <c r="KLN50" s="80"/>
      <c r="KLO50" s="70"/>
      <c r="KLP50" s="70"/>
      <c r="KLQ50" s="25"/>
      <c r="KLR50" s="26"/>
      <c r="KLS50" s="26"/>
      <c r="KLT50" s="67"/>
      <c r="KLU50" s="11"/>
      <c r="KLV50" s="11"/>
      <c r="KLW50" s="68"/>
      <c r="KLX50" s="83"/>
      <c r="KLY50" s="83"/>
      <c r="KLZ50" s="80"/>
      <c r="KMA50" s="70"/>
      <c r="KMB50" s="70"/>
      <c r="KMC50" s="25"/>
      <c r="KMD50" s="26"/>
      <c r="KME50" s="26"/>
      <c r="KMF50" s="67"/>
      <c r="KMG50" s="11"/>
      <c r="KMH50" s="11"/>
      <c r="KMI50" s="68"/>
      <c r="KMJ50" s="83"/>
      <c r="KMK50" s="83"/>
      <c r="KML50" s="80"/>
      <c r="KMM50" s="70"/>
      <c r="KMN50" s="70"/>
      <c r="KMO50" s="25"/>
      <c r="KMP50" s="26"/>
      <c r="KMQ50" s="26"/>
      <c r="KMR50" s="67"/>
      <c r="KMS50" s="11"/>
      <c r="KMT50" s="11"/>
      <c r="KMU50" s="68"/>
      <c r="KMV50" s="83"/>
      <c r="KMW50" s="83"/>
      <c r="KMX50" s="80"/>
      <c r="KMY50" s="70"/>
      <c r="KMZ50" s="70"/>
      <c r="KNA50" s="25"/>
      <c r="KNB50" s="26"/>
      <c r="KNC50" s="26"/>
      <c r="KND50" s="67"/>
      <c r="KNE50" s="11"/>
      <c r="KNF50" s="11"/>
      <c r="KNG50" s="68"/>
      <c r="KNH50" s="83"/>
      <c r="KNI50" s="83"/>
      <c r="KNJ50" s="80"/>
      <c r="KNK50" s="70"/>
      <c r="KNL50" s="70"/>
      <c r="KNM50" s="25"/>
      <c r="KNN50" s="26"/>
      <c r="KNO50" s="26"/>
      <c r="KNP50" s="67"/>
      <c r="KNQ50" s="11"/>
      <c r="KNR50" s="11"/>
      <c r="KNS50" s="68"/>
      <c r="KNT50" s="83"/>
      <c r="KNU50" s="83"/>
      <c r="KNV50" s="80"/>
      <c r="KNW50" s="70"/>
      <c r="KNX50" s="70"/>
      <c r="KNY50" s="25"/>
      <c r="KNZ50" s="26"/>
      <c r="KOA50" s="26"/>
      <c r="KOB50" s="67"/>
      <c r="KOC50" s="11"/>
      <c r="KOD50" s="11"/>
      <c r="KOE50" s="68"/>
      <c r="KOF50" s="83"/>
      <c r="KOG50" s="83"/>
      <c r="KOH50" s="80"/>
      <c r="KOI50" s="70"/>
      <c r="KOJ50" s="70"/>
      <c r="KOK50" s="25"/>
      <c r="KOL50" s="26"/>
      <c r="KOM50" s="26"/>
      <c r="KON50" s="67"/>
      <c r="KOO50" s="11"/>
      <c r="KOP50" s="11"/>
      <c r="KOQ50" s="68"/>
      <c r="KOR50" s="83"/>
      <c r="KOS50" s="83"/>
      <c r="KOT50" s="80"/>
      <c r="KOU50" s="70"/>
      <c r="KOV50" s="70"/>
      <c r="KOW50" s="25"/>
      <c r="KOX50" s="26"/>
      <c r="KOY50" s="26"/>
      <c r="KOZ50" s="67"/>
      <c r="KPA50" s="11"/>
      <c r="KPB50" s="11"/>
      <c r="KPC50" s="68"/>
      <c r="KPD50" s="83"/>
      <c r="KPE50" s="83"/>
      <c r="KPF50" s="80"/>
      <c r="KPG50" s="70"/>
      <c r="KPH50" s="70"/>
      <c r="KPI50" s="25"/>
      <c r="KPJ50" s="26"/>
      <c r="KPK50" s="26"/>
      <c r="KPL50" s="67"/>
      <c r="KPM50" s="11"/>
      <c r="KPN50" s="11"/>
      <c r="KPO50" s="68"/>
      <c r="KPP50" s="83"/>
      <c r="KPQ50" s="83"/>
      <c r="KPR50" s="80"/>
      <c r="KPS50" s="70"/>
      <c r="KPT50" s="70"/>
      <c r="KPU50" s="25"/>
      <c r="KPV50" s="26"/>
      <c r="KPW50" s="26"/>
      <c r="KPX50" s="67"/>
      <c r="KPY50" s="11"/>
      <c r="KPZ50" s="11"/>
      <c r="KQA50" s="68"/>
      <c r="KQB50" s="83"/>
      <c r="KQC50" s="83"/>
      <c r="KQD50" s="80"/>
      <c r="KQE50" s="70"/>
      <c r="KQF50" s="70"/>
      <c r="KQG50" s="25"/>
      <c r="KQH50" s="26"/>
      <c r="KQI50" s="26"/>
      <c r="KQJ50" s="67"/>
      <c r="KQK50" s="11"/>
      <c r="KQL50" s="11"/>
      <c r="KQM50" s="68"/>
      <c r="KQN50" s="83"/>
      <c r="KQO50" s="83"/>
      <c r="KQP50" s="80"/>
      <c r="KQQ50" s="70"/>
      <c r="KQR50" s="70"/>
      <c r="KQS50" s="25"/>
      <c r="KQT50" s="26"/>
      <c r="KQU50" s="26"/>
      <c r="KQV50" s="67"/>
      <c r="KQW50" s="11"/>
      <c r="KQX50" s="11"/>
      <c r="KQY50" s="68"/>
      <c r="KQZ50" s="83"/>
      <c r="KRA50" s="83"/>
      <c r="KRB50" s="80"/>
      <c r="KRC50" s="70"/>
      <c r="KRD50" s="70"/>
      <c r="KRE50" s="25"/>
      <c r="KRF50" s="26"/>
      <c r="KRG50" s="26"/>
      <c r="KRH50" s="67"/>
      <c r="KRI50" s="11"/>
      <c r="KRJ50" s="11"/>
      <c r="KRK50" s="68"/>
      <c r="KRL50" s="83"/>
      <c r="KRM50" s="83"/>
      <c r="KRN50" s="80"/>
      <c r="KRO50" s="70"/>
      <c r="KRP50" s="70"/>
      <c r="KRQ50" s="25"/>
      <c r="KRR50" s="26"/>
      <c r="KRS50" s="26"/>
      <c r="KRT50" s="67"/>
      <c r="KRU50" s="11"/>
      <c r="KRV50" s="11"/>
      <c r="KRW50" s="68"/>
      <c r="KRX50" s="83"/>
      <c r="KRY50" s="83"/>
      <c r="KRZ50" s="80"/>
      <c r="KSA50" s="70"/>
      <c r="KSB50" s="70"/>
      <c r="KSC50" s="25"/>
      <c r="KSD50" s="26"/>
      <c r="KSE50" s="26"/>
      <c r="KSF50" s="67"/>
      <c r="KSG50" s="11"/>
      <c r="KSH50" s="11"/>
      <c r="KSI50" s="68"/>
      <c r="KSJ50" s="83"/>
      <c r="KSK50" s="83"/>
      <c r="KSL50" s="80"/>
      <c r="KSM50" s="70"/>
      <c r="KSN50" s="70"/>
      <c r="KSO50" s="25"/>
      <c r="KSP50" s="26"/>
      <c r="KSQ50" s="26"/>
      <c r="KSR50" s="67"/>
      <c r="KSS50" s="11"/>
      <c r="KST50" s="11"/>
      <c r="KSU50" s="68"/>
      <c r="KSV50" s="83"/>
      <c r="KSW50" s="83"/>
      <c r="KSX50" s="80"/>
      <c r="KSY50" s="70"/>
      <c r="KSZ50" s="70"/>
      <c r="KTA50" s="25"/>
      <c r="KTB50" s="26"/>
      <c r="KTC50" s="26"/>
      <c r="KTD50" s="67"/>
      <c r="KTE50" s="11"/>
      <c r="KTF50" s="11"/>
      <c r="KTG50" s="68"/>
      <c r="KTH50" s="83"/>
      <c r="KTI50" s="83"/>
      <c r="KTJ50" s="80"/>
      <c r="KTK50" s="70"/>
      <c r="KTL50" s="70"/>
      <c r="KTM50" s="25"/>
      <c r="KTN50" s="26"/>
      <c r="KTO50" s="26"/>
      <c r="KTP50" s="67"/>
      <c r="KTQ50" s="11"/>
      <c r="KTR50" s="11"/>
      <c r="KTS50" s="68"/>
      <c r="KTT50" s="83"/>
      <c r="KTU50" s="83"/>
      <c r="KTV50" s="80"/>
      <c r="KTW50" s="70"/>
      <c r="KTX50" s="70"/>
      <c r="KTY50" s="25"/>
      <c r="KTZ50" s="26"/>
      <c r="KUA50" s="26"/>
      <c r="KUB50" s="67"/>
      <c r="KUC50" s="11"/>
      <c r="KUD50" s="11"/>
      <c r="KUE50" s="68"/>
      <c r="KUF50" s="83"/>
      <c r="KUG50" s="83"/>
      <c r="KUH50" s="80"/>
      <c r="KUI50" s="70"/>
      <c r="KUJ50" s="70"/>
      <c r="KUK50" s="25"/>
      <c r="KUL50" s="26"/>
      <c r="KUM50" s="26"/>
      <c r="KUN50" s="67"/>
      <c r="KUO50" s="11"/>
      <c r="KUP50" s="11"/>
      <c r="KUQ50" s="68"/>
      <c r="KUR50" s="83"/>
      <c r="KUS50" s="83"/>
      <c r="KUT50" s="80"/>
      <c r="KUU50" s="70"/>
      <c r="KUV50" s="70"/>
      <c r="KUW50" s="25"/>
      <c r="KUX50" s="26"/>
      <c r="KUY50" s="26"/>
      <c r="KUZ50" s="67"/>
      <c r="KVA50" s="11"/>
      <c r="KVB50" s="11"/>
      <c r="KVC50" s="68"/>
      <c r="KVD50" s="83"/>
      <c r="KVE50" s="83"/>
      <c r="KVF50" s="80"/>
      <c r="KVG50" s="70"/>
      <c r="KVH50" s="70"/>
      <c r="KVI50" s="25"/>
      <c r="KVJ50" s="26"/>
      <c r="KVK50" s="26"/>
      <c r="KVL50" s="67"/>
      <c r="KVM50" s="11"/>
      <c r="KVN50" s="11"/>
      <c r="KVO50" s="68"/>
      <c r="KVP50" s="83"/>
      <c r="KVQ50" s="83"/>
      <c r="KVR50" s="80"/>
      <c r="KVS50" s="70"/>
      <c r="KVT50" s="70"/>
      <c r="KVU50" s="25"/>
      <c r="KVV50" s="26"/>
      <c r="KVW50" s="26"/>
      <c r="KVX50" s="67"/>
      <c r="KVY50" s="11"/>
      <c r="KVZ50" s="11"/>
      <c r="KWA50" s="68"/>
      <c r="KWB50" s="83"/>
      <c r="KWC50" s="83"/>
      <c r="KWD50" s="80"/>
      <c r="KWE50" s="70"/>
      <c r="KWF50" s="70"/>
      <c r="KWG50" s="25"/>
      <c r="KWH50" s="26"/>
      <c r="KWI50" s="26"/>
      <c r="KWJ50" s="67"/>
      <c r="KWK50" s="11"/>
      <c r="KWL50" s="11"/>
      <c r="KWM50" s="68"/>
      <c r="KWN50" s="83"/>
      <c r="KWO50" s="83"/>
      <c r="KWP50" s="80"/>
      <c r="KWQ50" s="70"/>
      <c r="KWR50" s="70"/>
      <c r="KWS50" s="25"/>
      <c r="KWT50" s="26"/>
      <c r="KWU50" s="26"/>
      <c r="KWV50" s="67"/>
      <c r="KWW50" s="11"/>
      <c r="KWX50" s="11"/>
      <c r="KWY50" s="68"/>
      <c r="KWZ50" s="83"/>
      <c r="KXA50" s="83"/>
      <c r="KXB50" s="80"/>
      <c r="KXC50" s="70"/>
      <c r="KXD50" s="70"/>
      <c r="KXE50" s="25"/>
      <c r="KXF50" s="26"/>
      <c r="KXG50" s="26"/>
      <c r="KXH50" s="67"/>
      <c r="KXI50" s="11"/>
      <c r="KXJ50" s="11"/>
      <c r="KXK50" s="68"/>
      <c r="KXL50" s="83"/>
      <c r="KXM50" s="83"/>
      <c r="KXN50" s="80"/>
      <c r="KXO50" s="70"/>
      <c r="KXP50" s="70"/>
      <c r="KXQ50" s="25"/>
      <c r="KXR50" s="26"/>
      <c r="KXS50" s="26"/>
      <c r="KXT50" s="67"/>
      <c r="KXU50" s="11"/>
      <c r="KXV50" s="11"/>
      <c r="KXW50" s="68"/>
      <c r="KXX50" s="83"/>
      <c r="KXY50" s="83"/>
      <c r="KXZ50" s="80"/>
      <c r="KYA50" s="70"/>
      <c r="KYB50" s="70"/>
      <c r="KYC50" s="25"/>
      <c r="KYD50" s="26"/>
      <c r="KYE50" s="26"/>
      <c r="KYF50" s="67"/>
      <c r="KYG50" s="11"/>
      <c r="KYH50" s="11"/>
      <c r="KYI50" s="68"/>
      <c r="KYJ50" s="83"/>
      <c r="KYK50" s="83"/>
      <c r="KYL50" s="80"/>
      <c r="KYM50" s="70"/>
      <c r="KYN50" s="70"/>
      <c r="KYO50" s="25"/>
      <c r="KYP50" s="26"/>
      <c r="KYQ50" s="26"/>
      <c r="KYR50" s="67"/>
      <c r="KYS50" s="11"/>
      <c r="KYT50" s="11"/>
      <c r="KYU50" s="68"/>
      <c r="KYV50" s="83"/>
      <c r="KYW50" s="83"/>
      <c r="KYX50" s="80"/>
      <c r="KYY50" s="70"/>
      <c r="KYZ50" s="70"/>
      <c r="KZA50" s="25"/>
      <c r="KZB50" s="26"/>
      <c r="KZC50" s="26"/>
      <c r="KZD50" s="67"/>
      <c r="KZE50" s="11"/>
      <c r="KZF50" s="11"/>
      <c r="KZG50" s="68"/>
      <c r="KZH50" s="83"/>
      <c r="KZI50" s="83"/>
      <c r="KZJ50" s="80"/>
      <c r="KZK50" s="70"/>
      <c r="KZL50" s="70"/>
      <c r="KZM50" s="25"/>
      <c r="KZN50" s="26"/>
      <c r="KZO50" s="26"/>
      <c r="KZP50" s="67"/>
      <c r="KZQ50" s="11"/>
      <c r="KZR50" s="11"/>
      <c r="KZS50" s="68"/>
      <c r="KZT50" s="83"/>
      <c r="KZU50" s="83"/>
      <c r="KZV50" s="80"/>
      <c r="KZW50" s="70"/>
      <c r="KZX50" s="70"/>
      <c r="KZY50" s="25"/>
      <c r="KZZ50" s="26"/>
      <c r="LAA50" s="26"/>
      <c r="LAB50" s="67"/>
      <c r="LAC50" s="11"/>
      <c r="LAD50" s="11"/>
      <c r="LAE50" s="68"/>
      <c r="LAF50" s="83"/>
      <c r="LAG50" s="83"/>
      <c r="LAH50" s="80"/>
      <c r="LAI50" s="70"/>
      <c r="LAJ50" s="70"/>
      <c r="LAK50" s="25"/>
      <c r="LAL50" s="26"/>
      <c r="LAM50" s="26"/>
      <c r="LAN50" s="67"/>
      <c r="LAO50" s="11"/>
      <c r="LAP50" s="11"/>
      <c r="LAQ50" s="68"/>
      <c r="LAR50" s="83"/>
      <c r="LAS50" s="83"/>
      <c r="LAT50" s="80"/>
      <c r="LAU50" s="70"/>
      <c r="LAV50" s="70"/>
      <c r="LAW50" s="25"/>
      <c r="LAX50" s="26"/>
      <c r="LAY50" s="26"/>
      <c r="LAZ50" s="67"/>
      <c r="LBA50" s="11"/>
      <c r="LBB50" s="11"/>
      <c r="LBC50" s="68"/>
      <c r="LBD50" s="83"/>
      <c r="LBE50" s="83"/>
      <c r="LBF50" s="80"/>
      <c r="LBG50" s="70"/>
      <c r="LBH50" s="70"/>
      <c r="LBI50" s="25"/>
      <c r="LBJ50" s="26"/>
      <c r="LBK50" s="26"/>
      <c r="LBL50" s="67"/>
      <c r="LBM50" s="11"/>
      <c r="LBN50" s="11"/>
      <c r="LBO50" s="68"/>
      <c r="LBP50" s="83"/>
      <c r="LBQ50" s="83"/>
      <c r="LBR50" s="80"/>
      <c r="LBS50" s="70"/>
      <c r="LBT50" s="70"/>
      <c r="LBU50" s="25"/>
      <c r="LBV50" s="26"/>
      <c r="LBW50" s="26"/>
      <c r="LBX50" s="67"/>
      <c r="LBY50" s="11"/>
      <c r="LBZ50" s="11"/>
      <c r="LCA50" s="68"/>
      <c r="LCB50" s="83"/>
      <c r="LCC50" s="83"/>
      <c r="LCD50" s="80"/>
      <c r="LCE50" s="70"/>
      <c r="LCF50" s="70"/>
      <c r="LCG50" s="25"/>
      <c r="LCH50" s="26"/>
      <c r="LCI50" s="26"/>
      <c r="LCJ50" s="67"/>
      <c r="LCK50" s="11"/>
      <c r="LCL50" s="11"/>
      <c r="LCM50" s="68"/>
      <c r="LCN50" s="83"/>
      <c r="LCO50" s="83"/>
      <c r="LCP50" s="80"/>
      <c r="LCQ50" s="70"/>
      <c r="LCR50" s="70"/>
      <c r="LCS50" s="25"/>
      <c r="LCT50" s="26"/>
      <c r="LCU50" s="26"/>
      <c r="LCV50" s="67"/>
      <c r="LCW50" s="11"/>
      <c r="LCX50" s="11"/>
      <c r="LCY50" s="68"/>
      <c r="LCZ50" s="83"/>
      <c r="LDA50" s="83"/>
      <c r="LDB50" s="80"/>
      <c r="LDC50" s="70"/>
      <c r="LDD50" s="70"/>
      <c r="LDE50" s="25"/>
      <c r="LDF50" s="26"/>
      <c r="LDG50" s="26"/>
      <c r="LDH50" s="67"/>
      <c r="LDI50" s="11"/>
      <c r="LDJ50" s="11"/>
      <c r="LDK50" s="68"/>
      <c r="LDL50" s="83"/>
      <c r="LDM50" s="83"/>
      <c r="LDN50" s="80"/>
      <c r="LDO50" s="70"/>
      <c r="LDP50" s="70"/>
      <c r="LDQ50" s="25"/>
      <c r="LDR50" s="26"/>
      <c r="LDS50" s="26"/>
      <c r="LDT50" s="67"/>
      <c r="LDU50" s="11"/>
      <c r="LDV50" s="11"/>
      <c r="LDW50" s="68"/>
      <c r="LDX50" s="83"/>
      <c r="LDY50" s="83"/>
      <c r="LDZ50" s="80"/>
      <c r="LEA50" s="70"/>
      <c r="LEB50" s="70"/>
      <c r="LEC50" s="25"/>
      <c r="LED50" s="26"/>
      <c r="LEE50" s="26"/>
      <c r="LEF50" s="67"/>
      <c r="LEG50" s="11"/>
      <c r="LEH50" s="11"/>
      <c r="LEI50" s="68"/>
      <c r="LEJ50" s="83"/>
      <c r="LEK50" s="83"/>
      <c r="LEL50" s="80"/>
      <c r="LEM50" s="70"/>
      <c r="LEN50" s="70"/>
      <c r="LEO50" s="25"/>
      <c r="LEP50" s="26"/>
      <c r="LEQ50" s="26"/>
      <c r="LER50" s="67"/>
      <c r="LES50" s="11"/>
      <c r="LET50" s="11"/>
      <c r="LEU50" s="68"/>
      <c r="LEV50" s="83"/>
      <c r="LEW50" s="83"/>
      <c r="LEX50" s="80"/>
      <c r="LEY50" s="70"/>
      <c r="LEZ50" s="70"/>
      <c r="LFA50" s="25"/>
      <c r="LFB50" s="26"/>
      <c r="LFC50" s="26"/>
      <c r="LFD50" s="67"/>
      <c r="LFE50" s="11"/>
      <c r="LFF50" s="11"/>
      <c r="LFG50" s="68"/>
      <c r="LFH50" s="83"/>
      <c r="LFI50" s="83"/>
      <c r="LFJ50" s="80"/>
      <c r="LFK50" s="70"/>
      <c r="LFL50" s="70"/>
      <c r="LFM50" s="25"/>
      <c r="LFN50" s="26"/>
      <c r="LFO50" s="26"/>
      <c r="LFP50" s="67"/>
      <c r="LFQ50" s="11"/>
      <c r="LFR50" s="11"/>
      <c r="LFS50" s="68"/>
      <c r="LFT50" s="83"/>
      <c r="LFU50" s="83"/>
      <c r="LFV50" s="80"/>
      <c r="LFW50" s="70"/>
      <c r="LFX50" s="70"/>
      <c r="LFY50" s="25"/>
      <c r="LFZ50" s="26"/>
      <c r="LGA50" s="26"/>
      <c r="LGB50" s="67"/>
      <c r="LGC50" s="11"/>
      <c r="LGD50" s="11"/>
      <c r="LGE50" s="68"/>
      <c r="LGF50" s="83"/>
      <c r="LGG50" s="83"/>
      <c r="LGH50" s="80"/>
      <c r="LGI50" s="70"/>
      <c r="LGJ50" s="70"/>
      <c r="LGK50" s="25"/>
      <c r="LGL50" s="26"/>
      <c r="LGM50" s="26"/>
      <c r="LGN50" s="67"/>
      <c r="LGO50" s="11"/>
      <c r="LGP50" s="11"/>
      <c r="LGQ50" s="68"/>
      <c r="LGR50" s="83"/>
      <c r="LGS50" s="83"/>
      <c r="LGT50" s="80"/>
      <c r="LGU50" s="70"/>
      <c r="LGV50" s="70"/>
      <c r="LGW50" s="25"/>
      <c r="LGX50" s="26"/>
      <c r="LGY50" s="26"/>
      <c r="LGZ50" s="67"/>
      <c r="LHA50" s="11"/>
      <c r="LHB50" s="11"/>
      <c r="LHC50" s="68"/>
      <c r="LHD50" s="83"/>
      <c r="LHE50" s="83"/>
      <c r="LHF50" s="80"/>
      <c r="LHG50" s="70"/>
      <c r="LHH50" s="70"/>
      <c r="LHI50" s="25"/>
      <c r="LHJ50" s="26"/>
      <c r="LHK50" s="26"/>
      <c r="LHL50" s="67"/>
      <c r="LHM50" s="11"/>
      <c r="LHN50" s="11"/>
      <c r="LHO50" s="68"/>
      <c r="LHP50" s="83"/>
      <c r="LHQ50" s="83"/>
      <c r="LHR50" s="80"/>
      <c r="LHS50" s="70"/>
      <c r="LHT50" s="70"/>
      <c r="LHU50" s="25"/>
      <c r="LHV50" s="26"/>
      <c r="LHW50" s="26"/>
      <c r="LHX50" s="67"/>
      <c r="LHY50" s="11"/>
      <c r="LHZ50" s="11"/>
      <c r="LIA50" s="68"/>
      <c r="LIB50" s="83"/>
      <c r="LIC50" s="83"/>
      <c r="LID50" s="80"/>
      <c r="LIE50" s="70"/>
      <c r="LIF50" s="70"/>
      <c r="LIG50" s="25"/>
      <c r="LIH50" s="26"/>
      <c r="LII50" s="26"/>
      <c r="LIJ50" s="67"/>
      <c r="LIK50" s="11"/>
      <c r="LIL50" s="11"/>
      <c r="LIM50" s="68"/>
      <c r="LIN50" s="83"/>
      <c r="LIO50" s="83"/>
      <c r="LIP50" s="80"/>
      <c r="LIQ50" s="70"/>
      <c r="LIR50" s="70"/>
      <c r="LIS50" s="25"/>
      <c r="LIT50" s="26"/>
      <c r="LIU50" s="26"/>
      <c r="LIV50" s="67"/>
      <c r="LIW50" s="11"/>
      <c r="LIX50" s="11"/>
      <c r="LIY50" s="68"/>
      <c r="LIZ50" s="83"/>
      <c r="LJA50" s="83"/>
      <c r="LJB50" s="80"/>
      <c r="LJC50" s="70"/>
      <c r="LJD50" s="70"/>
      <c r="LJE50" s="25"/>
      <c r="LJF50" s="26"/>
      <c r="LJG50" s="26"/>
      <c r="LJH50" s="67"/>
      <c r="LJI50" s="11"/>
      <c r="LJJ50" s="11"/>
      <c r="LJK50" s="68"/>
      <c r="LJL50" s="83"/>
      <c r="LJM50" s="83"/>
      <c r="LJN50" s="80"/>
      <c r="LJO50" s="70"/>
      <c r="LJP50" s="70"/>
      <c r="LJQ50" s="25"/>
      <c r="LJR50" s="26"/>
      <c r="LJS50" s="26"/>
      <c r="LJT50" s="67"/>
      <c r="LJU50" s="11"/>
      <c r="LJV50" s="11"/>
      <c r="LJW50" s="68"/>
      <c r="LJX50" s="83"/>
      <c r="LJY50" s="83"/>
      <c r="LJZ50" s="80"/>
      <c r="LKA50" s="70"/>
      <c r="LKB50" s="70"/>
      <c r="LKC50" s="25"/>
      <c r="LKD50" s="26"/>
      <c r="LKE50" s="26"/>
      <c r="LKF50" s="67"/>
      <c r="LKG50" s="11"/>
      <c r="LKH50" s="11"/>
      <c r="LKI50" s="68"/>
      <c r="LKJ50" s="83"/>
      <c r="LKK50" s="83"/>
      <c r="LKL50" s="80"/>
      <c r="LKM50" s="70"/>
      <c r="LKN50" s="70"/>
      <c r="LKO50" s="25"/>
      <c r="LKP50" s="26"/>
      <c r="LKQ50" s="26"/>
      <c r="LKR50" s="67"/>
      <c r="LKS50" s="11"/>
      <c r="LKT50" s="11"/>
      <c r="LKU50" s="68"/>
      <c r="LKV50" s="83"/>
      <c r="LKW50" s="83"/>
      <c r="LKX50" s="80"/>
      <c r="LKY50" s="70"/>
      <c r="LKZ50" s="70"/>
      <c r="LLA50" s="25"/>
      <c r="LLB50" s="26"/>
      <c r="LLC50" s="26"/>
      <c r="LLD50" s="67"/>
      <c r="LLE50" s="11"/>
      <c r="LLF50" s="11"/>
      <c r="LLG50" s="68"/>
      <c r="LLH50" s="83"/>
      <c r="LLI50" s="83"/>
      <c r="LLJ50" s="80"/>
      <c r="LLK50" s="70"/>
      <c r="LLL50" s="70"/>
      <c r="LLM50" s="25"/>
      <c r="LLN50" s="26"/>
      <c r="LLO50" s="26"/>
      <c r="LLP50" s="67"/>
      <c r="LLQ50" s="11"/>
      <c r="LLR50" s="11"/>
      <c r="LLS50" s="68"/>
      <c r="LLT50" s="83"/>
      <c r="LLU50" s="83"/>
      <c r="LLV50" s="80"/>
      <c r="LLW50" s="70"/>
      <c r="LLX50" s="70"/>
      <c r="LLY50" s="25"/>
      <c r="LLZ50" s="26"/>
      <c r="LMA50" s="26"/>
      <c r="LMB50" s="67"/>
      <c r="LMC50" s="11"/>
      <c r="LMD50" s="11"/>
      <c r="LME50" s="68"/>
      <c r="LMF50" s="83"/>
      <c r="LMG50" s="83"/>
      <c r="LMH50" s="80"/>
      <c r="LMI50" s="70"/>
      <c r="LMJ50" s="70"/>
      <c r="LMK50" s="25"/>
      <c r="LML50" s="26"/>
      <c r="LMM50" s="26"/>
      <c r="LMN50" s="67"/>
      <c r="LMO50" s="11"/>
      <c r="LMP50" s="11"/>
      <c r="LMQ50" s="68"/>
      <c r="LMR50" s="83"/>
      <c r="LMS50" s="83"/>
      <c r="LMT50" s="80"/>
      <c r="LMU50" s="70"/>
      <c r="LMV50" s="70"/>
      <c r="LMW50" s="25"/>
      <c r="LMX50" s="26"/>
      <c r="LMY50" s="26"/>
      <c r="LMZ50" s="67"/>
      <c r="LNA50" s="11"/>
      <c r="LNB50" s="11"/>
      <c r="LNC50" s="68"/>
      <c r="LND50" s="83"/>
      <c r="LNE50" s="83"/>
      <c r="LNF50" s="80"/>
      <c r="LNG50" s="70"/>
      <c r="LNH50" s="70"/>
      <c r="LNI50" s="25"/>
      <c r="LNJ50" s="26"/>
      <c r="LNK50" s="26"/>
      <c r="LNL50" s="67"/>
      <c r="LNM50" s="11"/>
      <c r="LNN50" s="11"/>
      <c r="LNO50" s="68"/>
      <c r="LNP50" s="83"/>
      <c r="LNQ50" s="83"/>
      <c r="LNR50" s="80"/>
      <c r="LNS50" s="70"/>
      <c r="LNT50" s="70"/>
      <c r="LNU50" s="25"/>
      <c r="LNV50" s="26"/>
      <c r="LNW50" s="26"/>
      <c r="LNX50" s="67"/>
      <c r="LNY50" s="11"/>
      <c r="LNZ50" s="11"/>
      <c r="LOA50" s="68"/>
      <c r="LOB50" s="83"/>
      <c r="LOC50" s="83"/>
      <c r="LOD50" s="80"/>
      <c r="LOE50" s="70"/>
      <c r="LOF50" s="70"/>
      <c r="LOG50" s="25"/>
      <c r="LOH50" s="26"/>
      <c r="LOI50" s="26"/>
      <c r="LOJ50" s="67"/>
      <c r="LOK50" s="11"/>
      <c r="LOL50" s="11"/>
      <c r="LOM50" s="68"/>
      <c r="LON50" s="83"/>
      <c r="LOO50" s="83"/>
      <c r="LOP50" s="80"/>
      <c r="LOQ50" s="70"/>
      <c r="LOR50" s="70"/>
      <c r="LOS50" s="25"/>
      <c r="LOT50" s="26"/>
      <c r="LOU50" s="26"/>
      <c r="LOV50" s="67"/>
      <c r="LOW50" s="11"/>
      <c r="LOX50" s="11"/>
      <c r="LOY50" s="68"/>
      <c r="LOZ50" s="83"/>
      <c r="LPA50" s="83"/>
      <c r="LPB50" s="80"/>
      <c r="LPC50" s="70"/>
      <c r="LPD50" s="70"/>
      <c r="LPE50" s="25"/>
      <c r="LPF50" s="26"/>
      <c r="LPG50" s="26"/>
      <c r="LPH50" s="67"/>
      <c r="LPI50" s="11"/>
      <c r="LPJ50" s="11"/>
      <c r="LPK50" s="68"/>
      <c r="LPL50" s="83"/>
      <c r="LPM50" s="83"/>
      <c r="LPN50" s="80"/>
      <c r="LPO50" s="70"/>
      <c r="LPP50" s="70"/>
      <c r="LPQ50" s="25"/>
      <c r="LPR50" s="26"/>
      <c r="LPS50" s="26"/>
      <c r="LPT50" s="67"/>
      <c r="LPU50" s="11"/>
      <c r="LPV50" s="11"/>
      <c r="LPW50" s="68"/>
      <c r="LPX50" s="83"/>
      <c r="LPY50" s="83"/>
      <c r="LPZ50" s="80"/>
      <c r="LQA50" s="70"/>
      <c r="LQB50" s="70"/>
      <c r="LQC50" s="25"/>
      <c r="LQD50" s="26"/>
      <c r="LQE50" s="26"/>
      <c r="LQF50" s="67"/>
      <c r="LQG50" s="11"/>
      <c r="LQH50" s="11"/>
      <c r="LQI50" s="68"/>
      <c r="LQJ50" s="83"/>
      <c r="LQK50" s="83"/>
      <c r="LQL50" s="80"/>
      <c r="LQM50" s="70"/>
      <c r="LQN50" s="70"/>
      <c r="LQO50" s="25"/>
      <c r="LQP50" s="26"/>
      <c r="LQQ50" s="26"/>
      <c r="LQR50" s="67"/>
      <c r="LQS50" s="11"/>
      <c r="LQT50" s="11"/>
      <c r="LQU50" s="68"/>
      <c r="LQV50" s="83"/>
      <c r="LQW50" s="83"/>
      <c r="LQX50" s="80"/>
      <c r="LQY50" s="70"/>
      <c r="LQZ50" s="70"/>
      <c r="LRA50" s="25"/>
      <c r="LRB50" s="26"/>
      <c r="LRC50" s="26"/>
      <c r="LRD50" s="67"/>
      <c r="LRE50" s="11"/>
      <c r="LRF50" s="11"/>
      <c r="LRG50" s="68"/>
      <c r="LRH50" s="83"/>
      <c r="LRI50" s="83"/>
      <c r="LRJ50" s="80"/>
      <c r="LRK50" s="70"/>
      <c r="LRL50" s="70"/>
      <c r="LRM50" s="25"/>
      <c r="LRN50" s="26"/>
      <c r="LRO50" s="26"/>
      <c r="LRP50" s="67"/>
      <c r="LRQ50" s="11"/>
      <c r="LRR50" s="11"/>
      <c r="LRS50" s="68"/>
      <c r="LRT50" s="83"/>
      <c r="LRU50" s="83"/>
      <c r="LRV50" s="80"/>
      <c r="LRW50" s="70"/>
      <c r="LRX50" s="70"/>
      <c r="LRY50" s="25"/>
      <c r="LRZ50" s="26"/>
      <c r="LSA50" s="26"/>
      <c r="LSB50" s="67"/>
      <c r="LSC50" s="11"/>
      <c r="LSD50" s="11"/>
      <c r="LSE50" s="68"/>
      <c r="LSF50" s="83"/>
      <c r="LSG50" s="83"/>
      <c r="LSH50" s="80"/>
      <c r="LSI50" s="70"/>
      <c r="LSJ50" s="70"/>
      <c r="LSK50" s="25"/>
      <c r="LSL50" s="26"/>
      <c r="LSM50" s="26"/>
      <c r="LSN50" s="67"/>
      <c r="LSO50" s="11"/>
      <c r="LSP50" s="11"/>
      <c r="LSQ50" s="68"/>
      <c r="LSR50" s="83"/>
      <c r="LSS50" s="83"/>
      <c r="LST50" s="80"/>
      <c r="LSU50" s="70"/>
      <c r="LSV50" s="70"/>
      <c r="LSW50" s="25"/>
      <c r="LSX50" s="26"/>
      <c r="LSY50" s="26"/>
      <c r="LSZ50" s="67"/>
      <c r="LTA50" s="11"/>
      <c r="LTB50" s="11"/>
      <c r="LTC50" s="68"/>
      <c r="LTD50" s="83"/>
      <c r="LTE50" s="83"/>
      <c r="LTF50" s="80"/>
      <c r="LTG50" s="70"/>
      <c r="LTH50" s="70"/>
      <c r="LTI50" s="25"/>
      <c r="LTJ50" s="26"/>
      <c r="LTK50" s="26"/>
      <c r="LTL50" s="67"/>
      <c r="LTM50" s="11"/>
      <c r="LTN50" s="11"/>
      <c r="LTO50" s="68"/>
      <c r="LTP50" s="83"/>
      <c r="LTQ50" s="83"/>
      <c r="LTR50" s="80"/>
      <c r="LTS50" s="70"/>
      <c r="LTT50" s="70"/>
      <c r="LTU50" s="25"/>
      <c r="LTV50" s="26"/>
      <c r="LTW50" s="26"/>
      <c r="LTX50" s="67"/>
      <c r="LTY50" s="11"/>
      <c r="LTZ50" s="11"/>
      <c r="LUA50" s="68"/>
      <c r="LUB50" s="83"/>
      <c r="LUC50" s="83"/>
      <c r="LUD50" s="80"/>
      <c r="LUE50" s="70"/>
      <c r="LUF50" s="70"/>
      <c r="LUG50" s="25"/>
      <c r="LUH50" s="26"/>
      <c r="LUI50" s="26"/>
      <c r="LUJ50" s="67"/>
      <c r="LUK50" s="11"/>
      <c r="LUL50" s="11"/>
      <c r="LUM50" s="68"/>
      <c r="LUN50" s="83"/>
      <c r="LUO50" s="83"/>
      <c r="LUP50" s="80"/>
      <c r="LUQ50" s="70"/>
      <c r="LUR50" s="70"/>
      <c r="LUS50" s="25"/>
      <c r="LUT50" s="26"/>
      <c r="LUU50" s="26"/>
      <c r="LUV50" s="67"/>
      <c r="LUW50" s="11"/>
      <c r="LUX50" s="11"/>
      <c r="LUY50" s="68"/>
      <c r="LUZ50" s="83"/>
      <c r="LVA50" s="83"/>
      <c r="LVB50" s="80"/>
      <c r="LVC50" s="70"/>
      <c r="LVD50" s="70"/>
      <c r="LVE50" s="25"/>
      <c r="LVF50" s="26"/>
      <c r="LVG50" s="26"/>
      <c r="LVH50" s="67"/>
      <c r="LVI50" s="11"/>
      <c r="LVJ50" s="11"/>
      <c r="LVK50" s="68"/>
      <c r="LVL50" s="83"/>
      <c r="LVM50" s="83"/>
      <c r="LVN50" s="80"/>
      <c r="LVO50" s="70"/>
      <c r="LVP50" s="70"/>
      <c r="LVQ50" s="25"/>
      <c r="LVR50" s="26"/>
      <c r="LVS50" s="26"/>
      <c r="LVT50" s="67"/>
      <c r="LVU50" s="11"/>
      <c r="LVV50" s="11"/>
      <c r="LVW50" s="68"/>
      <c r="LVX50" s="83"/>
      <c r="LVY50" s="83"/>
      <c r="LVZ50" s="80"/>
      <c r="LWA50" s="70"/>
      <c r="LWB50" s="70"/>
      <c r="LWC50" s="25"/>
      <c r="LWD50" s="26"/>
      <c r="LWE50" s="26"/>
      <c r="LWF50" s="67"/>
      <c r="LWG50" s="11"/>
      <c r="LWH50" s="11"/>
      <c r="LWI50" s="68"/>
      <c r="LWJ50" s="83"/>
      <c r="LWK50" s="83"/>
      <c r="LWL50" s="80"/>
      <c r="LWM50" s="70"/>
      <c r="LWN50" s="70"/>
      <c r="LWO50" s="25"/>
      <c r="LWP50" s="26"/>
      <c r="LWQ50" s="26"/>
      <c r="LWR50" s="67"/>
      <c r="LWS50" s="11"/>
      <c r="LWT50" s="11"/>
      <c r="LWU50" s="68"/>
      <c r="LWV50" s="83"/>
      <c r="LWW50" s="83"/>
      <c r="LWX50" s="80"/>
      <c r="LWY50" s="70"/>
      <c r="LWZ50" s="70"/>
      <c r="LXA50" s="25"/>
      <c r="LXB50" s="26"/>
      <c r="LXC50" s="26"/>
      <c r="LXD50" s="67"/>
      <c r="LXE50" s="11"/>
      <c r="LXF50" s="11"/>
      <c r="LXG50" s="68"/>
      <c r="LXH50" s="83"/>
      <c r="LXI50" s="83"/>
      <c r="LXJ50" s="80"/>
      <c r="LXK50" s="70"/>
      <c r="LXL50" s="70"/>
      <c r="LXM50" s="25"/>
      <c r="LXN50" s="26"/>
      <c r="LXO50" s="26"/>
      <c r="LXP50" s="67"/>
      <c r="LXQ50" s="11"/>
      <c r="LXR50" s="11"/>
      <c r="LXS50" s="68"/>
      <c r="LXT50" s="83"/>
      <c r="LXU50" s="83"/>
      <c r="LXV50" s="80"/>
      <c r="LXW50" s="70"/>
      <c r="LXX50" s="70"/>
      <c r="LXY50" s="25"/>
      <c r="LXZ50" s="26"/>
      <c r="LYA50" s="26"/>
      <c r="LYB50" s="67"/>
      <c r="LYC50" s="11"/>
      <c r="LYD50" s="11"/>
      <c r="LYE50" s="68"/>
      <c r="LYF50" s="83"/>
      <c r="LYG50" s="83"/>
      <c r="LYH50" s="80"/>
      <c r="LYI50" s="70"/>
      <c r="LYJ50" s="70"/>
      <c r="LYK50" s="25"/>
      <c r="LYL50" s="26"/>
      <c r="LYM50" s="26"/>
      <c r="LYN50" s="67"/>
      <c r="LYO50" s="11"/>
      <c r="LYP50" s="11"/>
      <c r="LYQ50" s="68"/>
      <c r="LYR50" s="83"/>
      <c r="LYS50" s="83"/>
      <c r="LYT50" s="80"/>
      <c r="LYU50" s="70"/>
      <c r="LYV50" s="70"/>
      <c r="LYW50" s="25"/>
      <c r="LYX50" s="26"/>
      <c r="LYY50" s="26"/>
      <c r="LYZ50" s="67"/>
      <c r="LZA50" s="11"/>
      <c r="LZB50" s="11"/>
      <c r="LZC50" s="68"/>
      <c r="LZD50" s="83"/>
      <c r="LZE50" s="83"/>
      <c r="LZF50" s="80"/>
      <c r="LZG50" s="70"/>
      <c r="LZH50" s="70"/>
      <c r="LZI50" s="25"/>
      <c r="LZJ50" s="26"/>
      <c r="LZK50" s="26"/>
      <c r="LZL50" s="67"/>
      <c r="LZM50" s="11"/>
      <c r="LZN50" s="11"/>
      <c r="LZO50" s="68"/>
      <c r="LZP50" s="83"/>
      <c r="LZQ50" s="83"/>
      <c r="LZR50" s="80"/>
      <c r="LZS50" s="70"/>
      <c r="LZT50" s="70"/>
      <c r="LZU50" s="25"/>
      <c r="LZV50" s="26"/>
      <c r="LZW50" s="26"/>
      <c r="LZX50" s="67"/>
      <c r="LZY50" s="11"/>
      <c r="LZZ50" s="11"/>
      <c r="MAA50" s="68"/>
      <c r="MAB50" s="83"/>
      <c r="MAC50" s="83"/>
      <c r="MAD50" s="80"/>
      <c r="MAE50" s="70"/>
      <c r="MAF50" s="70"/>
      <c r="MAG50" s="25"/>
      <c r="MAH50" s="26"/>
      <c r="MAI50" s="26"/>
      <c r="MAJ50" s="67"/>
      <c r="MAK50" s="11"/>
      <c r="MAL50" s="11"/>
      <c r="MAM50" s="68"/>
      <c r="MAN50" s="83"/>
      <c r="MAO50" s="83"/>
      <c r="MAP50" s="80"/>
      <c r="MAQ50" s="70"/>
      <c r="MAR50" s="70"/>
      <c r="MAS50" s="25"/>
      <c r="MAT50" s="26"/>
      <c r="MAU50" s="26"/>
      <c r="MAV50" s="67"/>
      <c r="MAW50" s="11"/>
      <c r="MAX50" s="11"/>
      <c r="MAY50" s="68"/>
      <c r="MAZ50" s="83"/>
      <c r="MBA50" s="83"/>
      <c r="MBB50" s="80"/>
      <c r="MBC50" s="70"/>
      <c r="MBD50" s="70"/>
      <c r="MBE50" s="25"/>
      <c r="MBF50" s="26"/>
      <c r="MBG50" s="26"/>
      <c r="MBH50" s="67"/>
      <c r="MBI50" s="11"/>
      <c r="MBJ50" s="11"/>
      <c r="MBK50" s="68"/>
      <c r="MBL50" s="83"/>
      <c r="MBM50" s="83"/>
      <c r="MBN50" s="80"/>
      <c r="MBO50" s="70"/>
      <c r="MBP50" s="70"/>
      <c r="MBQ50" s="25"/>
      <c r="MBR50" s="26"/>
      <c r="MBS50" s="26"/>
      <c r="MBT50" s="67"/>
      <c r="MBU50" s="11"/>
      <c r="MBV50" s="11"/>
      <c r="MBW50" s="68"/>
      <c r="MBX50" s="83"/>
      <c r="MBY50" s="83"/>
      <c r="MBZ50" s="80"/>
      <c r="MCA50" s="70"/>
      <c r="MCB50" s="70"/>
      <c r="MCC50" s="25"/>
      <c r="MCD50" s="26"/>
      <c r="MCE50" s="26"/>
      <c r="MCF50" s="67"/>
      <c r="MCG50" s="11"/>
      <c r="MCH50" s="11"/>
      <c r="MCI50" s="68"/>
      <c r="MCJ50" s="83"/>
      <c r="MCK50" s="83"/>
      <c r="MCL50" s="80"/>
      <c r="MCM50" s="70"/>
      <c r="MCN50" s="70"/>
      <c r="MCO50" s="25"/>
      <c r="MCP50" s="26"/>
      <c r="MCQ50" s="26"/>
      <c r="MCR50" s="67"/>
      <c r="MCS50" s="11"/>
      <c r="MCT50" s="11"/>
      <c r="MCU50" s="68"/>
      <c r="MCV50" s="83"/>
      <c r="MCW50" s="83"/>
      <c r="MCX50" s="80"/>
      <c r="MCY50" s="70"/>
      <c r="MCZ50" s="70"/>
      <c r="MDA50" s="25"/>
      <c r="MDB50" s="26"/>
      <c r="MDC50" s="26"/>
      <c r="MDD50" s="67"/>
      <c r="MDE50" s="11"/>
      <c r="MDF50" s="11"/>
      <c r="MDG50" s="68"/>
      <c r="MDH50" s="83"/>
      <c r="MDI50" s="83"/>
      <c r="MDJ50" s="80"/>
      <c r="MDK50" s="70"/>
      <c r="MDL50" s="70"/>
      <c r="MDM50" s="25"/>
      <c r="MDN50" s="26"/>
      <c r="MDO50" s="26"/>
      <c r="MDP50" s="67"/>
      <c r="MDQ50" s="11"/>
      <c r="MDR50" s="11"/>
      <c r="MDS50" s="68"/>
      <c r="MDT50" s="83"/>
      <c r="MDU50" s="83"/>
      <c r="MDV50" s="80"/>
      <c r="MDW50" s="70"/>
      <c r="MDX50" s="70"/>
      <c r="MDY50" s="25"/>
      <c r="MDZ50" s="26"/>
      <c r="MEA50" s="26"/>
      <c r="MEB50" s="67"/>
      <c r="MEC50" s="11"/>
      <c r="MED50" s="11"/>
      <c r="MEE50" s="68"/>
      <c r="MEF50" s="83"/>
      <c r="MEG50" s="83"/>
      <c r="MEH50" s="80"/>
      <c r="MEI50" s="70"/>
      <c r="MEJ50" s="70"/>
      <c r="MEK50" s="25"/>
      <c r="MEL50" s="26"/>
      <c r="MEM50" s="26"/>
      <c r="MEN50" s="67"/>
      <c r="MEO50" s="11"/>
      <c r="MEP50" s="11"/>
      <c r="MEQ50" s="68"/>
      <c r="MER50" s="83"/>
      <c r="MES50" s="83"/>
      <c r="MET50" s="80"/>
      <c r="MEU50" s="70"/>
      <c r="MEV50" s="70"/>
      <c r="MEW50" s="25"/>
      <c r="MEX50" s="26"/>
      <c r="MEY50" s="26"/>
      <c r="MEZ50" s="67"/>
      <c r="MFA50" s="11"/>
      <c r="MFB50" s="11"/>
      <c r="MFC50" s="68"/>
      <c r="MFD50" s="83"/>
      <c r="MFE50" s="83"/>
      <c r="MFF50" s="80"/>
      <c r="MFG50" s="70"/>
      <c r="MFH50" s="70"/>
      <c r="MFI50" s="25"/>
      <c r="MFJ50" s="26"/>
      <c r="MFK50" s="26"/>
      <c r="MFL50" s="67"/>
      <c r="MFM50" s="11"/>
      <c r="MFN50" s="11"/>
      <c r="MFO50" s="68"/>
      <c r="MFP50" s="83"/>
      <c r="MFQ50" s="83"/>
      <c r="MFR50" s="80"/>
      <c r="MFS50" s="70"/>
      <c r="MFT50" s="70"/>
      <c r="MFU50" s="25"/>
      <c r="MFV50" s="26"/>
      <c r="MFW50" s="26"/>
      <c r="MFX50" s="67"/>
      <c r="MFY50" s="11"/>
      <c r="MFZ50" s="11"/>
      <c r="MGA50" s="68"/>
      <c r="MGB50" s="83"/>
      <c r="MGC50" s="83"/>
      <c r="MGD50" s="80"/>
      <c r="MGE50" s="70"/>
      <c r="MGF50" s="70"/>
      <c r="MGG50" s="25"/>
      <c r="MGH50" s="26"/>
      <c r="MGI50" s="26"/>
      <c r="MGJ50" s="67"/>
      <c r="MGK50" s="11"/>
      <c r="MGL50" s="11"/>
      <c r="MGM50" s="68"/>
      <c r="MGN50" s="83"/>
      <c r="MGO50" s="83"/>
      <c r="MGP50" s="80"/>
      <c r="MGQ50" s="70"/>
      <c r="MGR50" s="70"/>
      <c r="MGS50" s="25"/>
      <c r="MGT50" s="26"/>
      <c r="MGU50" s="26"/>
      <c r="MGV50" s="67"/>
      <c r="MGW50" s="11"/>
      <c r="MGX50" s="11"/>
      <c r="MGY50" s="68"/>
      <c r="MGZ50" s="83"/>
      <c r="MHA50" s="83"/>
      <c r="MHB50" s="80"/>
      <c r="MHC50" s="70"/>
      <c r="MHD50" s="70"/>
      <c r="MHE50" s="25"/>
      <c r="MHF50" s="26"/>
      <c r="MHG50" s="26"/>
      <c r="MHH50" s="67"/>
      <c r="MHI50" s="11"/>
      <c r="MHJ50" s="11"/>
      <c r="MHK50" s="68"/>
      <c r="MHL50" s="83"/>
      <c r="MHM50" s="83"/>
      <c r="MHN50" s="80"/>
      <c r="MHO50" s="70"/>
      <c r="MHP50" s="70"/>
      <c r="MHQ50" s="25"/>
      <c r="MHR50" s="26"/>
      <c r="MHS50" s="26"/>
      <c r="MHT50" s="67"/>
      <c r="MHU50" s="11"/>
      <c r="MHV50" s="11"/>
      <c r="MHW50" s="68"/>
      <c r="MHX50" s="83"/>
      <c r="MHY50" s="83"/>
      <c r="MHZ50" s="80"/>
      <c r="MIA50" s="70"/>
      <c r="MIB50" s="70"/>
      <c r="MIC50" s="25"/>
      <c r="MID50" s="26"/>
      <c r="MIE50" s="26"/>
      <c r="MIF50" s="67"/>
      <c r="MIG50" s="11"/>
      <c r="MIH50" s="11"/>
      <c r="MII50" s="68"/>
      <c r="MIJ50" s="83"/>
      <c r="MIK50" s="83"/>
      <c r="MIL50" s="80"/>
      <c r="MIM50" s="70"/>
      <c r="MIN50" s="70"/>
      <c r="MIO50" s="25"/>
      <c r="MIP50" s="26"/>
      <c r="MIQ50" s="26"/>
      <c r="MIR50" s="67"/>
      <c r="MIS50" s="11"/>
      <c r="MIT50" s="11"/>
      <c r="MIU50" s="68"/>
      <c r="MIV50" s="83"/>
      <c r="MIW50" s="83"/>
      <c r="MIX50" s="80"/>
      <c r="MIY50" s="70"/>
      <c r="MIZ50" s="70"/>
      <c r="MJA50" s="25"/>
      <c r="MJB50" s="26"/>
      <c r="MJC50" s="26"/>
      <c r="MJD50" s="67"/>
      <c r="MJE50" s="11"/>
      <c r="MJF50" s="11"/>
      <c r="MJG50" s="68"/>
      <c r="MJH50" s="83"/>
      <c r="MJI50" s="83"/>
      <c r="MJJ50" s="80"/>
      <c r="MJK50" s="70"/>
      <c r="MJL50" s="70"/>
      <c r="MJM50" s="25"/>
      <c r="MJN50" s="26"/>
      <c r="MJO50" s="26"/>
      <c r="MJP50" s="67"/>
      <c r="MJQ50" s="11"/>
      <c r="MJR50" s="11"/>
      <c r="MJS50" s="68"/>
      <c r="MJT50" s="83"/>
      <c r="MJU50" s="83"/>
      <c r="MJV50" s="80"/>
      <c r="MJW50" s="70"/>
      <c r="MJX50" s="70"/>
      <c r="MJY50" s="25"/>
      <c r="MJZ50" s="26"/>
      <c r="MKA50" s="26"/>
      <c r="MKB50" s="67"/>
      <c r="MKC50" s="11"/>
      <c r="MKD50" s="11"/>
      <c r="MKE50" s="68"/>
      <c r="MKF50" s="83"/>
      <c r="MKG50" s="83"/>
      <c r="MKH50" s="80"/>
      <c r="MKI50" s="70"/>
      <c r="MKJ50" s="70"/>
      <c r="MKK50" s="25"/>
      <c r="MKL50" s="26"/>
      <c r="MKM50" s="26"/>
      <c r="MKN50" s="67"/>
      <c r="MKO50" s="11"/>
      <c r="MKP50" s="11"/>
      <c r="MKQ50" s="68"/>
      <c r="MKR50" s="83"/>
      <c r="MKS50" s="83"/>
      <c r="MKT50" s="80"/>
      <c r="MKU50" s="70"/>
      <c r="MKV50" s="70"/>
      <c r="MKW50" s="25"/>
      <c r="MKX50" s="26"/>
      <c r="MKY50" s="26"/>
      <c r="MKZ50" s="67"/>
      <c r="MLA50" s="11"/>
      <c r="MLB50" s="11"/>
      <c r="MLC50" s="68"/>
      <c r="MLD50" s="83"/>
      <c r="MLE50" s="83"/>
      <c r="MLF50" s="80"/>
      <c r="MLG50" s="70"/>
      <c r="MLH50" s="70"/>
      <c r="MLI50" s="25"/>
      <c r="MLJ50" s="26"/>
      <c r="MLK50" s="26"/>
      <c r="MLL50" s="67"/>
      <c r="MLM50" s="11"/>
      <c r="MLN50" s="11"/>
      <c r="MLO50" s="68"/>
      <c r="MLP50" s="83"/>
      <c r="MLQ50" s="83"/>
      <c r="MLR50" s="80"/>
      <c r="MLS50" s="70"/>
      <c r="MLT50" s="70"/>
      <c r="MLU50" s="25"/>
      <c r="MLV50" s="26"/>
      <c r="MLW50" s="26"/>
      <c r="MLX50" s="67"/>
      <c r="MLY50" s="11"/>
      <c r="MLZ50" s="11"/>
      <c r="MMA50" s="68"/>
      <c r="MMB50" s="83"/>
      <c r="MMC50" s="83"/>
      <c r="MMD50" s="80"/>
      <c r="MME50" s="70"/>
      <c r="MMF50" s="70"/>
      <c r="MMG50" s="25"/>
      <c r="MMH50" s="26"/>
      <c r="MMI50" s="26"/>
      <c r="MMJ50" s="67"/>
      <c r="MMK50" s="11"/>
      <c r="MML50" s="11"/>
      <c r="MMM50" s="68"/>
      <c r="MMN50" s="83"/>
      <c r="MMO50" s="83"/>
      <c r="MMP50" s="80"/>
      <c r="MMQ50" s="70"/>
      <c r="MMR50" s="70"/>
      <c r="MMS50" s="25"/>
      <c r="MMT50" s="26"/>
      <c r="MMU50" s="26"/>
      <c r="MMV50" s="67"/>
      <c r="MMW50" s="11"/>
      <c r="MMX50" s="11"/>
      <c r="MMY50" s="68"/>
      <c r="MMZ50" s="83"/>
      <c r="MNA50" s="83"/>
      <c r="MNB50" s="80"/>
      <c r="MNC50" s="70"/>
      <c r="MND50" s="70"/>
      <c r="MNE50" s="25"/>
      <c r="MNF50" s="26"/>
      <c r="MNG50" s="26"/>
      <c r="MNH50" s="67"/>
      <c r="MNI50" s="11"/>
      <c r="MNJ50" s="11"/>
      <c r="MNK50" s="68"/>
      <c r="MNL50" s="83"/>
      <c r="MNM50" s="83"/>
      <c r="MNN50" s="80"/>
      <c r="MNO50" s="70"/>
      <c r="MNP50" s="70"/>
      <c r="MNQ50" s="25"/>
      <c r="MNR50" s="26"/>
      <c r="MNS50" s="26"/>
      <c r="MNT50" s="67"/>
      <c r="MNU50" s="11"/>
      <c r="MNV50" s="11"/>
      <c r="MNW50" s="68"/>
      <c r="MNX50" s="83"/>
      <c r="MNY50" s="83"/>
      <c r="MNZ50" s="80"/>
      <c r="MOA50" s="70"/>
      <c r="MOB50" s="70"/>
      <c r="MOC50" s="25"/>
      <c r="MOD50" s="26"/>
      <c r="MOE50" s="26"/>
      <c r="MOF50" s="67"/>
      <c r="MOG50" s="11"/>
      <c r="MOH50" s="11"/>
      <c r="MOI50" s="68"/>
      <c r="MOJ50" s="83"/>
      <c r="MOK50" s="83"/>
      <c r="MOL50" s="80"/>
      <c r="MOM50" s="70"/>
      <c r="MON50" s="70"/>
      <c r="MOO50" s="25"/>
      <c r="MOP50" s="26"/>
      <c r="MOQ50" s="26"/>
      <c r="MOR50" s="67"/>
      <c r="MOS50" s="11"/>
      <c r="MOT50" s="11"/>
      <c r="MOU50" s="68"/>
      <c r="MOV50" s="83"/>
      <c r="MOW50" s="83"/>
      <c r="MOX50" s="80"/>
      <c r="MOY50" s="70"/>
      <c r="MOZ50" s="70"/>
      <c r="MPA50" s="25"/>
      <c r="MPB50" s="26"/>
      <c r="MPC50" s="26"/>
      <c r="MPD50" s="67"/>
      <c r="MPE50" s="11"/>
      <c r="MPF50" s="11"/>
      <c r="MPG50" s="68"/>
      <c r="MPH50" s="83"/>
      <c r="MPI50" s="83"/>
      <c r="MPJ50" s="80"/>
      <c r="MPK50" s="70"/>
      <c r="MPL50" s="70"/>
      <c r="MPM50" s="25"/>
      <c r="MPN50" s="26"/>
      <c r="MPO50" s="26"/>
      <c r="MPP50" s="67"/>
      <c r="MPQ50" s="11"/>
      <c r="MPR50" s="11"/>
      <c r="MPS50" s="68"/>
      <c r="MPT50" s="83"/>
      <c r="MPU50" s="83"/>
      <c r="MPV50" s="80"/>
      <c r="MPW50" s="70"/>
      <c r="MPX50" s="70"/>
      <c r="MPY50" s="25"/>
      <c r="MPZ50" s="26"/>
      <c r="MQA50" s="26"/>
      <c r="MQB50" s="67"/>
      <c r="MQC50" s="11"/>
      <c r="MQD50" s="11"/>
      <c r="MQE50" s="68"/>
      <c r="MQF50" s="83"/>
      <c r="MQG50" s="83"/>
      <c r="MQH50" s="80"/>
      <c r="MQI50" s="70"/>
      <c r="MQJ50" s="70"/>
      <c r="MQK50" s="25"/>
      <c r="MQL50" s="26"/>
      <c r="MQM50" s="26"/>
      <c r="MQN50" s="67"/>
      <c r="MQO50" s="11"/>
      <c r="MQP50" s="11"/>
      <c r="MQQ50" s="68"/>
      <c r="MQR50" s="83"/>
      <c r="MQS50" s="83"/>
      <c r="MQT50" s="80"/>
      <c r="MQU50" s="70"/>
      <c r="MQV50" s="70"/>
      <c r="MQW50" s="25"/>
      <c r="MQX50" s="26"/>
      <c r="MQY50" s="26"/>
      <c r="MQZ50" s="67"/>
      <c r="MRA50" s="11"/>
      <c r="MRB50" s="11"/>
      <c r="MRC50" s="68"/>
      <c r="MRD50" s="83"/>
      <c r="MRE50" s="83"/>
      <c r="MRF50" s="80"/>
      <c r="MRG50" s="70"/>
      <c r="MRH50" s="70"/>
      <c r="MRI50" s="25"/>
      <c r="MRJ50" s="26"/>
      <c r="MRK50" s="26"/>
      <c r="MRL50" s="67"/>
      <c r="MRM50" s="11"/>
      <c r="MRN50" s="11"/>
      <c r="MRO50" s="68"/>
      <c r="MRP50" s="83"/>
      <c r="MRQ50" s="83"/>
      <c r="MRR50" s="80"/>
      <c r="MRS50" s="70"/>
      <c r="MRT50" s="70"/>
      <c r="MRU50" s="25"/>
      <c r="MRV50" s="26"/>
      <c r="MRW50" s="26"/>
      <c r="MRX50" s="67"/>
      <c r="MRY50" s="11"/>
      <c r="MRZ50" s="11"/>
      <c r="MSA50" s="68"/>
      <c r="MSB50" s="83"/>
      <c r="MSC50" s="83"/>
      <c r="MSD50" s="80"/>
      <c r="MSE50" s="70"/>
      <c r="MSF50" s="70"/>
      <c r="MSG50" s="25"/>
      <c r="MSH50" s="26"/>
      <c r="MSI50" s="26"/>
      <c r="MSJ50" s="67"/>
      <c r="MSK50" s="11"/>
      <c r="MSL50" s="11"/>
      <c r="MSM50" s="68"/>
      <c r="MSN50" s="83"/>
      <c r="MSO50" s="83"/>
      <c r="MSP50" s="80"/>
      <c r="MSQ50" s="70"/>
      <c r="MSR50" s="70"/>
      <c r="MSS50" s="25"/>
      <c r="MST50" s="26"/>
      <c r="MSU50" s="26"/>
      <c r="MSV50" s="67"/>
      <c r="MSW50" s="11"/>
      <c r="MSX50" s="11"/>
      <c r="MSY50" s="68"/>
      <c r="MSZ50" s="83"/>
      <c r="MTA50" s="83"/>
      <c r="MTB50" s="80"/>
      <c r="MTC50" s="70"/>
      <c r="MTD50" s="70"/>
      <c r="MTE50" s="25"/>
      <c r="MTF50" s="26"/>
      <c r="MTG50" s="26"/>
      <c r="MTH50" s="67"/>
      <c r="MTI50" s="11"/>
      <c r="MTJ50" s="11"/>
      <c r="MTK50" s="68"/>
      <c r="MTL50" s="83"/>
      <c r="MTM50" s="83"/>
      <c r="MTN50" s="80"/>
      <c r="MTO50" s="70"/>
      <c r="MTP50" s="70"/>
      <c r="MTQ50" s="25"/>
      <c r="MTR50" s="26"/>
      <c r="MTS50" s="26"/>
      <c r="MTT50" s="67"/>
      <c r="MTU50" s="11"/>
      <c r="MTV50" s="11"/>
      <c r="MTW50" s="68"/>
      <c r="MTX50" s="83"/>
      <c r="MTY50" s="83"/>
      <c r="MTZ50" s="80"/>
      <c r="MUA50" s="70"/>
      <c r="MUB50" s="70"/>
      <c r="MUC50" s="25"/>
      <c r="MUD50" s="26"/>
      <c r="MUE50" s="26"/>
      <c r="MUF50" s="67"/>
      <c r="MUG50" s="11"/>
      <c r="MUH50" s="11"/>
      <c r="MUI50" s="68"/>
      <c r="MUJ50" s="83"/>
      <c r="MUK50" s="83"/>
      <c r="MUL50" s="80"/>
      <c r="MUM50" s="70"/>
      <c r="MUN50" s="70"/>
      <c r="MUO50" s="25"/>
      <c r="MUP50" s="26"/>
      <c r="MUQ50" s="26"/>
      <c r="MUR50" s="67"/>
      <c r="MUS50" s="11"/>
      <c r="MUT50" s="11"/>
      <c r="MUU50" s="68"/>
      <c r="MUV50" s="83"/>
      <c r="MUW50" s="83"/>
      <c r="MUX50" s="80"/>
      <c r="MUY50" s="70"/>
      <c r="MUZ50" s="70"/>
      <c r="MVA50" s="25"/>
      <c r="MVB50" s="26"/>
      <c r="MVC50" s="26"/>
      <c r="MVD50" s="67"/>
      <c r="MVE50" s="11"/>
      <c r="MVF50" s="11"/>
      <c r="MVG50" s="68"/>
      <c r="MVH50" s="83"/>
      <c r="MVI50" s="83"/>
      <c r="MVJ50" s="80"/>
      <c r="MVK50" s="70"/>
      <c r="MVL50" s="70"/>
      <c r="MVM50" s="25"/>
      <c r="MVN50" s="26"/>
      <c r="MVO50" s="26"/>
      <c r="MVP50" s="67"/>
      <c r="MVQ50" s="11"/>
      <c r="MVR50" s="11"/>
      <c r="MVS50" s="68"/>
      <c r="MVT50" s="83"/>
      <c r="MVU50" s="83"/>
      <c r="MVV50" s="80"/>
      <c r="MVW50" s="70"/>
      <c r="MVX50" s="70"/>
      <c r="MVY50" s="25"/>
      <c r="MVZ50" s="26"/>
      <c r="MWA50" s="26"/>
      <c r="MWB50" s="67"/>
      <c r="MWC50" s="11"/>
      <c r="MWD50" s="11"/>
      <c r="MWE50" s="68"/>
      <c r="MWF50" s="83"/>
      <c r="MWG50" s="83"/>
      <c r="MWH50" s="80"/>
      <c r="MWI50" s="70"/>
      <c r="MWJ50" s="70"/>
      <c r="MWK50" s="25"/>
      <c r="MWL50" s="26"/>
      <c r="MWM50" s="26"/>
      <c r="MWN50" s="67"/>
      <c r="MWO50" s="11"/>
      <c r="MWP50" s="11"/>
      <c r="MWQ50" s="68"/>
      <c r="MWR50" s="83"/>
      <c r="MWS50" s="83"/>
      <c r="MWT50" s="80"/>
      <c r="MWU50" s="70"/>
      <c r="MWV50" s="70"/>
      <c r="MWW50" s="25"/>
      <c r="MWX50" s="26"/>
      <c r="MWY50" s="26"/>
      <c r="MWZ50" s="67"/>
      <c r="MXA50" s="11"/>
      <c r="MXB50" s="11"/>
      <c r="MXC50" s="68"/>
      <c r="MXD50" s="83"/>
      <c r="MXE50" s="83"/>
      <c r="MXF50" s="80"/>
      <c r="MXG50" s="70"/>
      <c r="MXH50" s="70"/>
      <c r="MXI50" s="25"/>
      <c r="MXJ50" s="26"/>
      <c r="MXK50" s="26"/>
      <c r="MXL50" s="67"/>
      <c r="MXM50" s="11"/>
      <c r="MXN50" s="11"/>
      <c r="MXO50" s="68"/>
      <c r="MXP50" s="83"/>
      <c r="MXQ50" s="83"/>
      <c r="MXR50" s="80"/>
      <c r="MXS50" s="70"/>
      <c r="MXT50" s="70"/>
      <c r="MXU50" s="25"/>
      <c r="MXV50" s="26"/>
      <c r="MXW50" s="26"/>
      <c r="MXX50" s="67"/>
      <c r="MXY50" s="11"/>
      <c r="MXZ50" s="11"/>
      <c r="MYA50" s="68"/>
      <c r="MYB50" s="83"/>
      <c r="MYC50" s="83"/>
      <c r="MYD50" s="80"/>
      <c r="MYE50" s="70"/>
      <c r="MYF50" s="70"/>
      <c r="MYG50" s="25"/>
      <c r="MYH50" s="26"/>
      <c r="MYI50" s="26"/>
      <c r="MYJ50" s="67"/>
      <c r="MYK50" s="11"/>
      <c r="MYL50" s="11"/>
      <c r="MYM50" s="68"/>
      <c r="MYN50" s="83"/>
      <c r="MYO50" s="83"/>
      <c r="MYP50" s="80"/>
      <c r="MYQ50" s="70"/>
      <c r="MYR50" s="70"/>
      <c r="MYS50" s="25"/>
      <c r="MYT50" s="26"/>
      <c r="MYU50" s="26"/>
      <c r="MYV50" s="67"/>
      <c r="MYW50" s="11"/>
      <c r="MYX50" s="11"/>
      <c r="MYY50" s="68"/>
      <c r="MYZ50" s="83"/>
      <c r="MZA50" s="83"/>
      <c r="MZB50" s="80"/>
      <c r="MZC50" s="70"/>
      <c r="MZD50" s="70"/>
      <c r="MZE50" s="25"/>
      <c r="MZF50" s="26"/>
      <c r="MZG50" s="26"/>
      <c r="MZH50" s="67"/>
      <c r="MZI50" s="11"/>
      <c r="MZJ50" s="11"/>
      <c r="MZK50" s="68"/>
      <c r="MZL50" s="83"/>
      <c r="MZM50" s="83"/>
      <c r="MZN50" s="80"/>
      <c r="MZO50" s="70"/>
      <c r="MZP50" s="70"/>
      <c r="MZQ50" s="25"/>
      <c r="MZR50" s="26"/>
      <c r="MZS50" s="26"/>
      <c r="MZT50" s="67"/>
      <c r="MZU50" s="11"/>
      <c r="MZV50" s="11"/>
      <c r="MZW50" s="68"/>
      <c r="MZX50" s="83"/>
      <c r="MZY50" s="83"/>
      <c r="MZZ50" s="80"/>
      <c r="NAA50" s="70"/>
      <c r="NAB50" s="70"/>
      <c r="NAC50" s="25"/>
      <c r="NAD50" s="26"/>
      <c r="NAE50" s="26"/>
      <c r="NAF50" s="67"/>
      <c r="NAG50" s="11"/>
      <c r="NAH50" s="11"/>
      <c r="NAI50" s="68"/>
      <c r="NAJ50" s="83"/>
      <c r="NAK50" s="83"/>
      <c r="NAL50" s="80"/>
      <c r="NAM50" s="70"/>
      <c r="NAN50" s="70"/>
      <c r="NAO50" s="25"/>
      <c r="NAP50" s="26"/>
      <c r="NAQ50" s="26"/>
      <c r="NAR50" s="67"/>
      <c r="NAS50" s="11"/>
      <c r="NAT50" s="11"/>
      <c r="NAU50" s="68"/>
      <c r="NAV50" s="83"/>
      <c r="NAW50" s="83"/>
      <c r="NAX50" s="80"/>
      <c r="NAY50" s="70"/>
      <c r="NAZ50" s="70"/>
      <c r="NBA50" s="25"/>
      <c r="NBB50" s="26"/>
      <c r="NBC50" s="26"/>
      <c r="NBD50" s="67"/>
      <c r="NBE50" s="11"/>
      <c r="NBF50" s="11"/>
      <c r="NBG50" s="68"/>
      <c r="NBH50" s="83"/>
      <c r="NBI50" s="83"/>
      <c r="NBJ50" s="80"/>
      <c r="NBK50" s="70"/>
      <c r="NBL50" s="70"/>
      <c r="NBM50" s="25"/>
      <c r="NBN50" s="26"/>
      <c r="NBO50" s="26"/>
      <c r="NBP50" s="67"/>
      <c r="NBQ50" s="11"/>
      <c r="NBR50" s="11"/>
      <c r="NBS50" s="68"/>
      <c r="NBT50" s="83"/>
      <c r="NBU50" s="83"/>
      <c r="NBV50" s="80"/>
      <c r="NBW50" s="70"/>
      <c r="NBX50" s="70"/>
      <c r="NBY50" s="25"/>
      <c r="NBZ50" s="26"/>
      <c r="NCA50" s="26"/>
      <c r="NCB50" s="67"/>
      <c r="NCC50" s="11"/>
      <c r="NCD50" s="11"/>
      <c r="NCE50" s="68"/>
      <c r="NCF50" s="83"/>
      <c r="NCG50" s="83"/>
      <c r="NCH50" s="80"/>
      <c r="NCI50" s="70"/>
      <c r="NCJ50" s="70"/>
      <c r="NCK50" s="25"/>
      <c r="NCL50" s="26"/>
      <c r="NCM50" s="26"/>
      <c r="NCN50" s="67"/>
      <c r="NCO50" s="11"/>
      <c r="NCP50" s="11"/>
      <c r="NCQ50" s="68"/>
      <c r="NCR50" s="83"/>
      <c r="NCS50" s="83"/>
      <c r="NCT50" s="80"/>
      <c r="NCU50" s="70"/>
      <c r="NCV50" s="70"/>
      <c r="NCW50" s="25"/>
      <c r="NCX50" s="26"/>
      <c r="NCY50" s="26"/>
      <c r="NCZ50" s="67"/>
      <c r="NDA50" s="11"/>
      <c r="NDB50" s="11"/>
      <c r="NDC50" s="68"/>
      <c r="NDD50" s="83"/>
      <c r="NDE50" s="83"/>
      <c r="NDF50" s="80"/>
      <c r="NDG50" s="70"/>
      <c r="NDH50" s="70"/>
      <c r="NDI50" s="25"/>
      <c r="NDJ50" s="26"/>
      <c r="NDK50" s="26"/>
      <c r="NDL50" s="67"/>
      <c r="NDM50" s="11"/>
      <c r="NDN50" s="11"/>
      <c r="NDO50" s="68"/>
      <c r="NDP50" s="83"/>
      <c r="NDQ50" s="83"/>
      <c r="NDR50" s="80"/>
      <c r="NDS50" s="70"/>
      <c r="NDT50" s="70"/>
      <c r="NDU50" s="25"/>
      <c r="NDV50" s="26"/>
      <c r="NDW50" s="26"/>
      <c r="NDX50" s="67"/>
      <c r="NDY50" s="11"/>
      <c r="NDZ50" s="11"/>
      <c r="NEA50" s="68"/>
      <c r="NEB50" s="83"/>
      <c r="NEC50" s="83"/>
      <c r="NED50" s="80"/>
      <c r="NEE50" s="70"/>
      <c r="NEF50" s="70"/>
      <c r="NEG50" s="25"/>
      <c r="NEH50" s="26"/>
      <c r="NEI50" s="26"/>
      <c r="NEJ50" s="67"/>
      <c r="NEK50" s="11"/>
      <c r="NEL50" s="11"/>
      <c r="NEM50" s="68"/>
      <c r="NEN50" s="83"/>
      <c r="NEO50" s="83"/>
      <c r="NEP50" s="80"/>
      <c r="NEQ50" s="70"/>
      <c r="NER50" s="70"/>
      <c r="NES50" s="25"/>
      <c r="NET50" s="26"/>
      <c r="NEU50" s="26"/>
      <c r="NEV50" s="67"/>
      <c r="NEW50" s="11"/>
      <c r="NEX50" s="11"/>
      <c r="NEY50" s="68"/>
      <c r="NEZ50" s="83"/>
      <c r="NFA50" s="83"/>
      <c r="NFB50" s="80"/>
      <c r="NFC50" s="70"/>
      <c r="NFD50" s="70"/>
      <c r="NFE50" s="25"/>
      <c r="NFF50" s="26"/>
      <c r="NFG50" s="26"/>
      <c r="NFH50" s="67"/>
      <c r="NFI50" s="11"/>
      <c r="NFJ50" s="11"/>
      <c r="NFK50" s="68"/>
      <c r="NFL50" s="83"/>
      <c r="NFM50" s="83"/>
      <c r="NFN50" s="80"/>
      <c r="NFO50" s="70"/>
      <c r="NFP50" s="70"/>
      <c r="NFQ50" s="25"/>
      <c r="NFR50" s="26"/>
      <c r="NFS50" s="26"/>
      <c r="NFT50" s="67"/>
      <c r="NFU50" s="11"/>
      <c r="NFV50" s="11"/>
      <c r="NFW50" s="68"/>
      <c r="NFX50" s="83"/>
      <c r="NFY50" s="83"/>
      <c r="NFZ50" s="80"/>
      <c r="NGA50" s="70"/>
      <c r="NGB50" s="70"/>
      <c r="NGC50" s="25"/>
      <c r="NGD50" s="26"/>
      <c r="NGE50" s="26"/>
      <c r="NGF50" s="67"/>
      <c r="NGG50" s="11"/>
      <c r="NGH50" s="11"/>
      <c r="NGI50" s="68"/>
      <c r="NGJ50" s="83"/>
      <c r="NGK50" s="83"/>
      <c r="NGL50" s="80"/>
      <c r="NGM50" s="70"/>
      <c r="NGN50" s="70"/>
      <c r="NGO50" s="25"/>
      <c r="NGP50" s="26"/>
      <c r="NGQ50" s="26"/>
      <c r="NGR50" s="67"/>
      <c r="NGS50" s="11"/>
      <c r="NGT50" s="11"/>
      <c r="NGU50" s="68"/>
      <c r="NGV50" s="83"/>
      <c r="NGW50" s="83"/>
      <c r="NGX50" s="80"/>
      <c r="NGY50" s="70"/>
      <c r="NGZ50" s="70"/>
      <c r="NHA50" s="25"/>
      <c r="NHB50" s="26"/>
      <c r="NHC50" s="26"/>
      <c r="NHD50" s="67"/>
      <c r="NHE50" s="11"/>
      <c r="NHF50" s="11"/>
      <c r="NHG50" s="68"/>
      <c r="NHH50" s="83"/>
      <c r="NHI50" s="83"/>
      <c r="NHJ50" s="80"/>
      <c r="NHK50" s="70"/>
      <c r="NHL50" s="70"/>
      <c r="NHM50" s="25"/>
      <c r="NHN50" s="26"/>
      <c r="NHO50" s="26"/>
      <c r="NHP50" s="67"/>
      <c r="NHQ50" s="11"/>
      <c r="NHR50" s="11"/>
      <c r="NHS50" s="68"/>
      <c r="NHT50" s="83"/>
      <c r="NHU50" s="83"/>
      <c r="NHV50" s="80"/>
      <c r="NHW50" s="70"/>
      <c r="NHX50" s="70"/>
      <c r="NHY50" s="25"/>
      <c r="NHZ50" s="26"/>
      <c r="NIA50" s="26"/>
      <c r="NIB50" s="67"/>
      <c r="NIC50" s="11"/>
      <c r="NID50" s="11"/>
      <c r="NIE50" s="68"/>
      <c r="NIF50" s="83"/>
      <c r="NIG50" s="83"/>
      <c r="NIH50" s="80"/>
      <c r="NII50" s="70"/>
      <c r="NIJ50" s="70"/>
      <c r="NIK50" s="25"/>
      <c r="NIL50" s="26"/>
      <c r="NIM50" s="26"/>
      <c r="NIN50" s="67"/>
      <c r="NIO50" s="11"/>
      <c r="NIP50" s="11"/>
      <c r="NIQ50" s="68"/>
      <c r="NIR50" s="83"/>
      <c r="NIS50" s="83"/>
      <c r="NIT50" s="80"/>
      <c r="NIU50" s="70"/>
      <c r="NIV50" s="70"/>
      <c r="NIW50" s="25"/>
      <c r="NIX50" s="26"/>
      <c r="NIY50" s="26"/>
      <c r="NIZ50" s="67"/>
      <c r="NJA50" s="11"/>
      <c r="NJB50" s="11"/>
      <c r="NJC50" s="68"/>
      <c r="NJD50" s="83"/>
      <c r="NJE50" s="83"/>
      <c r="NJF50" s="80"/>
      <c r="NJG50" s="70"/>
      <c r="NJH50" s="70"/>
      <c r="NJI50" s="25"/>
      <c r="NJJ50" s="26"/>
      <c r="NJK50" s="26"/>
      <c r="NJL50" s="67"/>
      <c r="NJM50" s="11"/>
      <c r="NJN50" s="11"/>
      <c r="NJO50" s="68"/>
      <c r="NJP50" s="83"/>
      <c r="NJQ50" s="83"/>
      <c r="NJR50" s="80"/>
      <c r="NJS50" s="70"/>
      <c r="NJT50" s="70"/>
      <c r="NJU50" s="25"/>
      <c r="NJV50" s="26"/>
      <c r="NJW50" s="26"/>
      <c r="NJX50" s="67"/>
      <c r="NJY50" s="11"/>
      <c r="NJZ50" s="11"/>
      <c r="NKA50" s="68"/>
      <c r="NKB50" s="83"/>
      <c r="NKC50" s="83"/>
      <c r="NKD50" s="80"/>
      <c r="NKE50" s="70"/>
      <c r="NKF50" s="70"/>
      <c r="NKG50" s="25"/>
      <c r="NKH50" s="26"/>
      <c r="NKI50" s="26"/>
      <c r="NKJ50" s="67"/>
      <c r="NKK50" s="11"/>
      <c r="NKL50" s="11"/>
      <c r="NKM50" s="68"/>
      <c r="NKN50" s="83"/>
      <c r="NKO50" s="83"/>
      <c r="NKP50" s="80"/>
      <c r="NKQ50" s="70"/>
      <c r="NKR50" s="70"/>
      <c r="NKS50" s="25"/>
      <c r="NKT50" s="26"/>
      <c r="NKU50" s="26"/>
      <c r="NKV50" s="67"/>
      <c r="NKW50" s="11"/>
      <c r="NKX50" s="11"/>
      <c r="NKY50" s="68"/>
      <c r="NKZ50" s="83"/>
      <c r="NLA50" s="83"/>
      <c r="NLB50" s="80"/>
      <c r="NLC50" s="70"/>
      <c r="NLD50" s="70"/>
      <c r="NLE50" s="25"/>
      <c r="NLF50" s="26"/>
      <c r="NLG50" s="26"/>
      <c r="NLH50" s="67"/>
      <c r="NLI50" s="11"/>
      <c r="NLJ50" s="11"/>
      <c r="NLK50" s="68"/>
      <c r="NLL50" s="83"/>
      <c r="NLM50" s="83"/>
      <c r="NLN50" s="80"/>
      <c r="NLO50" s="70"/>
      <c r="NLP50" s="70"/>
      <c r="NLQ50" s="25"/>
      <c r="NLR50" s="26"/>
      <c r="NLS50" s="26"/>
      <c r="NLT50" s="67"/>
      <c r="NLU50" s="11"/>
      <c r="NLV50" s="11"/>
      <c r="NLW50" s="68"/>
      <c r="NLX50" s="83"/>
      <c r="NLY50" s="83"/>
      <c r="NLZ50" s="80"/>
      <c r="NMA50" s="70"/>
      <c r="NMB50" s="70"/>
      <c r="NMC50" s="25"/>
      <c r="NMD50" s="26"/>
      <c r="NME50" s="26"/>
      <c r="NMF50" s="67"/>
      <c r="NMG50" s="11"/>
      <c r="NMH50" s="11"/>
      <c r="NMI50" s="68"/>
      <c r="NMJ50" s="83"/>
      <c r="NMK50" s="83"/>
      <c r="NML50" s="80"/>
      <c r="NMM50" s="70"/>
      <c r="NMN50" s="70"/>
      <c r="NMO50" s="25"/>
      <c r="NMP50" s="26"/>
      <c r="NMQ50" s="26"/>
      <c r="NMR50" s="67"/>
      <c r="NMS50" s="11"/>
      <c r="NMT50" s="11"/>
      <c r="NMU50" s="68"/>
      <c r="NMV50" s="83"/>
      <c r="NMW50" s="83"/>
      <c r="NMX50" s="80"/>
      <c r="NMY50" s="70"/>
      <c r="NMZ50" s="70"/>
      <c r="NNA50" s="25"/>
      <c r="NNB50" s="26"/>
      <c r="NNC50" s="26"/>
      <c r="NND50" s="67"/>
      <c r="NNE50" s="11"/>
      <c r="NNF50" s="11"/>
      <c r="NNG50" s="68"/>
      <c r="NNH50" s="83"/>
      <c r="NNI50" s="83"/>
      <c r="NNJ50" s="80"/>
      <c r="NNK50" s="70"/>
      <c r="NNL50" s="70"/>
      <c r="NNM50" s="25"/>
      <c r="NNN50" s="26"/>
      <c r="NNO50" s="26"/>
      <c r="NNP50" s="67"/>
      <c r="NNQ50" s="11"/>
      <c r="NNR50" s="11"/>
      <c r="NNS50" s="68"/>
      <c r="NNT50" s="83"/>
      <c r="NNU50" s="83"/>
      <c r="NNV50" s="80"/>
      <c r="NNW50" s="70"/>
      <c r="NNX50" s="70"/>
      <c r="NNY50" s="25"/>
      <c r="NNZ50" s="26"/>
      <c r="NOA50" s="26"/>
      <c r="NOB50" s="67"/>
      <c r="NOC50" s="11"/>
      <c r="NOD50" s="11"/>
      <c r="NOE50" s="68"/>
      <c r="NOF50" s="83"/>
      <c r="NOG50" s="83"/>
      <c r="NOH50" s="80"/>
      <c r="NOI50" s="70"/>
      <c r="NOJ50" s="70"/>
      <c r="NOK50" s="25"/>
      <c r="NOL50" s="26"/>
      <c r="NOM50" s="26"/>
      <c r="NON50" s="67"/>
      <c r="NOO50" s="11"/>
      <c r="NOP50" s="11"/>
      <c r="NOQ50" s="68"/>
      <c r="NOR50" s="83"/>
      <c r="NOS50" s="83"/>
      <c r="NOT50" s="80"/>
      <c r="NOU50" s="70"/>
      <c r="NOV50" s="70"/>
      <c r="NOW50" s="25"/>
      <c r="NOX50" s="26"/>
      <c r="NOY50" s="26"/>
      <c r="NOZ50" s="67"/>
      <c r="NPA50" s="11"/>
      <c r="NPB50" s="11"/>
      <c r="NPC50" s="68"/>
      <c r="NPD50" s="83"/>
      <c r="NPE50" s="83"/>
      <c r="NPF50" s="80"/>
      <c r="NPG50" s="70"/>
      <c r="NPH50" s="70"/>
      <c r="NPI50" s="25"/>
      <c r="NPJ50" s="26"/>
      <c r="NPK50" s="26"/>
      <c r="NPL50" s="67"/>
      <c r="NPM50" s="11"/>
      <c r="NPN50" s="11"/>
      <c r="NPO50" s="68"/>
      <c r="NPP50" s="83"/>
      <c r="NPQ50" s="83"/>
      <c r="NPR50" s="80"/>
      <c r="NPS50" s="70"/>
      <c r="NPT50" s="70"/>
      <c r="NPU50" s="25"/>
      <c r="NPV50" s="26"/>
      <c r="NPW50" s="26"/>
      <c r="NPX50" s="67"/>
      <c r="NPY50" s="11"/>
      <c r="NPZ50" s="11"/>
      <c r="NQA50" s="68"/>
      <c r="NQB50" s="83"/>
      <c r="NQC50" s="83"/>
      <c r="NQD50" s="80"/>
      <c r="NQE50" s="70"/>
      <c r="NQF50" s="70"/>
      <c r="NQG50" s="25"/>
      <c r="NQH50" s="26"/>
      <c r="NQI50" s="26"/>
      <c r="NQJ50" s="67"/>
      <c r="NQK50" s="11"/>
      <c r="NQL50" s="11"/>
      <c r="NQM50" s="68"/>
      <c r="NQN50" s="83"/>
      <c r="NQO50" s="83"/>
      <c r="NQP50" s="80"/>
      <c r="NQQ50" s="70"/>
      <c r="NQR50" s="70"/>
      <c r="NQS50" s="25"/>
      <c r="NQT50" s="26"/>
      <c r="NQU50" s="26"/>
      <c r="NQV50" s="67"/>
      <c r="NQW50" s="11"/>
      <c r="NQX50" s="11"/>
      <c r="NQY50" s="68"/>
      <c r="NQZ50" s="83"/>
      <c r="NRA50" s="83"/>
      <c r="NRB50" s="80"/>
      <c r="NRC50" s="70"/>
      <c r="NRD50" s="70"/>
      <c r="NRE50" s="25"/>
      <c r="NRF50" s="26"/>
      <c r="NRG50" s="26"/>
      <c r="NRH50" s="67"/>
      <c r="NRI50" s="11"/>
      <c r="NRJ50" s="11"/>
      <c r="NRK50" s="68"/>
      <c r="NRL50" s="83"/>
      <c r="NRM50" s="83"/>
      <c r="NRN50" s="80"/>
      <c r="NRO50" s="70"/>
      <c r="NRP50" s="70"/>
      <c r="NRQ50" s="25"/>
      <c r="NRR50" s="26"/>
      <c r="NRS50" s="26"/>
      <c r="NRT50" s="67"/>
      <c r="NRU50" s="11"/>
      <c r="NRV50" s="11"/>
      <c r="NRW50" s="68"/>
      <c r="NRX50" s="83"/>
      <c r="NRY50" s="83"/>
      <c r="NRZ50" s="80"/>
      <c r="NSA50" s="70"/>
      <c r="NSB50" s="70"/>
      <c r="NSC50" s="25"/>
      <c r="NSD50" s="26"/>
      <c r="NSE50" s="26"/>
      <c r="NSF50" s="67"/>
      <c r="NSG50" s="11"/>
      <c r="NSH50" s="11"/>
      <c r="NSI50" s="68"/>
      <c r="NSJ50" s="83"/>
      <c r="NSK50" s="83"/>
      <c r="NSL50" s="80"/>
      <c r="NSM50" s="70"/>
      <c r="NSN50" s="70"/>
      <c r="NSO50" s="25"/>
      <c r="NSP50" s="26"/>
      <c r="NSQ50" s="26"/>
      <c r="NSR50" s="67"/>
      <c r="NSS50" s="11"/>
      <c r="NST50" s="11"/>
      <c r="NSU50" s="68"/>
      <c r="NSV50" s="83"/>
      <c r="NSW50" s="83"/>
      <c r="NSX50" s="80"/>
      <c r="NSY50" s="70"/>
      <c r="NSZ50" s="70"/>
      <c r="NTA50" s="25"/>
      <c r="NTB50" s="26"/>
      <c r="NTC50" s="26"/>
      <c r="NTD50" s="67"/>
      <c r="NTE50" s="11"/>
      <c r="NTF50" s="11"/>
      <c r="NTG50" s="68"/>
      <c r="NTH50" s="83"/>
      <c r="NTI50" s="83"/>
      <c r="NTJ50" s="80"/>
      <c r="NTK50" s="70"/>
      <c r="NTL50" s="70"/>
      <c r="NTM50" s="25"/>
      <c r="NTN50" s="26"/>
      <c r="NTO50" s="26"/>
      <c r="NTP50" s="67"/>
      <c r="NTQ50" s="11"/>
      <c r="NTR50" s="11"/>
      <c r="NTS50" s="68"/>
      <c r="NTT50" s="83"/>
      <c r="NTU50" s="83"/>
      <c r="NTV50" s="80"/>
      <c r="NTW50" s="70"/>
      <c r="NTX50" s="70"/>
      <c r="NTY50" s="25"/>
      <c r="NTZ50" s="26"/>
      <c r="NUA50" s="26"/>
      <c r="NUB50" s="67"/>
      <c r="NUC50" s="11"/>
      <c r="NUD50" s="11"/>
      <c r="NUE50" s="68"/>
      <c r="NUF50" s="83"/>
      <c r="NUG50" s="83"/>
      <c r="NUH50" s="80"/>
      <c r="NUI50" s="70"/>
      <c r="NUJ50" s="70"/>
      <c r="NUK50" s="25"/>
      <c r="NUL50" s="26"/>
      <c r="NUM50" s="26"/>
      <c r="NUN50" s="67"/>
      <c r="NUO50" s="11"/>
      <c r="NUP50" s="11"/>
      <c r="NUQ50" s="68"/>
      <c r="NUR50" s="83"/>
      <c r="NUS50" s="83"/>
      <c r="NUT50" s="80"/>
      <c r="NUU50" s="70"/>
      <c r="NUV50" s="70"/>
      <c r="NUW50" s="25"/>
      <c r="NUX50" s="26"/>
      <c r="NUY50" s="26"/>
      <c r="NUZ50" s="67"/>
      <c r="NVA50" s="11"/>
      <c r="NVB50" s="11"/>
      <c r="NVC50" s="68"/>
      <c r="NVD50" s="83"/>
      <c r="NVE50" s="83"/>
      <c r="NVF50" s="80"/>
      <c r="NVG50" s="70"/>
      <c r="NVH50" s="70"/>
      <c r="NVI50" s="25"/>
      <c r="NVJ50" s="26"/>
      <c r="NVK50" s="26"/>
      <c r="NVL50" s="67"/>
      <c r="NVM50" s="11"/>
      <c r="NVN50" s="11"/>
      <c r="NVO50" s="68"/>
      <c r="NVP50" s="83"/>
      <c r="NVQ50" s="83"/>
      <c r="NVR50" s="80"/>
      <c r="NVS50" s="70"/>
      <c r="NVT50" s="70"/>
      <c r="NVU50" s="25"/>
      <c r="NVV50" s="26"/>
      <c r="NVW50" s="26"/>
      <c r="NVX50" s="67"/>
      <c r="NVY50" s="11"/>
      <c r="NVZ50" s="11"/>
      <c r="NWA50" s="68"/>
      <c r="NWB50" s="83"/>
      <c r="NWC50" s="83"/>
      <c r="NWD50" s="80"/>
      <c r="NWE50" s="70"/>
      <c r="NWF50" s="70"/>
      <c r="NWG50" s="25"/>
      <c r="NWH50" s="26"/>
      <c r="NWI50" s="26"/>
      <c r="NWJ50" s="67"/>
      <c r="NWK50" s="11"/>
      <c r="NWL50" s="11"/>
      <c r="NWM50" s="68"/>
      <c r="NWN50" s="83"/>
      <c r="NWO50" s="83"/>
      <c r="NWP50" s="80"/>
      <c r="NWQ50" s="70"/>
      <c r="NWR50" s="70"/>
      <c r="NWS50" s="25"/>
      <c r="NWT50" s="26"/>
      <c r="NWU50" s="26"/>
      <c r="NWV50" s="67"/>
      <c r="NWW50" s="11"/>
      <c r="NWX50" s="11"/>
      <c r="NWY50" s="68"/>
      <c r="NWZ50" s="83"/>
      <c r="NXA50" s="83"/>
      <c r="NXB50" s="80"/>
      <c r="NXC50" s="70"/>
      <c r="NXD50" s="70"/>
      <c r="NXE50" s="25"/>
      <c r="NXF50" s="26"/>
      <c r="NXG50" s="26"/>
      <c r="NXH50" s="67"/>
      <c r="NXI50" s="11"/>
      <c r="NXJ50" s="11"/>
      <c r="NXK50" s="68"/>
      <c r="NXL50" s="83"/>
      <c r="NXM50" s="83"/>
      <c r="NXN50" s="80"/>
      <c r="NXO50" s="70"/>
      <c r="NXP50" s="70"/>
      <c r="NXQ50" s="25"/>
      <c r="NXR50" s="26"/>
      <c r="NXS50" s="26"/>
      <c r="NXT50" s="67"/>
      <c r="NXU50" s="11"/>
      <c r="NXV50" s="11"/>
      <c r="NXW50" s="68"/>
      <c r="NXX50" s="83"/>
      <c r="NXY50" s="83"/>
      <c r="NXZ50" s="80"/>
      <c r="NYA50" s="70"/>
      <c r="NYB50" s="70"/>
      <c r="NYC50" s="25"/>
      <c r="NYD50" s="26"/>
      <c r="NYE50" s="26"/>
      <c r="NYF50" s="67"/>
      <c r="NYG50" s="11"/>
      <c r="NYH50" s="11"/>
      <c r="NYI50" s="68"/>
      <c r="NYJ50" s="83"/>
      <c r="NYK50" s="83"/>
      <c r="NYL50" s="80"/>
      <c r="NYM50" s="70"/>
      <c r="NYN50" s="70"/>
      <c r="NYO50" s="25"/>
      <c r="NYP50" s="26"/>
      <c r="NYQ50" s="26"/>
      <c r="NYR50" s="67"/>
      <c r="NYS50" s="11"/>
      <c r="NYT50" s="11"/>
      <c r="NYU50" s="68"/>
      <c r="NYV50" s="83"/>
      <c r="NYW50" s="83"/>
      <c r="NYX50" s="80"/>
      <c r="NYY50" s="70"/>
      <c r="NYZ50" s="70"/>
      <c r="NZA50" s="25"/>
      <c r="NZB50" s="26"/>
      <c r="NZC50" s="26"/>
      <c r="NZD50" s="67"/>
      <c r="NZE50" s="11"/>
      <c r="NZF50" s="11"/>
      <c r="NZG50" s="68"/>
      <c r="NZH50" s="83"/>
      <c r="NZI50" s="83"/>
      <c r="NZJ50" s="80"/>
      <c r="NZK50" s="70"/>
      <c r="NZL50" s="70"/>
      <c r="NZM50" s="25"/>
      <c r="NZN50" s="26"/>
      <c r="NZO50" s="26"/>
      <c r="NZP50" s="67"/>
      <c r="NZQ50" s="11"/>
      <c r="NZR50" s="11"/>
      <c r="NZS50" s="68"/>
      <c r="NZT50" s="83"/>
      <c r="NZU50" s="83"/>
      <c r="NZV50" s="80"/>
      <c r="NZW50" s="70"/>
      <c r="NZX50" s="70"/>
      <c r="NZY50" s="25"/>
      <c r="NZZ50" s="26"/>
      <c r="OAA50" s="26"/>
      <c r="OAB50" s="67"/>
      <c r="OAC50" s="11"/>
      <c r="OAD50" s="11"/>
      <c r="OAE50" s="68"/>
      <c r="OAF50" s="83"/>
      <c r="OAG50" s="83"/>
      <c r="OAH50" s="80"/>
      <c r="OAI50" s="70"/>
      <c r="OAJ50" s="70"/>
      <c r="OAK50" s="25"/>
      <c r="OAL50" s="26"/>
      <c r="OAM50" s="26"/>
      <c r="OAN50" s="67"/>
      <c r="OAO50" s="11"/>
      <c r="OAP50" s="11"/>
      <c r="OAQ50" s="68"/>
      <c r="OAR50" s="83"/>
      <c r="OAS50" s="83"/>
      <c r="OAT50" s="80"/>
      <c r="OAU50" s="70"/>
      <c r="OAV50" s="70"/>
      <c r="OAW50" s="25"/>
      <c r="OAX50" s="26"/>
      <c r="OAY50" s="26"/>
      <c r="OAZ50" s="67"/>
      <c r="OBA50" s="11"/>
      <c r="OBB50" s="11"/>
      <c r="OBC50" s="68"/>
      <c r="OBD50" s="83"/>
      <c r="OBE50" s="83"/>
      <c r="OBF50" s="80"/>
      <c r="OBG50" s="70"/>
      <c r="OBH50" s="70"/>
      <c r="OBI50" s="25"/>
      <c r="OBJ50" s="26"/>
      <c r="OBK50" s="26"/>
      <c r="OBL50" s="67"/>
      <c r="OBM50" s="11"/>
      <c r="OBN50" s="11"/>
      <c r="OBO50" s="68"/>
      <c r="OBP50" s="83"/>
      <c r="OBQ50" s="83"/>
      <c r="OBR50" s="80"/>
      <c r="OBS50" s="70"/>
      <c r="OBT50" s="70"/>
      <c r="OBU50" s="25"/>
      <c r="OBV50" s="26"/>
      <c r="OBW50" s="26"/>
      <c r="OBX50" s="67"/>
      <c r="OBY50" s="11"/>
      <c r="OBZ50" s="11"/>
      <c r="OCA50" s="68"/>
      <c r="OCB50" s="83"/>
      <c r="OCC50" s="83"/>
      <c r="OCD50" s="80"/>
      <c r="OCE50" s="70"/>
      <c r="OCF50" s="70"/>
      <c r="OCG50" s="25"/>
      <c r="OCH50" s="26"/>
      <c r="OCI50" s="26"/>
      <c r="OCJ50" s="67"/>
      <c r="OCK50" s="11"/>
      <c r="OCL50" s="11"/>
      <c r="OCM50" s="68"/>
      <c r="OCN50" s="83"/>
      <c r="OCO50" s="83"/>
      <c r="OCP50" s="80"/>
      <c r="OCQ50" s="70"/>
      <c r="OCR50" s="70"/>
      <c r="OCS50" s="25"/>
      <c r="OCT50" s="26"/>
      <c r="OCU50" s="26"/>
      <c r="OCV50" s="67"/>
      <c r="OCW50" s="11"/>
      <c r="OCX50" s="11"/>
      <c r="OCY50" s="68"/>
      <c r="OCZ50" s="83"/>
      <c r="ODA50" s="83"/>
      <c r="ODB50" s="80"/>
      <c r="ODC50" s="70"/>
      <c r="ODD50" s="70"/>
      <c r="ODE50" s="25"/>
      <c r="ODF50" s="26"/>
      <c r="ODG50" s="26"/>
      <c r="ODH50" s="67"/>
      <c r="ODI50" s="11"/>
      <c r="ODJ50" s="11"/>
      <c r="ODK50" s="68"/>
      <c r="ODL50" s="83"/>
      <c r="ODM50" s="83"/>
      <c r="ODN50" s="80"/>
      <c r="ODO50" s="70"/>
      <c r="ODP50" s="70"/>
      <c r="ODQ50" s="25"/>
      <c r="ODR50" s="26"/>
      <c r="ODS50" s="26"/>
      <c r="ODT50" s="67"/>
      <c r="ODU50" s="11"/>
      <c r="ODV50" s="11"/>
      <c r="ODW50" s="68"/>
      <c r="ODX50" s="83"/>
      <c r="ODY50" s="83"/>
      <c r="ODZ50" s="80"/>
      <c r="OEA50" s="70"/>
      <c r="OEB50" s="70"/>
      <c r="OEC50" s="25"/>
      <c r="OED50" s="26"/>
      <c r="OEE50" s="26"/>
      <c r="OEF50" s="67"/>
      <c r="OEG50" s="11"/>
      <c r="OEH50" s="11"/>
      <c r="OEI50" s="68"/>
      <c r="OEJ50" s="83"/>
      <c r="OEK50" s="83"/>
      <c r="OEL50" s="80"/>
      <c r="OEM50" s="70"/>
      <c r="OEN50" s="70"/>
      <c r="OEO50" s="25"/>
      <c r="OEP50" s="26"/>
      <c r="OEQ50" s="26"/>
      <c r="OER50" s="67"/>
      <c r="OES50" s="11"/>
      <c r="OET50" s="11"/>
      <c r="OEU50" s="68"/>
      <c r="OEV50" s="83"/>
      <c r="OEW50" s="83"/>
      <c r="OEX50" s="80"/>
      <c r="OEY50" s="70"/>
      <c r="OEZ50" s="70"/>
      <c r="OFA50" s="25"/>
      <c r="OFB50" s="26"/>
      <c r="OFC50" s="26"/>
      <c r="OFD50" s="67"/>
      <c r="OFE50" s="11"/>
      <c r="OFF50" s="11"/>
      <c r="OFG50" s="68"/>
      <c r="OFH50" s="83"/>
      <c r="OFI50" s="83"/>
      <c r="OFJ50" s="80"/>
      <c r="OFK50" s="70"/>
      <c r="OFL50" s="70"/>
      <c r="OFM50" s="25"/>
      <c r="OFN50" s="26"/>
      <c r="OFO50" s="26"/>
      <c r="OFP50" s="67"/>
      <c r="OFQ50" s="11"/>
      <c r="OFR50" s="11"/>
      <c r="OFS50" s="68"/>
      <c r="OFT50" s="83"/>
      <c r="OFU50" s="83"/>
      <c r="OFV50" s="80"/>
      <c r="OFW50" s="70"/>
      <c r="OFX50" s="70"/>
      <c r="OFY50" s="25"/>
      <c r="OFZ50" s="26"/>
      <c r="OGA50" s="26"/>
      <c r="OGB50" s="67"/>
      <c r="OGC50" s="11"/>
      <c r="OGD50" s="11"/>
      <c r="OGE50" s="68"/>
      <c r="OGF50" s="83"/>
      <c r="OGG50" s="83"/>
      <c r="OGH50" s="80"/>
      <c r="OGI50" s="70"/>
      <c r="OGJ50" s="70"/>
      <c r="OGK50" s="25"/>
      <c r="OGL50" s="26"/>
      <c r="OGM50" s="26"/>
      <c r="OGN50" s="67"/>
      <c r="OGO50" s="11"/>
      <c r="OGP50" s="11"/>
      <c r="OGQ50" s="68"/>
      <c r="OGR50" s="83"/>
      <c r="OGS50" s="83"/>
      <c r="OGT50" s="80"/>
      <c r="OGU50" s="70"/>
      <c r="OGV50" s="70"/>
      <c r="OGW50" s="25"/>
      <c r="OGX50" s="26"/>
      <c r="OGY50" s="26"/>
      <c r="OGZ50" s="67"/>
      <c r="OHA50" s="11"/>
      <c r="OHB50" s="11"/>
      <c r="OHC50" s="68"/>
      <c r="OHD50" s="83"/>
      <c r="OHE50" s="83"/>
      <c r="OHF50" s="80"/>
      <c r="OHG50" s="70"/>
      <c r="OHH50" s="70"/>
      <c r="OHI50" s="25"/>
      <c r="OHJ50" s="26"/>
      <c r="OHK50" s="26"/>
      <c r="OHL50" s="67"/>
      <c r="OHM50" s="11"/>
      <c r="OHN50" s="11"/>
      <c r="OHO50" s="68"/>
      <c r="OHP50" s="83"/>
      <c r="OHQ50" s="83"/>
      <c r="OHR50" s="80"/>
      <c r="OHS50" s="70"/>
      <c r="OHT50" s="70"/>
      <c r="OHU50" s="25"/>
      <c r="OHV50" s="26"/>
      <c r="OHW50" s="26"/>
      <c r="OHX50" s="67"/>
      <c r="OHY50" s="11"/>
      <c r="OHZ50" s="11"/>
      <c r="OIA50" s="68"/>
      <c r="OIB50" s="83"/>
      <c r="OIC50" s="83"/>
      <c r="OID50" s="80"/>
      <c r="OIE50" s="70"/>
      <c r="OIF50" s="70"/>
      <c r="OIG50" s="25"/>
      <c r="OIH50" s="26"/>
      <c r="OII50" s="26"/>
      <c r="OIJ50" s="67"/>
      <c r="OIK50" s="11"/>
      <c r="OIL50" s="11"/>
      <c r="OIM50" s="68"/>
      <c r="OIN50" s="83"/>
      <c r="OIO50" s="83"/>
      <c r="OIP50" s="80"/>
      <c r="OIQ50" s="70"/>
      <c r="OIR50" s="70"/>
      <c r="OIS50" s="25"/>
      <c r="OIT50" s="26"/>
      <c r="OIU50" s="26"/>
      <c r="OIV50" s="67"/>
      <c r="OIW50" s="11"/>
      <c r="OIX50" s="11"/>
      <c r="OIY50" s="68"/>
      <c r="OIZ50" s="83"/>
      <c r="OJA50" s="83"/>
      <c r="OJB50" s="80"/>
      <c r="OJC50" s="70"/>
      <c r="OJD50" s="70"/>
      <c r="OJE50" s="25"/>
      <c r="OJF50" s="26"/>
      <c r="OJG50" s="26"/>
      <c r="OJH50" s="67"/>
      <c r="OJI50" s="11"/>
      <c r="OJJ50" s="11"/>
      <c r="OJK50" s="68"/>
      <c r="OJL50" s="83"/>
      <c r="OJM50" s="83"/>
      <c r="OJN50" s="80"/>
      <c r="OJO50" s="70"/>
      <c r="OJP50" s="70"/>
      <c r="OJQ50" s="25"/>
      <c r="OJR50" s="26"/>
      <c r="OJS50" s="26"/>
      <c r="OJT50" s="67"/>
      <c r="OJU50" s="11"/>
      <c r="OJV50" s="11"/>
      <c r="OJW50" s="68"/>
      <c r="OJX50" s="83"/>
      <c r="OJY50" s="83"/>
      <c r="OJZ50" s="80"/>
      <c r="OKA50" s="70"/>
      <c r="OKB50" s="70"/>
      <c r="OKC50" s="25"/>
      <c r="OKD50" s="26"/>
      <c r="OKE50" s="26"/>
      <c r="OKF50" s="67"/>
      <c r="OKG50" s="11"/>
      <c r="OKH50" s="11"/>
      <c r="OKI50" s="68"/>
      <c r="OKJ50" s="83"/>
      <c r="OKK50" s="83"/>
      <c r="OKL50" s="80"/>
      <c r="OKM50" s="70"/>
      <c r="OKN50" s="70"/>
      <c r="OKO50" s="25"/>
      <c r="OKP50" s="26"/>
      <c r="OKQ50" s="26"/>
      <c r="OKR50" s="67"/>
      <c r="OKS50" s="11"/>
      <c r="OKT50" s="11"/>
      <c r="OKU50" s="68"/>
      <c r="OKV50" s="83"/>
      <c r="OKW50" s="83"/>
      <c r="OKX50" s="80"/>
      <c r="OKY50" s="70"/>
      <c r="OKZ50" s="70"/>
      <c r="OLA50" s="25"/>
      <c r="OLB50" s="26"/>
      <c r="OLC50" s="26"/>
      <c r="OLD50" s="67"/>
      <c r="OLE50" s="11"/>
      <c r="OLF50" s="11"/>
      <c r="OLG50" s="68"/>
      <c r="OLH50" s="83"/>
      <c r="OLI50" s="83"/>
      <c r="OLJ50" s="80"/>
      <c r="OLK50" s="70"/>
      <c r="OLL50" s="70"/>
      <c r="OLM50" s="25"/>
      <c r="OLN50" s="26"/>
      <c r="OLO50" s="26"/>
      <c r="OLP50" s="67"/>
      <c r="OLQ50" s="11"/>
      <c r="OLR50" s="11"/>
      <c r="OLS50" s="68"/>
      <c r="OLT50" s="83"/>
      <c r="OLU50" s="83"/>
      <c r="OLV50" s="80"/>
      <c r="OLW50" s="70"/>
      <c r="OLX50" s="70"/>
      <c r="OLY50" s="25"/>
      <c r="OLZ50" s="26"/>
      <c r="OMA50" s="26"/>
      <c r="OMB50" s="67"/>
      <c r="OMC50" s="11"/>
      <c r="OMD50" s="11"/>
      <c r="OME50" s="68"/>
      <c r="OMF50" s="83"/>
      <c r="OMG50" s="83"/>
      <c r="OMH50" s="80"/>
      <c r="OMI50" s="70"/>
      <c r="OMJ50" s="70"/>
      <c r="OMK50" s="25"/>
      <c r="OML50" s="26"/>
      <c r="OMM50" s="26"/>
      <c r="OMN50" s="67"/>
      <c r="OMO50" s="11"/>
      <c r="OMP50" s="11"/>
      <c r="OMQ50" s="68"/>
      <c r="OMR50" s="83"/>
      <c r="OMS50" s="83"/>
      <c r="OMT50" s="80"/>
      <c r="OMU50" s="70"/>
      <c r="OMV50" s="70"/>
      <c r="OMW50" s="25"/>
      <c r="OMX50" s="26"/>
      <c r="OMY50" s="26"/>
      <c r="OMZ50" s="67"/>
      <c r="ONA50" s="11"/>
      <c r="ONB50" s="11"/>
      <c r="ONC50" s="68"/>
      <c r="OND50" s="83"/>
      <c r="ONE50" s="83"/>
      <c r="ONF50" s="80"/>
      <c r="ONG50" s="70"/>
      <c r="ONH50" s="70"/>
      <c r="ONI50" s="25"/>
      <c r="ONJ50" s="26"/>
      <c r="ONK50" s="26"/>
      <c r="ONL50" s="67"/>
      <c r="ONM50" s="11"/>
      <c r="ONN50" s="11"/>
      <c r="ONO50" s="68"/>
      <c r="ONP50" s="83"/>
      <c r="ONQ50" s="83"/>
      <c r="ONR50" s="80"/>
      <c r="ONS50" s="70"/>
      <c r="ONT50" s="70"/>
      <c r="ONU50" s="25"/>
      <c r="ONV50" s="26"/>
      <c r="ONW50" s="26"/>
      <c r="ONX50" s="67"/>
      <c r="ONY50" s="11"/>
      <c r="ONZ50" s="11"/>
      <c r="OOA50" s="68"/>
      <c r="OOB50" s="83"/>
      <c r="OOC50" s="83"/>
      <c r="OOD50" s="80"/>
      <c r="OOE50" s="70"/>
      <c r="OOF50" s="70"/>
      <c r="OOG50" s="25"/>
      <c r="OOH50" s="26"/>
      <c r="OOI50" s="26"/>
      <c r="OOJ50" s="67"/>
      <c r="OOK50" s="11"/>
      <c r="OOL50" s="11"/>
      <c r="OOM50" s="68"/>
      <c r="OON50" s="83"/>
      <c r="OOO50" s="83"/>
      <c r="OOP50" s="80"/>
      <c r="OOQ50" s="70"/>
      <c r="OOR50" s="70"/>
      <c r="OOS50" s="25"/>
      <c r="OOT50" s="26"/>
      <c r="OOU50" s="26"/>
      <c r="OOV50" s="67"/>
      <c r="OOW50" s="11"/>
      <c r="OOX50" s="11"/>
      <c r="OOY50" s="68"/>
      <c r="OOZ50" s="83"/>
      <c r="OPA50" s="83"/>
      <c r="OPB50" s="80"/>
      <c r="OPC50" s="70"/>
      <c r="OPD50" s="70"/>
      <c r="OPE50" s="25"/>
      <c r="OPF50" s="26"/>
      <c r="OPG50" s="26"/>
      <c r="OPH50" s="67"/>
      <c r="OPI50" s="11"/>
      <c r="OPJ50" s="11"/>
      <c r="OPK50" s="68"/>
      <c r="OPL50" s="83"/>
      <c r="OPM50" s="83"/>
      <c r="OPN50" s="80"/>
      <c r="OPO50" s="70"/>
      <c r="OPP50" s="70"/>
      <c r="OPQ50" s="25"/>
      <c r="OPR50" s="26"/>
      <c r="OPS50" s="26"/>
      <c r="OPT50" s="67"/>
      <c r="OPU50" s="11"/>
      <c r="OPV50" s="11"/>
      <c r="OPW50" s="68"/>
      <c r="OPX50" s="83"/>
      <c r="OPY50" s="83"/>
      <c r="OPZ50" s="80"/>
      <c r="OQA50" s="70"/>
      <c r="OQB50" s="70"/>
      <c r="OQC50" s="25"/>
      <c r="OQD50" s="26"/>
      <c r="OQE50" s="26"/>
      <c r="OQF50" s="67"/>
      <c r="OQG50" s="11"/>
      <c r="OQH50" s="11"/>
      <c r="OQI50" s="68"/>
      <c r="OQJ50" s="83"/>
      <c r="OQK50" s="83"/>
      <c r="OQL50" s="80"/>
      <c r="OQM50" s="70"/>
      <c r="OQN50" s="70"/>
      <c r="OQO50" s="25"/>
      <c r="OQP50" s="26"/>
      <c r="OQQ50" s="26"/>
      <c r="OQR50" s="67"/>
      <c r="OQS50" s="11"/>
      <c r="OQT50" s="11"/>
      <c r="OQU50" s="68"/>
      <c r="OQV50" s="83"/>
      <c r="OQW50" s="83"/>
      <c r="OQX50" s="80"/>
      <c r="OQY50" s="70"/>
      <c r="OQZ50" s="70"/>
      <c r="ORA50" s="25"/>
      <c r="ORB50" s="26"/>
      <c r="ORC50" s="26"/>
      <c r="ORD50" s="67"/>
      <c r="ORE50" s="11"/>
      <c r="ORF50" s="11"/>
      <c r="ORG50" s="68"/>
      <c r="ORH50" s="83"/>
      <c r="ORI50" s="83"/>
      <c r="ORJ50" s="80"/>
      <c r="ORK50" s="70"/>
      <c r="ORL50" s="70"/>
      <c r="ORM50" s="25"/>
      <c r="ORN50" s="26"/>
      <c r="ORO50" s="26"/>
      <c r="ORP50" s="67"/>
      <c r="ORQ50" s="11"/>
      <c r="ORR50" s="11"/>
      <c r="ORS50" s="68"/>
      <c r="ORT50" s="83"/>
      <c r="ORU50" s="83"/>
      <c r="ORV50" s="80"/>
      <c r="ORW50" s="70"/>
      <c r="ORX50" s="70"/>
      <c r="ORY50" s="25"/>
      <c r="ORZ50" s="26"/>
      <c r="OSA50" s="26"/>
      <c r="OSB50" s="67"/>
      <c r="OSC50" s="11"/>
      <c r="OSD50" s="11"/>
      <c r="OSE50" s="68"/>
      <c r="OSF50" s="83"/>
      <c r="OSG50" s="83"/>
      <c r="OSH50" s="80"/>
      <c r="OSI50" s="70"/>
      <c r="OSJ50" s="70"/>
      <c r="OSK50" s="25"/>
      <c r="OSL50" s="26"/>
      <c r="OSM50" s="26"/>
      <c r="OSN50" s="67"/>
      <c r="OSO50" s="11"/>
      <c r="OSP50" s="11"/>
      <c r="OSQ50" s="68"/>
      <c r="OSR50" s="83"/>
      <c r="OSS50" s="83"/>
      <c r="OST50" s="80"/>
      <c r="OSU50" s="70"/>
      <c r="OSV50" s="70"/>
      <c r="OSW50" s="25"/>
      <c r="OSX50" s="26"/>
      <c r="OSY50" s="26"/>
      <c r="OSZ50" s="67"/>
      <c r="OTA50" s="11"/>
      <c r="OTB50" s="11"/>
      <c r="OTC50" s="68"/>
      <c r="OTD50" s="83"/>
      <c r="OTE50" s="83"/>
      <c r="OTF50" s="80"/>
      <c r="OTG50" s="70"/>
      <c r="OTH50" s="70"/>
      <c r="OTI50" s="25"/>
      <c r="OTJ50" s="26"/>
      <c r="OTK50" s="26"/>
      <c r="OTL50" s="67"/>
      <c r="OTM50" s="11"/>
      <c r="OTN50" s="11"/>
      <c r="OTO50" s="68"/>
      <c r="OTP50" s="83"/>
      <c r="OTQ50" s="83"/>
      <c r="OTR50" s="80"/>
      <c r="OTS50" s="70"/>
      <c r="OTT50" s="70"/>
      <c r="OTU50" s="25"/>
      <c r="OTV50" s="26"/>
      <c r="OTW50" s="26"/>
      <c r="OTX50" s="67"/>
      <c r="OTY50" s="11"/>
      <c r="OTZ50" s="11"/>
      <c r="OUA50" s="68"/>
      <c r="OUB50" s="83"/>
      <c r="OUC50" s="83"/>
      <c r="OUD50" s="80"/>
      <c r="OUE50" s="70"/>
      <c r="OUF50" s="70"/>
      <c r="OUG50" s="25"/>
      <c r="OUH50" s="26"/>
      <c r="OUI50" s="26"/>
      <c r="OUJ50" s="67"/>
      <c r="OUK50" s="11"/>
      <c r="OUL50" s="11"/>
      <c r="OUM50" s="68"/>
      <c r="OUN50" s="83"/>
      <c r="OUO50" s="83"/>
      <c r="OUP50" s="80"/>
      <c r="OUQ50" s="70"/>
      <c r="OUR50" s="70"/>
      <c r="OUS50" s="25"/>
      <c r="OUT50" s="26"/>
      <c r="OUU50" s="26"/>
      <c r="OUV50" s="67"/>
      <c r="OUW50" s="11"/>
      <c r="OUX50" s="11"/>
      <c r="OUY50" s="68"/>
      <c r="OUZ50" s="83"/>
      <c r="OVA50" s="83"/>
      <c r="OVB50" s="80"/>
      <c r="OVC50" s="70"/>
      <c r="OVD50" s="70"/>
      <c r="OVE50" s="25"/>
      <c r="OVF50" s="26"/>
      <c r="OVG50" s="26"/>
      <c r="OVH50" s="67"/>
      <c r="OVI50" s="11"/>
      <c r="OVJ50" s="11"/>
      <c r="OVK50" s="68"/>
      <c r="OVL50" s="83"/>
      <c r="OVM50" s="83"/>
      <c r="OVN50" s="80"/>
      <c r="OVO50" s="70"/>
      <c r="OVP50" s="70"/>
      <c r="OVQ50" s="25"/>
      <c r="OVR50" s="26"/>
      <c r="OVS50" s="26"/>
      <c r="OVT50" s="67"/>
      <c r="OVU50" s="11"/>
      <c r="OVV50" s="11"/>
      <c r="OVW50" s="68"/>
      <c r="OVX50" s="83"/>
      <c r="OVY50" s="83"/>
      <c r="OVZ50" s="80"/>
      <c r="OWA50" s="70"/>
      <c r="OWB50" s="70"/>
      <c r="OWC50" s="25"/>
      <c r="OWD50" s="26"/>
      <c r="OWE50" s="26"/>
      <c r="OWF50" s="67"/>
      <c r="OWG50" s="11"/>
      <c r="OWH50" s="11"/>
      <c r="OWI50" s="68"/>
      <c r="OWJ50" s="83"/>
      <c r="OWK50" s="83"/>
      <c r="OWL50" s="80"/>
      <c r="OWM50" s="70"/>
      <c r="OWN50" s="70"/>
      <c r="OWO50" s="25"/>
      <c r="OWP50" s="26"/>
      <c r="OWQ50" s="26"/>
      <c r="OWR50" s="67"/>
      <c r="OWS50" s="11"/>
      <c r="OWT50" s="11"/>
      <c r="OWU50" s="68"/>
      <c r="OWV50" s="83"/>
      <c r="OWW50" s="83"/>
      <c r="OWX50" s="80"/>
      <c r="OWY50" s="70"/>
      <c r="OWZ50" s="70"/>
      <c r="OXA50" s="25"/>
      <c r="OXB50" s="26"/>
      <c r="OXC50" s="26"/>
      <c r="OXD50" s="67"/>
      <c r="OXE50" s="11"/>
      <c r="OXF50" s="11"/>
      <c r="OXG50" s="68"/>
      <c r="OXH50" s="83"/>
      <c r="OXI50" s="83"/>
      <c r="OXJ50" s="80"/>
      <c r="OXK50" s="70"/>
      <c r="OXL50" s="70"/>
      <c r="OXM50" s="25"/>
      <c r="OXN50" s="26"/>
      <c r="OXO50" s="26"/>
      <c r="OXP50" s="67"/>
      <c r="OXQ50" s="11"/>
      <c r="OXR50" s="11"/>
      <c r="OXS50" s="68"/>
      <c r="OXT50" s="83"/>
      <c r="OXU50" s="83"/>
      <c r="OXV50" s="80"/>
      <c r="OXW50" s="70"/>
      <c r="OXX50" s="70"/>
      <c r="OXY50" s="25"/>
      <c r="OXZ50" s="26"/>
      <c r="OYA50" s="26"/>
      <c r="OYB50" s="67"/>
      <c r="OYC50" s="11"/>
      <c r="OYD50" s="11"/>
      <c r="OYE50" s="68"/>
      <c r="OYF50" s="83"/>
      <c r="OYG50" s="83"/>
      <c r="OYH50" s="80"/>
      <c r="OYI50" s="70"/>
      <c r="OYJ50" s="70"/>
      <c r="OYK50" s="25"/>
      <c r="OYL50" s="26"/>
      <c r="OYM50" s="26"/>
      <c r="OYN50" s="67"/>
      <c r="OYO50" s="11"/>
      <c r="OYP50" s="11"/>
      <c r="OYQ50" s="68"/>
      <c r="OYR50" s="83"/>
      <c r="OYS50" s="83"/>
      <c r="OYT50" s="80"/>
      <c r="OYU50" s="70"/>
      <c r="OYV50" s="70"/>
      <c r="OYW50" s="25"/>
      <c r="OYX50" s="26"/>
      <c r="OYY50" s="26"/>
      <c r="OYZ50" s="67"/>
      <c r="OZA50" s="11"/>
      <c r="OZB50" s="11"/>
      <c r="OZC50" s="68"/>
      <c r="OZD50" s="83"/>
      <c r="OZE50" s="83"/>
      <c r="OZF50" s="80"/>
      <c r="OZG50" s="70"/>
      <c r="OZH50" s="70"/>
      <c r="OZI50" s="25"/>
      <c r="OZJ50" s="26"/>
      <c r="OZK50" s="26"/>
      <c r="OZL50" s="67"/>
      <c r="OZM50" s="11"/>
      <c r="OZN50" s="11"/>
      <c r="OZO50" s="68"/>
      <c r="OZP50" s="83"/>
      <c r="OZQ50" s="83"/>
      <c r="OZR50" s="80"/>
      <c r="OZS50" s="70"/>
      <c r="OZT50" s="70"/>
      <c r="OZU50" s="25"/>
      <c r="OZV50" s="26"/>
      <c r="OZW50" s="26"/>
      <c r="OZX50" s="67"/>
      <c r="OZY50" s="11"/>
      <c r="OZZ50" s="11"/>
      <c r="PAA50" s="68"/>
      <c r="PAB50" s="83"/>
      <c r="PAC50" s="83"/>
      <c r="PAD50" s="80"/>
      <c r="PAE50" s="70"/>
      <c r="PAF50" s="70"/>
      <c r="PAG50" s="25"/>
      <c r="PAH50" s="26"/>
      <c r="PAI50" s="26"/>
      <c r="PAJ50" s="67"/>
      <c r="PAK50" s="11"/>
      <c r="PAL50" s="11"/>
      <c r="PAM50" s="68"/>
      <c r="PAN50" s="83"/>
      <c r="PAO50" s="83"/>
      <c r="PAP50" s="80"/>
      <c r="PAQ50" s="70"/>
      <c r="PAR50" s="70"/>
      <c r="PAS50" s="25"/>
      <c r="PAT50" s="26"/>
      <c r="PAU50" s="26"/>
      <c r="PAV50" s="67"/>
      <c r="PAW50" s="11"/>
      <c r="PAX50" s="11"/>
      <c r="PAY50" s="68"/>
      <c r="PAZ50" s="83"/>
      <c r="PBA50" s="83"/>
      <c r="PBB50" s="80"/>
      <c r="PBC50" s="70"/>
      <c r="PBD50" s="70"/>
      <c r="PBE50" s="25"/>
      <c r="PBF50" s="26"/>
      <c r="PBG50" s="26"/>
      <c r="PBH50" s="67"/>
      <c r="PBI50" s="11"/>
      <c r="PBJ50" s="11"/>
      <c r="PBK50" s="68"/>
      <c r="PBL50" s="83"/>
      <c r="PBM50" s="83"/>
      <c r="PBN50" s="80"/>
      <c r="PBO50" s="70"/>
      <c r="PBP50" s="70"/>
      <c r="PBQ50" s="25"/>
      <c r="PBR50" s="26"/>
      <c r="PBS50" s="26"/>
      <c r="PBT50" s="67"/>
      <c r="PBU50" s="11"/>
      <c r="PBV50" s="11"/>
      <c r="PBW50" s="68"/>
      <c r="PBX50" s="83"/>
      <c r="PBY50" s="83"/>
      <c r="PBZ50" s="80"/>
      <c r="PCA50" s="70"/>
      <c r="PCB50" s="70"/>
      <c r="PCC50" s="25"/>
      <c r="PCD50" s="26"/>
      <c r="PCE50" s="26"/>
      <c r="PCF50" s="67"/>
      <c r="PCG50" s="11"/>
      <c r="PCH50" s="11"/>
      <c r="PCI50" s="68"/>
      <c r="PCJ50" s="83"/>
      <c r="PCK50" s="83"/>
      <c r="PCL50" s="80"/>
      <c r="PCM50" s="70"/>
      <c r="PCN50" s="70"/>
      <c r="PCO50" s="25"/>
      <c r="PCP50" s="26"/>
      <c r="PCQ50" s="26"/>
      <c r="PCR50" s="67"/>
      <c r="PCS50" s="11"/>
      <c r="PCT50" s="11"/>
      <c r="PCU50" s="68"/>
      <c r="PCV50" s="83"/>
      <c r="PCW50" s="83"/>
      <c r="PCX50" s="80"/>
      <c r="PCY50" s="70"/>
      <c r="PCZ50" s="70"/>
      <c r="PDA50" s="25"/>
      <c r="PDB50" s="26"/>
      <c r="PDC50" s="26"/>
      <c r="PDD50" s="67"/>
      <c r="PDE50" s="11"/>
      <c r="PDF50" s="11"/>
      <c r="PDG50" s="68"/>
      <c r="PDH50" s="83"/>
      <c r="PDI50" s="83"/>
      <c r="PDJ50" s="80"/>
      <c r="PDK50" s="70"/>
      <c r="PDL50" s="70"/>
      <c r="PDM50" s="25"/>
      <c r="PDN50" s="26"/>
      <c r="PDO50" s="26"/>
      <c r="PDP50" s="67"/>
      <c r="PDQ50" s="11"/>
      <c r="PDR50" s="11"/>
      <c r="PDS50" s="68"/>
      <c r="PDT50" s="83"/>
      <c r="PDU50" s="83"/>
      <c r="PDV50" s="80"/>
      <c r="PDW50" s="70"/>
      <c r="PDX50" s="70"/>
      <c r="PDY50" s="25"/>
      <c r="PDZ50" s="26"/>
      <c r="PEA50" s="26"/>
      <c r="PEB50" s="67"/>
      <c r="PEC50" s="11"/>
      <c r="PED50" s="11"/>
      <c r="PEE50" s="68"/>
      <c r="PEF50" s="83"/>
      <c r="PEG50" s="83"/>
      <c r="PEH50" s="80"/>
      <c r="PEI50" s="70"/>
      <c r="PEJ50" s="70"/>
      <c r="PEK50" s="25"/>
      <c r="PEL50" s="26"/>
      <c r="PEM50" s="26"/>
      <c r="PEN50" s="67"/>
      <c r="PEO50" s="11"/>
      <c r="PEP50" s="11"/>
      <c r="PEQ50" s="68"/>
      <c r="PER50" s="83"/>
      <c r="PES50" s="83"/>
      <c r="PET50" s="80"/>
      <c r="PEU50" s="70"/>
      <c r="PEV50" s="70"/>
      <c r="PEW50" s="25"/>
      <c r="PEX50" s="26"/>
      <c r="PEY50" s="26"/>
      <c r="PEZ50" s="67"/>
      <c r="PFA50" s="11"/>
      <c r="PFB50" s="11"/>
      <c r="PFC50" s="68"/>
      <c r="PFD50" s="83"/>
      <c r="PFE50" s="83"/>
      <c r="PFF50" s="80"/>
      <c r="PFG50" s="70"/>
      <c r="PFH50" s="70"/>
      <c r="PFI50" s="25"/>
      <c r="PFJ50" s="26"/>
      <c r="PFK50" s="26"/>
      <c r="PFL50" s="67"/>
      <c r="PFM50" s="11"/>
      <c r="PFN50" s="11"/>
      <c r="PFO50" s="68"/>
      <c r="PFP50" s="83"/>
      <c r="PFQ50" s="83"/>
      <c r="PFR50" s="80"/>
      <c r="PFS50" s="70"/>
      <c r="PFT50" s="70"/>
      <c r="PFU50" s="25"/>
      <c r="PFV50" s="26"/>
      <c r="PFW50" s="26"/>
      <c r="PFX50" s="67"/>
      <c r="PFY50" s="11"/>
      <c r="PFZ50" s="11"/>
      <c r="PGA50" s="68"/>
      <c r="PGB50" s="83"/>
      <c r="PGC50" s="83"/>
      <c r="PGD50" s="80"/>
      <c r="PGE50" s="70"/>
      <c r="PGF50" s="70"/>
      <c r="PGG50" s="25"/>
      <c r="PGH50" s="26"/>
      <c r="PGI50" s="26"/>
      <c r="PGJ50" s="67"/>
      <c r="PGK50" s="11"/>
      <c r="PGL50" s="11"/>
      <c r="PGM50" s="68"/>
      <c r="PGN50" s="83"/>
      <c r="PGO50" s="83"/>
      <c r="PGP50" s="80"/>
      <c r="PGQ50" s="70"/>
      <c r="PGR50" s="70"/>
      <c r="PGS50" s="25"/>
      <c r="PGT50" s="26"/>
      <c r="PGU50" s="26"/>
      <c r="PGV50" s="67"/>
      <c r="PGW50" s="11"/>
      <c r="PGX50" s="11"/>
      <c r="PGY50" s="68"/>
      <c r="PGZ50" s="83"/>
      <c r="PHA50" s="83"/>
      <c r="PHB50" s="80"/>
      <c r="PHC50" s="70"/>
      <c r="PHD50" s="70"/>
      <c r="PHE50" s="25"/>
      <c r="PHF50" s="26"/>
      <c r="PHG50" s="26"/>
      <c r="PHH50" s="67"/>
      <c r="PHI50" s="11"/>
      <c r="PHJ50" s="11"/>
      <c r="PHK50" s="68"/>
      <c r="PHL50" s="83"/>
      <c r="PHM50" s="83"/>
      <c r="PHN50" s="80"/>
      <c r="PHO50" s="70"/>
      <c r="PHP50" s="70"/>
      <c r="PHQ50" s="25"/>
      <c r="PHR50" s="26"/>
      <c r="PHS50" s="26"/>
      <c r="PHT50" s="67"/>
      <c r="PHU50" s="11"/>
      <c r="PHV50" s="11"/>
      <c r="PHW50" s="68"/>
      <c r="PHX50" s="83"/>
      <c r="PHY50" s="83"/>
      <c r="PHZ50" s="80"/>
      <c r="PIA50" s="70"/>
      <c r="PIB50" s="70"/>
      <c r="PIC50" s="25"/>
      <c r="PID50" s="26"/>
      <c r="PIE50" s="26"/>
      <c r="PIF50" s="67"/>
      <c r="PIG50" s="11"/>
      <c r="PIH50" s="11"/>
      <c r="PII50" s="68"/>
      <c r="PIJ50" s="83"/>
      <c r="PIK50" s="83"/>
      <c r="PIL50" s="80"/>
      <c r="PIM50" s="70"/>
      <c r="PIN50" s="70"/>
      <c r="PIO50" s="25"/>
      <c r="PIP50" s="26"/>
      <c r="PIQ50" s="26"/>
      <c r="PIR50" s="67"/>
      <c r="PIS50" s="11"/>
      <c r="PIT50" s="11"/>
      <c r="PIU50" s="68"/>
      <c r="PIV50" s="83"/>
      <c r="PIW50" s="83"/>
      <c r="PIX50" s="80"/>
      <c r="PIY50" s="70"/>
      <c r="PIZ50" s="70"/>
      <c r="PJA50" s="25"/>
      <c r="PJB50" s="26"/>
      <c r="PJC50" s="26"/>
      <c r="PJD50" s="67"/>
      <c r="PJE50" s="11"/>
      <c r="PJF50" s="11"/>
      <c r="PJG50" s="68"/>
      <c r="PJH50" s="83"/>
      <c r="PJI50" s="83"/>
      <c r="PJJ50" s="80"/>
      <c r="PJK50" s="70"/>
      <c r="PJL50" s="70"/>
      <c r="PJM50" s="25"/>
      <c r="PJN50" s="26"/>
      <c r="PJO50" s="26"/>
      <c r="PJP50" s="67"/>
      <c r="PJQ50" s="11"/>
      <c r="PJR50" s="11"/>
      <c r="PJS50" s="68"/>
      <c r="PJT50" s="83"/>
      <c r="PJU50" s="83"/>
      <c r="PJV50" s="80"/>
      <c r="PJW50" s="70"/>
      <c r="PJX50" s="70"/>
      <c r="PJY50" s="25"/>
      <c r="PJZ50" s="26"/>
      <c r="PKA50" s="26"/>
      <c r="PKB50" s="67"/>
      <c r="PKC50" s="11"/>
      <c r="PKD50" s="11"/>
      <c r="PKE50" s="68"/>
      <c r="PKF50" s="83"/>
      <c r="PKG50" s="83"/>
      <c r="PKH50" s="80"/>
      <c r="PKI50" s="70"/>
      <c r="PKJ50" s="70"/>
      <c r="PKK50" s="25"/>
      <c r="PKL50" s="26"/>
      <c r="PKM50" s="26"/>
      <c r="PKN50" s="67"/>
      <c r="PKO50" s="11"/>
      <c r="PKP50" s="11"/>
      <c r="PKQ50" s="68"/>
      <c r="PKR50" s="83"/>
      <c r="PKS50" s="83"/>
      <c r="PKT50" s="80"/>
      <c r="PKU50" s="70"/>
      <c r="PKV50" s="70"/>
      <c r="PKW50" s="25"/>
      <c r="PKX50" s="26"/>
      <c r="PKY50" s="26"/>
      <c r="PKZ50" s="67"/>
      <c r="PLA50" s="11"/>
      <c r="PLB50" s="11"/>
      <c r="PLC50" s="68"/>
      <c r="PLD50" s="83"/>
      <c r="PLE50" s="83"/>
      <c r="PLF50" s="80"/>
      <c r="PLG50" s="70"/>
      <c r="PLH50" s="70"/>
      <c r="PLI50" s="25"/>
      <c r="PLJ50" s="26"/>
      <c r="PLK50" s="26"/>
      <c r="PLL50" s="67"/>
      <c r="PLM50" s="11"/>
      <c r="PLN50" s="11"/>
      <c r="PLO50" s="68"/>
      <c r="PLP50" s="83"/>
      <c r="PLQ50" s="83"/>
      <c r="PLR50" s="80"/>
      <c r="PLS50" s="70"/>
      <c r="PLT50" s="70"/>
      <c r="PLU50" s="25"/>
      <c r="PLV50" s="26"/>
      <c r="PLW50" s="26"/>
      <c r="PLX50" s="67"/>
      <c r="PLY50" s="11"/>
      <c r="PLZ50" s="11"/>
      <c r="PMA50" s="68"/>
      <c r="PMB50" s="83"/>
      <c r="PMC50" s="83"/>
      <c r="PMD50" s="80"/>
      <c r="PME50" s="70"/>
      <c r="PMF50" s="70"/>
      <c r="PMG50" s="25"/>
      <c r="PMH50" s="26"/>
      <c r="PMI50" s="26"/>
      <c r="PMJ50" s="67"/>
      <c r="PMK50" s="11"/>
      <c r="PML50" s="11"/>
      <c r="PMM50" s="68"/>
      <c r="PMN50" s="83"/>
      <c r="PMO50" s="83"/>
      <c r="PMP50" s="80"/>
      <c r="PMQ50" s="70"/>
      <c r="PMR50" s="70"/>
      <c r="PMS50" s="25"/>
      <c r="PMT50" s="26"/>
      <c r="PMU50" s="26"/>
      <c r="PMV50" s="67"/>
      <c r="PMW50" s="11"/>
      <c r="PMX50" s="11"/>
      <c r="PMY50" s="68"/>
      <c r="PMZ50" s="83"/>
      <c r="PNA50" s="83"/>
      <c r="PNB50" s="80"/>
      <c r="PNC50" s="70"/>
      <c r="PND50" s="70"/>
      <c r="PNE50" s="25"/>
      <c r="PNF50" s="26"/>
      <c r="PNG50" s="26"/>
      <c r="PNH50" s="67"/>
      <c r="PNI50" s="11"/>
      <c r="PNJ50" s="11"/>
      <c r="PNK50" s="68"/>
      <c r="PNL50" s="83"/>
      <c r="PNM50" s="83"/>
      <c r="PNN50" s="80"/>
      <c r="PNO50" s="70"/>
      <c r="PNP50" s="70"/>
      <c r="PNQ50" s="25"/>
      <c r="PNR50" s="26"/>
      <c r="PNS50" s="26"/>
      <c r="PNT50" s="67"/>
      <c r="PNU50" s="11"/>
      <c r="PNV50" s="11"/>
      <c r="PNW50" s="68"/>
      <c r="PNX50" s="83"/>
      <c r="PNY50" s="83"/>
      <c r="PNZ50" s="80"/>
      <c r="POA50" s="70"/>
      <c r="POB50" s="70"/>
      <c r="POC50" s="25"/>
      <c r="POD50" s="26"/>
      <c r="POE50" s="26"/>
      <c r="POF50" s="67"/>
      <c r="POG50" s="11"/>
      <c r="POH50" s="11"/>
      <c r="POI50" s="68"/>
      <c r="POJ50" s="83"/>
      <c r="POK50" s="83"/>
      <c r="POL50" s="80"/>
      <c r="POM50" s="70"/>
      <c r="PON50" s="70"/>
      <c r="POO50" s="25"/>
      <c r="POP50" s="26"/>
      <c r="POQ50" s="26"/>
      <c r="POR50" s="67"/>
      <c r="POS50" s="11"/>
      <c r="POT50" s="11"/>
      <c r="POU50" s="68"/>
      <c r="POV50" s="83"/>
      <c r="POW50" s="83"/>
      <c r="POX50" s="80"/>
      <c r="POY50" s="70"/>
      <c r="POZ50" s="70"/>
      <c r="PPA50" s="25"/>
      <c r="PPB50" s="26"/>
      <c r="PPC50" s="26"/>
      <c r="PPD50" s="67"/>
      <c r="PPE50" s="11"/>
      <c r="PPF50" s="11"/>
      <c r="PPG50" s="68"/>
      <c r="PPH50" s="83"/>
      <c r="PPI50" s="83"/>
      <c r="PPJ50" s="80"/>
      <c r="PPK50" s="70"/>
      <c r="PPL50" s="70"/>
      <c r="PPM50" s="25"/>
      <c r="PPN50" s="26"/>
      <c r="PPO50" s="26"/>
      <c r="PPP50" s="67"/>
      <c r="PPQ50" s="11"/>
      <c r="PPR50" s="11"/>
      <c r="PPS50" s="68"/>
      <c r="PPT50" s="83"/>
      <c r="PPU50" s="83"/>
      <c r="PPV50" s="80"/>
      <c r="PPW50" s="70"/>
      <c r="PPX50" s="70"/>
      <c r="PPY50" s="25"/>
      <c r="PPZ50" s="26"/>
      <c r="PQA50" s="26"/>
      <c r="PQB50" s="67"/>
      <c r="PQC50" s="11"/>
      <c r="PQD50" s="11"/>
      <c r="PQE50" s="68"/>
      <c r="PQF50" s="83"/>
      <c r="PQG50" s="83"/>
      <c r="PQH50" s="80"/>
      <c r="PQI50" s="70"/>
      <c r="PQJ50" s="70"/>
      <c r="PQK50" s="25"/>
      <c r="PQL50" s="26"/>
      <c r="PQM50" s="26"/>
      <c r="PQN50" s="67"/>
      <c r="PQO50" s="11"/>
      <c r="PQP50" s="11"/>
      <c r="PQQ50" s="68"/>
      <c r="PQR50" s="83"/>
      <c r="PQS50" s="83"/>
      <c r="PQT50" s="80"/>
      <c r="PQU50" s="70"/>
      <c r="PQV50" s="70"/>
      <c r="PQW50" s="25"/>
      <c r="PQX50" s="26"/>
      <c r="PQY50" s="26"/>
      <c r="PQZ50" s="67"/>
      <c r="PRA50" s="11"/>
      <c r="PRB50" s="11"/>
      <c r="PRC50" s="68"/>
      <c r="PRD50" s="83"/>
      <c r="PRE50" s="83"/>
      <c r="PRF50" s="80"/>
      <c r="PRG50" s="70"/>
      <c r="PRH50" s="70"/>
      <c r="PRI50" s="25"/>
      <c r="PRJ50" s="26"/>
      <c r="PRK50" s="26"/>
      <c r="PRL50" s="67"/>
      <c r="PRM50" s="11"/>
      <c r="PRN50" s="11"/>
      <c r="PRO50" s="68"/>
      <c r="PRP50" s="83"/>
      <c r="PRQ50" s="83"/>
      <c r="PRR50" s="80"/>
      <c r="PRS50" s="70"/>
      <c r="PRT50" s="70"/>
      <c r="PRU50" s="25"/>
      <c r="PRV50" s="26"/>
      <c r="PRW50" s="26"/>
      <c r="PRX50" s="67"/>
      <c r="PRY50" s="11"/>
      <c r="PRZ50" s="11"/>
      <c r="PSA50" s="68"/>
      <c r="PSB50" s="83"/>
      <c r="PSC50" s="83"/>
      <c r="PSD50" s="80"/>
      <c r="PSE50" s="70"/>
      <c r="PSF50" s="70"/>
      <c r="PSG50" s="25"/>
      <c r="PSH50" s="26"/>
      <c r="PSI50" s="26"/>
      <c r="PSJ50" s="67"/>
      <c r="PSK50" s="11"/>
      <c r="PSL50" s="11"/>
      <c r="PSM50" s="68"/>
      <c r="PSN50" s="83"/>
      <c r="PSO50" s="83"/>
      <c r="PSP50" s="80"/>
      <c r="PSQ50" s="70"/>
      <c r="PSR50" s="70"/>
      <c r="PSS50" s="25"/>
      <c r="PST50" s="26"/>
      <c r="PSU50" s="26"/>
      <c r="PSV50" s="67"/>
      <c r="PSW50" s="11"/>
      <c r="PSX50" s="11"/>
      <c r="PSY50" s="68"/>
      <c r="PSZ50" s="83"/>
      <c r="PTA50" s="83"/>
      <c r="PTB50" s="80"/>
      <c r="PTC50" s="70"/>
      <c r="PTD50" s="70"/>
      <c r="PTE50" s="25"/>
      <c r="PTF50" s="26"/>
      <c r="PTG50" s="26"/>
      <c r="PTH50" s="67"/>
      <c r="PTI50" s="11"/>
      <c r="PTJ50" s="11"/>
      <c r="PTK50" s="68"/>
      <c r="PTL50" s="83"/>
      <c r="PTM50" s="83"/>
      <c r="PTN50" s="80"/>
      <c r="PTO50" s="70"/>
      <c r="PTP50" s="70"/>
      <c r="PTQ50" s="25"/>
      <c r="PTR50" s="26"/>
      <c r="PTS50" s="26"/>
      <c r="PTT50" s="67"/>
      <c r="PTU50" s="11"/>
      <c r="PTV50" s="11"/>
      <c r="PTW50" s="68"/>
      <c r="PTX50" s="83"/>
      <c r="PTY50" s="83"/>
      <c r="PTZ50" s="80"/>
      <c r="PUA50" s="70"/>
      <c r="PUB50" s="70"/>
      <c r="PUC50" s="25"/>
      <c r="PUD50" s="26"/>
      <c r="PUE50" s="26"/>
      <c r="PUF50" s="67"/>
      <c r="PUG50" s="11"/>
      <c r="PUH50" s="11"/>
      <c r="PUI50" s="68"/>
      <c r="PUJ50" s="83"/>
      <c r="PUK50" s="83"/>
      <c r="PUL50" s="80"/>
      <c r="PUM50" s="70"/>
      <c r="PUN50" s="70"/>
      <c r="PUO50" s="25"/>
      <c r="PUP50" s="26"/>
      <c r="PUQ50" s="26"/>
      <c r="PUR50" s="67"/>
      <c r="PUS50" s="11"/>
      <c r="PUT50" s="11"/>
      <c r="PUU50" s="68"/>
      <c r="PUV50" s="83"/>
      <c r="PUW50" s="83"/>
      <c r="PUX50" s="80"/>
      <c r="PUY50" s="70"/>
      <c r="PUZ50" s="70"/>
      <c r="PVA50" s="25"/>
      <c r="PVB50" s="26"/>
      <c r="PVC50" s="26"/>
      <c r="PVD50" s="67"/>
      <c r="PVE50" s="11"/>
      <c r="PVF50" s="11"/>
      <c r="PVG50" s="68"/>
      <c r="PVH50" s="83"/>
      <c r="PVI50" s="83"/>
      <c r="PVJ50" s="80"/>
      <c r="PVK50" s="70"/>
      <c r="PVL50" s="70"/>
      <c r="PVM50" s="25"/>
      <c r="PVN50" s="26"/>
      <c r="PVO50" s="26"/>
      <c r="PVP50" s="67"/>
      <c r="PVQ50" s="11"/>
      <c r="PVR50" s="11"/>
      <c r="PVS50" s="68"/>
      <c r="PVT50" s="83"/>
      <c r="PVU50" s="83"/>
      <c r="PVV50" s="80"/>
      <c r="PVW50" s="70"/>
      <c r="PVX50" s="70"/>
      <c r="PVY50" s="25"/>
      <c r="PVZ50" s="26"/>
      <c r="PWA50" s="26"/>
      <c r="PWB50" s="67"/>
      <c r="PWC50" s="11"/>
      <c r="PWD50" s="11"/>
      <c r="PWE50" s="68"/>
      <c r="PWF50" s="83"/>
      <c r="PWG50" s="83"/>
      <c r="PWH50" s="80"/>
      <c r="PWI50" s="70"/>
      <c r="PWJ50" s="70"/>
      <c r="PWK50" s="25"/>
      <c r="PWL50" s="26"/>
      <c r="PWM50" s="26"/>
      <c r="PWN50" s="67"/>
      <c r="PWO50" s="11"/>
      <c r="PWP50" s="11"/>
      <c r="PWQ50" s="68"/>
      <c r="PWR50" s="83"/>
      <c r="PWS50" s="83"/>
      <c r="PWT50" s="80"/>
      <c r="PWU50" s="70"/>
      <c r="PWV50" s="70"/>
      <c r="PWW50" s="25"/>
      <c r="PWX50" s="26"/>
      <c r="PWY50" s="26"/>
      <c r="PWZ50" s="67"/>
      <c r="PXA50" s="11"/>
      <c r="PXB50" s="11"/>
      <c r="PXC50" s="68"/>
      <c r="PXD50" s="83"/>
      <c r="PXE50" s="83"/>
      <c r="PXF50" s="80"/>
      <c r="PXG50" s="70"/>
      <c r="PXH50" s="70"/>
      <c r="PXI50" s="25"/>
      <c r="PXJ50" s="26"/>
      <c r="PXK50" s="26"/>
      <c r="PXL50" s="67"/>
      <c r="PXM50" s="11"/>
      <c r="PXN50" s="11"/>
      <c r="PXO50" s="68"/>
      <c r="PXP50" s="83"/>
      <c r="PXQ50" s="83"/>
      <c r="PXR50" s="80"/>
      <c r="PXS50" s="70"/>
      <c r="PXT50" s="70"/>
      <c r="PXU50" s="25"/>
      <c r="PXV50" s="26"/>
      <c r="PXW50" s="26"/>
      <c r="PXX50" s="67"/>
      <c r="PXY50" s="11"/>
      <c r="PXZ50" s="11"/>
      <c r="PYA50" s="68"/>
      <c r="PYB50" s="83"/>
      <c r="PYC50" s="83"/>
      <c r="PYD50" s="80"/>
      <c r="PYE50" s="70"/>
      <c r="PYF50" s="70"/>
      <c r="PYG50" s="25"/>
      <c r="PYH50" s="26"/>
      <c r="PYI50" s="26"/>
      <c r="PYJ50" s="67"/>
      <c r="PYK50" s="11"/>
      <c r="PYL50" s="11"/>
      <c r="PYM50" s="68"/>
      <c r="PYN50" s="83"/>
      <c r="PYO50" s="83"/>
      <c r="PYP50" s="80"/>
      <c r="PYQ50" s="70"/>
      <c r="PYR50" s="70"/>
      <c r="PYS50" s="25"/>
      <c r="PYT50" s="26"/>
      <c r="PYU50" s="26"/>
      <c r="PYV50" s="67"/>
      <c r="PYW50" s="11"/>
      <c r="PYX50" s="11"/>
      <c r="PYY50" s="68"/>
      <c r="PYZ50" s="83"/>
      <c r="PZA50" s="83"/>
      <c r="PZB50" s="80"/>
      <c r="PZC50" s="70"/>
      <c r="PZD50" s="70"/>
      <c r="PZE50" s="25"/>
      <c r="PZF50" s="26"/>
      <c r="PZG50" s="26"/>
      <c r="PZH50" s="67"/>
      <c r="PZI50" s="11"/>
      <c r="PZJ50" s="11"/>
      <c r="PZK50" s="68"/>
      <c r="PZL50" s="83"/>
      <c r="PZM50" s="83"/>
      <c r="PZN50" s="80"/>
      <c r="PZO50" s="70"/>
      <c r="PZP50" s="70"/>
      <c r="PZQ50" s="25"/>
      <c r="PZR50" s="26"/>
      <c r="PZS50" s="26"/>
      <c r="PZT50" s="67"/>
      <c r="PZU50" s="11"/>
      <c r="PZV50" s="11"/>
      <c r="PZW50" s="68"/>
      <c r="PZX50" s="83"/>
      <c r="PZY50" s="83"/>
      <c r="PZZ50" s="80"/>
      <c r="QAA50" s="70"/>
      <c r="QAB50" s="70"/>
      <c r="QAC50" s="25"/>
      <c r="QAD50" s="26"/>
      <c r="QAE50" s="26"/>
      <c r="QAF50" s="67"/>
      <c r="QAG50" s="11"/>
      <c r="QAH50" s="11"/>
      <c r="QAI50" s="68"/>
      <c r="QAJ50" s="83"/>
      <c r="QAK50" s="83"/>
      <c r="QAL50" s="80"/>
      <c r="QAM50" s="70"/>
      <c r="QAN50" s="70"/>
      <c r="QAO50" s="25"/>
      <c r="QAP50" s="26"/>
      <c r="QAQ50" s="26"/>
      <c r="QAR50" s="67"/>
      <c r="QAS50" s="11"/>
      <c r="QAT50" s="11"/>
      <c r="QAU50" s="68"/>
      <c r="QAV50" s="83"/>
      <c r="QAW50" s="83"/>
      <c r="QAX50" s="80"/>
      <c r="QAY50" s="70"/>
      <c r="QAZ50" s="70"/>
      <c r="QBA50" s="25"/>
      <c r="QBB50" s="26"/>
      <c r="QBC50" s="26"/>
      <c r="QBD50" s="67"/>
      <c r="QBE50" s="11"/>
      <c r="QBF50" s="11"/>
      <c r="QBG50" s="68"/>
      <c r="QBH50" s="83"/>
      <c r="QBI50" s="83"/>
      <c r="QBJ50" s="80"/>
      <c r="QBK50" s="70"/>
      <c r="QBL50" s="70"/>
      <c r="QBM50" s="25"/>
      <c r="QBN50" s="26"/>
      <c r="QBO50" s="26"/>
      <c r="QBP50" s="67"/>
      <c r="QBQ50" s="11"/>
      <c r="QBR50" s="11"/>
      <c r="QBS50" s="68"/>
      <c r="QBT50" s="83"/>
      <c r="QBU50" s="83"/>
      <c r="QBV50" s="80"/>
      <c r="QBW50" s="70"/>
      <c r="QBX50" s="70"/>
      <c r="QBY50" s="25"/>
      <c r="QBZ50" s="26"/>
      <c r="QCA50" s="26"/>
      <c r="QCB50" s="67"/>
      <c r="QCC50" s="11"/>
      <c r="QCD50" s="11"/>
      <c r="QCE50" s="68"/>
      <c r="QCF50" s="83"/>
      <c r="QCG50" s="83"/>
      <c r="QCH50" s="80"/>
      <c r="QCI50" s="70"/>
      <c r="QCJ50" s="70"/>
      <c r="QCK50" s="25"/>
      <c r="QCL50" s="26"/>
      <c r="QCM50" s="26"/>
      <c r="QCN50" s="67"/>
      <c r="QCO50" s="11"/>
      <c r="QCP50" s="11"/>
      <c r="QCQ50" s="68"/>
      <c r="QCR50" s="83"/>
      <c r="QCS50" s="83"/>
      <c r="QCT50" s="80"/>
      <c r="QCU50" s="70"/>
      <c r="QCV50" s="70"/>
      <c r="QCW50" s="25"/>
      <c r="QCX50" s="26"/>
      <c r="QCY50" s="26"/>
      <c r="QCZ50" s="67"/>
      <c r="QDA50" s="11"/>
      <c r="QDB50" s="11"/>
      <c r="QDC50" s="68"/>
      <c r="QDD50" s="83"/>
      <c r="QDE50" s="83"/>
      <c r="QDF50" s="80"/>
      <c r="QDG50" s="70"/>
      <c r="QDH50" s="70"/>
      <c r="QDI50" s="25"/>
      <c r="QDJ50" s="26"/>
      <c r="QDK50" s="26"/>
      <c r="QDL50" s="67"/>
      <c r="QDM50" s="11"/>
      <c r="QDN50" s="11"/>
      <c r="QDO50" s="68"/>
      <c r="QDP50" s="83"/>
      <c r="QDQ50" s="83"/>
      <c r="QDR50" s="80"/>
      <c r="QDS50" s="70"/>
      <c r="QDT50" s="70"/>
      <c r="QDU50" s="25"/>
      <c r="QDV50" s="26"/>
      <c r="QDW50" s="26"/>
      <c r="QDX50" s="67"/>
      <c r="QDY50" s="11"/>
      <c r="QDZ50" s="11"/>
      <c r="QEA50" s="68"/>
      <c r="QEB50" s="83"/>
      <c r="QEC50" s="83"/>
      <c r="QED50" s="80"/>
      <c r="QEE50" s="70"/>
      <c r="QEF50" s="70"/>
      <c r="QEG50" s="25"/>
      <c r="QEH50" s="26"/>
      <c r="QEI50" s="26"/>
      <c r="QEJ50" s="67"/>
      <c r="QEK50" s="11"/>
      <c r="QEL50" s="11"/>
      <c r="QEM50" s="68"/>
      <c r="QEN50" s="83"/>
      <c r="QEO50" s="83"/>
      <c r="QEP50" s="80"/>
      <c r="QEQ50" s="70"/>
      <c r="QER50" s="70"/>
      <c r="QES50" s="25"/>
      <c r="QET50" s="26"/>
      <c r="QEU50" s="26"/>
      <c r="QEV50" s="67"/>
      <c r="QEW50" s="11"/>
      <c r="QEX50" s="11"/>
      <c r="QEY50" s="68"/>
      <c r="QEZ50" s="83"/>
      <c r="QFA50" s="83"/>
      <c r="QFB50" s="80"/>
      <c r="QFC50" s="70"/>
      <c r="QFD50" s="70"/>
      <c r="QFE50" s="25"/>
      <c r="QFF50" s="26"/>
      <c r="QFG50" s="26"/>
      <c r="QFH50" s="67"/>
      <c r="QFI50" s="11"/>
      <c r="QFJ50" s="11"/>
      <c r="QFK50" s="68"/>
      <c r="QFL50" s="83"/>
      <c r="QFM50" s="83"/>
      <c r="QFN50" s="80"/>
      <c r="QFO50" s="70"/>
      <c r="QFP50" s="70"/>
      <c r="QFQ50" s="25"/>
      <c r="QFR50" s="26"/>
      <c r="QFS50" s="26"/>
      <c r="QFT50" s="67"/>
      <c r="QFU50" s="11"/>
      <c r="QFV50" s="11"/>
      <c r="QFW50" s="68"/>
      <c r="QFX50" s="83"/>
      <c r="QFY50" s="83"/>
      <c r="QFZ50" s="80"/>
      <c r="QGA50" s="70"/>
      <c r="QGB50" s="70"/>
      <c r="QGC50" s="25"/>
      <c r="QGD50" s="26"/>
      <c r="QGE50" s="26"/>
      <c r="QGF50" s="67"/>
      <c r="QGG50" s="11"/>
      <c r="QGH50" s="11"/>
      <c r="QGI50" s="68"/>
      <c r="QGJ50" s="83"/>
      <c r="QGK50" s="83"/>
      <c r="QGL50" s="80"/>
      <c r="QGM50" s="70"/>
      <c r="QGN50" s="70"/>
      <c r="QGO50" s="25"/>
      <c r="QGP50" s="26"/>
      <c r="QGQ50" s="26"/>
      <c r="QGR50" s="67"/>
      <c r="QGS50" s="11"/>
      <c r="QGT50" s="11"/>
      <c r="QGU50" s="68"/>
      <c r="QGV50" s="83"/>
      <c r="QGW50" s="83"/>
      <c r="QGX50" s="80"/>
      <c r="QGY50" s="70"/>
      <c r="QGZ50" s="70"/>
      <c r="QHA50" s="25"/>
      <c r="QHB50" s="26"/>
      <c r="QHC50" s="26"/>
      <c r="QHD50" s="67"/>
      <c r="QHE50" s="11"/>
      <c r="QHF50" s="11"/>
      <c r="QHG50" s="68"/>
      <c r="QHH50" s="83"/>
      <c r="QHI50" s="83"/>
      <c r="QHJ50" s="80"/>
      <c r="QHK50" s="70"/>
      <c r="QHL50" s="70"/>
      <c r="QHM50" s="25"/>
      <c r="QHN50" s="26"/>
      <c r="QHO50" s="26"/>
      <c r="QHP50" s="67"/>
      <c r="QHQ50" s="11"/>
      <c r="QHR50" s="11"/>
      <c r="QHS50" s="68"/>
      <c r="QHT50" s="83"/>
      <c r="QHU50" s="83"/>
      <c r="QHV50" s="80"/>
      <c r="QHW50" s="70"/>
      <c r="QHX50" s="70"/>
      <c r="QHY50" s="25"/>
      <c r="QHZ50" s="26"/>
      <c r="QIA50" s="26"/>
      <c r="QIB50" s="67"/>
      <c r="QIC50" s="11"/>
      <c r="QID50" s="11"/>
      <c r="QIE50" s="68"/>
      <c r="QIF50" s="83"/>
      <c r="QIG50" s="83"/>
      <c r="QIH50" s="80"/>
      <c r="QII50" s="70"/>
      <c r="QIJ50" s="70"/>
      <c r="QIK50" s="25"/>
      <c r="QIL50" s="26"/>
      <c r="QIM50" s="26"/>
      <c r="QIN50" s="67"/>
      <c r="QIO50" s="11"/>
      <c r="QIP50" s="11"/>
      <c r="QIQ50" s="68"/>
      <c r="QIR50" s="83"/>
      <c r="QIS50" s="83"/>
      <c r="QIT50" s="80"/>
      <c r="QIU50" s="70"/>
      <c r="QIV50" s="70"/>
      <c r="QIW50" s="25"/>
      <c r="QIX50" s="26"/>
      <c r="QIY50" s="26"/>
      <c r="QIZ50" s="67"/>
      <c r="QJA50" s="11"/>
      <c r="QJB50" s="11"/>
      <c r="QJC50" s="68"/>
      <c r="QJD50" s="83"/>
      <c r="QJE50" s="83"/>
      <c r="QJF50" s="80"/>
      <c r="QJG50" s="70"/>
      <c r="QJH50" s="70"/>
      <c r="QJI50" s="25"/>
      <c r="QJJ50" s="26"/>
      <c r="QJK50" s="26"/>
      <c r="QJL50" s="67"/>
      <c r="QJM50" s="11"/>
      <c r="QJN50" s="11"/>
      <c r="QJO50" s="68"/>
      <c r="QJP50" s="83"/>
      <c r="QJQ50" s="83"/>
      <c r="QJR50" s="80"/>
      <c r="QJS50" s="70"/>
      <c r="QJT50" s="70"/>
      <c r="QJU50" s="25"/>
      <c r="QJV50" s="26"/>
      <c r="QJW50" s="26"/>
      <c r="QJX50" s="67"/>
      <c r="QJY50" s="11"/>
      <c r="QJZ50" s="11"/>
      <c r="QKA50" s="68"/>
      <c r="QKB50" s="83"/>
      <c r="QKC50" s="83"/>
      <c r="QKD50" s="80"/>
      <c r="QKE50" s="70"/>
      <c r="QKF50" s="70"/>
      <c r="QKG50" s="25"/>
      <c r="QKH50" s="26"/>
      <c r="QKI50" s="26"/>
      <c r="QKJ50" s="67"/>
      <c r="QKK50" s="11"/>
      <c r="QKL50" s="11"/>
      <c r="QKM50" s="68"/>
      <c r="QKN50" s="83"/>
      <c r="QKO50" s="83"/>
      <c r="QKP50" s="80"/>
      <c r="QKQ50" s="70"/>
      <c r="QKR50" s="70"/>
      <c r="QKS50" s="25"/>
      <c r="QKT50" s="26"/>
      <c r="QKU50" s="26"/>
      <c r="QKV50" s="67"/>
      <c r="QKW50" s="11"/>
      <c r="QKX50" s="11"/>
      <c r="QKY50" s="68"/>
      <c r="QKZ50" s="83"/>
      <c r="QLA50" s="83"/>
      <c r="QLB50" s="80"/>
      <c r="QLC50" s="70"/>
      <c r="QLD50" s="70"/>
      <c r="QLE50" s="25"/>
      <c r="QLF50" s="26"/>
      <c r="QLG50" s="26"/>
      <c r="QLH50" s="67"/>
      <c r="QLI50" s="11"/>
      <c r="QLJ50" s="11"/>
      <c r="QLK50" s="68"/>
      <c r="QLL50" s="83"/>
      <c r="QLM50" s="83"/>
      <c r="QLN50" s="80"/>
      <c r="QLO50" s="70"/>
      <c r="QLP50" s="70"/>
      <c r="QLQ50" s="25"/>
      <c r="QLR50" s="26"/>
      <c r="QLS50" s="26"/>
      <c r="QLT50" s="67"/>
      <c r="QLU50" s="11"/>
      <c r="QLV50" s="11"/>
      <c r="QLW50" s="68"/>
      <c r="QLX50" s="83"/>
      <c r="QLY50" s="83"/>
      <c r="QLZ50" s="80"/>
      <c r="QMA50" s="70"/>
      <c r="QMB50" s="70"/>
      <c r="QMC50" s="25"/>
      <c r="QMD50" s="26"/>
      <c r="QME50" s="26"/>
      <c r="QMF50" s="67"/>
      <c r="QMG50" s="11"/>
      <c r="QMH50" s="11"/>
      <c r="QMI50" s="68"/>
      <c r="QMJ50" s="83"/>
      <c r="QMK50" s="83"/>
      <c r="QML50" s="80"/>
      <c r="QMM50" s="70"/>
      <c r="QMN50" s="70"/>
      <c r="QMO50" s="25"/>
      <c r="QMP50" s="26"/>
      <c r="QMQ50" s="26"/>
      <c r="QMR50" s="67"/>
      <c r="QMS50" s="11"/>
      <c r="QMT50" s="11"/>
      <c r="QMU50" s="68"/>
      <c r="QMV50" s="83"/>
      <c r="QMW50" s="83"/>
      <c r="QMX50" s="80"/>
      <c r="QMY50" s="70"/>
      <c r="QMZ50" s="70"/>
      <c r="QNA50" s="25"/>
      <c r="QNB50" s="26"/>
      <c r="QNC50" s="26"/>
      <c r="QND50" s="67"/>
      <c r="QNE50" s="11"/>
      <c r="QNF50" s="11"/>
      <c r="QNG50" s="68"/>
      <c r="QNH50" s="83"/>
      <c r="QNI50" s="83"/>
      <c r="QNJ50" s="80"/>
      <c r="QNK50" s="70"/>
      <c r="QNL50" s="70"/>
      <c r="QNM50" s="25"/>
      <c r="QNN50" s="26"/>
      <c r="QNO50" s="26"/>
      <c r="QNP50" s="67"/>
      <c r="QNQ50" s="11"/>
      <c r="QNR50" s="11"/>
      <c r="QNS50" s="68"/>
      <c r="QNT50" s="83"/>
      <c r="QNU50" s="83"/>
      <c r="QNV50" s="80"/>
      <c r="QNW50" s="70"/>
      <c r="QNX50" s="70"/>
      <c r="QNY50" s="25"/>
      <c r="QNZ50" s="26"/>
      <c r="QOA50" s="26"/>
      <c r="QOB50" s="67"/>
      <c r="QOC50" s="11"/>
      <c r="QOD50" s="11"/>
      <c r="QOE50" s="68"/>
      <c r="QOF50" s="83"/>
      <c r="QOG50" s="83"/>
      <c r="QOH50" s="80"/>
      <c r="QOI50" s="70"/>
      <c r="QOJ50" s="70"/>
      <c r="QOK50" s="25"/>
      <c r="QOL50" s="26"/>
      <c r="QOM50" s="26"/>
      <c r="QON50" s="67"/>
      <c r="QOO50" s="11"/>
      <c r="QOP50" s="11"/>
      <c r="QOQ50" s="68"/>
      <c r="QOR50" s="83"/>
      <c r="QOS50" s="83"/>
      <c r="QOT50" s="80"/>
      <c r="QOU50" s="70"/>
      <c r="QOV50" s="70"/>
      <c r="QOW50" s="25"/>
      <c r="QOX50" s="26"/>
      <c r="QOY50" s="26"/>
      <c r="QOZ50" s="67"/>
      <c r="QPA50" s="11"/>
      <c r="QPB50" s="11"/>
      <c r="QPC50" s="68"/>
      <c r="QPD50" s="83"/>
      <c r="QPE50" s="83"/>
      <c r="QPF50" s="80"/>
      <c r="QPG50" s="70"/>
      <c r="QPH50" s="70"/>
      <c r="QPI50" s="25"/>
      <c r="QPJ50" s="26"/>
      <c r="QPK50" s="26"/>
      <c r="QPL50" s="67"/>
      <c r="QPM50" s="11"/>
      <c r="QPN50" s="11"/>
      <c r="QPO50" s="68"/>
      <c r="QPP50" s="83"/>
      <c r="QPQ50" s="83"/>
      <c r="QPR50" s="80"/>
      <c r="QPS50" s="70"/>
      <c r="QPT50" s="70"/>
      <c r="QPU50" s="25"/>
      <c r="QPV50" s="26"/>
      <c r="QPW50" s="26"/>
      <c r="QPX50" s="67"/>
      <c r="QPY50" s="11"/>
      <c r="QPZ50" s="11"/>
      <c r="QQA50" s="68"/>
      <c r="QQB50" s="83"/>
      <c r="QQC50" s="83"/>
      <c r="QQD50" s="80"/>
      <c r="QQE50" s="70"/>
      <c r="QQF50" s="70"/>
      <c r="QQG50" s="25"/>
      <c r="QQH50" s="26"/>
      <c r="QQI50" s="26"/>
      <c r="QQJ50" s="67"/>
      <c r="QQK50" s="11"/>
      <c r="QQL50" s="11"/>
      <c r="QQM50" s="68"/>
      <c r="QQN50" s="83"/>
      <c r="QQO50" s="83"/>
      <c r="QQP50" s="80"/>
      <c r="QQQ50" s="70"/>
      <c r="QQR50" s="70"/>
      <c r="QQS50" s="25"/>
      <c r="QQT50" s="26"/>
      <c r="QQU50" s="26"/>
      <c r="QQV50" s="67"/>
      <c r="QQW50" s="11"/>
      <c r="QQX50" s="11"/>
      <c r="QQY50" s="68"/>
      <c r="QQZ50" s="83"/>
      <c r="QRA50" s="83"/>
      <c r="QRB50" s="80"/>
      <c r="QRC50" s="70"/>
      <c r="QRD50" s="70"/>
      <c r="QRE50" s="25"/>
      <c r="QRF50" s="26"/>
      <c r="QRG50" s="26"/>
      <c r="QRH50" s="67"/>
      <c r="QRI50" s="11"/>
      <c r="QRJ50" s="11"/>
      <c r="QRK50" s="68"/>
      <c r="QRL50" s="83"/>
      <c r="QRM50" s="83"/>
      <c r="QRN50" s="80"/>
      <c r="QRO50" s="70"/>
      <c r="QRP50" s="70"/>
      <c r="QRQ50" s="25"/>
      <c r="QRR50" s="26"/>
      <c r="QRS50" s="26"/>
      <c r="QRT50" s="67"/>
      <c r="QRU50" s="11"/>
      <c r="QRV50" s="11"/>
      <c r="QRW50" s="68"/>
      <c r="QRX50" s="83"/>
      <c r="QRY50" s="83"/>
      <c r="QRZ50" s="80"/>
      <c r="QSA50" s="70"/>
      <c r="QSB50" s="70"/>
      <c r="QSC50" s="25"/>
      <c r="QSD50" s="26"/>
      <c r="QSE50" s="26"/>
      <c r="QSF50" s="67"/>
      <c r="QSG50" s="11"/>
      <c r="QSH50" s="11"/>
      <c r="QSI50" s="68"/>
      <c r="QSJ50" s="83"/>
      <c r="QSK50" s="83"/>
      <c r="QSL50" s="80"/>
      <c r="QSM50" s="70"/>
      <c r="QSN50" s="70"/>
      <c r="QSO50" s="25"/>
      <c r="QSP50" s="26"/>
      <c r="QSQ50" s="26"/>
      <c r="QSR50" s="67"/>
      <c r="QSS50" s="11"/>
      <c r="QST50" s="11"/>
      <c r="QSU50" s="68"/>
      <c r="QSV50" s="83"/>
      <c r="QSW50" s="83"/>
      <c r="QSX50" s="80"/>
      <c r="QSY50" s="70"/>
      <c r="QSZ50" s="70"/>
      <c r="QTA50" s="25"/>
      <c r="QTB50" s="26"/>
      <c r="QTC50" s="26"/>
      <c r="QTD50" s="67"/>
      <c r="QTE50" s="11"/>
      <c r="QTF50" s="11"/>
      <c r="QTG50" s="68"/>
      <c r="QTH50" s="83"/>
      <c r="QTI50" s="83"/>
      <c r="QTJ50" s="80"/>
      <c r="QTK50" s="70"/>
      <c r="QTL50" s="70"/>
      <c r="QTM50" s="25"/>
      <c r="QTN50" s="26"/>
      <c r="QTO50" s="26"/>
      <c r="QTP50" s="67"/>
      <c r="QTQ50" s="11"/>
      <c r="QTR50" s="11"/>
      <c r="QTS50" s="68"/>
      <c r="QTT50" s="83"/>
      <c r="QTU50" s="83"/>
      <c r="QTV50" s="80"/>
      <c r="QTW50" s="70"/>
      <c r="QTX50" s="70"/>
      <c r="QTY50" s="25"/>
      <c r="QTZ50" s="26"/>
      <c r="QUA50" s="26"/>
      <c r="QUB50" s="67"/>
      <c r="QUC50" s="11"/>
      <c r="QUD50" s="11"/>
      <c r="QUE50" s="68"/>
      <c r="QUF50" s="83"/>
      <c r="QUG50" s="83"/>
      <c r="QUH50" s="80"/>
      <c r="QUI50" s="70"/>
      <c r="QUJ50" s="70"/>
      <c r="QUK50" s="25"/>
      <c r="QUL50" s="26"/>
      <c r="QUM50" s="26"/>
      <c r="QUN50" s="67"/>
      <c r="QUO50" s="11"/>
      <c r="QUP50" s="11"/>
      <c r="QUQ50" s="68"/>
      <c r="QUR50" s="83"/>
      <c r="QUS50" s="83"/>
      <c r="QUT50" s="80"/>
      <c r="QUU50" s="70"/>
      <c r="QUV50" s="70"/>
      <c r="QUW50" s="25"/>
      <c r="QUX50" s="26"/>
      <c r="QUY50" s="26"/>
      <c r="QUZ50" s="67"/>
      <c r="QVA50" s="11"/>
      <c r="QVB50" s="11"/>
      <c r="QVC50" s="68"/>
      <c r="QVD50" s="83"/>
      <c r="QVE50" s="83"/>
      <c r="QVF50" s="80"/>
      <c r="QVG50" s="70"/>
      <c r="QVH50" s="70"/>
      <c r="QVI50" s="25"/>
      <c r="QVJ50" s="26"/>
      <c r="QVK50" s="26"/>
      <c r="QVL50" s="67"/>
      <c r="QVM50" s="11"/>
      <c r="QVN50" s="11"/>
      <c r="QVO50" s="68"/>
      <c r="QVP50" s="83"/>
      <c r="QVQ50" s="83"/>
      <c r="QVR50" s="80"/>
      <c r="QVS50" s="70"/>
      <c r="QVT50" s="70"/>
      <c r="QVU50" s="25"/>
      <c r="QVV50" s="26"/>
      <c r="QVW50" s="26"/>
      <c r="QVX50" s="67"/>
      <c r="QVY50" s="11"/>
      <c r="QVZ50" s="11"/>
      <c r="QWA50" s="68"/>
      <c r="QWB50" s="83"/>
      <c r="QWC50" s="83"/>
      <c r="QWD50" s="80"/>
      <c r="QWE50" s="70"/>
      <c r="QWF50" s="70"/>
      <c r="QWG50" s="25"/>
      <c r="QWH50" s="26"/>
      <c r="QWI50" s="26"/>
      <c r="QWJ50" s="67"/>
      <c r="QWK50" s="11"/>
      <c r="QWL50" s="11"/>
      <c r="QWM50" s="68"/>
      <c r="QWN50" s="83"/>
      <c r="QWO50" s="83"/>
      <c r="QWP50" s="80"/>
      <c r="QWQ50" s="70"/>
      <c r="QWR50" s="70"/>
      <c r="QWS50" s="25"/>
      <c r="QWT50" s="26"/>
      <c r="QWU50" s="26"/>
      <c r="QWV50" s="67"/>
      <c r="QWW50" s="11"/>
      <c r="QWX50" s="11"/>
      <c r="QWY50" s="68"/>
      <c r="QWZ50" s="83"/>
      <c r="QXA50" s="83"/>
      <c r="QXB50" s="80"/>
      <c r="QXC50" s="70"/>
      <c r="QXD50" s="70"/>
      <c r="QXE50" s="25"/>
      <c r="QXF50" s="26"/>
      <c r="QXG50" s="26"/>
      <c r="QXH50" s="67"/>
      <c r="QXI50" s="11"/>
      <c r="QXJ50" s="11"/>
      <c r="QXK50" s="68"/>
      <c r="QXL50" s="83"/>
      <c r="QXM50" s="83"/>
      <c r="QXN50" s="80"/>
      <c r="QXO50" s="70"/>
      <c r="QXP50" s="70"/>
      <c r="QXQ50" s="25"/>
      <c r="QXR50" s="26"/>
      <c r="QXS50" s="26"/>
      <c r="QXT50" s="67"/>
      <c r="QXU50" s="11"/>
      <c r="QXV50" s="11"/>
      <c r="QXW50" s="68"/>
      <c r="QXX50" s="83"/>
      <c r="QXY50" s="83"/>
      <c r="QXZ50" s="80"/>
      <c r="QYA50" s="70"/>
      <c r="QYB50" s="70"/>
      <c r="QYC50" s="25"/>
      <c r="QYD50" s="26"/>
      <c r="QYE50" s="26"/>
      <c r="QYF50" s="67"/>
      <c r="QYG50" s="11"/>
      <c r="QYH50" s="11"/>
      <c r="QYI50" s="68"/>
      <c r="QYJ50" s="83"/>
      <c r="QYK50" s="83"/>
      <c r="QYL50" s="80"/>
      <c r="QYM50" s="70"/>
      <c r="QYN50" s="70"/>
      <c r="QYO50" s="25"/>
      <c r="QYP50" s="26"/>
      <c r="QYQ50" s="26"/>
      <c r="QYR50" s="67"/>
      <c r="QYS50" s="11"/>
      <c r="QYT50" s="11"/>
      <c r="QYU50" s="68"/>
      <c r="QYV50" s="83"/>
      <c r="QYW50" s="83"/>
      <c r="QYX50" s="80"/>
      <c r="QYY50" s="70"/>
      <c r="QYZ50" s="70"/>
      <c r="QZA50" s="25"/>
      <c r="QZB50" s="26"/>
      <c r="QZC50" s="26"/>
      <c r="QZD50" s="67"/>
      <c r="QZE50" s="11"/>
      <c r="QZF50" s="11"/>
      <c r="QZG50" s="68"/>
      <c r="QZH50" s="83"/>
      <c r="QZI50" s="83"/>
      <c r="QZJ50" s="80"/>
      <c r="QZK50" s="70"/>
      <c r="QZL50" s="70"/>
      <c r="QZM50" s="25"/>
      <c r="QZN50" s="26"/>
      <c r="QZO50" s="26"/>
      <c r="QZP50" s="67"/>
      <c r="QZQ50" s="11"/>
      <c r="QZR50" s="11"/>
      <c r="QZS50" s="68"/>
      <c r="QZT50" s="83"/>
      <c r="QZU50" s="83"/>
      <c r="QZV50" s="80"/>
      <c r="QZW50" s="70"/>
      <c r="QZX50" s="70"/>
      <c r="QZY50" s="25"/>
      <c r="QZZ50" s="26"/>
      <c r="RAA50" s="26"/>
      <c r="RAB50" s="67"/>
      <c r="RAC50" s="11"/>
      <c r="RAD50" s="11"/>
      <c r="RAE50" s="68"/>
      <c r="RAF50" s="83"/>
      <c r="RAG50" s="83"/>
      <c r="RAH50" s="80"/>
      <c r="RAI50" s="70"/>
      <c r="RAJ50" s="70"/>
      <c r="RAK50" s="25"/>
      <c r="RAL50" s="26"/>
      <c r="RAM50" s="26"/>
      <c r="RAN50" s="67"/>
      <c r="RAO50" s="11"/>
      <c r="RAP50" s="11"/>
      <c r="RAQ50" s="68"/>
      <c r="RAR50" s="83"/>
      <c r="RAS50" s="83"/>
      <c r="RAT50" s="80"/>
      <c r="RAU50" s="70"/>
      <c r="RAV50" s="70"/>
      <c r="RAW50" s="25"/>
      <c r="RAX50" s="26"/>
      <c r="RAY50" s="26"/>
      <c r="RAZ50" s="67"/>
      <c r="RBA50" s="11"/>
      <c r="RBB50" s="11"/>
      <c r="RBC50" s="68"/>
      <c r="RBD50" s="83"/>
      <c r="RBE50" s="83"/>
      <c r="RBF50" s="80"/>
      <c r="RBG50" s="70"/>
      <c r="RBH50" s="70"/>
      <c r="RBI50" s="25"/>
      <c r="RBJ50" s="26"/>
      <c r="RBK50" s="26"/>
      <c r="RBL50" s="67"/>
      <c r="RBM50" s="11"/>
      <c r="RBN50" s="11"/>
      <c r="RBO50" s="68"/>
      <c r="RBP50" s="83"/>
      <c r="RBQ50" s="83"/>
      <c r="RBR50" s="80"/>
      <c r="RBS50" s="70"/>
      <c r="RBT50" s="70"/>
      <c r="RBU50" s="25"/>
      <c r="RBV50" s="26"/>
      <c r="RBW50" s="26"/>
      <c r="RBX50" s="67"/>
      <c r="RBY50" s="11"/>
      <c r="RBZ50" s="11"/>
      <c r="RCA50" s="68"/>
      <c r="RCB50" s="83"/>
      <c r="RCC50" s="83"/>
      <c r="RCD50" s="80"/>
      <c r="RCE50" s="70"/>
      <c r="RCF50" s="70"/>
      <c r="RCG50" s="25"/>
      <c r="RCH50" s="26"/>
      <c r="RCI50" s="26"/>
      <c r="RCJ50" s="67"/>
      <c r="RCK50" s="11"/>
      <c r="RCL50" s="11"/>
      <c r="RCM50" s="68"/>
      <c r="RCN50" s="83"/>
      <c r="RCO50" s="83"/>
      <c r="RCP50" s="80"/>
      <c r="RCQ50" s="70"/>
      <c r="RCR50" s="70"/>
      <c r="RCS50" s="25"/>
      <c r="RCT50" s="26"/>
      <c r="RCU50" s="26"/>
      <c r="RCV50" s="67"/>
      <c r="RCW50" s="11"/>
      <c r="RCX50" s="11"/>
      <c r="RCY50" s="68"/>
      <c r="RCZ50" s="83"/>
      <c r="RDA50" s="83"/>
      <c r="RDB50" s="80"/>
      <c r="RDC50" s="70"/>
      <c r="RDD50" s="70"/>
      <c r="RDE50" s="25"/>
      <c r="RDF50" s="26"/>
      <c r="RDG50" s="26"/>
      <c r="RDH50" s="67"/>
      <c r="RDI50" s="11"/>
      <c r="RDJ50" s="11"/>
      <c r="RDK50" s="68"/>
      <c r="RDL50" s="83"/>
      <c r="RDM50" s="83"/>
      <c r="RDN50" s="80"/>
      <c r="RDO50" s="70"/>
      <c r="RDP50" s="70"/>
      <c r="RDQ50" s="25"/>
      <c r="RDR50" s="26"/>
      <c r="RDS50" s="26"/>
      <c r="RDT50" s="67"/>
      <c r="RDU50" s="11"/>
      <c r="RDV50" s="11"/>
      <c r="RDW50" s="68"/>
      <c r="RDX50" s="83"/>
      <c r="RDY50" s="83"/>
      <c r="RDZ50" s="80"/>
      <c r="REA50" s="70"/>
      <c r="REB50" s="70"/>
      <c r="REC50" s="25"/>
      <c r="RED50" s="26"/>
      <c r="REE50" s="26"/>
      <c r="REF50" s="67"/>
      <c r="REG50" s="11"/>
      <c r="REH50" s="11"/>
      <c r="REI50" s="68"/>
      <c r="REJ50" s="83"/>
      <c r="REK50" s="83"/>
      <c r="REL50" s="80"/>
      <c r="REM50" s="70"/>
      <c r="REN50" s="70"/>
      <c r="REO50" s="25"/>
      <c r="REP50" s="26"/>
      <c r="REQ50" s="26"/>
      <c r="RER50" s="67"/>
      <c r="RES50" s="11"/>
      <c r="RET50" s="11"/>
      <c r="REU50" s="68"/>
      <c r="REV50" s="83"/>
      <c r="REW50" s="83"/>
      <c r="REX50" s="80"/>
      <c r="REY50" s="70"/>
      <c r="REZ50" s="70"/>
      <c r="RFA50" s="25"/>
      <c r="RFB50" s="26"/>
      <c r="RFC50" s="26"/>
      <c r="RFD50" s="67"/>
      <c r="RFE50" s="11"/>
      <c r="RFF50" s="11"/>
      <c r="RFG50" s="68"/>
      <c r="RFH50" s="83"/>
      <c r="RFI50" s="83"/>
      <c r="RFJ50" s="80"/>
      <c r="RFK50" s="70"/>
      <c r="RFL50" s="70"/>
      <c r="RFM50" s="25"/>
      <c r="RFN50" s="26"/>
      <c r="RFO50" s="26"/>
      <c r="RFP50" s="67"/>
      <c r="RFQ50" s="11"/>
      <c r="RFR50" s="11"/>
      <c r="RFS50" s="68"/>
      <c r="RFT50" s="83"/>
      <c r="RFU50" s="83"/>
      <c r="RFV50" s="80"/>
      <c r="RFW50" s="70"/>
      <c r="RFX50" s="70"/>
      <c r="RFY50" s="25"/>
      <c r="RFZ50" s="26"/>
      <c r="RGA50" s="26"/>
      <c r="RGB50" s="67"/>
      <c r="RGC50" s="11"/>
      <c r="RGD50" s="11"/>
      <c r="RGE50" s="68"/>
      <c r="RGF50" s="83"/>
      <c r="RGG50" s="83"/>
      <c r="RGH50" s="80"/>
      <c r="RGI50" s="70"/>
      <c r="RGJ50" s="70"/>
      <c r="RGK50" s="25"/>
      <c r="RGL50" s="26"/>
      <c r="RGM50" s="26"/>
      <c r="RGN50" s="67"/>
      <c r="RGO50" s="11"/>
      <c r="RGP50" s="11"/>
      <c r="RGQ50" s="68"/>
      <c r="RGR50" s="83"/>
      <c r="RGS50" s="83"/>
      <c r="RGT50" s="80"/>
      <c r="RGU50" s="70"/>
      <c r="RGV50" s="70"/>
      <c r="RGW50" s="25"/>
      <c r="RGX50" s="26"/>
      <c r="RGY50" s="26"/>
      <c r="RGZ50" s="67"/>
      <c r="RHA50" s="11"/>
      <c r="RHB50" s="11"/>
      <c r="RHC50" s="68"/>
      <c r="RHD50" s="83"/>
      <c r="RHE50" s="83"/>
      <c r="RHF50" s="80"/>
      <c r="RHG50" s="70"/>
      <c r="RHH50" s="70"/>
      <c r="RHI50" s="25"/>
      <c r="RHJ50" s="26"/>
      <c r="RHK50" s="26"/>
      <c r="RHL50" s="67"/>
      <c r="RHM50" s="11"/>
      <c r="RHN50" s="11"/>
      <c r="RHO50" s="68"/>
      <c r="RHP50" s="83"/>
      <c r="RHQ50" s="83"/>
      <c r="RHR50" s="80"/>
      <c r="RHS50" s="70"/>
      <c r="RHT50" s="70"/>
      <c r="RHU50" s="25"/>
      <c r="RHV50" s="26"/>
      <c r="RHW50" s="26"/>
      <c r="RHX50" s="67"/>
      <c r="RHY50" s="11"/>
      <c r="RHZ50" s="11"/>
      <c r="RIA50" s="68"/>
      <c r="RIB50" s="83"/>
      <c r="RIC50" s="83"/>
      <c r="RID50" s="80"/>
      <c r="RIE50" s="70"/>
      <c r="RIF50" s="70"/>
      <c r="RIG50" s="25"/>
      <c r="RIH50" s="26"/>
      <c r="RII50" s="26"/>
      <c r="RIJ50" s="67"/>
      <c r="RIK50" s="11"/>
      <c r="RIL50" s="11"/>
      <c r="RIM50" s="68"/>
      <c r="RIN50" s="83"/>
      <c r="RIO50" s="83"/>
      <c r="RIP50" s="80"/>
      <c r="RIQ50" s="70"/>
      <c r="RIR50" s="70"/>
      <c r="RIS50" s="25"/>
      <c r="RIT50" s="26"/>
      <c r="RIU50" s="26"/>
      <c r="RIV50" s="67"/>
      <c r="RIW50" s="11"/>
      <c r="RIX50" s="11"/>
      <c r="RIY50" s="68"/>
      <c r="RIZ50" s="83"/>
      <c r="RJA50" s="83"/>
      <c r="RJB50" s="80"/>
      <c r="RJC50" s="70"/>
      <c r="RJD50" s="70"/>
      <c r="RJE50" s="25"/>
      <c r="RJF50" s="26"/>
      <c r="RJG50" s="26"/>
      <c r="RJH50" s="67"/>
      <c r="RJI50" s="11"/>
      <c r="RJJ50" s="11"/>
      <c r="RJK50" s="68"/>
      <c r="RJL50" s="83"/>
      <c r="RJM50" s="83"/>
      <c r="RJN50" s="80"/>
      <c r="RJO50" s="70"/>
      <c r="RJP50" s="70"/>
      <c r="RJQ50" s="25"/>
      <c r="RJR50" s="26"/>
      <c r="RJS50" s="26"/>
      <c r="RJT50" s="67"/>
      <c r="RJU50" s="11"/>
      <c r="RJV50" s="11"/>
      <c r="RJW50" s="68"/>
      <c r="RJX50" s="83"/>
      <c r="RJY50" s="83"/>
      <c r="RJZ50" s="80"/>
      <c r="RKA50" s="70"/>
      <c r="RKB50" s="70"/>
      <c r="RKC50" s="25"/>
      <c r="RKD50" s="26"/>
      <c r="RKE50" s="26"/>
      <c r="RKF50" s="67"/>
      <c r="RKG50" s="11"/>
      <c r="RKH50" s="11"/>
      <c r="RKI50" s="68"/>
      <c r="RKJ50" s="83"/>
      <c r="RKK50" s="83"/>
      <c r="RKL50" s="80"/>
      <c r="RKM50" s="70"/>
      <c r="RKN50" s="70"/>
      <c r="RKO50" s="25"/>
      <c r="RKP50" s="26"/>
      <c r="RKQ50" s="26"/>
      <c r="RKR50" s="67"/>
      <c r="RKS50" s="11"/>
      <c r="RKT50" s="11"/>
      <c r="RKU50" s="68"/>
      <c r="RKV50" s="83"/>
      <c r="RKW50" s="83"/>
      <c r="RKX50" s="80"/>
      <c r="RKY50" s="70"/>
      <c r="RKZ50" s="70"/>
      <c r="RLA50" s="25"/>
      <c r="RLB50" s="26"/>
      <c r="RLC50" s="26"/>
      <c r="RLD50" s="67"/>
      <c r="RLE50" s="11"/>
      <c r="RLF50" s="11"/>
      <c r="RLG50" s="68"/>
      <c r="RLH50" s="83"/>
      <c r="RLI50" s="83"/>
      <c r="RLJ50" s="80"/>
      <c r="RLK50" s="70"/>
      <c r="RLL50" s="70"/>
      <c r="RLM50" s="25"/>
      <c r="RLN50" s="26"/>
      <c r="RLO50" s="26"/>
      <c r="RLP50" s="67"/>
      <c r="RLQ50" s="11"/>
      <c r="RLR50" s="11"/>
      <c r="RLS50" s="68"/>
      <c r="RLT50" s="83"/>
      <c r="RLU50" s="83"/>
      <c r="RLV50" s="80"/>
      <c r="RLW50" s="70"/>
      <c r="RLX50" s="70"/>
      <c r="RLY50" s="25"/>
      <c r="RLZ50" s="26"/>
      <c r="RMA50" s="26"/>
      <c r="RMB50" s="67"/>
      <c r="RMC50" s="11"/>
      <c r="RMD50" s="11"/>
      <c r="RME50" s="68"/>
      <c r="RMF50" s="83"/>
      <c r="RMG50" s="83"/>
      <c r="RMH50" s="80"/>
      <c r="RMI50" s="70"/>
      <c r="RMJ50" s="70"/>
      <c r="RMK50" s="25"/>
      <c r="RML50" s="26"/>
      <c r="RMM50" s="26"/>
      <c r="RMN50" s="67"/>
      <c r="RMO50" s="11"/>
      <c r="RMP50" s="11"/>
      <c r="RMQ50" s="68"/>
      <c r="RMR50" s="83"/>
      <c r="RMS50" s="83"/>
      <c r="RMT50" s="80"/>
      <c r="RMU50" s="70"/>
      <c r="RMV50" s="70"/>
      <c r="RMW50" s="25"/>
      <c r="RMX50" s="26"/>
      <c r="RMY50" s="26"/>
      <c r="RMZ50" s="67"/>
      <c r="RNA50" s="11"/>
      <c r="RNB50" s="11"/>
      <c r="RNC50" s="68"/>
      <c r="RND50" s="83"/>
      <c r="RNE50" s="83"/>
      <c r="RNF50" s="80"/>
      <c r="RNG50" s="70"/>
      <c r="RNH50" s="70"/>
      <c r="RNI50" s="25"/>
      <c r="RNJ50" s="26"/>
      <c r="RNK50" s="26"/>
      <c r="RNL50" s="67"/>
      <c r="RNM50" s="11"/>
      <c r="RNN50" s="11"/>
      <c r="RNO50" s="68"/>
      <c r="RNP50" s="83"/>
      <c r="RNQ50" s="83"/>
      <c r="RNR50" s="80"/>
      <c r="RNS50" s="70"/>
      <c r="RNT50" s="70"/>
      <c r="RNU50" s="25"/>
      <c r="RNV50" s="26"/>
      <c r="RNW50" s="26"/>
      <c r="RNX50" s="67"/>
      <c r="RNY50" s="11"/>
      <c r="RNZ50" s="11"/>
      <c r="ROA50" s="68"/>
      <c r="ROB50" s="83"/>
      <c r="ROC50" s="83"/>
      <c r="ROD50" s="80"/>
      <c r="ROE50" s="70"/>
      <c r="ROF50" s="70"/>
      <c r="ROG50" s="25"/>
      <c r="ROH50" s="26"/>
      <c r="ROI50" s="26"/>
      <c r="ROJ50" s="67"/>
      <c r="ROK50" s="11"/>
      <c r="ROL50" s="11"/>
      <c r="ROM50" s="68"/>
      <c r="RON50" s="83"/>
      <c r="ROO50" s="83"/>
      <c r="ROP50" s="80"/>
      <c r="ROQ50" s="70"/>
      <c r="ROR50" s="70"/>
      <c r="ROS50" s="25"/>
      <c r="ROT50" s="26"/>
      <c r="ROU50" s="26"/>
      <c r="ROV50" s="67"/>
      <c r="ROW50" s="11"/>
      <c r="ROX50" s="11"/>
      <c r="ROY50" s="68"/>
      <c r="ROZ50" s="83"/>
      <c r="RPA50" s="83"/>
      <c r="RPB50" s="80"/>
      <c r="RPC50" s="70"/>
      <c r="RPD50" s="70"/>
      <c r="RPE50" s="25"/>
      <c r="RPF50" s="26"/>
      <c r="RPG50" s="26"/>
      <c r="RPH50" s="67"/>
      <c r="RPI50" s="11"/>
      <c r="RPJ50" s="11"/>
      <c r="RPK50" s="68"/>
      <c r="RPL50" s="83"/>
      <c r="RPM50" s="83"/>
      <c r="RPN50" s="80"/>
      <c r="RPO50" s="70"/>
      <c r="RPP50" s="70"/>
      <c r="RPQ50" s="25"/>
      <c r="RPR50" s="26"/>
      <c r="RPS50" s="26"/>
      <c r="RPT50" s="67"/>
      <c r="RPU50" s="11"/>
      <c r="RPV50" s="11"/>
      <c r="RPW50" s="68"/>
      <c r="RPX50" s="83"/>
      <c r="RPY50" s="83"/>
      <c r="RPZ50" s="80"/>
      <c r="RQA50" s="70"/>
      <c r="RQB50" s="70"/>
      <c r="RQC50" s="25"/>
      <c r="RQD50" s="26"/>
      <c r="RQE50" s="26"/>
      <c r="RQF50" s="67"/>
      <c r="RQG50" s="11"/>
      <c r="RQH50" s="11"/>
      <c r="RQI50" s="68"/>
      <c r="RQJ50" s="83"/>
      <c r="RQK50" s="83"/>
      <c r="RQL50" s="80"/>
      <c r="RQM50" s="70"/>
      <c r="RQN50" s="70"/>
      <c r="RQO50" s="25"/>
      <c r="RQP50" s="26"/>
      <c r="RQQ50" s="26"/>
      <c r="RQR50" s="67"/>
      <c r="RQS50" s="11"/>
      <c r="RQT50" s="11"/>
      <c r="RQU50" s="68"/>
      <c r="RQV50" s="83"/>
      <c r="RQW50" s="83"/>
      <c r="RQX50" s="80"/>
      <c r="RQY50" s="70"/>
      <c r="RQZ50" s="70"/>
      <c r="RRA50" s="25"/>
      <c r="RRB50" s="26"/>
      <c r="RRC50" s="26"/>
      <c r="RRD50" s="67"/>
      <c r="RRE50" s="11"/>
      <c r="RRF50" s="11"/>
      <c r="RRG50" s="68"/>
      <c r="RRH50" s="83"/>
      <c r="RRI50" s="83"/>
      <c r="RRJ50" s="80"/>
      <c r="RRK50" s="70"/>
      <c r="RRL50" s="70"/>
      <c r="RRM50" s="25"/>
      <c r="RRN50" s="26"/>
      <c r="RRO50" s="26"/>
      <c r="RRP50" s="67"/>
      <c r="RRQ50" s="11"/>
      <c r="RRR50" s="11"/>
      <c r="RRS50" s="68"/>
      <c r="RRT50" s="83"/>
      <c r="RRU50" s="83"/>
      <c r="RRV50" s="80"/>
      <c r="RRW50" s="70"/>
      <c r="RRX50" s="70"/>
      <c r="RRY50" s="25"/>
      <c r="RRZ50" s="26"/>
      <c r="RSA50" s="26"/>
      <c r="RSB50" s="67"/>
      <c r="RSC50" s="11"/>
      <c r="RSD50" s="11"/>
      <c r="RSE50" s="68"/>
      <c r="RSF50" s="83"/>
      <c r="RSG50" s="83"/>
      <c r="RSH50" s="80"/>
      <c r="RSI50" s="70"/>
      <c r="RSJ50" s="70"/>
      <c r="RSK50" s="25"/>
      <c r="RSL50" s="26"/>
      <c r="RSM50" s="26"/>
      <c r="RSN50" s="67"/>
      <c r="RSO50" s="11"/>
      <c r="RSP50" s="11"/>
      <c r="RSQ50" s="68"/>
      <c r="RSR50" s="83"/>
      <c r="RSS50" s="83"/>
      <c r="RST50" s="80"/>
      <c r="RSU50" s="70"/>
      <c r="RSV50" s="70"/>
      <c r="RSW50" s="25"/>
      <c r="RSX50" s="26"/>
      <c r="RSY50" s="26"/>
      <c r="RSZ50" s="67"/>
      <c r="RTA50" s="11"/>
      <c r="RTB50" s="11"/>
      <c r="RTC50" s="68"/>
      <c r="RTD50" s="83"/>
      <c r="RTE50" s="83"/>
      <c r="RTF50" s="80"/>
      <c r="RTG50" s="70"/>
      <c r="RTH50" s="70"/>
      <c r="RTI50" s="25"/>
      <c r="RTJ50" s="26"/>
      <c r="RTK50" s="26"/>
      <c r="RTL50" s="67"/>
      <c r="RTM50" s="11"/>
      <c r="RTN50" s="11"/>
      <c r="RTO50" s="68"/>
      <c r="RTP50" s="83"/>
      <c r="RTQ50" s="83"/>
      <c r="RTR50" s="80"/>
      <c r="RTS50" s="70"/>
      <c r="RTT50" s="70"/>
      <c r="RTU50" s="25"/>
      <c r="RTV50" s="26"/>
      <c r="RTW50" s="26"/>
      <c r="RTX50" s="67"/>
      <c r="RTY50" s="11"/>
      <c r="RTZ50" s="11"/>
      <c r="RUA50" s="68"/>
      <c r="RUB50" s="83"/>
      <c r="RUC50" s="83"/>
      <c r="RUD50" s="80"/>
      <c r="RUE50" s="70"/>
      <c r="RUF50" s="70"/>
      <c r="RUG50" s="25"/>
      <c r="RUH50" s="26"/>
      <c r="RUI50" s="26"/>
      <c r="RUJ50" s="67"/>
      <c r="RUK50" s="11"/>
      <c r="RUL50" s="11"/>
      <c r="RUM50" s="68"/>
      <c r="RUN50" s="83"/>
      <c r="RUO50" s="83"/>
      <c r="RUP50" s="80"/>
      <c r="RUQ50" s="70"/>
      <c r="RUR50" s="70"/>
      <c r="RUS50" s="25"/>
      <c r="RUT50" s="26"/>
      <c r="RUU50" s="26"/>
      <c r="RUV50" s="67"/>
      <c r="RUW50" s="11"/>
      <c r="RUX50" s="11"/>
      <c r="RUY50" s="68"/>
      <c r="RUZ50" s="83"/>
      <c r="RVA50" s="83"/>
      <c r="RVB50" s="80"/>
      <c r="RVC50" s="70"/>
      <c r="RVD50" s="70"/>
      <c r="RVE50" s="25"/>
      <c r="RVF50" s="26"/>
      <c r="RVG50" s="26"/>
      <c r="RVH50" s="67"/>
      <c r="RVI50" s="11"/>
      <c r="RVJ50" s="11"/>
      <c r="RVK50" s="68"/>
      <c r="RVL50" s="83"/>
      <c r="RVM50" s="83"/>
      <c r="RVN50" s="80"/>
      <c r="RVO50" s="70"/>
      <c r="RVP50" s="70"/>
      <c r="RVQ50" s="25"/>
      <c r="RVR50" s="26"/>
      <c r="RVS50" s="26"/>
      <c r="RVT50" s="67"/>
      <c r="RVU50" s="11"/>
      <c r="RVV50" s="11"/>
      <c r="RVW50" s="68"/>
      <c r="RVX50" s="83"/>
      <c r="RVY50" s="83"/>
      <c r="RVZ50" s="80"/>
      <c r="RWA50" s="70"/>
      <c r="RWB50" s="70"/>
      <c r="RWC50" s="25"/>
      <c r="RWD50" s="26"/>
      <c r="RWE50" s="26"/>
      <c r="RWF50" s="67"/>
      <c r="RWG50" s="11"/>
      <c r="RWH50" s="11"/>
      <c r="RWI50" s="68"/>
      <c r="RWJ50" s="83"/>
      <c r="RWK50" s="83"/>
      <c r="RWL50" s="80"/>
      <c r="RWM50" s="70"/>
      <c r="RWN50" s="70"/>
      <c r="RWO50" s="25"/>
      <c r="RWP50" s="26"/>
      <c r="RWQ50" s="26"/>
      <c r="RWR50" s="67"/>
      <c r="RWS50" s="11"/>
      <c r="RWT50" s="11"/>
      <c r="RWU50" s="68"/>
      <c r="RWV50" s="83"/>
      <c r="RWW50" s="83"/>
      <c r="RWX50" s="80"/>
      <c r="RWY50" s="70"/>
      <c r="RWZ50" s="70"/>
      <c r="RXA50" s="25"/>
      <c r="RXB50" s="26"/>
      <c r="RXC50" s="26"/>
      <c r="RXD50" s="67"/>
      <c r="RXE50" s="11"/>
      <c r="RXF50" s="11"/>
      <c r="RXG50" s="68"/>
      <c r="RXH50" s="83"/>
      <c r="RXI50" s="83"/>
      <c r="RXJ50" s="80"/>
      <c r="RXK50" s="70"/>
      <c r="RXL50" s="70"/>
      <c r="RXM50" s="25"/>
      <c r="RXN50" s="26"/>
      <c r="RXO50" s="26"/>
      <c r="RXP50" s="67"/>
      <c r="RXQ50" s="11"/>
      <c r="RXR50" s="11"/>
      <c r="RXS50" s="68"/>
      <c r="RXT50" s="83"/>
      <c r="RXU50" s="83"/>
      <c r="RXV50" s="80"/>
      <c r="RXW50" s="70"/>
      <c r="RXX50" s="70"/>
      <c r="RXY50" s="25"/>
      <c r="RXZ50" s="26"/>
      <c r="RYA50" s="26"/>
      <c r="RYB50" s="67"/>
      <c r="RYC50" s="11"/>
      <c r="RYD50" s="11"/>
      <c r="RYE50" s="68"/>
      <c r="RYF50" s="83"/>
      <c r="RYG50" s="83"/>
      <c r="RYH50" s="80"/>
      <c r="RYI50" s="70"/>
      <c r="RYJ50" s="70"/>
      <c r="RYK50" s="25"/>
      <c r="RYL50" s="26"/>
      <c r="RYM50" s="26"/>
      <c r="RYN50" s="67"/>
      <c r="RYO50" s="11"/>
      <c r="RYP50" s="11"/>
      <c r="RYQ50" s="68"/>
      <c r="RYR50" s="83"/>
      <c r="RYS50" s="83"/>
      <c r="RYT50" s="80"/>
      <c r="RYU50" s="70"/>
      <c r="RYV50" s="70"/>
      <c r="RYW50" s="25"/>
      <c r="RYX50" s="26"/>
      <c r="RYY50" s="26"/>
      <c r="RYZ50" s="67"/>
      <c r="RZA50" s="11"/>
      <c r="RZB50" s="11"/>
      <c r="RZC50" s="68"/>
      <c r="RZD50" s="83"/>
      <c r="RZE50" s="83"/>
      <c r="RZF50" s="80"/>
      <c r="RZG50" s="70"/>
      <c r="RZH50" s="70"/>
      <c r="RZI50" s="25"/>
      <c r="RZJ50" s="26"/>
      <c r="RZK50" s="26"/>
      <c r="RZL50" s="67"/>
      <c r="RZM50" s="11"/>
      <c r="RZN50" s="11"/>
      <c r="RZO50" s="68"/>
      <c r="RZP50" s="83"/>
      <c r="RZQ50" s="83"/>
      <c r="RZR50" s="80"/>
      <c r="RZS50" s="70"/>
      <c r="RZT50" s="70"/>
      <c r="RZU50" s="25"/>
      <c r="RZV50" s="26"/>
      <c r="RZW50" s="26"/>
      <c r="RZX50" s="67"/>
      <c r="RZY50" s="11"/>
      <c r="RZZ50" s="11"/>
      <c r="SAA50" s="68"/>
      <c r="SAB50" s="83"/>
      <c r="SAC50" s="83"/>
      <c r="SAD50" s="80"/>
      <c r="SAE50" s="70"/>
      <c r="SAF50" s="70"/>
      <c r="SAG50" s="25"/>
      <c r="SAH50" s="26"/>
      <c r="SAI50" s="26"/>
      <c r="SAJ50" s="67"/>
      <c r="SAK50" s="11"/>
      <c r="SAL50" s="11"/>
      <c r="SAM50" s="68"/>
      <c r="SAN50" s="83"/>
      <c r="SAO50" s="83"/>
      <c r="SAP50" s="80"/>
      <c r="SAQ50" s="70"/>
      <c r="SAR50" s="70"/>
      <c r="SAS50" s="25"/>
      <c r="SAT50" s="26"/>
      <c r="SAU50" s="26"/>
      <c r="SAV50" s="67"/>
      <c r="SAW50" s="11"/>
      <c r="SAX50" s="11"/>
      <c r="SAY50" s="68"/>
      <c r="SAZ50" s="83"/>
      <c r="SBA50" s="83"/>
      <c r="SBB50" s="80"/>
      <c r="SBC50" s="70"/>
      <c r="SBD50" s="70"/>
      <c r="SBE50" s="25"/>
      <c r="SBF50" s="26"/>
      <c r="SBG50" s="26"/>
      <c r="SBH50" s="67"/>
      <c r="SBI50" s="11"/>
      <c r="SBJ50" s="11"/>
      <c r="SBK50" s="68"/>
      <c r="SBL50" s="83"/>
      <c r="SBM50" s="83"/>
      <c r="SBN50" s="80"/>
      <c r="SBO50" s="70"/>
      <c r="SBP50" s="70"/>
      <c r="SBQ50" s="25"/>
      <c r="SBR50" s="26"/>
      <c r="SBS50" s="26"/>
      <c r="SBT50" s="67"/>
      <c r="SBU50" s="11"/>
      <c r="SBV50" s="11"/>
      <c r="SBW50" s="68"/>
      <c r="SBX50" s="83"/>
      <c r="SBY50" s="83"/>
      <c r="SBZ50" s="80"/>
      <c r="SCA50" s="70"/>
      <c r="SCB50" s="70"/>
      <c r="SCC50" s="25"/>
      <c r="SCD50" s="26"/>
      <c r="SCE50" s="26"/>
      <c r="SCF50" s="67"/>
      <c r="SCG50" s="11"/>
      <c r="SCH50" s="11"/>
      <c r="SCI50" s="68"/>
      <c r="SCJ50" s="83"/>
      <c r="SCK50" s="83"/>
      <c r="SCL50" s="80"/>
      <c r="SCM50" s="70"/>
      <c r="SCN50" s="70"/>
      <c r="SCO50" s="25"/>
      <c r="SCP50" s="26"/>
      <c r="SCQ50" s="26"/>
      <c r="SCR50" s="67"/>
      <c r="SCS50" s="11"/>
      <c r="SCT50" s="11"/>
      <c r="SCU50" s="68"/>
      <c r="SCV50" s="83"/>
      <c r="SCW50" s="83"/>
      <c r="SCX50" s="80"/>
      <c r="SCY50" s="70"/>
      <c r="SCZ50" s="70"/>
      <c r="SDA50" s="25"/>
      <c r="SDB50" s="26"/>
      <c r="SDC50" s="26"/>
      <c r="SDD50" s="67"/>
      <c r="SDE50" s="11"/>
      <c r="SDF50" s="11"/>
      <c r="SDG50" s="68"/>
      <c r="SDH50" s="83"/>
      <c r="SDI50" s="83"/>
      <c r="SDJ50" s="80"/>
      <c r="SDK50" s="70"/>
      <c r="SDL50" s="70"/>
      <c r="SDM50" s="25"/>
      <c r="SDN50" s="26"/>
      <c r="SDO50" s="26"/>
      <c r="SDP50" s="67"/>
      <c r="SDQ50" s="11"/>
      <c r="SDR50" s="11"/>
      <c r="SDS50" s="68"/>
      <c r="SDT50" s="83"/>
      <c r="SDU50" s="83"/>
      <c r="SDV50" s="80"/>
      <c r="SDW50" s="70"/>
      <c r="SDX50" s="70"/>
      <c r="SDY50" s="25"/>
      <c r="SDZ50" s="26"/>
      <c r="SEA50" s="26"/>
      <c r="SEB50" s="67"/>
      <c r="SEC50" s="11"/>
      <c r="SED50" s="11"/>
      <c r="SEE50" s="68"/>
      <c r="SEF50" s="83"/>
      <c r="SEG50" s="83"/>
      <c r="SEH50" s="80"/>
      <c r="SEI50" s="70"/>
      <c r="SEJ50" s="70"/>
      <c r="SEK50" s="25"/>
      <c r="SEL50" s="26"/>
      <c r="SEM50" s="26"/>
      <c r="SEN50" s="67"/>
      <c r="SEO50" s="11"/>
      <c r="SEP50" s="11"/>
      <c r="SEQ50" s="68"/>
      <c r="SER50" s="83"/>
      <c r="SES50" s="83"/>
      <c r="SET50" s="80"/>
      <c r="SEU50" s="70"/>
      <c r="SEV50" s="70"/>
      <c r="SEW50" s="25"/>
      <c r="SEX50" s="26"/>
      <c r="SEY50" s="26"/>
      <c r="SEZ50" s="67"/>
      <c r="SFA50" s="11"/>
      <c r="SFB50" s="11"/>
      <c r="SFC50" s="68"/>
      <c r="SFD50" s="83"/>
      <c r="SFE50" s="83"/>
      <c r="SFF50" s="80"/>
      <c r="SFG50" s="70"/>
      <c r="SFH50" s="70"/>
      <c r="SFI50" s="25"/>
      <c r="SFJ50" s="26"/>
      <c r="SFK50" s="26"/>
      <c r="SFL50" s="67"/>
      <c r="SFM50" s="11"/>
      <c r="SFN50" s="11"/>
      <c r="SFO50" s="68"/>
      <c r="SFP50" s="83"/>
      <c r="SFQ50" s="83"/>
      <c r="SFR50" s="80"/>
      <c r="SFS50" s="70"/>
      <c r="SFT50" s="70"/>
      <c r="SFU50" s="25"/>
      <c r="SFV50" s="26"/>
      <c r="SFW50" s="26"/>
      <c r="SFX50" s="67"/>
      <c r="SFY50" s="11"/>
      <c r="SFZ50" s="11"/>
      <c r="SGA50" s="68"/>
      <c r="SGB50" s="83"/>
      <c r="SGC50" s="83"/>
      <c r="SGD50" s="80"/>
      <c r="SGE50" s="70"/>
      <c r="SGF50" s="70"/>
      <c r="SGG50" s="25"/>
      <c r="SGH50" s="26"/>
      <c r="SGI50" s="26"/>
      <c r="SGJ50" s="67"/>
      <c r="SGK50" s="11"/>
      <c r="SGL50" s="11"/>
      <c r="SGM50" s="68"/>
      <c r="SGN50" s="83"/>
      <c r="SGO50" s="83"/>
      <c r="SGP50" s="80"/>
      <c r="SGQ50" s="70"/>
      <c r="SGR50" s="70"/>
      <c r="SGS50" s="25"/>
      <c r="SGT50" s="26"/>
      <c r="SGU50" s="26"/>
      <c r="SGV50" s="67"/>
      <c r="SGW50" s="11"/>
      <c r="SGX50" s="11"/>
      <c r="SGY50" s="68"/>
      <c r="SGZ50" s="83"/>
      <c r="SHA50" s="83"/>
      <c r="SHB50" s="80"/>
      <c r="SHC50" s="70"/>
      <c r="SHD50" s="70"/>
      <c r="SHE50" s="25"/>
      <c r="SHF50" s="26"/>
      <c r="SHG50" s="26"/>
      <c r="SHH50" s="67"/>
      <c r="SHI50" s="11"/>
      <c r="SHJ50" s="11"/>
      <c r="SHK50" s="68"/>
      <c r="SHL50" s="83"/>
      <c r="SHM50" s="83"/>
      <c r="SHN50" s="80"/>
      <c r="SHO50" s="70"/>
      <c r="SHP50" s="70"/>
      <c r="SHQ50" s="25"/>
      <c r="SHR50" s="26"/>
      <c r="SHS50" s="26"/>
      <c r="SHT50" s="67"/>
      <c r="SHU50" s="11"/>
      <c r="SHV50" s="11"/>
      <c r="SHW50" s="68"/>
      <c r="SHX50" s="83"/>
      <c r="SHY50" s="83"/>
      <c r="SHZ50" s="80"/>
      <c r="SIA50" s="70"/>
      <c r="SIB50" s="70"/>
      <c r="SIC50" s="25"/>
      <c r="SID50" s="26"/>
      <c r="SIE50" s="26"/>
      <c r="SIF50" s="67"/>
      <c r="SIG50" s="11"/>
      <c r="SIH50" s="11"/>
      <c r="SII50" s="68"/>
      <c r="SIJ50" s="83"/>
      <c r="SIK50" s="83"/>
      <c r="SIL50" s="80"/>
      <c r="SIM50" s="70"/>
      <c r="SIN50" s="70"/>
      <c r="SIO50" s="25"/>
      <c r="SIP50" s="26"/>
      <c r="SIQ50" s="26"/>
      <c r="SIR50" s="67"/>
      <c r="SIS50" s="11"/>
      <c r="SIT50" s="11"/>
      <c r="SIU50" s="68"/>
      <c r="SIV50" s="83"/>
      <c r="SIW50" s="83"/>
      <c r="SIX50" s="80"/>
      <c r="SIY50" s="70"/>
      <c r="SIZ50" s="70"/>
      <c r="SJA50" s="25"/>
      <c r="SJB50" s="26"/>
      <c r="SJC50" s="26"/>
      <c r="SJD50" s="67"/>
      <c r="SJE50" s="11"/>
      <c r="SJF50" s="11"/>
      <c r="SJG50" s="68"/>
      <c r="SJH50" s="83"/>
      <c r="SJI50" s="83"/>
      <c r="SJJ50" s="80"/>
      <c r="SJK50" s="70"/>
      <c r="SJL50" s="70"/>
      <c r="SJM50" s="25"/>
      <c r="SJN50" s="26"/>
      <c r="SJO50" s="26"/>
      <c r="SJP50" s="67"/>
      <c r="SJQ50" s="11"/>
      <c r="SJR50" s="11"/>
      <c r="SJS50" s="68"/>
      <c r="SJT50" s="83"/>
      <c r="SJU50" s="83"/>
      <c r="SJV50" s="80"/>
      <c r="SJW50" s="70"/>
      <c r="SJX50" s="70"/>
      <c r="SJY50" s="25"/>
      <c r="SJZ50" s="26"/>
      <c r="SKA50" s="26"/>
      <c r="SKB50" s="67"/>
      <c r="SKC50" s="11"/>
      <c r="SKD50" s="11"/>
      <c r="SKE50" s="68"/>
      <c r="SKF50" s="83"/>
      <c r="SKG50" s="83"/>
      <c r="SKH50" s="80"/>
      <c r="SKI50" s="70"/>
      <c r="SKJ50" s="70"/>
      <c r="SKK50" s="25"/>
      <c r="SKL50" s="26"/>
      <c r="SKM50" s="26"/>
      <c r="SKN50" s="67"/>
      <c r="SKO50" s="11"/>
      <c r="SKP50" s="11"/>
      <c r="SKQ50" s="68"/>
      <c r="SKR50" s="83"/>
      <c r="SKS50" s="83"/>
      <c r="SKT50" s="80"/>
      <c r="SKU50" s="70"/>
      <c r="SKV50" s="70"/>
      <c r="SKW50" s="25"/>
      <c r="SKX50" s="26"/>
      <c r="SKY50" s="26"/>
      <c r="SKZ50" s="67"/>
      <c r="SLA50" s="11"/>
      <c r="SLB50" s="11"/>
      <c r="SLC50" s="68"/>
      <c r="SLD50" s="83"/>
      <c r="SLE50" s="83"/>
      <c r="SLF50" s="80"/>
      <c r="SLG50" s="70"/>
      <c r="SLH50" s="70"/>
      <c r="SLI50" s="25"/>
      <c r="SLJ50" s="26"/>
      <c r="SLK50" s="26"/>
      <c r="SLL50" s="67"/>
      <c r="SLM50" s="11"/>
      <c r="SLN50" s="11"/>
      <c r="SLO50" s="68"/>
      <c r="SLP50" s="83"/>
      <c r="SLQ50" s="83"/>
      <c r="SLR50" s="80"/>
      <c r="SLS50" s="70"/>
      <c r="SLT50" s="70"/>
      <c r="SLU50" s="25"/>
      <c r="SLV50" s="26"/>
      <c r="SLW50" s="26"/>
      <c r="SLX50" s="67"/>
      <c r="SLY50" s="11"/>
      <c r="SLZ50" s="11"/>
      <c r="SMA50" s="68"/>
      <c r="SMB50" s="83"/>
      <c r="SMC50" s="83"/>
      <c r="SMD50" s="80"/>
      <c r="SME50" s="70"/>
      <c r="SMF50" s="70"/>
      <c r="SMG50" s="25"/>
      <c r="SMH50" s="26"/>
      <c r="SMI50" s="26"/>
      <c r="SMJ50" s="67"/>
      <c r="SMK50" s="11"/>
      <c r="SML50" s="11"/>
      <c r="SMM50" s="68"/>
      <c r="SMN50" s="83"/>
      <c r="SMO50" s="83"/>
      <c r="SMP50" s="80"/>
      <c r="SMQ50" s="70"/>
      <c r="SMR50" s="70"/>
      <c r="SMS50" s="25"/>
      <c r="SMT50" s="26"/>
      <c r="SMU50" s="26"/>
      <c r="SMV50" s="67"/>
      <c r="SMW50" s="11"/>
      <c r="SMX50" s="11"/>
      <c r="SMY50" s="68"/>
      <c r="SMZ50" s="83"/>
      <c r="SNA50" s="83"/>
      <c r="SNB50" s="80"/>
      <c r="SNC50" s="70"/>
      <c r="SND50" s="70"/>
      <c r="SNE50" s="25"/>
      <c r="SNF50" s="26"/>
      <c r="SNG50" s="26"/>
      <c r="SNH50" s="67"/>
      <c r="SNI50" s="11"/>
      <c r="SNJ50" s="11"/>
      <c r="SNK50" s="68"/>
      <c r="SNL50" s="83"/>
      <c r="SNM50" s="83"/>
      <c r="SNN50" s="80"/>
      <c r="SNO50" s="70"/>
      <c r="SNP50" s="70"/>
      <c r="SNQ50" s="25"/>
      <c r="SNR50" s="26"/>
      <c r="SNS50" s="26"/>
      <c r="SNT50" s="67"/>
      <c r="SNU50" s="11"/>
      <c r="SNV50" s="11"/>
      <c r="SNW50" s="68"/>
      <c r="SNX50" s="83"/>
      <c r="SNY50" s="83"/>
      <c r="SNZ50" s="80"/>
      <c r="SOA50" s="70"/>
      <c r="SOB50" s="70"/>
      <c r="SOC50" s="25"/>
      <c r="SOD50" s="26"/>
      <c r="SOE50" s="26"/>
      <c r="SOF50" s="67"/>
      <c r="SOG50" s="11"/>
      <c r="SOH50" s="11"/>
      <c r="SOI50" s="68"/>
      <c r="SOJ50" s="83"/>
      <c r="SOK50" s="83"/>
      <c r="SOL50" s="80"/>
      <c r="SOM50" s="70"/>
      <c r="SON50" s="70"/>
      <c r="SOO50" s="25"/>
      <c r="SOP50" s="26"/>
      <c r="SOQ50" s="26"/>
      <c r="SOR50" s="67"/>
      <c r="SOS50" s="11"/>
      <c r="SOT50" s="11"/>
      <c r="SOU50" s="68"/>
      <c r="SOV50" s="83"/>
      <c r="SOW50" s="83"/>
      <c r="SOX50" s="80"/>
      <c r="SOY50" s="70"/>
      <c r="SOZ50" s="70"/>
      <c r="SPA50" s="25"/>
      <c r="SPB50" s="26"/>
      <c r="SPC50" s="26"/>
      <c r="SPD50" s="67"/>
      <c r="SPE50" s="11"/>
      <c r="SPF50" s="11"/>
      <c r="SPG50" s="68"/>
      <c r="SPH50" s="83"/>
      <c r="SPI50" s="83"/>
      <c r="SPJ50" s="80"/>
      <c r="SPK50" s="70"/>
      <c r="SPL50" s="70"/>
      <c r="SPM50" s="25"/>
      <c r="SPN50" s="26"/>
      <c r="SPO50" s="26"/>
      <c r="SPP50" s="67"/>
      <c r="SPQ50" s="11"/>
      <c r="SPR50" s="11"/>
      <c r="SPS50" s="68"/>
      <c r="SPT50" s="83"/>
      <c r="SPU50" s="83"/>
      <c r="SPV50" s="80"/>
      <c r="SPW50" s="70"/>
      <c r="SPX50" s="70"/>
      <c r="SPY50" s="25"/>
      <c r="SPZ50" s="26"/>
      <c r="SQA50" s="26"/>
      <c r="SQB50" s="67"/>
      <c r="SQC50" s="11"/>
      <c r="SQD50" s="11"/>
      <c r="SQE50" s="68"/>
      <c r="SQF50" s="83"/>
      <c r="SQG50" s="83"/>
      <c r="SQH50" s="80"/>
      <c r="SQI50" s="70"/>
      <c r="SQJ50" s="70"/>
      <c r="SQK50" s="25"/>
      <c r="SQL50" s="26"/>
      <c r="SQM50" s="26"/>
      <c r="SQN50" s="67"/>
      <c r="SQO50" s="11"/>
      <c r="SQP50" s="11"/>
      <c r="SQQ50" s="68"/>
      <c r="SQR50" s="83"/>
      <c r="SQS50" s="83"/>
      <c r="SQT50" s="80"/>
      <c r="SQU50" s="70"/>
      <c r="SQV50" s="70"/>
      <c r="SQW50" s="25"/>
      <c r="SQX50" s="26"/>
      <c r="SQY50" s="26"/>
      <c r="SQZ50" s="67"/>
      <c r="SRA50" s="11"/>
      <c r="SRB50" s="11"/>
      <c r="SRC50" s="68"/>
      <c r="SRD50" s="83"/>
      <c r="SRE50" s="83"/>
      <c r="SRF50" s="80"/>
      <c r="SRG50" s="70"/>
      <c r="SRH50" s="70"/>
      <c r="SRI50" s="25"/>
      <c r="SRJ50" s="26"/>
      <c r="SRK50" s="26"/>
      <c r="SRL50" s="67"/>
      <c r="SRM50" s="11"/>
      <c r="SRN50" s="11"/>
      <c r="SRO50" s="68"/>
      <c r="SRP50" s="83"/>
      <c r="SRQ50" s="83"/>
      <c r="SRR50" s="80"/>
      <c r="SRS50" s="70"/>
      <c r="SRT50" s="70"/>
      <c r="SRU50" s="25"/>
      <c r="SRV50" s="26"/>
      <c r="SRW50" s="26"/>
      <c r="SRX50" s="67"/>
      <c r="SRY50" s="11"/>
      <c r="SRZ50" s="11"/>
      <c r="SSA50" s="68"/>
      <c r="SSB50" s="83"/>
      <c r="SSC50" s="83"/>
      <c r="SSD50" s="80"/>
      <c r="SSE50" s="70"/>
      <c r="SSF50" s="70"/>
      <c r="SSG50" s="25"/>
      <c r="SSH50" s="26"/>
      <c r="SSI50" s="26"/>
      <c r="SSJ50" s="67"/>
      <c r="SSK50" s="11"/>
      <c r="SSL50" s="11"/>
      <c r="SSM50" s="68"/>
      <c r="SSN50" s="83"/>
      <c r="SSO50" s="83"/>
      <c r="SSP50" s="80"/>
      <c r="SSQ50" s="70"/>
      <c r="SSR50" s="70"/>
      <c r="SSS50" s="25"/>
      <c r="SST50" s="26"/>
      <c r="SSU50" s="26"/>
      <c r="SSV50" s="67"/>
      <c r="SSW50" s="11"/>
      <c r="SSX50" s="11"/>
      <c r="SSY50" s="68"/>
      <c r="SSZ50" s="83"/>
      <c r="STA50" s="83"/>
      <c r="STB50" s="80"/>
      <c r="STC50" s="70"/>
      <c r="STD50" s="70"/>
      <c r="STE50" s="25"/>
      <c r="STF50" s="26"/>
      <c r="STG50" s="26"/>
      <c r="STH50" s="67"/>
      <c r="STI50" s="11"/>
      <c r="STJ50" s="11"/>
      <c r="STK50" s="68"/>
      <c r="STL50" s="83"/>
      <c r="STM50" s="83"/>
      <c r="STN50" s="80"/>
      <c r="STO50" s="70"/>
      <c r="STP50" s="70"/>
      <c r="STQ50" s="25"/>
      <c r="STR50" s="26"/>
      <c r="STS50" s="26"/>
      <c r="STT50" s="67"/>
      <c r="STU50" s="11"/>
      <c r="STV50" s="11"/>
      <c r="STW50" s="68"/>
      <c r="STX50" s="83"/>
      <c r="STY50" s="83"/>
      <c r="STZ50" s="80"/>
      <c r="SUA50" s="70"/>
      <c r="SUB50" s="70"/>
      <c r="SUC50" s="25"/>
      <c r="SUD50" s="26"/>
      <c r="SUE50" s="26"/>
      <c r="SUF50" s="67"/>
      <c r="SUG50" s="11"/>
      <c r="SUH50" s="11"/>
      <c r="SUI50" s="68"/>
      <c r="SUJ50" s="83"/>
      <c r="SUK50" s="83"/>
      <c r="SUL50" s="80"/>
      <c r="SUM50" s="70"/>
      <c r="SUN50" s="70"/>
      <c r="SUO50" s="25"/>
      <c r="SUP50" s="26"/>
      <c r="SUQ50" s="26"/>
      <c r="SUR50" s="67"/>
      <c r="SUS50" s="11"/>
      <c r="SUT50" s="11"/>
      <c r="SUU50" s="68"/>
      <c r="SUV50" s="83"/>
      <c r="SUW50" s="83"/>
      <c r="SUX50" s="80"/>
      <c r="SUY50" s="70"/>
      <c r="SUZ50" s="70"/>
      <c r="SVA50" s="25"/>
      <c r="SVB50" s="26"/>
      <c r="SVC50" s="26"/>
      <c r="SVD50" s="67"/>
      <c r="SVE50" s="11"/>
      <c r="SVF50" s="11"/>
      <c r="SVG50" s="68"/>
      <c r="SVH50" s="83"/>
      <c r="SVI50" s="83"/>
      <c r="SVJ50" s="80"/>
      <c r="SVK50" s="70"/>
      <c r="SVL50" s="70"/>
      <c r="SVM50" s="25"/>
      <c r="SVN50" s="26"/>
      <c r="SVO50" s="26"/>
      <c r="SVP50" s="67"/>
      <c r="SVQ50" s="11"/>
      <c r="SVR50" s="11"/>
      <c r="SVS50" s="68"/>
      <c r="SVT50" s="83"/>
      <c r="SVU50" s="83"/>
      <c r="SVV50" s="80"/>
      <c r="SVW50" s="70"/>
      <c r="SVX50" s="70"/>
      <c r="SVY50" s="25"/>
      <c r="SVZ50" s="26"/>
      <c r="SWA50" s="26"/>
      <c r="SWB50" s="67"/>
      <c r="SWC50" s="11"/>
      <c r="SWD50" s="11"/>
      <c r="SWE50" s="68"/>
      <c r="SWF50" s="83"/>
      <c r="SWG50" s="83"/>
      <c r="SWH50" s="80"/>
      <c r="SWI50" s="70"/>
      <c r="SWJ50" s="70"/>
      <c r="SWK50" s="25"/>
      <c r="SWL50" s="26"/>
      <c r="SWM50" s="26"/>
      <c r="SWN50" s="67"/>
      <c r="SWO50" s="11"/>
      <c r="SWP50" s="11"/>
      <c r="SWQ50" s="68"/>
      <c r="SWR50" s="83"/>
      <c r="SWS50" s="83"/>
      <c r="SWT50" s="80"/>
      <c r="SWU50" s="70"/>
      <c r="SWV50" s="70"/>
      <c r="SWW50" s="25"/>
      <c r="SWX50" s="26"/>
      <c r="SWY50" s="26"/>
      <c r="SWZ50" s="67"/>
      <c r="SXA50" s="11"/>
      <c r="SXB50" s="11"/>
      <c r="SXC50" s="68"/>
      <c r="SXD50" s="83"/>
      <c r="SXE50" s="83"/>
      <c r="SXF50" s="80"/>
      <c r="SXG50" s="70"/>
      <c r="SXH50" s="70"/>
      <c r="SXI50" s="25"/>
      <c r="SXJ50" s="26"/>
      <c r="SXK50" s="26"/>
      <c r="SXL50" s="67"/>
      <c r="SXM50" s="11"/>
      <c r="SXN50" s="11"/>
      <c r="SXO50" s="68"/>
      <c r="SXP50" s="83"/>
      <c r="SXQ50" s="83"/>
      <c r="SXR50" s="80"/>
      <c r="SXS50" s="70"/>
      <c r="SXT50" s="70"/>
      <c r="SXU50" s="25"/>
      <c r="SXV50" s="26"/>
      <c r="SXW50" s="26"/>
      <c r="SXX50" s="67"/>
      <c r="SXY50" s="11"/>
      <c r="SXZ50" s="11"/>
      <c r="SYA50" s="68"/>
      <c r="SYB50" s="83"/>
      <c r="SYC50" s="83"/>
      <c r="SYD50" s="80"/>
      <c r="SYE50" s="70"/>
      <c r="SYF50" s="70"/>
      <c r="SYG50" s="25"/>
      <c r="SYH50" s="26"/>
      <c r="SYI50" s="26"/>
      <c r="SYJ50" s="67"/>
      <c r="SYK50" s="11"/>
      <c r="SYL50" s="11"/>
      <c r="SYM50" s="68"/>
      <c r="SYN50" s="83"/>
      <c r="SYO50" s="83"/>
      <c r="SYP50" s="80"/>
      <c r="SYQ50" s="70"/>
      <c r="SYR50" s="70"/>
      <c r="SYS50" s="25"/>
      <c r="SYT50" s="26"/>
      <c r="SYU50" s="26"/>
      <c r="SYV50" s="67"/>
      <c r="SYW50" s="11"/>
      <c r="SYX50" s="11"/>
      <c r="SYY50" s="68"/>
      <c r="SYZ50" s="83"/>
      <c r="SZA50" s="83"/>
      <c r="SZB50" s="80"/>
      <c r="SZC50" s="70"/>
      <c r="SZD50" s="70"/>
      <c r="SZE50" s="25"/>
      <c r="SZF50" s="26"/>
      <c r="SZG50" s="26"/>
      <c r="SZH50" s="67"/>
      <c r="SZI50" s="11"/>
      <c r="SZJ50" s="11"/>
      <c r="SZK50" s="68"/>
      <c r="SZL50" s="83"/>
      <c r="SZM50" s="83"/>
      <c r="SZN50" s="80"/>
      <c r="SZO50" s="70"/>
      <c r="SZP50" s="70"/>
      <c r="SZQ50" s="25"/>
      <c r="SZR50" s="26"/>
      <c r="SZS50" s="26"/>
      <c r="SZT50" s="67"/>
      <c r="SZU50" s="11"/>
      <c r="SZV50" s="11"/>
      <c r="SZW50" s="68"/>
      <c r="SZX50" s="83"/>
      <c r="SZY50" s="83"/>
      <c r="SZZ50" s="80"/>
      <c r="TAA50" s="70"/>
      <c r="TAB50" s="70"/>
      <c r="TAC50" s="25"/>
      <c r="TAD50" s="26"/>
      <c r="TAE50" s="26"/>
      <c r="TAF50" s="67"/>
      <c r="TAG50" s="11"/>
      <c r="TAH50" s="11"/>
      <c r="TAI50" s="68"/>
      <c r="TAJ50" s="83"/>
      <c r="TAK50" s="83"/>
      <c r="TAL50" s="80"/>
      <c r="TAM50" s="70"/>
      <c r="TAN50" s="70"/>
      <c r="TAO50" s="25"/>
      <c r="TAP50" s="26"/>
      <c r="TAQ50" s="26"/>
      <c r="TAR50" s="67"/>
      <c r="TAS50" s="11"/>
      <c r="TAT50" s="11"/>
      <c r="TAU50" s="68"/>
      <c r="TAV50" s="83"/>
      <c r="TAW50" s="83"/>
      <c r="TAX50" s="80"/>
      <c r="TAY50" s="70"/>
      <c r="TAZ50" s="70"/>
      <c r="TBA50" s="25"/>
      <c r="TBB50" s="26"/>
      <c r="TBC50" s="26"/>
      <c r="TBD50" s="67"/>
      <c r="TBE50" s="11"/>
      <c r="TBF50" s="11"/>
      <c r="TBG50" s="68"/>
      <c r="TBH50" s="83"/>
      <c r="TBI50" s="83"/>
      <c r="TBJ50" s="80"/>
      <c r="TBK50" s="70"/>
      <c r="TBL50" s="70"/>
      <c r="TBM50" s="25"/>
      <c r="TBN50" s="26"/>
      <c r="TBO50" s="26"/>
      <c r="TBP50" s="67"/>
      <c r="TBQ50" s="11"/>
      <c r="TBR50" s="11"/>
      <c r="TBS50" s="68"/>
      <c r="TBT50" s="83"/>
      <c r="TBU50" s="83"/>
      <c r="TBV50" s="80"/>
      <c r="TBW50" s="70"/>
      <c r="TBX50" s="70"/>
      <c r="TBY50" s="25"/>
      <c r="TBZ50" s="26"/>
      <c r="TCA50" s="26"/>
      <c r="TCB50" s="67"/>
      <c r="TCC50" s="11"/>
      <c r="TCD50" s="11"/>
      <c r="TCE50" s="68"/>
      <c r="TCF50" s="83"/>
      <c r="TCG50" s="83"/>
      <c r="TCH50" s="80"/>
      <c r="TCI50" s="70"/>
      <c r="TCJ50" s="70"/>
      <c r="TCK50" s="25"/>
      <c r="TCL50" s="26"/>
      <c r="TCM50" s="26"/>
      <c r="TCN50" s="67"/>
      <c r="TCO50" s="11"/>
      <c r="TCP50" s="11"/>
      <c r="TCQ50" s="68"/>
      <c r="TCR50" s="83"/>
      <c r="TCS50" s="83"/>
      <c r="TCT50" s="80"/>
      <c r="TCU50" s="70"/>
      <c r="TCV50" s="70"/>
      <c r="TCW50" s="25"/>
      <c r="TCX50" s="26"/>
      <c r="TCY50" s="26"/>
      <c r="TCZ50" s="67"/>
      <c r="TDA50" s="11"/>
      <c r="TDB50" s="11"/>
      <c r="TDC50" s="68"/>
      <c r="TDD50" s="83"/>
      <c r="TDE50" s="83"/>
      <c r="TDF50" s="80"/>
      <c r="TDG50" s="70"/>
      <c r="TDH50" s="70"/>
      <c r="TDI50" s="25"/>
      <c r="TDJ50" s="26"/>
      <c r="TDK50" s="26"/>
      <c r="TDL50" s="67"/>
      <c r="TDM50" s="11"/>
      <c r="TDN50" s="11"/>
      <c r="TDO50" s="68"/>
      <c r="TDP50" s="83"/>
      <c r="TDQ50" s="83"/>
      <c r="TDR50" s="80"/>
      <c r="TDS50" s="70"/>
      <c r="TDT50" s="70"/>
      <c r="TDU50" s="25"/>
      <c r="TDV50" s="26"/>
      <c r="TDW50" s="26"/>
      <c r="TDX50" s="67"/>
      <c r="TDY50" s="11"/>
      <c r="TDZ50" s="11"/>
      <c r="TEA50" s="68"/>
      <c r="TEB50" s="83"/>
      <c r="TEC50" s="83"/>
      <c r="TED50" s="80"/>
      <c r="TEE50" s="70"/>
      <c r="TEF50" s="70"/>
      <c r="TEG50" s="25"/>
      <c r="TEH50" s="26"/>
      <c r="TEI50" s="26"/>
      <c r="TEJ50" s="67"/>
      <c r="TEK50" s="11"/>
      <c r="TEL50" s="11"/>
      <c r="TEM50" s="68"/>
      <c r="TEN50" s="83"/>
      <c r="TEO50" s="83"/>
      <c r="TEP50" s="80"/>
      <c r="TEQ50" s="70"/>
      <c r="TER50" s="70"/>
      <c r="TES50" s="25"/>
      <c r="TET50" s="26"/>
      <c r="TEU50" s="26"/>
      <c r="TEV50" s="67"/>
      <c r="TEW50" s="11"/>
      <c r="TEX50" s="11"/>
      <c r="TEY50" s="68"/>
      <c r="TEZ50" s="83"/>
      <c r="TFA50" s="83"/>
      <c r="TFB50" s="80"/>
      <c r="TFC50" s="70"/>
      <c r="TFD50" s="70"/>
      <c r="TFE50" s="25"/>
      <c r="TFF50" s="26"/>
      <c r="TFG50" s="26"/>
      <c r="TFH50" s="67"/>
      <c r="TFI50" s="11"/>
      <c r="TFJ50" s="11"/>
      <c r="TFK50" s="68"/>
      <c r="TFL50" s="83"/>
      <c r="TFM50" s="83"/>
      <c r="TFN50" s="80"/>
      <c r="TFO50" s="70"/>
      <c r="TFP50" s="70"/>
      <c r="TFQ50" s="25"/>
      <c r="TFR50" s="26"/>
      <c r="TFS50" s="26"/>
      <c r="TFT50" s="67"/>
      <c r="TFU50" s="11"/>
      <c r="TFV50" s="11"/>
      <c r="TFW50" s="68"/>
      <c r="TFX50" s="83"/>
      <c r="TFY50" s="83"/>
      <c r="TFZ50" s="80"/>
      <c r="TGA50" s="70"/>
      <c r="TGB50" s="70"/>
      <c r="TGC50" s="25"/>
      <c r="TGD50" s="26"/>
      <c r="TGE50" s="26"/>
      <c r="TGF50" s="67"/>
      <c r="TGG50" s="11"/>
      <c r="TGH50" s="11"/>
      <c r="TGI50" s="68"/>
      <c r="TGJ50" s="83"/>
      <c r="TGK50" s="83"/>
      <c r="TGL50" s="80"/>
      <c r="TGM50" s="70"/>
      <c r="TGN50" s="70"/>
      <c r="TGO50" s="25"/>
      <c r="TGP50" s="26"/>
      <c r="TGQ50" s="26"/>
      <c r="TGR50" s="67"/>
      <c r="TGS50" s="11"/>
      <c r="TGT50" s="11"/>
      <c r="TGU50" s="68"/>
      <c r="TGV50" s="83"/>
      <c r="TGW50" s="83"/>
      <c r="TGX50" s="80"/>
      <c r="TGY50" s="70"/>
      <c r="TGZ50" s="70"/>
      <c r="THA50" s="25"/>
      <c r="THB50" s="26"/>
      <c r="THC50" s="26"/>
      <c r="THD50" s="67"/>
      <c r="THE50" s="11"/>
      <c r="THF50" s="11"/>
      <c r="THG50" s="68"/>
      <c r="THH50" s="83"/>
      <c r="THI50" s="83"/>
      <c r="THJ50" s="80"/>
      <c r="THK50" s="70"/>
      <c r="THL50" s="70"/>
      <c r="THM50" s="25"/>
      <c r="THN50" s="26"/>
      <c r="THO50" s="26"/>
      <c r="THP50" s="67"/>
      <c r="THQ50" s="11"/>
      <c r="THR50" s="11"/>
      <c r="THS50" s="68"/>
      <c r="THT50" s="83"/>
      <c r="THU50" s="83"/>
      <c r="THV50" s="80"/>
      <c r="THW50" s="70"/>
      <c r="THX50" s="70"/>
      <c r="THY50" s="25"/>
      <c r="THZ50" s="26"/>
      <c r="TIA50" s="26"/>
      <c r="TIB50" s="67"/>
      <c r="TIC50" s="11"/>
      <c r="TID50" s="11"/>
      <c r="TIE50" s="68"/>
      <c r="TIF50" s="83"/>
      <c r="TIG50" s="83"/>
      <c r="TIH50" s="80"/>
      <c r="TII50" s="70"/>
      <c r="TIJ50" s="70"/>
      <c r="TIK50" s="25"/>
      <c r="TIL50" s="26"/>
      <c r="TIM50" s="26"/>
      <c r="TIN50" s="67"/>
      <c r="TIO50" s="11"/>
      <c r="TIP50" s="11"/>
      <c r="TIQ50" s="68"/>
      <c r="TIR50" s="83"/>
      <c r="TIS50" s="83"/>
      <c r="TIT50" s="80"/>
      <c r="TIU50" s="70"/>
      <c r="TIV50" s="70"/>
      <c r="TIW50" s="25"/>
      <c r="TIX50" s="26"/>
      <c r="TIY50" s="26"/>
      <c r="TIZ50" s="67"/>
      <c r="TJA50" s="11"/>
      <c r="TJB50" s="11"/>
      <c r="TJC50" s="68"/>
      <c r="TJD50" s="83"/>
      <c r="TJE50" s="83"/>
      <c r="TJF50" s="80"/>
      <c r="TJG50" s="70"/>
      <c r="TJH50" s="70"/>
      <c r="TJI50" s="25"/>
      <c r="TJJ50" s="26"/>
      <c r="TJK50" s="26"/>
      <c r="TJL50" s="67"/>
      <c r="TJM50" s="11"/>
      <c r="TJN50" s="11"/>
      <c r="TJO50" s="68"/>
      <c r="TJP50" s="83"/>
      <c r="TJQ50" s="83"/>
      <c r="TJR50" s="80"/>
      <c r="TJS50" s="70"/>
      <c r="TJT50" s="70"/>
      <c r="TJU50" s="25"/>
      <c r="TJV50" s="26"/>
      <c r="TJW50" s="26"/>
      <c r="TJX50" s="67"/>
      <c r="TJY50" s="11"/>
      <c r="TJZ50" s="11"/>
      <c r="TKA50" s="68"/>
      <c r="TKB50" s="83"/>
      <c r="TKC50" s="83"/>
      <c r="TKD50" s="80"/>
      <c r="TKE50" s="70"/>
      <c r="TKF50" s="70"/>
      <c r="TKG50" s="25"/>
      <c r="TKH50" s="26"/>
      <c r="TKI50" s="26"/>
      <c r="TKJ50" s="67"/>
      <c r="TKK50" s="11"/>
      <c r="TKL50" s="11"/>
      <c r="TKM50" s="68"/>
      <c r="TKN50" s="83"/>
      <c r="TKO50" s="83"/>
      <c r="TKP50" s="80"/>
      <c r="TKQ50" s="70"/>
      <c r="TKR50" s="70"/>
      <c r="TKS50" s="25"/>
      <c r="TKT50" s="26"/>
      <c r="TKU50" s="26"/>
      <c r="TKV50" s="67"/>
      <c r="TKW50" s="11"/>
      <c r="TKX50" s="11"/>
      <c r="TKY50" s="68"/>
      <c r="TKZ50" s="83"/>
      <c r="TLA50" s="83"/>
      <c r="TLB50" s="80"/>
      <c r="TLC50" s="70"/>
      <c r="TLD50" s="70"/>
      <c r="TLE50" s="25"/>
      <c r="TLF50" s="26"/>
      <c r="TLG50" s="26"/>
      <c r="TLH50" s="67"/>
      <c r="TLI50" s="11"/>
      <c r="TLJ50" s="11"/>
      <c r="TLK50" s="68"/>
      <c r="TLL50" s="83"/>
      <c r="TLM50" s="83"/>
      <c r="TLN50" s="80"/>
      <c r="TLO50" s="70"/>
      <c r="TLP50" s="70"/>
      <c r="TLQ50" s="25"/>
      <c r="TLR50" s="26"/>
      <c r="TLS50" s="26"/>
      <c r="TLT50" s="67"/>
      <c r="TLU50" s="11"/>
      <c r="TLV50" s="11"/>
      <c r="TLW50" s="68"/>
      <c r="TLX50" s="83"/>
      <c r="TLY50" s="83"/>
      <c r="TLZ50" s="80"/>
      <c r="TMA50" s="70"/>
      <c r="TMB50" s="70"/>
      <c r="TMC50" s="25"/>
      <c r="TMD50" s="26"/>
      <c r="TME50" s="26"/>
      <c r="TMF50" s="67"/>
      <c r="TMG50" s="11"/>
      <c r="TMH50" s="11"/>
      <c r="TMI50" s="68"/>
      <c r="TMJ50" s="83"/>
      <c r="TMK50" s="83"/>
      <c r="TML50" s="80"/>
      <c r="TMM50" s="70"/>
      <c r="TMN50" s="70"/>
      <c r="TMO50" s="25"/>
      <c r="TMP50" s="26"/>
      <c r="TMQ50" s="26"/>
      <c r="TMR50" s="67"/>
      <c r="TMS50" s="11"/>
      <c r="TMT50" s="11"/>
      <c r="TMU50" s="68"/>
      <c r="TMV50" s="83"/>
      <c r="TMW50" s="83"/>
      <c r="TMX50" s="80"/>
      <c r="TMY50" s="70"/>
      <c r="TMZ50" s="70"/>
      <c r="TNA50" s="25"/>
      <c r="TNB50" s="26"/>
      <c r="TNC50" s="26"/>
      <c r="TND50" s="67"/>
      <c r="TNE50" s="11"/>
      <c r="TNF50" s="11"/>
      <c r="TNG50" s="68"/>
      <c r="TNH50" s="83"/>
      <c r="TNI50" s="83"/>
      <c r="TNJ50" s="80"/>
      <c r="TNK50" s="70"/>
      <c r="TNL50" s="70"/>
      <c r="TNM50" s="25"/>
      <c r="TNN50" s="26"/>
      <c r="TNO50" s="26"/>
      <c r="TNP50" s="67"/>
      <c r="TNQ50" s="11"/>
      <c r="TNR50" s="11"/>
      <c r="TNS50" s="68"/>
      <c r="TNT50" s="83"/>
      <c r="TNU50" s="83"/>
      <c r="TNV50" s="80"/>
      <c r="TNW50" s="70"/>
      <c r="TNX50" s="70"/>
      <c r="TNY50" s="25"/>
      <c r="TNZ50" s="26"/>
      <c r="TOA50" s="26"/>
      <c r="TOB50" s="67"/>
      <c r="TOC50" s="11"/>
      <c r="TOD50" s="11"/>
      <c r="TOE50" s="68"/>
      <c r="TOF50" s="83"/>
      <c r="TOG50" s="83"/>
      <c r="TOH50" s="80"/>
      <c r="TOI50" s="70"/>
      <c r="TOJ50" s="70"/>
      <c r="TOK50" s="25"/>
      <c r="TOL50" s="26"/>
      <c r="TOM50" s="26"/>
      <c r="TON50" s="67"/>
      <c r="TOO50" s="11"/>
      <c r="TOP50" s="11"/>
      <c r="TOQ50" s="68"/>
      <c r="TOR50" s="83"/>
      <c r="TOS50" s="83"/>
      <c r="TOT50" s="80"/>
      <c r="TOU50" s="70"/>
      <c r="TOV50" s="70"/>
      <c r="TOW50" s="25"/>
      <c r="TOX50" s="26"/>
      <c r="TOY50" s="26"/>
      <c r="TOZ50" s="67"/>
      <c r="TPA50" s="11"/>
      <c r="TPB50" s="11"/>
      <c r="TPC50" s="68"/>
      <c r="TPD50" s="83"/>
      <c r="TPE50" s="83"/>
      <c r="TPF50" s="80"/>
      <c r="TPG50" s="70"/>
      <c r="TPH50" s="70"/>
      <c r="TPI50" s="25"/>
      <c r="TPJ50" s="26"/>
      <c r="TPK50" s="26"/>
      <c r="TPL50" s="67"/>
      <c r="TPM50" s="11"/>
      <c r="TPN50" s="11"/>
      <c r="TPO50" s="68"/>
      <c r="TPP50" s="83"/>
      <c r="TPQ50" s="83"/>
      <c r="TPR50" s="80"/>
      <c r="TPS50" s="70"/>
      <c r="TPT50" s="70"/>
      <c r="TPU50" s="25"/>
      <c r="TPV50" s="26"/>
      <c r="TPW50" s="26"/>
      <c r="TPX50" s="67"/>
      <c r="TPY50" s="11"/>
      <c r="TPZ50" s="11"/>
      <c r="TQA50" s="68"/>
      <c r="TQB50" s="83"/>
      <c r="TQC50" s="83"/>
      <c r="TQD50" s="80"/>
      <c r="TQE50" s="70"/>
      <c r="TQF50" s="70"/>
      <c r="TQG50" s="25"/>
      <c r="TQH50" s="26"/>
      <c r="TQI50" s="26"/>
      <c r="TQJ50" s="67"/>
      <c r="TQK50" s="11"/>
      <c r="TQL50" s="11"/>
      <c r="TQM50" s="68"/>
      <c r="TQN50" s="83"/>
      <c r="TQO50" s="83"/>
      <c r="TQP50" s="80"/>
      <c r="TQQ50" s="70"/>
      <c r="TQR50" s="70"/>
      <c r="TQS50" s="25"/>
      <c r="TQT50" s="26"/>
      <c r="TQU50" s="26"/>
      <c r="TQV50" s="67"/>
      <c r="TQW50" s="11"/>
      <c r="TQX50" s="11"/>
      <c r="TQY50" s="68"/>
      <c r="TQZ50" s="83"/>
      <c r="TRA50" s="83"/>
      <c r="TRB50" s="80"/>
      <c r="TRC50" s="70"/>
      <c r="TRD50" s="70"/>
      <c r="TRE50" s="25"/>
      <c r="TRF50" s="26"/>
      <c r="TRG50" s="26"/>
      <c r="TRH50" s="67"/>
      <c r="TRI50" s="11"/>
      <c r="TRJ50" s="11"/>
      <c r="TRK50" s="68"/>
      <c r="TRL50" s="83"/>
      <c r="TRM50" s="83"/>
      <c r="TRN50" s="80"/>
      <c r="TRO50" s="70"/>
      <c r="TRP50" s="70"/>
      <c r="TRQ50" s="25"/>
      <c r="TRR50" s="26"/>
      <c r="TRS50" s="26"/>
      <c r="TRT50" s="67"/>
      <c r="TRU50" s="11"/>
      <c r="TRV50" s="11"/>
      <c r="TRW50" s="68"/>
      <c r="TRX50" s="83"/>
      <c r="TRY50" s="83"/>
      <c r="TRZ50" s="80"/>
      <c r="TSA50" s="70"/>
      <c r="TSB50" s="70"/>
      <c r="TSC50" s="25"/>
      <c r="TSD50" s="26"/>
      <c r="TSE50" s="26"/>
      <c r="TSF50" s="67"/>
      <c r="TSG50" s="11"/>
      <c r="TSH50" s="11"/>
      <c r="TSI50" s="68"/>
      <c r="TSJ50" s="83"/>
      <c r="TSK50" s="83"/>
      <c r="TSL50" s="80"/>
      <c r="TSM50" s="70"/>
      <c r="TSN50" s="70"/>
      <c r="TSO50" s="25"/>
      <c r="TSP50" s="26"/>
      <c r="TSQ50" s="26"/>
      <c r="TSR50" s="67"/>
      <c r="TSS50" s="11"/>
      <c r="TST50" s="11"/>
      <c r="TSU50" s="68"/>
      <c r="TSV50" s="83"/>
      <c r="TSW50" s="83"/>
      <c r="TSX50" s="80"/>
      <c r="TSY50" s="70"/>
      <c r="TSZ50" s="70"/>
      <c r="TTA50" s="25"/>
      <c r="TTB50" s="26"/>
      <c r="TTC50" s="26"/>
      <c r="TTD50" s="67"/>
      <c r="TTE50" s="11"/>
      <c r="TTF50" s="11"/>
      <c r="TTG50" s="68"/>
      <c r="TTH50" s="83"/>
      <c r="TTI50" s="83"/>
      <c r="TTJ50" s="80"/>
      <c r="TTK50" s="70"/>
      <c r="TTL50" s="70"/>
      <c r="TTM50" s="25"/>
      <c r="TTN50" s="26"/>
      <c r="TTO50" s="26"/>
      <c r="TTP50" s="67"/>
      <c r="TTQ50" s="11"/>
      <c r="TTR50" s="11"/>
      <c r="TTS50" s="68"/>
      <c r="TTT50" s="83"/>
      <c r="TTU50" s="83"/>
      <c r="TTV50" s="80"/>
      <c r="TTW50" s="70"/>
      <c r="TTX50" s="70"/>
      <c r="TTY50" s="25"/>
      <c r="TTZ50" s="26"/>
      <c r="TUA50" s="26"/>
      <c r="TUB50" s="67"/>
      <c r="TUC50" s="11"/>
      <c r="TUD50" s="11"/>
      <c r="TUE50" s="68"/>
      <c r="TUF50" s="83"/>
      <c r="TUG50" s="83"/>
      <c r="TUH50" s="80"/>
      <c r="TUI50" s="70"/>
      <c r="TUJ50" s="70"/>
      <c r="TUK50" s="25"/>
      <c r="TUL50" s="26"/>
      <c r="TUM50" s="26"/>
      <c r="TUN50" s="67"/>
      <c r="TUO50" s="11"/>
      <c r="TUP50" s="11"/>
      <c r="TUQ50" s="68"/>
      <c r="TUR50" s="83"/>
      <c r="TUS50" s="83"/>
      <c r="TUT50" s="80"/>
      <c r="TUU50" s="70"/>
      <c r="TUV50" s="70"/>
      <c r="TUW50" s="25"/>
      <c r="TUX50" s="26"/>
      <c r="TUY50" s="26"/>
      <c r="TUZ50" s="67"/>
      <c r="TVA50" s="11"/>
      <c r="TVB50" s="11"/>
      <c r="TVC50" s="68"/>
      <c r="TVD50" s="83"/>
      <c r="TVE50" s="83"/>
      <c r="TVF50" s="80"/>
      <c r="TVG50" s="70"/>
      <c r="TVH50" s="70"/>
      <c r="TVI50" s="25"/>
      <c r="TVJ50" s="26"/>
      <c r="TVK50" s="26"/>
      <c r="TVL50" s="67"/>
      <c r="TVM50" s="11"/>
      <c r="TVN50" s="11"/>
      <c r="TVO50" s="68"/>
      <c r="TVP50" s="83"/>
      <c r="TVQ50" s="83"/>
      <c r="TVR50" s="80"/>
      <c r="TVS50" s="70"/>
      <c r="TVT50" s="70"/>
      <c r="TVU50" s="25"/>
      <c r="TVV50" s="26"/>
      <c r="TVW50" s="26"/>
      <c r="TVX50" s="67"/>
      <c r="TVY50" s="11"/>
      <c r="TVZ50" s="11"/>
      <c r="TWA50" s="68"/>
      <c r="TWB50" s="83"/>
      <c r="TWC50" s="83"/>
      <c r="TWD50" s="80"/>
      <c r="TWE50" s="70"/>
      <c r="TWF50" s="70"/>
      <c r="TWG50" s="25"/>
      <c r="TWH50" s="26"/>
      <c r="TWI50" s="26"/>
      <c r="TWJ50" s="67"/>
      <c r="TWK50" s="11"/>
      <c r="TWL50" s="11"/>
      <c r="TWM50" s="68"/>
      <c r="TWN50" s="83"/>
      <c r="TWO50" s="83"/>
      <c r="TWP50" s="80"/>
      <c r="TWQ50" s="70"/>
      <c r="TWR50" s="70"/>
      <c r="TWS50" s="25"/>
      <c r="TWT50" s="26"/>
      <c r="TWU50" s="26"/>
      <c r="TWV50" s="67"/>
      <c r="TWW50" s="11"/>
      <c r="TWX50" s="11"/>
      <c r="TWY50" s="68"/>
      <c r="TWZ50" s="83"/>
      <c r="TXA50" s="83"/>
      <c r="TXB50" s="80"/>
      <c r="TXC50" s="70"/>
      <c r="TXD50" s="70"/>
      <c r="TXE50" s="25"/>
      <c r="TXF50" s="26"/>
      <c r="TXG50" s="26"/>
      <c r="TXH50" s="67"/>
      <c r="TXI50" s="11"/>
      <c r="TXJ50" s="11"/>
      <c r="TXK50" s="68"/>
      <c r="TXL50" s="83"/>
      <c r="TXM50" s="83"/>
      <c r="TXN50" s="80"/>
      <c r="TXO50" s="70"/>
      <c r="TXP50" s="70"/>
      <c r="TXQ50" s="25"/>
      <c r="TXR50" s="26"/>
      <c r="TXS50" s="26"/>
      <c r="TXT50" s="67"/>
      <c r="TXU50" s="11"/>
      <c r="TXV50" s="11"/>
      <c r="TXW50" s="68"/>
      <c r="TXX50" s="83"/>
      <c r="TXY50" s="83"/>
      <c r="TXZ50" s="80"/>
      <c r="TYA50" s="70"/>
      <c r="TYB50" s="70"/>
      <c r="TYC50" s="25"/>
      <c r="TYD50" s="26"/>
      <c r="TYE50" s="26"/>
      <c r="TYF50" s="67"/>
      <c r="TYG50" s="11"/>
      <c r="TYH50" s="11"/>
      <c r="TYI50" s="68"/>
      <c r="TYJ50" s="83"/>
      <c r="TYK50" s="83"/>
      <c r="TYL50" s="80"/>
      <c r="TYM50" s="70"/>
      <c r="TYN50" s="70"/>
      <c r="TYO50" s="25"/>
      <c r="TYP50" s="26"/>
      <c r="TYQ50" s="26"/>
      <c r="TYR50" s="67"/>
      <c r="TYS50" s="11"/>
      <c r="TYT50" s="11"/>
      <c r="TYU50" s="68"/>
      <c r="TYV50" s="83"/>
      <c r="TYW50" s="83"/>
      <c r="TYX50" s="80"/>
      <c r="TYY50" s="70"/>
      <c r="TYZ50" s="70"/>
      <c r="TZA50" s="25"/>
      <c r="TZB50" s="26"/>
      <c r="TZC50" s="26"/>
      <c r="TZD50" s="67"/>
      <c r="TZE50" s="11"/>
      <c r="TZF50" s="11"/>
      <c r="TZG50" s="68"/>
      <c r="TZH50" s="83"/>
      <c r="TZI50" s="83"/>
      <c r="TZJ50" s="80"/>
      <c r="TZK50" s="70"/>
      <c r="TZL50" s="70"/>
      <c r="TZM50" s="25"/>
      <c r="TZN50" s="26"/>
      <c r="TZO50" s="26"/>
      <c r="TZP50" s="67"/>
      <c r="TZQ50" s="11"/>
      <c r="TZR50" s="11"/>
      <c r="TZS50" s="68"/>
      <c r="TZT50" s="83"/>
      <c r="TZU50" s="83"/>
      <c r="TZV50" s="80"/>
      <c r="TZW50" s="70"/>
      <c r="TZX50" s="70"/>
      <c r="TZY50" s="25"/>
      <c r="TZZ50" s="26"/>
      <c r="UAA50" s="26"/>
      <c r="UAB50" s="67"/>
      <c r="UAC50" s="11"/>
      <c r="UAD50" s="11"/>
      <c r="UAE50" s="68"/>
      <c r="UAF50" s="83"/>
      <c r="UAG50" s="83"/>
      <c r="UAH50" s="80"/>
      <c r="UAI50" s="70"/>
      <c r="UAJ50" s="70"/>
      <c r="UAK50" s="25"/>
      <c r="UAL50" s="26"/>
      <c r="UAM50" s="26"/>
      <c r="UAN50" s="67"/>
      <c r="UAO50" s="11"/>
      <c r="UAP50" s="11"/>
      <c r="UAQ50" s="68"/>
      <c r="UAR50" s="83"/>
      <c r="UAS50" s="83"/>
      <c r="UAT50" s="80"/>
      <c r="UAU50" s="70"/>
      <c r="UAV50" s="70"/>
      <c r="UAW50" s="25"/>
      <c r="UAX50" s="26"/>
      <c r="UAY50" s="26"/>
      <c r="UAZ50" s="67"/>
      <c r="UBA50" s="11"/>
      <c r="UBB50" s="11"/>
      <c r="UBC50" s="68"/>
      <c r="UBD50" s="83"/>
      <c r="UBE50" s="83"/>
      <c r="UBF50" s="80"/>
      <c r="UBG50" s="70"/>
      <c r="UBH50" s="70"/>
      <c r="UBI50" s="25"/>
      <c r="UBJ50" s="26"/>
      <c r="UBK50" s="26"/>
      <c r="UBL50" s="67"/>
      <c r="UBM50" s="11"/>
      <c r="UBN50" s="11"/>
      <c r="UBO50" s="68"/>
      <c r="UBP50" s="83"/>
      <c r="UBQ50" s="83"/>
      <c r="UBR50" s="80"/>
      <c r="UBS50" s="70"/>
      <c r="UBT50" s="70"/>
      <c r="UBU50" s="25"/>
      <c r="UBV50" s="26"/>
      <c r="UBW50" s="26"/>
      <c r="UBX50" s="67"/>
      <c r="UBY50" s="11"/>
      <c r="UBZ50" s="11"/>
      <c r="UCA50" s="68"/>
      <c r="UCB50" s="83"/>
      <c r="UCC50" s="83"/>
      <c r="UCD50" s="80"/>
      <c r="UCE50" s="70"/>
      <c r="UCF50" s="70"/>
      <c r="UCG50" s="25"/>
      <c r="UCH50" s="26"/>
      <c r="UCI50" s="26"/>
      <c r="UCJ50" s="67"/>
      <c r="UCK50" s="11"/>
      <c r="UCL50" s="11"/>
      <c r="UCM50" s="68"/>
      <c r="UCN50" s="83"/>
      <c r="UCO50" s="83"/>
      <c r="UCP50" s="80"/>
      <c r="UCQ50" s="70"/>
      <c r="UCR50" s="70"/>
      <c r="UCS50" s="25"/>
      <c r="UCT50" s="26"/>
      <c r="UCU50" s="26"/>
      <c r="UCV50" s="67"/>
      <c r="UCW50" s="11"/>
      <c r="UCX50" s="11"/>
      <c r="UCY50" s="68"/>
      <c r="UCZ50" s="83"/>
      <c r="UDA50" s="83"/>
      <c r="UDB50" s="80"/>
      <c r="UDC50" s="70"/>
      <c r="UDD50" s="70"/>
      <c r="UDE50" s="25"/>
      <c r="UDF50" s="26"/>
      <c r="UDG50" s="26"/>
      <c r="UDH50" s="67"/>
      <c r="UDI50" s="11"/>
      <c r="UDJ50" s="11"/>
      <c r="UDK50" s="68"/>
      <c r="UDL50" s="83"/>
      <c r="UDM50" s="83"/>
      <c r="UDN50" s="80"/>
      <c r="UDO50" s="70"/>
      <c r="UDP50" s="70"/>
      <c r="UDQ50" s="25"/>
      <c r="UDR50" s="26"/>
      <c r="UDS50" s="26"/>
      <c r="UDT50" s="67"/>
      <c r="UDU50" s="11"/>
      <c r="UDV50" s="11"/>
      <c r="UDW50" s="68"/>
      <c r="UDX50" s="83"/>
      <c r="UDY50" s="83"/>
      <c r="UDZ50" s="80"/>
      <c r="UEA50" s="70"/>
      <c r="UEB50" s="70"/>
      <c r="UEC50" s="25"/>
      <c r="UED50" s="26"/>
      <c r="UEE50" s="26"/>
      <c r="UEF50" s="67"/>
      <c r="UEG50" s="11"/>
      <c r="UEH50" s="11"/>
      <c r="UEI50" s="68"/>
      <c r="UEJ50" s="83"/>
      <c r="UEK50" s="83"/>
      <c r="UEL50" s="80"/>
      <c r="UEM50" s="70"/>
      <c r="UEN50" s="70"/>
      <c r="UEO50" s="25"/>
      <c r="UEP50" s="26"/>
      <c r="UEQ50" s="26"/>
      <c r="UER50" s="67"/>
      <c r="UES50" s="11"/>
      <c r="UET50" s="11"/>
      <c r="UEU50" s="68"/>
      <c r="UEV50" s="83"/>
      <c r="UEW50" s="83"/>
      <c r="UEX50" s="80"/>
      <c r="UEY50" s="70"/>
      <c r="UEZ50" s="70"/>
      <c r="UFA50" s="25"/>
      <c r="UFB50" s="26"/>
      <c r="UFC50" s="26"/>
      <c r="UFD50" s="67"/>
      <c r="UFE50" s="11"/>
      <c r="UFF50" s="11"/>
      <c r="UFG50" s="68"/>
      <c r="UFH50" s="83"/>
      <c r="UFI50" s="83"/>
      <c r="UFJ50" s="80"/>
      <c r="UFK50" s="70"/>
      <c r="UFL50" s="70"/>
      <c r="UFM50" s="25"/>
      <c r="UFN50" s="26"/>
      <c r="UFO50" s="26"/>
      <c r="UFP50" s="67"/>
      <c r="UFQ50" s="11"/>
      <c r="UFR50" s="11"/>
      <c r="UFS50" s="68"/>
      <c r="UFT50" s="83"/>
      <c r="UFU50" s="83"/>
      <c r="UFV50" s="80"/>
      <c r="UFW50" s="70"/>
      <c r="UFX50" s="70"/>
      <c r="UFY50" s="25"/>
      <c r="UFZ50" s="26"/>
      <c r="UGA50" s="26"/>
      <c r="UGB50" s="67"/>
      <c r="UGC50" s="11"/>
      <c r="UGD50" s="11"/>
      <c r="UGE50" s="68"/>
      <c r="UGF50" s="83"/>
      <c r="UGG50" s="83"/>
      <c r="UGH50" s="80"/>
      <c r="UGI50" s="70"/>
      <c r="UGJ50" s="70"/>
      <c r="UGK50" s="25"/>
      <c r="UGL50" s="26"/>
      <c r="UGM50" s="26"/>
      <c r="UGN50" s="67"/>
      <c r="UGO50" s="11"/>
      <c r="UGP50" s="11"/>
      <c r="UGQ50" s="68"/>
      <c r="UGR50" s="83"/>
      <c r="UGS50" s="83"/>
      <c r="UGT50" s="80"/>
      <c r="UGU50" s="70"/>
      <c r="UGV50" s="70"/>
      <c r="UGW50" s="25"/>
      <c r="UGX50" s="26"/>
      <c r="UGY50" s="26"/>
      <c r="UGZ50" s="67"/>
      <c r="UHA50" s="11"/>
      <c r="UHB50" s="11"/>
      <c r="UHC50" s="68"/>
      <c r="UHD50" s="83"/>
      <c r="UHE50" s="83"/>
      <c r="UHF50" s="80"/>
      <c r="UHG50" s="70"/>
      <c r="UHH50" s="70"/>
      <c r="UHI50" s="25"/>
      <c r="UHJ50" s="26"/>
      <c r="UHK50" s="26"/>
      <c r="UHL50" s="67"/>
      <c r="UHM50" s="11"/>
      <c r="UHN50" s="11"/>
      <c r="UHO50" s="68"/>
      <c r="UHP50" s="83"/>
      <c r="UHQ50" s="83"/>
      <c r="UHR50" s="80"/>
      <c r="UHS50" s="70"/>
      <c r="UHT50" s="70"/>
      <c r="UHU50" s="25"/>
      <c r="UHV50" s="26"/>
      <c r="UHW50" s="26"/>
      <c r="UHX50" s="67"/>
      <c r="UHY50" s="11"/>
      <c r="UHZ50" s="11"/>
      <c r="UIA50" s="68"/>
      <c r="UIB50" s="83"/>
      <c r="UIC50" s="83"/>
      <c r="UID50" s="80"/>
      <c r="UIE50" s="70"/>
      <c r="UIF50" s="70"/>
      <c r="UIG50" s="25"/>
      <c r="UIH50" s="26"/>
      <c r="UII50" s="26"/>
      <c r="UIJ50" s="67"/>
      <c r="UIK50" s="11"/>
      <c r="UIL50" s="11"/>
      <c r="UIM50" s="68"/>
      <c r="UIN50" s="83"/>
      <c r="UIO50" s="83"/>
      <c r="UIP50" s="80"/>
      <c r="UIQ50" s="70"/>
      <c r="UIR50" s="70"/>
      <c r="UIS50" s="25"/>
      <c r="UIT50" s="26"/>
      <c r="UIU50" s="26"/>
      <c r="UIV50" s="67"/>
      <c r="UIW50" s="11"/>
      <c r="UIX50" s="11"/>
      <c r="UIY50" s="68"/>
      <c r="UIZ50" s="83"/>
      <c r="UJA50" s="83"/>
      <c r="UJB50" s="80"/>
      <c r="UJC50" s="70"/>
      <c r="UJD50" s="70"/>
      <c r="UJE50" s="25"/>
      <c r="UJF50" s="26"/>
      <c r="UJG50" s="26"/>
      <c r="UJH50" s="67"/>
      <c r="UJI50" s="11"/>
      <c r="UJJ50" s="11"/>
      <c r="UJK50" s="68"/>
      <c r="UJL50" s="83"/>
      <c r="UJM50" s="83"/>
      <c r="UJN50" s="80"/>
      <c r="UJO50" s="70"/>
      <c r="UJP50" s="70"/>
      <c r="UJQ50" s="25"/>
      <c r="UJR50" s="26"/>
      <c r="UJS50" s="26"/>
      <c r="UJT50" s="67"/>
      <c r="UJU50" s="11"/>
      <c r="UJV50" s="11"/>
      <c r="UJW50" s="68"/>
      <c r="UJX50" s="83"/>
      <c r="UJY50" s="83"/>
      <c r="UJZ50" s="80"/>
      <c r="UKA50" s="70"/>
      <c r="UKB50" s="70"/>
      <c r="UKC50" s="25"/>
      <c r="UKD50" s="26"/>
      <c r="UKE50" s="26"/>
      <c r="UKF50" s="67"/>
      <c r="UKG50" s="11"/>
      <c r="UKH50" s="11"/>
      <c r="UKI50" s="68"/>
      <c r="UKJ50" s="83"/>
      <c r="UKK50" s="83"/>
      <c r="UKL50" s="80"/>
      <c r="UKM50" s="70"/>
      <c r="UKN50" s="70"/>
      <c r="UKO50" s="25"/>
      <c r="UKP50" s="26"/>
      <c r="UKQ50" s="26"/>
      <c r="UKR50" s="67"/>
      <c r="UKS50" s="11"/>
      <c r="UKT50" s="11"/>
      <c r="UKU50" s="68"/>
      <c r="UKV50" s="83"/>
      <c r="UKW50" s="83"/>
      <c r="UKX50" s="80"/>
      <c r="UKY50" s="70"/>
      <c r="UKZ50" s="70"/>
      <c r="ULA50" s="25"/>
      <c r="ULB50" s="26"/>
      <c r="ULC50" s="26"/>
      <c r="ULD50" s="67"/>
      <c r="ULE50" s="11"/>
      <c r="ULF50" s="11"/>
      <c r="ULG50" s="68"/>
      <c r="ULH50" s="83"/>
      <c r="ULI50" s="83"/>
      <c r="ULJ50" s="80"/>
      <c r="ULK50" s="70"/>
      <c r="ULL50" s="70"/>
      <c r="ULM50" s="25"/>
      <c r="ULN50" s="26"/>
      <c r="ULO50" s="26"/>
      <c r="ULP50" s="67"/>
      <c r="ULQ50" s="11"/>
      <c r="ULR50" s="11"/>
      <c r="ULS50" s="68"/>
      <c r="ULT50" s="83"/>
      <c r="ULU50" s="83"/>
      <c r="ULV50" s="80"/>
      <c r="ULW50" s="70"/>
      <c r="ULX50" s="70"/>
      <c r="ULY50" s="25"/>
      <c r="ULZ50" s="26"/>
      <c r="UMA50" s="26"/>
      <c r="UMB50" s="67"/>
      <c r="UMC50" s="11"/>
      <c r="UMD50" s="11"/>
      <c r="UME50" s="68"/>
      <c r="UMF50" s="83"/>
      <c r="UMG50" s="83"/>
      <c r="UMH50" s="80"/>
      <c r="UMI50" s="70"/>
      <c r="UMJ50" s="70"/>
      <c r="UMK50" s="25"/>
      <c r="UML50" s="26"/>
      <c r="UMM50" s="26"/>
      <c r="UMN50" s="67"/>
      <c r="UMO50" s="11"/>
      <c r="UMP50" s="11"/>
      <c r="UMQ50" s="68"/>
      <c r="UMR50" s="83"/>
      <c r="UMS50" s="83"/>
      <c r="UMT50" s="80"/>
      <c r="UMU50" s="70"/>
      <c r="UMV50" s="70"/>
      <c r="UMW50" s="25"/>
      <c r="UMX50" s="26"/>
      <c r="UMY50" s="26"/>
      <c r="UMZ50" s="67"/>
      <c r="UNA50" s="11"/>
      <c r="UNB50" s="11"/>
      <c r="UNC50" s="68"/>
      <c r="UND50" s="83"/>
      <c r="UNE50" s="83"/>
      <c r="UNF50" s="80"/>
      <c r="UNG50" s="70"/>
      <c r="UNH50" s="70"/>
      <c r="UNI50" s="25"/>
      <c r="UNJ50" s="26"/>
      <c r="UNK50" s="26"/>
      <c r="UNL50" s="67"/>
      <c r="UNM50" s="11"/>
      <c r="UNN50" s="11"/>
      <c r="UNO50" s="68"/>
      <c r="UNP50" s="83"/>
      <c r="UNQ50" s="83"/>
      <c r="UNR50" s="80"/>
      <c r="UNS50" s="70"/>
      <c r="UNT50" s="70"/>
      <c r="UNU50" s="25"/>
      <c r="UNV50" s="26"/>
      <c r="UNW50" s="26"/>
      <c r="UNX50" s="67"/>
      <c r="UNY50" s="11"/>
      <c r="UNZ50" s="11"/>
      <c r="UOA50" s="68"/>
      <c r="UOB50" s="83"/>
      <c r="UOC50" s="83"/>
      <c r="UOD50" s="80"/>
      <c r="UOE50" s="70"/>
      <c r="UOF50" s="70"/>
      <c r="UOG50" s="25"/>
      <c r="UOH50" s="26"/>
      <c r="UOI50" s="26"/>
      <c r="UOJ50" s="67"/>
      <c r="UOK50" s="11"/>
      <c r="UOL50" s="11"/>
      <c r="UOM50" s="68"/>
      <c r="UON50" s="83"/>
      <c r="UOO50" s="83"/>
      <c r="UOP50" s="80"/>
      <c r="UOQ50" s="70"/>
      <c r="UOR50" s="70"/>
      <c r="UOS50" s="25"/>
      <c r="UOT50" s="26"/>
      <c r="UOU50" s="26"/>
      <c r="UOV50" s="67"/>
      <c r="UOW50" s="11"/>
      <c r="UOX50" s="11"/>
      <c r="UOY50" s="68"/>
      <c r="UOZ50" s="83"/>
      <c r="UPA50" s="83"/>
      <c r="UPB50" s="80"/>
      <c r="UPC50" s="70"/>
      <c r="UPD50" s="70"/>
      <c r="UPE50" s="25"/>
      <c r="UPF50" s="26"/>
      <c r="UPG50" s="26"/>
      <c r="UPH50" s="67"/>
      <c r="UPI50" s="11"/>
      <c r="UPJ50" s="11"/>
      <c r="UPK50" s="68"/>
      <c r="UPL50" s="83"/>
      <c r="UPM50" s="83"/>
      <c r="UPN50" s="80"/>
      <c r="UPO50" s="70"/>
      <c r="UPP50" s="70"/>
      <c r="UPQ50" s="25"/>
      <c r="UPR50" s="26"/>
      <c r="UPS50" s="26"/>
      <c r="UPT50" s="67"/>
      <c r="UPU50" s="11"/>
      <c r="UPV50" s="11"/>
      <c r="UPW50" s="68"/>
      <c r="UPX50" s="83"/>
      <c r="UPY50" s="83"/>
      <c r="UPZ50" s="80"/>
      <c r="UQA50" s="70"/>
      <c r="UQB50" s="70"/>
      <c r="UQC50" s="25"/>
      <c r="UQD50" s="26"/>
      <c r="UQE50" s="26"/>
      <c r="UQF50" s="67"/>
      <c r="UQG50" s="11"/>
      <c r="UQH50" s="11"/>
      <c r="UQI50" s="68"/>
      <c r="UQJ50" s="83"/>
      <c r="UQK50" s="83"/>
      <c r="UQL50" s="80"/>
      <c r="UQM50" s="70"/>
      <c r="UQN50" s="70"/>
      <c r="UQO50" s="25"/>
      <c r="UQP50" s="26"/>
      <c r="UQQ50" s="26"/>
      <c r="UQR50" s="67"/>
      <c r="UQS50" s="11"/>
      <c r="UQT50" s="11"/>
      <c r="UQU50" s="68"/>
      <c r="UQV50" s="83"/>
      <c r="UQW50" s="83"/>
      <c r="UQX50" s="80"/>
      <c r="UQY50" s="70"/>
      <c r="UQZ50" s="70"/>
      <c r="URA50" s="25"/>
      <c r="URB50" s="26"/>
      <c r="URC50" s="26"/>
      <c r="URD50" s="67"/>
      <c r="URE50" s="11"/>
      <c r="URF50" s="11"/>
      <c r="URG50" s="68"/>
      <c r="URH50" s="83"/>
      <c r="URI50" s="83"/>
      <c r="URJ50" s="80"/>
      <c r="URK50" s="70"/>
      <c r="URL50" s="70"/>
      <c r="URM50" s="25"/>
      <c r="URN50" s="26"/>
      <c r="URO50" s="26"/>
      <c r="URP50" s="67"/>
      <c r="URQ50" s="11"/>
      <c r="URR50" s="11"/>
      <c r="URS50" s="68"/>
      <c r="URT50" s="83"/>
      <c r="URU50" s="83"/>
      <c r="URV50" s="80"/>
      <c r="URW50" s="70"/>
      <c r="URX50" s="70"/>
      <c r="URY50" s="25"/>
      <c r="URZ50" s="26"/>
      <c r="USA50" s="26"/>
      <c r="USB50" s="67"/>
      <c r="USC50" s="11"/>
      <c r="USD50" s="11"/>
      <c r="USE50" s="68"/>
      <c r="USF50" s="83"/>
      <c r="USG50" s="83"/>
      <c r="USH50" s="80"/>
      <c r="USI50" s="70"/>
      <c r="USJ50" s="70"/>
      <c r="USK50" s="25"/>
      <c r="USL50" s="26"/>
      <c r="USM50" s="26"/>
      <c r="USN50" s="67"/>
      <c r="USO50" s="11"/>
      <c r="USP50" s="11"/>
      <c r="USQ50" s="68"/>
      <c r="USR50" s="83"/>
      <c r="USS50" s="83"/>
      <c r="UST50" s="80"/>
      <c r="USU50" s="70"/>
      <c r="USV50" s="70"/>
      <c r="USW50" s="25"/>
      <c r="USX50" s="26"/>
      <c r="USY50" s="26"/>
      <c r="USZ50" s="67"/>
      <c r="UTA50" s="11"/>
      <c r="UTB50" s="11"/>
      <c r="UTC50" s="68"/>
      <c r="UTD50" s="83"/>
      <c r="UTE50" s="83"/>
      <c r="UTF50" s="80"/>
      <c r="UTG50" s="70"/>
      <c r="UTH50" s="70"/>
      <c r="UTI50" s="25"/>
      <c r="UTJ50" s="26"/>
      <c r="UTK50" s="26"/>
      <c r="UTL50" s="67"/>
      <c r="UTM50" s="11"/>
      <c r="UTN50" s="11"/>
      <c r="UTO50" s="68"/>
      <c r="UTP50" s="83"/>
      <c r="UTQ50" s="83"/>
      <c r="UTR50" s="80"/>
      <c r="UTS50" s="70"/>
      <c r="UTT50" s="70"/>
      <c r="UTU50" s="25"/>
      <c r="UTV50" s="26"/>
      <c r="UTW50" s="26"/>
      <c r="UTX50" s="67"/>
      <c r="UTY50" s="11"/>
      <c r="UTZ50" s="11"/>
      <c r="UUA50" s="68"/>
      <c r="UUB50" s="83"/>
      <c r="UUC50" s="83"/>
      <c r="UUD50" s="80"/>
      <c r="UUE50" s="70"/>
      <c r="UUF50" s="70"/>
      <c r="UUG50" s="25"/>
      <c r="UUH50" s="26"/>
      <c r="UUI50" s="26"/>
      <c r="UUJ50" s="67"/>
      <c r="UUK50" s="11"/>
      <c r="UUL50" s="11"/>
      <c r="UUM50" s="68"/>
      <c r="UUN50" s="83"/>
      <c r="UUO50" s="83"/>
      <c r="UUP50" s="80"/>
      <c r="UUQ50" s="70"/>
      <c r="UUR50" s="70"/>
      <c r="UUS50" s="25"/>
      <c r="UUT50" s="26"/>
      <c r="UUU50" s="26"/>
      <c r="UUV50" s="67"/>
      <c r="UUW50" s="11"/>
      <c r="UUX50" s="11"/>
      <c r="UUY50" s="68"/>
      <c r="UUZ50" s="83"/>
      <c r="UVA50" s="83"/>
      <c r="UVB50" s="80"/>
      <c r="UVC50" s="70"/>
      <c r="UVD50" s="70"/>
      <c r="UVE50" s="25"/>
      <c r="UVF50" s="26"/>
      <c r="UVG50" s="26"/>
      <c r="UVH50" s="67"/>
      <c r="UVI50" s="11"/>
      <c r="UVJ50" s="11"/>
      <c r="UVK50" s="68"/>
      <c r="UVL50" s="83"/>
      <c r="UVM50" s="83"/>
      <c r="UVN50" s="80"/>
      <c r="UVO50" s="70"/>
      <c r="UVP50" s="70"/>
      <c r="UVQ50" s="25"/>
      <c r="UVR50" s="26"/>
      <c r="UVS50" s="26"/>
      <c r="UVT50" s="67"/>
      <c r="UVU50" s="11"/>
      <c r="UVV50" s="11"/>
      <c r="UVW50" s="68"/>
      <c r="UVX50" s="83"/>
      <c r="UVY50" s="83"/>
      <c r="UVZ50" s="80"/>
      <c r="UWA50" s="70"/>
      <c r="UWB50" s="70"/>
      <c r="UWC50" s="25"/>
      <c r="UWD50" s="26"/>
      <c r="UWE50" s="26"/>
      <c r="UWF50" s="67"/>
      <c r="UWG50" s="11"/>
      <c r="UWH50" s="11"/>
      <c r="UWI50" s="68"/>
      <c r="UWJ50" s="83"/>
      <c r="UWK50" s="83"/>
      <c r="UWL50" s="80"/>
      <c r="UWM50" s="70"/>
      <c r="UWN50" s="70"/>
      <c r="UWO50" s="25"/>
      <c r="UWP50" s="26"/>
      <c r="UWQ50" s="26"/>
      <c r="UWR50" s="67"/>
      <c r="UWS50" s="11"/>
      <c r="UWT50" s="11"/>
      <c r="UWU50" s="68"/>
      <c r="UWV50" s="83"/>
      <c r="UWW50" s="83"/>
      <c r="UWX50" s="80"/>
      <c r="UWY50" s="70"/>
      <c r="UWZ50" s="70"/>
      <c r="UXA50" s="25"/>
      <c r="UXB50" s="26"/>
      <c r="UXC50" s="26"/>
      <c r="UXD50" s="67"/>
      <c r="UXE50" s="11"/>
      <c r="UXF50" s="11"/>
      <c r="UXG50" s="68"/>
      <c r="UXH50" s="83"/>
      <c r="UXI50" s="83"/>
      <c r="UXJ50" s="80"/>
      <c r="UXK50" s="70"/>
      <c r="UXL50" s="70"/>
      <c r="UXM50" s="25"/>
      <c r="UXN50" s="26"/>
      <c r="UXO50" s="26"/>
      <c r="UXP50" s="67"/>
      <c r="UXQ50" s="11"/>
      <c r="UXR50" s="11"/>
      <c r="UXS50" s="68"/>
      <c r="UXT50" s="83"/>
      <c r="UXU50" s="83"/>
      <c r="UXV50" s="80"/>
      <c r="UXW50" s="70"/>
      <c r="UXX50" s="70"/>
      <c r="UXY50" s="25"/>
      <c r="UXZ50" s="26"/>
      <c r="UYA50" s="26"/>
      <c r="UYB50" s="67"/>
      <c r="UYC50" s="11"/>
      <c r="UYD50" s="11"/>
      <c r="UYE50" s="68"/>
      <c r="UYF50" s="83"/>
      <c r="UYG50" s="83"/>
      <c r="UYH50" s="80"/>
      <c r="UYI50" s="70"/>
      <c r="UYJ50" s="70"/>
      <c r="UYK50" s="25"/>
      <c r="UYL50" s="26"/>
      <c r="UYM50" s="26"/>
      <c r="UYN50" s="67"/>
      <c r="UYO50" s="11"/>
      <c r="UYP50" s="11"/>
      <c r="UYQ50" s="68"/>
      <c r="UYR50" s="83"/>
      <c r="UYS50" s="83"/>
      <c r="UYT50" s="80"/>
      <c r="UYU50" s="70"/>
      <c r="UYV50" s="70"/>
      <c r="UYW50" s="25"/>
      <c r="UYX50" s="26"/>
      <c r="UYY50" s="26"/>
      <c r="UYZ50" s="67"/>
      <c r="UZA50" s="11"/>
      <c r="UZB50" s="11"/>
      <c r="UZC50" s="68"/>
      <c r="UZD50" s="83"/>
      <c r="UZE50" s="83"/>
      <c r="UZF50" s="80"/>
      <c r="UZG50" s="70"/>
      <c r="UZH50" s="70"/>
      <c r="UZI50" s="25"/>
      <c r="UZJ50" s="26"/>
      <c r="UZK50" s="26"/>
      <c r="UZL50" s="67"/>
      <c r="UZM50" s="11"/>
      <c r="UZN50" s="11"/>
      <c r="UZO50" s="68"/>
      <c r="UZP50" s="83"/>
      <c r="UZQ50" s="83"/>
      <c r="UZR50" s="80"/>
      <c r="UZS50" s="70"/>
      <c r="UZT50" s="70"/>
      <c r="UZU50" s="25"/>
      <c r="UZV50" s="26"/>
      <c r="UZW50" s="26"/>
      <c r="UZX50" s="67"/>
      <c r="UZY50" s="11"/>
      <c r="UZZ50" s="11"/>
      <c r="VAA50" s="68"/>
      <c r="VAB50" s="83"/>
      <c r="VAC50" s="83"/>
      <c r="VAD50" s="80"/>
      <c r="VAE50" s="70"/>
      <c r="VAF50" s="70"/>
      <c r="VAG50" s="25"/>
      <c r="VAH50" s="26"/>
      <c r="VAI50" s="26"/>
      <c r="VAJ50" s="67"/>
      <c r="VAK50" s="11"/>
      <c r="VAL50" s="11"/>
      <c r="VAM50" s="68"/>
      <c r="VAN50" s="83"/>
      <c r="VAO50" s="83"/>
      <c r="VAP50" s="80"/>
      <c r="VAQ50" s="70"/>
      <c r="VAR50" s="70"/>
      <c r="VAS50" s="25"/>
      <c r="VAT50" s="26"/>
      <c r="VAU50" s="26"/>
      <c r="VAV50" s="67"/>
      <c r="VAW50" s="11"/>
      <c r="VAX50" s="11"/>
      <c r="VAY50" s="68"/>
      <c r="VAZ50" s="83"/>
      <c r="VBA50" s="83"/>
      <c r="VBB50" s="80"/>
      <c r="VBC50" s="70"/>
      <c r="VBD50" s="70"/>
      <c r="VBE50" s="25"/>
      <c r="VBF50" s="26"/>
      <c r="VBG50" s="26"/>
      <c r="VBH50" s="67"/>
      <c r="VBI50" s="11"/>
      <c r="VBJ50" s="11"/>
      <c r="VBK50" s="68"/>
      <c r="VBL50" s="83"/>
      <c r="VBM50" s="83"/>
      <c r="VBN50" s="80"/>
      <c r="VBO50" s="70"/>
      <c r="VBP50" s="70"/>
      <c r="VBQ50" s="25"/>
      <c r="VBR50" s="26"/>
      <c r="VBS50" s="26"/>
      <c r="VBT50" s="67"/>
      <c r="VBU50" s="11"/>
      <c r="VBV50" s="11"/>
      <c r="VBW50" s="68"/>
      <c r="VBX50" s="83"/>
      <c r="VBY50" s="83"/>
      <c r="VBZ50" s="80"/>
      <c r="VCA50" s="70"/>
      <c r="VCB50" s="70"/>
      <c r="VCC50" s="25"/>
      <c r="VCD50" s="26"/>
      <c r="VCE50" s="26"/>
      <c r="VCF50" s="67"/>
      <c r="VCG50" s="11"/>
      <c r="VCH50" s="11"/>
      <c r="VCI50" s="68"/>
      <c r="VCJ50" s="83"/>
      <c r="VCK50" s="83"/>
      <c r="VCL50" s="80"/>
      <c r="VCM50" s="70"/>
      <c r="VCN50" s="70"/>
      <c r="VCO50" s="25"/>
      <c r="VCP50" s="26"/>
      <c r="VCQ50" s="26"/>
      <c r="VCR50" s="67"/>
      <c r="VCS50" s="11"/>
      <c r="VCT50" s="11"/>
      <c r="VCU50" s="68"/>
      <c r="VCV50" s="83"/>
      <c r="VCW50" s="83"/>
      <c r="VCX50" s="80"/>
      <c r="VCY50" s="70"/>
      <c r="VCZ50" s="70"/>
      <c r="VDA50" s="25"/>
      <c r="VDB50" s="26"/>
      <c r="VDC50" s="26"/>
      <c r="VDD50" s="67"/>
      <c r="VDE50" s="11"/>
      <c r="VDF50" s="11"/>
      <c r="VDG50" s="68"/>
      <c r="VDH50" s="83"/>
      <c r="VDI50" s="83"/>
      <c r="VDJ50" s="80"/>
      <c r="VDK50" s="70"/>
      <c r="VDL50" s="70"/>
      <c r="VDM50" s="25"/>
      <c r="VDN50" s="26"/>
      <c r="VDO50" s="26"/>
      <c r="VDP50" s="67"/>
      <c r="VDQ50" s="11"/>
      <c r="VDR50" s="11"/>
      <c r="VDS50" s="68"/>
      <c r="VDT50" s="83"/>
      <c r="VDU50" s="83"/>
      <c r="VDV50" s="80"/>
      <c r="VDW50" s="70"/>
      <c r="VDX50" s="70"/>
      <c r="VDY50" s="25"/>
      <c r="VDZ50" s="26"/>
      <c r="VEA50" s="26"/>
      <c r="VEB50" s="67"/>
      <c r="VEC50" s="11"/>
      <c r="VED50" s="11"/>
      <c r="VEE50" s="68"/>
      <c r="VEF50" s="83"/>
      <c r="VEG50" s="83"/>
      <c r="VEH50" s="80"/>
      <c r="VEI50" s="70"/>
      <c r="VEJ50" s="70"/>
      <c r="VEK50" s="25"/>
      <c r="VEL50" s="26"/>
      <c r="VEM50" s="26"/>
      <c r="VEN50" s="67"/>
      <c r="VEO50" s="11"/>
      <c r="VEP50" s="11"/>
      <c r="VEQ50" s="68"/>
      <c r="VER50" s="83"/>
      <c r="VES50" s="83"/>
      <c r="VET50" s="80"/>
      <c r="VEU50" s="70"/>
      <c r="VEV50" s="70"/>
      <c r="VEW50" s="25"/>
      <c r="VEX50" s="26"/>
      <c r="VEY50" s="26"/>
      <c r="VEZ50" s="67"/>
      <c r="VFA50" s="11"/>
      <c r="VFB50" s="11"/>
      <c r="VFC50" s="68"/>
      <c r="VFD50" s="83"/>
      <c r="VFE50" s="83"/>
      <c r="VFF50" s="80"/>
      <c r="VFG50" s="70"/>
      <c r="VFH50" s="70"/>
      <c r="VFI50" s="25"/>
      <c r="VFJ50" s="26"/>
      <c r="VFK50" s="26"/>
      <c r="VFL50" s="67"/>
      <c r="VFM50" s="11"/>
      <c r="VFN50" s="11"/>
      <c r="VFO50" s="68"/>
      <c r="VFP50" s="83"/>
      <c r="VFQ50" s="83"/>
      <c r="VFR50" s="80"/>
      <c r="VFS50" s="70"/>
      <c r="VFT50" s="70"/>
      <c r="VFU50" s="25"/>
      <c r="VFV50" s="26"/>
      <c r="VFW50" s="26"/>
      <c r="VFX50" s="67"/>
      <c r="VFY50" s="11"/>
      <c r="VFZ50" s="11"/>
      <c r="VGA50" s="68"/>
      <c r="VGB50" s="83"/>
      <c r="VGC50" s="83"/>
      <c r="VGD50" s="80"/>
      <c r="VGE50" s="70"/>
      <c r="VGF50" s="70"/>
      <c r="VGG50" s="25"/>
      <c r="VGH50" s="26"/>
      <c r="VGI50" s="26"/>
      <c r="VGJ50" s="67"/>
      <c r="VGK50" s="11"/>
      <c r="VGL50" s="11"/>
      <c r="VGM50" s="68"/>
      <c r="VGN50" s="83"/>
      <c r="VGO50" s="83"/>
      <c r="VGP50" s="80"/>
      <c r="VGQ50" s="70"/>
      <c r="VGR50" s="70"/>
      <c r="VGS50" s="25"/>
      <c r="VGT50" s="26"/>
      <c r="VGU50" s="26"/>
      <c r="VGV50" s="67"/>
      <c r="VGW50" s="11"/>
      <c r="VGX50" s="11"/>
      <c r="VGY50" s="68"/>
      <c r="VGZ50" s="83"/>
      <c r="VHA50" s="83"/>
      <c r="VHB50" s="80"/>
      <c r="VHC50" s="70"/>
      <c r="VHD50" s="70"/>
      <c r="VHE50" s="25"/>
      <c r="VHF50" s="26"/>
      <c r="VHG50" s="26"/>
      <c r="VHH50" s="67"/>
      <c r="VHI50" s="11"/>
      <c r="VHJ50" s="11"/>
      <c r="VHK50" s="68"/>
      <c r="VHL50" s="83"/>
      <c r="VHM50" s="83"/>
      <c r="VHN50" s="80"/>
      <c r="VHO50" s="70"/>
      <c r="VHP50" s="70"/>
      <c r="VHQ50" s="25"/>
      <c r="VHR50" s="26"/>
      <c r="VHS50" s="26"/>
      <c r="VHT50" s="67"/>
      <c r="VHU50" s="11"/>
      <c r="VHV50" s="11"/>
      <c r="VHW50" s="68"/>
      <c r="VHX50" s="83"/>
      <c r="VHY50" s="83"/>
      <c r="VHZ50" s="80"/>
      <c r="VIA50" s="70"/>
      <c r="VIB50" s="70"/>
      <c r="VIC50" s="25"/>
      <c r="VID50" s="26"/>
      <c r="VIE50" s="26"/>
      <c r="VIF50" s="67"/>
      <c r="VIG50" s="11"/>
      <c r="VIH50" s="11"/>
      <c r="VII50" s="68"/>
      <c r="VIJ50" s="83"/>
      <c r="VIK50" s="83"/>
      <c r="VIL50" s="80"/>
      <c r="VIM50" s="70"/>
      <c r="VIN50" s="70"/>
      <c r="VIO50" s="25"/>
      <c r="VIP50" s="26"/>
      <c r="VIQ50" s="26"/>
      <c r="VIR50" s="67"/>
      <c r="VIS50" s="11"/>
      <c r="VIT50" s="11"/>
      <c r="VIU50" s="68"/>
      <c r="VIV50" s="83"/>
      <c r="VIW50" s="83"/>
      <c r="VIX50" s="80"/>
      <c r="VIY50" s="70"/>
      <c r="VIZ50" s="70"/>
      <c r="VJA50" s="25"/>
      <c r="VJB50" s="26"/>
      <c r="VJC50" s="26"/>
      <c r="VJD50" s="67"/>
      <c r="VJE50" s="11"/>
      <c r="VJF50" s="11"/>
      <c r="VJG50" s="68"/>
      <c r="VJH50" s="83"/>
      <c r="VJI50" s="83"/>
      <c r="VJJ50" s="80"/>
      <c r="VJK50" s="70"/>
      <c r="VJL50" s="70"/>
      <c r="VJM50" s="25"/>
      <c r="VJN50" s="26"/>
      <c r="VJO50" s="26"/>
      <c r="VJP50" s="67"/>
      <c r="VJQ50" s="11"/>
      <c r="VJR50" s="11"/>
      <c r="VJS50" s="68"/>
      <c r="VJT50" s="83"/>
      <c r="VJU50" s="83"/>
      <c r="VJV50" s="80"/>
      <c r="VJW50" s="70"/>
      <c r="VJX50" s="70"/>
      <c r="VJY50" s="25"/>
      <c r="VJZ50" s="26"/>
      <c r="VKA50" s="26"/>
      <c r="VKB50" s="67"/>
      <c r="VKC50" s="11"/>
      <c r="VKD50" s="11"/>
      <c r="VKE50" s="68"/>
      <c r="VKF50" s="83"/>
      <c r="VKG50" s="83"/>
      <c r="VKH50" s="80"/>
      <c r="VKI50" s="70"/>
      <c r="VKJ50" s="70"/>
      <c r="VKK50" s="25"/>
      <c r="VKL50" s="26"/>
      <c r="VKM50" s="26"/>
      <c r="VKN50" s="67"/>
      <c r="VKO50" s="11"/>
      <c r="VKP50" s="11"/>
      <c r="VKQ50" s="68"/>
      <c r="VKR50" s="83"/>
      <c r="VKS50" s="83"/>
      <c r="VKT50" s="80"/>
      <c r="VKU50" s="70"/>
      <c r="VKV50" s="70"/>
      <c r="VKW50" s="25"/>
      <c r="VKX50" s="26"/>
      <c r="VKY50" s="26"/>
      <c r="VKZ50" s="67"/>
      <c r="VLA50" s="11"/>
      <c r="VLB50" s="11"/>
      <c r="VLC50" s="68"/>
      <c r="VLD50" s="83"/>
      <c r="VLE50" s="83"/>
      <c r="VLF50" s="80"/>
      <c r="VLG50" s="70"/>
      <c r="VLH50" s="70"/>
      <c r="VLI50" s="25"/>
      <c r="VLJ50" s="26"/>
      <c r="VLK50" s="26"/>
      <c r="VLL50" s="67"/>
      <c r="VLM50" s="11"/>
      <c r="VLN50" s="11"/>
      <c r="VLO50" s="68"/>
      <c r="VLP50" s="83"/>
      <c r="VLQ50" s="83"/>
      <c r="VLR50" s="80"/>
      <c r="VLS50" s="70"/>
      <c r="VLT50" s="70"/>
      <c r="VLU50" s="25"/>
      <c r="VLV50" s="26"/>
      <c r="VLW50" s="26"/>
      <c r="VLX50" s="67"/>
      <c r="VLY50" s="11"/>
      <c r="VLZ50" s="11"/>
      <c r="VMA50" s="68"/>
      <c r="VMB50" s="83"/>
      <c r="VMC50" s="83"/>
      <c r="VMD50" s="80"/>
      <c r="VME50" s="70"/>
      <c r="VMF50" s="70"/>
      <c r="VMG50" s="25"/>
      <c r="VMH50" s="26"/>
      <c r="VMI50" s="26"/>
      <c r="VMJ50" s="67"/>
      <c r="VMK50" s="11"/>
      <c r="VML50" s="11"/>
      <c r="VMM50" s="68"/>
      <c r="VMN50" s="83"/>
      <c r="VMO50" s="83"/>
      <c r="VMP50" s="80"/>
      <c r="VMQ50" s="70"/>
      <c r="VMR50" s="70"/>
      <c r="VMS50" s="25"/>
      <c r="VMT50" s="26"/>
      <c r="VMU50" s="26"/>
      <c r="VMV50" s="67"/>
      <c r="VMW50" s="11"/>
      <c r="VMX50" s="11"/>
      <c r="VMY50" s="68"/>
      <c r="VMZ50" s="83"/>
      <c r="VNA50" s="83"/>
      <c r="VNB50" s="80"/>
      <c r="VNC50" s="70"/>
      <c r="VND50" s="70"/>
      <c r="VNE50" s="25"/>
      <c r="VNF50" s="26"/>
      <c r="VNG50" s="26"/>
      <c r="VNH50" s="67"/>
      <c r="VNI50" s="11"/>
      <c r="VNJ50" s="11"/>
      <c r="VNK50" s="68"/>
      <c r="VNL50" s="83"/>
      <c r="VNM50" s="83"/>
      <c r="VNN50" s="80"/>
      <c r="VNO50" s="70"/>
      <c r="VNP50" s="70"/>
      <c r="VNQ50" s="25"/>
      <c r="VNR50" s="26"/>
      <c r="VNS50" s="26"/>
      <c r="VNT50" s="67"/>
      <c r="VNU50" s="11"/>
      <c r="VNV50" s="11"/>
      <c r="VNW50" s="68"/>
      <c r="VNX50" s="83"/>
      <c r="VNY50" s="83"/>
      <c r="VNZ50" s="80"/>
      <c r="VOA50" s="70"/>
      <c r="VOB50" s="70"/>
      <c r="VOC50" s="25"/>
      <c r="VOD50" s="26"/>
      <c r="VOE50" s="26"/>
      <c r="VOF50" s="67"/>
      <c r="VOG50" s="11"/>
      <c r="VOH50" s="11"/>
      <c r="VOI50" s="68"/>
      <c r="VOJ50" s="83"/>
      <c r="VOK50" s="83"/>
      <c r="VOL50" s="80"/>
      <c r="VOM50" s="70"/>
      <c r="VON50" s="70"/>
      <c r="VOO50" s="25"/>
      <c r="VOP50" s="26"/>
      <c r="VOQ50" s="26"/>
      <c r="VOR50" s="67"/>
      <c r="VOS50" s="11"/>
      <c r="VOT50" s="11"/>
      <c r="VOU50" s="68"/>
      <c r="VOV50" s="83"/>
      <c r="VOW50" s="83"/>
      <c r="VOX50" s="80"/>
      <c r="VOY50" s="70"/>
      <c r="VOZ50" s="70"/>
      <c r="VPA50" s="25"/>
      <c r="VPB50" s="26"/>
      <c r="VPC50" s="26"/>
      <c r="VPD50" s="67"/>
      <c r="VPE50" s="11"/>
      <c r="VPF50" s="11"/>
      <c r="VPG50" s="68"/>
      <c r="VPH50" s="83"/>
      <c r="VPI50" s="83"/>
      <c r="VPJ50" s="80"/>
      <c r="VPK50" s="70"/>
      <c r="VPL50" s="70"/>
      <c r="VPM50" s="25"/>
      <c r="VPN50" s="26"/>
      <c r="VPO50" s="26"/>
      <c r="VPP50" s="67"/>
      <c r="VPQ50" s="11"/>
      <c r="VPR50" s="11"/>
      <c r="VPS50" s="68"/>
      <c r="VPT50" s="83"/>
      <c r="VPU50" s="83"/>
      <c r="VPV50" s="80"/>
      <c r="VPW50" s="70"/>
      <c r="VPX50" s="70"/>
      <c r="VPY50" s="25"/>
      <c r="VPZ50" s="26"/>
      <c r="VQA50" s="26"/>
      <c r="VQB50" s="67"/>
      <c r="VQC50" s="11"/>
      <c r="VQD50" s="11"/>
      <c r="VQE50" s="68"/>
      <c r="VQF50" s="83"/>
      <c r="VQG50" s="83"/>
      <c r="VQH50" s="80"/>
      <c r="VQI50" s="70"/>
      <c r="VQJ50" s="70"/>
      <c r="VQK50" s="25"/>
      <c r="VQL50" s="26"/>
      <c r="VQM50" s="26"/>
      <c r="VQN50" s="67"/>
      <c r="VQO50" s="11"/>
      <c r="VQP50" s="11"/>
      <c r="VQQ50" s="68"/>
      <c r="VQR50" s="83"/>
      <c r="VQS50" s="83"/>
      <c r="VQT50" s="80"/>
      <c r="VQU50" s="70"/>
      <c r="VQV50" s="70"/>
      <c r="VQW50" s="25"/>
      <c r="VQX50" s="26"/>
      <c r="VQY50" s="26"/>
      <c r="VQZ50" s="67"/>
      <c r="VRA50" s="11"/>
      <c r="VRB50" s="11"/>
      <c r="VRC50" s="68"/>
      <c r="VRD50" s="83"/>
      <c r="VRE50" s="83"/>
      <c r="VRF50" s="80"/>
      <c r="VRG50" s="70"/>
      <c r="VRH50" s="70"/>
      <c r="VRI50" s="25"/>
      <c r="VRJ50" s="26"/>
      <c r="VRK50" s="26"/>
      <c r="VRL50" s="67"/>
      <c r="VRM50" s="11"/>
      <c r="VRN50" s="11"/>
      <c r="VRO50" s="68"/>
      <c r="VRP50" s="83"/>
      <c r="VRQ50" s="83"/>
      <c r="VRR50" s="80"/>
      <c r="VRS50" s="70"/>
      <c r="VRT50" s="70"/>
      <c r="VRU50" s="25"/>
      <c r="VRV50" s="26"/>
      <c r="VRW50" s="26"/>
      <c r="VRX50" s="67"/>
      <c r="VRY50" s="11"/>
      <c r="VRZ50" s="11"/>
      <c r="VSA50" s="68"/>
      <c r="VSB50" s="83"/>
      <c r="VSC50" s="83"/>
      <c r="VSD50" s="80"/>
      <c r="VSE50" s="70"/>
      <c r="VSF50" s="70"/>
      <c r="VSG50" s="25"/>
      <c r="VSH50" s="26"/>
      <c r="VSI50" s="26"/>
      <c r="VSJ50" s="67"/>
      <c r="VSK50" s="11"/>
      <c r="VSL50" s="11"/>
      <c r="VSM50" s="68"/>
      <c r="VSN50" s="83"/>
      <c r="VSO50" s="83"/>
      <c r="VSP50" s="80"/>
      <c r="VSQ50" s="70"/>
      <c r="VSR50" s="70"/>
      <c r="VSS50" s="25"/>
      <c r="VST50" s="26"/>
      <c r="VSU50" s="26"/>
      <c r="VSV50" s="67"/>
      <c r="VSW50" s="11"/>
      <c r="VSX50" s="11"/>
      <c r="VSY50" s="68"/>
      <c r="VSZ50" s="83"/>
      <c r="VTA50" s="83"/>
      <c r="VTB50" s="80"/>
      <c r="VTC50" s="70"/>
      <c r="VTD50" s="70"/>
      <c r="VTE50" s="25"/>
      <c r="VTF50" s="26"/>
      <c r="VTG50" s="26"/>
      <c r="VTH50" s="67"/>
      <c r="VTI50" s="11"/>
      <c r="VTJ50" s="11"/>
      <c r="VTK50" s="68"/>
      <c r="VTL50" s="83"/>
      <c r="VTM50" s="83"/>
      <c r="VTN50" s="80"/>
      <c r="VTO50" s="70"/>
      <c r="VTP50" s="70"/>
      <c r="VTQ50" s="25"/>
      <c r="VTR50" s="26"/>
      <c r="VTS50" s="26"/>
      <c r="VTT50" s="67"/>
      <c r="VTU50" s="11"/>
      <c r="VTV50" s="11"/>
      <c r="VTW50" s="68"/>
      <c r="VTX50" s="83"/>
      <c r="VTY50" s="83"/>
      <c r="VTZ50" s="80"/>
      <c r="VUA50" s="70"/>
      <c r="VUB50" s="70"/>
      <c r="VUC50" s="25"/>
      <c r="VUD50" s="26"/>
      <c r="VUE50" s="26"/>
      <c r="VUF50" s="67"/>
      <c r="VUG50" s="11"/>
      <c r="VUH50" s="11"/>
      <c r="VUI50" s="68"/>
      <c r="VUJ50" s="83"/>
      <c r="VUK50" s="83"/>
      <c r="VUL50" s="80"/>
      <c r="VUM50" s="70"/>
      <c r="VUN50" s="70"/>
      <c r="VUO50" s="25"/>
      <c r="VUP50" s="26"/>
      <c r="VUQ50" s="26"/>
      <c r="VUR50" s="67"/>
      <c r="VUS50" s="11"/>
      <c r="VUT50" s="11"/>
      <c r="VUU50" s="68"/>
      <c r="VUV50" s="83"/>
      <c r="VUW50" s="83"/>
      <c r="VUX50" s="80"/>
      <c r="VUY50" s="70"/>
      <c r="VUZ50" s="70"/>
      <c r="VVA50" s="25"/>
      <c r="VVB50" s="26"/>
      <c r="VVC50" s="26"/>
      <c r="VVD50" s="67"/>
      <c r="VVE50" s="11"/>
      <c r="VVF50" s="11"/>
      <c r="VVG50" s="68"/>
      <c r="VVH50" s="83"/>
      <c r="VVI50" s="83"/>
      <c r="VVJ50" s="80"/>
      <c r="VVK50" s="70"/>
      <c r="VVL50" s="70"/>
      <c r="VVM50" s="25"/>
      <c r="VVN50" s="26"/>
      <c r="VVO50" s="26"/>
      <c r="VVP50" s="67"/>
      <c r="VVQ50" s="11"/>
      <c r="VVR50" s="11"/>
      <c r="VVS50" s="68"/>
      <c r="VVT50" s="83"/>
      <c r="VVU50" s="83"/>
      <c r="VVV50" s="80"/>
      <c r="VVW50" s="70"/>
      <c r="VVX50" s="70"/>
      <c r="VVY50" s="25"/>
      <c r="VVZ50" s="26"/>
      <c r="VWA50" s="26"/>
      <c r="VWB50" s="67"/>
      <c r="VWC50" s="11"/>
      <c r="VWD50" s="11"/>
      <c r="VWE50" s="68"/>
      <c r="VWF50" s="83"/>
      <c r="VWG50" s="83"/>
      <c r="VWH50" s="80"/>
      <c r="VWI50" s="70"/>
      <c r="VWJ50" s="70"/>
      <c r="VWK50" s="25"/>
      <c r="VWL50" s="26"/>
      <c r="VWM50" s="26"/>
      <c r="VWN50" s="67"/>
      <c r="VWO50" s="11"/>
      <c r="VWP50" s="11"/>
      <c r="VWQ50" s="68"/>
      <c r="VWR50" s="83"/>
      <c r="VWS50" s="83"/>
      <c r="VWT50" s="80"/>
      <c r="VWU50" s="70"/>
      <c r="VWV50" s="70"/>
      <c r="VWW50" s="25"/>
      <c r="VWX50" s="26"/>
      <c r="VWY50" s="26"/>
      <c r="VWZ50" s="67"/>
      <c r="VXA50" s="11"/>
      <c r="VXB50" s="11"/>
      <c r="VXC50" s="68"/>
      <c r="VXD50" s="83"/>
      <c r="VXE50" s="83"/>
      <c r="VXF50" s="80"/>
      <c r="VXG50" s="70"/>
      <c r="VXH50" s="70"/>
      <c r="VXI50" s="25"/>
      <c r="VXJ50" s="26"/>
      <c r="VXK50" s="26"/>
      <c r="VXL50" s="67"/>
      <c r="VXM50" s="11"/>
      <c r="VXN50" s="11"/>
      <c r="VXO50" s="68"/>
      <c r="VXP50" s="83"/>
      <c r="VXQ50" s="83"/>
      <c r="VXR50" s="80"/>
      <c r="VXS50" s="70"/>
      <c r="VXT50" s="70"/>
      <c r="VXU50" s="25"/>
      <c r="VXV50" s="26"/>
      <c r="VXW50" s="26"/>
      <c r="VXX50" s="67"/>
      <c r="VXY50" s="11"/>
      <c r="VXZ50" s="11"/>
      <c r="VYA50" s="68"/>
      <c r="VYB50" s="83"/>
      <c r="VYC50" s="83"/>
      <c r="VYD50" s="80"/>
      <c r="VYE50" s="70"/>
      <c r="VYF50" s="70"/>
      <c r="VYG50" s="25"/>
      <c r="VYH50" s="26"/>
      <c r="VYI50" s="26"/>
      <c r="VYJ50" s="67"/>
      <c r="VYK50" s="11"/>
      <c r="VYL50" s="11"/>
      <c r="VYM50" s="68"/>
      <c r="VYN50" s="83"/>
      <c r="VYO50" s="83"/>
      <c r="VYP50" s="80"/>
      <c r="VYQ50" s="70"/>
      <c r="VYR50" s="70"/>
      <c r="VYS50" s="25"/>
      <c r="VYT50" s="26"/>
      <c r="VYU50" s="26"/>
      <c r="VYV50" s="67"/>
      <c r="VYW50" s="11"/>
      <c r="VYX50" s="11"/>
      <c r="VYY50" s="68"/>
      <c r="VYZ50" s="83"/>
      <c r="VZA50" s="83"/>
      <c r="VZB50" s="80"/>
      <c r="VZC50" s="70"/>
      <c r="VZD50" s="70"/>
      <c r="VZE50" s="25"/>
      <c r="VZF50" s="26"/>
      <c r="VZG50" s="26"/>
      <c r="VZH50" s="67"/>
      <c r="VZI50" s="11"/>
      <c r="VZJ50" s="11"/>
      <c r="VZK50" s="68"/>
      <c r="VZL50" s="83"/>
      <c r="VZM50" s="83"/>
      <c r="VZN50" s="80"/>
      <c r="VZO50" s="70"/>
      <c r="VZP50" s="70"/>
      <c r="VZQ50" s="25"/>
      <c r="VZR50" s="26"/>
      <c r="VZS50" s="26"/>
      <c r="VZT50" s="67"/>
      <c r="VZU50" s="11"/>
      <c r="VZV50" s="11"/>
      <c r="VZW50" s="68"/>
      <c r="VZX50" s="83"/>
      <c r="VZY50" s="83"/>
      <c r="VZZ50" s="80"/>
      <c r="WAA50" s="70"/>
      <c r="WAB50" s="70"/>
      <c r="WAC50" s="25"/>
      <c r="WAD50" s="26"/>
      <c r="WAE50" s="26"/>
      <c r="WAF50" s="67"/>
      <c r="WAG50" s="11"/>
      <c r="WAH50" s="11"/>
      <c r="WAI50" s="68"/>
      <c r="WAJ50" s="83"/>
      <c r="WAK50" s="83"/>
      <c r="WAL50" s="80"/>
      <c r="WAM50" s="70"/>
      <c r="WAN50" s="70"/>
      <c r="WAO50" s="25"/>
      <c r="WAP50" s="26"/>
      <c r="WAQ50" s="26"/>
      <c r="WAR50" s="67"/>
      <c r="WAS50" s="11"/>
      <c r="WAT50" s="11"/>
      <c r="WAU50" s="68"/>
      <c r="WAV50" s="83"/>
      <c r="WAW50" s="83"/>
      <c r="WAX50" s="80"/>
      <c r="WAY50" s="70"/>
      <c r="WAZ50" s="70"/>
      <c r="WBA50" s="25"/>
      <c r="WBB50" s="26"/>
      <c r="WBC50" s="26"/>
      <c r="WBD50" s="67"/>
      <c r="WBE50" s="11"/>
      <c r="WBF50" s="11"/>
      <c r="WBG50" s="68"/>
      <c r="WBH50" s="83"/>
      <c r="WBI50" s="83"/>
      <c r="WBJ50" s="80"/>
      <c r="WBK50" s="70"/>
      <c r="WBL50" s="70"/>
      <c r="WBM50" s="25"/>
      <c r="WBN50" s="26"/>
      <c r="WBO50" s="26"/>
      <c r="WBP50" s="67"/>
      <c r="WBQ50" s="11"/>
      <c r="WBR50" s="11"/>
      <c r="WBS50" s="68"/>
      <c r="WBT50" s="83"/>
      <c r="WBU50" s="83"/>
      <c r="WBV50" s="80"/>
      <c r="WBW50" s="70"/>
      <c r="WBX50" s="70"/>
      <c r="WBY50" s="25"/>
      <c r="WBZ50" s="26"/>
      <c r="WCA50" s="26"/>
      <c r="WCB50" s="67"/>
      <c r="WCC50" s="11"/>
      <c r="WCD50" s="11"/>
      <c r="WCE50" s="68"/>
      <c r="WCF50" s="83"/>
      <c r="WCG50" s="83"/>
      <c r="WCH50" s="80"/>
      <c r="WCI50" s="70"/>
      <c r="WCJ50" s="70"/>
      <c r="WCK50" s="25"/>
      <c r="WCL50" s="26"/>
      <c r="WCM50" s="26"/>
      <c r="WCN50" s="67"/>
      <c r="WCO50" s="11"/>
      <c r="WCP50" s="11"/>
      <c r="WCQ50" s="68"/>
      <c r="WCR50" s="83"/>
      <c r="WCS50" s="83"/>
      <c r="WCT50" s="80"/>
      <c r="WCU50" s="70"/>
      <c r="WCV50" s="70"/>
      <c r="WCW50" s="25"/>
      <c r="WCX50" s="26"/>
      <c r="WCY50" s="26"/>
      <c r="WCZ50" s="67"/>
      <c r="WDA50" s="11"/>
      <c r="WDB50" s="11"/>
      <c r="WDC50" s="68"/>
      <c r="WDD50" s="83"/>
      <c r="WDE50" s="83"/>
      <c r="WDF50" s="80"/>
      <c r="WDG50" s="70"/>
      <c r="WDH50" s="70"/>
      <c r="WDI50" s="25"/>
      <c r="WDJ50" s="26"/>
      <c r="WDK50" s="26"/>
      <c r="WDL50" s="67"/>
      <c r="WDM50" s="11"/>
      <c r="WDN50" s="11"/>
      <c r="WDO50" s="68"/>
      <c r="WDP50" s="83"/>
      <c r="WDQ50" s="83"/>
      <c r="WDR50" s="80"/>
      <c r="WDS50" s="70"/>
      <c r="WDT50" s="70"/>
      <c r="WDU50" s="25"/>
      <c r="WDV50" s="26"/>
      <c r="WDW50" s="26"/>
      <c r="WDX50" s="67"/>
      <c r="WDY50" s="11"/>
      <c r="WDZ50" s="11"/>
      <c r="WEA50" s="68"/>
      <c r="WEB50" s="83"/>
      <c r="WEC50" s="83"/>
      <c r="WED50" s="80"/>
      <c r="WEE50" s="70"/>
      <c r="WEF50" s="70"/>
      <c r="WEG50" s="25"/>
      <c r="WEH50" s="26"/>
      <c r="WEI50" s="26"/>
      <c r="WEJ50" s="67"/>
      <c r="WEK50" s="11"/>
      <c r="WEL50" s="11"/>
      <c r="WEM50" s="68"/>
      <c r="WEN50" s="83"/>
      <c r="WEO50" s="83"/>
      <c r="WEP50" s="80"/>
      <c r="WEQ50" s="70"/>
      <c r="WER50" s="70"/>
      <c r="WES50" s="25"/>
      <c r="WET50" s="26"/>
      <c r="WEU50" s="26"/>
      <c r="WEV50" s="67"/>
      <c r="WEW50" s="11"/>
      <c r="WEX50" s="11"/>
      <c r="WEY50" s="68"/>
      <c r="WEZ50" s="83"/>
      <c r="WFA50" s="83"/>
      <c r="WFB50" s="80"/>
      <c r="WFC50" s="70"/>
      <c r="WFD50" s="70"/>
      <c r="WFE50" s="25"/>
      <c r="WFF50" s="26"/>
      <c r="WFG50" s="26"/>
      <c r="WFH50" s="67"/>
      <c r="WFI50" s="11"/>
      <c r="WFJ50" s="11"/>
      <c r="WFK50" s="68"/>
      <c r="WFL50" s="83"/>
      <c r="WFM50" s="83"/>
      <c r="WFN50" s="80"/>
      <c r="WFO50" s="70"/>
      <c r="WFP50" s="70"/>
      <c r="WFQ50" s="25"/>
      <c r="WFR50" s="26"/>
      <c r="WFS50" s="26"/>
      <c r="WFT50" s="67"/>
      <c r="WFU50" s="11"/>
      <c r="WFV50" s="11"/>
      <c r="WFW50" s="68"/>
      <c r="WFX50" s="83"/>
      <c r="WFY50" s="83"/>
      <c r="WFZ50" s="80"/>
      <c r="WGA50" s="70"/>
      <c r="WGB50" s="70"/>
      <c r="WGC50" s="25"/>
      <c r="WGD50" s="26"/>
      <c r="WGE50" s="26"/>
      <c r="WGF50" s="67"/>
      <c r="WGG50" s="11"/>
      <c r="WGH50" s="11"/>
      <c r="WGI50" s="68"/>
      <c r="WGJ50" s="83"/>
      <c r="WGK50" s="83"/>
      <c r="WGL50" s="80"/>
      <c r="WGM50" s="70"/>
      <c r="WGN50" s="70"/>
      <c r="WGO50" s="25"/>
      <c r="WGP50" s="26"/>
      <c r="WGQ50" s="26"/>
      <c r="WGR50" s="67"/>
      <c r="WGS50" s="11"/>
      <c r="WGT50" s="11"/>
      <c r="WGU50" s="68"/>
      <c r="WGV50" s="83"/>
      <c r="WGW50" s="83"/>
      <c r="WGX50" s="80"/>
      <c r="WGY50" s="70"/>
      <c r="WGZ50" s="70"/>
      <c r="WHA50" s="25"/>
      <c r="WHB50" s="26"/>
      <c r="WHC50" s="26"/>
      <c r="WHD50" s="67"/>
      <c r="WHE50" s="11"/>
      <c r="WHF50" s="11"/>
      <c r="WHG50" s="68"/>
      <c r="WHH50" s="83"/>
      <c r="WHI50" s="83"/>
      <c r="WHJ50" s="80"/>
      <c r="WHK50" s="70"/>
      <c r="WHL50" s="70"/>
      <c r="WHM50" s="25"/>
      <c r="WHN50" s="26"/>
      <c r="WHO50" s="26"/>
      <c r="WHP50" s="67"/>
      <c r="WHQ50" s="11"/>
      <c r="WHR50" s="11"/>
      <c r="WHS50" s="68"/>
      <c r="WHT50" s="83"/>
      <c r="WHU50" s="83"/>
      <c r="WHV50" s="80"/>
      <c r="WHW50" s="70"/>
      <c r="WHX50" s="70"/>
      <c r="WHY50" s="25"/>
      <c r="WHZ50" s="26"/>
      <c r="WIA50" s="26"/>
      <c r="WIB50" s="67"/>
      <c r="WIC50" s="11"/>
      <c r="WID50" s="11"/>
      <c r="WIE50" s="68"/>
      <c r="WIF50" s="83"/>
      <c r="WIG50" s="83"/>
      <c r="WIH50" s="80"/>
      <c r="WII50" s="70"/>
      <c r="WIJ50" s="70"/>
      <c r="WIK50" s="25"/>
      <c r="WIL50" s="26"/>
      <c r="WIM50" s="26"/>
      <c r="WIN50" s="67"/>
      <c r="WIO50" s="11"/>
      <c r="WIP50" s="11"/>
      <c r="WIQ50" s="68"/>
      <c r="WIR50" s="83"/>
      <c r="WIS50" s="83"/>
      <c r="WIT50" s="80"/>
      <c r="WIU50" s="70"/>
      <c r="WIV50" s="70"/>
      <c r="WIW50" s="25"/>
      <c r="WIX50" s="26"/>
      <c r="WIY50" s="26"/>
      <c r="WIZ50" s="67"/>
      <c r="WJA50" s="11"/>
      <c r="WJB50" s="11"/>
      <c r="WJC50" s="68"/>
      <c r="WJD50" s="83"/>
      <c r="WJE50" s="83"/>
      <c r="WJF50" s="80"/>
      <c r="WJG50" s="70"/>
      <c r="WJH50" s="70"/>
      <c r="WJI50" s="25"/>
      <c r="WJJ50" s="26"/>
      <c r="WJK50" s="26"/>
      <c r="WJL50" s="67"/>
      <c r="WJM50" s="11"/>
      <c r="WJN50" s="11"/>
      <c r="WJO50" s="68"/>
      <c r="WJP50" s="83"/>
      <c r="WJQ50" s="83"/>
      <c r="WJR50" s="80"/>
      <c r="WJS50" s="70"/>
      <c r="WJT50" s="70"/>
      <c r="WJU50" s="25"/>
      <c r="WJV50" s="26"/>
      <c r="WJW50" s="26"/>
      <c r="WJX50" s="67"/>
      <c r="WJY50" s="11"/>
      <c r="WJZ50" s="11"/>
      <c r="WKA50" s="68"/>
      <c r="WKB50" s="83"/>
      <c r="WKC50" s="83"/>
      <c r="WKD50" s="80"/>
      <c r="WKE50" s="70"/>
      <c r="WKF50" s="70"/>
      <c r="WKG50" s="25"/>
      <c r="WKH50" s="26"/>
      <c r="WKI50" s="26"/>
      <c r="WKJ50" s="67"/>
      <c r="WKK50" s="11"/>
      <c r="WKL50" s="11"/>
      <c r="WKM50" s="68"/>
      <c r="WKN50" s="83"/>
      <c r="WKO50" s="83"/>
      <c r="WKP50" s="80"/>
      <c r="WKQ50" s="70"/>
      <c r="WKR50" s="70"/>
      <c r="WKS50" s="25"/>
      <c r="WKT50" s="26"/>
      <c r="WKU50" s="26"/>
      <c r="WKV50" s="67"/>
      <c r="WKW50" s="11"/>
      <c r="WKX50" s="11"/>
      <c r="WKY50" s="68"/>
      <c r="WKZ50" s="83"/>
      <c r="WLA50" s="83"/>
      <c r="WLB50" s="80"/>
      <c r="WLC50" s="70"/>
      <c r="WLD50" s="70"/>
      <c r="WLE50" s="25"/>
      <c r="WLF50" s="26"/>
      <c r="WLG50" s="26"/>
      <c r="WLH50" s="67"/>
      <c r="WLI50" s="11"/>
      <c r="WLJ50" s="11"/>
      <c r="WLK50" s="68"/>
      <c r="WLL50" s="83"/>
      <c r="WLM50" s="83"/>
      <c r="WLN50" s="80"/>
      <c r="WLO50" s="70"/>
      <c r="WLP50" s="70"/>
      <c r="WLQ50" s="25"/>
      <c r="WLR50" s="26"/>
      <c r="WLS50" s="26"/>
      <c r="WLT50" s="67"/>
      <c r="WLU50" s="11"/>
      <c r="WLV50" s="11"/>
      <c r="WLW50" s="68"/>
      <c r="WLX50" s="83"/>
      <c r="WLY50" s="83"/>
      <c r="WLZ50" s="80"/>
      <c r="WMA50" s="70"/>
      <c r="WMB50" s="70"/>
      <c r="WMC50" s="25"/>
      <c r="WMD50" s="26"/>
      <c r="WME50" s="26"/>
      <c r="WMF50" s="67"/>
      <c r="WMG50" s="11"/>
      <c r="WMH50" s="11"/>
      <c r="WMI50" s="68"/>
      <c r="WMJ50" s="83"/>
      <c r="WMK50" s="83"/>
      <c r="WML50" s="80"/>
      <c r="WMM50" s="70"/>
      <c r="WMN50" s="70"/>
      <c r="WMO50" s="25"/>
      <c r="WMP50" s="26"/>
      <c r="WMQ50" s="26"/>
      <c r="WMR50" s="67"/>
      <c r="WMS50" s="11"/>
      <c r="WMT50" s="11"/>
      <c r="WMU50" s="68"/>
      <c r="WMV50" s="83"/>
      <c r="WMW50" s="83"/>
      <c r="WMX50" s="80"/>
      <c r="WMY50" s="70"/>
      <c r="WMZ50" s="70"/>
      <c r="WNA50" s="25"/>
      <c r="WNB50" s="26"/>
      <c r="WNC50" s="26"/>
      <c r="WND50" s="67"/>
      <c r="WNE50" s="11"/>
      <c r="WNF50" s="11"/>
      <c r="WNG50" s="68"/>
      <c r="WNH50" s="83"/>
      <c r="WNI50" s="83"/>
      <c r="WNJ50" s="80"/>
      <c r="WNK50" s="70"/>
      <c r="WNL50" s="70"/>
      <c r="WNM50" s="25"/>
      <c r="WNN50" s="26"/>
      <c r="WNO50" s="26"/>
      <c r="WNP50" s="67"/>
      <c r="WNQ50" s="11"/>
      <c r="WNR50" s="11"/>
      <c r="WNS50" s="68"/>
      <c r="WNT50" s="83"/>
      <c r="WNU50" s="83"/>
      <c r="WNV50" s="80"/>
      <c r="WNW50" s="70"/>
      <c r="WNX50" s="70"/>
      <c r="WNY50" s="25"/>
      <c r="WNZ50" s="26"/>
      <c r="WOA50" s="26"/>
      <c r="WOB50" s="67"/>
      <c r="WOC50" s="11"/>
      <c r="WOD50" s="11"/>
      <c r="WOE50" s="68"/>
      <c r="WOF50" s="83"/>
      <c r="WOG50" s="83"/>
      <c r="WOH50" s="80"/>
      <c r="WOI50" s="70"/>
      <c r="WOJ50" s="70"/>
      <c r="WOK50" s="25"/>
      <c r="WOL50" s="26"/>
      <c r="WOM50" s="26"/>
      <c r="WON50" s="67"/>
      <c r="WOO50" s="11"/>
      <c r="WOP50" s="11"/>
      <c r="WOQ50" s="68"/>
      <c r="WOR50" s="83"/>
      <c r="WOS50" s="83"/>
      <c r="WOT50" s="80"/>
      <c r="WOU50" s="70"/>
      <c r="WOV50" s="70"/>
      <c r="WOW50" s="25"/>
      <c r="WOX50" s="26"/>
      <c r="WOY50" s="26"/>
      <c r="WOZ50" s="67"/>
      <c r="WPA50" s="11"/>
      <c r="WPB50" s="11"/>
      <c r="WPC50" s="68"/>
      <c r="WPD50" s="83"/>
      <c r="WPE50" s="83"/>
      <c r="WPF50" s="80"/>
      <c r="WPG50" s="70"/>
      <c r="WPH50" s="70"/>
      <c r="WPI50" s="25"/>
      <c r="WPJ50" s="26"/>
      <c r="WPK50" s="26"/>
      <c r="WPL50" s="67"/>
      <c r="WPM50" s="11"/>
      <c r="WPN50" s="11"/>
      <c r="WPO50" s="68"/>
      <c r="WPP50" s="83"/>
      <c r="WPQ50" s="83"/>
      <c r="WPR50" s="80"/>
      <c r="WPS50" s="70"/>
      <c r="WPT50" s="70"/>
      <c r="WPU50" s="25"/>
      <c r="WPV50" s="26"/>
      <c r="WPW50" s="26"/>
      <c r="WPX50" s="67"/>
      <c r="WPY50" s="11"/>
      <c r="WPZ50" s="11"/>
      <c r="WQA50" s="68"/>
      <c r="WQB50" s="83"/>
      <c r="WQC50" s="83"/>
      <c r="WQD50" s="80"/>
      <c r="WQE50" s="70"/>
      <c r="WQF50" s="70"/>
      <c r="WQG50" s="25"/>
      <c r="WQH50" s="26"/>
      <c r="WQI50" s="26"/>
      <c r="WQJ50" s="67"/>
      <c r="WQK50" s="11"/>
      <c r="WQL50" s="11"/>
      <c r="WQM50" s="68"/>
      <c r="WQN50" s="83"/>
      <c r="WQO50" s="83"/>
      <c r="WQP50" s="80"/>
      <c r="WQQ50" s="70"/>
      <c r="WQR50" s="70"/>
      <c r="WQS50" s="25"/>
      <c r="WQT50" s="26"/>
      <c r="WQU50" s="26"/>
      <c r="WQV50" s="67"/>
      <c r="WQW50" s="11"/>
      <c r="WQX50" s="11"/>
      <c r="WQY50" s="68"/>
      <c r="WQZ50" s="83"/>
      <c r="WRA50" s="83"/>
      <c r="WRB50" s="80"/>
      <c r="WRC50" s="70"/>
      <c r="WRD50" s="70"/>
      <c r="WRE50" s="25"/>
      <c r="WRF50" s="26"/>
      <c r="WRG50" s="26"/>
      <c r="WRH50" s="67"/>
      <c r="WRI50" s="11"/>
      <c r="WRJ50" s="11"/>
      <c r="WRK50" s="68"/>
      <c r="WRL50" s="83"/>
      <c r="WRM50" s="83"/>
      <c r="WRN50" s="80"/>
      <c r="WRO50" s="70"/>
      <c r="WRP50" s="70"/>
      <c r="WRQ50" s="25"/>
      <c r="WRR50" s="26"/>
      <c r="WRS50" s="26"/>
      <c r="WRT50" s="67"/>
      <c r="WRU50" s="11"/>
      <c r="WRV50" s="11"/>
      <c r="WRW50" s="68"/>
      <c r="WRX50" s="83"/>
      <c r="WRY50" s="83"/>
      <c r="WRZ50" s="80"/>
      <c r="WSA50" s="70"/>
      <c r="WSB50" s="70"/>
      <c r="WSC50" s="25"/>
      <c r="WSD50" s="26"/>
      <c r="WSE50" s="26"/>
      <c r="WSF50" s="67"/>
      <c r="WSG50" s="11"/>
      <c r="WSH50" s="11"/>
      <c r="WSI50" s="68"/>
      <c r="WSJ50" s="83"/>
      <c r="WSK50" s="83"/>
      <c r="WSL50" s="80"/>
      <c r="WSM50" s="70"/>
      <c r="WSN50" s="70"/>
      <c r="WSO50" s="25"/>
      <c r="WSP50" s="26"/>
      <c r="WSQ50" s="26"/>
      <c r="WSR50" s="67"/>
      <c r="WSS50" s="11"/>
      <c r="WST50" s="11"/>
      <c r="WSU50" s="68"/>
      <c r="WSV50" s="83"/>
      <c r="WSW50" s="83"/>
      <c r="WSX50" s="80"/>
      <c r="WSY50" s="70"/>
      <c r="WSZ50" s="70"/>
      <c r="WTA50" s="25"/>
      <c r="WTB50" s="26"/>
      <c r="WTC50" s="26"/>
      <c r="WTD50" s="67"/>
      <c r="WTE50" s="11"/>
      <c r="WTF50" s="11"/>
      <c r="WTG50" s="68"/>
      <c r="WTH50" s="83"/>
      <c r="WTI50" s="83"/>
      <c r="WTJ50" s="80"/>
      <c r="WTK50" s="70"/>
      <c r="WTL50" s="70"/>
      <c r="WTM50" s="25"/>
      <c r="WTN50" s="26"/>
      <c r="WTO50" s="26"/>
      <c r="WTP50" s="67"/>
      <c r="WTQ50" s="11"/>
      <c r="WTR50" s="11"/>
      <c r="WTS50" s="68"/>
      <c r="WTT50" s="83"/>
      <c r="WTU50" s="83"/>
      <c r="WTV50" s="80"/>
      <c r="WTW50" s="70"/>
      <c r="WTX50" s="70"/>
      <c r="WTY50" s="25"/>
      <c r="WTZ50" s="26"/>
      <c r="WUA50" s="26"/>
      <c r="WUB50" s="67"/>
      <c r="WUC50" s="11"/>
      <c r="WUD50" s="11"/>
      <c r="WUE50" s="68"/>
      <c r="WUF50" s="83"/>
      <c r="WUG50" s="83"/>
      <c r="WUH50" s="80"/>
      <c r="WUI50" s="70"/>
      <c r="WUJ50" s="70"/>
      <c r="WUK50" s="25"/>
      <c r="WUL50" s="26"/>
      <c r="WUM50" s="26"/>
      <c r="WUN50" s="67"/>
      <c r="WUO50" s="11"/>
      <c r="WUP50" s="11"/>
      <c r="WUQ50" s="68"/>
      <c r="WUR50" s="83"/>
      <c r="WUS50" s="83"/>
      <c r="WUT50" s="80"/>
      <c r="WUU50" s="70"/>
      <c r="WUV50" s="70"/>
      <c r="WUW50" s="25"/>
      <c r="WUX50" s="26"/>
      <c r="WUY50" s="26"/>
      <c r="WUZ50" s="67"/>
      <c r="WVA50" s="11"/>
      <c r="WVB50" s="11"/>
      <c r="WVC50" s="68"/>
      <c r="WVD50" s="83"/>
      <c r="WVE50" s="83"/>
      <c r="WVF50" s="80"/>
      <c r="WVG50" s="70"/>
      <c r="WVH50" s="70"/>
      <c r="WVI50" s="25"/>
      <c r="WVJ50" s="26"/>
      <c r="WVK50" s="26"/>
      <c r="WVL50" s="67"/>
      <c r="WVM50" s="11"/>
      <c r="WVN50" s="11"/>
      <c r="WVO50" s="68"/>
      <c r="WVP50" s="83"/>
      <c r="WVQ50" s="83"/>
      <c r="WVR50" s="80"/>
      <c r="WVS50" s="70"/>
      <c r="WVT50" s="70"/>
      <c r="WVU50" s="25"/>
      <c r="WVV50" s="26"/>
      <c r="WVW50" s="26"/>
      <c r="WVX50" s="67"/>
      <c r="WVY50" s="11"/>
      <c r="WVZ50" s="11"/>
      <c r="WWA50" s="68"/>
      <c r="WWB50" s="83"/>
      <c r="WWC50" s="83"/>
      <c r="WWD50" s="80"/>
      <c r="WWE50" s="70"/>
      <c r="WWF50" s="70"/>
      <c r="WWG50" s="25"/>
      <c r="WWH50" s="26"/>
      <c r="WWI50" s="26"/>
      <c r="WWJ50" s="67"/>
      <c r="WWK50" s="11"/>
      <c r="WWL50" s="11"/>
      <c r="WWM50" s="68"/>
      <c r="WWN50" s="83"/>
      <c r="WWO50" s="83"/>
      <c r="WWP50" s="80"/>
      <c r="WWQ50" s="70"/>
      <c r="WWR50" s="70"/>
      <c r="WWS50" s="25"/>
      <c r="WWT50" s="26"/>
      <c r="WWU50" s="26"/>
      <c r="WWV50" s="67"/>
      <c r="WWW50" s="11"/>
      <c r="WWX50" s="11"/>
      <c r="WWY50" s="68"/>
      <c r="WWZ50" s="83"/>
      <c r="WXA50" s="83"/>
      <c r="WXB50" s="80"/>
      <c r="WXC50" s="70"/>
      <c r="WXD50" s="70"/>
      <c r="WXE50" s="25"/>
      <c r="WXF50" s="26"/>
      <c r="WXG50" s="26"/>
      <c r="WXH50" s="67"/>
      <c r="WXI50" s="11"/>
      <c r="WXJ50" s="11"/>
      <c r="WXK50" s="68"/>
      <c r="WXL50" s="83"/>
      <c r="WXM50" s="83"/>
      <c r="WXN50" s="80"/>
      <c r="WXO50" s="70"/>
      <c r="WXP50" s="70"/>
      <c r="WXQ50" s="25"/>
      <c r="WXR50" s="26"/>
      <c r="WXS50" s="26"/>
      <c r="WXT50" s="67"/>
      <c r="WXU50" s="11"/>
      <c r="WXV50" s="11"/>
      <c r="WXW50" s="68"/>
      <c r="WXX50" s="83"/>
      <c r="WXY50" s="83"/>
      <c r="WXZ50" s="80"/>
      <c r="WYA50" s="70"/>
      <c r="WYB50" s="70"/>
      <c r="WYC50" s="25"/>
      <c r="WYD50" s="26"/>
      <c r="WYE50" s="26"/>
      <c r="WYF50" s="67"/>
      <c r="WYG50" s="11"/>
      <c r="WYH50" s="11"/>
      <c r="WYI50" s="68"/>
      <c r="WYJ50" s="83"/>
      <c r="WYK50" s="83"/>
      <c r="WYL50" s="80"/>
      <c r="WYM50" s="70"/>
      <c r="WYN50" s="70"/>
      <c r="WYO50" s="25"/>
      <c r="WYP50" s="26"/>
      <c r="WYQ50" s="26"/>
      <c r="WYR50" s="67"/>
      <c r="WYS50" s="11"/>
      <c r="WYT50" s="11"/>
      <c r="WYU50" s="68"/>
      <c r="WYV50" s="83"/>
      <c r="WYW50" s="83"/>
      <c r="WYX50" s="80"/>
      <c r="WYY50" s="70"/>
      <c r="WYZ50" s="70"/>
      <c r="WZA50" s="25"/>
      <c r="WZB50" s="26"/>
      <c r="WZC50" s="26"/>
      <c r="WZD50" s="67"/>
      <c r="WZE50" s="11"/>
      <c r="WZF50" s="11"/>
      <c r="WZG50" s="68"/>
      <c r="WZH50" s="83"/>
      <c r="WZI50" s="83"/>
      <c r="WZJ50" s="80"/>
      <c r="WZK50" s="70"/>
      <c r="WZL50" s="70"/>
      <c r="WZM50" s="25"/>
      <c r="WZN50" s="26"/>
      <c r="WZO50" s="26"/>
      <c r="WZP50" s="67"/>
      <c r="WZQ50" s="11"/>
      <c r="WZR50" s="11"/>
      <c r="WZS50" s="68"/>
      <c r="WZT50" s="83"/>
      <c r="WZU50" s="83"/>
      <c r="WZV50" s="80"/>
      <c r="WZW50" s="70"/>
      <c r="WZX50" s="70"/>
      <c r="WZY50" s="25"/>
      <c r="WZZ50" s="26"/>
      <c r="XAA50" s="26"/>
      <c r="XAB50" s="67"/>
      <c r="XAC50" s="11"/>
      <c r="XAD50" s="11"/>
      <c r="XAE50" s="68"/>
      <c r="XAF50" s="83"/>
      <c r="XAG50" s="83"/>
      <c r="XAH50" s="80"/>
      <c r="XAI50" s="70"/>
      <c r="XAJ50" s="70"/>
      <c r="XAK50" s="25"/>
      <c r="XAL50" s="26"/>
      <c r="XAM50" s="26"/>
      <c r="XAN50" s="67"/>
      <c r="XAO50" s="11"/>
      <c r="XAP50" s="11"/>
      <c r="XAQ50" s="68"/>
      <c r="XAR50" s="83"/>
      <c r="XAS50" s="83"/>
      <c r="XAT50" s="80"/>
      <c r="XAU50" s="70"/>
      <c r="XAV50" s="70"/>
      <c r="XAW50" s="25"/>
      <c r="XAX50" s="26"/>
      <c r="XAY50" s="26"/>
      <c r="XAZ50" s="67"/>
      <c r="XBA50" s="11"/>
      <c r="XBB50" s="11"/>
      <c r="XBC50" s="68"/>
      <c r="XBD50" s="83"/>
      <c r="XBE50" s="83"/>
      <c r="XBF50" s="80"/>
      <c r="XBG50" s="70"/>
      <c r="XBH50" s="70"/>
      <c r="XBI50" s="25"/>
      <c r="XBJ50" s="26"/>
      <c r="XBK50" s="26"/>
      <c r="XBL50" s="67"/>
      <c r="XBM50" s="11"/>
      <c r="XBN50" s="11"/>
      <c r="XBO50" s="68"/>
      <c r="XBP50" s="83"/>
      <c r="XBQ50" s="83"/>
      <c r="XBR50" s="80"/>
      <c r="XBS50" s="70"/>
      <c r="XBT50" s="70"/>
      <c r="XBU50" s="25"/>
      <c r="XBV50" s="26"/>
      <c r="XBW50" s="26"/>
      <c r="XBX50" s="67"/>
      <c r="XBY50" s="11"/>
      <c r="XBZ50" s="11"/>
      <c r="XCA50" s="68"/>
      <c r="XCB50" s="83"/>
      <c r="XCC50" s="83"/>
      <c r="XCD50" s="80"/>
      <c r="XCE50" s="70"/>
      <c r="XCF50" s="70"/>
      <c r="XCG50" s="25"/>
      <c r="XCH50" s="26"/>
      <c r="XCI50" s="26"/>
      <c r="XCJ50" s="67"/>
      <c r="XCK50" s="11"/>
      <c r="XCL50" s="11"/>
      <c r="XCM50" s="68"/>
      <c r="XCN50" s="83"/>
      <c r="XCO50" s="83"/>
      <c r="XCP50" s="80"/>
      <c r="XCQ50" s="70"/>
      <c r="XCR50" s="70"/>
      <c r="XCS50" s="25"/>
      <c r="XCT50" s="26"/>
      <c r="XCU50" s="26"/>
      <c r="XCV50" s="67"/>
      <c r="XCW50" s="11"/>
      <c r="XCX50" s="11"/>
      <c r="XCY50" s="68"/>
      <c r="XCZ50" s="83"/>
      <c r="XDA50" s="83"/>
      <c r="XDB50" s="80"/>
      <c r="XDC50" s="70"/>
      <c r="XDD50" s="70"/>
      <c r="XDE50" s="25"/>
      <c r="XDF50" s="26"/>
      <c r="XDG50" s="26"/>
      <c r="XDH50" s="67"/>
      <c r="XDI50" s="11"/>
      <c r="XDJ50" s="11"/>
      <c r="XDK50" s="68"/>
      <c r="XDL50" s="83"/>
      <c r="XDM50" s="83"/>
      <c r="XDN50" s="80"/>
      <c r="XDO50" s="70"/>
      <c r="XDP50" s="70"/>
      <c r="XDQ50" s="25"/>
      <c r="XDR50" s="26"/>
      <c r="XDS50" s="26"/>
      <c r="XDT50" s="67"/>
      <c r="XDU50" s="11"/>
      <c r="XDV50" s="11"/>
      <c r="XDW50" s="68"/>
      <c r="XDX50" s="83"/>
      <c r="XDY50" s="83"/>
      <c r="XDZ50" s="80"/>
      <c r="XEA50" s="70"/>
      <c r="XEB50" s="70"/>
      <c r="XEC50" s="25"/>
      <c r="XED50" s="26"/>
      <c r="XEE50" s="26"/>
      <c r="XEF50" s="67"/>
      <c r="XEG50" s="11"/>
      <c r="XEH50" s="11"/>
      <c r="XEI50" s="68"/>
      <c r="XEJ50" s="83"/>
      <c r="XEK50" s="83"/>
      <c r="XEL50" s="80"/>
      <c r="XEM50" s="70"/>
      <c r="XEN50" s="70"/>
      <c r="XEO50" s="25"/>
      <c r="XEP50" s="26"/>
      <c r="XEQ50" s="26"/>
      <c r="XER50" s="67"/>
      <c r="XES50" s="11"/>
      <c r="XET50" s="11"/>
      <c r="XEU50" s="68"/>
      <c r="XEV50" s="83"/>
      <c r="XEW50" s="83"/>
      <c r="XEX50" s="80"/>
      <c r="XEY50" s="70"/>
      <c r="XEZ50" s="70"/>
      <c r="XFA50" s="25"/>
      <c r="XFB50" s="26"/>
      <c r="XFC50" s="26"/>
      <c r="XFD50" s="67"/>
    </row>
    <row r="51" spans="1:16384" ht="15.75">
      <c r="A51" s="27" t="str">
        <v>Q139</v>
      </c>
      <c r="B51" s="28" t="str">
        <v>NY</v>
      </c>
      <c r="C51" s="28" t="str">
        <f>Sites[[#This Row],[SOL'#]]</f>
        <v>SOL-10403</v>
      </c>
      <c r="D51" s="10">
        <v>10964.59375</v>
      </c>
      <c r="E51" s="15">
        <v>11492.72</v>
      </c>
      <c r="F51" s="15">
        <f t="shared" si="0"/>
        <v>-528.12624999999935</v>
      </c>
      <c r="G51" s="16">
        <f t="shared" si="5"/>
        <v>-4.5953112057023869E-2</v>
      </c>
      <c r="H51" s="17">
        <v>12077</v>
      </c>
      <c r="I51" s="17">
        <f t="shared" si="1"/>
        <v>-1112.40625</v>
      </c>
      <c r="J51" s="16">
        <f t="shared" si="2"/>
        <v>-9.21094849714333E-2</v>
      </c>
      <c r="K51" s="39"/>
      <c r="L51" s="40"/>
    </row>
    <row r="52" spans="1:16384" ht="15.75">
      <c r="A52" s="25" t="str">
        <v>Q157</v>
      </c>
      <c r="B52" s="26" t="str">
        <v>NY</v>
      </c>
      <c r="C52" s="26" t="str">
        <f>Sites[[#This Row],[SOL'#]]</f>
        <v>SOL-10404</v>
      </c>
      <c r="D52" s="67">
        <v>18868.75</v>
      </c>
      <c r="E52" s="11">
        <v>21265.02</v>
      </c>
      <c r="F52" s="11">
        <f t="shared" si="0"/>
        <v>-2396.2700000000004</v>
      </c>
      <c r="G52" s="68">
        <f t="shared" si="5"/>
        <v>-0.11268599794404145</v>
      </c>
      <c r="H52" s="83">
        <v>21317</v>
      </c>
      <c r="I52" s="83">
        <f t="shared" si="1"/>
        <v>-2448.25</v>
      </c>
      <c r="J52" s="80">
        <f t="shared" si="2"/>
        <v>-0.11484965051367453</v>
      </c>
      <c r="K52" s="70" t="s">
        <v>982</v>
      </c>
      <c r="L52" s="70" t="s">
        <v>983</v>
      </c>
      <c r="EV52" s="83"/>
      <c r="EW52" s="83"/>
      <c r="EX52" s="80"/>
      <c r="EY52" s="70"/>
      <c r="EZ52" s="70"/>
      <c r="FA52" s="25"/>
      <c r="FB52" s="26"/>
      <c r="FC52" s="26"/>
      <c r="FD52" s="67"/>
      <c r="FE52" s="11"/>
      <c r="FF52" s="11"/>
      <c r="FG52" s="68"/>
      <c r="FH52" s="83"/>
      <c r="FI52" s="83"/>
      <c r="FJ52" s="80"/>
      <c r="FK52" s="70"/>
      <c r="FL52" s="70"/>
      <c r="FM52" s="25"/>
      <c r="FN52" s="26"/>
      <c r="FO52" s="26"/>
      <c r="FP52" s="67"/>
      <c r="FQ52" s="11"/>
      <c r="FR52" s="11"/>
      <c r="FS52" s="68"/>
      <c r="FT52" s="83"/>
      <c r="FU52" s="83"/>
      <c r="FV52" s="80"/>
      <c r="FW52" s="70"/>
      <c r="FX52" s="70"/>
      <c r="FY52" s="25"/>
      <c r="FZ52" s="26"/>
      <c r="GA52" s="26"/>
      <c r="GB52" s="67"/>
      <c r="GC52" s="11"/>
      <c r="GD52" s="11"/>
      <c r="GE52" s="68"/>
      <c r="GF52" s="83"/>
      <c r="GG52" s="83"/>
      <c r="GH52" s="80"/>
      <c r="GI52" s="70"/>
      <c r="GJ52" s="70"/>
      <c r="GK52" s="25"/>
      <c r="GL52" s="26"/>
      <c r="GM52" s="26"/>
      <c r="GN52" s="67"/>
      <c r="GO52" s="11"/>
      <c r="GP52" s="11"/>
      <c r="GQ52" s="68"/>
      <c r="GR52" s="83"/>
      <c r="GS52" s="83"/>
      <c r="GT52" s="80"/>
      <c r="GU52" s="70"/>
      <c r="GV52" s="70"/>
      <c r="GW52" s="25"/>
      <c r="GX52" s="26"/>
      <c r="GY52" s="26"/>
      <c r="GZ52" s="67"/>
      <c r="HA52" s="11"/>
      <c r="HB52" s="11"/>
      <c r="HC52" s="68"/>
      <c r="HD52" s="83"/>
      <c r="HE52" s="83"/>
      <c r="HF52" s="80"/>
      <c r="HG52" s="70"/>
      <c r="HH52" s="70"/>
      <c r="HI52" s="25"/>
      <c r="HJ52" s="26"/>
      <c r="HK52" s="26"/>
      <c r="HL52" s="67"/>
      <c r="HM52" s="11"/>
      <c r="HN52" s="11"/>
      <c r="HO52" s="68"/>
      <c r="HP52" s="83"/>
      <c r="HQ52" s="83"/>
      <c r="HR52" s="80"/>
      <c r="HS52" s="70"/>
      <c r="HT52" s="70"/>
      <c r="HU52" s="25"/>
      <c r="HV52" s="26"/>
      <c r="HW52" s="26"/>
      <c r="HX52" s="67"/>
      <c r="HY52" s="11"/>
      <c r="HZ52" s="11"/>
      <c r="IA52" s="68"/>
      <c r="IB52" s="83"/>
      <c r="IC52" s="83"/>
      <c r="ID52" s="80"/>
      <c r="IE52" s="70"/>
      <c r="IF52" s="70"/>
      <c r="IG52" s="25"/>
      <c r="IH52" s="26"/>
      <c r="II52" s="26"/>
      <c r="IJ52" s="67"/>
      <c r="IK52" s="11"/>
      <c r="IL52" s="11"/>
      <c r="IM52" s="68"/>
      <c r="IN52" s="83"/>
      <c r="IO52" s="83"/>
      <c r="IP52" s="80"/>
      <c r="IQ52" s="70"/>
      <c r="IR52" s="70"/>
      <c r="IS52" s="25"/>
      <c r="IT52" s="26"/>
      <c r="IU52" s="26"/>
      <c r="IV52" s="67"/>
      <c r="IW52" s="11"/>
      <c r="IX52" s="11"/>
      <c r="IY52" s="68"/>
      <c r="IZ52" s="83"/>
      <c r="JA52" s="83"/>
      <c r="JB52" s="80"/>
      <c r="JC52" s="70"/>
      <c r="JD52" s="70"/>
      <c r="JE52" s="25"/>
      <c r="JF52" s="26"/>
      <c r="JG52" s="26"/>
      <c r="JH52" s="67"/>
      <c r="JI52" s="11"/>
      <c r="JJ52" s="11"/>
      <c r="JK52" s="68"/>
      <c r="JL52" s="83"/>
      <c r="JM52" s="83"/>
      <c r="JN52" s="80"/>
      <c r="JO52" s="70"/>
      <c r="JP52" s="70"/>
      <c r="JQ52" s="25"/>
      <c r="JR52" s="26"/>
      <c r="JS52" s="26"/>
      <c r="JT52" s="67"/>
      <c r="JU52" s="11"/>
      <c r="JV52" s="11"/>
      <c r="JW52" s="68"/>
      <c r="JX52" s="83"/>
      <c r="JY52" s="83"/>
      <c r="JZ52" s="80"/>
      <c r="KA52" s="70"/>
      <c r="KB52" s="70"/>
      <c r="KC52" s="25"/>
      <c r="KD52" s="26"/>
      <c r="KE52" s="26"/>
      <c r="KF52" s="67"/>
      <c r="KG52" s="11"/>
      <c r="KH52" s="11"/>
      <c r="KI52" s="68"/>
      <c r="KJ52" s="83"/>
      <c r="KK52" s="83"/>
      <c r="KL52" s="80"/>
      <c r="KM52" s="70"/>
      <c r="KN52" s="70"/>
      <c r="KO52" s="25"/>
      <c r="KP52" s="26"/>
      <c r="KQ52" s="26"/>
      <c r="KR52" s="67"/>
      <c r="KS52" s="11"/>
      <c r="KT52" s="11"/>
      <c r="KU52" s="68"/>
      <c r="KV52" s="83"/>
      <c r="KW52" s="83"/>
      <c r="KX52" s="80"/>
      <c r="KY52" s="70"/>
      <c r="KZ52" s="70"/>
      <c r="LA52" s="25"/>
      <c r="LB52" s="26"/>
      <c r="LC52" s="26"/>
      <c r="LD52" s="67"/>
      <c r="LE52" s="11"/>
      <c r="LF52" s="11"/>
      <c r="LG52" s="68"/>
      <c r="LH52" s="83"/>
      <c r="LI52" s="83"/>
      <c r="LJ52" s="80"/>
      <c r="LK52" s="70"/>
      <c r="LL52" s="70"/>
      <c r="LM52" s="25"/>
      <c r="LN52" s="26"/>
      <c r="LO52" s="26"/>
      <c r="LP52" s="67"/>
      <c r="LQ52" s="11"/>
      <c r="LR52" s="11"/>
      <c r="LS52" s="68"/>
      <c r="LT52" s="83"/>
      <c r="LU52" s="83"/>
      <c r="LV52" s="80"/>
      <c r="LW52" s="70"/>
      <c r="LX52" s="70"/>
      <c r="LY52" s="25"/>
      <c r="LZ52" s="26"/>
      <c r="MA52" s="26"/>
      <c r="MB52" s="67"/>
      <c r="MC52" s="11"/>
      <c r="MD52" s="11"/>
      <c r="ME52" s="68"/>
      <c r="MF52" s="83"/>
      <c r="MG52" s="83"/>
      <c r="MH52" s="80"/>
      <c r="MI52" s="70"/>
      <c r="MJ52" s="70"/>
      <c r="MK52" s="25"/>
      <c r="ML52" s="26"/>
      <c r="MM52" s="26"/>
      <c r="MN52" s="67"/>
      <c r="MO52" s="11"/>
      <c r="MP52" s="11"/>
      <c r="MQ52" s="68"/>
      <c r="MR52" s="83"/>
      <c r="MS52" s="83"/>
      <c r="MT52" s="80"/>
      <c r="MU52" s="70"/>
      <c r="MV52" s="70"/>
      <c r="MW52" s="25"/>
      <c r="MX52" s="26"/>
      <c r="MY52" s="26"/>
      <c r="MZ52" s="67"/>
      <c r="NA52" s="11"/>
      <c r="NB52" s="11"/>
      <c r="NC52" s="68"/>
      <c r="ND52" s="83"/>
      <c r="NE52" s="83"/>
      <c r="NF52" s="80"/>
      <c r="NG52" s="70"/>
      <c r="NH52" s="70"/>
      <c r="NI52" s="25"/>
      <c r="NJ52" s="26"/>
      <c r="NK52" s="26"/>
      <c r="NL52" s="67"/>
      <c r="NM52" s="11"/>
      <c r="NN52" s="11"/>
      <c r="NO52" s="68"/>
      <c r="NP52" s="83"/>
      <c r="NQ52" s="83"/>
      <c r="NR52" s="80"/>
      <c r="NS52" s="70"/>
      <c r="NT52" s="70"/>
      <c r="NU52" s="25"/>
      <c r="NV52" s="26"/>
      <c r="NW52" s="26"/>
      <c r="NX52" s="67"/>
      <c r="NY52" s="11"/>
      <c r="NZ52" s="11"/>
      <c r="OA52" s="68"/>
      <c r="OB52" s="83"/>
      <c r="OC52" s="83"/>
      <c r="OD52" s="80"/>
      <c r="OE52" s="70"/>
      <c r="OF52" s="70"/>
      <c r="OG52" s="25"/>
      <c r="OH52" s="26"/>
      <c r="OI52" s="26"/>
      <c r="OJ52" s="67"/>
      <c r="OK52" s="11"/>
      <c r="OL52" s="11"/>
      <c r="OM52" s="68"/>
      <c r="ON52" s="83"/>
      <c r="OO52" s="83"/>
      <c r="OP52" s="80"/>
      <c r="OQ52" s="70"/>
      <c r="OR52" s="70"/>
      <c r="OS52" s="25"/>
      <c r="OT52" s="26"/>
      <c r="OU52" s="26"/>
      <c r="OV52" s="67"/>
      <c r="OW52" s="11"/>
      <c r="OX52" s="11"/>
      <c r="OY52" s="68"/>
      <c r="OZ52" s="83"/>
      <c r="PA52" s="83"/>
      <c r="PB52" s="80"/>
      <c r="PC52" s="70"/>
      <c r="PD52" s="70"/>
      <c r="PE52" s="25"/>
      <c r="PF52" s="26"/>
      <c r="PG52" s="26"/>
      <c r="PH52" s="67"/>
      <c r="PI52" s="11"/>
      <c r="PJ52" s="11"/>
      <c r="PK52" s="68"/>
      <c r="PL52" s="83"/>
      <c r="PM52" s="83"/>
      <c r="PN52" s="80"/>
      <c r="PO52" s="70"/>
      <c r="PP52" s="70"/>
      <c r="PQ52" s="25"/>
      <c r="PR52" s="26"/>
      <c r="PS52" s="26"/>
      <c r="PT52" s="67"/>
      <c r="PU52" s="11"/>
      <c r="PV52" s="11"/>
      <c r="PW52" s="68"/>
      <c r="PX52" s="83"/>
      <c r="PY52" s="83"/>
      <c r="PZ52" s="80"/>
      <c r="QA52" s="70"/>
      <c r="QB52" s="70"/>
      <c r="QC52" s="25"/>
      <c r="QD52" s="26"/>
      <c r="QE52" s="26"/>
      <c r="QF52" s="67"/>
      <c r="QG52" s="11"/>
      <c r="QH52" s="11"/>
      <c r="QI52" s="68"/>
      <c r="QJ52" s="83"/>
      <c r="QK52" s="83"/>
      <c r="QL52" s="80"/>
      <c r="QM52" s="70"/>
      <c r="QN52" s="70"/>
      <c r="QO52" s="25"/>
      <c r="QP52" s="26"/>
      <c r="QQ52" s="26"/>
      <c r="QR52" s="67"/>
      <c r="QS52" s="11"/>
      <c r="QT52" s="11"/>
      <c r="QU52" s="68"/>
      <c r="QV52" s="83"/>
      <c r="QW52" s="83"/>
      <c r="QX52" s="80"/>
      <c r="QY52" s="70"/>
      <c r="QZ52" s="70"/>
      <c r="RA52" s="25"/>
      <c r="RB52" s="26"/>
      <c r="RC52" s="26"/>
      <c r="RD52" s="67"/>
      <c r="RE52" s="11"/>
      <c r="RF52" s="11"/>
      <c r="RG52" s="68"/>
      <c r="RH52" s="83"/>
      <c r="RI52" s="83"/>
      <c r="RJ52" s="80"/>
      <c r="RK52" s="70"/>
      <c r="RL52" s="70"/>
      <c r="RM52" s="25"/>
      <c r="RN52" s="26"/>
      <c r="RO52" s="26"/>
      <c r="RP52" s="67"/>
      <c r="RQ52" s="11"/>
      <c r="RR52" s="11"/>
      <c r="RS52" s="68"/>
      <c r="RT52" s="83"/>
      <c r="RU52" s="83"/>
      <c r="RV52" s="80"/>
      <c r="RW52" s="70"/>
      <c r="RX52" s="70"/>
      <c r="RY52" s="25"/>
      <c r="RZ52" s="26"/>
      <c r="SA52" s="26"/>
      <c r="SB52" s="67"/>
      <c r="SC52" s="11"/>
      <c r="SD52" s="11"/>
      <c r="SE52" s="68"/>
      <c r="SF52" s="83"/>
      <c r="SG52" s="83"/>
      <c r="SH52" s="80"/>
      <c r="SI52" s="70"/>
      <c r="SJ52" s="70"/>
      <c r="SK52" s="25"/>
      <c r="SL52" s="26"/>
      <c r="SM52" s="26"/>
      <c r="SN52" s="67"/>
      <c r="SO52" s="11"/>
      <c r="SP52" s="11"/>
      <c r="SQ52" s="68"/>
      <c r="SR52" s="83"/>
      <c r="SS52" s="83"/>
      <c r="ST52" s="80"/>
      <c r="SU52" s="70"/>
      <c r="SV52" s="70"/>
      <c r="SW52" s="25"/>
      <c r="SX52" s="26"/>
      <c r="SY52" s="26"/>
      <c r="SZ52" s="67"/>
      <c r="TA52" s="11"/>
      <c r="TB52" s="11"/>
      <c r="TC52" s="68"/>
      <c r="TD52" s="83"/>
      <c r="TE52" s="83"/>
      <c r="TF52" s="80"/>
      <c r="TG52" s="70"/>
      <c r="TH52" s="70"/>
      <c r="TI52" s="25"/>
      <c r="TJ52" s="26"/>
      <c r="TK52" s="26"/>
      <c r="TL52" s="67"/>
      <c r="TM52" s="11"/>
      <c r="TN52" s="11"/>
      <c r="TO52" s="68"/>
      <c r="TP52" s="83"/>
      <c r="TQ52" s="83"/>
      <c r="TR52" s="80"/>
      <c r="TS52" s="70"/>
      <c r="TT52" s="70"/>
      <c r="TU52" s="25"/>
      <c r="TV52" s="26"/>
      <c r="TW52" s="26"/>
      <c r="TX52" s="67"/>
      <c r="TY52" s="11"/>
      <c r="TZ52" s="11"/>
      <c r="UA52" s="68"/>
      <c r="UB52" s="83"/>
      <c r="UC52" s="83"/>
      <c r="UD52" s="80"/>
      <c r="UE52" s="70"/>
      <c r="UF52" s="70"/>
      <c r="UG52" s="25"/>
      <c r="UH52" s="26"/>
      <c r="UI52" s="26"/>
      <c r="UJ52" s="67"/>
      <c r="UK52" s="11"/>
      <c r="UL52" s="11"/>
      <c r="UM52" s="68"/>
      <c r="UN52" s="83"/>
      <c r="UO52" s="83"/>
      <c r="UP52" s="80"/>
      <c r="UQ52" s="70"/>
      <c r="UR52" s="70"/>
      <c r="US52" s="25"/>
      <c r="UT52" s="26"/>
      <c r="UU52" s="26"/>
      <c r="UV52" s="67"/>
      <c r="UW52" s="11"/>
      <c r="UX52" s="11"/>
      <c r="UY52" s="68"/>
      <c r="UZ52" s="83"/>
      <c r="VA52" s="83"/>
      <c r="VB52" s="80"/>
      <c r="VC52" s="70"/>
      <c r="VD52" s="70"/>
      <c r="VE52" s="25"/>
      <c r="VF52" s="26"/>
      <c r="VG52" s="26"/>
      <c r="VH52" s="67"/>
      <c r="VI52" s="11"/>
      <c r="VJ52" s="11"/>
      <c r="VK52" s="68"/>
      <c r="VL52" s="83"/>
      <c r="VM52" s="83"/>
      <c r="VN52" s="80"/>
      <c r="VO52" s="70"/>
      <c r="VP52" s="70"/>
      <c r="VQ52" s="25"/>
      <c r="VR52" s="26"/>
      <c r="VS52" s="26"/>
      <c r="VT52" s="67"/>
      <c r="VU52" s="11"/>
      <c r="VV52" s="11"/>
      <c r="VW52" s="68"/>
      <c r="VX52" s="83"/>
      <c r="VY52" s="83"/>
      <c r="VZ52" s="80"/>
      <c r="WA52" s="70"/>
      <c r="WB52" s="70"/>
      <c r="WC52" s="25"/>
      <c r="WD52" s="26"/>
      <c r="WE52" s="26"/>
      <c r="WF52" s="67"/>
      <c r="WG52" s="11"/>
      <c r="WH52" s="11"/>
      <c r="WI52" s="68"/>
      <c r="WJ52" s="83"/>
      <c r="WK52" s="83"/>
      <c r="WL52" s="80"/>
      <c r="WM52" s="70"/>
      <c r="WN52" s="70"/>
      <c r="WO52" s="25"/>
      <c r="WP52" s="26"/>
      <c r="WQ52" s="26"/>
      <c r="WR52" s="67"/>
      <c r="WS52" s="11"/>
      <c r="WT52" s="11"/>
      <c r="WU52" s="68"/>
      <c r="WV52" s="83"/>
      <c r="WW52" s="83"/>
      <c r="WX52" s="80"/>
      <c r="WY52" s="70"/>
      <c r="WZ52" s="70"/>
      <c r="XA52" s="25"/>
      <c r="XB52" s="26"/>
      <c r="XC52" s="26"/>
      <c r="XD52" s="67"/>
      <c r="XE52" s="11"/>
      <c r="XF52" s="11"/>
      <c r="XG52" s="68"/>
      <c r="XH52" s="83"/>
      <c r="XI52" s="83"/>
      <c r="XJ52" s="80"/>
      <c r="XK52" s="70"/>
      <c r="XL52" s="70"/>
      <c r="XM52" s="25"/>
      <c r="XN52" s="26"/>
      <c r="XO52" s="26"/>
      <c r="XP52" s="67"/>
      <c r="XQ52" s="11"/>
      <c r="XR52" s="11"/>
      <c r="XS52" s="68"/>
      <c r="XT52" s="83"/>
      <c r="XU52" s="83"/>
      <c r="XV52" s="80"/>
      <c r="XW52" s="70"/>
      <c r="XX52" s="70"/>
      <c r="XY52" s="25"/>
      <c r="XZ52" s="26"/>
      <c r="YA52" s="26"/>
      <c r="YB52" s="67"/>
      <c r="YC52" s="11"/>
      <c r="YD52" s="11"/>
      <c r="YE52" s="68"/>
      <c r="YF52" s="83"/>
      <c r="YG52" s="83"/>
      <c r="YH52" s="80"/>
      <c r="YI52" s="70"/>
      <c r="YJ52" s="70"/>
      <c r="YK52" s="25"/>
      <c r="YL52" s="26"/>
      <c r="YM52" s="26"/>
      <c r="YN52" s="67"/>
      <c r="YO52" s="11"/>
      <c r="YP52" s="11"/>
      <c r="YQ52" s="68"/>
      <c r="YR52" s="83"/>
      <c r="YS52" s="83"/>
      <c r="YT52" s="80"/>
      <c r="YU52" s="70"/>
      <c r="YV52" s="70"/>
      <c r="YW52" s="25"/>
      <c r="YX52" s="26"/>
      <c r="YY52" s="26"/>
      <c r="YZ52" s="67"/>
      <c r="ZA52" s="11"/>
      <c r="ZB52" s="11"/>
      <c r="ZC52" s="68"/>
      <c r="ZD52" s="83"/>
      <c r="ZE52" s="83"/>
      <c r="ZF52" s="80"/>
      <c r="ZG52" s="70"/>
      <c r="ZH52" s="70"/>
      <c r="ZI52" s="25"/>
      <c r="ZJ52" s="26"/>
      <c r="ZK52" s="26"/>
      <c r="ZL52" s="67"/>
      <c r="ZM52" s="11"/>
      <c r="ZN52" s="11"/>
      <c r="ZO52" s="68"/>
      <c r="ZP52" s="83"/>
      <c r="ZQ52" s="83"/>
      <c r="ZR52" s="80"/>
      <c r="ZS52" s="70"/>
      <c r="ZT52" s="70"/>
      <c r="ZU52" s="25"/>
      <c r="ZV52" s="26"/>
      <c r="ZW52" s="26"/>
      <c r="ZX52" s="67"/>
      <c r="ZY52" s="11"/>
      <c r="ZZ52" s="11"/>
      <c r="AAA52" s="68"/>
      <c r="AAB52" s="83"/>
      <c r="AAC52" s="83"/>
      <c r="AAD52" s="80"/>
      <c r="AAE52" s="70"/>
      <c r="AAF52" s="70"/>
      <c r="AAG52" s="25"/>
      <c r="AAH52" s="26"/>
      <c r="AAI52" s="26"/>
      <c r="AAJ52" s="67"/>
      <c r="AAK52" s="11"/>
      <c r="AAL52" s="11"/>
      <c r="AAM52" s="68"/>
      <c r="AAN52" s="83"/>
      <c r="AAO52" s="83"/>
      <c r="AAP52" s="80"/>
      <c r="AAQ52" s="70"/>
      <c r="AAR52" s="70"/>
      <c r="AAS52" s="25"/>
      <c r="AAT52" s="26"/>
      <c r="AAU52" s="26"/>
      <c r="AAV52" s="67"/>
      <c r="AAW52" s="11"/>
      <c r="AAX52" s="11"/>
      <c r="AAY52" s="68"/>
      <c r="AAZ52" s="83"/>
      <c r="ABA52" s="83"/>
      <c r="ABB52" s="80"/>
      <c r="ABC52" s="70"/>
      <c r="ABD52" s="70"/>
      <c r="ABE52" s="25"/>
      <c r="ABF52" s="26"/>
      <c r="ABG52" s="26"/>
      <c r="ABH52" s="67"/>
      <c r="ABI52" s="11"/>
      <c r="ABJ52" s="11"/>
      <c r="ABK52" s="68"/>
      <c r="ABL52" s="83"/>
      <c r="ABM52" s="83"/>
      <c r="ABN52" s="80"/>
      <c r="ABO52" s="70"/>
      <c r="ABP52" s="70"/>
      <c r="ABQ52" s="25"/>
      <c r="ABR52" s="26"/>
      <c r="ABS52" s="26"/>
      <c r="ABT52" s="67"/>
      <c r="ABU52" s="11"/>
      <c r="ABV52" s="11"/>
      <c r="ABW52" s="68"/>
      <c r="ABX52" s="83"/>
      <c r="ABY52" s="83"/>
      <c r="ABZ52" s="80"/>
      <c r="ACA52" s="70"/>
      <c r="ACB52" s="70"/>
      <c r="ACC52" s="25"/>
      <c r="ACD52" s="26"/>
      <c r="ACE52" s="26"/>
      <c r="ACF52" s="67"/>
      <c r="ACG52" s="11"/>
      <c r="ACH52" s="11"/>
      <c r="ACI52" s="68"/>
      <c r="ACJ52" s="83"/>
      <c r="ACK52" s="83"/>
      <c r="ACL52" s="80"/>
      <c r="ACM52" s="70"/>
      <c r="ACN52" s="70"/>
      <c r="ACO52" s="25"/>
      <c r="ACP52" s="26"/>
      <c r="ACQ52" s="26"/>
      <c r="ACR52" s="67"/>
      <c r="ACS52" s="11"/>
      <c r="ACT52" s="11"/>
      <c r="ACU52" s="68"/>
      <c r="ACV52" s="83"/>
      <c r="ACW52" s="83"/>
      <c r="ACX52" s="80"/>
      <c r="ACY52" s="70"/>
      <c r="ACZ52" s="70"/>
      <c r="ADA52" s="25"/>
      <c r="ADB52" s="26"/>
      <c r="ADC52" s="26"/>
      <c r="ADD52" s="67"/>
      <c r="ADE52" s="11"/>
      <c r="ADF52" s="11"/>
      <c r="ADG52" s="68"/>
      <c r="ADH52" s="83"/>
      <c r="ADI52" s="83"/>
      <c r="ADJ52" s="80"/>
      <c r="ADK52" s="70"/>
      <c r="ADL52" s="70"/>
      <c r="ADM52" s="25"/>
      <c r="ADN52" s="26"/>
      <c r="ADO52" s="26"/>
      <c r="ADP52" s="67"/>
      <c r="ADQ52" s="11"/>
      <c r="ADR52" s="11"/>
      <c r="ADS52" s="68"/>
      <c r="ADT52" s="83"/>
      <c r="ADU52" s="83"/>
      <c r="ADV52" s="80"/>
      <c r="ADW52" s="70"/>
      <c r="ADX52" s="70"/>
      <c r="ADY52" s="25"/>
      <c r="ADZ52" s="26"/>
      <c r="AEA52" s="26"/>
      <c r="AEB52" s="67"/>
      <c r="AEC52" s="11"/>
      <c r="AED52" s="11"/>
      <c r="AEE52" s="68"/>
      <c r="AEF52" s="83"/>
      <c r="AEG52" s="83"/>
      <c r="AEH52" s="80"/>
      <c r="AEI52" s="70"/>
      <c r="AEJ52" s="70"/>
      <c r="AEK52" s="25"/>
      <c r="AEL52" s="26"/>
      <c r="AEM52" s="26"/>
      <c r="AEN52" s="67"/>
      <c r="AEO52" s="11"/>
      <c r="AEP52" s="11"/>
      <c r="AEQ52" s="68"/>
      <c r="AER52" s="83"/>
      <c r="AES52" s="83"/>
      <c r="AET52" s="80"/>
      <c r="AEU52" s="70"/>
      <c r="AEV52" s="70"/>
      <c r="AEW52" s="25"/>
      <c r="AEX52" s="26"/>
      <c r="AEY52" s="26"/>
      <c r="AEZ52" s="67"/>
      <c r="AFA52" s="11"/>
      <c r="AFB52" s="11"/>
      <c r="AFC52" s="68"/>
      <c r="AFD52" s="83"/>
      <c r="AFE52" s="83"/>
      <c r="AFF52" s="80"/>
      <c r="AFG52" s="70"/>
      <c r="AFH52" s="70"/>
      <c r="AFI52" s="25"/>
      <c r="AFJ52" s="26"/>
      <c r="AFK52" s="26"/>
      <c r="AFL52" s="67"/>
      <c r="AFM52" s="11"/>
      <c r="AFN52" s="11"/>
      <c r="AFO52" s="68"/>
      <c r="AFP52" s="83"/>
      <c r="AFQ52" s="83"/>
      <c r="AFR52" s="80"/>
      <c r="AFS52" s="70"/>
      <c r="AFT52" s="70"/>
      <c r="AFU52" s="25"/>
      <c r="AFV52" s="26"/>
      <c r="AFW52" s="26"/>
      <c r="AFX52" s="67"/>
      <c r="AFY52" s="11"/>
      <c r="AFZ52" s="11"/>
      <c r="AGA52" s="68"/>
      <c r="AGB52" s="83"/>
      <c r="AGC52" s="83"/>
      <c r="AGD52" s="80"/>
      <c r="AGE52" s="70"/>
      <c r="AGF52" s="70"/>
      <c r="AGG52" s="25"/>
      <c r="AGH52" s="26"/>
      <c r="AGI52" s="26"/>
      <c r="AGJ52" s="67"/>
      <c r="AGK52" s="11"/>
      <c r="AGL52" s="11"/>
      <c r="AGM52" s="68"/>
      <c r="AGN52" s="83"/>
      <c r="AGO52" s="83"/>
      <c r="AGP52" s="80"/>
      <c r="AGQ52" s="70"/>
      <c r="AGR52" s="70"/>
      <c r="AGS52" s="25"/>
      <c r="AGT52" s="26"/>
      <c r="AGU52" s="26"/>
      <c r="AGV52" s="67"/>
      <c r="AGW52" s="11"/>
      <c r="AGX52" s="11"/>
      <c r="AGY52" s="68"/>
      <c r="AGZ52" s="83"/>
      <c r="AHA52" s="83"/>
      <c r="AHB52" s="80"/>
      <c r="AHC52" s="70"/>
      <c r="AHD52" s="70"/>
      <c r="AHE52" s="25"/>
      <c r="AHF52" s="26"/>
      <c r="AHG52" s="26"/>
      <c r="AHH52" s="67"/>
      <c r="AHI52" s="11"/>
      <c r="AHJ52" s="11"/>
      <c r="AHK52" s="68"/>
      <c r="AHL52" s="83"/>
      <c r="AHM52" s="83"/>
      <c r="AHN52" s="80"/>
      <c r="AHO52" s="70"/>
      <c r="AHP52" s="70"/>
      <c r="AHQ52" s="25"/>
      <c r="AHR52" s="26"/>
      <c r="AHS52" s="26"/>
      <c r="AHT52" s="67"/>
      <c r="AHU52" s="11"/>
      <c r="AHV52" s="11"/>
      <c r="AHW52" s="68"/>
      <c r="AHX52" s="83"/>
      <c r="AHY52" s="83"/>
      <c r="AHZ52" s="80"/>
      <c r="AIA52" s="70"/>
      <c r="AIB52" s="70"/>
      <c r="AIC52" s="25"/>
      <c r="AID52" s="26"/>
      <c r="AIE52" s="26"/>
      <c r="AIF52" s="67"/>
      <c r="AIG52" s="11"/>
      <c r="AIH52" s="11"/>
      <c r="AII52" s="68"/>
      <c r="AIJ52" s="83"/>
      <c r="AIK52" s="83"/>
      <c r="AIL52" s="80"/>
      <c r="AIM52" s="70"/>
      <c r="AIN52" s="70"/>
      <c r="AIO52" s="25"/>
      <c r="AIP52" s="26"/>
      <c r="AIQ52" s="26"/>
      <c r="AIR52" s="67"/>
      <c r="AIS52" s="11"/>
      <c r="AIT52" s="11"/>
      <c r="AIU52" s="68"/>
      <c r="AIV52" s="83"/>
      <c r="AIW52" s="83"/>
      <c r="AIX52" s="80"/>
      <c r="AIY52" s="70"/>
      <c r="AIZ52" s="70"/>
      <c r="AJA52" s="25"/>
      <c r="AJB52" s="26"/>
      <c r="AJC52" s="26"/>
      <c r="AJD52" s="67"/>
      <c r="AJE52" s="11"/>
      <c r="AJF52" s="11"/>
      <c r="AJG52" s="68"/>
      <c r="AJH52" s="83"/>
      <c r="AJI52" s="83"/>
      <c r="AJJ52" s="80"/>
      <c r="AJK52" s="70"/>
      <c r="AJL52" s="70"/>
      <c r="AJM52" s="25"/>
      <c r="AJN52" s="26"/>
      <c r="AJO52" s="26"/>
      <c r="AJP52" s="67"/>
      <c r="AJQ52" s="11"/>
      <c r="AJR52" s="11"/>
      <c r="AJS52" s="68"/>
      <c r="AJT52" s="83"/>
      <c r="AJU52" s="83"/>
      <c r="AJV52" s="80"/>
      <c r="AJW52" s="70"/>
      <c r="AJX52" s="70"/>
      <c r="AJY52" s="25"/>
      <c r="AJZ52" s="26"/>
      <c r="AKA52" s="26"/>
      <c r="AKB52" s="67"/>
      <c r="AKC52" s="11"/>
      <c r="AKD52" s="11"/>
      <c r="AKE52" s="68"/>
      <c r="AKF52" s="83"/>
      <c r="AKG52" s="83"/>
      <c r="AKH52" s="80"/>
      <c r="AKI52" s="70"/>
      <c r="AKJ52" s="70"/>
      <c r="AKK52" s="25"/>
      <c r="AKL52" s="26"/>
      <c r="AKM52" s="26"/>
      <c r="AKN52" s="67"/>
      <c r="AKO52" s="11"/>
      <c r="AKP52" s="11"/>
      <c r="AKQ52" s="68"/>
      <c r="AKR52" s="83"/>
      <c r="AKS52" s="83"/>
      <c r="AKT52" s="80"/>
      <c r="AKU52" s="70"/>
      <c r="AKV52" s="70"/>
      <c r="AKW52" s="25"/>
      <c r="AKX52" s="26"/>
      <c r="AKY52" s="26"/>
      <c r="AKZ52" s="67"/>
      <c r="ALA52" s="11"/>
      <c r="ALB52" s="11"/>
      <c r="ALC52" s="68"/>
      <c r="ALD52" s="83"/>
      <c r="ALE52" s="83"/>
      <c r="ALF52" s="80"/>
      <c r="ALG52" s="70"/>
      <c r="ALH52" s="70"/>
      <c r="ALI52" s="25"/>
      <c r="ALJ52" s="26"/>
      <c r="ALK52" s="26"/>
      <c r="ALL52" s="67"/>
      <c r="ALM52" s="11"/>
      <c r="ALN52" s="11"/>
      <c r="ALO52" s="68"/>
      <c r="ALP52" s="83"/>
      <c r="ALQ52" s="83"/>
      <c r="ALR52" s="80"/>
      <c r="ALS52" s="70"/>
      <c r="ALT52" s="70"/>
      <c r="ALU52" s="25"/>
      <c r="ALV52" s="26"/>
      <c r="ALW52" s="26"/>
      <c r="ALX52" s="67"/>
      <c r="ALY52" s="11"/>
      <c r="ALZ52" s="11"/>
      <c r="AMA52" s="68"/>
      <c r="AMB52" s="83"/>
      <c r="AMC52" s="83"/>
      <c r="AMD52" s="80"/>
      <c r="AME52" s="70"/>
      <c r="AMF52" s="70"/>
      <c r="AMG52" s="25"/>
      <c r="AMH52" s="26"/>
      <c r="AMI52" s="26"/>
      <c r="AMJ52" s="67"/>
      <c r="AMK52" s="11"/>
      <c r="AML52" s="11"/>
      <c r="AMM52" s="68"/>
      <c r="AMN52" s="83"/>
      <c r="AMO52" s="83"/>
      <c r="AMP52" s="80"/>
      <c r="AMQ52" s="70"/>
      <c r="AMR52" s="70"/>
      <c r="AMS52" s="25"/>
      <c r="AMT52" s="26"/>
      <c r="AMU52" s="26"/>
      <c r="AMV52" s="67"/>
      <c r="AMW52" s="11"/>
      <c r="AMX52" s="11"/>
      <c r="AMY52" s="68"/>
      <c r="AMZ52" s="83"/>
      <c r="ANA52" s="83"/>
      <c r="ANB52" s="80"/>
      <c r="ANC52" s="70"/>
      <c r="AND52" s="70"/>
      <c r="ANE52" s="25"/>
      <c r="ANF52" s="26"/>
      <c r="ANG52" s="26"/>
      <c r="ANH52" s="67"/>
      <c r="ANI52" s="11"/>
      <c r="ANJ52" s="11"/>
      <c r="ANK52" s="68"/>
      <c r="ANL52" s="83"/>
      <c r="ANM52" s="83"/>
      <c r="ANN52" s="80"/>
      <c r="ANO52" s="70"/>
      <c r="ANP52" s="70"/>
      <c r="ANQ52" s="25"/>
      <c r="ANR52" s="26"/>
      <c r="ANS52" s="26"/>
      <c r="ANT52" s="67"/>
      <c r="ANU52" s="11"/>
      <c r="ANV52" s="11"/>
      <c r="ANW52" s="68"/>
      <c r="ANX52" s="83"/>
      <c r="ANY52" s="83"/>
      <c r="ANZ52" s="80"/>
      <c r="AOA52" s="70"/>
      <c r="AOB52" s="70"/>
      <c r="AOC52" s="25"/>
      <c r="AOD52" s="26"/>
      <c r="AOE52" s="26"/>
      <c r="AOF52" s="67"/>
      <c r="AOG52" s="11"/>
      <c r="AOH52" s="11"/>
      <c r="AOI52" s="68"/>
      <c r="AOJ52" s="83"/>
      <c r="AOK52" s="83"/>
      <c r="AOL52" s="80"/>
      <c r="AOM52" s="70"/>
      <c r="AON52" s="70"/>
      <c r="AOO52" s="25"/>
      <c r="AOP52" s="26"/>
      <c r="AOQ52" s="26"/>
      <c r="AOR52" s="67"/>
      <c r="AOS52" s="11"/>
      <c r="AOT52" s="11"/>
      <c r="AOU52" s="68"/>
      <c r="AOV52" s="83"/>
      <c r="AOW52" s="83"/>
      <c r="AOX52" s="80"/>
      <c r="AOY52" s="70"/>
      <c r="AOZ52" s="70"/>
      <c r="APA52" s="25"/>
      <c r="APB52" s="26"/>
      <c r="APC52" s="26"/>
      <c r="APD52" s="67"/>
      <c r="APE52" s="11"/>
      <c r="APF52" s="11"/>
      <c r="APG52" s="68"/>
      <c r="APH52" s="83"/>
      <c r="API52" s="83"/>
      <c r="APJ52" s="80"/>
      <c r="APK52" s="70"/>
      <c r="APL52" s="70"/>
      <c r="APM52" s="25"/>
      <c r="APN52" s="26"/>
      <c r="APO52" s="26"/>
      <c r="APP52" s="67"/>
      <c r="APQ52" s="11"/>
      <c r="APR52" s="11"/>
      <c r="APS52" s="68"/>
      <c r="APT52" s="83"/>
      <c r="APU52" s="83"/>
      <c r="APV52" s="80"/>
      <c r="APW52" s="70"/>
      <c r="APX52" s="70"/>
      <c r="APY52" s="25"/>
      <c r="APZ52" s="26"/>
      <c r="AQA52" s="26"/>
      <c r="AQB52" s="67"/>
      <c r="AQC52" s="11"/>
      <c r="AQD52" s="11"/>
      <c r="AQE52" s="68"/>
      <c r="AQF52" s="83"/>
      <c r="AQG52" s="83"/>
      <c r="AQH52" s="80"/>
      <c r="AQI52" s="70"/>
      <c r="AQJ52" s="70"/>
      <c r="AQK52" s="25"/>
      <c r="AQL52" s="26"/>
      <c r="AQM52" s="26"/>
      <c r="AQN52" s="67"/>
      <c r="AQO52" s="11"/>
      <c r="AQP52" s="11"/>
      <c r="AQQ52" s="68"/>
      <c r="AQR52" s="83"/>
      <c r="AQS52" s="83"/>
      <c r="AQT52" s="80"/>
      <c r="AQU52" s="70"/>
      <c r="AQV52" s="70"/>
      <c r="AQW52" s="25"/>
      <c r="AQX52" s="26"/>
      <c r="AQY52" s="26"/>
      <c r="AQZ52" s="67"/>
      <c r="ARA52" s="11"/>
      <c r="ARB52" s="11"/>
      <c r="ARC52" s="68"/>
      <c r="ARD52" s="83"/>
      <c r="ARE52" s="83"/>
      <c r="ARF52" s="80"/>
      <c r="ARG52" s="70"/>
      <c r="ARH52" s="70"/>
      <c r="ARI52" s="25"/>
      <c r="ARJ52" s="26"/>
      <c r="ARK52" s="26"/>
      <c r="ARL52" s="67"/>
      <c r="ARM52" s="11"/>
      <c r="ARN52" s="11"/>
      <c r="ARO52" s="68"/>
      <c r="ARP52" s="83"/>
      <c r="ARQ52" s="83"/>
      <c r="ARR52" s="80"/>
      <c r="ARS52" s="70"/>
      <c r="ART52" s="70"/>
      <c r="ARU52" s="25"/>
      <c r="ARV52" s="26"/>
      <c r="ARW52" s="26"/>
      <c r="ARX52" s="67"/>
      <c r="ARY52" s="11"/>
      <c r="ARZ52" s="11"/>
      <c r="ASA52" s="68"/>
      <c r="ASB52" s="83"/>
      <c r="ASC52" s="83"/>
      <c r="ASD52" s="80"/>
      <c r="ASE52" s="70"/>
      <c r="ASF52" s="70"/>
      <c r="ASG52" s="25"/>
      <c r="ASH52" s="26"/>
      <c r="ASI52" s="26"/>
      <c r="ASJ52" s="67"/>
      <c r="ASK52" s="11"/>
      <c r="ASL52" s="11"/>
      <c r="ASM52" s="68"/>
      <c r="ASN52" s="83"/>
      <c r="ASO52" s="83"/>
      <c r="ASP52" s="80"/>
      <c r="ASQ52" s="70"/>
      <c r="ASR52" s="70"/>
      <c r="ASS52" s="25"/>
      <c r="AST52" s="26"/>
      <c r="ASU52" s="26"/>
      <c r="ASV52" s="67"/>
      <c r="ASW52" s="11"/>
      <c r="ASX52" s="11"/>
      <c r="ASY52" s="68"/>
      <c r="ASZ52" s="83"/>
      <c r="ATA52" s="83"/>
      <c r="ATB52" s="80"/>
      <c r="ATC52" s="70"/>
      <c r="ATD52" s="70"/>
      <c r="ATE52" s="25"/>
      <c r="ATF52" s="26"/>
      <c r="ATG52" s="26"/>
      <c r="ATH52" s="67"/>
      <c r="ATI52" s="11"/>
      <c r="ATJ52" s="11"/>
      <c r="ATK52" s="68"/>
      <c r="ATL52" s="83"/>
      <c r="ATM52" s="83"/>
      <c r="ATN52" s="80"/>
      <c r="ATO52" s="70"/>
      <c r="ATP52" s="70"/>
      <c r="ATQ52" s="25"/>
      <c r="ATR52" s="26"/>
      <c r="ATS52" s="26"/>
      <c r="ATT52" s="67"/>
      <c r="ATU52" s="11"/>
      <c r="ATV52" s="11"/>
      <c r="ATW52" s="68"/>
      <c r="ATX52" s="83"/>
      <c r="ATY52" s="83"/>
      <c r="ATZ52" s="80"/>
      <c r="AUA52" s="70"/>
      <c r="AUB52" s="70"/>
      <c r="AUC52" s="25"/>
      <c r="AUD52" s="26"/>
      <c r="AUE52" s="26"/>
      <c r="AUF52" s="67"/>
      <c r="AUG52" s="11"/>
      <c r="AUH52" s="11"/>
      <c r="AUI52" s="68"/>
      <c r="AUJ52" s="83"/>
      <c r="AUK52" s="83"/>
      <c r="AUL52" s="80"/>
      <c r="AUM52" s="70"/>
      <c r="AUN52" s="70"/>
      <c r="AUO52" s="25"/>
      <c r="AUP52" s="26"/>
      <c r="AUQ52" s="26"/>
      <c r="AUR52" s="67"/>
      <c r="AUS52" s="11"/>
      <c r="AUT52" s="11"/>
      <c r="AUU52" s="68"/>
      <c r="AUV52" s="83"/>
      <c r="AUW52" s="83"/>
      <c r="AUX52" s="80"/>
      <c r="AUY52" s="70"/>
      <c r="AUZ52" s="70"/>
      <c r="AVA52" s="25"/>
      <c r="AVB52" s="26"/>
      <c r="AVC52" s="26"/>
      <c r="AVD52" s="67"/>
      <c r="AVE52" s="11"/>
      <c r="AVF52" s="11"/>
      <c r="AVG52" s="68"/>
      <c r="AVH52" s="83"/>
      <c r="AVI52" s="83"/>
      <c r="AVJ52" s="80"/>
      <c r="AVK52" s="70"/>
      <c r="AVL52" s="70"/>
      <c r="AVM52" s="25"/>
      <c r="AVN52" s="26"/>
      <c r="AVO52" s="26"/>
      <c r="AVP52" s="67"/>
      <c r="AVQ52" s="11"/>
      <c r="AVR52" s="11"/>
      <c r="AVS52" s="68"/>
      <c r="AVT52" s="83"/>
      <c r="AVU52" s="83"/>
      <c r="AVV52" s="80"/>
      <c r="AVW52" s="70"/>
      <c r="AVX52" s="70"/>
      <c r="AVY52" s="25"/>
      <c r="AVZ52" s="26"/>
      <c r="AWA52" s="26"/>
      <c r="AWB52" s="67"/>
      <c r="AWC52" s="11"/>
      <c r="AWD52" s="11"/>
      <c r="AWE52" s="68"/>
      <c r="AWF52" s="83"/>
      <c r="AWG52" s="83"/>
      <c r="AWH52" s="80"/>
      <c r="AWI52" s="70"/>
      <c r="AWJ52" s="70"/>
      <c r="AWK52" s="25"/>
      <c r="AWL52" s="26"/>
      <c r="AWM52" s="26"/>
      <c r="AWN52" s="67"/>
      <c r="AWO52" s="11"/>
      <c r="AWP52" s="11"/>
      <c r="AWQ52" s="68"/>
      <c r="AWR52" s="83"/>
      <c r="AWS52" s="83"/>
      <c r="AWT52" s="80"/>
      <c r="AWU52" s="70"/>
      <c r="AWV52" s="70"/>
      <c r="AWW52" s="25"/>
      <c r="AWX52" s="26"/>
      <c r="AWY52" s="26"/>
      <c r="AWZ52" s="67"/>
      <c r="AXA52" s="11"/>
      <c r="AXB52" s="11"/>
      <c r="AXC52" s="68"/>
      <c r="AXD52" s="83"/>
      <c r="AXE52" s="83"/>
      <c r="AXF52" s="80"/>
      <c r="AXG52" s="70"/>
      <c r="AXH52" s="70"/>
      <c r="AXI52" s="25"/>
      <c r="AXJ52" s="26"/>
      <c r="AXK52" s="26"/>
      <c r="AXL52" s="67"/>
      <c r="AXM52" s="11"/>
      <c r="AXN52" s="11"/>
      <c r="AXO52" s="68"/>
      <c r="AXP52" s="83"/>
      <c r="AXQ52" s="83"/>
      <c r="AXR52" s="80"/>
      <c r="AXS52" s="70"/>
      <c r="AXT52" s="70"/>
      <c r="AXU52" s="25"/>
      <c r="AXV52" s="26"/>
      <c r="AXW52" s="26"/>
      <c r="AXX52" s="67"/>
      <c r="AXY52" s="11"/>
      <c r="AXZ52" s="11"/>
      <c r="AYA52" s="68"/>
      <c r="AYB52" s="83"/>
      <c r="AYC52" s="83"/>
      <c r="AYD52" s="80"/>
      <c r="AYE52" s="70"/>
      <c r="AYF52" s="70"/>
      <c r="AYG52" s="25"/>
      <c r="AYH52" s="26"/>
      <c r="AYI52" s="26"/>
      <c r="AYJ52" s="67"/>
      <c r="AYK52" s="11"/>
      <c r="AYL52" s="11"/>
      <c r="AYM52" s="68"/>
      <c r="AYN52" s="83"/>
      <c r="AYO52" s="83"/>
      <c r="AYP52" s="80"/>
      <c r="AYQ52" s="70"/>
      <c r="AYR52" s="70"/>
      <c r="AYS52" s="25"/>
      <c r="AYT52" s="26"/>
      <c r="AYU52" s="26"/>
      <c r="AYV52" s="67"/>
      <c r="AYW52" s="11"/>
      <c r="AYX52" s="11"/>
      <c r="AYY52" s="68"/>
      <c r="AYZ52" s="83"/>
      <c r="AZA52" s="83"/>
      <c r="AZB52" s="80"/>
      <c r="AZC52" s="70"/>
      <c r="AZD52" s="70"/>
      <c r="AZE52" s="25"/>
      <c r="AZF52" s="26"/>
      <c r="AZG52" s="26"/>
      <c r="AZH52" s="67"/>
      <c r="AZI52" s="11"/>
      <c r="AZJ52" s="11"/>
      <c r="AZK52" s="68"/>
      <c r="AZL52" s="83"/>
      <c r="AZM52" s="83"/>
      <c r="AZN52" s="80"/>
      <c r="AZO52" s="70"/>
      <c r="AZP52" s="70"/>
      <c r="AZQ52" s="25"/>
      <c r="AZR52" s="26"/>
      <c r="AZS52" s="26"/>
      <c r="AZT52" s="67"/>
      <c r="AZU52" s="11"/>
      <c r="AZV52" s="11"/>
      <c r="AZW52" s="68"/>
      <c r="AZX52" s="83"/>
      <c r="AZY52" s="83"/>
      <c r="AZZ52" s="80"/>
      <c r="BAA52" s="70"/>
      <c r="BAB52" s="70"/>
      <c r="BAC52" s="25"/>
      <c r="BAD52" s="26"/>
      <c r="BAE52" s="26"/>
      <c r="BAF52" s="67"/>
      <c r="BAG52" s="11"/>
      <c r="BAH52" s="11"/>
      <c r="BAI52" s="68"/>
      <c r="BAJ52" s="83"/>
      <c r="BAK52" s="83"/>
      <c r="BAL52" s="80"/>
      <c r="BAM52" s="70"/>
      <c r="BAN52" s="70"/>
      <c r="BAO52" s="25"/>
      <c r="BAP52" s="26"/>
      <c r="BAQ52" s="26"/>
      <c r="BAR52" s="67"/>
      <c r="BAS52" s="11"/>
      <c r="BAT52" s="11"/>
      <c r="BAU52" s="68"/>
      <c r="BAV52" s="83"/>
      <c r="BAW52" s="83"/>
      <c r="BAX52" s="80"/>
      <c r="BAY52" s="70"/>
      <c r="BAZ52" s="70"/>
      <c r="BBA52" s="25"/>
      <c r="BBB52" s="26"/>
      <c r="BBC52" s="26"/>
      <c r="BBD52" s="67"/>
      <c r="BBE52" s="11"/>
      <c r="BBF52" s="11"/>
      <c r="BBG52" s="68"/>
      <c r="BBH52" s="83"/>
      <c r="BBI52" s="83"/>
      <c r="BBJ52" s="80"/>
      <c r="BBK52" s="70"/>
      <c r="BBL52" s="70"/>
      <c r="BBM52" s="25"/>
      <c r="BBN52" s="26"/>
      <c r="BBO52" s="26"/>
      <c r="BBP52" s="67"/>
      <c r="BBQ52" s="11"/>
      <c r="BBR52" s="11"/>
      <c r="BBS52" s="68"/>
      <c r="BBT52" s="83"/>
      <c r="BBU52" s="83"/>
      <c r="BBV52" s="80"/>
      <c r="BBW52" s="70"/>
      <c r="BBX52" s="70"/>
      <c r="BBY52" s="25"/>
      <c r="BBZ52" s="26"/>
      <c r="BCA52" s="26"/>
      <c r="BCB52" s="67"/>
      <c r="BCC52" s="11"/>
      <c r="BCD52" s="11"/>
      <c r="BCE52" s="68"/>
      <c r="BCF52" s="83"/>
      <c r="BCG52" s="83"/>
      <c r="BCH52" s="80"/>
      <c r="BCI52" s="70"/>
      <c r="BCJ52" s="70"/>
      <c r="BCK52" s="25"/>
      <c r="BCL52" s="26"/>
      <c r="BCM52" s="26"/>
      <c r="BCN52" s="67"/>
      <c r="BCO52" s="11"/>
      <c r="BCP52" s="11"/>
      <c r="BCQ52" s="68"/>
      <c r="BCR52" s="83"/>
      <c r="BCS52" s="83"/>
      <c r="BCT52" s="80"/>
      <c r="BCU52" s="70"/>
      <c r="BCV52" s="70"/>
      <c r="BCW52" s="25"/>
      <c r="BCX52" s="26"/>
      <c r="BCY52" s="26"/>
      <c r="BCZ52" s="67"/>
      <c r="BDA52" s="11"/>
      <c r="BDB52" s="11"/>
      <c r="BDC52" s="68"/>
      <c r="BDD52" s="83"/>
      <c r="BDE52" s="83"/>
      <c r="BDF52" s="80"/>
      <c r="BDG52" s="70"/>
      <c r="BDH52" s="70"/>
      <c r="BDI52" s="25"/>
      <c r="BDJ52" s="26"/>
      <c r="BDK52" s="26"/>
      <c r="BDL52" s="67"/>
      <c r="BDM52" s="11"/>
      <c r="BDN52" s="11"/>
      <c r="BDO52" s="68"/>
      <c r="BDP52" s="83"/>
      <c r="BDQ52" s="83"/>
      <c r="BDR52" s="80"/>
      <c r="BDS52" s="70"/>
      <c r="BDT52" s="70"/>
      <c r="BDU52" s="25"/>
      <c r="BDV52" s="26"/>
      <c r="BDW52" s="26"/>
      <c r="BDX52" s="67"/>
      <c r="BDY52" s="11"/>
      <c r="BDZ52" s="11"/>
      <c r="BEA52" s="68"/>
      <c r="BEB52" s="83"/>
      <c r="BEC52" s="83"/>
      <c r="BED52" s="80"/>
      <c r="BEE52" s="70"/>
      <c r="BEF52" s="70"/>
      <c r="BEG52" s="25"/>
      <c r="BEH52" s="26"/>
      <c r="BEI52" s="26"/>
      <c r="BEJ52" s="67"/>
      <c r="BEK52" s="11"/>
      <c r="BEL52" s="11"/>
      <c r="BEM52" s="68"/>
      <c r="BEN52" s="83"/>
      <c r="BEO52" s="83"/>
      <c r="BEP52" s="80"/>
      <c r="BEQ52" s="70"/>
      <c r="BER52" s="70"/>
      <c r="BES52" s="25"/>
      <c r="BET52" s="26"/>
      <c r="BEU52" s="26"/>
      <c r="BEV52" s="67"/>
      <c r="BEW52" s="11"/>
      <c r="BEX52" s="11"/>
      <c r="BEY52" s="68"/>
      <c r="BEZ52" s="83"/>
      <c r="BFA52" s="83"/>
      <c r="BFB52" s="80"/>
      <c r="BFC52" s="70"/>
      <c r="BFD52" s="70"/>
      <c r="BFE52" s="25"/>
      <c r="BFF52" s="26"/>
      <c r="BFG52" s="26"/>
      <c r="BFH52" s="67"/>
      <c r="BFI52" s="11"/>
      <c r="BFJ52" s="11"/>
      <c r="BFK52" s="68"/>
      <c r="BFL52" s="83"/>
      <c r="BFM52" s="83"/>
      <c r="BFN52" s="80"/>
      <c r="BFO52" s="70"/>
      <c r="BFP52" s="70"/>
      <c r="BFQ52" s="25"/>
      <c r="BFR52" s="26"/>
      <c r="BFS52" s="26"/>
      <c r="BFT52" s="67"/>
      <c r="BFU52" s="11"/>
      <c r="BFV52" s="11"/>
      <c r="BFW52" s="68"/>
      <c r="BFX52" s="83"/>
      <c r="BFY52" s="83"/>
      <c r="BFZ52" s="80"/>
      <c r="BGA52" s="70"/>
      <c r="BGB52" s="70"/>
      <c r="BGC52" s="25"/>
      <c r="BGD52" s="26"/>
      <c r="BGE52" s="26"/>
      <c r="BGF52" s="67"/>
      <c r="BGG52" s="11"/>
      <c r="BGH52" s="11"/>
      <c r="BGI52" s="68"/>
      <c r="BGJ52" s="83"/>
      <c r="BGK52" s="83"/>
      <c r="BGL52" s="80"/>
      <c r="BGM52" s="70"/>
      <c r="BGN52" s="70"/>
      <c r="BGO52" s="25"/>
      <c r="BGP52" s="26"/>
      <c r="BGQ52" s="26"/>
      <c r="BGR52" s="67"/>
      <c r="BGS52" s="11"/>
      <c r="BGT52" s="11"/>
      <c r="BGU52" s="68"/>
      <c r="BGV52" s="83"/>
      <c r="BGW52" s="83"/>
      <c r="BGX52" s="80"/>
      <c r="BGY52" s="70"/>
      <c r="BGZ52" s="70"/>
      <c r="BHA52" s="25"/>
      <c r="BHB52" s="26"/>
      <c r="BHC52" s="26"/>
      <c r="BHD52" s="67"/>
      <c r="BHE52" s="11"/>
      <c r="BHF52" s="11"/>
      <c r="BHG52" s="68"/>
      <c r="BHH52" s="83"/>
      <c r="BHI52" s="83"/>
      <c r="BHJ52" s="80"/>
      <c r="BHK52" s="70"/>
      <c r="BHL52" s="70"/>
      <c r="BHM52" s="25"/>
      <c r="BHN52" s="26"/>
      <c r="BHO52" s="26"/>
      <c r="BHP52" s="67"/>
      <c r="BHQ52" s="11"/>
      <c r="BHR52" s="11"/>
      <c r="BHS52" s="68"/>
      <c r="BHT52" s="83"/>
      <c r="BHU52" s="83"/>
      <c r="BHV52" s="80"/>
      <c r="BHW52" s="70"/>
      <c r="BHX52" s="70"/>
      <c r="BHY52" s="25"/>
      <c r="BHZ52" s="26"/>
      <c r="BIA52" s="26"/>
      <c r="BIB52" s="67"/>
      <c r="BIC52" s="11"/>
      <c r="BID52" s="11"/>
      <c r="BIE52" s="68"/>
      <c r="BIF52" s="83"/>
      <c r="BIG52" s="83"/>
      <c r="BIH52" s="80"/>
      <c r="BII52" s="70"/>
      <c r="BIJ52" s="70"/>
      <c r="BIK52" s="25"/>
      <c r="BIL52" s="26"/>
      <c r="BIM52" s="26"/>
      <c r="BIN52" s="67"/>
      <c r="BIO52" s="11"/>
      <c r="BIP52" s="11"/>
      <c r="BIQ52" s="68"/>
      <c r="BIR52" s="83"/>
      <c r="BIS52" s="83"/>
      <c r="BIT52" s="80"/>
      <c r="BIU52" s="70"/>
      <c r="BIV52" s="70"/>
      <c r="BIW52" s="25"/>
      <c r="BIX52" s="26"/>
      <c r="BIY52" s="26"/>
      <c r="BIZ52" s="67"/>
      <c r="BJA52" s="11"/>
      <c r="BJB52" s="11"/>
      <c r="BJC52" s="68"/>
      <c r="BJD52" s="83"/>
      <c r="BJE52" s="83"/>
      <c r="BJF52" s="80"/>
      <c r="BJG52" s="70"/>
      <c r="BJH52" s="70"/>
      <c r="BJI52" s="25"/>
      <c r="BJJ52" s="26"/>
      <c r="BJK52" s="26"/>
      <c r="BJL52" s="67"/>
      <c r="BJM52" s="11"/>
      <c r="BJN52" s="11"/>
      <c r="BJO52" s="68"/>
      <c r="BJP52" s="83"/>
      <c r="BJQ52" s="83"/>
      <c r="BJR52" s="80"/>
      <c r="BJS52" s="70"/>
      <c r="BJT52" s="70"/>
      <c r="BJU52" s="25"/>
      <c r="BJV52" s="26"/>
      <c r="BJW52" s="26"/>
      <c r="BJX52" s="67"/>
      <c r="BJY52" s="11"/>
      <c r="BJZ52" s="11"/>
      <c r="BKA52" s="68"/>
      <c r="BKB52" s="83"/>
      <c r="BKC52" s="83"/>
      <c r="BKD52" s="80"/>
      <c r="BKE52" s="70"/>
      <c r="BKF52" s="70"/>
      <c r="BKG52" s="25"/>
      <c r="BKH52" s="26"/>
      <c r="BKI52" s="26"/>
      <c r="BKJ52" s="67"/>
      <c r="BKK52" s="11"/>
      <c r="BKL52" s="11"/>
      <c r="BKM52" s="68"/>
      <c r="BKN52" s="83"/>
      <c r="BKO52" s="83"/>
      <c r="BKP52" s="80"/>
      <c r="BKQ52" s="70"/>
      <c r="BKR52" s="70"/>
      <c r="BKS52" s="25"/>
      <c r="BKT52" s="26"/>
      <c r="BKU52" s="26"/>
      <c r="BKV52" s="67"/>
      <c r="BKW52" s="11"/>
      <c r="BKX52" s="11"/>
      <c r="BKY52" s="68"/>
      <c r="BKZ52" s="83"/>
      <c r="BLA52" s="83"/>
      <c r="BLB52" s="80"/>
      <c r="BLC52" s="70"/>
      <c r="BLD52" s="70"/>
      <c r="BLE52" s="25"/>
      <c r="BLF52" s="26"/>
      <c r="BLG52" s="26"/>
      <c r="BLH52" s="67"/>
      <c r="BLI52" s="11"/>
      <c r="BLJ52" s="11"/>
      <c r="BLK52" s="68"/>
      <c r="BLL52" s="83"/>
      <c r="BLM52" s="83"/>
      <c r="BLN52" s="80"/>
      <c r="BLO52" s="70"/>
      <c r="BLP52" s="70"/>
      <c r="BLQ52" s="25"/>
      <c r="BLR52" s="26"/>
      <c r="BLS52" s="26"/>
      <c r="BLT52" s="67"/>
      <c r="BLU52" s="11"/>
      <c r="BLV52" s="11"/>
      <c r="BLW52" s="68"/>
      <c r="BLX52" s="83"/>
      <c r="BLY52" s="83"/>
      <c r="BLZ52" s="80"/>
      <c r="BMA52" s="70"/>
      <c r="BMB52" s="70"/>
      <c r="BMC52" s="25"/>
      <c r="BMD52" s="26"/>
      <c r="BME52" s="26"/>
      <c r="BMF52" s="67"/>
      <c r="BMG52" s="11"/>
      <c r="BMH52" s="11"/>
      <c r="BMI52" s="68"/>
      <c r="BMJ52" s="83"/>
      <c r="BMK52" s="83"/>
      <c r="BML52" s="80"/>
      <c r="BMM52" s="70"/>
      <c r="BMN52" s="70"/>
      <c r="BMO52" s="25"/>
      <c r="BMP52" s="26"/>
      <c r="BMQ52" s="26"/>
      <c r="BMR52" s="67"/>
      <c r="BMS52" s="11"/>
      <c r="BMT52" s="11"/>
      <c r="BMU52" s="68"/>
      <c r="BMV52" s="83"/>
      <c r="BMW52" s="83"/>
      <c r="BMX52" s="80"/>
      <c r="BMY52" s="70"/>
      <c r="BMZ52" s="70"/>
      <c r="BNA52" s="25"/>
      <c r="BNB52" s="26"/>
      <c r="BNC52" s="26"/>
      <c r="BND52" s="67"/>
      <c r="BNE52" s="11"/>
      <c r="BNF52" s="11"/>
      <c r="BNG52" s="68"/>
      <c r="BNH52" s="83"/>
      <c r="BNI52" s="83"/>
      <c r="BNJ52" s="80"/>
      <c r="BNK52" s="70"/>
      <c r="BNL52" s="70"/>
      <c r="BNM52" s="25"/>
      <c r="BNN52" s="26"/>
      <c r="BNO52" s="26"/>
      <c r="BNP52" s="67"/>
      <c r="BNQ52" s="11"/>
      <c r="BNR52" s="11"/>
      <c r="BNS52" s="68"/>
      <c r="BNT52" s="83"/>
      <c r="BNU52" s="83"/>
      <c r="BNV52" s="80"/>
      <c r="BNW52" s="70"/>
      <c r="BNX52" s="70"/>
      <c r="BNY52" s="25"/>
      <c r="BNZ52" s="26"/>
      <c r="BOA52" s="26"/>
      <c r="BOB52" s="67"/>
      <c r="BOC52" s="11"/>
      <c r="BOD52" s="11"/>
      <c r="BOE52" s="68"/>
      <c r="BOF52" s="83"/>
      <c r="BOG52" s="83"/>
      <c r="BOH52" s="80"/>
      <c r="BOI52" s="70"/>
      <c r="BOJ52" s="70"/>
      <c r="BOK52" s="25"/>
      <c r="BOL52" s="26"/>
      <c r="BOM52" s="26"/>
      <c r="BON52" s="67"/>
      <c r="BOO52" s="11"/>
      <c r="BOP52" s="11"/>
      <c r="BOQ52" s="68"/>
      <c r="BOR52" s="83"/>
      <c r="BOS52" s="83"/>
      <c r="BOT52" s="80"/>
      <c r="BOU52" s="70"/>
      <c r="BOV52" s="70"/>
      <c r="BOW52" s="25"/>
      <c r="BOX52" s="26"/>
      <c r="BOY52" s="26"/>
      <c r="BOZ52" s="67"/>
      <c r="BPA52" s="11"/>
      <c r="BPB52" s="11"/>
      <c r="BPC52" s="68"/>
      <c r="BPD52" s="83"/>
      <c r="BPE52" s="83"/>
      <c r="BPF52" s="80"/>
      <c r="BPG52" s="70"/>
      <c r="BPH52" s="70"/>
      <c r="BPI52" s="25"/>
      <c r="BPJ52" s="26"/>
      <c r="BPK52" s="26"/>
      <c r="BPL52" s="67"/>
      <c r="BPM52" s="11"/>
      <c r="BPN52" s="11"/>
      <c r="BPO52" s="68"/>
      <c r="BPP52" s="83"/>
      <c r="BPQ52" s="83"/>
      <c r="BPR52" s="80"/>
      <c r="BPS52" s="70"/>
      <c r="BPT52" s="70"/>
      <c r="BPU52" s="25"/>
      <c r="BPV52" s="26"/>
      <c r="BPW52" s="26"/>
      <c r="BPX52" s="67"/>
      <c r="BPY52" s="11"/>
      <c r="BPZ52" s="11"/>
      <c r="BQA52" s="68"/>
      <c r="BQB52" s="83"/>
      <c r="BQC52" s="83"/>
      <c r="BQD52" s="80"/>
      <c r="BQE52" s="70"/>
      <c r="BQF52" s="70"/>
      <c r="BQG52" s="25"/>
      <c r="BQH52" s="26"/>
      <c r="BQI52" s="26"/>
      <c r="BQJ52" s="67"/>
      <c r="BQK52" s="11"/>
      <c r="BQL52" s="11"/>
      <c r="BQM52" s="68"/>
      <c r="BQN52" s="83"/>
      <c r="BQO52" s="83"/>
      <c r="BQP52" s="80"/>
      <c r="BQQ52" s="70"/>
      <c r="BQR52" s="70"/>
      <c r="BQS52" s="25"/>
      <c r="BQT52" s="26"/>
      <c r="BQU52" s="26"/>
      <c r="BQV52" s="67"/>
      <c r="BQW52" s="11"/>
      <c r="BQX52" s="11"/>
      <c r="BQY52" s="68"/>
      <c r="BQZ52" s="83"/>
      <c r="BRA52" s="83"/>
      <c r="BRB52" s="80"/>
      <c r="BRC52" s="70"/>
      <c r="BRD52" s="70"/>
      <c r="BRE52" s="25"/>
      <c r="BRF52" s="26"/>
      <c r="BRG52" s="26"/>
      <c r="BRH52" s="67"/>
      <c r="BRI52" s="11"/>
      <c r="BRJ52" s="11"/>
      <c r="BRK52" s="68"/>
      <c r="BRL52" s="83"/>
      <c r="BRM52" s="83"/>
      <c r="BRN52" s="80"/>
      <c r="BRO52" s="70"/>
      <c r="BRP52" s="70"/>
      <c r="BRQ52" s="25"/>
      <c r="BRR52" s="26"/>
      <c r="BRS52" s="26"/>
      <c r="BRT52" s="67"/>
      <c r="BRU52" s="11"/>
      <c r="BRV52" s="11"/>
      <c r="BRW52" s="68"/>
      <c r="BRX52" s="83"/>
      <c r="BRY52" s="83"/>
      <c r="BRZ52" s="80"/>
      <c r="BSA52" s="70"/>
      <c r="BSB52" s="70"/>
      <c r="BSC52" s="25"/>
      <c r="BSD52" s="26"/>
      <c r="BSE52" s="26"/>
      <c r="BSF52" s="67"/>
      <c r="BSG52" s="11"/>
      <c r="BSH52" s="11"/>
      <c r="BSI52" s="68"/>
      <c r="BSJ52" s="83"/>
      <c r="BSK52" s="83"/>
      <c r="BSL52" s="80"/>
      <c r="BSM52" s="70"/>
      <c r="BSN52" s="70"/>
      <c r="BSO52" s="25"/>
      <c r="BSP52" s="26"/>
      <c r="BSQ52" s="26"/>
      <c r="BSR52" s="67"/>
      <c r="BSS52" s="11"/>
      <c r="BST52" s="11"/>
      <c r="BSU52" s="68"/>
      <c r="BSV52" s="83"/>
      <c r="BSW52" s="83"/>
      <c r="BSX52" s="80"/>
      <c r="BSY52" s="70"/>
      <c r="BSZ52" s="70"/>
      <c r="BTA52" s="25"/>
      <c r="BTB52" s="26"/>
      <c r="BTC52" s="26"/>
      <c r="BTD52" s="67"/>
      <c r="BTE52" s="11"/>
      <c r="BTF52" s="11"/>
      <c r="BTG52" s="68"/>
      <c r="BTH52" s="83"/>
      <c r="BTI52" s="83"/>
      <c r="BTJ52" s="80"/>
      <c r="BTK52" s="70"/>
      <c r="BTL52" s="70"/>
      <c r="BTM52" s="25"/>
      <c r="BTN52" s="26"/>
      <c r="BTO52" s="26"/>
      <c r="BTP52" s="67"/>
      <c r="BTQ52" s="11"/>
      <c r="BTR52" s="11"/>
      <c r="BTS52" s="68"/>
      <c r="BTT52" s="83"/>
      <c r="BTU52" s="83"/>
      <c r="BTV52" s="80"/>
      <c r="BTW52" s="70"/>
      <c r="BTX52" s="70"/>
      <c r="BTY52" s="25"/>
      <c r="BTZ52" s="26"/>
      <c r="BUA52" s="26"/>
      <c r="BUB52" s="67"/>
      <c r="BUC52" s="11"/>
      <c r="BUD52" s="11"/>
      <c r="BUE52" s="68"/>
      <c r="BUF52" s="83"/>
      <c r="BUG52" s="83"/>
      <c r="BUH52" s="80"/>
      <c r="BUI52" s="70"/>
      <c r="BUJ52" s="70"/>
      <c r="BUK52" s="25"/>
      <c r="BUL52" s="26"/>
      <c r="BUM52" s="26"/>
      <c r="BUN52" s="67"/>
      <c r="BUO52" s="11"/>
      <c r="BUP52" s="11"/>
      <c r="BUQ52" s="68"/>
      <c r="BUR52" s="83"/>
      <c r="BUS52" s="83"/>
      <c r="BUT52" s="80"/>
      <c r="BUU52" s="70"/>
      <c r="BUV52" s="70"/>
      <c r="BUW52" s="25"/>
      <c r="BUX52" s="26"/>
      <c r="BUY52" s="26"/>
      <c r="BUZ52" s="67"/>
      <c r="BVA52" s="11"/>
      <c r="BVB52" s="11"/>
      <c r="BVC52" s="68"/>
      <c r="BVD52" s="83"/>
      <c r="BVE52" s="83"/>
      <c r="BVF52" s="80"/>
      <c r="BVG52" s="70"/>
      <c r="BVH52" s="70"/>
      <c r="BVI52" s="25"/>
      <c r="BVJ52" s="26"/>
      <c r="BVK52" s="26"/>
      <c r="BVL52" s="67"/>
      <c r="BVM52" s="11"/>
      <c r="BVN52" s="11"/>
      <c r="BVO52" s="68"/>
      <c r="BVP52" s="83"/>
      <c r="BVQ52" s="83"/>
      <c r="BVR52" s="80"/>
      <c r="BVS52" s="70"/>
      <c r="BVT52" s="70"/>
      <c r="BVU52" s="25"/>
      <c r="BVV52" s="26"/>
      <c r="BVW52" s="26"/>
      <c r="BVX52" s="67"/>
      <c r="BVY52" s="11"/>
      <c r="BVZ52" s="11"/>
      <c r="BWA52" s="68"/>
      <c r="BWB52" s="83"/>
      <c r="BWC52" s="83"/>
      <c r="BWD52" s="80"/>
      <c r="BWE52" s="70"/>
      <c r="BWF52" s="70"/>
      <c r="BWG52" s="25"/>
      <c r="BWH52" s="26"/>
      <c r="BWI52" s="26"/>
      <c r="BWJ52" s="67"/>
      <c r="BWK52" s="11"/>
      <c r="BWL52" s="11"/>
      <c r="BWM52" s="68"/>
      <c r="BWN52" s="83"/>
      <c r="BWO52" s="83"/>
      <c r="BWP52" s="80"/>
      <c r="BWQ52" s="70"/>
      <c r="BWR52" s="70"/>
      <c r="BWS52" s="25"/>
      <c r="BWT52" s="26"/>
      <c r="BWU52" s="26"/>
      <c r="BWV52" s="67"/>
      <c r="BWW52" s="11"/>
      <c r="BWX52" s="11"/>
      <c r="BWY52" s="68"/>
      <c r="BWZ52" s="83"/>
      <c r="BXA52" s="83"/>
      <c r="BXB52" s="80"/>
      <c r="BXC52" s="70"/>
      <c r="BXD52" s="70"/>
      <c r="BXE52" s="25"/>
      <c r="BXF52" s="26"/>
      <c r="BXG52" s="26"/>
      <c r="BXH52" s="67"/>
      <c r="BXI52" s="11"/>
      <c r="BXJ52" s="11"/>
      <c r="BXK52" s="68"/>
      <c r="BXL52" s="83"/>
      <c r="BXM52" s="83"/>
      <c r="BXN52" s="80"/>
      <c r="BXO52" s="70"/>
      <c r="BXP52" s="70"/>
      <c r="BXQ52" s="25"/>
      <c r="BXR52" s="26"/>
      <c r="BXS52" s="26"/>
      <c r="BXT52" s="67"/>
      <c r="BXU52" s="11"/>
      <c r="BXV52" s="11"/>
      <c r="BXW52" s="68"/>
      <c r="BXX52" s="83"/>
      <c r="BXY52" s="83"/>
      <c r="BXZ52" s="80"/>
      <c r="BYA52" s="70"/>
      <c r="BYB52" s="70"/>
      <c r="BYC52" s="25"/>
      <c r="BYD52" s="26"/>
      <c r="BYE52" s="26"/>
      <c r="BYF52" s="67"/>
      <c r="BYG52" s="11"/>
      <c r="BYH52" s="11"/>
      <c r="BYI52" s="68"/>
      <c r="BYJ52" s="83"/>
      <c r="BYK52" s="83"/>
      <c r="BYL52" s="80"/>
      <c r="BYM52" s="70"/>
      <c r="BYN52" s="70"/>
      <c r="BYO52" s="25"/>
      <c r="BYP52" s="26"/>
      <c r="BYQ52" s="26"/>
      <c r="BYR52" s="67"/>
      <c r="BYS52" s="11"/>
      <c r="BYT52" s="11"/>
      <c r="BYU52" s="68"/>
      <c r="BYV52" s="83"/>
      <c r="BYW52" s="83"/>
      <c r="BYX52" s="80"/>
      <c r="BYY52" s="70"/>
      <c r="BYZ52" s="70"/>
      <c r="BZA52" s="25"/>
      <c r="BZB52" s="26"/>
      <c r="BZC52" s="26"/>
      <c r="BZD52" s="67"/>
      <c r="BZE52" s="11"/>
      <c r="BZF52" s="11"/>
      <c r="BZG52" s="68"/>
      <c r="BZH52" s="83"/>
      <c r="BZI52" s="83"/>
      <c r="BZJ52" s="80"/>
      <c r="BZK52" s="70"/>
      <c r="BZL52" s="70"/>
      <c r="BZM52" s="25"/>
      <c r="BZN52" s="26"/>
      <c r="BZO52" s="26"/>
      <c r="BZP52" s="67"/>
      <c r="BZQ52" s="11"/>
      <c r="BZR52" s="11"/>
      <c r="BZS52" s="68"/>
      <c r="BZT52" s="83"/>
      <c r="BZU52" s="83"/>
      <c r="BZV52" s="80"/>
      <c r="BZW52" s="70"/>
      <c r="BZX52" s="70"/>
      <c r="BZY52" s="25"/>
      <c r="BZZ52" s="26"/>
      <c r="CAA52" s="26"/>
      <c r="CAB52" s="67"/>
      <c r="CAC52" s="11"/>
      <c r="CAD52" s="11"/>
      <c r="CAE52" s="68"/>
      <c r="CAF52" s="83"/>
      <c r="CAG52" s="83"/>
      <c r="CAH52" s="80"/>
      <c r="CAI52" s="70"/>
      <c r="CAJ52" s="70"/>
      <c r="CAK52" s="25"/>
      <c r="CAL52" s="26"/>
      <c r="CAM52" s="26"/>
      <c r="CAN52" s="67"/>
      <c r="CAO52" s="11"/>
      <c r="CAP52" s="11"/>
      <c r="CAQ52" s="68"/>
      <c r="CAR52" s="83"/>
      <c r="CAS52" s="83"/>
      <c r="CAT52" s="80"/>
      <c r="CAU52" s="70"/>
      <c r="CAV52" s="70"/>
      <c r="CAW52" s="25"/>
      <c r="CAX52" s="26"/>
      <c r="CAY52" s="26"/>
      <c r="CAZ52" s="67"/>
      <c r="CBA52" s="11"/>
      <c r="CBB52" s="11"/>
      <c r="CBC52" s="68"/>
      <c r="CBD52" s="83"/>
      <c r="CBE52" s="83"/>
      <c r="CBF52" s="80"/>
      <c r="CBG52" s="70"/>
      <c r="CBH52" s="70"/>
      <c r="CBI52" s="25"/>
      <c r="CBJ52" s="26"/>
      <c r="CBK52" s="26"/>
      <c r="CBL52" s="67"/>
      <c r="CBM52" s="11"/>
      <c r="CBN52" s="11"/>
      <c r="CBO52" s="68"/>
      <c r="CBP52" s="83"/>
      <c r="CBQ52" s="83"/>
      <c r="CBR52" s="80"/>
      <c r="CBS52" s="70"/>
      <c r="CBT52" s="70"/>
      <c r="CBU52" s="25"/>
      <c r="CBV52" s="26"/>
      <c r="CBW52" s="26"/>
      <c r="CBX52" s="67"/>
      <c r="CBY52" s="11"/>
      <c r="CBZ52" s="11"/>
      <c r="CCA52" s="68"/>
      <c r="CCB52" s="83"/>
      <c r="CCC52" s="83"/>
      <c r="CCD52" s="80"/>
      <c r="CCE52" s="70"/>
      <c r="CCF52" s="70"/>
      <c r="CCG52" s="25"/>
      <c r="CCH52" s="26"/>
      <c r="CCI52" s="26"/>
      <c r="CCJ52" s="67"/>
      <c r="CCK52" s="11"/>
      <c r="CCL52" s="11"/>
      <c r="CCM52" s="68"/>
      <c r="CCN52" s="83"/>
      <c r="CCO52" s="83"/>
      <c r="CCP52" s="80"/>
      <c r="CCQ52" s="70"/>
      <c r="CCR52" s="70"/>
      <c r="CCS52" s="25"/>
      <c r="CCT52" s="26"/>
      <c r="CCU52" s="26"/>
      <c r="CCV52" s="67"/>
      <c r="CCW52" s="11"/>
      <c r="CCX52" s="11"/>
      <c r="CCY52" s="68"/>
      <c r="CCZ52" s="83"/>
      <c r="CDA52" s="83"/>
      <c r="CDB52" s="80"/>
      <c r="CDC52" s="70"/>
      <c r="CDD52" s="70"/>
      <c r="CDE52" s="25"/>
      <c r="CDF52" s="26"/>
      <c r="CDG52" s="26"/>
      <c r="CDH52" s="67"/>
      <c r="CDI52" s="11"/>
      <c r="CDJ52" s="11"/>
      <c r="CDK52" s="68"/>
      <c r="CDL52" s="83"/>
      <c r="CDM52" s="83"/>
      <c r="CDN52" s="80"/>
      <c r="CDO52" s="70"/>
      <c r="CDP52" s="70"/>
      <c r="CDQ52" s="25"/>
      <c r="CDR52" s="26"/>
      <c r="CDS52" s="26"/>
      <c r="CDT52" s="67"/>
      <c r="CDU52" s="11"/>
      <c r="CDV52" s="11"/>
      <c r="CDW52" s="68"/>
      <c r="CDX52" s="83"/>
      <c r="CDY52" s="83"/>
      <c r="CDZ52" s="80"/>
      <c r="CEA52" s="70"/>
      <c r="CEB52" s="70"/>
      <c r="CEC52" s="25"/>
      <c r="CED52" s="26"/>
      <c r="CEE52" s="26"/>
      <c r="CEF52" s="67"/>
      <c r="CEG52" s="11"/>
      <c r="CEH52" s="11"/>
      <c r="CEI52" s="68"/>
      <c r="CEJ52" s="83"/>
      <c r="CEK52" s="83"/>
      <c r="CEL52" s="80"/>
      <c r="CEM52" s="70"/>
      <c r="CEN52" s="70"/>
      <c r="CEO52" s="25"/>
      <c r="CEP52" s="26"/>
      <c r="CEQ52" s="26"/>
      <c r="CER52" s="67"/>
      <c r="CES52" s="11"/>
      <c r="CET52" s="11"/>
      <c r="CEU52" s="68"/>
      <c r="CEV52" s="83"/>
      <c r="CEW52" s="83"/>
      <c r="CEX52" s="80"/>
      <c r="CEY52" s="70"/>
      <c r="CEZ52" s="70"/>
      <c r="CFA52" s="25"/>
      <c r="CFB52" s="26"/>
      <c r="CFC52" s="26"/>
      <c r="CFD52" s="67"/>
      <c r="CFE52" s="11"/>
      <c r="CFF52" s="11"/>
      <c r="CFG52" s="68"/>
      <c r="CFH52" s="83"/>
      <c r="CFI52" s="83"/>
      <c r="CFJ52" s="80"/>
      <c r="CFK52" s="70"/>
      <c r="CFL52" s="70"/>
      <c r="CFM52" s="25"/>
      <c r="CFN52" s="26"/>
      <c r="CFO52" s="26"/>
      <c r="CFP52" s="67"/>
      <c r="CFQ52" s="11"/>
      <c r="CFR52" s="11"/>
      <c r="CFS52" s="68"/>
      <c r="CFT52" s="83"/>
      <c r="CFU52" s="83"/>
      <c r="CFV52" s="80"/>
      <c r="CFW52" s="70"/>
      <c r="CFX52" s="70"/>
      <c r="CFY52" s="25"/>
      <c r="CFZ52" s="26"/>
      <c r="CGA52" s="26"/>
      <c r="CGB52" s="67"/>
      <c r="CGC52" s="11"/>
      <c r="CGD52" s="11"/>
      <c r="CGE52" s="68"/>
      <c r="CGF52" s="83"/>
      <c r="CGG52" s="83"/>
      <c r="CGH52" s="80"/>
      <c r="CGI52" s="70"/>
      <c r="CGJ52" s="70"/>
      <c r="CGK52" s="25"/>
      <c r="CGL52" s="26"/>
      <c r="CGM52" s="26"/>
      <c r="CGN52" s="67"/>
      <c r="CGO52" s="11"/>
      <c r="CGP52" s="11"/>
      <c r="CGQ52" s="68"/>
      <c r="CGR52" s="83"/>
      <c r="CGS52" s="83"/>
      <c r="CGT52" s="80"/>
      <c r="CGU52" s="70"/>
      <c r="CGV52" s="70"/>
      <c r="CGW52" s="25"/>
      <c r="CGX52" s="26"/>
      <c r="CGY52" s="26"/>
      <c r="CGZ52" s="67"/>
      <c r="CHA52" s="11"/>
      <c r="CHB52" s="11"/>
      <c r="CHC52" s="68"/>
      <c r="CHD52" s="83"/>
      <c r="CHE52" s="83"/>
      <c r="CHF52" s="80"/>
      <c r="CHG52" s="70"/>
      <c r="CHH52" s="70"/>
      <c r="CHI52" s="25"/>
      <c r="CHJ52" s="26"/>
      <c r="CHK52" s="26"/>
      <c r="CHL52" s="67"/>
      <c r="CHM52" s="11"/>
      <c r="CHN52" s="11"/>
      <c r="CHO52" s="68"/>
      <c r="CHP52" s="83"/>
      <c r="CHQ52" s="83"/>
      <c r="CHR52" s="80"/>
      <c r="CHS52" s="70"/>
      <c r="CHT52" s="70"/>
      <c r="CHU52" s="25"/>
      <c r="CHV52" s="26"/>
      <c r="CHW52" s="26"/>
      <c r="CHX52" s="67"/>
      <c r="CHY52" s="11"/>
      <c r="CHZ52" s="11"/>
      <c r="CIA52" s="68"/>
      <c r="CIB52" s="83"/>
      <c r="CIC52" s="83"/>
      <c r="CID52" s="80"/>
      <c r="CIE52" s="70"/>
      <c r="CIF52" s="70"/>
      <c r="CIG52" s="25"/>
      <c r="CIH52" s="26"/>
      <c r="CII52" s="26"/>
      <c r="CIJ52" s="67"/>
      <c r="CIK52" s="11"/>
      <c r="CIL52" s="11"/>
      <c r="CIM52" s="68"/>
      <c r="CIN52" s="83"/>
      <c r="CIO52" s="83"/>
      <c r="CIP52" s="80"/>
      <c r="CIQ52" s="70"/>
      <c r="CIR52" s="70"/>
      <c r="CIS52" s="25"/>
      <c r="CIT52" s="26"/>
      <c r="CIU52" s="26"/>
      <c r="CIV52" s="67"/>
      <c r="CIW52" s="11"/>
      <c r="CIX52" s="11"/>
      <c r="CIY52" s="68"/>
      <c r="CIZ52" s="83"/>
      <c r="CJA52" s="83"/>
      <c r="CJB52" s="80"/>
      <c r="CJC52" s="70"/>
      <c r="CJD52" s="70"/>
      <c r="CJE52" s="25"/>
      <c r="CJF52" s="26"/>
      <c r="CJG52" s="26"/>
      <c r="CJH52" s="67"/>
      <c r="CJI52" s="11"/>
      <c r="CJJ52" s="11"/>
      <c r="CJK52" s="68"/>
      <c r="CJL52" s="83"/>
      <c r="CJM52" s="83"/>
      <c r="CJN52" s="80"/>
      <c r="CJO52" s="70"/>
      <c r="CJP52" s="70"/>
      <c r="CJQ52" s="25"/>
      <c r="CJR52" s="26"/>
      <c r="CJS52" s="26"/>
      <c r="CJT52" s="67"/>
      <c r="CJU52" s="11"/>
      <c r="CJV52" s="11"/>
      <c r="CJW52" s="68"/>
      <c r="CJX52" s="83"/>
      <c r="CJY52" s="83"/>
      <c r="CJZ52" s="80"/>
      <c r="CKA52" s="70"/>
      <c r="CKB52" s="70"/>
      <c r="CKC52" s="25"/>
      <c r="CKD52" s="26"/>
      <c r="CKE52" s="26"/>
      <c r="CKF52" s="67"/>
      <c r="CKG52" s="11"/>
      <c r="CKH52" s="11"/>
      <c r="CKI52" s="68"/>
      <c r="CKJ52" s="83"/>
      <c r="CKK52" s="83"/>
      <c r="CKL52" s="80"/>
      <c r="CKM52" s="70"/>
      <c r="CKN52" s="70"/>
      <c r="CKO52" s="25"/>
      <c r="CKP52" s="26"/>
      <c r="CKQ52" s="26"/>
      <c r="CKR52" s="67"/>
      <c r="CKS52" s="11"/>
      <c r="CKT52" s="11"/>
      <c r="CKU52" s="68"/>
      <c r="CKV52" s="83"/>
      <c r="CKW52" s="83"/>
      <c r="CKX52" s="80"/>
      <c r="CKY52" s="70"/>
      <c r="CKZ52" s="70"/>
      <c r="CLA52" s="25"/>
      <c r="CLB52" s="26"/>
      <c r="CLC52" s="26"/>
      <c r="CLD52" s="67"/>
      <c r="CLE52" s="11"/>
      <c r="CLF52" s="11"/>
      <c r="CLG52" s="68"/>
      <c r="CLH52" s="83"/>
      <c r="CLI52" s="83"/>
      <c r="CLJ52" s="80"/>
      <c r="CLK52" s="70"/>
      <c r="CLL52" s="70"/>
      <c r="CLM52" s="25"/>
      <c r="CLN52" s="26"/>
      <c r="CLO52" s="26"/>
      <c r="CLP52" s="67"/>
      <c r="CLQ52" s="11"/>
      <c r="CLR52" s="11"/>
      <c r="CLS52" s="68"/>
      <c r="CLT52" s="83"/>
      <c r="CLU52" s="83"/>
      <c r="CLV52" s="80"/>
      <c r="CLW52" s="70"/>
      <c r="CLX52" s="70"/>
      <c r="CLY52" s="25"/>
      <c r="CLZ52" s="26"/>
      <c r="CMA52" s="26"/>
      <c r="CMB52" s="67"/>
      <c r="CMC52" s="11"/>
      <c r="CMD52" s="11"/>
      <c r="CME52" s="68"/>
      <c r="CMF52" s="83"/>
      <c r="CMG52" s="83"/>
      <c r="CMH52" s="80"/>
      <c r="CMI52" s="70"/>
      <c r="CMJ52" s="70"/>
      <c r="CMK52" s="25"/>
      <c r="CML52" s="26"/>
      <c r="CMM52" s="26"/>
      <c r="CMN52" s="67"/>
      <c r="CMO52" s="11"/>
      <c r="CMP52" s="11"/>
      <c r="CMQ52" s="68"/>
      <c r="CMR52" s="83"/>
      <c r="CMS52" s="83"/>
      <c r="CMT52" s="80"/>
      <c r="CMU52" s="70"/>
      <c r="CMV52" s="70"/>
      <c r="CMW52" s="25"/>
      <c r="CMX52" s="26"/>
      <c r="CMY52" s="26"/>
      <c r="CMZ52" s="67"/>
      <c r="CNA52" s="11"/>
      <c r="CNB52" s="11"/>
      <c r="CNC52" s="68"/>
      <c r="CND52" s="83"/>
      <c r="CNE52" s="83"/>
      <c r="CNF52" s="80"/>
      <c r="CNG52" s="70"/>
      <c r="CNH52" s="70"/>
      <c r="CNI52" s="25"/>
      <c r="CNJ52" s="26"/>
      <c r="CNK52" s="26"/>
      <c r="CNL52" s="67"/>
      <c r="CNM52" s="11"/>
      <c r="CNN52" s="11"/>
      <c r="CNO52" s="68"/>
      <c r="CNP52" s="83"/>
      <c r="CNQ52" s="83"/>
      <c r="CNR52" s="80"/>
      <c r="CNS52" s="70"/>
      <c r="CNT52" s="70"/>
      <c r="CNU52" s="25"/>
      <c r="CNV52" s="26"/>
      <c r="CNW52" s="26"/>
      <c r="CNX52" s="67"/>
      <c r="CNY52" s="11"/>
      <c r="CNZ52" s="11"/>
      <c r="COA52" s="68"/>
      <c r="COB52" s="83"/>
      <c r="COC52" s="83"/>
      <c r="COD52" s="80"/>
      <c r="COE52" s="70"/>
      <c r="COF52" s="70"/>
      <c r="COG52" s="25"/>
      <c r="COH52" s="26"/>
      <c r="COI52" s="26"/>
      <c r="COJ52" s="67"/>
      <c r="COK52" s="11"/>
      <c r="COL52" s="11"/>
      <c r="COM52" s="68"/>
      <c r="CON52" s="83"/>
      <c r="COO52" s="83"/>
      <c r="COP52" s="80"/>
      <c r="COQ52" s="70"/>
      <c r="COR52" s="70"/>
      <c r="COS52" s="25"/>
      <c r="COT52" s="26"/>
      <c r="COU52" s="26"/>
      <c r="COV52" s="67"/>
      <c r="COW52" s="11"/>
      <c r="COX52" s="11"/>
      <c r="COY52" s="68"/>
      <c r="COZ52" s="83"/>
      <c r="CPA52" s="83"/>
      <c r="CPB52" s="80"/>
      <c r="CPC52" s="70"/>
      <c r="CPD52" s="70"/>
      <c r="CPE52" s="25"/>
      <c r="CPF52" s="26"/>
      <c r="CPG52" s="26"/>
      <c r="CPH52" s="67"/>
      <c r="CPI52" s="11"/>
      <c r="CPJ52" s="11"/>
      <c r="CPK52" s="68"/>
      <c r="CPL52" s="83"/>
      <c r="CPM52" s="83"/>
      <c r="CPN52" s="80"/>
      <c r="CPO52" s="70"/>
      <c r="CPP52" s="70"/>
      <c r="CPQ52" s="25"/>
      <c r="CPR52" s="26"/>
      <c r="CPS52" s="26"/>
      <c r="CPT52" s="67"/>
      <c r="CPU52" s="11"/>
      <c r="CPV52" s="11"/>
      <c r="CPW52" s="68"/>
      <c r="CPX52" s="83"/>
      <c r="CPY52" s="83"/>
      <c r="CPZ52" s="80"/>
      <c r="CQA52" s="70"/>
      <c r="CQB52" s="70"/>
      <c r="CQC52" s="25"/>
      <c r="CQD52" s="26"/>
      <c r="CQE52" s="26"/>
      <c r="CQF52" s="67"/>
      <c r="CQG52" s="11"/>
      <c r="CQH52" s="11"/>
      <c r="CQI52" s="68"/>
      <c r="CQJ52" s="83"/>
      <c r="CQK52" s="83"/>
      <c r="CQL52" s="80"/>
      <c r="CQM52" s="70"/>
      <c r="CQN52" s="70"/>
      <c r="CQO52" s="25"/>
      <c r="CQP52" s="26"/>
      <c r="CQQ52" s="26"/>
      <c r="CQR52" s="67"/>
      <c r="CQS52" s="11"/>
      <c r="CQT52" s="11"/>
      <c r="CQU52" s="68"/>
      <c r="CQV52" s="83"/>
      <c r="CQW52" s="83"/>
      <c r="CQX52" s="80"/>
      <c r="CQY52" s="70"/>
      <c r="CQZ52" s="70"/>
      <c r="CRA52" s="25"/>
      <c r="CRB52" s="26"/>
      <c r="CRC52" s="26"/>
      <c r="CRD52" s="67"/>
      <c r="CRE52" s="11"/>
      <c r="CRF52" s="11"/>
      <c r="CRG52" s="68"/>
      <c r="CRH52" s="83"/>
      <c r="CRI52" s="83"/>
      <c r="CRJ52" s="80"/>
      <c r="CRK52" s="70"/>
      <c r="CRL52" s="70"/>
      <c r="CRM52" s="25"/>
      <c r="CRN52" s="26"/>
      <c r="CRO52" s="26"/>
      <c r="CRP52" s="67"/>
      <c r="CRQ52" s="11"/>
      <c r="CRR52" s="11"/>
      <c r="CRS52" s="68"/>
      <c r="CRT52" s="83"/>
      <c r="CRU52" s="83"/>
      <c r="CRV52" s="80"/>
      <c r="CRW52" s="70"/>
      <c r="CRX52" s="70"/>
      <c r="CRY52" s="25"/>
      <c r="CRZ52" s="26"/>
      <c r="CSA52" s="26"/>
      <c r="CSB52" s="67"/>
      <c r="CSC52" s="11"/>
      <c r="CSD52" s="11"/>
      <c r="CSE52" s="68"/>
      <c r="CSF52" s="83"/>
      <c r="CSG52" s="83"/>
      <c r="CSH52" s="80"/>
      <c r="CSI52" s="70"/>
      <c r="CSJ52" s="70"/>
      <c r="CSK52" s="25"/>
      <c r="CSL52" s="26"/>
      <c r="CSM52" s="26"/>
      <c r="CSN52" s="67"/>
      <c r="CSO52" s="11"/>
      <c r="CSP52" s="11"/>
      <c r="CSQ52" s="68"/>
      <c r="CSR52" s="83"/>
      <c r="CSS52" s="83"/>
      <c r="CST52" s="80"/>
      <c r="CSU52" s="70"/>
      <c r="CSV52" s="70"/>
      <c r="CSW52" s="25"/>
      <c r="CSX52" s="26"/>
      <c r="CSY52" s="26"/>
      <c r="CSZ52" s="67"/>
      <c r="CTA52" s="11"/>
      <c r="CTB52" s="11"/>
      <c r="CTC52" s="68"/>
      <c r="CTD52" s="83"/>
      <c r="CTE52" s="83"/>
      <c r="CTF52" s="80"/>
      <c r="CTG52" s="70"/>
      <c r="CTH52" s="70"/>
      <c r="CTI52" s="25"/>
      <c r="CTJ52" s="26"/>
      <c r="CTK52" s="26"/>
      <c r="CTL52" s="67"/>
      <c r="CTM52" s="11"/>
      <c r="CTN52" s="11"/>
      <c r="CTO52" s="68"/>
      <c r="CTP52" s="83"/>
      <c r="CTQ52" s="83"/>
      <c r="CTR52" s="80"/>
      <c r="CTS52" s="70"/>
      <c r="CTT52" s="70"/>
      <c r="CTU52" s="25"/>
      <c r="CTV52" s="26"/>
      <c r="CTW52" s="26"/>
      <c r="CTX52" s="67"/>
      <c r="CTY52" s="11"/>
      <c r="CTZ52" s="11"/>
      <c r="CUA52" s="68"/>
      <c r="CUB52" s="83"/>
      <c r="CUC52" s="83"/>
      <c r="CUD52" s="80"/>
      <c r="CUE52" s="70"/>
      <c r="CUF52" s="70"/>
      <c r="CUG52" s="25"/>
      <c r="CUH52" s="26"/>
      <c r="CUI52" s="26"/>
      <c r="CUJ52" s="67"/>
      <c r="CUK52" s="11"/>
      <c r="CUL52" s="11"/>
      <c r="CUM52" s="68"/>
      <c r="CUN52" s="83"/>
      <c r="CUO52" s="83"/>
      <c r="CUP52" s="80"/>
      <c r="CUQ52" s="70"/>
      <c r="CUR52" s="70"/>
      <c r="CUS52" s="25"/>
      <c r="CUT52" s="26"/>
      <c r="CUU52" s="26"/>
      <c r="CUV52" s="67"/>
      <c r="CUW52" s="11"/>
      <c r="CUX52" s="11"/>
      <c r="CUY52" s="68"/>
      <c r="CUZ52" s="83"/>
      <c r="CVA52" s="83"/>
      <c r="CVB52" s="80"/>
      <c r="CVC52" s="70"/>
      <c r="CVD52" s="70"/>
      <c r="CVE52" s="25"/>
      <c r="CVF52" s="26"/>
      <c r="CVG52" s="26"/>
      <c r="CVH52" s="67"/>
      <c r="CVI52" s="11"/>
      <c r="CVJ52" s="11"/>
      <c r="CVK52" s="68"/>
      <c r="CVL52" s="83"/>
      <c r="CVM52" s="83"/>
      <c r="CVN52" s="80"/>
      <c r="CVO52" s="70"/>
      <c r="CVP52" s="70"/>
      <c r="CVQ52" s="25"/>
      <c r="CVR52" s="26"/>
      <c r="CVS52" s="26"/>
      <c r="CVT52" s="67"/>
      <c r="CVU52" s="11"/>
      <c r="CVV52" s="11"/>
      <c r="CVW52" s="68"/>
      <c r="CVX52" s="83"/>
      <c r="CVY52" s="83"/>
      <c r="CVZ52" s="80"/>
      <c r="CWA52" s="70"/>
      <c r="CWB52" s="70"/>
      <c r="CWC52" s="25"/>
      <c r="CWD52" s="26"/>
      <c r="CWE52" s="26"/>
      <c r="CWF52" s="67"/>
      <c r="CWG52" s="11"/>
      <c r="CWH52" s="11"/>
      <c r="CWI52" s="68"/>
      <c r="CWJ52" s="83"/>
      <c r="CWK52" s="83"/>
      <c r="CWL52" s="80"/>
      <c r="CWM52" s="70"/>
      <c r="CWN52" s="70"/>
      <c r="CWO52" s="25"/>
      <c r="CWP52" s="26"/>
      <c r="CWQ52" s="26"/>
      <c r="CWR52" s="67"/>
      <c r="CWS52" s="11"/>
      <c r="CWT52" s="11"/>
      <c r="CWU52" s="68"/>
      <c r="CWV52" s="83"/>
      <c r="CWW52" s="83"/>
      <c r="CWX52" s="80"/>
      <c r="CWY52" s="70"/>
      <c r="CWZ52" s="70"/>
      <c r="CXA52" s="25"/>
      <c r="CXB52" s="26"/>
      <c r="CXC52" s="26"/>
      <c r="CXD52" s="67"/>
      <c r="CXE52" s="11"/>
      <c r="CXF52" s="11"/>
      <c r="CXG52" s="68"/>
      <c r="CXH52" s="83"/>
      <c r="CXI52" s="83"/>
      <c r="CXJ52" s="80"/>
      <c r="CXK52" s="70"/>
      <c r="CXL52" s="70"/>
      <c r="CXM52" s="25"/>
      <c r="CXN52" s="26"/>
      <c r="CXO52" s="26"/>
      <c r="CXP52" s="67"/>
      <c r="CXQ52" s="11"/>
      <c r="CXR52" s="11"/>
      <c r="CXS52" s="68"/>
      <c r="CXT52" s="83"/>
      <c r="CXU52" s="83"/>
      <c r="CXV52" s="80"/>
      <c r="CXW52" s="70"/>
      <c r="CXX52" s="70"/>
      <c r="CXY52" s="25"/>
      <c r="CXZ52" s="26"/>
      <c r="CYA52" s="26"/>
      <c r="CYB52" s="67"/>
      <c r="CYC52" s="11"/>
      <c r="CYD52" s="11"/>
      <c r="CYE52" s="68"/>
      <c r="CYF52" s="83"/>
      <c r="CYG52" s="83"/>
      <c r="CYH52" s="80"/>
      <c r="CYI52" s="70"/>
      <c r="CYJ52" s="70"/>
      <c r="CYK52" s="25"/>
      <c r="CYL52" s="26"/>
      <c r="CYM52" s="26"/>
      <c r="CYN52" s="67"/>
      <c r="CYO52" s="11"/>
      <c r="CYP52" s="11"/>
      <c r="CYQ52" s="68"/>
      <c r="CYR52" s="83"/>
      <c r="CYS52" s="83"/>
      <c r="CYT52" s="80"/>
      <c r="CYU52" s="70"/>
      <c r="CYV52" s="70"/>
      <c r="CYW52" s="25"/>
      <c r="CYX52" s="26"/>
      <c r="CYY52" s="26"/>
      <c r="CYZ52" s="67"/>
      <c r="CZA52" s="11"/>
      <c r="CZB52" s="11"/>
      <c r="CZC52" s="68"/>
      <c r="CZD52" s="83"/>
      <c r="CZE52" s="83"/>
      <c r="CZF52" s="80"/>
      <c r="CZG52" s="70"/>
      <c r="CZH52" s="70"/>
      <c r="CZI52" s="25"/>
      <c r="CZJ52" s="26"/>
      <c r="CZK52" s="26"/>
      <c r="CZL52" s="67"/>
      <c r="CZM52" s="11"/>
      <c r="CZN52" s="11"/>
      <c r="CZO52" s="68"/>
      <c r="CZP52" s="83"/>
      <c r="CZQ52" s="83"/>
      <c r="CZR52" s="80"/>
      <c r="CZS52" s="70"/>
      <c r="CZT52" s="70"/>
      <c r="CZU52" s="25"/>
      <c r="CZV52" s="26"/>
      <c r="CZW52" s="26"/>
      <c r="CZX52" s="67"/>
      <c r="CZY52" s="11"/>
      <c r="CZZ52" s="11"/>
      <c r="DAA52" s="68"/>
      <c r="DAB52" s="83"/>
      <c r="DAC52" s="83"/>
      <c r="DAD52" s="80"/>
      <c r="DAE52" s="70"/>
      <c r="DAF52" s="70"/>
      <c r="DAG52" s="25"/>
      <c r="DAH52" s="26"/>
      <c r="DAI52" s="26"/>
      <c r="DAJ52" s="67"/>
      <c r="DAK52" s="11"/>
      <c r="DAL52" s="11"/>
      <c r="DAM52" s="68"/>
      <c r="DAN52" s="83"/>
      <c r="DAO52" s="83"/>
      <c r="DAP52" s="80"/>
      <c r="DAQ52" s="70"/>
      <c r="DAR52" s="70"/>
      <c r="DAS52" s="25"/>
      <c r="DAT52" s="26"/>
      <c r="DAU52" s="26"/>
      <c r="DAV52" s="67"/>
      <c r="DAW52" s="11"/>
      <c r="DAX52" s="11"/>
      <c r="DAY52" s="68"/>
      <c r="DAZ52" s="83"/>
      <c r="DBA52" s="83"/>
      <c r="DBB52" s="80"/>
      <c r="DBC52" s="70"/>
      <c r="DBD52" s="70"/>
      <c r="DBE52" s="25"/>
      <c r="DBF52" s="26"/>
      <c r="DBG52" s="26"/>
      <c r="DBH52" s="67"/>
      <c r="DBI52" s="11"/>
      <c r="DBJ52" s="11"/>
      <c r="DBK52" s="68"/>
      <c r="DBL52" s="83"/>
      <c r="DBM52" s="83"/>
      <c r="DBN52" s="80"/>
      <c r="DBO52" s="70"/>
      <c r="DBP52" s="70"/>
      <c r="DBQ52" s="25"/>
      <c r="DBR52" s="26"/>
      <c r="DBS52" s="26"/>
      <c r="DBT52" s="67"/>
      <c r="DBU52" s="11"/>
      <c r="DBV52" s="11"/>
      <c r="DBW52" s="68"/>
      <c r="DBX52" s="83"/>
      <c r="DBY52" s="83"/>
      <c r="DBZ52" s="80"/>
      <c r="DCA52" s="70"/>
      <c r="DCB52" s="70"/>
      <c r="DCC52" s="25"/>
      <c r="DCD52" s="26"/>
      <c r="DCE52" s="26"/>
      <c r="DCF52" s="67"/>
      <c r="DCG52" s="11"/>
      <c r="DCH52" s="11"/>
      <c r="DCI52" s="68"/>
      <c r="DCJ52" s="83"/>
      <c r="DCK52" s="83"/>
      <c r="DCL52" s="80"/>
      <c r="DCM52" s="70"/>
      <c r="DCN52" s="70"/>
      <c r="DCO52" s="25"/>
      <c r="DCP52" s="26"/>
      <c r="DCQ52" s="26"/>
      <c r="DCR52" s="67"/>
      <c r="DCS52" s="11"/>
      <c r="DCT52" s="11"/>
      <c r="DCU52" s="68"/>
      <c r="DCV52" s="83"/>
      <c r="DCW52" s="83"/>
      <c r="DCX52" s="80"/>
      <c r="DCY52" s="70"/>
      <c r="DCZ52" s="70"/>
      <c r="DDA52" s="25"/>
      <c r="DDB52" s="26"/>
      <c r="DDC52" s="26"/>
      <c r="DDD52" s="67"/>
      <c r="DDE52" s="11"/>
      <c r="DDF52" s="11"/>
      <c r="DDG52" s="68"/>
      <c r="DDH52" s="83"/>
      <c r="DDI52" s="83"/>
      <c r="DDJ52" s="80"/>
      <c r="DDK52" s="70"/>
      <c r="DDL52" s="70"/>
      <c r="DDM52" s="25"/>
      <c r="DDN52" s="26"/>
      <c r="DDO52" s="26"/>
      <c r="DDP52" s="67"/>
      <c r="DDQ52" s="11"/>
      <c r="DDR52" s="11"/>
      <c r="DDS52" s="68"/>
      <c r="DDT52" s="83"/>
      <c r="DDU52" s="83"/>
      <c r="DDV52" s="80"/>
      <c r="DDW52" s="70"/>
      <c r="DDX52" s="70"/>
      <c r="DDY52" s="25"/>
      <c r="DDZ52" s="26"/>
      <c r="DEA52" s="26"/>
      <c r="DEB52" s="67"/>
      <c r="DEC52" s="11"/>
      <c r="DED52" s="11"/>
      <c r="DEE52" s="68"/>
      <c r="DEF52" s="83"/>
      <c r="DEG52" s="83"/>
      <c r="DEH52" s="80"/>
      <c r="DEI52" s="70"/>
      <c r="DEJ52" s="70"/>
      <c r="DEK52" s="25"/>
      <c r="DEL52" s="26"/>
      <c r="DEM52" s="26"/>
      <c r="DEN52" s="67"/>
      <c r="DEO52" s="11"/>
      <c r="DEP52" s="11"/>
      <c r="DEQ52" s="68"/>
      <c r="DER52" s="83"/>
      <c r="DES52" s="83"/>
      <c r="DET52" s="80"/>
      <c r="DEU52" s="70"/>
      <c r="DEV52" s="70"/>
      <c r="DEW52" s="25"/>
      <c r="DEX52" s="26"/>
      <c r="DEY52" s="26"/>
      <c r="DEZ52" s="67"/>
      <c r="DFA52" s="11"/>
      <c r="DFB52" s="11"/>
      <c r="DFC52" s="68"/>
      <c r="DFD52" s="83"/>
      <c r="DFE52" s="83"/>
      <c r="DFF52" s="80"/>
      <c r="DFG52" s="70"/>
      <c r="DFH52" s="70"/>
      <c r="DFI52" s="25"/>
      <c r="DFJ52" s="26"/>
      <c r="DFK52" s="26"/>
      <c r="DFL52" s="67"/>
      <c r="DFM52" s="11"/>
      <c r="DFN52" s="11"/>
      <c r="DFO52" s="68"/>
      <c r="DFP52" s="83"/>
      <c r="DFQ52" s="83"/>
      <c r="DFR52" s="80"/>
      <c r="DFS52" s="70"/>
      <c r="DFT52" s="70"/>
      <c r="DFU52" s="25"/>
      <c r="DFV52" s="26"/>
      <c r="DFW52" s="26"/>
      <c r="DFX52" s="67"/>
      <c r="DFY52" s="11"/>
      <c r="DFZ52" s="11"/>
      <c r="DGA52" s="68"/>
      <c r="DGB52" s="83"/>
      <c r="DGC52" s="83"/>
      <c r="DGD52" s="80"/>
      <c r="DGE52" s="70"/>
      <c r="DGF52" s="70"/>
      <c r="DGG52" s="25"/>
      <c r="DGH52" s="26"/>
      <c r="DGI52" s="26"/>
      <c r="DGJ52" s="67"/>
      <c r="DGK52" s="11"/>
      <c r="DGL52" s="11"/>
      <c r="DGM52" s="68"/>
      <c r="DGN52" s="83"/>
      <c r="DGO52" s="83"/>
      <c r="DGP52" s="80"/>
      <c r="DGQ52" s="70"/>
      <c r="DGR52" s="70"/>
      <c r="DGS52" s="25"/>
      <c r="DGT52" s="26"/>
      <c r="DGU52" s="26"/>
      <c r="DGV52" s="67"/>
      <c r="DGW52" s="11"/>
      <c r="DGX52" s="11"/>
      <c r="DGY52" s="68"/>
      <c r="DGZ52" s="83"/>
      <c r="DHA52" s="83"/>
      <c r="DHB52" s="80"/>
      <c r="DHC52" s="70"/>
      <c r="DHD52" s="70"/>
      <c r="DHE52" s="25"/>
      <c r="DHF52" s="26"/>
      <c r="DHG52" s="26"/>
      <c r="DHH52" s="67"/>
      <c r="DHI52" s="11"/>
      <c r="DHJ52" s="11"/>
      <c r="DHK52" s="68"/>
      <c r="DHL52" s="83"/>
      <c r="DHM52" s="83"/>
      <c r="DHN52" s="80"/>
      <c r="DHO52" s="70"/>
      <c r="DHP52" s="70"/>
      <c r="DHQ52" s="25"/>
      <c r="DHR52" s="26"/>
      <c r="DHS52" s="26"/>
      <c r="DHT52" s="67"/>
      <c r="DHU52" s="11"/>
      <c r="DHV52" s="11"/>
      <c r="DHW52" s="68"/>
      <c r="DHX52" s="83"/>
      <c r="DHY52" s="83"/>
      <c r="DHZ52" s="80"/>
      <c r="DIA52" s="70"/>
      <c r="DIB52" s="70"/>
      <c r="DIC52" s="25"/>
      <c r="DID52" s="26"/>
      <c r="DIE52" s="26"/>
      <c r="DIF52" s="67"/>
      <c r="DIG52" s="11"/>
      <c r="DIH52" s="11"/>
      <c r="DII52" s="68"/>
      <c r="DIJ52" s="83"/>
      <c r="DIK52" s="83"/>
      <c r="DIL52" s="80"/>
      <c r="DIM52" s="70"/>
      <c r="DIN52" s="70"/>
      <c r="DIO52" s="25"/>
      <c r="DIP52" s="26"/>
      <c r="DIQ52" s="26"/>
      <c r="DIR52" s="67"/>
      <c r="DIS52" s="11"/>
      <c r="DIT52" s="11"/>
      <c r="DIU52" s="68"/>
      <c r="DIV52" s="83"/>
      <c r="DIW52" s="83"/>
      <c r="DIX52" s="80"/>
      <c r="DIY52" s="70"/>
      <c r="DIZ52" s="70"/>
      <c r="DJA52" s="25"/>
      <c r="DJB52" s="26"/>
      <c r="DJC52" s="26"/>
      <c r="DJD52" s="67"/>
      <c r="DJE52" s="11"/>
      <c r="DJF52" s="11"/>
      <c r="DJG52" s="68"/>
      <c r="DJH52" s="83"/>
      <c r="DJI52" s="83"/>
      <c r="DJJ52" s="80"/>
      <c r="DJK52" s="70"/>
      <c r="DJL52" s="70"/>
      <c r="DJM52" s="25"/>
      <c r="DJN52" s="26"/>
      <c r="DJO52" s="26"/>
      <c r="DJP52" s="67"/>
      <c r="DJQ52" s="11"/>
      <c r="DJR52" s="11"/>
      <c r="DJS52" s="68"/>
      <c r="DJT52" s="83"/>
      <c r="DJU52" s="83"/>
      <c r="DJV52" s="80"/>
      <c r="DJW52" s="70"/>
      <c r="DJX52" s="70"/>
      <c r="DJY52" s="25"/>
      <c r="DJZ52" s="26"/>
      <c r="DKA52" s="26"/>
      <c r="DKB52" s="67"/>
      <c r="DKC52" s="11"/>
      <c r="DKD52" s="11"/>
      <c r="DKE52" s="68"/>
      <c r="DKF52" s="83"/>
      <c r="DKG52" s="83"/>
      <c r="DKH52" s="80"/>
      <c r="DKI52" s="70"/>
      <c r="DKJ52" s="70"/>
      <c r="DKK52" s="25"/>
      <c r="DKL52" s="26"/>
      <c r="DKM52" s="26"/>
      <c r="DKN52" s="67"/>
      <c r="DKO52" s="11"/>
      <c r="DKP52" s="11"/>
      <c r="DKQ52" s="68"/>
      <c r="DKR52" s="83"/>
      <c r="DKS52" s="83"/>
      <c r="DKT52" s="80"/>
      <c r="DKU52" s="70"/>
      <c r="DKV52" s="70"/>
      <c r="DKW52" s="25"/>
      <c r="DKX52" s="26"/>
      <c r="DKY52" s="26"/>
      <c r="DKZ52" s="67"/>
      <c r="DLA52" s="11"/>
      <c r="DLB52" s="11"/>
      <c r="DLC52" s="68"/>
      <c r="DLD52" s="83"/>
      <c r="DLE52" s="83"/>
      <c r="DLF52" s="80"/>
      <c r="DLG52" s="70"/>
      <c r="DLH52" s="70"/>
      <c r="DLI52" s="25"/>
      <c r="DLJ52" s="26"/>
      <c r="DLK52" s="26"/>
      <c r="DLL52" s="67"/>
      <c r="DLM52" s="11"/>
      <c r="DLN52" s="11"/>
      <c r="DLO52" s="68"/>
      <c r="DLP52" s="83"/>
      <c r="DLQ52" s="83"/>
      <c r="DLR52" s="80"/>
      <c r="DLS52" s="70"/>
      <c r="DLT52" s="70"/>
      <c r="DLU52" s="25"/>
      <c r="DLV52" s="26"/>
      <c r="DLW52" s="26"/>
      <c r="DLX52" s="67"/>
      <c r="DLY52" s="11"/>
      <c r="DLZ52" s="11"/>
      <c r="DMA52" s="68"/>
      <c r="DMB52" s="83"/>
      <c r="DMC52" s="83"/>
      <c r="DMD52" s="80"/>
      <c r="DME52" s="70"/>
      <c r="DMF52" s="70"/>
      <c r="DMG52" s="25"/>
      <c r="DMH52" s="26"/>
      <c r="DMI52" s="26"/>
      <c r="DMJ52" s="67"/>
      <c r="DMK52" s="11"/>
      <c r="DML52" s="11"/>
      <c r="DMM52" s="68"/>
      <c r="DMN52" s="83"/>
      <c r="DMO52" s="83"/>
      <c r="DMP52" s="80"/>
      <c r="DMQ52" s="70"/>
      <c r="DMR52" s="70"/>
      <c r="DMS52" s="25"/>
      <c r="DMT52" s="26"/>
      <c r="DMU52" s="26"/>
      <c r="DMV52" s="67"/>
      <c r="DMW52" s="11"/>
      <c r="DMX52" s="11"/>
      <c r="DMY52" s="68"/>
      <c r="DMZ52" s="83"/>
      <c r="DNA52" s="83"/>
      <c r="DNB52" s="80"/>
      <c r="DNC52" s="70"/>
      <c r="DND52" s="70"/>
      <c r="DNE52" s="25"/>
      <c r="DNF52" s="26"/>
      <c r="DNG52" s="26"/>
      <c r="DNH52" s="67"/>
      <c r="DNI52" s="11"/>
      <c r="DNJ52" s="11"/>
      <c r="DNK52" s="68"/>
      <c r="DNL52" s="83"/>
      <c r="DNM52" s="83"/>
      <c r="DNN52" s="80"/>
      <c r="DNO52" s="70"/>
      <c r="DNP52" s="70"/>
      <c r="DNQ52" s="25"/>
      <c r="DNR52" s="26"/>
      <c r="DNS52" s="26"/>
      <c r="DNT52" s="67"/>
      <c r="DNU52" s="11"/>
      <c r="DNV52" s="11"/>
      <c r="DNW52" s="68"/>
      <c r="DNX52" s="83"/>
      <c r="DNY52" s="83"/>
      <c r="DNZ52" s="80"/>
      <c r="DOA52" s="70"/>
      <c r="DOB52" s="70"/>
      <c r="DOC52" s="25"/>
      <c r="DOD52" s="26"/>
      <c r="DOE52" s="26"/>
      <c r="DOF52" s="67"/>
      <c r="DOG52" s="11"/>
      <c r="DOH52" s="11"/>
      <c r="DOI52" s="68"/>
      <c r="DOJ52" s="83"/>
      <c r="DOK52" s="83"/>
      <c r="DOL52" s="80"/>
      <c r="DOM52" s="70"/>
      <c r="DON52" s="70"/>
      <c r="DOO52" s="25"/>
      <c r="DOP52" s="26"/>
      <c r="DOQ52" s="26"/>
      <c r="DOR52" s="67"/>
      <c r="DOS52" s="11"/>
      <c r="DOT52" s="11"/>
      <c r="DOU52" s="68"/>
      <c r="DOV52" s="83"/>
      <c r="DOW52" s="83"/>
      <c r="DOX52" s="80"/>
      <c r="DOY52" s="70"/>
      <c r="DOZ52" s="70"/>
      <c r="DPA52" s="25"/>
      <c r="DPB52" s="26"/>
      <c r="DPC52" s="26"/>
      <c r="DPD52" s="67"/>
      <c r="DPE52" s="11"/>
      <c r="DPF52" s="11"/>
      <c r="DPG52" s="68"/>
      <c r="DPH52" s="83"/>
      <c r="DPI52" s="83"/>
      <c r="DPJ52" s="80"/>
      <c r="DPK52" s="70"/>
      <c r="DPL52" s="70"/>
      <c r="DPM52" s="25"/>
      <c r="DPN52" s="26"/>
      <c r="DPO52" s="26"/>
      <c r="DPP52" s="67"/>
      <c r="DPQ52" s="11"/>
      <c r="DPR52" s="11"/>
      <c r="DPS52" s="68"/>
      <c r="DPT52" s="83"/>
      <c r="DPU52" s="83"/>
      <c r="DPV52" s="80"/>
      <c r="DPW52" s="70"/>
      <c r="DPX52" s="70"/>
      <c r="DPY52" s="25"/>
      <c r="DPZ52" s="26"/>
      <c r="DQA52" s="26"/>
      <c r="DQB52" s="67"/>
      <c r="DQC52" s="11"/>
      <c r="DQD52" s="11"/>
      <c r="DQE52" s="68"/>
      <c r="DQF52" s="83"/>
      <c r="DQG52" s="83"/>
      <c r="DQH52" s="80"/>
      <c r="DQI52" s="70"/>
      <c r="DQJ52" s="70"/>
      <c r="DQK52" s="25"/>
      <c r="DQL52" s="26"/>
      <c r="DQM52" s="26"/>
      <c r="DQN52" s="67"/>
      <c r="DQO52" s="11"/>
      <c r="DQP52" s="11"/>
      <c r="DQQ52" s="68"/>
      <c r="DQR52" s="83"/>
      <c r="DQS52" s="83"/>
      <c r="DQT52" s="80"/>
      <c r="DQU52" s="70"/>
      <c r="DQV52" s="70"/>
      <c r="DQW52" s="25"/>
      <c r="DQX52" s="26"/>
      <c r="DQY52" s="26"/>
      <c r="DQZ52" s="67"/>
      <c r="DRA52" s="11"/>
      <c r="DRB52" s="11"/>
      <c r="DRC52" s="68"/>
      <c r="DRD52" s="83"/>
      <c r="DRE52" s="83"/>
      <c r="DRF52" s="80"/>
      <c r="DRG52" s="70"/>
      <c r="DRH52" s="70"/>
      <c r="DRI52" s="25"/>
      <c r="DRJ52" s="26"/>
      <c r="DRK52" s="26"/>
      <c r="DRL52" s="67"/>
      <c r="DRM52" s="11"/>
      <c r="DRN52" s="11"/>
      <c r="DRO52" s="68"/>
      <c r="DRP52" s="83"/>
      <c r="DRQ52" s="83"/>
      <c r="DRR52" s="80"/>
      <c r="DRS52" s="70"/>
      <c r="DRT52" s="70"/>
      <c r="DRU52" s="25"/>
      <c r="DRV52" s="26"/>
      <c r="DRW52" s="26"/>
      <c r="DRX52" s="67"/>
      <c r="DRY52" s="11"/>
      <c r="DRZ52" s="11"/>
      <c r="DSA52" s="68"/>
      <c r="DSB52" s="83"/>
      <c r="DSC52" s="83"/>
      <c r="DSD52" s="80"/>
      <c r="DSE52" s="70"/>
      <c r="DSF52" s="70"/>
      <c r="DSG52" s="25"/>
      <c r="DSH52" s="26"/>
      <c r="DSI52" s="26"/>
      <c r="DSJ52" s="67"/>
      <c r="DSK52" s="11"/>
      <c r="DSL52" s="11"/>
      <c r="DSM52" s="68"/>
      <c r="DSN52" s="83"/>
      <c r="DSO52" s="83"/>
      <c r="DSP52" s="80"/>
      <c r="DSQ52" s="70"/>
      <c r="DSR52" s="70"/>
      <c r="DSS52" s="25"/>
      <c r="DST52" s="26"/>
      <c r="DSU52" s="26"/>
      <c r="DSV52" s="67"/>
      <c r="DSW52" s="11"/>
      <c r="DSX52" s="11"/>
      <c r="DSY52" s="68"/>
      <c r="DSZ52" s="83"/>
      <c r="DTA52" s="83"/>
      <c r="DTB52" s="80"/>
      <c r="DTC52" s="70"/>
      <c r="DTD52" s="70"/>
      <c r="DTE52" s="25"/>
      <c r="DTF52" s="26"/>
      <c r="DTG52" s="26"/>
      <c r="DTH52" s="67"/>
      <c r="DTI52" s="11"/>
      <c r="DTJ52" s="11"/>
      <c r="DTK52" s="68"/>
      <c r="DTL52" s="83"/>
      <c r="DTM52" s="83"/>
      <c r="DTN52" s="80"/>
      <c r="DTO52" s="70"/>
      <c r="DTP52" s="70"/>
      <c r="DTQ52" s="25"/>
      <c r="DTR52" s="26"/>
      <c r="DTS52" s="26"/>
      <c r="DTT52" s="67"/>
      <c r="DTU52" s="11"/>
      <c r="DTV52" s="11"/>
      <c r="DTW52" s="68"/>
      <c r="DTX52" s="83"/>
      <c r="DTY52" s="83"/>
      <c r="DTZ52" s="80"/>
      <c r="DUA52" s="70"/>
      <c r="DUB52" s="70"/>
      <c r="DUC52" s="25"/>
      <c r="DUD52" s="26"/>
      <c r="DUE52" s="26"/>
      <c r="DUF52" s="67"/>
      <c r="DUG52" s="11"/>
      <c r="DUH52" s="11"/>
      <c r="DUI52" s="68"/>
      <c r="DUJ52" s="83"/>
      <c r="DUK52" s="83"/>
      <c r="DUL52" s="80"/>
      <c r="DUM52" s="70"/>
      <c r="DUN52" s="70"/>
      <c r="DUO52" s="25"/>
      <c r="DUP52" s="26"/>
      <c r="DUQ52" s="26"/>
      <c r="DUR52" s="67"/>
      <c r="DUS52" s="11"/>
      <c r="DUT52" s="11"/>
      <c r="DUU52" s="68"/>
      <c r="DUV52" s="83"/>
      <c r="DUW52" s="83"/>
      <c r="DUX52" s="80"/>
      <c r="DUY52" s="70"/>
      <c r="DUZ52" s="70"/>
      <c r="DVA52" s="25"/>
      <c r="DVB52" s="26"/>
      <c r="DVC52" s="26"/>
      <c r="DVD52" s="67"/>
      <c r="DVE52" s="11"/>
      <c r="DVF52" s="11"/>
      <c r="DVG52" s="68"/>
      <c r="DVH52" s="83"/>
      <c r="DVI52" s="83"/>
      <c r="DVJ52" s="80"/>
      <c r="DVK52" s="70"/>
      <c r="DVL52" s="70"/>
      <c r="DVM52" s="25"/>
      <c r="DVN52" s="26"/>
      <c r="DVO52" s="26"/>
      <c r="DVP52" s="67"/>
      <c r="DVQ52" s="11"/>
      <c r="DVR52" s="11"/>
      <c r="DVS52" s="68"/>
      <c r="DVT52" s="83"/>
      <c r="DVU52" s="83"/>
      <c r="DVV52" s="80"/>
      <c r="DVW52" s="70"/>
      <c r="DVX52" s="70"/>
      <c r="DVY52" s="25"/>
      <c r="DVZ52" s="26"/>
      <c r="DWA52" s="26"/>
      <c r="DWB52" s="67"/>
      <c r="DWC52" s="11"/>
      <c r="DWD52" s="11"/>
      <c r="DWE52" s="68"/>
      <c r="DWF52" s="83"/>
      <c r="DWG52" s="83"/>
      <c r="DWH52" s="80"/>
      <c r="DWI52" s="70"/>
      <c r="DWJ52" s="70"/>
      <c r="DWK52" s="25"/>
      <c r="DWL52" s="26"/>
      <c r="DWM52" s="26"/>
      <c r="DWN52" s="67"/>
      <c r="DWO52" s="11"/>
      <c r="DWP52" s="11"/>
      <c r="DWQ52" s="68"/>
      <c r="DWR52" s="83"/>
      <c r="DWS52" s="83"/>
      <c r="DWT52" s="80"/>
      <c r="DWU52" s="70"/>
      <c r="DWV52" s="70"/>
      <c r="DWW52" s="25"/>
      <c r="DWX52" s="26"/>
      <c r="DWY52" s="26"/>
      <c r="DWZ52" s="67"/>
      <c r="DXA52" s="11"/>
      <c r="DXB52" s="11"/>
      <c r="DXC52" s="68"/>
      <c r="DXD52" s="83"/>
      <c r="DXE52" s="83"/>
      <c r="DXF52" s="80"/>
      <c r="DXG52" s="70"/>
      <c r="DXH52" s="70"/>
      <c r="DXI52" s="25"/>
      <c r="DXJ52" s="26"/>
      <c r="DXK52" s="26"/>
      <c r="DXL52" s="67"/>
      <c r="DXM52" s="11"/>
      <c r="DXN52" s="11"/>
      <c r="DXO52" s="68"/>
      <c r="DXP52" s="83"/>
      <c r="DXQ52" s="83"/>
      <c r="DXR52" s="80"/>
      <c r="DXS52" s="70"/>
      <c r="DXT52" s="70"/>
      <c r="DXU52" s="25"/>
      <c r="DXV52" s="26"/>
      <c r="DXW52" s="26"/>
      <c r="DXX52" s="67"/>
      <c r="DXY52" s="11"/>
      <c r="DXZ52" s="11"/>
      <c r="DYA52" s="68"/>
      <c r="DYB52" s="83"/>
      <c r="DYC52" s="83"/>
      <c r="DYD52" s="80"/>
      <c r="DYE52" s="70"/>
      <c r="DYF52" s="70"/>
      <c r="DYG52" s="25"/>
      <c r="DYH52" s="26"/>
      <c r="DYI52" s="26"/>
      <c r="DYJ52" s="67"/>
      <c r="DYK52" s="11"/>
      <c r="DYL52" s="11"/>
      <c r="DYM52" s="68"/>
      <c r="DYN52" s="83"/>
      <c r="DYO52" s="83"/>
      <c r="DYP52" s="80"/>
      <c r="DYQ52" s="70"/>
      <c r="DYR52" s="70"/>
      <c r="DYS52" s="25"/>
      <c r="DYT52" s="26"/>
      <c r="DYU52" s="26"/>
      <c r="DYV52" s="67"/>
      <c r="DYW52" s="11"/>
      <c r="DYX52" s="11"/>
      <c r="DYY52" s="68"/>
      <c r="DYZ52" s="83"/>
      <c r="DZA52" s="83"/>
      <c r="DZB52" s="80"/>
      <c r="DZC52" s="70"/>
      <c r="DZD52" s="70"/>
      <c r="DZE52" s="25"/>
      <c r="DZF52" s="26"/>
      <c r="DZG52" s="26"/>
      <c r="DZH52" s="67"/>
      <c r="DZI52" s="11"/>
      <c r="DZJ52" s="11"/>
      <c r="DZK52" s="68"/>
      <c r="DZL52" s="83"/>
      <c r="DZM52" s="83"/>
      <c r="DZN52" s="80"/>
      <c r="DZO52" s="70"/>
      <c r="DZP52" s="70"/>
      <c r="DZQ52" s="25"/>
      <c r="DZR52" s="26"/>
      <c r="DZS52" s="26"/>
      <c r="DZT52" s="67"/>
      <c r="DZU52" s="11"/>
      <c r="DZV52" s="11"/>
      <c r="DZW52" s="68"/>
      <c r="DZX52" s="83"/>
      <c r="DZY52" s="83"/>
      <c r="DZZ52" s="80"/>
      <c r="EAA52" s="70"/>
      <c r="EAB52" s="70"/>
      <c r="EAC52" s="25"/>
      <c r="EAD52" s="26"/>
      <c r="EAE52" s="26"/>
      <c r="EAF52" s="67"/>
      <c r="EAG52" s="11"/>
      <c r="EAH52" s="11"/>
      <c r="EAI52" s="68"/>
      <c r="EAJ52" s="83"/>
      <c r="EAK52" s="83"/>
      <c r="EAL52" s="80"/>
      <c r="EAM52" s="70"/>
      <c r="EAN52" s="70"/>
      <c r="EAO52" s="25"/>
      <c r="EAP52" s="26"/>
      <c r="EAQ52" s="26"/>
      <c r="EAR52" s="67"/>
      <c r="EAS52" s="11"/>
      <c r="EAT52" s="11"/>
      <c r="EAU52" s="68"/>
      <c r="EAV52" s="83"/>
      <c r="EAW52" s="83"/>
      <c r="EAX52" s="80"/>
      <c r="EAY52" s="70"/>
      <c r="EAZ52" s="70"/>
      <c r="EBA52" s="25"/>
      <c r="EBB52" s="26"/>
      <c r="EBC52" s="26"/>
      <c r="EBD52" s="67"/>
      <c r="EBE52" s="11"/>
      <c r="EBF52" s="11"/>
      <c r="EBG52" s="68"/>
      <c r="EBH52" s="83"/>
      <c r="EBI52" s="83"/>
      <c r="EBJ52" s="80"/>
      <c r="EBK52" s="70"/>
      <c r="EBL52" s="70"/>
      <c r="EBM52" s="25"/>
      <c r="EBN52" s="26"/>
      <c r="EBO52" s="26"/>
      <c r="EBP52" s="67"/>
      <c r="EBQ52" s="11"/>
      <c r="EBR52" s="11"/>
      <c r="EBS52" s="68"/>
      <c r="EBT52" s="83"/>
      <c r="EBU52" s="83"/>
      <c r="EBV52" s="80"/>
      <c r="EBW52" s="70"/>
      <c r="EBX52" s="70"/>
      <c r="EBY52" s="25"/>
      <c r="EBZ52" s="26"/>
      <c r="ECA52" s="26"/>
      <c r="ECB52" s="67"/>
      <c r="ECC52" s="11"/>
      <c r="ECD52" s="11"/>
      <c r="ECE52" s="68"/>
      <c r="ECF52" s="83"/>
      <c r="ECG52" s="83"/>
      <c r="ECH52" s="80"/>
      <c r="ECI52" s="70"/>
      <c r="ECJ52" s="70"/>
      <c r="ECK52" s="25"/>
      <c r="ECL52" s="26"/>
      <c r="ECM52" s="26"/>
      <c r="ECN52" s="67"/>
      <c r="ECO52" s="11"/>
      <c r="ECP52" s="11"/>
      <c r="ECQ52" s="68"/>
      <c r="ECR52" s="83"/>
      <c r="ECS52" s="83"/>
      <c r="ECT52" s="80"/>
      <c r="ECU52" s="70"/>
      <c r="ECV52" s="70"/>
      <c r="ECW52" s="25"/>
      <c r="ECX52" s="26"/>
      <c r="ECY52" s="26"/>
      <c r="ECZ52" s="67"/>
      <c r="EDA52" s="11"/>
      <c r="EDB52" s="11"/>
      <c r="EDC52" s="68"/>
      <c r="EDD52" s="83"/>
      <c r="EDE52" s="83"/>
      <c r="EDF52" s="80"/>
      <c r="EDG52" s="70"/>
      <c r="EDH52" s="70"/>
      <c r="EDI52" s="25"/>
      <c r="EDJ52" s="26"/>
      <c r="EDK52" s="26"/>
      <c r="EDL52" s="67"/>
      <c r="EDM52" s="11"/>
      <c r="EDN52" s="11"/>
      <c r="EDO52" s="68"/>
      <c r="EDP52" s="83"/>
      <c r="EDQ52" s="83"/>
      <c r="EDR52" s="80"/>
      <c r="EDS52" s="70"/>
      <c r="EDT52" s="70"/>
      <c r="EDU52" s="25"/>
      <c r="EDV52" s="26"/>
      <c r="EDW52" s="26"/>
      <c r="EDX52" s="67"/>
      <c r="EDY52" s="11"/>
      <c r="EDZ52" s="11"/>
      <c r="EEA52" s="68"/>
      <c r="EEB52" s="83"/>
      <c r="EEC52" s="83"/>
      <c r="EED52" s="80"/>
      <c r="EEE52" s="70"/>
      <c r="EEF52" s="70"/>
      <c r="EEG52" s="25"/>
      <c r="EEH52" s="26"/>
      <c r="EEI52" s="26"/>
      <c r="EEJ52" s="67"/>
      <c r="EEK52" s="11"/>
      <c r="EEL52" s="11"/>
      <c r="EEM52" s="68"/>
      <c r="EEN52" s="83"/>
      <c r="EEO52" s="83"/>
      <c r="EEP52" s="80"/>
      <c r="EEQ52" s="70"/>
      <c r="EER52" s="70"/>
      <c r="EES52" s="25"/>
      <c r="EET52" s="26"/>
      <c r="EEU52" s="26"/>
      <c r="EEV52" s="67"/>
      <c r="EEW52" s="11"/>
      <c r="EEX52" s="11"/>
      <c r="EEY52" s="68"/>
      <c r="EEZ52" s="83"/>
      <c r="EFA52" s="83"/>
      <c r="EFB52" s="80"/>
      <c r="EFC52" s="70"/>
      <c r="EFD52" s="70"/>
      <c r="EFE52" s="25"/>
      <c r="EFF52" s="26"/>
      <c r="EFG52" s="26"/>
      <c r="EFH52" s="67"/>
      <c r="EFI52" s="11"/>
      <c r="EFJ52" s="11"/>
      <c r="EFK52" s="68"/>
      <c r="EFL52" s="83"/>
      <c r="EFM52" s="83"/>
      <c r="EFN52" s="80"/>
      <c r="EFO52" s="70"/>
      <c r="EFP52" s="70"/>
      <c r="EFQ52" s="25"/>
      <c r="EFR52" s="26"/>
      <c r="EFS52" s="26"/>
      <c r="EFT52" s="67"/>
      <c r="EFU52" s="11"/>
      <c r="EFV52" s="11"/>
      <c r="EFW52" s="68"/>
      <c r="EFX52" s="83"/>
      <c r="EFY52" s="83"/>
      <c r="EFZ52" s="80"/>
      <c r="EGA52" s="70"/>
      <c r="EGB52" s="70"/>
      <c r="EGC52" s="25"/>
      <c r="EGD52" s="26"/>
      <c r="EGE52" s="26"/>
      <c r="EGF52" s="67"/>
      <c r="EGG52" s="11"/>
      <c r="EGH52" s="11"/>
      <c r="EGI52" s="68"/>
      <c r="EGJ52" s="83"/>
      <c r="EGK52" s="83"/>
      <c r="EGL52" s="80"/>
      <c r="EGM52" s="70"/>
      <c r="EGN52" s="70"/>
      <c r="EGO52" s="25"/>
      <c r="EGP52" s="26"/>
      <c r="EGQ52" s="26"/>
      <c r="EGR52" s="67"/>
      <c r="EGS52" s="11"/>
      <c r="EGT52" s="11"/>
      <c r="EGU52" s="68"/>
      <c r="EGV52" s="83"/>
      <c r="EGW52" s="83"/>
      <c r="EGX52" s="80"/>
      <c r="EGY52" s="70"/>
      <c r="EGZ52" s="70"/>
      <c r="EHA52" s="25"/>
      <c r="EHB52" s="26"/>
      <c r="EHC52" s="26"/>
      <c r="EHD52" s="67"/>
      <c r="EHE52" s="11"/>
      <c r="EHF52" s="11"/>
      <c r="EHG52" s="68"/>
      <c r="EHH52" s="83"/>
      <c r="EHI52" s="83"/>
      <c r="EHJ52" s="80"/>
      <c r="EHK52" s="70"/>
      <c r="EHL52" s="70"/>
      <c r="EHM52" s="25"/>
      <c r="EHN52" s="26"/>
      <c r="EHO52" s="26"/>
      <c r="EHP52" s="67"/>
      <c r="EHQ52" s="11"/>
      <c r="EHR52" s="11"/>
      <c r="EHS52" s="68"/>
      <c r="EHT52" s="83"/>
      <c r="EHU52" s="83"/>
      <c r="EHV52" s="80"/>
      <c r="EHW52" s="70"/>
      <c r="EHX52" s="70"/>
      <c r="EHY52" s="25"/>
      <c r="EHZ52" s="26"/>
      <c r="EIA52" s="26"/>
      <c r="EIB52" s="67"/>
      <c r="EIC52" s="11"/>
      <c r="EID52" s="11"/>
      <c r="EIE52" s="68"/>
      <c r="EIF52" s="83"/>
      <c r="EIG52" s="83"/>
      <c r="EIH52" s="80"/>
      <c r="EII52" s="70"/>
      <c r="EIJ52" s="70"/>
      <c r="EIK52" s="25"/>
      <c r="EIL52" s="26"/>
      <c r="EIM52" s="26"/>
      <c r="EIN52" s="67"/>
      <c r="EIO52" s="11"/>
      <c r="EIP52" s="11"/>
      <c r="EIQ52" s="68"/>
      <c r="EIR52" s="83"/>
      <c r="EIS52" s="83"/>
      <c r="EIT52" s="80"/>
      <c r="EIU52" s="70"/>
      <c r="EIV52" s="70"/>
      <c r="EIW52" s="25"/>
      <c r="EIX52" s="26"/>
      <c r="EIY52" s="26"/>
      <c r="EIZ52" s="67"/>
      <c r="EJA52" s="11"/>
      <c r="EJB52" s="11"/>
      <c r="EJC52" s="68"/>
      <c r="EJD52" s="83"/>
      <c r="EJE52" s="83"/>
      <c r="EJF52" s="80"/>
      <c r="EJG52" s="70"/>
      <c r="EJH52" s="70"/>
      <c r="EJI52" s="25"/>
      <c r="EJJ52" s="26"/>
      <c r="EJK52" s="26"/>
      <c r="EJL52" s="67"/>
      <c r="EJM52" s="11"/>
      <c r="EJN52" s="11"/>
      <c r="EJO52" s="68"/>
      <c r="EJP52" s="83"/>
      <c r="EJQ52" s="83"/>
      <c r="EJR52" s="80"/>
      <c r="EJS52" s="70"/>
      <c r="EJT52" s="70"/>
      <c r="EJU52" s="25"/>
      <c r="EJV52" s="26"/>
      <c r="EJW52" s="26"/>
      <c r="EJX52" s="67"/>
      <c r="EJY52" s="11"/>
      <c r="EJZ52" s="11"/>
      <c r="EKA52" s="68"/>
      <c r="EKB52" s="83"/>
      <c r="EKC52" s="83"/>
      <c r="EKD52" s="80"/>
      <c r="EKE52" s="70"/>
      <c r="EKF52" s="70"/>
      <c r="EKG52" s="25"/>
      <c r="EKH52" s="26"/>
      <c r="EKI52" s="26"/>
      <c r="EKJ52" s="67"/>
      <c r="EKK52" s="11"/>
      <c r="EKL52" s="11"/>
      <c r="EKM52" s="68"/>
      <c r="EKN52" s="83"/>
      <c r="EKO52" s="83"/>
      <c r="EKP52" s="80"/>
      <c r="EKQ52" s="70"/>
      <c r="EKR52" s="70"/>
      <c r="EKS52" s="25"/>
      <c r="EKT52" s="26"/>
      <c r="EKU52" s="26"/>
      <c r="EKV52" s="67"/>
      <c r="EKW52" s="11"/>
      <c r="EKX52" s="11"/>
      <c r="EKY52" s="68"/>
      <c r="EKZ52" s="83"/>
      <c r="ELA52" s="83"/>
      <c r="ELB52" s="80"/>
      <c r="ELC52" s="70"/>
      <c r="ELD52" s="70"/>
      <c r="ELE52" s="25"/>
      <c r="ELF52" s="26"/>
      <c r="ELG52" s="26"/>
      <c r="ELH52" s="67"/>
      <c r="ELI52" s="11"/>
      <c r="ELJ52" s="11"/>
      <c r="ELK52" s="68"/>
      <c r="ELL52" s="83"/>
      <c r="ELM52" s="83"/>
      <c r="ELN52" s="80"/>
      <c r="ELO52" s="70"/>
      <c r="ELP52" s="70"/>
      <c r="ELQ52" s="25"/>
      <c r="ELR52" s="26"/>
      <c r="ELS52" s="26"/>
      <c r="ELT52" s="67"/>
      <c r="ELU52" s="11"/>
      <c r="ELV52" s="11"/>
      <c r="ELW52" s="68"/>
      <c r="ELX52" s="83"/>
      <c r="ELY52" s="83"/>
      <c r="ELZ52" s="80"/>
      <c r="EMA52" s="70"/>
      <c r="EMB52" s="70"/>
      <c r="EMC52" s="25"/>
      <c r="EMD52" s="26"/>
      <c r="EME52" s="26"/>
      <c r="EMF52" s="67"/>
      <c r="EMG52" s="11"/>
      <c r="EMH52" s="11"/>
      <c r="EMI52" s="68"/>
      <c r="EMJ52" s="83"/>
      <c r="EMK52" s="83"/>
      <c r="EML52" s="80"/>
      <c r="EMM52" s="70"/>
      <c r="EMN52" s="70"/>
      <c r="EMO52" s="25"/>
      <c r="EMP52" s="26"/>
      <c r="EMQ52" s="26"/>
      <c r="EMR52" s="67"/>
      <c r="EMS52" s="11"/>
      <c r="EMT52" s="11"/>
      <c r="EMU52" s="68"/>
      <c r="EMV52" s="83"/>
      <c r="EMW52" s="83"/>
      <c r="EMX52" s="80"/>
      <c r="EMY52" s="70"/>
      <c r="EMZ52" s="70"/>
      <c r="ENA52" s="25"/>
      <c r="ENB52" s="26"/>
      <c r="ENC52" s="26"/>
      <c r="END52" s="67"/>
      <c r="ENE52" s="11"/>
      <c r="ENF52" s="11"/>
      <c r="ENG52" s="68"/>
      <c r="ENH52" s="83"/>
      <c r="ENI52" s="83"/>
      <c r="ENJ52" s="80"/>
      <c r="ENK52" s="70"/>
      <c r="ENL52" s="70"/>
      <c r="ENM52" s="25"/>
      <c r="ENN52" s="26"/>
      <c r="ENO52" s="26"/>
      <c r="ENP52" s="67"/>
      <c r="ENQ52" s="11"/>
      <c r="ENR52" s="11"/>
      <c r="ENS52" s="68"/>
      <c r="ENT52" s="83"/>
      <c r="ENU52" s="83"/>
      <c r="ENV52" s="80"/>
      <c r="ENW52" s="70"/>
      <c r="ENX52" s="70"/>
      <c r="ENY52" s="25"/>
      <c r="ENZ52" s="26"/>
      <c r="EOA52" s="26"/>
      <c r="EOB52" s="67"/>
      <c r="EOC52" s="11"/>
      <c r="EOD52" s="11"/>
      <c r="EOE52" s="68"/>
      <c r="EOF52" s="83"/>
      <c r="EOG52" s="83"/>
      <c r="EOH52" s="80"/>
      <c r="EOI52" s="70"/>
      <c r="EOJ52" s="70"/>
      <c r="EOK52" s="25"/>
      <c r="EOL52" s="26"/>
      <c r="EOM52" s="26"/>
      <c r="EON52" s="67"/>
      <c r="EOO52" s="11"/>
      <c r="EOP52" s="11"/>
      <c r="EOQ52" s="68"/>
      <c r="EOR52" s="83"/>
      <c r="EOS52" s="83"/>
      <c r="EOT52" s="80"/>
      <c r="EOU52" s="70"/>
      <c r="EOV52" s="70"/>
      <c r="EOW52" s="25"/>
      <c r="EOX52" s="26"/>
      <c r="EOY52" s="26"/>
      <c r="EOZ52" s="67"/>
      <c r="EPA52" s="11"/>
      <c r="EPB52" s="11"/>
      <c r="EPC52" s="68"/>
      <c r="EPD52" s="83"/>
      <c r="EPE52" s="83"/>
      <c r="EPF52" s="80"/>
      <c r="EPG52" s="70"/>
      <c r="EPH52" s="70"/>
      <c r="EPI52" s="25"/>
      <c r="EPJ52" s="26"/>
      <c r="EPK52" s="26"/>
      <c r="EPL52" s="67"/>
      <c r="EPM52" s="11"/>
      <c r="EPN52" s="11"/>
      <c r="EPO52" s="68"/>
      <c r="EPP52" s="83"/>
      <c r="EPQ52" s="83"/>
      <c r="EPR52" s="80"/>
      <c r="EPS52" s="70"/>
      <c r="EPT52" s="70"/>
      <c r="EPU52" s="25"/>
      <c r="EPV52" s="26"/>
      <c r="EPW52" s="26"/>
      <c r="EPX52" s="67"/>
      <c r="EPY52" s="11"/>
      <c r="EPZ52" s="11"/>
      <c r="EQA52" s="68"/>
      <c r="EQB52" s="83"/>
      <c r="EQC52" s="83"/>
      <c r="EQD52" s="80"/>
      <c r="EQE52" s="70"/>
      <c r="EQF52" s="70"/>
      <c r="EQG52" s="25"/>
      <c r="EQH52" s="26"/>
      <c r="EQI52" s="26"/>
      <c r="EQJ52" s="67"/>
      <c r="EQK52" s="11"/>
      <c r="EQL52" s="11"/>
      <c r="EQM52" s="68"/>
      <c r="EQN52" s="83"/>
      <c r="EQO52" s="83"/>
      <c r="EQP52" s="80"/>
      <c r="EQQ52" s="70"/>
      <c r="EQR52" s="70"/>
      <c r="EQS52" s="25"/>
      <c r="EQT52" s="26"/>
      <c r="EQU52" s="26"/>
      <c r="EQV52" s="67"/>
      <c r="EQW52" s="11"/>
      <c r="EQX52" s="11"/>
      <c r="EQY52" s="68"/>
      <c r="EQZ52" s="83"/>
      <c r="ERA52" s="83"/>
      <c r="ERB52" s="80"/>
      <c r="ERC52" s="70"/>
      <c r="ERD52" s="70"/>
      <c r="ERE52" s="25"/>
      <c r="ERF52" s="26"/>
      <c r="ERG52" s="26"/>
      <c r="ERH52" s="67"/>
      <c r="ERI52" s="11"/>
      <c r="ERJ52" s="11"/>
      <c r="ERK52" s="68"/>
      <c r="ERL52" s="83"/>
      <c r="ERM52" s="83"/>
      <c r="ERN52" s="80"/>
      <c r="ERO52" s="70"/>
      <c r="ERP52" s="70"/>
      <c r="ERQ52" s="25"/>
      <c r="ERR52" s="26"/>
      <c r="ERS52" s="26"/>
      <c r="ERT52" s="67"/>
      <c r="ERU52" s="11"/>
      <c r="ERV52" s="11"/>
      <c r="ERW52" s="68"/>
      <c r="ERX52" s="83"/>
      <c r="ERY52" s="83"/>
      <c r="ERZ52" s="80"/>
      <c r="ESA52" s="70"/>
      <c r="ESB52" s="70"/>
      <c r="ESC52" s="25"/>
      <c r="ESD52" s="26"/>
      <c r="ESE52" s="26"/>
      <c r="ESF52" s="67"/>
      <c r="ESG52" s="11"/>
      <c r="ESH52" s="11"/>
      <c r="ESI52" s="68"/>
      <c r="ESJ52" s="83"/>
      <c r="ESK52" s="83"/>
      <c r="ESL52" s="80"/>
      <c r="ESM52" s="70"/>
      <c r="ESN52" s="70"/>
      <c r="ESO52" s="25"/>
      <c r="ESP52" s="26"/>
      <c r="ESQ52" s="26"/>
      <c r="ESR52" s="67"/>
      <c r="ESS52" s="11"/>
      <c r="EST52" s="11"/>
      <c r="ESU52" s="68"/>
      <c r="ESV52" s="83"/>
      <c r="ESW52" s="83"/>
      <c r="ESX52" s="80"/>
      <c r="ESY52" s="70"/>
      <c r="ESZ52" s="70"/>
      <c r="ETA52" s="25"/>
      <c r="ETB52" s="26"/>
      <c r="ETC52" s="26"/>
      <c r="ETD52" s="67"/>
      <c r="ETE52" s="11"/>
      <c r="ETF52" s="11"/>
      <c r="ETG52" s="68"/>
      <c r="ETH52" s="83"/>
      <c r="ETI52" s="83"/>
      <c r="ETJ52" s="80"/>
      <c r="ETK52" s="70"/>
      <c r="ETL52" s="70"/>
      <c r="ETM52" s="25"/>
      <c r="ETN52" s="26"/>
      <c r="ETO52" s="26"/>
      <c r="ETP52" s="67"/>
      <c r="ETQ52" s="11"/>
      <c r="ETR52" s="11"/>
      <c r="ETS52" s="68"/>
      <c r="ETT52" s="83"/>
      <c r="ETU52" s="83"/>
      <c r="ETV52" s="80"/>
      <c r="ETW52" s="70"/>
      <c r="ETX52" s="70"/>
      <c r="ETY52" s="25"/>
      <c r="ETZ52" s="26"/>
      <c r="EUA52" s="26"/>
      <c r="EUB52" s="67"/>
      <c r="EUC52" s="11"/>
      <c r="EUD52" s="11"/>
      <c r="EUE52" s="68"/>
      <c r="EUF52" s="83"/>
      <c r="EUG52" s="83"/>
      <c r="EUH52" s="80"/>
      <c r="EUI52" s="70"/>
      <c r="EUJ52" s="70"/>
      <c r="EUK52" s="25"/>
      <c r="EUL52" s="26"/>
      <c r="EUM52" s="26"/>
      <c r="EUN52" s="67"/>
      <c r="EUO52" s="11"/>
      <c r="EUP52" s="11"/>
      <c r="EUQ52" s="68"/>
      <c r="EUR52" s="83"/>
      <c r="EUS52" s="83"/>
      <c r="EUT52" s="80"/>
      <c r="EUU52" s="70"/>
      <c r="EUV52" s="70"/>
      <c r="EUW52" s="25"/>
      <c r="EUX52" s="26"/>
      <c r="EUY52" s="26"/>
      <c r="EUZ52" s="67"/>
      <c r="EVA52" s="11"/>
      <c r="EVB52" s="11"/>
      <c r="EVC52" s="68"/>
      <c r="EVD52" s="83"/>
      <c r="EVE52" s="83"/>
      <c r="EVF52" s="80"/>
      <c r="EVG52" s="70"/>
      <c r="EVH52" s="70"/>
      <c r="EVI52" s="25"/>
      <c r="EVJ52" s="26"/>
      <c r="EVK52" s="26"/>
      <c r="EVL52" s="67"/>
      <c r="EVM52" s="11"/>
      <c r="EVN52" s="11"/>
      <c r="EVO52" s="68"/>
      <c r="EVP52" s="83"/>
      <c r="EVQ52" s="83"/>
      <c r="EVR52" s="80"/>
      <c r="EVS52" s="70"/>
      <c r="EVT52" s="70"/>
      <c r="EVU52" s="25"/>
      <c r="EVV52" s="26"/>
      <c r="EVW52" s="26"/>
      <c r="EVX52" s="67"/>
      <c r="EVY52" s="11"/>
      <c r="EVZ52" s="11"/>
      <c r="EWA52" s="68"/>
      <c r="EWB52" s="83"/>
      <c r="EWC52" s="83"/>
      <c r="EWD52" s="80"/>
      <c r="EWE52" s="70"/>
      <c r="EWF52" s="70"/>
      <c r="EWG52" s="25"/>
      <c r="EWH52" s="26"/>
      <c r="EWI52" s="26"/>
      <c r="EWJ52" s="67"/>
      <c r="EWK52" s="11"/>
      <c r="EWL52" s="11"/>
      <c r="EWM52" s="68"/>
      <c r="EWN52" s="83"/>
      <c r="EWO52" s="83"/>
      <c r="EWP52" s="80"/>
      <c r="EWQ52" s="70"/>
      <c r="EWR52" s="70"/>
      <c r="EWS52" s="25"/>
      <c r="EWT52" s="26"/>
      <c r="EWU52" s="26"/>
      <c r="EWV52" s="67"/>
      <c r="EWW52" s="11"/>
      <c r="EWX52" s="11"/>
      <c r="EWY52" s="68"/>
      <c r="EWZ52" s="83"/>
      <c r="EXA52" s="83"/>
      <c r="EXB52" s="80"/>
      <c r="EXC52" s="70"/>
      <c r="EXD52" s="70"/>
      <c r="EXE52" s="25"/>
      <c r="EXF52" s="26"/>
      <c r="EXG52" s="26"/>
      <c r="EXH52" s="67"/>
      <c r="EXI52" s="11"/>
      <c r="EXJ52" s="11"/>
      <c r="EXK52" s="68"/>
      <c r="EXL52" s="83"/>
      <c r="EXM52" s="83"/>
      <c r="EXN52" s="80"/>
      <c r="EXO52" s="70"/>
      <c r="EXP52" s="70"/>
      <c r="EXQ52" s="25"/>
      <c r="EXR52" s="26"/>
      <c r="EXS52" s="26"/>
      <c r="EXT52" s="67"/>
      <c r="EXU52" s="11"/>
      <c r="EXV52" s="11"/>
      <c r="EXW52" s="68"/>
      <c r="EXX52" s="83"/>
      <c r="EXY52" s="83"/>
      <c r="EXZ52" s="80"/>
      <c r="EYA52" s="70"/>
      <c r="EYB52" s="70"/>
      <c r="EYC52" s="25"/>
      <c r="EYD52" s="26"/>
      <c r="EYE52" s="26"/>
      <c r="EYF52" s="67"/>
      <c r="EYG52" s="11"/>
      <c r="EYH52" s="11"/>
      <c r="EYI52" s="68"/>
      <c r="EYJ52" s="83"/>
      <c r="EYK52" s="83"/>
      <c r="EYL52" s="80"/>
      <c r="EYM52" s="70"/>
      <c r="EYN52" s="70"/>
      <c r="EYO52" s="25"/>
      <c r="EYP52" s="26"/>
      <c r="EYQ52" s="26"/>
      <c r="EYR52" s="67"/>
      <c r="EYS52" s="11"/>
      <c r="EYT52" s="11"/>
      <c r="EYU52" s="68"/>
      <c r="EYV52" s="83"/>
      <c r="EYW52" s="83"/>
      <c r="EYX52" s="80"/>
      <c r="EYY52" s="70"/>
      <c r="EYZ52" s="70"/>
      <c r="EZA52" s="25"/>
      <c r="EZB52" s="26"/>
      <c r="EZC52" s="26"/>
      <c r="EZD52" s="67"/>
      <c r="EZE52" s="11"/>
      <c r="EZF52" s="11"/>
      <c r="EZG52" s="68"/>
      <c r="EZH52" s="83"/>
      <c r="EZI52" s="83"/>
      <c r="EZJ52" s="80"/>
      <c r="EZK52" s="70"/>
      <c r="EZL52" s="70"/>
      <c r="EZM52" s="25"/>
      <c r="EZN52" s="26"/>
      <c r="EZO52" s="26"/>
      <c r="EZP52" s="67"/>
      <c r="EZQ52" s="11"/>
      <c r="EZR52" s="11"/>
      <c r="EZS52" s="68"/>
      <c r="EZT52" s="83"/>
      <c r="EZU52" s="83"/>
      <c r="EZV52" s="80"/>
      <c r="EZW52" s="70"/>
      <c r="EZX52" s="70"/>
      <c r="EZY52" s="25"/>
      <c r="EZZ52" s="26"/>
      <c r="FAA52" s="26"/>
      <c r="FAB52" s="67"/>
      <c r="FAC52" s="11"/>
      <c r="FAD52" s="11"/>
      <c r="FAE52" s="68"/>
      <c r="FAF52" s="83"/>
      <c r="FAG52" s="83"/>
      <c r="FAH52" s="80"/>
      <c r="FAI52" s="70"/>
      <c r="FAJ52" s="70"/>
      <c r="FAK52" s="25"/>
      <c r="FAL52" s="26"/>
      <c r="FAM52" s="26"/>
      <c r="FAN52" s="67"/>
      <c r="FAO52" s="11"/>
      <c r="FAP52" s="11"/>
      <c r="FAQ52" s="68"/>
      <c r="FAR52" s="83"/>
      <c r="FAS52" s="83"/>
      <c r="FAT52" s="80"/>
      <c r="FAU52" s="70"/>
      <c r="FAV52" s="70"/>
      <c r="FAW52" s="25"/>
      <c r="FAX52" s="26"/>
      <c r="FAY52" s="26"/>
      <c r="FAZ52" s="67"/>
      <c r="FBA52" s="11"/>
      <c r="FBB52" s="11"/>
      <c r="FBC52" s="68"/>
      <c r="FBD52" s="83"/>
      <c r="FBE52" s="83"/>
      <c r="FBF52" s="80"/>
      <c r="FBG52" s="70"/>
      <c r="FBH52" s="70"/>
      <c r="FBI52" s="25"/>
      <c r="FBJ52" s="26"/>
      <c r="FBK52" s="26"/>
      <c r="FBL52" s="67"/>
      <c r="FBM52" s="11"/>
      <c r="FBN52" s="11"/>
      <c r="FBO52" s="68"/>
      <c r="FBP52" s="83"/>
      <c r="FBQ52" s="83"/>
      <c r="FBR52" s="80"/>
      <c r="FBS52" s="70"/>
      <c r="FBT52" s="70"/>
      <c r="FBU52" s="25"/>
      <c r="FBV52" s="26"/>
      <c r="FBW52" s="26"/>
      <c r="FBX52" s="67"/>
      <c r="FBY52" s="11"/>
      <c r="FBZ52" s="11"/>
      <c r="FCA52" s="68"/>
      <c r="FCB52" s="83"/>
      <c r="FCC52" s="83"/>
      <c r="FCD52" s="80"/>
      <c r="FCE52" s="70"/>
      <c r="FCF52" s="70"/>
      <c r="FCG52" s="25"/>
      <c r="FCH52" s="26"/>
      <c r="FCI52" s="26"/>
      <c r="FCJ52" s="67"/>
      <c r="FCK52" s="11"/>
      <c r="FCL52" s="11"/>
      <c r="FCM52" s="68"/>
      <c r="FCN52" s="83"/>
      <c r="FCO52" s="83"/>
      <c r="FCP52" s="80"/>
      <c r="FCQ52" s="70"/>
      <c r="FCR52" s="70"/>
      <c r="FCS52" s="25"/>
      <c r="FCT52" s="26"/>
      <c r="FCU52" s="26"/>
      <c r="FCV52" s="67"/>
      <c r="FCW52" s="11"/>
      <c r="FCX52" s="11"/>
      <c r="FCY52" s="68"/>
      <c r="FCZ52" s="83"/>
      <c r="FDA52" s="83"/>
      <c r="FDB52" s="80"/>
      <c r="FDC52" s="70"/>
      <c r="FDD52" s="70"/>
      <c r="FDE52" s="25"/>
      <c r="FDF52" s="26"/>
      <c r="FDG52" s="26"/>
      <c r="FDH52" s="67"/>
      <c r="FDI52" s="11"/>
      <c r="FDJ52" s="11"/>
      <c r="FDK52" s="68"/>
      <c r="FDL52" s="83"/>
      <c r="FDM52" s="83"/>
      <c r="FDN52" s="80"/>
      <c r="FDO52" s="70"/>
      <c r="FDP52" s="70"/>
      <c r="FDQ52" s="25"/>
      <c r="FDR52" s="26"/>
      <c r="FDS52" s="26"/>
      <c r="FDT52" s="67"/>
      <c r="FDU52" s="11"/>
      <c r="FDV52" s="11"/>
      <c r="FDW52" s="68"/>
      <c r="FDX52" s="83"/>
      <c r="FDY52" s="83"/>
      <c r="FDZ52" s="80"/>
      <c r="FEA52" s="70"/>
      <c r="FEB52" s="70"/>
      <c r="FEC52" s="25"/>
      <c r="FED52" s="26"/>
      <c r="FEE52" s="26"/>
      <c r="FEF52" s="67"/>
      <c r="FEG52" s="11"/>
      <c r="FEH52" s="11"/>
      <c r="FEI52" s="68"/>
      <c r="FEJ52" s="83"/>
      <c r="FEK52" s="83"/>
      <c r="FEL52" s="80"/>
      <c r="FEM52" s="70"/>
      <c r="FEN52" s="70"/>
      <c r="FEO52" s="25"/>
      <c r="FEP52" s="26"/>
      <c r="FEQ52" s="26"/>
      <c r="FER52" s="67"/>
      <c r="FES52" s="11"/>
      <c r="FET52" s="11"/>
      <c r="FEU52" s="68"/>
      <c r="FEV52" s="83"/>
      <c r="FEW52" s="83"/>
      <c r="FEX52" s="80"/>
      <c r="FEY52" s="70"/>
      <c r="FEZ52" s="70"/>
      <c r="FFA52" s="25"/>
      <c r="FFB52" s="26"/>
      <c r="FFC52" s="26"/>
      <c r="FFD52" s="67"/>
      <c r="FFE52" s="11"/>
      <c r="FFF52" s="11"/>
      <c r="FFG52" s="68"/>
      <c r="FFH52" s="83"/>
      <c r="FFI52" s="83"/>
      <c r="FFJ52" s="80"/>
      <c r="FFK52" s="70"/>
      <c r="FFL52" s="70"/>
      <c r="FFM52" s="25"/>
      <c r="FFN52" s="26"/>
      <c r="FFO52" s="26"/>
      <c r="FFP52" s="67"/>
      <c r="FFQ52" s="11"/>
      <c r="FFR52" s="11"/>
      <c r="FFS52" s="68"/>
      <c r="FFT52" s="83"/>
      <c r="FFU52" s="83"/>
      <c r="FFV52" s="80"/>
      <c r="FFW52" s="70"/>
      <c r="FFX52" s="70"/>
      <c r="FFY52" s="25"/>
      <c r="FFZ52" s="26"/>
      <c r="FGA52" s="26"/>
      <c r="FGB52" s="67"/>
      <c r="FGC52" s="11"/>
      <c r="FGD52" s="11"/>
      <c r="FGE52" s="68"/>
      <c r="FGF52" s="83"/>
      <c r="FGG52" s="83"/>
      <c r="FGH52" s="80"/>
      <c r="FGI52" s="70"/>
      <c r="FGJ52" s="70"/>
      <c r="FGK52" s="25"/>
      <c r="FGL52" s="26"/>
      <c r="FGM52" s="26"/>
      <c r="FGN52" s="67"/>
      <c r="FGO52" s="11"/>
      <c r="FGP52" s="11"/>
      <c r="FGQ52" s="68"/>
      <c r="FGR52" s="83"/>
      <c r="FGS52" s="83"/>
      <c r="FGT52" s="80"/>
      <c r="FGU52" s="70"/>
      <c r="FGV52" s="70"/>
      <c r="FGW52" s="25"/>
      <c r="FGX52" s="26"/>
      <c r="FGY52" s="26"/>
      <c r="FGZ52" s="67"/>
      <c r="FHA52" s="11"/>
      <c r="FHB52" s="11"/>
      <c r="FHC52" s="68"/>
      <c r="FHD52" s="83"/>
      <c r="FHE52" s="83"/>
      <c r="FHF52" s="80"/>
      <c r="FHG52" s="70"/>
      <c r="FHH52" s="70"/>
      <c r="FHI52" s="25"/>
      <c r="FHJ52" s="26"/>
      <c r="FHK52" s="26"/>
      <c r="FHL52" s="67"/>
      <c r="FHM52" s="11"/>
      <c r="FHN52" s="11"/>
      <c r="FHO52" s="68"/>
      <c r="FHP52" s="83"/>
      <c r="FHQ52" s="83"/>
      <c r="FHR52" s="80"/>
      <c r="FHS52" s="70"/>
      <c r="FHT52" s="70"/>
      <c r="FHU52" s="25"/>
      <c r="FHV52" s="26"/>
      <c r="FHW52" s="26"/>
      <c r="FHX52" s="67"/>
      <c r="FHY52" s="11"/>
      <c r="FHZ52" s="11"/>
      <c r="FIA52" s="68"/>
      <c r="FIB52" s="83"/>
      <c r="FIC52" s="83"/>
      <c r="FID52" s="80"/>
      <c r="FIE52" s="70"/>
      <c r="FIF52" s="70"/>
      <c r="FIG52" s="25"/>
      <c r="FIH52" s="26"/>
      <c r="FII52" s="26"/>
      <c r="FIJ52" s="67"/>
      <c r="FIK52" s="11"/>
      <c r="FIL52" s="11"/>
      <c r="FIM52" s="68"/>
      <c r="FIN52" s="83"/>
      <c r="FIO52" s="83"/>
      <c r="FIP52" s="80"/>
      <c r="FIQ52" s="70"/>
      <c r="FIR52" s="70"/>
      <c r="FIS52" s="25"/>
      <c r="FIT52" s="26"/>
      <c r="FIU52" s="26"/>
      <c r="FIV52" s="67"/>
      <c r="FIW52" s="11"/>
      <c r="FIX52" s="11"/>
      <c r="FIY52" s="68"/>
      <c r="FIZ52" s="83"/>
      <c r="FJA52" s="83"/>
      <c r="FJB52" s="80"/>
      <c r="FJC52" s="70"/>
      <c r="FJD52" s="70"/>
      <c r="FJE52" s="25"/>
      <c r="FJF52" s="26"/>
      <c r="FJG52" s="26"/>
      <c r="FJH52" s="67"/>
      <c r="FJI52" s="11"/>
      <c r="FJJ52" s="11"/>
      <c r="FJK52" s="68"/>
      <c r="FJL52" s="83"/>
      <c r="FJM52" s="83"/>
      <c r="FJN52" s="80"/>
      <c r="FJO52" s="70"/>
      <c r="FJP52" s="70"/>
      <c r="FJQ52" s="25"/>
      <c r="FJR52" s="26"/>
      <c r="FJS52" s="26"/>
      <c r="FJT52" s="67"/>
      <c r="FJU52" s="11"/>
      <c r="FJV52" s="11"/>
      <c r="FJW52" s="68"/>
      <c r="FJX52" s="83"/>
      <c r="FJY52" s="83"/>
      <c r="FJZ52" s="80"/>
      <c r="FKA52" s="70"/>
      <c r="FKB52" s="70"/>
      <c r="FKC52" s="25"/>
      <c r="FKD52" s="26"/>
      <c r="FKE52" s="26"/>
      <c r="FKF52" s="67"/>
      <c r="FKG52" s="11"/>
      <c r="FKH52" s="11"/>
      <c r="FKI52" s="68"/>
      <c r="FKJ52" s="83"/>
      <c r="FKK52" s="83"/>
      <c r="FKL52" s="80"/>
      <c r="FKM52" s="70"/>
      <c r="FKN52" s="70"/>
      <c r="FKO52" s="25"/>
      <c r="FKP52" s="26"/>
      <c r="FKQ52" s="26"/>
      <c r="FKR52" s="67"/>
      <c r="FKS52" s="11"/>
      <c r="FKT52" s="11"/>
      <c r="FKU52" s="68"/>
      <c r="FKV52" s="83"/>
      <c r="FKW52" s="83"/>
      <c r="FKX52" s="80"/>
      <c r="FKY52" s="70"/>
      <c r="FKZ52" s="70"/>
      <c r="FLA52" s="25"/>
      <c r="FLB52" s="26"/>
      <c r="FLC52" s="26"/>
      <c r="FLD52" s="67"/>
      <c r="FLE52" s="11"/>
      <c r="FLF52" s="11"/>
      <c r="FLG52" s="68"/>
      <c r="FLH52" s="83"/>
      <c r="FLI52" s="83"/>
      <c r="FLJ52" s="80"/>
      <c r="FLK52" s="70"/>
      <c r="FLL52" s="70"/>
      <c r="FLM52" s="25"/>
      <c r="FLN52" s="26"/>
      <c r="FLO52" s="26"/>
      <c r="FLP52" s="67"/>
      <c r="FLQ52" s="11"/>
      <c r="FLR52" s="11"/>
      <c r="FLS52" s="68"/>
      <c r="FLT52" s="83"/>
      <c r="FLU52" s="83"/>
      <c r="FLV52" s="80"/>
      <c r="FLW52" s="70"/>
      <c r="FLX52" s="70"/>
      <c r="FLY52" s="25"/>
      <c r="FLZ52" s="26"/>
      <c r="FMA52" s="26"/>
      <c r="FMB52" s="67"/>
      <c r="FMC52" s="11"/>
      <c r="FMD52" s="11"/>
      <c r="FME52" s="68"/>
      <c r="FMF52" s="83"/>
      <c r="FMG52" s="83"/>
      <c r="FMH52" s="80"/>
      <c r="FMI52" s="70"/>
      <c r="FMJ52" s="70"/>
      <c r="FMK52" s="25"/>
      <c r="FML52" s="26"/>
      <c r="FMM52" s="26"/>
      <c r="FMN52" s="67"/>
      <c r="FMO52" s="11"/>
      <c r="FMP52" s="11"/>
      <c r="FMQ52" s="68"/>
      <c r="FMR52" s="83"/>
      <c r="FMS52" s="83"/>
      <c r="FMT52" s="80"/>
      <c r="FMU52" s="70"/>
      <c r="FMV52" s="70"/>
      <c r="FMW52" s="25"/>
      <c r="FMX52" s="26"/>
      <c r="FMY52" s="26"/>
      <c r="FMZ52" s="67"/>
      <c r="FNA52" s="11"/>
      <c r="FNB52" s="11"/>
      <c r="FNC52" s="68"/>
      <c r="FND52" s="83"/>
      <c r="FNE52" s="83"/>
      <c r="FNF52" s="80"/>
      <c r="FNG52" s="70"/>
      <c r="FNH52" s="70"/>
      <c r="FNI52" s="25"/>
      <c r="FNJ52" s="26"/>
      <c r="FNK52" s="26"/>
      <c r="FNL52" s="67"/>
      <c r="FNM52" s="11"/>
      <c r="FNN52" s="11"/>
      <c r="FNO52" s="68"/>
      <c r="FNP52" s="83"/>
      <c r="FNQ52" s="83"/>
      <c r="FNR52" s="80"/>
      <c r="FNS52" s="70"/>
      <c r="FNT52" s="70"/>
      <c r="FNU52" s="25"/>
      <c r="FNV52" s="26"/>
      <c r="FNW52" s="26"/>
      <c r="FNX52" s="67"/>
      <c r="FNY52" s="11"/>
      <c r="FNZ52" s="11"/>
      <c r="FOA52" s="68"/>
      <c r="FOB52" s="83"/>
      <c r="FOC52" s="83"/>
      <c r="FOD52" s="80"/>
      <c r="FOE52" s="70"/>
      <c r="FOF52" s="70"/>
      <c r="FOG52" s="25"/>
      <c r="FOH52" s="26"/>
      <c r="FOI52" s="26"/>
      <c r="FOJ52" s="67"/>
      <c r="FOK52" s="11"/>
      <c r="FOL52" s="11"/>
      <c r="FOM52" s="68"/>
      <c r="FON52" s="83"/>
      <c r="FOO52" s="83"/>
      <c r="FOP52" s="80"/>
      <c r="FOQ52" s="70"/>
      <c r="FOR52" s="70"/>
      <c r="FOS52" s="25"/>
      <c r="FOT52" s="26"/>
      <c r="FOU52" s="26"/>
      <c r="FOV52" s="67"/>
      <c r="FOW52" s="11"/>
      <c r="FOX52" s="11"/>
      <c r="FOY52" s="68"/>
      <c r="FOZ52" s="83"/>
      <c r="FPA52" s="83"/>
      <c r="FPB52" s="80"/>
      <c r="FPC52" s="70"/>
      <c r="FPD52" s="70"/>
      <c r="FPE52" s="25"/>
      <c r="FPF52" s="26"/>
      <c r="FPG52" s="26"/>
      <c r="FPH52" s="67"/>
      <c r="FPI52" s="11"/>
      <c r="FPJ52" s="11"/>
      <c r="FPK52" s="68"/>
      <c r="FPL52" s="83"/>
      <c r="FPM52" s="83"/>
      <c r="FPN52" s="80"/>
      <c r="FPO52" s="70"/>
      <c r="FPP52" s="70"/>
      <c r="FPQ52" s="25"/>
      <c r="FPR52" s="26"/>
      <c r="FPS52" s="26"/>
      <c r="FPT52" s="67"/>
      <c r="FPU52" s="11"/>
      <c r="FPV52" s="11"/>
      <c r="FPW52" s="68"/>
      <c r="FPX52" s="83"/>
      <c r="FPY52" s="83"/>
      <c r="FPZ52" s="80"/>
      <c r="FQA52" s="70"/>
      <c r="FQB52" s="70"/>
      <c r="FQC52" s="25"/>
      <c r="FQD52" s="26"/>
      <c r="FQE52" s="26"/>
      <c r="FQF52" s="67"/>
      <c r="FQG52" s="11"/>
      <c r="FQH52" s="11"/>
      <c r="FQI52" s="68"/>
      <c r="FQJ52" s="83"/>
      <c r="FQK52" s="83"/>
      <c r="FQL52" s="80"/>
      <c r="FQM52" s="70"/>
      <c r="FQN52" s="70"/>
      <c r="FQO52" s="25"/>
      <c r="FQP52" s="26"/>
      <c r="FQQ52" s="26"/>
      <c r="FQR52" s="67"/>
      <c r="FQS52" s="11"/>
      <c r="FQT52" s="11"/>
      <c r="FQU52" s="68"/>
      <c r="FQV52" s="83"/>
      <c r="FQW52" s="83"/>
      <c r="FQX52" s="80"/>
      <c r="FQY52" s="70"/>
      <c r="FQZ52" s="70"/>
      <c r="FRA52" s="25"/>
      <c r="FRB52" s="26"/>
      <c r="FRC52" s="26"/>
      <c r="FRD52" s="67"/>
      <c r="FRE52" s="11"/>
      <c r="FRF52" s="11"/>
      <c r="FRG52" s="68"/>
      <c r="FRH52" s="83"/>
      <c r="FRI52" s="83"/>
      <c r="FRJ52" s="80"/>
      <c r="FRK52" s="70"/>
      <c r="FRL52" s="70"/>
      <c r="FRM52" s="25"/>
      <c r="FRN52" s="26"/>
      <c r="FRO52" s="26"/>
      <c r="FRP52" s="67"/>
      <c r="FRQ52" s="11"/>
      <c r="FRR52" s="11"/>
      <c r="FRS52" s="68"/>
      <c r="FRT52" s="83"/>
      <c r="FRU52" s="83"/>
      <c r="FRV52" s="80"/>
      <c r="FRW52" s="70"/>
      <c r="FRX52" s="70"/>
      <c r="FRY52" s="25"/>
      <c r="FRZ52" s="26"/>
      <c r="FSA52" s="26"/>
      <c r="FSB52" s="67"/>
      <c r="FSC52" s="11"/>
      <c r="FSD52" s="11"/>
      <c r="FSE52" s="68"/>
      <c r="FSF52" s="83"/>
      <c r="FSG52" s="83"/>
      <c r="FSH52" s="80"/>
      <c r="FSI52" s="70"/>
      <c r="FSJ52" s="70"/>
      <c r="FSK52" s="25"/>
      <c r="FSL52" s="26"/>
      <c r="FSM52" s="26"/>
      <c r="FSN52" s="67"/>
      <c r="FSO52" s="11"/>
      <c r="FSP52" s="11"/>
      <c r="FSQ52" s="68"/>
      <c r="FSR52" s="83"/>
      <c r="FSS52" s="83"/>
      <c r="FST52" s="80"/>
      <c r="FSU52" s="70"/>
      <c r="FSV52" s="70"/>
      <c r="FSW52" s="25"/>
      <c r="FSX52" s="26"/>
      <c r="FSY52" s="26"/>
      <c r="FSZ52" s="67"/>
      <c r="FTA52" s="11"/>
      <c r="FTB52" s="11"/>
      <c r="FTC52" s="68"/>
      <c r="FTD52" s="83"/>
      <c r="FTE52" s="83"/>
      <c r="FTF52" s="80"/>
      <c r="FTG52" s="70"/>
      <c r="FTH52" s="70"/>
      <c r="FTI52" s="25"/>
      <c r="FTJ52" s="26"/>
      <c r="FTK52" s="26"/>
      <c r="FTL52" s="67"/>
      <c r="FTM52" s="11"/>
      <c r="FTN52" s="11"/>
      <c r="FTO52" s="68"/>
      <c r="FTP52" s="83"/>
      <c r="FTQ52" s="83"/>
      <c r="FTR52" s="80"/>
      <c r="FTS52" s="70"/>
      <c r="FTT52" s="70"/>
      <c r="FTU52" s="25"/>
      <c r="FTV52" s="26"/>
      <c r="FTW52" s="26"/>
      <c r="FTX52" s="67"/>
      <c r="FTY52" s="11"/>
      <c r="FTZ52" s="11"/>
      <c r="FUA52" s="68"/>
      <c r="FUB52" s="83"/>
      <c r="FUC52" s="83"/>
      <c r="FUD52" s="80"/>
      <c r="FUE52" s="70"/>
      <c r="FUF52" s="70"/>
      <c r="FUG52" s="25"/>
      <c r="FUH52" s="26"/>
      <c r="FUI52" s="26"/>
      <c r="FUJ52" s="67"/>
      <c r="FUK52" s="11"/>
      <c r="FUL52" s="11"/>
      <c r="FUM52" s="68"/>
      <c r="FUN52" s="83"/>
      <c r="FUO52" s="83"/>
      <c r="FUP52" s="80"/>
      <c r="FUQ52" s="70"/>
      <c r="FUR52" s="70"/>
      <c r="FUS52" s="25"/>
      <c r="FUT52" s="26"/>
      <c r="FUU52" s="26"/>
      <c r="FUV52" s="67"/>
      <c r="FUW52" s="11"/>
      <c r="FUX52" s="11"/>
      <c r="FUY52" s="68"/>
      <c r="FUZ52" s="83"/>
      <c r="FVA52" s="83"/>
      <c r="FVB52" s="80"/>
      <c r="FVC52" s="70"/>
      <c r="FVD52" s="70"/>
      <c r="FVE52" s="25"/>
      <c r="FVF52" s="26"/>
      <c r="FVG52" s="26"/>
      <c r="FVH52" s="67"/>
      <c r="FVI52" s="11"/>
      <c r="FVJ52" s="11"/>
      <c r="FVK52" s="68"/>
      <c r="FVL52" s="83"/>
      <c r="FVM52" s="83"/>
      <c r="FVN52" s="80"/>
      <c r="FVO52" s="70"/>
      <c r="FVP52" s="70"/>
      <c r="FVQ52" s="25"/>
      <c r="FVR52" s="26"/>
      <c r="FVS52" s="26"/>
      <c r="FVT52" s="67"/>
      <c r="FVU52" s="11"/>
      <c r="FVV52" s="11"/>
      <c r="FVW52" s="68"/>
      <c r="FVX52" s="83"/>
      <c r="FVY52" s="83"/>
      <c r="FVZ52" s="80"/>
      <c r="FWA52" s="70"/>
      <c r="FWB52" s="70"/>
      <c r="FWC52" s="25"/>
      <c r="FWD52" s="26"/>
      <c r="FWE52" s="26"/>
      <c r="FWF52" s="67"/>
      <c r="FWG52" s="11"/>
      <c r="FWH52" s="11"/>
      <c r="FWI52" s="68"/>
      <c r="FWJ52" s="83"/>
      <c r="FWK52" s="83"/>
      <c r="FWL52" s="80"/>
      <c r="FWM52" s="70"/>
      <c r="FWN52" s="70"/>
      <c r="FWO52" s="25"/>
      <c r="FWP52" s="26"/>
      <c r="FWQ52" s="26"/>
      <c r="FWR52" s="67"/>
      <c r="FWS52" s="11"/>
      <c r="FWT52" s="11"/>
      <c r="FWU52" s="68"/>
      <c r="FWV52" s="83"/>
      <c r="FWW52" s="83"/>
      <c r="FWX52" s="80"/>
      <c r="FWY52" s="70"/>
      <c r="FWZ52" s="70"/>
      <c r="FXA52" s="25"/>
      <c r="FXB52" s="26"/>
      <c r="FXC52" s="26"/>
      <c r="FXD52" s="67"/>
      <c r="FXE52" s="11"/>
      <c r="FXF52" s="11"/>
      <c r="FXG52" s="68"/>
      <c r="FXH52" s="83"/>
      <c r="FXI52" s="83"/>
      <c r="FXJ52" s="80"/>
      <c r="FXK52" s="70"/>
      <c r="FXL52" s="70"/>
      <c r="FXM52" s="25"/>
      <c r="FXN52" s="26"/>
      <c r="FXO52" s="26"/>
      <c r="FXP52" s="67"/>
      <c r="FXQ52" s="11"/>
      <c r="FXR52" s="11"/>
      <c r="FXS52" s="68"/>
      <c r="FXT52" s="83"/>
      <c r="FXU52" s="83"/>
      <c r="FXV52" s="80"/>
      <c r="FXW52" s="70"/>
      <c r="FXX52" s="70"/>
      <c r="FXY52" s="25"/>
      <c r="FXZ52" s="26"/>
      <c r="FYA52" s="26"/>
      <c r="FYB52" s="67"/>
      <c r="FYC52" s="11"/>
      <c r="FYD52" s="11"/>
      <c r="FYE52" s="68"/>
      <c r="FYF52" s="83"/>
      <c r="FYG52" s="83"/>
      <c r="FYH52" s="80"/>
      <c r="FYI52" s="70"/>
      <c r="FYJ52" s="70"/>
      <c r="FYK52" s="25"/>
      <c r="FYL52" s="26"/>
      <c r="FYM52" s="26"/>
      <c r="FYN52" s="67"/>
      <c r="FYO52" s="11"/>
      <c r="FYP52" s="11"/>
      <c r="FYQ52" s="68"/>
      <c r="FYR52" s="83"/>
      <c r="FYS52" s="83"/>
      <c r="FYT52" s="80"/>
      <c r="FYU52" s="70"/>
      <c r="FYV52" s="70"/>
      <c r="FYW52" s="25"/>
      <c r="FYX52" s="26"/>
      <c r="FYY52" s="26"/>
      <c r="FYZ52" s="67"/>
      <c r="FZA52" s="11"/>
      <c r="FZB52" s="11"/>
      <c r="FZC52" s="68"/>
      <c r="FZD52" s="83"/>
      <c r="FZE52" s="83"/>
      <c r="FZF52" s="80"/>
      <c r="FZG52" s="70"/>
      <c r="FZH52" s="70"/>
      <c r="FZI52" s="25"/>
      <c r="FZJ52" s="26"/>
      <c r="FZK52" s="26"/>
      <c r="FZL52" s="67"/>
      <c r="FZM52" s="11"/>
      <c r="FZN52" s="11"/>
      <c r="FZO52" s="68"/>
      <c r="FZP52" s="83"/>
      <c r="FZQ52" s="83"/>
      <c r="FZR52" s="80"/>
      <c r="FZS52" s="70"/>
      <c r="FZT52" s="70"/>
      <c r="FZU52" s="25"/>
      <c r="FZV52" s="26"/>
      <c r="FZW52" s="26"/>
      <c r="FZX52" s="67"/>
      <c r="FZY52" s="11"/>
      <c r="FZZ52" s="11"/>
      <c r="GAA52" s="68"/>
      <c r="GAB52" s="83"/>
      <c r="GAC52" s="83"/>
      <c r="GAD52" s="80"/>
      <c r="GAE52" s="70"/>
      <c r="GAF52" s="70"/>
      <c r="GAG52" s="25"/>
      <c r="GAH52" s="26"/>
      <c r="GAI52" s="26"/>
      <c r="GAJ52" s="67"/>
      <c r="GAK52" s="11"/>
      <c r="GAL52" s="11"/>
      <c r="GAM52" s="68"/>
      <c r="GAN52" s="83"/>
      <c r="GAO52" s="83"/>
      <c r="GAP52" s="80"/>
      <c r="GAQ52" s="70"/>
      <c r="GAR52" s="70"/>
      <c r="GAS52" s="25"/>
      <c r="GAT52" s="26"/>
      <c r="GAU52" s="26"/>
      <c r="GAV52" s="67"/>
      <c r="GAW52" s="11"/>
      <c r="GAX52" s="11"/>
      <c r="GAY52" s="68"/>
      <c r="GAZ52" s="83"/>
      <c r="GBA52" s="83"/>
      <c r="GBB52" s="80"/>
      <c r="GBC52" s="70"/>
      <c r="GBD52" s="70"/>
      <c r="GBE52" s="25"/>
      <c r="GBF52" s="26"/>
      <c r="GBG52" s="26"/>
      <c r="GBH52" s="67"/>
      <c r="GBI52" s="11"/>
      <c r="GBJ52" s="11"/>
      <c r="GBK52" s="68"/>
      <c r="GBL52" s="83"/>
      <c r="GBM52" s="83"/>
      <c r="GBN52" s="80"/>
      <c r="GBO52" s="70"/>
      <c r="GBP52" s="70"/>
      <c r="GBQ52" s="25"/>
      <c r="GBR52" s="26"/>
      <c r="GBS52" s="26"/>
      <c r="GBT52" s="67"/>
      <c r="GBU52" s="11"/>
      <c r="GBV52" s="11"/>
      <c r="GBW52" s="68"/>
      <c r="GBX52" s="83"/>
      <c r="GBY52" s="83"/>
      <c r="GBZ52" s="80"/>
      <c r="GCA52" s="70"/>
      <c r="GCB52" s="70"/>
      <c r="GCC52" s="25"/>
      <c r="GCD52" s="26"/>
      <c r="GCE52" s="26"/>
      <c r="GCF52" s="67"/>
      <c r="GCG52" s="11"/>
      <c r="GCH52" s="11"/>
      <c r="GCI52" s="68"/>
      <c r="GCJ52" s="83"/>
      <c r="GCK52" s="83"/>
      <c r="GCL52" s="80"/>
      <c r="GCM52" s="70"/>
      <c r="GCN52" s="70"/>
      <c r="GCO52" s="25"/>
      <c r="GCP52" s="26"/>
      <c r="GCQ52" s="26"/>
      <c r="GCR52" s="67"/>
      <c r="GCS52" s="11"/>
      <c r="GCT52" s="11"/>
      <c r="GCU52" s="68"/>
      <c r="GCV52" s="83"/>
      <c r="GCW52" s="83"/>
      <c r="GCX52" s="80"/>
      <c r="GCY52" s="70"/>
      <c r="GCZ52" s="70"/>
      <c r="GDA52" s="25"/>
      <c r="GDB52" s="26"/>
      <c r="GDC52" s="26"/>
      <c r="GDD52" s="67"/>
      <c r="GDE52" s="11"/>
      <c r="GDF52" s="11"/>
      <c r="GDG52" s="68"/>
      <c r="GDH52" s="83"/>
      <c r="GDI52" s="83"/>
      <c r="GDJ52" s="80"/>
      <c r="GDK52" s="70"/>
      <c r="GDL52" s="70"/>
      <c r="GDM52" s="25"/>
      <c r="GDN52" s="26"/>
      <c r="GDO52" s="26"/>
      <c r="GDP52" s="67"/>
      <c r="GDQ52" s="11"/>
      <c r="GDR52" s="11"/>
      <c r="GDS52" s="68"/>
      <c r="GDT52" s="83"/>
      <c r="GDU52" s="83"/>
      <c r="GDV52" s="80"/>
      <c r="GDW52" s="70"/>
      <c r="GDX52" s="70"/>
      <c r="GDY52" s="25"/>
      <c r="GDZ52" s="26"/>
      <c r="GEA52" s="26"/>
      <c r="GEB52" s="67"/>
      <c r="GEC52" s="11"/>
      <c r="GED52" s="11"/>
      <c r="GEE52" s="68"/>
      <c r="GEF52" s="83"/>
      <c r="GEG52" s="83"/>
      <c r="GEH52" s="80"/>
      <c r="GEI52" s="70"/>
      <c r="GEJ52" s="70"/>
      <c r="GEK52" s="25"/>
      <c r="GEL52" s="26"/>
      <c r="GEM52" s="26"/>
      <c r="GEN52" s="67"/>
      <c r="GEO52" s="11"/>
      <c r="GEP52" s="11"/>
      <c r="GEQ52" s="68"/>
      <c r="GER52" s="83"/>
      <c r="GES52" s="83"/>
      <c r="GET52" s="80"/>
      <c r="GEU52" s="70"/>
      <c r="GEV52" s="70"/>
      <c r="GEW52" s="25"/>
      <c r="GEX52" s="26"/>
      <c r="GEY52" s="26"/>
      <c r="GEZ52" s="67"/>
      <c r="GFA52" s="11"/>
      <c r="GFB52" s="11"/>
      <c r="GFC52" s="68"/>
      <c r="GFD52" s="83"/>
      <c r="GFE52" s="83"/>
      <c r="GFF52" s="80"/>
      <c r="GFG52" s="70"/>
      <c r="GFH52" s="70"/>
      <c r="GFI52" s="25"/>
      <c r="GFJ52" s="26"/>
      <c r="GFK52" s="26"/>
      <c r="GFL52" s="67"/>
      <c r="GFM52" s="11"/>
      <c r="GFN52" s="11"/>
      <c r="GFO52" s="68"/>
      <c r="GFP52" s="83"/>
      <c r="GFQ52" s="83"/>
      <c r="GFR52" s="80"/>
      <c r="GFS52" s="70"/>
      <c r="GFT52" s="70"/>
      <c r="GFU52" s="25"/>
      <c r="GFV52" s="26"/>
      <c r="GFW52" s="26"/>
      <c r="GFX52" s="67"/>
      <c r="GFY52" s="11"/>
      <c r="GFZ52" s="11"/>
      <c r="GGA52" s="68"/>
      <c r="GGB52" s="83"/>
      <c r="GGC52" s="83"/>
      <c r="GGD52" s="80"/>
      <c r="GGE52" s="70"/>
      <c r="GGF52" s="70"/>
      <c r="GGG52" s="25"/>
      <c r="GGH52" s="26"/>
      <c r="GGI52" s="26"/>
      <c r="GGJ52" s="67"/>
      <c r="GGK52" s="11"/>
      <c r="GGL52" s="11"/>
      <c r="GGM52" s="68"/>
      <c r="GGN52" s="83"/>
      <c r="GGO52" s="83"/>
      <c r="GGP52" s="80"/>
      <c r="GGQ52" s="70"/>
      <c r="GGR52" s="70"/>
      <c r="GGS52" s="25"/>
      <c r="GGT52" s="26"/>
      <c r="GGU52" s="26"/>
      <c r="GGV52" s="67"/>
      <c r="GGW52" s="11"/>
      <c r="GGX52" s="11"/>
      <c r="GGY52" s="68"/>
      <c r="GGZ52" s="83"/>
      <c r="GHA52" s="83"/>
      <c r="GHB52" s="80"/>
      <c r="GHC52" s="70"/>
      <c r="GHD52" s="70"/>
      <c r="GHE52" s="25"/>
      <c r="GHF52" s="26"/>
      <c r="GHG52" s="26"/>
      <c r="GHH52" s="67"/>
      <c r="GHI52" s="11"/>
      <c r="GHJ52" s="11"/>
      <c r="GHK52" s="68"/>
      <c r="GHL52" s="83"/>
      <c r="GHM52" s="83"/>
      <c r="GHN52" s="80"/>
      <c r="GHO52" s="70"/>
      <c r="GHP52" s="70"/>
      <c r="GHQ52" s="25"/>
      <c r="GHR52" s="26"/>
      <c r="GHS52" s="26"/>
      <c r="GHT52" s="67"/>
      <c r="GHU52" s="11"/>
      <c r="GHV52" s="11"/>
      <c r="GHW52" s="68"/>
      <c r="GHX52" s="83"/>
      <c r="GHY52" s="83"/>
      <c r="GHZ52" s="80"/>
      <c r="GIA52" s="70"/>
      <c r="GIB52" s="70"/>
      <c r="GIC52" s="25"/>
      <c r="GID52" s="26"/>
      <c r="GIE52" s="26"/>
      <c r="GIF52" s="67"/>
      <c r="GIG52" s="11"/>
      <c r="GIH52" s="11"/>
      <c r="GII52" s="68"/>
      <c r="GIJ52" s="83"/>
      <c r="GIK52" s="83"/>
      <c r="GIL52" s="80"/>
      <c r="GIM52" s="70"/>
      <c r="GIN52" s="70"/>
      <c r="GIO52" s="25"/>
      <c r="GIP52" s="26"/>
      <c r="GIQ52" s="26"/>
      <c r="GIR52" s="67"/>
      <c r="GIS52" s="11"/>
      <c r="GIT52" s="11"/>
      <c r="GIU52" s="68"/>
      <c r="GIV52" s="83"/>
      <c r="GIW52" s="83"/>
      <c r="GIX52" s="80"/>
      <c r="GIY52" s="70"/>
      <c r="GIZ52" s="70"/>
      <c r="GJA52" s="25"/>
      <c r="GJB52" s="26"/>
      <c r="GJC52" s="26"/>
      <c r="GJD52" s="67"/>
      <c r="GJE52" s="11"/>
      <c r="GJF52" s="11"/>
      <c r="GJG52" s="68"/>
      <c r="GJH52" s="83"/>
      <c r="GJI52" s="83"/>
      <c r="GJJ52" s="80"/>
      <c r="GJK52" s="70"/>
      <c r="GJL52" s="70"/>
      <c r="GJM52" s="25"/>
      <c r="GJN52" s="26"/>
      <c r="GJO52" s="26"/>
      <c r="GJP52" s="67"/>
      <c r="GJQ52" s="11"/>
      <c r="GJR52" s="11"/>
      <c r="GJS52" s="68"/>
      <c r="GJT52" s="83"/>
      <c r="GJU52" s="83"/>
      <c r="GJV52" s="80"/>
      <c r="GJW52" s="70"/>
      <c r="GJX52" s="70"/>
      <c r="GJY52" s="25"/>
      <c r="GJZ52" s="26"/>
      <c r="GKA52" s="26"/>
      <c r="GKB52" s="67"/>
      <c r="GKC52" s="11"/>
      <c r="GKD52" s="11"/>
      <c r="GKE52" s="68"/>
      <c r="GKF52" s="83"/>
      <c r="GKG52" s="83"/>
      <c r="GKH52" s="80"/>
      <c r="GKI52" s="70"/>
      <c r="GKJ52" s="70"/>
      <c r="GKK52" s="25"/>
      <c r="GKL52" s="26"/>
      <c r="GKM52" s="26"/>
      <c r="GKN52" s="67"/>
      <c r="GKO52" s="11"/>
      <c r="GKP52" s="11"/>
      <c r="GKQ52" s="68"/>
      <c r="GKR52" s="83"/>
      <c r="GKS52" s="83"/>
      <c r="GKT52" s="80"/>
      <c r="GKU52" s="70"/>
      <c r="GKV52" s="70"/>
      <c r="GKW52" s="25"/>
      <c r="GKX52" s="26"/>
      <c r="GKY52" s="26"/>
      <c r="GKZ52" s="67"/>
      <c r="GLA52" s="11"/>
      <c r="GLB52" s="11"/>
      <c r="GLC52" s="68"/>
      <c r="GLD52" s="83"/>
      <c r="GLE52" s="83"/>
      <c r="GLF52" s="80"/>
      <c r="GLG52" s="70"/>
      <c r="GLH52" s="70"/>
      <c r="GLI52" s="25"/>
      <c r="GLJ52" s="26"/>
      <c r="GLK52" s="26"/>
      <c r="GLL52" s="67"/>
      <c r="GLM52" s="11"/>
      <c r="GLN52" s="11"/>
      <c r="GLO52" s="68"/>
      <c r="GLP52" s="83"/>
      <c r="GLQ52" s="83"/>
      <c r="GLR52" s="80"/>
      <c r="GLS52" s="70"/>
      <c r="GLT52" s="70"/>
      <c r="GLU52" s="25"/>
      <c r="GLV52" s="26"/>
      <c r="GLW52" s="26"/>
      <c r="GLX52" s="67"/>
      <c r="GLY52" s="11"/>
      <c r="GLZ52" s="11"/>
      <c r="GMA52" s="68"/>
      <c r="GMB52" s="83"/>
      <c r="GMC52" s="83"/>
      <c r="GMD52" s="80"/>
      <c r="GME52" s="70"/>
      <c r="GMF52" s="70"/>
      <c r="GMG52" s="25"/>
      <c r="GMH52" s="26"/>
      <c r="GMI52" s="26"/>
      <c r="GMJ52" s="67"/>
      <c r="GMK52" s="11"/>
      <c r="GML52" s="11"/>
      <c r="GMM52" s="68"/>
      <c r="GMN52" s="83"/>
      <c r="GMO52" s="83"/>
      <c r="GMP52" s="80"/>
      <c r="GMQ52" s="70"/>
      <c r="GMR52" s="70"/>
      <c r="GMS52" s="25"/>
      <c r="GMT52" s="26"/>
      <c r="GMU52" s="26"/>
      <c r="GMV52" s="67"/>
      <c r="GMW52" s="11"/>
      <c r="GMX52" s="11"/>
      <c r="GMY52" s="68"/>
      <c r="GMZ52" s="83"/>
      <c r="GNA52" s="83"/>
      <c r="GNB52" s="80"/>
      <c r="GNC52" s="70"/>
      <c r="GND52" s="70"/>
      <c r="GNE52" s="25"/>
      <c r="GNF52" s="26"/>
      <c r="GNG52" s="26"/>
      <c r="GNH52" s="67"/>
      <c r="GNI52" s="11"/>
      <c r="GNJ52" s="11"/>
      <c r="GNK52" s="68"/>
      <c r="GNL52" s="83"/>
      <c r="GNM52" s="83"/>
      <c r="GNN52" s="80"/>
      <c r="GNO52" s="70"/>
      <c r="GNP52" s="70"/>
      <c r="GNQ52" s="25"/>
      <c r="GNR52" s="26"/>
      <c r="GNS52" s="26"/>
      <c r="GNT52" s="67"/>
      <c r="GNU52" s="11"/>
      <c r="GNV52" s="11"/>
      <c r="GNW52" s="68"/>
      <c r="GNX52" s="83"/>
      <c r="GNY52" s="83"/>
      <c r="GNZ52" s="80"/>
      <c r="GOA52" s="70"/>
      <c r="GOB52" s="70"/>
      <c r="GOC52" s="25"/>
      <c r="GOD52" s="26"/>
      <c r="GOE52" s="26"/>
      <c r="GOF52" s="67"/>
      <c r="GOG52" s="11"/>
      <c r="GOH52" s="11"/>
      <c r="GOI52" s="68"/>
      <c r="GOJ52" s="83"/>
      <c r="GOK52" s="83"/>
      <c r="GOL52" s="80"/>
      <c r="GOM52" s="70"/>
      <c r="GON52" s="70"/>
      <c r="GOO52" s="25"/>
      <c r="GOP52" s="26"/>
      <c r="GOQ52" s="26"/>
      <c r="GOR52" s="67"/>
      <c r="GOS52" s="11"/>
      <c r="GOT52" s="11"/>
      <c r="GOU52" s="68"/>
      <c r="GOV52" s="83"/>
      <c r="GOW52" s="83"/>
      <c r="GOX52" s="80"/>
      <c r="GOY52" s="70"/>
      <c r="GOZ52" s="70"/>
      <c r="GPA52" s="25"/>
      <c r="GPB52" s="26"/>
      <c r="GPC52" s="26"/>
      <c r="GPD52" s="67"/>
      <c r="GPE52" s="11"/>
      <c r="GPF52" s="11"/>
      <c r="GPG52" s="68"/>
      <c r="GPH52" s="83"/>
      <c r="GPI52" s="83"/>
      <c r="GPJ52" s="80"/>
      <c r="GPK52" s="70"/>
      <c r="GPL52" s="70"/>
      <c r="GPM52" s="25"/>
      <c r="GPN52" s="26"/>
      <c r="GPO52" s="26"/>
      <c r="GPP52" s="67"/>
      <c r="GPQ52" s="11"/>
      <c r="GPR52" s="11"/>
      <c r="GPS52" s="68"/>
      <c r="GPT52" s="83"/>
      <c r="GPU52" s="83"/>
      <c r="GPV52" s="80"/>
      <c r="GPW52" s="70"/>
      <c r="GPX52" s="70"/>
      <c r="GPY52" s="25"/>
      <c r="GPZ52" s="26"/>
      <c r="GQA52" s="26"/>
      <c r="GQB52" s="67"/>
      <c r="GQC52" s="11"/>
      <c r="GQD52" s="11"/>
      <c r="GQE52" s="68"/>
      <c r="GQF52" s="83"/>
      <c r="GQG52" s="83"/>
      <c r="GQH52" s="80"/>
      <c r="GQI52" s="70"/>
      <c r="GQJ52" s="70"/>
      <c r="GQK52" s="25"/>
      <c r="GQL52" s="26"/>
      <c r="GQM52" s="26"/>
      <c r="GQN52" s="67"/>
      <c r="GQO52" s="11"/>
      <c r="GQP52" s="11"/>
      <c r="GQQ52" s="68"/>
      <c r="GQR52" s="83"/>
      <c r="GQS52" s="83"/>
      <c r="GQT52" s="80"/>
      <c r="GQU52" s="70"/>
      <c r="GQV52" s="70"/>
      <c r="GQW52" s="25"/>
      <c r="GQX52" s="26"/>
      <c r="GQY52" s="26"/>
      <c r="GQZ52" s="67"/>
      <c r="GRA52" s="11"/>
      <c r="GRB52" s="11"/>
      <c r="GRC52" s="68"/>
      <c r="GRD52" s="83"/>
      <c r="GRE52" s="83"/>
      <c r="GRF52" s="80"/>
      <c r="GRG52" s="70"/>
      <c r="GRH52" s="70"/>
      <c r="GRI52" s="25"/>
      <c r="GRJ52" s="26"/>
      <c r="GRK52" s="26"/>
      <c r="GRL52" s="67"/>
      <c r="GRM52" s="11"/>
      <c r="GRN52" s="11"/>
      <c r="GRO52" s="68"/>
      <c r="GRP52" s="83"/>
      <c r="GRQ52" s="83"/>
      <c r="GRR52" s="80"/>
      <c r="GRS52" s="70"/>
      <c r="GRT52" s="70"/>
      <c r="GRU52" s="25"/>
      <c r="GRV52" s="26"/>
      <c r="GRW52" s="26"/>
      <c r="GRX52" s="67"/>
      <c r="GRY52" s="11"/>
      <c r="GRZ52" s="11"/>
      <c r="GSA52" s="68"/>
      <c r="GSB52" s="83"/>
      <c r="GSC52" s="83"/>
      <c r="GSD52" s="80"/>
      <c r="GSE52" s="70"/>
      <c r="GSF52" s="70"/>
      <c r="GSG52" s="25"/>
      <c r="GSH52" s="26"/>
      <c r="GSI52" s="26"/>
      <c r="GSJ52" s="67"/>
      <c r="GSK52" s="11"/>
      <c r="GSL52" s="11"/>
      <c r="GSM52" s="68"/>
      <c r="GSN52" s="83"/>
      <c r="GSO52" s="83"/>
      <c r="GSP52" s="80"/>
      <c r="GSQ52" s="70"/>
      <c r="GSR52" s="70"/>
      <c r="GSS52" s="25"/>
      <c r="GST52" s="26"/>
      <c r="GSU52" s="26"/>
      <c r="GSV52" s="67"/>
      <c r="GSW52" s="11"/>
      <c r="GSX52" s="11"/>
      <c r="GSY52" s="68"/>
      <c r="GSZ52" s="83"/>
      <c r="GTA52" s="83"/>
      <c r="GTB52" s="80"/>
      <c r="GTC52" s="70"/>
      <c r="GTD52" s="70"/>
      <c r="GTE52" s="25"/>
      <c r="GTF52" s="26"/>
      <c r="GTG52" s="26"/>
      <c r="GTH52" s="67"/>
      <c r="GTI52" s="11"/>
      <c r="GTJ52" s="11"/>
      <c r="GTK52" s="68"/>
      <c r="GTL52" s="83"/>
      <c r="GTM52" s="83"/>
      <c r="GTN52" s="80"/>
      <c r="GTO52" s="70"/>
      <c r="GTP52" s="70"/>
      <c r="GTQ52" s="25"/>
      <c r="GTR52" s="26"/>
      <c r="GTS52" s="26"/>
      <c r="GTT52" s="67"/>
      <c r="GTU52" s="11"/>
      <c r="GTV52" s="11"/>
      <c r="GTW52" s="68"/>
      <c r="GTX52" s="83"/>
      <c r="GTY52" s="83"/>
      <c r="GTZ52" s="80"/>
      <c r="GUA52" s="70"/>
      <c r="GUB52" s="70"/>
      <c r="GUC52" s="25"/>
      <c r="GUD52" s="26"/>
      <c r="GUE52" s="26"/>
      <c r="GUF52" s="67"/>
      <c r="GUG52" s="11"/>
      <c r="GUH52" s="11"/>
      <c r="GUI52" s="68"/>
      <c r="GUJ52" s="83"/>
      <c r="GUK52" s="83"/>
      <c r="GUL52" s="80"/>
      <c r="GUM52" s="70"/>
      <c r="GUN52" s="70"/>
      <c r="GUO52" s="25"/>
      <c r="GUP52" s="26"/>
      <c r="GUQ52" s="26"/>
      <c r="GUR52" s="67"/>
      <c r="GUS52" s="11"/>
      <c r="GUT52" s="11"/>
      <c r="GUU52" s="68"/>
      <c r="GUV52" s="83"/>
      <c r="GUW52" s="83"/>
      <c r="GUX52" s="80"/>
      <c r="GUY52" s="70"/>
      <c r="GUZ52" s="70"/>
      <c r="GVA52" s="25"/>
      <c r="GVB52" s="26"/>
      <c r="GVC52" s="26"/>
      <c r="GVD52" s="67"/>
      <c r="GVE52" s="11"/>
      <c r="GVF52" s="11"/>
      <c r="GVG52" s="68"/>
      <c r="GVH52" s="83"/>
      <c r="GVI52" s="83"/>
      <c r="GVJ52" s="80"/>
      <c r="GVK52" s="70"/>
      <c r="GVL52" s="70"/>
      <c r="GVM52" s="25"/>
      <c r="GVN52" s="26"/>
      <c r="GVO52" s="26"/>
      <c r="GVP52" s="67"/>
      <c r="GVQ52" s="11"/>
      <c r="GVR52" s="11"/>
      <c r="GVS52" s="68"/>
      <c r="GVT52" s="83"/>
      <c r="GVU52" s="83"/>
      <c r="GVV52" s="80"/>
      <c r="GVW52" s="70"/>
      <c r="GVX52" s="70"/>
      <c r="GVY52" s="25"/>
      <c r="GVZ52" s="26"/>
      <c r="GWA52" s="26"/>
      <c r="GWB52" s="67"/>
      <c r="GWC52" s="11"/>
      <c r="GWD52" s="11"/>
      <c r="GWE52" s="68"/>
      <c r="GWF52" s="83"/>
      <c r="GWG52" s="83"/>
      <c r="GWH52" s="80"/>
      <c r="GWI52" s="70"/>
      <c r="GWJ52" s="70"/>
      <c r="GWK52" s="25"/>
      <c r="GWL52" s="26"/>
      <c r="GWM52" s="26"/>
      <c r="GWN52" s="67"/>
      <c r="GWO52" s="11"/>
      <c r="GWP52" s="11"/>
      <c r="GWQ52" s="68"/>
      <c r="GWR52" s="83"/>
      <c r="GWS52" s="83"/>
      <c r="GWT52" s="80"/>
      <c r="GWU52" s="70"/>
      <c r="GWV52" s="70"/>
      <c r="GWW52" s="25"/>
      <c r="GWX52" s="26"/>
      <c r="GWY52" s="26"/>
      <c r="GWZ52" s="67"/>
      <c r="GXA52" s="11"/>
      <c r="GXB52" s="11"/>
      <c r="GXC52" s="68"/>
      <c r="GXD52" s="83"/>
      <c r="GXE52" s="83"/>
      <c r="GXF52" s="80"/>
      <c r="GXG52" s="70"/>
      <c r="GXH52" s="70"/>
      <c r="GXI52" s="25"/>
      <c r="GXJ52" s="26"/>
      <c r="GXK52" s="26"/>
      <c r="GXL52" s="67"/>
      <c r="GXM52" s="11"/>
      <c r="GXN52" s="11"/>
      <c r="GXO52" s="68"/>
      <c r="GXP52" s="83"/>
      <c r="GXQ52" s="83"/>
      <c r="GXR52" s="80"/>
      <c r="GXS52" s="70"/>
      <c r="GXT52" s="70"/>
      <c r="GXU52" s="25"/>
      <c r="GXV52" s="26"/>
      <c r="GXW52" s="26"/>
      <c r="GXX52" s="67"/>
      <c r="GXY52" s="11"/>
      <c r="GXZ52" s="11"/>
      <c r="GYA52" s="68"/>
      <c r="GYB52" s="83"/>
      <c r="GYC52" s="83"/>
      <c r="GYD52" s="80"/>
      <c r="GYE52" s="70"/>
      <c r="GYF52" s="70"/>
      <c r="GYG52" s="25"/>
      <c r="GYH52" s="26"/>
      <c r="GYI52" s="26"/>
      <c r="GYJ52" s="67"/>
      <c r="GYK52" s="11"/>
      <c r="GYL52" s="11"/>
      <c r="GYM52" s="68"/>
      <c r="GYN52" s="83"/>
      <c r="GYO52" s="83"/>
      <c r="GYP52" s="80"/>
      <c r="GYQ52" s="70"/>
      <c r="GYR52" s="70"/>
      <c r="GYS52" s="25"/>
      <c r="GYT52" s="26"/>
      <c r="GYU52" s="26"/>
      <c r="GYV52" s="67"/>
      <c r="GYW52" s="11"/>
      <c r="GYX52" s="11"/>
      <c r="GYY52" s="68"/>
      <c r="GYZ52" s="83"/>
      <c r="GZA52" s="83"/>
      <c r="GZB52" s="80"/>
      <c r="GZC52" s="70"/>
      <c r="GZD52" s="70"/>
      <c r="GZE52" s="25"/>
      <c r="GZF52" s="26"/>
      <c r="GZG52" s="26"/>
      <c r="GZH52" s="67"/>
      <c r="GZI52" s="11"/>
      <c r="GZJ52" s="11"/>
      <c r="GZK52" s="68"/>
      <c r="GZL52" s="83"/>
      <c r="GZM52" s="83"/>
      <c r="GZN52" s="80"/>
      <c r="GZO52" s="70"/>
      <c r="GZP52" s="70"/>
      <c r="GZQ52" s="25"/>
      <c r="GZR52" s="26"/>
      <c r="GZS52" s="26"/>
      <c r="GZT52" s="67"/>
      <c r="GZU52" s="11"/>
      <c r="GZV52" s="11"/>
      <c r="GZW52" s="68"/>
      <c r="GZX52" s="83"/>
      <c r="GZY52" s="83"/>
      <c r="GZZ52" s="80"/>
      <c r="HAA52" s="70"/>
      <c r="HAB52" s="70"/>
      <c r="HAC52" s="25"/>
      <c r="HAD52" s="26"/>
      <c r="HAE52" s="26"/>
      <c r="HAF52" s="67"/>
      <c r="HAG52" s="11"/>
      <c r="HAH52" s="11"/>
      <c r="HAI52" s="68"/>
      <c r="HAJ52" s="83"/>
      <c r="HAK52" s="83"/>
      <c r="HAL52" s="80"/>
      <c r="HAM52" s="70"/>
      <c r="HAN52" s="70"/>
      <c r="HAO52" s="25"/>
      <c r="HAP52" s="26"/>
      <c r="HAQ52" s="26"/>
      <c r="HAR52" s="67"/>
      <c r="HAS52" s="11"/>
      <c r="HAT52" s="11"/>
      <c r="HAU52" s="68"/>
      <c r="HAV52" s="83"/>
      <c r="HAW52" s="83"/>
      <c r="HAX52" s="80"/>
      <c r="HAY52" s="70"/>
      <c r="HAZ52" s="70"/>
      <c r="HBA52" s="25"/>
      <c r="HBB52" s="26"/>
      <c r="HBC52" s="26"/>
      <c r="HBD52" s="67"/>
      <c r="HBE52" s="11"/>
      <c r="HBF52" s="11"/>
      <c r="HBG52" s="68"/>
      <c r="HBH52" s="83"/>
      <c r="HBI52" s="83"/>
      <c r="HBJ52" s="80"/>
      <c r="HBK52" s="70"/>
      <c r="HBL52" s="70"/>
      <c r="HBM52" s="25"/>
      <c r="HBN52" s="26"/>
      <c r="HBO52" s="26"/>
      <c r="HBP52" s="67"/>
      <c r="HBQ52" s="11"/>
      <c r="HBR52" s="11"/>
      <c r="HBS52" s="68"/>
      <c r="HBT52" s="83"/>
      <c r="HBU52" s="83"/>
      <c r="HBV52" s="80"/>
      <c r="HBW52" s="70"/>
      <c r="HBX52" s="70"/>
      <c r="HBY52" s="25"/>
      <c r="HBZ52" s="26"/>
      <c r="HCA52" s="26"/>
      <c r="HCB52" s="67"/>
      <c r="HCC52" s="11"/>
      <c r="HCD52" s="11"/>
      <c r="HCE52" s="68"/>
      <c r="HCF52" s="83"/>
      <c r="HCG52" s="83"/>
      <c r="HCH52" s="80"/>
      <c r="HCI52" s="70"/>
      <c r="HCJ52" s="70"/>
      <c r="HCK52" s="25"/>
      <c r="HCL52" s="26"/>
      <c r="HCM52" s="26"/>
      <c r="HCN52" s="67"/>
      <c r="HCO52" s="11"/>
      <c r="HCP52" s="11"/>
      <c r="HCQ52" s="68"/>
      <c r="HCR52" s="83"/>
      <c r="HCS52" s="83"/>
      <c r="HCT52" s="80"/>
      <c r="HCU52" s="70"/>
      <c r="HCV52" s="70"/>
      <c r="HCW52" s="25"/>
      <c r="HCX52" s="26"/>
      <c r="HCY52" s="26"/>
      <c r="HCZ52" s="67"/>
      <c r="HDA52" s="11"/>
      <c r="HDB52" s="11"/>
      <c r="HDC52" s="68"/>
      <c r="HDD52" s="83"/>
      <c r="HDE52" s="83"/>
      <c r="HDF52" s="80"/>
      <c r="HDG52" s="70"/>
      <c r="HDH52" s="70"/>
      <c r="HDI52" s="25"/>
      <c r="HDJ52" s="26"/>
      <c r="HDK52" s="26"/>
      <c r="HDL52" s="67"/>
      <c r="HDM52" s="11"/>
      <c r="HDN52" s="11"/>
      <c r="HDO52" s="68"/>
      <c r="HDP52" s="83"/>
      <c r="HDQ52" s="83"/>
      <c r="HDR52" s="80"/>
      <c r="HDS52" s="70"/>
      <c r="HDT52" s="70"/>
      <c r="HDU52" s="25"/>
      <c r="HDV52" s="26"/>
      <c r="HDW52" s="26"/>
      <c r="HDX52" s="67"/>
      <c r="HDY52" s="11"/>
      <c r="HDZ52" s="11"/>
      <c r="HEA52" s="68"/>
      <c r="HEB52" s="83"/>
      <c r="HEC52" s="83"/>
      <c r="HED52" s="80"/>
      <c r="HEE52" s="70"/>
      <c r="HEF52" s="70"/>
      <c r="HEG52" s="25"/>
      <c r="HEH52" s="26"/>
      <c r="HEI52" s="26"/>
      <c r="HEJ52" s="67"/>
      <c r="HEK52" s="11"/>
      <c r="HEL52" s="11"/>
      <c r="HEM52" s="68"/>
      <c r="HEN52" s="83"/>
      <c r="HEO52" s="83"/>
      <c r="HEP52" s="80"/>
      <c r="HEQ52" s="70"/>
      <c r="HER52" s="70"/>
      <c r="HES52" s="25"/>
      <c r="HET52" s="26"/>
      <c r="HEU52" s="26"/>
      <c r="HEV52" s="67"/>
      <c r="HEW52" s="11"/>
      <c r="HEX52" s="11"/>
      <c r="HEY52" s="68"/>
      <c r="HEZ52" s="83"/>
      <c r="HFA52" s="83"/>
      <c r="HFB52" s="80"/>
      <c r="HFC52" s="70"/>
      <c r="HFD52" s="70"/>
      <c r="HFE52" s="25"/>
      <c r="HFF52" s="26"/>
      <c r="HFG52" s="26"/>
      <c r="HFH52" s="67"/>
      <c r="HFI52" s="11"/>
      <c r="HFJ52" s="11"/>
      <c r="HFK52" s="68"/>
      <c r="HFL52" s="83"/>
      <c r="HFM52" s="83"/>
      <c r="HFN52" s="80"/>
      <c r="HFO52" s="70"/>
      <c r="HFP52" s="70"/>
      <c r="HFQ52" s="25"/>
      <c r="HFR52" s="26"/>
      <c r="HFS52" s="26"/>
      <c r="HFT52" s="67"/>
      <c r="HFU52" s="11"/>
      <c r="HFV52" s="11"/>
      <c r="HFW52" s="68"/>
      <c r="HFX52" s="83"/>
      <c r="HFY52" s="83"/>
      <c r="HFZ52" s="80"/>
      <c r="HGA52" s="70"/>
      <c r="HGB52" s="70"/>
      <c r="HGC52" s="25"/>
      <c r="HGD52" s="26"/>
      <c r="HGE52" s="26"/>
      <c r="HGF52" s="67"/>
      <c r="HGG52" s="11"/>
      <c r="HGH52" s="11"/>
      <c r="HGI52" s="68"/>
      <c r="HGJ52" s="83"/>
      <c r="HGK52" s="83"/>
      <c r="HGL52" s="80"/>
      <c r="HGM52" s="70"/>
      <c r="HGN52" s="70"/>
      <c r="HGO52" s="25"/>
      <c r="HGP52" s="26"/>
      <c r="HGQ52" s="26"/>
      <c r="HGR52" s="67"/>
      <c r="HGS52" s="11"/>
      <c r="HGT52" s="11"/>
      <c r="HGU52" s="68"/>
      <c r="HGV52" s="83"/>
      <c r="HGW52" s="83"/>
      <c r="HGX52" s="80"/>
      <c r="HGY52" s="70"/>
      <c r="HGZ52" s="70"/>
      <c r="HHA52" s="25"/>
      <c r="HHB52" s="26"/>
      <c r="HHC52" s="26"/>
      <c r="HHD52" s="67"/>
      <c r="HHE52" s="11"/>
      <c r="HHF52" s="11"/>
      <c r="HHG52" s="68"/>
      <c r="HHH52" s="83"/>
      <c r="HHI52" s="83"/>
      <c r="HHJ52" s="80"/>
      <c r="HHK52" s="70"/>
      <c r="HHL52" s="70"/>
      <c r="HHM52" s="25"/>
      <c r="HHN52" s="26"/>
      <c r="HHO52" s="26"/>
      <c r="HHP52" s="67"/>
      <c r="HHQ52" s="11"/>
      <c r="HHR52" s="11"/>
      <c r="HHS52" s="68"/>
      <c r="HHT52" s="83"/>
      <c r="HHU52" s="83"/>
      <c r="HHV52" s="80"/>
      <c r="HHW52" s="70"/>
      <c r="HHX52" s="70"/>
      <c r="HHY52" s="25"/>
      <c r="HHZ52" s="26"/>
      <c r="HIA52" s="26"/>
      <c r="HIB52" s="67"/>
      <c r="HIC52" s="11"/>
      <c r="HID52" s="11"/>
      <c r="HIE52" s="68"/>
      <c r="HIF52" s="83"/>
      <c r="HIG52" s="83"/>
      <c r="HIH52" s="80"/>
      <c r="HII52" s="70"/>
      <c r="HIJ52" s="70"/>
      <c r="HIK52" s="25"/>
      <c r="HIL52" s="26"/>
      <c r="HIM52" s="26"/>
      <c r="HIN52" s="67"/>
      <c r="HIO52" s="11"/>
      <c r="HIP52" s="11"/>
      <c r="HIQ52" s="68"/>
      <c r="HIR52" s="83"/>
      <c r="HIS52" s="83"/>
      <c r="HIT52" s="80"/>
      <c r="HIU52" s="70"/>
      <c r="HIV52" s="70"/>
      <c r="HIW52" s="25"/>
      <c r="HIX52" s="26"/>
      <c r="HIY52" s="26"/>
      <c r="HIZ52" s="67"/>
      <c r="HJA52" s="11"/>
      <c r="HJB52" s="11"/>
      <c r="HJC52" s="68"/>
      <c r="HJD52" s="83"/>
      <c r="HJE52" s="83"/>
      <c r="HJF52" s="80"/>
      <c r="HJG52" s="70"/>
      <c r="HJH52" s="70"/>
      <c r="HJI52" s="25"/>
      <c r="HJJ52" s="26"/>
      <c r="HJK52" s="26"/>
      <c r="HJL52" s="67"/>
      <c r="HJM52" s="11"/>
      <c r="HJN52" s="11"/>
      <c r="HJO52" s="68"/>
      <c r="HJP52" s="83"/>
      <c r="HJQ52" s="83"/>
      <c r="HJR52" s="80"/>
      <c r="HJS52" s="70"/>
      <c r="HJT52" s="70"/>
      <c r="HJU52" s="25"/>
      <c r="HJV52" s="26"/>
      <c r="HJW52" s="26"/>
      <c r="HJX52" s="67"/>
      <c r="HJY52" s="11"/>
      <c r="HJZ52" s="11"/>
      <c r="HKA52" s="68"/>
      <c r="HKB52" s="83"/>
      <c r="HKC52" s="83"/>
      <c r="HKD52" s="80"/>
      <c r="HKE52" s="70"/>
      <c r="HKF52" s="70"/>
      <c r="HKG52" s="25"/>
      <c r="HKH52" s="26"/>
      <c r="HKI52" s="26"/>
      <c r="HKJ52" s="67"/>
      <c r="HKK52" s="11"/>
      <c r="HKL52" s="11"/>
      <c r="HKM52" s="68"/>
      <c r="HKN52" s="83"/>
      <c r="HKO52" s="83"/>
      <c r="HKP52" s="80"/>
      <c r="HKQ52" s="70"/>
      <c r="HKR52" s="70"/>
      <c r="HKS52" s="25"/>
      <c r="HKT52" s="26"/>
      <c r="HKU52" s="26"/>
      <c r="HKV52" s="67"/>
      <c r="HKW52" s="11"/>
      <c r="HKX52" s="11"/>
      <c r="HKY52" s="68"/>
      <c r="HKZ52" s="83"/>
      <c r="HLA52" s="83"/>
      <c r="HLB52" s="80"/>
      <c r="HLC52" s="70"/>
      <c r="HLD52" s="70"/>
      <c r="HLE52" s="25"/>
      <c r="HLF52" s="26"/>
      <c r="HLG52" s="26"/>
      <c r="HLH52" s="67"/>
      <c r="HLI52" s="11"/>
      <c r="HLJ52" s="11"/>
      <c r="HLK52" s="68"/>
      <c r="HLL52" s="83"/>
      <c r="HLM52" s="83"/>
      <c r="HLN52" s="80"/>
      <c r="HLO52" s="70"/>
      <c r="HLP52" s="70"/>
      <c r="HLQ52" s="25"/>
      <c r="HLR52" s="26"/>
      <c r="HLS52" s="26"/>
      <c r="HLT52" s="67"/>
      <c r="HLU52" s="11"/>
      <c r="HLV52" s="11"/>
      <c r="HLW52" s="68"/>
      <c r="HLX52" s="83"/>
      <c r="HLY52" s="83"/>
      <c r="HLZ52" s="80"/>
      <c r="HMA52" s="70"/>
      <c r="HMB52" s="70"/>
      <c r="HMC52" s="25"/>
      <c r="HMD52" s="26"/>
      <c r="HME52" s="26"/>
      <c r="HMF52" s="67"/>
      <c r="HMG52" s="11"/>
      <c r="HMH52" s="11"/>
      <c r="HMI52" s="68"/>
      <c r="HMJ52" s="83"/>
      <c r="HMK52" s="83"/>
      <c r="HML52" s="80"/>
      <c r="HMM52" s="70"/>
      <c r="HMN52" s="70"/>
      <c r="HMO52" s="25"/>
      <c r="HMP52" s="26"/>
      <c r="HMQ52" s="26"/>
      <c r="HMR52" s="67"/>
      <c r="HMS52" s="11"/>
      <c r="HMT52" s="11"/>
      <c r="HMU52" s="68"/>
      <c r="HMV52" s="83"/>
      <c r="HMW52" s="83"/>
      <c r="HMX52" s="80"/>
      <c r="HMY52" s="70"/>
      <c r="HMZ52" s="70"/>
      <c r="HNA52" s="25"/>
      <c r="HNB52" s="26"/>
      <c r="HNC52" s="26"/>
      <c r="HND52" s="67"/>
      <c r="HNE52" s="11"/>
      <c r="HNF52" s="11"/>
      <c r="HNG52" s="68"/>
      <c r="HNH52" s="83"/>
      <c r="HNI52" s="83"/>
      <c r="HNJ52" s="80"/>
      <c r="HNK52" s="70"/>
      <c r="HNL52" s="70"/>
      <c r="HNM52" s="25"/>
      <c r="HNN52" s="26"/>
      <c r="HNO52" s="26"/>
      <c r="HNP52" s="67"/>
      <c r="HNQ52" s="11"/>
      <c r="HNR52" s="11"/>
      <c r="HNS52" s="68"/>
      <c r="HNT52" s="83"/>
      <c r="HNU52" s="83"/>
      <c r="HNV52" s="80"/>
      <c r="HNW52" s="70"/>
      <c r="HNX52" s="70"/>
      <c r="HNY52" s="25"/>
      <c r="HNZ52" s="26"/>
      <c r="HOA52" s="26"/>
      <c r="HOB52" s="67"/>
      <c r="HOC52" s="11"/>
      <c r="HOD52" s="11"/>
      <c r="HOE52" s="68"/>
      <c r="HOF52" s="83"/>
      <c r="HOG52" s="83"/>
      <c r="HOH52" s="80"/>
      <c r="HOI52" s="70"/>
      <c r="HOJ52" s="70"/>
      <c r="HOK52" s="25"/>
      <c r="HOL52" s="26"/>
      <c r="HOM52" s="26"/>
      <c r="HON52" s="67"/>
      <c r="HOO52" s="11"/>
      <c r="HOP52" s="11"/>
      <c r="HOQ52" s="68"/>
      <c r="HOR52" s="83"/>
      <c r="HOS52" s="83"/>
      <c r="HOT52" s="80"/>
      <c r="HOU52" s="70"/>
      <c r="HOV52" s="70"/>
      <c r="HOW52" s="25"/>
      <c r="HOX52" s="26"/>
      <c r="HOY52" s="26"/>
      <c r="HOZ52" s="67"/>
      <c r="HPA52" s="11"/>
      <c r="HPB52" s="11"/>
      <c r="HPC52" s="68"/>
      <c r="HPD52" s="83"/>
      <c r="HPE52" s="83"/>
      <c r="HPF52" s="80"/>
      <c r="HPG52" s="70"/>
      <c r="HPH52" s="70"/>
      <c r="HPI52" s="25"/>
      <c r="HPJ52" s="26"/>
      <c r="HPK52" s="26"/>
      <c r="HPL52" s="67"/>
      <c r="HPM52" s="11"/>
      <c r="HPN52" s="11"/>
      <c r="HPO52" s="68"/>
      <c r="HPP52" s="83"/>
      <c r="HPQ52" s="83"/>
      <c r="HPR52" s="80"/>
      <c r="HPS52" s="70"/>
      <c r="HPT52" s="70"/>
      <c r="HPU52" s="25"/>
      <c r="HPV52" s="26"/>
      <c r="HPW52" s="26"/>
      <c r="HPX52" s="67"/>
      <c r="HPY52" s="11"/>
      <c r="HPZ52" s="11"/>
      <c r="HQA52" s="68"/>
      <c r="HQB52" s="83"/>
      <c r="HQC52" s="83"/>
      <c r="HQD52" s="80"/>
      <c r="HQE52" s="70"/>
      <c r="HQF52" s="70"/>
      <c r="HQG52" s="25"/>
      <c r="HQH52" s="26"/>
      <c r="HQI52" s="26"/>
      <c r="HQJ52" s="67"/>
      <c r="HQK52" s="11"/>
      <c r="HQL52" s="11"/>
      <c r="HQM52" s="68"/>
      <c r="HQN52" s="83"/>
      <c r="HQO52" s="83"/>
      <c r="HQP52" s="80"/>
      <c r="HQQ52" s="70"/>
      <c r="HQR52" s="70"/>
      <c r="HQS52" s="25"/>
      <c r="HQT52" s="26"/>
      <c r="HQU52" s="26"/>
      <c r="HQV52" s="67"/>
      <c r="HQW52" s="11"/>
      <c r="HQX52" s="11"/>
      <c r="HQY52" s="68"/>
      <c r="HQZ52" s="83"/>
      <c r="HRA52" s="83"/>
      <c r="HRB52" s="80"/>
      <c r="HRC52" s="70"/>
      <c r="HRD52" s="70"/>
      <c r="HRE52" s="25"/>
      <c r="HRF52" s="26"/>
      <c r="HRG52" s="26"/>
      <c r="HRH52" s="67"/>
      <c r="HRI52" s="11"/>
      <c r="HRJ52" s="11"/>
      <c r="HRK52" s="68"/>
      <c r="HRL52" s="83"/>
      <c r="HRM52" s="83"/>
      <c r="HRN52" s="80"/>
      <c r="HRO52" s="70"/>
      <c r="HRP52" s="70"/>
      <c r="HRQ52" s="25"/>
      <c r="HRR52" s="26"/>
      <c r="HRS52" s="26"/>
      <c r="HRT52" s="67"/>
      <c r="HRU52" s="11"/>
      <c r="HRV52" s="11"/>
      <c r="HRW52" s="68"/>
      <c r="HRX52" s="83"/>
      <c r="HRY52" s="83"/>
      <c r="HRZ52" s="80"/>
      <c r="HSA52" s="70"/>
      <c r="HSB52" s="70"/>
      <c r="HSC52" s="25"/>
      <c r="HSD52" s="26"/>
      <c r="HSE52" s="26"/>
      <c r="HSF52" s="67"/>
      <c r="HSG52" s="11"/>
      <c r="HSH52" s="11"/>
      <c r="HSI52" s="68"/>
      <c r="HSJ52" s="83"/>
      <c r="HSK52" s="83"/>
      <c r="HSL52" s="80"/>
      <c r="HSM52" s="70"/>
      <c r="HSN52" s="70"/>
      <c r="HSO52" s="25"/>
      <c r="HSP52" s="26"/>
      <c r="HSQ52" s="26"/>
      <c r="HSR52" s="67"/>
      <c r="HSS52" s="11"/>
      <c r="HST52" s="11"/>
      <c r="HSU52" s="68"/>
      <c r="HSV52" s="83"/>
      <c r="HSW52" s="83"/>
      <c r="HSX52" s="80"/>
      <c r="HSY52" s="70"/>
      <c r="HSZ52" s="70"/>
      <c r="HTA52" s="25"/>
      <c r="HTB52" s="26"/>
      <c r="HTC52" s="26"/>
      <c r="HTD52" s="67"/>
      <c r="HTE52" s="11"/>
      <c r="HTF52" s="11"/>
      <c r="HTG52" s="68"/>
      <c r="HTH52" s="83"/>
      <c r="HTI52" s="83"/>
      <c r="HTJ52" s="80"/>
      <c r="HTK52" s="70"/>
      <c r="HTL52" s="70"/>
      <c r="HTM52" s="25"/>
      <c r="HTN52" s="26"/>
      <c r="HTO52" s="26"/>
      <c r="HTP52" s="67"/>
      <c r="HTQ52" s="11"/>
      <c r="HTR52" s="11"/>
      <c r="HTS52" s="68"/>
      <c r="HTT52" s="83"/>
      <c r="HTU52" s="83"/>
      <c r="HTV52" s="80"/>
      <c r="HTW52" s="70"/>
      <c r="HTX52" s="70"/>
      <c r="HTY52" s="25"/>
      <c r="HTZ52" s="26"/>
      <c r="HUA52" s="26"/>
      <c r="HUB52" s="67"/>
      <c r="HUC52" s="11"/>
      <c r="HUD52" s="11"/>
      <c r="HUE52" s="68"/>
      <c r="HUF52" s="83"/>
      <c r="HUG52" s="83"/>
      <c r="HUH52" s="80"/>
      <c r="HUI52" s="70"/>
      <c r="HUJ52" s="70"/>
      <c r="HUK52" s="25"/>
      <c r="HUL52" s="26"/>
      <c r="HUM52" s="26"/>
      <c r="HUN52" s="67"/>
      <c r="HUO52" s="11"/>
      <c r="HUP52" s="11"/>
      <c r="HUQ52" s="68"/>
      <c r="HUR52" s="83"/>
      <c r="HUS52" s="83"/>
      <c r="HUT52" s="80"/>
      <c r="HUU52" s="70"/>
      <c r="HUV52" s="70"/>
      <c r="HUW52" s="25"/>
      <c r="HUX52" s="26"/>
      <c r="HUY52" s="26"/>
      <c r="HUZ52" s="67"/>
      <c r="HVA52" s="11"/>
      <c r="HVB52" s="11"/>
      <c r="HVC52" s="68"/>
      <c r="HVD52" s="83"/>
      <c r="HVE52" s="83"/>
      <c r="HVF52" s="80"/>
      <c r="HVG52" s="70"/>
      <c r="HVH52" s="70"/>
      <c r="HVI52" s="25"/>
      <c r="HVJ52" s="26"/>
      <c r="HVK52" s="26"/>
      <c r="HVL52" s="67"/>
      <c r="HVM52" s="11"/>
      <c r="HVN52" s="11"/>
      <c r="HVO52" s="68"/>
      <c r="HVP52" s="83"/>
      <c r="HVQ52" s="83"/>
      <c r="HVR52" s="80"/>
      <c r="HVS52" s="70"/>
      <c r="HVT52" s="70"/>
      <c r="HVU52" s="25"/>
      <c r="HVV52" s="26"/>
      <c r="HVW52" s="26"/>
      <c r="HVX52" s="67"/>
      <c r="HVY52" s="11"/>
      <c r="HVZ52" s="11"/>
      <c r="HWA52" s="68"/>
      <c r="HWB52" s="83"/>
      <c r="HWC52" s="83"/>
      <c r="HWD52" s="80"/>
      <c r="HWE52" s="70"/>
      <c r="HWF52" s="70"/>
      <c r="HWG52" s="25"/>
      <c r="HWH52" s="26"/>
      <c r="HWI52" s="26"/>
      <c r="HWJ52" s="67"/>
      <c r="HWK52" s="11"/>
      <c r="HWL52" s="11"/>
      <c r="HWM52" s="68"/>
      <c r="HWN52" s="83"/>
      <c r="HWO52" s="83"/>
      <c r="HWP52" s="80"/>
      <c r="HWQ52" s="70"/>
      <c r="HWR52" s="70"/>
      <c r="HWS52" s="25"/>
      <c r="HWT52" s="26"/>
      <c r="HWU52" s="26"/>
      <c r="HWV52" s="67"/>
      <c r="HWW52" s="11"/>
      <c r="HWX52" s="11"/>
      <c r="HWY52" s="68"/>
      <c r="HWZ52" s="83"/>
      <c r="HXA52" s="83"/>
      <c r="HXB52" s="80"/>
      <c r="HXC52" s="70"/>
      <c r="HXD52" s="70"/>
      <c r="HXE52" s="25"/>
      <c r="HXF52" s="26"/>
      <c r="HXG52" s="26"/>
      <c r="HXH52" s="67"/>
      <c r="HXI52" s="11"/>
      <c r="HXJ52" s="11"/>
      <c r="HXK52" s="68"/>
      <c r="HXL52" s="83"/>
      <c r="HXM52" s="83"/>
      <c r="HXN52" s="80"/>
      <c r="HXO52" s="70"/>
      <c r="HXP52" s="70"/>
      <c r="HXQ52" s="25"/>
      <c r="HXR52" s="26"/>
      <c r="HXS52" s="26"/>
      <c r="HXT52" s="67"/>
      <c r="HXU52" s="11"/>
      <c r="HXV52" s="11"/>
      <c r="HXW52" s="68"/>
      <c r="HXX52" s="83"/>
      <c r="HXY52" s="83"/>
      <c r="HXZ52" s="80"/>
      <c r="HYA52" s="70"/>
      <c r="HYB52" s="70"/>
      <c r="HYC52" s="25"/>
      <c r="HYD52" s="26"/>
      <c r="HYE52" s="26"/>
      <c r="HYF52" s="67"/>
      <c r="HYG52" s="11"/>
      <c r="HYH52" s="11"/>
      <c r="HYI52" s="68"/>
      <c r="HYJ52" s="83"/>
      <c r="HYK52" s="83"/>
      <c r="HYL52" s="80"/>
      <c r="HYM52" s="70"/>
      <c r="HYN52" s="70"/>
      <c r="HYO52" s="25"/>
      <c r="HYP52" s="26"/>
      <c r="HYQ52" s="26"/>
      <c r="HYR52" s="67"/>
      <c r="HYS52" s="11"/>
      <c r="HYT52" s="11"/>
      <c r="HYU52" s="68"/>
      <c r="HYV52" s="83"/>
      <c r="HYW52" s="83"/>
      <c r="HYX52" s="80"/>
      <c r="HYY52" s="70"/>
      <c r="HYZ52" s="70"/>
      <c r="HZA52" s="25"/>
      <c r="HZB52" s="26"/>
      <c r="HZC52" s="26"/>
      <c r="HZD52" s="67"/>
      <c r="HZE52" s="11"/>
      <c r="HZF52" s="11"/>
      <c r="HZG52" s="68"/>
      <c r="HZH52" s="83"/>
      <c r="HZI52" s="83"/>
      <c r="HZJ52" s="80"/>
      <c r="HZK52" s="70"/>
      <c r="HZL52" s="70"/>
      <c r="HZM52" s="25"/>
      <c r="HZN52" s="26"/>
      <c r="HZO52" s="26"/>
      <c r="HZP52" s="67"/>
      <c r="HZQ52" s="11"/>
      <c r="HZR52" s="11"/>
      <c r="HZS52" s="68"/>
      <c r="HZT52" s="83"/>
      <c r="HZU52" s="83"/>
      <c r="HZV52" s="80"/>
      <c r="HZW52" s="70"/>
      <c r="HZX52" s="70"/>
      <c r="HZY52" s="25"/>
      <c r="HZZ52" s="26"/>
      <c r="IAA52" s="26"/>
      <c r="IAB52" s="67"/>
      <c r="IAC52" s="11"/>
      <c r="IAD52" s="11"/>
      <c r="IAE52" s="68"/>
      <c r="IAF52" s="83"/>
      <c r="IAG52" s="83"/>
      <c r="IAH52" s="80"/>
      <c r="IAI52" s="70"/>
      <c r="IAJ52" s="70"/>
      <c r="IAK52" s="25"/>
      <c r="IAL52" s="26"/>
      <c r="IAM52" s="26"/>
      <c r="IAN52" s="67"/>
      <c r="IAO52" s="11"/>
      <c r="IAP52" s="11"/>
      <c r="IAQ52" s="68"/>
      <c r="IAR52" s="83"/>
      <c r="IAS52" s="83"/>
      <c r="IAT52" s="80"/>
      <c r="IAU52" s="70"/>
      <c r="IAV52" s="70"/>
      <c r="IAW52" s="25"/>
      <c r="IAX52" s="26"/>
      <c r="IAY52" s="26"/>
      <c r="IAZ52" s="67"/>
      <c r="IBA52" s="11"/>
      <c r="IBB52" s="11"/>
      <c r="IBC52" s="68"/>
      <c r="IBD52" s="83"/>
      <c r="IBE52" s="83"/>
      <c r="IBF52" s="80"/>
      <c r="IBG52" s="70"/>
      <c r="IBH52" s="70"/>
      <c r="IBI52" s="25"/>
      <c r="IBJ52" s="26"/>
      <c r="IBK52" s="26"/>
      <c r="IBL52" s="67"/>
      <c r="IBM52" s="11"/>
      <c r="IBN52" s="11"/>
      <c r="IBO52" s="68"/>
      <c r="IBP52" s="83"/>
      <c r="IBQ52" s="83"/>
      <c r="IBR52" s="80"/>
      <c r="IBS52" s="70"/>
      <c r="IBT52" s="70"/>
      <c r="IBU52" s="25"/>
      <c r="IBV52" s="26"/>
      <c r="IBW52" s="26"/>
      <c r="IBX52" s="67"/>
      <c r="IBY52" s="11"/>
      <c r="IBZ52" s="11"/>
      <c r="ICA52" s="68"/>
      <c r="ICB52" s="83"/>
      <c r="ICC52" s="83"/>
      <c r="ICD52" s="80"/>
      <c r="ICE52" s="70"/>
      <c r="ICF52" s="70"/>
      <c r="ICG52" s="25"/>
      <c r="ICH52" s="26"/>
      <c r="ICI52" s="26"/>
      <c r="ICJ52" s="67"/>
      <c r="ICK52" s="11"/>
      <c r="ICL52" s="11"/>
      <c r="ICM52" s="68"/>
      <c r="ICN52" s="83"/>
      <c r="ICO52" s="83"/>
      <c r="ICP52" s="80"/>
      <c r="ICQ52" s="70"/>
      <c r="ICR52" s="70"/>
      <c r="ICS52" s="25"/>
      <c r="ICT52" s="26"/>
      <c r="ICU52" s="26"/>
      <c r="ICV52" s="67"/>
      <c r="ICW52" s="11"/>
      <c r="ICX52" s="11"/>
      <c r="ICY52" s="68"/>
      <c r="ICZ52" s="83"/>
      <c r="IDA52" s="83"/>
      <c r="IDB52" s="80"/>
      <c r="IDC52" s="70"/>
      <c r="IDD52" s="70"/>
      <c r="IDE52" s="25"/>
      <c r="IDF52" s="26"/>
      <c r="IDG52" s="26"/>
      <c r="IDH52" s="67"/>
      <c r="IDI52" s="11"/>
      <c r="IDJ52" s="11"/>
      <c r="IDK52" s="68"/>
      <c r="IDL52" s="83"/>
      <c r="IDM52" s="83"/>
      <c r="IDN52" s="80"/>
      <c r="IDO52" s="70"/>
      <c r="IDP52" s="70"/>
      <c r="IDQ52" s="25"/>
      <c r="IDR52" s="26"/>
      <c r="IDS52" s="26"/>
      <c r="IDT52" s="67"/>
      <c r="IDU52" s="11"/>
      <c r="IDV52" s="11"/>
      <c r="IDW52" s="68"/>
      <c r="IDX52" s="83"/>
      <c r="IDY52" s="83"/>
      <c r="IDZ52" s="80"/>
      <c r="IEA52" s="70"/>
      <c r="IEB52" s="70"/>
      <c r="IEC52" s="25"/>
      <c r="IED52" s="26"/>
      <c r="IEE52" s="26"/>
      <c r="IEF52" s="67"/>
      <c r="IEG52" s="11"/>
      <c r="IEH52" s="11"/>
      <c r="IEI52" s="68"/>
      <c r="IEJ52" s="83"/>
      <c r="IEK52" s="83"/>
      <c r="IEL52" s="80"/>
      <c r="IEM52" s="70"/>
      <c r="IEN52" s="70"/>
      <c r="IEO52" s="25"/>
      <c r="IEP52" s="26"/>
      <c r="IEQ52" s="26"/>
      <c r="IER52" s="67"/>
      <c r="IES52" s="11"/>
      <c r="IET52" s="11"/>
      <c r="IEU52" s="68"/>
      <c r="IEV52" s="83"/>
      <c r="IEW52" s="83"/>
      <c r="IEX52" s="80"/>
      <c r="IEY52" s="70"/>
      <c r="IEZ52" s="70"/>
      <c r="IFA52" s="25"/>
      <c r="IFB52" s="26"/>
      <c r="IFC52" s="26"/>
      <c r="IFD52" s="67"/>
      <c r="IFE52" s="11"/>
      <c r="IFF52" s="11"/>
      <c r="IFG52" s="68"/>
      <c r="IFH52" s="83"/>
      <c r="IFI52" s="83"/>
      <c r="IFJ52" s="80"/>
      <c r="IFK52" s="70"/>
      <c r="IFL52" s="70"/>
      <c r="IFM52" s="25"/>
      <c r="IFN52" s="26"/>
      <c r="IFO52" s="26"/>
      <c r="IFP52" s="67"/>
      <c r="IFQ52" s="11"/>
      <c r="IFR52" s="11"/>
      <c r="IFS52" s="68"/>
      <c r="IFT52" s="83"/>
      <c r="IFU52" s="83"/>
      <c r="IFV52" s="80"/>
      <c r="IFW52" s="70"/>
      <c r="IFX52" s="70"/>
      <c r="IFY52" s="25"/>
      <c r="IFZ52" s="26"/>
      <c r="IGA52" s="26"/>
      <c r="IGB52" s="67"/>
      <c r="IGC52" s="11"/>
      <c r="IGD52" s="11"/>
      <c r="IGE52" s="68"/>
      <c r="IGF52" s="83"/>
      <c r="IGG52" s="83"/>
      <c r="IGH52" s="80"/>
      <c r="IGI52" s="70"/>
      <c r="IGJ52" s="70"/>
      <c r="IGK52" s="25"/>
      <c r="IGL52" s="26"/>
      <c r="IGM52" s="26"/>
      <c r="IGN52" s="67"/>
      <c r="IGO52" s="11"/>
      <c r="IGP52" s="11"/>
      <c r="IGQ52" s="68"/>
      <c r="IGR52" s="83"/>
      <c r="IGS52" s="83"/>
      <c r="IGT52" s="80"/>
      <c r="IGU52" s="70"/>
      <c r="IGV52" s="70"/>
      <c r="IGW52" s="25"/>
      <c r="IGX52" s="26"/>
      <c r="IGY52" s="26"/>
      <c r="IGZ52" s="67"/>
      <c r="IHA52" s="11"/>
      <c r="IHB52" s="11"/>
      <c r="IHC52" s="68"/>
      <c r="IHD52" s="83"/>
      <c r="IHE52" s="83"/>
      <c r="IHF52" s="80"/>
      <c r="IHG52" s="70"/>
      <c r="IHH52" s="70"/>
      <c r="IHI52" s="25"/>
      <c r="IHJ52" s="26"/>
      <c r="IHK52" s="26"/>
      <c r="IHL52" s="67"/>
      <c r="IHM52" s="11"/>
      <c r="IHN52" s="11"/>
      <c r="IHO52" s="68"/>
      <c r="IHP52" s="83"/>
      <c r="IHQ52" s="83"/>
      <c r="IHR52" s="80"/>
      <c r="IHS52" s="70"/>
      <c r="IHT52" s="70"/>
      <c r="IHU52" s="25"/>
      <c r="IHV52" s="26"/>
      <c r="IHW52" s="26"/>
      <c r="IHX52" s="67"/>
      <c r="IHY52" s="11"/>
      <c r="IHZ52" s="11"/>
      <c r="IIA52" s="68"/>
      <c r="IIB52" s="83"/>
      <c r="IIC52" s="83"/>
      <c r="IID52" s="80"/>
      <c r="IIE52" s="70"/>
      <c r="IIF52" s="70"/>
      <c r="IIG52" s="25"/>
      <c r="IIH52" s="26"/>
      <c r="III52" s="26"/>
      <c r="IIJ52" s="67"/>
      <c r="IIK52" s="11"/>
      <c r="IIL52" s="11"/>
      <c r="IIM52" s="68"/>
      <c r="IIN52" s="83"/>
      <c r="IIO52" s="83"/>
      <c r="IIP52" s="80"/>
      <c r="IIQ52" s="70"/>
      <c r="IIR52" s="70"/>
      <c r="IIS52" s="25"/>
      <c r="IIT52" s="26"/>
      <c r="IIU52" s="26"/>
      <c r="IIV52" s="67"/>
      <c r="IIW52" s="11"/>
      <c r="IIX52" s="11"/>
      <c r="IIY52" s="68"/>
      <c r="IIZ52" s="83"/>
      <c r="IJA52" s="83"/>
      <c r="IJB52" s="80"/>
      <c r="IJC52" s="70"/>
      <c r="IJD52" s="70"/>
      <c r="IJE52" s="25"/>
      <c r="IJF52" s="26"/>
      <c r="IJG52" s="26"/>
      <c r="IJH52" s="67"/>
      <c r="IJI52" s="11"/>
      <c r="IJJ52" s="11"/>
      <c r="IJK52" s="68"/>
      <c r="IJL52" s="83"/>
      <c r="IJM52" s="83"/>
      <c r="IJN52" s="80"/>
      <c r="IJO52" s="70"/>
      <c r="IJP52" s="70"/>
      <c r="IJQ52" s="25"/>
      <c r="IJR52" s="26"/>
      <c r="IJS52" s="26"/>
      <c r="IJT52" s="67"/>
      <c r="IJU52" s="11"/>
      <c r="IJV52" s="11"/>
      <c r="IJW52" s="68"/>
      <c r="IJX52" s="83"/>
      <c r="IJY52" s="83"/>
      <c r="IJZ52" s="80"/>
      <c r="IKA52" s="70"/>
      <c r="IKB52" s="70"/>
      <c r="IKC52" s="25"/>
      <c r="IKD52" s="26"/>
      <c r="IKE52" s="26"/>
      <c r="IKF52" s="67"/>
      <c r="IKG52" s="11"/>
      <c r="IKH52" s="11"/>
      <c r="IKI52" s="68"/>
      <c r="IKJ52" s="83"/>
      <c r="IKK52" s="83"/>
      <c r="IKL52" s="80"/>
      <c r="IKM52" s="70"/>
      <c r="IKN52" s="70"/>
      <c r="IKO52" s="25"/>
      <c r="IKP52" s="26"/>
      <c r="IKQ52" s="26"/>
      <c r="IKR52" s="67"/>
      <c r="IKS52" s="11"/>
      <c r="IKT52" s="11"/>
      <c r="IKU52" s="68"/>
      <c r="IKV52" s="83"/>
      <c r="IKW52" s="83"/>
      <c r="IKX52" s="80"/>
      <c r="IKY52" s="70"/>
      <c r="IKZ52" s="70"/>
      <c r="ILA52" s="25"/>
      <c r="ILB52" s="26"/>
      <c r="ILC52" s="26"/>
      <c r="ILD52" s="67"/>
      <c r="ILE52" s="11"/>
      <c r="ILF52" s="11"/>
      <c r="ILG52" s="68"/>
      <c r="ILH52" s="83"/>
      <c r="ILI52" s="83"/>
      <c r="ILJ52" s="80"/>
      <c r="ILK52" s="70"/>
      <c r="ILL52" s="70"/>
      <c r="ILM52" s="25"/>
      <c r="ILN52" s="26"/>
      <c r="ILO52" s="26"/>
      <c r="ILP52" s="67"/>
      <c r="ILQ52" s="11"/>
      <c r="ILR52" s="11"/>
      <c r="ILS52" s="68"/>
      <c r="ILT52" s="83"/>
      <c r="ILU52" s="83"/>
      <c r="ILV52" s="80"/>
      <c r="ILW52" s="70"/>
      <c r="ILX52" s="70"/>
      <c r="ILY52" s="25"/>
      <c r="ILZ52" s="26"/>
      <c r="IMA52" s="26"/>
      <c r="IMB52" s="67"/>
      <c r="IMC52" s="11"/>
      <c r="IMD52" s="11"/>
      <c r="IME52" s="68"/>
      <c r="IMF52" s="83"/>
      <c r="IMG52" s="83"/>
      <c r="IMH52" s="80"/>
      <c r="IMI52" s="70"/>
      <c r="IMJ52" s="70"/>
      <c r="IMK52" s="25"/>
      <c r="IML52" s="26"/>
      <c r="IMM52" s="26"/>
      <c r="IMN52" s="67"/>
      <c r="IMO52" s="11"/>
      <c r="IMP52" s="11"/>
      <c r="IMQ52" s="68"/>
      <c r="IMR52" s="83"/>
      <c r="IMS52" s="83"/>
      <c r="IMT52" s="80"/>
      <c r="IMU52" s="70"/>
      <c r="IMV52" s="70"/>
      <c r="IMW52" s="25"/>
      <c r="IMX52" s="26"/>
      <c r="IMY52" s="26"/>
      <c r="IMZ52" s="67"/>
      <c r="INA52" s="11"/>
      <c r="INB52" s="11"/>
      <c r="INC52" s="68"/>
      <c r="IND52" s="83"/>
      <c r="INE52" s="83"/>
      <c r="INF52" s="80"/>
      <c r="ING52" s="70"/>
      <c r="INH52" s="70"/>
      <c r="INI52" s="25"/>
      <c r="INJ52" s="26"/>
      <c r="INK52" s="26"/>
      <c r="INL52" s="67"/>
      <c r="INM52" s="11"/>
      <c r="INN52" s="11"/>
      <c r="INO52" s="68"/>
      <c r="INP52" s="83"/>
      <c r="INQ52" s="83"/>
      <c r="INR52" s="80"/>
      <c r="INS52" s="70"/>
      <c r="INT52" s="70"/>
      <c r="INU52" s="25"/>
      <c r="INV52" s="26"/>
      <c r="INW52" s="26"/>
      <c r="INX52" s="67"/>
      <c r="INY52" s="11"/>
      <c r="INZ52" s="11"/>
      <c r="IOA52" s="68"/>
      <c r="IOB52" s="83"/>
      <c r="IOC52" s="83"/>
      <c r="IOD52" s="80"/>
      <c r="IOE52" s="70"/>
      <c r="IOF52" s="70"/>
      <c r="IOG52" s="25"/>
      <c r="IOH52" s="26"/>
      <c r="IOI52" s="26"/>
      <c r="IOJ52" s="67"/>
      <c r="IOK52" s="11"/>
      <c r="IOL52" s="11"/>
      <c r="IOM52" s="68"/>
      <c r="ION52" s="83"/>
      <c r="IOO52" s="83"/>
      <c r="IOP52" s="80"/>
      <c r="IOQ52" s="70"/>
      <c r="IOR52" s="70"/>
      <c r="IOS52" s="25"/>
      <c r="IOT52" s="26"/>
      <c r="IOU52" s="26"/>
      <c r="IOV52" s="67"/>
      <c r="IOW52" s="11"/>
      <c r="IOX52" s="11"/>
      <c r="IOY52" s="68"/>
      <c r="IOZ52" s="83"/>
      <c r="IPA52" s="83"/>
      <c r="IPB52" s="80"/>
      <c r="IPC52" s="70"/>
      <c r="IPD52" s="70"/>
      <c r="IPE52" s="25"/>
      <c r="IPF52" s="26"/>
      <c r="IPG52" s="26"/>
      <c r="IPH52" s="67"/>
      <c r="IPI52" s="11"/>
      <c r="IPJ52" s="11"/>
      <c r="IPK52" s="68"/>
      <c r="IPL52" s="83"/>
      <c r="IPM52" s="83"/>
      <c r="IPN52" s="80"/>
      <c r="IPO52" s="70"/>
      <c r="IPP52" s="70"/>
      <c r="IPQ52" s="25"/>
      <c r="IPR52" s="26"/>
      <c r="IPS52" s="26"/>
      <c r="IPT52" s="67"/>
      <c r="IPU52" s="11"/>
      <c r="IPV52" s="11"/>
      <c r="IPW52" s="68"/>
      <c r="IPX52" s="83"/>
      <c r="IPY52" s="83"/>
      <c r="IPZ52" s="80"/>
      <c r="IQA52" s="70"/>
      <c r="IQB52" s="70"/>
      <c r="IQC52" s="25"/>
      <c r="IQD52" s="26"/>
      <c r="IQE52" s="26"/>
      <c r="IQF52" s="67"/>
      <c r="IQG52" s="11"/>
      <c r="IQH52" s="11"/>
      <c r="IQI52" s="68"/>
      <c r="IQJ52" s="83"/>
      <c r="IQK52" s="83"/>
      <c r="IQL52" s="80"/>
      <c r="IQM52" s="70"/>
      <c r="IQN52" s="70"/>
      <c r="IQO52" s="25"/>
      <c r="IQP52" s="26"/>
      <c r="IQQ52" s="26"/>
      <c r="IQR52" s="67"/>
      <c r="IQS52" s="11"/>
      <c r="IQT52" s="11"/>
      <c r="IQU52" s="68"/>
      <c r="IQV52" s="83"/>
      <c r="IQW52" s="83"/>
      <c r="IQX52" s="80"/>
      <c r="IQY52" s="70"/>
      <c r="IQZ52" s="70"/>
      <c r="IRA52" s="25"/>
      <c r="IRB52" s="26"/>
      <c r="IRC52" s="26"/>
      <c r="IRD52" s="67"/>
      <c r="IRE52" s="11"/>
      <c r="IRF52" s="11"/>
      <c r="IRG52" s="68"/>
      <c r="IRH52" s="83"/>
      <c r="IRI52" s="83"/>
      <c r="IRJ52" s="80"/>
      <c r="IRK52" s="70"/>
      <c r="IRL52" s="70"/>
      <c r="IRM52" s="25"/>
      <c r="IRN52" s="26"/>
      <c r="IRO52" s="26"/>
      <c r="IRP52" s="67"/>
      <c r="IRQ52" s="11"/>
      <c r="IRR52" s="11"/>
      <c r="IRS52" s="68"/>
      <c r="IRT52" s="83"/>
      <c r="IRU52" s="83"/>
      <c r="IRV52" s="80"/>
      <c r="IRW52" s="70"/>
      <c r="IRX52" s="70"/>
      <c r="IRY52" s="25"/>
      <c r="IRZ52" s="26"/>
      <c r="ISA52" s="26"/>
      <c r="ISB52" s="67"/>
      <c r="ISC52" s="11"/>
      <c r="ISD52" s="11"/>
      <c r="ISE52" s="68"/>
      <c r="ISF52" s="83"/>
      <c r="ISG52" s="83"/>
      <c r="ISH52" s="80"/>
      <c r="ISI52" s="70"/>
      <c r="ISJ52" s="70"/>
      <c r="ISK52" s="25"/>
      <c r="ISL52" s="26"/>
      <c r="ISM52" s="26"/>
      <c r="ISN52" s="67"/>
      <c r="ISO52" s="11"/>
      <c r="ISP52" s="11"/>
      <c r="ISQ52" s="68"/>
      <c r="ISR52" s="83"/>
      <c r="ISS52" s="83"/>
      <c r="IST52" s="80"/>
      <c r="ISU52" s="70"/>
      <c r="ISV52" s="70"/>
      <c r="ISW52" s="25"/>
      <c r="ISX52" s="26"/>
      <c r="ISY52" s="26"/>
      <c r="ISZ52" s="67"/>
      <c r="ITA52" s="11"/>
      <c r="ITB52" s="11"/>
      <c r="ITC52" s="68"/>
      <c r="ITD52" s="83"/>
      <c r="ITE52" s="83"/>
      <c r="ITF52" s="80"/>
      <c r="ITG52" s="70"/>
      <c r="ITH52" s="70"/>
      <c r="ITI52" s="25"/>
      <c r="ITJ52" s="26"/>
      <c r="ITK52" s="26"/>
      <c r="ITL52" s="67"/>
      <c r="ITM52" s="11"/>
      <c r="ITN52" s="11"/>
      <c r="ITO52" s="68"/>
      <c r="ITP52" s="83"/>
      <c r="ITQ52" s="83"/>
      <c r="ITR52" s="80"/>
      <c r="ITS52" s="70"/>
      <c r="ITT52" s="70"/>
      <c r="ITU52" s="25"/>
      <c r="ITV52" s="26"/>
      <c r="ITW52" s="26"/>
      <c r="ITX52" s="67"/>
      <c r="ITY52" s="11"/>
      <c r="ITZ52" s="11"/>
      <c r="IUA52" s="68"/>
      <c r="IUB52" s="83"/>
      <c r="IUC52" s="83"/>
      <c r="IUD52" s="80"/>
      <c r="IUE52" s="70"/>
      <c r="IUF52" s="70"/>
      <c r="IUG52" s="25"/>
      <c r="IUH52" s="26"/>
      <c r="IUI52" s="26"/>
      <c r="IUJ52" s="67"/>
      <c r="IUK52" s="11"/>
      <c r="IUL52" s="11"/>
      <c r="IUM52" s="68"/>
      <c r="IUN52" s="83"/>
      <c r="IUO52" s="83"/>
      <c r="IUP52" s="80"/>
      <c r="IUQ52" s="70"/>
      <c r="IUR52" s="70"/>
      <c r="IUS52" s="25"/>
      <c r="IUT52" s="26"/>
      <c r="IUU52" s="26"/>
      <c r="IUV52" s="67"/>
      <c r="IUW52" s="11"/>
      <c r="IUX52" s="11"/>
      <c r="IUY52" s="68"/>
      <c r="IUZ52" s="83"/>
      <c r="IVA52" s="83"/>
      <c r="IVB52" s="80"/>
      <c r="IVC52" s="70"/>
      <c r="IVD52" s="70"/>
      <c r="IVE52" s="25"/>
      <c r="IVF52" s="26"/>
      <c r="IVG52" s="26"/>
      <c r="IVH52" s="67"/>
      <c r="IVI52" s="11"/>
      <c r="IVJ52" s="11"/>
      <c r="IVK52" s="68"/>
      <c r="IVL52" s="83"/>
      <c r="IVM52" s="83"/>
      <c r="IVN52" s="80"/>
      <c r="IVO52" s="70"/>
      <c r="IVP52" s="70"/>
      <c r="IVQ52" s="25"/>
      <c r="IVR52" s="26"/>
      <c r="IVS52" s="26"/>
      <c r="IVT52" s="67"/>
      <c r="IVU52" s="11"/>
      <c r="IVV52" s="11"/>
      <c r="IVW52" s="68"/>
      <c r="IVX52" s="83"/>
      <c r="IVY52" s="83"/>
      <c r="IVZ52" s="80"/>
      <c r="IWA52" s="70"/>
      <c r="IWB52" s="70"/>
      <c r="IWC52" s="25"/>
      <c r="IWD52" s="26"/>
      <c r="IWE52" s="26"/>
      <c r="IWF52" s="67"/>
      <c r="IWG52" s="11"/>
      <c r="IWH52" s="11"/>
      <c r="IWI52" s="68"/>
      <c r="IWJ52" s="83"/>
      <c r="IWK52" s="83"/>
      <c r="IWL52" s="80"/>
      <c r="IWM52" s="70"/>
      <c r="IWN52" s="70"/>
      <c r="IWO52" s="25"/>
      <c r="IWP52" s="26"/>
      <c r="IWQ52" s="26"/>
      <c r="IWR52" s="67"/>
      <c r="IWS52" s="11"/>
      <c r="IWT52" s="11"/>
      <c r="IWU52" s="68"/>
      <c r="IWV52" s="83"/>
      <c r="IWW52" s="83"/>
      <c r="IWX52" s="80"/>
      <c r="IWY52" s="70"/>
      <c r="IWZ52" s="70"/>
      <c r="IXA52" s="25"/>
      <c r="IXB52" s="26"/>
      <c r="IXC52" s="26"/>
      <c r="IXD52" s="67"/>
      <c r="IXE52" s="11"/>
      <c r="IXF52" s="11"/>
      <c r="IXG52" s="68"/>
      <c r="IXH52" s="83"/>
      <c r="IXI52" s="83"/>
      <c r="IXJ52" s="80"/>
      <c r="IXK52" s="70"/>
      <c r="IXL52" s="70"/>
      <c r="IXM52" s="25"/>
      <c r="IXN52" s="26"/>
      <c r="IXO52" s="26"/>
      <c r="IXP52" s="67"/>
      <c r="IXQ52" s="11"/>
      <c r="IXR52" s="11"/>
      <c r="IXS52" s="68"/>
      <c r="IXT52" s="83"/>
      <c r="IXU52" s="83"/>
      <c r="IXV52" s="80"/>
      <c r="IXW52" s="70"/>
      <c r="IXX52" s="70"/>
      <c r="IXY52" s="25"/>
      <c r="IXZ52" s="26"/>
      <c r="IYA52" s="26"/>
      <c r="IYB52" s="67"/>
      <c r="IYC52" s="11"/>
      <c r="IYD52" s="11"/>
      <c r="IYE52" s="68"/>
      <c r="IYF52" s="83"/>
      <c r="IYG52" s="83"/>
      <c r="IYH52" s="80"/>
      <c r="IYI52" s="70"/>
      <c r="IYJ52" s="70"/>
      <c r="IYK52" s="25"/>
      <c r="IYL52" s="26"/>
      <c r="IYM52" s="26"/>
      <c r="IYN52" s="67"/>
      <c r="IYO52" s="11"/>
      <c r="IYP52" s="11"/>
      <c r="IYQ52" s="68"/>
      <c r="IYR52" s="83"/>
      <c r="IYS52" s="83"/>
      <c r="IYT52" s="80"/>
      <c r="IYU52" s="70"/>
      <c r="IYV52" s="70"/>
      <c r="IYW52" s="25"/>
      <c r="IYX52" s="26"/>
      <c r="IYY52" s="26"/>
      <c r="IYZ52" s="67"/>
      <c r="IZA52" s="11"/>
      <c r="IZB52" s="11"/>
      <c r="IZC52" s="68"/>
      <c r="IZD52" s="83"/>
      <c r="IZE52" s="83"/>
      <c r="IZF52" s="80"/>
      <c r="IZG52" s="70"/>
      <c r="IZH52" s="70"/>
      <c r="IZI52" s="25"/>
      <c r="IZJ52" s="26"/>
      <c r="IZK52" s="26"/>
      <c r="IZL52" s="67"/>
      <c r="IZM52" s="11"/>
      <c r="IZN52" s="11"/>
      <c r="IZO52" s="68"/>
      <c r="IZP52" s="83"/>
      <c r="IZQ52" s="83"/>
      <c r="IZR52" s="80"/>
      <c r="IZS52" s="70"/>
      <c r="IZT52" s="70"/>
      <c r="IZU52" s="25"/>
      <c r="IZV52" s="26"/>
      <c r="IZW52" s="26"/>
      <c r="IZX52" s="67"/>
      <c r="IZY52" s="11"/>
      <c r="IZZ52" s="11"/>
      <c r="JAA52" s="68"/>
      <c r="JAB52" s="83"/>
      <c r="JAC52" s="83"/>
      <c r="JAD52" s="80"/>
      <c r="JAE52" s="70"/>
      <c r="JAF52" s="70"/>
      <c r="JAG52" s="25"/>
      <c r="JAH52" s="26"/>
      <c r="JAI52" s="26"/>
      <c r="JAJ52" s="67"/>
      <c r="JAK52" s="11"/>
      <c r="JAL52" s="11"/>
      <c r="JAM52" s="68"/>
      <c r="JAN52" s="83"/>
      <c r="JAO52" s="83"/>
      <c r="JAP52" s="80"/>
      <c r="JAQ52" s="70"/>
      <c r="JAR52" s="70"/>
      <c r="JAS52" s="25"/>
      <c r="JAT52" s="26"/>
      <c r="JAU52" s="26"/>
      <c r="JAV52" s="67"/>
      <c r="JAW52" s="11"/>
      <c r="JAX52" s="11"/>
      <c r="JAY52" s="68"/>
      <c r="JAZ52" s="83"/>
      <c r="JBA52" s="83"/>
      <c r="JBB52" s="80"/>
      <c r="JBC52" s="70"/>
      <c r="JBD52" s="70"/>
      <c r="JBE52" s="25"/>
      <c r="JBF52" s="26"/>
      <c r="JBG52" s="26"/>
      <c r="JBH52" s="67"/>
      <c r="JBI52" s="11"/>
      <c r="JBJ52" s="11"/>
      <c r="JBK52" s="68"/>
      <c r="JBL52" s="83"/>
      <c r="JBM52" s="83"/>
      <c r="JBN52" s="80"/>
      <c r="JBO52" s="70"/>
      <c r="JBP52" s="70"/>
      <c r="JBQ52" s="25"/>
      <c r="JBR52" s="26"/>
      <c r="JBS52" s="26"/>
      <c r="JBT52" s="67"/>
      <c r="JBU52" s="11"/>
      <c r="JBV52" s="11"/>
      <c r="JBW52" s="68"/>
      <c r="JBX52" s="83"/>
      <c r="JBY52" s="83"/>
      <c r="JBZ52" s="80"/>
      <c r="JCA52" s="70"/>
      <c r="JCB52" s="70"/>
      <c r="JCC52" s="25"/>
      <c r="JCD52" s="26"/>
      <c r="JCE52" s="26"/>
      <c r="JCF52" s="67"/>
      <c r="JCG52" s="11"/>
      <c r="JCH52" s="11"/>
      <c r="JCI52" s="68"/>
      <c r="JCJ52" s="83"/>
      <c r="JCK52" s="83"/>
      <c r="JCL52" s="80"/>
      <c r="JCM52" s="70"/>
      <c r="JCN52" s="70"/>
      <c r="JCO52" s="25"/>
      <c r="JCP52" s="26"/>
      <c r="JCQ52" s="26"/>
      <c r="JCR52" s="67"/>
      <c r="JCS52" s="11"/>
      <c r="JCT52" s="11"/>
      <c r="JCU52" s="68"/>
      <c r="JCV52" s="83"/>
      <c r="JCW52" s="83"/>
      <c r="JCX52" s="80"/>
      <c r="JCY52" s="70"/>
      <c r="JCZ52" s="70"/>
      <c r="JDA52" s="25"/>
      <c r="JDB52" s="26"/>
      <c r="JDC52" s="26"/>
      <c r="JDD52" s="67"/>
      <c r="JDE52" s="11"/>
      <c r="JDF52" s="11"/>
      <c r="JDG52" s="68"/>
      <c r="JDH52" s="83"/>
      <c r="JDI52" s="83"/>
      <c r="JDJ52" s="80"/>
      <c r="JDK52" s="70"/>
      <c r="JDL52" s="70"/>
      <c r="JDM52" s="25"/>
      <c r="JDN52" s="26"/>
      <c r="JDO52" s="26"/>
      <c r="JDP52" s="67"/>
      <c r="JDQ52" s="11"/>
      <c r="JDR52" s="11"/>
      <c r="JDS52" s="68"/>
      <c r="JDT52" s="83"/>
      <c r="JDU52" s="83"/>
      <c r="JDV52" s="80"/>
      <c r="JDW52" s="70"/>
      <c r="JDX52" s="70"/>
      <c r="JDY52" s="25"/>
      <c r="JDZ52" s="26"/>
      <c r="JEA52" s="26"/>
      <c r="JEB52" s="67"/>
      <c r="JEC52" s="11"/>
      <c r="JED52" s="11"/>
      <c r="JEE52" s="68"/>
      <c r="JEF52" s="83"/>
      <c r="JEG52" s="83"/>
      <c r="JEH52" s="80"/>
      <c r="JEI52" s="70"/>
      <c r="JEJ52" s="70"/>
      <c r="JEK52" s="25"/>
      <c r="JEL52" s="26"/>
      <c r="JEM52" s="26"/>
      <c r="JEN52" s="67"/>
      <c r="JEO52" s="11"/>
      <c r="JEP52" s="11"/>
      <c r="JEQ52" s="68"/>
      <c r="JER52" s="83"/>
      <c r="JES52" s="83"/>
      <c r="JET52" s="80"/>
      <c r="JEU52" s="70"/>
      <c r="JEV52" s="70"/>
      <c r="JEW52" s="25"/>
      <c r="JEX52" s="26"/>
      <c r="JEY52" s="26"/>
      <c r="JEZ52" s="67"/>
      <c r="JFA52" s="11"/>
      <c r="JFB52" s="11"/>
      <c r="JFC52" s="68"/>
      <c r="JFD52" s="83"/>
      <c r="JFE52" s="83"/>
      <c r="JFF52" s="80"/>
      <c r="JFG52" s="70"/>
      <c r="JFH52" s="70"/>
      <c r="JFI52" s="25"/>
      <c r="JFJ52" s="26"/>
      <c r="JFK52" s="26"/>
      <c r="JFL52" s="67"/>
      <c r="JFM52" s="11"/>
      <c r="JFN52" s="11"/>
      <c r="JFO52" s="68"/>
      <c r="JFP52" s="83"/>
      <c r="JFQ52" s="83"/>
      <c r="JFR52" s="80"/>
      <c r="JFS52" s="70"/>
      <c r="JFT52" s="70"/>
      <c r="JFU52" s="25"/>
      <c r="JFV52" s="26"/>
      <c r="JFW52" s="26"/>
      <c r="JFX52" s="67"/>
      <c r="JFY52" s="11"/>
      <c r="JFZ52" s="11"/>
      <c r="JGA52" s="68"/>
      <c r="JGB52" s="83"/>
      <c r="JGC52" s="83"/>
      <c r="JGD52" s="80"/>
      <c r="JGE52" s="70"/>
      <c r="JGF52" s="70"/>
      <c r="JGG52" s="25"/>
      <c r="JGH52" s="26"/>
      <c r="JGI52" s="26"/>
      <c r="JGJ52" s="67"/>
      <c r="JGK52" s="11"/>
      <c r="JGL52" s="11"/>
      <c r="JGM52" s="68"/>
      <c r="JGN52" s="83"/>
      <c r="JGO52" s="83"/>
      <c r="JGP52" s="80"/>
      <c r="JGQ52" s="70"/>
      <c r="JGR52" s="70"/>
      <c r="JGS52" s="25"/>
      <c r="JGT52" s="26"/>
      <c r="JGU52" s="26"/>
      <c r="JGV52" s="67"/>
      <c r="JGW52" s="11"/>
      <c r="JGX52" s="11"/>
      <c r="JGY52" s="68"/>
      <c r="JGZ52" s="83"/>
      <c r="JHA52" s="83"/>
      <c r="JHB52" s="80"/>
      <c r="JHC52" s="70"/>
      <c r="JHD52" s="70"/>
      <c r="JHE52" s="25"/>
      <c r="JHF52" s="26"/>
      <c r="JHG52" s="26"/>
      <c r="JHH52" s="67"/>
      <c r="JHI52" s="11"/>
      <c r="JHJ52" s="11"/>
      <c r="JHK52" s="68"/>
      <c r="JHL52" s="83"/>
      <c r="JHM52" s="83"/>
      <c r="JHN52" s="80"/>
      <c r="JHO52" s="70"/>
      <c r="JHP52" s="70"/>
      <c r="JHQ52" s="25"/>
      <c r="JHR52" s="26"/>
      <c r="JHS52" s="26"/>
      <c r="JHT52" s="67"/>
      <c r="JHU52" s="11"/>
      <c r="JHV52" s="11"/>
      <c r="JHW52" s="68"/>
      <c r="JHX52" s="83"/>
      <c r="JHY52" s="83"/>
      <c r="JHZ52" s="80"/>
      <c r="JIA52" s="70"/>
      <c r="JIB52" s="70"/>
      <c r="JIC52" s="25"/>
      <c r="JID52" s="26"/>
      <c r="JIE52" s="26"/>
      <c r="JIF52" s="67"/>
      <c r="JIG52" s="11"/>
      <c r="JIH52" s="11"/>
      <c r="JII52" s="68"/>
      <c r="JIJ52" s="83"/>
      <c r="JIK52" s="83"/>
      <c r="JIL52" s="80"/>
      <c r="JIM52" s="70"/>
      <c r="JIN52" s="70"/>
      <c r="JIO52" s="25"/>
      <c r="JIP52" s="26"/>
      <c r="JIQ52" s="26"/>
      <c r="JIR52" s="67"/>
      <c r="JIS52" s="11"/>
      <c r="JIT52" s="11"/>
      <c r="JIU52" s="68"/>
      <c r="JIV52" s="83"/>
      <c r="JIW52" s="83"/>
      <c r="JIX52" s="80"/>
      <c r="JIY52" s="70"/>
      <c r="JIZ52" s="70"/>
      <c r="JJA52" s="25"/>
      <c r="JJB52" s="26"/>
      <c r="JJC52" s="26"/>
      <c r="JJD52" s="67"/>
      <c r="JJE52" s="11"/>
      <c r="JJF52" s="11"/>
      <c r="JJG52" s="68"/>
      <c r="JJH52" s="83"/>
      <c r="JJI52" s="83"/>
      <c r="JJJ52" s="80"/>
      <c r="JJK52" s="70"/>
      <c r="JJL52" s="70"/>
      <c r="JJM52" s="25"/>
      <c r="JJN52" s="26"/>
      <c r="JJO52" s="26"/>
      <c r="JJP52" s="67"/>
      <c r="JJQ52" s="11"/>
      <c r="JJR52" s="11"/>
      <c r="JJS52" s="68"/>
      <c r="JJT52" s="83"/>
      <c r="JJU52" s="83"/>
      <c r="JJV52" s="80"/>
      <c r="JJW52" s="70"/>
      <c r="JJX52" s="70"/>
      <c r="JJY52" s="25"/>
      <c r="JJZ52" s="26"/>
      <c r="JKA52" s="26"/>
      <c r="JKB52" s="67"/>
      <c r="JKC52" s="11"/>
      <c r="JKD52" s="11"/>
      <c r="JKE52" s="68"/>
      <c r="JKF52" s="83"/>
      <c r="JKG52" s="83"/>
      <c r="JKH52" s="80"/>
      <c r="JKI52" s="70"/>
      <c r="JKJ52" s="70"/>
      <c r="JKK52" s="25"/>
      <c r="JKL52" s="26"/>
      <c r="JKM52" s="26"/>
      <c r="JKN52" s="67"/>
      <c r="JKO52" s="11"/>
      <c r="JKP52" s="11"/>
      <c r="JKQ52" s="68"/>
      <c r="JKR52" s="83"/>
      <c r="JKS52" s="83"/>
      <c r="JKT52" s="80"/>
      <c r="JKU52" s="70"/>
      <c r="JKV52" s="70"/>
      <c r="JKW52" s="25"/>
      <c r="JKX52" s="26"/>
      <c r="JKY52" s="26"/>
      <c r="JKZ52" s="67"/>
      <c r="JLA52" s="11"/>
      <c r="JLB52" s="11"/>
      <c r="JLC52" s="68"/>
      <c r="JLD52" s="83"/>
      <c r="JLE52" s="83"/>
      <c r="JLF52" s="80"/>
      <c r="JLG52" s="70"/>
      <c r="JLH52" s="70"/>
      <c r="JLI52" s="25"/>
      <c r="JLJ52" s="26"/>
      <c r="JLK52" s="26"/>
      <c r="JLL52" s="67"/>
      <c r="JLM52" s="11"/>
      <c r="JLN52" s="11"/>
      <c r="JLO52" s="68"/>
      <c r="JLP52" s="83"/>
      <c r="JLQ52" s="83"/>
      <c r="JLR52" s="80"/>
      <c r="JLS52" s="70"/>
      <c r="JLT52" s="70"/>
      <c r="JLU52" s="25"/>
      <c r="JLV52" s="26"/>
      <c r="JLW52" s="26"/>
      <c r="JLX52" s="67"/>
      <c r="JLY52" s="11"/>
      <c r="JLZ52" s="11"/>
      <c r="JMA52" s="68"/>
      <c r="JMB52" s="83"/>
      <c r="JMC52" s="83"/>
      <c r="JMD52" s="80"/>
      <c r="JME52" s="70"/>
      <c r="JMF52" s="70"/>
      <c r="JMG52" s="25"/>
      <c r="JMH52" s="26"/>
      <c r="JMI52" s="26"/>
      <c r="JMJ52" s="67"/>
      <c r="JMK52" s="11"/>
      <c r="JML52" s="11"/>
      <c r="JMM52" s="68"/>
      <c r="JMN52" s="83"/>
      <c r="JMO52" s="83"/>
      <c r="JMP52" s="80"/>
      <c r="JMQ52" s="70"/>
      <c r="JMR52" s="70"/>
      <c r="JMS52" s="25"/>
      <c r="JMT52" s="26"/>
      <c r="JMU52" s="26"/>
      <c r="JMV52" s="67"/>
      <c r="JMW52" s="11"/>
      <c r="JMX52" s="11"/>
      <c r="JMY52" s="68"/>
      <c r="JMZ52" s="83"/>
      <c r="JNA52" s="83"/>
      <c r="JNB52" s="80"/>
      <c r="JNC52" s="70"/>
      <c r="JND52" s="70"/>
      <c r="JNE52" s="25"/>
      <c r="JNF52" s="26"/>
      <c r="JNG52" s="26"/>
      <c r="JNH52" s="67"/>
      <c r="JNI52" s="11"/>
      <c r="JNJ52" s="11"/>
      <c r="JNK52" s="68"/>
      <c r="JNL52" s="83"/>
      <c r="JNM52" s="83"/>
      <c r="JNN52" s="80"/>
      <c r="JNO52" s="70"/>
      <c r="JNP52" s="70"/>
      <c r="JNQ52" s="25"/>
      <c r="JNR52" s="26"/>
      <c r="JNS52" s="26"/>
      <c r="JNT52" s="67"/>
      <c r="JNU52" s="11"/>
      <c r="JNV52" s="11"/>
      <c r="JNW52" s="68"/>
      <c r="JNX52" s="83"/>
      <c r="JNY52" s="83"/>
      <c r="JNZ52" s="80"/>
      <c r="JOA52" s="70"/>
      <c r="JOB52" s="70"/>
      <c r="JOC52" s="25"/>
      <c r="JOD52" s="26"/>
      <c r="JOE52" s="26"/>
      <c r="JOF52" s="67"/>
      <c r="JOG52" s="11"/>
      <c r="JOH52" s="11"/>
      <c r="JOI52" s="68"/>
      <c r="JOJ52" s="83"/>
      <c r="JOK52" s="83"/>
      <c r="JOL52" s="80"/>
      <c r="JOM52" s="70"/>
      <c r="JON52" s="70"/>
      <c r="JOO52" s="25"/>
      <c r="JOP52" s="26"/>
      <c r="JOQ52" s="26"/>
      <c r="JOR52" s="67"/>
      <c r="JOS52" s="11"/>
      <c r="JOT52" s="11"/>
      <c r="JOU52" s="68"/>
      <c r="JOV52" s="83"/>
      <c r="JOW52" s="83"/>
      <c r="JOX52" s="80"/>
      <c r="JOY52" s="70"/>
      <c r="JOZ52" s="70"/>
      <c r="JPA52" s="25"/>
      <c r="JPB52" s="26"/>
      <c r="JPC52" s="26"/>
      <c r="JPD52" s="67"/>
      <c r="JPE52" s="11"/>
      <c r="JPF52" s="11"/>
      <c r="JPG52" s="68"/>
      <c r="JPH52" s="83"/>
      <c r="JPI52" s="83"/>
      <c r="JPJ52" s="80"/>
      <c r="JPK52" s="70"/>
      <c r="JPL52" s="70"/>
      <c r="JPM52" s="25"/>
      <c r="JPN52" s="26"/>
      <c r="JPO52" s="26"/>
      <c r="JPP52" s="67"/>
      <c r="JPQ52" s="11"/>
      <c r="JPR52" s="11"/>
      <c r="JPS52" s="68"/>
      <c r="JPT52" s="83"/>
      <c r="JPU52" s="83"/>
      <c r="JPV52" s="80"/>
      <c r="JPW52" s="70"/>
      <c r="JPX52" s="70"/>
      <c r="JPY52" s="25"/>
      <c r="JPZ52" s="26"/>
      <c r="JQA52" s="26"/>
      <c r="JQB52" s="67"/>
      <c r="JQC52" s="11"/>
      <c r="JQD52" s="11"/>
      <c r="JQE52" s="68"/>
      <c r="JQF52" s="83"/>
      <c r="JQG52" s="83"/>
      <c r="JQH52" s="80"/>
      <c r="JQI52" s="70"/>
      <c r="JQJ52" s="70"/>
      <c r="JQK52" s="25"/>
      <c r="JQL52" s="26"/>
      <c r="JQM52" s="26"/>
      <c r="JQN52" s="67"/>
      <c r="JQO52" s="11"/>
      <c r="JQP52" s="11"/>
      <c r="JQQ52" s="68"/>
      <c r="JQR52" s="83"/>
      <c r="JQS52" s="83"/>
      <c r="JQT52" s="80"/>
      <c r="JQU52" s="70"/>
      <c r="JQV52" s="70"/>
      <c r="JQW52" s="25"/>
      <c r="JQX52" s="26"/>
      <c r="JQY52" s="26"/>
      <c r="JQZ52" s="67"/>
      <c r="JRA52" s="11"/>
      <c r="JRB52" s="11"/>
      <c r="JRC52" s="68"/>
      <c r="JRD52" s="83"/>
      <c r="JRE52" s="83"/>
      <c r="JRF52" s="80"/>
      <c r="JRG52" s="70"/>
      <c r="JRH52" s="70"/>
      <c r="JRI52" s="25"/>
      <c r="JRJ52" s="26"/>
      <c r="JRK52" s="26"/>
      <c r="JRL52" s="67"/>
      <c r="JRM52" s="11"/>
      <c r="JRN52" s="11"/>
      <c r="JRO52" s="68"/>
      <c r="JRP52" s="83"/>
      <c r="JRQ52" s="83"/>
      <c r="JRR52" s="80"/>
      <c r="JRS52" s="70"/>
      <c r="JRT52" s="70"/>
      <c r="JRU52" s="25"/>
      <c r="JRV52" s="26"/>
      <c r="JRW52" s="26"/>
      <c r="JRX52" s="67"/>
      <c r="JRY52" s="11"/>
      <c r="JRZ52" s="11"/>
      <c r="JSA52" s="68"/>
      <c r="JSB52" s="83"/>
      <c r="JSC52" s="83"/>
      <c r="JSD52" s="80"/>
      <c r="JSE52" s="70"/>
      <c r="JSF52" s="70"/>
      <c r="JSG52" s="25"/>
      <c r="JSH52" s="26"/>
      <c r="JSI52" s="26"/>
      <c r="JSJ52" s="67"/>
      <c r="JSK52" s="11"/>
      <c r="JSL52" s="11"/>
      <c r="JSM52" s="68"/>
      <c r="JSN52" s="83"/>
      <c r="JSO52" s="83"/>
      <c r="JSP52" s="80"/>
      <c r="JSQ52" s="70"/>
      <c r="JSR52" s="70"/>
      <c r="JSS52" s="25"/>
      <c r="JST52" s="26"/>
      <c r="JSU52" s="26"/>
      <c r="JSV52" s="67"/>
      <c r="JSW52" s="11"/>
      <c r="JSX52" s="11"/>
      <c r="JSY52" s="68"/>
      <c r="JSZ52" s="83"/>
      <c r="JTA52" s="83"/>
      <c r="JTB52" s="80"/>
      <c r="JTC52" s="70"/>
      <c r="JTD52" s="70"/>
      <c r="JTE52" s="25"/>
      <c r="JTF52" s="26"/>
      <c r="JTG52" s="26"/>
      <c r="JTH52" s="67"/>
      <c r="JTI52" s="11"/>
      <c r="JTJ52" s="11"/>
      <c r="JTK52" s="68"/>
      <c r="JTL52" s="83"/>
      <c r="JTM52" s="83"/>
      <c r="JTN52" s="80"/>
      <c r="JTO52" s="70"/>
      <c r="JTP52" s="70"/>
      <c r="JTQ52" s="25"/>
      <c r="JTR52" s="26"/>
      <c r="JTS52" s="26"/>
      <c r="JTT52" s="67"/>
      <c r="JTU52" s="11"/>
      <c r="JTV52" s="11"/>
      <c r="JTW52" s="68"/>
      <c r="JTX52" s="83"/>
      <c r="JTY52" s="83"/>
      <c r="JTZ52" s="80"/>
      <c r="JUA52" s="70"/>
      <c r="JUB52" s="70"/>
      <c r="JUC52" s="25"/>
      <c r="JUD52" s="26"/>
      <c r="JUE52" s="26"/>
      <c r="JUF52" s="67"/>
      <c r="JUG52" s="11"/>
      <c r="JUH52" s="11"/>
      <c r="JUI52" s="68"/>
      <c r="JUJ52" s="83"/>
      <c r="JUK52" s="83"/>
      <c r="JUL52" s="80"/>
      <c r="JUM52" s="70"/>
      <c r="JUN52" s="70"/>
      <c r="JUO52" s="25"/>
      <c r="JUP52" s="26"/>
      <c r="JUQ52" s="26"/>
      <c r="JUR52" s="67"/>
      <c r="JUS52" s="11"/>
      <c r="JUT52" s="11"/>
      <c r="JUU52" s="68"/>
      <c r="JUV52" s="83"/>
      <c r="JUW52" s="83"/>
      <c r="JUX52" s="80"/>
      <c r="JUY52" s="70"/>
      <c r="JUZ52" s="70"/>
      <c r="JVA52" s="25"/>
      <c r="JVB52" s="26"/>
      <c r="JVC52" s="26"/>
      <c r="JVD52" s="67"/>
      <c r="JVE52" s="11"/>
      <c r="JVF52" s="11"/>
      <c r="JVG52" s="68"/>
      <c r="JVH52" s="83"/>
      <c r="JVI52" s="83"/>
      <c r="JVJ52" s="80"/>
      <c r="JVK52" s="70"/>
      <c r="JVL52" s="70"/>
      <c r="JVM52" s="25"/>
      <c r="JVN52" s="26"/>
      <c r="JVO52" s="26"/>
      <c r="JVP52" s="67"/>
      <c r="JVQ52" s="11"/>
      <c r="JVR52" s="11"/>
      <c r="JVS52" s="68"/>
      <c r="JVT52" s="83"/>
      <c r="JVU52" s="83"/>
      <c r="JVV52" s="80"/>
      <c r="JVW52" s="70"/>
      <c r="JVX52" s="70"/>
      <c r="JVY52" s="25"/>
      <c r="JVZ52" s="26"/>
      <c r="JWA52" s="26"/>
      <c r="JWB52" s="67"/>
      <c r="JWC52" s="11"/>
      <c r="JWD52" s="11"/>
      <c r="JWE52" s="68"/>
      <c r="JWF52" s="83"/>
      <c r="JWG52" s="83"/>
      <c r="JWH52" s="80"/>
      <c r="JWI52" s="70"/>
      <c r="JWJ52" s="70"/>
      <c r="JWK52" s="25"/>
      <c r="JWL52" s="26"/>
      <c r="JWM52" s="26"/>
      <c r="JWN52" s="67"/>
      <c r="JWO52" s="11"/>
      <c r="JWP52" s="11"/>
      <c r="JWQ52" s="68"/>
      <c r="JWR52" s="83"/>
      <c r="JWS52" s="83"/>
      <c r="JWT52" s="80"/>
      <c r="JWU52" s="70"/>
      <c r="JWV52" s="70"/>
      <c r="JWW52" s="25"/>
      <c r="JWX52" s="26"/>
      <c r="JWY52" s="26"/>
      <c r="JWZ52" s="67"/>
      <c r="JXA52" s="11"/>
      <c r="JXB52" s="11"/>
      <c r="JXC52" s="68"/>
      <c r="JXD52" s="83"/>
      <c r="JXE52" s="83"/>
      <c r="JXF52" s="80"/>
      <c r="JXG52" s="70"/>
      <c r="JXH52" s="70"/>
      <c r="JXI52" s="25"/>
      <c r="JXJ52" s="26"/>
      <c r="JXK52" s="26"/>
      <c r="JXL52" s="67"/>
      <c r="JXM52" s="11"/>
      <c r="JXN52" s="11"/>
      <c r="JXO52" s="68"/>
      <c r="JXP52" s="83"/>
      <c r="JXQ52" s="83"/>
      <c r="JXR52" s="80"/>
      <c r="JXS52" s="70"/>
      <c r="JXT52" s="70"/>
      <c r="JXU52" s="25"/>
      <c r="JXV52" s="26"/>
      <c r="JXW52" s="26"/>
      <c r="JXX52" s="67"/>
      <c r="JXY52" s="11"/>
      <c r="JXZ52" s="11"/>
      <c r="JYA52" s="68"/>
      <c r="JYB52" s="83"/>
      <c r="JYC52" s="83"/>
      <c r="JYD52" s="80"/>
      <c r="JYE52" s="70"/>
      <c r="JYF52" s="70"/>
      <c r="JYG52" s="25"/>
      <c r="JYH52" s="26"/>
      <c r="JYI52" s="26"/>
      <c r="JYJ52" s="67"/>
      <c r="JYK52" s="11"/>
      <c r="JYL52" s="11"/>
      <c r="JYM52" s="68"/>
      <c r="JYN52" s="83"/>
      <c r="JYO52" s="83"/>
      <c r="JYP52" s="80"/>
      <c r="JYQ52" s="70"/>
      <c r="JYR52" s="70"/>
      <c r="JYS52" s="25"/>
      <c r="JYT52" s="26"/>
      <c r="JYU52" s="26"/>
      <c r="JYV52" s="67"/>
      <c r="JYW52" s="11"/>
      <c r="JYX52" s="11"/>
      <c r="JYY52" s="68"/>
      <c r="JYZ52" s="83"/>
      <c r="JZA52" s="83"/>
      <c r="JZB52" s="80"/>
      <c r="JZC52" s="70"/>
      <c r="JZD52" s="70"/>
      <c r="JZE52" s="25"/>
      <c r="JZF52" s="26"/>
      <c r="JZG52" s="26"/>
      <c r="JZH52" s="67"/>
      <c r="JZI52" s="11"/>
      <c r="JZJ52" s="11"/>
      <c r="JZK52" s="68"/>
      <c r="JZL52" s="83"/>
      <c r="JZM52" s="83"/>
      <c r="JZN52" s="80"/>
      <c r="JZO52" s="70"/>
      <c r="JZP52" s="70"/>
      <c r="JZQ52" s="25"/>
      <c r="JZR52" s="26"/>
      <c r="JZS52" s="26"/>
      <c r="JZT52" s="67"/>
      <c r="JZU52" s="11"/>
      <c r="JZV52" s="11"/>
      <c r="JZW52" s="68"/>
      <c r="JZX52" s="83"/>
      <c r="JZY52" s="83"/>
      <c r="JZZ52" s="80"/>
      <c r="KAA52" s="70"/>
      <c r="KAB52" s="70"/>
      <c r="KAC52" s="25"/>
      <c r="KAD52" s="26"/>
      <c r="KAE52" s="26"/>
      <c r="KAF52" s="67"/>
      <c r="KAG52" s="11"/>
      <c r="KAH52" s="11"/>
      <c r="KAI52" s="68"/>
      <c r="KAJ52" s="83"/>
      <c r="KAK52" s="83"/>
      <c r="KAL52" s="80"/>
      <c r="KAM52" s="70"/>
      <c r="KAN52" s="70"/>
      <c r="KAO52" s="25"/>
      <c r="KAP52" s="26"/>
      <c r="KAQ52" s="26"/>
      <c r="KAR52" s="67"/>
      <c r="KAS52" s="11"/>
      <c r="KAT52" s="11"/>
      <c r="KAU52" s="68"/>
      <c r="KAV52" s="83"/>
      <c r="KAW52" s="83"/>
      <c r="KAX52" s="80"/>
      <c r="KAY52" s="70"/>
      <c r="KAZ52" s="70"/>
      <c r="KBA52" s="25"/>
      <c r="KBB52" s="26"/>
      <c r="KBC52" s="26"/>
      <c r="KBD52" s="67"/>
      <c r="KBE52" s="11"/>
      <c r="KBF52" s="11"/>
      <c r="KBG52" s="68"/>
      <c r="KBH52" s="83"/>
      <c r="KBI52" s="83"/>
      <c r="KBJ52" s="80"/>
      <c r="KBK52" s="70"/>
      <c r="KBL52" s="70"/>
      <c r="KBM52" s="25"/>
      <c r="KBN52" s="26"/>
      <c r="KBO52" s="26"/>
      <c r="KBP52" s="67"/>
      <c r="KBQ52" s="11"/>
      <c r="KBR52" s="11"/>
      <c r="KBS52" s="68"/>
      <c r="KBT52" s="83"/>
      <c r="KBU52" s="83"/>
      <c r="KBV52" s="80"/>
      <c r="KBW52" s="70"/>
      <c r="KBX52" s="70"/>
      <c r="KBY52" s="25"/>
      <c r="KBZ52" s="26"/>
      <c r="KCA52" s="26"/>
      <c r="KCB52" s="67"/>
      <c r="KCC52" s="11"/>
      <c r="KCD52" s="11"/>
      <c r="KCE52" s="68"/>
      <c r="KCF52" s="83"/>
      <c r="KCG52" s="83"/>
      <c r="KCH52" s="80"/>
      <c r="KCI52" s="70"/>
      <c r="KCJ52" s="70"/>
      <c r="KCK52" s="25"/>
      <c r="KCL52" s="26"/>
      <c r="KCM52" s="26"/>
      <c r="KCN52" s="67"/>
      <c r="KCO52" s="11"/>
      <c r="KCP52" s="11"/>
      <c r="KCQ52" s="68"/>
      <c r="KCR52" s="83"/>
      <c r="KCS52" s="83"/>
      <c r="KCT52" s="80"/>
      <c r="KCU52" s="70"/>
      <c r="KCV52" s="70"/>
      <c r="KCW52" s="25"/>
      <c r="KCX52" s="26"/>
      <c r="KCY52" s="26"/>
      <c r="KCZ52" s="67"/>
      <c r="KDA52" s="11"/>
      <c r="KDB52" s="11"/>
      <c r="KDC52" s="68"/>
      <c r="KDD52" s="83"/>
      <c r="KDE52" s="83"/>
      <c r="KDF52" s="80"/>
      <c r="KDG52" s="70"/>
      <c r="KDH52" s="70"/>
      <c r="KDI52" s="25"/>
      <c r="KDJ52" s="26"/>
      <c r="KDK52" s="26"/>
      <c r="KDL52" s="67"/>
      <c r="KDM52" s="11"/>
      <c r="KDN52" s="11"/>
      <c r="KDO52" s="68"/>
      <c r="KDP52" s="83"/>
      <c r="KDQ52" s="83"/>
      <c r="KDR52" s="80"/>
      <c r="KDS52" s="70"/>
      <c r="KDT52" s="70"/>
      <c r="KDU52" s="25"/>
      <c r="KDV52" s="26"/>
      <c r="KDW52" s="26"/>
      <c r="KDX52" s="67"/>
      <c r="KDY52" s="11"/>
      <c r="KDZ52" s="11"/>
      <c r="KEA52" s="68"/>
      <c r="KEB52" s="83"/>
      <c r="KEC52" s="83"/>
      <c r="KED52" s="80"/>
      <c r="KEE52" s="70"/>
      <c r="KEF52" s="70"/>
      <c r="KEG52" s="25"/>
      <c r="KEH52" s="26"/>
      <c r="KEI52" s="26"/>
      <c r="KEJ52" s="67"/>
      <c r="KEK52" s="11"/>
      <c r="KEL52" s="11"/>
      <c r="KEM52" s="68"/>
      <c r="KEN52" s="83"/>
      <c r="KEO52" s="83"/>
      <c r="KEP52" s="80"/>
      <c r="KEQ52" s="70"/>
      <c r="KER52" s="70"/>
      <c r="KES52" s="25"/>
      <c r="KET52" s="26"/>
      <c r="KEU52" s="26"/>
      <c r="KEV52" s="67"/>
      <c r="KEW52" s="11"/>
      <c r="KEX52" s="11"/>
      <c r="KEY52" s="68"/>
      <c r="KEZ52" s="83"/>
      <c r="KFA52" s="83"/>
      <c r="KFB52" s="80"/>
      <c r="KFC52" s="70"/>
      <c r="KFD52" s="70"/>
      <c r="KFE52" s="25"/>
      <c r="KFF52" s="26"/>
      <c r="KFG52" s="26"/>
      <c r="KFH52" s="67"/>
      <c r="KFI52" s="11"/>
      <c r="KFJ52" s="11"/>
      <c r="KFK52" s="68"/>
      <c r="KFL52" s="83"/>
      <c r="KFM52" s="83"/>
      <c r="KFN52" s="80"/>
      <c r="KFO52" s="70"/>
      <c r="KFP52" s="70"/>
      <c r="KFQ52" s="25"/>
      <c r="KFR52" s="26"/>
      <c r="KFS52" s="26"/>
      <c r="KFT52" s="67"/>
      <c r="KFU52" s="11"/>
      <c r="KFV52" s="11"/>
      <c r="KFW52" s="68"/>
      <c r="KFX52" s="83"/>
      <c r="KFY52" s="83"/>
      <c r="KFZ52" s="80"/>
      <c r="KGA52" s="70"/>
      <c r="KGB52" s="70"/>
      <c r="KGC52" s="25"/>
      <c r="KGD52" s="26"/>
      <c r="KGE52" s="26"/>
      <c r="KGF52" s="67"/>
      <c r="KGG52" s="11"/>
      <c r="KGH52" s="11"/>
      <c r="KGI52" s="68"/>
      <c r="KGJ52" s="83"/>
      <c r="KGK52" s="83"/>
      <c r="KGL52" s="80"/>
      <c r="KGM52" s="70"/>
      <c r="KGN52" s="70"/>
      <c r="KGO52" s="25"/>
      <c r="KGP52" s="26"/>
      <c r="KGQ52" s="26"/>
      <c r="KGR52" s="67"/>
      <c r="KGS52" s="11"/>
      <c r="KGT52" s="11"/>
      <c r="KGU52" s="68"/>
      <c r="KGV52" s="83"/>
      <c r="KGW52" s="83"/>
      <c r="KGX52" s="80"/>
      <c r="KGY52" s="70"/>
      <c r="KGZ52" s="70"/>
      <c r="KHA52" s="25"/>
      <c r="KHB52" s="26"/>
      <c r="KHC52" s="26"/>
      <c r="KHD52" s="67"/>
      <c r="KHE52" s="11"/>
      <c r="KHF52" s="11"/>
      <c r="KHG52" s="68"/>
      <c r="KHH52" s="83"/>
      <c r="KHI52" s="83"/>
      <c r="KHJ52" s="80"/>
      <c r="KHK52" s="70"/>
      <c r="KHL52" s="70"/>
      <c r="KHM52" s="25"/>
      <c r="KHN52" s="26"/>
      <c r="KHO52" s="26"/>
      <c r="KHP52" s="67"/>
      <c r="KHQ52" s="11"/>
      <c r="KHR52" s="11"/>
      <c r="KHS52" s="68"/>
      <c r="KHT52" s="83"/>
      <c r="KHU52" s="83"/>
      <c r="KHV52" s="80"/>
      <c r="KHW52" s="70"/>
      <c r="KHX52" s="70"/>
      <c r="KHY52" s="25"/>
      <c r="KHZ52" s="26"/>
      <c r="KIA52" s="26"/>
      <c r="KIB52" s="67"/>
      <c r="KIC52" s="11"/>
      <c r="KID52" s="11"/>
      <c r="KIE52" s="68"/>
      <c r="KIF52" s="83"/>
      <c r="KIG52" s="83"/>
      <c r="KIH52" s="80"/>
      <c r="KII52" s="70"/>
      <c r="KIJ52" s="70"/>
      <c r="KIK52" s="25"/>
      <c r="KIL52" s="26"/>
      <c r="KIM52" s="26"/>
      <c r="KIN52" s="67"/>
      <c r="KIO52" s="11"/>
      <c r="KIP52" s="11"/>
      <c r="KIQ52" s="68"/>
      <c r="KIR52" s="83"/>
      <c r="KIS52" s="83"/>
      <c r="KIT52" s="80"/>
      <c r="KIU52" s="70"/>
      <c r="KIV52" s="70"/>
      <c r="KIW52" s="25"/>
      <c r="KIX52" s="26"/>
      <c r="KIY52" s="26"/>
      <c r="KIZ52" s="67"/>
      <c r="KJA52" s="11"/>
      <c r="KJB52" s="11"/>
      <c r="KJC52" s="68"/>
      <c r="KJD52" s="83"/>
      <c r="KJE52" s="83"/>
      <c r="KJF52" s="80"/>
      <c r="KJG52" s="70"/>
      <c r="KJH52" s="70"/>
      <c r="KJI52" s="25"/>
      <c r="KJJ52" s="26"/>
      <c r="KJK52" s="26"/>
      <c r="KJL52" s="67"/>
      <c r="KJM52" s="11"/>
      <c r="KJN52" s="11"/>
      <c r="KJO52" s="68"/>
      <c r="KJP52" s="83"/>
      <c r="KJQ52" s="83"/>
      <c r="KJR52" s="80"/>
      <c r="KJS52" s="70"/>
      <c r="KJT52" s="70"/>
      <c r="KJU52" s="25"/>
      <c r="KJV52" s="26"/>
      <c r="KJW52" s="26"/>
      <c r="KJX52" s="67"/>
      <c r="KJY52" s="11"/>
      <c r="KJZ52" s="11"/>
      <c r="KKA52" s="68"/>
      <c r="KKB52" s="83"/>
      <c r="KKC52" s="83"/>
      <c r="KKD52" s="80"/>
      <c r="KKE52" s="70"/>
      <c r="KKF52" s="70"/>
      <c r="KKG52" s="25"/>
      <c r="KKH52" s="26"/>
      <c r="KKI52" s="26"/>
      <c r="KKJ52" s="67"/>
      <c r="KKK52" s="11"/>
      <c r="KKL52" s="11"/>
      <c r="KKM52" s="68"/>
      <c r="KKN52" s="83"/>
      <c r="KKO52" s="83"/>
      <c r="KKP52" s="80"/>
      <c r="KKQ52" s="70"/>
      <c r="KKR52" s="70"/>
      <c r="KKS52" s="25"/>
      <c r="KKT52" s="26"/>
      <c r="KKU52" s="26"/>
      <c r="KKV52" s="67"/>
      <c r="KKW52" s="11"/>
      <c r="KKX52" s="11"/>
      <c r="KKY52" s="68"/>
      <c r="KKZ52" s="83"/>
      <c r="KLA52" s="83"/>
      <c r="KLB52" s="80"/>
      <c r="KLC52" s="70"/>
      <c r="KLD52" s="70"/>
      <c r="KLE52" s="25"/>
      <c r="KLF52" s="26"/>
      <c r="KLG52" s="26"/>
      <c r="KLH52" s="67"/>
      <c r="KLI52" s="11"/>
      <c r="KLJ52" s="11"/>
      <c r="KLK52" s="68"/>
      <c r="KLL52" s="83"/>
      <c r="KLM52" s="83"/>
      <c r="KLN52" s="80"/>
      <c r="KLO52" s="70"/>
      <c r="KLP52" s="70"/>
      <c r="KLQ52" s="25"/>
      <c r="KLR52" s="26"/>
      <c r="KLS52" s="26"/>
      <c r="KLT52" s="67"/>
      <c r="KLU52" s="11"/>
      <c r="KLV52" s="11"/>
      <c r="KLW52" s="68"/>
      <c r="KLX52" s="83"/>
      <c r="KLY52" s="83"/>
      <c r="KLZ52" s="80"/>
      <c r="KMA52" s="70"/>
      <c r="KMB52" s="70"/>
      <c r="KMC52" s="25"/>
      <c r="KMD52" s="26"/>
      <c r="KME52" s="26"/>
      <c r="KMF52" s="67"/>
      <c r="KMG52" s="11"/>
      <c r="KMH52" s="11"/>
      <c r="KMI52" s="68"/>
      <c r="KMJ52" s="83"/>
      <c r="KMK52" s="83"/>
      <c r="KML52" s="80"/>
      <c r="KMM52" s="70"/>
      <c r="KMN52" s="70"/>
      <c r="KMO52" s="25"/>
      <c r="KMP52" s="26"/>
      <c r="KMQ52" s="26"/>
      <c r="KMR52" s="67"/>
      <c r="KMS52" s="11"/>
      <c r="KMT52" s="11"/>
      <c r="KMU52" s="68"/>
      <c r="KMV52" s="83"/>
      <c r="KMW52" s="83"/>
      <c r="KMX52" s="80"/>
      <c r="KMY52" s="70"/>
      <c r="KMZ52" s="70"/>
      <c r="KNA52" s="25"/>
      <c r="KNB52" s="26"/>
      <c r="KNC52" s="26"/>
      <c r="KND52" s="67"/>
      <c r="KNE52" s="11"/>
      <c r="KNF52" s="11"/>
      <c r="KNG52" s="68"/>
      <c r="KNH52" s="83"/>
      <c r="KNI52" s="83"/>
      <c r="KNJ52" s="80"/>
      <c r="KNK52" s="70"/>
      <c r="KNL52" s="70"/>
      <c r="KNM52" s="25"/>
      <c r="KNN52" s="26"/>
      <c r="KNO52" s="26"/>
      <c r="KNP52" s="67"/>
      <c r="KNQ52" s="11"/>
      <c r="KNR52" s="11"/>
      <c r="KNS52" s="68"/>
      <c r="KNT52" s="83"/>
      <c r="KNU52" s="83"/>
      <c r="KNV52" s="80"/>
      <c r="KNW52" s="70"/>
      <c r="KNX52" s="70"/>
      <c r="KNY52" s="25"/>
      <c r="KNZ52" s="26"/>
      <c r="KOA52" s="26"/>
      <c r="KOB52" s="67"/>
      <c r="KOC52" s="11"/>
      <c r="KOD52" s="11"/>
      <c r="KOE52" s="68"/>
      <c r="KOF52" s="83"/>
      <c r="KOG52" s="83"/>
      <c r="KOH52" s="80"/>
      <c r="KOI52" s="70"/>
      <c r="KOJ52" s="70"/>
      <c r="KOK52" s="25"/>
      <c r="KOL52" s="26"/>
      <c r="KOM52" s="26"/>
      <c r="KON52" s="67"/>
      <c r="KOO52" s="11"/>
      <c r="KOP52" s="11"/>
      <c r="KOQ52" s="68"/>
      <c r="KOR52" s="83"/>
      <c r="KOS52" s="83"/>
      <c r="KOT52" s="80"/>
      <c r="KOU52" s="70"/>
      <c r="KOV52" s="70"/>
      <c r="KOW52" s="25"/>
      <c r="KOX52" s="26"/>
      <c r="KOY52" s="26"/>
      <c r="KOZ52" s="67"/>
      <c r="KPA52" s="11"/>
      <c r="KPB52" s="11"/>
      <c r="KPC52" s="68"/>
      <c r="KPD52" s="83"/>
      <c r="KPE52" s="83"/>
      <c r="KPF52" s="80"/>
      <c r="KPG52" s="70"/>
      <c r="KPH52" s="70"/>
      <c r="KPI52" s="25"/>
      <c r="KPJ52" s="26"/>
      <c r="KPK52" s="26"/>
      <c r="KPL52" s="67"/>
      <c r="KPM52" s="11"/>
      <c r="KPN52" s="11"/>
      <c r="KPO52" s="68"/>
      <c r="KPP52" s="83"/>
      <c r="KPQ52" s="83"/>
      <c r="KPR52" s="80"/>
      <c r="KPS52" s="70"/>
      <c r="KPT52" s="70"/>
      <c r="KPU52" s="25"/>
      <c r="KPV52" s="26"/>
      <c r="KPW52" s="26"/>
      <c r="KPX52" s="67"/>
      <c r="KPY52" s="11"/>
      <c r="KPZ52" s="11"/>
      <c r="KQA52" s="68"/>
      <c r="KQB52" s="83"/>
      <c r="KQC52" s="83"/>
      <c r="KQD52" s="80"/>
      <c r="KQE52" s="70"/>
      <c r="KQF52" s="70"/>
      <c r="KQG52" s="25"/>
      <c r="KQH52" s="26"/>
      <c r="KQI52" s="26"/>
      <c r="KQJ52" s="67"/>
      <c r="KQK52" s="11"/>
      <c r="KQL52" s="11"/>
      <c r="KQM52" s="68"/>
      <c r="KQN52" s="83"/>
      <c r="KQO52" s="83"/>
      <c r="KQP52" s="80"/>
      <c r="KQQ52" s="70"/>
      <c r="KQR52" s="70"/>
      <c r="KQS52" s="25"/>
      <c r="KQT52" s="26"/>
      <c r="KQU52" s="26"/>
      <c r="KQV52" s="67"/>
      <c r="KQW52" s="11"/>
      <c r="KQX52" s="11"/>
      <c r="KQY52" s="68"/>
      <c r="KQZ52" s="83"/>
      <c r="KRA52" s="83"/>
      <c r="KRB52" s="80"/>
      <c r="KRC52" s="70"/>
      <c r="KRD52" s="70"/>
      <c r="KRE52" s="25"/>
      <c r="KRF52" s="26"/>
      <c r="KRG52" s="26"/>
      <c r="KRH52" s="67"/>
      <c r="KRI52" s="11"/>
      <c r="KRJ52" s="11"/>
      <c r="KRK52" s="68"/>
      <c r="KRL52" s="83"/>
      <c r="KRM52" s="83"/>
      <c r="KRN52" s="80"/>
      <c r="KRO52" s="70"/>
      <c r="KRP52" s="70"/>
      <c r="KRQ52" s="25"/>
      <c r="KRR52" s="26"/>
      <c r="KRS52" s="26"/>
      <c r="KRT52" s="67"/>
      <c r="KRU52" s="11"/>
      <c r="KRV52" s="11"/>
      <c r="KRW52" s="68"/>
      <c r="KRX52" s="83"/>
      <c r="KRY52" s="83"/>
      <c r="KRZ52" s="80"/>
      <c r="KSA52" s="70"/>
      <c r="KSB52" s="70"/>
      <c r="KSC52" s="25"/>
      <c r="KSD52" s="26"/>
      <c r="KSE52" s="26"/>
      <c r="KSF52" s="67"/>
      <c r="KSG52" s="11"/>
      <c r="KSH52" s="11"/>
      <c r="KSI52" s="68"/>
      <c r="KSJ52" s="83"/>
      <c r="KSK52" s="83"/>
      <c r="KSL52" s="80"/>
      <c r="KSM52" s="70"/>
      <c r="KSN52" s="70"/>
      <c r="KSO52" s="25"/>
      <c r="KSP52" s="26"/>
      <c r="KSQ52" s="26"/>
      <c r="KSR52" s="67"/>
      <c r="KSS52" s="11"/>
      <c r="KST52" s="11"/>
      <c r="KSU52" s="68"/>
      <c r="KSV52" s="83"/>
      <c r="KSW52" s="83"/>
      <c r="KSX52" s="80"/>
      <c r="KSY52" s="70"/>
      <c r="KSZ52" s="70"/>
      <c r="KTA52" s="25"/>
      <c r="KTB52" s="26"/>
      <c r="KTC52" s="26"/>
      <c r="KTD52" s="67"/>
      <c r="KTE52" s="11"/>
      <c r="KTF52" s="11"/>
      <c r="KTG52" s="68"/>
      <c r="KTH52" s="83"/>
      <c r="KTI52" s="83"/>
      <c r="KTJ52" s="80"/>
      <c r="KTK52" s="70"/>
      <c r="KTL52" s="70"/>
      <c r="KTM52" s="25"/>
      <c r="KTN52" s="26"/>
      <c r="KTO52" s="26"/>
      <c r="KTP52" s="67"/>
      <c r="KTQ52" s="11"/>
      <c r="KTR52" s="11"/>
      <c r="KTS52" s="68"/>
      <c r="KTT52" s="83"/>
      <c r="KTU52" s="83"/>
      <c r="KTV52" s="80"/>
      <c r="KTW52" s="70"/>
      <c r="KTX52" s="70"/>
      <c r="KTY52" s="25"/>
      <c r="KTZ52" s="26"/>
      <c r="KUA52" s="26"/>
      <c r="KUB52" s="67"/>
      <c r="KUC52" s="11"/>
      <c r="KUD52" s="11"/>
      <c r="KUE52" s="68"/>
      <c r="KUF52" s="83"/>
      <c r="KUG52" s="83"/>
      <c r="KUH52" s="80"/>
      <c r="KUI52" s="70"/>
      <c r="KUJ52" s="70"/>
      <c r="KUK52" s="25"/>
      <c r="KUL52" s="26"/>
      <c r="KUM52" s="26"/>
      <c r="KUN52" s="67"/>
      <c r="KUO52" s="11"/>
      <c r="KUP52" s="11"/>
      <c r="KUQ52" s="68"/>
      <c r="KUR52" s="83"/>
      <c r="KUS52" s="83"/>
      <c r="KUT52" s="80"/>
      <c r="KUU52" s="70"/>
      <c r="KUV52" s="70"/>
      <c r="KUW52" s="25"/>
      <c r="KUX52" s="26"/>
      <c r="KUY52" s="26"/>
      <c r="KUZ52" s="67"/>
      <c r="KVA52" s="11"/>
      <c r="KVB52" s="11"/>
      <c r="KVC52" s="68"/>
      <c r="KVD52" s="83"/>
      <c r="KVE52" s="83"/>
      <c r="KVF52" s="80"/>
      <c r="KVG52" s="70"/>
      <c r="KVH52" s="70"/>
      <c r="KVI52" s="25"/>
      <c r="KVJ52" s="26"/>
      <c r="KVK52" s="26"/>
      <c r="KVL52" s="67"/>
      <c r="KVM52" s="11"/>
      <c r="KVN52" s="11"/>
      <c r="KVO52" s="68"/>
      <c r="KVP52" s="83"/>
      <c r="KVQ52" s="83"/>
      <c r="KVR52" s="80"/>
      <c r="KVS52" s="70"/>
      <c r="KVT52" s="70"/>
      <c r="KVU52" s="25"/>
      <c r="KVV52" s="26"/>
      <c r="KVW52" s="26"/>
      <c r="KVX52" s="67"/>
      <c r="KVY52" s="11"/>
      <c r="KVZ52" s="11"/>
      <c r="KWA52" s="68"/>
      <c r="KWB52" s="83"/>
      <c r="KWC52" s="83"/>
      <c r="KWD52" s="80"/>
      <c r="KWE52" s="70"/>
      <c r="KWF52" s="70"/>
      <c r="KWG52" s="25"/>
      <c r="KWH52" s="26"/>
      <c r="KWI52" s="26"/>
      <c r="KWJ52" s="67"/>
      <c r="KWK52" s="11"/>
      <c r="KWL52" s="11"/>
      <c r="KWM52" s="68"/>
      <c r="KWN52" s="83"/>
      <c r="KWO52" s="83"/>
      <c r="KWP52" s="80"/>
      <c r="KWQ52" s="70"/>
      <c r="KWR52" s="70"/>
      <c r="KWS52" s="25"/>
      <c r="KWT52" s="26"/>
      <c r="KWU52" s="26"/>
      <c r="KWV52" s="67"/>
      <c r="KWW52" s="11"/>
      <c r="KWX52" s="11"/>
      <c r="KWY52" s="68"/>
      <c r="KWZ52" s="83"/>
      <c r="KXA52" s="83"/>
      <c r="KXB52" s="80"/>
      <c r="KXC52" s="70"/>
      <c r="KXD52" s="70"/>
      <c r="KXE52" s="25"/>
      <c r="KXF52" s="26"/>
      <c r="KXG52" s="26"/>
      <c r="KXH52" s="67"/>
      <c r="KXI52" s="11"/>
      <c r="KXJ52" s="11"/>
      <c r="KXK52" s="68"/>
      <c r="KXL52" s="83"/>
      <c r="KXM52" s="83"/>
      <c r="KXN52" s="80"/>
      <c r="KXO52" s="70"/>
      <c r="KXP52" s="70"/>
      <c r="KXQ52" s="25"/>
      <c r="KXR52" s="26"/>
      <c r="KXS52" s="26"/>
      <c r="KXT52" s="67"/>
      <c r="KXU52" s="11"/>
      <c r="KXV52" s="11"/>
      <c r="KXW52" s="68"/>
      <c r="KXX52" s="83"/>
      <c r="KXY52" s="83"/>
      <c r="KXZ52" s="80"/>
      <c r="KYA52" s="70"/>
      <c r="KYB52" s="70"/>
      <c r="KYC52" s="25"/>
      <c r="KYD52" s="26"/>
      <c r="KYE52" s="26"/>
      <c r="KYF52" s="67"/>
      <c r="KYG52" s="11"/>
      <c r="KYH52" s="11"/>
      <c r="KYI52" s="68"/>
      <c r="KYJ52" s="83"/>
      <c r="KYK52" s="83"/>
      <c r="KYL52" s="80"/>
      <c r="KYM52" s="70"/>
      <c r="KYN52" s="70"/>
      <c r="KYO52" s="25"/>
      <c r="KYP52" s="26"/>
      <c r="KYQ52" s="26"/>
      <c r="KYR52" s="67"/>
      <c r="KYS52" s="11"/>
      <c r="KYT52" s="11"/>
      <c r="KYU52" s="68"/>
      <c r="KYV52" s="83"/>
      <c r="KYW52" s="83"/>
      <c r="KYX52" s="80"/>
      <c r="KYY52" s="70"/>
      <c r="KYZ52" s="70"/>
      <c r="KZA52" s="25"/>
      <c r="KZB52" s="26"/>
      <c r="KZC52" s="26"/>
      <c r="KZD52" s="67"/>
      <c r="KZE52" s="11"/>
      <c r="KZF52" s="11"/>
      <c r="KZG52" s="68"/>
      <c r="KZH52" s="83"/>
      <c r="KZI52" s="83"/>
      <c r="KZJ52" s="80"/>
      <c r="KZK52" s="70"/>
      <c r="KZL52" s="70"/>
      <c r="KZM52" s="25"/>
      <c r="KZN52" s="26"/>
      <c r="KZO52" s="26"/>
      <c r="KZP52" s="67"/>
      <c r="KZQ52" s="11"/>
      <c r="KZR52" s="11"/>
      <c r="KZS52" s="68"/>
      <c r="KZT52" s="83"/>
      <c r="KZU52" s="83"/>
      <c r="KZV52" s="80"/>
      <c r="KZW52" s="70"/>
      <c r="KZX52" s="70"/>
      <c r="KZY52" s="25"/>
      <c r="KZZ52" s="26"/>
      <c r="LAA52" s="26"/>
      <c r="LAB52" s="67"/>
      <c r="LAC52" s="11"/>
      <c r="LAD52" s="11"/>
      <c r="LAE52" s="68"/>
      <c r="LAF52" s="83"/>
      <c r="LAG52" s="83"/>
      <c r="LAH52" s="80"/>
      <c r="LAI52" s="70"/>
      <c r="LAJ52" s="70"/>
      <c r="LAK52" s="25"/>
      <c r="LAL52" s="26"/>
      <c r="LAM52" s="26"/>
      <c r="LAN52" s="67"/>
      <c r="LAO52" s="11"/>
      <c r="LAP52" s="11"/>
      <c r="LAQ52" s="68"/>
      <c r="LAR52" s="83"/>
      <c r="LAS52" s="83"/>
      <c r="LAT52" s="80"/>
      <c r="LAU52" s="70"/>
      <c r="LAV52" s="70"/>
      <c r="LAW52" s="25"/>
      <c r="LAX52" s="26"/>
      <c r="LAY52" s="26"/>
      <c r="LAZ52" s="67"/>
      <c r="LBA52" s="11"/>
      <c r="LBB52" s="11"/>
      <c r="LBC52" s="68"/>
      <c r="LBD52" s="83"/>
      <c r="LBE52" s="83"/>
      <c r="LBF52" s="80"/>
      <c r="LBG52" s="70"/>
      <c r="LBH52" s="70"/>
      <c r="LBI52" s="25"/>
      <c r="LBJ52" s="26"/>
      <c r="LBK52" s="26"/>
      <c r="LBL52" s="67"/>
      <c r="LBM52" s="11"/>
      <c r="LBN52" s="11"/>
      <c r="LBO52" s="68"/>
      <c r="LBP52" s="83"/>
      <c r="LBQ52" s="83"/>
      <c r="LBR52" s="80"/>
      <c r="LBS52" s="70"/>
      <c r="LBT52" s="70"/>
      <c r="LBU52" s="25"/>
      <c r="LBV52" s="26"/>
      <c r="LBW52" s="26"/>
      <c r="LBX52" s="67"/>
      <c r="LBY52" s="11"/>
      <c r="LBZ52" s="11"/>
      <c r="LCA52" s="68"/>
      <c r="LCB52" s="83"/>
      <c r="LCC52" s="83"/>
      <c r="LCD52" s="80"/>
      <c r="LCE52" s="70"/>
      <c r="LCF52" s="70"/>
      <c r="LCG52" s="25"/>
      <c r="LCH52" s="26"/>
      <c r="LCI52" s="26"/>
      <c r="LCJ52" s="67"/>
      <c r="LCK52" s="11"/>
      <c r="LCL52" s="11"/>
      <c r="LCM52" s="68"/>
      <c r="LCN52" s="83"/>
      <c r="LCO52" s="83"/>
      <c r="LCP52" s="80"/>
      <c r="LCQ52" s="70"/>
      <c r="LCR52" s="70"/>
      <c r="LCS52" s="25"/>
      <c r="LCT52" s="26"/>
      <c r="LCU52" s="26"/>
      <c r="LCV52" s="67"/>
      <c r="LCW52" s="11"/>
      <c r="LCX52" s="11"/>
      <c r="LCY52" s="68"/>
      <c r="LCZ52" s="83"/>
      <c r="LDA52" s="83"/>
      <c r="LDB52" s="80"/>
      <c r="LDC52" s="70"/>
      <c r="LDD52" s="70"/>
      <c r="LDE52" s="25"/>
      <c r="LDF52" s="26"/>
      <c r="LDG52" s="26"/>
      <c r="LDH52" s="67"/>
      <c r="LDI52" s="11"/>
      <c r="LDJ52" s="11"/>
      <c r="LDK52" s="68"/>
      <c r="LDL52" s="83"/>
      <c r="LDM52" s="83"/>
      <c r="LDN52" s="80"/>
      <c r="LDO52" s="70"/>
      <c r="LDP52" s="70"/>
      <c r="LDQ52" s="25"/>
      <c r="LDR52" s="26"/>
      <c r="LDS52" s="26"/>
      <c r="LDT52" s="67"/>
      <c r="LDU52" s="11"/>
      <c r="LDV52" s="11"/>
      <c r="LDW52" s="68"/>
      <c r="LDX52" s="83"/>
      <c r="LDY52" s="83"/>
      <c r="LDZ52" s="80"/>
      <c r="LEA52" s="70"/>
      <c r="LEB52" s="70"/>
      <c r="LEC52" s="25"/>
      <c r="LED52" s="26"/>
      <c r="LEE52" s="26"/>
      <c r="LEF52" s="67"/>
      <c r="LEG52" s="11"/>
      <c r="LEH52" s="11"/>
      <c r="LEI52" s="68"/>
      <c r="LEJ52" s="83"/>
      <c r="LEK52" s="83"/>
      <c r="LEL52" s="80"/>
      <c r="LEM52" s="70"/>
      <c r="LEN52" s="70"/>
      <c r="LEO52" s="25"/>
      <c r="LEP52" s="26"/>
      <c r="LEQ52" s="26"/>
      <c r="LER52" s="67"/>
      <c r="LES52" s="11"/>
      <c r="LET52" s="11"/>
      <c r="LEU52" s="68"/>
      <c r="LEV52" s="83"/>
      <c r="LEW52" s="83"/>
      <c r="LEX52" s="80"/>
      <c r="LEY52" s="70"/>
      <c r="LEZ52" s="70"/>
      <c r="LFA52" s="25"/>
      <c r="LFB52" s="26"/>
      <c r="LFC52" s="26"/>
      <c r="LFD52" s="67"/>
      <c r="LFE52" s="11"/>
      <c r="LFF52" s="11"/>
      <c r="LFG52" s="68"/>
      <c r="LFH52" s="83"/>
      <c r="LFI52" s="83"/>
      <c r="LFJ52" s="80"/>
      <c r="LFK52" s="70"/>
      <c r="LFL52" s="70"/>
      <c r="LFM52" s="25"/>
      <c r="LFN52" s="26"/>
      <c r="LFO52" s="26"/>
      <c r="LFP52" s="67"/>
      <c r="LFQ52" s="11"/>
      <c r="LFR52" s="11"/>
      <c r="LFS52" s="68"/>
      <c r="LFT52" s="83"/>
      <c r="LFU52" s="83"/>
      <c r="LFV52" s="80"/>
      <c r="LFW52" s="70"/>
      <c r="LFX52" s="70"/>
      <c r="LFY52" s="25"/>
      <c r="LFZ52" s="26"/>
      <c r="LGA52" s="26"/>
      <c r="LGB52" s="67"/>
      <c r="LGC52" s="11"/>
      <c r="LGD52" s="11"/>
      <c r="LGE52" s="68"/>
      <c r="LGF52" s="83"/>
      <c r="LGG52" s="83"/>
      <c r="LGH52" s="80"/>
      <c r="LGI52" s="70"/>
      <c r="LGJ52" s="70"/>
      <c r="LGK52" s="25"/>
      <c r="LGL52" s="26"/>
      <c r="LGM52" s="26"/>
      <c r="LGN52" s="67"/>
      <c r="LGO52" s="11"/>
      <c r="LGP52" s="11"/>
      <c r="LGQ52" s="68"/>
      <c r="LGR52" s="83"/>
      <c r="LGS52" s="83"/>
      <c r="LGT52" s="80"/>
      <c r="LGU52" s="70"/>
      <c r="LGV52" s="70"/>
      <c r="LGW52" s="25"/>
      <c r="LGX52" s="26"/>
      <c r="LGY52" s="26"/>
      <c r="LGZ52" s="67"/>
      <c r="LHA52" s="11"/>
      <c r="LHB52" s="11"/>
      <c r="LHC52" s="68"/>
      <c r="LHD52" s="83"/>
      <c r="LHE52" s="83"/>
      <c r="LHF52" s="80"/>
      <c r="LHG52" s="70"/>
      <c r="LHH52" s="70"/>
      <c r="LHI52" s="25"/>
      <c r="LHJ52" s="26"/>
      <c r="LHK52" s="26"/>
      <c r="LHL52" s="67"/>
      <c r="LHM52" s="11"/>
      <c r="LHN52" s="11"/>
      <c r="LHO52" s="68"/>
      <c r="LHP52" s="83"/>
      <c r="LHQ52" s="83"/>
      <c r="LHR52" s="80"/>
      <c r="LHS52" s="70"/>
      <c r="LHT52" s="70"/>
      <c r="LHU52" s="25"/>
      <c r="LHV52" s="26"/>
      <c r="LHW52" s="26"/>
      <c r="LHX52" s="67"/>
      <c r="LHY52" s="11"/>
      <c r="LHZ52" s="11"/>
      <c r="LIA52" s="68"/>
      <c r="LIB52" s="83"/>
      <c r="LIC52" s="83"/>
      <c r="LID52" s="80"/>
      <c r="LIE52" s="70"/>
      <c r="LIF52" s="70"/>
      <c r="LIG52" s="25"/>
      <c r="LIH52" s="26"/>
      <c r="LII52" s="26"/>
      <c r="LIJ52" s="67"/>
      <c r="LIK52" s="11"/>
      <c r="LIL52" s="11"/>
      <c r="LIM52" s="68"/>
      <c r="LIN52" s="83"/>
      <c r="LIO52" s="83"/>
      <c r="LIP52" s="80"/>
      <c r="LIQ52" s="70"/>
      <c r="LIR52" s="70"/>
      <c r="LIS52" s="25"/>
      <c r="LIT52" s="26"/>
      <c r="LIU52" s="26"/>
      <c r="LIV52" s="67"/>
      <c r="LIW52" s="11"/>
      <c r="LIX52" s="11"/>
      <c r="LIY52" s="68"/>
      <c r="LIZ52" s="83"/>
      <c r="LJA52" s="83"/>
      <c r="LJB52" s="80"/>
      <c r="LJC52" s="70"/>
      <c r="LJD52" s="70"/>
      <c r="LJE52" s="25"/>
      <c r="LJF52" s="26"/>
      <c r="LJG52" s="26"/>
      <c r="LJH52" s="67"/>
      <c r="LJI52" s="11"/>
      <c r="LJJ52" s="11"/>
      <c r="LJK52" s="68"/>
      <c r="LJL52" s="83"/>
      <c r="LJM52" s="83"/>
      <c r="LJN52" s="80"/>
      <c r="LJO52" s="70"/>
      <c r="LJP52" s="70"/>
      <c r="LJQ52" s="25"/>
      <c r="LJR52" s="26"/>
      <c r="LJS52" s="26"/>
      <c r="LJT52" s="67"/>
      <c r="LJU52" s="11"/>
      <c r="LJV52" s="11"/>
      <c r="LJW52" s="68"/>
      <c r="LJX52" s="83"/>
      <c r="LJY52" s="83"/>
      <c r="LJZ52" s="80"/>
      <c r="LKA52" s="70"/>
      <c r="LKB52" s="70"/>
      <c r="LKC52" s="25"/>
      <c r="LKD52" s="26"/>
      <c r="LKE52" s="26"/>
      <c r="LKF52" s="67"/>
      <c r="LKG52" s="11"/>
      <c r="LKH52" s="11"/>
      <c r="LKI52" s="68"/>
      <c r="LKJ52" s="83"/>
      <c r="LKK52" s="83"/>
      <c r="LKL52" s="80"/>
      <c r="LKM52" s="70"/>
      <c r="LKN52" s="70"/>
      <c r="LKO52" s="25"/>
      <c r="LKP52" s="26"/>
      <c r="LKQ52" s="26"/>
      <c r="LKR52" s="67"/>
      <c r="LKS52" s="11"/>
      <c r="LKT52" s="11"/>
      <c r="LKU52" s="68"/>
      <c r="LKV52" s="83"/>
      <c r="LKW52" s="83"/>
      <c r="LKX52" s="80"/>
      <c r="LKY52" s="70"/>
      <c r="LKZ52" s="70"/>
      <c r="LLA52" s="25"/>
      <c r="LLB52" s="26"/>
      <c r="LLC52" s="26"/>
      <c r="LLD52" s="67"/>
      <c r="LLE52" s="11"/>
      <c r="LLF52" s="11"/>
      <c r="LLG52" s="68"/>
      <c r="LLH52" s="83"/>
      <c r="LLI52" s="83"/>
      <c r="LLJ52" s="80"/>
      <c r="LLK52" s="70"/>
      <c r="LLL52" s="70"/>
      <c r="LLM52" s="25"/>
      <c r="LLN52" s="26"/>
      <c r="LLO52" s="26"/>
      <c r="LLP52" s="67"/>
      <c r="LLQ52" s="11"/>
      <c r="LLR52" s="11"/>
      <c r="LLS52" s="68"/>
      <c r="LLT52" s="83"/>
      <c r="LLU52" s="83"/>
      <c r="LLV52" s="80"/>
      <c r="LLW52" s="70"/>
      <c r="LLX52" s="70"/>
      <c r="LLY52" s="25"/>
      <c r="LLZ52" s="26"/>
      <c r="LMA52" s="26"/>
      <c r="LMB52" s="67"/>
      <c r="LMC52" s="11"/>
      <c r="LMD52" s="11"/>
      <c r="LME52" s="68"/>
      <c r="LMF52" s="83"/>
      <c r="LMG52" s="83"/>
      <c r="LMH52" s="80"/>
      <c r="LMI52" s="70"/>
      <c r="LMJ52" s="70"/>
      <c r="LMK52" s="25"/>
      <c r="LML52" s="26"/>
      <c r="LMM52" s="26"/>
      <c r="LMN52" s="67"/>
      <c r="LMO52" s="11"/>
      <c r="LMP52" s="11"/>
      <c r="LMQ52" s="68"/>
      <c r="LMR52" s="83"/>
      <c r="LMS52" s="83"/>
      <c r="LMT52" s="80"/>
      <c r="LMU52" s="70"/>
      <c r="LMV52" s="70"/>
      <c r="LMW52" s="25"/>
      <c r="LMX52" s="26"/>
      <c r="LMY52" s="26"/>
      <c r="LMZ52" s="67"/>
      <c r="LNA52" s="11"/>
      <c r="LNB52" s="11"/>
      <c r="LNC52" s="68"/>
      <c r="LND52" s="83"/>
      <c r="LNE52" s="83"/>
      <c r="LNF52" s="80"/>
      <c r="LNG52" s="70"/>
      <c r="LNH52" s="70"/>
      <c r="LNI52" s="25"/>
      <c r="LNJ52" s="26"/>
      <c r="LNK52" s="26"/>
      <c r="LNL52" s="67"/>
      <c r="LNM52" s="11"/>
      <c r="LNN52" s="11"/>
      <c r="LNO52" s="68"/>
      <c r="LNP52" s="83"/>
      <c r="LNQ52" s="83"/>
      <c r="LNR52" s="80"/>
      <c r="LNS52" s="70"/>
      <c r="LNT52" s="70"/>
      <c r="LNU52" s="25"/>
      <c r="LNV52" s="26"/>
      <c r="LNW52" s="26"/>
      <c r="LNX52" s="67"/>
      <c r="LNY52" s="11"/>
      <c r="LNZ52" s="11"/>
      <c r="LOA52" s="68"/>
      <c r="LOB52" s="83"/>
      <c r="LOC52" s="83"/>
      <c r="LOD52" s="80"/>
      <c r="LOE52" s="70"/>
      <c r="LOF52" s="70"/>
      <c r="LOG52" s="25"/>
      <c r="LOH52" s="26"/>
      <c r="LOI52" s="26"/>
      <c r="LOJ52" s="67"/>
      <c r="LOK52" s="11"/>
      <c r="LOL52" s="11"/>
      <c r="LOM52" s="68"/>
      <c r="LON52" s="83"/>
      <c r="LOO52" s="83"/>
      <c r="LOP52" s="80"/>
      <c r="LOQ52" s="70"/>
      <c r="LOR52" s="70"/>
      <c r="LOS52" s="25"/>
      <c r="LOT52" s="26"/>
      <c r="LOU52" s="26"/>
      <c r="LOV52" s="67"/>
      <c r="LOW52" s="11"/>
      <c r="LOX52" s="11"/>
      <c r="LOY52" s="68"/>
      <c r="LOZ52" s="83"/>
      <c r="LPA52" s="83"/>
      <c r="LPB52" s="80"/>
      <c r="LPC52" s="70"/>
      <c r="LPD52" s="70"/>
      <c r="LPE52" s="25"/>
      <c r="LPF52" s="26"/>
      <c r="LPG52" s="26"/>
      <c r="LPH52" s="67"/>
      <c r="LPI52" s="11"/>
      <c r="LPJ52" s="11"/>
      <c r="LPK52" s="68"/>
      <c r="LPL52" s="83"/>
      <c r="LPM52" s="83"/>
      <c r="LPN52" s="80"/>
      <c r="LPO52" s="70"/>
      <c r="LPP52" s="70"/>
      <c r="LPQ52" s="25"/>
      <c r="LPR52" s="26"/>
      <c r="LPS52" s="26"/>
      <c r="LPT52" s="67"/>
      <c r="LPU52" s="11"/>
      <c r="LPV52" s="11"/>
      <c r="LPW52" s="68"/>
      <c r="LPX52" s="83"/>
      <c r="LPY52" s="83"/>
      <c r="LPZ52" s="80"/>
      <c r="LQA52" s="70"/>
      <c r="LQB52" s="70"/>
      <c r="LQC52" s="25"/>
      <c r="LQD52" s="26"/>
      <c r="LQE52" s="26"/>
      <c r="LQF52" s="67"/>
      <c r="LQG52" s="11"/>
      <c r="LQH52" s="11"/>
      <c r="LQI52" s="68"/>
      <c r="LQJ52" s="83"/>
      <c r="LQK52" s="83"/>
      <c r="LQL52" s="80"/>
      <c r="LQM52" s="70"/>
      <c r="LQN52" s="70"/>
      <c r="LQO52" s="25"/>
      <c r="LQP52" s="26"/>
      <c r="LQQ52" s="26"/>
      <c r="LQR52" s="67"/>
      <c r="LQS52" s="11"/>
      <c r="LQT52" s="11"/>
      <c r="LQU52" s="68"/>
      <c r="LQV52" s="83"/>
      <c r="LQW52" s="83"/>
      <c r="LQX52" s="80"/>
      <c r="LQY52" s="70"/>
      <c r="LQZ52" s="70"/>
      <c r="LRA52" s="25"/>
      <c r="LRB52" s="26"/>
      <c r="LRC52" s="26"/>
      <c r="LRD52" s="67"/>
      <c r="LRE52" s="11"/>
      <c r="LRF52" s="11"/>
      <c r="LRG52" s="68"/>
      <c r="LRH52" s="83"/>
      <c r="LRI52" s="83"/>
      <c r="LRJ52" s="80"/>
      <c r="LRK52" s="70"/>
      <c r="LRL52" s="70"/>
      <c r="LRM52" s="25"/>
      <c r="LRN52" s="26"/>
      <c r="LRO52" s="26"/>
      <c r="LRP52" s="67"/>
      <c r="LRQ52" s="11"/>
      <c r="LRR52" s="11"/>
      <c r="LRS52" s="68"/>
      <c r="LRT52" s="83"/>
      <c r="LRU52" s="83"/>
      <c r="LRV52" s="80"/>
      <c r="LRW52" s="70"/>
      <c r="LRX52" s="70"/>
      <c r="LRY52" s="25"/>
      <c r="LRZ52" s="26"/>
      <c r="LSA52" s="26"/>
      <c r="LSB52" s="67"/>
      <c r="LSC52" s="11"/>
      <c r="LSD52" s="11"/>
      <c r="LSE52" s="68"/>
      <c r="LSF52" s="83"/>
      <c r="LSG52" s="83"/>
      <c r="LSH52" s="80"/>
      <c r="LSI52" s="70"/>
      <c r="LSJ52" s="70"/>
      <c r="LSK52" s="25"/>
      <c r="LSL52" s="26"/>
      <c r="LSM52" s="26"/>
      <c r="LSN52" s="67"/>
      <c r="LSO52" s="11"/>
      <c r="LSP52" s="11"/>
      <c r="LSQ52" s="68"/>
      <c r="LSR52" s="83"/>
      <c r="LSS52" s="83"/>
      <c r="LST52" s="80"/>
      <c r="LSU52" s="70"/>
      <c r="LSV52" s="70"/>
      <c r="LSW52" s="25"/>
      <c r="LSX52" s="26"/>
      <c r="LSY52" s="26"/>
      <c r="LSZ52" s="67"/>
      <c r="LTA52" s="11"/>
      <c r="LTB52" s="11"/>
      <c r="LTC52" s="68"/>
      <c r="LTD52" s="83"/>
      <c r="LTE52" s="83"/>
      <c r="LTF52" s="80"/>
      <c r="LTG52" s="70"/>
      <c r="LTH52" s="70"/>
      <c r="LTI52" s="25"/>
      <c r="LTJ52" s="26"/>
      <c r="LTK52" s="26"/>
      <c r="LTL52" s="67"/>
      <c r="LTM52" s="11"/>
      <c r="LTN52" s="11"/>
      <c r="LTO52" s="68"/>
      <c r="LTP52" s="83"/>
      <c r="LTQ52" s="83"/>
      <c r="LTR52" s="80"/>
      <c r="LTS52" s="70"/>
      <c r="LTT52" s="70"/>
      <c r="LTU52" s="25"/>
      <c r="LTV52" s="26"/>
      <c r="LTW52" s="26"/>
      <c r="LTX52" s="67"/>
      <c r="LTY52" s="11"/>
      <c r="LTZ52" s="11"/>
      <c r="LUA52" s="68"/>
      <c r="LUB52" s="83"/>
      <c r="LUC52" s="83"/>
      <c r="LUD52" s="80"/>
      <c r="LUE52" s="70"/>
      <c r="LUF52" s="70"/>
      <c r="LUG52" s="25"/>
      <c r="LUH52" s="26"/>
      <c r="LUI52" s="26"/>
      <c r="LUJ52" s="67"/>
      <c r="LUK52" s="11"/>
      <c r="LUL52" s="11"/>
      <c r="LUM52" s="68"/>
      <c r="LUN52" s="83"/>
      <c r="LUO52" s="83"/>
      <c r="LUP52" s="80"/>
      <c r="LUQ52" s="70"/>
      <c r="LUR52" s="70"/>
      <c r="LUS52" s="25"/>
      <c r="LUT52" s="26"/>
      <c r="LUU52" s="26"/>
      <c r="LUV52" s="67"/>
      <c r="LUW52" s="11"/>
      <c r="LUX52" s="11"/>
      <c r="LUY52" s="68"/>
      <c r="LUZ52" s="83"/>
      <c r="LVA52" s="83"/>
      <c r="LVB52" s="80"/>
      <c r="LVC52" s="70"/>
      <c r="LVD52" s="70"/>
      <c r="LVE52" s="25"/>
      <c r="LVF52" s="26"/>
      <c r="LVG52" s="26"/>
      <c r="LVH52" s="67"/>
      <c r="LVI52" s="11"/>
      <c r="LVJ52" s="11"/>
      <c r="LVK52" s="68"/>
      <c r="LVL52" s="83"/>
      <c r="LVM52" s="83"/>
      <c r="LVN52" s="80"/>
      <c r="LVO52" s="70"/>
      <c r="LVP52" s="70"/>
      <c r="LVQ52" s="25"/>
      <c r="LVR52" s="26"/>
      <c r="LVS52" s="26"/>
      <c r="LVT52" s="67"/>
      <c r="LVU52" s="11"/>
      <c r="LVV52" s="11"/>
      <c r="LVW52" s="68"/>
      <c r="LVX52" s="83"/>
      <c r="LVY52" s="83"/>
      <c r="LVZ52" s="80"/>
      <c r="LWA52" s="70"/>
      <c r="LWB52" s="70"/>
      <c r="LWC52" s="25"/>
      <c r="LWD52" s="26"/>
      <c r="LWE52" s="26"/>
      <c r="LWF52" s="67"/>
      <c r="LWG52" s="11"/>
      <c r="LWH52" s="11"/>
      <c r="LWI52" s="68"/>
      <c r="LWJ52" s="83"/>
      <c r="LWK52" s="83"/>
      <c r="LWL52" s="80"/>
      <c r="LWM52" s="70"/>
      <c r="LWN52" s="70"/>
      <c r="LWO52" s="25"/>
      <c r="LWP52" s="26"/>
      <c r="LWQ52" s="26"/>
      <c r="LWR52" s="67"/>
      <c r="LWS52" s="11"/>
      <c r="LWT52" s="11"/>
      <c r="LWU52" s="68"/>
      <c r="LWV52" s="83"/>
      <c r="LWW52" s="83"/>
      <c r="LWX52" s="80"/>
      <c r="LWY52" s="70"/>
      <c r="LWZ52" s="70"/>
      <c r="LXA52" s="25"/>
      <c r="LXB52" s="26"/>
      <c r="LXC52" s="26"/>
      <c r="LXD52" s="67"/>
      <c r="LXE52" s="11"/>
      <c r="LXF52" s="11"/>
      <c r="LXG52" s="68"/>
      <c r="LXH52" s="83"/>
      <c r="LXI52" s="83"/>
      <c r="LXJ52" s="80"/>
      <c r="LXK52" s="70"/>
      <c r="LXL52" s="70"/>
      <c r="LXM52" s="25"/>
      <c r="LXN52" s="26"/>
      <c r="LXO52" s="26"/>
      <c r="LXP52" s="67"/>
      <c r="LXQ52" s="11"/>
      <c r="LXR52" s="11"/>
      <c r="LXS52" s="68"/>
      <c r="LXT52" s="83"/>
      <c r="LXU52" s="83"/>
      <c r="LXV52" s="80"/>
      <c r="LXW52" s="70"/>
      <c r="LXX52" s="70"/>
      <c r="LXY52" s="25"/>
      <c r="LXZ52" s="26"/>
      <c r="LYA52" s="26"/>
      <c r="LYB52" s="67"/>
      <c r="LYC52" s="11"/>
      <c r="LYD52" s="11"/>
      <c r="LYE52" s="68"/>
      <c r="LYF52" s="83"/>
      <c r="LYG52" s="83"/>
      <c r="LYH52" s="80"/>
      <c r="LYI52" s="70"/>
      <c r="LYJ52" s="70"/>
      <c r="LYK52" s="25"/>
      <c r="LYL52" s="26"/>
      <c r="LYM52" s="26"/>
      <c r="LYN52" s="67"/>
      <c r="LYO52" s="11"/>
      <c r="LYP52" s="11"/>
      <c r="LYQ52" s="68"/>
      <c r="LYR52" s="83"/>
      <c r="LYS52" s="83"/>
      <c r="LYT52" s="80"/>
      <c r="LYU52" s="70"/>
      <c r="LYV52" s="70"/>
      <c r="LYW52" s="25"/>
      <c r="LYX52" s="26"/>
      <c r="LYY52" s="26"/>
      <c r="LYZ52" s="67"/>
      <c r="LZA52" s="11"/>
      <c r="LZB52" s="11"/>
      <c r="LZC52" s="68"/>
      <c r="LZD52" s="83"/>
      <c r="LZE52" s="83"/>
      <c r="LZF52" s="80"/>
      <c r="LZG52" s="70"/>
      <c r="LZH52" s="70"/>
      <c r="LZI52" s="25"/>
      <c r="LZJ52" s="26"/>
      <c r="LZK52" s="26"/>
      <c r="LZL52" s="67"/>
      <c r="LZM52" s="11"/>
      <c r="LZN52" s="11"/>
      <c r="LZO52" s="68"/>
      <c r="LZP52" s="83"/>
      <c r="LZQ52" s="83"/>
      <c r="LZR52" s="80"/>
      <c r="LZS52" s="70"/>
      <c r="LZT52" s="70"/>
      <c r="LZU52" s="25"/>
      <c r="LZV52" s="26"/>
      <c r="LZW52" s="26"/>
      <c r="LZX52" s="67"/>
      <c r="LZY52" s="11"/>
      <c r="LZZ52" s="11"/>
      <c r="MAA52" s="68"/>
      <c r="MAB52" s="83"/>
      <c r="MAC52" s="83"/>
      <c r="MAD52" s="80"/>
      <c r="MAE52" s="70"/>
      <c r="MAF52" s="70"/>
      <c r="MAG52" s="25"/>
      <c r="MAH52" s="26"/>
      <c r="MAI52" s="26"/>
      <c r="MAJ52" s="67"/>
      <c r="MAK52" s="11"/>
      <c r="MAL52" s="11"/>
      <c r="MAM52" s="68"/>
      <c r="MAN52" s="83"/>
      <c r="MAO52" s="83"/>
      <c r="MAP52" s="80"/>
      <c r="MAQ52" s="70"/>
      <c r="MAR52" s="70"/>
      <c r="MAS52" s="25"/>
      <c r="MAT52" s="26"/>
      <c r="MAU52" s="26"/>
      <c r="MAV52" s="67"/>
      <c r="MAW52" s="11"/>
      <c r="MAX52" s="11"/>
      <c r="MAY52" s="68"/>
      <c r="MAZ52" s="83"/>
      <c r="MBA52" s="83"/>
      <c r="MBB52" s="80"/>
      <c r="MBC52" s="70"/>
      <c r="MBD52" s="70"/>
      <c r="MBE52" s="25"/>
      <c r="MBF52" s="26"/>
      <c r="MBG52" s="26"/>
      <c r="MBH52" s="67"/>
      <c r="MBI52" s="11"/>
      <c r="MBJ52" s="11"/>
      <c r="MBK52" s="68"/>
      <c r="MBL52" s="83"/>
      <c r="MBM52" s="83"/>
      <c r="MBN52" s="80"/>
      <c r="MBO52" s="70"/>
      <c r="MBP52" s="70"/>
      <c r="MBQ52" s="25"/>
      <c r="MBR52" s="26"/>
      <c r="MBS52" s="26"/>
      <c r="MBT52" s="67"/>
      <c r="MBU52" s="11"/>
      <c r="MBV52" s="11"/>
      <c r="MBW52" s="68"/>
      <c r="MBX52" s="83"/>
      <c r="MBY52" s="83"/>
      <c r="MBZ52" s="80"/>
      <c r="MCA52" s="70"/>
      <c r="MCB52" s="70"/>
      <c r="MCC52" s="25"/>
      <c r="MCD52" s="26"/>
      <c r="MCE52" s="26"/>
      <c r="MCF52" s="67"/>
      <c r="MCG52" s="11"/>
      <c r="MCH52" s="11"/>
      <c r="MCI52" s="68"/>
      <c r="MCJ52" s="83"/>
      <c r="MCK52" s="83"/>
      <c r="MCL52" s="80"/>
      <c r="MCM52" s="70"/>
      <c r="MCN52" s="70"/>
      <c r="MCO52" s="25"/>
      <c r="MCP52" s="26"/>
      <c r="MCQ52" s="26"/>
      <c r="MCR52" s="67"/>
      <c r="MCS52" s="11"/>
      <c r="MCT52" s="11"/>
      <c r="MCU52" s="68"/>
      <c r="MCV52" s="83"/>
      <c r="MCW52" s="83"/>
      <c r="MCX52" s="80"/>
      <c r="MCY52" s="70"/>
      <c r="MCZ52" s="70"/>
      <c r="MDA52" s="25"/>
      <c r="MDB52" s="26"/>
      <c r="MDC52" s="26"/>
      <c r="MDD52" s="67"/>
      <c r="MDE52" s="11"/>
      <c r="MDF52" s="11"/>
      <c r="MDG52" s="68"/>
      <c r="MDH52" s="83"/>
      <c r="MDI52" s="83"/>
      <c r="MDJ52" s="80"/>
      <c r="MDK52" s="70"/>
      <c r="MDL52" s="70"/>
      <c r="MDM52" s="25"/>
      <c r="MDN52" s="26"/>
      <c r="MDO52" s="26"/>
      <c r="MDP52" s="67"/>
      <c r="MDQ52" s="11"/>
      <c r="MDR52" s="11"/>
      <c r="MDS52" s="68"/>
      <c r="MDT52" s="83"/>
      <c r="MDU52" s="83"/>
      <c r="MDV52" s="80"/>
      <c r="MDW52" s="70"/>
      <c r="MDX52" s="70"/>
      <c r="MDY52" s="25"/>
      <c r="MDZ52" s="26"/>
      <c r="MEA52" s="26"/>
      <c r="MEB52" s="67"/>
      <c r="MEC52" s="11"/>
      <c r="MED52" s="11"/>
      <c r="MEE52" s="68"/>
      <c r="MEF52" s="83"/>
      <c r="MEG52" s="83"/>
      <c r="MEH52" s="80"/>
      <c r="MEI52" s="70"/>
      <c r="MEJ52" s="70"/>
      <c r="MEK52" s="25"/>
      <c r="MEL52" s="26"/>
      <c r="MEM52" s="26"/>
      <c r="MEN52" s="67"/>
      <c r="MEO52" s="11"/>
      <c r="MEP52" s="11"/>
      <c r="MEQ52" s="68"/>
      <c r="MER52" s="83"/>
      <c r="MES52" s="83"/>
      <c r="MET52" s="80"/>
      <c r="MEU52" s="70"/>
      <c r="MEV52" s="70"/>
      <c r="MEW52" s="25"/>
      <c r="MEX52" s="26"/>
      <c r="MEY52" s="26"/>
      <c r="MEZ52" s="67"/>
      <c r="MFA52" s="11"/>
      <c r="MFB52" s="11"/>
      <c r="MFC52" s="68"/>
      <c r="MFD52" s="83"/>
      <c r="MFE52" s="83"/>
      <c r="MFF52" s="80"/>
      <c r="MFG52" s="70"/>
      <c r="MFH52" s="70"/>
      <c r="MFI52" s="25"/>
      <c r="MFJ52" s="26"/>
      <c r="MFK52" s="26"/>
      <c r="MFL52" s="67"/>
      <c r="MFM52" s="11"/>
      <c r="MFN52" s="11"/>
      <c r="MFO52" s="68"/>
      <c r="MFP52" s="83"/>
      <c r="MFQ52" s="83"/>
      <c r="MFR52" s="80"/>
      <c r="MFS52" s="70"/>
      <c r="MFT52" s="70"/>
      <c r="MFU52" s="25"/>
      <c r="MFV52" s="26"/>
      <c r="MFW52" s="26"/>
      <c r="MFX52" s="67"/>
      <c r="MFY52" s="11"/>
      <c r="MFZ52" s="11"/>
      <c r="MGA52" s="68"/>
      <c r="MGB52" s="83"/>
      <c r="MGC52" s="83"/>
      <c r="MGD52" s="80"/>
      <c r="MGE52" s="70"/>
      <c r="MGF52" s="70"/>
      <c r="MGG52" s="25"/>
      <c r="MGH52" s="26"/>
      <c r="MGI52" s="26"/>
      <c r="MGJ52" s="67"/>
      <c r="MGK52" s="11"/>
      <c r="MGL52" s="11"/>
      <c r="MGM52" s="68"/>
      <c r="MGN52" s="83"/>
      <c r="MGO52" s="83"/>
      <c r="MGP52" s="80"/>
      <c r="MGQ52" s="70"/>
      <c r="MGR52" s="70"/>
      <c r="MGS52" s="25"/>
      <c r="MGT52" s="26"/>
      <c r="MGU52" s="26"/>
      <c r="MGV52" s="67"/>
      <c r="MGW52" s="11"/>
      <c r="MGX52" s="11"/>
      <c r="MGY52" s="68"/>
      <c r="MGZ52" s="83"/>
      <c r="MHA52" s="83"/>
      <c r="MHB52" s="80"/>
      <c r="MHC52" s="70"/>
      <c r="MHD52" s="70"/>
      <c r="MHE52" s="25"/>
      <c r="MHF52" s="26"/>
      <c r="MHG52" s="26"/>
      <c r="MHH52" s="67"/>
      <c r="MHI52" s="11"/>
      <c r="MHJ52" s="11"/>
      <c r="MHK52" s="68"/>
      <c r="MHL52" s="83"/>
      <c r="MHM52" s="83"/>
      <c r="MHN52" s="80"/>
      <c r="MHO52" s="70"/>
      <c r="MHP52" s="70"/>
      <c r="MHQ52" s="25"/>
      <c r="MHR52" s="26"/>
      <c r="MHS52" s="26"/>
      <c r="MHT52" s="67"/>
      <c r="MHU52" s="11"/>
      <c r="MHV52" s="11"/>
      <c r="MHW52" s="68"/>
      <c r="MHX52" s="83"/>
      <c r="MHY52" s="83"/>
      <c r="MHZ52" s="80"/>
      <c r="MIA52" s="70"/>
      <c r="MIB52" s="70"/>
      <c r="MIC52" s="25"/>
      <c r="MID52" s="26"/>
      <c r="MIE52" s="26"/>
      <c r="MIF52" s="67"/>
      <c r="MIG52" s="11"/>
      <c r="MIH52" s="11"/>
      <c r="MII52" s="68"/>
      <c r="MIJ52" s="83"/>
      <c r="MIK52" s="83"/>
      <c r="MIL52" s="80"/>
      <c r="MIM52" s="70"/>
      <c r="MIN52" s="70"/>
      <c r="MIO52" s="25"/>
      <c r="MIP52" s="26"/>
      <c r="MIQ52" s="26"/>
      <c r="MIR52" s="67"/>
      <c r="MIS52" s="11"/>
      <c r="MIT52" s="11"/>
      <c r="MIU52" s="68"/>
      <c r="MIV52" s="83"/>
      <c r="MIW52" s="83"/>
      <c r="MIX52" s="80"/>
      <c r="MIY52" s="70"/>
      <c r="MIZ52" s="70"/>
      <c r="MJA52" s="25"/>
      <c r="MJB52" s="26"/>
      <c r="MJC52" s="26"/>
      <c r="MJD52" s="67"/>
      <c r="MJE52" s="11"/>
      <c r="MJF52" s="11"/>
      <c r="MJG52" s="68"/>
      <c r="MJH52" s="83"/>
      <c r="MJI52" s="83"/>
      <c r="MJJ52" s="80"/>
      <c r="MJK52" s="70"/>
      <c r="MJL52" s="70"/>
      <c r="MJM52" s="25"/>
      <c r="MJN52" s="26"/>
      <c r="MJO52" s="26"/>
      <c r="MJP52" s="67"/>
      <c r="MJQ52" s="11"/>
      <c r="MJR52" s="11"/>
      <c r="MJS52" s="68"/>
      <c r="MJT52" s="83"/>
      <c r="MJU52" s="83"/>
      <c r="MJV52" s="80"/>
      <c r="MJW52" s="70"/>
      <c r="MJX52" s="70"/>
      <c r="MJY52" s="25"/>
      <c r="MJZ52" s="26"/>
      <c r="MKA52" s="26"/>
      <c r="MKB52" s="67"/>
      <c r="MKC52" s="11"/>
      <c r="MKD52" s="11"/>
      <c r="MKE52" s="68"/>
      <c r="MKF52" s="83"/>
      <c r="MKG52" s="83"/>
      <c r="MKH52" s="80"/>
      <c r="MKI52" s="70"/>
      <c r="MKJ52" s="70"/>
      <c r="MKK52" s="25"/>
      <c r="MKL52" s="26"/>
      <c r="MKM52" s="26"/>
      <c r="MKN52" s="67"/>
      <c r="MKO52" s="11"/>
      <c r="MKP52" s="11"/>
      <c r="MKQ52" s="68"/>
      <c r="MKR52" s="83"/>
      <c r="MKS52" s="83"/>
      <c r="MKT52" s="80"/>
      <c r="MKU52" s="70"/>
      <c r="MKV52" s="70"/>
      <c r="MKW52" s="25"/>
      <c r="MKX52" s="26"/>
      <c r="MKY52" s="26"/>
      <c r="MKZ52" s="67"/>
      <c r="MLA52" s="11"/>
      <c r="MLB52" s="11"/>
      <c r="MLC52" s="68"/>
      <c r="MLD52" s="83"/>
      <c r="MLE52" s="83"/>
      <c r="MLF52" s="80"/>
      <c r="MLG52" s="70"/>
      <c r="MLH52" s="70"/>
      <c r="MLI52" s="25"/>
      <c r="MLJ52" s="26"/>
      <c r="MLK52" s="26"/>
      <c r="MLL52" s="67"/>
      <c r="MLM52" s="11"/>
      <c r="MLN52" s="11"/>
      <c r="MLO52" s="68"/>
      <c r="MLP52" s="83"/>
      <c r="MLQ52" s="83"/>
      <c r="MLR52" s="80"/>
      <c r="MLS52" s="70"/>
      <c r="MLT52" s="70"/>
      <c r="MLU52" s="25"/>
      <c r="MLV52" s="26"/>
      <c r="MLW52" s="26"/>
      <c r="MLX52" s="67"/>
      <c r="MLY52" s="11"/>
      <c r="MLZ52" s="11"/>
      <c r="MMA52" s="68"/>
      <c r="MMB52" s="83"/>
      <c r="MMC52" s="83"/>
      <c r="MMD52" s="80"/>
      <c r="MME52" s="70"/>
      <c r="MMF52" s="70"/>
      <c r="MMG52" s="25"/>
      <c r="MMH52" s="26"/>
      <c r="MMI52" s="26"/>
      <c r="MMJ52" s="67"/>
      <c r="MMK52" s="11"/>
      <c r="MML52" s="11"/>
      <c r="MMM52" s="68"/>
      <c r="MMN52" s="83"/>
      <c r="MMO52" s="83"/>
      <c r="MMP52" s="80"/>
      <c r="MMQ52" s="70"/>
      <c r="MMR52" s="70"/>
      <c r="MMS52" s="25"/>
      <c r="MMT52" s="26"/>
      <c r="MMU52" s="26"/>
      <c r="MMV52" s="67"/>
      <c r="MMW52" s="11"/>
      <c r="MMX52" s="11"/>
      <c r="MMY52" s="68"/>
      <c r="MMZ52" s="83"/>
      <c r="MNA52" s="83"/>
      <c r="MNB52" s="80"/>
      <c r="MNC52" s="70"/>
      <c r="MND52" s="70"/>
      <c r="MNE52" s="25"/>
      <c r="MNF52" s="26"/>
      <c r="MNG52" s="26"/>
      <c r="MNH52" s="67"/>
      <c r="MNI52" s="11"/>
      <c r="MNJ52" s="11"/>
      <c r="MNK52" s="68"/>
      <c r="MNL52" s="83"/>
      <c r="MNM52" s="83"/>
      <c r="MNN52" s="80"/>
      <c r="MNO52" s="70"/>
      <c r="MNP52" s="70"/>
      <c r="MNQ52" s="25"/>
      <c r="MNR52" s="26"/>
      <c r="MNS52" s="26"/>
      <c r="MNT52" s="67"/>
      <c r="MNU52" s="11"/>
      <c r="MNV52" s="11"/>
      <c r="MNW52" s="68"/>
      <c r="MNX52" s="83"/>
      <c r="MNY52" s="83"/>
      <c r="MNZ52" s="80"/>
      <c r="MOA52" s="70"/>
      <c r="MOB52" s="70"/>
      <c r="MOC52" s="25"/>
      <c r="MOD52" s="26"/>
      <c r="MOE52" s="26"/>
      <c r="MOF52" s="67"/>
      <c r="MOG52" s="11"/>
      <c r="MOH52" s="11"/>
      <c r="MOI52" s="68"/>
      <c r="MOJ52" s="83"/>
      <c r="MOK52" s="83"/>
      <c r="MOL52" s="80"/>
      <c r="MOM52" s="70"/>
      <c r="MON52" s="70"/>
      <c r="MOO52" s="25"/>
      <c r="MOP52" s="26"/>
      <c r="MOQ52" s="26"/>
      <c r="MOR52" s="67"/>
      <c r="MOS52" s="11"/>
      <c r="MOT52" s="11"/>
      <c r="MOU52" s="68"/>
      <c r="MOV52" s="83"/>
      <c r="MOW52" s="83"/>
      <c r="MOX52" s="80"/>
      <c r="MOY52" s="70"/>
      <c r="MOZ52" s="70"/>
      <c r="MPA52" s="25"/>
      <c r="MPB52" s="26"/>
      <c r="MPC52" s="26"/>
      <c r="MPD52" s="67"/>
      <c r="MPE52" s="11"/>
      <c r="MPF52" s="11"/>
      <c r="MPG52" s="68"/>
      <c r="MPH52" s="83"/>
      <c r="MPI52" s="83"/>
      <c r="MPJ52" s="80"/>
      <c r="MPK52" s="70"/>
      <c r="MPL52" s="70"/>
      <c r="MPM52" s="25"/>
      <c r="MPN52" s="26"/>
      <c r="MPO52" s="26"/>
      <c r="MPP52" s="67"/>
      <c r="MPQ52" s="11"/>
      <c r="MPR52" s="11"/>
      <c r="MPS52" s="68"/>
      <c r="MPT52" s="83"/>
      <c r="MPU52" s="83"/>
      <c r="MPV52" s="80"/>
      <c r="MPW52" s="70"/>
      <c r="MPX52" s="70"/>
      <c r="MPY52" s="25"/>
      <c r="MPZ52" s="26"/>
      <c r="MQA52" s="26"/>
      <c r="MQB52" s="67"/>
      <c r="MQC52" s="11"/>
      <c r="MQD52" s="11"/>
      <c r="MQE52" s="68"/>
      <c r="MQF52" s="83"/>
      <c r="MQG52" s="83"/>
      <c r="MQH52" s="80"/>
      <c r="MQI52" s="70"/>
      <c r="MQJ52" s="70"/>
      <c r="MQK52" s="25"/>
      <c r="MQL52" s="26"/>
      <c r="MQM52" s="26"/>
      <c r="MQN52" s="67"/>
      <c r="MQO52" s="11"/>
      <c r="MQP52" s="11"/>
      <c r="MQQ52" s="68"/>
      <c r="MQR52" s="83"/>
      <c r="MQS52" s="83"/>
      <c r="MQT52" s="80"/>
      <c r="MQU52" s="70"/>
      <c r="MQV52" s="70"/>
      <c r="MQW52" s="25"/>
      <c r="MQX52" s="26"/>
      <c r="MQY52" s="26"/>
      <c r="MQZ52" s="67"/>
      <c r="MRA52" s="11"/>
      <c r="MRB52" s="11"/>
      <c r="MRC52" s="68"/>
      <c r="MRD52" s="83"/>
      <c r="MRE52" s="83"/>
      <c r="MRF52" s="80"/>
      <c r="MRG52" s="70"/>
      <c r="MRH52" s="70"/>
      <c r="MRI52" s="25"/>
      <c r="MRJ52" s="26"/>
      <c r="MRK52" s="26"/>
      <c r="MRL52" s="67"/>
      <c r="MRM52" s="11"/>
      <c r="MRN52" s="11"/>
      <c r="MRO52" s="68"/>
      <c r="MRP52" s="83"/>
      <c r="MRQ52" s="83"/>
      <c r="MRR52" s="80"/>
      <c r="MRS52" s="70"/>
      <c r="MRT52" s="70"/>
      <c r="MRU52" s="25"/>
      <c r="MRV52" s="26"/>
      <c r="MRW52" s="26"/>
      <c r="MRX52" s="67"/>
      <c r="MRY52" s="11"/>
      <c r="MRZ52" s="11"/>
      <c r="MSA52" s="68"/>
      <c r="MSB52" s="83"/>
      <c r="MSC52" s="83"/>
      <c r="MSD52" s="80"/>
      <c r="MSE52" s="70"/>
      <c r="MSF52" s="70"/>
      <c r="MSG52" s="25"/>
      <c r="MSH52" s="26"/>
      <c r="MSI52" s="26"/>
      <c r="MSJ52" s="67"/>
      <c r="MSK52" s="11"/>
      <c r="MSL52" s="11"/>
      <c r="MSM52" s="68"/>
      <c r="MSN52" s="83"/>
      <c r="MSO52" s="83"/>
      <c r="MSP52" s="80"/>
      <c r="MSQ52" s="70"/>
      <c r="MSR52" s="70"/>
      <c r="MSS52" s="25"/>
      <c r="MST52" s="26"/>
      <c r="MSU52" s="26"/>
      <c r="MSV52" s="67"/>
      <c r="MSW52" s="11"/>
      <c r="MSX52" s="11"/>
      <c r="MSY52" s="68"/>
      <c r="MSZ52" s="83"/>
      <c r="MTA52" s="83"/>
      <c r="MTB52" s="80"/>
      <c r="MTC52" s="70"/>
      <c r="MTD52" s="70"/>
      <c r="MTE52" s="25"/>
      <c r="MTF52" s="26"/>
      <c r="MTG52" s="26"/>
      <c r="MTH52" s="67"/>
      <c r="MTI52" s="11"/>
      <c r="MTJ52" s="11"/>
      <c r="MTK52" s="68"/>
      <c r="MTL52" s="83"/>
      <c r="MTM52" s="83"/>
      <c r="MTN52" s="80"/>
      <c r="MTO52" s="70"/>
      <c r="MTP52" s="70"/>
      <c r="MTQ52" s="25"/>
      <c r="MTR52" s="26"/>
      <c r="MTS52" s="26"/>
      <c r="MTT52" s="67"/>
      <c r="MTU52" s="11"/>
      <c r="MTV52" s="11"/>
      <c r="MTW52" s="68"/>
      <c r="MTX52" s="83"/>
      <c r="MTY52" s="83"/>
      <c r="MTZ52" s="80"/>
      <c r="MUA52" s="70"/>
      <c r="MUB52" s="70"/>
      <c r="MUC52" s="25"/>
      <c r="MUD52" s="26"/>
      <c r="MUE52" s="26"/>
      <c r="MUF52" s="67"/>
      <c r="MUG52" s="11"/>
      <c r="MUH52" s="11"/>
      <c r="MUI52" s="68"/>
      <c r="MUJ52" s="83"/>
      <c r="MUK52" s="83"/>
      <c r="MUL52" s="80"/>
      <c r="MUM52" s="70"/>
      <c r="MUN52" s="70"/>
      <c r="MUO52" s="25"/>
      <c r="MUP52" s="26"/>
      <c r="MUQ52" s="26"/>
      <c r="MUR52" s="67"/>
      <c r="MUS52" s="11"/>
      <c r="MUT52" s="11"/>
      <c r="MUU52" s="68"/>
      <c r="MUV52" s="83"/>
      <c r="MUW52" s="83"/>
      <c r="MUX52" s="80"/>
      <c r="MUY52" s="70"/>
      <c r="MUZ52" s="70"/>
      <c r="MVA52" s="25"/>
      <c r="MVB52" s="26"/>
      <c r="MVC52" s="26"/>
      <c r="MVD52" s="67"/>
      <c r="MVE52" s="11"/>
      <c r="MVF52" s="11"/>
      <c r="MVG52" s="68"/>
      <c r="MVH52" s="83"/>
      <c r="MVI52" s="83"/>
      <c r="MVJ52" s="80"/>
      <c r="MVK52" s="70"/>
      <c r="MVL52" s="70"/>
      <c r="MVM52" s="25"/>
      <c r="MVN52" s="26"/>
      <c r="MVO52" s="26"/>
      <c r="MVP52" s="67"/>
      <c r="MVQ52" s="11"/>
      <c r="MVR52" s="11"/>
      <c r="MVS52" s="68"/>
      <c r="MVT52" s="83"/>
      <c r="MVU52" s="83"/>
      <c r="MVV52" s="80"/>
      <c r="MVW52" s="70"/>
      <c r="MVX52" s="70"/>
      <c r="MVY52" s="25"/>
      <c r="MVZ52" s="26"/>
      <c r="MWA52" s="26"/>
      <c r="MWB52" s="67"/>
      <c r="MWC52" s="11"/>
      <c r="MWD52" s="11"/>
      <c r="MWE52" s="68"/>
      <c r="MWF52" s="83"/>
      <c r="MWG52" s="83"/>
      <c r="MWH52" s="80"/>
      <c r="MWI52" s="70"/>
      <c r="MWJ52" s="70"/>
      <c r="MWK52" s="25"/>
      <c r="MWL52" s="26"/>
      <c r="MWM52" s="26"/>
      <c r="MWN52" s="67"/>
      <c r="MWO52" s="11"/>
      <c r="MWP52" s="11"/>
      <c r="MWQ52" s="68"/>
      <c r="MWR52" s="83"/>
      <c r="MWS52" s="83"/>
      <c r="MWT52" s="80"/>
      <c r="MWU52" s="70"/>
      <c r="MWV52" s="70"/>
      <c r="MWW52" s="25"/>
      <c r="MWX52" s="26"/>
      <c r="MWY52" s="26"/>
      <c r="MWZ52" s="67"/>
      <c r="MXA52" s="11"/>
      <c r="MXB52" s="11"/>
      <c r="MXC52" s="68"/>
      <c r="MXD52" s="83"/>
      <c r="MXE52" s="83"/>
      <c r="MXF52" s="80"/>
      <c r="MXG52" s="70"/>
      <c r="MXH52" s="70"/>
      <c r="MXI52" s="25"/>
      <c r="MXJ52" s="26"/>
      <c r="MXK52" s="26"/>
      <c r="MXL52" s="67"/>
      <c r="MXM52" s="11"/>
      <c r="MXN52" s="11"/>
      <c r="MXO52" s="68"/>
      <c r="MXP52" s="83"/>
      <c r="MXQ52" s="83"/>
      <c r="MXR52" s="80"/>
      <c r="MXS52" s="70"/>
      <c r="MXT52" s="70"/>
      <c r="MXU52" s="25"/>
      <c r="MXV52" s="26"/>
      <c r="MXW52" s="26"/>
      <c r="MXX52" s="67"/>
      <c r="MXY52" s="11"/>
      <c r="MXZ52" s="11"/>
      <c r="MYA52" s="68"/>
      <c r="MYB52" s="83"/>
      <c r="MYC52" s="83"/>
      <c r="MYD52" s="80"/>
      <c r="MYE52" s="70"/>
      <c r="MYF52" s="70"/>
      <c r="MYG52" s="25"/>
      <c r="MYH52" s="26"/>
      <c r="MYI52" s="26"/>
      <c r="MYJ52" s="67"/>
      <c r="MYK52" s="11"/>
      <c r="MYL52" s="11"/>
      <c r="MYM52" s="68"/>
      <c r="MYN52" s="83"/>
      <c r="MYO52" s="83"/>
      <c r="MYP52" s="80"/>
      <c r="MYQ52" s="70"/>
      <c r="MYR52" s="70"/>
      <c r="MYS52" s="25"/>
      <c r="MYT52" s="26"/>
      <c r="MYU52" s="26"/>
      <c r="MYV52" s="67"/>
      <c r="MYW52" s="11"/>
      <c r="MYX52" s="11"/>
      <c r="MYY52" s="68"/>
      <c r="MYZ52" s="83"/>
      <c r="MZA52" s="83"/>
      <c r="MZB52" s="80"/>
      <c r="MZC52" s="70"/>
      <c r="MZD52" s="70"/>
      <c r="MZE52" s="25"/>
      <c r="MZF52" s="26"/>
      <c r="MZG52" s="26"/>
      <c r="MZH52" s="67"/>
      <c r="MZI52" s="11"/>
      <c r="MZJ52" s="11"/>
      <c r="MZK52" s="68"/>
      <c r="MZL52" s="83"/>
      <c r="MZM52" s="83"/>
      <c r="MZN52" s="80"/>
      <c r="MZO52" s="70"/>
      <c r="MZP52" s="70"/>
      <c r="MZQ52" s="25"/>
      <c r="MZR52" s="26"/>
      <c r="MZS52" s="26"/>
      <c r="MZT52" s="67"/>
      <c r="MZU52" s="11"/>
      <c r="MZV52" s="11"/>
      <c r="MZW52" s="68"/>
      <c r="MZX52" s="83"/>
      <c r="MZY52" s="83"/>
      <c r="MZZ52" s="80"/>
      <c r="NAA52" s="70"/>
      <c r="NAB52" s="70"/>
      <c r="NAC52" s="25"/>
      <c r="NAD52" s="26"/>
      <c r="NAE52" s="26"/>
      <c r="NAF52" s="67"/>
      <c r="NAG52" s="11"/>
      <c r="NAH52" s="11"/>
      <c r="NAI52" s="68"/>
      <c r="NAJ52" s="83"/>
      <c r="NAK52" s="83"/>
      <c r="NAL52" s="80"/>
      <c r="NAM52" s="70"/>
      <c r="NAN52" s="70"/>
      <c r="NAO52" s="25"/>
      <c r="NAP52" s="26"/>
      <c r="NAQ52" s="26"/>
      <c r="NAR52" s="67"/>
      <c r="NAS52" s="11"/>
      <c r="NAT52" s="11"/>
      <c r="NAU52" s="68"/>
      <c r="NAV52" s="83"/>
      <c r="NAW52" s="83"/>
      <c r="NAX52" s="80"/>
      <c r="NAY52" s="70"/>
      <c r="NAZ52" s="70"/>
      <c r="NBA52" s="25"/>
      <c r="NBB52" s="26"/>
      <c r="NBC52" s="26"/>
      <c r="NBD52" s="67"/>
      <c r="NBE52" s="11"/>
      <c r="NBF52" s="11"/>
      <c r="NBG52" s="68"/>
      <c r="NBH52" s="83"/>
      <c r="NBI52" s="83"/>
      <c r="NBJ52" s="80"/>
      <c r="NBK52" s="70"/>
      <c r="NBL52" s="70"/>
      <c r="NBM52" s="25"/>
      <c r="NBN52" s="26"/>
      <c r="NBO52" s="26"/>
      <c r="NBP52" s="67"/>
      <c r="NBQ52" s="11"/>
      <c r="NBR52" s="11"/>
      <c r="NBS52" s="68"/>
      <c r="NBT52" s="83"/>
      <c r="NBU52" s="83"/>
      <c r="NBV52" s="80"/>
      <c r="NBW52" s="70"/>
      <c r="NBX52" s="70"/>
      <c r="NBY52" s="25"/>
      <c r="NBZ52" s="26"/>
      <c r="NCA52" s="26"/>
      <c r="NCB52" s="67"/>
      <c r="NCC52" s="11"/>
      <c r="NCD52" s="11"/>
      <c r="NCE52" s="68"/>
      <c r="NCF52" s="83"/>
      <c r="NCG52" s="83"/>
      <c r="NCH52" s="80"/>
      <c r="NCI52" s="70"/>
      <c r="NCJ52" s="70"/>
      <c r="NCK52" s="25"/>
      <c r="NCL52" s="26"/>
      <c r="NCM52" s="26"/>
      <c r="NCN52" s="67"/>
      <c r="NCO52" s="11"/>
      <c r="NCP52" s="11"/>
      <c r="NCQ52" s="68"/>
      <c r="NCR52" s="83"/>
      <c r="NCS52" s="83"/>
      <c r="NCT52" s="80"/>
      <c r="NCU52" s="70"/>
      <c r="NCV52" s="70"/>
      <c r="NCW52" s="25"/>
      <c r="NCX52" s="26"/>
      <c r="NCY52" s="26"/>
      <c r="NCZ52" s="67"/>
      <c r="NDA52" s="11"/>
      <c r="NDB52" s="11"/>
      <c r="NDC52" s="68"/>
      <c r="NDD52" s="83"/>
      <c r="NDE52" s="83"/>
      <c r="NDF52" s="80"/>
      <c r="NDG52" s="70"/>
      <c r="NDH52" s="70"/>
      <c r="NDI52" s="25"/>
      <c r="NDJ52" s="26"/>
      <c r="NDK52" s="26"/>
      <c r="NDL52" s="67"/>
      <c r="NDM52" s="11"/>
      <c r="NDN52" s="11"/>
      <c r="NDO52" s="68"/>
      <c r="NDP52" s="83"/>
      <c r="NDQ52" s="83"/>
      <c r="NDR52" s="80"/>
      <c r="NDS52" s="70"/>
      <c r="NDT52" s="70"/>
      <c r="NDU52" s="25"/>
      <c r="NDV52" s="26"/>
      <c r="NDW52" s="26"/>
      <c r="NDX52" s="67"/>
      <c r="NDY52" s="11"/>
      <c r="NDZ52" s="11"/>
      <c r="NEA52" s="68"/>
      <c r="NEB52" s="83"/>
      <c r="NEC52" s="83"/>
      <c r="NED52" s="80"/>
      <c r="NEE52" s="70"/>
      <c r="NEF52" s="70"/>
      <c r="NEG52" s="25"/>
      <c r="NEH52" s="26"/>
      <c r="NEI52" s="26"/>
      <c r="NEJ52" s="67"/>
      <c r="NEK52" s="11"/>
      <c r="NEL52" s="11"/>
      <c r="NEM52" s="68"/>
      <c r="NEN52" s="83"/>
      <c r="NEO52" s="83"/>
      <c r="NEP52" s="80"/>
      <c r="NEQ52" s="70"/>
      <c r="NER52" s="70"/>
      <c r="NES52" s="25"/>
      <c r="NET52" s="26"/>
      <c r="NEU52" s="26"/>
      <c r="NEV52" s="67"/>
      <c r="NEW52" s="11"/>
      <c r="NEX52" s="11"/>
      <c r="NEY52" s="68"/>
      <c r="NEZ52" s="83"/>
      <c r="NFA52" s="83"/>
      <c r="NFB52" s="80"/>
      <c r="NFC52" s="70"/>
      <c r="NFD52" s="70"/>
      <c r="NFE52" s="25"/>
      <c r="NFF52" s="26"/>
      <c r="NFG52" s="26"/>
      <c r="NFH52" s="67"/>
      <c r="NFI52" s="11"/>
      <c r="NFJ52" s="11"/>
      <c r="NFK52" s="68"/>
      <c r="NFL52" s="83"/>
      <c r="NFM52" s="83"/>
      <c r="NFN52" s="80"/>
      <c r="NFO52" s="70"/>
      <c r="NFP52" s="70"/>
      <c r="NFQ52" s="25"/>
      <c r="NFR52" s="26"/>
      <c r="NFS52" s="26"/>
      <c r="NFT52" s="67"/>
      <c r="NFU52" s="11"/>
      <c r="NFV52" s="11"/>
      <c r="NFW52" s="68"/>
      <c r="NFX52" s="83"/>
      <c r="NFY52" s="83"/>
      <c r="NFZ52" s="80"/>
      <c r="NGA52" s="70"/>
      <c r="NGB52" s="70"/>
      <c r="NGC52" s="25"/>
      <c r="NGD52" s="26"/>
      <c r="NGE52" s="26"/>
      <c r="NGF52" s="67"/>
      <c r="NGG52" s="11"/>
      <c r="NGH52" s="11"/>
      <c r="NGI52" s="68"/>
      <c r="NGJ52" s="83"/>
      <c r="NGK52" s="83"/>
      <c r="NGL52" s="80"/>
      <c r="NGM52" s="70"/>
      <c r="NGN52" s="70"/>
      <c r="NGO52" s="25"/>
      <c r="NGP52" s="26"/>
      <c r="NGQ52" s="26"/>
      <c r="NGR52" s="67"/>
      <c r="NGS52" s="11"/>
      <c r="NGT52" s="11"/>
      <c r="NGU52" s="68"/>
      <c r="NGV52" s="83"/>
      <c r="NGW52" s="83"/>
      <c r="NGX52" s="80"/>
      <c r="NGY52" s="70"/>
      <c r="NGZ52" s="70"/>
      <c r="NHA52" s="25"/>
      <c r="NHB52" s="26"/>
      <c r="NHC52" s="26"/>
      <c r="NHD52" s="67"/>
      <c r="NHE52" s="11"/>
      <c r="NHF52" s="11"/>
      <c r="NHG52" s="68"/>
      <c r="NHH52" s="83"/>
      <c r="NHI52" s="83"/>
      <c r="NHJ52" s="80"/>
      <c r="NHK52" s="70"/>
      <c r="NHL52" s="70"/>
      <c r="NHM52" s="25"/>
      <c r="NHN52" s="26"/>
      <c r="NHO52" s="26"/>
      <c r="NHP52" s="67"/>
      <c r="NHQ52" s="11"/>
      <c r="NHR52" s="11"/>
      <c r="NHS52" s="68"/>
      <c r="NHT52" s="83"/>
      <c r="NHU52" s="83"/>
      <c r="NHV52" s="80"/>
      <c r="NHW52" s="70"/>
      <c r="NHX52" s="70"/>
      <c r="NHY52" s="25"/>
      <c r="NHZ52" s="26"/>
      <c r="NIA52" s="26"/>
      <c r="NIB52" s="67"/>
      <c r="NIC52" s="11"/>
      <c r="NID52" s="11"/>
      <c r="NIE52" s="68"/>
      <c r="NIF52" s="83"/>
      <c r="NIG52" s="83"/>
      <c r="NIH52" s="80"/>
      <c r="NII52" s="70"/>
      <c r="NIJ52" s="70"/>
      <c r="NIK52" s="25"/>
      <c r="NIL52" s="26"/>
      <c r="NIM52" s="26"/>
      <c r="NIN52" s="67"/>
      <c r="NIO52" s="11"/>
      <c r="NIP52" s="11"/>
      <c r="NIQ52" s="68"/>
      <c r="NIR52" s="83"/>
      <c r="NIS52" s="83"/>
      <c r="NIT52" s="80"/>
      <c r="NIU52" s="70"/>
      <c r="NIV52" s="70"/>
      <c r="NIW52" s="25"/>
      <c r="NIX52" s="26"/>
      <c r="NIY52" s="26"/>
      <c r="NIZ52" s="67"/>
      <c r="NJA52" s="11"/>
      <c r="NJB52" s="11"/>
      <c r="NJC52" s="68"/>
      <c r="NJD52" s="83"/>
      <c r="NJE52" s="83"/>
      <c r="NJF52" s="80"/>
      <c r="NJG52" s="70"/>
      <c r="NJH52" s="70"/>
      <c r="NJI52" s="25"/>
      <c r="NJJ52" s="26"/>
      <c r="NJK52" s="26"/>
      <c r="NJL52" s="67"/>
      <c r="NJM52" s="11"/>
      <c r="NJN52" s="11"/>
      <c r="NJO52" s="68"/>
      <c r="NJP52" s="83"/>
      <c r="NJQ52" s="83"/>
      <c r="NJR52" s="80"/>
      <c r="NJS52" s="70"/>
      <c r="NJT52" s="70"/>
      <c r="NJU52" s="25"/>
      <c r="NJV52" s="26"/>
      <c r="NJW52" s="26"/>
      <c r="NJX52" s="67"/>
      <c r="NJY52" s="11"/>
      <c r="NJZ52" s="11"/>
      <c r="NKA52" s="68"/>
      <c r="NKB52" s="83"/>
      <c r="NKC52" s="83"/>
      <c r="NKD52" s="80"/>
      <c r="NKE52" s="70"/>
      <c r="NKF52" s="70"/>
      <c r="NKG52" s="25"/>
      <c r="NKH52" s="26"/>
      <c r="NKI52" s="26"/>
      <c r="NKJ52" s="67"/>
      <c r="NKK52" s="11"/>
      <c r="NKL52" s="11"/>
      <c r="NKM52" s="68"/>
      <c r="NKN52" s="83"/>
      <c r="NKO52" s="83"/>
      <c r="NKP52" s="80"/>
      <c r="NKQ52" s="70"/>
      <c r="NKR52" s="70"/>
      <c r="NKS52" s="25"/>
      <c r="NKT52" s="26"/>
      <c r="NKU52" s="26"/>
      <c r="NKV52" s="67"/>
      <c r="NKW52" s="11"/>
      <c r="NKX52" s="11"/>
      <c r="NKY52" s="68"/>
      <c r="NKZ52" s="83"/>
      <c r="NLA52" s="83"/>
      <c r="NLB52" s="80"/>
      <c r="NLC52" s="70"/>
      <c r="NLD52" s="70"/>
      <c r="NLE52" s="25"/>
      <c r="NLF52" s="26"/>
      <c r="NLG52" s="26"/>
      <c r="NLH52" s="67"/>
      <c r="NLI52" s="11"/>
      <c r="NLJ52" s="11"/>
      <c r="NLK52" s="68"/>
      <c r="NLL52" s="83"/>
      <c r="NLM52" s="83"/>
      <c r="NLN52" s="80"/>
      <c r="NLO52" s="70"/>
      <c r="NLP52" s="70"/>
      <c r="NLQ52" s="25"/>
      <c r="NLR52" s="26"/>
      <c r="NLS52" s="26"/>
      <c r="NLT52" s="67"/>
      <c r="NLU52" s="11"/>
      <c r="NLV52" s="11"/>
      <c r="NLW52" s="68"/>
      <c r="NLX52" s="83"/>
      <c r="NLY52" s="83"/>
      <c r="NLZ52" s="80"/>
      <c r="NMA52" s="70"/>
      <c r="NMB52" s="70"/>
      <c r="NMC52" s="25"/>
      <c r="NMD52" s="26"/>
      <c r="NME52" s="26"/>
      <c r="NMF52" s="67"/>
      <c r="NMG52" s="11"/>
      <c r="NMH52" s="11"/>
      <c r="NMI52" s="68"/>
      <c r="NMJ52" s="83"/>
      <c r="NMK52" s="83"/>
      <c r="NML52" s="80"/>
      <c r="NMM52" s="70"/>
      <c r="NMN52" s="70"/>
      <c r="NMO52" s="25"/>
      <c r="NMP52" s="26"/>
      <c r="NMQ52" s="26"/>
      <c r="NMR52" s="67"/>
      <c r="NMS52" s="11"/>
      <c r="NMT52" s="11"/>
      <c r="NMU52" s="68"/>
      <c r="NMV52" s="83"/>
      <c r="NMW52" s="83"/>
      <c r="NMX52" s="80"/>
      <c r="NMY52" s="70"/>
      <c r="NMZ52" s="70"/>
      <c r="NNA52" s="25"/>
      <c r="NNB52" s="26"/>
      <c r="NNC52" s="26"/>
      <c r="NND52" s="67"/>
      <c r="NNE52" s="11"/>
      <c r="NNF52" s="11"/>
      <c r="NNG52" s="68"/>
      <c r="NNH52" s="83"/>
      <c r="NNI52" s="83"/>
      <c r="NNJ52" s="80"/>
      <c r="NNK52" s="70"/>
      <c r="NNL52" s="70"/>
      <c r="NNM52" s="25"/>
      <c r="NNN52" s="26"/>
      <c r="NNO52" s="26"/>
      <c r="NNP52" s="67"/>
      <c r="NNQ52" s="11"/>
      <c r="NNR52" s="11"/>
      <c r="NNS52" s="68"/>
      <c r="NNT52" s="83"/>
      <c r="NNU52" s="83"/>
      <c r="NNV52" s="80"/>
      <c r="NNW52" s="70"/>
      <c r="NNX52" s="70"/>
      <c r="NNY52" s="25"/>
      <c r="NNZ52" s="26"/>
      <c r="NOA52" s="26"/>
      <c r="NOB52" s="67"/>
      <c r="NOC52" s="11"/>
      <c r="NOD52" s="11"/>
      <c r="NOE52" s="68"/>
      <c r="NOF52" s="83"/>
      <c r="NOG52" s="83"/>
      <c r="NOH52" s="80"/>
      <c r="NOI52" s="70"/>
      <c r="NOJ52" s="70"/>
      <c r="NOK52" s="25"/>
      <c r="NOL52" s="26"/>
      <c r="NOM52" s="26"/>
      <c r="NON52" s="67"/>
      <c r="NOO52" s="11"/>
      <c r="NOP52" s="11"/>
      <c r="NOQ52" s="68"/>
      <c r="NOR52" s="83"/>
      <c r="NOS52" s="83"/>
      <c r="NOT52" s="80"/>
      <c r="NOU52" s="70"/>
      <c r="NOV52" s="70"/>
      <c r="NOW52" s="25"/>
      <c r="NOX52" s="26"/>
      <c r="NOY52" s="26"/>
      <c r="NOZ52" s="67"/>
      <c r="NPA52" s="11"/>
      <c r="NPB52" s="11"/>
      <c r="NPC52" s="68"/>
      <c r="NPD52" s="83"/>
      <c r="NPE52" s="83"/>
      <c r="NPF52" s="80"/>
      <c r="NPG52" s="70"/>
      <c r="NPH52" s="70"/>
      <c r="NPI52" s="25"/>
      <c r="NPJ52" s="26"/>
      <c r="NPK52" s="26"/>
      <c r="NPL52" s="67"/>
      <c r="NPM52" s="11"/>
      <c r="NPN52" s="11"/>
      <c r="NPO52" s="68"/>
      <c r="NPP52" s="83"/>
      <c r="NPQ52" s="83"/>
      <c r="NPR52" s="80"/>
      <c r="NPS52" s="70"/>
      <c r="NPT52" s="70"/>
      <c r="NPU52" s="25"/>
      <c r="NPV52" s="26"/>
      <c r="NPW52" s="26"/>
      <c r="NPX52" s="67"/>
      <c r="NPY52" s="11"/>
      <c r="NPZ52" s="11"/>
      <c r="NQA52" s="68"/>
      <c r="NQB52" s="83"/>
      <c r="NQC52" s="83"/>
      <c r="NQD52" s="80"/>
      <c r="NQE52" s="70"/>
      <c r="NQF52" s="70"/>
      <c r="NQG52" s="25"/>
      <c r="NQH52" s="26"/>
      <c r="NQI52" s="26"/>
      <c r="NQJ52" s="67"/>
      <c r="NQK52" s="11"/>
      <c r="NQL52" s="11"/>
      <c r="NQM52" s="68"/>
      <c r="NQN52" s="83"/>
      <c r="NQO52" s="83"/>
      <c r="NQP52" s="80"/>
      <c r="NQQ52" s="70"/>
      <c r="NQR52" s="70"/>
      <c r="NQS52" s="25"/>
      <c r="NQT52" s="26"/>
      <c r="NQU52" s="26"/>
      <c r="NQV52" s="67"/>
      <c r="NQW52" s="11"/>
      <c r="NQX52" s="11"/>
      <c r="NQY52" s="68"/>
      <c r="NQZ52" s="83"/>
      <c r="NRA52" s="83"/>
      <c r="NRB52" s="80"/>
      <c r="NRC52" s="70"/>
      <c r="NRD52" s="70"/>
      <c r="NRE52" s="25"/>
      <c r="NRF52" s="26"/>
      <c r="NRG52" s="26"/>
      <c r="NRH52" s="67"/>
      <c r="NRI52" s="11"/>
      <c r="NRJ52" s="11"/>
      <c r="NRK52" s="68"/>
      <c r="NRL52" s="83"/>
      <c r="NRM52" s="83"/>
      <c r="NRN52" s="80"/>
      <c r="NRO52" s="70"/>
      <c r="NRP52" s="70"/>
      <c r="NRQ52" s="25"/>
      <c r="NRR52" s="26"/>
      <c r="NRS52" s="26"/>
      <c r="NRT52" s="67"/>
      <c r="NRU52" s="11"/>
      <c r="NRV52" s="11"/>
      <c r="NRW52" s="68"/>
      <c r="NRX52" s="83"/>
      <c r="NRY52" s="83"/>
      <c r="NRZ52" s="80"/>
      <c r="NSA52" s="70"/>
      <c r="NSB52" s="70"/>
      <c r="NSC52" s="25"/>
      <c r="NSD52" s="26"/>
      <c r="NSE52" s="26"/>
      <c r="NSF52" s="67"/>
      <c r="NSG52" s="11"/>
      <c r="NSH52" s="11"/>
      <c r="NSI52" s="68"/>
      <c r="NSJ52" s="83"/>
      <c r="NSK52" s="83"/>
      <c r="NSL52" s="80"/>
      <c r="NSM52" s="70"/>
      <c r="NSN52" s="70"/>
      <c r="NSO52" s="25"/>
      <c r="NSP52" s="26"/>
      <c r="NSQ52" s="26"/>
      <c r="NSR52" s="67"/>
      <c r="NSS52" s="11"/>
      <c r="NST52" s="11"/>
      <c r="NSU52" s="68"/>
      <c r="NSV52" s="83"/>
      <c r="NSW52" s="83"/>
      <c r="NSX52" s="80"/>
      <c r="NSY52" s="70"/>
      <c r="NSZ52" s="70"/>
      <c r="NTA52" s="25"/>
      <c r="NTB52" s="26"/>
      <c r="NTC52" s="26"/>
      <c r="NTD52" s="67"/>
      <c r="NTE52" s="11"/>
      <c r="NTF52" s="11"/>
      <c r="NTG52" s="68"/>
      <c r="NTH52" s="83"/>
      <c r="NTI52" s="83"/>
      <c r="NTJ52" s="80"/>
      <c r="NTK52" s="70"/>
      <c r="NTL52" s="70"/>
      <c r="NTM52" s="25"/>
      <c r="NTN52" s="26"/>
      <c r="NTO52" s="26"/>
      <c r="NTP52" s="67"/>
      <c r="NTQ52" s="11"/>
      <c r="NTR52" s="11"/>
      <c r="NTS52" s="68"/>
      <c r="NTT52" s="83"/>
      <c r="NTU52" s="83"/>
      <c r="NTV52" s="80"/>
      <c r="NTW52" s="70"/>
      <c r="NTX52" s="70"/>
      <c r="NTY52" s="25"/>
      <c r="NTZ52" s="26"/>
      <c r="NUA52" s="26"/>
      <c r="NUB52" s="67"/>
      <c r="NUC52" s="11"/>
      <c r="NUD52" s="11"/>
      <c r="NUE52" s="68"/>
      <c r="NUF52" s="83"/>
      <c r="NUG52" s="83"/>
      <c r="NUH52" s="80"/>
      <c r="NUI52" s="70"/>
      <c r="NUJ52" s="70"/>
      <c r="NUK52" s="25"/>
      <c r="NUL52" s="26"/>
      <c r="NUM52" s="26"/>
      <c r="NUN52" s="67"/>
      <c r="NUO52" s="11"/>
      <c r="NUP52" s="11"/>
      <c r="NUQ52" s="68"/>
      <c r="NUR52" s="83"/>
      <c r="NUS52" s="83"/>
      <c r="NUT52" s="80"/>
      <c r="NUU52" s="70"/>
      <c r="NUV52" s="70"/>
      <c r="NUW52" s="25"/>
      <c r="NUX52" s="26"/>
      <c r="NUY52" s="26"/>
      <c r="NUZ52" s="67"/>
      <c r="NVA52" s="11"/>
      <c r="NVB52" s="11"/>
      <c r="NVC52" s="68"/>
      <c r="NVD52" s="83"/>
      <c r="NVE52" s="83"/>
      <c r="NVF52" s="80"/>
      <c r="NVG52" s="70"/>
      <c r="NVH52" s="70"/>
      <c r="NVI52" s="25"/>
      <c r="NVJ52" s="26"/>
      <c r="NVK52" s="26"/>
      <c r="NVL52" s="67"/>
      <c r="NVM52" s="11"/>
      <c r="NVN52" s="11"/>
      <c r="NVO52" s="68"/>
      <c r="NVP52" s="83"/>
      <c r="NVQ52" s="83"/>
      <c r="NVR52" s="80"/>
      <c r="NVS52" s="70"/>
      <c r="NVT52" s="70"/>
      <c r="NVU52" s="25"/>
      <c r="NVV52" s="26"/>
      <c r="NVW52" s="26"/>
      <c r="NVX52" s="67"/>
      <c r="NVY52" s="11"/>
      <c r="NVZ52" s="11"/>
      <c r="NWA52" s="68"/>
      <c r="NWB52" s="83"/>
      <c r="NWC52" s="83"/>
      <c r="NWD52" s="80"/>
      <c r="NWE52" s="70"/>
      <c r="NWF52" s="70"/>
      <c r="NWG52" s="25"/>
      <c r="NWH52" s="26"/>
      <c r="NWI52" s="26"/>
      <c r="NWJ52" s="67"/>
      <c r="NWK52" s="11"/>
      <c r="NWL52" s="11"/>
      <c r="NWM52" s="68"/>
      <c r="NWN52" s="83"/>
      <c r="NWO52" s="83"/>
      <c r="NWP52" s="80"/>
      <c r="NWQ52" s="70"/>
      <c r="NWR52" s="70"/>
      <c r="NWS52" s="25"/>
      <c r="NWT52" s="26"/>
      <c r="NWU52" s="26"/>
      <c r="NWV52" s="67"/>
      <c r="NWW52" s="11"/>
      <c r="NWX52" s="11"/>
      <c r="NWY52" s="68"/>
      <c r="NWZ52" s="83"/>
      <c r="NXA52" s="83"/>
      <c r="NXB52" s="80"/>
      <c r="NXC52" s="70"/>
      <c r="NXD52" s="70"/>
      <c r="NXE52" s="25"/>
      <c r="NXF52" s="26"/>
      <c r="NXG52" s="26"/>
      <c r="NXH52" s="67"/>
      <c r="NXI52" s="11"/>
      <c r="NXJ52" s="11"/>
      <c r="NXK52" s="68"/>
      <c r="NXL52" s="83"/>
      <c r="NXM52" s="83"/>
      <c r="NXN52" s="80"/>
      <c r="NXO52" s="70"/>
      <c r="NXP52" s="70"/>
      <c r="NXQ52" s="25"/>
      <c r="NXR52" s="26"/>
      <c r="NXS52" s="26"/>
      <c r="NXT52" s="67"/>
      <c r="NXU52" s="11"/>
      <c r="NXV52" s="11"/>
      <c r="NXW52" s="68"/>
      <c r="NXX52" s="83"/>
      <c r="NXY52" s="83"/>
      <c r="NXZ52" s="80"/>
      <c r="NYA52" s="70"/>
      <c r="NYB52" s="70"/>
      <c r="NYC52" s="25"/>
      <c r="NYD52" s="26"/>
      <c r="NYE52" s="26"/>
      <c r="NYF52" s="67"/>
      <c r="NYG52" s="11"/>
      <c r="NYH52" s="11"/>
      <c r="NYI52" s="68"/>
      <c r="NYJ52" s="83"/>
      <c r="NYK52" s="83"/>
      <c r="NYL52" s="80"/>
      <c r="NYM52" s="70"/>
      <c r="NYN52" s="70"/>
      <c r="NYO52" s="25"/>
      <c r="NYP52" s="26"/>
      <c r="NYQ52" s="26"/>
      <c r="NYR52" s="67"/>
      <c r="NYS52" s="11"/>
      <c r="NYT52" s="11"/>
      <c r="NYU52" s="68"/>
      <c r="NYV52" s="83"/>
      <c r="NYW52" s="83"/>
      <c r="NYX52" s="80"/>
      <c r="NYY52" s="70"/>
      <c r="NYZ52" s="70"/>
      <c r="NZA52" s="25"/>
      <c r="NZB52" s="26"/>
      <c r="NZC52" s="26"/>
      <c r="NZD52" s="67"/>
      <c r="NZE52" s="11"/>
      <c r="NZF52" s="11"/>
      <c r="NZG52" s="68"/>
      <c r="NZH52" s="83"/>
      <c r="NZI52" s="83"/>
      <c r="NZJ52" s="80"/>
      <c r="NZK52" s="70"/>
      <c r="NZL52" s="70"/>
      <c r="NZM52" s="25"/>
      <c r="NZN52" s="26"/>
      <c r="NZO52" s="26"/>
      <c r="NZP52" s="67"/>
      <c r="NZQ52" s="11"/>
      <c r="NZR52" s="11"/>
      <c r="NZS52" s="68"/>
      <c r="NZT52" s="83"/>
      <c r="NZU52" s="83"/>
      <c r="NZV52" s="80"/>
      <c r="NZW52" s="70"/>
      <c r="NZX52" s="70"/>
      <c r="NZY52" s="25"/>
      <c r="NZZ52" s="26"/>
      <c r="OAA52" s="26"/>
      <c r="OAB52" s="67"/>
      <c r="OAC52" s="11"/>
      <c r="OAD52" s="11"/>
      <c r="OAE52" s="68"/>
      <c r="OAF52" s="83"/>
      <c r="OAG52" s="83"/>
      <c r="OAH52" s="80"/>
      <c r="OAI52" s="70"/>
      <c r="OAJ52" s="70"/>
      <c r="OAK52" s="25"/>
      <c r="OAL52" s="26"/>
      <c r="OAM52" s="26"/>
      <c r="OAN52" s="67"/>
      <c r="OAO52" s="11"/>
      <c r="OAP52" s="11"/>
      <c r="OAQ52" s="68"/>
      <c r="OAR52" s="83"/>
      <c r="OAS52" s="83"/>
      <c r="OAT52" s="80"/>
      <c r="OAU52" s="70"/>
      <c r="OAV52" s="70"/>
      <c r="OAW52" s="25"/>
      <c r="OAX52" s="26"/>
      <c r="OAY52" s="26"/>
      <c r="OAZ52" s="67"/>
      <c r="OBA52" s="11"/>
      <c r="OBB52" s="11"/>
      <c r="OBC52" s="68"/>
      <c r="OBD52" s="83"/>
      <c r="OBE52" s="83"/>
      <c r="OBF52" s="80"/>
      <c r="OBG52" s="70"/>
      <c r="OBH52" s="70"/>
      <c r="OBI52" s="25"/>
      <c r="OBJ52" s="26"/>
      <c r="OBK52" s="26"/>
      <c r="OBL52" s="67"/>
      <c r="OBM52" s="11"/>
      <c r="OBN52" s="11"/>
      <c r="OBO52" s="68"/>
      <c r="OBP52" s="83"/>
      <c r="OBQ52" s="83"/>
      <c r="OBR52" s="80"/>
      <c r="OBS52" s="70"/>
      <c r="OBT52" s="70"/>
      <c r="OBU52" s="25"/>
      <c r="OBV52" s="26"/>
      <c r="OBW52" s="26"/>
      <c r="OBX52" s="67"/>
      <c r="OBY52" s="11"/>
      <c r="OBZ52" s="11"/>
      <c r="OCA52" s="68"/>
      <c r="OCB52" s="83"/>
      <c r="OCC52" s="83"/>
      <c r="OCD52" s="80"/>
      <c r="OCE52" s="70"/>
      <c r="OCF52" s="70"/>
      <c r="OCG52" s="25"/>
      <c r="OCH52" s="26"/>
      <c r="OCI52" s="26"/>
      <c r="OCJ52" s="67"/>
      <c r="OCK52" s="11"/>
      <c r="OCL52" s="11"/>
      <c r="OCM52" s="68"/>
      <c r="OCN52" s="83"/>
      <c r="OCO52" s="83"/>
      <c r="OCP52" s="80"/>
      <c r="OCQ52" s="70"/>
      <c r="OCR52" s="70"/>
      <c r="OCS52" s="25"/>
      <c r="OCT52" s="26"/>
      <c r="OCU52" s="26"/>
      <c r="OCV52" s="67"/>
      <c r="OCW52" s="11"/>
      <c r="OCX52" s="11"/>
      <c r="OCY52" s="68"/>
      <c r="OCZ52" s="83"/>
      <c r="ODA52" s="83"/>
      <c r="ODB52" s="80"/>
      <c r="ODC52" s="70"/>
      <c r="ODD52" s="70"/>
      <c r="ODE52" s="25"/>
      <c r="ODF52" s="26"/>
      <c r="ODG52" s="26"/>
      <c r="ODH52" s="67"/>
      <c r="ODI52" s="11"/>
      <c r="ODJ52" s="11"/>
      <c r="ODK52" s="68"/>
      <c r="ODL52" s="83"/>
      <c r="ODM52" s="83"/>
      <c r="ODN52" s="80"/>
      <c r="ODO52" s="70"/>
      <c r="ODP52" s="70"/>
      <c r="ODQ52" s="25"/>
      <c r="ODR52" s="26"/>
      <c r="ODS52" s="26"/>
      <c r="ODT52" s="67"/>
      <c r="ODU52" s="11"/>
      <c r="ODV52" s="11"/>
      <c r="ODW52" s="68"/>
      <c r="ODX52" s="83"/>
      <c r="ODY52" s="83"/>
      <c r="ODZ52" s="80"/>
      <c r="OEA52" s="70"/>
      <c r="OEB52" s="70"/>
      <c r="OEC52" s="25"/>
      <c r="OED52" s="26"/>
      <c r="OEE52" s="26"/>
      <c r="OEF52" s="67"/>
      <c r="OEG52" s="11"/>
      <c r="OEH52" s="11"/>
      <c r="OEI52" s="68"/>
      <c r="OEJ52" s="83"/>
      <c r="OEK52" s="83"/>
      <c r="OEL52" s="80"/>
      <c r="OEM52" s="70"/>
      <c r="OEN52" s="70"/>
      <c r="OEO52" s="25"/>
      <c r="OEP52" s="26"/>
      <c r="OEQ52" s="26"/>
      <c r="OER52" s="67"/>
      <c r="OES52" s="11"/>
      <c r="OET52" s="11"/>
      <c r="OEU52" s="68"/>
      <c r="OEV52" s="83"/>
      <c r="OEW52" s="83"/>
      <c r="OEX52" s="80"/>
      <c r="OEY52" s="70"/>
      <c r="OEZ52" s="70"/>
      <c r="OFA52" s="25"/>
      <c r="OFB52" s="26"/>
      <c r="OFC52" s="26"/>
      <c r="OFD52" s="67"/>
      <c r="OFE52" s="11"/>
      <c r="OFF52" s="11"/>
      <c r="OFG52" s="68"/>
      <c r="OFH52" s="83"/>
      <c r="OFI52" s="83"/>
      <c r="OFJ52" s="80"/>
      <c r="OFK52" s="70"/>
      <c r="OFL52" s="70"/>
      <c r="OFM52" s="25"/>
      <c r="OFN52" s="26"/>
      <c r="OFO52" s="26"/>
      <c r="OFP52" s="67"/>
      <c r="OFQ52" s="11"/>
      <c r="OFR52" s="11"/>
      <c r="OFS52" s="68"/>
      <c r="OFT52" s="83"/>
      <c r="OFU52" s="83"/>
      <c r="OFV52" s="80"/>
      <c r="OFW52" s="70"/>
      <c r="OFX52" s="70"/>
      <c r="OFY52" s="25"/>
      <c r="OFZ52" s="26"/>
      <c r="OGA52" s="26"/>
      <c r="OGB52" s="67"/>
      <c r="OGC52" s="11"/>
      <c r="OGD52" s="11"/>
      <c r="OGE52" s="68"/>
      <c r="OGF52" s="83"/>
      <c r="OGG52" s="83"/>
      <c r="OGH52" s="80"/>
      <c r="OGI52" s="70"/>
      <c r="OGJ52" s="70"/>
      <c r="OGK52" s="25"/>
      <c r="OGL52" s="26"/>
      <c r="OGM52" s="26"/>
      <c r="OGN52" s="67"/>
      <c r="OGO52" s="11"/>
      <c r="OGP52" s="11"/>
      <c r="OGQ52" s="68"/>
      <c r="OGR52" s="83"/>
      <c r="OGS52" s="83"/>
      <c r="OGT52" s="80"/>
      <c r="OGU52" s="70"/>
      <c r="OGV52" s="70"/>
      <c r="OGW52" s="25"/>
      <c r="OGX52" s="26"/>
      <c r="OGY52" s="26"/>
      <c r="OGZ52" s="67"/>
      <c r="OHA52" s="11"/>
      <c r="OHB52" s="11"/>
      <c r="OHC52" s="68"/>
      <c r="OHD52" s="83"/>
      <c r="OHE52" s="83"/>
      <c r="OHF52" s="80"/>
      <c r="OHG52" s="70"/>
      <c r="OHH52" s="70"/>
      <c r="OHI52" s="25"/>
      <c r="OHJ52" s="26"/>
      <c r="OHK52" s="26"/>
      <c r="OHL52" s="67"/>
      <c r="OHM52" s="11"/>
      <c r="OHN52" s="11"/>
      <c r="OHO52" s="68"/>
      <c r="OHP52" s="83"/>
      <c r="OHQ52" s="83"/>
      <c r="OHR52" s="80"/>
      <c r="OHS52" s="70"/>
      <c r="OHT52" s="70"/>
      <c r="OHU52" s="25"/>
      <c r="OHV52" s="26"/>
      <c r="OHW52" s="26"/>
      <c r="OHX52" s="67"/>
      <c r="OHY52" s="11"/>
      <c r="OHZ52" s="11"/>
      <c r="OIA52" s="68"/>
      <c r="OIB52" s="83"/>
      <c r="OIC52" s="83"/>
      <c r="OID52" s="80"/>
      <c r="OIE52" s="70"/>
      <c r="OIF52" s="70"/>
      <c r="OIG52" s="25"/>
      <c r="OIH52" s="26"/>
      <c r="OII52" s="26"/>
      <c r="OIJ52" s="67"/>
      <c r="OIK52" s="11"/>
      <c r="OIL52" s="11"/>
      <c r="OIM52" s="68"/>
      <c r="OIN52" s="83"/>
      <c r="OIO52" s="83"/>
      <c r="OIP52" s="80"/>
      <c r="OIQ52" s="70"/>
      <c r="OIR52" s="70"/>
      <c r="OIS52" s="25"/>
      <c r="OIT52" s="26"/>
      <c r="OIU52" s="26"/>
      <c r="OIV52" s="67"/>
      <c r="OIW52" s="11"/>
      <c r="OIX52" s="11"/>
      <c r="OIY52" s="68"/>
      <c r="OIZ52" s="83"/>
      <c r="OJA52" s="83"/>
      <c r="OJB52" s="80"/>
      <c r="OJC52" s="70"/>
      <c r="OJD52" s="70"/>
      <c r="OJE52" s="25"/>
      <c r="OJF52" s="26"/>
      <c r="OJG52" s="26"/>
      <c r="OJH52" s="67"/>
      <c r="OJI52" s="11"/>
      <c r="OJJ52" s="11"/>
      <c r="OJK52" s="68"/>
      <c r="OJL52" s="83"/>
      <c r="OJM52" s="83"/>
      <c r="OJN52" s="80"/>
      <c r="OJO52" s="70"/>
      <c r="OJP52" s="70"/>
      <c r="OJQ52" s="25"/>
      <c r="OJR52" s="26"/>
      <c r="OJS52" s="26"/>
      <c r="OJT52" s="67"/>
      <c r="OJU52" s="11"/>
      <c r="OJV52" s="11"/>
      <c r="OJW52" s="68"/>
      <c r="OJX52" s="83"/>
      <c r="OJY52" s="83"/>
      <c r="OJZ52" s="80"/>
      <c r="OKA52" s="70"/>
      <c r="OKB52" s="70"/>
      <c r="OKC52" s="25"/>
      <c r="OKD52" s="26"/>
      <c r="OKE52" s="26"/>
      <c r="OKF52" s="67"/>
      <c r="OKG52" s="11"/>
      <c r="OKH52" s="11"/>
      <c r="OKI52" s="68"/>
      <c r="OKJ52" s="83"/>
      <c r="OKK52" s="83"/>
      <c r="OKL52" s="80"/>
      <c r="OKM52" s="70"/>
      <c r="OKN52" s="70"/>
      <c r="OKO52" s="25"/>
      <c r="OKP52" s="26"/>
      <c r="OKQ52" s="26"/>
      <c r="OKR52" s="67"/>
      <c r="OKS52" s="11"/>
      <c r="OKT52" s="11"/>
      <c r="OKU52" s="68"/>
      <c r="OKV52" s="83"/>
      <c r="OKW52" s="83"/>
      <c r="OKX52" s="80"/>
      <c r="OKY52" s="70"/>
      <c r="OKZ52" s="70"/>
      <c r="OLA52" s="25"/>
      <c r="OLB52" s="26"/>
      <c r="OLC52" s="26"/>
      <c r="OLD52" s="67"/>
      <c r="OLE52" s="11"/>
      <c r="OLF52" s="11"/>
      <c r="OLG52" s="68"/>
      <c r="OLH52" s="83"/>
      <c r="OLI52" s="83"/>
      <c r="OLJ52" s="80"/>
      <c r="OLK52" s="70"/>
      <c r="OLL52" s="70"/>
      <c r="OLM52" s="25"/>
      <c r="OLN52" s="26"/>
      <c r="OLO52" s="26"/>
      <c r="OLP52" s="67"/>
      <c r="OLQ52" s="11"/>
      <c r="OLR52" s="11"/>
      <c r="OLS52" s="68"/>
      <c r="OLT52" s="83"/>
      <c r="OLU52" s="83"/>
      <c r="OLV52" s="80"/>
      <c r="OLW52" s="70"/>
      <c r="OLX52" s="70"/>
      <c r="OLY52" s="25"/>
      <c r="OLZ52" s="26"/>
      <c r="OMA52" s="26"/>
      <c r="OMB52" s="67"/>
      <c r="OMC52" s="11"/>
      <c r="OMD52" s="11"/>
      <c r="OME52" s="68"/>
      <c r="OMF52" s="83"/>
      <c r="OMG52" s="83"/>
      <c r="OMH52" s="80"/>
      <c r="OMI52" s="70"/>
      <c r="OMJ52" s="70"/>
      <c r="OMK52" s="25"/>
      <c r="OML52" s="26"/>
      <c r="OMM52" s="26"/>
      <c r="OMN52" s="67"/>
      <c r="OMO52" s="11"/>
      <c r="OMP52" s="11"/>
      <c r="OMQ52" s="68"/>
      <c r="OMR52" s="83"/>
      <c r="OMS52" s="83"/>
      <c r="OMT52" s="80"/>
      <c r="OMU52" s="70"/>
      <c r="OMV52" s="70"/>
      <c r="OMW52" s="25"/>
      <c r="OMX52" s="26"/>
      <c r="OMY52" s="26"/>
      <c r="OMZ52" s="67"/>
      <c r="ONA52" s="11"/>
      <c r="ONB52" s="11"/>
      <c r="ONC52" s="68"/>
      <c r="OND52" s="83"/>
      <c r="ONE52" s="83"/>
      <c r="ONF52" s="80"/>
      <c r="ONG52" s="70"/>
      <c r="ONH52" s="70"/>
      <c r="ONI52" s="25"/>
      <c r="ONJ52" s="26"/>
      <c r="ONK52" s="26"/>
      <c r="ONL52" s="67"/>
      <c r="ONM52" s="11"/>
      <c r="ONN52" s="11"/>
      <c r="ONO52" s="68"/>
      <c r="ONP52" s="83"/>
      <c r="ONQ52" s="83"/>
      <c r="ONR52" s="80"/>
      <c r="ONS52" s="70"/>
      <c r="ONT52" s="70"/>
      <c r="ONU52" s="25"/>
      <c r="ONV52" s="26"/>
      <c r="ONW52" s="26"/>
      <c r="ONX52" s="67"/>
      <c r="ONY52" s="11"/>
      <c r="ONZ52" s="11"/>
      <c r="OOA52" s="68"/>
      <c r="OOB52" s="83"/>
      <c r="OOC52" s="83"/>
      <c r="OOD52" s="80"/>
      <c r="OOE52" s="70"/>
      <c r="OOF52" s="70"/>
      <c r="OOG52" s="25"/>
      <c r="OOH52" s="26"/>
      <c r="OOI52" s="26"/>
      <c r="OOJ52" s="67"/>
      <c r="OOK52" s="11"/>
      <c r="OOL52" s="11"/>
      <c r="OOM52" s="68"/>
      <c r="OON52" s="83"/>
      <c r="OOO52" s="83"/>
      <c r="OOP52" s="80"/>
      <c r="OOQ52" s="70"/>
      <c r="OOR52" s="70"/>
      <c r="OOS52" s="25"/>
      <c r="OOT52" s="26"/>
      <c r="OOU52" s="26"/>
      <c r="OOV52" s="67"/>
      <c r="OOW52" s="11"/>
      <c r="OOX52" s="11"/>
      <c r="OOY52" s="68"/>
      <c r="OOZ52" s="83"/>
      <c r="OPA52" s="83"/>
      <c r="OPB52" s="80"/>
      <c r="OPC52" s="70"/>
      <c r="OPD52" s="70"/>
      <c r="OPE52" s="25"/>
      <c r="OPF52" s="26"/>
      <c r="OPG52" s="26"/>
      <c r="OPH52" s="67"/>
      <c r="OPI52" s="11"/>
      <c r="OPJ52" s="11"/>
      <c r="OPK52" s="68"/>
      <c r="OPL52" s="83"/>
      <c r="OPM52" s="83"/>
      <c r="OPN52" s="80"/>
      <c r="OPO52" s="70"/>
      <c r="OPP52" s="70"/>
      <c r="OPQ52" s="25"/>
      <c r="OPR52" s="26"/>
      <c r="OPS52" s="26"/>
      <c r="OPT52" s="67"/>
      <c r="OPU52" s="11"/>
      <c r="OPV52" s="11"/>
      <c r="OPW52" s="68"/>
      <c r="OPX52" s="83"/>
      <c r="OPY52" s="83"/>
      <c r="OPZ52" s="80"/>
      <c r="OQA52" s="70"/>
      <c r="OQB52" s="70"/>
      <c r="OQC52" s="25"/>
      <c r="OQD52" s="26"/>
      <c r="OQE52" s="26"/>
      <c r="OQF52" s="67"/>
      <c r="OQG52" s="11"/>
      <c r="OQH52" s="11"/>
      <c r="OQI52" s="68"/>
      <c r="OQJ52" s="83"/>
      <c r="OQK52" s="83"/>
      <c r="OQL52" s="80"/>
      <c r="OQM52" s="70"/>
      <c r="OQN52" s="70"/>
      <c r="OQO52" s="25"/>
      <c r="OQP52" s="26"/>
      <c r="OQQ52" s="26"/>
      <c r="OQR52" s="67"/>
      <c r="OQS52" s="11"/>
      <c r="OQT52" s="11"/>
      <c r="OQU52" s="68"/>
      <c r="OQV52" s="83"/>
      <c r="OQW52" s="83"/>
      <c r="OQX52" s="80"/>
      <c r="OQY52" s="70"/>
      <c r="OQZ52" s="70"/>
      <c r="ORA52" s="25"/>
      <c r="ORB52" s="26"/>
      <c r="ORC52" s="26"/>
      <c r="ORD52" s="67"/>
      <c r="ORE52" s="11"/>
      <c r="ORF52" s="11"/>
      <c r="ORG52" s="68"/>
      <c r="ORH52" s="83"/>
      <c r="ORI52" s="83"/>
      <c r="ORJ52" s="80"/>
      <c r="ORK52" s="70"/>
      <c r="ORL52" s="70"/>
      <c r="ORM52" s="25"/>
      <c r="ORN52" s="26"/>
      <c r="ORO52" s="26"/>
      <c r="ORP52" s="67"/>
      <c r="ORQ52" s="11"/>
      <c r="ORR52" s="11"/>
      <c r="ORS52" s="68"/>
      <c r="ORT52" s="83"/>
      <c r="ORU52" s="83"/>
      <c r="ORV52" s="80"/>
      <c r="ORW52" s="70"/>
      <c r="ORX52" s="70"/>
      <c r="ORY52" s="25"/>
      <c r="ORZ52" s="26"/>
      <c r="OSA52" s="26"/>
      <c r="OSB52" s="67"/>
      <c r="OSC52" s="11"/>
      <c r="OSD52" s="11"/>
      <c r="OSE52" s="68"/>
      <c r="OSF52" s="83"/>
      <c r="OSG52" s="83"/>
      <c r="OSH52" s="80"/>
      <c r="OSI52" s="70"/>
      <c r="OSJ52" s="70"/>
      <c r="OSK52" s="25"/>
      <c r="OSL52" s="26"/>
      <c r="OSM52" s="26"/>
      <c r="OSN52" s="67"/>
      <c r="OSO52" s="11"/>
      <c r="OSP52" s="11"/>
      <c r="OSQ52" s="68"/>
      <c r="OSR52" s="83"/>
      <c r="OSS52" s="83"/>
      <c r="OST52" s="80"/>
      <c r="OSU52" s="70"/>
      <c r="OSV52" s="70"/>
      <c r="OSW52" s="25"/>
      <c r="OSX52" s="26"/>
      <c r="OSY52" s="26"/>
      <c r="OSZ52" s="67"/>
      <c r="OTA52" s="11"/>
      <c r="OTB52" s="11"/>
      <c r="OTC52" s="68"/>
      <c r="OTD52" s="83"/>
      <c r="OTE52" s="83"/>
      <c r="OTF52" s="80"/>
      <c r="OTG52" s="70"/>
      <c r="OTH52" s="70"/>
      <c r="OTI52" s="25"/>
      <c r="OTJ52" s="26"/>
      <c r="OTK52" s="26"/>
      <c r="OTL52" s="67"/>
      <c r="OTM52" s="11"/>
      <c r="OTN52" s="11"/>
      <c r="OTO52" s="68"/>
      <c r="OTP52" s="83"/>
      <c r="OTQ52" s="83"/>
      <c r="OTR52" s="80"/>
      <c r="OTS52" s="70"/>
      <c r="OTT52" s="70"/>
      <c r="OTU52" s="25"/>
      <c r="OTV52" s="26"/>
      <c r="OTW52" s="26"/>
      <c r="OTX52" s="67"/>
      <c r="OTY52" s="11"/>
      <c r="OTZ52" s="11"/>
      <c r="OUA52" s="68"/>
      <c r="OUB52" s="83"/>
      <c r="OUC52" s="83"/>
      <c r="OUD52" s="80"/>
      <c r="OUE52" s="70"/>
      <c r="OUF52" s="70"/>
      <c r="OUG52" s="25"/>
      <c r="OUH52" s="26"/>
      <c r="OUI52" s="26"/>
      <c r="OUJ52" s="67"/>
      <c r="OUK52" s="11"/>
      <c r="OUL52" s="11"/>
      <c r="OUM52" s="68"/>
      <c r="OUN52" s="83"/>
      <c r="OUO52" s="83"/>
      <c r="OUP52" s="80"/>
      <c r="OUQ52" s="70"/>
      <c r="OUR52" s="70"/>
      <c r="OUS52" s="25"/>
      <c r="OUT52" s="26"/>
      <c r="OUU52" s="26"/>
      <c r="OUV52" s="67"/>
      <c r="OUW52" s="11"/>
      <c r="OUX52" s="11"/>
      <c r="OUY52" s="68"/>
      <c r="OUZ52" s="83"/>
      <c r="OVA52" s="83"/>
      <c r="OVB52" s="80"/>
      <c r="OVC52" s="70"/>
      <c r="OVD52" s="70"/>
      <c r="OVE52" s="25"/>
      <c r="OVF52" s="26"/>
      <c r="OVG52" s="26"/>
      <c r="OVH52" s="67"/>
      <c r="OVI52" s="11"/>
      <c r="OVJ52" s="11"/>
      <c r="OVK52" s="68"/>
      <c r="OVL52" s="83"/>
      <c r="OVM52" s="83"/>
      <c r="OVN52" s="80"/>
      <c r="OVO52" s="70"/>
      <c r="OVP52" s="70"/>
      <c r="OVQ52" s="25"/>
      <c r="OVR52" s="26"/>
      <c r="OVS52" s="26"/>
      <c r="OVT52" s="67"/>
      <c r="OVU52" s="11"/>
      <c r="OVV52" s="11"/>
      <c r="OVW52" s="68"/>
      <c r="OVX52" s="83"/>
      <c r="OVY52" s="83"/>
      <c r="OVZ52" s="80"/>
      <c r="OWA52" s="70"/>
      <c r="OWB52" s="70"/>
      <c r="OWC52" s="25"/>
      <c r="OWD52" s="26"/>
      <c r="OWE52" s="26"/>
      <c r="OWF52" s="67"/>
      <c r="OWG52" s="11"/>
      <c r="OWH52" s="11"/>
      <c r="OWI52" s="68"/>
      <c r="OWJ52" s="83"/>
      <c r="OWK52" s="83"/>
      <c r="OWL52" s="80"/>
      <c r="OWM52" s="70"/>
      <c r="OWN52" s="70"/>
      <c r="OWO52" s="25"/>
      <c r="OWP52" s="26"/>
      <c r="OWQ52" s="26"/>
      <c r="OWR52" s="67"/>
      <c r="OWS52" s="11"/>
      <c r="OWT52" s="11"/>
      <c r="OWU52" s="68"/>
      <c r="OWV52" s="83"/>
      <c r="OWW52" s="83"/>
      <c r="OWX52" s="80"/>
      <c r="OWY52" s="70"/>
      <c r="OWZ52" s="70"/>
      <c r="OXA52" s="25"/>
      <c r="OXB52" s="26"/>
      <c r="OXC52" s="26"/>
      <c r="OXD52" s="67"/>
      <c r="OXE52" s="11"/>
      <c r="OXF52" s="11"/>
      <c r="OXG52" s="68"/>
      <c r="OXH52" s="83"/>
      <c r="OXI52" s="83"/>
      <c r="OXJ52" s="80"/>
      <c r="OXK52" s="70"/>
      <c r="OXL52" s="70"/>
      <c r="OXM52" s="25"/>
      <c r="OXN52" s="26"/>
      <c r="OXO52" s="26"/>
      <c r="OXP52" s="67"/>
      <c r="OXQ52" s="11"/>
      <c r="OXR52" s="11"/>
      <c r="OXS52" s="68"/>
      <c r="OXT52" s="83"/>
      <c r="OXU52" s="83"/>
      <c r="OXV52" s="80"/>
      <c r="OXW52" s="70"/>
      <c r="OXX52" s="70"/>
      <c r="OXY52" s="25"/>
      <c r="OXZ52" s="26"/>
      <c r="OYA52" s="26"/>
      <c r="OYB52" s="67"/>
      <c r="OYC52" s="11"/>
      <c r="OYD52" s="11"/>
      <c r="OYE52" s="68"/>
      <c r="OYF52" s="83"/>
      <c r="OYG52" s="83"/>
      <c r="OYH52" s="80"/>
      <c r="OYI52" s="70"/>
      <c r="OYJ52" s="70"/>
      <c r="OYK52" s="25"/>
      <c r="OYL52" s="26"/>
      <c r="OYM52" s="26"/>
      <c r="OYN52" s="67"/>
      <c r="OYO52" s="11"/>
      <c r="OYP52" s="11"/>
      <c r="OYQ52" s="68"/>
      <c r="OYR52" s="83"/>
      <c r="OYS52" s="83"/>
      <c r="OYT52" s="80"/>
      <c r="OYU52" s="70"/>
      <c r="OYV52" s="70"/>
      <c r="OYW52" s="25"/>
      <c r="OYX52" s="26"/>
      <c r="OYY52" s="26"/>
      <c r="OYZ52" s="67"/>
      <c r="OZA52" s="11"/>
      <c r="OZB52" s="11"/>
      <c r="OZC52" s="68"/>
      <c r="OZD52" s="83"/>
      <c r="OZE52" s="83"/>
      <c r="OZF52" s="80"/>
      <c r="OZG52" s="70"/>
      <c r="OZH52" s="70"/>
      <c r="OZI52" s="25"/>
      <c r="OZJ52" s="26"/>
      <c r="OZK52" s="26"/>
      <c r="OZL52" s="67"/>
      <c r="OZM52" s="11"/>
      <c r="OZN52" s="11"/>
      <c r="OZO52" s="68"/>
      <c r="OZP52" s="83"/>
      <c r="OZQ52" s="83"/>
      <c r="OZR52" s="80"/>
      <c r="OZS52" s="70"/>
      <c r="OZT52" s="70"/>
      <c r="OZU52" s="25"/>
      <c r="OZV52" s="26"/>
      <c r="OZW52" s="26"/>
      <c r="OZX52" s="67"/>
      <c r="OZY52" s="11"/>
      <c r="OZZ52" s="11"/>
      <c r="PAA52" s="68"/>
      <c r="PAB52" s="83"/>
      <c r="PAC52" s="83"/>
      <c r="PAD52" s="80"/>
      <c r="PAE52" s="70"/>
      <c r="PAF52" s="70"/>
      <c r="PAG52" s="25"/>
      <c r="PAH52" s="26"/>
      <c r="PAI52" s="26"/>
      <c r="PAJ52" s="67"/>
      <c r="PAK52" s="11"/>
      <c r="PAL52" s="11"/>
      <c r="PAM52" s="68"/>
      <c r="PAN52" s="83"/>
      <c r="PAO52" s="83"/>
      <c r="PAP52" s="80"/>
      <c r="PAQ52" s="70"/>
      <c r="PAR52" s="70"/>
      <c r="PAS52" s="25"/>
      <c r="PAT52" s="26"/>
      <c r="PAU52" s="26"/>
      <c r="PAV52" s="67"/>
      <c r="PAW52" s="11"/>
      <c r="PAX52" s="11"/>
      <c r="PAY52" s="68"/>
      <c r="PAZ52" s="83"/>
      <c r="PBA52" s="83"/>
      <c r="PBB52" s="80"/>
      <c r="PBC52" s="70"/>
      <c r="PBD52" s="70"/>
      <c r="PBE52" s="25"/>
      <c r="PBF52" s="26"/>
      <c r="PBG52" s="26"/>
      <c r="PBH52" s="67"/>
      <c r="PBI52" s="11"/>
      <c r="PBJ52" s="11"/>
      <c r="PBK52" s="68"/>
      <c r="PBL52" s="83"/>
      <c r="PBM52" s="83"/>
      <c r="PBN52" s="80"/>
      <c r="PBO52" s="70"/>
      <c r="PBP52" s="70"/>
      <c r="PBQ52" s="25"/>
      <c r="PBR52" s="26"/>
      <c r="PBS52" s="26"/>
      <c r="PBT52" s="67"/>
      <c r="PBU52" s="11"/>
      <c r="PBV52" s="11"/>
      <c r="PBW52" s="68"/>
      <c r="PBX52" s="83"/>
      <c r="PBY52" s="83"/>
      <c r="PBZ52" s="80"/>
      <c r="PCA52" s="70"/>
      <c r="PCB52" s="70"/>
      <c r="PCC52" s="25"/>
      <c r="PCD52" s="26"/>
      <c r="PCE52" s="26"/>
      <c r="PCF52" s="67"/>
      <c r="PCG52" s="11"/>
      <c r="PCH52" s="11"/>
      <c r="PCI52" s="68"/>
      <c r="PCJ52" s="83"/>
      <c r="PCK52" s="83"/>
      <c r="PCL52" s="80"/>
      <c r="PCM52" s="70"/>
      <c r="PCN52" s="70"/>
      <c r="PCO52" s="25"/>
      <c r="PCP52" s="26"/>
      <c r="PCQ52" s="26"/>
      <c r="PCR52" s="67"/>
      <c r="PCS52" s="11"/>
      <c r="PCT52" s="11"/>
      <c r="PCU52" s="68"/>
      <c r="PCV52" s="83"/>
      <c r="PCW52" s="83"/>
      <c r="PCX52" s="80"/>
      <c r="PCY52" s="70"/>
      <c r="PCZ52" s="70"/>
      <c r="PDA52" s="25"/>
      <c r="PDB52" s="26"/>
      <c r="PDC52" s="26"/>
      <c r="PDD52" s="67"/>
      <c r="PDE52" s="11"/>
      <c r="PDF52" s="11"/>
      <c r="PDG52" s="68"/>
      <c r="PDH52" s="83"/>
      <c r="PDI52" s="83"/>
      <c r="PDJ52" s="80"/>
      <c r="PDK52" s="70"/>
      <c r="PDL52" s="70"/>
      <c r="PDM52" s="25"/>
      <c r="PDN52" s="26"/>
      <c r="PDO52" s="26"/>
      <c r="PDP52" s="67"/>
      <c r="PDQ52" s="11"/>
      <c r="PDR52" s="11"/>
      <c r="PDS52" s="68"/>
      <c r="PDT52" s="83"/>
      <c r="PDU52" s="83"/>
      <c r="PDV52" s="80"/>
      <c r="PDW52" s="70"/>
      <c r="PDX52" s="70"/>
      <c r="PDY52" s="25"/>
      <c r="PDZ52" s="26"/>
      <c r="PEA52" s="26"/>
      <c r="PEB52" s="67"/>
      <c r="PEC52" s="11"/>
      <c r="PED52" s="11"/>
      <c r="PEE52" s="68"/>
      <c r="PEF52" s="83"/>
      <c r="PEG52" s="83"/>
      <c r="PEH52" s="80"/>
      <c r="PEI52" s="70"/>
      <c r="PEJ52" s="70"/>
      <c r="PEK52" s="25"/>
      <c r="PEL52" s="26"/>
      <c r="PEM52" s="26"/>
      <c r="PEN52" s="67"/>
      <c r="PEO52" s="11"/>
      <c r="PEP52" s="11"/>
      <c r="PEQ52" s="68"/>
      <c r="PER52" s="83"/>
      <c r="PES52" s="83"/>
      <c r="PET52" s="80"/>
      <c r="PEU52" s="70"/>
      <c r="PEV52" s="70"/>
      <c r="PEW52" s="25"/>
      <c r="PEX52" s="26"/>
      <c r="PEY52" s="26"/>
      <c r="PEZ52" s="67"/>
      <c r="PFA52" s="11"/>
      <c r="PFB52" s="11"/>
      <c r="PFC52" s="68"/>
      <c r="PFD52" s="83"/>
      <c r="PFE52" s="83"/>
      <c r="PFF52" s="80"/>
      <c r="PFG52" s="70"/>
      <c r="PFH52" s="70"/>
      <c r="PFI52" s="25"/>
      <c r="PFJ52" s="26"/>
      <c r="PFK52" s="26"/>
      <c r="PFL52" s="67"/>
      <c r="PFM52" s="11"/>
      <c r="PFN52" s="11"/>
      <c r="PFO52" s="68"/>
      <c r="PFP52" s="83"/>
      <c r="PFQ52" s="83"/>
      <c r="PFR52" s="80"/>
      <c r="PFS52" s="70"/>
      <c r="PFT52" s="70"/>
      <c r="PFU52" s="25"/>
      <c r="PFV52" s="26"/>
      <c r="PFW52" s="26"/>
      <c r="PFX52" s="67"/>
      <c r="PFY52" s="11"/>
      <c r="PFZ52" s="11"/>
      <c r="PGA52" s="68"/>
      <c r="PGB52" s="83"/>
      <c r="PGC52" s="83"/>
      <c r="PGD52" s="80"/>
      <c r="PGE52" s="70"/>
      <c r="PGF52" s="70"/>
      <c r="PGG52" s="25"/>
      <c r="PGH52" s="26"/>
      <c r="PGI52" s="26"/>
      <c r="PGJ52" s="67"/>
      <c r="PGK52" s="11"/>
      <c r="PGL52" s="11"/>
      <c r="PGM52" s="68"/>
      <c r="PGN52" s="83"/>
      <c r="PGO52" s="83"/>
      <c r="PGP52" s="80"/>
      <c r="PGQ52" s="70"/>
      <c r="PGR52" s="70"/>
      <c r="PGS52" s="25"/>
      <c r="PGT52" s="26"/>
      <c r="PGU52" s="26"/>
      <c r="PGV52" s="67"/>
      <c r="PGW52" s="11"/>
      <c r="PGX52" s="11"/>
      <c r="PGY52" s="68"/>
      <c r="PGZ52" s="83"/>
      <c r="PHA52" s="83"/>
      <c r="PHB52" s="80"/>
      <c r="PHC52" s="70"/>
      <c r="PHD52" s="70"/>
      <c r="PHE52" s="25"/>
      <c r="PHF52" s="26"/>
      <c r="PHG52" s="26"/>
      <c r="PHH52" s="67"/>
      <c r="PHI52" s="11"/>
      <c r="PHJ52" s="11"/>
      <c r="PHK52" s="68"/>
      <c r="PHL52" s="83"/>
      <c r="PHM52" s="83"/>
      <c r="PHN52" s="80"/>
      <c r="PHO52" s="70"/>
      <c r="PHP52" s="70"/>
      <c r="PHQ52" s="25"/>
      <c r="PHR52" s="26"/>
      <c r="PHS52" s="26"/>
      <c r="PHT52" s="67"/>
      <c r="PHU52" s="11"/>
      <c r="PHV52" s="11"/>
      <c r="PHW52" s="68"/>
      <c r="PHX52" s="83"/>
      <c r="PHY52" s="83"/>
      <c r="PHZ52" s="80"/>
      <c r="PIA52" s="70"/>
      <c r="PIB52" s="70"/>
      <c r="PIC52" s="25"/>
      <c r="PID52" s="26"/>
      <c r="PIE52" s="26"/>
      <c r="PIF52" s="67"/>
      <c r="PIG52" s="11"/>
      <c r="PIH52" s="11"/>
      <c r="PII52" s="68"/>
      <c r="PIJ52" s="83"/>
      <c r="PIK52" s="83"/>
      <c r="PIL52" s="80"/>
      <c r="PIM52" s="70"/>
      <c r="PIN52" s="70"/>
      <c r="PIO52" s="25"/>
      <c r="PIP52" s="26"/>
      <c r="PIQ52" s="26"/>
      <c r="PIR52" s="67"/>
      <c r="PIS52" s="11"/>
      <c r="PIT52" s="11"/>
      <c r="PIU52" s="68"/>
      <c r="PIV52" s="83"/>
      <c r="PIW52" s="83"/>
      <c r="PIX52" s="80"/>
      <c r="PIY52" s="70"/>
      <c r="PIZ52" s="70"/>
      <c r="PJA52" s="25"/>
      <c r="PJB52" s="26"/>
      <c r="PJC52" s="26"/>
      <c r="PJD52" s="67"/>
      <c r="PJE52" s="11"/>
      <c r="PJF52" s="11"/>
      <c r="PJG52" s="68"/>
      <c r="PJH52" s="83"/>
      <c r="PJI52" s="83"/>
      <c r="PJJ52" s="80"/>
      <c r="PJK52" s="70"/>
      <c r="PJL52" s="70"/>
      <c r="PJM52" s="25"/>
      <c r="PJN52" s="26"/>
      <c r="PJO52" s="26"/>
      <c r="PJP52" s="67"/>
      <c r="PJQ52" s="11"/>
      <c r="PJR52" s="11"/>
      <c r="PJS52" s="68"/>
      <c r="PJT52" s="83"/>
      <c r="PJU52" s="83"/>
      <c r="PJV52" s="80"/>
      <c r="PJW52" s="70"/>
      <c r="PJX52" s="70"/>
      <c r="PJY52" s="25"/>
      <c r="PJZ52" s="26"/>
      <c r="PKA52" s="26"/>
      <c r="PKB52" s="67"/>
      <c r="PKC52" s="11"/>
      <c r="PKD52" s="11"/>
      <c r="PKE52" s="68"/>
      <c r="PKF52" s="83"/>
      <c r="PKG52" s="83"/>
      <c r="PKH52" s="80"/>
      <c r="PKI52" s="70"/>
      <c r="PKJ52" s="70"/>
      <c r="PKK52" s="25"/>
      <c r="PKL52" s="26"/>
      <c r="PKM52" s="26"/>
      <c r="PKN52" s="67"/>
      <c r="PKO52" s="11"/>
      <c r="PKP52" s="11"/>
      <c r="PKQ52" s="68"/>
      <c r="PKR52" s="83"/>
      <c r="PKS52" s="83"/>
      <c r="PKT52" s="80"/>
      <c r="PKU52" s="70"/>
      <c r="PKV52" s="70"/>
      <c r="PKW52" s="25"/>
      <c r="PKX52" s="26"/>
      <c r="PKY52" s="26"/>
      <c r="PKZ52" s="67"/>
      <c r="PLA52" s="11"/>
      <c r="PLB52" s="11"/>
      <c r="PLC52" s="68"/>
      <c r="PLD52" s="83"/>
      <c r="PLE52" s="83"/>
      <c r="PLF52" s="80"/>
      <c r="PLG52" s="70"/>
      <c r="PLH52" s="70"/>
      <c r="PLI52" s="25"/>
      <c r="PLJ52" s="26"/>
      <c r="PLK52" s="26"/>
      <c r="PLL52" s="67"/>
      <c r="PLM52" s="11"/>
      <c r="PLN52" s="11"/>
      <c r="PLO52" s="68"/>
      <c r="PLP52" s="83"/>
      <c r="PLQ52" s="83"/>
      <c r="PLR52" s="80"/>
      <c r="PLS52" s="70"/>
      <c r="PLT52" s="70"/>
      <c r="PLU52" s="25"/>
      <c r="PLV52" s="26"/>
      <c r="PLW52" s="26"/>
      <c r="PLX52" s="67"/>
      <c r="PLY52" s="11"/>
      <c r="PLZ52" s="11"/>
      <c r="PMA52" s="68"/>
      <c r="PMB52" s="83"/>
      <c r="PMC52" s="83"/>
      <c r="PMD52" s="80"/>
      <c r="PME52" s="70"/>
      <c r="PMF52" s="70"/>
      <c r="PMG52" s="25"/>
      <c r="PMH52" s="26"/>
      <c r="PMI52" s="26"/>
      <c r="PMJ52" s="67"/>
      <c r="PMK52" s="11"/>
      <c r="PML52" s="11"/>
      <c r="PMM52" s="68"/>
      <c r="PMN52" s="83"/>
      <c r="PMO52" s="83"/>
      <c r="PMP52" s="80"/>
      <c r="PMQ52" s="70"/>
      <c r="PMR52" s="70"/>
      <c r="PMS52" s="25"/>
      <c r="PMT52" s="26"/>
      <c r="PMU52" s="26"/>
      <c r="PMV52" s="67"/>
      <c r="PMW52" s="11"/>
      <c r="PMX52" s="11"/>
      <c r="PMY52" s="68"/>
      <c r="PMZ52" s="83"/>
      <c r="PNA52" s="83"/>
      <c r="PNB52" s="80"/>
      <c r="PNC52" s="70"/>
      <c r="PND52" s="70"/>
      <c r="PNE52" s="25"/>
      <c r="PNF52" s="26"/>
      <c r="PNG52" s="26"/>
      <c r="PNH52" s="67"/>
      <c r="PNI52" s="11"/>
      <c r="PNJ52" s="11"/>
      <c r="PNK52" s="68"/>
      <c r="PNL52" s="83"/>
      <c r="PNM52" s="83"/>
      <c r="PNN52" s="80"/>
      <c r="PNO52" s="70"/>
      <c r="PNP52" s="70"/>
      <c r="PNQ52" s="25"/>
      <c r="PNR52" s="26"/>
      <c r="PNS52" s="26"/>
      <c r="PNT52" s="67"/>
      <c r="PNU52" s="11"/>
      <c r="PNV52" s="11"/>
      <c r="PNW52" s="68"/>
      <c r="PNX52" s="83"/>
      <c r="PNY52" s="83"/>
      <c r="PNZ52" s="80"/>
      <c r="POA52" s="70"/>
      <c r="POB52" s="70"/>
      <c r="POC52" s="25"/>
      <c r="POD52" s="26"/>
      <c r="POE52" s="26"/>
      <c r="POF52" s="67"/>
      <c r="POG52" s="11"/>
      <c r="POH52" s="11"/>
      <c r="POI52" s="68"/>
      <c r="POJ52" s="83"/>
      <c r="POK52" s="83"/>
      <c r="POL52" s="80"/>
      <c r="POM52" s="70"/>
      <c r="PON52" s="70"/>
      <c r="POO52" s="25"/>
      <c r="POP52" s="26"/>
      <c r="POQ52" s="26"/>
      <c r="POR52" s="67"/>
      <c r="POS52" s="11"/>
      <c r="POT52" s="11"/>
      <c r="POU52" s="68"/>
      <c r="POV52" s="83"/>
      <c r="POW52" s="83"/>
      <c r="POX52" s="80"/>
      <c r="POY52" s="70"/>
      <c r="POZ52" s="70"/>
      <c r="PPA52" s="25"/>
      <c r="PPB52" s="26"/>
      <c r="PPC52" s="26"/>
      <c r="PPD52" s="67"/>
      <c r="PPE52" s="11"/>
      <c r="PPF52" s="11"/>
      <c r="PPG52" s="68"/>
      <c r="PPH52" s="83"/>
      <c r="PPI52" s="83"/>
      <c r="PPJ52" s="80"/>
      <c r="PPK52" s="70"/>
      <c r="PPL52" s="70"/>
      <c r="PPM52" s="25"/>
      <c r="PPN52" s="26"/>
      <c r="PPO52" s="26"/>
      <c r="PPP52" s="67"/>
      <c r="PPQ52" s="11"/>
      <c r="PPR52" s="11"/>
      <c r="PPS52" s="68"/>
      <c r="PPT52" s="83"/>
      <c r="PPU52" s="83"/>
      <c r="PPV52" s="80"/>
      <c r="PPW52" s="70"/>
      <c r="PPX52" s="70"/>
      <c r="PPY52" s="25"/>
      <c r="PPZ52" s="26"/>
      <c r="PQA52" s="26"/>
      <c r="PQB52" s="67"/>
      <c r="PQC52" s="11"/>
      <c r="PQD52" s="11"/>
      <c r="PQE52" s="68"/>
      <c r="PQF52" s="83"/>
      <c r="PQG52" s="83"/>
      <c r="PQH52" s="80"/>
      <c r="PQI52" s="70"/>
      <c r="PQJ52" s="70"/>
      <c r="PQK52" s="25"/>
      <c r="PQL52" s="26"/>
      <c r="PQM52" s="26"/>
      <c r="PQN52" s="67"/>
      <c r="PQO52" s="11"/>
      <c r="PQP52" s="11"/>
      <c r="PQQ52" s="68"/>
      <c r="PQR52" s="83"/>
      <c r="PQS52" s="83"/>
      <c r="PQT52" s="80"/>
      <c r="PQU52" s="70"/>
      <c r="PQV52" s="70"/>
      <c r="PQW52" s="25"/>
      <c r="PQX52" s="26"/>
      <c r="PQY52" s="26"/>
      <c r="PQZ52" s="67"/>
      <c r="PRA52" s="11"/>
      <c r="PRB52" s="11"/>
      <c r="PRC52" s="68"/>
      <c r="PRD52" s="83"/>
      <c r="PRE52" s="83"/>
      <c r="PRF52" s="80"/>
      <c r="PRG52" s="70"/>
      <c r="PRH52" s="70"/>
      <c r="PRI52" s="25"/>
      <c r="PRJ52" s="26"/>
      <c r="PRK52" s="26"/>
      <c r="PRL52" s="67"/>
      <c r="PRM52" s="11"/>
      <c r="PRN52" s="11"/>
      <c r="PRO52" s="68"/>
      <c r="PRP52" s="83"/>
      <c r="PRQ52" s="83"/>
      <c r="PRR52" s="80"/>
      <c r="PRS52" s="70"/>
      <c r="PRT52" s="70"/>
      <c r="PRU52" s="25"/>
      <c r="PRV52" s="26"/>
      <c r="PRW52" s="26"/>
      <c r="PRX52" s="67"/>
      <c r="PRY52" s="11"/>
      <c r="PRZ52" s="11"/>
      <c r="PSA52" s="68"/>
      <c r="PSB52" s="83"/>
      <c r="PSC52" s="83"/>
      <c r="PSD52" s="80"/>
      <c r="PSE52" s="70"/>
      <c r="PSF52" s="70"/>
      <c r="PSG52" s="25"/>
      <c r="PSH52" s="26"/>
      <c r="PSI52" s="26"/>
      <c r="PSJ52" s="67"/>
      <c r="PSK52" s="11"/>
      <c r="PSL52" s="11"/>
      <c r="PSM52" s="68"/>
      <c r="PSN52" s="83"/>
      <c r="PSO52" s="83"/>
      <c r="PSP52" s="80"/>
      <c r="PSQ52" s="70"/>
      <c r="PSR52" s="70"/>
      <c r="PSS52" s="25"/>
      <c r="PST52" s="26"/>
      <c r="PSU52" s="26"/>
      <c r="PSV52" s="67"/>
      <c r="PSW52" s="11"/>
      <c r="PSX52" s="11"/>
      <c r="PSY52" s="68"/>
      <c r="PSZ52" s="83"/>
      <c r="PTA52" s="83"/>
      <c r="PTB52" s="80"/>
      <c r="PTC52" s="70"/>
      <c r="PTD52" s="70"/>
      <c r="PTE52" s="25"/>
      <c r="PTF52" s="26"/>
      <c r="PTG52" s="26"/>
      <c r="PTH52" s="67"/>
      <c r="PTI52" s="11"/>
      <c r="PTJ52" s="11"/>
      <c r="PTK52" s="68"/>
      <c r="PTL52" s="83"/>
      <c r="PTM52" s="83"/>
      <c r="PTN52" s="80"/>
      <c r="PTO52" s="70"/>
      <c r="PTP52" s="70"/>
      <c r="PTQ52" s="25"/>
      <c r="PTR52" s="26"/>
      <c r="PTS52" s="26"/>
      <c r="PTT52" s="67"/>
      <c r="PTU52" s="11"/>
      <c r="PTV52" s="11"/>
      <c r="PTW52" s="68"/>
      <c r="PTX52" s="83"/>
      <c r="PTY52" s="83"/>
      <c r="PTZ52" s="80"/>
      <c r="PUA52" s="70"/>
      <c r="PUB52" s="70"/>
      <c r="PUC52" s="25"/>
      <c r="PUD52" s="26"/>
      <c r="PUE52" s="26"/>
      <c r="PUF52" s="67"/>
      <c r="PUG52" s="11"/>
      <c r="PUH52" s="11"/>
      <c r="PUI52" s="68"/>
      <c r="PUJ52" s="83"/>
      <c r="PUK52" s="83"/>
      <c r="PUL52" s="80"/>
      <c r="PUM52" s="70"/>
      <c r="PUN52" s="70"/>
      <c r="PUO52" s="25"/>
      <c r="PUP52" s="26"/>
      <c r="PUQ52" s="26"/>
      <c r="PUR52" s="67"/>
      <c r="PUS52" s="11"/>
      <c r="PUT52" s="11"/>
      <c r="PUU52" s="68"/>
      <c r="PUV52" s="83"/>
      <c r="PUW52" s="83"/>
      <c r="PUX52" s="80"/>
      <c r="PUY52" s="70"/>
      <c r="PUZ52" s="70"/>
      <c r="PVA52" s="25"/>
      <c r="PVB52" s="26"/>
      <c r="PVC52" s="26"/>
      <c r="PVD52" s="67"/>
      <c r="PVE52" s="11"/>
      <c r="PVF52" s="11"/>
      <c r="PVG52" s="68"/>
      <c r="PVH52" s="83"/>
      <c r="PVI52" s="83"/>
      <c r="PVJ52" s="80"/>
      <c r="PVK52" s="70"/>
      <c r="PVL52" s="70"/>
      <c r="PVM52" s="25"/>
      <c r="PVN52" s="26"/>
      <c r="PVO52" s="26"/>
      <c r="PVP52" s="67"/>
      <c r="PVQ52" s="11"/>
      <c r="PVR52" s="11"/>
      <c r="PVS52" s="68"/>
      <c r="PVT52" s="83"/>
      <c r="PVU52" s="83"/>
      <c r="PVV52" s="80"/>
      <c r="PVW52" s="70"/>
      <c r="PVX52" s="70"/>
      <c r="PVY52" s="25"/>
      <c r="PVZ52" s="26"/>
      <c r="PWA52" s="26"/>
      <c r="PWB52" s="67"/>
      <c r="PWC52" s="11"/>
      <c r="PWD52" s="11"/>
      <c r="PWE52" s="68"/>
      <c r="PWF52" s="83"/>
      <c r="PWG52" s="83"/>
      <c r="PWH52" s="80"/>
      <c r="PWI52" s="70"/>
      <c r="PWJ52" s="70"/>
      <c r="PWK52" s="25"/>
      <c r="PWL52" s="26"/>
      <c r="PWM52" s="26"/>
      <c r="PWN52" s="67"/>
      <c r="PWO52" s="11"/>
      <c r="PWP52" s="11"/>
      <c r="PWQ52" s="68"/>
      <c r="PWR52" s="83"/>
      <c r="PWS52" s="83"/>
      <c r="PWT52" s="80"/>
      <c r="PWU52" s="70"/>
      <c r="PWV52" s="70"/>
      <c r="PWW52" s="25"/>
      <c r="PWX52" s="26"/>
      <c r="PWY52" s="26"/>
      <c r="PWZ52" s="67"/>
      <c r="PXA52" s="11"/>
      <c r="PXB52" s="11"/>
      <c r="PXC52" s="68"/>
      <c r="PXD52" s="83"/>
      <c r="PXE52" s="83"/>
      <c r="PXF52" s="80"/>
      <c r="PXG52" s="70"/>
      <c r="PXH52" s="70"/>
      <c r="PXI52" s="25"/>
      <c r="PXJ52" s="26"/>
      <c r="PXK52" s="26"/>
      <c r="PXL52" s="67"/>
      <c r="PXM52" s="11"/>
      <c r="PXN52" s="11"/>
      <c r="PXO52" s="68"/>
      <c r="PXP52" s="83"/>
      <c r="PXQ52" s="83"/>
      <c r="PXR52" s="80"/>
      <c r="PXS52" s="70"/>
      <c r="PXT52" s="70"/>
      <c r="PXU52" s="25"/>
      <c r="PXV52" s="26"/>
      <c r="PXW52" s="26"/>
      <c r="PXX52" s="67"/>
      <c r="PXY52" s="11"/>
      <c r="PXZ52" s="11"/>
      <c r="PYA52" s="68"/>
      <c r="PYB52" s="83"/>
      <c r="PYC52" s="83"/>
      <c r="PYD52" s="80"/>
      <c r="PYE52" s="70"/>
      <c r="PYF52" s="70"/>
      <c r="PYG52" s="25"/>
      <c r="PYH52" s="26"/>
      <c r="PYI52" s="26"/>
      <c r="PYJ52" s="67"/>
      <c r="PYK52" s="11"/>
      <c r="PYL52" s="11"/>
      <c r="PYM52" s="68"/>
      <c r="PYN52" s="83"/>
      <c r="PYO52" s="83"/>
      <c r="PYP52" s="80"/>
      <c r="PYQ52" s="70"/>
      <c r="PYR52" s="70"/>
      <c r="PYS52" s="25"/>
      <c r="PYT52" s="26"/>
      <c r="PYU52" s="26"/>
      <c r="PYV52" s="67"/>
      <c r="PYW52" s="11"/>
      <c r="PYX52" s="11"/>
      <c r="PYY52" s="68"/>
      <c r="PYZ52" s="83"/>
      <c r="PZA52" s="83"/>
      <c r="PZB52" s="80"/>
      <c r="PZC52" s="70"/>
      <c r="PZD52" s="70"/>
      <c r="PZE52" s="25"/>
      <c r="PZF52" s="26"/>
      <c r="PZG52" s="26"/>
      <c r="PZH52" s="67"/>
      <c r="PZI52" s="11"/>
      <c r="PZJ52" s="11"/>
      <c r="PZK52" s="68"/>
      <c r="PZL52" s="83"/>
      <c r="PZM52" s="83"/>
      <c r="PZN52" s="80"/>
      <c r="PZO52" s="70"/>
      <c r="PZP52" s="70"/>
      <c r="PZQ52" s="25"/>
      <c r="PZR52" s="26"/>
      <c r="PZS52" s="26"/>
      <c r="PZT52" s="67"/>
      <c r="PZU52" s="11"/>
      <c r="PZV52" s="11"/>
      <c r="PZW52" s="68"/>
      <c r="PZX52" s="83"/>
      <c r="PZY52" s="83"/>
      <c r="PZZ52" s="80"/>
      <c r="QAA52" s="70"/>
      <c r="QAB52" s="70"/>
      <c r="QAC52" s="25"/>
      <c r="QAD52" s="26"/>
      <c r="QAE52" s="26"/>
      <c r="QAF52" s="67"/>
      <c r="QAG52" s="11"/>
      <c r="QAH52" s="11"/>
      <c r="QAI52" s="68"/>
      <c r="QAJ52" s="83"/>
      <c r="QAK52" s="83"/>
      <c r="QAL52" s="80"/>
      <c r="QAM52" s="70"/>
      <c r="QAN52" s="70"/>
      <c r="QAO52" s="25"/>
      <c r="QAP52" s="26"/>
      <c r="QAQ52" s="26"/>
      <c r="QAR52" s="67"/>
      <c r="QAS52" s="11"/>
      <c r="QAT52" s="11"/>
      <c r="QAU52" s="68"/>
      <c r="QAV52" s="83"/>
      <c r="QAW52" s="83"/>
      <c r="QAX52" s="80"/>
      <c r="QAY52" s="70"/>
      <c r="QAZ52" s="70"/>
      <c r="QBA52" s="25"/>
      <c r="QBB52" s="26"/>
      <c r="QBC52" s="26"/>
      <c r="QBD52" s="67"/>
      <c r="QBE52" s="11"/>
      <c r="QBF52" s="11"/>
      <c r="QBG52" s="68"/>
      <c r="QBH52" s="83"/>
      <c r="QBI52" s="83"/>
      <c r="QBJ52" s="80"/>
      <c r="QBK52" s="70"/>
      <c r="QBL52" s="70"/>
      <c r="QBM52" s="25"/>
      <c r="QBN52" s="26"/>
      <c r="QBO52" s="26"/>
      <c r="QBP52" s="67"/>
      <c r="QBQ52" s="11"/>
      <c r="QBR52" s="11"/>
      <c r="QBS52" s="68"/>
      <c r="QBT52" s="83"/>
      <c r="QBU52" s="83"/>
      <c r="QBV52" s="80"/>
      <c r="QBW52" s="70"/>
      <c r="QBX52" s="70"/>
      <c r="QBY52" s="25"/>
      <c r="QBZ52" s="26"/>
      <c r="QCA52" s="26"/>
      <c r="QCB52" s="67"/>
      <c r="QCC52" s="11"/>
      <c r="QCD52" s="11"/>
      <c r="QCE52" s="68"/>
      <c r="QCF52" s="83"/>
      <c r="QCG52" s="83"/>
      <c r="QCH52" s="80"/>
      <c r="QCI52" s="70"/>
      <c r="QCJ52" s="70"/>
      <c r="QCK52" s="25"/>
      <c r="QCL52" s="26"/>
      <c r="QCM52" s="26"/>
      <c r="QCN52" s="67"/>
      <c r="QCO52" s="11"/>
      <c r="QCP52" s="11"/>
      <c r="QCQ52" s="68"/>
      <c r="QCR52" s="83"/>
      <c r="QCS52" s="83"/>
      <c r="QCT52" s="80"/>
      <c r="QCU52" s="70"/>
      <c r="QCV52" s="70"/>
      <c r="QCW52" s="25"/>
      <c r="QCX52" s="26"/>
      <c r="QCY52" s="26"/>
      <c r="QCZ52" s="67"/>
      <c r="QDA52" s="11"/>
      <c r="QDB52" s="11"/>
      <c r="QDC52" s="68"/>
      <c r="QDD52" s="83"/>
      <c r="QDE52" s="83"/>
      <c r="QDF52" s="80"/>
      <c r="QDG52" s="70"/>
      <c r="QDH52" s="70"/>
      <c r="QDI52" s="25"/>
      <c r="QDJ52" s="26"/>
      <c r="QDK52" s="26"/>
      <c r="QDL52" s="67"/>
      <c r="QDM52" s="11"/>
      <c r="QDN52" s="11"/>
      <c r="QDO52" s="68"/>
      <c r="QDP52" s="83"/>
      <c r="QDQ52" s="83"/>
      <c r="QDR52" s="80"/>
      <c r="QDS52" s="70"/>
      <c r="QDT52" s="70"/>
      <c r="QDU52" s="25"/>
      <c r="QDV52" s="26"/>
      <c r="QDW52" s="26"/>
      <c r="QDX52" s="67"/>
      <c r="QDY52" s="11"/>
      <c r="QDZ52" s="11"/>
      <c r="QEA52" s="68"/>
      <c r="QEB52" s="83"/>
      <c r="QEC52" s="83"/>
      <c r="QED52" s="80"/>
      <c r="QEE52" s="70"/>
      <c r="QEF52" s="70"/>
      <c r="QEG52" s="25"/>
      <c r="QEH52" s="26"/>
      <c r="QEI52" s="26"/>
      <c r="QEJ52" s="67"/>
      <c r="QEK52" s="11"/>
      <c r="QEL52" s="11"/>
      <c r="QEM52" s="68"/>
      <c r="QEN52" s="83"/>
      <c r="QEO52" s="83"/>
      <c r="QEP52" s="80"/>
      <c r="QEQ52" s="70"/>
      <c r="QER52" s="70"/>
      <c r="QES52" s="25"/>
      <c r="QET52" s="26"/>
      <c r="QEU52" s="26"/>
      <c r="QEV52" s="67"/>
      <c r="QEW52" s="11"/>
      <c r="QEX52" s="11"/>
      <c r="QEY52" s="68"/>
      <c r="QEZ52" s="83"/>
      <c r="QFA52" s="83"/>
      <c r="QFB52" s="80"/>
      <c r="QFC52" s="70"/>
      <c r="QFD52" s="70"/>
      <c r="QFE52" s="25"/>
      <c r="QFF52" s="26"/>
      <c r="QFG52" s="26"/>
      <c r="QFH52" s="67"/>
      <c r="QFI52" s="11"/>
      <c r="QFJ52" s="11"/>
      <c r="QFK52" s="68"/>
      <c r="QFL52" s="83"/>
      <c r="QFM52" s="83"/>
      <c r="QFN52" s="80"/>
      <c r="QFO52" s="70"/>
      <c r="QFP52" s="70"/>
      <c r="QFQ52" s="25"/>
      <c r="QFR52" s="26"/>
      <c r="QFS52" s="26"/>
      <c r="QFT52" s="67"/>
      <c r="QFU52" s="11"/>
      <c r="QFV52" s="11"/>
      <c r="QFW52" s="68"/>
      <c r="QFX52" s="83"/>
      <c r="QFY52" s="83"/>
      <c r="QFZ52" s="80"/>
      <c r="QGA52" s="70"/>
      <c r="QGB52" s="70"/>
      <c r="QGC52" s="25"/>
      <c r="QGD52" s="26"/>
      <c r="QGE52" s="26"/>
      <c r="QGF52" s="67"/>
      <c r="QGG52" s="11"/>
      <c r="QGH52" s="11"/>
      <c r="QGI52" s="68"/>
      <c r="QGJ52" s="83"/>
      <c r="QGK52" s="83"/>
      <c r="QGL52" s="80"/>
      <c r="QGM52" s="70"/>
      <c r="QGN52" s="70"/>
      <c r="QGO52" s="25"/>
      <c r="QGP52" s="26"/>
      <c r="QGQ52" s="26"/>
      <c r="QGR52" s="67"/>
      <c r="QGS52" s="11"/>
      <c r="QGT52" s="11"/>
      <c r="QGU52" s="68"/>
      <c r="QGV52" s="83"/>
      <c r="QGW52" s="83"/>
      <c r="QGX52" s="80"/>
      <c r="QGY52" s="70"/>
      <c r="QGZ52" s="70"/>
      <c r="QHA52" s="25"/>
      <c r="QHB52" s="26"/>
      <c r="QHC52" s="26"/>
      <c r="QHD52" s="67"/>
      <c r="QHE52" s="11"/>
      <c r="QHF52" s="11"/>
      <c r="QHG52" s="68"/>
      <c r="QHH52" s="83"/>
      <c r="QHI52" s="83"/>
      <c r="QHJ52" s="80"/>
      <c r="QHK52" s="70"/>
      <c r="QHL52" s="70"/>
      <c r="QHM52" s="25"/>
      <c r="QHN52" s="26"/>
      <c r="QHO52" s="26"/>
      <c r="QHP52" s="67"/>
      <c r="QHQ52" s="11"/>
      <c r="QHR52" s="11"/>
      <c r="QHS52" s="68"/>
      <c r="QHT52" s="83"/>
      <c r="QHU52" s="83"/>
      <c r="QHV52" s="80"/>
      <c r="QHW52" s="70"/>
      <c r="QHX52" s="70"/>
      <c r="QHY52" s="25"/>
      <c r="QHZ52" s="26"/>
      <c r="QIA52" s="26"/>
      <c r="QIB52" s="67"/>
      <c r="QIC52" s="11"/>
      <c r="QID52" s="11"/>
      <c r="QIE52" s="68"/>
      <c r="QIF52" s="83"/>
      <c r="QIG52" s="83"/>
      <c r="QIH52" s="80"/>
      <c r="QII52" s="70"/>
      <c r="QIJ52" s="70"/>
      <c r="QIK52" s="25"/>
      <c r="QIL52" s="26"/>
      <c r="QIM52" s="26"/>
      <c r="QIN52" s="67"/>
      <c r="QIO52" s="11"/>
      <c r="QIP52" s="11"/>
      <c r="QIQ52" s="68"/>
      <c r="QIR52" s="83"/>
      <c r="QIS52" s="83"/>
      <c r="QIT52" s="80"/>
      <c r="QIU52" s="70"/>
      <c r="QIV52" s="70"/>
      <c r="QIW52" s="25"/>
      <c r="QIX52" s="26"/>
      <c r="QIY52" s="26"/>
      <c r="QIZ52" s="67"/>
      <c r="QJA52" s="11"/>
      <c r="QJB52" s="11"/>
      <c r="QJC52" s="68"/>
      <c r="QJD52" s="83"/>
      <c r="QJE52" s="83"/>
      <c r="QJF52" s="80"/>
      <c r="QJG52" s="70"/>
      <c r="QJH52" s="70"/>
      <c r="QJI52" s="25"/>
      <c r="QJJ52" s="26"/>
      <c r="QJK52" s="26"/>
      <c r="QJL52" s="67"/>
      <c r="QJM52" s="11"/>
      <c r="QJN52" s="11"/>
      <c r="QJO52" s="68"/>
      <c r="QJP52" s="83"/>
      <c r="QJQ52" s="83"/>
      <c r="QJR52" s="80"/>
      <c r="QJS52" s="70"/>
      <c r="QJT52" s="70"/>
      <c r="QJU52" s="25"/>
      <c r="QJV52" s="26"/>
      <c r="QJW52" s="26"/>
      <c r="QJX52" s="67"/>
      <c r="QJY52" s="11"/>
      <c r="QJZ52" s="11"/>
      <c r="QKA52" s="68"/>
      <c r="QKB52" s="83"/>
      <c r="QKC52" s="83"/>
      <c r="QKD52" s="80"/>
      <c r="QKE52" s="70"/>
      <c r="QKF52" s="70"/>
      <c r="QKG52" s="25"/>
      <c r="QKH52" s="26"/>
      <c r="QKI52" s="26"/>
      <c r="QKJ52" s="67"/>
      <c r="QKK52" s="11"/>
      <c r="QKL52" s="11"/>
      <c r="QKM52" s="68"/>
      <c r="QKN52" s="83"/>
      <c r="QKO52" s="83"/>
      <c r="QKP52" s="80"/>
      <c r="QKQ52" s="70"/>
      <c r="QKR52" s="70"/>
      <c r="QKS52" s="25"/>
      <c r="QKT52" s="26"/>
      <c r="QKU52" s="26"/>
      <c r="QKV52" s="67"/>
      <c r="QKW52" s="11"/>
      <c r="QKX52" s="11"/>
      <c r="QKY52" s="68"/>
      <c r="QKZ52" s="83"/>
      <c r="QLA52" s="83"/>
      <c r="QLB52" s="80"/>
      <c r="QLC52" s="70"/>
      <c r="QLD52" s="70"/>
      <c r="QLE52" s="25"/>
      <c r="QLF52" s="26"/>
      <c r="QLG52" s="26"/>
      <c r="QLH52" s="67"/>
      <c r="QLI52" s="11"/>
      <c r="QLJ52" s="11"/>
      <c r="QLK52" s="68"/>
      <c r="QLL52" s="83"/>
      <c r="QLM52" s="83"/>
      <c r="QLN52" s="80"/>
      <c r="QLO52" s="70"/>
      <c r="QLP52" s="70"/>
      <c r="QLQ52" s="25"/>
      <c r="QLR52" s="26"/>
      <c r="QLS52" s="26"/>
      <c r="QLT52" s="67"/>
      <c r="QLU52" s="11"/>
      <c r="QLV52" s="11"/>
      <c r="QLW52" s="68"/>
      <c r="QLX52" s="83"/>
      <c r="QLY52" s="83"/>
      <c r="QLZ52" s="80"/>
      <c r="QMA52" s="70"/>
      <c r="QMB52" s="70"/>
      <c r="QMC52" s="25"/>
      <c r="QMD52" s="26"/>
      <c r="QME52" s="26"/>
      <c r="QMF52" s="67"/>
      <c r="QMG52" s="11"/>
      <c r="QMH52" s="11"/>
      <c r="QMI52" s="68"/>
      <c r="QMJ52" s="83"/>
      <c r="QMK52" s="83"/>
      <c r="QML52" s="80"/>
      <c r="QMM52" s="70"/>
      <c r="QMN52" s="70"/>
      <c r="QMO52" s="25"/>
      <c r="QMP52" s="26"/>
      <c r="QMQ52" s="26"/>
      <c r="QMR52" s="67"/>
      <c r="QMS52" s="11"/>
      <c r="QMT52" s="11"/>
      <c r="QMU52" s="68"/>
      <c r="QMV52" s="83"/>
      <c r="QMW52" s="83"/>
      <c r="QMX52" s="80"/>
      <c r="QMY52" s="70"/>
      <c r="QMZ52" s="70"/>
      <c r="QNA52" s="25"/>
      <c r="QNB52" s="26"/>
      <c r="QNC52" s="26"/>
      <c r="QND52" s="67"/>
      <c r="QNE52" s="11"/>
      <c r="QNF52" s="11"/>
      <c r="QNG52" s="68"/>
      <c r="QNH52" s="83"/>
      <c r="QNI52" s="83"/>
      <c r="QNJ52" s="80"/>
      <c r="QNK52" s="70"/>
      <c r="QNL52" s="70"/>
      <c r="QNM52" s="25"/>
      <c r="QNN52" s="26"/>
      <c r="QNO52" s="26"/>
      <c r="QNP52" s="67"/>
      <c r="QNQ52" s="11"/>
      <c r="QNR52" s="11"/>
      <c r="QNS52" s="68"/>
      <c r="QNT52" s="83"/>
      <c r="QNU52" s="83"/>
      <c r="QNV52" s="80"/>
      <c r="QNW52" s="70"/>
      <c r="QNX52" s="70"/>
      <c r="QNY52" s="25"/>
      <c r="QNZ52" s="26"/>
      <c r="QOA52" s="26"/>
      <c r="QOB52" s="67"/>
      <c r="QOC52" s="11"/>
      <c r="QOD52" s="11"/>
      <c r="QOE52" s="68"/>
      <c r="QOF52" s="83"/>
      <c r="QOG52" s="83"/>
      <c r="QOH52" s="80"/>
      <c r="QOI52" s="70"/>
      <c r="QOJ52" s="70"/>
      <c r="QOK52" s="25"/>
      <c r="QOL52" s="26"/>
      <c r="QOM52" s="26"/>
      <c r="QON52" s="67"/>
      <c r="QOO52" s="11"/>
      <c r="QOP52" s="11"/>
      <c r="QOQ52" s="68"/>
      <c r="QOR52" s="83"/>
      <c r="QOS52" s="83"/>
      <c r="QOT52" s="80"/>
      <c r="QOU52" s="70"/>
      <c r="QOV52" s="70"/>
      <c r="QOW52" s="25"/>
      <c r="QOX52" s="26"/>
      <c r="QOY52" s="26"/>
      <c r="QOZ52" s="67"/>
      <c r="QPA52" s="11"/>
      <c r="QPB52" s="11"/>
      <c r="QPC52" s="68"/>
      <c r="QPD52" s="83"/>
      <c r="QPE52" s="83"/>
      <c r="QPF52" s="80"/>
      <c r="QPG52" s="70"/>
      <c r="QPH52" s="70"/>
      <c r="QPI52" s="25"/>
      <c r="QPJ52" s="26"/>
      <c r="QPK52" s="26"/>
      <c r="QPL52" s="67"/>
      <c r="QPM52" s="11"/>
      <c r="QPN52" s="11"/>
      <c r="QPO52" s="68"/>
      <c r="QPP52" s="83"/>
      <c r="QPQ52" s="83"/>
      <c r="QPR52" s="80"/>
      <c r="QPS52" s="70"/>
      <c r="QPT52" s="70"/>
      <c r="QPU52" s="25"/>
      <c r="QPV52" s="26"/>
      <c r="QPW52" s="26"/>
      <c r="QPX52" s="67"/>
      <c r="QPY52" s="11"/>
      <c r="QPZ52" s="11"/>
      <c r="QQA52" s="68"/>
      <c r="QQB52" s="83"/>
      <c r="QQC52" s="83"/>
      <c r="QQD52" s="80"/>
      <c r="QQE52" s="70"/>
      <c r="QQF52" s="70"/>
      <c r="QQG52" s="25"/>
      <c r="QQH52" s="26"/>
      <c r="QQI52" s="26"/>
      <c r="QQJ52" s="67"/>
      <c r="QQK52" s="11"/>
      <c r="QQL52" s="11"/>
      <c r="QQM52" s="68"/>
      <c r="QQN52" s="83"/>
      <c r="QQO52" s="83"/>
      <c r="QQP52" s="80"/>
      <c r="QQQ52" s="70"/>
      <c r="QQR52" s="70"/>
      <c r="QQS52" s="25"/>
      <c r="QQT52" s="26"/>
      <c r="QQU52" s="26"/>
      <c r="QQV52" s="67"/>
      <c r="QQW52" s="11"/>
      <c r="QQX52" s="11"/>
      <c r="QQY52" s="68"/>
      <c r="QQZ52" s="83"/>
      <c r="QRA52" s="83"/>
      <c r="QRB52" s="80"/>
      <c r="QRC52" s="70"/>
      <c r="QRD52" s="70"/>
      <c r="QRE52" s="25"/>
      <c r="QRF52" s="26"/>
      <c r="QRG52" s="26"/>
      <c r="QRH52" s="67"/>
      <c r="QRI52" s="11"/>
      <c r="QRJ52" s="11"/>
      <c r="QRK52" s="68"/>
      <c r="QRL52" s="83"/>
      <c r="QRM52" s="83"/>
      <c r="QRN52" s="80"/>
      <c r="QRO52" s="70"/>
      <c r="QRP52" s="70"/>
      <c r="QRQ52" s="25"/>
      <c r="QRR52" s="26"/>
      <c r="QRS52" s="26"/>
      <c r="QRT52" s="67"/>
      <c r="QRU52" s="11"/>
      <c r="QRV52" s="11"/>
      <c r="QRW52" s="68"/>
      <c r="QRX52" s="83"/>
      <c r="QRY52" s="83"/>
      <c r="QRZ52" s="80"/>
      <c r="QSA52" s="70"/>
      <c r="QSB52" s="70"/>
      <c r="QSC52" s="25"/>
      <c r="QSD52" s="26"/>
      <c r="QSE52" s="26"/>
      <c r="QSF52" s="67"/>
      <c r="QSG52" s="11"/>
      <c r="QSH52" s="11"/>
      <c r="QSI52" s="68"/>
      <c r="QSJ52" s="83"/>
      <c r="QSK52" s="83"/>
      <c r="QSL52" s="80"/>
      <c r="QSM52" s="70"/>
      <c r="QSN52" s="70"/>
      <c r="QSO52" s="25"/>
      <c r="QSP52" s="26"/>
      <c r="QSQ52" s="26"/>
      <c r="QSR52" s="67"/>
      <c r="QSS52" s="11"/>
      <c r="QST52" s="11"/>
      <c r="QSU52" s="68"/>
      <c r="QSV52" s="83"/>
      <c r="QSW52" s="83"/>
      <c r="QSX52" s="80"/>
      <c r="QSY52" s="70"/>
      <c r="QSZ52" s="70"/>
      <c r="QTA52" s="25"/>
      <c r="QTB52" s="26"/>
      <c r="QTC52" s="26"/>
      <c r="QTD52" s="67"/>
      <c r="QTE52" s="11"/>
      <c r="QTF52" s="11"/>
      <c r="QTG52" s="68"/>
      <c r="QTH52" s="83"/>
      <c r="QTI52" s="83"/>
      <c r="QTJ52" s="80"/>
      <c r="QTK52" s="70"/>
      <c r="QTL52" s="70"/>
      <c r="QTM52" s="25"/>
      <c r="QTN52" s="26"/>
      <c r="QTO52" s="26"/>
      <c r="QTP52" s="67"/>
      <c r="QTQ52" s="11"/>
      <c r="QTR52" s="11"/>
      <c r="QTS52" s="68"/>
      <c r="QTT52" s="83"/>
      <c r="QTU52" s="83"/>
      <c r="QTV52" s="80"/>
      <c r="QTW52" s="70"/>
      <c r="QTX52" s="70"/>
      <c r="QTY52" s="25"/>
      <c r="QTZ52" s="26"/>
      <c r="QUA52" s="26"/>
      <c r="QUB52" s="67"/>
      <c r="QUC52" s="11"/>
      <c r="QUD52" s="11"/>
      <c r="QUE52" s="68"/>
      <c r="QUF52" s="83"/>
      <c r="QUG52" s="83"/>
      <c r="QUH52" s="80"/>
      <c r="QUI52" s="70"/>
      <c r="QUJ52" s="70"/>
      <c r="QUK52" s="25"/>
      <c r="QUL52" s="26"/>
      <c r="QUM52" s="26"/>
      <c r="QUN52" s="67"/>
      <c r="QUO52" s="11"/>
      <c r="QUP52" s="11"/>
      <c r="QUQ52" s="68"/>
      <c r="QUR52" s="83"/>
      <c r="QUS52" s="83"/>
      <c r="QUT52" s="80"/>
      <c r="QUU52" s="70"/>
      <c r="QUV52" s="70"/>
      <c r="QUW52" s="25"/>
      <c r="QUX52" s="26"/>
      <c r="QUY52" s="26"/>
      <c r="QUZ52" s="67"/>
      <c r="QVA52" s="11"/>
      <c r="QVB52" s="11"/>
      <c r="QVC52" s="68"/>
      <c r="QVD52" s="83"/>
      <c r="QVE52" s="83"/>
      <c r="QVF52" s="80"/>
      <c r="QVG52" s="70"/>
      <c r="QVH52" s="70"/>
      <c r="QVI52" s="25"/>
      <c r="QVJ52" s="26"/>
      <c r="QVK52" s="26"/>
      <c r="QVL52" s="67"/>
      <c r="QVM52" s="11"/>
      <c r="QVN52" s="11"/>
      <c r="QVO52" s="68"/>
      <c r="QVP52" s="83"/>
      <c r="QVQ52" s="83"/>
      <c r="QVR52" s="80"/>
      <c r="QVS52" s="70"/>
      <c r="QVT52" s="70"/>
      <c r="QVU52" s="25"/>
      <c r="QVV52" s="26"/>
      <c r="QVW52" s="26"/>
      <c r="QVX52" s="67"/>
      <c r="QVY52" s="11"/>
      <c r="QVZ52" s="11"/>
      <c r="QWA52" s="68"/>
      <c r="QWB52" s="83"/>
      <c r="QWC52" s="83"/>
      <c r="QWD52" s="80"/>
      <c r="QWE52" s="70"/>
      <c r="QWF52" s="70"/>
      <c r="QWG52" s="25"/>
      <c r="QWH52" s="26"/>
      <c r="QWI52" s="26"/>
      <c r="QWJ52" s="67"/>
      <c r="QWK52" s="11"/>
      <c r="QWL52" s="11"/>
      <c r="QWM52" s="68"/>
      <c r="QWN52" s="83"/>
      <c r="QWO52" s="83"/>
      <c r="QWP52" s="80"/>
      <c r="QWQ52" s="70"/>
      <c r="QWR52" s="70"/>
      <c r="QWS52" s="25"/>
      <c r="QWT52" s="26"/>
      <c r="QWU52" s="26"/>
      <c r="QWV52" s="67"/>
      <c r="QWW52" s="11"/>
      <c r="QWX52" s="11"/>
      <c r="QWY52" s="68"/>
      <c r="QWZ52" s="83"/>
      <c r="QXA52" s="83"/>
      <c r="QXB52" s="80"/>
      <c r="QXC52" s="70"/>
      <c r="QXD52" s="70"/>
      <c r="QXE52" s="25"/>
      <c r="QXF52" s="26"/>
      <c r="QXG52" s="26"/>
      <c r="QXH52" s="67"/>
      <c r="QXI52" s="11"/>
      <c r="QXJ52" s="11"/>
      <c r="QXK52" s="68"/>
      <c r="QXL52" s="83"/>
      <c r="QXM52" s="83"/>
      <c r="QXN52" s="80"/>
      <c r="QXO52" s="70"/>
      <c r="QXP52" s="70"/>
      <c r="QXQ52" s="25"/>
      <c r="QXR52" s="26"/>
      <c r="QXS52" s="26"/>
      <c r="QXT52" s="67"/>
      <c r="QXU52" s="11"/>
      <c r="QXV52" s="11"/>
      <c r="QXW52" s="68"/>
      <c r="QXX52" s="83"/>
      <c r="QXY52" s="83"/>
      <c r="QXZ52" s="80"/>
      <c r="QYA52" s="70"/>
      <c r="QYB52" s="70"/>
      <c r="QYC52" s="25"/>
      <c r="QYD52" s="26"/>
      <c r="QYE52" s="26"/>
      <c r="QYF52" s="67"/>
      <c r="QYG52" s="11"/>
      <c r="QYH52" s="11"/>
      <c r="QYI52" s="68"/>
      <c r="QYJ52" s="83"/>
      <c r="QYK52" s="83"/>
      <c r="QYL52" s="80"/>
      <c r="QYM52" s="70"/>
      <c r="QYN52" s="70"/>
      <c r="QYO52" s="25"/>
      <c r="QYP52" s="26"/>
      <c r="QYQ52" s="26"/>
      <c r="QYR52" s="67"/>
      <c r="QYS52" s="11"/>
      <c r="QYT52" s="11"/>
      <c r="QYU52" s="68"/>
      <c r="QYV52" s="83"/>
      <c r="QYW52" s="83"/>
      <c r="QYX52" s="80"/>
      <c r="QYY52" s="70"/>
      <c r="QYZ52" s="70"/>
      <c r="QZA52" s="25"/>
      <c r="QZB52" s="26"/>
      <c r="QZC52" s="26"/>
      <c r="QZD52" s="67"/>
      <c r="QZE52" s="11"/>
      <c r="QZF52" s="11"/>
      <c r="QZG52" s="68"/>
      <c r="QZH52" s="83"/>
      <c r="QZI52" s="83"/>
      <c r="QZJ52" s="80"/>
      <c r="QZK52" s="70"/>
      <c r="QZL52" s="70"/>
      <c r="QZM52" s="25"/>
      <c r="QZN52" s="26"/>
      <c r="QZO52" s="26"/>
      <c r="QZP52" s="67"/>
      <c r="QZQ52" s="11"/>
      <c r="QZR52" s="11"/>
      <c r="QZS52" s="68"/>
      <c r="QZT52" s="83"/>
      <c r="QZU52" s="83"/>
      <c r="QZV52" s="80"/>
      <c r="QZW52" s="70"/>
      <c r="QZX52" s="70"/>
      <c r="QZY52" s="25"/>
      <c r="QZZ52" s="26"/>
      <c r="RAA52" s="26"/>
      <c r="RAB52" s="67"/>
      <c r="RAC52" s="11"/>
      <c r="RAD52" s="11"/>
      <c r="RAE52" s="68"/>
      <c r="RAF52" s="83"/>
      <c r="RAG52" s="83"/>
      <c r="RAH52" s="80"/>
      <c r="RAI52" s="70"/>
      <c r="RAJ52" s="70"/>
      <c r="RAK52" s="25"/>
      <c r="RAL52" s="26"/>
      <c r="RAM52" s="26"/>
      <c r="RAN52" s="67"/>
      <c r="RAO52" s="11"/>
      <c r="RAP52" s="11"/>
      <c r="RAQ52" s="68"/>
      <c r="RAR52" s="83"/>
      <c r="RAS52" s="83"/>
      <c r="RAT52" s="80"/>
      <c r="RAU52" s="70"/>
      <c r="RAV52" s="70"/>
      <c r="RAW52" s="25"/>
      <c r="RAX52" s="26"/>
      <c r="RAY52" s="26"/>
      <c r="RAZ52" s="67"/>
      <c r="RBA52" s="11"/>
      <c r="RBB52" s="11"/>
      <c r="RBC52" s="68"/>
      <c r="RBD52" s="83"/>
      <c r="RBE52" s="83"/>
      <c r="RBF52" s="80"/>
      <c r="RBG52" s="70"/>
      <c r="RBH52" s="70"/>
      <c r="RBI52" s="25"/>
      <c r="RBJ52" s="26"/>
      <c r="RBK52" s="26"/>
      <c r="RBL52" s="67"/>
      <c r="RBM52" s="11"/>
      <c r="RBN52" s="11"/>
      <c r="RBO52" s="68"/>
      <c r="RBP52" s="83"/>
      <c r="RBQ52" s="83"/>
      <c r="RBR52" s="80"/>
      <c r="RBS52" s="70"/>
      <c r="RBT52" s="70"/>
      <c r="RBU52" s="25"/>
      <c r="RBV52" s="26"/>
      <c r="RBW52" s="26"/>
      <c r="RBX52" s="67"/>
      <c r="RBY52" s="11"/>
      <c r="RBZ52" s="11"/>
      <c r="RCA52" s="68"/>
      <c r="RCB52" s="83"/>
      <c r="RCC52" s="83"/>
      <c r="RCD52" s="80"/>
      <c r="RCE52" s="70"/>
      <c r="RCF52" s="70"/>
      <c r="RCG52" s="25"/>
      <c r="RCH52" s="26"/>
      <c r="RCI52" s="26"/>
      <c r="RCJ52" s="67"/>
      <c r="RCK52" s="11"/>
      <c r="RCL52" s="11"/>
      <c r="RCM52" s="68"/>
      <c r="RCN52" s="83"/>
      <c r="RCO52" s="83"/>
      <c r="RCP52" s="80"/>
      <c r="RCQ52" s="70"/>
      <c r="RCR52" s="70"/>
      <c r="RCS52" s="25"/>
      <c r="RCT52" s="26"/>
      <c r="RCU52" s="26"/>
      <c r="RCV52" s="67"/>
      <c r="RCW52" s="11"/>
      <c r="RCX52" s="11"/>
      <c r="RCY52" s="68"/>
      <c r="RCZ52" s="83"/>
      <c r="RDA52" s="83"/>
      <c r="RDB52" s="80"/>
      <c r="RDC52" s="70"/>
      <c r="RDD52" s="70"/>
      <c r="RDE52" s="25"/>
      <c r="RDF52" s="26"/>
      <c r="RDG52" s="26"/>
      <c r="RDH52" s="67"/>
      <c r="RDI52" s="11"/>
      <c r="RDJ52" s="11"/>
      <c r="RDK52" s="68"/>
      <c r="RDL52" s="83"/>
      <c r="RDM52" s="83"/>
      <c r="RDN52" s="80"/>
      <c r="RDO52" s="70"/>
      <c r="RDP52" s="70"/>
      <c r="RDQ52" s="25"/>
      <c r="RDR52" s="26"/>
      <c r="RDS52" s="26"/>
      <c r="RDT52" s="67"/>
      <c r="RDU52" s="11"/>
      <c r="RDV52" s="11"/>
      <c r="RDW52" s="68"/>
      <c r="RDX52" s="83"/>
      <c r="RDY52" s="83"/>
      <c r="RDZ52" s="80"/>
      <c r="REA52" s="70"/>
      <c r="REB52" s="70"/>
      <c r="REC52" s="25"/>
      <c r="RED52" s="26"/>
      <c r="REE52" s="26"/>
      <c r="REF52" s="67"/>
      <c r="REG52" s="11"/>
      <c r="REH52" s="11"/>
      <c r="REI52" s="68"/>
      <c r="REJ52" s="83"/>
      <c r="REK52" s="83"/>
      <c r="REL52" s="80"/>
      <c r="REM52" s="70"/>
      <c r="REN52" s="70"/>
      <c r="REO52" s="25"/>
      <c r="REP52" s="26"/>
      <c r="REQ52" s="26"/>
      <c r="RER52" s="67"/>
      <c r="RES52" s="11"/>
      <c r="RET52" s="11"/>
      <c r="REU52" s="68"/>
      <c r="REV52" s="83"/>
      <c r="REW52" s="83"/>
      <c r="REX52" s="80"/>
      <c r="REY52" s="70"/>
      <c r="REZ52" s="70"/>
      <c r="RFA52" s="25"/>
      <c r="RFB52" s="26"/>
      <c r="RFC52" s="26"/>
      <c r="RFD52" s="67"/>
      <c r="RFE52" s="11"/>
      <c r="RFF52" s="11"/>
      <c r="RFG52" s="68"/>
      <c r="RFH52" s="83"/>
      <c r="RFI52" s="83"/>
      <c r="RFJ52" s="80"/>
      <c r="RFK52" s="70"/>
      <c r="RFL52" s="70"/>
      <c r="RFM52" s="25"/>
      <c r="RFN52" s="26"/>
      <c r="RFO52" s="26"/>
      <c r="RFP52" s="67"/>
      <c r="RFQ52" s="11"/>
      <c r="RFR52" s="11"/>
      <c r="RFS52" s="68"/>
      <c r="RFT52" s="83"/>
      <c r="RFU52" s="83"/>
      <c r="RFV52" s="80"/>
      <c r="RFW52" s="70"/>
      <c r="RFX52" s="70"/>
      <c r="RFY52" s="25"/>
      <c r="RFZ52" s="26"/>
      <c r="RGA52" s="26"/>
      <c r="RGB52" s="67"/>
      <c r="RGC52" s="11"/>
      <c r="RGD52" s="11"/>
      <c r="RGE52" s="68"/>
      <c r="RGF52" s="83"/>
      <c r="RGG52" s="83"/>
      <c r="RGH52" s="80"/>
      <c r="RGI52" s="70"/>
      <c r="RGJ52" s="70"/>
      <c r="RGK52" s="25"/>
      <c r="RGL52" s="26"/>
      <c r="RGM52" s="26"/>
      <c r="RGN52" s="67"/>
      <c r="RGO52" s="11"/>
      <c r="RGP52" s="11"/>
      <c r="RGQ52" s="68"/>
      <c r="RGR52" s="83"/>
      <c r="RGS52" s="83"/>
      <c r="RGT52" s="80"/>
      <c r="RGU52" s="70"/>
      <c r="RGV52" s="70"/>
      <c r="RGW52" s="25"/>
      <c r="RGX52" s="26"/>
      <c r="RGY52" s="26"/>
      <c r="RGZ52" s="67"/>
      <c r="RHA52" s="11"/>
      <c r="RHB52" s="11"/>
      <c r="RHC52" s="68"/>
      <c r="RHD52" s="83"/>
      <c r="RHE52" s="83"/>
      <c r="RHF52" s="80"/>
      <c r="RHG52" s="70"/>
      <c r="RHH52" s="70"/>
      <c r="RHI52" s="25"/>
      <c r="RHJ52" s="26"/>
      <c r="RHK52" s="26"/>
      <c r="RHL52" s="67"/>
      <c r="RHM52" s="11"/>
      <c r="RHN52" s="11"/>
      <c r="RHO52" s="68"/>
      <c r="RHP52" s="83"/>
      <c r="RHQ52" s="83"/>
      <c r="RHR52" s="80"/>
      <c r="RHS52" s="70"/>
      <c r="RHT52" s="70"/>
      <c r="RHU52" s="25"/>
      <c r="RHV52" s="26"/>
      <c r="RHW52" s="26"/>
      <c r="RHX52" s="67"/>
      <c r="RHY52" s="11"/>
      <c r="RHZ52" s="11"/>
      <c r="RIA52" s="68"/>
      <c r="RIB52" s="83"/>
      <c r="RIC52" s="83"/>
      <c r="RID52" s="80"/>
      <c r="RIE52" s="70"/>
      <c r="RIF52" s="70"/>
      <c r="RIG52" s="25"/>
      <c r="RIH52" s="26"/>
      <c r="RII52" s="26"/>
      <c r="RIJ52" s="67"/>
      <c r="RIK52" s="11"/>
      <c r="RIL52" s="11"/>
      <c r="RIM52" s="68"/>
      <c r="RIN52" s="83"/>
      <c r="RIO52" s="83"/>
      <c r="RIP52" s="80"/>
      <c r="RIQ52" s="70"/>
      <c r="RIR52" s="70"/>
      <c r="RIS52" s="25"/>
      <c r="RIT52" s="26"/>
      <c r="RIU52" s="26"/>
      <c r="RIV52" s="67"/>
      <c r="RIW52" s="11"/>
      <c r="RIX52" s="11"/>
      <c r="RIY52" s="68"/>
      <c r="RIZ52" s="83"/>
      <c r="RJA52" s="83"/>
      <c r="RJB52" s="80"/>
      <c r="RJC52" s="70"/>
      <c r="RJD52" s="70"/>
      <c r="RJE52" s="25"/>
      <c r="RJF52" s="26"/>
      <c r="RJG52" s="26"/>
      <c r="RJH52" s="67"/>
      <c r="RJI52" s="11"/>
      <c r="RJJ52" s="11"/>
      <c r="RJK52" s="68"/>
      <c r="RJL52" s="83"/>
      <c r="RJM52" s="83"/>
      <c r="RJN52" s="80"/>
      <c r="RJO52" s="70"/>
      <c r="RJP52" s="70"/>
      <c r="RJQ52" s="25"/>
      <c r="RJR52" s="26"/>
      <c r="RJS52" s="26"/>
      <c r="RJT52" s="67"/>
      <c r="RJU52" s="11"/>
      <c r="RJV52" s="11"/>
      <c r="RJW52" s="68"/>
      <c r="RJX52" s="83"/>
      <c r="RJY52" s="83"/>
      <c r="RJZ52" s="80"/>
      <c r="RKA52" s="70"/>
      <c r="RKB52" s="70"/>
      <c r="RKC52" s="25"/>
      <c r="RKD52" s="26"/>
      <c r="RKE52" s="26"/>
      <c r="RKF52" s="67"/>
      <c r="RKG52" s="11"/>
      <c r="RKH52" s="11"/>
      <c r="RKI52" s="68"/>
      <c r="RKJ52" s="83"/>
      <c r="RKK52" s="83"/>
      <c r="RKL52" s="80"/>
      <c r="RKM52" s="70"/>
      <c r="RKN52" s="70"/>
      <c r="RKO52" s="25"/>
      <c r="RKP52" s="26"/>
      <c r="RKQ52" s="26"/>
      <c r="RKR52" s="67"/>
      <c r="RKS52" s="11"/>
      <c r="RKT52" s="11"/>
      <c r="RKU52" s="68"/>
      <c r="RKV52" s="83"/>
      <c r="RKW52" s="83"/>
      <c r="RKX52" s="80"/>
      <c r="RKY52" s="70"/>
      <c r="RKZ52" s="70"/>
      <c r="RLA52" s="25"/>
      <c r="RLB52" s="26"/>
      <c r="RLC52" s="26"/>
      <c r="RLD52" s="67"/>
      <c r="RLE52" s="11"/>
      <c r="RLF52" s="11"/>
      <c r="RLG52" s="68"/>
      <c r="RLH52" s="83"/>
      <c r="RLI52" s="83"/>
      <c r="RLJ52" s="80"/>
      <c r="RLK52" s="70"/>
      <c r="RLL52" s="70"/>
      <c r="RLM52" s="25"/>
      <c r="RLN52" s="26"/>
      <c r="RLO52" s="26"/>
      <c r="RLP52" s="67"/>
      <c r="RLQ52" s="11"/>
      <c r="RLR52" s="11"/>
      <c r="RLS52" s="68"/>
      <c r="RLT52" s="83"/>
      <c r="RLU52" s="83"/>
      <c r="RLV52" s="80"/>
      <c r="RLW52" s="70"/>
      <c r="RLX52" s="70"/>
      <c r="RLY52" s="25"/>
      <c r="RLZ52" s="26"/>
      <c r="RMA52" s="26"/>
      <c r="RMB52" s="67"/>
      <c r="RMC52" s="11"/>
      <c r="RMD52" s="11"/>
      <c r="RME52" s="68"/>
      <c r="RMF52" s="83"/>
      <c r="RMG52" s="83"/>
      <c r="RMH52" s="80"/>
      <c r="RMI52" s="70"/>
      <c r="RMJ52" s="70"/>
      <c r="RMK52" s="25"/>
      <c r="RML52" s="26"/>
      <c r="RMM52" s="26"/>
      <c r="RMN52" s="67"/>
      <c r="RMO52" s="11"/>
      <c r="RMP52" s="11"/>
      <c r="RMQ52" s="68"/>
      <c r="RMR52" s="83"/>
      <c r="RMS52" s="83"/>
      <c r="RMT52" s="80"/>
      <c r="RMU52" s="70"/>
      <c r="RMV52" s="70"/>
      <c r="RMW52" s="25"/>
      <c r="RMX52" s="26"/>
      <c r="RMY52" s="26"/>
      <c r="RMZ52" s="67"/>
      <c r="RNA52" s="11"/>
      <c r="RNB52" s="11"/>
      <c r="RNC52" s="68"/>
      <c r="RND52" s="83"/>
      <c r="RNE52" s="83"/>
      <c r="RNF52" s="80"/>
      <c r="RNG52" s="70"/>
      <c r="RNH52" s="70"/>
      <c r="RNI52" s="25"/>
      <c r="RNJ52" s="26"/>
      <c r="RNK52" s="26"/>
      <c r="RNL52" s="67"/>
      <c r="RNM52" s="11"/>
      <c r="RNN52" s="11"/>
      <c r="RNO52" s="68"/>
      <c r="RNP52" s="83"/>
      <c r="RNQ52" s="83"/>
      <c r="RNR52" s="80"/>
      <c r="RNS52" s="70"/>
      <c r="RNT52" s="70"/>
      <c r="RNU52" s="25"/>
      <c r="RNV52" s="26"/>
      <c r="RNW52" s="26"/>
      <c r="RNX52" s="67"/>
      <c r="RNY52" s="11"/>
      <c r="RNZ52" s="11"/>
      <c r="ROA52" s="68"/>
      <c r="ROB52" s="83"/>
      <c r="ROC52" s="83"/>
      <c r="ROD52" s="80"/>
      <c r="ROE52" s="70"/>
      <c r="ROF52" s="70"/>
      <c r="ROG52" s="25"/>
      <c r="ROH52" s="26"/>
      <c r="ROI52" s="26"/>
      <c r="ROJ52" s="67"/>
      <c r="ROK52" s="11"/>
      <c r="ROL52" s="11"/>
      <c r="ROM52" s="68"/>
      <c r="RON52" s="83"/>
      <c r="ROO52" s="83"/>
      <c r="ROP52" s="80"/>
      <c r="ROQ52" s="70"/>
      <c r="ROR52" s="70"/>
      <c r="ROS52" s="25"/>
      <c r="ROT52" s="26"/>
      <c r="ROU52" s="26"/>
      <c r="ROV52" s="67"/>
      <c r="ROW52" s="11"/>
      <c r="ROX52" s="11"/>
      <c r="ROY52" s="68"/>
      <c r="ROZ52" s="83"/>
      <c r="RPA52" s="83"/>
      <c r="RPB52" s="80"/>
      <c r="RPC52" s="70"/>
      <c r="RPD52" s="70"/>
      <c r="RPE52" s="25"/>
      <c r="RPF52" s="26"/>
      <c r="RPG52" s="26"/>
      <c r="RPH52" s="67"/>
      <c r="RPI52" s="11"/>
      <c r="RPJ52" s="11"/>
      <c r="RPK52" s="68"/>
      <c r="RPL52" s="83"/>
      <c r="RPM52" s="83"/>
      <c r="RPN52" s="80"/>
      <c r="RPO52" s="70"/>
      <c r="RPP52" s="70"/>
      <c r="RPQ52" s="25"/>
      <c r="RPR52" s="26"/>
      <c r="RPS52" s="26"/>
      <c r="RPT52" s="67"/>
      <c r="RPU52" s="11"/>
      <c r="RPV52" s="11"/>
      <c r="RPW52" s="68"/>
      <c r="RPX52" s="83"/>
      <c r="RPY52" s="83"/>
      <c r="RPZ52" s="80"/>
      <c r="RQA52" s="70"/>
      <c r="RQB52" s="70"/>
      <c r="RQC52" s="25"/>
      <c r="RQD52" s="26"/>
      <c r="RQE52" s="26"/>
      <c r="RQF52" s="67"/>
      <c r="RQG52" s="11"/>
      <c r="RQH52" s="11"/>
      <c r="RQI52" s="68"/>
      <c r="RQJ52" s="83"/>
      <c r="RQK52" s="83"/>
      <c r="RQL52" s="80"/>
      <c r="RQM52" s="70"/>
      <c r="RQN52" s="70"/>
      <c r="RQO52" s="25"/>
      <c r="RQP52" s="26"/>
      <c r="RQQ52" s="26"/>
      <c r="RQR52" s="67"/>
      <c r="RQS52" s="11"/>
      <c r="RQT52" s="11"/>
      <c r="RQU52" s="68"/>
      <c r="RQV52" s="83"/>
      <c r="RQW52" s="83"/>
      <c r="RQX52" s="80"/>
      <c r="RQY52" s="70"/>
      <c r="RQZ52" s="70"/>
      <c r="RRA52" s="25"/>
      <c r="RRB52" s="26"/>
      <c r="RRC52" s="26"/>
      <c r="RRD52" s="67"/>
      <c r="RRE52" s="11"/>
      <c r="RRF52" s="11"/>
      <c r="RRG52" s="68"/>
      <c r="RRH52" s="83"/>
      <c r="RRI52" s="83"/>
      <c r="RRJ52" s="80"/>
      <c r="RRK52" s="70"/>
      <c r="RRL52" s="70"/>
      <c r="RRM52" s="25"/>
      <c r="RRN52" s="26"/>
      <c r="RRO52" s="26"/>
      <c r="RRP52" s="67"/>
      <c r="RRQ52" s="11"/>
      <c r="RRR52" s="11"/>
      <c r="RRS52" s="68"/>
      <c r="RRT52" s="83"/>
      <c r="RRU52" s="83"/>
      <c r="RRV52" s="80"/>
      <c r="RRW52" s="70"/>
      <c r="RRX52" s="70"/>
      <c r="RRY52" s="25"/>
      <c r="RRZ52" s="26"/>
      <c r="RSA52" s="26"/>
      <c r="RSB52" s="67"/>
      <c r="RSC52" s="11"/>
      <c r="RSD52" s="11"/>
      <c r="RSE52" s="68"/>
      <c r="RSF52" s="83"/>
      <c r="RSG52" s="83"/>
      <c r="RSH52" s="80"/>
      <c r="RSI52" s="70"/>
      <c r="RSJ52" s="70"/>
      <c r="RSK52" s="25"/>
      <c r="RSL52" s="26"/>
      <c r="RSM52" s="26"/>
      <c r="RSN52" s="67"/>
      <c r="RSO52" s="11"/>
      <c r="RSP52" s="11"/>
      <c r="RSQ52" s="68"/>
      <c r="RSR52" s="83"/>
      <c r="RSS52" s="83"/>
      <c r="RST52" s="80"/>
      <c r="RSU52" s="70"/>
      <c r="RSV52" s="70"/>
      <c r="RSW52" s="25"/>
      <c r="RSX52" s="26"/>
      <c r="RSY52" s="26"/>
      <c r="RSZ52" s="67"/>
      <c r="RTA52" s="11"/>
      <c r="RTB52" s="11"/>
      <c r="RTC52" s="68"/>
      <c r="RTD52" s="83"/>
      <c r="RTE52" s="83"/>
      <c r="RTF52" s="80"/>
      <c r="RTG52" s="70"/>
      <c r="RTH52" s="70"/>
      <c r="RTI52" s="25"/>
      <c r="RTJ52" s="26"/>
      <c r="RTK52" s="26"/>
      <c r="RTL52" s="67"/>
      <c r="RTM52" s="11"/>
      <c r="RTN52" s="11"/>
      <c r="RTO52" s="68"/>
      <c r="RTP52" s="83"/>
      <c r="RTQ52" s="83"/>
      <c r="RTR52" s="80"/>
      <c r="RTS52" s="70"/>
      <c r="RTT52" s="70"/>
      <c r="RTU52" s="25"/>
      <c r="RTV52" s="26"/>
      <c r="RTW52" s="26"/>
      <c r="RTX52" s="67"/>
      <c r="RTY52" s="11"/>
      <c r="RTZ52" s="11"/>
      <c r="RUA52" s="68"/>
      <c r="RUB52" s="83"/>
      <c r="RUC52" s="83"/>
      <c r="RUD52" s="80"/>
      <c r="RUE52" s="70"/>
      <c r="RUF52" s="70"/>
      <c r="RUG52" s="25"/>
      <c r="RUH52" s="26"/>
      <c r="RUI52" s="26"/>
      <c r="RUJ52" s="67"/>
      <c r="RUK52" s="11"/>
      <c r="RUL52" s="11"/>
      <c r="RUM52" s="68"/>
      <c r="RUN52" s="83"/>
      <c r="RUO52" s="83"/>
      <c r="RUP52" s="80"/>
      <c r="RUQ52" s="70"/>
      <c r="RUR52" s="70"/>
      <c r="RUS52" s="25"/>
      <c r="RUT52" s="26"/>
      <c r="RUU52" s="26"/>
      <c r="RUV52" s="67"/>
      <c r="RUW52" s="11"/>
      <c r="RUX52" s="11"/>
      <c r="RUY52" s="68"/>
      <c r="RUZ52" s="83"/>
      <c r="RVA52" s="83"/>
      <c r="RVB52" s="80"/>
      <c r="RVC52" s="70"/>
      <c r="RVD52" s="70"/>
      <c r="RVE52" s="25"/>
      <c r="RVF52" s="26"/>
      <c r="RVG52" s="26"/>
      <c r="RVH52" s="67"/>
      <c r="RVI52" s="11"/>
      <c r="RVJ52" s="11"/>
      <c r="RVK52" s="68"/>
      <c r="RVL52" s="83"/>
      <c r="RVM52" s="83"/>
      <c r="RVN52" s="80"/>
      <c r="RVO52" s="70"/>
      <c r="RVP52" s="70"/>
      <c r="RVQ52" s="25"/>
      <c r="RVR52" s="26"/>
      <c r="RVS52" s="26"/>
      <c r="RVT52" s="67"/>
      <c r="RVU52" s="11"/>
      <c r="RVV52" s="11"/>
      <c r="RVW52" s="68"/>
      <c r="RVX52" s="83"/>
      <c r="RVY52" s="83"/>
      <c r="RVZ52" s="80"/>
      <c r="RWA52" s="70"/>
      <c r="RWB52" s="70"/>
      <c r="RWC52" s="25"/>
      <c r="RWD52" s="26"/>
      <c r="RWE52" s="26"/>
      <c r="RWF52" s="67"/>
      <c r="RWG52" s="11"/>
      <c r="RWH52" s="11"/>
      <c r="RWI52" s="68"/>
      <c r="RWJ52" s="83"/>
      <c r="RWK52" s="83"/>
      <c r="RWL52" s="80"/>
      <c r="RWM52" s="70"/>
      <c r="RWN52" s="70"/>
      <c r="RWO52" s="25"/>
      <c r="RWP52" s="26"/>
      <c r="RWQ52" s="26"/>
      <c r="RWR52" s="67"/>
      <c r="RWS52" s="11"/>
      <c r="RWT52" s="11"/>
      <c r="RWU52" s="68"/>
      <c r="RWV52" s="83"/>
      <c r="RWW52" s="83"/>
      <c r="RWX52" s="80"/>
      <c r="RWY52" s="70"/>
      <c r="RWZ52" s="70"/>
      <c r="RXA52" s="25"/>
      <c r="RXB52" s="26"/>
      <c r="RXC52" s="26"/>
      <c r="RXD52" s="67"/>
      <c r="RXE52" s="11"/>
      <c r="RXF52" s="11"/>
      <c r="RXG52" s="68"/>
      <c r="RXH52" s="83"/>
      <c r="RXI52" s="83"/>
      <c r="RXJ52" s="80"/>
      <c r="RXK52" s="70"/>
      <c r="RXL52" s="70"/>
      <c r="RXM52" s="25"/>
      <c r="RXN52" s="26"/>
      <c r="RXO52" s="26"/>
      <c r="RXP52" s="67"/>
      <c r="RXQ52" s="11"/>
      <c r="RXR52" s="11"/>
      <c r="RXS52" s="68"/>
      <c r="RXT52" s="83"/>
      <c r="RXU52" s="83"/>
      <c r="RXV52" s="80"/>
      <c r="RXW52" s="70"/>
      <c r="RXX52" s="70"/>
      <c r="RXY52" s="25"/>
      <c r="RXZ52" s="26"/>
      <c r="RYA52" s="26"/>
      <c r="RYB52" s="67"/>
      <c r="RYC52" s="11"/>
      <c r="RYD52" s="11"/>
      <c r="RYE52" s="68"/>
      <c r="RYF52" s="83"/>
      <c r="RYG52" s="83"/>
      <c r="RYH52" s="80"/>
      <c r="RYI52" s="70"/>
      <c r="RYJ52" s="70"/>
      <c r="RYK52" s="25"/>
      <c r="RYL52" s="26"/>
      <c r="RYM52" s="26"/>
      <c r="RYN52" s="67"/>
      <c r="RYO52" s="11"/>
      <c r="RYP52" s="11"/>
      <c r="RYQ52" s="68"/>
      <c r="RYR52" s="83"/>
      <c r="RYS52" s="83"/>
      <c r="RYT52" s="80"/>
      <c r="RYU52" s="70"/>
      <c r="RYV52" s="70"/>
      <c r="RYW52" s="25"/>
      <c r="RYX52" s="26"/>
      <c r="RYY52" s="26"/>
      <c r="RYZ52" s="67"/>
      <c r="RZA52" s="11"/>
      <c r="RZB52" s="11"/>
      <c r="RZC52" s="68"/>
      <c r="RZD52" s="83"/>
      <c r="RZE52" s="83"/>
      <c r="RZF52" s="80"/>
      <c r="RZG52" s="70"/>
      <c r="RZH52" s="70"/>
      <c r="RZI52" s="25"/>
      <c r="RZJ52" s="26"/>
      <c r="RZK52" s="26"/>
      <c r="RZL52" s="67"/>
      <c r="RZM52" s="11"/>
      <c r="RZN52" s="11"/>
      <c r="RZO52" s="68"/>
      <c r="RZP52" s="83"/>
      <c r="RZQ52" s="83"/>
      <c r="RZR52" s="80"/>
      <c r="RZS52" s="70"/>
      <c r="RZT52" s="70"/>
      <c r="RZU52" s="25"/>
      <c r="RZV52" s="26"/>
      <c r="RZW52" s="26"/>
      <c r="RZX52" s="67"/>
      <c r="RZY52" s="11"/>
      <c r="RZZ52" s="11"/>
      <c r="SAA52" s="68"/>
      <c r="SAB52" s="83"/>
      <c r="SAC52" s="83"/>
      <c r="SAD52" s="80"/>
      <c r="SAE52" s="70"/>
      <c r="SAF52" s="70"/>
      <c r="SAG52" s="25"/>
      <c r="SAH52" s="26"/>
      <c r="SAI52" s="26"/>
      <c r="SAJ52" s="67"/>
      <c r="SAK52" s="11"/>
      <c r="SAL52" s="11"/>
      <c r="SAM52" s="68"/>
      <c r="SAN52" s="83"/>
      <c r="SAO52" s="83"/>
      <c r="SAP52" s="80"/>
      <c r="SAQ52" s="70"/>
      <c r="SAR52" s="70"/>
      <c r="SAS52" s="25"/>
      <c r="SAT52" s="26"/>
      <c r="SAU52" s="26"/>
      <c r="SAV52" s="67"/>
      <c r="SAW52" s="11"/>
      <c r="SAX52" s="11"/>
      <c r="SAY52" s="68"/>
      <c r="SAZ52" s="83"/>
      <c r="SBA52" s="83"/>
      <c r="SBB52" s="80"/>
      <c r="SBC52" s="70"/>
      <c r="SBD52" s="70"/>
      <c r="SBE52" s="25"/>
      <c r="SBF52" s="26"/>
      <c r="SBG52" s="26"/>
      <c r="SBH52" s="67"/>
      <c r="SBI52" s="11"/>
      <c r="SBJ52" s="11"/>
      <c r="SBK52" s="68"/>
      <c r="SBL52" s="83"/>
      <c r="SBM52" s="83"/>
      <c r="SBN52" s="80"/>
      <c r="SBO52" s="70"/>
      <c r="SBP52" s="70"/>
      <c r="SBQ52" s="25"/>
      <c r="SBR52" s="26"/>
      <c r="SBS52" s="26"/>
      <c r="SBT52" s="67"/>
      <c r="SBU52" s="11"/>
      <c r="SBV52" s="11"/>
      <c r="SBW52" s="68"/>
      <c r="SBX52" s="83"/>
      <c r="SBY52" s="83"/>
      <c r="SBZ52" s="80"/>
      <c r="SCA52" s="70"/>
      <c r="SCB52" s="70"/>
      <c r="SCC52" s="25"/>
      <c r="SCD52" s="26"/>
      <c r="SCE52" s="26"/>
      <c r="SCF52" s="67"/>
      <c r="SCG52" s="11"/>
      <c r="SCH52" s="11"/>
      <c r="SCI52" s="68"/>
      <c r="SCJ52" s="83"/>
      <c r="SCK52" s="83"/>
      <c r="SCL52" s="80"/>
      <c r="SCM52" s="70"/>
      <c r="SCN52" s="70"/>
      <c r="SCO52" s="25"/>
      <c r="SCP52" s="26"/>
      <c r="SCQ52" s="26"/>
      <c r="SCR52" s="67"/>
      <c r="SCS52" s="11"/>
      <c r="SCT52" s="11"/>
      <c r="SCU52" s="68"/>
      <c r="SCV52" s="83"/>
      <c r="SCW52" s="83"/>
      <c r="SCX52" s="80"/>
      <c r="SCY52" s="70"/>
      <c r="SCZ52" s="70"/>
      <c r="SDA52" s="25"/>
      <c r="SDB52" s="26"/>
      <c r="SDC52" s="26"/>
      <c r="SDD52" s="67"/>
      <c r="SDE52" s="11"/>
      <c r="SDF52" s="11"/>
      <c r="SDG52" s="68"/>
      <c r="SDH52" s="83"/>
      <c r="SDI52" s="83"/>
      <c r="SDJ52" s="80"/>
      <c r="SDK52" s="70"/>
      <c r="SDL52" s="70"/>
      <c r="SDM52" s="25"/>
      <c r="SDN52" s="26"/>
      <c r="SDO52" s="26"/>
      <c r="SDP52" s="67"/>
      <c r="SDQ52" s="11"/>
      <c r="SDR52" s="11"/>
      <c r="SDS52" s="68"/>
      <c r="SDT52" s="83"/>
      <c r="SDU52" s="83"/>
      <c r="SDV52" s="80"/>
      <c r="SDW52" s="70"/>
      <c r="SDX52" s="70"/>
      <c r="SDY52" s="25"/>
      <c r="SDZ52" s="26"/>
      <c r="SEA52" s="26"/>
      <c r="SEB52" s="67"/>
      <c r="SEC52" s="11"/>
      <c r="SED52" s="11"/>
      <c r="SEE52" s="68"/>
      <c r="SEF52" s="83"/>
      <c r="SEG52" s="83"/>
      <c r="SEH52" s="80"/>
      <c r="SEI52" s="70"/>
      <c r="SEJ52" s="70"/>
      <c r="SEK52" s="25"/>
      <c r="SEL52" s="26"/>
      <c r="SEM52" s="26"/>
      <c r="SEN52" s="67"/>
      <c r="SEO52" s="11"/>
      <c r="SEP52" s="11"/>
      <c r="SEQ52" s="68"/>
      <c r="SER52" s="83"/>
      <c r="SES52" s="83"/>
      <c r="SET52" s="80"/>
      <c r="SEU52" s="70"/>
      <c r="SEV52" s="70"/>
      <c r="SEW52" s="25"/>
      <c r="SEX52" s="26"/>
      <c r="SEY52" s="26"/>
      <c r="SEZ52" s="67"/>
      <c r="SFA52" s="11"/>
      <c r="SFB52" s="11"/>
      <c r="SFC52" s="68"/>
      <c r="SFD52" s="83"/>
      <c r="SFE52" s="83"/>
      <c r="SFF52" s="80"/>
      <c r="SFG52" s="70"/>
      <c r="SFH52" s="70"/>
      <c r="SFI52" s="25"/>
      <c r="SFJ52" s="26"/>
      <c r="SFK52" s="26"/>
      <c r="SFL52" s="67"/>
      <c r="SFM52" s="11"/>
      <c r="SFN52" s="11"/>
      <c r="SFO52" s="68"/>
      <c r="SFP52" s="83"/>
      <c r="SFQ52" s="83"/>
      <c r="SFR52" s="80"/>
      <c r="SFS52" s="70"/>
      <c r="SFT52" s="70"/>
      <c r="SFU52" s="25"/>
      <c r="SFV52" s="26"/>
      <c r="SFW52" s="26"/>
      <c r="SFX52" s="67"/>
      <c r="SFY52" s="11"/>
      <c r="SFZ52" s="11"/>
      <c r="SGA52" s="68"/>
      <c r="SGB52" s="83"/>
      <c r="SGC52" s="83"/>
      <c r="SGD52" s="80"/>
      <c r="SGE52" s="70"/>
      <c r="SGF52" s="70"/>
      <c r="SGG52" s="25"/>
      <c r="SGH52" s="26"/>
      <c r="SGI52" s="26"/>
      <c r="SGJ52" s="67"/>
      <c r="SGK52" s="11"/>
      <c r="SGL52" s="11"/>
      <c r="SGM52" s="68"/>
      <c r="SGN52" s="83"/>
      <c r="SGO52" s="83"/>
      <c r="SGP52" s="80"/>
      <c r="SGQ52" s="70"/>
      <c r="SGR52" s="70"/>
      <c r="SGS52" s="25"/>
      <c r="SGT52" s="26"/>
      <c r="SGU52" s="26"/>
      <c r="SGV52" s="67"/>
      <c r="SGW52" s="11"/>
      <c r="SGX52" s="11"/>
      <c r="SGY52" s="68"/>
      <c r="SGZ52" s="83"/>
      <c r="SHA52" s="83"/>
      <c r="SHB52" s="80"/>
      <c r="SHC52" s="70"/>
      <c r="SHD52" s="70"/>
      <c r="SHE52" s="25"/>
      <c r="SHF52" s="26"/>
      <c r="SHG52" s="26"/>
      <c r="SHH52" s="67"/>
      <c r="SHI52" s="11"/>
      <c r="SHJ52" s="11"/>
      <c r="SHK52" s="68"/>
      <c r="SHL52" s="83"/>
      <c r="SHM52" s="83"/>
      <c r="SHN52" s="80"/>
      <c r="SHO52" s="70"/>
      <c r="SHP52" s="70"/>
      <c r="SHQ52" s="25"/>
      <c r="SHR52" s="26"/>
      <c r="SHS52" s="26"/>
      <c r="SHT52" s="67"/>
      <c r="SHU52" s="11"/>
      <c r="SHV52" s="11"/>
      <c r="SHW52" s="68"/>
      <c r="SHX52" s="83"/>
      <c r="SHY52" s="83"/>
      <c r="SHZ52" s="80"/>
      <c r="SIA52" s="70"/>
      <c r="SIB52" s="70"/>
      <c r="SIC52" s="25"/>
      <c r="SID52" s="26"/>
      <c r="SIE52" s="26"/>
      <c r="SIF52" s="67"/>
      <c r="SIG52" s="11"/>
      <c r="SIH52" s="11"/>
      <c r="SII52" s="68"/>
      <c r="SIJ52" s="83"/>
      <c r="SIK52" s="83"/>
      <c r="SIL52" s="80"/>
      <c r="SIM52" s="70"/>
      <c r="SIN52" s="70"/>
      <c r="SIO52" s="25"/>
      <c r="SIP52" s="26"/>
      <c r="SIQ52" s="26"/>
      <c r="SIR52" s="67"/>
      <c r="SIS52" s="11"/>
      <c r="SIT52" s="11"/>
      <c r="SIU52" s="68"/>
      <c r="SIV52" s="83"/>
      <c r="SIW52" s="83"/>
      <c r="SIX52" s="80"/>
      <c r="SIY52" s="70"/>
      <c r="SIZ52" s="70"/>
      <c r="SJA52" s="25"/>
      <c r="SJB52" s="26"/>
      <c r="SJC52" s="26"/>
      <c r="SJD52" s="67"/>
      <c r="SJE52" s="11"/>
      <c r="SJF52" s="11"/>
      <c r="SJG52" s="68"/>
      <c r="SJH52" s="83"/>
      <c r="SJI52" s="83"/>
      <c r="SJJ52" s="80"/>
      <c r="SJK52" s="70"/>
      <c r="SJL52" s="70"/>
      <c r="SJM52" s="25"/>
      <c r="SJN52" s="26"/>
      <c r="SJO52" s="26"/>
      <c r="SJP52" s="67"/>
      <c r="SJQ52" s="11"/>
      <c r="SJR52" s="11"/>
      <c r="SJS52" s="68"/>
      <c r="SJT52" s="83"/>
      <c r="SJU52" s="83"/>
      <c r="SJV52" s="80"/>
      <c r="SJW52" s="70"/>
      <c r="SJX52" s="70"/>
      <c r="SJY52" s="25"/>
      <c r="SJZ52" s="26"/>
      <c r="SKA52" s="26"/>
      <c r="SKB52" s="67"/>
      <c r="SKC52" s="11"/>
      <c r="SKD52" s="11"/>
      <c r="SKE52" s="68"/>
      <c r="SKF52" s="83"/>
      <c r="SKG52" s="83"/>
      <c r="SKH52" s="80"/>
      <c r="SKI52" s="70"/>
      <c r="SKJ52" s="70"/>
      <c r="SKK52" s="25"/>
      <c r="SKL52" s="26"/>
      <c r="SKM52" s="26"/>
      <c r="SKN52" s="67"/>
      <c r="SKO52" s="11"/>
      <c r="SKP52" s="11"/>
      <c r="SKQ52" s="68"/>
      <c r="SKR52" s="83"/>
      <c r="SKS52" s="83"/>
      <c r="SKT52" s="80"/>
      <c r="SKU52" s="70"/>
      <c r="SKV52" s="70"/>
      <c r="SKW52" s="25"/>
      <c r="SKX52" s="26"/>
      <c r="SKY52" s="26"/>
      <c r="SKZ52" s="67"/>
      <c r="SLA52" s="11"/>
      <c r="SLB52" s="11"/>
      <c r="SLC52" s="68"/>
      <c r="SLD52" s="83"/>
      <c r="SLE52" s="83"/>
      <c r="SLF52" s="80"/>
      <c r="SLG52" s="70"/>
      <c r="SLH52" s="70"/>
      <c r="SLI52" s="25"/>
      <c r="SLJ52" s="26"/>
      <c r="SLK52" s="26"/>
      <c r="SLL52" s="67"/>
      <c r="SLM52" s="11"/>
      <c r="SLN52" s="11"/>
      <c r="SLO52" s="68"/>
      <c r="SLP52" s="83"/>
      <c r="SLQ52" s="83"/>
      <c r="SLR52" s="80"/>
      <c r="SLS52" s="70"/>
      <c r="SLT52" s="70"/>
      <c r="SLU52" s="25"/>
      <c r="SLV52" s="26"/>
      <c r="SLW52" s="26"/>
      <c r="SLX52" s="67"/>
      <c r="SLY52" s="11"/>
      <c r="SLZ52" s="11"/>
      <c r="SMA52" s="68"/>
      <c r="SMB52" s="83"/>
      <c r="SMC52" s="83"/>
      <c r="SMD52" s="80"/>
      <c r="SME52" s="70"/>
      <c r="SMF52" s="70"/>
      <c r="SMG52" s="25"/>
      <c r="SMH52" s="26"/>
      <c r="SMI52" s="26"/>
      <c r="SMJ52" s="67"/>
      <c r="SMK52" s="11"/>
      <c r="SML52" s="11"/>
      <c r="SMM52" s="68"/>
      <c r="SMN52" s="83"/>
      <c r="SMO52" s="83"/>
      <c r="SMP52" s="80"/>
      <c r="SMQ52" s="70"/>
      <c r="SMR52" s="70"/>
      <c r="SMS52" s="25"/>
      <c r="SMT52" s="26"/>
      <c r="SMU52" s="26"/>
      <c r="SMV52" s="67"/>
      <c r="SMW52" s="11"/>
      <c r="SMX52" s="11"/>
      <c r="SMY52" s="68"/>
      <c r="SMZ52" s="83"/>
      <c r="SNA52" s="83"/>
      <c r="SNB52" s="80"/>
      <c r="SNC52" s="70"/>
      <c r="SND52" s="70"/>
      <c r="SNE52" s="25"/>
      <c r="SNF52" s="26"/>
      <c r="SNG52" s="26"/>
      <c r="SNH52" s="67"/>
      <c r="SNI52" s="11"/>
      <c r="SNJ52" s="11"/>
      <c r="SNK52" s="68"/>
      <c r="SNL52" s="83"/>
      <c r="SNM52" s="83"/>
      <c r="SNN52" s="80"/>
      <c r="SNO52" s="70"/>
      <c r="SNP52" s="70"/>
      <c r="SNQ52" s="25"/>
      <c r="SNR52" s="26"/>
      <c r="SNS52" s="26"/>
      <c r="SNT52" s="67"/>
      <c r="SNU52" s="11"/>
      <c r="SNV52" s="11"/>
      <c r="SNW52" s="68"/>
      <c r="SNX52" s="83"/>
      <c r="SNY52" s="83"/>
      <c r="SNZ52" s="80"/>
      <c r="SOA52" s="70"/>
      <c r="SOB52" s="70"/>
      <c r="SOC52" s="25"/>
      <c r="SOD52" s="26"/>
      <c r="SOE52" s="26"/>
      <c r="SOF52" s="67"/>
      <c r="SOG52" s="11"/>
      <c r="SOH52" s="11"/>
      <c r="SOI52" s="68"/>
      <c r="SOJ52" s="83"/>
      <c r="SOK52" s="83"/>
      <c r="SOL52" s="80"/>
      <c r="SOM52" s="70"/>
      <c r="SON52" s="70"/>
      <c r="SOO52" s="25"/>
      <c r="SOP52" s="26"/>
      <c r="SOQ52" s="26"/>
      <c r="SOR52" s="67"/>
      <c r="SOS52" s="11"/>
      <c r="SOT52" s="11"/>
      <c r="SOU52" s="68"/>
      <c r="SOV52" s="83"/>
      <c r="SOW52" s="83"/>
      <c r="SOX52" s="80"/>
      <c r="SOY52" s="70"/>
      <c r="SOZ52" s="70"/>
      <c r="SPA52" s="25"/>
      <c r="SPB52" s="26"/>
      <c r="SPC52" s="26"/>
      <c r="SPD52" s="67"/>
      <c r="SPE52" s="11"/>
      <c r="SPF52" s="11"/>
      <c r="SPG52" s="68"/>
      <c r="SPH52" s="83"/>
      <c r="SPI52" s="83"/>
      <c r="SPJ52" s="80"/>
      <c r="SPK52" s="70"/>
      <c r="SPL52" s="70"/>
      <c r="SPM52" s="25"/>
      <c r="SPN52" s="26"/>
      <c r="SPO52" s="26"/>
      <c r="SPP52" s="67"/>
      <c r="SPQ52" s="11"/>
      <c r="SPR52" s="11"/>
      <c r="SPS52" s="68"/>
      <c r="SPT52" s="83"/>
      <c r="SPU52" s="83"/>
      <c r="SPV52" s="80"/>
      <c r="SPW52" s="70"/>
      <c r="SPX52" s="70"/>
      <c r="SPY52" s="25"/>
      <c r="SPZ52" s="26"/>
      <c r="SQA52" s="26"/>
      <c r="SQB52" s="67"/>
      <c r="SQC52" s="11"/>
      <c r="SQD52" s="11"/>
      <c r="SQE52" s="68"/>
      <c r="SQF52" s="83"/>
      <c r="SQG52" s="83"/>
      <c r="SQH52" s="80"/>
      <c r="SQI52" s="70"/>
      <c r="SQJ52" s="70"/>
      <c r="SQK52" s="25"/>
      <c r="SQL52" s="26"/>
      <c r="SQM52" s="26"/>
      <c r="SQN52" s="67"/>
      <c r="SQO52" s="11"/>
      <c r="SQP52" s="11"/>
      <c r="SQQ52" s="68"/>
      <c r="SQR52" s="83"/>
      <c r="SQS52" s="83"/>
      <c r="SQT52" s="80"/>
      <c r="SQU52" s="70"/>
      <c r="SQV52" s="70"/>
      <c r="SQW52" s="25"/>
      <c r="SQX52" s="26"/>
      <c r="SQY52" s="26"/>
      <c r="SQZ52" s="67"/>
      <c r="SRA52" s="11"/>
      <c r="SRB52" s="11"/>
      <c r="SRC52" s="68"/>
      <c r="SRD52" s="83"/>
      <c r="SRE52" s="83"/>
      <c r="SRF52" s="80"/>
      <c r="SRG52" s="70"/>
      <c r="SRH52" s="70"/>
      <c r="SRI52" s="25"/>
      <c r="SRJ52" s="26"/>
      <c r="SRK52" s="26"/>
      <c r="SRL52" s="67"/>
      <c r="SRM52" s="11"/>
      <c r="SRN52" s="11"/>
      <c r="SRO52" s="68"/>
      <c r="SRP52" s="83"/>
      <c r="SRQ52" s="83"/>
      <c r="SRR52" s="80"/>
      <c r="SRS52" s="70"/>
      <c r="SRT52" s="70"/>
      <c r="SRU52" s="25"/>
      <c r="SRV52" s="26"/>
      <c r="SRW52" s="26"/>
      <c r="SRX52" s="67"/>
      <c r="SRY52" s="11"/>
      <c r="SRZ52" s="11"/>
      <c r="SSA52" s="68"/>
      <c r="SSB52" s="83"/>
      <c r="SSC52" s="83"/>
      <c r="SSD52" s="80"/>
      <c r="SSE52" s="70"/>
      <c r="SSF52" s="70"/>
      <c r="SSG52" s="25"/>
      <c r="SSH52" s="26"/>
      <c r="SSI52" s="26"/>
      <c r="SSJ52" s="67"/>
      <c r="SSK52" s="11"/>
      <c r="SSL52" s="11"/>
      <c r="SSM52" s="68"/>
      <c r="SSN52" s="83"/>
      <c r="SSO52" s="83"/>
      <c r="SSP52" s="80"/>
      <c r="SSQ52" s="70"/>
      <c r="SSR52" s="70"/>
      <c r="SSS52" s="25"/>
      <c r="SST52" s="26"/>
      <c r="SSU52" s="26"/>
      <c r="SSV52" s="67"/>
      <c r="SSW52" s="11"/>
      <c r="SSX52" s="11"/>
      <c r="SSY52" s="68"/>
      <c r="SSZ52" s="83"/>
      <c r="STA52" s="83"/>
      <c r="STB52" s="80"/>
      <c r="STC52" s="70"/>
      <c r="STD52" s="70"/>
      <c r="STE52" s="25"/>
      <c r="STF52" s="26"/>
      <c r="STG52" s="26"/>
      <c r="STH52" s="67"/>
      <c r="STI52" s="11"/>
      <c r="STJ52" s="11"/>
      <c r="STK52" s="68"/>
      <c r="STL52" s="83"/>
      <c r="STM52" s="83"/>
      <c r="STN52" s="80"/>
      <c r="STO52" s="70"/>
      <c r="STP52" s="70"/>
      <c r="STQ52" s="25"/>
      <c r="STR52" s="26"/>
      <c r="STS52" s="26"/>
      <c r="STT52" s="67"/>
      <c r="STU52" s="11"/>
      <c r="STV52" s="11"/>
      <c r="STW52" s="68"/>
      <c r="STX52" s="83"/>
      <c r="STY52" s="83"/>
      <c r="STZ52" s="80"/>
      <c r="SUA52" s="70"/>
      <c r="SUB52" s="70"/>
      <c r="SUC52" s="25"/>
      <c r="SUD52" s="26"/>
      <c r="SUE52" s="26"/>
      <c r="SUF52" s="67"/>
      <c r="SUG52" s="11"/>
      <c r="SUH52" s="11"/>
      <c r="SUI52" s="68"/>
      <c r="SUJ52" s="83"/>
      <c r="SUK52" s="83"/>
      <c r="SUL52" s="80"/>
      <c r="SUM52" s="70"/>
      <c r="SUN52" s="70"/>
      <c r="SUO52" s="25"/>
      <c r="SUP52" s="26"/>
      <c r="SUQ52" s="26"/>
      <c r="SUR52" s="67"/>
      <c r="SUS52" s="11"/>
      <c r="SUT52" s="11"/>
      <c r="SUU52" s="68"/>
      <c r="SUV52" s="83"/>
      <c r="SUW52" s="83"/>
      <c r="SUX52" s="80"/>
      <c r="SUY52" s="70"/>
      <c r="SUZ52" s="70"/>
      <c r="SVA52" s="25"/>
      <c r="SVB52" s="26"/>
      <c r="SVC52" s="26"/>
      <c r="SVD52" s="67"/>
      <c r="SVE52" s="11"/>
      <c r="SVF52" s="11"/>
      <c r="SVG52" s="68"/>
      <c r="SVH52" s="83"/>
      <c r="SVI52" s="83"/>
      <c r="SVJ52" s="80"/>
      <c r="SVK52" s="70"/>
      <c r="SVL52" s="70"/>
      <c r="SVM52" s="25"/>
      <c r="SVN52" s="26"/>
      <c r="SVO52" s="26"/>
      <c r="SVP52" s="67"/>
      <c r="SVQ52" s="11"/>
      <c r="SVR52" s="11"/>
      <c r="SVS52" s="68"/>
      <c r="SVT52" s="83"/>
      <c r="SVU52" s="83"/>
      <c r="SVV52" s="80"/>
      <c r="SVW52" s="70"/>
      <c r="SVX52" s="70"/>
      <c r="SVY52" s="25"/>
      <c r="SVZ52" s="26"/>
      <c r="SWA52" s="26"/>
      <c r="SWB52" s="67"/>
      <c r="SWC52" s="11"/>
      <c r="SWD52" s="11"/>
      <c r="SWE52" s="68"/>
      <c r="SWF52" s="83"/>
      <c r="SWG52" s="83"/>
      <c r="SWH52" s="80"/>
      <c r="SWI52" s="70"/>
      <c r="SWJ52" s="70"/>
      <c r="SWK52" s="25"/>
      <c r="SWL52" s="26"/>
      <c r="SWM52" s="26"/>
      <c r="SWN52" s="67"/>
      <c r="SWO52" s="11"/>
      <c r="SWP52" s="11"/>
      <c r="SWQ52" s="68"/>
      <c r="SWR52" s="83"/>
      <c r="SWS52" s="83"/>
      <c r="SWT52" s="80"/>
      <c r="SWU52" s="70"/>
      <c r="SWV52" s="70"/>
      <c r="SWW52" s="25"/>
      <c r="SWX52" s="26"/>
      <c r="SWY52" s="26"/>
      <c r="SWZ52" s="67"/>
      <c r="SXA52" s="11"/>
      <c r="SXB52" s="11"/>
      <c r="SXC52" s="68"/>
      <c r="SXD52" s="83"/>
      <c r="SXE52" s="83"/>
      <c r="SXF52" s="80"/>
      <c r="SXG52" s="70"/>
      <c r="SXH52" s="70"/>
      <c r="SXI52" s="25"/>
      <c r="SXJ52" s="26"/>
      <c r="SXK52" s="26"/>
      <c r="SXL52" s="67"/>
      <c r="SXM52" s="11"/>
      <c r="SXN52" s="11"/>
      <c r="SXO52" s="68"/>
      <c r="SXP52" s="83"/>
      <c r="SXQ52" s="83"/>
      <c r="SXR52" s="80"/>
      <c r="SXS52" s="70"/>
      <c r="SXT52" s="70"/>
      <c r="SXU52" s="25"/>
      <c r="SXV52" s="26"/>
      <c r="SXW52" s="26"/>
      <c r="SXX52" s="67"/>
      <c r="SXY52" s="11"/>
      <c r="SXZ52" s="11"/>
      <c r="SYA52" s="68"/>
      <c r="SYB52" s="83"/>
      <c r="SYC52" s="83"/>
      <c r="SYD52" s="80"/>
      <c r="SYE52" s="70"/>
      <c r="SYF52" s="70"/>
      <c r="SYG52" s="25"/>
      <c r="SYH52" s="26"/>
      <c r="SYI52" s="26"/>
      <c r="SYJ52" s="67"/>
      <c r="SYK52" s="11"/>
      <c r="SYL52" s="11"/>
      <c r="SYM52" s="68"/>
      <c r="SYN52" s="83"/>
      <c r="SYO52" s="83"/>
      <c r="SYP52" s="80"/>
      <c r="SYQ52" s="70"/>
      <c r="SYR52" s="70"/>
      <c r="SYS52" s="25"/>
      <c r="SYT52" s="26"/>
      <c r="SYU52" s="26"/>
      <c r="SYV52" s="67"/>
      <c r="SYW52" s="11"/>
      <c r="SYX52" s="11"/>
      <c r="SYY52" s="68"/>
      <c r="SYZ52" s="83"/>
      <c r="SZA52" s="83"/>
      <c r="SZB52" s="80"/>
      <c r="SZC52" s="70"/>
      <c r="SZD52" s="70"/>
      <c r="SZE52" s="25"/>
      <c r="SZF52" s="26"/>
      <c r="SZG52" s="26"/>
      <c r="SZH52" s="67"/>
      <c r="SZI52" s="11"/>
      <c r="SZJ52" s="11"/>
      <c r="SZK52" s="68"/>
      <c r="SZL52" s="83"/>
      <c r="SZM52" s="83"/>
      <c r="SZN52" s="80"/>
      <c r="SZO52" s="70"/>
      <c r="SZP52" s="70"/>
      <c r="SZQ52" s="25"/>
      <c r="SZR52" s="26"/>
      <c r="SZS52" s="26"/>
      <c r="SZT52" s="67"/>
      <c r="SZU52" s="11"/>
      <c r="SZV52" s="11"/>
      <c r="SZW52" s="68"/>
      <c r="SZX52" s="83"/>
      <c r="SZY52" s="83"/>
      <c r="SZZ52" s="80"/>
      <c r="TAA52" s="70"/>
      <c r="TAB52" s="70"/>
      <c r="TAC52" s="25"/>
      <c r="TAD52" s="26"/>
      <c r="TAE52" s="26"/>
      <c r="TAF52" s="67"/>
      <c r="TAG52" s="11"/>
      <c r="TAH52" s="11"/>
      <c r="TAI52" s="68"/>
      <c r="TAJ52" s="83"/>
      <c r="TAK52" s="83"/>
      <c r="TAL52" s="80"/>
      <c r="TAM52" s="70"/>
      <c r="TAN52" s="70"/>
      <c r="TAO52" s="25"/>
      <c r="TAP52" s="26"/>
      <c r="TAQ52" s="26"/>
      <c r="TAR52" s="67"/>
      <c r="TAS52" s="11"/>
      <c r="TAT52" s="11"/>
      <c r="TAU52" s="68"/>
      <c r="TAV52" s="83"/>
      <c r="TAW52" s="83"/>
      <c r="TAX52" s="80"/>
      <c r="TAY52" s="70"/>
      <c r="TAZ52" s="70"/>
      <c r="TBA52" s="25"/>
      <c r="TBB52" s="26"/>
      <c r="TBC52" s="26"/>
      <c r="TBD52" s="67"/>
      <c r="TBE52" s="11"/>
      <c r="TBF52" s="11"/>
      <c r="TBG52" s="68"/>
      <c r="TBH52" s="83"/>
      <c r="TBI52" s="83"/>
      <c r="TBJ52" s="80"/>
      <c r="TBK52" s="70"/>
      <c r="TBL52" s="70"/>
      <c r="TBM52" s="25"/>
      <c r="TBN52" s="26"/>
      <c r="TBO52" s="26"/>
      <c r="TBP52" s="67"/>
      <c r="TBQ52" s="11"/>
      <c r="TBR52" s="11"/>
      <c r="TBS52" s="68"/>
      <c r="TBT52" s="83"/>
      <c r="TBU52" s="83"/>
      <c r="TBV52" s="80"/>
      <c r="TBW52" s="70"/>
      <c r="TBX52" s="70"/>
      <c r="TBY52" s="25"/>
      <c r="TBZ52" s="26"/>
      <c r="TCA52" s="26"/>
      <c r="TCB52" s="67"/>
      <c r="TCC52" s="11"/>
      <c r="TCD52" s="11"/>
      <c r="TCE52" s="68"/>
      <c r="TCF52" s="83"/>
      <c r="TCG52" s="83"/>
      <c r="TCH52" s="80"/>
      <c r="TCI52" s="70"/>
      <c r="TCJ52" s="70"/>
      <c r="TCK52" s="25"/>
      <c r="TCL52" s="26"/>
      <c r="TCM52" s="26"/>
      <c r="TCN52" s="67"/>
      <c r="TCO52" s="11"/>
      <c r="TCP52" s="11"/>
      <c r="TCQ52" s="68"/>
      <c r="TCR52" s="83"/>
      <c r="TCS52" s="83"/>
      <c r="TCT52" s="80"/>
      <c r="TCU52" s="70"/>
      <c r="TCV52" s="70"/>
      <c r="TCW52" s="25"/>
      <c r="TCX52" s="26"/>
      <c r="TCY52" s="26"/>
      <c r="TCZ52" s="67"/>
      <c r="TDA52" s="11"/>
      <c r="TDB52" s="11"/>
      <c r="TDC52" s="68"/>
      <c r="TDD52" s="83"/>
      <c r="TDE52" s="83"/>
      <c r="TDF52" s="80"/>
      <c r="TDG52" s="70"/>
      <c r="TDH52" s="70"/>
      <c r="TDI52" s="25"/>
      <c r="TDJ52" s="26"/>
      <c r="TDK52" s="26"/>
      <c r="TDL52" s="67"/>
      <c r="TDM52" s="11"/>
      <c r="TDN52" s="11"/>
      <c r="TDO52" s="68"/>
      <c r="TDP52" s="83"/>
      <c r="TDQ52" s="83"/>
      <c r="TDR52" s="80"/>
      <c r="TDS52" s="70"/>
      <c r="TDT52" s="70"/>
      <c r="TDU52" s="25"/>
      <c r="TDV52" s="26"/>
      <c r="TDW52" s="26"/>
      <c r="TDX52" s="67"/>
      <c r="TDY52" s="11"/>
      <c r="TDZ52" s="11"/>
      <c r="TEA52" s="68"/>
      <c r="TEB52" s="83"/>
      <c r="TEC52" s="83"/>
      <c r="TED52" s="80"/>
      <c r="TEE52" s="70"/>
      <c r="TEF52" s="70"/>
      <c r="TEG52" s="25"/>
      <c r="TEH52" s="26"/>
      <c r="TEI52" s="26"/>
      <c r="TEJ52" s="67"/>
      <c r="TEK52" s="11"/>
      <c r="TEL52" s="11"/>
      <c r="TEM52" s="68"/>
      <c r="TEN52" s="83"/>
      <c r="TEO52" s="83"/>
      <c r="TEP52" s="80"/>
      <c r="TEQ52" s="70"/>
      <c r="TER52" s="70"/>
      <c r="TES52" s="25"/>
      <c r="TET52" s="26"/>
      <c r="TEU52" s="26"/>
      <c r="TEV52" s="67"/>
      <c r="TEW52" s="11"/>
      <c r="TEX52" s="11"/>
      <c r="TEY52" s="68"/>
      <c r="TEZ52" s="83"/>
      <c r="TFA52" s="83"/>
      <c r="TFB52" s="80"/>
      <c r="TFC52" s="70"/>
      <c r="TFD52" s="70"/>
      <c r="TFE52" s="25"/>
      <c r="TFF52" s="26"/>
      <c r="TFG52" s="26"/>
      <c r="TFH52" s="67"/>
      <c r="TFI52" s="11"/>
      <c r="TFJ52" s="11"/>
      <c r="TFK52" s="68"/>
      <c r="TFL52" s="83"/>
      <c r="TFM52" s="83"/>
      <c r="TFN52" s="80"/>
      <c r="TFO52" s="70"/>
      <c r="TFP52" s="70"/>
      <c r="TFQ52" s="25"/>
      <c r="TFR52" s="26"/>
      <c r="TFS52" s="26"/>
      <c r="TFT52" s="67"/>
      <c r="TFU52" s="11"/>
      <c r="TFV52" s="11"/>
      <c r="TFW52" s="68"/>
      <c r="TFX52" s="83"/>
      <c r="TFY52" s="83"/>
      <c r="TFZ52" s="80"/>
      <c r="TGA52" s="70"/>
      <c r="TGB52" s="70"/>
      <c r="TGC52" s="25"/>
      <c r="TGD52" s="26"/>
      <c r="TGE52" s="26"/>
      <c r="TGF52" s="67"/>
      <c r="TGG52" s="11"/>
      <c r="TGH52" s="11"/>
      <c r="TGI52" s="68"/>
      <c r="TGJ52" s="83"/>
      <c r="TGK52" s="83"/>
      <c r="TGL52" s="80"/>
      <c r="TGM52" s="70"/>
      <c r="TGN52" s="70"/>
      <c r="TGO52" s="25"/>
      <c r="TGP52" s="26"/>
      <c r="TGQ52" s="26"/>
      <c r="TGR52" s="67"/>
      <c r="TGS52" s="11"/>
      <c r="TGT52" s="11"/>
      <c r="TGU52" s="68"/>
      <c r="TGV52" s="83"/>
      <c r="TGW52" s="83"/>
      <c r="TGX52" s="80"/>
      <c r="TGY52" s="70"/>
      <c r="TGZ52" s="70"/>
      <c r="THA52" s="25"/>
      <c r="THB52" s="26"/>
      <c r="THC52" s="26"/>
      <c r="THD52" s="67"/>
      <c r="THE52" s="11"/>
      <c r="THF52" s="11"/>
      <c r="THG52" s="68"/>
      <c r="THH52" s="83"/>
      <c r="THI52" s="83"/>
      <c r="THJ52" s="80"/>
      <c r="THK52" s="70"/>
      <c r="THL52" s="70"/>
      <c r="THM52" s="25"/>
      <c r="THN52" s="26"/>
      <c r="THO52" s="26"/>
      <c r="THP52" s="67"/>
      <c r="THQ52" s="11"/>
      <c r="THR52" s="11"/>
      <c r="THS52" s="68"/>
      <c r="THT52" s="83"/>
      <c r="THU52" s="83"/>
      <c r="THV52" s="80"/>
      <c r="THW52" s="70"/>
      <c r="THX52" s="70"/>
      <c r="THY52" s="25"/>
      <c r="THZ52" s="26"/>
      <c r="TIA52" s="26"/>
      <c r="TIB52" s="67"/>
      <c r="TIC52" s="11"/>
      <c r="TID52" s="11"/>
      <c r="TIE52" s="68"/>
      <c r="TIF52" s="83"/>
      <c r="TIG52" s="83"/>
      <c r="TIH52" s="80"/>
      <c r="TII52" s="70"/>
      <c r="TIJ52" s="70"/>
      <c r="TIK52" s="25"/>
      <c r="TIL52" s="26"/>
      <c r="TIM52" s="26"/>
      <c r="TIN52" s="67"/>
      <c r="TIO52" s="11"/>
      <c r="TIP52" s="11"/>
      <c r="TIQ52" s="68"/>
      <c r="TIR52" s="83"/>
      <c r="TIS52" s="83"/>
      <c r="TIT52" s="80"/>
      <c r="TIU52" s="70"/>
      <c r="TIV52" s="70"/>
      <c r="TIW52" s="25"/>
      <c r="TIX52" s="26"/>
      <c r="TIY52" s="26"/>
      <c r="TIZ52" s="67"/>
      <c r="TJA52" s="11"/>
      <c r="TJB52" s="11"/>
      <c r="TJC52" s="68"/>
      <c r="TJD52" s="83"/>
      <c r="TJE52" s="83"/>
      <c r="TJF52" s="80"/>
      <c r="TJG52" s="70"/>
      <c r="TJH52" s="70"/>
      <c r="TJI52" s="25"/>
      <c r="TJJ52" s="26"/>
      <c r="TJK52" s="26"/>
      <c r="TJL52" s="67"/>
      <c r="TJM52" s="11"/>
      <c r="TJN52" s="11"/>
      <c r="TJO52" s="68"/>
      <c r="TJP52" s="83"/>
      <c r="TJQ52" s="83"/>
      <c r="TJR52" s="80"/>
      <c r="TJS52" s="70"/>
      <c r="TJT52" s="70"/>
      <c r="TJU52" s="25"/>
      <c r="TJV52" s="26"/>
      <c r="TJW52" s="26"/>
      <c r="TJX52" s="67"/>
      <c r="TJY52" s="11"/>
      <c r="TJZ52" s="11"/>
      <c r="TKA52" s="68"/>
      <c r="TKB52" s="83"/>
      <c r="TKC52" s="83"/>
      <c r="TKD52" s="80"/>
      <c r="TKE52" s="70"/>
      <c r="TKF52" s="70"/>
      <c r="TKG52" s="25"/>
      <c r="TKH52" s="26"/>
      <c r="TKI52" s="26"/>
      <c r="TKJ52" s="67"/>
      <c r="TKK52" s="11"/>
      <c r="TKL52" s="11"/>
      <c r="TKM52" s="68"/>
      <c r="TKN52" s="83"/>
      <c r="TKO52" s="83"/>
      <c r="TKP52" s="80"/>
      <c r="TKQ52" s="70"/>
      <c r="TKR52" s="70"/>
      <c r="TKS52" s="25"/>
      <c r="TKT52" s="26"/>
      <c r="TKU52" s="26"/>
      <c r="TKV52" s="67"/>
      <c r="TKW52" s="11"/>
      <c r="TKX52" s="11"/>
      <c r="TKY52" s="68"/>
      <c r="TKZ52" s="83"/>
      <c r="TLA52" s="83"/>
      <c r="TLB52" s="80"/>
      <c r="TLC52" s="70"/>
      <c r="TLD52" s="70"/>
      <c r="TLE52" s="25"/>
      <c r="TLF52" s="26"/>
      <c r="TLG52" s="26"/>
      <c r="TLH52" s="67"/>
      <c r="TLI52" s="11"/>
      <c r="TLJ52" s="11"/>
      <c r="TLK52" s="68"/>
      <c r="TLL52" s="83"/>
      <c r="TLM52" s="83"/>
      <c r="TLN52" s="80"/>
      <c r="TLO52" s="70"/>
      <c r="TLP52" s="70"/>
      <c r="TLQ52" s="25"/>
      <c r="TLR52" s="26"/>
      <c r="TLS52" s="26"/>
      <c r="TLT52" s="67"/>
      <c r="TLU52" s="11"/>
      <c r="TLV52" s="11"/>
      <c r="TLW52" s="68"/>
      <c r="TLX52" s="83"/>
      <c r="TLY52" s="83"/>
      <c r="TLZ52" s="80"/>
      <c r="TMA52" s="70"/>
      <c r="TMB52" s="70"/>
      <c r="TMC52" s="25"/>
      <c r="TMD52" s="26"/>
      <c r="TME52" s="26"/>
      <c r="TMF52" s="67"/>
      <c r="TMG52" s="11"/>
      <c r="TMH52" s="11"/>
      <c r="TMI52" s="68"/>
      <c r="TMJ52" s="83"/>
      <c r="TMK52" s="83"/>
      <c r="TML52" s="80"/>
      <c r="TMM52" s="70"/>
      <c r="TMN52" s="70"/>
      <c r="TMO52" s="25"/>
      <c r="TMP52" s="26"/>
      <c r="TMQ52" s="26"/>
      <c r="TMR52" s="67"/>
      <c r="TMS52" s="11"/>
      <c r="TMT52" s="11"/>
      <c r="TMU52" s="68"/>
      <c r="TMV52" s="83"/>
      <c r="TMW52" s="83"/>
      <c r="TMX52" s="80"/>
      <c r="TMY52" s="70"/>
      <c r="TMZ52" s="70"/>
      <c r="TNA52" s="25"/>
      <c r="TNB52" s="26"/>
      <c r="TNC52" s="26"/>
      <c r="TND52" s="67"/>
      <c r="TNE52" s="11"/>
      <c r="TNF52" s="11"/>
      <c r="TNG52" s="68"/>
      <c r="TNH52" s="83"/>
      <c r="TNI52" s="83"/>
      <c r="TNJ52" s="80"/>
      <c r="TNK52" s="70"/>
      <c r="TNL52" s="70"/>
      <c r="TNM52" s="25"/>
      <c r="TNN52" s="26"/>
      <c r="TNO52" s="26"/>
      <c r="TNP52" s="67"/>
      <c r="TNQ52" s="11"/>
      <c r="TNR52" s="11"/>
      <c r="TNS52" s="68"/>
      <c r="TNT52" s="83"/>
      <c r="TNU52" s="83"/>
      <c r="TNV52" s="80"/>
      <c r="TNW52" s="70"/>
      <c r="TNX52" s="70"/>
      <c r="TNY52" s="25"/>
      <c r="TNZ52" s="26"/>
      <c r="TOA52" s="26"/>
      <c r="TOB52" s="67"/>
      <c r="TOC52" s="11"/>
      <c r="TOD52" s="11"/>
      <c r="TOE52" s="68"/>
      <c r="TOF52" s="83"/>
      <c r="TOG52" s="83"/>
      <c r="TOH52" s="80"/>
      <c r="TOI52" s="70"/>
      <c r="TOJ52" s="70"/>
      <c r="TOK52" s="25"/>
      <c r="TOL52" s="26"/>
      <c r="TOM52" s="26"/>
      <c r="TON52" s="67"/>
      <c r="TOO52" s="11"/>
      <c r="TOP52" s="11"/>
      <c r="TOQ52" s="68"/>
      <c r="TOR52" s="83"/>
      <c r="TOS52" s="83"/>
      <c r="TOT52" s="80"/>
      <c r="TOU52" s="70"/>
      <c r="TOV52" s="70"/>
      <c r="TOW52" s="25"/>
      <c r="TOX52" s="26"/>
      <c r="TOY52" s="26"/>
      <c r="TOZ52" s="67"/>
      <c r="TPA52" s="11"/>
      <c r="TPB52" s="11"/>
      <c r="TPC52" s="68"/>
      <c r="TPD52" s="83"/>
      <c r="TPE52" s="83"/>
      <c r="TPF52" s="80"/>
      <c r="TPG52" s="70"/>
      <c r="TPH52" s="70"/>
      <c r="TPI52" s="25"/>
      <c r="TPJ52" s="26"/>
      <c r="TPK52" s="26"/>
      <c r="TPL52" s="67"/>
      <c r="TPM52" s="11"/>
      <c r="TPN52" s="11"/>
      <c r="TPO52" s="68"/>
      <c r="TPP52" s="83"/>
      <c r="TPQ52" s="83"/>
      <c r="TPR52" s="80"/>
      <c r="TPS52" s="70"/>
      <c r="TPT52" s="70"/>
      <c r="TPU52" s="25"/>
      <c r="TPV52" s="26"/>
      <c r="TPW52" s="26"/>
      <c r="TPX52" s="67"/>
      <c r="TPY52" s="11"/>
      <c r="TPZ52" s="11"/>
      <c r="TQA52" s="68"/>
      <c r="TQB52" s="83"/>
      <c r="TQC52" s="83"/>
      <c r="TQD52" s="80"/>
      <c r="TQE52" s="70"/>
      <c r="TQF52" s="70"/>
      <c r="TQG52" s="25"/>
      <c r="TQH52" s="26"/>
      <c r="TQI52" s="26"/>
      <c r="TQJ52" s="67"/>
      <c r="TQK52" s="11"/>
      <c r="TQL52" s="11"/>
      <c r="TQM52" s="68"/>
      <c r="TQN52" s="83"/>
      <c r="TQO52" s="83"/>
      <c r="TQP52" s="80"/>
      <c r="TQQ52" s="70"/>
      <c r="TQR52" s="70"/>
      <c r="TQS52" s="25"/>
      <c r="TQT52" s="26"/>
      <c r="TQU52" s="26"/>
      <c r="TQV52" s="67"/>
      <c r="TQW52" s="11"/>
      <c r="TQX52" s="11"/>
      <c r="TQY52" s="68"/>
      <c r="TQZ52" s="83"/>
      <c r="TRA52" s="83"/>
      <c r="TRB52" s="80"/>
      <c r="TRC52" s="70"/>
      <c r="TRD52" s="70"/>
      <c r="TRE52" s="25"/>
      <c r="TRF52" s="26"/>
      <c r="TRG52" s="26"/>
      <c r="TRH52" s="67"/>
      <c r="TRI52" s="11"/>
      <c r="TRJ52" s="11"/>
      <c r="TRK52" s="68"/>
      <c r="TRL52" s="83"/>
      <c r="TRM52" s="83"/>
      <c r="TRN52" s="80"/>
      <c r="TRO52" s="70"/>
      <c r="TRP52" s="70"/>
      <c r="TRQ52" s="25"/>
      <c r="TRR52" s="26"/>
      <c r="TRS52" s="26"/>
      <c r="TRT52" s="67"/>
      <c r="TRU52" s="11"/>
      <c r="TRV52" s="11"/>
      <c r="TRW52" s="68"/>
      <c r="TRX52" s="83"/>
      <c r="TRY52" s="83"/>
      <c r="TRZ52" s="80"/>
      <c r="TSA52" s="70"/>
      <c r="TSB52" s="70"/>
      <c r="TSC52" s="25"/>
      <c r="TSD52" s="26"/>
      <c r="TSE52" s="26"/>
      <c r="TSF52" s="67"/>
      <c r="TSG52" s="11"/>
      <c r="TSH52" s="11"/>
      <c r="TSI52" s="68"/>
      <c r="TSJ52" s="83"/>
      <c r="TSK52" s="83"/>
      <c r="TSL52" s="80"/>
      <c r="TSM52" s="70"/>
      <c r="TSN52" s="70"/>
      <c r="TSO52" s="25"/>
      <c r="TSP52" s="26"/>
      <c r="TSQ52" s="26"/>
      <c r="TSR52" s="67"/>
      <c r="TSS52" s="11"/>
      <c r="TST52" s="11"/>
      <c r="TSU52" s="68"/>
      <c r="TSV52" s="83"/>
      <c r="TSW52" s="83"/>
      <c r="TSX52" s="80"/>
      <c r="TSY52" s="70"/>
      <c r="TSZ52" s="70"/>
      <c r="TTA52" s="25"/>
      <c r="TTB52" s="26"/>
      <c r="TTC52" s="26"/>
      <c r="TTD52" s="67"/>
      <c r="TTE52" s="11"/>
      <c r="TTF52" s="11"/>
      <c r="TTG52" s="68"/>
      <c r="TTH52" s="83"/>
      <c r="TTI52" s="83"/>
      <c r="TTJ52" s="80"/>
      <c r="TTK52" s="70"/>
      <c r="TTL52" s="70"/>
      <c r="TTM52" s="25"/>
      <c r="TTN52" s="26"/>
      <c r="TTO52" s="26"/>
      <c r="TTP52" s="67"/>
      <c r="TTQ52" s="11"/>
      <c r="TTR52" s="11"/>
      <c r="TTS52" s="68"/>
      <c r="TTT52" s="83"/>
      <c r="TTU52" s="83"/>
      <c r="TTV52" s="80"/>
      <c r="TTW52" s="70"/>
      <c r="TTX52" s="70"/>
      <c r="TTY52" s="25"/>
      <c r="TTZ52" s="26"/>
      <c r="TUA52" s="26"/>
      <c r="TUB52" s="67"/>
      <c r="TUC52" s="11"/>
      <c r="TUD52" s="11"/>
      <c r="TUE52" s="68"/>
      <c r="TUF52" s="83"/>
      <c r="TUG52" s="83"/>
      <c r="TUH52" s="80"/>
      <c r="TUI52" s="70"/>
      <c r="TUJ52" s="70"/>
      <c r="TUK52" s="25"/>
      <c r="TUL52" s="26"/>
      <c r="TUM52" s="26"/>
      <c r="TUN52" s="67"/>
      <c r="TUO52" s="11"/>
      <c r="TUP52" s="11"/>
      <c r="TUQ52" s="68"/>
      <c r="TUR52" s="83"/>
      <c r="TUS52" s="83"/>
      <c r="TUT52" s="80"/>
      <c r="TUU52" s="70"/>
      <c r="TUV52" s="70"/>
      <c r="TUW52" s="25"/>
      <c r="TUX52" s="26"/>
      <c r="TUY52" s="26"/>
      <c r="TUZ52" s="67"/>
      <c r="TVA52" s="11"/>
      <c r="TVB52" s="11"/>
      <c r="TVC52" s="68"/>
      <c r="TVD52" s="83"/>
      <c r="TVE52" s="83"/>
      <c r="TVF52" s="80"/>
      <c r="TVG52" s="70"/>
      <c r="TVH52" s="70"/>
      <c r="TVI52" s="25"/>
      <c r="TVJ52" s="26"/>
      <c r="TVK52" s="26"/>
      <c r="TVL52" s="67"/>
      <c r="TVM52" s="11"/>
      <c r="TVN52" s="11"/>
      <c r="TVO52" s="68"/>
      <c r="TVP52" s="83"/>
      <c r="TVQ52" s="83"/>
      <c r="TVR52" s="80"/>
      <c r="TVS52" s="70"/>
      <c r="TVT52" s="70"/>
      <c r="TVU52" s="25"/>
      <c r="TVV52" s="26"/>
      <c r="TVW52" s="26"/>
      <c r="TVX52" s="67"/>
      <c r="TVY52" s="11"/>
      <c r="TVZ52" s="11"/>
      <c r="TWA52" s="68"/>
      <c r="TWB52" s="83"/>
      <c r="TWC52" s="83"/>
      <c r="TWD52" s="80"/>
      <c r="TWE52" s="70"/>
      <c r="TWF52" s="70"/>
      <c r="TWG52" s="25"/>
      <c r="TWH52" s="26"/>
      <c r="TWI52" s="26"/>
      <c r="TWJ52" s="67"/>
      <c r="TWK52" s="11"/>
      <c r="TWL52" s="11"/>
      <c r="TWM52" s="68"/>
      <c r="TWN52" s="83"/>
      <c r="TWO52" s="83"/>
      <c r="TWP52" s="80"/>
      <c r="TWQ52" s="70"/>
      <c r="TWR52" s="70"/>
      <c r="TWS52" s="25"/>
      <c r="TWT52" s="26"/>
      <c r="TWU52" s="26"/>
      <c r="TWV52" s="67"/>
      <c r="TWW52" s="11"/>
      <c r="TWX52" s="11"/>
      <c r="TWY52" s="68"/>
      <c r="TWZ52" s="83"/>
      <c r="TXA52" s="83"/>
      <c r="TXB52" s="80"/>
      <c r="TXC52" s="70"/>
      <c r="TXD52" s="70"/>
      <c r="TXE52" s="25"/>
      <c r="TXF52" s="26"/>
      <c r="TXG52" s="26"/>
      <c r="TXH52" s="67"/>
      <c r="TXI52" s="11"/>
      <c r="TXJ52" s="11"/>
      <c r="TXK52" s="68"/>
      <c r="TXL52" s="83"/>
      <c r="TXM52" s="83"/>
      <c r="TXN52" s="80"/>
      <c r="TXO52" s="70"/>
      <c r="TXP52" s="70"/>
      <c r="TXQ52" s="25"/>
      <c r="TXR52" s="26"/>
      <c r="TXS52" s="26"/>
      <c r="TXT52" s="67"/>
      <c r="TXU52" s="11"/>
      <c r="TXV52" s="11"/>
      <c r="TXW52" s="68"/>
      <c r="TXX52" s="83"/>
      <c r="TXY52" s="83"/>
      <c r="TXZ52" s="80"/>
      <c r="TYA52" s="70"/>
      <c r="TYB52" s="70"/>
      <c r="TYC52" s="25"/>
      <c r="TYD52" s="26"/>
      <c r="TYE52" s="26"/>
      <c r="TYF52" s="67"/>
      <c r="TYG52" s="11"/>
      <c r="TYH52" s="11"/>
      <c r="TYI52" s="68"/>
      <c r="TYJ52" s="83"/>
      <c r="TYK52" s="83"/>
      <c r="TYL52" s="80"/>
      <c r="TYM52" s="70"/>
      <c r="TYN52" s="70"/>
      <c r="TYO52" s="25"/>
      <c r="TYP52" s="26"/>
      <c r="TYQ52" s="26"/>
      <c r="TYR52" s="67"/>
      <c r="TYS52" s="11"/>
      <c r="TYT52" s="11"/>
      <c r="TYU52" s="68"/>
      <c r="TYV52" s="83"/>
      <c r="TYW52" s="83"/>
      <c r="TYX52" s="80"/>
      <c r="TYY52" s="70"/>
      <c r="TYZ52" s="70"/>
      <c r="TZA52" s="25"/>
      <c r="TZB52" s="26"/>
      <c r="TZC52" s="26"/>
      <c r="TZD52" s="67"/>
      <c r="TZE52" s="11"/>
      <c r="TZF52" s="11"/>
      <c r="TZG52" s="68"/>
      <c r="TZH52" s="83"/>
      <c r="TZI52" s="83"/>
      <c r="TZJ52" s="80"/>
      <c r="TZK52" s="70"/>
      <c r="TZL52" s="70"/>
      <c r="TZM52" s="25"/>
      <c r="TZN52" s="26"/>
      <c r="TZO52" s="26"/>
      <c r="TZP52" s="67"/>
      <c r="TZQ52" s="11"/>
      <c r="TZR52" s="11"/>
      <c r="TZS52" s="68"/>
      <c r="TZT52" s="83"/>
      <c r="TZU52" s="83"/>
      <c r="TZV52" s="80"/>
      <c r="TZW52" s="70"/>
      <c r="TZX52" s="70"/>
      <c r="TZY52" s="25"/>
      <c r="TZZ52" s="26"/>
      <c r="UAA52" s="26"/>
      <c r="UAB52" s="67"/>
      <c r="UAC52" s="11"/>
      <c r="UAD52" s="11"/>
      <c r="UAE52" s="68"/>
      <c r="UAF52" s="83"/>
      <c r="UAG52" s="83"/>
      <c r="UAH52" s="80"/>
      <c r="UAI52" s="70"/>
      <c r="UAJ52" s="70"/>
      <c r="UAK52" s="25"/>
      <c r="UAL52" s="26"/>
      <c r="UAM52" s="26"/>
      <c r="UAN52" s="67"/>
      <c r="UAO52" s="11"/>
      <c r="UAP52" s="11"/>
      <c r="UAQ52" s="68"/>
      <c r="UAR52" s="83"/>
      <c r="UAS52" s="83"/>
      <c r="UAT52" s="80"/>
      <c r="UAU52" s="70"/>
      <c r="UAV52" s="70"/>
      <c r="UAW52" s="25"/>
      <c r="UAX52" s="26"/>
      <c r="UAY52" s="26"/>
      <c r="UAZ52" s="67"/>
      <c r="UBA52" s="11"/>
      <c r="UBB52" s="11"/>
      <c r="UBC52" s="68"/>
      <c r="UBD52" s="83"/>
      <c r="UBE52" s="83"/>
      <c r="UBF52" s="80"/>
      <c r="UBG52" s="70"/>
      <c r="UBH52" s="70"/>
      <c r="UBI52" s="25"/>
      <c r="UBJ52" s="26"/>
      <c r="UBK52" s="26"/>
      <c r="UBL52" s="67"/>
      <c r="UBM52" s="11"/>
      <c r="UBN52" s="11"/>
      <c r="UBO52" s="68"/>
      <c r="UBP52" s="83"/>
      <c r="UBQ52" s="83"/>
      <c r="UBR52" s="80"/>
      <c r="UBS52" s="70"/>
      <c r="UBT52" s="70"/>
      <c r="UBU52" s="25"/>
      <c r="UBV52" s="26"/>
      <c r="UBW52" s="26"/>
      <c r="UBX52" s="67"/>
      <c r="UBY52" s="11"/>
      <c r="UBZ52" s="11"/>
      <c r="UCA52" s="68"/>
      <c r="UCB52" s="83"/>
      <c r="UCC52" s="83"/>
      <c r="UCD52" s="80"/>
      <c r="UCE52" s="70"/>
      <c r="UCF52" s="70"/>
      <c r="UCG52" s="25"/>
      <c r="UCH52" s="26"/>
      <c r="UCI52" s="26"/>
      <c r="UCJ52" s="67"/>
      <c r="UCK52" s="11"/>
      <c r="UCL52" s="11"/>
      <c r="UCM52" s="68"/>
      <c r="UCN52" s="83"/>
      <c r="UCO52" s="83"/>
      <c r="UCP52" s="80"/>
      <c r="UCQ52" s="70"/>
      <c r="UCR52" s="70"/>
      <c r="UCS52" s="25"/>
      <c r="UCT52" s="26"/>
      <c r="UCU52" s="26"/>
      <c r="UCV52" s="67"/>
      <c r="UCW52" s="11"/>
      <c r="UCX52" s="11"/>
      <c r="UCY52" s="68"/>
      <c r="UCZ52" s="83"/>
      <c r="UDA52" s="83"/>
      <c r="UDB52" s="80"/>
      <c r="UDC52" s="70"/>
      <c r="UDD52" s="70"/>
      <c r="UDE52" s="25"/>
      <c r="UDF52" s="26"/>
      <c r="UDG52" s="26"/>
      <c r="UDH52" s="67"/>
      <c r="UDI52" s="11"/>
      <c r="UDJ52" s="11"/>
      <c r="UDK52" s="68"/>
      <c r="UDL52" s="83"/>
      <c r="UDM52" s="83"/>
      <c r="UDN52" s="80"/>
      <c r="UDO52" s="70"/>
      <c r="UDP52" s="70"/>
      <c r="UDQ52" s="25"/>
      <c r="UDR52" s="26"/>
      <c r="UDS52" s="26"/>
      <c r="UDT52" s="67"/>
      <c r="UDU52" s="11"/>
      <c r="UDV52" s="11"/>
      <c r="UDW52" s="68"/>
      <c r="UDX52" s="83"/>
      <c r="UDY52" s="83"/>
      <c r="UDZ52" s="80"/>
      <c r="UEA52" s="70"/>
      <c r="UEB52" s="70"/>
      <c r="UEC52" s="25"/>
      <c r="UED52" s="26"/>
      <c r="UEE52" s="26"/>
      <c r="UEF52" s="67"/>
      <c r="UEG52" s="11"/>
      <c r="UEH52" s="11"/>
      <c r="UEI52" s="68"/>
      <c r="UEJ52" s="83"/>
      <c r="UEK52" s="83"/>
      <c r="UEL52" s="80"/>
      <c r="UEM52" s="70"/>
      <c r="UEN52" s="70"/>
      <c r="UEO52" s="25"/>
      <c r="UEP52" s="26"/>
      <c r="UEQ52" s="26"/>
      <c r="UER52" s="67"/>
      <c r="UES52" s="11"/>
      <c r="UET52" s="11"/>
      <c r="UEU52" s="68"/>
      <c r="UEV52" s="83"/>
      <c r="UEW52" s="83"/>
      <c r="UEX52" s="80"/>
      <c r="UEY52" s="70"/>
      <c r="UEZ52" s="70"/>
      <c r="UFA52" s="25"/>
      <c r="UFB52" s="26"/>
      <c r="UFC52" s="26"/>
      <c r="UFD52" s="67"/>
      <c r="UFE52" s="11"/>
      <c r="UFF52" s="11"/>
      <c r="UFG52" s="68"/>
      <c r="UFH52" s="83"/>
      <c r="UFI52" s="83"/>
      <c r="UFJ52" s="80"/>
      <c r="UFK52" s="70"/>
      <c r="UFL52" s="70"/>
      <c r="UFM52" s="25"/>
      <c r="UFN52" s="26"/>
      <c r="UFO52" s="26"/>
      <c r="UFP52" s="67"/>
      <c r="UFQ52" s="11"/>
      <c r="UFR52" s="11"/>
      <c r="UFS52" s="68"/>
      <c r="UFT52" s="83"/>
      <c r="UFU52" s="83"/>
      <c r="UFV52" s="80"/>
      <c r="UFW52" s="70"/>
      <c r="UFX52" s="70"/>
      <c r="UFY52" s="25"/>
      <c r="UFZ52" s="26"/>
      <c r="UGA52" s="26"/>
      <c r="UGB52" s="67"/>
      <c r="UGC52" s="11"/>
      <c r="UGD52" s="11"/>
      <c r="UGE52" s="68"/>
      <c r="UGF52" s="83"/>
      <c r="UGG52" s="83"/>
      <c r="UGH52" s="80"/>
      <c r="UGI52" s="70"/>
      <c r="UGJ52" s="70"/>
      <c r="UGK52" s="25"/>
      <c r="UGL52" s="26"/>
      <c r="UGM52" s="26"/>
      <c r="UGN52" s="67"/>
      <c r="UGO52" s="11"/>
      <c r="UGP52" s="11"/>
      <c r="UGQ52" s="68"/>
      <c r="UGR52" s="83"/>
      <c r="UGS52" s="83"/>
      <c r="UGT52" s="80"/>
      <c r="UGU52" s="70"/>
      <c r="UGV52" s="70"/>
      <c r="UGW52" s="25"/>
      <c r="UGX52" s="26"/>
      <c r="UGY52" s="26"/>
      <c r="UGZ52" s="67"/>
      <c r="UHA52" s="11"/>
      <c r="UHB52" s="11"/>
      <c r="UHC52" s="68"/>
      <c r="UHD52" s="83"/>
      <c r="UHE52" s="83"/>
      <c r="UHF52" s="80"/>
      <c r="UHG52" s="70"/>
      <c r="UHH52" s="70"/>
      <c r="UHI52" s="25"/>
      <c r="UHJ52" s="26"/>
      <c r="UHK52" s="26"/>
      <c r="UHL52" s="67"/>
      <c r="UHM52" s="11"/>
      <c r="UHN52" s="11"/>
      <c r="UHO52" s="68"/>
      <c r="UHP52" s="83"/>
      <c r="UHQ52" s="83"/>
      <c r="UHR52" s="80"/>
      <c r="UHS52" s="70"/>
      <c r="UHT52" s="70"/>
      <c r="UHU52" s="25"/>
      <c r="UHV52" s="26"/>
      <c r="UHW52" s="26"/>
      <c r="UHX52" s="67"/>
      <c r="UHY52" s="11"/>
      <c r="UHZ52" s="11"/>
      <c r="UIA52" s="68"/>
      <c r="UIB52" s="83"/>
      <c r="UIC52" s="83"/>
      <c r="UID52" s="80"/>
      <c r="UIE52" s="70"/>
      <c r="UIF52" s="70"/>
      <c r="UIG52" s="25"/>
      <c r="UIH52" s="26"/>
      <c r="UII52" s="26"/>
      <c r="UIJ52" s="67"/>
      <c r="UIK52" s="11"/>
      <c r="UIL52" s="11"/>
      <c r="UIM52" s="68"/>
      <c r="UIN52" s="83"/>
      <c r="UIO52" s="83"/>
      <c r="UIP52" s="80"/>
      <c r="UIQ52" s="70"/>
      <c r="UIR52" s="70"/>
      <c r="UIS52" s="25"/>
      <c r="UIT52" s="26"/>
      <c r="UIU52" s="26"/>
      <c r="UIV52" s="67"/>
      <c r="UIW52" s="11"/>
      <c r="UIX52" s="11"/>
      <c r="UIY52" s="68"/>
      <c r="UIZ52" s="83"/>
      <c r="UJA52" s="83"/>
      <c r="UJB52" s="80"/>
      <c r="UJC52" s="70"/>
      <c r="UJD52" s="70"/>
      <c r="UJE52" s="25"/>
      <c r="UJF52" s="26"/>
      <c r="UJG52" s="26"/>
      <c r="UJH52" s="67"/>
      <c r="UJI52" s="11"/>
      <c r="UJJ52" s="11"/>
      <c r="UJK52" s="68"/>
      <c r="UJL52" s="83"/>
      <c r="UJM52" s="83"/>
      <c r="UJN52" s="80"/>
      <c r="UJO52" s="70"/>
      <c r="UJP52" s="70"/>
      <c r="UJQ52" s="25"/>
      <c r="UJR52" s="26"/>
      <c r="UJS52" s="26"/>
      <c r="UJT52" s="67"/>
      <c r="UJU52" s="11"/>
      <c r="UJV52" s="11"/>
      <c r="UJW52" s="68"/>
      <c r="UJX52" s="83"/>
      <c r="UJY52" s="83"/>
      <c r="UJZ52" s="80"/>
      <c r="UKA52" s="70"/>
      <c r="UKB52" s="70"/>
      <c r="UKC52" s="25"/>
      <c r="UKD52" s="26"/>
      <c r="UKE52" s="26"/>
      <c r="UKF52" s="67"/>
      <c r="UKG52" s="11"/>
      <c r="UKH52" s="11"/>
      <c r="UKI52" s="68"/>
      <c r="UKJ52" s="83"/>
      <c r="UKK52" s="83"/>
      <c r="UKL52" s="80"/>
      <c r="UKM52" s="70"/>
      <c r="UKN52" s="70"/>
      <c r="UKO52" s="25"/>
      <c r="UKP52" s="26"/>
      <c r="UKQ52" s="26"/>
      <c r="UKR52" s="67"/>
      <c r="UKS52" s="11"/>
      <c r="UKT52" s="11"/>
      <c r="UKU52" s="68"/>
      <c r="UKV52" s="83"/>
      <c r="UKW52" s="83"/>
      <c r="UKX52" s="80"/>
      <c r="UKY52" s="70"/>
      <c r="UKZ52" s="70"/>
      <c r="ULA52" s="25"/>
      <c r="ULB52" s="26"/>
      <c r="ULC52" s="26"/>
      <c r="ULD52" s="67"/>
      <c r="ULE52" s="11"/>
      <c r="ULF52" s="11"/>
      <c r="ULG52" s="68"/>
      <c r="ULH52" s="83"/>
      <c r="ULI52" s="83"/>
      <c r="ULJ52" s="80"/>
      <c r="ULK52" s="70"/>
      <c r="ULL52" s="70"/>
      <c r="ULM52" s="25"/>
      <c r="ULN52" s="26"/>
      <c r="ULO52" s="26"/>
      <c r="ULP52" s="67"/>
      <c r="ULQ52" s="11"/>
      <c r="ULR52" s="11"/>
      <c r="ULS52" s="68"/>
      <c r="ULT52" s="83"/>
      <c r="ULU52" s="83"/>
      <c r="ULV52" s="80"/>
      <c r="ULW52" s="70"/>
      <c r="ULX52" s="70"/>
      <c r="ULY52" s="25"/>
      <c r="ULZ52" s="26"/>
      <c r="UMA52" s="26"/>
      <c r="UMB52" s="67"/>
      <c r="UMC52" s="11"/>
      <c r="UMD52" s="11"/>
      <c r="UME52" s="68"/>
      <c r="UMF52" s="83"/>
      <c r="UMG52" s="83"/>
      <c r="UMH52" s="80"/>
      <c r="UMI52" s="70"/>
      <c r="UMJ52" s="70"/>
      <c r="UMK52" s="25"/>
      <c r="UML52" s="26"/>
      <c r="UMM52" s="26"/>
      <c r="UMN52" s="67"/>
      <c r="UMO52" s="11"/>
      <c r="UMP52" s="11"/>
      <c r="UMQ52" s="68"/>
      <c r="UMR52" s="83"/>
      <c r="UMS52" s="83"/>
      <c r="UMT52" s="80"/>
      <c r="UMU52" s="70"/>
      <c r="UMV52" s="70"/>
      <c r="UMW52" s="25"/>
      <c r="UMX52" s="26"/>
      <c r="UMY52" s="26"/>
      <c r="UMZ52" s="67"/>
      <c r="UNA52" s="11"/>
      <c r="UNB52" s="11"/>
      <c r="UNC52" s="68"/>
      <c r="UND52" s="83"/>
      <c r="UNE52" s="83"/>
      <c r="UNF52" s="80"/>
      <c r="UNG52" s="70"/>
      <c r="UNH52" s="70"/>
      <c r="UNI52" s="25"/>
      <c r="UNJ52" s="26"/>
      <c r="UNK52" s="26"/>
      <c r="UNL52" s="67"/>
      <c r="UNM52" s="11"/>
      <c r="UNN52" s="11"/>
      <c r="UNO52" s="68"/>
      <c r="UNP52" s="83"/>
      <c r="UNQ52" s="83"/>
      <c r="UNR52" s="80"/>
      <c r="UNS52" s="70"/>
      <c r="UNT52" s="70"/>
      <c r="UNU52" s="25"/>
      <c r="UNV52" s="26"/>
      <c r="UNW52" s="26"/>
      <c r="UNX52" s="67"/>
      <c r="UNY52" s="11"/>
      <c r="UNZ52" s="11"/>
      <c r="UOA52" s="68"/>
      <c r="UOB52" s="83"/>
      <c r="UOC52" s="83"/>
      <c r="UOD52" s="80"/>
      <c r="UOE52" s="70"/>
      <c r="UOF52" s="70"/>
      <c r="UOG52" s="25"/>
      <c r="UOH52" s="26"/>
      <c r="UOI52" s="26"/>
      <c r="UOJ52" s="67"/>
      <c r="UOK52" s="11"/>
      <c r="UOL52" s="11"/>
      <c r="UOM52" s="68"/>
      <c r="UON52" s="83"/>
      <c r="UOO52" s="83"/>
      <c r="UOP52" s="80"/>
      <c r="UOQ52" s="70"/>
      <c r="UOR52" s="70"/>
      <c r="UOS52" s="25"/>
      <c r="UOT52" s="26"/>
      <c r="UOU52" s="26"/>
      <c r="UOV52" s="67"/>
      <c r="UOW52" s="11"/>
      <c r="UOX52" s="11"/>
      <c r="UOY52" s="68"/>
      <c r="UOZ52" s="83"/>
      <c r="UPA52" s="83"/>
      <c r="UPB52" s="80"/>
      <c r="UPC52" s="70"/>
      <c r="UPD52" s="70"/>
      <c r="UPE52" s="25"/>
      <c r="UPF52" s="26"/>
      <c r="UPG52" s="26"/>
      <c r="UPH52" s="67"/>
      <c r="UPI52" s="11"/>
      <c r="UPJ52" s="11"/>
      <c r="UPK52" s="68"/>
      <c r="UPL52" s="83"/>
      <c r="UPM52" s="83"/>
      <c r="UPN52" s="80"/>
      <c r="UPO52" s="70"/>
      <c r="UPP52" s="70"/>
      <c r="UPQ52" s="25"/>
      <c r="UPR52" s="26"/>
      <c r="UPS52" s="26"/>
      <c r="UPT52" s="67"/>
      <c r="UPU52" s="11"/>
      <c r="UPV52" s="11"/>
      <c r="UPW52" s="68"/>
      <c r="UPX52" s="83"/>
      <c r="UPY52" s="83"/>
      <c r="UPZ52" s="80"/>
      <c r="UQA52" s="70"/>
      <c r="UQB52" s="70"/>
      <c r="UQC52" s="25"/>
      <c r="UQD52" s="26"/>
      <c r="UQE52" s="26"/>
      <c r="UQF52" s="67"/>
      <c r="UQG52" s="11"/>
      <c r="UQH52" s="11"/>
      <c r="UQI52" s="68"/>
      <c r="UQJ52" s="83"/>
      <c r="UQK52" s="83"/>
      <c r="UQL52" s="80"/>
      <c r="UQM52" s="70"/>
      <c r="UQN52" s="70"/>
      <c r="UQO52" s="25"/>
      <c r="UQP52" s="26"/>
      <c r="UQQ52" s="26"/>
      <c r="UQR52" s="67"/>
      <c r="UQS52" s="11"/>
      <c r="UQT52" s="11"/>
      <c r="UQU52" s="68"/>
      <c r="UQV52" s="83"/>
      <c r="UQW52" s="83"/>
      <c r="UQX52" s="80"/>
      <c r="UQY52" s="70"/>
      <c r="UQZ52" s="70"/>
      <c r="URA52" s="25"/>
      <c r="URB52" s="26"/>
      <c r="URC52" s="26"/>
      <c r="URD52" s="67"/>
      <c r="URE52" s="11"/>
      <c r="URF52" s="11"/>
      <c r="URG52" s="68"/>
      <c r="URH52" s="83"/>
      <c r="URI52" s="83"/>
      <c r="URJ52" s="80"/>
      <c r="URK52" s="70"/>
      <c r="URL52" s="70"/>
      <c r="URM52" s="25"/>
      <c r="URN52" s="26"/>
      <c r="URO52" s="26"/>
      <c r="URP52" s="67"/>
      <c r="URQ52" s="11"/>
      <c r="URR52" s="11"/>
      <c r="URS52" s="68"/>
      <c r="URT52" s="83"/>
      <c r="URU52" s="83"/>
      <c r="URV52" s="80"/>
      <c r="URW52" s="70"/>
      <c r="URX52" s="70"/>
      <c r="URY52" s="25"/>
      <c r="URZ52" s="26"/>
      <c r="USA52" s="26"/>
      <c r="USB52" s="67"/>
      <c r="USC52" s="11"/>
      <c r="USD52" s="11"/>
      <c r="USE52" s="68"/>
      <c r="USF52" s="83"/>
      <c r="USG52" s="83"/>
      <c r="USH52" s="80"/>
      <c r="USI52" s="70"/>
      <c r="USJ52" s="70"/>
      <c r="USK52" s="25"/>
      <c r="USL52" s="26"/>
      <c r="USM52" s="26"/>
      <c r="USN52" s="67"/>
      <c r="USO52" s="11"/>
      <c r="USP52" s="11"/>
      <c r="USQ52" s="68"/>
      <c r="USR52" s="83"/>
      <c r="USS52" s="83"/>
      <c r="UST52" s="80"/>
      <c r="USU52" s="70"/>
      <c r="USV52" s="70"/>
      <c r="USW52" s="25"/>
      <c r="USX52" s="26"/>
      <c r="USY52" s="26"/>
      <c r="USZ52" s="67"/>
      <c r="UTA52" s="11"/>
      <c r="UTB52" s="11"/>
      <c r="UTC52" s="68"/>
      <c r="UTD52" s="83"/>
      <c r="UTE52" s="83"/>
      <c r="UTF52" s="80"/>
      <c r="UTG52" s="70"/>
      <c r="UTH52" s="70"/>
      <c r="UTI52" s="25"/>
      <c r="UTJ52" s="26"/>
      <c r="UTK52" s="26"/>
      <c r="UTL52" s="67"/>
      <c r="UTM52" s="11"/>
      <c r="UTN52" s="11"/>
      <c r="UTO52" s="68"/>
      <c r="UTP52" s="83"/>
      <c r="UTQ52" s="83"/>
      <c r="UTR52" s="80"/>
      <c r="UTS52" s="70"/>
      <c r="UTT52" s="70"/>
      <c r="UTU52" s="25"/>
      <c r="UTV52" s="26"/>
      <c r="UTW52" s="26"/>
      <c r="UTX52" s="67"/>
      <c r="UTY52" s="11"/>
      <c r="UTZ52" s="11"/>
      <c r="UUA52" s="68"/>
      <c r="UUB52" s="83"/>
      <c r="UUC52" s="83"/>
      <c r="UUD52" s="80"/>
      <c r="UUE52" s="70"/>
      <c r="UUF52" s="70"/>
      <c r="UUG52" s="25"/>
      <c r="UUH52" s="26"/>
      <c r="UUI52" s="26"/>
      <c r="UUJ52" s="67"/>
      <c r="UUK52" s="11"/>
      <c r="UUL52" s="11"/>
      <c r="UUM52" s="68"/>
      <c r="UUN52" s="83"/>
      <c r="UUO52" s="83"/>
      <c r="UUP52" s="80"/>
      <c r="UUQ52" s="70"/>
      <c r="UUR52" s="70"/>
      <c r="UUS52" s="25"/>
      <c r="UUT52" s="26"/>
      <c r="UUU52" s="26"/>
      <c r="UUV52" s="67"/>
      <c r="UUW52" s="11"/>
      <c r="UUX52" s="11"/>
      <c r="UUY52" s="68"/>
      <c r="UUZ52" s="83"/>
      <c r="UVA52" s="83"/>
      <c r="UVB52" s="80"/>
      <c r="UVC52" s="70"/>
      <c r="UVD52" s="70"/>
      <c r="UVE52" s="25"/>
      <c r="UVF52" s="26"/>
      <c r="UVG52" s="26"/>
      <c r="UVH52" s="67"/>
      <c r="UVI52" s="11"/>
      <c r="UVJ52" s="11"/>
      <c r="UVK52" s="68"/>
      <c r="UVL52" s="83"/>
      <c r="UVM52" s="83"/>
      <c r="UVN52" s="80"/>
      <c r="UVO52" s="70"/>
      <c r="UVP52" s="70"/>
      <c r="UVQ52" s="25"/>
      <c r="UVR52" s="26"/>
      <c r="UVS52" s="26"/>
      <c r="UVT52" s="67"/>
      <c r="UVU52" s="11"/>
      <c r="UVV52" s="11"/>
      <c r="UVW52" s="68"/>
      <c r="UVX52" s="83"/>
      <c r="UVY52" s="83"/>
      <c r="UVZ52" s="80"/>
      <c r="UWA52" s="70"/>
      <c r="UWB52" s="70"/>
      <c r="UWC52" s="25"/>
      <c r="UWD52" s="26"/>
      <c r="UWE52" s="26"/>
      <c r="UWF52" s="67"/>
      <c r="UWG52" s="11"/>
      <c r="UWH52" s="11"/>
      <c r="UWI52" s="68"/>
      <c r="UWJ52" s="83"/>
      <c r="UWK52" s="83"/>
      <c r="UWL52" s="80"/>
      <c r="UWM52" s="70"/>
      <c r="UWN52" s="70"/>
      <c r="UWO52" s="25"/>
      <c r="UWP52" s="26"/>
      <c r="UWQ52" s="26"/>
      <c r="UWR52" s="67"/>
      <c r="UWS52" s="11"/>
      <c r="UWT52" s="11"/>
      <c r="UWU52" s="68"/>
      <c r="UWV52" s="83"/>
      <c r="UWW52" s="83"/>
      <c r="UWX52" s="80"/>
      <c r="UWY52" s="70"/>
      <c r="UWZ52" s="70"/>
      <c r="UXA52" s="25"/>
      <c r="UXB52" s="26"/>
      <c r="UXC52" s="26"/>
      <c r="UXD52" s="67"/>
      <c r="UXE52" s="11"/>
      <c r="UXF52" s="11"/>
      <c r="UXG52" s="68"/>
      <c r="UXH52" s="83"/>
      <c r="UXI52" s="83"/>
      <c r="UXJ52" s="80"/>
      <c r="UXK52" s="70"/>
      <c r="UXL52" s="70"/>
      <c r="UXM52" s="25"/>
      <c r="UXN52" s="26"/>
      <c r="UXO52" s="26"/>
      <c r="UXP52" s="67"/>
      <c r="UXQ52" s="11"/>
      <c r="UXR52" s="11"/>
      <c r="UXS52" s="68"/>
      <c r="UXT52" s="83"/>
      <c r="UXU52" s="83"/>
      <c r="UXV52" s="80"/>
      <c r="UXW52" s="70"/>
      <c r="UXX52" s="70"/>
      <c r="UXY52" s="25"/>
      <c r="UXZ52" s="26"/>
      <c r="UYA52" s="26"/>
      <c r="UYB52" s="67"/>
      <c r="UYC52" s="11"/>
      <c r="UYD52" s="11"/>
      <c r="UYE52" s="68"/>
      <c r="UYF52" s="83"/>
      <c r="UYG52" s="83"/>
      <c r="UYH52" s="80"/>
      <c r="UYI52" s="70"/>
      <c r="UYJ52" s="70"/>
      <c r="UYK52" s="25"/>
      <c r="UYL52" s="26"/>
      <c r="UYM52" s="26"/>
      <c r="UYN52" s="67"/>
      <c r="UYO52" s="11"/>
      <c r="UYP52" s="11"/>
      <c r="UYQ52" s="68"/>
      <c r="UYR52" s="83"/>
      <c r="UYS52" s="83"/>
      <c r="UYT52" s="80"/>
      <c r="UYU52" s="70"/>
      <c r="UYV52" s="70"/>
      <c r="UYW52" s="25"/>
      <c r="UYX52" s="26"/>
      <c r="UYY52" s="26"/>
      <c r="UYZ52" s="67"/>
      <c r="UZA52" s="11"/>
      <c r="UZB52" s="11"/>
      <c r="UZC52" s="68"/>
      <c r="UZD52" s="83"/>
      <c r="UZE52" s="83"/>
      <c r="UZF52" s="80"/>
      <c r="UZG52" s="70"/>
      <c r="UZH52" s="70"/>
      <c r="UZI52" s="25"/>
      <c r="UZJ52" s="26"/>
      <c r="UZK52" s="26"/>
      <c r="UZL52" s="67"/>
      <c r="UZM52" s="11"/>
      <c r="UZN52" s="11"/>
      <c r="UZO52" s="68"/>
      <c r="UZP52" s="83"/>
      <c r="UZQ52" s="83"/>
      <c r="UZR52" s="80"/>
      <c r="UZS52" s="70"/>
      <c r="UZT52" s="70"/>
      <c r="UZU52" s="25"/>
      <c r="UZV52" s="26"/>
      <c r="UZW52" s="26"/>
      <c r="UZX52" s="67"/>
      <c r="UZY52" s="11"/>
      <c r="UZZ52" s="11"/>
      <c r="VAA52" s="68"/>
      <c r="VAB52" s="83"/>
      <c r="VAC52" s="83"/>
      <c r="VAD52" s="80"/>
      <c r="VAE52" s="70"/>
      <c r="VAF52" s="70"/>
      <c r="VAG52" s="25"/>
      <c r="VAH52" s="26"/>
      <c r="VAI52" s="26"/>
      <c r="VAJ52" s="67"/>
      <c r="VAK52" s="11"/>
      <c r="VAL52" s="11"/>
      <c r="VAM52" s="68"/>
      <c r="VAN52" s="83"/>
      <c r="VAO52" s="83"/>
      <c r="VAP52" s="80"/>
      <c r="VAQ52" s="70"/>
      <c r="VAR52" s="70"/>
      <c r="VAS52" s="25"/>
      <c r="VAT52" s="26"/>
      <c r="VAU52" s="26"/>
      <c r="VAV52" s="67"/>
      <c r="VAW52" s="11"/>
      <c r="VAX52" s="11"/>
      <c r="VAY52" s="68"/>
      <c r="VAZ52" s="83"/>
      <c r="VBA52" s="83"/>
      <c r="VBB52" s="80"/>
      <c r="VBC52" s="70"/>
      <c r="VBD52" s="70"/>
      <c r="VBE52" s="25"/>
      <c r="VBF52" s="26"/>
      <c r="VBG52" s="26"/>
      <c r="VBH52" s="67"/>
      <c r="VBI52" s="11"/>
      <c r="VBJ52" s="11"/>
      <c r="VBK52" s="68"/>
      <c r="VBL52" s="83"/>
      <c r="VBM52" s="83"/>
      <c r="VBN52" s="80"/>
      <c r="VBO52" s="70"/>
      <c r="VBP52" s="70"/>
      <c r="VBQ52" s="25"/>
      <c r="VBR52" s="26"/>
      <c r="VBS52" s="26"/>
      <c r="VBT52" s="67"/>
      <c r="VBU52" s="11"/>
      <c r="VBV52" s="11"/>
      <c r="VBW52" s="68"/>
      <c r="VBX52" s="83"/>
      <c r="VBY52" s="83"/>
      <c r="VBZ52" s="80"/>
      <c r="VCA52" s="70"/>
      <c r="VCB52" s="70"/>
      <c r="VCC52" s="25"/>
      <c r="VCD52" s="26"/>
      <c r="VCE52" s="26"/>
      <c r="VCF52" s="67"/>
      <c r="VCG52" s="11"/>
      <c r="VCH52" s="11"/>
      <c r="VCI52" s="68"/>
      <c r="VCJ52" s="83"/>
      <c r="VCK52" s="83"/>
      <c r="VCL52" s="80"/>
      <c r="VCM52" s="70"/>
      <c r="VCN52" s="70"/>
      <c r="VCO52" s="25"/>
      <c r="VCP52" s="26"/>
      <c r="VCQ52" s="26"/>
      <c r="VCR52" s="67"/>
      <c r="VCS52" s="11"/>
      <c r="VCT52" s="11"/>
      <c r="VCU52" s="68"/>
      <c r="VCV52" s="83"/>
      <c r="VCW52" s="83"/>
      <c r="VCX52" s="80"/>
      <c r="VCY52" s="70"/>
      <c r="VCZ52" s="70"/>
      <c r="VDA52" s="25"/>
      <c r="VDB52" s="26"/>
      <c r="VDC52" s="26"/>
      <c r="VDD52" s="67"/>
      <c r="VDE52" s="11"/>
      <c r="VDF52" s="11"/>
      <c r="VDG52" s="68"/>
      <c r="VDH52" s="83"/>
      <c r="VDI52" s="83"/>
      <c r="VDJ52" s="80"/>
      <c r="VDK52" s="70"/>
      <c r="VDL52" s="70"/>
      <c r="VDM52" s="25"/>
      <c r="VDN52" s="26"/>
      <c r="VDO52" s="26"/>
      <c r="VDP52" s="67"/>
      <c r="VDQ52" s="11"/>
      <c r="VDR52" s="11"/>
      <c r="VDS52" s="68"/>
      <c r="VDT52" s="83"/>
      <c r="VDU52" s="83"/>
      <c r="VDV52" s="80"/>
      <c r="VDW52" s="70"/>
      <c r="VDX52" s="70"/>
      <c r="VDY52" s="25"/>
      <c r="VDZ52" s="26"/>
      <c r="VEA52" s="26"/>
      <c r="VEB52" s="67"/>
      <c r="VEC52" s="11"/>
      <c r="VED52" s="11"/>
      <c r="VEE52" s="68"/>
      <c r="VEF52" s="83"/>
      <c r="VEG52" s="83"/>
      <c r="VEH52" s="80"/>
      <c r="VEI52" s="70"/>
      <c r="VEJ52" s="70"/>
      <c r="VEK52" s="25"/>
      <c r="VEL52" s="26"/>
      <c r="VEM52" s="26"/>
      <c r="VEN52" s="67"/>
      <c r="VEO52" s="11"/>
      <c r="VEP52" s="11"/>
      <c r="VEQ52" s="68"/>
      <c r="VER52" s="83"/>
      <c r="VES52" s="83"/>
      <c r="VET52" s="80"/>
      <c r="VEU52" s="70"/>
      <c r="VEV52" s="70"/>
      <c r="VEW52" s="25"/>
      <c r="VEX52" s="26"/>
      <c r="VEY52" s="26"/>
      <c r="VEZ52" s="67"/>
      <c r="VFA52" s="11"/>
      <c r="VFB52" s="11"/>
      <c r="VFC52" s="68"/>
      <c r="VFD52" s="83"/>
      <c r="VFE52" s="83"/>
      <c r="VFF52" s="80"/>
      <c r="VFG52" s="70"/>
      <c r="VFH52" s="70"/>
      <c r="VFI52" s="25"/>
      <c r="VFJ52" s="26"/>
      <c r="VFK52" s="26"/>
      <c r="VFL52" s="67"/>
      <c r="VFM52" s="11"/>
      <c r="VFN52" s="11"/>
      <c r="VFO52" s="68"/>
      <c r="VFP52" s="83"/>
      <c r="VFQ52" s="83"/>
      <c r="VFR52" s="80"/>
      <c r="VFS52" s="70"/>
      <c r="VFT52" s="70"/>
      <c r="VFU52" s="25"/>
      <c r="VFV52" s="26"/>
      <c r="VFW52" s="26"/>
      <c r="VFX52" s="67"/>
      <c r="VFY52" s="11"/>
      <c r="VFZ52" s="11"/>
      <c r="VGA52" s="68"/>
      <c r="VGB52" s="83"/>
      <c r="VGC52" s="83"/>
      <c r="VGD52" s="80"/>
      <c r="VGE52" s="70"/>
      <c r="VGF52" s="70"/>
      <c r="VGG52" s="25"/>
      <c r="VGH52" s="26"/>
      <c r="VGI52" s="26"/>
      <c r="VGJ52" s="67"/>
      <c r="VGK52" s="11"/>
      <c r="VGL52" s="11"/>
      <c r="VGM52" s="68"/>
      <c r="VGN52" s="83"/>
      <c r="VGO52" s="83"/>
      <c r="VGP52" s="80"/>
      <c r="VGQ52" s="70"/>
      <c r="VGR52" s="70"/>
      <c r="VGS52" s="25"/>
      <c r="VGT52" s="26"/>
      <c r="VGU52" s="26"/>
      <c r="VGV52" s="67"/>
      <c r="VGW52" s="11"/>
      <c r="VGX52" s="11"/>
      <c r="VGY52" s="68"/>
      <c r="VGZ52" s="83"/>
      <c r="VHA52" s="83"/>
      <c r="VHB52" s="80"/>
      <c r="VHC52" s="70"/>
      <c r="VHD52" s="70"/>
      <c r="VHE52" s="25"/>
      <c r="VHF52" s="26"/>
      <c r="VHG52" s="26"/>
      <c r="VHH52" s="67"/>
      <c r="VHI52" s="11"/>
      <c r="VHJ52" s="11"/>
      <c r="VHK52" s="68"/>
      <c r="VHL52" s="83"/>
      <c r="VHM52" s="83"/>
      <c r="VHN52" s="80"/>
      <c r="VHO52" s="70"/>
      <c r="VHP52" s="70"/>
      <c r="VHQ52" s="25"/>
      <c r="VHR52" s="26"/>
      <c r="VHS52" s="26"/>
      <c r="VHT52" s="67"/>
      <c r="VHU52" s="11"/>
      <c r="VHV52" s="11"/>
      <c r="VHW52" s="68"/>
      <c r="VHX52" s="83"/>
      <c r="VHY52" s="83"/>
      <c r="VHZ52" s="80"/>
      <c r="VIA52" s="70"/>
      <c r="VIB52" s="70"/>
      <c r="VIC52" s="25"/>
      <c r="VID52" s="26"/>
      <c r="VIE52" s="26"/>
      <c r="VIF52" s="67"/>
      <c r="VIG52" s="11"/>
      <c r="VIH52" s="11"/>
      <c r="VII52" s="68"/>
      <c r="VIJ52" s="83"/>
      <c r="VIK52" s="83"/>
      <c r="VIL52" s="80"/>
      <c r="VIM52" s="70"/>
      <c r="VIN52" s="70"/>
      <c r="VIO52" s="25"/>
      <c r="VIP52" s="26"/>
      <c r="VIQ52" s="26"/>
      <c r="VIR52" s="67"/>
      <c r="VIS52" s="11"/>
      <c r="VIT52" s="11"/>
      <c r="VIU52" s="68"/>
      <c r="VIV52" s="83"/>
      <c r="VIW52" s="83"/>
      <c r="VIX52" s="80"/>
      <c r="VIY52" s="70"/>
      <c r="VIZ52" s="70"/>
      <c r="VJA52" s="25"/>
      <c r="VJB52" s="26"/>
      <c r="VJC52" s="26"/>
      <c r="VJD52" s="67"/>
      <c r="VJE52" s="11"/>
      <c r="VJF52" s="11"/>
      <c r="VJG52" s="68"/>
      <c r="VJH52" s="83"/>
      <c r="VJI52" s="83"/>
      <c r="VJJ52" s="80"/>
      <c r="VJK52" s="70"/>
      <c r="VJL52" s="70"/>
      <c r="VJM52" s="25"/>
      <c r="VJN52" s="26"/>
      <c r="VJO52" s="26"/>
      <c r="VJP52" s="67"/>
      <c r="VJQ52" s="11"/>
      <c r="VJR52" s="11"/>
      <c r="VJS52" s="68"/>
      <c r="VJT52" s="83"/>
      <c r="VJU52" s="83"/>
      <c r="VJV52" s="80"/>
      <c r="VJW52" s="70"/>
      <c r="VJX52" s="70"/>
      <c r="VJY52" s="25"/>
      <c r="VJZ52" s="26"/>
      <c r="VKA52" s="26"/>
      <c r="VKB52" s="67"/>
      <c r="VKC52" s="11"/>
      <c r="VKD52" s="11"/>
      <c r="VKE52" s="68"/>
      <c r="VKF52" s="83"/>
      <c r="VKG52" s="83"/>
      <c r="VKH52" s="80"/>
      <c r="VKI52" s="70"/>
      <c r="VKJ52" s="70"/>
      <c r="VKK52" s="25"/>
      <c r="VKL52" s="26"/>
      <c r="VKM52" s="26"/>
      <c r="VKN52" s="67"/>
      <c r="VKO52" s="11"/>
      <c r="VKP52" s="11"/>
      <c r="VKQ52" s="68"/>
      <c r="VKR52" s="83"/>
      <c r="VKS52" s="83"/>
      <c r="VKT52" s="80"/>
      <c r="VKU52" s="70"/>
      <c r="VKV52" s="70"/>
      <c r="VKW52" s="25"/>
      <c r="VKX52" s="26"/>
      <c r="VKY52" s="26"/>
      <c r="VKZ52" s="67"/>
      <c r="VLA52" s="11"/>
      <c r="VLB52" s="11"/>
      <c r="VLC52" s="68"/>
      <c r="VLD52" s="83"/>
      <c r="VLE52" s="83"/>
      <c r="VLF52" s="80"/>
      <c r="VLG52" s="70"/>
      <c r="VLH52" s="70"/>
      <c r="VLI52" s="25"/>
      <c r="VLJ52" s="26"/>
      <c r="VLK52" s="26"/>
      <c r="VLL52" s="67"/>
      <c r="VLM52" s="11"/>
      <c r="VLN52" s="11"/>
      <c r="VLO52" s="68"/>
      <c r="VLP52" s="83"/>
      <c r="VLQ52" s="83"/>
      <c r="VLR52" s="80"/>
      <c r="VLS52" s="70"/>
      <c r="VLT52" s="70"/>
      <c r="VLU52" s="25"/>
      <c r="VLV52" s="26"/>
      <c r="VLW52" s="26"/>
      <c r="VLX52" s="67"/>
      <c r="VLY52" s="11"/>
      <c r="VLZ52" s="11"/>
      <c r="VMA52" s="68"/>
      <c r="VMB52" s="83"/>
      <c r="VMC52" s="83"/>
      <c r="VMD52" s="80"/>
      <c r="VME52" s="70"/>
      <c r="VMF52" s="70"/>
      <c r="VMG52" s="25"/>
      <c r="VMH52" s="26"/>
      <c r="VMI52" s="26"/>
      <c r="VMJ52" s="67"/>
      <c r="VMK52" s="11"/>
      <c r="VML52" s="11"/>
      <c r="VMM52" s="68"/>
      <c r="VMN52" s="83"/>
      <c r="VMO52" s="83"/>
      <c r="VMP52" s="80"/>
      <c r="VMQ52" s="70"/>
      <c r="VMR52" s="70"/>
      <c r="VMS52" s="25"/>
      <c r="VMT52" s="26"/>
      <c r="VMU52" s="26"/>
      <c r="VMV52" s="67"/>
      <c r="VMW52" s="11"/>
      <c r="VMX52" s="11"/>
      <c r="VMY52" s="68"/>
      <c r="VMZ52" s="83"/>
      <c r="VNA52" s="83"/>
      <c r="VNB52" s="80"/>
      <c r="VNC52" s="70"/>
      <c r="VND52" s="70"/>
      <c r="VNE52" s="25"/>
      <c r="VNF52" s="26"/>
      <c r="VNG52" s="26"/>
      <c r="VNH52" s="67"/>
      <c r="VNI52" s="11"/>
      <c r="VNJ52" s="11"/>
      <c r="VNK52" s="68"/>
      <c r="VNL52" s="83"/>
      <c r="VNM52" s="83"/>
      <c r="VNN52" s="80"/>
      <c r="VNO52" s="70"/>
      <c r="VNP52" s="70"/>
      <c r="VNQ52" s="25"/>
      <c r="VNR52" s="26"/>
      <c r="VNS52" s="26"/>
      <c r="VNT52" s="67"/>
      <c r="VNU52" s="11"/>
      <c r="VNV52" s="11"/>
      <c r="VNW52" s="68"/>
      <c r="VNX52" s="83"/>
      <c r="VNY52" s="83"/>
      <c r="VNZ52" s="80"/>
      <c r="VOA52" s="70"/>
      <c r="VOB52" s="70"/>
      <c r="VOC52" s="25"/>
      <c r="VOD52" s="26"/>
      <c r="VOE52" s="26"/>
      <c r="VOF52" s="67"/>
      <c r="VOG52" s="11"/>
      <c r="VOH52" s="11"/>
      <c r="VOI52" s="68"/>
      <c r="VOJ52" s="83"/>
      <c r="VOK52" s="83"/>
      <c r="VOL52" s="80"/>
      <c r="VOM52" s="70"/>
      <c r="VON52" s="70"/>
      <c r="VOO52" s="25"/>
      <c r="VOP52" s="26"/>
      <c r="VOQ52" s="26"/>
      <c r="VOR52" s="67"/>
      <c r="VOS52" s="11"/>
      <c r="VOT52" s="11"/>
      <c r="VOU52" s="68"/>
      <c r="VOV52" s="83"/>
      <c r="VOW52" s="83"/>
      <c r="VOX52" s="80"/>
      <c r="VOY52" s="70"/>
      <c r="VOZ52" s="70"/>
      <c r="VPA52" s="25"/>
      <c r="VPB52" s="26"/>
      <c r="VPC52" s="26"/>
      <c r="VPD52" s="67"/>
      <c r="VPE52" s="11"/>
      <c r="VPF52" s="11"/>
      <c r="VPG52" s="68"/>
      <c r="VPH52" s="83"/>
      <c r="VPI52" s="83"/>
      <c r="VPJ52" s="80"/>
      <c r="VPK52" s="70"/>
      <c r="VPL52" s="70"/>
      <c r="VPM52" s="25"/>
      <c r="VPN52" s="26"/>
      <c r="VPO52" s="26"/>
      <c r="VPP52" s="67"/>
      <c r="VPQ52" s="11"/>
      <c r="VPR52" s="11"/>
      <c r="VPS52" s="68"/>
      <c r="VPT52" s="83"/>
      <c r="VPU52" s="83"/>
      <c r="VPV52" s="80"/>
      <c r="VPW52" s="70"/>
      <c r="VPX52" s="70"/>
      <c r="VPY52" s="25"/>
      <c r="VPZ52" s="26"/>
      <c r="VQA52" s="26"/>
      <c r="VQB52" s="67"/>
      <c r="VQC52" s="11"/>
      <c r="VQD52" s="11"/>
      <c r="VQE52" s="68"/>
      <c r="VQF52" s="83"/>
      <c r="VQG52" s="83"/>
      <c r="VQH52" s="80"/>
      <c r="VQI52" s="70"/>
      <c r="VQJ52" s="70"/>
      <c r="VQK52" s="25"/>
      <c r="VQL52" s="26"/>
      <c r="VQM52" s="26"/>
      <c r="VQN52" s="67"/>
      <c r="VQO52" s="11"/>
      <c r="VQP52" s="11"/>
      <c r="VQQ52" s="68"/>
      <c r="VQR52" s="83"/>
      <c r="VQS52" s="83"/>
      <c r="VQT52" s="80"/>
      <c r="VQU52" s="70"/>
      <c r="VQV52" s="70"/>
      <c r="VQW52" s="25"/>
      <c r="VQX52" s="26"/>
      <c r="VQY52" s="26"/>
      <c r="VQZ52" s="67"/>
      <c r="VRA52" s="11"/>
      <c r="VRB52" s="11"/>
      <c r="VRC52" s="68"/>
      <c r="VRD52" s="83"/>
      <c r="VRE52" s="83"/>
      <c r="VRF52" s="80"/>
      <c r="VRG52" s="70"/>
      <c r="VRH52" s="70"/>
      <c r="VRI52" s="25"/>
      <c r="VRJ52" s="26"/>
      <c r="VRK52" s="26"/>
      <c r="VRL52" s="67"/>
      <c r="VRM52" s="11"/>
      <c r="VRN52" s="11"/>
      <c r="VRO52" s="68"/>
      <c r="VRP52" s="83"/>
      <c r="VRQ52" s="83"/>
      <c r="VRR52" s="80"/>
      <c r="VRS52" s="70"/>
      <c r="VRT52" s="70"/>
      <c r="VRU52" s="25"/>
      <c r="VRV52" s="26"/>
      <c r="VRW52" s="26"/>
      <c r="VRX52" s="67"/>
      <c r="VRY52" s="11"/>
      <c r="VRZ52" s="11"/>
      <c r="VSA52" s="68"/>
      <c r="VSB52" s="83"/>
      <c r="VSC52" s="83"/>
      <c r="VSD52" s="80"/>
      <c r="VSE52" s="70"/>
      <c r="VSF52" s="70"/>
      <c r="VSG52" s="25"/>
      <c r="VSH52" s="26"/>
      <c r="VSI52" s="26"/>
      <c r="VSJ52" s="67"/>
      <c r="VSK52" s="11"/>
      <c r="VSL52" s="11"/>
      <c r="VSM52" s="68"/>
      <c r="VSN52" s="83"/>
      <c r="VSO52" s="83"/>
      <c r="VSP52" s="80"/>
      <c r="VSQ52" s="70"/>
      <c r="VSR52" s="70"/>
      <c r="VSS52" s="25"/>
      <c r="VST52" s="26"/>
      <c r="VSU52" s="26"/>
      <c r="VSV52" s="67"/>
      <c r="VSW52" s="11"/>
      <c r="VSX52" s="11"/>
      <c r="VSY52" s="68"/>
      <c r="VSZ52" s="83"/>
      <c r="VTA52" s="83"/>
      <c r="VTB52" s="80"/>
      <c r="VTC52" s="70"/>
      <c r="VTD52" s="70"/>
      <c r="VTE52" s="25"/>
      <c r="VTF52" s="26"/>
      <c r="VTG52" s="26"/>
      <c r="VTH52" s="67"/>
      <c r="VTI52" s="11"/>
      <c r="VTJ52" s="11"/>
      <c r="VTK52" s="68"/>
      <c r="VTL52" s="83"/>
      <c r="VTM52" s="83"/>
      <c r="VTN52" s="80"/>
      <c r="VTO52" s="70"/>
      <c r="VTP52" s="70"/>
      <c r="VTQ52" s="25"/>
      <c r="VTR52" s="26"/>
      <c r="VTS52" s="26"/>
      <c r="VTT52" s="67"/>
      <c r="VTU52" s="11"/>
      <c r="VTV52" s="11"/>
      <c r="VTW52" s="68"/>
      <c r="VTX52" s="83"/>
      <c r="VTY52" s="83"/>
      <c r="VTZ52" s="80"/>
      <c r="VUA52" s="70"/>
      <c r="VUB52" s="70"/>
      <c r="VUC52" s="25"/>
      <c r="VUD52" s="26"/>
      <c r="VUE52" s="26"/>
      <c r="VUF52" s="67"/>
      <c r="VUG52" s="11"/>
      <c r="VUH52" s="11"/>
      <c r="VUI52" s="68"/>
      <c r="VUJ52" s="83"/>
      <c r="VUK52" s="83"/>
      <c r="VUL52" s="80"/>
      <c r="VUM52" s="70"/>
      <c r="VUN52" s="70"/>
      <c r="VUO52" s="25"/>
      <c r="VUP52" s="26"/>
      <c r="VUQ52" s="26"/>
      <c r="VUR52" s="67"/>
      <c r="VUS52" s="11"/>
      <c r="VUT52" s="11"/>
      <c r="VUU52" s="68"/>
      <c r="VUV52" s="83"/>
      <c r="VUW52" s="83"/>
      <c r="VUX52" s="80"/>
      <c r="VUY52" s="70"/>
      <c r="VUZ52" s="70"/>
      <c r="VVA52" s="25"/>
      <c r="VVB52" s="26"/>
      <c r="VVC52" s="26"/>
      <c r="VVD52" s="67"/>
      <c r="VVE52" s="11"/>
      <c r="VVF52" s="11"/>
      <c r="VVG52" s="68"/>
      <c r="VVH52" s="83"/>
      <c r="VVI52" s="83"/>
      <c r="VVJ52" s="80"/>
      <c r="VVK52" s="70"/>
      <c r="VVL52" s="70"/>
      <c r="VVM52" s="25"/>
      <c r="VVN52" s="26"/>
      <c r="VVO52" s="26"/>
      <c r="VVP52" s="67"/>
      <c r="VVQ52" s="11"/>
      <c r="VVR52" s="11"/>
      <c r="VVS52" s="68"/>
      <c r="VVT52" s="83"/>
      <c r="VVU52" s="83"/>
      <c r="VVV52" s="80"/>
      <c r="VVW52" s="70"/>
      <c r="VVX52" s="70"/>
      <c r="VVY52" s="25"/>
      <c r="VVZ52" s="26"/>
      <c r="VWA52" s="26"/>
      <c r="VWB52" s="67"/>
      <c r="VWC52" s="11"/>
      <c r="VWD52" s="11"/>
      <c r="VWE52" s="68"/>
      <c r="VWF52" s="83"/>
      <c r="VWG52" s="83"/>
      <c r="VWH52" s="80"/>
      <c r="VWI52" s="70"/>
      <c r="VWJ52" s="70"/>
      <c r="VWK52" s="25"/>
      <c r="VWL52" s="26"/>
      <c r="VWM52" s="26"/>
      <c r="VWN52" s="67"/>
      <c r="VWO52" s="11"/>
      <c r="VWP52" s="11"/>
      <c r="VWQ52" s="68"/>
      <c r="VWR52" s="83"/>
      <c r="VWS52" s="83"/>
      <c r="VWT52" s="80"/>
      <c r="VWU52" s="70"/>
      <c r="VWV52" s="70"/>
      <c r="VWW52" s="25"/>
      <c r="VWX52" s="26"/>
      <c r="VWY52" s="26"/>
      <c r="VWZ52" s="67"/>
      <c r="VXA52" s="11"/>
      <c r="VXB52" s="11"/>
      <c r="VXC52" s="68"/>
      <c r="VXD52" s="83"/>
      <c r="VXE52" s="83"/>
      <c r="VXF52" s="80"/>
      <c r="VXG52" s="70"/>
      <c r="VXH52" s="70"/>
      <c r="VXI52" s="25"/>
      <c r="VXJ52" s="26"/>
      <c r="VXK52" s="26"/>
      <c r="VXL52" s="67"/>
      <c r="VXM52" s="11"/>
      <c r="VXN52" s="11"/>
      <c r="VXO52" s="68"/>
      <c r="VXP52" s="83"/>
      <c r="VXQ52" s="83"/>
      <c r="VXR52" s="80"/>
      <c r="VXS52" s="70"/>
      <c r="VXT52" s="70"/>
      <c r="VXU52" s="25"/>
      <c r="VXV52" s="26"/>
      <c r="VXW52" s="26"/>
      <c r="VXX52" s="67"/>
      <c r="VXY52" s="11"/>
      <c r="VXZ52" s="11"/>
      <c r="VYA52" s="68"/>
      <c r="VYB52" s="83"/>
      <c r="VYC52" s="83"/>
      <c r="VYD52" s="80"/>
      <c r="VYE52" s="70"/>
      <c r="VYF52" s="70"/>
      <c r="VYG52" s="25"/>
      <c r="VYH52" s="26"/>
      <c r="VYI52" s="26"/>
      <c r="VYJ52" s="67"/>
      <c r="VYK52" s="11"/>
      <c r="VYL52" s="11"/>
      <c r="VYM52" s="68"/>
      <c r="VYN52" s="83"/>
      <c r="VYO52" s="83"/>
      <c r="VYP52" s="80"/>
      <c r="VYQ52" s="70"/>
      <c r="VYR52" s="70"/>
      <c r="VYS52" s="25"/>
      <c r="VYT52" s="26"/>
      <c r="VYU52" s="26"/>
      <c r="VYV52" s="67"/>
      <c r="VYW52" s="11"/>
      <c r="VYX52" s="11"/>
      <c r="VYY52" s="68"/>
      <c r="VYZ52" s="83"/>
      <c r="VZA52" s="83"/>
      <c r="VZB52" s="80"/>
      <c r="VZC52" s="70"/>
      <c r="VZD52" s="70"/>
      <c r="VZE52" s="25"/>
      <c r="VZF52" s="26"/>
      <c r="VZG52" s="26"/>
      <c r="VZH52" s="67"/>
      <c r="VZI52" s="11"/>
      <c r="VZJ52" s="11"/>
      <c r="VZK52" s="68"/>
      <c r="VZL52" s="83"/>
      <c r="VZM52" s="83"/>
      <c r="VZN52" s="80"/>
      <c r="VZO52" s="70"/>
      <c r="VZP52" s="70"/>
      <c r="VZQ52" s="25"/>
      <c r="VZR52" s="26"/>
      <c r="VZS52" s="26"/>
      <c r="VZT52" s="67"/>
      <c r="VZU52" s="11"/>
      <c r="VZV52" s="11"/>
      <c r="VZW52" s="68"/>
      <c r="VZX52" s="83"/>
      <c r="VZY52" s="83"/>
      <c r="VZZ52" s="80"/>
      <c r="WAA52" s="70"/>
      <c r="WAB52" s="70"/>
      <c r="WAC52" s="25"/>
      <c r="WAD52" s="26"/>
      <c r="WAE52" s="26"/>
      <c r="WAF52" s="67"/>
      <c r="WAG52" s="11"/>
      <c r="WAH52" s="11"/>
      <c r="WAI52" s="68"/>
      <c r="WAJ52" s="83"/>
      <c r="WAK52" s="83"/>
      <c r="WAL52" s="80"/>
      <c r="WAM52" s="70"/>
      <c r="WAN52" s="70"/>
      <c r="WAO52" s="25"/>
      <c r="WAP52" s="26"/>
      <c r="WAQ52" s="26"/>
      <c r="WAR52" s="67"/>
      <c r="WAS52" s="11"/>
      <c r="WAT52" s="11"/>
      <c r="WAU52" s="68"/>
      <c r="WAV52" s="83"/>
      <c r="WAW52" s="83"/>
      <c r="WAX52" s="80"/>
      <c r="WAY52" s="70"/>
      <c r="WAZ52" s="70"/>
      <c r="WBA52" s="25"/>
      <c r="WBB52" s="26"/>
      <c r="WBC52" s="26"/>
      <c r="WBD52" s="67"/>
      <c r="WBE52" s="11"/>
      <c r="WBF52" s="11"/>
      <c r="WBG52" s="68"/>
      <c r="WBH52" s="83"/>
      <c r="WBI52" s="83"/>
      <c r="WBJ52" s="80"/>
      <c r="WBK52" s="70"/>
      <c r="WBL52" s="70"/>
      <c r="WBM52" s="25"/>
      <c r="WBN52" s="26"/>
      <c r="WBO52" s="26"/>
      <c r="WBP52" s="67"/>
      <c r="WBQ52" s="11"/>
      <c r="WBR52" s="11"/>
      <c r="WBS52" s="68"/>
      <c r="WBT52" s="83"/>
      <c r="WBU52" s="83"/>
      <c r="WBV52" s="80"/>
      <c r="WBW52" s="70"/>
      <c r="WBX52" s="70"/>
      <c r="WBY52" s="25"/>
      <c r="WBZ52" s="26"/>
      <c r="WCA52" s="26"/>
      <c r="WCB52" s="67"/>
      <c r="WCC52" s="11"/>
      <c r="WCD52" s="11"/>
      <c r="WCE52" s="68"/>
      <c r="WCF52" s="83"/>
      <c r="WCG52" s="83"/>
      <c r="WCH52" s="80"/>
      <c r="WCI52" s="70"/>
      <c r="WCJ52" s="70"/>
      <c r="WCK52" s="25"/>
      <c r="WCL52" s="26"/>
      <c r="WCM52" s="26"/>
      <c r="WCN52" s="67"/>
      <c r="WCO52" s="11"/>
      <c r="WCP52" s="11"/>
      <c r="WCQ52" s="68"/>
      <c r="WCR52" s="83"/>
      <c r="WCS52" s="83"/>
      <c r="WCT52" s="80"/>
      <c r="WCU52" s="70"/>
      <c r="WCV52" s="70"/>
      <c r="WCW52" s="25"/>
      <c r="WCX52" s="26"/>
      <c r="WCY52" s="26"/>
      <c r="WCZ52" s="67"/>
      <c r="WDA52" s="11"/>
      <c r="WDB52" s="11"/>
      <c r="WDC52" s="68"/>
      <c r="WDD52" s="83"/>
      <c r="WDE52" s="83"/>
      <c r="WDF52" s="80"/>
      <c r="WDG52" s="70"/>
      <c r="WDH52" s="70"/>
      <c r="WDI52" s="25"/>
      <c r="WDJ52" s="26"/>
      <c r="WDK52" s="26"/>
      <c r="WDL52" s="67"/>
      <c r="WDM52" s="11"/>
      <c r="WDN52" s="11"/>
      <c r="WDO52" s="68"/>
      <c r="WDP52" s="83"/>
      <c r="WDQ52" s="83"/>
      <c r="WDR52" s="80"/>
      <c r="WDS52" s="70"/>
      <c r="WDT52" s="70"/>
      <c r="WDU52" s="25"/>
      <c r="WDV52" s="26"/>
      <c r="WDW52" s="26"/>
      <c r="WDX52" s="67"/>
      <c r="WDY52" s="11"/>
      <c r="WDZ52" s="11"/>
      <c r="WEA52" s="68"/>
      <c r="WEB52" s="83"/>
      <c r="WEC52" s="83"/>
      <c r="WED52" s="80"/>
      <c r="WEE52" s="70"/>
      <c r="WEF52" s="70"/>
      <c r="WEG52" s="25"/>
      <c r="WEH52" s="26"/>
      <c r="WEI52" s="26"/>
      <c r="WEJ52" s="67"/>
      <c r="WEK52" s="11"/>
      <c r="WEL52" s="11"/>
      <c r="WEM52" s="68"/>
      <c r="WEN52" s="83"/>
      <c r="WEO52" s="83"/>
      <c r="WEP52" s="80"/>
      <c r="WEQ52" s="70"/>
      <c r="WER52" s="70"/>
      <c r="WES52" s="25"/>
      <c r="WET52" s="26"/>
      <c r="WEU52" s="26"/>
      <c r="WEV52" s="67"/>
      <c r="WEW52" s="11"/>
      <c r="WEX52" s="11"/>
      <c r="WEY52" s="68"/>
      <c r="WEZ52" s="83"/>
      <c r="WFA52" s="83"/>
      <c r="WFB52" s="80"/>
      <c r="WFC52" s="70"/>
      <c r="WFD52" s="70"/>
      <c r="WFE52" s="25"/>
      <c r="WFF52" s="26"/>
      <c r="WFG52" s="26"/>
      <c r="WFH52" s="67"/>
      <c r="WFI52" s="11"/>
      <c r="WFJ52" s="11"/>
      <c r="WFK52" s="68"/>
      <c r="WFL52" s="83"/>
      <c r="WFM52" s="83"/>
      <c r="WFN52" s="80"/>
      <c r="WFO52" s="70"/>
      <c r="WFP52" s="70"/>
      <c r="WFQ52" s="25"/>
      <c r="WFR52" s="26"/>
      <c r="WFS52" s="26"/>
      <c r="WFT52" s="67"/>
      <c r="WFU52" s="11"/>
      <c r="WFV52" s="11"/>
      <c r="WFW52" s="68"/>
      <c r="WFX52" s="83"/>
      <c r="WFY52" s="83"/>
      <c r="WFZ52" s="80"/>
      <c r="WGA52" s="70"/>
      <c r="WGB52" s="70"/>
      <c r="WGC52" s="25"/>
      <c r="WGD52" s="26"/>
      <c r="WGE52" s="26"/>
      <c r="WGF52" s="67"/>
      <c r="WGG52" s="11"/>
      <c r="WGH52" s="11"/>
      <c r="WGI52" s="68"/>
      <c r="WGJ52" s="83"/>
      <c r="WGK52" s="83"/>
      <c r="WGL52" s="80"/>
      <c r="WGM52" s="70"/>
      <c r="WGN52" s="70"/>
      <c r="WGO52" s="25"/>
      <c r="WGP52" s="26"/>
      <c r="WGQ52" s="26"/>
      <c r="WGR52" s="67"/>
      <c r="WGS52" s="11"/>
      <c r="WGT52" s="11"/>
      <c r="WGU52" s="68"/>
      <c r="WGV52" s="83"/>
      <c r="WGW52" s="83"/>
      <c r="WGX52" s="80"/>
      <c r="WGY52" s="70"/>
      <c r="WGZ52" s="70"/>
      <c r="WHA52" s="25"/>
      <c r="WHB52" s="26"/>
      <c r="WHC52" s="26"/>
      <c r="WHD52" s="67"/>
      <c r="WHE52" s="11"/>
      <c r="WHF52" s="11"/>
      <c r="WHG52" s="68"/>
      <c r="WHH52" s="83"/>
      <c r="WHI52" s="83"/>
      <c r="WHJ52" s="80"/>
      <c r="WHK52" s="70"/>
      <c r="WHL52" s="70"/>
      <c r="WHM52" s="25"/>
      <c r="WHN52" s="26"/>
      <c r="WHO52" s="26"/>
      <c r="WHP52" s="67"/>
      <c r="WHQ52" s="11"/>
      <c r="WHR52" s="11"/>
      <c r="WHS52" s="68"/>
      <c r="WHT52" s="83"/>
      <c r="WHU52" s="83"/>
      <c r="WHV52" s="80"/>
      <c r="WHW52" s="70"/>
      <c r="WHX52" s="70"/>
      <c r="WHY52" s="25"/>
      <c r="WHZ52" s="26"/>
      <c r="WIA52" s="26"/>
      <c r="WIB52" s="67"/>
      <c r="WIC52" s="11"/>
      <c r="WID52" s="11"/>
      <c r="WIE52" s="68"/>
      <c r="WIF52" s="83"/>
      <c r="WIG52" s="83"/>
      <c r="WIH52" s="80"/>
      <c r="WII52" s="70"/>
      <c r="WIJ52" s="70"/>
      <c r="WIK52" s="25"/>
      <c r="WIL52" s="26"/>
      <c r="WIM52" s="26"/>
      <c r="WIN52" s="67"/>
      <c r="WIO52" s="11"/>
      <c r="WIP52" s="11"/>
      <c r="WIQ52" s="68"/>
      <c r="WIR52" s="83"/>
      <c r="WIS52" s="83"/>
      <c r="WIT52" s="80"/>
      <c r="WIU52" s="70"/>
      <c r="WIV52" s="70"/>
      <c r="WIW52" s="25"/>
      <c r="WIX52" s="26"/>
      <c r="WIY52" s="26"/>
      <c r="WIZ52" s="67"/>
      <c r="WJA52" s="11"/>
      <c r="WJB52" s="11"/>
      <c r="WJC52" s="68"/>
      <c r="WJD52" s="83"/>
      <c r="WJE52" s="83"/>
      <c r="WJF52" s="80"/>
      <c r="WJG52" s="70"/>
      <c r="WJH52" s="70"/>
      <c r="WJI52" s="25"/>
      <c r="WJJ52" s="26"/>
      <c r="WJK52" s="26"/>
      <c r="WJL52" s="67"/>
      <c r="WJM52" s="11"/>
      <c r="WJN52" s="11"/>
      <c r="WJO52" s="68"/>
      <c r="WJP52" s="83"/>
      <c r="WJQ52" s="83"/>
      <c r="WJR52" s="80"/>
      <c r="WJS52" s="70"/>
      <c r="WJT52" s="70"/>
      <c r="WJU52" s="25"/>
      <c r="WJV52" s="26"/>
      <c r="WJW52" s="26"/>
      <c r="WJX52" s="67"/>
      <c r="WJY52" s="11"/>
      <c r="WJZ52" s="11"/>
      <c r="WKA52" s="68"/>
      <c r="WKB52" s="83"/>
      <c r="WKC52" s="83"/>
      <c r="WKD52" s="80"/>
      <c r="WKE52" s="70"/>
      <c r="WKF52" s="70"/>
      <c r="WKG52" s="25"/>
      <c r="WKH52" s="26"/>
      <c r="WKI52" s="26"/>
      <c r="WKJ52" s="67"/>
      <c r="WKK52" s="11"/>
      <c r="WKL52" s="11"/>
      <c r="WKM52" s="68"/>
      <c r="WKN52" s="83"/>
      <c r="WKO52" s="83"/>
      <c r="WKP52" s="80"/>
      <c r="WKQ52" s="70"/>
      <c r="WKR52" s="70"/>
      <c r="WKS52" s="25"/>
      <c r="WKT52" s="26"/>
      <c r="WKU52" s="26"/>
      <c r="WKV52" s="67"/>
      <c r="WKW52" s="11"/>
      <c r="WKX52" s="11"/>
      <c r="WKY52" s="68"/>
      <c r="WKZ52" s="83"/>
      <c r="WLA52" s="83"/>
      <c r="WLB52" s="80"/>
      <c r="WLC52" s="70"/>
      <c r="WLD52" s="70"/>
      <c r="WLE52" s="25"/>
      <c r="WLF52" s="26"/>
      <c r="WLG52" s="26"/>
      <c r="WLH52" s="67"/>
      <c r="WLI52" s="11"/>
      <c r="WLJ52" s="11"/>
      <c r="WLK52" s="68"/>
      <c r="WLL52" s="83"/>
      <c r="WLM52" s="83"/>
      <c r="WLN52" s="80"/>
      <c r="WLO52" s="70"/>
      <c r="WLP52" s="70"/>
      <c r="WLQ52" s="25"/>
      <c r="WLR52" s="26"/>
      <c r="WLS52" s="26"/>
      <c r="WLT52" s="67"/>
      <c r="WLU52" s="11"/>
      <c r="WLV52" s="11"/>
      <c r="WLW52" s="68"/>
      <c r="WLX52" s="83"/>
      <c r="WLY52" s="83"/>
      <c r="WLZ52" s="80"/>
      <c r="WMA52" s="70"/>
      <c r="WMB52" s="70"/>
      <c r="WMC52" s="25"/>
      <c r="WMD52" s="26"/>
      <c r="WME52" s="26"/>
      <c r="WMF52" s="67"/>
      <c r="WMG52" s="11"/>
      <c r="WMH52" s="11"/>
      <c r="WMI52" s="68"/>
      <c r="WMJ52" s="83"/>
      <c r="WMK52" s="83"/>
      <c r="WML52" s="80"/>
      <c r="WMM52" s="70"/>
      <c r="WMN52" s="70"/>
      <c r="WMO52" s="25"/>
      <c r="WMP52" s="26"/>
      <c r="WMQ52" s="26"/>
      <c r="WMR52" s="67"/>
      <c r="WMS52" s="11"/>
      <c r="WMT52" s="11"/>
      <c r="WMU52" s="68"/>
      <c r="WMV52" s="83"/>
      <c r="WMW52" s="83"/>
      <c r="WMX52" s="80"/>
      <c r="WMY52" s="70"/>
      <c r="WMZ52" s="70"/>
      <c r="WNA52" s="25"/>
      <c r="WNB52" s="26"/>
      <c r="WNC52" s="26"/>
      <c r="WND52" s="67"/>
      <c r="WNE52" s="11"/>
      <c r="WNF52" s="11"/>
      <c r="WNG52" s="68"/>
      <c r="WNH52" s="83"/>
      <c r="WNI52" s="83"/>
      <c r="WNJ52" s="80"/>
      <c r="WNK52" s="70"/>
      <c r="WNL52" s="70"/>
      <c r="WNM52" s="25"/>
      <c r="WNN52" s="26"/>
      <c r="WNO52" s="26"/>
      <c r="WNP52" s="67"/>
      <c r="WNQ52" s="11"/>
      <c r="WNR52" s="11"/>
      <c r="WNS52" s="68"/>
      <c r="WNT52" s="83"/>
      <c r="WNU52" s="83"/>
      <c r="WNV52" s="80"/>
      <c r="WNW52" s="70"/>
      <c r="WNX52" s="70"/>
      <c r="WNY52" s="25"/>
      <c r="WNZ52" s="26"/>
      <c r="WOA52" s="26"/>
      <c r="WOB52" s="67"/>
      <c r="WOC52" s="11"/>
      <c r="WOD52" s="11"/>
      <c r="WOE52" s="68"/>
      <c r="WOF52" s="83"/>
      <c r="WOG52" s="83"/>
      <c r="WOH52" s="80"/>
      <c r="WOI52" s="70"/>
      <c r="WOJ52" s="70"/>
      <c r="WOK52" s="25"/>
      <c r="WOL52" s="26"/>
      <c r="WOM52" s="26"/>
      <c r="WON52" s="67"/>
      <c r="WOO52" s="11"/>
      <c r="WOP52" s="11"/>
      <c r="WOQ52" s="68"/>
      <c r="WOR52" s="83"/>
      <c r="WOS52" s="83"/>
      <c r="WOT52" s="80"/>
      <c r="WOU52" s="70"/>
      <c r="WOV52" s="70"/>
      <c r="WOW52" s="25"/>
      <c r="WOX52" s="26"/>
      <c r="WOY52" s="26"/>
      <c r="WOZ52" s="67"/>
      <c r="WPA52" s="11"/>
      <c r="WPB52" s="11"/>
      <c r="WPC52" s="68"/>
      <c r="WPD52" s="83"/>
      <c r="WPE52" s="83"/>
      <c r="WPF52" s="80"/>
      <c r="WPG52" s="70"/>
      <c r="WPH52" s="70"/>
      <c r="WPI52" s="25"/>
      <c r="WPJ52" s="26"/>
      <c r="WPK52" s="26"/>
      <c r="WPL52" s="67"/>
      <c r="WPM52" s="11"/>
      <c r="WPN52" s="11"/>
      <c r="WPO52" s="68"/>
      <c r="WPP52" s="83"/>
      <c r="WPQ52" s="83"/>
      <c r="WPR52" s="80"/>
      <c r="WPS52" s="70"/>
      <c r="WPT52" s="70"/>
      <c r="WPU52" s="25"/>
      <c r="WPV52" s="26"/>
      <c r="WPW52" s="26"/>
      <c r="WPX52" s="67"/>
      <c r="WPY52" s="11"/>
      <c r="WPZ52" s="11"/>
      <c r="WQA52" s="68"/>
      <c r="WQB52" s="83"/>
      <c r="WQC52" s="83"/>
      <c r="WQD52" s="80"/>
      <c r="WQE52" s="70"/>
      <c r="WQF52" s="70"/>
      <c r="WQG52" s="25"/>
      <c r="WQH52" s="26"/>
      <c r="WQI52" s="26"/>
      <c r="WQJ52" s="67"/>
      <c r="WQK52" s="11"/>
      <c r="WQL52" s="11"/>
      <c r="WQM52" s="68"/>
      <c r="WQN52" s="83"/>
      <c r="WQO52" s="83"/>
      <c r="WQP52" s="80"/>
      <c r="WQQ52" s="70"/>
      <c r="WQR52" s="70"/>
      <c r="WQS52" s="25"/>
      <c r="WQT52" s="26"/>
      <c r="WQU52" s="26"/>
      <c r="WQV52" s="67"/>
      <c r="WQW52" s="11"/>
      <c r="WQX52" s="11"/>
      <c r="WQY52" s="68"/>
      <c r="WQZ52" s="83"/>
      <c r="WRA52" s="83"/>
      <c r="WRB52" s="80"/>
      <c r="WRC52" s="70"/>
      <c r="WRD52" s="70"/>
      <c r="WRE52" s="25"/>
      <c r="WRF52" s="26"/>
      <c r="WRG52" s="26"/>
      <c r="WRH52" s="67"/>
      <c r="WRI52" s="11"/>
      <c r="WRJ52" s="11"/>
      <c r="WRK52" s="68"/>
      <c r="WRL52" s="83"/>
      <c r="WRM52" s="83"/>
      <c r="WRN52" s="80"/>
      <c r="WRO52" s="70"/>
      <c r="WRP52" s="70"/>
      <c r="WRQ52" s="25"/>
      <c r="WRR52" s="26"/>
      <c r="WRS52" s="26"/>
      <c r="WRT52" s="67"/>
      <c r="WRU52" s="11"/>
      <c r="WRV52" s="11"/>
      <c r="WRW52" s="68"/>
      <c r="WRX52" s="83"/>
      <c r="WRY52" s="83"/>
      <c r="WRZ52" s="80"/>
      <c r="WSA52" s="70"/>
      <c r="WSB52" s="70"/>
      <c r="WSC52" s="25"/>
      <c r="WSD52" s="26"/>
      <c r="WSE52" s="26"/>
      <c r="WSF52" s="67"/>
      <c r="WSG52" s="11"/>
      <c r="WSH52" s="11"/>
      <c r="WSI52" s="68"/>
      <c r="WSJ52" s="83"/>
      <c r="WSK52" s="83"/>
      <c r="WSL52" s="80"/>
      <c r="WSM52" s="70"/>
      <c r="WSN52" s="70"/>
      <c r="WSO52" s="25"/>
      <c r="WSP52" s="26"/>
      <c r="WSQ52" s="26"/>
      <c r="WSR52" s="67"/>
      <c r="WSS52" s="11"/>
      <c r="WST52" s="11"/>
      <c r="WSU52" s="68"/>
      <c r="WSV52" s="83"/>
      <c r="WSW52" s="83"/>
      <c r="WSX52" s="80"/>
      <c r="WSY52" s="70"/>
      <c r="WSZ52" s="70"/>
      <c r="WTA52" s="25"/>
      <c r="WTB52" s="26"/>
      <c r="WTC52" s="26"/>
      <c r="WTD52" s="67"/>
      <c r="WTE52" s="11"/>
      <c r="WTF52" s="11"/>
      <c r="WTG52" s="68"/>
      <c r="WTH52" s="83"/>
      <c r="WTI52" s="83"/>
      <c r="WTJ52" s="80"/>
      <c r="WTK52" s="70"/>
      <c r="WTL52" s="70"/>
      <c r="WTM52" s="25"/>
      <c r="WTN52" s="26"/>
      <c r="WTO52" s="26"/>
      <c r="WTP52" s="67"/>
      <c r="WTQ52" s="11"/>
      <c r="WTR52" s="11"/>
      <c r="WTS52" s="68"/>
      <c r="WTT52" s="83"/>
      <c r="WTU52" s="83"/>
      <c r="WTV52" s="80"/>
      <c r="WTW52" s="70"/>
      <c r="WTX52" s="70"/>
      <c r="WTY52" s="25"/>
      <c r="WTZ52" s="26"/>
      <c r="WUA52" s="26"/>
      <c r="WUB52" s="67"/>
      <c r="WUC52" s="11"/>
      <c r="WUD52" s="11"/>
      <c r="WUE52" s="68"/>
      <c r="WUF52" s="83"/>
      <c r="WUG52" s="83"/>
      <c r="WUH52" s="80"/>
      <c r="WUI52" s="70"/>
      <c r="WUJ52" s="70"/>
      <c r="WUK52" s="25"/>
      <c r="WUL52" s="26"/>
      <c r="WUM52" s="26"/>
      <c r="WUN52" s="67"/>
      <c r="WUO52" s="11"/>
      <c r="WUP52" s="11"/>
      <c r="WUQ52" s="68"/>
      <c r="WUR52" s="83"/>
      <c r="WUS52" s="83"/>
      <c r="WUT52" s="80"/>
      <c r="WUU52" s="70"/>
      <c r="WUV52" s="70"/>
      <c r="WUW52" s="25"/>
      <c r="WUX52" s="26"/>
      <c r="WUY52" s="26"/>
      <c r="WUZ52" s="67"/>
      <c r="WVA52" s="11"/>
      <c r="WVB52" s="11"/>
      <c r="WVC52" s="68"/>
      <c r="WVD52" s="83"/>
      <c r="WVE52" s="83"/>
      <c r="WVF52" s="80"/>
      <c r="WVG52" s="70"/>
      <c r="WVH52" s="70"/>
      <c r="WVI52" s="25"/>
      <c r="WVJ52" s="26"/>
      <c r="WVK52" s="26"/>
      <c r="WVL52" s="67"/>
      <c r="WVM52" s="11"/>
      <c r="WVN52" s="11"/>
      <c r="WVO52" s="68"/>
      <c r="WVP52" s="83"/>
      <c r="WVQ52" s="83"/>
      <c r="WVR52" s="80"/>
      <c r="WVS52" s="70"/>
      <c r="WVT52" s="70"/>
      <c r="WVU52" s="25"/>
      <c r="WVV52" s="26"/>
      <c r="WVW52" s="26"/>
      <c r="WVX52" s="67"/>
      <c r="WVY52" s="11"/>
      <c r="WVZ52" s="11"/>
      <c r="WWA52" s="68"/>
      <c r="WWB52" s="83"/>
      <c r="WWC52" s="83"/>
      <c r="WWD52" s="80"/>
      <c r="WWE52" s="70"/>
      <c r="WWF52" s="70"/>
      <c r="WWG52" s="25"/>
      <c r="WWH52" s="26"/>
      <c r="WWI52" s="26"/>
      <c r="WWJ52" s="67"/>
      <c r="WWK52" s="11"/>
      <c r="WWL52" s="11"/>
      <c r="WWM52" s="68"/>
      <c r="WWN52" s="83"/>
      <c r="WWO52" s="83"/>
      <c r="WWP52" s="80"/>
      <c r="WWQ52" s="70"/>
      <c r="WWR52" s="70"/>
      <c r="WWS52" s="25"/>
      <c r="WWT52" s="26"/>
      <c r="WWU52" s="26"/>
      <c r="WWV52" s="67"/>
      <c r="WWW52" s="11"/>
      <c r="WWX52" s="11"/>
      <c r="WWY52" s="68"/>
      <c r="WWZ52" s="83"/>
      <c r="WXA52" s="83"/>
      <c r="WXB52" s="80"/>
      <c r="WXC52" s="70"/>
      <c r="WXD52" s="70"/>
      <c r="WXE52" s="25"/>
      <c r="WXF52" s="26"/>
      <c r="WXG52" s="26"/>
      <c r="WXH52" s="67"/>
      <c r="WXI52" s="11"/>
      <c r="WXJ52" s="11"/>
      <c r="WXK52" s="68"/>
      <c r="WXL52" s="83"/>
      <c r="WXM52" s="83"/>
      <c r="WXN52" s="80"/>
      <c r="WXO52" s="70"/>
      <c r="WXP52" s="70"/>
      <c r="WXQ52" s="25"/>
      <c r="WXR52" s="26"/>
      <c r="WXS52" s="26"/>
      <c r="WXT52" s="67"/>
      <c r="WXU52" s="11"/>
      <c r="WXV52" s="11"/>
      <c r="WXW52" s="68"/>
      <c r="WXX52" s="83"/>
      <c r="WXY52" s="83"/>
      <c r="WXZ52" s="80"/>
      <c r="WYA52" s="70"/>
      <c r="WYB52" s="70"/>
      <c r="WYC52" s="25"/>
      <c r="WYD52" s="26"/>
      <c r="WYE52" s="26"/>
      <c r="WYF52" s="67"/>
      <c r="WYG52" s="11"/>
      <c r="WYH52" s="11"/>
      <c r="WYI52" s="68"/>
      <c r="WYJ52" s="83"/>
      <c r="WYK52" s="83"/>
      <c r="WYL52" s="80"/>
      <c r="WYM52" s="70"/>
      <c r="WYN52" s="70"/>
      <c r="WYO52" s="25"/>
      <c r="WYP52" s="26"/>
      <c r="WYQ52" s="26"/>
      <c r="WYR52" s="67"/>
      <c r="WYS52" s="11"/>
      <c r="WYT52" s="11"/>
      <c r="WYU52" s="68"/>
      <c r="WYV52" s="83"/>
      <c r="WYW52" s="83"/>
      <c r="WYX52" s="80"/>
      <c r="WYY52" s="70"/>
      <c r="WYZ52" s="70"/>
      <c r="WZA52" s="25"/>
      <c r="WZB52" s="26"/>
      <c r="WZC52" s="26"/>
      <c r="WZD52" s="67"/>
      <c r="WZE52" s="11"/>
      <c r="WZF52" s="11"/>
      <c r="WZG52" s="68"/>
      <c r="WZH52" s="83"/>
      <c r="WZI52" s="83"/>
      <c r="WZJ52" s="80"/>
      <c r="WZK52" s="70"/>
      <c r="WZL52" s="70"/>
      <c r="WZM52" s="25"/>
      <c r="WZN52" s="26"/>
      <c r="WZO52" s="26"/>
      <c r="WZP52" s="67"/>
      <c r="WZQ52" s="11"/>
      <c r="WZR52" s="11"/>
      <c r="WZS52" s="68"/>
      <c r="WZT52" s="83"/>
      <c r="WZU52" s="83"/>
      <c r="WZV52" s="80"/>
      <c r="WZW52" s="70"/>
      <c r="WZX52" s="70"/>
      <c r="WZY52" s="25"/>
      <c r="WZZ52" s="26"/>
      <c r="XAA52" s="26"/>
      <c r="XAB52" s="67"/>
      <c r="XAC52" s="11"/>
      <c r="XAD52" s="11"/>
      <c r="XAE52" s="68"/>
      <c r="XAF52" s="83"/>
      <c r="XAG52" s="83"/>
      <c r="XAH52" s="80"/>
      <c r="XAI52" s="70"/>
      <c r="XAJ52" s="70"/>
      <c r="XAK52" s="25"/>
      <c r="XAL52" s="26"/>
      <c r="XAM52" s="26"/>
      <c r="XAN52" s="67"/>
      <c r="XAO52" s="11"/>
      <c r="XAP52" s="11"/>
      <c r="XAQ52" s="68"/>
      <c r="XAR52" s="83"/>
      <c r="XAS52" s="83"/>
      <c r="XAT52" s="80"/>
      <c r="XAU52" s="70"/>
      <c r="XAV52" s="70"/>
      <c r="XAW52" s="25"/>
      <c r="XAX52" s="26"/>
      <c r="XAY52" s="26"/>
      <c r="XAZ52" s="67"/>
      <c r="XBA52" s="11"/>
      <c r="XBB52" s="11"/>
      <c r="XBC52" s="68"/>
      <c r="XBD52" s="83"/>
      <c r="XBE52" s="83"/>
      <c r="XBF52" s="80"/>
      <c r="XBG52" s="70"/>
      <c r="XBH52" s="70"/>
      <c r="XBI52" s="25"/>
      <c r="XBJ52" s="26"/>
      <c r="XBK52" s="26"/>
      <c r="XBL52" s="67"/>
      <c r="XBM52" s="11"/>
      <c r="XBN52" s="11"/>
      <c r="XBO52" s="68"/>
      <c r="XBP52" s="83"/>
      <c r="XBQ52" s="83"/>
      <c r="XBR52" s="80"/>
      <c r="XBS52" s="70"/>
      <c r="XBT52" s="70"/>
      <c r="XBU52" s="25"/>
      <c r="XBV52" s="26"/>
      <c r="XBW52" s="26"/>
      <c r="XBX52" s="67"/>
      <c r="XBY52" s="11"/>
      <c r="XBZ52" s="11"/>
      <c r="XCA52" s="68"/>
      <c r="XCB52" s="83"/>
      <c r="XCC52" s="83"/>
      <c r="XCD52" s="80"/>
      <c r="XCE52" s="70"/>
      <c r="XCF52" s="70"/>
      <c r="XCG52" s="25"/>
      <c r="XCH52" s="26"/>
      <c r="XCI52" s="26"/>
      <c r="XCJ52" s="67"/>
      <c r="XCK52" s="11"/>
      <c r="XCL52" s="11"/>
      <c r="XCM52" s="68"/>
      <c r="XCN52" s="83"/>
      <c r="XCO52" s="83"/>
      <c r="XCP52" s="80"/>
      <c r="XCQ52" s="70"/>
      <c r="XCR52" s="70"/>
      <c r="XCS52" s="25"/>
      <c r="XCT52" s="26"/>
      <c r="XCU52" s="26"/>
      <c r="XCV52" s="67"/>
      <c r="XCW52" s="11"/>
      <c r="XCX52" s="11"/>
      <c r="XCY52" s="68"/>
      <c r="XCZ52" s="83"/>
      <c r="XDA52" s="83"/>
      <c r="XDB52" s="80"/>
      <c r="XDC52" s="70"/>
      <c r="XDD52" s="70"/>
      <c r="XDE52" s="25"/>
      <c r="XDF52" s="26"/>
      <c r="XDG52" s="26"/>
      <c r="XDH52" s="67"/>
      <c r="XDI52" s="11"/>
      <c r="XDJ52" s="11"/>
      <c r="XDK52" s="68"/>
      <c r="XDL52" s="83"/>
      <c r="XDM52" s="83"/>
      <c r="XDN52" s="80"/>
      <c r="XDO52" s="70"/>
      <c r="XDP52" s="70"/>
      <c r="XDQ52" s="25"/>
      <c r="XDR52" s="26"/>
      <c r="XDS52" s="26"/>
      <c r="XDT52" s="67"/>
      <c r="XDU52" s="11"/>
      <c r="XDV52" s="11"/>
      <c r="XDW52" s="68"/>
      <c r="XDX52" s="83"/>
      <c r="XDY52" s="83"/>
      <c r="XDZ52" s="80"/>
      <c r="XEA52" s="70"/>
      <c r="XEB52" s="70"/>
      <c r="XEC52" s="25"/>
      <c r="XED52" s="26"/>
      <c r="XEE52" s="26"/>
      <c r="XEF52" s="67"/>
      <c r="XEG52" s="11"/>
      <c r="XEH52" s="11"/>
      <c r="XEI52" s="68"/>
      <c r="XEJ52" s="83"/>
      <c r="XEK52" s="83"/>
      <c r="XEL52" s="80"/>
      <c r="XEM52" s="70"/>
      <c r="XEN52" s="70"/>
      <c r="XEO52" s="25"/>
      <c r="XEP52" s="26"/>
      <c r="XEQ52" s="26"/>
      <c r="XER52" s="67"/>
      <c r="XES52" s="11"/>
      <c r="XET52" s="11"/>
      <c r="XEU52" s="68"/>
      <c r="XEV52" s="83"/>
      <c r="XEW52" s="83"/>
      <c r="XEX52" s="80"/>
      <c r="XEY52" s="70"/>
      <c r="XEZ52" s="70"/>
      <c r="XFA52" s="25"/>
      <c r="XFB52" s="26"/>
      <c r="XFC52" s="26"/>
      <c r="XFD52" s="67"/>
    </row>
    <row r="53" spans="1:16384" ht="15.75">
      <c r="A53" s="27" t="str">
        <v>Q192</v>
      </c>
      <c r="B53" s="28" t="str">
        <v>NY</v>
      </c>
      <c r="C53" s="28" t="str">
        <f>Sites[[#This Row],[SOL'#]]</f>
        <v>SOL-10406</v>
      </c>
      <c r="D53" s="10">
        <v>30244.375</v>
      </c>
      <c r="E53" s="15">
        <v>33268.82</v>
      </c>
      <c r="F53" s="15">
        <f t="shared" si="0"/>
        <v>-3024.4449999999997</v>
      </c>
      <c r="G53" s="16">
        <f t="shared" si="5"/>
        <v>-9.0909295851190383E-2</v>
      </c>
      <c r="H53" s="17">
        <v>32069</v>
      </c>
      <c r="I53" s="17">
        <f t="shared" si="1"/>
        <v>-1824.625</v>
      </c>
      <c r="J53" s="16">
        <f t="shared" si="2"/>
        <v>-5.6896847422744708E-2</v>
      </c>
      <c r="K53" s="39"/>
      <c r="L53" s="39"/>
    </row>
    <row r="54" spans="1:16384" ht="28.5">
      <c r="A54" s="25" t="str">
        <v>Q210</v>
      </c>
      <c r="B54" s="26" t="str">
        <v>NY</v>
      </c>
      <c r="C54" s="26" t="str">
        <f>Sites[[#This Row],[SOL'#]]</f>
        <v>SOL-10407</v>
      </c>
      <c r="D54" s="67">
        <v>20447.125</v>
      </c>
      <c r="E54" s="11">
        <v>24673.23</v>
      </c>
      <c r="F54" s="11">
        <f t="shared" si="0"/>
        <v>-4226.1049999999996</v>
      </c>
      <c r="G54" s="68">
        <f t="shared" si="5"/>
        <v>-0.17128300591369675</v>
      </c>
      <c r="H54" s="83">
        <v>26205</v>
      </c>
      <c r="I54" s="83">
        <f t="shared" si="1"/>
        <v>-5757.875</v>
      </c>
      <c r="J54" s="80">
        <f t="shared" si="2"/>
        <v>-0.21972428925777523</v>
      </c>
      <c r="K54" s="70" t="s">
        <v>984</v>
      </c>
      <c r="L54" s="70" t="s">
        <v>852</v>
      </c>
    </row>
    <row r="55" spans="1:16384" ht="15.75">
      <c r="A55" s="27" t="str">
        <v>Q229</v>
      </c>
      <c r="B55" s="28" t="str">
        <v>NY</v>
      </c>
      <c r="C55" s="28" t="str">
        <f>Sites[[#This Row],[SOL'#]]</f>
        <v>SOL-10408</v>
      </c>
      <c r="D55" s="10">
        <v>10594.59375</v>
      </c>
      <c r="E55" s="15">
        <v>12325.17</v>
      </c>
      <c r="F55" s="15">
        <f t="shared" si="0"/>
        <v>-1730.5762500000001</v>
      </c>
      <c r="G55" s="16">
        <f t="shared" si="5"/>
        <v>-0.14040992943707875</v>
      </c>
      <c r="H55" s="17">
        <v>11010</v>
      </c>
      <c r="I55" s="17">
        <f t="shared" si="1"/>
        <v>-415.40625</v>
      </c>
      <c r="J55" s="16">
        <f t="shared" si="2"/>
        <v>-3.7729904632152589E-2</v>
      </c>
      <c r="K55" s="39" t="s">
        <v>985</v>
      </c>
      <c r="L55" s="108" t="s">
        <v>986</v>
      </c>
    </row>
    <row r="56" spans="1:16384" ht="15.75">
      <c r="A56" s="25" t="str">
        <v>Q231</v>
      </c>
      <c r="B56" s="26" t="str">
        <v>NY</v>
      </c>
      <c r="C56" s="26" t="str">
        <f>Sites[[#This Row],[SOL'#]]</f>
        <v>SOL-10870</v>
      </c>
      <c r="D56" s="67">
        <v>40707.500000000102</v>
      </c>
      <c r="E56" s="11">
        <v>41622.36</v>
      </c>
      <c r="F56" s="11">
        <f t="shared" si="0"/>
        <v>-914.85999999989872</v>
      </c>
      <c r="G56" s="68">
        <f t="shared" si="5"/>
        <v>-2.1980012666266369E-2</v>
      </c>
      <c r="H56" s="83">
        <v>43484</v>
      </c>
      <c r="I56" s="83">
        <f t="shared" si="1"/>
        <v>-2776.4999999998981</v>
      </c>
      <c r="J56" s="80">
        <f t="shared" si="2"/>
        <v>-6.3851071658538733E-2</v>
      </c>
      <c r="K56" s="70"/>
      <c r="L56" s="70"/>
    </row>
    <row r="57" spans="1:16384" ht="15.75">
      <c r="A57" s="27" t="str">
        <v>Q405</v>
      </c>
      <c r="B57" s="28" t="str">
        <v>NY</v>
      </c>
      <c r="C57" s="28" t="str">
        <f>Sites[[#This Row],[SOL'#]]</f>
        <v>SOL-10409</v>
      </c>
      <c r="D57" s="10">
        <v>43892.375</v>
      </c>
      <c r="E57" s="15">
        <v>47064.5</v>
      </c>
      <c r="F57" s="15">
        <f t="shared" si="0"/>
        <v>-3172.125</v>
      </c>
      <c r="G57" s="16">
        <f t="shared" si="5"/>
        <v>-6.7399526182154279E-2</v>
      </c>
      <c r="H57" s="17">
        <v>48101</v>
      </c>
      <c r="I57" s="17">
        <f t="shared" si="1"/>
        <v>-4208.625</v>
      </c>
      <c r="J57" s="16">
        <f t="shared" si="2"/>
        <v>-8.7495582212428022E-2</v>
      </c>
      <c r="K57" s="39"/>
      <c r="L57" s="40"/>
    </row>
    <row r="58" spans="1:16384" ht="15.75">
      <c r="A58" s="25" t="str">
        <v>Q435</v>
      </c>
      <c r="B58" s="26" t="str">
        <v>NY</v>
      </c>
      <c r="C58" s="26" t="str">
        <f>Sites[[#This Row],[SOL'#]]</f>
        <v>SOL-10923</v>
      </c>
      <c r="D58" s="67">
        <v>60468.625</v>
      </c>
      <c r="E58" s="11">
        <v>44567.05</v>
      </c>
      <c r="F58" s="11">
        <f t="shared" si="0"/>
        <v>15901.574999999997</v>
      </c>
      <c r="G58" s="68">
        <f t="shared" si="5"/>
        <v>0.35680115690852315</v>
      </c>
      <c r="H58" s="83">
        <v>61672</v>
      </c>
      <c r="I58" s="83">
        <f t="shared" si="1"/>
        <v>-1203.375</v>
      </c>
      <c r="J58" s="80">
        <f t="shared" si="2"/>
        <v>-1.9512501621481385E-2</v>
      </c>
      <c r="K58" s="70"/>
      <c r="L58" s="70"/>
    </row>
    <row r="59" spans="1:16384" ht="15.75">
      <c r="A59" s="27" t="str">
        <v>Q485</v>
      </c>
      <c r="B59" s="28" t="str">
        <v>NY</v>
      </c>
      <c r="C59" s="28" t="str">
        <f>Sites[[#This Row],[SOL'#]]</f>
        <v>SOL-10869</v>
      </c>
      <c r="D59" s="10">
        <v>54545.968749999898</v>
      </c>
      <c r="E59" s="15">
        <v>45116.08</v>
      </c>
      <c r="F59" s="15">
        <f t="shared" si="0"/>
        <v>9429.8887499998964</v>
      </c>
      <c r="G59" s="16">
        <f t="shared" si="5"/>
        <v>0.2090139203139966</v>
      </c>
      <c r="H59" s="17">
        <v>59353</v>
      </c>
      <c r="I59" s="17">
        <f t="shared" si="1"/>
        <v>-4807.0312500001019</v>
      </c>
      <c r="J59" s="16">
        <f t="shared" si="2"/>
        <v>-8.0990535440501776E-2</v>
      </c>
      <c r="K59" s="39"/>
      <c r="L59" s="40"/>
    </row>
    <row r="60" spans="1:16384" ht="15.75">
      <c r="A60" s="25" t="str">
        <v>Q490</v>
      </c>
      <c r="B60" s="26" t="str">
        <v>NY</v>
      </c>
      <c r="C60" s="26" t="str">
        <f>Sites[[#This Row],[SOL'#]]</f>
        <v>SOL-10411</v>
      </c>
      <c r="D60" s="67">
        <v>38796.75</v>
      </c>
      <c r="E60" s="11">
        <v>0</v>
      </c>
      <c r="F60" s="11">
        <f>IF(AND(ISNUMBER(D60),ISNUMBER(E60)), D60-E60, "")</f>
        <v>38796.75</v>
      </c>
      <c r="G60" s="68" t="str">
        <f t="shared" si="5"/>
        <v/>
      </c>
      <c r="H60" s="83">
        <v>42060</v>
      </c>
      <c r="I60" s="83">
        <f t="shared" si="1"/>
        <v>-3263.25</v>
      </c>
      <c r="J60" s="80">
        <f t="shared" si="2"/>
        <v>-7.7585592011412269E-2</v>
      </c>
      <c r="K60" s="70"/>
      <c r="L60" s="70"/>
    </row>
    <row r="61" spans="1:16384" ht="15.75">
      <c r="A61" s="27" t="str">
        <v>Q620</v>
      </c>
      <c r="B61" s="28" t="str">
        <v>NY</v>
      </c>
      <c r="C61" s="28" t="str">
        <f>Sites[[#This Row],[SOL'#]]</f>
        <v>SOL-10867</v>
      </c>
      <c r="D61" s="10">
        <v>56244.375</v>
      </c>
      <c r="E61" s="15">
        <v>60491.64</v>
      </c>
      <c r="F61" s="15">
        <f t="shared" si="0"/>
        <v>-4247.2649999999994</v>
      </c>
      <c r="G61" s="16">
        <f t="shared" si="5"/>
        <v>-7.0212429353874339E-2</v>
      </c>
      <c r="H61" s="17">
        <v>62996</v>
      </c>
      <c r="I61" s="17">
        <f t="shared" si="1"/>
        <v>-6751.625</v>
      </c>
      <c r="J61" s="16">
        <f t="shared" si="2"/>
        <v>-0.10717545558448155</v>
      </c>
      <c r="K61" s="39"/>
      <c r="L61" s="40"/>
    </row>
    <row r="62" spans="1:16384" ht="15.75">
      <c r="A62" s="25" t="str">
        <v>QMOA</v>
      </c>
      <c r="B62" s="26" t="str">
        <v>NY</v>
      </c>
      <c r="C62" s="26" t="str">
        <f>Sites[[#This Row],[SOL'#]]</f>
        <v>SOL-10415</v>
      </c>
      <c r="D62" s="67">
        <v>5206.8999999999896</v>
      </c>
      <c r="E62" s="11">
        <v>0</v>
      </c>
      <c r="F62" s="11">
        <f t="shared" si="0"/>
        <v>5206.8999999999896</v>
      </c>
      <c r="G62" s="68" t="str">
        <f t="shared" si="5"/>
        <v/>
      </c>
      <c r="H62" s="83">
        <v>5691.384</v>
      </c>
      <c r="I62" s="83">
        <f t="shared" si="1"/>
        <v>-484.48400000001038</v>
      </c>
      <c r="J62" s="80">
        <f t="shared" si="2"/>
        <v>-8.512586745157423E-2</v>
      </c>
      <c r="K62" s="70"/>
      <c r="L62" s="70"/>
    </row>
    <row r="63" spans="1:16384" ht="15.75">
      <c r="A63" s="27" t="str">
        <v>X024</v>
      </c>
      <c r="B63" s="28" t="str">
        <v>NY</v>
      </c>
      <c r="C63" s="28" t="str">
        <f>Sites[[#This Row],[SOL'#]]</f>
        <v>SOL-10419</v>
      </c>
      <c r="D63" s="82">
        <v>23709.765625</v>
      </c>
      <c r="E63" s="15">
        <v>23958.68</v>
      </c>
      <c r="F63" s="15">
        <f t="shared" si="0"/>
        <v>-248.91437500000029</v>
      </c>
      <c r="G63" s="84">
        <f t="shared" si="5"/>
        <v>-1.038931923628515E-2</v>
      </c>
      <c r="H63" s="85">
        <v>23451</v>
      </c>
      <c r="I63" s="85">
        <f t="shared" si="1"/>
        <v>258.765625</v>
      </c>
      <c r="J63" s="84">
        <f t="shared" si="2"/>
        <v>1.1034310903586201E-2</v>
      </c>
      <c r="K63" s="39"/>
      <c r="L63" s="40"/>
    </row>
    <row r="64" spans="1:16384" ht="15.75">
      <c r="A64" s="25" t="str">
        <v>X026</v>
      </c>
      <c r="B64" s="26" t="str">
        <v>NY</v>
      </c>
      <c r="C64" s="26" t="str">
        <f>Sites[[#This Row],[SOL'#]]</f>
        <v>SOL-10420</v>
      </c>
      <c r="D64" s="67">
        <v>20034.3</v>
      </c>
      <c r="E64" s="11">
        <v>19365.73</v>
      </c>
      <c r="F64" s="11">
        <f t="shared" si="0"/>
        <v>668.56999999999971</v>
      </c>
      <c r="G64" s="68">
        <f t="shared" si="5"/>
        <v>3.4523356465261043E-2</v>
      </c>
      <c r="H64" s="83">
        <v>21447</v>
      </c>
      <c r="I64" s="83">
        <f t="shared" si="1"/>
        <v>-1412.7000000000007</v>
      </c>
      <c r="J64" s="80">
        <f t="shared" si="2"/>
        <v>-6.586935235697304E-2</v>
      </c>
      <c r="K64" s="70"/>
      <c r="L64" s="70"/>
    </row>
    <row r="65" spans="1:12" ht="15.75">
      <c r="A65" s="27" t="str">
        <v>X090</v>
      </c>
      <c r="B65" s="28" t="str">
        <v>NY</v>
      </c>
      <c r="C65" s="28" t="str">
        <f>Sites[[#This Row],[SOL'#]]</f>
        <v>SOL-10925</v>
      </c>
      <c r="D65" s="10">
        <v>17879.40625</v>
      </c>
      <c r="E65" s="15">
        <v>14502.35</v>
      </c>
      <c r="F65" s="15">
        <f t="shared" si="0"/>
        <v>3377.0562499999996</v>
      </c>
      <c r="G65" s="16">
        <f t="shared" si="5"/>
        <v>0.23286269121900929</v>
      </c>
      <c r="H65" s="17">
        <v>18263</v>
      </c>
      <c r="I65" s="17">
        <f t="shared" si="1"/>
        <v>-383.59375</v>
      </c>
      <c r="J65" s="16">
        <f t="shared" si="2"/>
        <v>-2.1003873952800744E-2</v>
      </c>
      <c r="K65" s="39"/>
      <c r="L65" s="39"/>
    </row>
    <row r="66" spans="1:12" ht="15.75">
      <c r="A66" s="25" t="str">
        <v>X117</v>
      </c>
      <c r="B66" s="26" t="str">
        <v>NY</v>
      </c>
      <c r="C66" s="26" t="str">
        <f>Sites[[#This Row],[SOL'#]]</f>
        <v>SOL-10422</v>
      </c>
      <c r="D66" s="21">
        <v>14641.3</v>
      </c>
      <c r="E66" s="11">
        <v>16481.78</v>
      </c>
      <c r="F66" s="11">
        <f t="shared" si="0"/>
        <v>-1840.4799999999996</v>
      </c>
      <c r="G66" s="68">
        <f t="shared" si="5"/>
        <v>-0.11166755047088359</v>
      </c>
      <c r="H66" s="13">
        <v>15921</v>
      </c>
      <c r="I66" s="83">
        <f t="shared" si="1"/>
        <v>-1279.7000000000007</v>
      </c>
      <c r="J66" s="80">
        <f t="shared" si="2"/>
        <v>-8.0378116952452783E-2</v>
      </c>
      <c r="K66" s="38"/>
      <c r="L66" s="38"/>
    </row>
    <row r="67" spans="1:12" ht="15.75">
      <c r="A67" s="27" t="str">
        <v>X125</v>
      </c>
      <c r="B67" s="28" t="str">
        <v>NY</v>
      </c>
      <c r="C67" s="28" t="str">
        <f>Sites[[#This Row],[SOL'#]]</f>
        <v>SOL-10423</v>
      </c>
      <c r="D67" s="10">
        <v>27006.5625</v>
      </c>
      <c r="E67" s="15">
        <v>28375.15</v>
      </c>
      <c r="F67" s="15">
        <f t="shared" si="0"/>
        <v>-1368.5875000000015</v>
      </c>
      <c r="G67" s="16">
        <f t="shared" si="5"/>
        <v>-4.823190361989281E-2</v>
      </c>
      <c r="H67" s="17">
        <v>27722</v>
      </c>
      <c r="I67" s="17">
        <f t="shared" si="1"/>
        <v>-715.4375</v>
      </c>
      <c r="J67" s="16">
        <f t="shared" si="2"/>
        <v>-2.5807571603780392E-2</v>
      </c>
      <c r="K67" s="39"/>
      <c r="L67" s="40"/>
    </row>
    <row r="68" spans="1:12" ht="15.75">
      <c r="A68" s="25" t="str">
        <v>X134</v>
      </c>
      <c r="B68" s="26" t="str">
        <v>NY</v>
      </c>
      <c r="C68" s="26" t="str">
        <f>Sites[[#This Row],[SOL'#]]</f>
        <v>SOL-10424</v>
      </c>
      <c r="D68" s="21">
        <v>26160.59375</v>
      </c>
      <c r="E68" s="11">
        <v>26914</v>
      </c>
      <c r="F68" s="11">
        <f t="shared" si="0"/>
        <v>-753.40625</v>
      </c>
      <c r="G68" s="68">
        <f t="shared" si="5"/>
        <v>-2.7993098387456342E-2</v>
      </c>
      <c r="H68" s="13">
        <v>26914</v>
      </c>
      <c r="I68" s="83">
        <f t="shared" si="1"/>
        <v>-753.40625</v>
      </c>
      <c r="J68" s="80">
        <f t="shared" si="2"/>
        <v>-2.7993098387456342E-2</v>
      </c>
      <c r="K68" s="38"/>
      <c r="L68" s="38"/>
    </row>
    <row r="69" spans="1:12" ht="15.75">
      <c r="A69" s="27" t="str">
        <v>X135</v>
      </c>
      <c r="B69" s="28" t="str">
        <v>NY</v>
      </c>
      <c r="C69" s="28" t="str">
        <f>Sites[[#This Row],[SOL'#]]</f>
        <v>SOL-10425</v>
      </c>
      <c r="D69" s="10">
        <v>18057.96875</v>
      </c>
      <c r="E69" s="15">
        <v>20954.990000000002</v>
      </c>
      <c r="F69" s="15">
        <f t="shared" ref="F69:F132" si="6">IF(AND(ISNUMBER(D69),ISNUMBER(E69)), D69-E69, "")</f>
        <v>-2897.0212500000016</v>
      </c>
      <c r="G69" s="16">
        <f t="shared" si="5"/>
        <v>-0.13824970806476172</v>
      </c>
      <c r="H69" s="17">
        <v>22142</v>
      </c>
      <c r="I69" s="17">
        <f t="shared" ref="I69:I132" si="7">IF(AND(ISNUMBER(D69),ISNUMBER(H69)), D69-H69, "")</f>
        <v>-4084.03125</v>
      </c>
      <c r="J69" s="16">
        <f t="shared" ref="J69:J132" si="8">IFERROR(I69/H69, "")</f>
        <v>-0.18444726086171079</v>
      </c>
      <c r="K69" s="39" t="s">
        <v>987</v>
      </c>
      <c r="L69" s="39" t="s">
        <v>988</v>
      </c>
    </row>
    <row r="70" spans="1:12" ht="15.75">
      <c r="A70" s="25" t="str">
        <v>X139 JHS 222</v>
      </c>
      <c r="B70" s="26" t="str">
        <v>NY</v>
      </c>
      <c r="C70" s="26" t="str">
        <f>Sites[[#This Row],[SOL'#]]</f>
        <v>SOL-10426</v>
      </c>
      <c r="D70" s="21">
        <v>33491.813380674001</v>
      </c>
      <c r="E70" s="11">
        <v>34719.730000000003</v>
      </c>
      <c r="F70" s="11">
        <f t="shared" si="6"/>
        <v>-1227.9166193260025</v>
      </c>
      <c r="G70" s="68">
        <f t="shared" si="5"/>
        <v>-3.536653710515613E-2</v>
      </c>
      <c r="H70" s="13">
        <v>33435</v>
      </c>
      <c r="I70" s="83">
        <f t="shared" si="7"/>
        <v>56.813380674000655</v>
      </c>
      <c r="J70" s="80">
        <f t="shared" si="8"/>
        <v>1.6992188028712623E-3</v>
      </c>
      <c r="K70" s="38"/>
      <c r="L70" s="38"/>
    </row>
    <row r="71" spans="1:12" ht="15.75">
      <c r="A71" s="27" t="str">
        <v>X140</v>
      </c>
      <c r="B71" s="28" t="str">
        <v>NY</v>
      </c>
      <c r="C71" s="28" t="str">
        <f>Sites[[#This Row],[SOL'#]]</f>
        <v>SOL-10926</v>
      </c>
      <c r="D71" s="10">
        <v>18424.5</v>
      </c>
      <c r="E71" s="15">
        <v>15351.93</v>
      </c>
      <c r="F71" s="15">
        <f t="shared" si="6"/>
        <v>3072.5699999999997</v>
      </c>
      <c r="G71" s="16">
        <f t="shared" si="5"/>
        <v>0.20014226224324888</v>
      </c>
      <c r="H71" s="17">
        <v>18626</v>
      </c>
      <c r="I71" s="17">
        <f t="shared" si="7"/>
        <v>-201.5</v>
      </c>
      <c r="J71" s="16">
        <f t="shared" si="8"/>
        <v>-1.0818211102759583E-2</v>
      </c>
      <c r="K71" s="39"/>
      <c r="L71" s="40"/>
    </row>
    <row r="72" spans="1:12" ht="15.75">
      <c r="A72" s="25" t="str">
        <v>X166</v>
      </c>
      <c r="B72" s="26" t="str">
        <v>NY</v>
      </c>
      <c r="C72" s="26" t="str">
        <f>Sites[[#This Row],[SOL'#]]</f>
        <v>SOL-10427</v>
      </c>
      <c r="D72" s="21">
        <v>19718.099999999999</v>
      </c>
      <c r="E72" s="11">
        <v>20323.16</v>
      </c>
      <c r="F72" s="11">
        <f t="shared" si="6"/>
        <v>-605.06000000000131</v>
      </c>
      <c r="G72" s="68">
        <f t="shared" si="5"/>
        <v>-2.9771944914078387E-2</v>
      </c>
      <c r="H72" s="13">
        <v>20529</v>
      </c>
      <c r="I72" s="83">
        <f t="shared" si="7"/>
        <v>-810.90000000000146</v>
      </c>
      <c r="J72" s="80">
        <f t="shared" si="8"/>
        <v>-3.9500219202104413E-2</v>
      </c>
      <c r="K72" s="38"/>
      <c r="L72" s="38"/>
    </row>
    <row r="73" spans="1:12" ht="28.5">
      <c r="A73" s="27" t="str">
        <v>Murphy</v>
      </c>
      <c r="B73" s="28" t="str">
        <v>MN</v>
      </c>
      <c r="C73" s="28" t="str">
        <f>Sites[[#This Row],[SOL'#]]</f>
        <v>SOL-10094</v>
      </c>
      <c r="D73" s="10">
        <v>950310</v>
      </c>
      <c r="E73" s="15">
        <v>1037697</v>
      </c>
      <c r="F73" s="15">
        <f t="shared" si="6"/>
        <v>-87387</v>
      </c>
      <c r="G73" s="16">
        <f t="shared" si="5"/>
        <v>-8.4212443516749114E-2</v>
      </c>
      <c r="H73" s="17">
        <v>851788</v>
      </c>
      <c r="I73" s="17">
        <f t="shared" si="7"/>
        <v>98522</v>
      </c>
      <c r="J73" s="16">
        <f t="shared" si="8"/>
        <v>0.11566493071045847</v>
      </c>
      <c r="K73" s="39" t="s">
        <v>989</v>
      </c>
      <c r="L73" s="39" t="s">
        <v>990</v>
      </c>
    </row>
    <row r="74" spans="1:12" ht="15.75">
      <c r="A74" s="25" t="str">
        <v>Terning</v>
      </c>
      <c r="B74" s="26" t="str">
        <v>MN</v>
      </c>
      <c r="C74" s="26" t="str">
        <f>Sites[[#This Row],[SOL'#]]</f>
        <v>SOL-10093</v>
      </c>
      <c r="D74" s="21">
        <v>1006401.475</v>
      </c>
      <c r="E74" s="11">
        <v>1059052</v>
      </c>
      <c r="F74" s="11">
        <f t="shared" si="6"/>
        <v>-52650.525000000023</v>
      </c>
      <c r="G74" s="68">
        <f t="shared" si="5"/>
        <v>-4.9714768491065618E-2</v>
      </c>
      <c r="H74" s="13">
        <v>835849</v>
      </c>
      <c r="I74" s="83">
        <f t="shared" si="7"/>
        <v>170552.47499999998</v>
      </c>
      <c r="J74" s="16">
        <f t="shared" si="8"/>
        <v>0.20404699293771958</v>
      </c>
      <c r="K74" s="38"/>
      <c r="L74" s="38"/>
    </row>
    <row r="75" spans="1:12" ht="15.75">
      <c r="A75" s="27" t="str">
        <v>Boas Road 04</v>
      </c>
      <c r="B75" s="28" t="str">
        <v>NY</v>
      </c>
      <c r="C75" s="28" t="str">
        <f>Sites[[#This Row],[SOL'#]]</f>
        <v>SOL-10908</v>
      </c>
      <c r="D75" s="10">
        <v>347907</v>
      </c>
      <c r="E75" s="15">
        <v>241197</v>
      </c>
      <c r="F75" s="15">
        <f t="shared" si="6"/>
        <v>106710</v>
      </c>
      <c r="G75" s="16">
        <f t="shared" si="5"/>
        <v>0.44241843804027414</v>
      </c>
      <c r="H75" s="17">
        <v>320509</v>
      </c>
      <c r="I75" s="17">
        <f t="shared" si="7"/>
        <v>27398</v>
      </c>
      <c r="J75" s="16">
        <f t="shared" si="8"/>
        <v>8.5482778954725142E-2</v>
      </c>
      <c r="K75" s="39"/>
      <c r="L75" s="40"/>
    </row>
    <row r="76" spans="1:12" ht="42.75">
      <c r="A76" s="25" t="str">
        <v>Kelly Bridge Farm</v>
      </c>
      <c r="B76" s="26" t="str">
        <v>NY</v>
      </c>
      <c r="C76" s="26" t="str">
        <f>Sites[[#This Row],[SOL'#]]</f>
        <v>SOL-10911</v>
      </c>
      <c r="D76" s="21">
        <v>327916</v>
      </c>
      <c r="E76" s="11">
        <v>339060.37</v>
      </c>
      <c r="F76" s="11">
        <f t="shared" si="6"/>
        <v>-11144.369999999995</v>
      </c>
      <c r="G76" s="68">
        <f t="shared" si="5"/>
        <v>-3.2868394498596208E-2</v>
      </c>
      <c r="H76" s="13">
        <v>323449</v>
      </c>
      <c r="I76" s="83">
        <f t="shared" si="7"/>
        <v>4467</v>
      </c>
      <c r="J76" s="80">
        <f t="shared" si="8"/>
        <v>1.3810523451919778E-2</v>
      </c>
      <c r="K76" s="38" t="s">
        <v>991</v>
      </c>
      <c r="L76" s="38" t="s">
        <v>992</v>
      </c>
    </row>
    <row r="77" spans="1:12" ht="15.75">
      <c r="A77" s="27" t="str">
        <v>Pool Brook Road</v>
      </c>
      <c r="B77" s="28" t="str">
        <v>NY</v>
      </c>
      <c r="C77" s="28" t="str">
        <f>Sites[[#This Row],[SOL'#]]</f>
        <v>SOL-10909</v>
      </c>
      <c r="D77" s="10">
        <v>314367</v>
      </c>
      <c r="E77" s="15">
        <v>326289.90999999997</v>
      </c>
      <c r="F77" s="15">
        <f t="shared" si="6"/>
        <v>-11922.909999999974</v>
      </c>
      <c r="G77" s="16">
        <f t="shared" si="5"/>
        <v>-3.6540847983929307E-2</v>
      </c>
      <c r="H77" s="17">
        <v>307906</v>
      </c>
      <c r="I77" s="17">
        <f t="shared" si="7"/>
        <v>6461</v>
      </c>
      <c r="J77" s="16">
        <f t="shared" si="8"/>
        <v>2.0983676836437093E-2</v>
      </c>
      <c r="K77" s="39"/>
      <c r="L77" s="39"/>
    </row>
    <row r="78" spans="1:12" ht="15.75">
      <c r="A78" s="25" t="str">
        <v>Sackett Lake</v>
      </c>
      <c r="B78" s="26" t="str">
        <v>NY</v>
      </c>
      <c r="C78" s="26" t="str">
        <f>Sites[[#This Row],[SOL'#]]</f>
        <v>SOL-10910</v>
      </c>
      <c r="D78" s="21">
        <v>332099</v>
      </c>
      <c r="E78" s="11">
        <v>335757.47</v>
      </c>
      <c r="F78" s="11">
        <f t="shared" si="6"/>
        <v>-3658.4699999999721</v>
      </c>
      <c r="G78" s="68">
        <f t="shared" si="5"/>
        <v>-1.0896168594551217E-2</v>
      </c>
      <c r="H78" s="13">
        <v>319786</v>
      </c>
      <c r="I78" s="83">
        <f t="shared" si="7"/>
        <v>12313</v>
      </c>
      <c r="J78" s="80">
        <f t="shared" si="8"/>
        <v>3.8503874466049172E-2</v>
      </c>
      <c r="K78" s="38"/>
      <c r="L78" s="38"/>
    </row>
    <row r="79" spans="1:12" ht="15.75">
      <c r="A79" s="27" t="str">
        <v>Burritt Road</v>
      </c>
      <c r="B79" s="28" t="str">
        <v>NY</v>
      </c>
      <c r="C79" s="28" t="str">
        <f>Sites[[#This Row],[SOL'#]]</f>
        <v>SOL-10913</v>
      </c>
      <c r="D79" s="10">
        <v>349180</v>
      </c>
      <c r="E79" s="15">
        <v>359014.39</v>
      </c>
      <c r="F79" s="15">
        <f t="shared" si="6"/>
        <v>-9834.390000000014</v>
      </c>
      <c r="G79" s="16">
        <f t="shared" si="5"/>
        <v>-2.7392746012214201E-2</v>
      </c>
      <c r="H79" s="17">
        <v>332869</v>
      </c>
      <c r="I79" s="17">
        <f t="shared" si="7"/>
        <v>16311</v>
      </c>
      <c r="J79" s="16">
        <f t="shared" si="8"/>
        <v>4.900125875344355E-2</v>
      </c>
      <c r="K79" s="39"/>
      <c r="L79" s="40"/>
    </row>
    <row r="80" spans="1:12" ht="44.25" customHeight="1">
      <c r="A80" s="25" t="str">
        <v>Villa Roma 1</v>
      </c>
      <c r="B80" s="26" t="str">
        <v>NY</v>
      </c>
      <c r="C80" s="26" t="str">
        <f>Sites[[#This Row],[SOL'#]]</f>
        <v>SOL-10914</v>
      </c>
      <c r="D80" s="21">
        <v>290238</v>
      </c>
      <c r="E80" s="11">
        <v>441520.47</v>
      </c>
      <c r="F80" s="11">
        <f t="shared" si="6"/>
        <v>-151282.46999999997</v>
      </c>
      <c r="G80" s="68">
        <f t="shared" si="5"/>
        <v>-0.34263976481090441</v>
      </c>
      <c r="H80" s="13">
        <v>280184</v>
      </c>
      <c r="I80" s="83">
        <f t="shared" si="7"/>
        <v>10054</v>
      </c>
      <c r="J80" s="80">
        <f t="shared" si="8"/>
        <v>3.5883562230534218E-2</v>
      </c>
      <c r="K80" s="38" t="s">
        <v>993</v>
      </c>
      <c r="L80" s="38" t="s">
        <v>994</v>
      </c>
    </row>
    <row r="81" spans="1:12" ht="47.25" customHeight="1">
      <c r="A81" s="27" t="str">
        <v>Villa Roma 2</v>
      </c>
      <c r="B81" s="28" t="str">
        <v>NY</v>
      </c>
      <c r="C81" s="28" t="str">
        <f>Sites[[#This Row],[SOL'#]]</f>
        <v>SOL-10915</v>
      </c>
      <c r="D81" s="10">
        <v>279223</v>
      </c>
      <c r="E81" s="15">
        <v>296671.02</v>
      </c>
      <c r="F81" s="15">
        <f t="shared" si="6"/>
        <v>-17448.020000000019</v>
      </c>
      <c r="G81" s="16">
        <f t="shared" si="5"/>
        <v>-5.8812687535169487E-2</v>
      </c>
      <c r="H81" s="17">
        <v>271274</v>
      </c>
      <c r="I81" s="17">
        <f t="shared" si="7"/>
        <v>7949</v>
      </c>
      <c r="J81" s="16">
        <f t="shared" si="8"/>
        <v>2.9302476462912036E-2</v>
      </c>
      <c r="K81" s="39" t="s">
        <v>995</v>
      </c>
      <c r="L81" s="109" t="s">
        <v>996</v>
      </c>
    </row>
    <row r="82" spans="1:12" ht="15.75">
      <c r="A82" s="25" t="str">
        <v>Washington 1</v>
      </c>
      <c r="B82" s="26" t="str">
        <v>NY</v>
      </c>
      <c r="C82" s="26" t="str">
        <f>Sites[[#This Row],[SOL'#]]</f>
        <v>SOL-10912</v>
      </c>
      <c r="D82" s="67">
        <v>333260</v>
      </c>
      <c r="E82" s="11">
        <v>352117.95</v>
      </c>
      <c r="F82" s="11">
        <f t="shared" si="6"/>
        <v>-18857.950000000012</v>
      </c>
      <c r="G82" s="68">
        <f t="shared" ref="G82:G113" si="9">IFERROR(F82/E82, "")</f>
        <v>-5.3555775841589479E-2</v>
      </c>
      <c r="H82" s="83">
        <v>327707</v>
      </c>
      <c r="I82" s="83">
        <f t="shared" si="7"/>
        <v>5553</v>
      </c>
      <c r="J82" s="80">
        <f t="shared" si="8"/>
        <v>1.6945014906608647E-2</v>
      </c>
      <c r="K82" s="70"/>
      <c r="L82" s="70"/>
    </row>
    <row r="83" spans="1:12" ht="60.75" customHeight="1">
      <c r="A83" s="27" t="str">
        <v>Washington 3</v>
      </c>
      <c r="B83" s="28" t="str">
        <v>NY</v>
      </c>
      <c r="C83" s="28" t="str">
        <f>Sites[[#This Row],[SOL'#]]</f>
        <v>SOL-10828</v>
      </c>
      <c r="D83" s="10">
        <v>373299</v>
      </c>
      <c r="E83" s="15">
        <v>436262.89</v>
      </c>
      <c r="F83" s="15">
        <f t="shared" si="6"/>
        <v>-62963.890000000014</v>
      </c>
      <c r="G83" s="16">
        <f t="shared" si="9"/>
        <v>-0.14432556938317631</v>
      </c>
      <c r="H83" s="17">
        <v>400748</v>
      </c>
      <c r="I83" s="17">
        <f t="shared" si="7"/>
        <v>-27449</v>
      </c>
      <c r="J83" s="16">
        <f t="shared" si="8"/>
        <v>-6.8494415443121362E-2</v>
      </c>
      <c r="K83" s="58" t="s">
        <v>997</v>
      </c>
      <c r="L83" s="109" t="s">
        <v>998</v>
      </c>
    </row>
    <row r="84" spans="1:12" ht="28.5">
      <c r="A84" s="25" t="str">
        <v>Washington 4</v>
      </c>
      <c r="B84" s="26" t="str">
        <v>NY</v>
      </c>
      <c r="C84" s="26" t="str">
        <f>Sites[[#This Row],[SOL'#]]</f>
        <v>SOL-10829</v>
      </c>
      <c r="D84" s="67">
        <v>0</v>
      </c>
      <c r="E84" s="11">
        <v>0</v>
      </c>
      <c r="F84" s="11">
        <f t="shared" si="6"/>
        <v>0</v>
      </c>
      <c r="G84" s="68" t="str">
        <f t="shared" si="9"/>
        <v/>
      </c>
      <c r="H84" s="83">
        <v>401619</v>
      </c>
      <c r="I84" s="83">
        <f t="shared" si="7"/>
        <v>-401619</v>
      </c>
      <c r="J84" s="80">
        <f t="shared" si="8"/>
        <v>-1</v>
      </c>
      <c r="K84" s="70" t="s">
        <v>999</v>
      </c>
      <c r="L84" s="70" t="s">
        <v>1000</v>
      </c>
    </row>
    <row r="85" spans="1:12" ht="15.75">
      <c r="A85" s="27" t="str">
        <v>Big Tree</v>
      </c>
      <c r="B85" s="28" t="str">
        <v>NY</v>
      </c>
      <c r="C85" s="28" t="str">
        <f>Sites[[#This Row],[SOL'#]]</f>
        <v>SOL-10966</v>
      </c>
      <c r="D85" s="10">
        <v>347975</v>
      </c>
      <c r="E85" s="15">
        <v>0</v>
      </c>
      <c r="F85" s="15">
        <f t="shared" si="6"/>
        <v>347975</v>
      </c>
      <c r="G85" s="16" t="str">
        <f t="shared" si="9"/>
        <v/>
      </c>
      <c r="H85" s="17">
        <v>310448</v>
      </c>
      <c r="I85" s="17">
        <f t="shared" si="7"/>
        <v>37527</v>
      </c>
      <c r="J85" s="16">
        <f t="shared" si="8"/>
        <v>0.12088014739988662</v>
      </c>
      <c r="K85" s="39"/>
      <c r="L85" s="40"/>
    </row>
    <row r="86" spans="1:12" ht="57">
      <c r="A86" s="25" t="str">
        <v>Canoga</v>
      </c>
      <c r="B86" s="26" t="str">
        <v>NY</v>
      </c>
      <c r="C86" s="26" t="str">
        <f>Sites[[#This Row],[SOL'#]]</f>
        <v>SOL-10965</v>
      </c>
      <c r="D86" s="67">
        <v>828380</v>
      </c>
      <c r="E86" s="11">
        <v>0</v>
      </c>
      <c r="F86" s="11">
        <f t="shared" si="6"/>
        <v>828380</v>
      </c>
      <c r="G86" s="68" t="str">
        <f t="shared" si="9"/>
        <v/>
      </c>
      <c r="H86" s="83">
        <v>845418</v>
      </c>
      <c r="I86" s="83">
        <f t="shared" si="7"/>
        <v>-17038</v>
      </c>
      <c r="J86" s="80">
        <f t="shared" si="8"/>
        <v>-2.0153344262838029E-2</v>
      </c>
      <c r="K86" s="70" t="s">
        <v>1001</v>
      </c>
      <c r="L86" s="70" t="s">
        <v>1002</v>
      </c>
    </row>
    <row r="87" spans="1:12" ht="39" customHeight="1">
      <c r="A87" s="27" t="str">
        <v>County Route 84</v>
      </c>
      <c r="B87" s="28" t="str">
        <v>NY</v>
      </c>
      <c r="C87" s="28" t="str">
        <f>Sites[[#This Row],[SOL'#]]</f>
        <v>SOL-10967</v>
      </c>
      <c r="D87" s="10">
        <v>792090</v>
      </c>
      <c r="E87" s="15">
        <v>0</v>
      </c>
      <c r="F87" s="15">
        <f t="shared" si="6"/>
        <v>792090</v>
      </c>
      <c r="G87" s="16" t="str">
        <f t="shared" si="9"/>
        <v/>
      </c>
      <c r="H87" s="17">
        <v>810659</v>
      </c>
      <c r="I87" s="17">
        <f t="shared" si="7"/>
        <v>-18569</v>
      </c>
      <c r="J87" s="16">
        <f t="shared" si="8"/>
        <v>-2.2906055443780923E-2</v>
      </c>
      <c r="K87" s="39" t="s">
        <v>1003</v>
      </c>
      <c r="L87" s="108" t="s">
        <v>1004</v>
      </c>
    </row>
    <row r="88" spans="1:12" ht="15.75">
      <c r="A88" s="25" t="str">
        <v>Donati</v>
      </c>
      <c r="B88" s="26" t="str">
        <v>NY</v>
      </c>
      <c r="C88" s="26" t="str">
        <f>Sites[[#This Row],[SOL'#]]</f>
        <v>SOL-10968</v>
      </c>
      <c r="D88" s="21">
        <v>261036</v>
      </c>
      <c r="E88" s="11">
        <v>0</v>
      </c>
      <c r="F88" s="11">
        <f t="shared" si="6"/>
        <v>261036</v>
      </c>
      <c r="G88" s="68" t="str">
        <f t="shared" si="9"/>
        <v/>
      </c>
      <c r="H88" s="13">
        <v>395357</v>
      </c>
      <c r="I88" s="83">
        <f t="shared" si="7"/>
        <v>-134321</v>
      </c>
      <c r="J88" s="80">
        <f t="shared" si="8"/>
        <v>-0.33974610288928742</v>
      </c>
      <c r="K88" s="38" t="s">
        <v>1005</v>
      </c>
      <c r="L88" s="38" t="s">
        <v>1006</v>
      </c>
    </row>
    <row r="89" spans="1:12" ht="15.75">
      <c r="A89" s="27" t="str">
        <v>Henrietta</v>
      </c>
      <c r="B89" s="28" t="str">
        <v>NY</v>
      </c>
      <c r="C89" s="28" t="str">
        <f>Sites[[#This Row],[SOL'#]]</f>
        <v>SOL-10972</v>
      </c>
      <c r="D89" s="10">
        <v>871999</v>
      </c>
      <c r="E89" s="15">
        <v>0</v>
      </c>
      <c r="F89" s="15">
        <f t="shared" si="6"/>
        <v>871999</v>
      </c>
      <c r="G89" s="16" t="str">
        <f t="shared" si="9"/>
        <v/>
      </c>
      <c r="H89" s="17">
        <v>797960</v>
      </c>
      <c r="I89" s="17">
        <f t="shared" si="7"/>
        <v>74039</v>
      </c>
      <c r="J89" s="16">
        <f t="shared" si="8"/>
        <v>9.2785352649255595E-2</v>
      </c>
      <c r="K89" s="39"/>
      <c r="L89" s="39"/>
    </row>
    <row r="90" spans="1:12" ht="15.75">
      <c r="A90" s="25" t="str">
        <v>NY 70</v>
      </c>
      <c r="B90" s="26" t="str">
        <v>NY</v>
      </c>
      <c r="C90" s="26" t="str">
        <f>Sites[[#This Row],[SOL'#]]</f>
        <v>SOL-10970</v>
      </c>
      <c r="D90" s="67">
        <v>942528</v>
      </c>
      <c r="E90" s="11">
        <v>0</v>
      </c>
      <c r="F90" s="11">
        <f t="shared" si="6"/>
        <v>942528</v>
      </c>
      <c r="G90" s="68" t="str">
        <f t="shared" si="9"/>
        <v/>
      </c>
      <c r="H90" s="83">
        <v>824344</v>
      </c>
      <c r="I90" s="83">
        <f t="shared" si="7"/>
        <v>118184</v>
      </c>
      <c r="J90" s="80">
        <f t="shared" si="8"/>
        <v>0.14336733208466368</v>
      </c>
      <c r="K90" s="70"/>
      <c r="L90" s="70"/>
    </row>
    <row r="91" spans="1:12" ht="282.75" customHeight="1">
      <c r="A91" s="27" t="str">
        <v>Reid</v>
      </c>
      <c r="B91" s="28" t="str">
        <v>NY</v>
      </c>
      <c r="C91" s="28" t="str">
        <f>Sites[[#This Row],[SOL'#]]</f>
        <v>SOL-10991</v>
      </c>
      <c r="D91" s="10">
        <v>779031.96764287399</v>
      </c>
      <c r="E91" s="15">
        <v>764998.8</v>
      </c>
      <c r="F91" s="15">
        <f t="shared" si="6"/>
        <v>14033.167642873945</v>
      </c>
      <c r="G91" s="16">
        <f t="shared" si="9"/>
        <v>1.8344038765647663E-2</v>
      </c>
      <c r="H91" s="17">
        <v>708702</v>
      </c>
      <c r="I91" s="17">
        <f t="shared" si="7"/>
        <v>70329.967642873991</v>
      </c>
      <c r="J91" s="16">
        <f t="shared" si="8"/>
        <v>9.9237715771754553E-2</v>
      </c>
      <c r="K91" s="58" t="s">
        <v>1007</v>
      </c>
      <c r="L91" s="109" t="s">
        <v>1008</v>
      </c>
    </row>
    <row r="92" spans="1:12" ht="15.75">
      <c r="A92" s="25" t="str">
        <v>Sangolqui</v>
      </c>
      <c r="B92" s="26" t="str">
        <v>NY</v>
      </c>
      <c r="C92" s="26" t="str">
        <f>Sites[[#This Row],[SOL'#]]</f>
        <v>SOL-10975</v>
      </c>
      <c r="D92" s="21">
        <v>374569</v>
      </c>
      <c r="E92" s="11">
        <v>0</v>
      </c>
      <c r="F92" s="11">
        <f t="shared" si="6"/>
        <v>374569</v>
      </c>
      <c r="G92" s="68" t="str">
        <f t="shared" si="9"/>
        <v/>
      </c>
      <c r="H92" s="13">
        <v>385467</v>
      </c>
      <c r="I92" s="83">
        <f t="shared" si="7"/>
        <v>-10898</v>
      </c>
      <c r="J92" s="80">
        <f t="shared" si="8"/>
        <v>-2.8272199695434368E-2</v>
      </c>
      <c r="K92" s="38" t="s">
        <v>1009</v>
      </c>
      <c r="L92" s="38" t="s">
        <v>1010</v>
      </c>
    </row>
    <row r="93" spans="1:12" ht="45" customHeight="1">
      <c r="A93" s="27" t="str">
        <v>State Highway 17B</v>
      </c>
      <c r="B93" s="28" t="str">
        <v>NY</v>
      </c>
      <c r="C93" s="28" t="str">
        <f>Sites[[#This Row],[SOL'#]]</f>
        <v>SOL-10988</v>
      </c>
      <c r="D93" s="10">
        <v>588810</v>
      </c>
      <c r="E93" s="15">
        <v>0</v>
      </c>
      <c r="F93" s="15">
        <f t="shared" si="6"/>
        <v>588810</v>
      </c>
      <c r="G93" s="16" t="str">
        <f t="shared" si="9"/>
        <v/>
      </c>
      <c r="H93" s="17">
        <v>711417</v>
      </c>
      <c r="I93" s="17">
        <f t="shared" si="7"/>
        <v>-122607</v>
      </c>
      <c r="J93" s="16">
        <f t="shared" si="8"/>
        <v>-0.17234195977886388</v>
      </c>
      <c r="K93" s="58" t="s">
        <v>1011</v>
      </c>
      <c r="L93" s="109" t="s">
        <v>1012</v>
      </c>
    </row>
    <row r="94" spans="1:12" ht="15.75">
      <c r="A94" s="25" t="str">
        <v>State Route 14A</v>
      </c>
      <c r="B94" s="26" t="str">
        <v>NY</v>
      </c>
      <c r="C94" s="26" t="str">
        <f>Sites[[#This Row],[SOL'#]]</f>
        <v>SOL-10997</v>
      </c>
      <c r="D94" s="21">
        <v>871378</v>
      </c>
      <c r="E94" s="11">
        <v>0</v>
      </c>
      <c r="F94" s="11">
        <f t="shared" si="6"/>
        <v>871378</v>
      </c>
      <c r="G94" s="68" t="str">
        <f t="shared" si="9"/>
        <v/>
      </c>
      <c r="H94" s="13">
        <v>835765</v>
      </c>
      <c r="I94" s="83">
        <f t="shared" si="7"/>
        <v>35613</v>
      </c>
      <c r="J94" s="80">
        <f t="shared" si="8"/>
        <v>4.2611260342321107E-2</v>
      </c>
      <c r="K94" s="38"/>
      <c r="L94" s="38"/>
    </row>
    <row r="95" spans="1:12" ht="15.75">
      <c r="A95" s="27" t="str">
        <v>West Creek</v>
      </c>
      <c r="B95" s="28" t="str">
        <v>NY</v>
      </c>
      <c r="C95" s="28" t="str">
        <f>Sites[[#This Row],[SOL'#]]</f>
        <v>SOL-10995</v>
      </c>
      <c r="D95" s="10">
        <v>863940</v>
      </c>
      <c r="E95" s="15">
        <v>0</v>
      </c>
      <c r="F95" s="15">
        <f t="shared" si="6"/>
        <v>863940</v>
      </c>
      <c r="G95" s="16" t="str">
        <f t="shared" si="9"/>
        <v/>
      </c>
      <c r="H95" s="17">
        <v>807453</v>
      </c>
      <c r="I95" s="17">
        <f t="shared" si="7"/>
        <v>56487</v>
      </c>
      <c r="J95" s="16">
        <f t="shared" si="8"/>
        <v>6.9957012977845151E-2</v>
      </c>
      <c r="K95" s="39"/>
      <c r="L95" s="40"/>
    </row>
    <row r="96" spans="1:12" ht="15.75">
      <c r="A96" s="25" t="str">
        <v>Wildflower</v>
      </c>
      <c r="B96" s="26" t="str">
        <v>NY</v>
      </c>
      <c r="C96" s="26" t="str">
        <f>Sites[[#This Row],[SOL'#]]</f>
        <v>SOL-10982</v>
      </c>
      <c r="D96" s="21">
        <v>1474.97</v>
      </c>
      <c r="E96" s="11">
        <v>0</v>
      </c>
      <c r="F96" s="11">
        <f t="shared" si="6"/>
        <v>1474.97</v>
      </c>
      <c r="G96" s="68" t="str">
        <f t="shared" si="9"/>
        <v/>
      </c>
      <c r="H96" s="13">
        <v>783747</v>
      </c>
      <c r="I96" s="83">
        <f t="shared" si="7"/>
        <v>-782272.03</v>
      </c>
      <c r="J96" s="80">
        <f t="shared" si="8"/>
        <v>-0.99811805340243731</v>
      </c>
      <c r="K96" s="38"/>
      <c r="L96" s="38"/>
    </row>
    <row r="97" spans="1:12" ht="28.5">
      <c r="A97" s="27" t="str">
        <v>Glen Mary 1</v>
      </c>
      <c r="B97" s="28" t="str">
        <v>NY</v>
      </c>
      <c r="C97" s="28" t="str">
        <f>Sites[[#This Row],[SOL'#]]</f>
        <v>SOL-10993</v>
      </c>
      <c r="D97" s="10">
        <v>783450</v>
      </c>
      <c r="E97" s="15">
        <v>0</v>
      </c>
      <c r="F97" s="15">
        <f t="shared" si="6"/>
        <v>783450</v>
      </c>
      <c r="G97" s="16" t="str">
        <f t="shared" si="9"/>
        <v/>
      </c>
      <c r="H97" s="17">
        <v>821758</v>
      </c>
      <c r="I97" s="17">
        <f t="shared" si="7"/>
        <v>-38308</v>
      </c>
      <c r="J97" s="16">
        <f t="shared" si="8"/>
        <v>-4.6617130590757866E-2</v>
      </c>
      <c r="K97" s="39" t="s">
        <v>1013</v>
      </c>
      <c r="L97" s="109" t="s">
        <v>1014</v>
      </c>
    </row>
    <row r="98" spans="1:12" ht="15.75">
      <c r="A98" s="25" t="str">
        <v>Glen Mary 2</v>
      </c>
      <c r="B98" s="26" t="str">
        <v>NY</v>
      </c>
      <c r="C98" s="26" t="str">
        <f>Sites[[#This Row],[SOL'#]]</f>
        <v>SOL-10994</v>
      </c>
      <c r="D98" s="21">
        <v>353190</v>
      </c>
      <c r="E98" s="11">
        <v>0</v>
      </c>
      <c r="F98" s="11">
        <f t="shared" si="6"/>
        <v>353190</v>
      </c>
      <c r="G98" s="68" t="str">
        <f t="shared" si="9"/>
        <v/>
      </c>
      <c r="H98" s="13">
        <v>347994</v>
      </c>
      <c r="I98" s="83">
        <f t="shared" si="7"/>
        <v>5196</v>
      </c>
      <c r="J98" s="80">
        <f t="shared" si="8"/>
        <v>1.4931291918826186E-2</v>
      </c>
      <c r="K98" s="38"/>
      <c r="L98" s="38"/>
    </row>
    <row r="99" spans="1:12" ht="15.75">
      <c r="A99" s="27" t="str">
        <v>Telegraph 1</v>
      </c>
      <c r="B99" s="28" t="str">
        <v>NY</v>
      </c>
      <c r="C99" s="28" t="str">
        <f>Sites[[#This Row],[SOL'#]]</f>
        <v>SOL-11003</v>
      </c>
      <c r="D99" s="10">
        <v>655770</v>
      </c>
      <c r="E99" s="15">
        <v>0</v>
      </c>
      <c r="F99" s="15">
        <f t="shared" si="6"/>
        <v>655770</v>
      </c>
      <c r="G99" s="16" t="str">
        <f t="shared" si="9"/>
        <v/>
      </c>
      <c r="H99" s="17">
        <v>564557</v>
      </c>
      <c r="I99" s="17">
        <f t="shared" si="7"/>
        <v>91213</v>
      </c>
      <c r="J99" s="16">
        <f t="shared" si="8"/>
        <v>0.1615656169350482</v>
      </c>
      <c r="K99" s="39"/>
      <c r="L99" s="40"/>
    </row>
    <row r="100" spans="1:12" ht="15.75">
      <c r="A100" s="25" t="str">
        <v>Telegraph 2</v>
      </c>
      <c r="B100" s="26" t="str">
        <v>NY</v>
      </c>
      <c r="C100" s="26" t="str">
        <f>Sites[[#This Row],[SOL'#]]</f>
        <v>SOL-11004</v>
      </c>
      <c r="D100" s="21">
        <v>346252</v>
      </c>
      <c r="E100" s="11">
        <v>0</v>
      </c>
      <c r="F100" s="11">
        <f t="shared" si="6"/>
        <v>346252</v>
      </c>
      <c r="G100" s="68" t="str">
        <f t="shared" si="9"/>
        <v/>
      </c>
      <c r="H100" s="13">
        <v>293311</v>
      </c>
      <c r="I100" s="83">
        <f t="shared" si="7"/>
        <v>52941</v>
      </c>
      <c r="J100" s="80">
        <f t="shared" si="8"/>
        <v>0.18049442400728238</v>
      </c>
      <c r="K100" s="38"/>
      <c r="L100" s="38"/>
    </row>
    <row r="101" spans="1:12" ht="15.75">
      <c r="A101" s="27" t="str">
        <v>Cafferty Hill</v>
      </c>
      <c r="B101" s="28" t="str">
        <v>NY</v>
      </c>
      <c r="C101" s="28" t="str">
        <f>Sites[[#This Row],[SOL'#]]</f>
        <v>SOL-10996</v>
      </c>
      <c r="D101" s="10">
        <v>652240</v>
      </c>
      <c r="E101" s="15">
        <v>0</v>
      </c>
      <c r="F101" s="15">
        <f t="shared" si="6"/>
        <v>652240</v>
      </c>
      <c r="G101" s="16" t="str">
        <f t="shared" si="9"/>
        <v/>
      </c>
      <c r="H101" s="17">
        <v>797221</v>
      </c>
      <c r="I101" s="17">
        <f t="shared" si="7"/>
        <v>-144981</v>
      </c>
      <c r="J101" s="16">
        <f t="shared" si="8"/>
        <v>-0.18185797915509</v>
      </c>
      <c r="K101" s="39"/>
      <c r="L101" s="39"/>
    </row>
    <row r="102" spans="1:12" ht="15.75">
      <c r="A102" s="25" t="str">
        <v>Dunkleman</v>
      </c>
      <c r="B102" s="26" t="str">
        <v>NY</v>
      </c>
      <c r="C102" s="26" t="str">
        <f>Sites[[#This Row],[SOL'#]]</f>
        <v>SOL-11008</v>
      </c>
      <c r="D102" s="21">
        <v>975870</v>
      </c>
      <c r="E102" s="11">
        <v>0</v>
      </c>
      <c r="F102" s="11">
        <f t="shared" si="6"/>
        <v>975870</v>
      </c>
      <c r="G102" s="68" t="str">
        <f t="shared" si="9"/>
        <v/>
      </c>
      <c r="H102" s="13">
        <v>888325</v>
      </c>
      <c r="I102" s="83">
        <f t="shared" si="7"/>
        <v>87545</v>
      </c>
      <c r="J102" s="80">
        <f t="shared" si="8"/>
        <v>9.8550643064193852E-2</v>
      </c>
      <c r="K102" s="38"/>
      <c r="L102" s="38"/>
    </row>
    <row r="103" spans="1:12" ht="15.75">
      <c r="A103" s="27" t="str">
        <v>Route 19 1</v>
      </c>
      <c r="B103" s="28" t="str">
        <v>NY</v>
      </c>
      <c r="C103" s="28" t="str">
        <f>Sites[[#This Row],[SOL'#]]</f>
        <v>SOL-11001</v>
      </c>
      <c r="D103" s="10">
        <v>408542</v>
      </c>
      <c r="E103" s="15">
        <v>0</v>
      </c>
      <c r="F103" s="15">
        <f t="shared" si="6"/>
        <v>408542</v>
      </c>
      <c r="G103" s="16" t="str">
        <f t="shared" si="9"/>
        <v/>
      </c>
      <c r="H103" s="17">
        <v>359817</v>
      </c>
      <c r="I103" s="17">
        <f t="shared" si="7"/>
        <v>48725</v>
      </c>
      <c r="J103" s="16">
        <f t="shared" si="8"/>
        <v>0.13541605871873758</v>
      </c>
      <c r="K103" s="39"/>
      <c r="L103" s="40"/>
    </row>
    <row r="104" spans="1:12" ht="40.5" customHeight="1">
      <c r="A104" s="25" t="str">
        <v>Route 19 2</v>
      </c>
      <c r="B104" s="26" t="str">
        <v>NY</v>
      </c>
      <c r="C104" s="26" t="str">
        <f>Sites[[#This Row],[SOL'#]]</f>
        <v>SOL-11002</v>
      </c>
      <c r="D104" s="21">
        <v>926140</v>
      </c>
      <c r="E104" s="11">
        <v>0</v>
      </c>
      <c r="F104" s="11">
        <f t="shared" si="6"/>
        <v>926140</v>
      </c>
      <c r="G104" s="68" t="str">
        <f t="shared" si="9"/>
        <v/>
      </c>
      <c r="H104" s="13">
        <v>893174</v>
      </c>
      <c r="I104" s="83">
        <f t="shared" si="7"/>
        <v>32966</v>
      </c>
      <c r="J104" s="80">
        <f t="shared" si="8"/>
        <v>3.6908821797320565E-2</v>
      </c>
      <c r="K104" s="38" t="s">
        <v>1015</v>
      </c>
      <c r="L104" s="38" t="s">
        <v>1016</v>
      </c>
    </row>
    <row r="105" spans="1:12" ht="15.75">
      <c r="A105" s="27" t="str">
        <v>Yellow Mills 1</v>
      </c>
      <c r="B105" s="28" t="str">
        <v>NY</v>
      </c>
      <c r="C105" s="28" t="str">
        <f>Sites[[#This Row],[SOL'#]]</f>
        <v>SOL-11006</v>
      </c>
      <c r="D105" s="10">
        <v>368984</v>
      </c>
      <c r="E105" s="15">
        <v>0</v>
      </c>
      <c r="F105" s="15">
        <f t="shared" si="6"/>
        <v>368984</v>
      </c>
      <c r="G105" s="16" t="str">
        <f t="shared" si="9"/>
        <v/>
      </c>
      <c r="H105" s="17">
        <v>331360</v>
      </c>
      <c r="I105" s="17">
        <f t="shared" si="7"/>
        <v>37624</v>
      </c>
      <c r="J105" s="16">
        <f t="shared" si="8"/>
        <v>0.11354418155480445</v>
      </c>
      <c r="K105" s="39"/>
      <c r="L105" s="40"/>
    </row>
    <row r="106" spans="1:12" ht="15.75">
      <c r="A106" s="25" t="str">
        <v>Yellow Mills 2</v>
      </c>
      <c r="B106" s="26" t="str">
        <v>NY</v>
      </c>
      <c r="C106" s="26" t="str">
        <f>Sites[[#This Row],[SOL'#]]</f>
        <v>SOL-11005</v>
      </c>
      <c r="D106" s="21">
        <v>367934</v>
      </c>
      <c r="E106" s="11">
        <v>0</v>
      </c>
      <c r="F106" s="11">
        <f t="shared" si="6"/>
        <v>367934</v>
      </c>
      <c r="G106" s="68" t="str">
        <f t="shared" si="9"/>
        <v/>
      </c>
      <c r="H106" s="13">
        <v>343988</v>
      </c>
      <c r="I106" s="83">
        <f t="shared" si="7"/>
        <v>23946</v>
      </c>
      <c r="J106" s="80">
        <f t="shared" si="8"/>
        <v>6.9612893473028126E-2</v>
      </c>
      <c r="K106" s="38"/>
      <c r="L106" s="38"/>
    </row>
    <row r="107" spans="1:12" ht="15.75">
      <c r="A107" s="27" t="str">
        <v>Yellow Mills 3</v>
      </c>
      <c r="B107" s="28" t="str">
        <v>NY</v>
      </c>
      <c r="C107" s="28" t="str">
        <f>Sites[[#This Row],[SOL'#]]</f>
        <v>SOL-11007</v>
      </c>
      <c r="D107" s="10">
        <v>342592</v>
      </c>
      <c r="E107" s="15">
        <v>0</v>
      </c>
      <c r="F107" s="15">
        <f t="shared" si="6"/>
        <v>342592</v>
      </c>
      <c r="G107" s="16" t="str">
        <f t="shared" si="9"/>
        <v/>
      </c>
      <c r="H107" s="17">
        <v>327890</v>
      </c>
      <c r="I107" s="17">
        <f t="shared" si="7"/>
        <v>14702</v>
      </c>
      <c r="J107" s="16">
        <f t="shared" si="8"/>
        <v>4.4838207935588154E-2</v>
      </c>
      <c r="K107" s="39" t="s">
        <v>1017</v>
      </c>
      <c r="L107" s="108" t="s">
        <v>1018</v>
      </c>
    </row>
    <row r="108" spans="1:12" ht="15.75">
      <c r="A108" s="25" t="str">
        <v>Catskill</v>
      </c>
      <c r="B108" s="26" t="str">
        <v>NY</v>
      </c>
      <c r="C108" s="26" t="str">
        <f>Sites[[#This Row],[SOL'#]]</f>
        <v>SOL-11021</v>
      </c>
      <c r="D108" s="21">
        <v>683716</v>
      </c>
      <c r="E108" s="11">
        <v>0</v>
      </c>
      <c r="F108" s="11">
        <f t="shared" si="6"/>
        <v>683716</v>
      </c>
      <c r="G108" s="68" t="str">
        <f t="shared" si="9"/>
        <v/>
      </c>
      <c r="H108" s="13">
        <v>630478</v>
      </c>
      <c r="I108" s="83">
        <f t="shared" si="7"/>
        <v>53238</v>
      </c>
      <c r="J108" s="80">
        <f t="shared" si="8"/>
        <v>8.4440694203445646E-2</v>
      </c>
      <c r="K108" s="38"/>
      <c r="L108" s="38"/>
    </row>
    <row r="109" spans="1:12" ht="89.25" customHeight="1">
      <c r="A109" s="27" t="str">
        <v>Eddy Ridge</v>
      </c>
      <c r="B109" s="28" t="str">
        <v>NY</v>
      </c>
      <c r="C109" s="28" t="str">
        <f>Sites[[#This Row],[SOL'#]]</f>
        <v>SOL-11054</v>
      </c>
      <c r="D109" s="10">
        <v>60385</v>
      </c>
      <c r="E109" s="15">
        <v>0</v>
      </c>
      <c r="F109" s="15">
        <f t="shared" si="6"/>
        <v>60385</v>
      </c>
      <c r="G109" s="16" t="str">
        <f t="shared" si="9"/>
        <v/>
      </c>
      <c r="H109" s="17">
        <v>450000</v>
      </c>
      <c r="I109" s="17">
        <f t="shared" si="7"/>
        <v>-389615</v>
      </c>
      <c r="J109" s="16">
        <f t="shared" si="8"/>
        <v>-0.86581111111111109</v>
      </c>
      <c r="K109" s="58" t="s">
        <v>1019</v>
      </c>
      <c r="L109" s="109" t="s">
        <v>1020</v>
      </c>
    </row>
    <row r="110" spans="1:12" ht="15.75">
      <c r="A110" s="25" t="str">
        <v>Ridgeway #1</v>
      </c>
      <c r="B110" s="26" t="str">
        <v>NY</v>
      </c>
      <c r="C110" s="26" t="str">
        <f>Sites[[#This Row],[SOL'#]]</f>
        <v>SOL-11018</v>
      </c>
      <c r="D110" s="21">
        <v>1058081</v>
      </c>
      <c r="E110" s="11">
        <v>0</v>
      </c>
      <c r="F110" s="11">
        <f t="shared" si="6"/>
        <v>1058081</v>
      </c>
      <c r="G110" s="68" t="str">
        <f t="shared" si="9"/>
        <v/>
      </c>
      <c r="H110" s="13">
        <v>693891</v>
      </c>
      <c r="I110" s="83">
        <f t="shared" si="7"/>
        <v>364190</v>
      </c>
      <c r="J110" s="80">
        <f t="shared" si="8"/>
        <v>0.52485188595903387</v>
      </c>
      <c r="K110" s="38"/>
      <c r="L110" s="38"/>
    </row>
    <row r="111" spans="1:12" ht="15.75">
      <c r="A111" s="27" t="str">
        <v>Rivard 1</v>
      </c>
      <c r="B111" s="28" t="str">
        <v>NY</v>
      </c>
      <c r="C111" s="28" t="str">
        <f>Sites[[#This Row],[SOL'#]]</f>
        <v>SOL-11011</v>
      </c>
      <c r="D111" s="10">
        <v>789980</v>
      </c>
      <c r="E111" s="15">
        <v>828357.8</v>
      </c>
      <c r="F111" s="15">
        <f t="shared" si="6"/>
        <v>-38377.800000000047</v>
      </c>
      <c r="G111" s="16">
        <f t="shared" si="9"/>
        <v>-4.6329979629575579E-2</v>
      </c>
      <c r="H111" s="17">
        <v>748000</v>
      </c>
      <c r="I111" s="17">
        <f t="shared" si="7"/>
        <v>41980</v>
      </c>
      <c r="J111" s="16">
        <f t="shared" si="8"/>
        <v>5.6122994652406416E-2</v>
      </c>
      <c r="K111" s="39" t="s">
        <v>1021</v>
      </c>
      <c r="L111" s="108" t="s">
        <v>1022</v>
      </c>
    </row>
    <row r="112" spans="1:12" ht="15.75">
      <c r="A112" s="25" t="str">
        <v>Rivard 2</v>
      </c>
      <c r="B112" s="26" t="str">
        <v>NY</v>
      </c>
      <c r="C112" s="26" t="str">
        <f>Sites[[#This Row],[SOL'#]]</f>
        <v>SOL-11012</v>
      </c>
      <c r="D112" s="21">
        <v>715261.53499999898</v>
      </c>
      <c r="E112" s="11">
        <v>747136.4</v>
      </c>
      <c r="F112" s="11">
        <f t="shared" si="6"/>
        <v>-31874.865000001038</v>
      </c>
      <c r="G112" s="68">
        <f t="shared" si="9"/>
        <v>-4.2662711922483013E-2</v>
      </c>
      <c r="H112" s="13">
        <v>716000</v>
      </c>
      <c r="I112" s="83">
        <f t="shared" si="7"/>
        <v>-738.46500000101514</v>
      </c>
      <c r="J112" s="80">
        <f t="shared" si="8"/>
        <v>-1.0313756983254402E-3</v>
      </c>
      <c r="K112" s="38" t="s">
        <v>1021</v>
      </c>
      <c r="L112" s="38" t="s">
        <v>1022</v>
      </c>
    </row>
    <row r="113" spans="1:12" ht="15.75">
      <c r="A113" s="27" t="str">
        <v>Essex</v>
      </c>
      <c r="B113" s="28" t="str">
        <v>DC</v>
      </c>
      <c r="C113" s="28" t="str">
        <f>Sites[[#This Row],[SOL'#]]</f>
        <v>SOL-10036</v>
      </c>
      <c r="D113" s="10">
        <v>2854</v>
      </c>
      <c r="E113" s="15">
        <v>3720.174</v>
      </c>
      <c r="F113" s="15">
        <f t="shared" si="6"/>
        <v>-866.17399999999998</v>
      </c>
      <c r="G113" s="16">
        <f t="shared" si="9"/>
        <v>-0.23283158260877043</v>
      </c>
      <c r="H113" s="17">
        <v>4062</v>
      </c>
      <c r="I113" s="17">
        <f t="shared" si="7"/>
        <v>-1208</v>
      </c>
      <c r="J113" s="16">
        <f t="shared" si="8"/>
        <v>-0.29739044805514525</v>
      </c>
      <c r="K113" s="39"/>
      <c r="L113" s="39"/>
    </row>
    <row r="114" spans="1:12" ht="15.75">
      <c r="A114" s="25" t="str">
        <v>Temple Sinai</v>
      </c>
      <c r="B114" s="26" t="str">
        <v>DC</v>
      </c>
      <c r="C114" s="26" t="str">
        <f>Sites[[#This Row],[SOL'#]]</f>
        <v>SOL-10028</v>
      </c>
      <c r="D114" s="21">
        <v>7148.8199999999497</v>
      </c>
      <c r="E114" s="11">
        <v>10072.94</v>
      </c>
      <c r="F114" s="11">
        <f t="shared" si="6"/>
        <v>-2924.1200000000508</v>
      </c>
      <c r="G114" s="68">
        <f t="shared" ref="G114:G145" si="10">IFERROR(F114/E114, "")</f>
        <v>-0.29029459125141721</v>
      </c>
      <c r="H114" s="13">
        <v>9803</v>
      </c>
      <c r="I114" s="83">
        <f t="shared" si="7"/>
        <v>-2654.1800000000503</v>
      </c>
      <c r="J114" s="80">
        <f t="shared" si="8"/>
        <v>-0.27075181067020815</v>
      </c>
      <c r="K114" s="38" t="s">
        <v>1023</v>
      </c>
      <c r="L114" s="38" t="s">
        <v>1024</v>
      </c>
    </row>
    <row r="115" spans="1:12" ht="15.75">
      <c r="A115" s="27" t="str">
        <v>Weinberg 1</v>
      </c>
      <c r="B115" s="28" t="str">
        <v>DC</v>
      </c>
      <c r="C115" s="28" t="str">
        <f>Sites[[#This Row],[SOL'#]]</f>
        <v>SOL-10039</v>
      </c>
      <c r="D115" s="10">
        <v>1153</v>
      </c>
      <c r="E115" s="15">
        <v>1177.9059999999999</v>
      </c>
      <c r="F115" s="15">
        <f t="shared" si="6"/>
        <v>-24.905999999999949</v>
      </c>
      <c r="G115" s="16">
        <f t="shared" si="10"/>
        <v>-2.1144301837328232E-2</v>
      </c>
      <c r="H115" s="17">
        <v>1483</v>
      </c>
      <c r="I115" s="17">
        <f t="shared" si="7"/>
        <v>-330</v>
      </c>
      <c r="J115" s="16">
        <f t="shared" si="8"/>
        <v>-0.22252191503708699</v>
      </c>
      <c r="K115" s="39"/>
      <c r="L115" s="40"/>
    </row>
    <row r="116" spans="1:12" ht="15.75">
      <c r="A116" s="25" t="str">
        <v>Weinberg 2</v>
      </c>
      <c r="B116" s="26" t="str">
        <v>DC</v>
      </c>
      <c r="C116" s="26" t="str">
        <f>Sites[[#This Row],[SOL'#]]</f>
        <v>SOL-10045</v>
      </c>
      <c r="D116" s="21">
        <v>1052</v>
      </c>
      <c r="E116" s="11">
        <v>1052.502</v>
      </c>
      <c r="F116" s="11">
        <f t="shared" si="6"/>
        <v>-0.50199999999995271</v>
      </c>
      <c r="G116" s="68">
        <f t="shared" si="10"/>
        <v>-4.7695871361760141E-4</v>
      </c>
      <c r="H116" s="13">
        <v>1521</v>
      </c>
      <c r="I116" s="83">
        <f t="shared" si="7"/>
        <v>-469</v>
      </c>
      <c r="J116" s="80">
        <f t="shared" si="8"/>
        <v>-0.30834976988823143</v>
      </c>
      <c r="K116" s="38"/>
      <c r="L116" s="38"/>
    </row>
    <row r="117" spans="1:12" ht="15.75">
      <c r="A117" s="27" t="str">
        <v>Weinberg 3</v>
      </c>
      <c r="B117" s="28" t="str">
        <v>DC</v>
      </c>
      <c r="C117" s="28" t="str">
        <f>Sites[[#This Row],[SOL'#]]</f>
        <v>SOL-10042</v>
      </c>
      <c r="D117" s="10">
        <v>1324</v>
      </c>
      <c r="E117" s="15">
        <v>1279.9570000000001</v>
      </c>
      <c r="F117" s="15">
        <f t="shared" si="6"/>
        <v>44.042999999999893</v>
      </c>
      <c r="G117" s="16">
        <f t="shared" si="10"/>
        <v>3.4409749702528983E-2</v>
      </c>
      <c r="H117" s="17">
        <v>1521</v>
      </c>
      <c r="I117" s="17">
        <f t="shared" si="7"/>
        <v>-197</v>
      </c>
      <c r="J117" s="16">
        <f t="shared" si="8"/>
        <v>-0.12952005259697569</v>
      </c>
      <c r="K117" s="39"/>
      <c r="L117" s="40"/>
    </row>
    <row r="118" spans="1:12" ht="15.75">
      <c r="A118" s="25" t="str">
        <v>Clayton Hall</v>
      </c>
      <c r="B118" s="26" t="str">
        <v>DE</v>
      </c>
      <c r="C118" s="26" t="str">
        <f>Sites[[#This Row],[SOL'#]]</f>
        <v>SOL-10820</v>
      </c>
      <c r="D118" s="21">
        <v>15081</v>
      </c>
      <c r="E118" s="11">
        <v>16404.341</v>
      </c>
      <c r="F118" s="11">
        <f t="shared" si="6"/>
        <v>-1323.3410000000003</v>
      </c>
      <c r="G118" s="68">
        <f t="shared" si="10"/>
        <v>-8.0670171389390186E-2</v>
      </c>
      <c r="H118" s="13">
        <v>14837.001</v>
      </c>
      <c r="I118" s="83">
        <f t="shared" si="7"/>
        <v>243.9989999999998</v>
      </c>
      <c r="J118" s="80">
        <f t="shared" si="8"/>
        <v>1.644530454638372E-2</v>
      </c>
      <c r="K118" s="38"/>
      <c r="L118" s="38"/>
    </row>
    <row r="119" spans="1:12" ht="28.5">
      <c r="A119" s="27" t="str">
        <v>Field House</v>
      </c>
      <c r="B119" s="28" t="str">
        <v>DE</v>
      </c>
      <c r="C119" s="28" t="str">
        <f>Sites[[#This Row],[SOL'#]]</f>
        <v>SOL-10821</v>
      </c>
      <c r="D119" s="10">
        <v>40306</v>
      </c>
      <c r="E119" s="15">
        <v>0</v>
      </c>
      <c r="F119" s="15">
        <f t="shared" si="6"/>
        <v>40306</v>
      </c>
      <c r="G119" s="16" t="str">
        <f t="shared" si="10"/>
        <v/>
      </c>
      <c r="H119" s="17">
        <v>39772</v>
      </c>
      <c r="I119" s="17">
        <f t="shared" si="7"/>
        <v>534</v>
      </c>
      <c r="J119" s="16">
        <f t="shared" si="8"/>
        <v>1.3426531227999597E-2</v>
      </c>
      <c r="K119" s="39" t="s">
        <v>1025</v>
      </c>
      <c r="L119" s="109" t="s">
        <v>1026</v>
      </c>
    </row>
    <row r="120" spans="1:12" ht="15.75">
      <c r="A120" s="25" t="str">
        <v>Wyoming Road</v>
      </c>
      <c r="B120" s="26" t="str">
        <v>DE</v>
      </c>
      <c r="C120" s="26" t="str">
        <f>Sites[[#This Row],[SOL'#]]</f>
        <v>SOL-10819</v>
      </c>
      <c r="D120" s="21">
        <v>0</v>
      </c>
      <c r="E120" s="11"/>
      <c r="F120" s="11" t="str">
        <f t="shared" si="6"/>
        <v/>
      </c>
      <c r="G120" s="68" t="str">
        <f t="shared" si="10"/>
        <v/>
      </c>
      <c r="H120" s="13">
        <v>28397</v>
      </c>
      <c r="I120" s="83">
        <f t="shared" si="7"/>
        <v>-28397</v>
      </c>
      <c r="J120" s="80">
        <f t="shared" si="8"/>
        <v>-1</v>
      </c>
      <c r="K120" s="38" t="s">
        <v>917</v>
      </c>
      <c r="L120" s="38" t="s">
        <v>1027</v>
      </c>
    </row>
    <row r="121" spans="1:12" ht="15.75">
      <c r="A121" s="27" t="str">
        <v>Leoku</v>
      </c>
      <c r="B121" s="28" t="str">
        <v>HI</v>
      </c>
      <c r="C121" s="28" t="str">
        <f>Sites[[#This Row],[SOL'#]]</f>
        <v>SOL-10071</v>
      </c>
      <c r="D121" s="10">
        <v>8533</v>
      </c>
      <c r="E121" s="15">
        <v>11392.54</v>
      </c>
      <c r="F121" s="15">
        <f t="shared" si="6"/>
        <v>-2859.5400000000009</v>
      </c>
      <c r="G121" s="16">
        <f t="shared" si="10"/>
        <v>-0.25100109369815693</v>
      </c>
      <c r="H121" s="17">
        <v>13652</v>
      </c>
      <c r="I121" s="17">
        <f t="shared" si="7"/>
        <v>-5119</v>
      </c>
      <c r="J121" s="16">
        <f t="shared" si="8"/>
        <v>-0.37496337532962204</v>
      </c>
      <c r="K121" s="39" t="s">
        <v>1028</v>
      </c>
      <c r="L121" s="40"/>
    </row>
    <row r="122" spans="1:12" ht="15.75">
      <c r="A122" s="25" t="str">
        <v>Waipahu</v>
      </c>
      <c r="B122" s="26" t="str">
        <v>HI</v>
      </c>
      <c r="C122" s="26" t="str">
        <f>Sites[[#This Row],[SOL'#]]</f>
        <v>SOL-10068</v>
      </c>
      <c r="D122" s="21">
        <v>13601</v>
      </c>
      <c r="E122" s="11">
        <v>10859.46</v>
      </c>
      <c r="F122" s="11">
        <f t="shared" si="6"/>
        <v>2741.5400000000009</v>
      </c>
      <c r="G122" s="68">
        <f t="shared" si="10"/>
        <v>0.25245638365075251</v>
      </c>
      <c r="H122" s="13">
        <v>13652</v>
      </c>
      <c r="I122" s="83">
        <f t="shared" si="7"/>
        <v>-51</v>
      </c>
      <c r="J122" s="80">
        <f t="shared" si="8"/>
        <v>-3.735716378552593E-3</v>
      </c>
      <c r="K122" s="38"/>
      <c r="L122" s="38"/>
    </row>
    <row r="123" spans="1:12" ht="15.75">
      <c r="A123" s="27" t="str">
        <v>Bird in Hand</v>
      </c>
      <c r="B123" s="28" t="str">
        <v>MD</v>
      </c>
      <c r="C123" s="28" t="str">
        <f>Sites[[#This Row],[SOL'#]]</f>
        <v>SOL-10092</v>
      </c>
      <c r="D123" s="10">
        <v>140632</v>
      </c>
      <c r="E123" s="15">
        <v>142924.79999999999</v>
      </c>
      <c r="F123" s="15">
        <f t="shared" si="6"/>
        <v>-2292.7999999999884</v>
      </c>
      <c r="G123" s="16">
        <f t="shared" si="10"/>
        <v>-1.6042002507612313E-2</v>
      </c>
      <c r="H123" s="17">
        <v>149206</v>
      </c>
      <c r="I123" s="17">
        <f t="shared" si="7"/>
        <v>-8574</v>
      </c>
      <c r="J123" s="16">
        <f t="shared" si="8"/>
        <v>-5.7464177043818614E-2</v>
      </c>
      <c r="K123" s="39"/>
      <c r="L123" s="40"/>
    </row>
    <row r="124" spans="1:12" ht="15.75">
      <c r="A124" s="25" t="str">
        <v>Shortal</v>
      </c>
      <c r="B124" s="26" t="str">
        <v>MD</v>
      </c>
      <c r="C124" s="26" t="str">
        <f>Sites[[#This Row],[SOL'#]]</f>
        <v>SOL-10091</v>
      </c>
      <c r="D124" s="67">
        <v>146089</v>
      </c>
      <c r="E124" s="11">
        <v>122657.4</v>
      </c>
      <c r="F124" s="11">
        <f t="shared" si="6"/>
        <v>23431.600000000006</v>
      </c>
      <c r="G124" s="68">
        <f t="shared" si="10"/>
        <v>0.19103290955131944</v>
      </c>
      <c r="H124" s="83">
        <v>134896</v>
      </c>
      <c r="I124" s="83">
        <f t="shared" si="7"/>
        <v>11193</v>
      </c>
      <c r="J124" s="80">
        <f t="shared" si="8"/>
        <v>8.2975032617720323E-2</v>
      </c>
      <c r="K124" s="70"/>
      <c r="L124" s="70"/>
    </row>
    <row r="125" spans="1:12" ht="15.75">
      <c r="A125" s="27" t="str">
        <v>Aguadilla</v>
      </c>
      <c r="B125" s="28" t="str">
        <v>PR</v>
      </c>
      <c r="C125" s="28" t="str">
        <f>Sites[[#This Row],[SOL'#]]</f>
        <v>SOL-10072</v>
      </c>
      <c r="D125" s="10">
        <v>19148</v>
      </c>
      <c r="E125" s="15">
        <v>16789.68</v>
      </c>
      <c r="F125" s="15">
        <f t="shared" si="6"/>
        <v>2358.3199999999997</v>
      </c>
      <c r="G125" s="16">
        <f t="shared" si="10"/>
        <v>0.14046247456771063</v>
      </c>
      <c r="H125" s="17">
        <v>19773</v>
      </c>
      <c r="I125" s="17">
        <f t="shared" si="7"/>
        <v>-625</v>
      </c>
      <c r="J125" s="16">
        <f t="shared" si="8"/>
        <v>-3.1608759419410305E-2</v>
      </c>
      <c r="K125" s="39"/>
      <c r="L125" s="39"/>
    </row>
    <row r="126" spans="1:12" ht="15.75">
      <c r="A126" s="25" t="str">
        <v>Bayamon</v>
      </c>
      <c r="B126" s="26" t="str">
        <v>PR</v>
      </c>
      <c r="C126" s="26" t="str">
        <f>Sites[[#This Row],[SOL'#]]</f>
        <v>SOL-10073</v>
      </c>
      <c r="D126" s="21">
        <v>61425</v>
      </c>
      <c r="E126" s="11">
        <v>71732.92</v>
      </c>
      <c r="F126" s="11">
        <f t="shared" si="6"/>
        <v>-10307.919999999998</v>
      </c>
      <c r="G126" s="68">
        <f t="shared" si="10"/>
        <v>-0.14369859751979983</v>
      </c>
      <c r="H126" s="13">
        <v>88100</v>
      </c>
      <c r="I126" s="83">
        <f t="shared" si="7"/>
        <v>-26675</v>
      </c>
      <c r="J126" s="80">
        <f t="shared" si="8"/>
        <v>-0.30278093076049944</v>
      </c>
      <c r="K126" s="38" t="s">
        <v>1029</v>
      </c>
      <c r="L126" s="38" t="s">
        <v>1030</v>
      </c>
    </row>
    <row r="127" spans="1:12" ht="75" customHeight="1">
      <c r="A127" s="27" t="str">
        <v>St Francis</v>
      </c>
      <c r="B127" s="28" t="str">
        <v>PR</v>
      </c>
      <c r="C127" s="28" t="str">
        <f>Sites[[#This Row],[SOL'#]]</f>
        <v>SOL-10034</v>
      </c>
      <c r="D127" s="10">
        <v>23244.25</v>
      </c>
      <c r="E127" s="15">
        <v>48335.14</v>
      </c>
      <c r="F127" s="15">
        <f t="shared" si="6"/>
        <v>-25090.89</v>
      </c>
      <c r="G127" s="16">
        <f t="shared" si="10"/>
        <v>-0.51910245837707303</v>
      </c>
      <c r="H127" s="17">
        <v>41955</v>
      </c>
      <c r="I127" s="17">
        <f t="shared" si="7"/>
        <v>-18710.75</v>
      </c>
      <c r="J127" s="16">
        <f t="shared" si="8"/>
        <v>-0.44597187462757715</v>
      </c>
      <c r="K127" s="58" t="s">
        <v>1031</v>
      </c>
      <c r="L127" s="109" t="s">
        <v>1032</v>
      </c>
    </row>
    <row r="128" spans="1:12" ht="15.75">
      <c r="A128" s="25" t="str">
        <v>Seaport</v>
      </c>
      <c r="B128" s="26" t="str">
        <v>MA</v>
      </c>
      <c r="C128" s="26" t="str">
        <f>Sites[[#This Row],[SOL'#]]</f>
        <v>SOL-10772</v>
      </c>
      <c r="D128" s="21">
        <v>59180.5</v>
      </c>
      <c r="E128" s="11">
        <v>54856.41</v>
      </c>
      <c r="F128" s="11">
        <f t="shared" si="6"/>
        <v>4324.0899999999965</v>
      </c>
      <c r="G128" s="68">
        <f t="shared" si="10"/>
        <v>7.8825610352554906E-2</v>
      </c>
      <c r="H128" s="13">
        <v>65629</v>
      </c>
      <c r="I128" s="83">
        <f t="shared" si="7"/>
        <v>-6448.5</v>
      </c>
      <c r="J128" s="80">
        <f t="shared" si="8"/>
        <v>-9.8256868152798299E-2</v>
      </c>
      <c r="K128" s="38"/>
      <c r="L128" s="38"/>
    </row>
    <row r="129" spans="1:12" ht="15.75">
      <c r="A129" s="27" t="str">
        <v>Sprague St</v>
      </c>
      <c r="B129" s="28" t="str">
        <v>MA</v>
      </c>
      <c r="C129" s="28" t="str">
        <f>Sites[[#This Row],[SOL'#]]</f>
        <v>SOL-10773</v>
      </c>
      <c r="D129" s="10">
        <v>132476</v>
      </c>
      <c r="E129" s="15">
        <v>135763.6</v>
      </c>
      <c r="F129" s="15">
        <f t="shared" si="6"/>
        <v>-3287.6000000000058</v>
      </c>
      <c r="G129" s="16">
        <f t="shared" si="10"/>
        <v>-2.4215621860351418E-2</v>
      </c>
      <c r="H129" s="17">
        <v>144466</v>
      </c>
      <c r="I129" s="17">
        <f t="shared" si="7"/>
        <v>-11990</v>
      </c>
      <c r="J129" s="16">
        <f t="shared" si="8"/>
        <v>-8.2995306854207904E-2</v>
      </c>
      <c r="K129" s="39"/>
      <c r="L129" s="40"/>
    </row>
    <row r="130" spans="1:12" ht="28.5">
      <c r="A130" s="25" t="str">
        <v>Summer St</v>
      </c>
      <c r="B130" s="26" t="str">
        <v>MA</v>
      </c>
      <c r="C130" s="26" t="str">
        <f>Sites[[#This Row],[SOL'#]]</f>
        <v>SOL-10764</v>
      </c>
      <c r="D130" s="21">
        <v>277680</v>
      </c>
      <c r="E130" s="11">
        <v>286119.5</v>
      </c>
      <c r="F130" s="11">
        <f t="shared" si="6"/>
        <v>-8439.5</v>
      </c>
      <c r="G130" s="68">
        <f t="shared" si="10"/>
        <v>-2.9496416707005289E-2</v>
      </c>
      <c r="H130" s="13">
        <v>308644</v>
      </c>
      <c r="I130" s="83">
        <f t="shared" si="7"/>
        <v>-30964</v>
      </c>
      <c r="J130" s="80">
        <f t="shared" si="8"/>
        <v>-0.10032270188307564</v>
      </c>
      <c r="K130" s="38" t="s">
        <v>1033</v>
      </c>
      <c r="L130" s="38" t="s">
        <v>1034</v>
      </c>
    </row>
    <row r="131" spans="1:12" ht="15.75">
      <c r="A131" s="27" t="str">
        <v>Brock St Vocational</v>
      </c>
      <c r="B131" s="28" t="str">
        <v>NH</v>
      </c>
      <c r="C131" s="28" t="str">
        <f>Sites[[#This Row],[SOL'#]]</f>
        <v>SOL-10768</v>
      </c>
      <c r="D131" s="10">
        <v>13838.565000000001</v>
      </c>
      <c r="E131" s="15">
        <v>13253.995000000001</v>
      </c>
      <c r="F131" s="15">
        <f t="shared" si="6"/>
        <v>584.56999999999971</v>
      </c>
      <c r="G131" s="16">
        <f t="shared" si="10"/>
        <v>4.4105192434432006E-2</v>
      </c>
      <c r="H131" s="17">
        <v>11527</v>
      </c>
      <c r="I131" s="17">
        <f t="shared" si="7"/>
        <v>2311.5650000000005</v>
      </c>
      <c r="J131" s="16">
        <f t="shared" si="8"/>
        <v>0.200534831265724</v>
      </c>
      <c r="K131" s="39"/>
      <c r="L131" s="40"/>
    </row>
    <row r="132" spans="1:12" ht="15.75">
      <c r="A132" s="25" t="str">
        <v>McClelland ES</v>
      </c>
      <c r="B132" s="26" t="str">
        <v>NH</v>
      </c>
      <c r="C132" s="26" t="str">
        <f>Sites[[#This Row],[SOL'#]]</f>
        <v>SOL-10766</v>
      </c>
      <c r="D132" s="21">
        <v>10397.12522</v>
      </c>
      <c r="E132" s="11">
        <v>11282.63</v>
      </c>
      <c r="F132" s="11">
        <f t="shared" si="6"/>
        <v>-885.5047799999993</v>
      </c>
      <c r="G132" s="68">
        <f t="shared" si="10"/>
        <v>-7.8483897814605227E-2</v>
      </c>
      <c r="H132" s="13">
        <v>352374</v>
      </c>
      <c r="I132" s="83">
        <f t="shared" si="7"/>
        <v>-341976.87478000001</v>
      </c>
      <c r="J132" s="80">
        <f t="shared" si="8"/>
        <v>-0.97049406250177372</v>
      </c>
      <c r="K132" s="38"/>
      <c r="L132" s="38"/>
    </row>
    <row r="133" spans="1:12" ht="28.5">
      <c r="A133" s="27" t="str">
        <v>Portland St</v>
      </c>
      <c r="B133" s="28" t="str">
        <v>NH</v>
      </c>
      <c r="C133" s="28" t="str">
        <f>Sites[[#This Row],[SOL'#]]</f>
        <v>SOL-10771</v>
      </c>
      <c r="D133" s="10">
        <v>8333.1270000000004</v>
      </c>
      <c r="E133" s="15">
        <v>6644.0410000000002</v>
      </c>
      <c r="F133" s="15">
        <f t="shared" ref="F133:F161" si="11">IF(AND(ISNUMBER(D133),ISNUMBER(E133)), D133-E133, "")</f>
        <v>1689.0860000000002</v>
      </c>
      <c r="G133" s="16">
        <f t="shared" si="10"/>
        <v>0.25422570390519866</v>
      </c>
      <c r="H133" s="17">
        <v>7495</v>
      </c>
      <c r="I133" s="17"/>
      <c r="J133" s="16">
        <f t="shared" ref="J133:J161" si="12">IFERROR(I133/H133, "")</f>
        <v>0</v>
      </c>
      <c r="K133" s="39" t="s">
        <v>1035</v>
      </c>
      <c r="L133" s="40" t="s">
        <v>1036</v>
      </c>
    </row>
    <row r="134" spans="1:12" ht="15.75">
      <c r="A134" s="25" t="str">
        <v>Portsmouth HS</v>
      </c>
      <c r="B134" s="26" t="str">
        <v>NH</v>
      </c>
      <c r="C134" s="26" t="str">
        <f>Sites[[#This Row],[SOL'#]]</f>
        <v>SOL-10769</v>
      </c>
      <c r="D134" s="21">
        <v>34975.375</v>
      </c>
      <c r="E134" s="11">
        <v>32495.919999999998</v>
      </c>
      <c r="F134" s="11">
        <f t="shared" si="11"/>
        <v>2479.4550000000017</v>
      </c>
      <c r="G134" s="68">
        <f t="shared" si="10"/>
        <v>7.6300501724524239E-2</v>
      </c>
      <c r="H134" s="13">
        <v>26724</v>
      </c>
      <c r="I134" s="83">
        <f t="shared" ref="I134:I161" si="13">IF(AND(ISNUMBER(D134),ISNUMBER(H134)), D134-H134, "")</f>
        <v>8251.375</v>
      </c>
      <c r="J134" s="80">
        <f t="shared" si="12"/>
        <v>0.30876272264631044</v>
      </c>
      <c r="K134" s="38"/>
      <c r="L134" s="38"/>
    </row>
    <row r="135" spans="1:12" ht="15.75">
      <c r="A135" s="27" t="str">
        <v>Portsmouth WTP</v>
      </c>
      <c r="B135" s="28" t="str">
        <v>NH</v>
      </c>
      <c r="C135" s="28" t="str">
        <f>Sites[[#This Row],[SOL'#]]</f>
        <v>SOL-10770</v>
      </c>
      <c r="D135" s="10">
        <v>35272</v>
      </c>
      <c r="E135" s="15">
        <v>35927.160000000003</v>
      </c>
      <c r="F135" s="15">
        <f t="shared" si="11"/>
        <v>-655.16000000000349</v>
      </c>
      <c r="G135" s="16">
        <f t="shared" si="10"/>
        <v>-1.8235785962486414E-2</v>
      </c>
      <c r="H135" s="17">
        <v>30013</v>
      </c>
      <c r="I135" s="17">
        <f t="shared" si="13"/>
        <v>5259</v>
      </c>
      <c r="J135" s="16">
        <f t="shared" si="12"/>
        <v>0.17522406956985306</v>
      </c>
      <c r="K135" s="39"/>
      <c r="L135" s="40"/>
    </row>
    <row r="136" spans="1:12" ht="15.75">
      <c r="A136" s="25" t="str">
        <v>Rochester St</v>
      </c>
      <c r="B136" s="26" t="str">
        <v>NH</v>
      </c>
      <c r="C136" s="26" t="str">
        <f>Sites[[#This Row],[SOL'#]]</f>
        <v>SOL-10765</v>
      </c>
      <c r="D136" s="21">
        <v>31093.008999999998</v>
      </c>
      <c r="E136" s="11">
        <v>34156.1</v>
      </c>
      <c r="F136" s="11">
        <f>IF(AND(ISNUMBER(D136),ISNUMBER(E136)), D136-E136, "")</f>
        <v>-3063.0910000000003</v>
      </c>
      <c r="G136" s="68">
        <f t="shared" si="10"/>
        <v>-8.9679178828964673E-2</v>
      </c>
      <c r="H136" s="13">
        <v>27016</v>
      </c>
      <c r="I136" s="83">
        <f>IF(AND(ISNUMBER(D136),ISNUMBER(H136)), D136-H136, "")</f>
        <v>4077.0089999999982</v>
      </c>
      <c r="J136" s="80">
        <f t="shared" si="12"/>
        <v>0.15091090464909676</v>
      </c>
      <c r="K136" s="38"/>
      <c r="L136" s="38" t="s">
        <v>1036</v>
      </c>
    </row>
    <row r="137" spans="1:12" ht="15.75">
      <c r="A137" s="27" t="str">
        <v>Spaulding HS</v>
      </c>
      <c r="B137" s="28" t="str">
        <v>NH</v>
      </c>
      <c r="C137" s="28" t="str">
        <f>Sites[[#This Row],[SOL'#]]</f>
        <v>SOL-10767</v>
      </c>
      <c r="D137" s="10">
        <v>15405.003710000001</v>
      </c>
      <c r="E137" s="15">
        <v>13034.43</v>
      </c>
      <c r="F137" s="15">
        <f t="shared" si="11"/>
        <v>2370.5737100000006</v>
      </c>
      <c r="G137" s="16">
        <f t="shared" si="10"/>
        <v>0.1818701477548309</v>
      </c>
      <c r="H137" s="17">
        <v>13097</v>
      </c>
      <c r="I137" s="17">
        <f t="shared" si="13"/>
        <v>2308.0037100000009</v>
      </c>
      <c r="J137" s="16">
        <f t="shared" si="12"/>
        <v>0.1762238459189128</v>
      </c>
      <c r="K137" s="39"/>
      <c r="L137" s="40"/>
    </row>
    <row r="138" spans="1:12" ht="15.75">
      <c r="A138" s="25" t="str">
        <v>Ridgeway #2</v>
      </c>
      <c r="B138" s="26" t="str">
        <v>NY</v>
      </c>
      <c r="C138" s="26" t="str">
        <f>Sites[[#This Row],[SOL'#]]</f>
        <v>SOL-11027</v>
      </c>
      <c r="D138" s="21">
        <v>527526</v>
      </c>
      <c r="E138" s="11">
        <v>0</v>
      </c>
      <c r="F138" s="11">
        <f t="shared" si="11"/>
        <v>527526</v>
      </c>
      <c r="G138" s="68" t="str">
        <f t="shared" si="10"/>
        <v/>
      </c>
      <c r="H138" s="13">
        <v>494486</v>
      </c>
      <c r="I138" s="83">
        <f t="shared" si="13"/>
        <v>33040</v>
      </c>
      <c r="J138" s="80">
        <f t="shared" si="12"/>
        <v>6.681685629117913E-2</v>
      </c>
      <c r="K138" s="38"/>
      <c r="L138" s="38"/>
    </row>
    <row r="139" spans="1:12" ht="28.5">
      <c r="A139" s="27" t="str">
        <v>Spencer</v>
      </c>
      <c r="B139" s="28" t="str">
        <v>NY</v>
      </c>
      <c r="C139" s="28" t="str">
        <f>Sites[[#This Row],[SOL'#]]</f>
        <v>SOL-11017</v>
      </c>
      <c r="D139" s="10">
        <v>953486</v>
      </c>
      <c r="E139" s="15">
        <v>0</v>
      </c>
      <c r="F139" s="15">
        <f t="shared" si="11"/>
        <v>953486</v>
      </c>
      <c r="G139" s="16" t="str">
        <f t="shared" si="10"/>
        <v/>
      </c>
      <c r="H139" s="17">
        <v>941000</v>
      </c>
      <c r="I139" s="17">
        <f t="shared" si="13"/>
        <v>12486</v>
      </c>
      <c r="J139" s="16">
        <f t="shared" si="12"/>
        <v>1.3268862911795961E-2</v>
      </c>
      <c r="K139" s="103" t="s">
        <v>1037</v>
      </c>
      <c r="L139" s="110" t="s">
        <v>1038</v>
      </c>
    </row>
    <row r="140" spans="1:12" ht="15.75">
      <c r="A140" s="25" t="str">
        <v>Reisender</v>
      </c>
      <c r="B140" s="26" t="str">
        <v>NY</v>
      </c>
      <c r="C140" s="26" t="str">
        <f>Sites[[#This Row],[SOL'#]]</f>
        <v>SOL-10886</v>
      </c>
      <c r="D140" s="67">
        <v>330570</v>
      </c>
      <c r="E140" s="11">
        <v>345660.94</v>
      </c>
      <c r="F140" s="11">
        <f t="shared" si="11"/>
        <v>-15090.940000000002</v>
      </c>
      <c r="G140" s="68">
        <f t="shared" si="10"/>
        <v>-4.3658216054148331E-2</v>
      </c>
      <c r="H140" s="83">
        <v>327478</v>
      </c>
      <c r="I140" s="83">
        <f t="shared" si="13"/>
        <v>3092</v>
      </c>
      <c r="J140" s="80">
        <f t="shared" si="12"/>
        <v>9.4418556361037988E-3</v>
      </c>
      <c r="K140" s="70"/>
      <c r="L140" s="38"/>
    </row>
    <row r="141" spans="1:12" ht="15.75">
      <c r="A141" s="27" t="str">
        <v>Finney</v>
      </c>
      <c r="B141" s="28" t="str">
        <v>NY</v>
      </c>
      <c r="C141" s="28" t="str">
        <f>Sites[[#This Row],[SOL'#]]</f>
        <v>SOL-10999</v>
      </c>
      <c r="D141" s="82">
        <v>1034760</v>
      </c>
      <c r="E141" s="15">
        <v>0</v>
      </c>
      <c r="F141" s="15">
        <f t="shared" si="11"/>
        <v>1034760</v>
      </c>
      <c r="G141" s="84" t="str">
        <f t="shared" si="10"/>
        <v/>
      </c>
      <c r="H141" s="85">
        <v>767451</v>
      </c>
      <c r="I141" s="17">
        <f t="shared" si="13"/>
        <v>267309</v>
      </c>
      <c r="J141" s="16">
        <f t="shared" si="12"/>
        <v>0.34830757924610173</v>
      </c>
      <c r="K141" s="39"/>
      <c r="L141" s="18"/>
    </row>
    <row r="142" spans="1:12" ht="57">
      <c r="A142" s="25" t="str">
        <v>Davis Solar</v>
      </c>
      <c r="B142" s="26" t="str">
        <v>NY</v>
      </c>
      <c r="C142" s="26" t="str">
        <f>Sites[[#This Row],[SOL'#]]</f>
        <v>SOL-10958</v>
      </c>
      <c r="D142" s="67">
        <v>232974</v>
      </c>
      <c r="E142" s="11">
        <v>350297.9</v>
      </c>
      <c r="F142" s="11">
        <f t="shared" si="11"/>
        <v>-117323.90000000002</v>
      </c>
      <c r="G142" s="68">
        <f t="shared" si="10"/>
        <v>-0.33492607292250398</v>
      </c>
      <c r="H142" s="83">
        <v>375926</v>
      </c>
      <c r="I142" s="83">
        <f t="shared" si="13"/>
        <v>-142952</v>
      </c>
      <c r="J142" s="80">
        <f t="shared" si="12"/>
        <v>-0.38026632901156077</v>
      </c>
      <c r="K142" s="70" t="s">
        <v>1039</v>
      </c>
      <c r="L142" s="38" t="s">
        <v>1040</v>
      </c>
    </row>
    <row r="143" spans="1:12" ht="15.75">
      <c r="A143" s="27" t="str">
        <v>Genesee</v>
      </c>
      <c r="B143" s="28" t="str">
        <v>NY</v>
      </c>
      <c r="C143" s="28" t="str">
        <f>Sites[[#This Row],[SOL'#]]</f>
        <v>SOL-10951</v>
      </c>
      <c r="D143" s="82">
        <v>785301</v>
      </c>
      <c r="E143" s="15">
        <v>0</v>
      </c>
      <c r="F143" s="15">
        <f t="shared" si="11"/>
        <v>785301</v>
      </c>
      <c r="G143" s="84" t="str">
        <f t="shared" si="10"/>
        <v/>
      </c>
      <c r="H143" s="85">
        <v>729021</v>
      </c>
      <c r="I143" s="17">
        <f t="shared" si="13"/>
        <v>56280</v>
      </c>
      <c r="J143" s="16">
        <f t="shared" si="12"/>
        <v>7.7199422238865542E-2</v>
      </c>
      <c r="K143" s="39"/>
      <c r="L143" s="18"/>
    </row>
    <row r="144" spans="1:12" ht="15.75">
      <c r="A144" s="25" t="str">
        <v>Landau I</v>
      </c>
      <c r="B144" s="26" t="str">
        <v>NY</v>
      </c>
      <c r="C144" s="26" t="str">
        <f>Sites[[#This Row],[SOL'#]]</f>
        <v>SOL-10891</v>
      </c>
      <c r="D144" s="67">
        <v>334622</v>
      </c>
      <c r="E144" s="11">
        <v>0</v>
      </c>
      <c r="F144" s="11">
        <f t="shared" si="11"/>
        <v>334622</v>
      </c>
      <c r="G144" s="68" t="str">
        <f t="shared" si="10"/>
        <v/>
      </c>
      <c r="H144" s="83">
        <v>353152</v>
      </c>
      <c r="I144" s="83">
        <f t="shared" si="13"/>
        <v>-18530</v>
      </c>
      <c r="J144" s="80">
        <f t="shared" si="12"/>
        <v>-5.2470324392895978E-2</v>
      </c>
      <c r="K144" s="70"/>
      <c r="L144" s="38"/>
    </row>
    <row r="145" spans="1:12" ht="71.25">
      <c r="A145" s="27" t="str">
        <v>Landau II</v>
      </c>
      <c r="B145" s="28" t="str">
        <v>NY</v>
      </c>
      <c r="C145" s="28" t="str">
        <f>Sites[[#This Row],[SOL'#]]</f>
        <v>SOL-10895</v>
      </c>
      <c r="D145" s="82">
        <v>469010</v>
      </c>
      <c r="E145" s="15">
        <v>0</v>
      </c>
      <c r="F145" s="15">
        <f t="shared" si="11"/>
        <v>469010</v>
      </c>
      <c r="G145" s="84" t="str">
        <f t="shared" si="10"/>
        <v/>
      </c>
      <c r="H145" s="85">
        <v>749399</v>
      </c>
      <c r="I145" s="17">
        <f t="shared" si="13"/>
        <v>-280389</v>
      </c>
      <c r="J145" s="16">
        <f t="shared" si="12"/>
        <v>-0.37415182032535405</v>
      </c>
      <c r="K145" s="58" t="s">
        <v>1041</v>
      </c>
      <c r="L145" s="107" t="s">
        <v>1042</v>
      </c>
    </row>
    <row r="146" spans="1:12" ht="85.5">
      <c r="A146" s="25" t="str">
        <v>New Beginnings</v>
      </c>
      <c r="B146" s="26" t="str">
        <v>NY</v>
      </c>
      <c r="C146" s="26" t="str">
        <f>Sites[[#This Row],[SOL'#]]</f>
        <v>SOL-10890</v>
      </c>
      <c r="D146" s="67">
        <v>318600</v>
      </c>
      <c r="E146" s="11">
        <v>359755.96</v>
      </c>
      <c r="F146" s="11">
        <f t="shared" si="11"/>
        <v>-41155.960000000021</v>
      </c>
      <c r="G146" s="68">
        <f t="shared" ref="G146:G161" si="14">IFERROR(F146/E146, "")</f>
        <v>-0.11439966137044684</v>
      </c>
      <c r="H146" s="83">
        <v>344725</v>
      </c>
      <c r="I146" s="83">
        <f t="shared" si="13"/>
        <v>-26125</v>
      </c>
      <c r="J146" s="80">
        <f t="shared" si="12"/>
        <v>-7.5785046051200233E-2</v>
      </c>
      <c r="K146" s="70" t="s">
        <v>1043</v>
      </c>
      <c r="L146" s="38" t="s">
        <v>1044</v>
      </c>
    </row>
    <row r="147" spans="1:12" ht="15.75">
      <c r="A147" s="27" t="str">
        <v>Guilin Farm Solar</v>
      </c>
      <c r="B147" s="28" t="str">
        <v>NY</v>
      </c>
      <c r="C147" s="28" t="str">
        <f>Sites[[#This Row],[SOL'#]]</f>
        <v>SOL-10998</v>
      </c>
      <c r="D147" s="82">
        <v>983449</v>
      </c>
      <c r="E147" s="15">
        <v>1007732</v>
      </c>
      <c r="F147" s="15">
        <f t="shared" si="11"/>
        <v>-24283</v>
      </c>
      <c r="G147" s="84">
        <f t="shared" si="14"/>
        <v>-2.4096684435941301E-2</v>
      </c>
      <c r="H147" s="85">
        <v>902730.9</v>
      </c>
      <c r="I147" s="17">
        <f t="shared" si="13"/>
        <v>80718.099999999977</v>
      </c>
      <c r="J147" s="16">
        <f t="shared" si="12"/>
        <v>8.9415461462546558E-2</v>
      </c>
      <c r="K147" s="39"/>
      <c r="L147" s="18"/>
    </row>
    <row r="148" spans="1:12" ht="15.75">
      <c r="A148" s="25" t="str">
        <v>Brodhead Solar</v>
      </c>
      <c r="B148" s="26" t="str">
        <v>NY</v>
      </c>
      <c r="C148" s="26" t="str">
        <f>Sites[[#This Row],[SOL'#]]</f>
        <v>SOL-10899</v>
      </c>
      <c r="D148" s="67">
        <v>399988</v>
      </c>
      <c r="E148" s="11">
        <v>422903.3</v>
      </c>
      <c r="F148" s="11">
        <f t="shared" si="11"/>
        <v>-22915.299999999988</v>
      </c>
      <c r="G148" s="68">
        <f t="shared" si="14"/>
        <v>-5.4185673178714824E-2</v>
      </c>
      <c r="H148" s="83">
        <v>413571.1</v>
      </c>
      <c r="I148" s="83">
        <f t="shared" si="13"/>
        <v>-13583.099999999977</v>
      </c>
      <c r="J148" s="80">
        <f t="shared" si="12"/>
        <v>-3.284344578235756E-2</v>
      </c>
      <c r="K148" s="70"/>
      <c r="L148" s="38"/>
    </row>
    <row r="149" spans="1:12" ht="57">
      <c r="A149" s="27" t="str">
        <v>Svenski</v>
      </c>
      <c r="B149" s="28" t="str">
        <v>NY</v>
      </c>
      <c r="C149" s="28" t="str">
        <f>Sites[[#This Row],[SOL'#]]</f>
        <v>SOL-10894</v>
      </c>
      <c r="D149" s="82">
        <v>314398</v>
      </c>
      <c r="E149" s="15">
        <v>0</v>
      </c>
      <c r="F149" s="15">
        <f t="shared" si="11"/>
        <v>314398</v>
      </c>
      <c r="G149" s="84" t="str">
        <f t="shared" si="14"/>
        <v/>
      </c>
      <c r="H149" s="85">
        <v>352868</v>
      </c>
      <c r="I149" s="17">
        <f t="shared" si="13"/>
        <v>-38470</v>
      </c>
      <c r="J149" s="16">
        <f t="shared" si="12"/>
        <v>-0.10902093700760625</v>
      </c>
      <c r="K149" s="39" t="s">
        <v>1045</v>
      </c>
      <c r="L149" s="106" t="s">
        <v>1046</v>
      </c>
    </row>
    <row r="150" spans="1:12" ht="15.75">
      <c r="A150" s="25" t="str">
        <v>Bantam</v>
      </c>
      <c r="B150" s="26" t="str">
        <v>NY</v>
      </c>
      <c r="C150" s="26" t="str">
        <f>Sites[[#This Row],[SOL'#]]</f>
        <v>SOL-10986</v>
      </c>
      <c r="D150" s="67">
        <v>28180</v>
      </c>
      <c r="E150" s="11">
        <v>0</v>
      </c>
      <c r="F150" s="11">
        <f t="shared" si="11"/>
        <v>28180</v>
      </c>
      <c r="G150" s="68" t="str">
        <f t="shared" si="14"/>
        <v/>
      </c>
      <c r="H150" s="83">
        <v>930990</v>
      </c>
      <c r="I150" s="83">
        <f t="shared" si="13"/>
        <v>-902810</v>
      </c>
      <c r="J150" s="80">
        <f t="shared" si="12"/>
        <v>-0.96973114641403235</v>
      </c>
      <c r="K150" s="70" t="s">
        <v>1047</v>
      </c>
      <c r="L150" s="38"/>
    </row>
    <row r="151" spans="1:12" ht="15.75">
      <c r="A151" s="27" t="str">
        <v>Bogart</v>
      </c>
      <c r="B151" s="28" t="str">
        <v>NY</v>
      </c>
      <c r="C151" s="28" t="str">
        <f>Sites[[#This Row],[SOL'#]]</f>
        <v>SOL-10887</v>
      </c>
      <c r="D151" s="82">
        <v>92250</v>
      </c>
      <c r="E151" s="15">
        <v>357156.97</v>
      </c>
      <c r="F151" s="15">
        <f t="shared" si="11"/>
        <v>-264906.96999999997</v>
      </c>
      <c r="G151" s="84">
        <f t="shared" si="14"/>
        <v>-0.74171020657947684</v>
      </c>
      <c r="H151" s="85">
        <v>342302</v>
      </c>
      <c r="I151" s="17">
        <f t="shared" si="13"/>
        <v>-250052</v>
      </c>
      <c r="J151" s="16">
        <f t="shared" si="12"/>
        <v>-0.73050113642339221</v>
      </c>
      <c r="K151" s="39" t="s">
        <v>1048</v>
      </c>
      <c r="L151" s="18" t="s">
        <v>1049</v>
      </c>
    </row>
    <row r="152" spans="1:12" ht="15.75">
      <c r="A152" s="25" t="str">
        <v>Dubois</v>
      </c>
      <c r="B152" s="26" t="str">
        <v>NY</v>
      </c>
      <c r="C152" s="26" t="str">
        <f>Sites[[#This Row],[SOL'#]]</f>
        <v>SOL-10892</v>
      </c>
      <c r="D152" s="67">
        <v>340655</v>
      </c>
      <c r="E152" s="11">
        <v>0</v>
      </c>
      <c r="F152" s="11">
        <f t="shared" si="11"/>
        <v>340655</v>
      </c>
      <c r="G152" s="68" t="str">
        <f t="shared" si="14"/>
        <v/>
      </c>
      <c r="H152" s="83"/>
      <c r="I152" s="83" t="str">
        <f t="shared" si="13"/>
        <v/>
      </c>
      <c r="J152" s="80" t="str">
        <f t="shared" si="12"/>
        <v/>
      </c>
      <c r="K152" s="70" t="s">
        <v>1050</v>
      </c>
      <c r="L152" s="70" t="s">
        <v>1051</v>
      </c>
    </row>
    <row r="153" spans="1:12" ht="28.5">
      <c r="A153" s="27" t="str">
        <v>Salt Point</v>
      </c>
      <c r="B153" s="28" t="str">
        <v>NY</v>
      </c>
      <c r="C153" s="28" t="str">
        <f>Sites[[#This Row],[SOL'#]]</f>
        <v>SOL-10888</v>
      </c>
      <c r="D153" s="82">
        <v>330980</v>
      </c>
      <c r="E153" s="15">
        <v>0</v>
      </c>
      <c r="F153" s="15">
        <f t="shared" si="11"/>
        <v>330980</v>
      </c>
      <c r="G153" s="84" t="str">
        <f t="shared" si="14"/>
        <v/>
      </c>
      <c r="H153" s="85">
        <v>375242</v>
      </c>
      <c r="I153" s="17">
        <f t="shared" si="13"/>
        <v>-44262</v>
      </c>
      <c r="J153" s="16">
        <f t="shared" si="12"/>
        <v>-0.11795587913932876</v>
      </c>
      <c r="K153" s="59" t="s">
        <v>1052</v>
      </c>
      <c r="L153" s="105" t="s">
        <v>1053</v>
      </c>
    </row>
    <row r="154" spans="1:12" ht="28.5">
      <c r="A154" s="25" t="str">
        <v>Wheatland 2A</v>
      </c>
      <c r="B154" s="26" t="str">
        <v>NY</v>
      </c>
      <c r="C154" s="26" t="str">
        <f>Sites[[#This Row],[SOL'#]]</f>
        <v>SOL-10971</v>
      </c>
      <c r="D154" s="67">
        <v>782570</v>
      </c>
      <c r="E154" s="11">
        <v>0</v>
      </c>
      <c r="F154" s="11">
        <f t="shared" si="11"/>
        <v>782570</v>
      </c>
      <c r="G154" s="68" t="str">
        <f t="shared" si="14"/>
        <v/>
      </c>
      <c r="H154" s="83">
        <v>818945</v>
      </c>
      <c r="I154" s="83">
        <f t="shared" si="13"/>
        <v>-36375</v>
      </c>
      <c r="J154" s="80">
        <f t="shared" si="12"/>
        <v>-4.441690223397176E-2</v>
      </c>
      <c r="K154" s="70" t="s">
        <v>1054</v>
      </c>
      <c r="L154" s="66" t="s">
        <v>1055</v>
      </c>
    </row>
    <row r="155" spans="1:12" ht="15.75">
      <c r="A155" s="27" t="str">
        <v>Wheatland 2B</v>
      </c>
      <c r="B155" s="28" t="str">
        <v>NY</v>
      </c>
      <c r="C155" s="28" t="str">
        <f>Sites[[#This Row],[SOL'#]]</f>
        <v>SOL-10961</v>
      </c>
      <c r="D155" s="82">
        <v>808780</v>
      </c>
      <c r="E155" s="15">
        <v>0</v>
      </c>
      <c r="F155" s="15">
        <f t="shared" si="11"/>
        <v>808780</v>
      </c>
      <c r="G155" s="84" t="str">
        <f t="shared" si="14"/>
        <v/>
      </c>
      <c r="H155" s="85">
        <v>808220</v>
      </c>
      <c r="I155" s="17">
        <f t="shared" si="13"/>
        <v>560</v>
      </c>
      <c r="J155" s="16">
        <f t="shared" si="12"/>
        <v>6.9288065130781226E-4</v>
      </c>
      <c r="K155" s="39" t="s">
        <v>1056</v>
      </c>
      <c r="L155" s="18" t="s">
        <v>1057</v>
      </c>
    </row>
    <row r="156" spans="1:12" ht="15.75">
      <c r="A156" s="25" t="str">
        <v>Brickchurch</v>
      </c>
      <c r="B156" s="26" t="str">
        <v>NY</v>
      </c>
      <c r="C156" s="26" t="str">
        <f>Sites[[#This Row],[SOL'#]]</f>
        <v>SOL-10889</v>
      </c>
      <c r="D156" s="67">
        <v>342290</v>
      </c>
      <c r="E156" s="11">
        <v>350855.46</v>
      </c>
      <c r="F156" s="11">
        <f t="shared" si="11"/>
        <v>-8565.460000000021</v>
      </c>
      <c r="G156" s="68">
        <f t="shared" si="14"/>
        <v>-2.4413073121336122E-2</v>
      </c>
      <c r="H156" s="83">
        <v>376443</v>
      </c>
      <c r="I156" s="83">
        <f t="shared" si="13"/>
        <v>-34153</v>
      </c>
      <c r="J156" s="80">
        <f t="shared" si="12"/>
        <v>-9.0725554732057706E-2</v>
      </c>
      <c r="K156" s="70"/>
      <c r="L156" s="38"/>
    </row>
    <row r="157" spans="1:12" ht="15.75">
      <c r="A157" s="27" t="str">
        <v>McCarthy Solar</v>
      </c>
      <c r="B157" s="28" t="str">
        <v>NY</v>
      </c>
      <c r="C157" s="28" t="str">
        <f>Sites[[#This Row],[SOL'#]]</f>
        <v>SOL-10992</v>
      </c>
      <c r="D157" s="82">
        <v>335307</v>
      </c>
      <c r="E157" s="15">
        <v>0</v>
      </c>
      <c r="F157" s="15">
        <f t="shared" si="11"/>
        <v>335307</v>
      </c>
      <c r="G157" s="84" t="str">
        <f t="shared" si="14"/>
        <v/>
      </c>
      <c r="H157" s="85"/>
      <c r="I157" s="17" t="str">
        <f t="shared" si="13"/>
        <v/>
      </c>
      <c r="J157" s="16" t="str">
        <f t="shared" si="12"/>
        <v/>
      </c>
      <c r="L157" s="18"/>
    </row>
    <row r="158" spans="1:12" ht="28.5">
      <c r="A158" s="25" t="str">
        <v>Costanza</v>
      </c>
      <c r="B158" s="26" t="str">
        <v>NY</v>
      </c>
      <c r="C158" s="26" t="str">
        <f>Sites[[#This Row],[SOL'#]]</f>
        <v>SOL-10907</v>
      </c>
      <c r="D158" s="67">
        <v>610</v>
      </c>
      <c r="E158" s="11">
        <v>0</v>
      </c>
      <c r="F158" s="11">
        <f t="shared" si="11"/>
        <v>610</v>
      </c>
      <c r="G158" s="68" t="str">
        <f t="shared" si="14"/>
        <v/>
      </c>
      <c r="H158" s="83">
        <v>352254</v>
      </c>
      <c r="I158" s="83">
        <f t="shared" si="13"/>
        <v>-351644</v>
      </c>
      <c r="J158" s="80">
        <f t="shared" si="12"/>
        <v>-0.9982682950371039</v>
      </c>
      <c r="K158" s="70" t="s">
        <v>1058</v>
      </c>
      <c r="L158" s="38" t="s">
        <v>1059</v>
      </c>
    </row>
    <row r="159" spans="1:12" ht="15.75">
      <c r="A159" s="27" t="str">
        <v>Lockenhurst Pond</v>
      </c>
      <c r="B159" s="28" t="str">
        <v>NY</v>
      </c>
      <c r="C159" s="28" t="str">
        <f>Sites[[#This Row],[SOL'#]]</f>
        <v>SOL-11000</v>
      </c>
      <c r="D159" s="82">
        <v>387680</v>
      </c>
      <c r="E159" s="15">
        <v>388684.2</v>
      </c>
      <c r="F159" s="15">
        <f t="shared" si="11"/>
        <v>-1004.2000000000116</v>
      </c>
      <c r="G159" s="84">
        <f t="shared" si="14"/>
        <v>-2.5835884247417612E-3</v>
      </c>
      <c r="H159" s="85">
        <v>386599</v>
      </c>
      <c r="I159" s="17">
        <f t="shared" si="13"/>
        <v>1081</v>
      </c>
      <c r="J159" s="16">
        <f t="shared" si="12"/>
        <v>2.7961789864950504E-3</v>
      </c>
      <c r="K159" s="39"/>
      <c r="L159" s="18"/>
    </row>
    <row r="160" spans="1:12" ht="15.75">
      <c r="A160" s="25" t="str">
        <v>Drinkwater</v>
      </c>
      <c r="B160" s="26" t="str">
        <v>NY</v>
      </c>
      <c r="C160" s="26" t="str">
        <f>Sites[[#This Row],[SOL'#]]</f>
        <v>SOL-10896</v>
      </c>
      <c r="D160" s="67">
        <v>393248</v>
      </c>
      <c r="E160" s="11">
        <v>0</v>
      </c>
      <c r="F160" s="11">
        <f t="shared" si="11"/>
        <v>393248</v>
      </c>
      <c r="G160" s="68" t="str">
        <f t="shared" si="14"/>
        <v/>
      </c>
      <c r="H160" s="83">
        <v>354886</v>
      </c>
      <c r="I160" s="83">
        <f t="shared" si="13"/>
        <v>38362</v>
      </c>
      <c r="J160" s="80">
        <f t="shared" si="12"/>
        <v>0.10809668456912924</v>
      </c>
      <c r="K160" s="70"/>
      <c r="L160" s="38"/>
    </row>
    <row r="161" spans="1:12" ht="57">
      <c r="A161" s="27" t="str">
        <v>Altamont</v>
      </c>
      <c r="B161" s="28" t="str">
        <v>NY</v>
      </c>
      <c r="C161" s="28" t="s">
        <v>11</v>
      </c>
      <c r="D161" s="82">
        <v>526842.85939812497</v>
      </c>
      <c r="E161" s="15">
        <v>558159.9</v>
      </c>
      <c r="F161" s="15">
        <f t="shared" si="11"/>
        <v>-31317.040601875051</v>
      </c>
      <c r="G161" s="84">
        <f t="shared" si="14"/>
        <v>-5.6107650517127884E-2</v>
      </c>
      <c r="H161" s="85">
        <v>582692.9</v>
      </c>
      <c r="I161" s="17">
        <f t="shared" si="13"/>
        <v>-55850.040601875051</v>
      </c>
      <c r="J161" s="16">
        <f t="shared" si="12"/>
        <v>-9.584815706845759E-2</v>
      </c>
      <c r="K161" s="39" t="s">
        <v>1060</v>
      </c>
      <c r="L161" s="92" t="s">
        <v>1061</v>
      </c>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18" priority="11" stopIfTrue="1" operator="lessThanOrEqual">
      <formula>-0.1</formula>
    </cfRule>
    <cfRule type="expression" dxfId="17" priority="12">
      <formula>AND(ISNUMBER(G2), G2&gt;=0.1)</formula>
    </cfRule>
  </conditionalFormatting>
  <conditionalFormatting sqref="G4:G161 J4:J161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1"/>
  <sheetViews>
    <sheetView zoomScale="70" zoomScaleNormal="70" workbookViewId="0">
      <pane xSplit="2" ySplit="3" topLeftCell="C4" activePane="bottomRight" state="frozen"/>
      <selection pane="bottomRight" activeCell="K17" sqref="K17"/>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23" t="str" cm="1">
        <f t="array" ref="A1">portfolio</f>
        <v>Generate Capital</v>
      </c>
      <c r="B1" s="123"/>
      <c r="C1" s="123"/>
      <c r="D1" s="123"/>
      <c r="E1" s="124" t="s">
        <v>1062</v>
      </c>
      <c r="F1" s="124"/>
      <c r="G1" s="124"/>
      <c r="H1" s="122" t="s">
        <v>1063</v>
      </c>
      <c r="I1" s="122"/>
      <c r="J1" s="122"/>
      <c r="K1" s="5"/>
      <c r="L1" s="5"/>
    </row>
    <row r="2" spans="1:12" ht="19.5" customHeight="1">
      <c r="A2" s="125" t="s">
        <v>2</v>
      </c>
      <c r="B2" s="125"/>
      <c r="C2" s="72"/>
      <c r="D2" s="6">
        <f>SUM(D4:D200)</f>
        <v>31944944.19935317</v>
      </c>
      <c r="E2" s="6">
        <f>SUM(E4:E100)</f>
        <v>6521324.8490000004</v>
      </c>
      <c r="F2" s="6">
        <f>D2-E2</f>
        <v>25423619.35035317</v>
      </c>
      <c r="G2" s="7">
        <f>IFERROR(F2/E2, 0)</f>
        <v>3.898535947684266</v>
      </c>
      <c r="H2" s="6">
        <f>SUM(H4:H200)</f>
        <v>27942488.098000001</v>
      </c>
      <c r="I2" s="8">
        <f>D2-H2</f>
        <v>4002456.1013531685</v>
      </c>
      <c r="J2" s="7">
        <f>IFERROR(I2/H2, 0)</f>
        <v>0.14323907331787131</v>
      </c>
      <c r="K2" s="23"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12351.9945522076</v>
      </c>
      <c r="E4" s="11">
        <v>7795.5559999999996</v>
      </c>
      <c r="F4" s="11">
        <f>IF(AND(ISNUMBER(D4),ISNUMBER(E4)), D4-E4, "")</f>
        <v>4556.4385522076</v>
      </c>
      <c r="G4" s="12">
        <f>IFERROR(F4/E4, "")</f>
        <v>0.58449179920041627</v>
      </c>
      <c r="H4" s="13">
        <v>12218</v>
      </c>
      <c r="I4" s="13">
        <f>IF(AND(ISNUMBER(D4),ISNUMBER(H4)), D4-H4, "")</f>
        <v>133.99455220759955</v>
      </c>
      <c r="J4" s="14">
        <f>IFERROR(I4/H4, "")</f>
        <v>1.0966979227991452E-2</v>
      </c>
      <c r="K4" s="112"/>
      <c r="L4" s="114"/>
    </row>
    <row r="5" spans="1:12" ht="15.75">
      <c r="A5" s="27" t="str">
        <v>Fulton</v>
      </c>
      <c r="B5" s="28" t="str">
        <v>AZ</v>
      </c>
      <c r="C5" s="28" t="str">
        <f>Sites[[#This Row],[SOL'#]]</f>
        <v>SOL-10749</v>
      </c>
      <c r="D5" s="10">
        <v>36511</v>
      </c>
      <c r="E5" s="15">
        <v>44132.79</v>
      </c>
      <c r="F5" s="15">
        <f t="shared" ref="F5:F17" si="0">IF(AND(ISNUMBER(D5),ISNUMBER(E5)), D5-E5, "")</f>
        <v>-7621.7900000000009</v>
      </c>
      <c r="G5" s="16">
        <f>IFERROR(F5/E5, "")</f>
        <v>-0.1727012953407206</v>
      </c>
      <c r="H5" s="17">
        <v>52548</v>
      </c>
      <c r="I5" s="17">
        <f t="shared" ref="I5:I17" si="1">IF(AND(ISNUMBER(D5),ISNUMBER(H5)), D5-H5, "")</f>
        <v>-16037</v>
      </c>
      <c r="J5" s="16">
        <f t="shared" ref="J5:J17" si="2">IFERROR(I5/H5, "")</f>
        <v>-0.30518763796909493</v>
      </c>
      <c r="K5" s="111"/>
      <c r="L5" s="126"/>
    </row>
    <row r="6" spans="1:12" ht="15.75">
      <c r="A6" s="25" t="str">
        <v>JFK Elementary</v>
      </c>
      <c r="B6" s="26" t="str">
        <v>AZ</v>
      </c>
      <c r="C6" s="26" t="str">
        <f>Sites[[#This Row],[SOL'#]]</f>
        <v>SOL-10758</v>
      </c>
      <c r="D6" s="21">
        <v>20557.6878803281</v>
      </c>
      <c r="E6" s="11">
        <v>0</v>
      </c>
      <c r="F6" s="11">
        <f t="shared" si="0"/>
        <v>20557.6878803281</v>
      </c>
      <c r="G6" s="12" t="str">
        <f t="shared" ref="G6:G17" si="3">IFERROR(F6/E6, "")</f>
        <v/>
      </c>
      <c r="H6" s="13">
        <v>17712</v>
      </c>
      <c r="I6" s="13">
        <f t="shared" si="1"/>
        <v>2845.6878803280997</v>
      </c>
      <c r="J6" s="14">
        <f t="shared" si="2"/>
        <v>0.16066440155420617</v>
      </c>
      <c r="K6" s="112"/>
      <c r="L6" s="114"/>
    </row>
    <row r="7" spans="1:12" ht="15.75">
      <c r="A7" s="27" t="str">
        <v>Noble</v>
      </c>
      <c r="B7" s="28" t="str">
        <v>AZ</v>
      </c>
      <c r="C7" s="28" t="str">
        <f>Sites[[#This Row],[SOL'#]]</f>
        <v>SOL-10750</v>
      </c>
      <c r="D7" s="10">
        <v>10837.6804682654</v>
      </c>
      <c r="E7" s="15">
        <v>13076.94</v>
      </c>
      <c r="F7" s="15">
        <f t="shared" si="0"/>
        <v>-2239.2595317346004</v>
      </c>
      <c r="G7" s="16">
        <f t="shared" si="3"/>
        <v>-0.1712372720020586</v>
      </c>
      <c r="H7" s="17">
        <v>13646</v>
      </c>
      <c r="I7" s="17">
        <f t="shared" si="1"/>
        <v>-2808.3195317345999</v>
      </c>
      <c r="J7" s="16">
        <f t="shared" si="2"/>
        <v>-0.20579800173930821</v>
      </c>
      <c r="K7" s="111" t="s">
        <v>1064</v>
      </c>
      <c r="L7" s="126" t="s">
        <v>1065</v>
      </c>
    </row>
    <row r="8" spans="1:12" ht="15.75">
      <c r="A8" s="25" t="str">
        <v>Parking 3</v>
      </c>
      <c r="B8" s="26" t="str">
        <v>AZ</v>
      </c>
      <c r="C8" s="26" t="str">
        <f>Sites[[#This Row],[SOL'#]]</f>
        <v>SOL-10751</v>
      </c>
      <c r="D8" s="21">
        <v>30411.606964904098</v>
      </c>
      <c r="E8" s="11">
        <v>23393.97</v>
      </c>
      <c r="F8" s="11">
        <f t="shared" si="0"/>
        <v>7017.6369649040971</v>
      </c>
      <c r="G8" s="12">
        <f t="shared" si="3"/>
        <v>0.29997631718362028</v>
      </c>
      <c r="H8" s="13">
        <v>27939</v>
      </c>
      <c r="I8" s="13">
        <f t="shared" si="1"/>
        <v>2472.6069649040983</v>
      </c>
      <c r="J8" s="14">
        <f t="shared" si="2"/>
        <v>8.8500195601277726E-2</v>
      </c>
      <c r="K8" s="112"/>
      <c r="L8" s="114"/>
    </row>
    <row r="9" spans="1:12" ht="15.75">
      <c r="A9" s="27" t="str">
        <v>PE East</v>
      </c>
      <c r="B9" s="28" t="str">
        <v>AZ</v>
      </c>
      <c r="C9" s="28" t="str">
        <f>Sites[[#This Row],[SOL'#]]</f>
        <v>SOL-10752</v>
      </c>
      <c r="D9" s="10">
        <v>27137.3811507022</v>
      </c>
      <c r="E9" s="15">
        <v>17170.78</v>
      </c>
      <c r="F9" s="15">
        <f t="shared" si="0"/>
        <v>9966.6011507022013</v>
      </c>
      <c r="G9" s="16">
        <f t="shared" si="3"/>
        <v>0.58043962771069235</v>
      </c>
      <c r="H9" s="17">
        <v>29053</v>
      </c>
      <c r="I9" s="17">
        <f t="shared" si="1"/>
        <v>-1915.6188492977999</v>
      </c>
      <c r="J9" s="16">
        <f t="shared" si="2"/>
        <v>-6.5935319908367457E-2</v>
      </c>
      <c r="K9" s="111"/>
      <c r="L9" s="115"/>
    </row>
    <row r="10" spans="1:12" ht="28.5">
      <c r="A10" s="25" t="str">
        <v>Schwada</v>
      </c>
      <c r="B10" s="26" t="str">
        <v>AZ</v>
      </c>
      <c r="C10" s="26" t="str">
        <f>Sites[[#This Row],[SOL'#]]</f>
        <v>SOL-10753</v>
      </c>
      <c r="D10" s="21">
        <v>10499.2429555116</v>
      </c>
      <c r="E10" s="11">
        <v>7069.3389999999999</v>
      </c>
      <c r="F10" s="11">
        <f t="shared" si="0"/>
        <v>3429.9039555115996</v>
      </c>
      <c r="G10" s="12">
        <f t="shared" si="3"/>
        <v>0.48518029132732204</v>
      </c>
      <c r="H10" s="13">
        <v>11116</v>
      </c>
      <c r="I10" s="13">
        <f t="shared" si="1"/>
        <v>-616.75704448840042</v>
      </c>
      <c r="J10" s="14">
        <f t="shared" si="2"/>
        <v>-5.5483721166642713E-2</v>
      </c>
      <c r="K10" s="112" t="s">
        <v>1066</v>
      </c>
      <c r="L10" s="114" t="s">
        <v>1067</v>
      </c>
    </row>
    <row r="11" spans="1:12" ht="15.75">
      <c r="A11" s="27" t="str">
        <v>Starshine</v>
      </c>
      <c r="B11" s="28" t="str">
        <v>AZ</v>
      </c>
      <c r="C11" s="28" t="str">
        <f>Sites[[#This Row],[SOL'#]]</f>
        <v>SOL-10757</v>
      </c>
      <c r="D11" s="10">
        <v>7069.2121648334096</v>
      </c>
      <c r="E11" s="15">
        <v>0</v>
      </c>
      <c r="F11" s="15">
        <f t="shared" si="0"/>
        <v>7069.2121648334096</v>
      </c>
      <c r="G11" s="16" t="str">
        <f t="shared" si="3"/>
        <v/>
      </c>
      <c r="H11" s="17">
        <v>8221</v>
      </c>
      <c r="I11" s="17">
        <f t="shared" si="1"/>
        <v>-1151.7878351665904</v>
      </c>
      <c r="J11" s="16">
        <f t="shared" si="2"/>
        <v>-0.14010313041802583</v>
      </c>
      <c r="K11" s="111" t="s">
        <v>1068</v>
      </c>
      <c r="L11" s="116" t="s">
        <v>1069</v>
      </c>
    </row>
    <row r="12" spans="1:12" ht="15.75">
      <c r="A12" s="25" t="str">
        <v>Yuma Airport</v>
      </c>
      <c r="B12" s="26" t="str">
        <v>AZ</v>
      </c>
      <c r="C12" s="26" t="str">
        <f>Sites[[#This Row],[SOL'#]]</f>
        <v>SOL-10754</v>
      </c>
      <c r="D12" s="21">
        <v>62048</v>
      </c>
      <c r="E12" s="11">
        <v>89930.77</v>
      </c>
      <c r="F12" s="11">
        <f t="shared" si="0"/>
        <v>-27882.770000000004</v>
      </c>
      <c r="G12" s="12">
        <f t="shared" si="3"/>
        <v>-0.3100470506368399</v>
      </c>
      <c r="H12" s="13">
        <v>69476</v>
      </c>
      <c r="I12" s="13">
        <f t="shared" si="1"/>
        <v>-7428</v>
      </c>
      <c r="J12" s="14">
        <f t="shared" si="2"/>
        <v>-0.1069146179975819</v>
      </c>
      <c r="K12" s="112" t="s">
        <v>1070</v>
      </c>
      <c r="L12" s="114" t="s">
        <v>1071</v>
      </c>
    </row>
    <row r="13" spans="1:12" ht="15.75">
      <c r="A13" s="27" t="str">
        <v>Kinsman</v>
      </c>
      <c r="B13" s="28" t="str">
        <v>OH</v>
      </c>
      <c r="C13" s="28" t="str">
        <f>Sites[[#This Row],[SOL'#]]</f>
        <v>SOL-10762</v>
      </c>
      <c r="D13" s="10">
        <v>76897.546875</v>
      </c>
      <c r="E13" s="15">
        <v>111691.2</v>
      </c>
      <c r="F13" s="15">
        <f t="shared" si="0"/>
        <v>-34793.653124999997</v>
      </c>
      <c r="G13" s="16">
        <f t="shared" si="3"/>
        <v>-0.31151651271541536</v>
      </c>
      <c r="H13" s="17">
        <v>87435</v>
      </c>
      <c r="I13" s="17">
        <f t="shared" si="1"/>
        <v>-10537.453125</v>
      </c>
      <c r="J13" s="16">
        <f t="shared" si="2"/>
        <v>-0.12051756304683479</v>
      </c>
      <c r="K13" s="111" t="s">
        <v>1072</v>
      </c>
      <c r="L13" s="126" t="s">
        <v>1073</v>
      </c>
    </row>
    <row r="14" spans="1:12" ht="15.75">
      <c r="A14" s="25" t="str">
        <v>Wooster</v>
      </c>
      <c r="B14" s="26" t="str">
        <v>OH</v>
      </c>
      <c r="C14" s="26" t="str">
        <f>Sites[[#This Row],[SOL'#]]</f>
        <v>SOL-10763</v>
      </c>
      <c r="D14" s="21">
        <v>9074.75</v>
      </c>
      <c r="E14" s="11">
        <v>0</v>
      </c>
      <c r="F14" s="11">
        <f t="shared" si="0"/>
        <v>9074.75</v>
      </c>
      <c r="G14" s="12" t="str">
        <f t="shared" si="3"/>
        <v/>
      </c>
      <c r="H14" s="13">
        <v>19620</v>
      </c>
      <c r="I14" s="13">
        <f t="shared" si="1"/>
        <v>-10545.25</v>
      </c>
      <c r="J14" s="14">
        <f t="shared" si="2"/>
        <v>-0.53747451580020389</v>
      </c>
      <c r="K14" s="112" t="s">
        <v>966</v>
      </c>
      <c r="L14" s="114" t="s">
        <v>967</v>
      </c>
    </row>
    <row r="15" spans="1:12" ht="28.5">
      <c r="A15" s="27" t="str">
        <v>Globe Gila CC</v>
      </c>
      <c r="B15" s="28" t="str">
        <v>AZ</v>
      </c>
      <c r="C15" s="28" t="str">
        <f>Sites[[#This Row],[SOL'#]]</f>
        <v>SOL-10755</v>
      </c>
      <c r="D15" s="10">
        <v>11509.2745582467</v>
      </c>
      <c r="E15" s="15">
        <v>0</v>
      </c>
      <c r="F15" s="15">
        <f t="shared" si="0"/>
        <v>11509.2745582467</v>
      </c>
      <c r="G15" s="16" t="str">
        <f t="shared" si="3"/>
        <v/>
      </c>
      <c r="H15" s="17">
        <v>14074</v>
      </c>
      <c r="I15" s="17">
        <f t="shared" si="1"/>
        <v>-2564.7254417533004</v>
      </c>
      <c r="J15" s="16">
        <f t="shared" si="2"/>
        <v>-0.18223145102695043</v>
      </c>
      <c r="K15" s="111" t="s">
        <v>1074</v>
      </c>
      <c r="L15" s="126" t="s">
        <v>1075</v>
      </c>
    </row>
    <row r="16" spans="1:12" ht="45.75">
      <c r="A16" s="25" t="str">
        <v>Payson Gila CC</v>
      </c>
      <c r="B16" s="26" t="str">
        <v>AZ</v>
      </c>
      <c r="C16" s="26" t="str">
        <f>Sites[[#This Row],[SOL'#]]</f>
        <v>SOL-10756</v>
      </c>
      <c r="D16" s="21">
        <v>9544.9763293543401</v>
      </c>
      <c r="E16" s="11">
        <v>4480.8549999999996</v>
      </c>
      <c r="F16" s="11">
        <f t="shared" si="0"/>
        <v>5064.1213293543406</v>
      </c>
      <c r="G16" s="12">
        <f t="shared" si="3"/>
        <v>1.1301685346556274</v>
      </c>
      <c r="H16" s="13">
        <v>11244</v>
      </c>
      <c r="I16" s="13">
        <f t="shared" si="1"/>
        <v>-1699.0236706456599</v>
      </c>
      <c r="J16" s="14">
        <f t="shared" si="2"/>
        <v>-0.15110491556791711</v>
      </c>
      <c r="K16" s="112" t="s">
        <v>1076</v>
      </c>
      <c r="L16" s="114" t="s">
        <v>1077</v>
      </c>
    </row>
    <row r="17" spans="1:12" ht="42.75">
      <c r="A17" s="27" t="str">
        <v>SCNM</v>
      </c>
      <c r="B17" s="28" t="str">
        <v>AZ</v>
      </c>
      <c r="C17" s="28" t="str">
        <f>Sites[[#This Row],[SOL'#]]</f>
        <v>SOL-10760</v>
      </c>
      <c r="D17" s="10">
        <v>70818.25</v>
      </c>
      <c r="E17" s="15">
        <v>31585.37</v>
      </c>
      <c r="F17" s="15">
        <f t="shared" si="0"/>
        <v>39232.880000000005</v>
      </c>
      <c r="G17" s="16">
        <f t="shared" si="3"/>
        <v>1.2421219064395954</v>
      </c>
      <c r="H17" s="17">
        <v>67875</v>
      </c>
      <c r="I17" s="17">
        <f t="shared" si="1"/>
        <v>2943.25</v>
      </c>
      <c r="J17" s="16">
        <f t="shared" si="2"/>
        <v>4.3362799263351751E-2</v>
      </c>
      <c r="K17" s="111" t="s">
        <v>1078</v>
      </c>
      <c r="L17" s="126" t="s">
        <v>1079</v>
      </c>
    </row>
    <row r="18" spans="1:12" ht="24" customHeight="1">
      <c r="A18" s="25" t="str">
        <v>Sequoia Charter School</v>
      </c>
      <c r="B18" s="26" t="str">
        <v>AZ</v>
      </c>
      <c r="C18" s="26" t="str">
        <f>Sites[[#This Row],[SOL'#]]</f>
        <v>SOL-10759</v>
      </c>
      <c r="D18" s="21">
        <v>26077.9399999999</v>
      </c>
      <c r="E18" s="11">
        <v>0</v>
      </c>
      <c r="F18" s="11">
        <f t="shared" ref="F18:F81" si="4">IF(AND(ISNUMBER(D18),ISNUMBER(E18)), D18-E18, "")</f>
        <v>26077.9399999999</v>
      </c>
      <c r="G18" s="12" t="str">
        <f t="shared" ref="G18:G81" si="5">IFERROR(F18/E18, "")</f>
        <v/>
      </c>
      <c r="H18" s="13">
        <v>42342</v>
      </c>
      <c r="I18" s="13">
        <f t="shared" ref="I18:I81" si="6">IF(AND(ISNUMBER(D18),ISNUMBER(H18)), D18-H18, "")</f>
        <v>-16264.0600000001</v>
      </c>
      <c r="J18" s="14">
        <f t="shared" ref="J18:J81" si="7">IFERROR(I18/H18, "")</f>
        <v>-0.38411175664824759</v>
      </c>
      <c r="K18" s="112"/>
      <c r="L18" s="114"/>
    </row>
    <row r="19" spans="1:12" ht="15.75">
      <c r="A19" s="27" t="str">
        <v>RCAB</v>
      </c>
      <c r="B19" s="28" t="str">
        <v>MA</v>
      </c>
      <c r="C19" s="28" t="str">
        <f>Sites[[#This Row],[SOL'#]]</f>
        <v>SOL-10838</v>
      </c>
      <c r="D19" s="10">
        <v>79660.5</v>
      </c>
      <c r="E19" s="15">
        <v>99913.57</v>
      </c>
      <c r="F19" s="15">
        <f t="shared" si="4"/>
        <v>-20253.070000000007</v>
      </c>
      <c r="G19" s="16">
        <f t="shared" si="5"/>
        <v>-0.20270589870825359</v>
      </c>
      <c r="H19" s="17">
        <v>74805</v>
      </c>
      <c r="I19" s="17">
        <f t="shared" si="6"/>
        <v>4855.5</v>
      </c>
      <c r="J19" s="16">
        <f t="shared" si="7"/>
        <v>6.4908762783236415E-2</v>
      </c>
      <c r="K19" s="111"/>
      <c r="L19" s="115"/>
    </row>
    <row r="20" spans="1:12" ht="15.75">
      <c r="A20" s="25" t="str">
        <v>Spectro Coatings</v>
      </c>
      <c r="B20" s="26" t="str">
        <v>MA</v>
      </c>
      <c r="C20" s="26" t="str">
        <f>Sites[[#This Row],[SOL'#]]</f>
        <v>SOL-10074</v>
      </c>
      <c r="D20" s="21">
        <v>21522.75</v>
      </c>
      <c r="E20" s="11">
        <v>27288.57</v>
      </c>
      <c r="F20" s="11">
        <f t="shared" si="4"/>
        <v>-5765.82</v>
      </c>
      <c r="G20" s="12">
        <f t="shared" si="5"/>
        <v>-0.21129066125487703</v>
      </c>
      <c r="H20" s="13">
        <v>21995</v>
      </c>
      <c r="I20" s="13">
        <f t="shared" si="6"/>
        <v>-472.25</v>
      </c>
      <c r="J20" s="14">
        <f t="shared" si="7"/>
        <v>-2.1470788815639918E-2</v>
      </c>
      <c r="K20" s="112" t="s">
        <v>1080</v>
      </c>
      <c r="L20" s="114" t="s">
        <v>1081</v>
      </c>
    </row>
    <row r="21" spans="1:12" ht="15.75">
      <c r="A21" s="27" t="str">
        <v>K026</v>
      </c>
      <c r="B21" s="28" t="str">
        <v>NY</v>
      </c>
      <c r="C21" s="28" t="str">
        <f>Sites[[#This Row],[SOL'#]]</f>
        <v>SOL-10356</v>
      </c>
      <c r="D21" s="10">
        <v>24068.875</v>
      </c>
      <c r="E21" s="15">
        <v>29903.11</v>
      </c>
      <c r="F21" s="15">
        <f t="shared" si="4"/>
        <v>-5834.2350000000006</v>
      </c>
      <c r="G21" s="16">
        <f t="shared" si="5"/>
        <v>-0.1951046228970833</v>
      </c>
      <c r="H21" s="17">
        <v>25191</v>
      </c>
      <c r="I21" s="17">
        <f t="shared" si="6"/>
        <v>-1122.125</v>
      </c>
      <c r="J21" s="16">
        <f t="shared" si="7"/>
        <v>-4.4544678655075227E-2</v>
      </c>
      <c r="K21" s="111" t="s">
        <v>1082</v>
      </c>
      <c r="L21" s="115" t="s">
        <v>969</v>
      </c>
    </row>
    <row r="22" spans="1:12" ht="28.5">
      <c r="A22" s="25" t="str">
        <v>K041</v>
      </c>
      <c r="B22" s="26" t="str">
        <v>NY</v>
      </c>
      <c r="C22" s="26" t="str">
        <f>Sites[[#This Row],[SOL'#]]</f>
        <v>SOL-10357</v>
      </c>
      <c r="D22" s="21">
        <v>20364.84375</v>
      </c>
      <c r="E22" s="11">
        <v>23407.8</v>
      </c>
      <c r="F22" s="11">
        <f t="shared" si="4"/>
        <v>-3042.9562499999993</v>
      </c>
      <c r="G22" s="12">
        <f t="shared" si="5"/>
        <v>-0.12999753287365748</v>
      </c>
      <c r="H22" s="13">
        <v>17613</v>
      </c>
      <c r="I22" s="13">
        <f t="shared" si="6"/>
        <v>2751.84375</v>
      </c>
      <c r="J22" s="14">
        <f t="shared" si="7"/>
        <v>0.1562393544540964</v>
      </c>
      <c r="K22" s="112" t="s">
        <v>970</v>
      </c>
      <c r="L22" s="114" t="s">
        <v>971</v>
      </c>
    </row>
    <row r="23" spans="1:12" ht="15.75">
      <c r="A23" s="27" t="str">
        <v>K043</v>
      </c>
      <c r="B23" s="28" t="str">
        <v>NY</v>
      </c>
      <c r="C23" s="28" t="str">
        <f>Sites[[#This Row],[SOL'#]]</f>
        <v>SOL-10358</v>
      </c>
      <c r="D23" s="10">
        <v>22770.15625</v>
      </c>
      <c r="E23" s="15">
        <v>25907.06</v>
      </c>
      <c r="F23" s="15">
        <f t="shared" si="4"/>
        <v>-3136.9037500000013</v>
      </c>
      <c r="G23" s="16">
        <f t="shared" si="5"/>
        <v>-0.12108296927555659</v>
      </c>
      <c r="H23" s="17">
        <v>3897</v>
      </c>
      <c r="I23" s="17">
        <f t="shared" si="6"/>
        <v>18873.15625</v>
      </c>
      <c r="J23" s="16">
        <f t="shared" si="7"/>
        <v>4.8429962150372079</v>
      </c>
      <c r="K23" s="111" t="s">
        <v>1083</v>
      </c>
      <c r="L23" s="115" t="s">
        <v>1084</v>
      </c>
    </row>
    <row r="24" spans="1:12" ht="15.75">
      <c r="A24" s="25" t="str">
        <v>K058</v>
      </c>
      <c r="B24" s="26" t="str">
        <v>NY</v>
      </c>
      <c r="C24" s="26" t="str">
        <f>Sites[[#This Row],[SOL'#]]</f>
        <v>SOL-10360</v>
      </c>
      <c r="D24" s="21">
        <v>19497.5</v>
      </c>
      <c r="E24" s="11">
        <v>20776.21</v>
      </c>
      <c r="F24" s="11">
        <f t="shared" si="4"/>
        <v>-1278.7099999999991</v>
      </c>
      <c r="G24" s="12">
        <f t="shared" si="5"/>
        <v>-6.1546836501941364E-2</v>
      </c>
      <c r="H24" s="13">
        <v>19510</v>
      </c>
      <c r="I24" s="13">
        <f t="shared" si="6"/>
        <v>-12.5</v>
      </c>
      <c r="J24" s="14">
        <f t="shared" si="7"/>
        <v>-6.4069707842132236E-4</v>
      </c>
      <c r="K24" s="112"/>
      <c r="L24" s="114"/>
    </row>
    <row r="25" spans="1:12" ht="28.5">
      <c r="A25" s="27" t="str">
        <v>K115</v>
      </c>
      <c r="B25" s="28" t="str">
        <v>NY</v>
      </c>
      <c r="C25" s="28" t="str">
        <f>Sites[[#This Row],[SOL'#]]</f>
        <v>SOL-10361</v>
      </c>
      <c r="D25" s="10">
        <v>5181.1875</v>
      </c>
      <c r="E25" s="15">
        <v>11426.48</v>
      </c>
      <c r="F25" s="15">
        <f t="shared" si="4"/>
        <v>-6245.2924999999996</v>
      </c>
      <c r="G25" s="16">
        <f t="shared" si="5"/>
        <v>-0.54656311480000841</v>
      </c>
      <c r="H25" s="17">
        <v>9888</v>
      </c>
      <c r="I25" s="17">
        <f t="shared" si="6"/>
        <v>-4706.8125</v>
      </c>
      <c r="J25" s="16">
        <f t="shared" si="7"/>
        <v>-0.47601259101941745</v>
      </c>
      <c r="K25" s="111" t="s">
        <v>974</v>
      </c>
      <c r="L25" s="115" t="s">
        <v>37</v>
      </c>
    </row>
    <row r="26" spans="1:12" ht="15.75">
      <c r="A26" s="25" t="str">
        <v>K152</v>
      </c>
      <c r="B26" s="26" t="str">
        <v>NY</v>
      </c>
      <c r="C26" s="26" t="str">
        <f>Sites[[#This Row],[SOL'#]]</f>
        <v>SOL-10362</v>
      </c>
      <c r="D26" s="21">
        <v>7479.8125</v>
      </c>
      <c r="E26" s="11">
        <v>7995.7510000000002</v>
      </c>
      <c r="F26" s="11">
        <f t="shared" si="4"/>
        <v>-515.9385000000002</v>
      </c>
      <c r="G26" s="12">
        <f t="shared" si="5"/>
        <v>-6.45265841820237E-2</v>
      </c>
      <c r="H26" s="13">
        <v>7441</v>
      </c>
      <c r="I26" s="13">
        <f t="shared" si="6"/>
        <v>38.8125</v>
      </c>
      <c r="J26" s="14">
        <f t="shared" si="7"/>
        <v>5.2160327912914931E-3</v>
      </c>
      <c r="K26" s="112"/>
      <c r="L26" s="114"/>
    </row>
    <row r="27" spans="1:12" ht="15.75">
      <c r="A27" s="27" t="str">
        <v>K166</v>
      </c>
      <c r="B27" s="28" t="str">
        <v>NY</v>
      </c>
      <c r="C27" s="28" t="str">
        <f>Sites[[#This Row],[SOL'#]]</f>
        <v>SOL-10363</v>
      </c>
      <c r="D27" s="10">
        <v>25110.875</v>
      </c>
      <c r="E27" s="15">
        <v>29610.43</v>
      </c>
      <c r="F27" s="15">
        <f t="shared" si="4"/>
        <v>-4499.5550000000003</v>
      </c>
      <c r="G27" s="16">
        <f t="shared" si="5"/>
        <v>-0.15195844842509887</v>
      </c>
      <c r="H27" s="17">
        <v>26955</v>
      </c>
      <c r="I27" s="17">
        <f t="shared" si="6"/>
        <v>-1844.125</v>
      </c>
      <c r="J27" s="16">
        <f t="shared" si="7"/>
        <v>-6.8414950843999262E-2</v>
      </c>
      <c r="K27" s="111"/>
      <c r="L27" s="115"/>
    </row>
    <row r="28" spans="1:12" ht="15.75">
      <c r="A28" s="25" t="str">
        <v>K206</v>
      </c>
      <c r="B28" s="26" t="str">
        <v>NY</v>
      </c>
      <c r="C28" s="26" t="str">
        <f>Sites[[#This Row],[SOL'#]]</f>
        <v>SOL-10927</v>
      </c>
      <c r="D28" s="21">
        <v>15872.3496875</v>
      </c>
      <c r="E28" s="11">
        <v>17737.77</v>
      </c>
      <c r="F28" s="11">
        <f t="shared" si="4"/>
        <v>-1865.4203125000004</v>
      </c>
      <c r="G28" s="12">
        <f t="shared" si="5"/>
        <v>-0.1051665633560476</v>
      </c>
      <c r="H28" s="13">
        <v>12467</v>
      </c>
      <c r="I28" s="13">
        <f t="shared" si="6"/>
        <v>3405.3496875000001</v>
      </c>
      <c r="J28" s="14">
        <f t="shared" si="7"/>
        <v>0.27314908859388787</v>
      </c>
      <c r="K28" s="112"/>
      <c r="L28" s="114"/>
    </row>
    <row r="29" spans="1:12" ht="15.75">
      <c r="A29" s="27" t="str">
        <v>K251</v>
      </c>
      <c r="B29" s="28" t="str">
        <v>NY</v>
      </c>
      <c r="C29" s="28" t="str">
        <f>Sites[[#This Row],[SOL'#]]</f>
        <v>SOL-10365</v>
      </c>
      <c r="D29" s="10">
        <v>17588.375</v>
      </c>
      <c r="E29" s="15">
        <v>18628.310000000001</v>
      </c>
      <c r="F29" s="15">
        <f t="shared" si="4"/>
        <v>-1039.9350000000013</v>
      </c>
      <c r="G29" s="16">
        <f t="shared" si="5"/>
        <v>-5.5825515035985616E-2</v>
      </c>
      <c r="H29" s="17">
        <v>17820</v>
      </c>
      <c r="I29" s="17">
        <f t="shared" si="6"/>
        <v>-231.625</v>
      </c>
      <c r="J29" s="16">
        <f t="shared" si="7"/>
        <v>-1.2998035914702581E-2</v>
      </c>
      <c r="K29" s="111"/>
      <c r="L29" s="126"/>
    </row>
    <row r="30" spans="1:12" ht="15.75">
      <c r="A30" s="25" t="str">
        <v>K269</v>
      </c>
      <c r="B30" s="26" t="str">
        <v>NY</v>
      </c>
      <c r="C30" s="26" t="str">
        <f>Sites[[#This Row],[SOL'#]]</f>
        <v>SOL-10366</v>
      </c>
      <c r="D30" s="21">
        <v>16055.6875</v>
      </c>
      <c r="E30" s="11">
        <v>20172.21</v>
      </c>
      <c r="F30" s="11">
        <f t="shared" si="4"/>
        <v>-4116.5224999999991</v>
      </c>
      <c r="G30" s="12">
        <f t="shared" si="5"/>
        <v>-0.20406898897046974</v>
      </c>
      <c r="H30" s="13">
        <v>13826</v>
      </c>
      <c r="I30" s="13">
        <f t="shared" si="6"/>
        <v>2229.6875</v>
      </c>
      <c r="J30" s="14">
        <f t="shared" si="7"/>
        <v>0.16126772023723421</v>
      </c>
      <c r="K30" s="112"/>
      <c r="L30" s="114"/>
    </row>
    <row r="31" spans="1:12" ht="15.75">
      <c r="A31" s="27" t="str">
        <v>K273</v>
      </c>
      <c r="B31" s="28" t="str">
        <v>NY</v>
      </c>
      <c r="C31" s="28" t="str">
        <f>Sites[[#This Row],[SOL'#]]</f>
        <v>SOL-10367</v>
      </c>
      <c r="D31" s="10">
        <v>16644.1875</v>
      </c>
      <c r="E31" s="15"/>
      <c r="F31" s="15" t="str">
        <f t="shared" si="4"/>
        <v/>
      </c>
      <c r="G31" s="16" t="str">
        <f t="shared" si="5"/>
        <v/>
      </c>
      <c r="H31" s="17">
        <v>20518</v>
      </c>
      <c r="I31" s="17">
        <f t="shared" si="6"/>
        <v>-3873.8125</v>
      </c>
      <c r="J31" s="16">
        <f t="shared" si="7"/>
        <v>-0.18880068720148163</v>
      </c>
      <c r="K31" s="111" t="s">
        <v>696</v>
      </c>
      <c r="L31" s="126" t="s">
        <v>552</v>
      </c>
    </row>
    <row r="32" spans="1:12" ht="15.75">
      <c r="A32" s="25" t="str">
        <v>K287</v>
      </c>
      <c r="B32" s="26" t="str">
        <v>NY</v>
      </c>
      <c r="C32" s="26" t="str">
        <f>Sites[[#This Row],[SOL'#]]</f>
        <v>SOL-10919</v>
      </c>
      <c r="D32" s="21">
        <v>14279.65625</v>
      </c>
      <c r="E32" s="11">
        <v>13075.75</v>
      </c>
      <c r="F32" s="11">
        <f t="shared" si="4"/>
        <v>1203.90625</v>
      </c>
      <c r="G32" s="12">
        <f t="shared" si="5"/>
        <v>9.2071678488805611E-2</v>
      </c>
      <c r="H32" s="13">
        <v>11897</v>
      </c>
      <c r="I32" s="13">
        <f t="shared" si="6"/>
        <v>2382.65625</v>
      </c>
      <c r="J32" s="14">
        <f t="shared" si="7"/>
        <v>0.20027370345465242</v>
      </c>
      <c r="K32" s="112"/>
      <c r="L32" s="114"/>
    </row>
    <row r="33" spans="1:12" ht="15.75">
      <c r="A33" s="27" t="str">
        <v>K298</v>
      </c>
      <c r="B33" s="28" t="str">
        <v>NY</v>
      </c>
      <c r="C33" s="28" t="str">
        <f>Sites[[#This Row],[SOL'#]]</f>
        <v>SOL-10368</v>
      </c>
      <c r="D33" s="10">
        <v>14730.75</v>
      </c>
      <c r="E33" s="15">
        <v>17329.82</v>
      </c>
      <c r="F33" s="15">
        <f t="shared" si="4"/>
        <v>-2599.0699999999997</v>
      </c>
      <c r="G33" s="16">
        <f t="shared" si="5"/>
        <v>-0.14997674528644844</v>
      </c>
      <c r="H33" s="17">
        <v>12316</v>
      </c>
      <c r="I33" s="17">
        <f t="shared" si="6"/>
        <v>2414.75</v>
      </c>
      <c r="J33" s="16">
        <f t="shared" si="7"/>
        <v>0.19606609288730106</v>
      </c>
      <c r="K33" s="111"/>
      <c r="L33" s="115"/>
    </row>
    <row r="34" spans="1:12" ht="15.75">
      <c r="A34" s="25" t="str">
        <v>K335</v>
      </c>
      <c r="B34" s="26" t="str">
        <v>NY</v>
      </c>
      <c r="C34" s="26" t="str">
        <f>Sites[[#This Row],[SOL'#]]</f>
        <v>SOL-10370</v>
      </c>
      <c r="D34" s="21">
        <v>15242.8125</v>
      </c>
      <c r="E34" s="11">
        <v>18399.8</v>
      </c>
      <c r="F34" s="11">
        <f t="shared" si="4"/>
        <v>-3156.9874999999993</v>
      </c>
      <c r="G34" s="12">
        <f t="shared" si="5"/>
        <v>-0.17157727257904973</v>
      </c>
      <c r="H34" s="13">
        <v>17347</v>
      </c>
      <c r="I34" s="13">
        <f t="shared" si="6"/>
        <v>-2104.1875</v>
      </c>
      <c r="J34" s="14">
        <f t="shared" si="7"/>
        <v>-0.12129979247132069</v>
      </c>
      <c r="K34" s="112"/>
      <c r="L34" s="114"/>
    </row>
    <row r="35" spans="1:12" ht="15.75">
      <c r="A35" s="27" t="str">
        <v>K345</v>
      </c>
      <c r="B35" s="28" t="str">
        <v>NY</v>
      </c>
      <c r="C35" s="28" t="str">
        <f>Sites[[#This Row],[SOL'#]]</f>
        <v>SOL-10920</v>
      </c>
      <c r="D35" s="10">
        <v>18156.03125</v>
      </c>
      <c r="E35" s="15">
        <v>12416.03</v>
      </c>
      <c r="F35" s="15">
        <f t="shared" si="4"/>
        <v>5740.0012499999993</v>
      </c>
      <c r="G35" s="16">
        <f t="shared" si="5"/>
        <v>0.46230568466732114</v>
      </c>
      <c r="H35" s="17">
        <v>15094</v>
      </c>
      <c r="I35" s="17">
        <f t="shared" si="6"/>
        <v>3062.03125</v>
      </c>
      <c r="J35" s="16">
        <f t="shared" si="7"/>
        <v>0.202864134755532</v>
      </c>
      <c r="K35" s="111"/>
      <c r="L35" s="115"/>
    </row>
    <row r="36" spans="1:12" ht="15.75">
      <c r="A36" s="25" t="str">
        <v>K445</v>
      </c>
      <c r="B36" s="26" t="str">
        <v>NY</v>
      </c>
      <c r="C36" s="26" t="str">
        <f>Sites[[#This Row],[SOL'#]]</f>
        <v>SOL-10373</v>
      </c>
      <c r="D36" s="21">
        <v>15557.5</v>
      </c>
      <c r="E36" s="11">
        <v>18612.240000000002</v>
      </c>
      <c r="F36" s="11">
        <f t="shared" si="4"/>
        <v>-3054.7400000000016</v>
      </c>
      <c r="G36" s="12">
        <f t="shared" si="5"/>
        <v>-0.16412532827859524</v>
      </c>
      <c r="H36" s="13">
        <v>12383</v>
      </c>
      <c r="I36" s="13">
        <f t="shared" si="6"/>
        <v>3174.5</v>
      </c>
      <c r="J36" s="14">
        <f t="shared" si="7"/>
        <v>0.25635952515545507</v>
      </c>
      <c r="K36" s="112"/>
      <c r="L36" s="114"/>
    </row>
    <row r="37" spans="1:12" ht="156.75">
      <c r="A37" s="27" t="str">
        <v>K495</v>
      </c>
      <c r="B37" s="28" t="str">
        <v>NY</v>
      </c>
      <c r="C37" s="28" t="str">
        <f>Sites[[#This Row],[SOL'#]]</f>
        <v>SOL-10374</v>
      </c>
      <c r="D37" s="10">
        <v>21885.375</v>
      </c>
      <c r="E37" s="15">
        <v>57407.03</v>
      </c>
      <c r="F37" s="15">
        <f t="shared" si="4"/>
        <v>-35521.654999999999</v>
      </c>
      <c r="G37" s="16">
        <f t="shared" si="5"/>
        <v>-0.61876838080632279</v>
      </c>
      <c r="H37" s="17">
        <v>55117</v>
      </c>
      <c r="I37" s="17">
        <f t="shared" si="6"/>
        <v>-33231.625</v>
      </c>
      <c r="J37" s="16">
        <f t="shared" si="7"/>
        <v>-0.60292876970807552</v>
      </c>
      <c r="K37" s="111" t="s">
        <v>1085</v>
      </c>
      <c r="L37" s="126" t="s">
        <v>1086</v>
      </c>
    </row>
    <row r="38" spans="1:12" ht="15.75">
      <c r="A38" s="25" t="str">
        <v>M020</v>
      </c>
      <c r="B38" s="26" t="str">
        <v>NY</v>
      </c>
      <c r="C38" s="26" t="str">
        <f>Sites[[#This Row],[SOL'#]]</f>
        <v>SOL-10380</v>
      </c>
      <c r="D38" s="21">
        <v>16399.8125</v>
      </c>
      <c r="E38" s="11">
        <v>18431.62</v>
      </c>
      <c r="F38" s="11">
        <f t="shared" si="4"/>
        <v>-2031.807499999999</v>
      </c>
      <c r="G38" s="12">
        <f t="shared" si="5"/>
        <v>-0.11023488439974344</v>
      </c>
      <c r="H38" s="13">
        <v>15061</v>
      </c>
      <c r="I38" s="13">
        <f t="shared" si="6"/>
        <v>1338.8125</v>
      </c>
      <c r="J38" s="14">
        <f t="shared" si="7"/>
        <v>8.8892669809441605E-2</v>
      </c>
      <c r="K38" s="112"/>
      <c r="L38" s="114"/>
    </row>
    <row r="39" spans="1:12" ht="15.75">
      <c r="A39" s="27" t="str">
        <v>M092</v>
      </c>
      <c r="B39" s="28" t="str">
        <v>NY</v>
      </c>
      <c r="C39" s="28" t="str">
        <f>Sites[[#This Row],[SOL'#]]</f>
        <v>SOL-10383</v>
      </c>
      <c r="D39" s="10">
        <v>15734.9375</v>
      </c>
      <c r="E39" s="15">
        <v>18409.38</v>
      </c>
      <c r="F39" s="15">
        <f t="shared" si="4"/>
        <v>-2674.442500000001</v>
      </c>
      <c r="G39" s="16">
        <f t="shared" si="5"/>
        <v>-0.14527607665222841</v>
      </c>
      <c r="H39" s="17">
        <v>13610</v>
      </c>
      <c r="I39" s="17">
        <f t="shared" si="6"/>
        <v>2124.9375</v>
      </c>
      <c r="J39" s="16">
        <f t="shared" si="7"/>
        <v>0.15613060249816313</v>
      </c>
      <c r="K39" s="111"/>
      <c r="L39" s="115"/>
    </row>
    <row r="40" spans="1:12" ht="15.75">
      <c r="A40" s="25" t="str">
        <v>M143</v>
      </c>
      <c r="B40" s="26" t="str">
        <v>NY</v>
      </c>
      <c r="C40" s="26" t="str">
        <f>Sites[[#This Row],[SOL'#]]</f>
        <v>SOL-10384</v>
      </c>
      <c r="D40" s="21">
        <v>18270.843749999902</v>
      </c>
      <c r="E40" s="11">
        <v>20784.91</v>
      </c>
      <c r="F40" s="11">
        <f t="shared" si="4"/>
        <v>-2514.0662500000981</v>
      </c>
      <c r="G40" s="12">
        <f t="shared" si="5"/>
        <v>-0.12095632119648814</v>
      </c>
      <c r="H40" s="13">
        <v>15413</v>
      </c>
      <c r="I40" s="13">
        <f t="shared" si="6"/>
        <v>2857.8437499999018</v>
      </c>
      <c r="J40" s="14">
        <f t="shared" si="7"/>
        <v>0.18541774800492453</v>
      </c>
      <c r="K40" s="112"/>
      <c r="L40" s="114"/>
    </row>
    <row r="41" spans="1:12" ht="15.75">
      <c r="A41" s="27" t="str">
        <v>M144</v>
      </c>
      <c r="B41" s="28" t="str">
        <v>NY</v>
      </c>
      <c r="C41" s="28" t="str">
        <f>Sites[[#This Row],[SOL'#]]</f>
        <v>SOL-10385</v>
      </c>
      <c r="D41" s="10">
        <v>25363.4375</v>
      </c>
      <c r="E41" s="15">
        <v>0</v>
      </c>
      <c r="F41" s="15">
        <f t="shared" si="4"/>
        <v>25363.4375</v>
      </c>
      <c r="G41" s="16" t="str">
        <f t="shared" si="5"/>
        <v/>
      </c>
      <c r="H41" s="17">
        <v>22643</v>
      </c>
      <c r="I41" s="17">
        <f t="shared" si="6"/>
        <v>2720.4375</v>
      </c>
      <c r="J41" s="16">
        <f t="shared" si="7"/>
        <v>0.12014474672084088</v>
      </c>
      <c r="K41" s="111"/>
      <c r="L41" s="126"/>
    </row>
    <row r="42" spans="1:12" ht="15.75">
      <c r="A42" s="25" t="str">
        <v>M167</v>
      </c>
      <c r="B42" s="26" t="str">
        <v>NY</v>
      </c>
      <c r="C42" s="26" t="str">
        <f>Sites[[#This Row],[SOL'#]]</f>
        <v>SOL-10386</v>
      </c>
      <c r="D42" s="21">
        <v>19322.390625</v>
      </c>
      <c r="E42" s="11">
        <v>16649.55</v>
      </c>
      <c r="F42" s="11">
        <f t="shared" si="4"/>
        <v>2672.8406250000007</v>
      </c>
      <c r="G42" s="12">
        <f t="shared" si="5"/>
        <v>0.16053530726055665</v>
      </c>
      <c r="H42" s="13">
        <v>17906</v>
      </c>
      <c r="I42" s="13">
        <f t="shared" si="6"/>
        <v>1416.390625</v>
      </c>
      <c r="J42" s="14">
        <f t="shared" si="7"/>
        <v>7.9101453423433485E-2</v>
      </c>
      <c r="K42" s="112"/>
      <c r="L42" s="114"/>
    </row>
    <row r="43" spans="1:12" ht="15.75">
      <c r="A43" s="27" t="str">
        <v>M188</v>
      </c>
      <c r="B43" s="28" t="str">
        <v>NY</v>
      </c>
      <c r="C43" s="28" t="str">
        <f>Sites[[#This Row],[SOL'#]]</f>
        <v>SOL-10387</v>
      </c>
      <c r="D43" s="10">
        <v>13935.75</v>
      </c>
      <c r="E43" s="15">
        <v>0</v>
      </c>
      <c r="F43" s="15">
        <f t="shared" si="4"/>
        <v>13935.75</v>
      </c>
      <c r="G43" s="16" t="str">
        <f t="shared" si="5"/>
        <v/>
      </c>
      <c r="H43" s="17">
        <v>12157</v>
      </c>
      <c r="I43" s="17">
        <f t="shared" si="6"/>
        <v>1778.75</v>
      </c>
      <c r="J43" s="16">
        <f t="shared" si="7"/>
        <v>0.1463148803158674</v>
      </c>
      <c r="K43" s="111"/>
      <c r="L43" s="115"/>
    </row>
    <row r="44" spans="1:12" ht="15.75">
      <c r="A44" s="25" t="str">
        <v>EMHC</v>
      </c>
      <c r="B44" s="26" t="str">
        <v>NY</v>
      </c>
      <c r="C44" s="26" t="str">
        <f>Sites[[#This Row],[SOL'#]]</f>
        <v>SOL-10351</v>
      </c>
      <c r="D44" s="21">
        <v>6119.5685742187497</v>
      </c>
      <c r="E44" s="11">
        <v>4248.9219999999996</v>
      </c>
      <c r="F44" s="11">
        <f t="shared" si="4"/>
        <v>1870.6465742187502</v>
      </c>
      <c r="G44" s="12">
        <f t="shared" si="5"/>
        <v>0.44026380672997772</v>
      </c>
      <c r="H44" s="13">
        <v>4963.6350000000002</v>
      </c>
      <c r="I44" s="13">
        <f t="shared" si="6"/>
        <v>1155.9335742187495</v>
      </c>
      <c r="J44" s="14">
        <f t="shared" si="7"/>
        <v>0.23288045438851759</v>
      </c>
      <c r="K44" s="112"/>
      <c r="L44" s="114"/>
    </row>
    <row r="45" spans="1:12" ht="15.75">
      <c r="A45" s="27" t="str">
        <v>Q008</v>
      </c>
      <c r="B45" s="28" t="str">
        <v>NY</v>
      </c>
      <c r="C45" s="28" t="str">
        <f>Sites[[#This Row],[SOL'#]]</f>
        <v>SOL-10397</v>
      </c>
      <c r="D45" s="10">
        <v>21632.71875</v>
      </c>
      <c r="E45" s="15">
        <v>24555.360000000001</v>
      </c>
      <c r="F45" s="15">
        <f t="shared" si="4"/>
        <v>-2922.6412500000006</v>
      </c>
      <c r="G45" s="16">
        <f t="shared" si="5"/>
        <v>-0.11902253723830562</v>
      </c>
      <c r="H45" s="17">
        <v>18843</v>
      </c>
      <c r="I45" s="17">
        <f t="shared" si="6"/>
        <v>2789.71875</v>
      </c>
      <c r="J45" s="16">
        <f t="shared" si="7"/>
        <v>0.14805066868333067</v>
      </c>
      <c r="K45" s="111"/>
      <c r="L45" s="115"/>
    </row>
    <row r="46" spans="1:12" ht="15.75">
      <c r="A46" s="25" t="str">
        <v>Q018</v>
      </c>
      <c r="B46" s="26" t="str">
        <v>NY</v>
      </c>
      <c r="C46" s="26" t="str">
        <f>Sites[[#This Row],[SOL'#]]</f>
        <v>SOL-10398</v>
      </c>
      <c r="D46" s="21">
        <v>14483.25</v>
      </c>
      <c r="E46" s="11">
        <v>15073.28</v>
      </c>
      <c r="F46" s="11">
        <f t="shared" si="4"/>
        <v>-590.03000000000065</v>
      </c>
      <c r="G46" s="12">
        <f t="shared" si="5"/>
        <v>-3.9144101350203846E-2</v>
      </c>
      <c r="H46" s="13">
        <v>14057</v>
      </c>
      <c r="I46" s="13">
        <f t="shared" si="6"/>
        <v>426.25</v>
      </c>
      <c r="J46" s="14">
        <f t="shared" si="7"/>
        <v>3.0322970761897987E-2</v>
      </c>
      <c r="K46" s="112"/>
      <c r="L46" s="114"/>
    </row>
    <row r="47" spans="1:12" ht="28.5">
      <c r="A47" s="27" t="str">
        <v>Q021</v>
      </c>
      <c r="B47" s="28" t="str">
        <v>NY</v>
      </c>
      <c r="C47" s="28" t="str">
        <f>Sites[[#This Row],[SOL'#]]</f>
        <v>SOL-10399</v>
      </c>
      <c r="D47" s="10">
        <v>11977.03125</v>
      </c>
      <c r="E47" s="15">
        <v>14001.15</v>
      </c>
      <c r="F47" s="15">
        <f t="shared" si="4"/>
        <v>-2024.1187499999996</v>
      </c>
      <c r="G47" s="16">
        <f t="shared" si="5"/>
        <v>-0.14456803548279962</v>
      </c>
      <c r="H47" s="17">
        <v>11507</v>
      </c>
      <c r="I47" s="17">
        <f t="shared" si="6"/>
        <v>470.03125</v>
      </c>
      <c r="J47" s="16">
        <f t="shared" si="7"/>
        <v>4.0847418962370728E-2</v>
      </c>
      <c r="K47" s="111" t="s">
        <v>1087</v>
      </c>
      <c r="L47" s="126" t="s">
        <v>1088</v>
      </c>
    </row>
    <row r="48" spans="1:12" ht="15.75">
      <c r="A48" s="25" t="str">
        <v>Q025</v>
      </c>
      <c r="B48" s="26" t="str">
        <v>NY</v>
      </c>
      <c r="C48" s="26" t="str">
        <f>Sites[[#This Row],[SOL'#]]</f>
        <v>SOL-10400</v>
      </c>
      <c r="D48" s="21">
        <v>19222.375</v>
      </c>
      <c r="E48" s="11">
        <v>21481.17</v>
      </c>
      <c r="F48" s="11">
        <f t="shared" si="4"/>
        <v>-2258.7949999999983</v>
      </c>
      <c r="G48" s="12">
        <f t="shared" si="5"/>
        <v>-0.10515232643287113</v>
      </c>
      <c r="H48" s="13">
        <v>20760</v>
      </c>
      <c r="I48" s="13">
        <f t="shared" si="6"/>
        <v>-1537.625</v>
      </c>
      <c r="J48" s="14">
        <f t="shared" si="7"/>
        <v>-7.4066714836223513E-2</v>
      </c>
      <c r="K48" s="112"/>
      <c r="L48" s="114"/>
    </row>
    <row r="49" spans="1:12" ht="15.75">
      <c r="A49" s="27" t="str">
        <v>Q074</v>
      </c>
      <c r="B49" s="28" t="str">
        <v>NY</v>
      </c>
      <c r="C49" s="28" t="str">
        <f>Sites[[#This Row],[SOL'#]]</f>
        <v>SOL-10402</v>
      </c>
      <c r="D49" s="10">
        <v>12866.375</v>
      </c>
      <c r="E49" s="15">
        <v>13257.12</v>
      </c>
      <c r="F49" s="15">
        <f t="shared" si="4"/>
        <v>-390.7450000000008</v>
      </c>
      <c r="G49" s="16">
        <f t="shared" si="5"/>
        <v>-2.9474350386811069E-2</v>
      </c>
      <c r="H49" s="17">
        <v>13063</v>
      </c>
      <c r="I49" s="17">
        <f t="shared" si="6"/>
        <v>-196.625</v>
      </c>
      <c r="J49" s="16">
        <f t="shared" si="7"/>
        <v>-1.5052055423715838E-2</v>
      </c>
      <c r="K49" s="111"/>
      <c r="L49" s="115"/>
    </row>
    <row r="50" spans="1:12" ht="15.75">
      <c r="A50" s="25" t="str">
        <v>Q115</v>
      </c>
      <c r="B50" s="26" t="str">
        <v>NY</v>
      </c>
      <c r="C50" s="26" t="str">
        <f>Sites[[#This Row],[SOL'#]]</f>
        <v>SOL-10872</v>
      </c>
      <c r="D50" s="21">
        <v>17235</v>
      </c>
      <c r="E50" s="11">
        <v>19678.18</v>
      </c>
      <c r="F50" s="11">
        <f t="shared" si="4"/>
        <v>-2443.1800000000003</v>
      </c>
      <c r="G50" s="12">
        <f t="shared" si="5"/>
        <v>-0.12415680718440426</v>
      </c>
      <c r="H50" s="13">
        <v>17420</v>
      </c>
      <c r="I50" s="13">
        <f t="shared" si="6"/>
        <v>-185</v>
      </c>
      <c r="J50" s="14">
        <f t="shared" si="7"/>
        <v>-1.0619977037887486E-2</v>
      </c>
      <c r="K50" s="112"/>
      <c r="L50" s="114"/>
    </row>
    <row r="51" spans="1:12" ht="28.5">
      <c r="A51" s="27" t="str">
        <v>Q139</v>
      </c>
      <c r="B51" s="28" t="str">
        <v>NY</v>
      </c>
      <c r="C51" s="28" t="str">
        <f>Sites[[#This Row],[SOL'#]]</f>
        <v>SOL-10403</v>
      </c>
      <c r="D51" s="10">
        <v>10101.53125</v>
      </c>
      <c r="E51" s="15">
        <v>10801.6</v>
      </c>
      <c r="F51" s="15">
        <f t="shared" si="4"/>
        <v>-700.06875000000036</v>
      </c>
      <c r="G51" s="16">
        <f t="shared" si="5"/>
        <v>-6.4811578840171857E-2</v>
      </c>
      <c r="H51" s="17">
        <v>10659</v>
      </c>
      <c r="I51" s="17">
        <f t="shared" si="6"/>
        <v>-557.46875</v>
      </c>
      <c r="J51" s="16">
        <f t="shared" si="7"/>
        <v>-5.2300286143165398E-2</v>
      </c>
      <c r="K51" s="111" t="s">
        <v>1089</v>
      </c>
      <c r="L51" s="126" t="s">
        <v>1090</v>
      </c>
    </row>
    <row r="52" spans="1:12" ht="15.75">
      <c r="A52" s="25" t="str">
        <v>Q157</v>
      </c>
      <c r="B52" s="26" t="str">
        <v>NY</v>
      </c>
      <c r="C52" s="26" t="str">
        <f>Sites[[#This Row],[SOL'#]]</f>
        <v>SOL-10404</v>
      </c>
      <c r="D52" s="21">
        <v>17830.125</v>
      </c>
      <c r="E52" s="11">
        <v>21015.41</v>
      </c>
      <c r="F52" s="11">
        <f t="shared" si="4"/>
        <v>-3185.2849999999999</v>
      </c>
      <c r="G52" s="12">
        <f t="shared" si="5"/>
        <v>-0.15156901530829042</v>
      </c>
      <c r="H52" s="13">
        <v>19937</v>
      </c>
      <c r="I52" s="13">
        <f t="shared" si="6"/>
        <v>-2106.875</v>
      </c>
      <c r="J52" s="14">
        <f t="shared" si="7"/>
        <v>-0.10567663138887495</v>
      </c>
      <c r="K52" s="113" t="s">
        <v>982</v>
      </c>
      <c r="L52" s="117" t="s">
        <v>1091</v>
      </c>
    </row>
    <row r="53" spans="1:12" ht="15.75">
      <c r="A53" s="27" t="str">
        <v>Q192</v>
      </c>
      <c r="B53" s="28" t="str">
        <v>NY</v>
      </c>
      <c r="C53" s="28" t="str">
        <f>Sites[[#This Row],[SOL'#]]</f>
        <v>SOL-10406</v>
      </c>
      <c r="D53" s="10">
        <v>27681.75</v>
      </c>
      <c r="E53" s="15">
        <v>31619</v>
      </c>
      <c r="F53" s="15">
        <f t="shared" si="4"/>
        <v>-3937.25</v>
      </c>
      <c r="G53" s="16">
        <f t="shared" si="5"/>
        <v>-0.12452164837597647</v>
      </c>
      <c r="H53" s="17">
        <v>28626</v>
      </c>
      <c r="I53" s="17">
        <f t="shared" si="6"/>
        <v>-944.25</v>
      </c>
      <c r="J53" s="16">
        <f t="shared" si="7"/>
        <v>-3.2985747222804444E-2</v>
      </c>
      <c r="K53" s="111"/>
      <c r="L53" s="126"/>
    </row>
    <row r="54" spans="1:12" ht="15.75">
      <c r="A54" s="25" t="str">
        <v>Q210</v>
      </c>
      <c r="B54" s="26" t="str">
        <v>NY</v>
      </c>
      <c r="C54" s="26" t="str">
        <f>Sites[[#This Row],[SOL'#]]</f>
        <v>SOL-10407</v>
      </c>
      <c r="D54" s="21">
        <v>23266.375</v>
      </c>
      <c r="E54" s="11">
        <v>23801.37</v>
      </c>
      <c r="F54" s="11">
        <f t="shared" si="4"/>
        <v>-534.99499999999898</v>
      </c>
      <c r="G54" s="12">
        <f t="shared" si="5"/>
        <v>-2.2477487640417296E-2</v>
      </c>
      <c r="H54" s="13">
        <v>23419</v>
      </c>
      <c r="I54" s="13">
        <f t="shared" si="6"/>
        <v>-152.625</v>
      </c>
      <c r="J54" s="14">
        <f t="shared" si="7"/>
        <v>-6.517144199154533E-3</v>
      </c>
      <c r="K54" s="112" t="s">
        <v>1092</v>
      </c>
      <c r="L54" s="114" t="s">
        <v>852</v>
      </c>
    </row>
    <row r="55" spans="1:12" ht="15.75">
      <c r="A55" s="27" t="str">
        <v>Q229</v>
      </c>
      <c r="B55" s="28" t="str">
        <v>NY</v>
      </c>
      <c r="C55" s="28" t="str">
        <f>Sites[[#This Row],[SOL'#]]</f>
        <v>SOL-10408</v>
      </c>
      <c r="D55" s="10">
        <v>9246.96875</v>
      </c>
      <c r="E55" s="15">
        <v>11755.71</v>
      </c>
      <c r="F55" s="15">
        <f t="shared" si="4"/>
        <v>-2508.7412499999991</v>
      </c>
      <c r="G55" s="16">
        <f t="shared" si="5"/>
        <v>-0.2134061872911121</v>
      </c>
      <c r="H55" s="17">
        <v>8884</v>
      </c>
      <c r="I55" s="17">
        <f t="shared" si="6"/>
        <v>362.96875</v>
      </c>
      <c r="J55" s="16">
        <f t="shared" si="7"/>
        <v>4.0856455425484016E-2</v>
      </c>
      <c r="K55" s="111"/>
      <c r="L55" s="115"/>
    </row>
    <row r="56" spans="1:12" ht="15.75">
      <c r="A56" s="25" t="str">
        <v>Q231</v>
      </c>
      <c r="B56" s="26" t="str">
        <v>NY</v>
      </c>
      <c r="C56" s="26" t="str">
        <f>Sites[[#This Row],[SOL'#]]</f>
        <v>SOL-10870</v>
      </c>
      <c r="D56" s="21">
        <v>37608.0625</v>
      </c>
      <c r="E56" s="11">
        <v>43696.83</v>
      </c>
      <c r="F56" s="11">
        <f t="shared" si="4"/>
        <v>-6088.7675000000017</v>
      </c>
      <c r="G56" s="12">
        <f t="shared" si="5"/>
        <v>-0.13934117188821252</v>
      </c>
      <c r="H56" s="13">
        <v>30569</v>
      </c>
      <c r="I56" s="13">
        <f t="shared" si="6"/>
        <v>7039.0625</v>
      </c>
      <c r="J56" s="14">
        <f t="shared" si="7"/>
        <v>0.23026800026170302</v>
      </c>
      <c r="K56" s="112"/>
      <c r="L56" s="114"/>
    </row>
    <row r="57" spans="1:12" ht="15.75">
      <c r="A57" s="27" t="str">
        <v>Q405</v>
      </c>
      <c r="B57" s="28" t="str">
        <v>NY</v>
      </c>
      <c r="C57" s="28" t="str">
        <f>Sites[[#This Row],[SOL'#]]</f>
        <v>SOL-10409</v>
      </c>
      <c r="D57" s="10">
        <v>44087.25</v>
      </c>
      <c r="E57" s="15">
        <v>46222.31</v>
      </c>
      <c r="F57" s="15">
        <f t="shared" si="4"/>
        <v>-2135.0599999999977</v>
      </c>
      <c r="G57" s="16">
        <f t="shared" si="5"/>
        <v>-4.6191114204374419E-2</v>
      </c>
      <c r="H57" s="17">
        <v>42969</v>
      </c>
      <c r="I57" s="17">
        <f t="shared" si="6"/>
        <v>1118.25</v>
      </c>
      <c r="J57" s="16">
        <f t="shared" si="7"/>
        <v>2.6024575857013194E-2</v>
      </c>
      <c r="K57" s="111"/>
      <c r="L57" s="115"/>
    </row>
    <row r="58" spans="1:12" ht="28.5">
      <c r="A58" s="25" t="str">
        <v>Q435</v>
      </c>
      <c r="B58" s="26" t="str">
        <v>NY</v>
      </c>
      <c r="C58" s="26" t="str">
        <f>Sites[[#This Row],[SOL'#]]</f>
        <v>SOL-10923</v>
      </c>
      <c r="D58" s="21">
        <v>55753.625</v>
      </c>
      <c r="E58" s="11">
        <v>43537.14</v>
      </c>
      <c r="F58" s="11">
        <f t="shared" si="4"/>
        <v>12216.485000000001</v>
      </c>
      <c r="G58" s="12">
        <f t="shared" si="5"/>
        <v>0.28059916200283253</v>
      </c>
      <c r="H58" s="13">
        <v>44849</v>
      </c>
      <c r="I58" s="13">
        <f t="shared" si="6"/>
        <v>10904.625</v>
      </c>
      <c r="J58" s="14">
        <f t="shared" si="7"/>
        <v>0.24314087270619189</v>
      </c>
      <c r="K58" s="112" t="s">
        <v>1093</v>
      </c>
      <c r="L58" s="114" t="s">
        <v>1094</v>
      </c>
    </row>
    <row r="59" spans="1:12" ht="15.75">
      <c r="A59" s="27" t="str">
        <v>Q485</v>
      </c>
      <c r="B59" s="28" t="str">
        <v>NY</v>
      </c>
      <c r="C59" s="28" t="str">
        <f>Sites[[#This Row],[SOL'#]]</f>
        <v>SOL-10869</v>
      </c>
      <c r="D59" s="10">
        <v>48781.218750000102</v>
      </c>
      <c r="E59" s="15">
        <v>44153.98</v>
      </c>
      <c r="F59" s="15">
        <f t="shared" si="4"/>
        <v>4627.2387500000987</v>
      </c>
      <c r="G59" s="16">
        <f t="shared" si="5"/>
        <v>0.10479777247713792</v>
      </c>
      <c r="H59" s="17">
        <v>43080</v>
      </c>
      <c r="I59" s="17">
        <f t="shared" si="6"/>
        <v>5701.2187500001019</v>
      </c>
      <c r="J59" s="16">
        <f t="shared" si="7"/>
        <v>0.13234026810585195</v>
      </c>
      <c r="K59" s="111" t="s">
        <v>1095</v>
      </c>
      <c r="L59" s="115" t="s">
        <v>1096</v>
      </c>
    </row>
    <row r="60" spans="1:12" ht="15.75">
      <c r="A60" s="25" t="str">
        <v>Q490</v>
      </c>
      <c r="B60" s="26" t="str">
        <v>NY</v>
      </c>
      <c r="C60" s="26" t="str">
        <f>Sites[[#This Row],[SOL'#]]</f>
        <v>SOL-10411</v>
      </c>
      <c r="D60" s="21">
        <v>35353.625</v>
      </c>
      <c r="E60" s="11">
        <v>0</v>
      </c>
      <c r="F60" s="11">
        <f t="shared" si="4"/>
        <v>35353.625</v>
      </c>
      <c r="G60" s="12" t="str">
        <f t="shared" si="5"/>
        <v/>
      </c>
      <c r="H60" s="13">
        <v>37244</v>
      </c>
      <c r="I60" s="13">
        <f t="shared" si="6"/>
        <v>-1890.375</v>
      </c>
      <c r="J60" s="14">
        <f t="shared" si="7"/>
        <v>-5.0756497690903235E-2</v>
      </c>
      <c r="K60" s="112"/>
      <c r="L60" s="114"/>
    </row>
    <row r="61" spans="1:12" ht="15.75">
      <c r="A61" s="27" t="str">
        <v>Q620</v>
      </c>
      <c r="B61" s="28" t="str">
        <v>NY</v>
      </c>
      <c r="C61" s="28" t="str">
        <f>Sites[[#This Row],[SOL'#]]</f>
        <v>SOL-10867</v>
      </c>
      <c r="D61" s="10">
        <v>54496.875</v>
      </c>
      <c r="E61" s="15">
        <v>58023.38</v>
      </c>
      <c r="F61" s="15">
        <f t="shared" si="4"/>
        <v>-3526.5049999999974</v>
      </c>
      <c r="G61" s="16">
        <f t="shared" si="5"/>
        <v>-6.0777310801266617E-2</v>
      </c>
      <c r="H61" s="17">
        <v>46975</v>
      </c>
      <c r="I61" s="17">
        <f t="shared" si="6"/>
        <v>7521.875</v>
      </c>
      <c r="J61" s="16">
        <f t="shared" si="7"/>
        <v>0.1601250665247472</v>
      </c>
      <c r="K61" s="111"/>
      <c r="L61" s="115"/>
    </row>
    <row r="62" spans="1:12" ht="15.75">
      <c r="A62" s="25" t="str">
        <v>QMOA</v>
      </c>
      <c r="B62" s="26" t="str">
        <v>NY</v>
      </c>
      <c r="C62" s="26" t="str">
        <f>Sites[[#This Row],[SOL'#]]</f>
        <v>SOL-10415</v>
      </c>
      <c r="D62" s="21">
        <v>4948.6000000000104</v>
      </c>
      <c r="E62" s="11">
        <v>0</v>
      </c>
      <c r="F62" s="11">
        <f t="shared" si="4"/>
        <v>4948.6000000000104</v>
      </c>
      <c r="G62" s="12" t="str">
        <f t="shared" si="5"/>
        <v/>
      </c>
      <c r="H62" s="13">
        <v>4147.7629999999999</v>
      </c>
      <c r="I62" s="13">
        <f t="shared" si="6"/>
        <v>800.83700000001045</v>
      </c>
      <c r="J62" s="14">
        <f t="shared" si="7"/>
        <v>0.19307684648327555</v>
      </c>
      <c r="K62" s="112"/>
      <c r="L62" s="114"/>
    </row>
    <row r="63" spans="1:12" ht="28.5">
      <c r="A63" s="27" t="str">
        <v>X024</v>
      </c>
      <c r="B63" s="28" t="str">
        <v>NY</v>
      </c>
      <c r="C63" s="28" t="str">
        <f>Sites[[#This Row],[SOL'#]]</f>
        <v>SOL-10419</v>
      </c>
      <c r="D63" s="10">
        <v>22064.046875</v>
      </c>
      <c r="E63" s="15">
        <v>24432.59</v>
      </c>
      <c r="F63" s="15">
        <f t="shared" si="4"/>
        <v>-2368.5431250000001</v>
      </c>
      <c r="G63" s="16">
        <f t="shared" si="5"/>
        <v>-9.6941958466130698E-2</v>
      </c>
      <c r="H63" s="17">
        <v>16522</v>
      </c>
      <c r="I63" s="17">
        <f t="shared" si="6"/>
        <v>5542.046875</v>
      </c>
      <c r="J63" s="16">
        <f t="shared" si="7"/>
        <v>0.3354343829439535</v>
      </c>
      <c r="K63" s="111" t="s">
        <v>1097</v>
      </c>
      <c r="L63" s="118" t="s">
        <v>1098</v>
      </c>
    </row>
    <row r="64" spans="1:12" ht="15.75">
      <c r="A64" s="25" t="str">
        <v>X026</v>
      </c>
      <c r="B64" s="26" t="str">
        <v>NY</v>
      </c>
      <c r="C64" s="26" t="str">
        <f>Sites[[#This Row],[SOL'#]]</f>
        <v>SOL-10420</v>
      </c>
      <c r="D64" s="21">
        <v>16588.599999999999</v>
      </c>
      <c r="E64" s="11">
        <v>18822.919999999998</v>
      </c>
      <c r="F64" s="11">
        <f t="shared" si="4"/>
        <v>-2234.3199999999997</v>
      </c>
      <c r="G64" s="12">
        <f t="shared" si="5"/>
        <v>-0.11870209298026023</v>
      </c>
      <c r="H64" s="13">
        <v>18573</v>
      </c>
      <c r="I64" s="13">
        <f t="shared" si="6"/>
        <v>-1984.4000000000015</v>
      </c>
      <c r="J64" s="14">
        <f t="shared" si="7"/>
        <v>-0.10684326710816786</v>
      </c>
      <c r="K64" s="112"/>
      <c r="L64" s="114"/>
    </row>
    <row r="65" spans="1:12" ht="28.5">
      <c r="A65" s="27" t="str">
        <v>X090</v>
      </c>
      <c r="B65" s="28" t="str">
        <v>NY</v>
      </c>
      <c r="C65" s="28" t="str">
        <f>Sites[[#This Row],[SOL'#]]</f>
        <v>SOL-10925</v>
      </c>
      <c r="D65" s="10">
        <v>12260.4375</v>
      </c>
      <c r="E65" s="15">
        <v>11978.37</v>
      </c>
      <c r="F65" s="15">
        <f t="shared" si="4"/>
        <v>282.0674999999992</v>
      </c>
      <c r="G65" s="16">
        <f t="shared" si="5"/>
        <v>2.3548070396890327E-2</v>
      </c>
      <c r="H65" s="17">
        <v>12975</v>
      </c>
      <c r="I65" s="17">
        <f t="shared" si="6"/>
        <v>-714.5625</v>
      </c>
      <c r="J65" s="16">
        <f t="shared" si="7"/>
        <v>-5.5072254335260112E-2</v>
      </c>
      <c r="K65" s="111" t="s">
        <v>1099</v>
      </c>
      <c r="L65" s="126" t="s">
        <v>1100</v>
      </c>
    </row>
    <row r="66" spans="1:12" ht="15.75">
      <c r="A66" s="25" t="str">
        <v>X117</v>
      </c>
      <c r="B66" s="26" t="str">
        <v>NY</v>
      </c>
      <c r="C66" s="26" t="str">
        <f>Sites[[#This Row],[SOL'#]]</f>
        <v>SOL-10422</v>
      </c>
      <c r="D66" s="21">
        <v>10556.4</v>
      </c>
      <c r="E66" s="11">
        <v>15687.43</v>
      </c>
      <c r="F66" s="11">
        <f t="shared" si="4"/>
        <v>-5131.0300000000007</v>
      </c>
      <c r="G66" s="12">
        <f t="shared" si="5"/>
        <v>-0.32707906903807704</v>
      </c>
      <c r="H66" s="13">
        <v>14099</v>
      </c>
      <c r="I66" s="13">
        <f t="shared" si="6"/>
        <v>-3542.6000000000004</v>
      </c>
      <c r="J66" s="14">
        <f t="shared" si="7"/>
        <v>-0.25126604723739276</v>
      </c>
      <c r="K66" s="112" t="s">
        <v>1101</v>
      </c>
      <c r="L66" s="114" t="s">
        <v>1102</v>
      </c>
    </row>
    <row r="67" spans="1:12" ht="15.75">
      <c r="A67" s="27" t="str">
        <v>X125</v>
      </c>
      <c r="B67" s="28" t="str">
        <v>NY</v>
      </c>
      <c r="C67" s="28" t="str">
        <f>Sites[[#This Row],[SOL'#]]</f>
        <v>SOL-10423</v>
      </c>
      <c r="D67" s="10">
        <v>24801.5</v>
      </c>
      <c r="E67" s="15">
        <v>27509.3</v>
      </c>
      <c r="F67" s="15">
        <f t="shared" si="4"/>
        <v>-2707.7999999999993</v>
      </c>
      <c r="G67" s="16">
        <f t="shared" si="5"/>
        <v>-9.8432166576394142E-2</v>
      </c>
      <c r="H67" s="17">
        <v>20669</v>
      </c>
      <c r="I67" s="17">
        <f t="shared" si="6"/>
        <v>4132.5</v>
      </c>
      <c r="J67" s="16">
        <f t="shared" si="7"/>
        <v>0.19993710387536892</v>
      </c>
      <c r="K67" s="111"/>
      <c r="L67" s="115"/>
    </row>
    <row r="68" spans="1:12" ht="15.75">
      <c r="A68" s="25" t="str">
        <v>X134</v>
      </c>
      <c r="B68" s="26" t="str">
        <v>NY</v>
      </c>
      <c r="C68" s="26" t="str">
        <f>Sites[[#This Row],[SOL'#]]</f>
        <v>SOL-10424</v>
      </c>
      <c r="D68" s="21">
        <v>23584.25</v>
      </c>
      <c r="E68" s="11">
        <v>19866</v>
      </c>
      <c r="F68" s="11">
        <f t="shared" si="4"/>
        <v>3718.25</v>
      </c>
      <c r="G68" s="12">
        <f t="shared" si="5"/>
        <v>0.18716651565488776</v>
      </c>
      <c r="H68" s="13">
        <v>19866</v>
      </c>
      <c r="I68" s="13">
        <f t="shared" si="6"/>
        <v>3718.25</v>
      </c>
      <c r="J68" s="14">
        <f t="shared" si="7"/>
        <v>0.18716651565488776</v>
      </c>
      <c r="K68" s="112"/>
      <c r="L68" s="114"/>
    </row>
    <row r="69" spans="1:12" ht="15.75">
      <c r="A69" s="27" t="str">
        <v>X135</v>
      </c>
      <c r="B69" s="28" t="str">
        <v>NY</v>
      </c>
      <c r="C69" s="28" t="str">
        <f>Sites[[#This Row],[SOL'#]]</f>
        <v>SOL-10425</v>
      </c>
      <c r="D69" s="10">
        <v>16943.59375</v>
      </c>
      <c r="E69" s="15">
        <v>21962.78</v>
      </c>
      <c r="F69" s="15">
        <f t="shared" si="4"/>
        <v>-5019.1862499999988</v>
      </c>
      <c r="G69" s="16">
        <f t="shared" si="5"/>
        <v>-0.22853146323006465</v>
      </c>
      <c r="H69" s="17">
        <v>16253</v>
      </c>
      <c r="I69" s="17">
        <f t="shared" si="6"/>
        <v>690.59375</v>
      </c>
      <c r="J69" s="16">
        <f t="shared" si="7"/>
        <v>4.2490232572448161E-2</v>
      </c>
      <c r="K69" s="111" t="s">
        <v>1103</v>
      </c>
      <c r="L69" s="126" t="s">
        <v>1104</v>
      </c>
    </row>
    <row r="70" spans="1:12" ht="28.5">
      <c r="A70" s="25" t="str">
        <v>X139 JHS 222</v>
      </c>
      <c r="B70" s="26" t="str">
        <v>NY</v>
      </c>
      <c r="C70" s="26" t="str">
        <f>Sites[[#This Row],[SOL'#]]</f>
        <v>SOL-10426</v>
      </c>
      <c r="D70" s="21">
        <v>29797.599625336199</v>
      </c>
      <c r="E70" s="11">
        <v>30796.46</v>
      </c>
      <c r="F70" s="11">
        <f t="shared" si="4"/>
        <v>-998.86037466380003</v>
      </c>
      <c r="G70" s="12">
        <f t="shared" si="5"/>
        <v>-3.2434259478647871E-2</v>
      </c>
      <c r="H70" s="13">
        <v>23270</v>
      </c>
      <c r="I70" s="13">
        <f t="shared" si="6"/>
        <v>6527.5996253361991</v>
      </c>
      <c r="J70" s="14">
        <f t="shared" si="7"/>
        <v>0.28051566933116456</v>
      </c>
      <c r="K70" s="112" t="s">
        <v>1105</v>
      </c>
      <c r="L70" s="114" t="s">
        <v>1106</v>
      </c>
    </row>
    <row r="71" spans="1:12" ht="15.75">
      <c r="A71" s="27" t="str">
        <v>X140</v>
      </c>
      <c r="B71" s="28" t="str">
        <v>NY</v>
      </c>
      <c r="C71" s="28" t="str">
        <f>Sites[[#This Row],[SOL'#]]</f>
        <v>SOL-10926</v>
      </c>
      <c r="D71" s="10">
        <v>16861.734375</v>
      </c>
      <c r="E71" s="15">
        <v>14643.91</v>
      </c>
      <c r="F71" s="15">
        <f t="shared" si="4"/>
        <v>2217.8243750000001</v>
      </c>
      <c r="G71" s="16">
        <f t="shared" si="5"/>
        <v>0.15145028718422882</v>
      </c>
      <c r="H71" s="17">
        <v>13726</v>
      </c>
      <c r="I71" s="17">
        <f t="shared" si="6"/>
        <v>3135.734375</v>
      </c>
      <c r="J71" s="16">
        <f t="shared" si="7"/>
        <v>0.2284521619554131</v>
      </c>
      <c r="K71" s="111"/>
      <c r="L71" s="115"/>
    </row>
    <row r="72" spans="1:12" ht="15.75">
      <c r="A72" s="25" t="str">
        <v>X166</v>
      </c>
      <c r="B72" s="26" t="str">
        <v>NY</v>
      </c>
      <c r="C72" s="26" t="str">
        <f>Sites[[#This Row],[SOL'#]]</f>
        <v>SOL-10427</v>
      </c>
      <c r="D72" s="21">
        <v>17841.7</v>
      </c>
      <c r="E72" s="11">
        <v>20438.900000000001</v>
      </c>
      <c r="F72" s="11">
        <f t="shared" si="4"/>
        <v>-2597.2000000000007</v>
      </c>
      <c r="G72" s="12">
        <f t="shared" si="5"/>
        <v>-0.12707141773774522</v>
      </c>
      <c r="H72" s="13">
        <v>14295</v>
      </c>
      <c r="I72" s="13">
        <f t="shared" si="6"/>
        <v>3546.7000000000007</v>
      </c>
      <c r="J72" s="14">
        <f t="shared" si="7"/>
        <v>0.24810772997551597</v>
      </c>
      <c r="K72" s="112" t="s">
        <v>1107</v>
      </c>
      <c r="L72" s="114" t="s">
        <v>1108</v>
      </c>
    </row>
    <row r="73" spans="1:12" ht="71.25">
      <c r="A73" s="27" t="str">
        <v>Murphy</v>
      </c>
      <c r="B73" s="28" t="str">
        <v>MN</v>
      </c>
      <c r="C73" s="28" t="str">
        <f>Sites[[#This Row],[SOL'#]]</f>
        <v>SOL-10094</v>
      </c>
      <c r="D73" s="10">
        <v>720390</v>
      </c>
      <c r="E73" s="15">
        <v>840926</v>
      </c>
      <c r="F73" s="15">
        <f t="shared" si="4"/>
        <v>-120536</v>
      </c>
      <c r="G73" s="16">
        <f t="shared" si="5"/>
        <v>-0.14333722586767444</v>
      </c>
      <c r="H73" s="17">
        <v>690439</v>
      </c>
      <c r="I73" s="17">
        <f t="shared" si="6"/>
        <v>29951</v>
      </c>
      <c r="J73" s="16">
        <f t="shared" si="7"/>
        <v>4.3379646862358588E-2</v>
      </c>
      <c r="K73" s="111" t="s">
        <v>1109</v>
      </c>
      <c r="L73" s="115" t="s">
        <v>1110</v>
      </c>
    </row>
    <row r="74" spans="1:12" ht="15.75">
      <c r="A74" s="25" t="str">
        <v>Terning</v>
      </c>
      <c r="B74" s="26" t="str">
        <v>MN</v>
      </c>
      <c r="C74" s="26" t="str">
        <f>Sites[[#This Row],[SOL'#]]</f>
        <v>SOL-10093</v>
      </c>
      <c r="D74" s="21">
        <v>794928.52500000002</v>
      </c>
      <c r="E74" s="11">
        <v>840389.1</v>
      </c>
      <c r="F74" s="11">
        <f t="shared" si="4"/>
        <v>-45460.574999999953</v>
      </c>
      <c r="G74" s="12">
        <f t="shared" si="5"/>
        <v>-5.4094674716747226E-2</v>
      </c>
      <c r="H74" s="13">
        <v>663588</v>
      </c>
      <c r="I74" s="13">
        <f t="shared" si="6"/>
        <v>131340.52500000002</v>
      </c>
      <c r="J74" s="14">
        <f t="shared" si="7"/>
        <v>0.19792480424600811</v>
      </c>
      <c r="K74" s="112"/>
      <c r="L74" s="114"/>
    </row>
    <row r="75" spans="1:12" ht="15.75">
      <c r="A75" s="27" t="str">
        <v>Boas Road 04</v>
      </c>
      <c r="B75" s="28" t="str">
        <v>NY</v>
      </c>
      <c r="C75" s="28" t="str">
        <f>Sites[[#This Row],[SOL'#]]</f>
        <v>SOL-10908</v>
      </c>
      <c r="D75" s="10">
        <v>290197</v>
      </c>
      <c r="E75" s="15">
        <v>316457.78100000002</v>
      </c>
      <c r="F75" s="15">
        <f t="shared" si="4"/>
        <v>-26260.781000000017</v>
      </c>
      <c r="G75" s="16">
        <f t="shared" si="5"/>
        <v>-8.2983521267881277E-2</v>
      </c>
      <c r="H75" s="17">
        <v>242097</v>
      </c>
      <c r="I75" s="17">
        <f t="shared" si="6"/>
        <v>48100</v>
      </c>
      <c r="J75" s="16">
        <f t="shared" si="7"/>
        <v>0.19868069410195088</v>
      </c>
      <c r="K75" s="111" t="s">
        <v>1111</v>
      </c>
      <c r="L75" s="115" t="s">
        <v>1112</v>
      </c>
    </row>
    <row r="76" spans="1:12" ht="28.5">
      <c r="A76" s="25" t="str">
        <v>Kelly Bridge Farm</v>
      </c>
      <c r="B76" s="26" t="str">
        <v>NY</v>
      </c>
      <c r="C76" s="26" t="str">
        <f>Sites[[#This Row],[SOL'#]]</f>
        <v>SOL-10911</v>
      </c>
      <c r="D76" s="21">
        <v>333441</v>
      </c>
      <c r="E76" s="11">
        <v>342375.45799999998</v>
      </c>
      <c r="F76" s="11">
        <f t="shared" si="4"/>
        <v>-8934.4579999999842</v>
      </c>
      <c r="G76" s="12">
        <f t="shared" si="5"/>
        <v>-2.6095497767833535E-2</v>
      </c>
      <c r="H76" s="13">
        <v>252898</v>
      </c>
      <c r="I76" s="13">
        <f t="shared" si="6"/>
        <v>80543</v>
      </c>
      <c r="J76" s="14">
        <f t="shared" si="7"/>
        <v>0.31848017777918369</v>
      </c>
      <c r="K76" s="112" t="s">
        <v>1113</v>
      </c>
      <c r="L76" s="114" t="s">
        <v>1114</v>
      </c>
    </row>
    <row r="77" spans="1:12" ht="42" customHeight="1">
      <c r="A77" s="27" t="str">
        <v>Pool Brook Road</v>
      </c>
      <c r="B77" s="28" t="str">
        <v>NY</v>
      </c>
      <c r="C77" s="28" t="str">
        <f>Sites[[#This Row],[SOL'#]]</f>
        <v>SOL-10909</v>
      </c>
      <c r="D77" s="10">
        <v>263072</v>
      </c>
      <c r="E77" s="15">
        <v>279732.08399999997</v>
      </c>
      <c r="F77" s="15">
        <f t="shared" si="4"/>
        <v>-16660.083999999973</v>
      </c>
      <c r="G77" s="16">
        <f t="shared" si="5"/>
        <v>-5.955728696462282E-2</v>
      </c>
      <c r="H77" s="17">
        <v>242562</v>
      </c>
      <c r="I77" s="17">
        <f t="shared" si="6"/>
        <v>20510</v>
      </c>
      <c r="J77" s="16">
        <f t="shared" si="7"/>
        <v>8.4555701222780152E-2</v>
      </c>
      <c r="K77" s="111" t="s">
        <v>1115</v>
      </c>
      <c r="L77" s="126" t="s">
        <v>1116</v>
      </c>
    </row>
    <row r="78" spans="1:12" ht="15.75">
      <c r="A78" s="25" t="str">
        <v>Sackett Lake</v>
      </c>
      <c r="B78" s="26" t="str">
        <v>NY</v>
      </c>
      <c r="C78" s="26" t="str">
        <f>Sites[[#This Row],[SOL'#]]</f>
        <v>SOL-10910</v>
      </c>
      <c r="D78" s="21">
        <v>349203</v>
      </c>
      <c r="E78" s="11">
        <v>363146.06400000001</v>
      </c>
      <c r="F78" s="11">
        <f t="shared" si="4"/>
        <v>-13943.064000000013</v>
      </c>
      <c r="G78" s="12">
        <f t="shared" si="5"/>
        <v>-3.8395195163123154E-2</v>
      </c>
      <c r="H78" s="13">
        <v>256423</v>
      </c>
      <c r="I78" s="13">
        <f t="shared" si="6"/>
        <v>92780</v>
      </c>
      <c r="J78" s="14">
        <f t="shared" si="7"/>
        <v>0.3618240173463379</v>
      </c>
      <c r="K78" s="112"/>
      <c r="L78" s="114"/>
    </row>
    <row r="79" spans="1:12" ht="15.75">
      <c r="A79" s="27" t="str">
        <v>Burritt Road</v>
      </c>
      <c r="B79" s="28" t="str">
        <v>NY</v>
      </c>
      <c r="C79" s="28" t="str">
        <f>Sites[[#This Row],[SOL'#]]</f>
        <v>SOL-10913</v>
      </c>
      <c r="D79" s="10">
        <v>293330</v>
      </c>
      <c r="E79" s="15">
        <v>298132.05900000001</v>
      </c>
      <c r="F79" s="15">
        <f t="shared" si="4"/>
        <v>-4802.0590000000084</v>
      </c>
      <c r="G79" s="16">
        <f t="shared" si="5"/>
        <v>-1.6107154044778554E-2</v>
      </c>
      <c r="H79" s="17">
        <v>241363</v>
      </c>
      <c r="I79" s="17">
        <f t="shared" si="6"/>
        <v>51967</v>
      </c>
      <c r="J79" s="16">
        <f t="shared" si="7"/>
        <v>0.21530640570427115</v>
      </c>
      <c r="K79" s="111"/>
      <c r="L79" s="115"/>
    </row>
    <row r="80" spans="1:12" ht="15.75">
      <c r="A80" s="25" t="str">
        <v>Villa Roma 1</v>
      </c>
      <c r="B80" s="26" t="str">
        <v>NY</v>
      </c>
      <c r="C80" s="26" t="str">
        <f>Sites[[#This Row],[SOL'#]]</f>
        <v>SOL-10914</v>
      </c>
      <c r="D80" s="21">
        <v>297766</v>
      </c>
      <c r="E80" s="11">
        <v>434954.40700000001</v>
      </c>
      <c r="F80" s="11">
        <f t="shared" si="4"/>
        <v>-137188.40700000001</v>
      </c>
      <c r="G80" s="12">
        <f t="shared" si="5"/>
        <v>-0.31540870673371518</v>
      </c>
      <c r="H80" s="13">
        <v>239592</v>
      </c>
      <c r="I80" s="13">
        <f t="shared" si="6"/>
        <v>58174</v>
      </c>
      <c r="J80" s="14">
        <f t="shared" si="7"/>
        <v>0.24280443420481485</v>
      </c>
      <c r="K80" s="112" t="s">
        <v>1117</v>
      </c>
      <c r="L80" s="114" t="s">
        <v>1118</v>
      </c>
    </row>
    <row r="81" spans="1:12" ht="94.5" customHeight="1">
      <c r="A81" s="27" t="str">
        <v>Villa Roma 2</v>
      </c>
      <c r="B81" s="28" t="str">
        <v>NY</v>
      </c>
      <c r="C81" s="28" t="str">
        <f>Sites[[#This Row],[SOL'#]]</f>
        <v>SOL-10915</v>
      </c>
      <c r="D81" s="10">
        <v>263441</v>
      </c>
      <c r="E81" s="15">
        <v>295931.78899999999</v>
      </c>
      <c r="F81" s="15">
        <f t="shared" si="4"/>
        <v>-32490.78899999999</v>
      </c>
      <c r="G81" s="16">
        <f t="shared" si="5"/>
        <v>-0.10979147968452957</v>
      </c>
      <c r="H81" s="17">
        <v>231672</v>
      </c>
      <c r="I81" s="17">
        <f t="shared" si="6"/>
        <v>31769</v>
      </c>
      <c r="J81" s="16">
        <f t="shared" si="7"/>
        <v>0.13712921716910115</v>
      </c>
      <c r="K81" s="111" t="s">
        <v>1119</v>
      </c>
      <c r="L81" s="118" t="s">
        <v>1120</v>
      </c>
    </row>
    <row r="82" spans="1:12" ht="285">
      <c r="A82" s="25" t="str">
        <v>Washington 1</v>
      </c>
      <c r="B82" s="26" t="str">
        <v>NY</v>
      </c>
      <c r="C82" s="26" t="str">
        <f>Sites[[#This Row],[SOL'#]]</f>
        <v>SOL-10912</v>
      </c>
      <c r="D82" s="21">
        <v>298020</v>
      </c>
      <c r="E82" s="11">
        <v>309600.26899999997</v>
      </c>
      <c r="F82" s="11">
        <f t="shared" ref="F82:F145" si="8">IF(AND(ISNUMBER(D82),ISNUMBER(E82)), D82-E82, "")</f>
        <v>-11580.268999999971</v>
      </c>
      <c r="G82" s="12">
        <f t="shared" ref="G82:G145" si="9">IFERROR(F82/E82, "")</f>
        <v>-3.740393713934393E-2</v>
      </c>
      <c r="H82" s="13">
        <v>236622</v>
      </c>
      <c r="I82" s="13">
        <f t="shared" ref="I82:I145" si="10">IF(AND(ISNUMBER(D82),ISNUMBER(H82)), D82-H82, "")</f>
        <v>61398</v>
      </c>
      <c r="J82" s="14">
        <f t="shared" ref="J82:J145" si="11">IFERROR(I82/H82, "")</f>
        <v>0.2594771407561427</v>
      </c>
      <c r="K82" s="112" t="s">
        <v>1121</v>
      </c>
      <c r="L82" s="114" t="s">
        <v>1122</v>
      </c>
    </row>
    <row r="83" spans="1:12" ht="114">
      <c r="A83" s="27" t="str">
        <v>Washington 3</v>
      </c>
      <c r="B83" s="28" t="str">
        <v>NY</v>
      </c>
      <c r="C83" s="28" t="str">
        <f>Sites[[#This Row],[SOL'#]]</f>
        <v>SOL-10828</v>
      </c>
      <c r="D83" s="10">
        <v>364818</v>
      </c>
      <c r="E83" s="15">
        <v>11799.395</v>
      </c>
      <c r="F83" s="15">
        <f t="shared" si="8"/>
        <v>353018.60499999998</v>
      </c>
      <c r="G83" s="16">
        <f t="shared" si="9"/>
        <v>29.918364882267266</v>
      </c>
      <c r="H83" s="17">
        <v>289410</v>
      </c>
      <c r="I83" s="17">
        <f t="shared" si="10"/>
        <v>75408</v>
      </c>
      <c r="J83" s="16">
        <f t="shared" si="11"/>
        <v>0.26055768632735565</v>
      </c>
      <c r="K83" s="111" t="s">
        <v>1123</v>
      </c>
      <c r="L83" s="126" t="s">
        <v>1124</v>
      </c>
    </row>
    <row r="84" spans="1:12" ht="71.25">
      <c r="A84" s="25" t="str">
        <v>Washington 4</v>
      </c>
      <c r="B84" s="26" t="str">
        <v>NY</v>
      </c>
      <c r="C84" s="26" t="str">
        <f>Sites[[#This Row],[SOL'#]]</f>
        <v>SOL-10829</v>
      </c>
      <c r="D84" s="21">
        <v>0</v>
      </c>
      <c r="E84" s="11">
        <v>0</v>
      </c>
      <c r="F84" s="11">
        <f t="shared" si="8"/>
        <v>0</v>
      </c>
      <c r="G84" s="12" t="str">
        <f t="shared" si="9"/>
        <v/>
      </c>
      <c r="H84" s="13">
        <v>289930</v>
      </c>
      <c r="I84" s="13">
        <f t="shared" si="10"/>
        <v>-289930</v>
      </c>
      <c r="J84" s="14">
        <f t="shared" si="11"/>
        <v>-1</v>
      </c>
      <c r="K84" s="112" t="s">
        <v>1125</v>
      </c>
      <c r="L84" s="114" t="s">
        <v>1126</v>
      </c>
    </row>
    <row r="85" spans="1:12" ht="15.75">
      <c r="A85" s="27" t="str">
        <v>Big Tree</v>
      </c>
      <c r="B85" s="28" t="str">
        <v>NY</v>
      </c>
      <c r="C85" s="28" t="str">
        <f>Sites[[#This Row],[SOL'#]]</f>
        <v>SOL-10966</v>
      </c>
      <c r="D85" s="10">
        <v>308910</v>
      </c>
      <c r="E85" s="15">
        <v>0</v>
      </c>
      <c r="F85" s="15">
        <f t="shared" si="8"/>
        <v>308910</v>
      </c>
      <c r="G85" s="16" t="str">
        <f t="shared" si="9"/>
        <v/>
      </c>
      <c r="H85" s="17">
        <v>234826</v>
      </c>
      <c r="I85" s="17">
        <f t="shared" si="10"/>
        <v>74084</v>
      </c>
      <c r="J85" s="16">
        <f t="shared" si="11"/>
        <v>0.3154846567245535</v>
      </c>
      <c r="K85" s="111"/>
      <c r="L85" s="115"/>
    </row>
    <row r="86" spans="1:12" ht="57">
      <c r="A86" s="25" t="str">
        <v>Canoga</v>
      </c>
      <c r="B86" s="26" t="str">
        <v>NY</v>
      </c>
      <c r="C86" s="26" t="str">
        <f>Sites[[#This Row],[SOL'#]]</f>
        <v>SOL-10965</v>
      </c>
      <c r="D86" s="21">
        <v>714340</v>
      </c>
      <c r="E86" s="11">
        <v>0</v>
      </c>
      <c r="F86" s="11">
        <f t="shared" si="8"/>
        <v>714340</v>
      </c>
      <c r="G86" s="12" t="str">
        <f t="shared" si="9"/>
        <v/>
      </c>
      <c r="H86" s="13">
        <v>610132</v>
      </c>
      <c r="I86" s="13">
        <f t="shared" si="10"/>
        <v>104208</v>
      </c>
      <c r="J86" s="14">
        <f t="shared" si="11"/>
        <v>0.17079582778808519</v>
      </c>
      <c r="K86" s="112" t="s">
        <v>1127</v>
      </c>
      <c r="L86" s="114" t="s">
        <v>1128</v>
      </c>
    </row>
    <row r="87" spans="1:12" ht="15.75">
      <c r="A87" s="27" t="str">
        <v>County Route 84</v>
      </c>
      <c r="B87" s="28" t="str">
        <v>NY</v>
      </c>
      <c r="C87" s="28" t="str">
        <f>Sites[[#This Row],[SOL'#]]</f>
        <v>SOL-10967</v>
      </c>
      <c r="D87" s="10">
        <v>838810</v>
      </c>
      <c r="E87" s="15">
        <v>0</v>
      </c>
      <c r="F87" s="15">
        <f t="shared" si="8"/>
        <v>838810</v>
      </c>
      <c r="G87" s="16" t="str">
        <f t="shared" si="9"/>
        <v/>
      </c>
      <c r="H87" s="17">
        <v>610643</v>
      </c>
      <c r="I87" s="17">
        <f t="shared" si="10"/>
        <v>228167</v>
      </c>
      <c r="J87" s="16">
        <f t="shared" si="11"/>
        <v>0.37365039802306749</v>
      </c>
      <c r="K87" s="111" t="s">
        <v>1129</v>
      </c>
      <c r="L87" s="118" t="s">
        <v>1130</v>
      </c>
    </row>
    <row r="88" spans="1:12" ht="28.5">
      <c r="A88" s="25" t="str">
        <v>Donati</v>
      </c>
      <c r="B88" s="26" t="str">
        <v>NY</v>
      </c>
      <c r="C88" s="26" t="str">
        <f>Sites[[#This Row],[SOL'#]]</f>
        <v>SOL-10968</v>
      </c>
      <c r="D88" s="21">
        <v>277723</v>
      </c>
      <c r="E88" s="11">
        <v>0</v>
      </c>
      <c r="F88" s="11">
        <f t="shared" si="8"/>
        <v>277723</v>
      </c>
      <c r="G88" s="12" t="str">
        <f t="shared" si="9"/>
        <v/>
      </c>
      <c r="H88" s="13">
        <v>255936</v>
      </c>
      <c r="I88" s="13">
        <f t="shared" si="10"/>
        <v>21787</v>
      </c>
      <c r="J88" s="14">
        <f t="shared" si="11"/>
        <v>8.5126750437609408E-2</v>
      </c>
      <c r="K88" s="112" t="s">
        <v>1131</v>
      </c>
      <c r="L88" s="114" t="s">
        <v>1132</v>
      </c>
    </row>
    <row r="89" spans="1:12" ht="15.75">
      <c r="A89" s="27" t="str">
        <v>Henrietta</v>
      </c>
      <c r="B89" s="28" t="str">
        <v>NY</v>
      </c>
      <c r="C89" s="28" t="str">
        <f>Sites[[#This Row],[SOL'#]]</f>
        <v>SOL-10972</v>
      </c>
      <c r="D89" s="10">
        <v>606277</v>
      </c>
      <c r="E89" s="15">
        <v>0</v>
      </c>
      <c r="F89" s="15">
        <f t="shared" si="8"/>
        <v>606277</v>
      </c>
      <c r="G89" s="16" t="str">
        <f t="shared" si="9"/>
        <v/>
      </c>
      <c r="H89" s="17">
        <v>503923</v>
      </c>
      <c r="I89" s="17">
        <f t="shared" si="10"/>
        <v>102354</v>
      </c>
      <c r="J89" s="16">
        <f t="shared" si="11"/>
        <v>0.20311436469460611</v>
      </c>
      <c r="K89" s="111"/>
      <c r="L89" s="126"/>
    </row>
    <row r="90" spans="1:12" ht="15.75">
      <c r="A90" s="25" t="str">
        <v>NY 70</v>
      </c>
      <c r="B90" s="26" t="str">
        <v>NY</v>
      </c>
      <c r="C90" s="26" t="str">
        <f>Sites[[#This Row],[SOL'#]]</f>
        <v>SOL-10970</v>
      </c>
      <c r="D90" s="21">
        <v>749170</v>
      </c>
      <c r="E90" s="11">
        <v>0</v>
      </c>
      <c r="F90" s="11">
        <f t="shared" si="8"/>
        <v>749170</v>
      </c>
      <c r="G90" s="12" t="str">
        <f t="shared" si="9"/>
        <v/>
      </c>
      <c r="H90" s="13">
        <v>615608</v>
      </c>
      <c r="I90" s="13">
        <f t="shared" si="10"/>
        <v>133562</v>
      </c>
      <c r="J90" s="14">
        <f t="shared" si="11"/>
        <v>0.21695949370378553</v>
      </c>
      <c r="K90" s="112"/>
      <c r="L90" s="114"/>
    </row>
    <row r="91" spans="1:12" ht="228">
      <c r="A91" s="27" t="str">
        <v>Reid</v>
      </c>
      <c r="B91" s="28" t="str">
        <v>NY</v>
      </c>
      <c r="C91" s="28" t="str">
        <f>Sites[[#This Row],[SOL'#]]</f>
        <v>SOL-10991</v>
      </c>
      <c r="D91" s="10">
        <v>641136.917615682</v>
      </c>
      <c r="E91" s="15">
        <v>640208.9</v>
      </c>
      <c r="F91" s="15">
        <f t="shared" si="8"/>
        <v>928.01761568197981</v>
      </c>
      <c r="G91" s="16">
        <f t="shared" si="9"/>
        <v>1.4495543808934548E-3</v>
      </c>
      <c r="H91" s="17">
        <v>540119</v>
      </c>
      <c r="I91" s="17">
        <f t="shared" si="10"/>
        <v>101017.917615682</v>
      </c>
      <c r="J91" s="16">
        <f t="shared" si="11"/>
        <v>0.18702900215634333</v>
      </c>
      <c r="K91" s="111" t="s">
        <v>1133</v>
      </c>
      <c r="L91" s="118" t="s">
        <v>1134</v>
      </c>
    </row>
    <row r="92" spans="1:12" ht="28.5">
      <c r="A92" s="25" t="str">
        <v>Sangolqui</v>
      </c>
      <c r="B92" s="26" t="str">
        <v>NY</v>
      </c>
      <c r="C92" s="26" t="str">
        <f>Sites[[#This Row],[SOL'#]]</f>
        <v>SOL-10975</v>
      </c>
      <c r="D92" s="21">
        <v>304619</v>
      </c>
      <c r="E92" s="11">
        <v>0</v>
      </c>
      <c r="F92" s="11">
        <f t="shared" si="8"/>
        <v>304619</v>
      </c>
      <c r="G92" s="12" t="str">
        <f t="shared" si="9"/>
        <v/>
      </c>
      <c r="H92" s="13">
        <v>246904</v>
      </c>
      <c r="I92" s="13">
        <f t="shared" si="10"/>
        <v>57715</v>
      </c>
      <c r="J92" s="14">
        <f t="shared" si="11"/>
        <v>0.23375481968700385</v>
      </c>
      <c r="K92" s="112" t="s">
        <v>1135</v>
      </c>
      <c r="L92" s="114" t="s">
        <v>1136</v>
      </c>
    </row>
    <row r="93" spans="1:12" ht="93" customHeight="1">
      <c r="A93" s="27" t="str">
        <v>State Highway 17B</v>
      </c>
      <c r="B93" s="28" t="str">
        <v>NY</v>
      </c>
      <c r="C93" s="28" t="str">
        <f>Sites[[#This Row],[SOL'#]]</f>
        <v>SOL-10988</v>
      </c>
      <c r="D93" s="10">
        <v>774030</v>
      </c>
      <c r="E93" s="15">
        <v>0</v>
      </c>
      <c r="F93" s="15">
        <f t="shared" si="8"/>
        <v>774030</v>
      </c>
      <c r="G93" s="16" t="str">
        <f t="shared" si="9"/>
        <v/>
      </c>
      <c r="H93" s="17">
        <v>628187</v>
      </c>
      <c r="I93" s="17">
        <f t="shared" si="10"/>
        <v>145843</v>
      </c>
      <c r="J93" s="16">
        <f t="shared" si="11"/>
        <v>0.23216494451492947</v>
      </c>
      <c r="K93" s="111" t="s">
        <v>1137</v>
      </c>
      <c r="L93" s="126" t="s">
        <v>1138</v>
      </c>
    </row>
    <row r="94" spans="1:12" ht="15.75">
      <c r="A94" s="25" t="str">
        <v>State Route 14A</v>
      </c>
      <c r="B94" s="26" t="str">
        <v>NY</v>
      </c>
      <c r="C94" s="26" t="str">
        <f>Sites[[#This Row],[SOL'#]]</f>
        <v>SOL-10997</v>
      </c>
      <c r="D94" s="21">
        <v>802678</v>
      </c>
      <c r="E94" s="11">
        <v>0</v>
      </c>
      <c r="F94" s="11">
        <f t="shared" si="8"/>
        <v>802678</v>
      </c>
      <c r="G94" s="12" t="str">
        <f t="shared" si="9"/>
        <v/>
      </c>
      <c r="H94" s="13">
        <v>623551</v>
      </c>
      <c r="I94" s="13">
        <f t="shared" si="10"/>
        <v>179127</v>
      </c>
      <c r="J94" s="14">
        <f t="shared" si="11"/>
        <v>0.28726920492469743</v>
      </c>
      <c r="K94" s="113"/>
      <c r="L94" s="114"/>
    </row>
    <row r="95" spans="1:12" ht="28.5">
      <c r="A95" s="27" t="str">
        <v>West Creek</v>
      </c>
      <c r="B95" s="28" t="str">
        <v>NY</v>
      </c>
      <c r="C95" s="28" t="str">
        <f>Sites[[#This Row],[SOL'#]]</f>
        <v>SOL-10995</v>
      </c>
      <c r="D95" s="10">
        <v>804450</v>
      </c>
      <c r="E95" s="15">
        <v>0</v>
      </c>
      <c r="F95" s="15">
        <f t="shared" si="8"/>
        <v>804450</v>
      </c>
      <c r="G95" s="16" t="str">
        <f t="shared" si="9"/>
        <v/>
      </c>
      <c r="H95" s="17">
        <v>590698</v>
      </c>
      <c r="I95" s="17">
        <f t="shared" si="10"/>
        <v>213752</v>
      </c>
      <c r="J95" s="16">
        <f t="shared" si="11"/>
        <v>0.3618634225949639</v>
      </c>
      <c r="K95" s="111" t="s">
        <v>1139</v>
      </c>
      <c r="L95" s="118" t="s">
        <v>1140</v>
      </c>
    </row>
    <row r="96" spans="1:12" ht="28.5">
      <c r="A96" s="25" t="str">
        <v>Wildflower</v>
      </c>
      <c r="B96" s="26" t="str">
        <v>NY</v>
      </c>
      <c r="C96" s="26" t="str">
        <f>Sites[[#This Row],[SOL'#]]</f>
        <v>SOL-10982</v>
      </c>
      <c r="D96" s="21">
        <v>709234</v>
      </c>
      <c r="E96" s="11">
        <v>0</v>
      </c>
      <c r="F96" s="11">
        <f t="shared" si="8"/>
        <v>709234</v>
      </c>
      <c r="G96" s="12" t="str">
        <f t="shared" si="9"/>
        <v/>
      </c>
      <c r="H96" s="13">
        <v>630168</v>
      </c>
      <c r="I96" s="13">
        <f t="shared" si="10"/>
        <v>79066</v>
      </c>
      <c r="J96" s="14">
        <f t="shared" si="11"/>
        <v>0.12546812913381827</v>
      </c>
      <c r="K96" s="112" t="s">
        <v>1141</v>
      </c>
      <c r="L96" s="114" t="s">
        <v>1142</v>
      </c>
    </row>
    <row r="97" spans="1:12" ht="15.75">
      <c r="A97" s="27" t="str">
        <v>Glen Mary 1</v>
      </c>
      <c r="B97" s="28" t="str">
        <v>NY</v>
      </c>
      <c r="C97" s="28" t="str">
        <f>Sites[[#This Row],[SOL'#]]</f>
        <v>SOL-10993</v>
      </c>
      <c r="D97" s="10">
        <v>797550</v>
      </c>
      <c r="E97" s="15">
        <v>0</v>
      </c>
      <c r="F97" s="15">
        <f t="shared" si="8"/>
        <v>797550</v>
      </c>
      <c r="G97" s="16" t="str">
        <f t="shared" si="9"/>
        <v/>
      </c>
      <c r="H97" s="17">
        <v>681121</v>
      </c>
      <c r="I97" s="17">
        <f t="shared" si="10"/>
        <v>116429</v>
      </c>
      <c r="J97" s="16">
        <f t="shared" si="11"/>
        <v>0.17093732244344251</v>
      </c>
      <c r="K97" s="111" t="s">
        <v>1143</v>
      </c>
      <c r="L97" s="118" t="s">
        <v>1144</v>
      </c>
    </row>
    <row r="98" spans="1:12" ht="15.75">
      <c r="A98" s="25" t="str">
        <v>Glen Mary 2</v>
      </c>
      <c r="B98" s="26" t="str">
        <v>NY</v>
      </c>
      <c r="C98" s="26" t="str">
        <f>Sites[[#This Row],[SOL'#]]</f>
        <v>SOL-10994</v>
      </c>
      <c r="D98" s="21">
        <v>343760</v>
      </c>
      <c r="E98" s="11">
        <v>0</v>
      </c>
      <c r="F98" s="11">
        <f t="shared" si="8"/>
        <v>343760</v>
      </c>
      <c r="G98" s="12" t="str">
        <f t="shared" si="9"/>
        <v/>
      </c>
      <c r="H98" s="13">
        <v>286055</v>
      </c>
      <c r="I98" s="13">
        <f t="shared" si="10"/>
        <v>57705</v>
      </c>
      <c r="J98" s="14">
        <f t="shared" si="11"/>
        <v>0.20172694062330671</v>
      </c>
      <c r="K98" s="112" t="s">
        <v>1145</v>
      </c>
      <c r="L98" s="114" t="s">
        <v>1146</v>
      </c>
    </row>
    <row r="99" spans="1:12" ht="15.75">
      <c r="A99" s="27" t="str">
        <v>Telegraph 1</v>
      </c>
      <c r="B99" s="28" t="str">
        <v>NY</v>
      </c>
      <c r="C99" s="28" t="str">
        <f>Sites[[#This Row],[SOL'#]]</f>
        <v>SOL-11003</v>
      </c>
      <c r="D99" s="10">
        <v>601564</v>
      </c>
      <c r="E99" s="15">
        <v>0</v>
      </c>
      <c r="F99" s="15">
        <f t="shared" si="8"/>
        <v>601564</v>
      </c>
      <c r="G99" s="16" t="str">
        <f t="shared" si="9"/>
        <v/>
      </c>
      <c r="H99" s="17">
        <v>445644</v>
      </c>
      <c r="I99" s="17">
        <f t="shared" si="10"/>
        <v>155920</v>
      </c>
      <c r="J99" s="16">
        <f t="shared" si="11"/>
        <v>0.34987568552476866</v>
      </c>
      <c r="K99" s="111"/>
      <c r="L99" s="115"/>
    </row>
    <row r="100" spans="1:12" ht="15.75">
      <c r="A100" s="25" t="str">
        <v>Telegraph 2</v>
      </c>
      <c r="B100" s="26" t="str">
        <v>NY</v>
      </c>
      <c r="C100" s="26" t="str">
        <f>Sites[[#This Row],[SOL'#]]</f>
        <v>SOL-11004</v>
      </c>
      <c r="D100" s="21">
        <v>317330</v>
      </c>
      <c r="E100" s="11">
        <v>0</v>
      </c>
      <c r="F100" s="11">
        <f t="shared" si="8"/>
        <v>317330</v>
      </c>
      <c r="G100" s="12" t="str">
        <f t="shared" si="9"/>
        <v/>
      </c>
      <c r="H100" s="13">
        <v>231083</v>
      </c>
      <c r="I100" s="13">
        <f t="shared" si="10"/>
        <v>86247</v>
      </c>
      <c r="J100" s="14">
        <f t="shared" si="11"/>
        <v>0.37322953224598954</v>
      </c>
      <c r="K100" s="112"/>
      <c r="L100" s="114"/>
    </row>
    <row r="101" spans="1:12" ht="15.75">
      <c r="A101" s="27" t="str">
        <v>Cafferty Hill</v>
      </c>
      <c r="B101" s="28" t="str">
        <v>NY</v>
      </c>
      <c r="C101" s="28" t="str">
        <f>Sites[[#This Row],[SOL'#]]</f>
        <v>SOL-10996</v>
      </c>
      <c r="D101" s="10">
        <v>787500</v>
      </c>
      <c r="E101" s="15">
        <v>0</v>
      </c>
      <c r="F101" s="15">
        <f t="shared" si="8"/>
        <v>787500</v>
      </c>
      <c r="G101" s="16" t="str">
        <f t="shared" si="9"/>
        <v/>
      </c>
      <c r="H101" s="17">
        <v>611323</v>
      </c>
      <c r="I101" s="17">
        <f t="shared" si="10"/>
        <v>176177</v>
      </c>
      <c r="J101" s="16">
        <f t="shared" si="11"/>
        <v>0.28818971313037461</v>
      </c>
      <c r="K101" s="111"/>
      <c r="L101" s="126"/>
    </row>
    <row r="102" spans="1:12" ht="15.75">
      <c r="A102" s="25" t="str">
        <v>Dunkleman</v>
      </c>
      <c r="B102" s="26" t="str">
        <v>NY</v>
      </c>
      <c r="C102" s="26" t="str">
        <f>Sites[[#This Row],[SOL'#]]</f>
        <v>SOL-11008</v>
      </c>
      <c r="D102" s="21">
        <v>831350</v>
      </c>
      <c r="E102" s="11">
        <v>0</v>
      </c>
      <c r="F102" s="11">
        <f t="shared" si="8"/>
        <v>831350</v>
      </c>
      <c r="G102" s="12" t="str">
        <f t="shared" si="9"/>
        <v/>
      </c>
      <c r="H102" s="13">
        <v>685279</v>
      </c>
      <c r="I102" s="13">
        <f t="shared" si="10"/>
        <v>146071</v>
      </c>
      <c r="J102" s="14">
        <f t="shared" si="11"/>
        <v>0.2131555176796604</v>
      </c>
      <c r="K102" s="112" t="s">
        <v>1147</v>
      </c>
      <c r="L102" s="114" t="s">
        <v>1148</v>
      </c>
    </row>
    <row r="103" spans="1:12" ht="15.75">
      <c r="A103" s="27" t="str">
        <v>Route 19 1</v>
      </c>
      <c r="B103" s="28" t="str">
        <v>NY</v>
      </c>
      <c r="C103" s="28" t="str">
        <f>Sites[[#This Row],[SOL'#]]</f>
        <v>SOL-11001</v>
      </c>
      <c r="D103" s="10">
        <v>342350</v>
      </c>
      <c r="E103" s="15">
        <v>0</v>
      </c>
      <c r="F103" s="15">
        <f t="shared" si="8"/>
        <v>342350</v>
      </c>
      <c r="G103" s="16" t="str">
        <f t="shared" si="9"/>
        <v/>
      </c>
      <c r="H103" s="17">
        <v>250569</v>
      </c>
      <c r="I103" s="17">
        <f t="shared" si="10"/>
        <v>91781</v>
      </c>
      <c r="J103" s="16">
        <f t="shared" si="11"/>
        <v>0.36629032322434141</v>
      </c>
      <c r="K103" s="111"/>
      <c r="L103" s="115"/>
    </row>
    <row r="104" spans="1:12" ht="105" customHeight="1">
      <c r="A104" s="25" t="str">
        <v>Route 19 2</v>
      </c>
      <c r="B104" s="26" t="str">
        <v>NY</v>
      </c>
      <c r="C104" s="26" t="str">
        <f>Sites[[#This Row],[SOL'#]]</f>
        <v>SOL-11002</v>
      </c>
      <c r="D104" s="21">
        <v>231490</v>
      </c>
      <c r="E104" s="11">
        <v>0</v>
      </c>
      <c r="F104" s="11">
        <f t="shared" si="8"/>
        <v>231490</v>
      </c>
      <c r="G104" s="12" t="str">
        <f t="shared" si="9"/>
        <v/>
      </c>
      <c r="H104" s="13">
        <v>633929</v>
      </c>
      <c r="I104" s="13">
        <f t="shared" si="10"/>
        <v>-402439</v>
      </c>
      <c r="J104" s="14">
        <f t="shared" si="11"/>
        <v>-0.63483292292985494</v>
      </c>
      <c r="K104" s="112" t="s">
        <v>1149</v>
      </c>
      <c r="L104" s="114" t="s">
        <v>1150</v>
      </c>
    </row>
    <row r="105" spans="1:12" ht="15.75">
      <c r="A105" s="27" t="str">
        <v>Yellow Mills 1</v>
      </c>
      <c r="B105" s="28" t="str">
        <v>NY</v>
      </c>
      <c r="C105" s="28" t="str">
        <f>Sites[[#This Row],[SOL'#]]</f>
        <v>SOL-11006</v>
      </c>
      <c r="D105" s="10">
        <v>318177</v>
      </c>
      <c r="E105" s="15">
        <v>0</v>
      </c>
      <c r="F105" s="15">
        <f t="shared" si="8"/>
        <v>318177</v>
      </c>
      <c r="G105" s="16" t="str">
        <f t="shared" si="9"/>
        <v/>
      </c>
      <c r="H105" s="17">
        <v>229198</v>
      </c>
      <c r="I105" s="17">
        <f t="shared" si="10"/>
        <v>88979</v>
      </c>
      <c r="J105" s="16">
        <f t="shared" si="11"/>
        <v>0.38821891988586288</v>
      </c>
      <c r="K105" s="111" t="s">
        <v>1151</v>
      </c>
      <c r="L105" s="126" t="s">
        <v>1152</v>
      </c>
    </row>
    <row r="106" spans="1:12" ht="15.75">
      <c r="A106" s="25" t="str">
        <v>Yellow Mills 2</v>
      </c>
      <c r="B106" s="26" t="str">
        <v>NY</v>
      </c>
      <c r="C106" s="26" t="str">
        <f>Sites[[#This Row],[SOL'#]]</f>
        <v>SOL-11005</v>
      </c>
      <c r="D106" s="21">
        <v>318175</v>
      </c>
      <c r="E106" s="11">
        <v>0</v>
      </c>
      <c r="F106" s="11">
        <f t="shared" si="8"/>
        <v>318175</v>
      </c>
      <c r="G106" s="12" t="str">
        <f t="shared" si="9"/>
        <v/>
      </c>
      <c r="H106" s="13">
        <v>237778</v>
      </c>
      <c r="I106" s="13">
        <f t="shared" si="10"/>
        <v>80397</v>
      </c>
      <c r="J106" s="14">
        <f t="shared" si="11"/>
        <v>0.33811790830102029</v>
      </c>
      <c r="K106" s="112"/>
      <c r="L106" s="114"/>
    </row>
    <row r="107" spans="1:12" ht="15.75">
      <c r="A107" s="27" t="str">
        <v>Yellow Mills 3</v>
      </c>
      <c r="B107" s="28" t="str">
        <v>NY</v>
      </c>
      <c r="C107" s="28" t="str">
        <f>Sites[[#This Row],[SOL'#]]</f>
        <v>SOL-11007</v>
      </c>
      <c r="D107" s="10">
        <v>301932</v>
      </c>
      <c r="E107" s="15">
        <v>0</v>
      </c>
      <c r="F107" s="15">
        <f t="shared" si="8"/>
        <v>301932</v>
      </c>
      <c r="G107" s="16" t="str">
        <f t="shared" si="9"/>
        <v/>
      </c>
      <c r="H107" s="17">
        <v>226281</v>
      </c>
      <c r="I107" s="17">
        <f t="shared" si="10"/>
        <v>75651</v>
      </c>
      <c r="J107" s="16">
        <f t="shared" si="11"/>
        <v>0.33432325294655763</v>
      </c>
      <c r="K107" s="111"/>
      <c r="L107" s="115"/>
    </row>
    <row r="108" spans="1:12" ht="108.75" customHeight="1">
      <c r="A108" s="25" t="str">
        <v>Catskill</v>
      </c>
      <c r="B108" s="26" t="str">
        <v>NY</v>
      </c>
      <c r="C108" s="26" t="str">
        <f>Sites[[#This Row],[SOL'#]]</f>
        <v>SOL-11021</v>
      </c>
      <c r="D108" s="21">
        <v>626953</v>
      </c>
      <c r="E108" s="11">
        <v>0</v>
      </c>
      <c r="F108" s="11">
        <f t="shared" si="8"/>
        <v>626953</v>
      </c>
      <c r="G108" s="12" t="str">
        <f t="shared" si="9"/>
        <v/>
      </c>
      <c r="H108" s="13">
        <v>474419</v>
      </c>
      <c r="I108" s="13">
        <f t="shared" si="10"/>
        <v>152534</v>
      </c>
      <c r="J108" s="14">
        <f t="shared" si="11"/>
        <v>0.32151747716680823</v>
      </c>
      <c r="K108" s="112" t="s">
        <v>1153</v>
      </c>
      <c r="L108" s="114" t="s">
        <v>1154</v>
      </c>
    </row>
    <row r="109" spans="1:12" ht="28.5">
      <c r="A109" s="27" t="str">
        <v>Eddy Ridge</v>
      </c>
      <c r="B109" s="28" t="str">
        <v>NY</v>
      </c>
      <c r="C109" s="28" t="str">
        <f>Sites[[#This Row],[SOL'#]]</f>
        <v>SOL-11054</v>
      </c>
      <c r="D109" s="10">
        <v>0</v>
      </c>
      <c r="E109" s="15">
        <v>0</v>
      </c>
      <c r="F109" s="15">
        <f t="shared" si="8"/>
        <v>0</v>
      </c>
      <c r="G109" s="16" t="str">
        <f t="shared" si="9"/>
        <v/>
      </c>
      <c r="H109" s="17">
        <v>305000</v>
      </c>
      <c r="I109" s="17">
        <f t="shared" si="10"/>
        <v>-305000</v>
      </c>
      <c r="J109" s="16">
        <f t="shared" si="11"/>
        <v>-1</v>
      </c>
      <c r="K109" s="111" t="s">
        <v>1155</v>
      </c>
      <c r="L109" s="118" t="s">
        <v>1156</v>
      </c>
    </row>
    <row r="110" spans="1:12" ht="42.75">
      <c r="A110" s="25" t="str">
        <v>Ridgeway #1</v>
      </c>
      <c r="B110" s="26" t="str">
        <v>NY</v>
      </c>
      <c r="C110" s="26" t="str">
        <f>Sites[[#This Row],[SOL'#]]</f>
        <v>SOL-11018</v>
      </c>
      <c r="D110" s="21">
        <v>820044</v>
      </c>
      <c r="E110" s="11">
        <v>0</v>
      </c>
      <c r="F110" s="11">
        <f t="shared" si="8"/>
        <v>820044</v>
      </c>
      <c r="G110" s="12" t="str">
        <f t="shared" si="9"/>
        <v/>
      </c>
      <c r="H110" s="13">
        <v>638887</v>
      </c>
      <c r="I110" s="13">
        <f t="shared" si="10"/>
        <v>181157</v>
      </c>
      <c r="J110" s="14">
        <f t="shared" si="11"/>
        <v>0.28355092528099646</v>
      </c>
      <c r="K110" s="112" t="s">
        <v>1157</v>
      </c>
      <c r="L110" s="114" t="s">
        <v>1158</v>
      </c>
    </row>
    <row r="111" spans="1:12" ht="63.75" customHeight="1">
      <c r="A111" s="27" t="str">
        <v>Rivard 1</v>
      </c>
      <c r="B111" s="28" t="str">
        <v>NY</v>
      </c>
      <c r="C111" s="28" t="str">
        <f>Sites[[#This Row],[SOL'#]]</f>
        <v>SOL-11011</v>
      </c>
      <c r="D111" s="10">
        <v>541866</v>
      </c>
      <c r="E111" s="15">
        <v>611859.30000000005</v>
      </c>
      <c r="F111" s="15">
        <f t="shared" si="8"/>
        <v>-69993.300000000047</v>
      </c>
      <c r="G111" s="16">
        <f t="shared" si="9"/>
        <v>-0.11439443676021602</v>
      </c>
      <c r="H111" s="17">
        <v>515000</v>
      </c>
      <c r="I111" s="17">
        <f t="shared" si="10"/>
        <v>26866</v>
      </c>
      <c r="J111" s="16">
        <f t="shared" si="11"/>
        <v>5.2166990291262136E-2</v>
      </c>
      <c r="K111" s="111" t="s">
        <v>1159</v>
      </c>
      <c r="L111" s="126" t="s">
        <v>1160</v>
      </c>
    </row>
    <row r="112" spans="1:12" ht="84.75" customHeight="1">
      <c r="A112" s="25" t="str">
        <v>Rivard 2</v>
      </c>
      <c r="B112" s="26" t="str">
        <v>NY</v>
      </c>
      <c r="C112" s="26" t="str">
        <f>Sites[[#This Row],[SOL'#]]</f>
        <v>SOL-11012</v>
      </c>
      <c r="D112" s="21">
        <v>497420.12831658398</v>
      </c>
      <c r="E112" s="11">
        <v>562441.5</v>
      </c>
      <c r="F112" s="11">
        <f t="shared" si="8"/>
        <v>-65021.371683416015</v>
      </c>
      <c r="G112" s="12">
        <f t="shared" si="9"/>
        <v>-0.11560557263896071</v>
      </c>
      <c r="H112" s="13">
        <v>491000</v>
      </c>
      <c r="I112" s="13">
        <f t="shared" si="10"/>
        <v>6420.128316583985</v>
      </c>
      <c r="J112" s="14">
        <f t="shared" si="11"/>
        <v>1.3075617752716874E-2</v>
      </c>
      <c r="K112" s="112" t="s">
        <v>1161</v>
      </c>
      <c r="L112" s="114" t="s">
        <v>1162</v>
      </c>
    </row>
    <row r="113" spans="1:12" ht="15.75">
      <c r="A113" s="27" t="str">
        <v>Essex</v>
      </c>
      <c r="B113" s="28" t="str">
        <v>DC</v>
      </c>
      <c r="C113" s="28" t="str">
        <f>Sites[[#This Row],[SOL'#]]</f>
        <v>SOL-10036</v>
      </c>
      <c r="D113" s="10">
        <v>2948</v>
      </c>
      <c r="E113" s="15">
        <v>3889.1889999999999</v>
      </c>
      <c r="F113" s="15">
        <f t="shared" si="8"/>
        <v>-941.18899999999985</v>
      </c>
      <c r="G113" s="16">
        <f t="shared" si="9"/>
        <v>-0.24200135298130276</v>
      </c>
      <c r="H113" s="17">
        <v>3740</v>
      </c>
      <c r="I113" s="17">
        <f t="shared" si="10"/>
        <v>-792</v>
      </c>
      <c r="J113" s="16">
        <f t="shared" si="11"/>
        <v>-0.21176470588235294</v>
      </c>
      <c r="K113" s="111"/>
      <c r="L113" s="126"/>
    </row>
    <row r="114" spans="1:12" ht="15.75">
      <c r="A114" s="25" t="str">
        <v>Temple Sinai</v>
      </c>
      <c r="B114" s="26" t="str">
        <v>DC</v>
      </c>
      <c r="C114" s="26" t="str">
        <f>Sites[[#This Row],[SOL'#]]</f>
        <v>SOL-10028</v>
      </c>
      <c r="D114" s="21">
        <v>7881.8100000000604</v>
      </c>
      <c r="E114" s="11">
        <v>11515.52</v>
      </c>
      <c r="F114" s="11">
        <f t="shared" si="8"/>
        <v>-3633.70999999994</v>
      </c>
      <c r="G114" s="12">
        <f t="shared" si="9"/>
        <v>-0.31554892875006424</v>
      </c>
      <c r="H114" s="13">
        <v>9024</v>
      </c>
      <c r="I114" s="13">
        <f t="shared" si="10"/>
        <v>-1142.1899999999396</v>
      </c>
      <c r="J114" s="14">
        <f t="shared" si="11"/>
        <v>-0.12657247340424863</v>
      </c>
      <c r="K114" s="112" t="s">
        <v>1163</v>
      </c>
      <c r="L114" s="114" t="s">
        <v>1164</v>
      </c>
    </row>
    <row r="115" spans="1:12" ht="15.75">
      <c r="A115" s="27" t="str">
        <v>Weinberg 1</v>
      </c>
      <c r="B115" s="28" t="str">
        <v>DC</v>
      </c>
      <c r="C115" s="28" t="str">
        <f>Sites[[#This Row],[SOL'#]]</f>
        <v>SOL-10039</v>
      </c>
      <c r="D115" s="10">
        <v>1263</v>
      </c>
      <c r="E115" s="15">
        <v>1267.3409999999999</v>
      </c>
      <c r="F115" s="15">
        <f t="shared" si="8"/>
        <v>-4.3409999999998945</v>
      </c>
      <c r="G115" s="16">
        <f t="shared" si="9"/>
        <v>-3.425281751320201E-3</v>
      </c>
      <c r="H115" s="17">
        <v>1381</v>
      </c>
      <c r="I115" s="17">
        <f t="shared" si="10"/>
        <v>-118</v>
      </c>
      <c r="J115" s="16">
        <f t="shared" si="11"/>
        <v>-8.5445329471397533E-2</v>
      </c>
      <c r="K115" s="111"/>
      <c r="L115" s="115"/>
    </row>
    <row r="116" spans="1:12" ht="15.75">
      <c r="A116" s="25" t="str">
        <v>Weinberg 2</v>
      </c>
      <c r="B116" s="26" t="str">
        <v>DC</v>
      </c>
      <c r="C116" s="26" t="str">
        <f>Sites[[#This Row],[SOL'#]]</f>
        <v>SOL-10045</v>
      </c>
      <c r="D116" s="21">
        <v>1227</v>
      </c>
      <c r="E116" s="11">
        <v>1238.7919999999999</v>
      </c>
      <c r="F116" s="11">
        <f t="shared" si="8"/>
        <v>-11.791999999999916</v>
      </c>
      <c r="G116" s="12">
        <f t="shared" si="9"/>
        <v>-9.518950719733351E-3</v>
      </c>
      <c r="H116" s="13">
        <v>1447</v>
      </c>
      <c r="I116" s="13">
        <f t="shared" si="10"/>
        <v>-220</v>
      </c>
      <c r="J116" s="14">
        <f t="shared" si="11"/>
        <v>-0.15203870076019349</v>
      </c>
      <c r="K116" s="112"/>
      <c r="L116" s="114"/>
    </row>
    <row r="117" spans="1:12" ht="15.75">
      <c r="A117" s="27" t="str">
        <v>Weinberg 3</v>
      </c>
      <c r="B117" s="28" t="str">
        <v>DC</v>
      </c>
      <c r="C117" s="28" t="str">
        <f>Sites[[#This Row],[SOL'#]]</f>
        <v>SOL-10042</v>
      </c>
      <c r="D117" s="10">
        <v>1491</v>
      </c>
      <c r="E117" s="15">
        <v>1469.646</v>
      </c>
      <c r="F117" s="15">
        <f t="shared" si="8"/>
        <v>21.354000000000042</v>
      </c>
      <c r="G117" s="16">
        <f t="shared" si="9"/>
        <v>1.4530029680616993E-2</v>
      </c>
      <c r="H117" s="17">
        <v>1447</v>
      </c>
      <c r="I117" s="17">
        <f t="shared" si="10"/>
        <v>44</v>
      </c>
      <c r="J117" s="16">
        <f t="shared" si="11"/>
        <v>3.04077401520387E-2</v>
      </c>
      <c r="K117" s="111"/>
      <c r="L117" s="115"/>
    </row>
    <row r="118" spans="1:12" ht="15.75">
      <c r="A118" s="25" t="str">
        <v>Clayton Hall</v>
      </c>
      <c r="B118" s="26" t="str">
        <v>DE</v>
      </c>
      <c r="C118" s="26" t="str">
        <f>Sites[[#This Row],[SOL'#]]</f>
        <v>SOL-10820</v>
      </c>
      <c r="D118" s="21">
        <v>16197</v>
      </c>
      <c r="E118" s="11">
        <v>17375</v>
      </c>
      <c r="F118" s="11">
        <f t="shared" si="8"/>
        <v>-1178</v>
      </c>
      <c r="G118" s="12">
        <f t="shared" si="9"/>
        <v>-6.7798561151079142E-2</v>
      </c>
      <c r="H118" s="13">
        <v>12446</v>
      </c>
      <c r="I118" s="13">
        <f t="shared" si="10"/>
        <v>3751</v>
      </c>
      <c r="J118" s="14">
        <f t="shared" si="11"/>
        <v>0.30138197011087897</v>
      </c>
      <c r="K118" s="112"/>
      <c r="L118" s="114"/>
    </row>
    <row r="119" spans="1:12" ht="28.5">
      <c r="A119" s="27" t="str">
        <v>Field House</v>
      </c>
      <c r="B119" s="28" t="str">
        <v>DE</v>
      </c>
      <c r="C119" s="28" t="str">
        <f>Sites[[#This Row],[SOL'#]]</f>
        <v>SOL-10821</v>
      </c>
      <c r="D119" s="10">
        <v>25667</v>
      </c>
      <c r="E119" s="15">
        <v>0</v>
      </c>
      <c r="F119" s="15">
        <f t="shared" si="8"/>
        <v>25667</v>
      </c>
      <c r="G119" s="16" t="str">
        <f t="shared" si="9"/>
        <v/>
      </c>
      <c r="H119" s="17">
        <v>36961</v>
      </c>
      <c r="I119" s="17">
        <f t="shared" si="10"/>
        <v>-11294</v>
      </c>
      <c r="J119" s="16">
        <f t="shared" si="11"/>
        <v>-0.30556532561348448</v>
      </c>
      <c r="K119" s="111" t="s">
        <v>1165</v>
      </c>
      <c r="L119" s="126" t="s">
        <v>1166</v>
      </c>
    </row>
    <row r="120" spans="1:12" ht="15.75">
      <c r="A120" s="25" t="str">
        <v>Wyoming Road</v>
      </c>
      <c r="B120" s="26" t="str">
        <v>DE</v>
      </c>
      <c r="C120" s="26" t="str">
        <f>Sites[[#This Row],[SOL'#]]</f>
        <v>SOL-10819</v>
      </c>
      <c r="D120" s="21">
        <v>0</v>
      </c>
      <c r="E120" s="11">
        <v>0</v>
      </c>
      <c r="F120" s="11">
        <f t="shared" si="8"/>
        <v>0</v>
      </c>
      <c r="G120" s="12" t="str">
        <f t="shared" si="9"/>
        <v/>
      </c>
      <c r="H120" s="13">
        <v>23840</v>
      </c>
      <c r="I120" s="13">
        <f t="shared" si="10"/>
        <v>-23840</v>
      </c>
      <c r="J120" s="14">
        <f t="shared" si="11"/>
        <v>-1</v>
      </c>
      <c r="K120" s="112" t="s">
        <v>1167</v>
      </c>
      <c r="L120" s="114" t="s">
        <v>781</v>
      </c>
    </row>
    <row r="121" spans="1:12" ht="42.75">
      <c r="A121" s="27" t="str">
        <v>Leoku</v>
      </c>
      <c r="B121" s="28" t="str">
        <v>HI</v>
      </c>
      <c r="C121" s="28" t="str">
        <f>Sites[[#This Row],[SOL'#]]</f>
        <v>SOL-10071</v>
      </c>
      <c r="D121" s="10">
        <v>6258</v>
      </c>
      <c r="E121" s="15">
        <v>10120.870000000001</v>
      </c>
      <c r="F121" s="15">
        <f t="shared" si="8"/>
        <v>-3862.8700000000008</v>
      </c>
      <c r="G121" s="16">
        <f t="shared" si="9"/>
        <v>-0.38167370986881566</v>
      </c>
      <c r="H121" s="17">
        <v>12218</v>
      </c>
      <c r="I121" s="17">
        <f t="shared" si="10"/>
        <v>-5960</v>
      </c>
      <c r="J121" s="16">
        <f t="shared" si="11"/>
        <v>-0.48780487804878048</v>
      </c>
      <c r="K121" s="111" t="s">
        <v>1168</v>
      </c>
      <c r="L121" s="126" t="s">
        <v>1169</v>
      </c>
    </row>
    <row r="122" spans="1:12" ht="15.75">
      <c r="A122" s="25" t="str">
        <v>Waipahu</v>
      </c>
      <c r="B122" s="26" t="str">
        <v>HI</v>
      </c>
      <c r="C122" s="26" t="str">
        <f>Sites[[#This Row],[SOL'#]]</f>
        <v>SOL-10068</v>
      </c>
      <c r="D122" s="21">
        <v>12144</v>
      </c>
      <c r="E122" s="11">
        <v>9840.1790000000001</v>
      </c>
      <c r="F122" s="11">
        <f t="shared" si="8"/>
        <v>2303.8209999999999</v>
      </c>
      <c r="G122" s="12">
        <f t="shared" si="9"/>
        <v>0.23412389144547063</v>
      </c>
      <c r="H122" s="13">
        <v>12218</v>
      </c>
      <c r="I122" s="13">
        <f t="shared" si="10"/>
        <v>-74</v>
      </c>
      <c r="J122" s="14">
        <f t="shared" si="11"/>
        <v>-6.0566377475855292E-3</v>
      </c>
      <c r="K122" s="112"/>
      <c r="L122" s="114"/>
    </row>
    <row r="123" spans="1:12" ht="15.75">
      <c r="A123" s="27" t="str">
        <v>Bird in Hand</v>
      </c>
      <c r="B123" s="28" t="str">
        <v>MD</v>
      </c>
      <c r="C123" s="28" t="str">
        <f>Sites[[#This Row],[SOL'#]]</f>
        <v>SOL-10092</v>
      </c>
      <c r="D123" s="10">
        <v>181193</v>
      </c>
      <c r="E123" s="15">
        <v>187735.3</v>
      </c>
      <c r="F123" s="15">
        <f t="shared" si="8"/>
        <v>-6542.2999999999884</v>
      </c>
      <c r="G123" s="16">
        <f t="shared" si="9"/>
        <v>-3.4848534079632273E-2</v>
      </c>
      <c r="H123" s="17">
        <v>133801</v>
      </c>
      <c r="I123" s="17">
        <f t="shared" si="10"/>
        <v>47392</v>
      </c>
      <c r="J123" s="16">
        <f t="shared" si="11"/>
        <v>0.35419765173653411</v>
      </c>
      <c r="K123" s="111"/>
      <c r="L123" s="115"/>
    </row>
    <row r="124" spans="1:12" ht="15.75">
      <c r="A124" s="25" t="str">
        <v>Shortal</v>
      </c>
      <c r="B124" s="26" t="str">
        <v>MD</v>
      </c>
      <c r="C124" s="26" t="str">
        <f>Sites[[#This Row],[SOL'#]]</f>
        <v>SOL-10091</v>
      </c>
      <c r="D124" s="21">
        <v>190607</v>
      </c>
      <c r="E124" s="11">
        <v>85409.62</v>
      </c>
      <c r="F124" s="11">
        <f t="shared" si="8"/>
        <v>105197.38</v>
      </c>
      <c r="G124" s="12">
        <f t="shared" si="9"/>
        <v>1.2316806935799505</v>
      </c>
      <c r="H124" s="13">
        <v>128337</v>
      </c>
      <c r="I124" s="13">
        <f t="shared" si="10"/>
        <v>62270</v>
      </c>
      <c r="J124" s="14">
        <f t="shared" si="11"/>
        <v>0.48520691616603162</v>
      </c>
      <c r="K124" s="112" t="s">
        <v>1170</v>
      </c>
      <c r="L124" s="114" t="s">
        <v>1171</v>
      </c>
    </row>
    <row r="125" spans="1:12" ht="57">
      <c r="A125" s="27" t="str">
        <v>Aguadilla</v>
      </c>
      <c r="B125" s="28" t="str">
        <v>PR</v>
      </c>
      <c r="C125" s="28" t="str">
        <f>Sites[[#This Row],[SOL'#]]</f>
        <v>SOL-10072</v>
      </c>
      <c r="D125" s="10">
        <v>17297</v>
      </c>
      <c r="E125" s="15">
        <v>15690.3</v>
      </c>
      <c r="F125" s="15">
        <f t="shared" si="8"/>
        <v>1606.7000000000007</v>
      </c>
      <c r="G125" s="16">
        <f t="shared" si="9"/>
        <v>0.10240084638279706</v>
      </c>
      <c r="H125" s="17">
        <v>17722</v>
      </c>
      <c r="I125" s="17">
        <f t="shared" si="10"/>
        <v>-425</v>
      </c>
      <c r="J125" s="16">
        <f t="shared" si="11"/>
        <v>-2.3981491930933303E-2</v>
      </c>
      <c r="K125" s="111" t="s">
        <v>1172</v>
      </c>
      <c r="L125" s="126" t="s">
        <v>1173</v>
      </c>
    </row>
    <row r="126" spans="1:12" ht="61.5" customHeight="1">
      <c r="A126" s="25" t="str">
        <v>Bayamon</v>
      </c>
      <c r="B126" s="26" t="str">
        <v>PR</v>
      </c>
      <c r="C126" s="26" t="str">
        <f>Sites[[#This Row],[SOL'#]]</f>
        <v>SOL-10073</v>
      </c>
      <c r="D126" s="21">
        <v>67855</v>
      </c>
      <c r="E126" s="11">
        <v>68476.160000000003</v>
      </c>
      <c r="F126" s="11">
        <f t="shared" si="8"/>
        <v>-621.16000000000349</v>
      </c>
      <c r="G126" s="12">
        <f t="shared" si="9"/>
        <v>-9.0711862347421859E-3</v>
      </c>
      <c r="H126" s="13">
        <v>73054</v>
      </c>
      <c r="I126" s="13">
        <f t="shared" si="10"/>
        <v>-5199</v>
      </c>
      <c r="J126" s="14">
        <f t="shared" si="11"/>
        <v>-7.1166534344457522E-2</v>
      </c>
      <c r="K126" s="112" t="s">
        <v>1174</v>
      </c>
      <c r="L126" s="114" t="s">
        <v>1175</v>
      </c>
    </row>
    <row r="127" spans="1:12" ht="276" customHeight="1">
      <c r="A127" s="27" t="str">
        <v>St Francis</v>
      </c>
      <c r="B127" s="28" t="str">
        <v>PR</v>
      </c>
      <c r="C127" s="28" t="str">
        <f>Sites[[#This Row],[SOL'#]]</f>
        <v>SOL-10034</v>
      </c>
      <c r="D127" s="10">
        <v>25015</v>
      </c>
      <c r="E127" s="15">
        <v>40233.839999999997</v>
      </c>
      <c r="F127" s="15">
        <f t="shared" si="8"/>
        <v>-15218.839999999997</v>
      </c>
      <c r="G127" s="16">
        <f t="shared" si="9"/>
        <v>-0.37825969382987051</v>
      </c>
      <c r="H127" s="17">
        <v>36969</v>
      </c>
      <c r="I127" s="17">
        <f t="shared" si="10"/>
        <v>-11954</v>
      </c>
      <c r="J127" s="16">
        <f t="shared" si="11"/>
        <v>-0.32335199761962724</v>
      </c>
      <c r="K127" s="111" t="s">
        <v>1176</v>
      </c>
      <c r="L127" s="126" t="s">
        <v>1177</v>
      </c>
    </row>
    <row r="128" spans="1:12" ht="28.5">
      <c r="A128" s="25" t="str">
        <v>Seaport</v>
      </c>
      <c r="B128" s="26" t="str">
        <v>MA</v>
      </c>
      <c r="C128" s="26" t="str">
        <f>Sites[[#This Row],[SOL'#]]</f>
        <v>SOL-10772</v>
      </c>
      <c r="D128" s="21">
        <v>47932.5</v>
      </c>
      <c r="E128" s="11">
        <v>41252.58</v>
      </c>
      <c r="F128" s="11">
        <f t="shared" si="8"/>
        <v>6679.9199999999983</v>
      </c>
      <c r="G128" s="12">
        <f t="shared" si="9"/>
        <v>0.161927326727201</v>
      </c>
      <c r="H128" s="13">
        <v>49040</v>
      </c>
      <c r="I128" s="13">
        <f t="shared" si="10"/>
        <v>-1107.5</v>
      </c>
      <c r="J128" s="14">
        <f t="shared" si="11"/>
        <v>-2.2583605220228384E-2</v>
      </c>
      <c r="K128" s="112" t="s">
        <v>1178</v>
      </c>
      <c r="L128" s="114" t="s">
        <v>1179</v>
      </c>
    </row>
    <row r="129" spans="1:12" ht="15.75">
      <c r="A129" s="27" t="str">
        <v>Sprague St</v>
      </c>
      <c r="B129" s="28" t="str">
        <v>MA</v>
      </c>
      <c r="C129" s="28" t="str">
        <f>Sites[[#This Row],[SOL'#]]</f>
        <v>SOL-10773</v>
      </c>
      <c r="D129" s="10">
        <v>113067</v>
      </c>
      <c r="E129" s="15">
        <v>108736.1</v>
      </c>
      <c r="F129" s="15">
        <f t="shared" si="8"/>
        <v>4330.8999999999942</v>
      </c>
      <c r="G129" s="16">
        <f t="shared" si="9"/>
        <v>3.9829458661842697E-2</v>
      </c>
      <c r="H129" s="17">
        <v>110309</v>
      </c>
      <c r="I129" s="17">
        <f t="shared" si="10"/>
        <v>2758</v>
      </c>
      <c r="J129" s="16">
        <f t="shared" si="11"/>
        <v>2.5002492996944944E-2</v>
      </c>
      <c r="K129" s="111"/>
      <c r="L129" s="115"/>
    </row>
    <row r="130" spans="1:12" ht="28.5">
      <c r="A130" s="25" t="str">
        <v>Summer St</v>
      </c>
      <c r="B130" s="26" t="str">
        <v>MA</v>
      </c>
      <c r="C130" s="26" t="str">
        <f>Sites[[#This Row],[SOL'#]]</f>
        <v>SOL-10764</v>
      </c>
      <c r="D130" s="21">
        <v>230790</v>
      </c>
      <c r="E130" s="11">
        <v>231570.8</v>
      </c>
      <c r="F130" s="11">
        <f t="shared" si="8"/>
        <v>-780.79999999998836</v>
      </c>
      <c r="G130" s="12">
        <f t="shared" si="9"/>
        <v>-3.3717549881072586E-3</v>
      </c>
      <c r="H130" s="13">
        <v>233072</v>
      </c>
      <c r="I130" s="13">
        <f t="shared" si="10"/>
        <v>-2282</v>
      </c>
      <c r="J130" s="14">
        <f t="shared" si="11"/>
        <v>-9.7909658817876017E-3</v>
      </c>
      <c r="K130" s="112" t="s">
        <v>1180</v>
      </c>
      <c r="L130" s="114" t="s">
        <v>1181</v>
      </c>
    </row>
    <row r="131" spans="1:12" ht="28.5">
      <c r="A131" s="27" t="str">
        <v>Brock St Vocational</v>
      </c>
      <c r="B131" s="28" t="str">
        <v>NH</v>
      </c>
      <c r="C131" s="28" t="str">
        <f>Sites[[#This Row],[SOL'#]]</f>
        <v>SOL-10768</v>
      </c>
      <c r="D131" s="10">
        <v>9929.0015540000004</v>
      </c>
      <c r="E131" s="15">
        <v>9932.8780000000006</v>
      </c>
      <c r="F131" s="15">
        <f t="shared" si="8"/>
        <v>-3.8764460000002146</v>
      </c>
      <c r="G131" s="16">
        <f t="shared" si="9"/>
        <v>-3.9026413089944469E-4</v>
      </c>
      <c r="H131" s="17">
        <v>8577</v>
      </c>
      <c r="I131" s="17">
        <f t="shared" si="10"/>
        <v>1352.0015540000004</v>
      </c>
      <c r="J131" s="16">
        <f t="shared" si="11"/>
        <v>0.1576310544479422</v>
      </c>
      <c r="K131" s="111" t="s">
        <v>1182</v>
      </c>
      <c r="L131" s="118" t="s">
        <v>1183</v>
      </c>
    </row>
    <row r="132" spans="1:12" ht="15.75">
      <c r="A132" s="25" t="str">
        <v>McClelland ES</v>
      </c>
      <c r="B132" s="26" t="str">
        <v>NH</v>
      </c>
      <c r="C132" s="26" t="str">
        <f>Sites[[#This Row],[SOL'#]]</f>
        <v>SOL-10766</v>
      </c>
      <c r="D132" s="21">
        <v>8163.0625049999999</v>
      </c>
      <c r="E132" s="11">
        <v>9035.6659999999993</v>
      </c>
      <c r="F132" s="11">
        <f t="shared" si="8"/>
        <v>-872.60349499999938</v>
      </c>
      <c r="G132" s="12">
        <f t="shared" si="9"/>
        <v>-9.6573234889381646E-2</v>
      </c>
      <c r="H132" s="13">
        <v>6325</v>
      </c>
      <c r="I132" s="13">
        <f t="shared" si="10"/>
        <v>1838.0625049999999</v>
      </c>
      <c r="J132" s="14">
        <f t="shared" si="11"/>
        <v>0.29060276758893278</v>
      </c>
      <c r="K132" s="112"/>
      <c r="L132" s="114"/>
    </row>
    <row r="133" spans="1:12" ht="15.75">
      <c r="A133" s="27" t="str">
        <v>Portland St</v>
      </c>
      <c r="B133" s="28" t="str">
        <v>NH</v>
      </c>
      <c r="C133" s="28" t="str">
        <f>Sites[[#This Row],[SOL'#]]</f>
        <v>SOL-10771</v>
      </c>
      <c r="D133" s="10">
        <v>6287.1149999999998</v>
      </c>
      <c r="E133" s="15">
        <v>5541.7</v>
      </c>
      <c r="F133" s="15">
        <f t="shared" si="8"/>
        <v>745.41499999999996</v>
      </c>
      <c r="G133" s="16">
        <f t="shared" si="9"/>
        <v>0.13451016835988958</v>
      </c>
      <c r="H133" s="17">
        <v>5265</v>
      </c>
      <c r="I133" s="17">
        <f t="shared" si="10"/>
        <v>1022.1149999999998</v>
      </c>
      <c r="J133" s="16">
        <f t="shared" si="11"/>
        <v>0.19413390313390308</v>
      </c>
      <c r="K133" s="111"/>
      <c r="L133" s="115"/>
    </row>
    <row r="134" spans="1:12" ht="15.75">
      <c r="A134" s="25" t="str">
        <v>Portsmouth HS</v>
      </c>
      <c r="B134" s="26" t="str">
        <v>NH</v>
      </c>
      <c r="C134" s="26" t="str">
        <f>Sites[[#This Row],[SOL'#]]</f>
        <v>SOL-10769</v>
      </c>
      <c r="D134" s="21">
        <v>27825.625</v>
      </c>
      <c r="E134" s="11">
        <v>25818.5</v>
      </c>
      <c r="F134" s="11">
        <f t="shared" si="8"/>
        <v>2007.125</v>
      </c>
      <c r="G134" s="12">
        <f t="shared" si="9"/>
        <v>7.7739798981350583E-2</v>
      </c>
      <c r="H134" s="13">
        <v>20664</v>
      </c>
      <c r="I134" s="13">
        <f t="shared" si="10"/>
        <v>7161.625</v>
      </c>
      <c r="J134" s="14">
        <f t="shared" si="11"/>
        <v>0.34657496128532717</v>
      </c>
      <c r="K134" s="112"/>
      <c r="L134" s="114"/>
    </row>
    <row r="135" spans="1:12" ht="15.75">
      <c r="A135" s="27" t="str">
        <v>Portsmouth WTP</v>
      </c>
      <c r="B135" s="28" t="str">
        <v>NH</v>
      </c>
      <c r="C135" s="28" t="str">
        <f>Sites[[#This Row],[SOL'#]]</f>
        <v>SOL-10770</v>
      </c>
      <c r="D135" s="10">
        <v>27894.75</v>
      </c>
      <c r="E135" s="15">
        <v>31120.47</v>
      </c>
      <c r="F135" s="15">
        <f t="shared" si="8"/>
        <v>-3225.7200000000012</v>
      </c>
      <c r="G135" s="16">
        <f t="shared" si="9"/>
        <v>-0.10365267619672842</v>
      </c>
      <c r="H135" s="17">
        <v>24210</v>
      </c>
      <c r="I135" s="17">
        <f t="shared" si="10"/>
        <v>3684.75</v>
      </c>
      <c r="J135" s="16">
        <f t="shared" si="11"/>
        <v>0.15219950433705082</v>
      </c>
      <c r="K135" s="111"/>
      <c r="L135" s="115"/>
    </row>
    <row r="136" spans="1:12" ht="15.75">
      <c r="A136" s="25" t="str">
        <v>Rochester St</v>
      </c>
      <c r="B136" s="26" t="str">
        <v>NH</v>
      </c>
      <c r="C136" s="26" t="str">
        <f>Sites[[#This Row],[SOL'#]]</f>
        <v>SOL-10765</v>
      </c>
      <c r="D136" s="21">
        <v>25098.746429999999</v>
      </c>
      <c r="E136" s="11">
        <v>29559.88</v>
      </c>
      <c r="F136" s="11">
        <f t="shared" si="8"/>
        <v>-4461.1335700000018</v>
      </c>
      <c r="G136" s="12">
        <f t="shared" si="9"/>
        <v>-0.15091852774774464</v>
      </c>
      <c r="H136" s="13">
        <v>20314</v>
      </c>
      <c r="I136" s="13">
        <f t="shared" si="10"/>
        <v>4784.7464299999992</v>
      </c>
      <c r="J136" s="14">
        <f t="shared" si="11"/>
        <v>0.2355393536477306</v>
      </c>
      <c r="K136" s="112" t="s">
        <v>1184</v>
      </c>
      <c r="L136" s="114" t="s">
        <v>1183</v>
      </c>
    </row>
    <row r="137" spans="1:12" ht="15.75">
      <c r="A137" s="27" t="str">
        <v>Spaulding HS</v>
      </c>
      <c r="B137" s="28" t="str">
        <v>NH</v>
      </c>
      <c r="C137" s="28" t="str">
        <f>Sites[[#This Row],[SOL'#]]</f>
        <v>SOL-10767</v>
      </c>
      <c r="D137" s="10">
        <v>11894.87062</v>
      </c>
      <c r="E137" s="15">
        <v>10399.5</v>
      </c>
      <c r="F137" s="15">
        <f t="shared" si="8"/>
        <v>1495.3706199999997</v>
      </c>
      <c r="G137" s="16">
        <f t="shared" si="9"/>
        <v>0.14379254964180968</v>
      </c>
      <c r="H137" s="17">
        <v>9737</v>
      </c>
      <c r="I137" s="17">
        <f t="shared" si="10"/>
        <v>2157.8706199999997</v>
      </c>
      <c r="J137" s="16">
        <f t="shared" si="11"/>
        <v>0.22161555099106497</v>
      </c>
      <c r="K137" s="111"/>
      <c r="L137" s="115"/>
    </row>
    <row r="138" spans="1:12" ht="28.5">
      <c r="A138" s="25" t="str">
        <v>Ridgeway #2</v>
      </c>
      <c r="B138" s="26" t="str">
        <v>NY</v>
      </c>
      <c r="C138" s="26" t="str">
        <f>Sites[[#This Row],[SOL'#]]</f>
        <v>SOL-11027</v>
      </c>
      <c r="D138" s="21">
        <v>407119</v>
      </c>
      <c r="E138" s="11">
        <v>0</v>
      </c>
      <c r="F138" s="11">
        <f t="shared" si="8"/>
        <v>407119</v>
      </c>
      <c r="G138" s="12" t="str">
        <f t="shared" si="9"/>
        <v/>
      </c>
      <c r="H138" s="13">
        <v>330964</v>
      </c>
      <c r="I138" s="13">
        <f t="shared" si="10"/>
        <v>76155</v>
      </c>
      <c r="J138" s="14">
        <f t="shared" si="11"/>
        <v>0.23010055474311406</v>
      </c>
      <c r="K138" s="112" t="s">
        <v>1185</v>
      </c>
      <c r="L138" s="117" t="s">
        <v>1186</v>
      </c>
    </row>
    <row r="139" spans="1:12" ht="15.75">
      <c r="A139" s="27" t="str">
        <v>Spencer</v>
      </c>
      <c r="B139" s="28" t="str">
        <v>NY</v>
      </c>
      <c r="C139" s="28" t="str">
        <f>Sites[[#This Row],[SOL'#]]</f>
        <v>SOL-11017</v>
      </c>
      <c r="D139" s="10">
        <v>847053</v>
      </c>
      <c r="E139" s="15">
        <v>0</v>
      </c>
      <c r="F139" s="15">
        <f t="shared" si="8"/>
        <v>847053</v>
      </c>
      <c r="G139" s="16" t="str">
        <f t="shared" si="9"/>
        <v/>
      </c>
      <c r="H139" s="17">
        <v>667000</v>
      </c>
      <c r="I139" s="17">
        <f t="shared" si="10"/>
        <v>180053</v>
      </c>
      <c r="J139" s="16">
        <f t="shared" si="11"/>
        <v>0.26994452773613192</v>
      </c>
      <c r="K139" s="111" t="s">
        <v>1187</v>
      </c>
      <c r="L139" s="115" t="s">
        <v>1188</v>
      </c>
    </row>
    <row r="140" spans="1:12" ht="15.75">
      <c r="A140" s="29" t="str">
        <v>Reisender</v>
      </c>
      <c r="B140" s="26" t="str">
        <v>NY</v>
      </c>
      <c r="C140" s="26" t="str">
        <f>Sites[[#This Row],[SOL'#]]</f>
        <v>SOL-10886</v>
      </c>
      <c r="D140" s="67">
        <v>318660</v>
      </c>
      <c r="E140" s="11">
        <v>344616.18599999999</v>
      </c>
      <c r="F140" s="11">
        <f t="shared" si="8"/>
        <v>-25956.185999999987</v>
      </c>
      <c r="G140" s="68">
        <f t="shared" si="9"/>
        <v>-7.5319114581576821E-2</v>
      </c>
      <c r="H140" s="83">
        <v>257052</v>
      </c>
      <c r="I140" s="83">
        <f t="shared" si="10"/>
        <v>61608</v>
      </c>
      <c r="J140" s="80">
        <f t="shared" si="11"/>
        <v>0.23967135054385882</v>
      </c>
      <c r="K140" s="113"/>
      <c r="L140" s="114"/>
    </row>
    <row r="141" spans="1:12" ht="15.75">
      <c r="A141" s="27" t="str">
        <v>Finney</v>
      </c>
      <c r="B141" s="28" t="str">
        <v>NY</v>
      </c>
      <c r="C141" s="28" t="str">
        <f>Sites[[#This Row],[SOL'#]]</f>
        <v>SOL-10999</v>
      </c>
      <c r="D141" s="82">
        <v>856700</v>
      </c>
      <c r="E141" s="15">
        <v>0</v>
      </c>
      <c r="F141" s="15">
        <f t="shared" si="8"/>
        <v>856700</v>
      </c>
      <c r="G141" s="84" t="str">
        <f t="shared" si="9"/>
        <v/>
      </c>
      <c r="H141" s="85">
        <v>620400</v>
      </c>
      <c r="I141" s="85">
        <f t="shared" si="10"/>
        <v>236300</v>
      </c>
      <c r="J141" s="84">
        <f t="shared" si="11"/>
        <v>0.38088330109606705</v>
      </c>
      <c r="K141" s="111"/>
      <c r="L141" s="119"/>
    </row>
    <row r="142" spans="1:12" ht="42.75">
      <c r="A142" s="25" t="str">
        <v>Davis Solar</v>
      </c>
      <c r="B142" s="26" t="str">
        <v>NY</v>
      </c>
      <c r="C142" s="26" t="str">
        <f>Sites[[#This Row],[SOL'#]]</f>
        <v>SOL-10958</v>
      </c>
      <c r="D142" s="67">
        <v>297542</v>
      </c>
      <c r="E142" s="11">
        <v>373357.1</v>
      </c>
      <c r="F142" s="11">
        <f t="shared" si="8"/>
        <v>-75815.099999999977</v>
      </c>
      <c r="G142" s="68">
        <f t="shared" si="9"/>
        <v>-0.20306323356379183</v>
      </c>
      <c r="H142" s="83">
        <v>292669</v>
      </c>
      <c r="I142" s="83">
        <f t="shared" si="10"/>
        <v>4873</v>
      </c>
      <c r="J142" s="80">
        <f t="shared" si="11"/>
        <v>1.6650208939108686E-2</v>
      </c>
      <c r="K142" s="113" t="s">
        <v>1189</v>
      </c>
      <c r="L142" s="114" t="s">
        <v>1190</v>
      </c>
    </row>
    <row r="143" spans="1:12" ht="28.5">
      <c r="A143" s="27" t="str">
        <v>Genesee</v>
      </c>
      <c r="B143" s="28" t="str">
        <v>NY</v>
      </c>
      <c r="C143" s="28" t="str">
        <f>Sites[[#This Row],[SOL'#]]</f>
        <v>SOL-10951</v>
      </c>
      <c r="D143" s="82">
        <v>513023</v>
      </c>
      <c r="E143" s="15">
        <v>0</v>
      </c>
      <c r="F143" s="15">
        <f t="shared" si="8"/>
        <v>513023</v>
      </c>
      <c r="G143" s="84" t="str">
        <f t="shared" si="9"/>
        <v/>
      </c>
      <c r="H143" s="85">
        <v>433067</v>
      </c>
      <c r="I143" s="85">
        <f t="shared" si="10"/>
        <v>79956</v>
      </c>
      <c r="J143" s="84">
        <f t="shared" si="11"/>
        <v>0.18462732094571971</v>
      </c>
      <c r="K143" s="111" t="s">
        <v>1191</v>
      </c>
      <c r="L143" s="120" t="s">
        <v>1192</v>
      </c>
    </row>
    <row r="144" spans="1:12" ht="15.75">
      <c r="A144" s="25" t="str">
        <v>Landau I</v>
      </c>
      <c r="B144" s="26" t="str">
        <v>NY</v>
      </c>
      <c r="C144" s="26" t="str">
        <f>Sites[[#This Row],[SOL'#]]</f>
        <v>SOL-10891</v>
      </c>
      <c r="D144" s="67">
        <v>314911</v>
      </c>
      <c r="E144" s="11"/>
      <c r="F144" s="11" t="str">
        <f t="shared" si="8"/>
        <v/>
      </c>
      <c r="G144" s="68" t="str">
        <f t="shared" si="9"/>
        <v/>
      </c>
      <c r="H144" s="83">
        <v>277434</v>
      </c>
      <c r="I144" s="83">
        <f t="shared" si="10"/>
        <v>37477</v>
      </c>
      <c r="J144" s="80">
        <f t="shared" si="11"/>
        <v>0.13508438042921919</v>
      </c>
      <c r="K144" s="113"/>
      <c r="L144" s="114"/>
    </row>
    <row r="145" spans="1:12" ht="71.25">
      <c r="A145" s="27" t="str">
        <v>Landau II</v>
      </c>
      <c r="B145" s="28" t="str">
        <v>NY</v>
      </c>
      <c r="C145" s="28" t="str">
        <f>Sites[[#This Row],[SOL'#]]</f>
        <v>SOL-10895</v>
      </c>
      <c r="D145" s="82">
        <v>431260</v>
      </c>
      <c r="E145" s="15">
        <v>0</v>
      </c>
      <c r="F145" s="15">
        <f t="shared" si="8"/>
        <v>431260</v>
      </c>
      <c r="G145" s="84" t="str">
        <f t="shared" si="9"/>
        <v/>
      </c>
      <c r="H145" s="85">
        <v>582136</v>
      </c>
      <c r="I145" s="85">
        <f t="shared" si="10"/>
        <v>-150876</v>
      </c>
      <c r="J145" s="84">
        <f t="shared" si="11"/>
        <v>-0.25917654980966648</v>
      </c>
      <c r="K145" s="111" t="s">
        <v>1193</v>
      </c>
      <c r="L145" s="120" t="s">
        <v>1194</v>
      </c>
    </row>
    <row r="146" spans="1:12" ht="28.5">
      <c r="A146" s="25" t="str">
        <v>New Beginnings</v>
      </c>
      <c r="B146" s="26" t="str">
        <v>NY</v>
      </c>
      <c r="C146" s="26" t="str">
        <f>Sites[[#This Row],[SOL'#]]</f>
        <v>SOL-10890</v>
      </c>
      <c r="D146" s="67">
        <v>347540</v>
      </c>
      <c r="E146" s="11">
        <v>381390.06199999998</v>
      </c>
      <c r="F146" s="11">
        <f t="shared" ref="F146:F161" si="12">IF(AND(ISNUMBER(D146),ISNUMBER(E146)), D146-E146, "")</f>
        <v>-33850.061999999976</v>
      </c>
      <c r="G146" s="68">
        <f t="shared" ref="G146:G161" si="13">IFERROR(F146/E146, "")</f>
        <v>-8.8754441640380183E-2</v>
      </c>
      <c r="H146" s="83">
        <v>280065</v>
      </c>
      <c r="I146" s="83">
        <f t="shared" ref="I146:I161" si="14">IF(AND(ISNUMBER(D146),ISNUMBER(H146)), D146-H146, "")</f>
        <v>67475</v>
      </c>
      <c r="J146" s="80">
        <f t="shared" ref="J146:J161" si="15">IFERROR(I146/H146, "")</f>
        <v>0.24092621355756699</v>
      </c>
      <c r="K146" s="113" t="s">
        <v>1195</v>
      </c>
      <c r="L146" s="114" t="s">
        <v>1196</v>
      </c>
    </row>
    <row r="147" spans="1:12" ht="15.75">
      <c r="A147" s="27" t="str">
        <v>Guilin Farm Solar</v>
      </c>
      <c r="B147" s="28" t="str">
        <v>NY</v>
      </c>
      <c r="C147" s="28" t="str">
        <f>Sites[[#This Row],[SOL'#]]</f>
        <v>SOL-10998</v>
      </c>
      <c r="D147" s="82">
        <v>701343</v>
      </c>
      <c r="E147" s="15">
        <v>746893.8</v>
      </c>
      <c r="F147" s="15">
        <f t="shared" si="12"/>
        <v>-45550.800000000047</v>
      </c>
      <c r="G147" s="84">
        <f t="shared" si="13"/>
        <v>-6.0986983691657427E-2</v>
      </c>
      <c r="H147" s="85">
        <v>563109</v>
      </c>
      <c r="I147" s="85">
        <f t="shared" si="14"/>
        <v>138234</v>
      </c>
      <c r="J147" s="84">
        <f t="shared" si="15"/>
        <v>0.24548355646952899</v>
      </c>
      <c r="K147" s="111"/>
      <c r="L147" s="119"/>
    </row>
    <row r="148" spans="1:12" ht="15.75">
      <c r="A148" s="25" t="str">
        <v>Brodhead Solar</v>
      </c>
      <c r="B148" s="26" t="str">
        <v>NY</v>
      </c>
      <c r="C148" s="26" t="str">
        <f>Sites[[#This Row],[SOL'#]]</f>
        <v>SOL-10899</v>
      </c>
      <c r="D148" s="67">
        <v>374184</v>
      </c>
      <c r="E148" s="11">
        <v>410712.35600000003</v>
      </c>
      <c r="F148" s="11">
        <f t="shared" si="12"/>
        <v>-36528.356000000029</v>
      </c>
      <c r="G148" s="68">
        <f t="shared" si="13"/>
        <v>-8.8939023787246441E-2</v>
      </c>
      <c r="H148" s="83"/>
      <c r="I148" s="83" t="str">
        <f t="shared" si="14"/>
        <v/>
      </c>
      <c r="J148" s="80" t="str">
        <f t="shared" si="15"/>
        <v/>
      </c>
      <c r="K148" s="113"/>
      <c r="L148" s="114"/>
    </row>
    <row r="149" spans="1:12" ht="128.25">
      <c r="A149" s="27" t="str">
        <v>Svenski</v>
      </c>
      <c r="B149" s="28" t="str">
        <v>NY</v>
      </c>
      <c r="C149" s="28" t="str">
        <f>Sites[[#This Row],[SOL'#]]</f>
        <v>SOL-10894</v>
      </c>
      <c r="D149" s="82">
        <v>252315</v>
      </c>
      <c r="E149" s="15">
        <v>0</v>
      </c>
      <c r="F149" s="15">
        <f t="shared" si="12"/>
        <v>252315</v>
      </c>
      <c r="G149" s="84" t="str">
        <f t="shared" si="13"/>
        <v/>
      </c>
      <c r="H149" s="85">
        <v>273485</v>
      </c>
      <c r="I149" s="85">
        <f t="shared" si="14"/>
        <v>-21170</v>
      </c>
      <c r="J149" s="84">
        <f t="shared" si="15"/>
        <v>-7.7408267363840794E-2</v>
      </c>
      <c r="K149" s="111" t="s">
        <v>1197</v>
      </c>
      <c r="L149" s="120" t="s">
        <v>1198</v>
      </c>
    </row>
    <row r="150" spans="1:12" ht="15.75">
      <c r="A150" s="25" t="str">
        <v>Bantam</v>
      </c>
      <c r="B150" s="26" t="str">
        <v>NY</v>
      </c>
      <c r="C150" s="26" t="str">
        <f>Sites[[#This Row],[SOL'#]]</f>
        <v>SOL-10986</v>
      </c>
      <c r="D150" s="67">
        <v>26670</v>
      </c>
      <c r="E150" s="11">
        <v>0</v>
      </c>
      <c r="F150" s="11">
        <f t="shared" si="12"/>
        <v>26670</v>
      </c>
      <c r="G150" s="68" t="str">
        <f t="shared" si="13"/>
        <v/>
      </c>
      <c r="H150" s="83">
        <v>593678</v>
      </c>
      <c r="I150" s="83">
        <f t="shared" si="14"/>
        <v>-567008</v>
      </c>
      <c r="J150" s="80">
        <f t="shared" si="15"/>
        <v>-0.9550766577168095</v>
      </c>
      <c r="K150" s="113"/>
      <c r="L150" s="114"/>
    </row>
    <row r="151" spans="1:12" ht="15.75">
      <c r="A151" s="27" t="str">
        <v>Bogart</v>
      </c>
      <c r="B151" s="28" t="str">
        <v>NY</v>
      </c>
      <c r="C151" s="28" t="str">
        <f>Sites[[#This Row],[SOL'#]]</f>
        <v>SOL-10887</v>
      </c>
      <c r="D151" s="82">
        <v>273590</v>
      </c>
      <c r="E151" s="15">
        <v>360477.09700000001</v>
      </c>
      <c r="F151" s="15">
        <f t="shared" si="12"/>
        <v>-86887.097000000009</v>
      </c>
      <c r="G151" s="84">
        <f t="shared" si="13"/>
        <v>-0.24103361274017363</v>
      </c>
      <c r="H151" s="85">
        <v>266966</v>
      </c>
      <c r="I151" s="85">
        <f t="shared" si="14"/>
        <v>6624</v>
      </c>
      <c r="J151" s="84">
        <f t="shared" si="15"/>
        <v>2.4812148363462013E-2</v>
      </c>
      <c r="K151" s="111" t="s">
        <v>1199</v>
      </c>
      <c r="L151" s="121" t="s">
        <v>1200</v>
      </c>
    </row>
    <row r="152" spans="1:12" ht="15.75">
      <c r="A152" s="25" t="str">
        <v>Dubois</v>
      </c>
      <c r="B152" s="26" t="str">
        <v>NY</v>
      </c>
      <c r="C152" s="26" t="str">
        <f>Sites[[#This Row],[SOL'#]]</f>
        <v>SOL-10892</v>
      </c>
      <c r="D152" s="67"/>
      <c r="E152" s="11"/>
      <c r="F152" s="11" t="str">
        <f t="shared" si="12"/>
        <v/>
      </c>
      <c r="G152" s="68" t="str">
        <f t="shared" si="13"/>
        <v/>
      </c>
      <c r="H152" s="83"/>
      <c r="I152" s="83" t="str">
        <f t="shared" si="14"/>
        <v/>
      </c>
      <c r="J152" s="80" t="str">
        <f t="shared" si="15"/>
        <v/>
      </c>
      <c r="K152" s="113" t="s">
        <v>1201</v>
      </c>
      <c r="L152" s="114" t="s">
        <v>1202</v>
      </c>
    </row>
    <row r="153" spans="1:12" ht="15.75">
      <c r="A153" s="27" t="str">
        <v>Salt Point</v>
      </c>
      <c r="B153" s="28" t="str">
        <v>NY</v>
      </c>
      <c r="C153" s="28" t="str">
        <f>Sites[[#This Row],[SOL'#]]</f>
        <v>SOL-10888</v>
      </c>
      <c r="D153" s="82">
        <v>324860</v>
      </c>
      <c r="E153" s="15">
        <v>0</v>
      </c>
      <c r="F153" s="15">
        <f t="shared" si="12"/>
        <v>324860</v>
      </c>
      <c r="G153" s="84" t="str">
        <f t="shared" si="13"/>
        <v/>
      </c>
      <c r="H153" s="85">
        <v>264980</v>
      </c>
      <c r="I153" s="85">
        <f t="shared" si="14"/>
        <v>59880</v>
      </c>
      <c r="J153" s="84">
        <f t="shared" si="15"/>
        <v>0.22597931919390143</v>
      </c>
      <c r="K153" s="126"/>
      <c r="L153" s="119"/>
    </row>
    <row r="154" spans="1:12" ht="15.75">
      <c r="A154" s="25" t="str">
        <v>Wheatland 2A</v>
      </c>
      <c r="B154" s="26" t="str">
        <v>NY</v>
      </c>
      <c r="C154" s="26" t="str">
        <f>Sites[[#This Row],[SOL'#]]</f>
        <v>SOL-10971</v>
      </c>
      <c r="D154" s="67">
        <v>634690</v>
      </c>
      <c r="E154" s="11">
        <v>0</v>
      </c>
      <c r="F154" s="11">
        <f t="shared" si="12"/>
        <v>634690</v>
      </c>
      <c r="G154" s="68" t="str">
        <f t="shared" si="13"/>
        <v/>
      </c>
      <c r="H154" s="83">
        <v>511579</v>
      </c>
      <c r="I154" s="83">
        <f t="shared" si="14"/>
        <v>123111</v>
      </c>
      <c r="J154" s="80">
        <f t="shared" si="15"/>
        <v>0.24064904931594142</v>
      </c>
      <c r="K154" s="113" t="s">
        <v>1203</v>
      </c>
      <c r="L154" s="114" t="s">
        <v>1204</v>
      </c>
    </row>
    <row r="155" spans="1:12" ht="15.75">
      <c r="A155" s="27" t="str">
        <v>Wheatland 2B</v>
      </c>
      <c r="B155" s="28" t="str">
        <v>NY</v>
      </c>
      <c r="C155" s="28" t="str">
        <f>Sites[[#This Row],[SOL'#]]</f>
        <v>SOL-10961</v>
      </c>
      <c r="D155" s="82">
        <v>650860</v>
      </c>
      <c r="E155" s="15">
        <v>0</v>
      </c>
      <c r="F155" s="15">
        <f t="shared" si="12"/>
        <v>650860</v>
      </c>
      <c r="G155" s="84" t="str">
        <f t="shared" si="13"/>
        <v/>
      </c>
      <c r="H155" s="85">
        <v>504850</v>
      </c>
      <c r="I155" s="85">
        <f t="shared" si="14"/>
        <v>146010</v>
      </c>
      <c r="J155" s="84">
        <f t="shared" si="15"/>
        <v>0.28921461820342675</v>
      </c>
      <c r="K155" s="111" t="s">
        <v>1205</v>
      </c>
      <c r="L155" s="119" t="s">
        <v>1206</v>
      </c>
    </row>
    <row r="156" spans="1:12" ht="15.75">
      <c r="A156" s="25" t="str">
        <v>Brickchurch</v>
      </c>
      <c r="B156" s="26" t="str">
        <v>NY</v>
      </c>
      <c r="C156" s="26" t="str">
        <f>Sites[[#This Row],[SOL'#]]</f>
        <v>SOL-10889</v>
      </c>
      <c r="D156" s="67">
        <v>281670</v>
      </c>
      <c r="E156" s="11">
        <v>326300.85499999998</v>
      </c>
      <c r="F156" s="11">
        <f t="shared" si="12"/>
        <v>-44630.854999999981</v>
      </c>
      <c r="G156" s="68">
        <f t="shared" si="13"/>
        <v>-0.13677823492065316</v>
      </c>
      <c r="H156" s="83">
        <v>225156</v>
      </c>
      <c r="I156" s="83">
        <f t="shared" si="14"/>
        <v>56514</v>
      </c>
      <c r="J156" s="80">
        <f t="shared" si="15"/>
        <v>0.25099930714704471</v>
      </c>
      <c r="K156" s="113"/>
      <c r="L156" s="114"/>
    </row>
    <row r="157" spans="1:12" ht="15.75">
      <c r="A157" s="27" t="str">
        <v>McCarthy Solar</v>
      </c>
      <c r="B157" s="28" t="str">
        <v>NY</v>
      </c>
      <c r="C157" s="28" t="str">
        <f>Sites[[#This Row],[SOL'#]]</f>
        <v>SOL-10992</v>
      </c>
      <c r="D157" s="82">
        <v>353010</v>
      </c>
      <c r="E157" s="15">
        <v>0</v>
      </c>
      <c r="F157" s="15">
        <f t="shared" si="12"/>
        <v>353010</v>
      </c>
      <c r="G157" s="84" t="str">
        <f t="shared" si="13"/>
        <v/>
      </c>
      <c r="H157" s="85">
        <v>277943</v>
      </c>
      <c r="I157" s="85">
        <f t="shared" si="14"/>
        <v>75067</v>
      </c>
      <c r="J157" s="84">
        <f t="shared" si="15"/>
        <v>0.27008055608524051</v>
      </c>
      <c r="K157" s="111"/>
      <c r="L157" s="119"/>
    </row>
    <row r="158" spans="1:12" ht="57">
      <c r="A158" s="25" t="str">
        <v>Costanza</v>
      </c>
      <c r="B158" s="26" t="str">
        <v>NY</v>
      </c>
      <c r="C158" s="26" t="str">
        <f>Sites[[#This Row],[SOL'#]]</f>
        <v>SOL-10907</v>
      </c>
      <c r="D158" s="67">
        <v>189710</v>
      </c>
      <c r="E158" s="11">
        <v>0</v>
      </c>
      <c r="F158" s="11">
        <f t="shared" si="12"/>
        <v>189710</v>
      </c>
      <c r="G158" s="68" t="str">
        <f t="shared" si="13"/>
        <v/>
      </c>
      <c r="H158" s="83">
        <v>265956</v>
      </c>
      <c r="I158" s="83">
        <f t="shared" si="14"/>
        <v>-76246</v>
      </c>
      <c r="J158" s="80">
        <f t="shared" si="15"/>
        <v>-0.28668651957466651</v>
      </c>
      <c r="K158" s="113" t="s">
        <v>1207</v>
      </c>
      <c r="L158" s="114" t="s">
        <v>1208</v>
      </c>
    </row>
    <row r="159" spans="1:12" ht="15.75">
      <c r="A159" s="27" t="str">
        <v>Lockenhurst Pond</v>
      </c>
      <c r="B159" s="28" t="str">
        <v>NY</v>
      </c>
      <c r="C159" s="28" t="str">
        <f>Sites[[#This Row],[SOL'#]]</f>
        <v>SOL-11000</v>
      </c>
      <c r="D159" s="82">
        <v>370436.01990049798</v>
      </c>
      <c r="E159" s="15">
        <v>392861.5</v>
      </c>
      <c r="F159" s="15">
        <f t="shared" si="12"/>
        <v>-22425.48009950202</v>
      </c>
      <c r="G159" s="84">
        <f t="shared" si="13"/>
        <v>-5.7082407157489391E-2</v>
      </c>
      <c r="H159" s="85">
        <v>287759</v>
      </c>
      <c r="I159" s="85">
        <f t="shared" si="14"/>
        <v>82677.01990049798</v>
      </c>
      <c r="J159" s="84">
        <f t="shared" si="15"/>
        <v>0.28731341122431614</v>
      </c>
      <c r="K159" s="111"/>
      <c r="L159" s="119"/>
    </row>
    <row r="160" spans="1:12" ht="15.75">
      <c r="A160" s="25" t="str">
        <v>Drinkwater</v>
      </c>
      <c r="B160" s="26" t="str">
        <v>NY</v>
      </c>
      <c r="C160" s="26" t="str">
        <f>Sites[[#This Row],[SOL'#]]</f>
        <v>SOL-10896</v>
      </c>
      <c r="D160" s="67">
        <v>352534</v>
      </c>
      <c r="E160" s="11">
        <v>0</v>
      </c>
      <c r="F160" s="11">
        <f t="shared" si="12"/>
        <v>352534</v>
      </c>
      <c r="G160" s="68" t="str">
        <f t="shared" si="13"/>
        <v/>
      </c>
      <c r="H160" s="83">
        <v>251559</v>
      </c>
      <c r="I160" s="83">
        <f t="shared" si="14"/>
        <v>100975</v>
      </c>
      <c r="J160" s="80">
        <f t="shared" si="15"/>
        <v>0.40139688900019477</v>
      </c>
      <c r="K160" s="113"/>
      <c r="L160" s="114"/>
    </row>
    <row r="161" spans="1:12" ht="54" customHeight="1">
      <c r="A161" s="27" t="str">
        <v>Altamont</v>
      </c>
      <c r="B161" s="28" t="str">
        <v>NY</v>
      </c>
      <c r="C161" s="28" t="s">
        <v>11</v>
      </c>
      <c r="D161" s="82">
        <v>695857</v>
      </c>
      <c r="E161" s="15">
        <v>755716.4</v>
      </c>
      <c r="F161" s="15">
        <f t="shared" si="12"/>
        <v>-59859.400000000023</v>
      </c>
      <c r="G161" s="84">
        <f t="shared" si="13"/>
        <v>-7.9208814311823889E-2</v>
      </c>
      <c r="H161" s="85">
        <v>423096.7</v>
      </c>
      <c r="I161" s="85">
        <f t="shared" si="14"/>
        <v>272760.3</v>
      </c>
      <c r="J161" s="84">
        <f t="shared" si="15"/>
        <v>0.64467602796240198</v>
      </c>
      <c r="K161" s="111" t="s">
        <v>1209</v>
      </c>
      <c r="L161" s="119" t="s">
        <v>1210</v>
      </c>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14" priority="11" stopIfTrue="1" operator="lessThanOrEqual">
      <formula>-0.1</formula>
    </cfRule>
    <cfRule type="expression" dxfId="13" priority="12">
      <formula>AND(ISNUMBER(G2), G2&gt;=0.1)</formula>
    </cfRule>
  </conditionalFormatting>
  <conditionalFormatting sqref="G4:G161 J4:J161">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1"/>
  <sheetViews>
    <sheetView workbookViewId="0">
      <pane xSplit="2" ySplit="3" topLeftCell="C123" activePane="bottomRight" state="frozen"/>
      <selection pane="bottomRight" activeCell="A162" sqref="A162"/>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23" t="str" cm="1">
        <f t="array" ref="A1">portfolio</f>
        <v>Generate Capital</v>
      </c>
      <c r="B1" s="123"/>
      <c r="C1" s="123"/>
      <c r="D1" s="123"/>
      <c r="E1" s="124" t="s">
        <v>1211</v>
      </c>
      <c r="F1" s="124"/>
      <c r="G1" s="124"/>
      <c r="H1" s="122" t="s">
        <v>1212</v>
      </c>
      <c r="I1" s="122"/>
      <c r="J1" s="122"/>
      <c r="K1" s="5"/>
      <c r="L1" s="5"/>
    </row>
    <row r="2" spans="1:12" ht="19.5" customHeight="1">
      <c r="A2" s="125" t="s">
        <v>2</v>
      </c>
      <c r="B2" s="125"/>
      <c r="C2" s="72"/>
      <c r="D2" s="6">
        <f>SUM(D4:D100)</f>
        <v>0</v>
      </c>
      <c r="E2" s="6">
        <f>SUM(E4:E100)</f>
        <v>0</v>
      </c>
      <c r="F2" s="6">
        <f>D2-E2</f>
        <v>0</v>
      </c>
      <c r="G2" s="7">
        <f>IFERROR(F2/E2, 0)</f>
        <v>0</v>
      </c>
      <c r="H2" s="6">
        <f>SUM(H4:H100)</f>
        <v>0</v>
      </c>
      <c r="I2" s="8">
        <f>D2-H2</f>
        <v>0</v>
      </c>
      <c r="J2" s="7">
        <f>IFERROR(I2/H2, 0)</f>
        <v>0</v>
      </c>
      <c r="K2" s="23"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c r="E4" s="11"/>
      <c r="F4" s="11" t="str">
        <f>IF(AND(ISNUMBER(D4),ISNUMBER(E4)), D4-E4, "")</f>
        <v/>
      </c>
      <c r="G4" s="12" t="str">
        <f>IFERROR(F4/E4, "")</f>
        <v/>
      </c>
      <c r="H4" s="13"/>
      <c r="I4" s="13" t="str">
        <f>IF(AND(ISNUMBER(D4),ISNUMBER(H4)), D4-H4, "")</f>
        <v/>
      </c>
      <c r="J4" s="14" t="str">
        <f>IFERROR(I4/H4, "")</f>
        <v/>
      </c>
      <c r="K4" s="38"/>
      <c r="L4" s="38"/>
    </row>
    <row r="5" spans="1:12" ht="15.75">
      <c r="A5" s="27" t="str">
        <v>Fulton</v>
      </c>
      <c r="B5" s="28" t="str">
        <v>AZ</v>
      </c>
      <c r="C5" s="28" t="str">
        <f>Sites[[#This Row],[SOL'#]]</f>
        <v>SOL-10749</v>
      </c>
      <c r="D5" s="10"/>
      <c r="E5" s="15"/>
      <c r="F5" s="15" t="str">
        <f t="shared" ref="F5:F17" si="0">IF(AND(ISNUMBER(D5),ISNUMBER(E5)), D5-E5, "")</f>
        <v/>
      </c>
      <c r="G5" s="16" t="str">
        <f>IFERROR(F5/E5, "")</f>
        <v/>
      </c>
      <c r="H5" s="17"/>
      <c r="I5" s="17" t="str">
        <f t="shared" ref="I5:I17" si="1">IF(AND(ISNUMBER(D5),ISNUMBER(H5)), D5-H5, "")</f>
        <v/>
      </c>
      <c r="J5" s="16" t="str">
        <f t="shared" ref="J5:J17" si="2">IFERROR(I5/H5, "")</f>
        <v/>
      </c>
      <c r="K5" s="39"/>
      <c r="L5" s="39"/>
    </row>
    <row r="6" spans="1:12" ht="15.75">
      <c r="A6" s="25" t="str">
        <v>JFK Elementary</v>
      </c>
      <c r="B6" s="26" t="str">
        <v>AZ</v>
      </c>
      <c r="C6" s="26" t="str">
        <f>Sites[[#This Row],[SOL'#]]</f>
        <v>SOL-10758</v>
      </c>
      <c r="D6" s="21"/>
      <c r="E6" s="11"/>
      <c r="F6" s="11" t="str">
        <f t="shared" si="0"/>
        <v/>
      </c>
      <c r="G6" s="12" t="str">
        <f t="shared" ref="G6:G17" si="3">IFERROR(F6/E6, "")</f>
        <v/>
      </c>
      <c r="H6" s="13"/>
      <c r="I6" s="13" t="str">
        <f t="shared" si="1"/>
        <v/>
      </c>
      <c r="J6" s="14" t="str">
        <f t="shared" si="2"/>
        <v/>
      </c>
      <c r="K6" s="38"/>
      <c r="L6" s="38"/>
    </row>
    <row r="7" spans="1:12" ht="15.75">
      <c r="A7" s="27" t="str">
        <v>Noble</v>
      </c>
      <c r="B7" s="28" t="str">
        <v>AZ</v>
      </c>
      <c r="C7" s="28" t="str">
        <f>Sites[[#This Row],[SOL'#]]</f>
        <v>SOL-10750</v>
      </c>
      <c r="D7" s="10"/>
      <c r="E7" s="15"/>
      <c r="F7" s="15" t="str">
        <f t="shared" si="0"/>
        <v/>
      </c>
      <c r="G7" s="16" t="str">
        <f t="shared" si="3"/>
        <v/>
      </c>
      <c r="H7" s="17"/>
      <c r="I7" s="17" t="str">
        <f t="shared" si="1"/>
        <v/>
      </c>
      <c r="J7" s="16" t="str">
        <f t="shared" si="2"/>
        <v/>
      </c>
      <c r="K7" s="39"/>
      <c r="L7" s="40"/>
    </row>
    <row r="8" spans="1:12" ht="15.75">
      <c r="A8" s="25" t="str">
        <v>Parking 3</v>
      </c>
      <c r="B8" s="26" t="str">
        <v>AZ</v>
      </c>
      <c r="C8" s="26" t="str">
        <f>Sites[[#This Row],[SOL'#]]</f>
        <v>SOL-10751</v>
      </c>
      <c r="D8" s="21"/>
      <c r="E8" s="11"/>
      <c r="F8" s="11" t="str">
        <f t="shared" si="0"/>
        <v/>
      </c>
      <c r="G8" s="12" t="str">
        <f t="shared" si="3"/>
        <v/>
      </c>
      <c r="H8" s="13"/>
      <c r="I8" s="13" t="str">
        <f t="shared" si="1"/>
        <v/>
      </c>
      <c r="J8" s="14" t="str">
        <f t="shared" si="2"/>
        <v/>
      </c>
      <c r="K8" s="38"/>
      <c r="L8" s="38"/>
    </row>
    <row r="9" spans="1:12" ht="15.75">
      <c r="A9" s="27" t="str">
        <v>PE East</v>
      </c>
      <c r="B9" s="28" t="str">
        <v>AZ</v>
      </c>
      <c r="C9" s="28" t="str">
        <f>Sites[[#This Row],[SOL'#]]</f>
        <v>SOL-10752</v>
      </c>
      <c r="D9" s="10"/>
      <c r="E9" s="15"/>
      <c r="F9" s="15" t="str">
        <f t="shared" si="0"/>
        <v/>
      </c>
      <c r="G9" s="16" t="str">
        <f t="shared" si="3"/>
        <v/>
      </c>
      <c r="H9" s="17"/>
      <c r="I9" s="17" t="str">
        <f t="shared" si="1"/>
        <v/>
      </c>
      <c r="J9" s="16" t="str">
        <f t="shared" si="2"/>
        <v/>
      </c>
      <c r="K9" s="39"/>
      <c r="L9" s="40"/>
    </row>
    <row r="10" spans="1:12" ht="15.75">
      <c r="A10" s="25" t="str">
        <v>Schwada</v>
      </c>
      <c r="B10" s="26" t="str">
        <v>AZ</v>
      </c>
      <c r="C10" s="26" t="str">
        <f>Sites[[#This Row],[SOL'#]]</f>
        <v>SOL-10753</v>
      </c>
      <c r="D10" s="21"/>
      <c r="E10" s="11"/>
      <c r="F10" s="11" t="str">
        <f t="shared" si="0"/>
        <v/>
      </c>
      <c r="G10" s="12" t="str">
        <f t="shared" si="3"/>
        <v/>
      </c>
      <c r="H10" s="13"/>
      <c r="I10" s="13" t="str">
        <f t="shared" si="1"/>
        <v/>
      </c>
      <c r="J10" s="14" t="str">
        <f t="shared" si="2"/>
        <v/>
      </c>
      <c r="K10" s="38"/>
      <c r="L10" s="38"/>
    </row>
    <row r="11" spans="1:12" ht="15.75">
      <c r="A11" s="27" t="str">
        <v>Starshine</v>
      </c>
      <c r="B11" s="28" t="str">
        <v>AZ</v>
      </c>
      <c r="C11" s="28" t="str">
        <f>Sites[[#This Row],[SOL'#]]</f>
        <v>SOL-10757</v>
      </c>
      <c r="D11" s="10"/>
      <c r="E11" s="15"/>
      <c r="F11" s="15" t="str">
        <f t="shared" si="0"/>
        <v/>
      </c>
      <c r="G11" s="16" t="str">
        <f t="shared" si="3"/>
        <v/>
      </c>
      <c r="H11" s="17"/>
      <c r="I11" s="17" t="str">
        <f t="shared" si="1"/>
        <v/>
      </c>
      <c r="J11" s="16" t="str">
        <f t="shared" si="2"/>
        <v/>
      </c>
      <c r="K11" s="39"/>
      <c r="L11" s="40"/>
    </row>
    <row r="12" spans="1:12" ht="15.75">
      <c r="A12" s="25" t="str">
        <v>Yuma Airport</v>
      </c>
      <c r="B12" s="26" t="str">
        <v>AZ</v>
      </c>
      <c r="C12" s="26" t="str">
        <f>Sites[[#This Row],[SOL'#]]</f>
        <v>SOL-10754</v>
      </c>
      <c r="D12" s="21"/>
      <c r="E12" s="11"/>
      <c r="F12" s="11" t="str">
        <f t="shared" si="0"/>
        <v/>
      </c>
      <c r="G12" s="12" t="str">
        <f t="shared" si="3"/>
        <v/>
      </c>
      <c r="H12" s="13"/>
      <c r="I12" s="13" t="str">
        <f t="shared" si="1"/>
        <v/>
      </c>
      <c r="J12" s="14" t="str">
        <f t="shared" si="2"/>
        <v/>
      </c>
      <c r="K12" s="38"/>
      <c r="L12" s="38"/>
    </row>
    <row r="13" spans="1:12" ht="15.75">
      <c r="A13" s="27" t="str">
        <v>Kinsman</v>
      </c>
      <c r="B13" s="28" t="str">
        <v>OH</v>
      </c>
      <c r="C13" s="28" t="str">
        <f>Sites[[#This Row],[SOL'#]]</f>
        <v>SOL-10762</v>
      </c>
      <c r="D13" s="10"/>
      <c r="E13" s="15"/>
      <c r="F13" s="15" t="str">
        <f t="shared" si="0"/>
        <v/>
      </c>
      <c r="G13" s="16" t="str">
        <f t="shared" si="3"/>
        <v/>
      </c>
      <c r="H13" s="17"/>
      <c r="I13" s="17" t="str">
        <f t="shared" si="1"/>
        <v/>
      </c>
      <c r="J13" s="16" t="str">
        <f t="shared" si="2"/>
        <v/>
      </c>
      <c r="K13" s="39"/>
      <c r="L13" s="40"/>
    </row>
    <row r="14" spans="1:12" ht="15.75">
      <c r="A14" s="25" t="str">
        <v>Wooster</v>
      </c>
      <c r="B14" s="26" t="str">
        <v>OH</v>
      </c>
      <c r="C14" s="26" t="str">
        <f>Sites[[#This Row],[SOL'#]]</f>
        <v>SOL-10763</v>
      </c>
      <c r="D14" s="21"/>
      <c r="E14" s="11"/>
      <c r="F14" s="11" t="str">
        <f t="shared" si="0"/>
        <v/>
      </c>
      <c r="G14" s="12" t="str">
        <f t="shared" si="3"/>
        <v/>
      </c>
      <c r="H14" s="13"/>
      <c r="I14" s="13" t="str">
        <f t="shared" si="1"/>
        <v/>
      </c>
      <c r="J14" s="14" t="str">
        <f t="shared" si="2"/>
        <v/>
      </c>
      <c r="K14" s="38"/>
      <c r="L14" s="38"/>
    </row>
    <row r="15" spans="1:12" ht="15.75">
      <c r="A15" s="27" t="str">
        <v>Globe Gila CC</v>
      </c>
      <c r="B15" s="28" t="str">
        <v>AZ</v>
      </c>
      <c r="C15" s="28" t="str">
        <f>Sites[[#This Row],[SOL'#]]</f>
        <v>SOL-10755</v>
      </c>
      <c r="D15" s="10"/>
      <c r="E15" s="15"/>
      <c r="F15" s="15" t="str">
        <f t="shared" si="0"/>
        <v/>
      </c>
      <c r="G15" s="16" t="str">
        <f t="shared" si="3"/>
        <v/>
      </c>
      <c r="H15" s="17"/>
      <c r="I15" s="17" t="str">
        <f t="shared" si="1"/>
        <v/>
      </c>
      <c r="J15" s="16" t="str">
        <f t="shared" si="2"/>
        <v/>
      </c>
      <c r="K15" s="39"/>
      <c r="L15" s="40"/>
    </row>
    <row r="16" spans="1:12" ht="15.75">
      <c r="A16" s="25" t="str">
        <v>Payson Gila CC</v>
      </c>
      <c r="B16" s="26" t="str">
        <v>AZ</v>
      </c>
      <c r="C16" s="26" t="str">
        <f>Sites[[#This Row],[SOL'#]]</f>
        <v>SOL-10756</v>
      </c>
      <c r="D16" s="21"/>
      <c r="E16" s="11"/>
      <c r="F16" s="11" t="str">
        <f t="shared" si="0"/>
        <v/>
      </c>
      <c r="G16" s="12" t="str">
        <f t="shared" si="3"/>
        <v/>
      </c>
      <c r="H16" s="13"/>
      <c r="I16" s="13" t="str">
        <f t="shared" si="1"/>
        <v/>
      </c>
      <c r="J16" s="14" t="str">
        <f t="shared" si="2"/>
        <v/>
      </c>
      <c r="K16" s="38"/>
      <c r="L16" s="38"/>
    </row>
    <row r="17" spans="1:12" ht="15.75">
      <c r="A17" s="27" t="str">
        <v>SCNM</v>
      </c>
      <c r="B17" s="28" t="str">
        <v>AZ</v>
      </c>
      <c r="C17" s="28" t="str">
        <f>Sites[[#This Row],[SOL'#]]</f>
        <v>SOL-10760</v>
      </c>
      <c r="D17" s="10"/>
      <c r="E17" s="15"/>
      <c r="F17" s="15" t="str">
        <f t="shared" si="0"/>
        <v/>
      </c>
      <c r="G17" s="16" t="str">
        <f t="shared" si="3"/>
        <v/>
      </c>
      <c r="H17" s="17"/>
      <c r="I17" s="17" t="str">
        <f t="shared" si="1"/>
        <v/>
      </c>
      <c r="J17" s="16" t="str">
        <f t="shared" si="2"/>
        <v/>
      </c>
      <c r="K17" s="39"/>
      <c r="L17" s="39"/>
    </row>
    <row r="18" spans="1:12" ht="12.75" customHeight="1">
      <c r="A18" s="25" t="str">
        <v>Sequoia Charter School</v>
      </c>
      <c r="B18" s="26" t="str">
        <v>AZ</v>
      </c>
      <c r="C18" s="26" t="str">
        <f>Sites[[#This Row],[SOL'#]]</f>
        <v>SOL-10759</v>
      </c>
      <c r="D18" s="21"/>
      <c r="E18" s="11"/>
      <c r="F18" s="11"/>
      <c r="G18" s="12"/>
      <c r="H18" s="13"/>
      <c r="I18" s="13"/>
      <c r="J18" s="14"/>
      <c r="K18" s="38"/>
      <c r="L18" s="38"/>
    </row>
    <row r="19" spans="1:12" ht="15.75">
      <c r="A19" s="27" t="str">
        <v>RCAB</v>
      </c>
      <c r="B19" s="28" t="str">
        <v>MA</v>
      </c>
      <c r="C19" s="28" t="str">
        <f>Sites[[#This Row],[SOL'#]]</f>
        <v>SOL-10838</v>
      </c>
      <c r="D19" s="10"/>
      <c r="E19" s="15"/>
      <c r="F19" s="15"/>
      <c r="G19" s="16"/>
      <c r="H19" s="17"/>
      <c r="I19" s="17"/>
      <c r="J19" s="16"/>
      <c r="K19" s="39"/>
      <c r="L19" s="40"/>
    </row>
    <row r="20" spans="1:12" ht="15.75">
      <c r="A20" s="25" t="str">
        <v>Spectro Coatings</v>
      </c>
      <c r="B20" s="26" t="str">
        <v>MA</v>
      </c>
      <c r="C20" s="26" t="str">
        <f>Sites[[#This Row],[SOL'#]]</f>
        <v>SOL-10074</v>
      </c>
      <c r="D20" s="21"/>
      <c r="E20" s="11"/>
      <c r="F20" s="11"/>
      <c r="G20" s="12"/>
      <c r="H20" s="13"/>
      <c r="I20" s="13"/>
      <c r="J20" s="14"/>
      <c r="K20" s="38"/>
      <c r="L20" s="38"/>
    </row>
    <row r="21" spans="1:12" ht="15.75">
      <c r="A21" s="27" t="str">
        <v>K026</v>
      </c>
      <c r="B21" s="28" t="str">
        <v>NY</v>
      </c>
      <c r="C21" s="28" t="str">
        <f>Sites[[#This Row],[SOL'#]]</f>
        <v>SOL-10356</v>
      </c>
      <c r="D21" s="10"/>
      <c r="E21" s="15"/>
      <c r="F21" s="15"/>
      <c r="G21" s="16"/>
      <c r="H21" s="17"/>
      <c r="I21" s="17"/>
      <c r="J21" s="16"/>
      <c r="K21" s="39"/>
      <c r="L21" s="40"/>
    </row>
    <row r="22" spans="1:12" ht="15.75">
      <c r="A22" s="25" t="str">
        <v>K041</v>
      </c>
      <c r="B22" s="26" t="str">
        <v>NY</v>
      </c>
      <c r="C22" s="26" t="str">
        <f>Sites[[#This Row],[SOL'#]]</f>
        <v>SOL-10357</v>
      </c>
      <c r="D22" s="21"/>
      <c r="E22" s="11"/>
      <c r="F22" s="11"/>
      <c r="G22" s="12"/>
      <c r="H22" s="13"/>
      <c r="I22" s="13"/>
      <c r="J22" s="14"/>
      <c r="K22" s="38"/>
      <c r="L22" s="38"/>
    </row>
    <row r="23" spans="1:12" ht="15.75">
      <c r="A23" s="27" t="str">
        <v>K043</v>
      </c>
      <c r="B23" s="28" t="str">
        <v>NY</v>
      </c>
      <c r="C23" s="28" t="str">
        <f>Sites[[#This Row],[SOL'#]]</f>
        <v>SOL-10358</v>
      </c>
      <c r="D23" s="10"/>
      <c r="E23" s="15"/>
      <c r="F23" s="15"/>
      <c r="G23" s="16"/>
      <c r="H23" s="17"/>
      <c r="I23" s="17"/>
      <c r="J23" s="16"/>
      <c r="K23" s="39"/>
      <c r="L23" s="40"/>
    </row>
    <row r="24" spans="1:12" ht="15.75">
      <c r="A24" s="25" t="str">
        <v>K058</v>
      </c>
      <c r="B24" s="26" t="str">
        <v>NY</v>
      </c>
      <c r="C24" s="26" t="str">
        <f>Sites[[#This Row],[SOL'#]]</f>
        <v>SOL-10360</v>
      </c>
      <c r="D24" s="21"/>
      <c r="E24" s="11"/>
      <c r="F24" s="11"/>
      <c r="G24" s="12"/>
      <c r="H24" s="13"/>
      <c r="I24" s="13"/>
      <c r="J24" s="14"/>
      <c r="K24" s="38"/>
      <c r="L24" s="38"/>
    </row>
    <row r="25" spans="1:12" ht="15.75">
      <c r="A25" s="27" t="str">
        <v>K115</v>
      </c>
      <c r="B25" s="28" t="str">
        <v>NY</v>
      </c>
      <c r="C25" s="28" t="str">
        <f>Sites[[#This Row],[SOL'#]]</f>
        <v>SOL-10361</v>
      </c>
      <c r="D25" s="10"/>
      <c r="E25" s="15"/>
      <c r="F25" s="15"/>
      <c r="G25" s="16"/>
      <c r="H25" s="17"/>
      <c r="I25" s="17"/>
      <c r="J25" s="16"/>
      <c r="K25" s="39"/>
      <c r="L25" s="40"/>
    </row>
    <row r="26" spans="1:12" ht="15.75">
      <c r="A26" s="25" t="str">
        <v>K152</v>
      </c>
      <c r="B26" s="26" t="str">
        <v>NY</v>
      </c>
      <c r="C26" s="26" t="str">
        <f>Sites[[#This Row],[SOL'#]]</f>
        <v>SOL-10362</v>
      </c>
      <c r="D26" s="21"/>
      <c r="E26" s="11"/>
      <c r="F26" s="11"/>
      <c r="G26" s="12"/>
      <c r="H26" s="13"/>
      <c r="I26" s="13"/>
      <c r="J26" s="14"/>
      <c r="K26" s="38"/>
      <c r="L26" s="38"/>
    </row>
    <row r="27" spans="1:12" ht="15.75">
      <c r="A27" s="27" t="str">
        <v>K166</v>
      </c>
      <c r="B27" s="28" t="str">
        <v>NY</v>
      </c>
      <c r="C27" s="28" t="str">
        <f>Sites[[#This Row],[SOL'#]]</f>
        <v>SOL-10363</v>
      </c>
      <c r="D27" s="10"/>
      <c r="E27" s="15"/>
      <c r="F27" s="15"/>
      <c r="G27" s="16"/>
      <c r="H27" s="17"/>
      <c r="I27" s="17"/>
      <c r="J27" s="16"/>
      <c r="K27" s="39"/>
      <c r="L27" s="40"/>
    </row>
    <row r="28" spans="1:12" ht="15.75">
      <c r="A28" s="25" t="str">
        <v>K206</v>
      </c>
      <c r="B28" s="26" t="str">
        <v>NY</v>
      </c>
      <c r="C28" s="26" t="str">
        <f>Sites[[#This Row],[SOL'#]]</f>
        <v>SOL-10927</v>
      </c>
      <c r="D28" s="21"/>
      <c r="E28" s="11"/>
      <c r="F28" s="11"/>
      <c r="G28" s="12"/>
      <c r="H28" s="13"/>
      <c r="I28" s="13"/>
      <c r="J28" s="14"/>
      <c r="K28" s="38"/>
      <c r="L28" s="38"/>
    </row>
    <row r="29" spans="1:12" ht="15.75">
      <c r="A29" s="27" t="str">
        <v>K251</v>
      </c>
      <c r="B29" s="28" t="str">
        <v>NY</v>
      </c>
      <c r="C29" s="28" t="str">
        <f>Sites[[#This Row],[SOL'#]]</f>
        <v>SOL-10365</v>
      </c>
      <c r="D29" s="10"/>
      <c r="E29" s="15"/>
      <c r="F29" s="15"/>
      <c r="G29" s="16"/>
      <c r="H29" s="17"/>
      <c r="I29" s="17"/>
      <c r="J29" s="16"/>
      <c r="K29" s="39"/>
      <c r="L29" s="39"/>
    </row>
    <row r="30" spans="1:12" ht="15.75">
      <c r="A30" s="25" t="str">
        <v>K269</v>
      </c>
      <c r="B30" s="26" t="str">
        <v>NY</v>
      </c>
      <c r="C30" s="26" t="str">
        <f>Sites[[#This Row],[SOL'#]]</f>
        <v>SOL-10366</v>
      </c>
      <c r="D30" s="21"/>
      <c r="E30" s="11"/>
      <c r="F30" s="11"/>
      <c r="G30" s="12"/>
      <c r="H30" s="13"/>
      <c r="I30" s="13"/>
      <c r="J30" s="14"/>
      <c r="K30" s="38"/>
      <c r="L30" s="38"/>
    </row>
    <row r="31" spans="1:12" ht="15.75">
      <c r="A31" s="27" t="str">
        <v>K273</v>
      </c>
      <c r="B31" s="28" t="str">
        <v>NY</v>
      </c>
      <c r="C31" s="28" t="str">
        <f>Sites[[#This Row],[SOL'#]]</f>
        <v>SOL-10367</v>
      </c>
      <c r="D31" s="10"/>
      <c r="E31" s="15"/>
      <c r="F31" s="15"/>
      <c r="G31" s="16"/>
      <c r="H31" s="17"/>
      <c r="I31" s="17"/>
      <c r="J31" s="16"/>
      <c r="K31" s="39"/>
      <c r="L31" s="40"/>
    </row>
    <row r="32" spans="1:12" ht="15.75">
      <c r="A32" s="25" t="str">
        <v>K287</v>
      </c>
      <c r="B32" s="26" t="str">
        <v>NY</v>
      </c>
      <c r="C32" s="26" t="str">
        <f>Sites[[#This Row],[SOL'#]]</f>
        <v>SOL-10919</v>
      </c>
      <c r="D32" s="21"/>
      <c r="E32" s="11"/>
      <c r="F32" s="11"/>
      <c r="G32" s="12"/>
      <c r="H32" s="13"/>
      <c r="I32" s="13"/>
      <c r="J32" s="14"/>
      <c r="K32" s="38"/>
      <c r="L32" s="38"/>
    </row>
    <row r="33" spans="1:12" ht="15.75">
      <c r="A33" s="27" t="str">
        <v>K298</v>
      </c>
      <c r="B33" s="28" t="str">
        <v>NY</v>
      </c>
      <c r="C33" s="28" t="str">
        <f>Sites[[#This Row],[SOL'#]]</f>
        <v>SOL-10368</v>
      </c>
      <c r="D33" s="10"/>
      <c r="E33" s="15"/>
      <c r="F33" s="15"/>
      <c r="G33" s="16"/>
      <c r="H33" s="17"/>
      <c r="I33" s="17"/>
      <c r="J33" s="16"/>
      <c r="K33" s="39"/>
      <c r="L33" s="40"/>
    </row>
    <row r="34" spans="1:12" ht="15.75">
      <c r="A34" s="25" t="str">
        <v>K335</v>
      </c>
      <c r="B34" s="26" t="str">
        <v>NY</v>
      </c>
      <c r="C34" s="26" t="str">
        <f>Sites[[#This Row],[SOL'#]]</f>
        <v>SOL-10370</v>
      </c>
      <c r="D34" s="21"/>
      <c r="E34" s="11"/>
      <c r="F34" s="11"/>
      <c r="G34" s="12"/>
      <c r="H34" s="13"/>
      <c r="I34" s="13"/>
      <c r="J34" s="14"/>
      <c r="K34" s="38"/>
      <c r="L34" s="38"/>
    </row>
    <row r="35" spans="1:12" ht="15.75">
      <c r="A35" s="27" t="str">
        <v>K345</v>
      </c>
      <c r="B35" s="28" t="str">
        <v>NY</v>
      </c>
      <c r="C35" s="28" t="str">
        <f>Sites[[#This Row],[SOL'#]]</f>
        <v>SOL-10920</v>
      </c>
      <c r="D35" s="10"/>
      <c r="E35" s="15"/>
      <c r="F35" s="15"/>
      <c r="G35" s="16"/>
      <c r="H35" s="17"/>
      <c r="I35" s="17"/>
      <c r="J35" s="16"/>
      <c r="K35" s="39"/>
      <c r="L35" s="40"/>
    </row>
    <row r="36" spans="1:12" ht="15.75">
      <c r="A36" s="25" t="str">
        <v>K445</v>
      </c>
      <c r="B36" s="26" t="str">
        <v>NY</v>
      </c>
      <c r="C36" s="26" t="str">
        <f>Sites[[#This Row],[SOL'#]]</f>
        <v>SOL-10373</v>
      </c>
      <c r="D36" s="21"/>
      <c r="E36" s="11"/>
      <c r="F36" s="11"/>
      <c r="G36" s="12"/>
      <c r="H36" s="13"/>
      <c r="I36" s="13"/>
      <c r="J36" s="14"/>
      <c r="K36" s="38"/>
      <c r="L36" s="38"/>
    </row>
    <row r="37" spans="1:12" ht="15.75">
      <c r="A37" s="27" t="str">
        <v>K495</v>
      </c>
      <c r="B37" s="28" t="str">
        <v>NY</v>
      </c>
      <c r="C37" s="28" t="str">
        <f>Sites[[#This Row],[SOL'#]]</f>
        <v>SOL-10374</v>
      </c>
      <c r="D37" s="10"/>
      <c r="E37" s="15"/>
      <c r="F37" s="15"/>
      <c r="G37" s="16"/>
      <c r="H37" s="17"/>
      <c r="I37" s="17"/>
      <c r="J37" s="16"/>
      <c r="K37" s="39"/>
      <c r="L37" s="40"/>
    </row>
    <row r="38" spans="1:12" ht="15.75">
      <c r="A38" s="25" t="str">
        <v>M020</v>
      </c>
      <c r="B38" s="26" t="str">
        <v>NY</v>
      </c>
      <c r="C38" s="26" t="str">
        <f>Sites[[#This Row],[SOL'#]]</f>
        <v>SOL-10380</v>
      </c>
      <c r="D38" s="21"/>
      <c r="E38" s="11"/>
      <c r="F38" s="11"/>
      <c r="G38" s="12"/>
      <c r="H38" s="13"/>
      <c r="I38" s="13"/>
      <c r="J38" s="14"/>
      <c r="K38" s="38"/>
      <c r="L38" s="38"/>
    </row>
    <row r="39" spans="1:12" ht="15.75">
      <c r="A39" s="27" t="str">
        <v>M092</v>
      </c>
      <c r="B39" s="28" t="str">
        <v>NY</v>
      </c>
      <c r="C39" s="28" t="str">
        <f>Sites[[#This Row],[SOL'#]]</f>
        <v>SOL-10383</v>
      </c>
      <c r="D39" s="10"/>
      <c r="E39" s="15"/>
      <c r="F39" s="15"/>
      <c r="G39" s="16"/>
      <c r="H39" s="17"/>
      <c r="I39" s="17"/>
      <c r="J39" s="16"/>
      <c r="K39" s="39"/>
      <c r="L39" s="40"/>
    </row>
    <row r="40" spans="1:12" ht="15.75">
      <c r="A40" s="25" t="str">
        <v>M143</v>
      </c>
      <c r="B40" s="26" t="str">
        <v>NY</v>
      </c>
      <c r="C40" s="26" t="str">
        <f>Sites[[#This Row],[SOL'#]]</f>
        <v>SOL-10384</v>
      </c>
      <c r="D40" s="21"/>
      <c r="E40" s="11"/>
      <c r="F40" s="11"/>
      <c r="G40" s="12"/>
      <c r="H40" s="13"/>
      <c r="I40" s="13"/>
      <c r="J40" s="14"/>
      <c r="K40" s="38"/>
      <c r="L40" s="38"/>
    </row>
    <row r="41" spans="1:12" ht="15.75">
      <c r="A41" s="27" t="str">
        <v>M144</v>
      </c>
      <c r="B41" s="28" t="str">
        <v>NY</v>
      </c>
      <c r="C41" s="28" t="str">
        <f>Sites[[#This Row],[SOL'#]]</f>
        <v>SOL-10385</v>
      </c>
      <c r="D41" s="10"/>
      <c r="E41" s="15"/>
      <c r="F41" s="15"/>
      <c r="G41" s="16"/>
      <c r="H41" s="17"/>
      <c r="I41" s="17"/>
      <c r="J41" s="16"/>
      <c r="K41" s="39"/>
      <c r="L41" s="39"/>
    </row>
    <row r="42" spans="1:12" ht="15.75">
      <c r="A42" s="25" t="str">
        <v>M167</v>
      </c>
      <c r="B42" s="26" t="str">
        <v>NY</v>
      </c>
      <c r="C42" s="26" t="str">
        <f>Sites[[#This Row],[SOL'#]]</f>
        <v>SOL-10386</v>
      </c>
      <c r="D42" s="21"/>
      <c r="E42" s="11"/>
      <c r="F42" s="11"/>
      <c r="G42" s="12"/>
      <c r="H42" s="13"/>
      <c r="I42" s="13"/>
      <c r="J42" s="14"/>
      <c r="K42" s="38"/>
      <c r="L42" s="38"/>
    </row>
    <row r="43" spans="1:12" ht="15.75">
      <c r="A43" s="27" t="str">
        <v>M188</v>
      </c>
      <c r="B43" s="28" t="str">
        <v>NY</v>
      </c>
      <c r="C43" s="28" t="str">
        <f>Sites[[#This Row],[SOL'#]]</f>
        <v>SOL-10387</v>
      </c>
      <c r="D43" s="10"/>
      <c r="E43" s="15"/>
      <c r="F43" s="15"/>
      <c r="G43" s="16"/>
      <c r="H43" s="17"/>
      <c r="I43" s="17"/>
      <c r="J43" s="16"/>
      <c r="K43" s="39"/>
      <c r="L43" s="40"/>
    </row>
    <row r="44" spans="1:12" ht="15.75">
      <c r="A44" s="25" t="str">
        <v>EMHC</v>
      </c>
      <c r="B44" s="26" t="str">
        <v>NY</v>
      </c>
      <c r="C44" s="26" t="str">
        <f>Sites[[#This Row],[SOL'#]]</f>
        <v>SOL-10351</v>
      </c>
      <c r="D44" s="21"/>
      <c r="E44" s="11"/>
      <c r="F44" s="11"/>
      <c r="G44" s="12"/>
      <c r="H44" s="13"/>
      <c r="I44" s="13"/>
      <c r="J44" s="14"/>
      <c r="K44" s="38"/>
      <c r="L44" s="38"/>
    </row>
    <row r="45" spans="1:12" ht="15.75">
      <c r="A45" s="27" t="str">
        <v>Q008</v>
      </c>
      <c r="B45" s="28" t="str">
        <v>NY</v>
      </c>
      <c r="C45" s="28" t="str">
        <f>Sites[[#This Row],[SOL'#]]</f>
        <v>SOL-10397</v>
      </c>
      <c r="D45" s="10"/>
      <c r="E45" s="15"/>
      <c r="F45" s="15"/>
      <c r="G45" s="16"/>
      <c r="H45" s="17"/>
      <c r="I45" s="17"/>
      <c r="J45" s="16"/>
      <c r="K45" s="39"/>
      <c r="L45" s="40"/>
    </row>
    <row r="46" spans="1:12" ht="15.75">
      <c r="A46" s="25" t="str">
        <v>Q018</v>
      </c>
      <c r="B46" s="26" t="str">
        <v>NY</v>
      </c>
      <c r="C46" s="26" t="str">
        <f>Sites[[#This Row],[SOL'#]]</f>
        <v>SOL-10398</v>
      </c>
      <c r="D46" s="21"/>
      <c r="E46" s="11"/>
      <c r="F46" s="11"/>
      <c r="G46" s="12"/>
      <c r="H46" s="13"/>
      <c r="I46" s="13"/>
      <c r="J46" s="14"/>
      <c r="K46" s="38"/>
      <c r="L46" s="38"/>
    </row>
    <row r="47" spans="1:12" ht="15.75">
      <c r="A47" s="27" t="str">
        <v>Q021</v>
      </c>
      <c r="B47" s="28" t="str">
        <v>NY</v>
      </c>
      <c r="C47" s="28" t="str">
        <f>Sites[[#This Row],[SOL'#]]</f>
        <v>SOL-10399</v>
      </c>
      <c r="D47" s="10"/>
      <c r="E47" s="15"/>
      <c r="F47" s="15"/>
      <c r="G47" s="16"/>
      <c r="H47" s="17"/>
      <c r="I47" s="17"/>
      <c r="J47" s="16"/>
      <c r="K47" s="39"/>
      <c r="L47" s="40"/>
    </row>
    <row r="48" spans="1:12" ht="15.75">
      <c r="A48" s="25" t="str">
        <v>Q025</v>
      </c>
      <c r="B48" s="26" t="str">
        <v>NY</v>
      </c>
      <c r="C48" s="26" t="str">
        <f>Sites[[#This Row],[SOL'#]]</f>
        <v>SOL-10400</v>
      </c>
      <c r="D48" s="21"/>
      <c r="E48" s="11"/>
      <c r="F48" s="11"/>
      <c r="G48" s="12"/>
      <c r="H48" s="13"/>
      <c r="I48" s="13"/>
      <c r="J48" s="14"/>
      <c r="K48" s="38"/>
      <c r="L48" s="38"/>
    </row>
    <row r="49" spans="1:12" ht="15.75">
      <c r="A49" s="27" t="str">
        <v>Q074</v>
      </c>
      <c r="B49" s="28" t="str">
        <v>NY</v>
      </c>
      <c r="C49" s="28" t="str">
        <f>Sites[[#This Row],[SOL'#]]</f>
        <v>SOL-10402</v>
      </c>
      <c r="D49" s="10"/>
      <c r="E49" s="15"/>
      <c r="F49" s="15"/>
      <c r="G49" s="16"/>
      <c r="H49" s="17"/>
      <c r="I49" s="17"/>
      <c r="J49" s="16"/>
      <c r="K49" s="39"/>
      <c r="L49" s="40"/>
    </row>
    <row r="50" spans="1:12" ht="15.75">
      <c r="A50" s="25" t="str">
        <v>Q115</v>
      </c>
      <c r="B50" s="26" t="str">
        <v>NY</v>
      </c>
      <c r="C50" s="26" t="str">
        <f>Sites[[#This Row],[SOL'#]]</f>
        <v>SOL-10872</v>
      </c>
      <c r="D50" s="21"/>
      <c r="E50" s="11"/>
      <c r="F50" s="11"/>
      <c r="G50" s="12"/>
      <c r="H50" s="13"/>
      <c r="I50" s="13"/>
      <c r="J50" s="14"/>
      <c r="K50" s="38"/>
      <c r="L50" s="38"/>
    </row>
    <row r="51" spans="1:12" ht="15.75">
      <c r="A51" s="27" t="str">
        <v>Q139</v>
      </c>
      <c r="B51" s="28" t="str">
        <v>NY</v>
      </c>
      <c r="C51" s="28" t="str">
        <f>Sites[[#This Row],[SOL'#]]</f>
        <v>SOL-10403</v>
      </c>
      <c r="D51" s="10"/>
      <c r="E51" s="15"/>
      <c r="F51" s="15"/>
      <c r="G51" s="16"/>
      <c r="H51" s="17"/>
      <c r="I51" s="17"/>
      <c r="J51" s="16"/>
      <c r="K51" s="39"/>
      <c r="L51" s="40"/>
    </row>
    <row r="52" spans="1:12" ht="15.75">
      <c r="A52" s="25" t="str">
        <v>Q157</v>
      </c>
      <c r="B52" s="26" t="str">
        <v>NY</v>
      </c>
      <c r="C52" s="26" t="str">
        <f>Sites[[#This Row],[SOL'#]]</f>
        <v>SOL-10404</v>
      </c>
      <c r="D52" s="21"/>
      <c r="E52" s="11"/>
      <c r="F52" s="11"/>
      <c r="G52" s="12"/>
      <c r="H52" s="13"/>
      <c r="I52" s="13"/>
      <c r="J52" s="14"/>
      <c r="K52" s="38"/>
      <c r="L52" s="38"/>
    </row>
    <row r="53" spans="1:12" ht="15.75">
      <c r="A53" s="27" t="str">
        <v>Q192</v>
      </c>
      <c r="B53" s="28" t="str">
        <v>NY</v>
      </c>
      <c r="C53" s="28" t="str">
        <f>Sites[[#This Row],[SOL'#]]</f>
        <v>SOL-10406</v>
      </c>
      <c r="D53" s="10"/>
      <c r="E53" s="15"/>
      <c r="F53" s="15"/>
      <c r="G53" s="16"/>
      <c r="H53" s="17"/>
      <c r="I53" s="17"/>
      <c r="J53" s="16"/>
      <c r="K53" s="39"/>
      <c r="L53" s="39"/>
    </row>
    <row r="54" spans="1:12" ht="15.75">
      <c r="A54" s="25" t="str">
        <v>Q210</v>
      </c>
      <c r="B54" s="26" t="str">
        <v>NY</v>
      </c>
      <c r="C54" s="26" t="str">
        <f>Sites[[#This Row],[SOL'#]]</f>
        <v>SOL-10407</v>
      </c>
      <c r="D54" s="21"/>
      <c r="E54" s="11"/>
      <c r="F54" s="11"/>
      <c r="G54" s="12"/>
      <c r="H54" s="13"/>
      <c r="I54" s="13"/>
      <c r="J54" s="14"/>
      <c r="K54" s="38"/>
      <c r="L54" s="38"/>
    </row>
    <row r="55" spans="1:12" ht="15.75">
      <c r="A55" s="27" t="str">
        <v>Q229</v>
      </c>
      <c r="B55" s="28" t="str">
        <v>NY</v>
      </c>
      <c r="C55" s="28" t="str">
        <f>Sites[[#This Row],[SOL'#]]</f>
        <v>SOL-10408</v>
      </c>
      <c r="D55" s="10"/>
      <c r="E55" s="15"/>
      <c r="F55" s="15"/>
      <c r="G55" s="16"/>
      <c r="H55" s="17"/>
      <c r="I55" s="17"/>
      <c r="J55" s="16"/>
      <c r="K55" s="39"/>
      <c r="L55" s="40"/>
    </row>
    <row r="56" spans="1:12" ht="15.75">
      <c r="A56" s="25" t="str">
        <v>Q231</v>
      </c>
      <c r="B56" s="26" t="str">
        <v>NY</v>
      </c>
      <c r="C56" s="26" t="str">
        <f>Sites[[#This Row],[SOL'#]]</f>
        <v>SOL-10870</v>
      </c>
      <c r="D56" s="21"/>
      <c r="E56" s="11"/>
      <c r="F56" s="11"/>
      <c r="G56" s="12"/>
      <c r="H56" s="13"/>
      <c r="I56" s="13"/>
      <c r="J56" s="14"/>
      <c r="K56" s="38"/>
      <c r="L56" s="38"/>
    </row>
    <row r="57" spans="1:12" ht="15.75">
      <c r="A57" s="27" t="str">
        <v>Q405</v>
      </c>
      <c r="B57" s="28" t="str">
        <v>NY</v>
      </c>
      <c r="C57" s="28" t="str">
        <f>Sites[[#This Row],[SOL'#]]</f>
        <v>SOL-10409</v>
      </c>
      <c r="D57" s="10"/>
      <c r="E57" s="15"/>
      <c r="F57" s="15"/>
      <c r="G57" s="16"/>
      <c r="H57" s="17"/>
      <c r="I57" s="17"/>
      <c r="J57" s="16"/>
      <c r="K57" s="39"/>
      <c r="L57" s="40"/>
    </row>
    <row r="58" spans="1:12" ht="15.75">
      <c r="A58" s="25" t="str">
        <v>Q435</v>
      </c>
      <c r="B58" s="26" t="str">
        <v>NY</v>
      </c>
      <c r="C58" s="26" t="str">
        <f>Sites[[#This Row],[SOL'#]]</f>
        <v>SOL-10923</v>
      </c>
      <c r="D58" s="21"/>
      <c r="E58" s="11"/>
      <c r="F58" s="11"/>
      <c r="G58" s="12"/>
      <c r="H58" s="13"/>
      <c r="I58" s="13"/>
      <c r="J58" s="14"/>
      <c r="K58" s="38"/>
      <c r="L58" s="38"/>
    </row>
    <row r="59" spans="1:12" ht="15.75">
      <c r="A59" s="27" t="str">
        <v>Q485</v>
      </c>
      <c r="B59" s="28" t="str">
        <v>NY</v>
      </c>
      <c r="C59" s="28" t="str">
        <f>Sites[[#This Row],[SOL'#]]</f>
        <v>SOL-10869</v>
      </c>
      <c r="D59" s="10"/>
      <c r="E59" s="15"/>
      <c r="F59" s="15"/>
      <c r="G59" s="16"/>
      <c r="H59" s="17"/>
      <c r="I59" s="17"/>
      <c r="J59" s="16"/>
      <c r="K59" s="39"/>
      <c r="L59" s="40"/>
    </row>
    <row r="60" spans="1:12" ht="15.75">
      <c r="A60" s="25" t="str">
        <v>Q490</v>
      </c>
      <c r="B60" s="26" t="str">
        <v>NY</v>
      </c>
      <c r="C60" s="26" t="str">
        <f>Sites[[#This Row],[SOL'#]]</f>
        <v>SOL-10411</v>
      </c>
      <c r="D60" s="21"/>
      <c r="E60" s="11"/>
      <c r="F60" s="11"/>
      <c r="G60" s="12"/>
      <c r="H60" s="13"/>
      <c r="I60" s="13"/>
      <c r="J60" s="14"/>
      <c r="K60" s="38"/>
      <c r="L60" s="38"/>
    </row>
    <row r="61" spans="1:12" ht="15.75">
      <c r="A61" s="27" t="str">
        <v>Q620</v>
      </c>
      <c r="B61" s="28" t="str">
        <v>NY</v>
      </c>
      <c r="C61" s="28" t="str">
        <f>Sites[[#This Row],[SOL'#]]</f>
        <v>SOL-10867</v>
      </c>
      <c r="D61" s="10"/>
      <c r="E61" s="15"/>
      <c r="F61" s="15"/>
      <c r="G61" s="16"/>
      <c r="H61" s="17"/>
      <c r="I61" s="17"/>
      <c r="J61" s="16"/>
      <c r="K61" s="39"/>
      <c r="L61" s="40"/>
    </row>
    <row r="62" spans="1:12" ht="15.75">
      <c r="A62" s="25" t="str">
        <v>QMOA</v>
      </c>
      <c r="B62" s="26" t="str">
        <v>NY</v>
      </c>
      <c r="C62" s="26" t="str">
        <f>Sites[[#This Row],[SOL'#]]</f>
        <v>SOL-10415</v>
      </c>
      <c r="D62" s="21"/>
      <c r="E62" s="11"/>
      <c r="F62" s="11"/>
      <c r="G62" s="12"/>
      <c r="H62" s="13"/>
      <c r="I62" s="13"/>
      <c r="J62" s="14"/>
      <c r="K62" s="38"/>
      <c r="L62" s="38"/>
    </row>
    <row r="63" spans="1:12" ht="15.75">
      <c r="A63" s="27" t="str">
        <v>X024</v>
      </c>
      <c r="B63" s="28" t="str">
        <v>NY</v>
      </c>
      <c r="C63" s="28" t="str">
        <f>Sites[[#This Row],[SOL'#]]</f>
        <v>SOL-10419</v>
      </c>
      <c r="D63" s="10"/>
      <c r="E63" s="15"/>
      <c r="F63" s="15"/>
      <c r="G63" s="16"/>
      <c r="H63" s="17"/>
      <c r="I63" s="17"/>
      <c r="J63" s="16"/>
      <c r="K63" s="39"/>
      <c r="L63" s="40"/>
    </row>
    <row r="64" spans="1:12" ht="15.75">
      <c r="A64" s="25" t="str">
        <v>X026</v>
      </c>
      <c r="B64" s="26" t="str">
        <v>NY</v>
      </c>
      <c r="C64" s="26" t="str">
        <f>Sites[[#This Row],[SOL'#]]</f>
        <v>SOL-10420</v>
      </c>
      <c r="D64" s="21"/>
      <c r="E64" s="11"/>
      <c r="F64" s="11"/>
      <c r="G64" s="12"/>
      <c r="H64" s="13"/>
      <c r="I64" s="13"/>
      <c r="J64" s="14"/>
      <c r="K64" s="38"/>
      <c r="L64" s="38"/>
    </row>
    <row r="65" spans="1:12" ht="15.75">
      <c r="A65" s="27" t="str">
        <v>X090</v>
      </c>
      <c r="B65" s="28" t="str">
        <v>NY</v>
      </c>
      <c r="C65" s="28" t="str">
        <f>Sites[[#This Row],[SOL'#]]</f>
        <v>SOL-10925</v>
      </c>
      <c r="D65" s="10"/>
      <c r="E65" s="15"/>
      <c r="F65" s="15"/>
      <c r="G65" s="16"/>
      <c r="H65" s="17"/>
      <c r="I65" s="17"/>
      <c r="J65" s="16"/>
      <c r="K65" s="39"/>
      <c r="L65" s="39"/>
    </row>
    <row r="66" spans="1:12" ht="15.75">
      <c r="A66" s="25" t="str">
        <v>X117</v>
      </c>
      <c r="B66" s="26" t="str">
        <v>NY</v>
      </c>
      <c r="C66" s="26" t="str">
        <f>Sites[[#This Row],[SOL'#]]</f>
        <v>SOL-10422</v>
      </c>
      <c r="D66" s="21"/>
      <c r="E66" s="11"/>
      <c r="F66" s="11"/>
      <c r="G66" s="12"/>
      <c r="H66" s="13"/>
      <c r="I66" s="13"/>
      <c r="J66" s="14"/>
      <c r="K66" s="38"/>
      <c r="L66" s="38"/>
    </row>
    <row r="67" spans="1:12" ht="15.75">
      <c r="A67" s="27" t="str">
        <v>X125</v>
      </c>
      <c r="B67" s="28" t="str">
        <v>NY</v>
      </c>
      <c r="C67" s="28" t="str">
        <f>Sites[[#This Row],[SOL'#]]</f>
        <v>SOL-10423</v>
      </c>
      <c r="D67" s="10"/>
      <c r="E67" s="15"/>
      <c r="F67" s="15"/>
      <c r="G67" s="16"/>
      <c r="H67" s="17"/>
      <c r="I67" s="17"/>
      <c r="J67" s="16"/>
      <c r="K67" s="39"/>
      <c r="L67" s="40"/>
    </row>
    <row r="68" spans="1:12" ht="15.75">
      <c r="A68" s="25" t="str">
        <v>X134</v>
      </c>
      <c r="B68" s="26" t="str">
        <v>NY</v>
      </c>
      <c r="C68" s="26" t="str">
        <f>Sites[[#This Row],[SOL'#]]</f>
        <v>SOL-10424</v>
      </c>
      <c r="D68" s="21"/>
      <c r="E68" s="11"/>
      <c r="F68" s="11"/>
      <c r="G68" s="12"/>
      <c r="H68" s="13"/>
      <c r="I68" s="13"/>
      <c r="J68" s="14"/>
      <c r="K68" s="38"/>
      <c r="L68" s="38"/>
    </row>
    <row r="69" spans="1:12" ht="15.75">
      <c r="A69" s="27" t="str">
        <v>X135</v>
      </c>
      <c r="B69" s="28" t="str">
        <v>NY</v>
      </c>
      <c r="C69" s="28" t="str">
        <f>Sites[[#This Row],[SOL'#]]</f>
        <v>SOL-10425</v>
      </c>
      <c r="D69" s="10"/>
      <c r="E69" s="15"/>
      <c r="F69" s="15"/>
      <c r="G69" s="16"/>
      <c r="H69" s="17"/>
      <c r="I69" s="17"/>
      <c r="J69" s="16"/>
      <c r="K69" s="39"/>
      <c r="L69" s="40"/>
    </row>
    <row r="70" spans="1:12" ht="15.75">
      <c r="A70" s="25" t="str">
        <v>X139 JHS 222</v>
      </c>
      <c r="B70" s="26" t="str">
        <v>NY</v>
      </c>
      <c r="C70" s="26" t="str">
        <f>Sites[[#This Row],[SOL'#]]</f>
        <v>SOL-10426</v>
      </c>
      <c r="D70" s="21"/>
      <c r="E70" s="11"/>
      <c r="F70" s="11"/>
      <c r="G70" s="12"/>
      <c r="H70" s="13"/>
      <c r="I70" s="13"/>
      <c r="J70" s="14"/>
      <c r="K70" s="38"/>
      <c r="L70" s="38"/>
    </row>
    <row r="71" spans="1:12" ht="15.75">
      <c r="A71" s="27" t="str">
        <v>X140</v>
      </c>
      <c r="B71" s="28" t="str">
        <v>NY</v>
      </c>
      <c r="C71" s="28" t="str">
        <f>Sites[[#This Row],[SOL'#]]</f>
        <v>SOL-10926</v>
      </c>
      <c r="D71" s="10"/>
      <c r="E71" s="15"/>
      <c r="F71" s="15"/>
      <c r="G71" s="16"/>
      <c r="H71" s="17"/>
      <c r="I71" s="17"/>
      <c r="J71" s="16"/>
      <c r="K71" s="39"/>
      <c r="L71" s="40"/>
    </row>
    <row r="72" spans="1:12" ht="15.75">
      <c r="A72" s="25" t="str">
        <v>X166</v>
      </c>
      <c r="B72" s="26" t="str">
        <v>NY</v>
      </c>
      <c r="C72" s="26" t="str">
        <f>Sites[[#This Row],[SOL'#]]</f>
        <v>SOL-10427</v>
      </c>
      <c r="D72" s="21"/>
      <c r="E72" s="11"/>
      <c r="F72" s="11"/>
      <c r="G72" s="12"/>
      <c r="H72" s="13"/>
      <c r="I72" s="13"/>
      <c r="J72" s="14"/>
      <c r="K72" s="38"/>
      <c r="L72" s="38"/>
    </row>
    <row r="73" spans="1:12" ht="15.75">
      <c r="A73" s="27" t="str">
        <v>Murphy</v>
      </c>
      <c r="B73" s="28" t="str">
        <v>MN</v>
      </c>
      <c r="C73" s="28" t="str">
        <f>Sites[[#This Row],[SOL'#]]</f>
        <v>SOL-10094</v>
      </c>
      <c r="D73" s="10"/>
      <c r="E73" s="15"/>
      <c r="F73" s="15"/>
      <c r="G73" s="16"/>
      <c r="H73" s="17"/>
      <c r="I73" s="17"/>
      <c r="J73" s="16"/>
      <c r="K73" s="39"/>
      <c r="L73" s="40"/>
    </row>
    <row r="74" spans="1:12" ht="15.75">
      <c r="A74" s="25" t="str">
        <v>Terning</v>
      </c>
      <c r="B74" s="26" t="str">
        <v>MN</v>
      </c>
      <c r="C74" s="26" t="str">
        <f>Sites[[#This Row],[SOL'#]]</f>
        <v>SOL-10093</v>
      </c>
      <c r="D74" s="21"/>
      <c r="E74" s="11"/>
      <c r="F74" s="11"/>
      <c r="G74" s="12"/>
      <c r="H74" s="13"/>
      <c r="I74" s="13"/>
      <c r="J74" s="14"/>
      <c r="K74" s="38"/>
      <c r="L74" s="38"/>
    </row>
    <row r="75" spans="1:12" ht="15.75">
      <c r="A75" s="27" t="str">
        <v>Boas Road 04</v>
      </c>
      <c r="B75" s="28" t="str">
        <v>NY</v>
      </c>
      <c r="C75" s="28" t="str">
        <f>Sites[[#This Row],[SOL'#]]</f>
        <v>SOL-10908</v>
      </c>
      <c r="D75" s="10"/>
      <c r="E75" s="15"/>
      <c r="F75" s="15"/>
      <c r="G75" s="16"/>
      <c r="H75" s="17"/>
      <c r="I75" s="17"/>
      <c r="J75" s="16"/>
      <c r="K75" s="39"/>
      <c r="L75" s="40"/>
    </row>
    <row r="76" spans="1:12" ht="15.75">
      <c r="A76" s="25" t="str">
        <v>Kelly Bridge Farm</v>
      </c>
      <c r="B76" s="26" t="str">
        <v>NY</v>
      </c>
      <c r="C76" s="26" t="str">
        <f>Sites[[#This Row],[SOL'#]]</f>
        <v>SOL-10911</v>
      </c>
      <c r="D76" s="21"/>
      <c r="E76" s="11"/>
      <c r="F76" s="11"/>
      <c r="G76" s="12"/>
      <c r="H76" s="13"/>
      <c r="I76" s="13"/>
      <c r="J76" s="14"/>
      <c r="K76" s="38"/>
      <c r="L76" s="38"/>
    </row>
    <row r="77" spans="1:12" ht="15.75">
      <c r="A77" s="27" t="str">
        <v>Pool Brook Road</v>
      </c>
      <c r="B77" s="28" t="str">
        <v>NY</v>
      </c>
      <c r="C77" s="28" t="str">
        <f>Sites[[#This Row],[SOL'#]]</f>
        <v>SOL-10909</v>
      </c>
      <c r="D77" s="10"/>
      <c r="E77" s="15"/>
      <c r="F77" s="15"/>
      <c r="G77" s="16"/>
      <c r="H77" s="17"/>
      <c r="I77" s="17"/>
      <c r="J77" s="16"/>
      <c r="K77" s="39"/>
      <c r="L77" s="39"/>
    </row>
    <row r="78" spans="1:12" ht="15.75">
      <c r="A78" s="25" t="str">
        <v>Sackett Lake</v>
      </c>
      <c r="B78" s="26" t="str">
        <v>NY</v>
      </c>
      <c r="C78" s="26" t="str">
        <f>Sites[[#This Row],[SOL'#]]</f>
        <v>SOL-10910</v>
      </c>
      <c r="D78" s="21"/>
      <c r="E78" s="11"/>
      <c r="F78" s="11"/>
      <c r="G78" s="12"/>
      <c r="H78" s="13"/>
      <c r="I78" s="13"/>
      <c r="J78" s="14"/>
      <c r="K78" s="38"/>
      <c r="L78" s="38"/>
    </row>
    <row r="79" spans="1:12" ht="15.75">
      <c r="A79" s="27" t="str">
        <v>Burritt Road</v>
      </c>
      <c r="B79" s="28" t="str">
        <v>NY</v>
      </c>
      <c r="C79" s="28" t="str">
        <f>Sites[[#This Row],[SOL'#]]</f>
        <v>SOL-10913</v>
      </c>
      <c r="D79" s="10"/>
      <c r="E79" s="15"/>
      <c r="F79" s="15"/>
      <c r="G79" s="16"/>
      <c r="H79" s="17"/>
      <c r="I79" s="17"/>
      <c r="J79" s="16"/>
      <c r="K79" s="39"/>
      <c r="L79" s="40"/>
    </row>
    <row r="80" spans="1:12" ht="15.75">
      <c r="A80" s="25" t="str">
        <v>Villa Roma 1</v>
      </c>
      <c r="B80" s="26" t="str">
        <v>NY</v>
      </c>
      <c r="C80" s="26" t="str">
        <f>Sites[[#This Row],[SOL'#]]</f>
        <v>SOL-10914</v>
      </c>
      <c r="D80" s="21"/>
      <c r="E80" s="11"/>
      <c r="F80" s="11"/>
      <c r="G80" s="12"/>
      <c r="H80" s="13"/>
      <c r="I80" s="13"/>
      <c r="J80" s="14"/>
      <c r="K80" s="38"/>
      <c r="L80" s="38"/>
    </row>
    <row r="81" spans="1:12" ht="15.75">
      <c r="A81" s="27" t="str">
        <v>Villa Roma 2</v>
      </c>
      <c r="B81" s="28" t="str">
        <v>NY</v>
      </c>
      <c r="C81" s="28" t="str">
        <f>Sites[[#This Row],[SOL'#]]</f>
        <v>SOL-10915</v>
      </c>
      <c r="D81" s="10"/>
      <c r="E81" s="15"/>
      <c r="F81" s="15"/>
      <c r="G81" s="16"/>
      <c r="H81" s="17"/>
      <c r="I81" s="17"/>
      <c r="J81" s="16"/>
      <c r="K81" s="39"/>
      <c r="L81" s="40"/>
    </row>
    <row r="82" spans="1:12" ht="15.75">
      <c r="A82" s="25" t="str">
        <v>Washington 1</v>
      </c>
      <c r="B82" s="26" t="str">
        <v>NY</v>
      </c>
      <c r="C82" s="26" t="str">
        <f>Sites[[#This Row],[SOL'#]]</f>
        <v>SOL-10912</v>
      </c>
      <c r="D82" s="21"/>
      <c r="E82" s="11"/>
      <c r="F82" s="11"/>
      <c r="G82" s="12"/>
      <c r="H82" s="13"/>
      <c r="I82" s="13"/>
      <c r="J82" s="14"/>
      <c r="K82" s="38"/>
      <c r="L82" s="38"/>
    </row>
    <row r="83" spans="1:12" ht="15.75">
      <c r="A83" s="27" t="str">
        <v>Washington 3</v>
      </c>
      <c r="B83" s="28" t="str">
        <v>NY</v>
      </c>
      <c r="C83" s="28" t="str">
        <f>Sites[[#This Row],[SOL'#]]</f>
        <v>SOL-10828</v>
      </c>
      <c r="D83" s="10"/>
      <c r="E83" s="15"/>
      <c r="F83" s="15"/>
      <c r="G83" s="16"/>
      <c r="H83" s="17"/>
      <c r="I83" s="17"/>
      <c r="J83" s="16"/>
      <c r="K83" s="39"/>
      <c r="L83" s="40"/>
    </row>
    <row r="84" spans="1:12" ht="15.75">
      <c r="A84" s="25" t="str">
        <v>Washington 4</v>
      </c>
      <c r="B84" s="26" t="str">
        <v>NY</v>
      </c>
      <c r="C84" s="26" t="str">
        <f>Sites[[#This Row],[SOL'#]]</f>
        <v>SOL-10829</v>
      </c>
      <c r="D84" s="21"/>
      <c r="E84" s="11"/>
      <c r="F84" s="11"/>
      <c r="G84" s="12"/>
      <c r="H84" s="13"/>
      <c r="I84" s="13"/>
      <c r="J84" s="14"/>
      <c r="K84" s="38"/>
      <c r="L84" s="38"/>
    </row>
    <row r="85" spans="1:12" ht="15.75">
      <c r="A85" s="27" t="str">
        <v>Big Tree</v>
      </c>
      <c r="B85" s="28" t="str">
        <v>NY</v>
      </c>
      <c r="C85" s="28" t="str">
        <f>Sites[[#This Row],[SOL'#]]</f>
        <v>SOL-10966</v>
      </c>
      <c r="D85" s="10"/>
      <c r="E85" s="15"/>
      <c r="F85" s="15"/>
      <c r="G85" s="16"/>
      <c r="H85" s="17"/>
      <c r="I85" s="17"/>
      <c r="J85" s="16"/>
      <c r="K85" s="39"/>
      <c r="L85" s="40"/>
    </row>
    <row r="86" spans="1:12" ht="15.75">
      <c r="A86" s="25" t="str">
        <v>Canoga</v>
      </c>
      <c r="B86" s="26" t="str">
        <v>NY</v>
      </c>
      <c r="C86" s="26" t="str">
        <f>Sites[[#This Row],[SOL'#]]</f>
        <v>SOL-10965</v>
      </c>
      <c r="D86" s="21"/>
      <c r="E86" s="11"/>
      <c r="F86" s="11"/>
      <c r="G86" s="12"/>
      <c r="H86" s="13"/>
      <c r="I86" s="13"/>
      <c r="J86" s="14"/>
      <c r="K86" s="38"/>
      <c r="L86" s="38"/>
    </row>
    <row r="87" spans="1:12" ht="15.75">
      <c r="A87" s="27" t="str">
        <v>County Route 84</v>
      </c>
      <c r="B87" s="28" t="str">
        <v>NY</v>
      </c>
      <c r="C87" s="28" t="str">
        <f>Sites[[#This Row],[SOL'#]]</f>
        <v>SOL-10967</v>
      </c>
      <c r="D87" s="10"/>
      <c r="E87" s="15"/>
      <c r="F87" s="15"/>
      <c r="G87" s="16"/>
      <c r="H87" s="17"/>
      <c r="I87" s="17"/>
      <c r="J87" s="16"/>
      <c r="K87" s="39"/>
      <c r="L87" s="40"/>
    </row>
    <row r="88" spans="1:12" ht="15.75">
      <c r="A88" s="25" t="str">
        <v>Donati</v>
      </c>
      <c r="B88" s="26" t="str">
        <v>NY</v>
      </c>
      <c r="C88" s="26" t="str">
        <f>Sites[[#This Row],[SOL'#]]</f>
        <v>SOL-10968</v>
      </c>
      <c r="D88" s="21"/>
      <c r="E88" s="11"/>
      <c r="F88" s="11"/>
      <c r="G88" s="12"/>
      <c r="H88" s="13"/>
      <c r="I88" s="13"/>
      <c r="J88" s="14"/>
      <c r="K88" s="38"/>
      <c r="L88" s="38"/>
    </row>
    <row r="89" spans="1:12" ht="15.75">
      <c r="A89" s="27" t="str">
        <v>Henrietta</v>
      </c>
      <c r="B89" s="28" t="str">
        <v>NY</v>
      </c>
      <c r="C89" s="28" t="str">
        <f>Sites[[#This Row],[SOL'#]]</f>
        <v>SOL-10972</v>
      </c>
      <c r="D89" s="10"/>
      <c r="E89" s="15"/>
      <c r="F89" s="15"/>
      <c r="G89" s="16"/>
      <c r="H89" s="17"/>
      <c r="I89" s="17"/>
      <c r="J89" s="16"/>
      <c r="K89" s="39"/>
      <c r="L89" s="39"/>
    </row>
    <row r="90" spans="1:12" ht="15.75">
      <c r="A90" s="25" t="str">
        <v>NY 70</v>
      </c>
      <c r="B90" s="26" t="str">
        <v>NY</v>
      </c>
      <c r="C90" s="26" t="str">
        <f>Sites[[#This Row],[SOL'#]]</f>
        <v>SOL-10970</v>
      </c>
      <c r="D90" s="21"/>
      <c r="E90" s="11"/>
      <c r="F90" s="11"/>
      <c r="G90" s="12"/>
      <c r="H90" s="13"/>
      <c r="I90" s="13"/>
      <c r="J90" s="14"/>
      <c r="K90" s="38"/>
      <c r="L90" s="38"/>
    </row>
    <row r="91" spans="1:12" ht="15.75">
      <c r="A91" s="27" t="str">
        <v>Reid</v>
      </c>
      <c r="B91" s="28" t="str">
        <v>NY</v>
      </c>
      <c r="C91" s="28" t="str">
        <f>Sites[[#This Row],[SOL'#]]</f>
        <v>SOL-10991</v>
      </c>
      <c r="D91" s="10"/>
      <c r="E91" s="15"/>
      <c r="F91" s="15"/>
      <c r="G91" s="16"/>
      <c r="H91" s="17"/>
      <c r="I91" s="17"/>
      <c r="J91" s="16"/>
      <c r="K91" s="39"/>
      <c r="L91" s="40"/>
    </row>
    <row r="92" spans="1:12" ht="15.75">
      <c r="A92" s="25" t="str">
        <v>Sangolqui</v>
      </c>
      <c r="B92" s="26" t="str">
        <v>NY</v>
      </c>
      <c r="C92" s="26" t="str">
        <f>Sites[[#This Row],[SOL'#]]</f>
        <v>SOL-10975</v>
      </c>
      <c r="D92" s="21"/>
      <c r="E92" s="11"/>
      <c r="F92" s="11"/>
      <c r="G92" s="12"/>
      <c r="H92" s="13"/>
      <c r="I92" s="13"/>
      <c r="J92" s="14"/>
      <c r="K92" s="38"/>
      <c r="L92" s="38"/>
    </row>
    <row r="93" spans="1:12" ht="15.75">
      <c r="A93" s="27" t="str">
        <v>State Highway 17B</v>
      </c>
      <c r="B93" s="28" t="str">
        <v>NY</v>
      </c>
      <c r="C93" s="28" t="str">
        <f>Sites[[#This Row],[SOL'#]]</f>
        <v>SOL-10988</v>
      </c>
      <c r="D93" s="10"/>
      <c r="E93" s="15"/>
      <c r="F93" s="15"/>
      <c r="G93" s="16"/>
      <c r="H93" s="17"/>
      <c r="I93" s="17"/>
      <c r="J93" s="16"/>
      <c r="K93" s="39"/>
      <c r="L93" s="40"/>
    </row>
    <row r="94" spans="1:12" ht="15.75">
      <c r="A94" s="25" t="str">
        <v>State Route 14A</v>
      </c>
      <c r="B94" s="26" t="str">
        <v>NY</v>
      </c>
      <c r="C94" s="26" t="str">
        <f>Sites[[#This Row],[SOL'#]]</f>
        <v>SOL-10997</v>
      </c>
      <c r="D94" s="21"/>
      <c r="E94" s="11"/>
      <c r="F94" s="11"/>
      <c r="G94" s="12"/>
      <c r="H94" s="13"/>
      <c r="I94" s="13"/>
      <c r="J94" s="14"/>
      <c r="K94" s="38"/>
      <c r="L94" s="38"/>
    </row>
    <row r="95" spans="1:12" ht="15.75">
      <c r="A95" s="27" t="str">
        <v>West Creek</v>
      </c>
      <c r="B95" s="28" t="str">
        <v>NY</v>
      </c>
      <c r="C95" s="28" t="str">
        <f>Sites[[#This Row],[SOL'#]]</f>
        <v>SOL-10995</v>
      </c>
      <c r="D95" s="10"/>
      <c r="E95" s="15"/>
      <c r="F95" s="15"/>
      <c r="G95" s="16"/>
      <c r="H95" s="17"/>
      <c r="I95" s="17"/>
      <c r="J95" s="16"/>
      <c r="K95" s="39"/>
      <c r="L95" s="40"/>
    </row>
    <row r="96" spans="1:12" ht="15.75">
      <c r="A96" s="25" t="str">
        <v>Wildflower</v>
      </c>
      <c r="B96" s="26" t="str">
        <v>NY</v>
      </c>
      <c r="C96" s="26" t="str">
        <f>Sites[[#This Row],[SOL'#]]</f>
        <v>SOL-10982</v>
      </c>
      <c r="D96" s="21"/>
      <c r="E96" s="11"/>
      <c r="F96" s="11"/>
      <c r="G96" s="12"/>
      <c r="H96" s="13"/>
      <c r="I96" s="13"/>
      <c r="J96" s="14"/>
      <c r="K96" s="38"/>
      <c r="L96" s="38"/>
    </row>
    <row r="97" spans="1:12" ht="15.75">
      <c r="A97" s="27" t="str">
        <v>Glen Mary 1</v>
      </c>
      <c r="B97" s="28" t="str">
        <v>NY</v>
      </c>
      <c r="C97" s="28" t="str">
        <f>Sites[[#This Row],[SOL'#]]</f>
        <v>SOL-10993</v>
      </c>
      <c r="D97" s="10"/>
      <c r="E97" s="15"/>
      <c r="F97" s="15"/>
      <c r="G97" s="16"/>
      <c r="H97" s="17"/>
      <c r="I97" s="17"/>
      <c r="J97" s="16"/>
      <c r="K97" s="39"/>
      <c r="L97" s="40"/>
    </row>
    <row r="98" spans="1:12" ht="15.75">
      <c r="A98" s="25" t="str">
        <v>Glen Mary 2</v>
      </c>
      <c r="B98" s="26" t="str">
        <v>NY</v>
      </c>
      <c r="C98" s="26" t="str">
        <f>Sites[[#This Row],[SOL'#]]</f>
        <v>SOL-10994</v>
      </c>
      <c r="D98" s="21"/>
      <c r="E98" s="11"/>
      <c r="F98" s="11"/>
      <c r="G98" s="12"/>
      <c r="H98" s="13"/>
      <c r="I98" s="13"/>
      <c r="J98" s="14"/>
      <c r="K98" s="38"/>
      <c r="L98" s="38"/>
    </row>
    <row r="99" spans="1:12" ht="15.75">
      <c r="A99" s="27" t="str">
        <v>Telegraph 1</v>
      </c>
      <c r="B99" s="28" t="str">
        <v>NY</v>
      </c>
      <c r="C99" s="28" t="str">
        <f>Sites[[#This Row],[SOL'#]]</f>
        <v>SOL-11003</v>
      </c>
      <c r="D99" s="10"/>
      <c r="E99" s="15"/>
      <c r="F99" s="15"/>
      <c r="G99" s="16"/>
      <c r="H99" s="17"/>
      <c r="I99" s="17"/>
      <c r="J99" s="16"/>
      <c r="K99" s="39"/>
      <c r="L99" s="40"/>
    </row>
    <row r="100" spans="1:12" ht="15.75">
      <c r="A100" s="25" t="str">
        <v>Telegraph 2</v>
      </c>
      <c r="B100" s="26" t="str">
        <v>NY</v>
      </c>
      <c r="C100" s="26" t="str">
        <f>Sites[[#This Row],[SOL'#]]</f>
        <v>SOL-11004</v>
      </c>
      <c r="D100" s="21"/>
      <c r="E100" s="11"/>
      <c r="F100" s="11"/>
      <c r="G100" s="12"/>
      <c r="H100" s="13"/>
      <c r="I100" s="13"/>
      <c r="J100" s="14"/>
      <c r="K100" s="38"/>
      <c r="L100" s="38"/>
    </row>
    <row r="101" spans="1:12" ht="15.75">
      <c r="A101" s="27" t="str">
        <v>Cafferty Hill</v>
      </c>
      <c r="B101" s="28" t="str">
        <v>NY</v>
      </c>
      <c r="C101" s="28" t="str">
        <f>Sites[[#This Row],[SOL'#]]</f>
        <v>SOL-10996</v>
      </c>
      <c r="D101" s="10"/>
      <c r="E101" s="15"/>
      <c r="F101" s="15"/>
      <c r="G101" s="16"/>
      <c r="H101" s="17"/>
      <c r="I101" s="17"/>
      <c r="J101" s="16"/>
      <c r="K101" s="39"/>
      <c r="L101" s="39"/>
    </row>
    <row r="102" spans="1:12" ht="15.75">
      <c r="A102" s="25" t="str">
        <v>Dunkleman</v>
      </c>
      <c r="B102" s="26" t="str">
        <v>NY</v>
      </c>
      <c r="C102" s="26" t="str">
        <f>Sites[[#This Row],[SOL'#]]</f>
        <v>SOL-11008</v>
      </c>
      <c r="D102" s="21"/>
      <c r="E102" s="11"/>
      <c r="F102" s="11"/>
      <c r="G102" s="12"/>
      <c r="H102" s="13"/>
      <c r="I102" s="13"/>
      <c r="J102" s="14"/>
      <c r="K102" s="38"/>
      <c r="L102" s="38"/>
    </row>
    <row r="103" spans="1:12" ht="15.75">
      <c r="A103" s="27" t="str">
        <v>Route 19 1</v>
      </c>
      <c r="B103" s="28" t="str">
        <v>NY</v>
      </c>
      <c r="C103" s="28" t="str">
        <f>Sites[[#This Row],[SOL'#]]</f>
        <v>SOL-11001</v>
      </c>
      <c r="D103" s="10"/>
      <c r="E103" s="15"/>
      <c r="F103" s="15"/>
      <c r="G103" s="16"/>
      <c r="H103" s="17"/>
      <c r="I103" s="17"/>
      <c r="J103" s="16"/>
      <c r="K103" s="39"/>
      <c r="L103" s="40"/>
    </row>
    <row r="104" spans="1:12" ht="15.75">
      <c r="A104" s="25" t="str">
        <v>Route 19 2</v>
      </c>
      <c r="B104" s="26" t="str">
        <v>NY</v>
      </c>
      <c r="C104" s="26" t="str">
        <f>Sites[[#This Row],[SOL'#]]</f>
        <v>SOL-11002</v>
      </c>
      <c r="D104" s="21"/>
      <c r="E104" s="11"/>
      <c r="F104" s="11"/>
      <c r="G104" s="12"/>
      <c r="H104" s="13"/>
      <c r="I104" s="13"/>
      <c r="J104" s="14"/>
      <c r="K104" s="38"/>
      <c r="L104" s="38"/>
    </row>
    <row r="105" spans="1:12" ht="15.75">
      <c r="A105" s="27" t="str">
        <v>Yellow Mills 1</v>
      </c>
      <c r="B105" s="28" t="str">
        <v>NY</v>
      </c>
      <c r="C105" s="28" t="str">
        <f>Sites[[#This Row],[SOL'#]]</f>
        <v>SOL-11006</v>
      </c>
      <c r="D105" s="10"/>
      <c r="E105" s="15"/>
      <c r="F105" s="15"/>
      <c r="G105" s="16"/>
      <c r="H105" s="17"/>
      <c r="I105" s="17"/>
      <c r="J105" s="16"/>
      <c r="K105" s="39"/>
      <c r="L105" s="40"/>
    </row>
    <row r="106" spans="1:12" ht="15.75">
      <c r="A106" s="25" t="str">
        <v>Yellow Mills 2</v>
      </c>
      <c r="B106" s="26" t="str">
        <v>NY</v>
      </c>
      <c r="C106" s="26" t="str">
        <f>Sites[[#This Row],[SOL'#]]</f>
        <v>SOL-11005</v>
      </c>
      <c r="D106" s="21"/>
      <c r="E106" s="11"/>
      <c r="F106" s="11"/>
      <c r="G106" s="12"/>
      <c r="H106" s="13"/>
      <c r="I106" s="13"/>
      <c r="J106" s="14"/>
      <c r="K106" s="38"/>
      <c r="L106" s="38"/>
    </row>
    <row r="107" spans="1:12" ht="15.75">
      <c r="A107" s="27" t="str">
        <v>Yellow Mills 3</v>
      </c>
      <c r="B107" s="28" t="str">
        <v>NY</v>
      </c>
      <c r="C107" s="28" t="str">
        <f>Sites[[#This Row],[SOL'#]]</f>
        <v>SOL-11007</v>
      </c>
      <c r="D107" s="10"/>
      <c r="E107" s="15"/>
      <c r="F107" s="15"/>
      <c r="G107" s="16"/>
      <c r="H107" s="17"/>
      <c r="I107" s="17"/>
      <c r="J107" s="16"/>
      <c r="K107" s="39"/>
      <c r="L107" s="40"/>
    </row>
    <row r="108" spans="1:12" ht="15.75">
      <c r="A108" s="25" t="str">
        <v>Catskill</v>
      </c>
      <c r="B108" s="26" t="str">
        <v>NY</v>
      </c>
      <c r="C108" s="26" t="str">
        <f>Sites[[#This Row],[SOL'#]]</f>
        <v>SOL-11021</v>
      </c>
      <c r="D108" s="21"/>
      <c r="E108" s="11"/>
      <c r="F108" s="11"/>
      <c r="G108" s="12"/>
      <c r="H108" s="13"/>
      <c r="I108" s="13"/>
      <c r="J108" s="14"/>
      <c r="K108" s="38"/>
      <c r="L108" s="38"/>
    </row>
    <row r="109" spans="1:12" ht="15.75">
      <c r="A109" s="27" t="str">
        <v>Eddy Ridge</v>
      </c>
      <c r="B109" s="28" t="str">
        <v>NY</v>
      </c>
      <c r="C109" s="28" t="str">
        <f>Sites[[#This Row],[SOL'#]]</f>
        <v>SOL-11054</v>
      </c>
      <c r="D109" s="10"/>
      <c r="E109" s="15"/>
      <c r="F109" s="15"/>
      <c r="G109" s="16"/>
      <c r="H109" s="17"/>
      <c r="I109" s="17"/>
      <c r="J109" s="16"/>
      <c r="K109" s="39"/>
      <c r="L109" s="40"/>
    </row>
    <row r="110" spans="1:12" ht="15.75">
      <c r="A110" s="25" t="str">
        <v>Ridgeway #1</v>
      </c>
      <c r="B110" s="26" t="str">
        <v>NY</v>
      </c>
      <c r="C110" s="26" t="str">
        <f>Sites[[#This Row],[SOL'#]]</f>
        <v>SOL-11018</v>
      </c>
      <c r="D110" s="21"/>
      <c r="E110" s="11"/>
      <c r="F110" s="11"/>
      <c r="G110" s="12"/>
      <c r="H110" s="13"/>
      <c r="I110" s="13"/>
      <c r="J110" s="14"/>
      <c r="K110" s="38"/>
      <c r="L110" s="38"/>
    </row>
    <row r="111" spans="1:12" ht="15.75">
      <c r="A111" s="27" t="str">
        <v>Rivard 1</v>
      </c>
      <c r="B111" s="28" t="str">
        <v>NY</v>
      </c>
      <c r="C111" s="28" t="str">
        <f>Sites[[#This Row],[SOL'#]]</f>
        <v>SOL-11011</v>
      </c>
      <c r="D111" s="10"/>
      <c r="E111" s="15"/>
      <c r="F111" s="15"/>
      <c r="G111" s="16"/>
      <c r="H111" s="17"/>
      <c r="I111" s="17"/>
      <c r="J111" s="16"/>
      <c r="K111" s="39"/>
      <c r="L111" s="40"/>
    </row>
    <row r="112" spans="1:12" ht="15.75">
      <c r="A112" s="25" t="str">
        <v>Rivard 2</v>
      </c>
      <c r="B112" s="26" t="str">
        <v>NY</v>
      </c>
      <c r="C112" s="26" t="str">
        <f>Sites[[#This Row],[SOL'#]]</f>
        <v>SOL-11012</v>
      </c>
      <c r="D112" s="21"/>
      <c r="E112" s="11"/>
      <c r="F112" s="11"/>
      <c r="G112" s="12"/>
      <c r="H112" s="13"/>
      <c r="I112" s="13"/>
      <c r="J112" s="14"/>
      <c r="K112" s="38"/>
      <c r="L112" s="38"/>
    </row>
    <row r="113" spans="1:12" ht="15.75">
      <c r="A113" s="27" t="str">
        <v>Essex</v>
      </c>
      <c r="B113" s="28" t="str">
        <v>DC</v>
      </c>
      <c r="C113" s="28" t="str">
        <f>Sites[[#This Row],[SOL'#]]</f>
        <v>SOL-10036</v>
      </c>
      <c r="D113" s="10"/>
      <c r="E113" s="15"/>
      <c r="F113" s="15"/>
      <c r="G113" s="16"/>
      <c r="H113" s="17"/>
      <c r="I113" s="17"/>
      <c r="J113" s="16"/>
      <c r="K113" s="39"/>
      <c r="L113" s="39"/>
    </row>
    <row r="114" spans="1:12" ht="15.75">
      <c r="A114" s="25" t="str">
        <v>Temple Sinai</v>
      </c>
      <c r="B114" s="26" t="str">
        <v>DC</v>
      </c>
      <c r="C114" s="26" t="str">
        <f>Sites[[#This Row],[SOL'#]]</f>
        <v>SOL-10028</v>
      </c>
      <c r="D114" s="21"/>
      <c r="E114" s="11"/>
      <c r="F114" s="11"/>
      <c r="G114" s="12"/>
      <c r="H114" s="13"/>
      <c r="I114" s="13"/>
      <c r="J114" s="14"/>
      <c r="K114" s="38"/>
      <c r="L114" s="38"/>
    </row>
    <row r="115" spans="1:12" ht="15.75">
      <c r="A115" s="27" t="str">
        <v>Weinberg 1</v>
      </c>
      <c r="B115" s="28" t="str">
        <v>DC</v>
      </c>
      <c r="C115" s="28" t="str">
        <f>Sites[[#This Row],[SOL'#]]</f>
        <v>SOL-10039</v>
      </c>
      <c r="D115" s="10"/>
      <c r="E115" s="15"/>
      <c r="F115" s="15"/>
      <c r="G115" s="16"/>
      <c r="H115" s="17"/>
      <c r="I115" s="17"/>
      <c r="J115" s="16"/>
      <c r="K115" s="39"/>
      <c r="L115" s="40"/>
    </row>
    <row r="116" spans="1:12" ht="15.75">
      <c r="A116" s="25" t="str">
        <v>Weinberg 2</v>
      </c>
      <c r="B116" s="26" t="str">
        <v>DC</v>
      </c>
      <c r="C116" s="26" t="str">
        <f>Sites[[#This Row],[SOL'#]]</f>
        <v>SOL-10045</v>
      </c>
      <c r="D116" s="21"/>
      <c r="E116" s="11"/>
      <c r="F116" s="11"/>
      <c r="G116" s="12"/>
      <c r="H116" s="13"/>
      <c r="I116" s="13"/>
      <c r="J116" s="14"/>
      <c r="K116" s="38"/>
      <c r="L116" s="38"/>
    </row>
    <row r="117" spans="1:12" ht="15.75">
      <c r="A117" s="27" t="str">
        <v>Weinberg 3</v>
      </c>
      <c r="B117" s="28" t="str">
        <v>DC</v>
      </c>
      <c r="C117" s="28" t="str">
        <f>Sites[[#This Row],[SOL'#]]</f>
        <v>SOL-10042</v>
      </c>
      <c r="D117" s="10"/>
      <c r="E117" s="15"/>
      <c r="F117" s="15"/>
      <c r="G117" s="16"/>
      <c r="H117" s="17"/>
      <c r="I117" s="17"/>
      <c r="J117" s="16"/>
      <c r="K117" s="39"/>
      <c r="L117" s="40"/>
    </row>
    <row r="118" spans="1:12" ht="15.75">
      <c r="A118" s="25" t="str">
        <v>Clayton Hall</v>
      </c>
      <c r="B118" s="26" t="str">
        <v>DE</v>
      </c>
      <c r="C118" s="26" t="str">
        <f>Sites[[#This Row],[SOL'#]]</f>
        <v>SOL-10820</v>
      </c>
      <c r="D118" s="21"/>
      <c r="E118" s="11"/>
      <c r="F118" s="11"/>
      <c r="G118" s="12"/>
      <c r="H118" s="13"/>
      <c r="I118" s="13"/>
      <c r="J118" s="14"/>
      <c r="K118" s="38"/>
      <c r="L118" s="38"/>
    </row>
    <row r="119" spans="1:12" ht="15.75">
      <c r="A119" s="27" t="str">
        <v>Field House</v>
      </c>
      <c r="B119" s="28" t="str">
        <v>DE</v>
      </c>
      <c r="C119" s="28" t="str">
        <f>Sites[[#This Row],[SOL'#]]</f>
        <v>SOL-10821</v>
      </c>
      <c r="D119" s="10"/>
      <c r="E119" s="15"/>
      <c r="F119" s="15"/>
      <c r="G119" s="16"/>
      <c r="H119" s="17"/>
      <c r="I119" s="17"/>
      <c r="J119" s="16"/>
      <c r="K119" s="39"/>
      <c r="L119" s="40"/>
    </row>
    <row r="120" spans="1:12" ht="15.75">
      <c r="A120" s="25" t="str">
        <v>Wyoming Road</v>
      </c>
      <c r="B120" s="26" t="str">
        <v>DE</v>
      </c>
      <c r="C120" s="26" t="str">
        <f>Sites[[#This Row],[SOL'#]]</f>
        <v>SOL-10819</v>
      </c>
      <c r="D120" s="21"/>
      <c r="E120" s="11"/>
      <c r="F120" s="11"/>
      <c r="G120" s="12"/>
      <c r="H120" s="13"/>
      <c r="I120" s="13"/>
      <c r="J120" s="14"/>
      <c r="K120" s="38"/>
      <c r="L120" s="38"/>
    </row>
    <row r="121" spans="1:12" ht="15.75">
      <c r="A121" s="27" t="str">
        <v>Leoku</v>
      </c>
      <c r="B121" s="28" t="str">
        <v>HI</v>
      </c>
      <c r="C121" s="28" t="str">
        <f>Sites[[#This Row],[SOL'#]]</f>
        <v>SOL-10071</v>
      </c>
      <c r="D121" s="10"/>
      <c r="E121" s="15"/>
      <c r="F121" s="15"/>
      <c r="G121" s="16"/>
      <c r="H121" s="17"/>
      <c r="I121" s="17"/>
      <c r="J121" s="16"/>
      <c r="K121" s="39"/>
      <c r="L121" s="40"/>
    </row>
    <row r="122" spans="1:12" ht="15.75">
      <c r="A122" s="25" t="str">
        <v>Waipahu</v>
      </c>
      <c r="B122" s="26" t="str">
        <v>HI</v>
      </c>
      <c r="C122" s="26" t="str">
        <f>Sites[[#This Row],[SOL'#]]</f>
        <v>SOL-10068</v>
      </c>
      <c r="D122" s="21"/>
      <c r="E122" s="11"/>
      <c r="F122" s="11"/>
      <c r="G122" s="12"/>
      <c r="H122" s="13"/>
      <c r="I122" s="13"/>
      <c r="J122" s="14"/>
      <c r="K122" s="38"/>
      <c r="L122" s="38"/>
    </row>
    <row r="123" spans="1:12" ht="15.75">
      <c r="A123" s="27" t="str">
        <v>Bird in Hand</v>
      </c>
      <c r="B123" s="28" t="str">
        <v>MD</v>
      </c>
      <c r="C123" s="28" t="str">
        <f>Sites[[#This Row],[SOL'#]]</f>
        <v>SOL-10092</v>
      </c>
      <c r="D123" s="10"/>
      <c r="E123" s="15"/>
      <c r="F123" s="15"/>
      <c r="G123" s="16"/>
      <c r="H123" s="17"/>
      <c r="I123" s="17"/>
      <c r="J123" s="16"/>
      <c r="K123" s="39"/>
      <c r="L123" s="40"/>
    </row>
    <row r="124" spans="1:12" ht="15.75">
      <c r="A124" s="25" t="str">
        <v>Shortal</v>
      </c>
      <c r="B124" s="26" t="str">
        <v>MD</v>
      </c>
      <c r="C124" s="26" t="str">
        <f>Sites[[#This Row],[SOL'#]]</f>
        <v>SOL-10091</v>
      </c>
      <c r="D124" s="21"/>
      <c r="E124" s="11"/>
      <c r="F124" s="11"/>
      <c r="G124" s="12"/>
      <c r="H124" s="13"/>
      <c r="I124" s="13"/>
      <c r="J124" s="14"/>
      <c r="K124" s="38"/>
      <c r="L124" s="38"/>
    </row>
    <row r="125" spans="1:12" ht="15.75">
      <c r="A125" s="27" t="str">
        <v>Aguadilla</v>
      </c>
      <c r="B125" s="28" t="str">
        <v>PR</v>
      </c>
      <c r="C125" s="28" t="str">
        <f>Sites[[#This Row],[SOL'#]]</f>
        <v>SOL-10072</v>
      </c>
      <c r="D125" s="10"/>
      <c r="E125" s="15"/>
      <c r="F125" s="15"/>
      <c r="G125" s="16"/>
      <c r="H125" s="17"/>
      <c r="I125" s="17"/>
      <c r="J125" s="16"/>
      <c r="K125" s="39"/>
      <c r="L125" s="39"/>
    </row>
    <row r="126" spans="1:12" ht="15.75">
      <c r="A126" s="25" t="str">
        <v>Bayamon</v>
      </c>
      <c r="B126" s="26" t="str">
        <v>PR</v>
      </c>
      <c r="C126" s="26" t="str">
        <f>Sites[[#This Row],[SOL'#]]</f>
        <v>SOL-10073</v>
      </c>
      <c r="D126" s="21"/>
      <c r="E126" s="11"/>
      <c r="F126" s="11"/>
      <c r="G126" s="12"/>
      <c r="H126" s="13"/>
      <c r="I126" s="13"/>
      <c r="J126" s="14"/>
      <c r="K126" s="38"/>
      <c r="L126" s="38"/>
    </row>
    <row r="127" spans="1:12" ht="15.75">
      <c r="A127" s="27" t="str">
        <v>St Francis</v>
      </c>
      <c r="B127" s="28" t="str">
        <v>PR</v>
      </c>
      <c r="C127" s="28" t="str">
        <f>Sites[[#This Row],[SOL'#]]</f>
        <v>SOL-10034</v>
      </c>
      <c r="D127" s="10"/>
      <c r="E127" s="15"/>
      <c r="F127" s="15"/>
      <c r="G127" s="16"/>
      <c r="H127" s="17"/>
      <c r="I127" s="17"/>
      <c r="J127" s="16"/>
      <c r="K127" s="39"/>
      <c r="L127" s="40"/>
    </row>
    <row r="128" spans="1:12" ht="15.75">
      <c r="A128" s="25" t="str">
        <v>Seaport</v>
      </c>
      <c r="B128" s="26" t="str">
        <v>MA</v>
      </c>
      <c r="C128" s="26" t="str">
        <f>Sites[[#This Row],[SOL'#]]</f>
        <v>SOL-10772</v>
      </c>
      <c r="D128" s="21"/>
      <c r="E128" s="11"/>
      <c r="F128" s="11"/>
      <c r="G128" s="12"/>
      <c r="H128" s="13"/>
      <c r="I128" s="13"/>
      <c r="J128" s="14"/>
      <c r="K128" s="38"/>
      <c r="L128" s="38"/>
    </row>
    <row r="129" spans="1:12" ht="15.75">
      <c r="A129" s="27" t="str">
        <v>Sprague St</v>
      </c>
      <c r="B129" s="28" t="str">
        <v>MA</v>
      </c>
      <c r="C129" s="28" t="str">
        <f>Sites[[#This Row],[SOL'#]]</f>
        <v>SOL-10773</v>
      </c>
      <c r="D129" s="10"/>
      <c r="E129" s="15"/>
      <c r="F129" s="15"/>
      <c r="G129" s="16"/>
      <c r="H129" s="17"/>
      <c r="I129" s="17"/>
      <c r="J129" s="16"/>
      <c r="K129" s="39"/>
      <c r="L129" s="40"/>
    </row>
    <row r="130" spans="1:12" ht="15.75">
      <c r="A130" s="25" t="str">
        <v>Summer St</v>
      </c>
      <c r="B130" s="26" t="str">
        <v>MA</v>
      </c>
      <c r="C130" s="26" t="str">
        <f>Sites[[#This Row],[SOL'#]]</f>
        <v>SOL-10764</v>
      </c>
      <c r="D130" s="21"/>
      <c r="E130" s="11"/>
      <c r="F130" s="11"/>
      <c r="G130" s="12"/>
      <c r="H130" s="13"/>
      <c r="I130" s="13"/>
      <c r="J130" s="14"/>
      <c r="K130" s="38"/>
      <c r="L130" s="38"/>
    </row>
    <row r="131" spans="1:12" ht="15.75">
      <c r="A131" s="27" t="str">
        <v>Brock St Vocational</v>
      </c>
      <c r="B131" s="28" t="str">
        <v>NH</v>
      </c>
      <c r="C131" s="28" t="str">
        <f>Sites[[#This Row],[SOL'#]]</f>
        <v>SOL-10768</v>
      </c>
      <c r="D131" s="10"/>
      <c r="E131" s="15"/>
      <c r="F131" s="15"/>
      <c r="G131" s="16"/>
      <c r="H131" s="17"/>
      <c r="I131" s="17"/>
      <c r="J131" s="16"/>
      <c r="K131" s="39"/>
      <c r="L131" s="40"/>
    </row>
    <row r="132" spans="1:12" ht="15.75">
      <c r="A132" s="25" t="str">
        <v>McClelland ES</v>
      </c>
      <c r="B132" s="26" t="str">
        <v>NH</v>
      </c>
      <c r="C132" s="26" t="str">
        <f>Sites[[#This Row],[SOL'#]]</f>
        <v>SOL-10766</v>
      </c>
      <c r="D132" s="21"/>
      <c r="E132" s="11"/>
      <c r="F132" s="11"/>
      <c r="G132" s="12"/>
      <c r="H132" s="13"/>
      <c r="I132" s="13"/>
      <c r="J132" s="14"/>
      <c r="K132" s="38"/>
      <c r="L132" s="38"/>
    </row>
    <row r="133" spans="1:12" ht="15.75">
      <c r="A133" s="27" t="str">
        <v>Portland St</v>
      </c>
      <c r="B133" s="28" t="str">
        <v>NH</v>
      </c>
      <c r="C133" s="28" t="str">
        <f>Sites[[#This Row],[SOL'#]]</f>
        <v>SOL-10771</v>
      </c>
      <c r="D133" s="10"/>
      <c r="E133" s="15"/>
      <c r="F133" s="15"/>
      <c r="G133" s="16"/>
      <c r="H133" s="17"/>
      <c r="I133" s="17"/>
      <c r="J133" s="16"/>
      <c r="K133" s="39"/>
      <c r="L133" s="40"/>
    </row>
    <row r="134" spans="1:12" ht="15.75">
      <c r="A134" s="25" t="str">
        <v>Portsmouth HS</v>
      </c>
      <c r="B134" s="26" t="str">
        <v>NH</v>
      </c>
      <c r="C134" s="26" t="str">
        <f>Sites[[#This Row],[SOL'#]]</f>
        <v>SOL-10769</v>
      </c>
      <c r="D134" s="21"/>
      <c r="E134" s="11"/>
      <c r="F134" s="11"/>
      <c r="G134" s="12"/>
      <c r="H134" s="13"/>
      <c r="I134" s="13"/>
      <c r="J134" s="14"/>
      <c r="K134" s="38"/>
      <c r="L134" s="38"/>
    </row>
    <row r="135" spans="1:12" ht="15.75">
      <c r="A135" s="27" t="str">
        <v>Portsmouth WTP</v>
      </c>
      <c r="B135" s="28" t="str">
        <v>NH</v>
      </c>
      <c r="C135" s="28" t="str">
        <f>Sites[[#This Row],[SOL'#]]</f>
        <v>SOL-10770</v>
      </c>
      <c r="D135" s="10"/>
      <c r="E135" s="15"/>
      <c r="F135" s="15"/>
      <c r="G135" s="16"/>
      <c r="H135" s="17"/>
      <c r="I135" s="17"/>
      <c r="J135" s="16"/>
      <c r="K135" s="39"/>
      <c r="L135" s="40"/>
    </row>
    <row r="136" spans="1:12" ht="15.75">
      <c r="A136" s="25" t="str">
        <v>Rochester St</v>
      </c>
      <c r="B136" s="26" t="str">
        <v>NH</v>
      </c>
      <c r="C136" s="26" t="str">
        <f>Sites[[#This Row],[SOL'#]]</f>
        <v>SOL-10765</v>
      </c>
      <c r="D136" s="21"/>
      <c r="E136" s="11"/>
      <c r="F136" s="11"/>
      <c r="G136" s="12"/>
      <c r="H136" s="13"/>
      <c r="I136" s="13"/>
      <c r="J136" s="14"/>
      <c r="K136" s="38"/>
      <c r="L136" s="38"/>
    </row>
    <row r="137" spans="1:12" ht="15.75">
      <c r="A137" s="27" t="str">
        <v>Spaulding HS</v>
      </c>
      <c r="B137" s="28" t="str">
        <v>NH</v>
      </c>
      <c r="C137" s="28" t="str">
        <f>Sites[[#This Row],[SOL'#]]</f>
        <v>SOL-10767</v>
      </c>
      <c r="D137" s="10"/>
      <c r="E137" s="15"/>
      <c r="F137" s="15"/>
      <c r="G137" s="16"/>
      <c r="H137" s="17"/>
      <c r="I137" s="17"/>
      <c r="J137" s="16"/>
      <c r="K137" s="39"/>
      <c r="L137" s="40"/>
    </row>
    <row r="138" spans="1:12" ht="15.75">
      <c r="A138" s="25" t="str">
        <v>Ridgeway #2</v>
      </c>
      <c r="B138" s="26" t="str">
        <v>NY</v>
      </c>
      <c r="C138" s="26" t="str">
        <f>Sites[[#This Row],[SOL'#]]</f>
        <v>SOL-11027</v>
      </c>
      <c r="D138" s="21"/>
      <c r="E138" s="11"/>
      <c r="F138" s="11"/>
      <c r="G138" s="12"/>
      <c r="H138" s="13"/>
      <c r="I138" s="13"/>
      <c r="J138" s="14"/>
      <c r="K138" s="38"/>
      <c r="L138" s="38"/>
    </row>
    <row r="139" spans="1:12" ht="15.75">
      <c r="A139" s="27" t="str">
        <v>Spencer</v>
      </c>
      <c r="B139" s="28" t="str">
        <v>NY</v>
      </c>
      <c r="C139" s="28" t="str">
        <f>Sites[[#This Row],[SOL'#]]</f>
        <v>SOL-11017</v>
      </c>
      <c r="D139" s="10"/>
      <c r="E139" s="15"/>
      <c r="F139" s="15"/>
      <c r="G139" s="16"/>
      <c r="H139" s="17"/>
      <c r="I139" s="17"/>
      <c r="J139" s="16"/>
      <c r="K139" s="39"/>
      <c r="L139" s="40"/>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10" priority="11" stopIfTrue="1" operator="lessThanOrEqual">
      <formula>-0.1</formula>
    </cfRule>
    <cfRule type="expression" dxfId="9" priority="12">
      <formula>AND(ISNUMBER(G2), G2&gt;=0.1)</formula>
    </cfRule>
  </conditionalFormatting>
  <conditionalFormatting sqref="G4:G161 J4:J161">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341"/>
  <sheetViews>
    <sheetView workbookViewId="0">
      <pane xSplit="2" ySplit="3" topLeftCell="C4" activePane="bottomRight" state="frozen"/>
      <selection pane="bottomRight" activeCell="I4" sqref="I4"/>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23" t="str" cm="1">
        <f t="array" ref="A1">portfolio</f>
        <v>Generate Capital</v>
      </c>
      <c r="B1" s="123"/>
      <c r="C1" s="123"/>
      <c r="D1" s="123"/>
      <c r="E1" s="124" t="s">
        <v>1213</v>
      </c>
      <c r="F1" s="124"/>
      <c r="G1" s="124"/>
      <c r="H1" s="122" t="s">
        <v>1214</v>
      </c>
      <c r="I1" s="122"/>
      <c r="J1" s="122"/>
      <c r="K1" s="5"/>
      <c r="L1" s="5"/>
    </row>
    <row r="2" spans="1:12" ht="19.5" customHeight="1">
      <c r="A2" s="125" t="s">
        <v>2</v>
      </c>
      <c r="B2" s="125"/>
      <c r="C2" s="72"/>
      <c r="D2" s="6">
        <f>SUM(D4:D100)</f>
        <v>0</v>
      </c>
      <c r="E2" s="6">
        <f>SUM(E4:E100)</f>
        <v>0</v>
      </c>
      <c r="F2" s="6">
        <f>D2-E2</f>
        <v>0</v>
      </c>
      <c r="G2" s="7">
        <f>IFERROR(F2/E2, 0)</f>
        <v>0</v>
      </c>
      <c r="H2" s="6">
        <f>SUM(H4:H100)</f>
        <v>0</v>
      </c>
      <c r="I2" s="8">
        <f>D2-H2</f>
        <v>0</v>
      </c>
      <c r="J2" s="7">
        <f>IFERROR(I2/H2, 0)</f>
        <v>0</v>
      </c>
      <c r="K2" s="23" t="str">
        <f ca="1">IF(AND(TODAY()&gt;DATE(2024, 12, 1), COUNTA(Sites[Site])&lt;&gt;(COUNT(D:D)-1)), "Some sites are missing actual data; if new sites were added, make sure they are aligned correctly (including prior months!)", "")</f>
        <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c r="E4" s="11"/>
      <c r="F4" s="11" t="str">
        <f>IF(AND(ISNUMBER(D4),ISNUMBER(E4)), D4-E4, "")</f>
        <v/>
      </c>
      <c r="G4" s="12" t="str">
        <f>IFERROR(F4/E4, "")</f>
        <v/>
      </c>
      <c r="H4" s="13"/>
      <c r="I4" s="13" t="str">
        <f>IF(AND(ISNUMBER(D4),ISNUMBER(H4)), D4-H4, "")</f>
        <v/>
      </c>
      <c r="J4" s="14" t="str">
        <f>IFERROR(I4/H4, "")</f>
        <v/>
      </c>
      <c r="K4" s="38"/>
      <c r="L4" s="38"/>
    </row>
    <row r="5" spans="1:12" ht="15.75">
      <c r="A5" s="27" t="str">
        <v>Fulton</v>
      </c>
      <c r="B5" s="28" t="str">
        <v>AZ</v>
      </c>
      <c r="C5" s="28" t="str">
        <f>Sites[[#This Row],[SOL'#]]</f>
        <v>SOL-10749</v>
      </c>
      <c r="D5" s="10"/>
      <c r="E5" s="15"/>
      <c r="F5" s="15" t="str">
        <f t="shared" ref="F5:F17" si="0">IF(AND(ISNUMBER(D5),ISNUMBER(E5)), D5-E5, "")</f>
        <v/>
      </c>
      <c r="G5" s="16" t="str">
        <f>IFERROR(F5/E5, "")</f>
        <v/>
      </c>
      <c r="H5" s="17"/>
      <c r="I5" s="17" t="str">
        <f t="shared" ref="I5:I17" si="1">IF(AND(ISNUMBER(D5),ISNUMBER(H5)), D5-H5, "")</f>
        <v/>
      </c>
      <c r="J5" s="16" t="str">
        <f t="shared" ref="J5:J17" si="2">IFERROR(I5/H5, "")</f>
        <v/>
      </c>
      <c r="K5" s="39"/>
      <c r="L5" s="39"/>
    </row>
    <row r="6" spans="1:12" ht="15.75">
      <c r="A6" s="25" t="str">
        <v>JFK Elementary</v>
      </c>
      <c r="B6" s="26" t="str">
        <v>AZ</v>
      </c>
      <c r="C6" s="26" t="str">
        <f>Sites[[#This Row],[SOL'#]]</f>
        <v>SOL-10758</v>
      </c>
      <c r="D6" s="21"/>
      <c r="E6" s="11"/>
      <c r="F6" s="11" t="str">
        <f t="shared" si="0"/>
        <v/>
      </c>
      <c r="G6" s="12" t="str">
        <f t="shared" ref="G6:G17" si="3">IFERROR(F6/E6, "")</f>
        <v/>
      </c>
      <c r="H6" s="13"/>
      <c r="I6" s="13" t="str">
        <f t="shared" si="1"/>
        <v/>
      </c>
      <c r="J6" s="14" t="str">
        <f t="shared" si="2"/>
        <v/>
      </c>
      <c r="K6" s="38"/>
      <c r="L6" s="38"/>
    </row>
    <row r="7" spans="1:12" ht="15.75">
      <c r="A7" s="27" t="str">
        <v>Noble</v>
      </c>
      <c r="B7" s="28" t="str">
        <v>AZ</v>
      </c>
      <c r="C7" s="28" t="str">
        <f>Sites[[#This Row],[SOL'#]]</f>
        <v>SOL-10750</v>
      </c>
      <c r="D7" s="10"/>
      <c r="E7" s="15"/>
      <c r="F7" s="15" t="str">
        <f t="shared" si="0"/>
        <v/>
      </c>
      <c r="G7" s="16" t="str">
        <f t="shared" si="3"/>
        <v/>
      </c>
      <c r="H7" s="17"/>
      <c r="I7" s="17" t="str">
        <f t="shared" si="1"/>
        <v/>
      </c>
      <c r="J7" s="16" t="str">
        <f t="shared" si="2"/>
        <v/>
      </c>
      <c r="K7" s="39"/>
      <c r="L7" s="40"/>
    </row>
    <row r="8" spans="1:12" ht="15.75">
      <c r="A8" s="25" t="str">
        <v>Parking 3</v>
      </c>
      <c r="B8" s="26" t="str">
        <v>AZ</v>
      </c>
      <c r="C8" s="26" t="str">
        <f>Sites[[#This Row],[SOL'#]]</f>
        <v>SOL-10751</v>
      </c>
      <c r="D8" s="21"/>
      <c r="E8" s="11"/>
      <c r="F8" s="11" t="str">
        <f t="shared" si="0"/>
        <v/>
      </c>
      <c r="G8" s="12" t="str">
        <f t="shared" si="3"/>
        <v/>
      </c>
      <c r="H8" s="13"/>
      <c r="I8" s="13" t="str">
        <f t="shared" si="1"/>
        <v/>
      </c>
      <c r="J8" s="14" t="str">
        <f t="shared" si="2"/>
        <v/>
      </c>
      <c r="K8" s="38"/>
      <c r="L8" s="38"/>
    </row>
    <row r="9" spans="1:12" ht="15.75">
      <c r="A9" s="27" t="str">
        <v>PE East</v>
      </c>
      <c r="B9" s="28" t="str">
        <v>AZ</v>
      </c>
      <c r="C9" s="28" t="str">
        <f>Sites[[#This Row],[SOL'#]]</f>
        <v>SOL-10752</v>
      </c>
      <c r="D9" s="10"/>
      <c r="E9" s="15"/>
      <c r="F9" s="15" t="str">
        <f t="shared" si="0"/>
        <v/>
      </c>
      <c r="G9" s="16" t="str">
        <f t="shared" si="3"/>
        <v/>
      </c>
      <c r="H9" s="17"/>
      <c r="I9" s="17" t="str">
        <f t="shared" si="1"/>
        <v/>
      </c>
      <c r="J9" s="16" t="str">
        <f t="shared" si="2"/>
        <v/>
      </c>
      <c r="K9" s="39"/>
      <c r="L9" s="40"/>
    </row>
    <row r="10" spans="1:12" ht="15.75">
      <c r="A10" s="25" t="str">
        <v>Schwada</v>
      </c>
      <c r="B10" s="26" t="str">
        <v>AZ</v>
      </c>
      <c r="C10" s="26" t="str">
        <f>Sites[[#This Row],[SOL'#]]</f>
        <v>SOL-10753</v>
      </c>
      <c r="D10" s="21"/>
      <c r="E10" s="11"/>
      <c r="F10" s="11" t="str">
        <f t="shared" si="0"/>
        <v/>
      </c>
      <c r="G10" s="12" t="str">
        <f t="shared" si="3"/>
        <v/>
      </c>
      <c r="H10" s="13"/>
      <c r="I10" s="13" t="str">
        <f t="shared" si="1"/>
        <v/>
      </c>
      <c r="J10" s="14" t="str">
        <f t="shared" si="2"/>
        <v/>
      </c>
      <c r="K10" s="38"/>
      <c r="L10" s="38"/>
    </row>
    <row r="11" spans="1:12" ht="15.75">
      <c r="A11" s="27" t="str">
        <v>Starshine</v>
      </c>
      <c r="B11" s="28" t="str">
        <v>AZ</v>
      </c>
      <c r="C11" s="28" t="str">
        <f>Sites[[#This Row],[SOL'#]]</f>
        <v>SOL-10757</v>
      </c>
      <c r="D11" s="10"/>
      <c r="E11" s="15"/>
      <c r="F11" s="15" t="str">
        <f t="shared" si="0"/>
        <v/>
      </c>
      <c r="G11" s="16" t="str">
        <f t="shared" si="3"/>
        <v/>
      </c>
      <c r="H11" s="17"/>
      <c r="I11" s="17" t="str">
        <f t="shared" si="1"/>
        <v/>
      </c>
      <c r="J11" s="16" t="str">
        <f t="shared" si="2"/>
        <v/>
      </c>
      <c r="K11" s="39"/>
      <c r="L11" s="40"/>
    </row>
    <row r="12" spans="1:12" ht="15.75">
      <c r="A12" s="25" t="str">
        <v>Yuma Airport</v>
      </c>
      <c r="B12" s="26" t="str">
        <v>AZ</v>
      </c>
      <c r="C12" s="26" t="str">
        <f>Sites[[#This Row],[SOL'#]]</f>
        <v>SOL-10754</v>
      </c>
      <c r="D12" s="21"/>
      <c r="E12" s="11"/>
      <c r="F12" s="11" t="str">
        <f t="shared" si="0"/>
        <v/>
      </c>
      <c r="G12" s="12" t="str">
        <f t="shared" si="3"/>
        <v/>
      </c>
      <c r="H12" s="13"/>
      <c r="I12" s="13" t="str">
        <f t="shared" si="1"/>
        <v/>
      </c>
      <c r="J12" s="14" t="str">
        <f t="shared" si="2"/>
        <v/>
      </c>
      <c r="K12" s="38"/>
      <c r="L12" s="38"/>
    </row>
    <row r="13" spans="1:12" ht="15.75">
      <c r="A13" s="27" t="str">
        <v>Kinsman</v>
      </c>
      <c r="B13" s="28" t="str">
        <v>OH</v>
      </c>
      <c r="C13" s="28" t="str">
        <f>Sites[[#This Row],[SOL'#]]</f>
        <v>SOL-10762</v>
      </c>
      <c r="D13" s="10"/>
      <c r="E13" s="15"/>
      <c r="F13" s="15" t="str">
        <f t="shared" si="0"/>
        <v/>
      </c>
      <c r="G13" s="16" t="str">
        <f t="shared" si="3"/>
        <v/>
      </c>
      <c r="H13" s="17"/>
      <c r="I13" s="17" t="str">
        <f t="shared" si="1"/>
        <v/>
      </c>
      <c r="J13" s="16" t="str">
        <f t="shared" si="2"/>
        <v/>
      </c>
      <c r="K13" s="39"/>
      <c r="L13" s="40"/>
    </row>
    <row r="14" spans="1:12" ht="15.75">
      <c r="A14" s="25" t="str">
        <v>Wooster</v>
      </c>
      <c r="B14" s="26" t="str">
        <v>OH</v>
      </c>
      <c r="C14" s="26" t="str">
        <f>Sites[[#This Row],[SOL'#]]</f>
        <v>SOL-10763</v>
      </c>
      <c r="D14" s="21"/>
      <c r="E14" s="11"/>
      <c r="F14" s="11" t="str">
        <f t="shared" si="0"/>
        <v/>
      </c>
      <c r="G14" s="12" t="str">
        <f t="shared" si="3"/>
        <v/>
      </c>
      <c r="H14" s="13"/>
      <c r="I14" s="13" t="str">
        <f t="shared" si="1"/>
        <v/>
      </c>
      <c r="J14" s="14" t="str">
        <f t="shared" si="2"/>
        <v/>
      </c>
      <c r="K14" s="38"/>
      <c r="L14" s="38"/>
    </row>
    <row r="15" spans="1:12" ht="15.75">
      <c r="A15" s="27" t="str">
        <v>Globe Gila CC</v>
      </c>
      <c r="B15" s="28" t="str">
        <v>AZ</v>
      </c>
      <c r="C15" s="28" t="str">
        <f>Sites[[#This Row],[SOL'#]]</f>
        <v>SOL-10755</v>
      </c>
      <c r="D15" s="10"/>
      <c r="E15" s="15"/>
      <c r="F15" s="15" t="str">
        <f t="shared" si="0"/>
        <v/>
      </c>
      <c r="G15" s="16" t="str">
        <f t="shared" si="3"/>
        <v/>
      </c>
      <c r="H15" s="17"/>
      <c r="I15" s="17" t="str">
        <f t="shared" si="1"/>
        <v/>
      </c>
      <c r="J15" s="16" t="str">
        <f t="shared" si="2"/>
        <v/>
      </c>
      <c r="K15" s="39"/>
      <c r="L15" s="40"/>
    </row>
    <row r="16" spans="1:12" ht="15.75">
      <c r="A16" s="25" t="str">
        <v>Payson Gila CC</v>
      </c>
      <c r="B16" s="26" t="str">
        <v>AZ</v>
      </c>
      <c r="C16" s="26" t="str">
        <f>Sites[[#This Row],[SOL'#]]</f>
        <v>SOL-10756</v>
      </c>
      <c r="D16" s="21"/>
      <c r="E16" s="11"/>
      <c r="F16" s="11" t="str">
        <f t="shared" si="0"/>
        <v/>
      </c>
      <c r="G16" s="12" t="str">
        <f t="shared" si="3"/>
        <v/>
      </c>
      <c r="H16" s="13"/>
      <c r="I16" s="13" t="str">
        <f t="shared" si="1"/>
        <v/>
      </c>
      <c r="J16" s="14" t="str">
        <f t="shared" si="2"/>
        <v/>
      </c>
      <c r="K16" s="38"/>
      <c r="L16" s="38"/>
    </row>
    <row r="17" spans="1:12" ht="15.75">
      <c r="A17" s="27" t="str">
        <v>SCNM</v>
      </c>
      <c r="B17" s="28" t="str">
        <v>AZ</v>
      </c>
      <c r="C17" s="28" t="str">
        <f>Sites[[#This Row],[SOL'#]]</f>
        <v>SOL-10760</v>
      </c>
      <c r="D17" s="10"/>
      <c r="E17" s="15"/>
      <c r="F17" s="15" t="str">
        <f t="shared" si="0"/>
        <v/>
      </c>
      <c r="G17" s="16" t="str">
        <f t="shared" si="3"/>
        <v/>
      </c>
      <c r="H17" s="17"/>
      <c r="I17" s="17" t="str">
        <f t="shared" si="1"/>
        <v/>
      </c>
      <c r="J17" s="16" t="str">
        <f t="shared" si="2"/>
        <v/>
      </c>
      <c r="K17" s="39"/>
      <c r="L17" s="39"/>
    </row>
    <row r="18" spans="1:12" ht="12.75" customHeight="1">
      <c r="A18" s="25" t="str">
        <v>Sequoia Charter School</v>
      </c>
      <c r="B18" s="26" t="str">
        <v>AZ</v>
      </c>
      <c r="C18" s="26" t="str">
        <f>Sites[[#This Row],[SOL'#]]</f>
        <v>SOL-10759</v>
      </c>
      <c r="D18" s="21"/>
      <c r="E18" s="11"/>
      <c r="F18" s="11"/>
      <c r="G18" s="12"/>
      <c r="H18" s="13"/>
      <c r="I18" s="13"/>
      <c r="J18" s="14"/>
      <c r="K18" s="38"/>
      <c r="L18" s="38"/>
    </row>
    <row r="19" spans="1:12" ht="15.75">
      <c r="A19" s="27" t="str">
        <v>RCAB</v>
      </c>
      <c r="B19" s="28" t="str">
        <v>MA</v>
      </c>
      <c r="C19" s="28" t="str">
        <f>Sites[[#This Row],[SOL'#]]</f>
        <v>SOL-10838</v>
      </c>
      <c r="D19" s="10"/>
      <c r="E19" s="15"/>
      <c r="F19" s="15"/>
      <c r="G19" s="16"/>
      <c r="H19" s="17"/>
      <c r="I19" s="17"/>
      <c r="J19" s="16"/>
      <c r="K19" s="39"/>
      <c r="L19" s="40"/>
    </row>
    <row r="20" spans="1:12" ht="15.75">
      <c r="A20" s="25" t="str">
        <v>Spectro Coatings</v>
      </c>
      <c r="B20" s="26" t="str">
        <v>MA</v>
      </c>
      <c r="C20" s="26" t="str">
        <f>Sites[[#This Row],[SOL'#]]</f>
        <v>SOL-10074</v>
      </c>
      <c r="D20" s="21"/>
      <c r="E20" s="11"/>
      <c r="F20" s="11"/>
      <c r="G20" s="12"/>
      <c r="H20" s="13"/>
      <c r="I20" s="13"/>
      <c r="J20" s="14"/>
      <c r="K20" s="38"/>
      <c r="L20" s="38"/>
    </row>
    <row r="21" spans="1:12" ht="15.75">
      <c r="A21" s="27" t="str">
        <v>K026</v>
      </c>
      <c r="B21" s="28" t="str">
        <v>NY</v>
      </c>
      <c r="C21" s="28" t="str">
        <f>Sites[[#This Row],[SOL'#]]</f>
        <v>SOL-10356</v>
      </c>
      <c r="D21" s="10"/>
      <c r="E21" s="15"/>
      <c r="F21" s="15"/>
      <c r="G21" s="16"/>
      <c r="H21" s="17"/>
      <c r="I21" s="17"/>
      <c r="J21" s="16"/>
      <c r="K21" s="39"/>
      <c r="L21" s="40"/>
    </row>
    <row r="22" spans="1:12" ht="15.75">
      <c r="A22" s="25" t="str">
        <v>K041</v>
      </c>
      <c r="B22" s="26" t="str">
        <v>NY</v>
      </c>
      <c r="C22" s="26" t="str">
        <f>Sites[[#This Row],[SOL'#]]</f>
        <v>SOL-10357</v>
      </c>
      <c r="D22" s="21"/>
      <c r="E22" s="11"/>
      <c r="F22" s="11"/>
      <c r="G22" s="12"/>
      <c r="H22" s="13"/>
      <c r="I22" s="13"/>
      <c r="J22" s="14"/>
      <c r="K22" s="38"/>
      <c r="L22" s="38"/>
    </row>
    <row r="23" spans="1:12" ht="15.75">
      <c r="A23" s="27" t="str">
        <v>K043</v>
      </c>
      <c r="B23" s="28" t="str">
        <v>NY</v>
      </c>
      <c r="C23" s="28" t="str">
        <f>Sites[[#This Row],[SOL'#]]</f>
        <v>SOL-10358</v>
      </c>
      <c r="D23" s="10"/>
      <c r="E23" s="15"/>
      <c r="F23" s="15"/>
      <c r="G23" s="16"/>
      <c r="H23" s="17"/>
      <c r="I23" s="17"/>
      <c r="J23" s="16"/>
      <c r="K23" s="39"/>
      <c r="L23" s="40"/>
    </row>
    <row r="24" spans="1:12" ht="15.75">
      <c r="A24" s="25" t="str">
        <v>K058</v>
      </c>
      <c r="B24" s="26" t="str">
        <v>NY</v>
      </c>
      <c r="C24" s="26" t="str">
        <f>Sites[[#This Row],[SOL'#]]</f>
        <v>SOL-10360</v>
      </c>
      <c r="D24" s="21"/>
      <c r="E24" s="11"/>
      <c r="F24" s="11"/>
      <c r="G24" s="12"/>
      <c r="H24" s="13"/>
      <c r="I24" s="13"/>
      <c r="J24" s="14"/>
      <c r="K24" s="38"/>
      <c r="L24" s="38"/>
    </row>
    <row r="25" spans="1:12" ht="15.75">
      <c r="A25" s="27" t="str">
        <v>K115</v>
      </c>
      <c r="B25" s="28" t="str">
        <v>NY</v>
      </c>
      <c r="C25" s="28" t="str">
        <f>Sites[[#This Row],[SOL'#]]</f>
        <v>SOL-10361</v>
      </c>
      <c r="D25" s="10"/>
      <c r="E25" s="15"/>
      <c r="F25" s="15"/>
      <c r="G25" s="16"/>
      <c r="H25" s="17"/>
      <c r="I25" s="17"/>
      <c r="J25" s="16"/>
      <c r="K25" s="39"/>
      <c r="L25" s="40"/>
    </row>
    <row r="26" spans="1:12" ht="15.75">
      <c r="A26" s="25" t="str">
        <v>K152</v>
      </c>
      <c r="B26" s="26" t="str">
        <v>NY</v>
      </c>
      <c r="C26" s="26" t="str">
        <f>Sites[[#This Row],[SOL'#]]</f>
        <v>SOL-10362</v>
      </c>
      <c r="D26" s="21"/>
      <c r="E26" s="11"/>
      <c r="F26" s="11"/>
      <c r="G26" s="12"/>
      <c r="H26" s="13"/>
      <c r="I26" s="13"/>
      <c r="J26" s="14"/>
      <c r="K26" s="38"/>
      <c r="L26" s="38"/>
    </row>
    <row r="27" spans="1:12" ht="15.75">
      <c r="A27" s="27" t="str">
        <v>K166</v>
      </c>
      <c r="B27" s="28" t="str">
        <v>NY</v>
      </c>
      <c r="C27" s="28" t="str">
        <f>Sites[[#This Row],[SOL'#]]</f>
        <v>SOL-10363</v>
      </c>
      <c r="D27" s="10"/>
      <c r="E27" s="15"/>
      <c r="F27" s="15"/>
      <c r="G27" s="16"/>
      <c r="H27" s="17"/>
      <c r="I27" s="17"/>
      <c r="J27" s="16"/>
      <c r="K27" s="39"/>
      <c r="L27" s="40"/>
    </row>
    <row r="28" spans="1:12" ht="15.75">
      <c r="A28" s="25" t="str">
        <v>K206</v>
      </c>
      <c r="B28" s="26" t="str">
        <v>NY</v>
      </c>
      <c r="C28" s="26" t="str">
        <f>Sites[[#This Row],[SOL'#]]</f>
        <v>SOL-10927</v>
      </c>
      <c r="D28" s="21"/>
      <c r="E28" s="11"/>
      <c r="F28" s="11"/>
      <c r="G28" s="12"/>
      <c r="H28" s="13"/>
      <c r="I28" s="13"/>
      <c r="J28" s="14"/>
      <c r="K28" s="38"/>
      <c r="L28" s="38"/>
    </row>
    <row r="29" spans="1:12" ht="15.75">
      <c r="A29" s="27" t="str">
        <v>K251</v>
      </c>
      <c r="B29" s="28" t="str">
        <v>NY</v>
      </c>
      <c r="C29" s="28" t="str">
        <f>Sites[[#This Row],[SOL'#]]</f>
        <v>SOL-10365</v>
      </c>
      <c r="D29" s="10"/>
      <c r="E29" s="15"/>
      <c r="F29" s="15"/>
      <c r="G29" s="16"/>
      <c r="H29" s="17"/>
      <c r="I29" s="17"/>
      <c r="J29" s="16"/>
      <c r="K29" s="39"/>
      <c r="L29" s="39"/>
    </row>
    <row r="30" spans="1:12" ht="15.75">
      <c r="A30" s="25" t="str">
        <v>K269</v>
      </c>
      <c r="B30" s="26" t="str">
        <v>NY</v>
      </c>
      <c r="C30" s="26" t="str">
        <f>Sites[[#This Row],[SOL'#]]</f>
        <v>SOL-10366</v>
      </c>
      <c r="D30" s="21"/>
      <c r="E30" s="11"/>
      <c r="F30" s="11"/>
      <c r="G30" s="12"/>
      <c r="H30" s="13"/>
      <c r="I30" s="13"/>
      <c r="J30" s="14"/>
      <c r="K30" s="38"/>
      <c r="L30" s="38"/>
    </row>
    <row r="31" spans="1:12" ht="15.75">
      <c r="A31" s="27" t="str">
        <v>K273</v>
      </c>
      <c r="B31" s="28" t="str">
        <v>NY</v>
      </c>
      <c r="C31" s="28" t="str">
        <f>Sites[[#This Row],[SOL'#]]</f>
        <v>SOL-10367</v>
      </c>
      <c r="D31" s="10"/>
      <c r="E31" s="15"/>
      <c r="F31" s="15"/>
      <c r="G31" s="16"/>
      <c r="H31" s="17"/>
      <c r="I31" s="17"/>
      <c r="J31" s="16"/>
      <c r="K31" s="39"/>
      <c r="L31" s="40"/>
    </row>
    <row r="32" spans="1:12" ht="15.75">
      <c r="A32" s="25" t="str">
        <v>K287</v>
      </c>
      <c r="B32" s="26" t="str">
        <v>NY</v>
      </c>
      <c r="C32" s="26" t="str">
        <f>Sites[[#This Row],[SOL'#]]</f>
        <v>SOL-10919</v>
      </c>
      <c r="D32" s="21"/>
      <c r="E32" s="11"/>
      <c r="F32" s="11"/>
      <c r="G32" s="12"/>
      <c r="H32" s="13"/>
      <c r="I32" s="13"/>
      <c r="J32" s="14"/>
      <c r="K32" s="38"/>
      <c r="L32" s="38"/>
    </row>
    <row r="33" spans="1:12" ht="15.75">
      <c r="A33" s="27" t="str">
        <v>K298</v>
      </c>
      <c r="B33" s="28" t="str">
        <v>NY</v>
      </c>
      <c r="C33" s="28" t="str">
        <f>Sites[[#This Row],[SOL'#]]</f>
        <v>SOL-10368</v>
      </c>
      <c r="D33" s="10"/>
      <c r="E33" s="15"/>
      <c r="F33" s="15"/>
      <c r="G33" s="16"/>
      <c r="H33" s="17"/>
      <c r="I33" s="17"/>
      <c r="J33" s="16"/>
      <c r="K33" s="39"/>
      <c r="L33" s="40"/>
    </row>
    <row r="34" spans="1:12" ht="15.75">
      <c r="A34" s="25" t="str">
        <v>K335</v>
      </c>
      <c r="B34" s="26" t="str">
        <v>NY</v>
      </c>
      <c r="C34" s="26" t="str">
        <f>Sites[[#This Row],[SOL'#]]</f>
        <v>SOL-10370</v>
      </c>
      <c r="D34" s="21"/>
      <c r="E34" s="11"/>
      <c r="F34" s="11"/>
      <c r="G34" s="12"/>
      <c r="H34" s="13"/>
      <c r="I34" s="13"/>
      <c r="J34" s="14"/>
      <c r="K34" s="38"/>
      <c r="L34" s="38"/>
    </row>
    <row r="35" spans="1:12" ht="15.75">
      <c r="A35" s="27" t="str">
        <v>K345</v>
      </c>
      <c r="B35" s="28" t="str">
        <v>NY</v>
      </c>
      <c r="C35" s="28" t="str">
        <f>Sites[[#This Row],[SOL'#]]</f>
        <v>SOL-10920</v>
      </c>
      <c r="D35" s="10"/>
      <c r="E35" s="15"/>
      <c r="F35" s="15"/>
      <c r="G35" s="16"/>
      <c r="H35" s="17"/>
      <c r="I35" s="17"/>
      <c r="J35" s="16"/>
      <c r="K35" s="39"/>
      <c r="L35" s="40"/>
    </row>
    <row r="36" spans="1:12" ht="15.75">
      <c r="A36" s="25" t="str">
        <v>K445</v>
      </c>
      <c r="B36" s="26" t="str">
        <v>NY</v>
      </c>
      <c r="C36" s="26" t="str">
        <f>Sites[[#This Row],[SOL'#]]</f>
        <v>SOL-10373</v>
      </c>
      <c r="D36" s="21"/>
      <c r="E36" s="11"/>
      <c r="F36" s="11"/>
      <c r="G36" s="12"/>
      <c r="H36" s="13"/>
      <c r="I36" s="13"/>
      <c r="J36" s="14"/>
      <c r="K36" s="38"/>
      <c r="L36" s="38"/>
    </row>
    <row r="37" spans="1:12" ht="15.75">
      <c r="A37" s="27" t="str">
        <v>K495</v>
      </c>
      <c r="B37" s="28" t="str">
        <v>NY</v>
      </c>
      <c r="C37" s="28" t="str">
        <f>Sites[[#This Row],[SOL'#]]</f>
        <v>SOL-10374</v>
      </c>
      <c r="D37" s="10"/>
      <c r="E37" s="15"/>
      <c r="F37" s="15"/>
      <c r="G37" s="16"/>
      <c r="H37" s="17"/>
      <c r="I37" s="17"/>
      <c r="J37" s="16"/>
      <c r="K37" s="39"/>
      <c r="L37" s="40"/>
    </row>
    <row r="38" spans="1:12" ht="15.75">
      <c r="A38" s="25" t="str">
        <v>M020</v>
      </c>
      <c r="B38" s="26" t="str">
        <v>NY</v>
      </c>
      <c r="C38" s="26" t="str">
        <f>Sites[[#This Row],[SOL'#]]</f>
        <v>SOL-10380</v>
      </c>
      <c r="D38" s="21"/>
      <c r="E38" s="11"/>
      <c r="F38" s="11"/>
      <c r="G38" s="12"/>
      <c r="H38" s="13"/>
      <c r="I38" s="13"/>
      <c r="J38" s="14"/>
      <c r="K38" s="38"/>
      <c r="L38" s="38"/>
    </row>
    <row r="39" spans="1:12" ht="15.75">
      <c r="A39" s="27" t="str">
        <v>M092</v>
      </c>
      <c r="B39" s="28" t="str">
        <v>NY</v>
      </c>
      <c r="C39" s="28" t="str">
        <f>Sites[[#This Row],[SOL'#]]</f>
        <v>SOL-10383</v>
      </c>
      <c r="D39" s="10"/>
      <c r="E39" s="15"/>
      <c r="F39" s="15"/>
      <c r="G39" s="16"/>
      <c r="H39" s="17"/>
      <c r="I39" s="17"/>
      <c r="J39" s="16"/>
      <c r="K39" s="39"/>
      <c r="L39" s="40"/>
    </row>
    <row r="40" spans="1:12" ht="15.75">
      <c r="A40" s="25" t="str">
        <v>M143</v>
      </c>
      <c r="B40" s="26" t="str">
        <v>NY</v>
      </c>
      <c r="C40" s="26" t="str">
        <f>Sites[[#This Row],[SOL'#]]</f>
        <v>SOL-10384</v>
      </c>
      <c r="D40" s="21"/>
      <c r="E40" s="11"/>
      <c r="F40" s="11"/>
      <c r="G40" s="12"/>
      <c r="H40" s="13"/>
      <c r="I40" s="13"/>
      <c r="J40" s="14"/>
      <c r="K40" s="38"/>
      <c r="L40" s="38"/>
    </row>
    <row r="41" spans="1:12" ht="15.75">
      <c r="A41" s="27" t="str">
        <v>M144</v>
      </c>
      <c r="B41" s="28" t="str">
        <v>NY</v>
      </c>
      <c r="C41" s="28" t="str">
        <f>Sites[[#This Row],[SOL'#]]</f>
        <v>SOL-10385</v>
      </c>
      <c r="D41" s="10"/>
      <c r="E41" s="15"/>
      <c r="F41" s="15"/>
      <c r="G41" s="16"/>
      <c r="H41" s="17"/>
      <c r="I41" s="17"/>
      <c r="J41" s="16"/>
      <c r="K41" s="39"/>
      <c r="L41" s="39"/>
    </row>
    <row r="42" spans="1:12" ht="15.75">
      <c r="A42" s="25" t="str">
        <v>M167</v>
      </c>
      <c r="B42" s="26" t="str">
        <v>NY</v>
      </c>
      <c r="C42" s="26" t="str">
        <f>Sites[[#This Row],[SOL'#]]</f>
        <v>SOL-10386</v>
      </c>
      <c r="D42" s="21"/>
      <c r="E42" s="11"/>
      <c r="F42" s="11"/>
      <c r="G42" s="12"/>
      <c r="H42" s="13"/>
      <c r="I42" s="13"/>
      <c r="J42" s="14"/>
      <c r="K42" s="38"/>
      <c r="L42" s="38"/>
    </row>
    <row r="43" spans="1:12" ht="15.75">
      <c r="A43" s="27" t="str">
        <v>M188</v>
      </c>
      <c r="B43" s="28" t="str">
        <v>NY</v>
      </c>
      <c r="C43" s="28" t="str">
        <f>Sites[[#This Row],[SOL'#]]</f>
        <v>SOL-10387</v>
      </c>
      <c r="D43" s="10"/>
      <c r="E43" s="15"/>
      <c r="F43" s="15"/>
      <c r="G43" s="16"/>
      <c r="H43" s="17"/>
      <c r="I43" s="17"/>
      <c r="J43" s="16"/>
      <c r="K43" s="39"/>
      <c r="L43" s="40"/>
    </row>
    <row r="44" spans="1:12" ht="15.75">
      <c r="A44" s="25" t="str">
        <v>EMHC</v>
      </c>
      <c r="B44" s="26" t="str">
        <v>NY</v>
      </c>
      <c r="C44" s="26" t="str">
        <f>Sites[[#This Row],[SOL'#]]</f>
        <v>SOL-10351</v>
      </c>
      <c r="D44" s="21"/>
      <c r="E44" s="11"/>
      <c r="F44" s="11"/>
      <c r="G44" s="12"/>
      <c r="H44" s="13"/>
      <c r="I44" s="13"/>
      <c r="J44" s="14"/>
      <c r="K44" s="38"/>
      <c r="L44" s="38"/>
    </row>
    <row r="45" spans="1:12" ht="15.75">
      <c r="A45" s="27" t="str">
        <v>Q008</v>
      </c>
      <c r="B45" s="28" t="str">
        <v>NY</v>
      </c>
      <c r="C45" s="28" t="str">
        <f>Sites[[#This Row],[SOL'#]]</f>
        <v>SOL-10397</v>
      </c>
      <c r="D45" s="10"/>
      <c r="E45" s="15"/>
      <c r="F45" s="15"/>
      <c r="G45" s="16"/>
      <c r="H45" s="17"/>
      <c r="I45" s="17"/>
      <c r="J45" s="16"/>
      <c r="K45" s="39"/>
      <c r="L45" s="40"/>
    </row>
    <row r="46" spans="1:12" ht="15.75">
      <c r="A46" s="25" t="str">
        <v>Q018</v>
      </c>
      <c r="B46" s="26" t="str">
        <v>NY</v>
      </c>
      <c r="C46" s="26" t="str">
        <f>Sites[[#This Row],[SOL'#]]</f>
        <v>SOL-10398</v>
      </c>
      <c r="D46" s="21"/>
      <c r="E46" s="11"/>
      <c r="F46" s="11"/>
      <c r="G46" s="12"/>
      <c r="H46" s="13"/>
      <c r="I46" s="13"/>
      <c r="J46" s="14"/>
      <c r="K46" s="38"/>
      <c r="L46" s="38"/>
    </row>
    <row r="47" spans="1:12" ht="15.75">
      <c r="A47" s="27" t="str">
        <v>Q021</v>
      </c>
      <c r="B47" s="28" t="str">
        <v>NY</v>
      </c>
      <c r="C47" s="28" t="str">
        <f>Sites[[#This Row],[SOL'#]]</f>
        <v>SOL-10399</v>
      </c>
      <c r="D47" s="10"/>
      <c r="E47" s="15"/>
      <c r="F47" s="15"/>
      <c r="G47" s="16"/>
      <c r="H47" s="17"/>
      <c r="I47" s="17"/>
      <c r="J47" s="16"/>
      <c r="K47" s="39"/>
      <c r="L47" s="40"/>
    </row>
    <row r="48" spans="1:12" ht="15.75">
      <c r="A48" s="25" t="str">
        <v>Q025</v>
      </c>
      <c r="B48" s="26" t="str">
        <v>NY</v>
      </c>
      <c r="C48" s="26" t="str">
        <f>Sites[[#This Row],[SOL'#]]</f>
        <v>SOL-10400</v>
      </c>
      <c r="D48" s="21"/>
      <c r="E48" s="11"/>
      <c r="F48" s="11"/>
      <c r="G48" s="12"/>
      <c r="H48" s="13"/>
      <c r="I48" s="13"/>
      <c r="J48" s="14"/>
      <c r="K48" s="38"/>
      <c r="L48" s="38"/>
    </row>
    <row r="49" spans="1:12" ht="15.75">
      <c r="A49" s="27" t="str">
        <v>Q074</v>
      </c>
      <c r="B49" s="28" t="str">
        <v>NY</v>
      </c>
      <c r="C49" s="28" t="str">
        <f>Sites[[#This Row],[SOL'#]]</f>
        <v>SOL-10402</v>
      </c>
      <c r="D49" s="10"/>
      <c r="E49" s="15"/>
      <c r="F49" s="15"/>
      <c r="G49" s="16"/>
      <c r="H49" s="17"/>
      <c r="I49" s="17"/>
      <c r="J49" s="16"/>
      <c r="K49" s="39"/>
      <c r="L49" s="40"/>
    </row>
    <row r="50" spans="1:12" ht="15.75">
      <c r="A50" s="25" t="str">
        <v>Q115</v>
      </c>
      <c r="B50" s="26" t="str">
        <v>NY</v>
      </c>
      <c r="C50" s="26" t="str">
        <f>Sites[[#This Row],[SOL'#]]</f>
        <v>SOL-10872</v>
      </c>
      <c r="D50" s="21"/>
      <c r="E50" s="11"/>
      <c r="F50" s="11"/>
      <c r="G50" s="12"/>
      <c r="H50" s="13"/>
      <c r="I50" s="13"/>
      <c r="J50" s="14"/>
      <c r="K50" s="38"/>
      <c r="L50" s="38"/>
    </row>
    <row r="51" spans="1:12" ht="15.75">
      <c r="A51" s="27" t="str">
        <v>Q139</v>
      </c>
      <c r="B51" s="28" t="str">
        <v>NY</v>
      </c>
      <c r="C51" s="28" t="str">
        <f>Sites[[#This Row],[SOL'#]]</f>
        <v>SOL-10403</v>
      </c>
      <c r="D51" s="10"/>
      <c r="E51" s="15"/>
      <c r="F51" s="15"/>
      <c r="G51" s="16"/>
      <c r="H51" s="17"/>
      <c r="I51" s="17"/>
      <c r="J51" s="16"/>
      <c r="K51" s="39"/>
      <c r="L51" s="40"/>
    </row>
    <row r="52" spans="1:12" ht="15.75">
      <c r="A52" s="25" t="str">
        <v>Q157</v>
      </c>
      <c r="B52" s="26" t="str">
        <v>NY</v>
      </c>
      <c r="C52" s="26" t="str">
        <f>Sites[[#This Row],[SOL'#]]</f>
        <v>SOL-10404</v>
      </c>
      <c r="D52" s="21"/>
      <c r="E52" s="11"/>
      <c r="F52" s="11"/>
      <c r="G52" s="12"/>
      <c r="H52" s="13"/>
      <c r="I52" s="13"/>
      <c r="J52" s="14"/>
      <c r="K52" s="38"/>
      <c r="L52" s="38"/>
    </row>
    <row r="53" spans="1:12" ht="15.75">
      <c r="A53" s="27" t="str">
        <v>Q192</v>
      </c>
      <c r="B53" s="28" t="str">
        <v>NY</v>
      </c>
      <c r="C53" s="28" t="str">
        <f>Sites[[#This Row],[SOL'#]]</f>
        <v>SOL-10406</v>
      </c>
      <c r="D53" s="10"/>
      <c r="E53" s="15"/>
      <c r="F53" s="15"/>
      <c r="G53" s="16"/>
      <c r="H53" s="17"/>
      <c r="I53" s="17"/>
      <c r="J53" s="16"/>
      <c r="K53" s="39"/>
      <c r="L53" s="39"/>
    </row>
    <row r="54" spans="1:12" ht="15.75">
      <c r="A54" s="25" t="str">
        <v>Q210</v>
      </c>
      <c r="B54" s="26" t="str">
        <v>NY</v>
      </c>
      <c r="C54" s="26" t="str">
        <f>Sites[[#This Row],[SOL'#]]</f>
        <v>SOL-10407</v>
      </c>
      <c r="D54" s="21"/>
      <c r="E54" s="11"/>
      <c r="F54" s="11"/>
      <c r="G54" s="12"/>
      <c r="H54" s="13"/>
      <c r="I54" s="13"/>
      <c r="J54" s="14"/>
      <c r="K54" s="38"/>
      <c r="L54" s="38"/>
    </row>
    <row r="55" spans="1:12" ht="15.75">
      <c r="A55" s="27" t="str">
        <v>Q229</v>
      </c>
      <c r="B55" s="28" t="str">
        <v>NY</v>
      </c>
      <c r="C55" s="28" t="str">
        <f>Sites[[#This Row],[SOL'#]]</f>
        <v>SOL-10408</v>
      </c>
      <c r="D55" s="10"/>
      <c r="E55" s="15"/>
      <c r="F55" s="15"/>
      <c r="G55" s="16"/>
      <c r="H55" s="17"/>
      <c r="I55" s="17"/>
      <c r="J55" s="16"/>
      <c r="K55" s="39"/>
      <c r="L55" s="40"/>
    </row>
    <row r="56" spans="1:12" ht="15.75">
      <c r="A56" s="25" t="str">
        <v>Q231</v>
      </c>
      <c r="B56" s="26" t="str">
        <v>NY</v>
      </c>
      <c r="C56" s="26" t="str">
        <f>Sites[[#This Row],[SOL'#]]</f>
        <v>SOL-10870</v>
      </c>
      <c r="D56" s="21"/>
      <c r="E56" s="11"/>
      <c r="F56" s="11"/>
      <c r="G56" s="12"/>
      <c r="H56" s="13"/>
      <c r="I56" s="13"/>
      <c r="J56" s="14"/>
      <c r="K56" s="38"/>
      <c r="L56" s="38"/>
    </row>
    <row r="57" spans="1:12" ht="15.75">
      <c r="A57" s="27" t="str">
        <v>Q405</v>
      </c>
      <c r="B57" s="28" t="str">
        <v>NY</v>
      </c>
      <c r="C57" s="28" t="str">
        <f>Sites[[#This Row],[SOL'#]]</f>
        <v>SOL-10409</v>
      </c>
      <c r="D57" s="10"/>
      <c r="E57" s="15"/>
      <c r="F57" s="15"/>
      <c r="G57" s="16"/>
      <c r="H57" s="17"/>
      <c r="I57" s="17"/>
      <c r="J57" s="16"/>
      <c r="K57" s="39"/>
      <c r="L57" s="40"/>
    </row>
    <row r="58" spans="1:12" ht="15.75">
      <c r="A58" s="25" t="str">
        <v>Q435</v>
      </c>
      <c r="B58" s="26" t="str">
        <v>NY</v>
      </c>
      <c r="C58" s="26" t="str">
        <f>Sites[[#This Row],[SOL'#]]</f>
        <v>SOL-10923</v>
      </c>
      <c r="D58" s="21"/>
      <c r="E58" s="11"/>
      <c r="F58" s="11"/>
      <c r="G58" s="12"/>
      <c r="H58" s="13"/>
      <c r="I58" s="13"/>
      <c r="J58" s="14"/>
      <c r="K58" s="38"/>
      <c r="L58" s="38"/>
    </row>
    <row r="59" spans="1:12" ht="15.75">
      <c r="A59" s="27" t="str">
        <v>Q485</v>
      </c>
      <c r="B59" s="28" t="str">
        <v>NY</v>
      </c>
      <c r="C59" s="28" t="str">
        <f>Sites[[#This Row],[SOL'#]]</f>
        <v>SOL-10869</v>
      </c>
      <c r="D59" s="10"/>
      <c r="E59" s="15"/>
      <c r="F59" s="15"/>
      <c r="G59" s="16"/>
      <c r="H59" s="17"/>
      <c r="I59" s="17"/>
      <c r="J59" s="16"/>
      <c r="K59" s="39"/>
      <c r="L59" s="40"/>
    </row>
    <row r="60" spans="1:12" ht="15.75">
      <c r="A60" s="25" t="str">
        <v>Q490</v>
      </c>
      <c r="B60" s="26" t="str">
        <v>NY</v>
      </c>
      <c r="C60" s="26" t="str">
        <f>Sites[[#This Row],[SOL'#]]</f>
        <v>SOL-10411</v>
      </c>
      <c r="D60" s="21"/>
      <c r="E60" s="11"/>
      <c r="F60" s="11"/>
      <c r="G60" s="12"/>
      <c r="H60" s="13"/>
      <c r="I60" s="13"/>
      <c r="J60" s="14"/>
      <c r="K60" s="38"/>
      <c r="L60" s="38"/>
    </row>
    <row r="61" spans="1:12" ht="15.75">
      <c r="A61" s="27" t="str">
        <v>Q620</v>
      </c>
      <c r="B61" s="28" t="str">
        <v>NY</v>
      </c>
      <c r="C61" s="28" t="str">
        <f>Sites[[#This Row],[SOL'#]]</f>
        <v>SOL-10867</v>
      </c>
      <c r="D61" s="10"/>
      <c r="E61" s="15"/>
      <c r="F61" s="15"/>
      <c r="G61" s="16"/>
      <c r="H61" s="17"/>
      <c r="I61" s="17"/>
      <c r="J61" s="16"/>
      <c r="K61" s="39"/>
      <c r="L61" s="40"/>
    </row>
    <row r="62" spans="1:12" ht="15.75">
      <c r="A62" s="25" t="str">
        <v>QMOA</v>
      </c>
      <c r="B62" s="26" t="str">
        <v>NY</v>
      </c>
      <c r="C62" s="26" t="str">
        <f>Sites[[#This Row],[SOL'#]]</f>
        <v>SOL-10415</v>
      </c>
      <c r="D62" s="21"/>
      <c r="E62" s="11"/>
      <c r="F62" s="11"/>
      <c r="G62" s="12"/>
      <c r="H62" s="13"/>
      <c r="I62" s="13"/>
      <c r="J62" s="14"/>
      <c r="K62" s="38"/>
      <c r="L62" s="38"/>
    </row>
    <row r="63" spans="1:12" ht="15.75">
      <c r="A63" s="27" t="str">
        <v>X024</v>
      </c>
      <c r="B63" s="28" t="str">
        <v>NY</v>
      </c>
      <c r="C63" s="28" t="str">
        <f>Sites[[#This Row],[SOL'#]]</f>
        <v>SOL-10419</v>
      </c>
      <c r="D63" s="10"/>
      <c r="E63" s="15"/>
      <c r="F63" s="15"/>
      <c r="G63" s="16"/>
      <c r="H63" s="17"/>
      <c r="I63" s="17"/>
      <c r="J63" s="16"/>
      <c r="K63" s="39"/>
      <c r="L63" s="40"/>
    </row>
    <row r="64" spans="1:12" ht="15.75">
      <c r="A64" s="25" t="str">
        <v>X026</v>
      </c>
      <c r="B64" s="26" t="str">
        <v>NY</v>
      </c>
      <c r="C64" s="26" t="str">
        <f>Sites[[#This Row],[SOL'#]]</f>
        <v>SOL-10420</v>
      </c>
      <c r="D64" s="21"/>
      <c r="E64" s="11"/>
      <c r="F64" s="11"/>
      <c r="G64" s="12"/>
      <c r="H64" s="13"/>
      <c r="I64" s="13"/>
      <c r="J64" s="14"/>
      <c r="K64" s="38"/>
      <c r="L64" s="38"/>
    </row>
    <row r="65" spans="1:12" ht="15.75">
      <c r="A65" s="27" t="str">
        <v>X090</v>
      </c>
      <c r="B65" s="28" t="str">
        <v>NY</v>
      </c>
      <c r="C65" s="28" t="str">
        <f>Sites[[#This Row],[SOL'#]]</f>
        <v>SOL-10925</v>
      </c>
      <c r="D65" s="10"/>
      <c r="E65" s="15"/>
      <c r="F65" s="15"/>
      <c r="G65" s="16"/>
      <c r="H65" s="17"/>
      <c r="I65" s="17"/>
      <c r="J65" s="16"/>
      <c r="K65" s="39"/>
      <c r="L65" s="39"/>
    </row>
    <row r="66" spans="1:12" ht="15.75">
      <c r="A66" s="25" t="str">
        <v>X117</v>
      </c>
      <c r="B66" s="26" t="str">
        <v>NY</v>
      </c>
      <c r="C66" s="26" t="str">
        <f>Sites[[#This Row],[SOL'#]]</f>
        <v>SOL-10422</v>
      </c>
      <c r="D66" s="21"/>
      <c r="E66" s="11"/>
      <c r="F66" s="11"/>
      <c r="G66" s="12"/>
      <c r="H66" s="13"/>
      <c r="I66" s="13"/>
      <c r="J66" s="14"/>
      <c r="K66" s="38"/>
      <c r="L66" s="38"/>
    </row>
    <row r="67" spans="1:12" ht="15.75">
      <c r="A67" s="27" t="str">
        <v>X125</v>
      </c>
      <c r="B67" s="28" t="str">
        <v>NY</v>
      </c>
      <c r="C67" s="28" t="str">
        <f>Sites[[#This Row],[SOL'#]]</f>
        <v>SOL-10423</v>
      </c>
      <c r="D67" s="10"/>
      <c r="E67" s="15"/>
      <c r="F67" s="15"/>
      <c r="G67" s="16"/>
      <c r="H67" s="17"/>
      <c r="I67" s="17"/>
      <c r="J67" s="16"/>
      <c r="K67" s="39"/>
      <c r="L67" s="40"/>
    </row>
    <row r="68" spans="1:12" ht="15.75">
      <c r="A68" s="25" t="str">
        <v>X134</v>
      </c>
      <c r="B68" s="26" t="str">
        <v>NY</v>
      </c>
      <c r="C68" s="26" t="str">
        <f>Sites[[#This Row],[SOL'#]]</f>
        <v>SOL-10424</v>
      </c>
      <c r="D68" s="21"/>
      <c r="E68" s="11"/>
      <c r="F68" s="11"/>
      <c r="G68" s="12"/>
      <c r="H68" s="13"/>
      <c r="I68" s="13"/>
      <c r="J68" s="14"/>
      <c r="K68" s="38"/>
      <c r="L68" s="38"/>
    </row>
    <row r="69" spans="1:12" ht="15.75">
      <c r="A69" s="27" t="str">
        <v>X135</v>
      </c>
      <c r="B69" s="28" t="str">
        <v>NY</v>
      </c>
      <c r="C69" s="28" t="str">
        <f>Sites[[#This Row],[SOL'#]]</f>
        <v>SOL-10425</v>
      </c>
      <c r="D69" s="10"/>
      <c r="E69" s="15"/>
      <c r="F69" s="15"/>
      <c r="G69" s="16"/>
      <c r="H69" s="17"/>
      <c r="I69" s="17"/>
      <c r="J69" s="16"/>
      <c r="K69" s="39"/>
      <c r="L69" s="40"/>
    </row>
    <row r="70" spans="1:12" ht="15.75">
      <c r="A70" s="25" t="str">
        <v>X139 JHS 222</v>
      </c>
      <c r="B70" s="26" t="str">
        <v>NY</v>
      </c>
      <c r="C70" s="26" t="str">
        <f>Sites[[#This Row],[SOL'#]]</f>
        <v>SOL-10426</v>
      </c>
      <c r="D70" s="21"/>
      <c r="E70" s="11"/>
      <c r="F70" s="11"/>
      <c r="G70" s="12"/>
      <c r="H70" s="13"/>
      <c r="I70" s="13"/>
      <c r="J70" s="14"/>
      <c r="K70" s="38"/>
      <c r="L70" s="38"/>
    </row>
    <row r="71" spans="1:12" ht="15.75">
      <c r="A71" s="27" t="str">
        <v>X140</v>
      </c>
      <c r="B71" s="28" t="str">
        <v>NY</v>
      </c>
      <c r="C71" s="28" t="str">
        <f>Sites[[#This Row],[SOL'#]]</f>
        <v>SOL-10926</v>
      </c>
      <c r="D71" s="10"/>
      <c r="E71" s="15"/>
      <c r="F71" s="15"/>
      <c r="G71" s="16"/>
      <c r="H71" s="17"/>
      <c r="I71" s="17"/>
      <c r="J71" s="16"/>
      <c r="K71" s="39"/>
      <c r="L71" s="40"/>
    </row>
    <row r="72" spans="1:12" ht="15.75">
      <c r="A72" s="25" t="str">
        <v>X166</v>
      </c>
      <c r="B72" s="26" t="str">
        <v>NY</v>
      </c>
      <c r="C72" s="26" t="str">
        <f>Sites[[#This Row],[SOL'#]]</f>
        <v>SOL-10427</v>
      </c>
      <c r="D72" s="21"/>
      <c r="E72" s="11"/>
      <c r="F72" s="11"/>
      <c r="G72" s="12"/>
      <c r="H72" s="13"/>
      <c r="I72" s="13"/>
      <c r="J72" s="14"/>
      <c r="K72" s="38"/>
      <c r="L72" s="38"/>
    </row>
    <row r="73" spans="1:12" ht="15.75">
      <c r="A73" s="27" t="str">
        <v>Murphy</v>
      </c>
      <c r="B73" s="28" t="str">
        <v>MN</v>
      </c>
      <c r="C73" s="28" t="str">
        <f>Sites[[#This Row],[SOL'#]]</f>
        <v>SOL-10094</v>
      </c>
      <c r="D73" s="10"/>
      <c r="E73" s="15"/>
      <c r="F73" s="15"/>
      <c r="G73" s="16"/>
      <c r="H73" s="17"/>
      <c r="I73" s="17"/>
      <c r="J73" s="16"/>
      <c r="K73" s="39"/>
      <c r="L73" s="40"/>
    </row>
    <row r="74" spans="1:12" ht="15.75">
      <c r="A74" s="25" t="str">
        <v>Terning</v>
      </c>
      <c r="B74" s="26" t="str">
        <v>MN</v>
      </c>
      <c r="C74" s="26" t="str">
        <f>Sites[[#This Row],[SOL'#]]</f>
        <v>SOL-10093</v>
      </c>
      <c r="D74" s="21"/>
      <c r="E74" s="11"/>
      <c r="F74" s="11"/>
      <c r="G74" s="12"/>
      <c r="H74" s="13"/>
      <c r="I74" s="13"/>
      <c r="J74" s="14"/>
      <c r="K74" s="38"/>
      <c r="L74" s="38"/>
    </row>
    <row r="75" spans="1:12" ht="15.75">
      <c r="A75" s="27" t="str">
        <v>Boas Road 04</v>
      </c>
      <c r="B75" s="28" t="str">
        <v>NY</v>
      </c>
      <c r="C75" s="28" t="str">
        <f>Sites[[#This Row],[SOL'#]]</f>
        <v>SOL-10908</v>
      </c>
      <c r="D75" s="10"/>
      <c r="E75" s="15"/>
      <c r="F75" s="15"/>
      <c r="G75" s="16"/>
      <c r="H75" s="17"/>
      <c r="I75" s="17"/>
      <c r="J75" s="16"/>
      <c r="K75" s="39"/>
      <c r="L75" s="40"/>
    </row>
    <row r="76" spans="1:12" ht="15.75">
      <c r="A76" s="25" t="str">
        <v>Kelly Bridge Farm</v>
      </c>
      <c r="B76" s="26" t="str">
        <v>NY</v>
      </c>
      <c r="C76" s="26" t="str">
        <f>Sites[[#This Row],[SOL'#]]</f>
        <v>SOL-10911</v>
      </c>
      <c r="D76" s="21"/>
      <c r="E76" s="11"/>
      <c r="F76" s="11"/>
      <c r="G76" s="12"/>
      <c r="H76" s="13"/>
      <c r="I76" s="13"/>
      <c r="J76" s="14"/>
      <c r="K76" s="38"/>
      <c r="L76" s="38"/>
    </row>
    <row r="77" spans="1:12" ht="15.75">
      <c r="A77" s="27" t="str">
        <v>Pool Brook Road</v>
      </c>
      <c r="B77" s="28" t="str">
        <v>NY</v>
      </c>
      <c r="C77" s="28" t="str">
        <f>Sites[[#This Row],[SOL'#]]</f>
        <v>SOL-10909</v>
      </c>
      <c r="D77" s="10"/>
      <c r="E77" s="15"/>
      <c r="F77" s="15"/>
      <c r="G77" s="16"/>
      <c r="H77" s="17"/>
      <c r="I77" s="17"/>
      <c r="J77" s="16"/>
      <c r="K77" s="39"/>
      <c r="L77" s="39"/>
    </row>
    <row r="78" spans="1:12" ht="15.75">
      <c r="A78" s="25" t="str">
        <v>Sackett Lake</v>
      </c>
      <c r="B78" s="26" t="str">
        <v>NY</v>
      </c>
      <c r="C78" s="26" t="str">
        <f>Sites[[#This Row],[SOL'#]]</f>
        <v>SOL-10910</v>
      </c>
      <c r="D78" s="21"/>
      <c r="E78" s="11"/>
      <c r="F78" s="11"/>
      <c r="G78" s="12"/>
      <c r="H78" s="13"/>
      <c r="I78" s="13"/>
      <c r="J78" s="14"/>
      <c r="K78" s="38"/>
      <c r="L78" s="38"/>
    </row>
    <row r="79" spans="1:12" ht="15.75">
      <c r="A79" s="27" t="str">
        <v>Burritt Road</v>
      </c>
      <c r="B79" s="28" t="str">
        <v>NY</v>
      </c>
      <c r="C79" s="28" t="str">
        <f>Sites[[#This Row],[SOL'#]]</f>
        <v>SOL-10913</v>
      </c>
      <c r="D79" s="10"/>
      <c r="E79" s="15"/>
      <c r="F79" s="15"/>
      <c r="G79" s="16"/>
      <c r="H79" s="17"/>
      <c r="I79" s="17"/>
      <c r="J79" s="16"/>
      <c r="K79" s="39"/>
      <c r="L79" s="40"/>
    </row>
    <row r="80" spans="1:12" ht="15.75">
      <c r="A80" s="25" t="str">
        <v>Villa Roma 1</v>
      </c>
      <c r="B80" s="26" t="str">
        <v>NY</v>
      </c>
      <c r="C80" s="26" t="str">
        <f>Sites[[#This Row],[SOL'#]]</f>
        <v>SOL-10914</v>
      </c>
      <c r="D80" s="21"/>
      <c r="E80" s="11"/>
      <c r="F80" s="11"/>
      <c r="G80" s="12"/>
      <c r="H80" s="13"/>
      <c r="I80" s="13"/>
      <c r="J80" s="14"/>
      <c r="K80" s="38"/>
      <c r="L80" s="38"/>
    </row>
    <row r="81" spans="1:12" ht="15.75">
      <c r="A81" s="27" t="str">
        <v>Villa Roma 2</v>
      </c>
      <c r="B81" s="28" t="str">
        <v>NY</v>
      </c>
      <c r="C81" s="28" t="str">
        <f>Sites[[#This Row],[SOL'#]]</f>
        <v>SOL-10915</v>
      </c>
      <c r="D81" s="10"/>
      <c r="E81" s="15"/>
      <c r="F81" s="15"/>
      <c r="G81" s="16"/>
      <c r="H81" s="17"/>
      <c r="I81" s="17"/>
      <c r="J81" s="16"/>
      <c r="K81" s="39"/>
      <c r="L81" s="40"/>
    </row>
    <row r="82" spans="1:12" ht="15.75">
      <c r="A82" s="25" t="str">
        <v>Washington 1</v>
      </c>
      <c r="B82" s="26" t="str">
        <v>NY</v>
      </c>
      <c r="C82" s="26" t="str">
        <f>Sites[[#This Row],[SOL'#]]</f>
        <v>SOL-10912</v>
      </c>
      <c r="D82" s="21"/>
      <c r="E82" s="11"/>
      <c r="F82" s="11"/>
      <c r="G82" s="12"/>
      <c r="H82" s="13"/>
      <c r="I82" s="13"/>
      <c r="J82" s="14"/>
      <c r="K82" s="38"/>
      <c r="L82" s="38"/>
    </row>
    <row r="83" spans="1:12" ht="15.75">
      <c r="A83" s="27" t="str">
        <v>Washington 3</v>
      </c>
      <c r="B83" s="28" t="str">
        <v>NY</v>
      </c>
      <c r="C83" s="28" t="str">
        <f>Sites[[#This Row],[SOL'#]]</f>
        <v>SOL-10828</v>
      </c>
      <c r="D83" s="10"/>
      <c r="E83" s="15"/>
      <c r="F83" s="15"/>
      <c r="G83" s="16"/>
      <c r="H83" s="17"/>
      <c r="I83" s="17"/>
      <c r="J83" s="16"/>
      <c r="K83" s="39"/>
      <c r="L83" s="40"/>
    </row>
    <row r="84" spans="1:12" ht="15.75">
      <c r="A84" s="25" t="str">
        <v>Washington 4</v>
      </c>
      <c r="B84" s="26" t="str">
        <v>NY</v>
      </c>
      <c r="C84" s="26" t="str">
        <f>Sites[[#This Row],[SOL'#]]</f>
        <v>SOL-10829</v>
      </c>
      <c r="D84" s="21"/>
      <c r="E84" s="11"/>
      <c r="F84" s="11"/>
      <c r="G84" s="12"/>
      <c r="H84" s="13"/>
      <c r="I84" s="13"/>
      <c r="J84" s="14"/>
      <c r="K84" s="38"/>
      <c r="L84" s="38"/>
    </row>
    <row r="85" spans="1:12" ht="15.75">
      <c r="A85" s="27" t="str">
        <v>Big Tree</v>
      </c>
      <c r="B85" s="28" t="str">
        <v>NY</v>
      </c>
      <c r="C85" s="28" t="str">
        <f>Sites[[#This Row],[SOL'#]]</f>
        <v>SOL-10966</v>
      </c>
      <c r="D85" s="10"/>
      <c r="E85" s="15"/>
      <c r="F85" s="15"/>
      <c r="G85" s="16"/>
      <c r="H85" s="17"/>
      <c r="I85" s="17"/>
      <c r="J85" s="16"/>
      <c r="K85" s="39"/>
      <c r="L85" s="40"/>
    </row>
    <row r="86" spans="1:12" ht="15.75">
      <c r="A86" s="25" t="str">
        <v>Canoga</v>
      </c>
      <c r="B86" s="26" t="str">
        <v>NY</v>
      </c>
      <c r="C86" s="26" t="str">
        <f>Sites[[#This Row],[SOL'#]]</f>
        <v>SOL-10965</v>
      </c>
      <c r="D86" s="21"/>
      <c r="E86" s="11"/>
      <c r="F86" s="11"/>
      <c r="G86" s="12"/>
      <c r="H86" s="13"/>
      <c r="I86" s="13"/>
      <c r="J86" s="14"/>
      <c r="K86" s="38"/>
      <c r="L86" s="38"/>
    </row>
    <row r="87" spans="1:12" ht="15.75">
      <c r="A87" s="27" t="str">
        <v>County Route 84</v>
      </c>
      <c r="B87" s="28" t="str">
        <v>NY</v>
      </c>
      <c r="C87" s="28" t="str">
        <f>Sites[[#This Row],[SOL'#]]</f>
        <v>SOL-10967</v>
      </c>
      <c r="D87" s="10"/>
      <c r="E87" s="15"/>
      <c r="F87" s="15"/>
      <c r="G87" s="16"/>
      <c r="H87" s="17"/>
      <c r="I87" s="17"/>
      <c r="J87" s="16"/>
      <c r="K87" s="39"/>
      <c r="L87" s="40"/>
    </row>
    <row r="88" spans="1:12" ht="15.75">
      <c r="A88" s="25" t="str">
        <v>Donati</v>
      </c>
      <c r="B88" s="26" t="str">
        <v>NY</v>
      </c>
      <c r="C88" s="26" t="str">
        <f>Sites[[#This Row],[SOL'#]]</f>
        <v>SOL-10968</v>
      </c>
      <c r="D88" s="21"/>
      <c r="E88" s="11"/>
      <c r="F88" s="11"/>
      <c r="G88" s="12"/>
      <c r="H88" s="13"/>
      <c r="I88" s="13"/>
      <c r="J88" s="14"/>
      <c r="K88" s="38"/>
      <c r="L88" s="38"/>
    </row>
    <row r="89" spans="1:12" ht="15.75">
      <c r="A89" s="27" t="str">
        <v>Henrietta</v>
      </c>
      <c r="B89" s="28" t="str">
        <v>NY</v>
      </c>
      <c r="C89" s="28" t="str">
        <f>Sites[[#This Row],[SOL'#]]</f>
        <v>SOL-10972</v>
      </c>
      <c r="D89" s="10"/>
      <c r="E89" s="15"/>
      <c r="F89" s="15"/>
      <c r="G89" s="16"/>
      <c r="H89" s="17"/>
      <c r="I89" s="17"/>
      <c r="J89" s="16"/>
      <c r="K89" s="39"/>
      <c r="L89" s="39"/>
    </row>
    <row r="90" spans="1:12" ht="15.75">
      <c r="A90" s="25" t="str">
        <v>NY 70</v>
      </c>
      <c r="B90" s="26" t="str">
        <v>NY</v>
      </c>
      <c r="C90" s="26" t="str">
        <f>Sites[[#This Row],[SOL'#]]</f>
        <v>SOL-10970</v>
      </c>
      <c r="D90" s="21"/>
      <c r="E90" s="11"/>
      <c r="F90" s="11"/>
      <c r="G90" s="12"/>
      <c r="H90" s="13"/>
      <c r="I90" s="13"/>
      <c r="J90" s="14"/>
      <c r="K90" s="38"/>
      <c r="L90" s="38"/>
    </row>
    <row r="91" spans="1:12" ht="15.75">
      <c r="A91" s="27" t="str">
        <v>Reid</v>
      </c>
      <c r="B91" s="28" t="str">
        <v>NY</v>
      </c>
      <c r="C91" s="28" t="str">
        <f>Sites[[#This Row],[SOL'#]]</f>
        <v>SOL-10991</v>
      </c>
      <c r="D91" s="10"/>
      <c r="E91" s="15"/>
      <c r="F91" s="15"/>
      <c r="G91" s="16"/>
      <c r="H91" s="17"/>
      <c r="I91" s="17"/>
      <c r="J91" s="16"/>
      <c r="K91" s="39"/>
      <c r="L91" s="40"/>
    </row>
    <row r="92" spans="1:12" ht="15.75">
      <c r="A92" s="25" t="str">
        <v>Sangolqui</v>
      </c>
      <c r="B92" s="26" t="str">
        <v>NY</v>
      </c>
      <c r="C92" s="26" t="str">
        <f>Sites[[#This Row],[SOL'#]]</f>
        <v>SOL-10975</v>
      </c>
      <c r="D92" s="21"/>
      <c r="E92" s="11"/>
      <c r="F92" s="11"/>
      <c r="G92" s="12"/>
      <c r="H92" s="13"/>
      <c r="I92" s="13"/>
      <c r="J92" s="14"/>
      <c r="K92" s="38"/>
      <c r="L92" s="38"/>
    </row>
    <row r="93" spans="1:12" ht="15.75">
      <c r="A93" s="27" t="str">
        <v>State Highway 17B</v>
      </c>
      <c r="B93" s="28" t="str">
        <v>NY</v>
      </c>
      <c r="C93" s="28" t="str">
        <f>Sites[[#This Row],[SOL'#]]</f>
        <v>SOL-10988</v>
      </c>
      <c r="D93" s="10"/>
      <c r="E93" s="15"/>
      <c r="F93" s="15"/>
      <c r="G93" s="16"/>
      <c r="H93" s="17"/>
      <c r="I93" s="17"/>
      <c r="J93" s="16"/>
      <c r="K93" s="39"/>
      <c r="L93" s="40"/>
    </row>
    <row r="94" spans="1:12" ht="15.75">
      <c r="A94" s="25" t="str">
        <v>State Route 14A</v>
      </c>
      <c r="B94" s="26" t="str">
        <v>NY</v>
      </c>
      <c r="C94" s="26" t="str">
        <f>Sites[[#This Row],[SOL'#]]</f>
        <v>SOL-10997</v>
      </c>
      <c r="D94" s="21"/>
      <c r="E94" s="11"/>
      <c r="F94" s="11"/>
      <c r="G94" s="12"/>
      <c r="H94" s="13"/>
      <c r="I94" s="13"/>
      <c r="J94" s="14"/>
      <c r="K94" s="38"/>
      <c r="L94" s="38"/>
    </row>
    <row r="95" spans="1:12" ht="15.75">
      <c r="A95" s="27" t="str">
        <v>West Creek</v>
      </c>
      <c r="B95" s="28" t="str">
        <v>NY</v>
      </c>
      <c r="C95" s="28" t="str">
        <f>Sites[[#This Row],[SOL'#]]</f>
        <v>SOL-10995</v>
      </c>
      <c r="D95" s="10"/>
      <c r="E95" s="15"/>
      <c r="F95" s="15"/>
      <c r="G95" s="16"/>
      <c r="H95" s="17"/>
      <c r="I95" s="17"/>
      <c r="J95" s="16"/>
      <c r="K95" s="39"/>
      <c r="L95" s="40"/>
    </row>
    <row r="96" spans="1:12" ht="15.75">
      <c r="A96" s="25" t="str">
        <v>Wildflower</v>
      </c>
      <c r="B96" s="26" t="str">
        <v>NY</v>
      </c>
      <c r="C96" s="26" t="str">
        <f>Sites[[#This Row],[SOL'#]]</f>
        <v>SOL-10982</v>
      </c>
      <c r="D96" s="21"/>
      <c r="E96" s="11"/>
      <c r="F96" s="11"/>
      <c r="G96" s="12"/>
      <c r="H96" s="13"/>
      <c r="I96" s="13"/>
      <c r="J96" s="14"/>
      <c r="K96" s="38"/>
      <c r="L96" s="38"/>
    </row>
    <row r="97" spans="1:12" ht="15.75">
      <c r="A97" s="27" t="str">
        <v>Glen Mary 1</v>
      </c>
      <c r="B97" s="28" t="str">
        <v>NY</v>
      </c>
      <c r="C97" s="28" t="str">
        <f>Sites[[#This Row],[SOL'#]]</f>
        <v>SOL-10993</v>
      </c>
      <c r="D97" s="10"/>
      <c r="E97" s="15"/>
      <c r="F97" s="15"/>
      <c r="G97" s="16"/>
      <c r="H97" s="17"/>
      <c r="I97" s="17"/>
      <c r="J97" s="16"/>
      <c r="K97" s="39"/>
      <c r="L97" s="40"/>
    </row>
    <row r="98" spans="1:12" ht="15.75">
      <c r="A98" s="25" t="str">
        <v>Glen Mary 2</v>
      </c>
      <c r="B98" s="26" t="str">
        <v>NY</v>
      </c>
      <c r="C98" s="26" t="str">
        <f>Sites[[#This Row],[SOL'#]]</f>
        <v>SOL-10994</v>
      </c>
      <c r="D98" s="21"/>
      <c r="E98" s="11"/>
      <c r="F98" s="11"/>
      <c r="G98" s="12"/>
      <c r="H98" s="13"/>
      <c r="I98" s="13"/>
      <c r="J98" s="14"/>
      <c r="K98" s="38"/>
      <c r="L98" s="38"/>
    </row>
    <row r="99" spans="1:12" ht="15.75">
      <c r="A99" s="27" t="str">
        <v>Telegraph 1</v>
      </c>
      <c r="B99" s="28" t="str">
        <v>NY</v>
      </c>
      <c r="C99" s="28" t="str">
        <f>Sites[[#This Row],[SOL'#]]</f>
        <v>SOL-11003</v>
      </c>
      <c r="D99" s="10"/>
      <c r="E99" s="15"/>
      <c r="F99" s="15"/>
      <c r="G99" s="16"/>
      <c r="H99" s="17"/>
      <c r="I99" s="17"/>
      <c r="J99" s="16"/>
      <c r="K99" s="39"/>
      <c r="L99" s="40"/>
    </row>
    <row r="100" spans="1:12" ht="15.75">
      <c r="A100" s="25" t="str">
        <v>Telegraph 2</v>
      </c>
      <c r="B100" s="26" t="str">
        <v>NY</v>
      </c>
      <c r="C100" s="26" t="str">
        <f>Sites[[#This Row],[SOL'#]]</f>
        <v>SOL-11004</v>
      </c>
      <c r="D100" s="21"/>
      <c r="E100" s="11"/>
      <c r="F100" s="11"/>
      <c r="G100" s="12"/>
      <c r="H100" s="13"/>
      <c r="I100" s="13"/>
      <c r="J100" s="14"/>
      <c r="K100" s="38"/>
      <c r="L100" s="38"/>
    </row>
    <row r="101" spans="1:12" ht="15.75">
      <c r="A101" s="27" t="str">
        <v>Cafferty Hill</v>
      </c>
      <c r="B101" s="28" t="str">
        <v>NY</v>
      </c>
      <c r="C101" s="28" t="str">
        <f>Sites[[#This Row],[SOL'#]]</f>
        <v>SOL-10996</v>
      </c>
      <c r="D101" s="10"/>
      <c r="E101" s="15"/>
      <c r="F101" s="15"/>
      <c r="G101" s="16"/>
      <c r="H101" s="17"/>
      <c r="I101" s="17"/>
      <c r="J101" s="16"/>
      <c r="K101" s="39"/>
      <c r="L101" s="39"/>
    </row>
    <row r="102" spans="1:12" ht="15.75">
      <c r="A102" s="25" t="str">
        <v>Dunkleman</v>
      </c>
      <c r="B102" s="26" t="str">
        <v>NY</v>
      </c>
      <c r="C102" s="26" t="str">
        <f>Sites[[#This Row],[SOL'#]]</f>
        <v>SOL-11008</v>
      </c>
      <c r="D102" s="21"/>
      <c r="E102" s="11"/>
      <c r="F102" s="11"/>
      <c r="G102" s="12"/>
      <c r="H102" s="13"/>
      <c r="I102" s="13"/>
      <c r="J102" s="14"/>
      <c r="K102" s="38"/>
      <c r="L102" s="38"/>
    </row>
    <row r="103" spans="1:12" ht="15.75">
      <c r="A103" s="27" t="str">
        <v>Route 19 1</v>
      </c>
      <c r="B103" s="28" t="str">
        <v>NY</v>
      </c>
      <c r="C103" s="28" t="str">
        <f>Sites[[#This Row],[SOL'#]]</f>
        <v>SOL-11001</v>
      </c>
      <c r="D103" s="10"/>
      <c r="E103" s="15"/>
      <c r="F103" s="15"/>
      <c r="G103" s="16"/>
      <c r="H103" s="17"/>
      <c r="I103" s="17"/>
      <c r="J103" s="16"/>
      <c r="K103" s="39"/>
      <c r="L103" s="40"/>
    </row>
    <row r="104" spans="1:12" ht="15.75">
      <c r="A104" s="25" t="str">
        <v>Route 19 2</v>
      </c>
      <c r="B104" s="26" t="str">
        <v>NY</v>
      </c>
      <c r="C104" s="26" t="str">
        <f>Sites[[#This Row],[SOL'#]]</f>
        <v>SOL-11002</v>
      </c>
      <c r="D104" s="21"/>
      <c r="E104" s="11"/>
      <c r="F104" s="11"/>
      <c r="G104" s="12"/>
      <c r="H104" s="13"/>
      <c r="I104" s="13"/>
      <c r="J104" s="14"/>
      <c r="K104" s="38"/>
      <c r="L104" s="38"/>
    </row>
    <row r="105" spans="1:12" ht="15.75">
      <c r="A105" s="27" t="str">
        <v>Yellow Mills 1</v>
      </c>
      <c r="B105" s="28" t="str">
        <v>NY</v>
      </c>
      <c r="C105" s="28" t="str">
        <f>Sites[[#This Row],[SOL'#]]</f>
        <v>SOL-11006</v>
      </c>
      <c r="D105" s="10"/>
      <c r="E105" s="15"/>
      <c r="F105" s="15"/>
      <c r="G105" s="16"/>
      <c r="H105" s="17"/>
      <c r="I105" s="17"/>
      <c r="J105" s="16"/>
      <c r="K105" s="39"/>
      <c r="L105" s="40"/>
    </row>
    <row r="106" spans="1:12" ht="15.75">
      <c r="A106" s="25" t="str">
        <v>Yellow Mills 2</v>
      </c>
      <c r="B106" s="26" t="str">
        <v>NY</v>
      </c>
      <c r="C106" s="26" t="str">
        <f>Sites[[#This Row],[SOL'#]]</f>
        <v>SOL-11005</v>
      </c>
      <c r="D106" s="21"/>
      <c r="E106" s="11"/>
      <c r="F106" s="11"/>
      <c r="G106" s="12"/>
      <c r="H106" s="13"/>
      <c r="I106" s="13"/>
      <c r="J106" s="14"/>
      <c r="K106" s="38"/>
      <c r="L106" s="38"/>
    </row>
    <row r="107" spans="1:12" ht="15.75">
      <c r="A107" s="27" t="str">
        <v>Yellow Mills 3</v>
      </c>
      <c r="B107" s="28" t="str">
        <v>NY</v>
      </c>
      <c r="C107" s="28" t="str">
        <f>Sites[[#This Row],[SOL'#]]</f>
        <v>SOL-11007</v>
      </c>
      <c r="D107" s="10"/>
      <c r="E107" s="15"/>
      <c r="F107" s="15"/>
      <c r="G107" s="16"/>
      <c r="H107" s="17"/>
      <c r="I107" s="17"/>
      <c r="J107" s="16"/>
      <c r="K107" s="39"/>
      <c r="L107" s="40"/>
    </row>
    <row r="108" spans="1:12" ht="15.75">
      <c r="A108" s="25" t="str">
        <v>Catskill</v>
      </c>
      <c r="B108" s="26" t="str">
        <v>NY</v>
      </c>
      <c r="C108" s="26" t="str">
        <f>Sites[[#This Row],[SOL'#]]</f>
        <v>SOL-11021</v>
      </c>
      <c r="D108" s="21"/>
      <c r="E108" s="11"/>
      <c r="F108" s="11"/>
      <c r="G108" s="12"/>
      <c r="H108" s="13"/>
      <c r="I108" s="13"/>
      <c r="J108" s="14"/>
      <c r="K108" s="38"/>
      <c r="L108" s="38"/>
    </row>
    <row r="109" spans="1:12" ht="15.75">
      <c r="A109" s="27" t="str">
        <v>Eddy Ridge</v>
      </c>
      <c r="B109" s="28" t="str">
        <v>NY</v>
      </c>
      <c r="C109" s="28" t="str">
        <f>Sites[[#This Row],[SOL'#]]</f>
        <v>SOL-11054</v>
      </c>
      <c r="D109" s="10"/>
      <c r="E109" s="15"/>
      <c r="F109" s="15"/>
      <c r="G109" s="16"/>
      <c r="H109" s="17"/>
      <c r="I109" s="17"/>
      <c r="J109" s="16"/>
      <c r="K109" s="39"/>
      <c r="L109" s="40"/>
    </row>
    <row r="110" spans="1:12" ht="15.75">
      <c r="A110" s="25" t="str">
        <v>Ridgeway #1</v>
      </c>
      <c r="B110" s="26" t="str">
        <v>NY</v>
      </c>
      <c r="C110" s="26" t="str">
        <f>Sites[[#This Row],[SOL'#]]</f>
        <v>SOL-11018</v>
      </c>
      <c r="D110" s="21"/>
      <c r="E110" s="11"/>
      <c r="F110" s="11"/>
      <c r="G110" s="12"/>
      <c r="H110" s="13"/>
      <c r="I110" s="13"/>
      <c r="J110" s="14"/>
      <c r="K110" s="38"/>
      <c r="L110" s="38"/>
    </row>
    <row r="111" spans="1:12" ht="15.75">
      <c r="A111" s="27" t="str">
        <v>Rivard 1</v>
      </c>
      <c r="B111" s="28" t="str">
        <v>NY</v>
      </c>
      <c r="C111" s="28" t="str">
        <f>Sites[[#This Row],[SOL'#]]</f>
        <v>SOL-11011</v>
      </c>
      <c r="D111" s="10"/>
      <c r="E111" s="15"/>
      <c r="F111" s="15"/>
      <c r="G111" s="16"/>
      <c r="H111" s="17"/>
      <c r="I111" s="17"/>
      <c r="J111" s="16"/>
      <c r="K111" s="39"/>
      <c r="L111" s="40"/>
    </row>
    <row r="112" spans="1:12" ht="15.75">
      <c r="A112" s="25" t="str">
        <v>Rivard 2</v>
      </c>
      <c r="B112" s="26" t="str">
        <v>NY</v>
      </c>
      <c r="C112" s="26" t="str">
        <f>Sites[[#This Row],[SOL'#]]</f>
        <v>SOL-11012</v>
      </c>
      <c r="D112" s="21"/>
      <c r="E112" s="11"/>
      <c r="F112" s="11"/>
      <c r="G112" s="12"/>
      <c r="H112" s="13"/>
      <c r="I112" s="13"/>
      <c r="J112" s="14"/>
      <c r="K112" s="38"/>
      <c r="L112" s="38"/>
    </row>
    <row r="113" spans="1:12" ht="15.75">
      <c r="A113" s="27" t="str">
        <v>Essex</v>
      </c>
      <c r="B113" s="28" t="str">
        <v>DC</v>
      </c>
      <c r="C113" s="28" t="str">
        <f>Sites[[#This Row],[SOL'#]]</f>
        <v>SOL-10036</v>
      </c>
      <c r="D113" s="10"/>
      <c r="E113" s="15"/>
      <c r="F113" s="15"/>
      <c r="G113" s="16"/>
      <c r="H113" s="17"/>
      <c r="I113" s="17"/>
      <c r="J113" s="16"/>
      <c r="K113" s="39"/>
      <c r="L113" s="39"/>
    </row>
    <row r="114" spans="1:12" ht="15.75">
      <c r="A114" s="25" t="str">
        <v>Temple Sinai</v>
      </c>
      <c r="B114" s="26" t="str">
        <v>DC</v>
      </c>
      <c r="C114" s="26" t="str">
        <f>Sites[[#This Row],[SOL'#]]</f>
        <v>SOL-10028</v>
      </c>
      <c r="D114" s="21"/>
      <c r="E114" s="11"/>
      <c r="F114" s="11"/>
      <c r="G114" s="12"/>
      <c r="H114" s="13"/>
      <c r="I114" s="13"/>
      <c r="J114" s="14"/>
      <c r="K114" s="38"/>
      <c r="L114" s="38"/>
    </row>
    <row r="115" spans="1:12" ht="15.75">
      <c r="A115" s="27" t="str">
        <v>Weinberg 1</v>
      </c>
      <c r="B115" s="28" t="str">
        <v>DC</v>
      </c>
      <c r="C115" s="28" t="str">
        <f>Sites[[#This Row],[SOL'#]]</f>
        <v>SOL-10039</v>
      </c>
      <c r="D115" s="10"/>
      <c r="E115" s="15"/>
      <c r="F115" s="15"/>
      <c r="G115" s="16"/>
      <c r="H115" s="17"/>
      <c r="I115" s="17"/>
      <c r="J115" s="16"/>
      <c r="K115" s="39"/>
      <c r="L115" s="40"/>
    </row>
    <row r="116" spans="1:12" ht="15.75">
      <c r="A116" s="25" t="str">
        <v>Weinberg 2</v>
      </c>
      <c r="B116" s="26" t="str">
        <v>DC</v>
      </c>
      <c r="C116" s="26" t="str">
        <f>Sites[[#This Row],[SOL'#]]</f>
        <v>SOL-10045</v>
      </c>
      <c r="D116" s="21"/>
      <c r="E116" s="11"/>
      <c r="F116" s="11"/>
      <c r="G116" s="12"/>
      <c r="H116" s="13"/>
      <c r="I116" s="13"/>
      <c r="J116" s="14"/>
      <c r="K116" s="38"/>
      <c r="L116" s="38"/>
    </row>
    <row r="117" spans="1:12" ht="15.75">
      <c r="A117" s="27" t="str">
        <v>Weinberg 3</v>
      </c>
      <c r="B117" s="28" t="str">
        <v>DC</v>
      </c>
      <c r="C117" s="28" t="str">
        <f>Sites[[#This Row],[SOL'#]]</f>
        <v>SOL-10042</v>
      </c>
      <c r="D117" s="10"/>
      <c r="E117" s="15"/>
      <c r="F117" s="15"/>
      <c r="G117" s="16"/>
      <c r="H117" s="17"/>
      <c r="I117" s="17"/>
      <c r="J117" s="16"/>
      <c r="K117" s="39"/>
      <c r="L117" s="40"/>
    </row>
    <row r="118" spans="1:12" ht="15.75">
      <c r="A118" s="25" t="str">
        <v>Clayton Hall</v>
      </c>
      <c r="B118" s="26" t="str">
        <v>DE</v>
      </c>
      <c r="C118" s="26" t="str">
        <f>Sites[[#This Row],[SOL'#]]</f>
        <v>SOL-10820</v>
      </c>
      <c r="D118" s="21"/>
      <c r="E118" s="11"/>
      <c r="F118" s="11"/>
      <c r="G118" s="12"/>
      <c r="H118" s="13"/>
      <c r="I118" s="13"/>
      <c r="J118" s="14"/>
      <c r="K118" s="38"/>
      <c r="L118" s="38"/>
    </row>
    <row r="119" spans="1:12" ht="15.75">
      <c r="A119" s="27" t="str">
        <v>Field House</v>
      </c>
      <c r="B119" s="28" t="str">
        <v>DE</v>
      </c>
      <c r="C119" s="28" t="str">
        <f>Sites[[#This Row],[SOL'#]]</f>
        <v>SOL-10821</v>
      </c>
      <c r="D119" s="10"/>
      <c r="E119" s="15"/>
      <c r="F119" s="15"/>
      <c r="G119" s="16"/>
      <c r="H119" s="17"/>
      <c r="I119" s="17"/>
      <c r="J119" s="16"/>
      <c r="K119" s="39"/>
      <c r="L119" s="40"/>
    </row>
    <row r="120" spans="1:12" ht="15.75">
      <c r="A120" s="25" t="str">
        <v>Wyoming Road</v>
      </c>
      <c r="B120" s="26" t="str">
        <v>DE</v>
      </c>
      <c r="C120" s="26" t="str">
        <f>Sites[[#This Row],[SOL'#]]</f>
        <v>SOL-10819</v>
      </c>
      <c r="D120" s="21"/>
      <c r="E120" s="11"/>
      <c r="F120" s="11"/>
      <c r="G120" s="12"/>
      <c r="H120" s="13"/>
      <c r="I120" s="13"/>
      <c r="J120" s="14"/>
      <c r="K120" s="38"/>
      <c r="L120" s="38"/>
    </row>
    <row r="121" spans="1:12" ht="15.75">
      <c r="A121" s="27" t="str">
        <v>Leoku</v>
      </c>
      <c r="B121" s="28" t="str">
        <v>HI</v>
      </c>
      <c r="C121" s="28" t="str">
        <f>Sites[[#This Row],[SOL'#]]</f>
        <v>SOL-10071</v>
      </c>
      <c r="D121" s="10"/>
      <c r="E121" s="15"/>
      <c r="F121" s="15"/>
      <c r="G121" s="16"/>
      <c r="H121" s="17"/>
      <c r="I121" s="17"/>
      <c r="J121" s="16"/>
      <c r="K121" s="39"/>
      <c r="L121" s="40"/>
    </row>
    <row r="122" spans="1:12" ht="15.75">
      <c r="A122" s="25" t="str">
        <v>Waipahu</v>
      </c>
      <c r="B122" s="26" t="str">
        <v>HI</v>
      </c>
      <c r="C122" s="26" t="str">
        <f>Sites[[#This Row],[SOL'#]]</f>
        <v>SOL-10068</v>
      </c>
      <c r="D122" s="21"/>
      <c r="E122" s="11"/>
      <c r="F122" s="11"/>
      <c r="G122" s="12"/>
      <c r="H122" s="13"/>
      <c r="I122" s="13"/>
      <c r="J122" s="14"/>
      <c r="K122" s="38"/>
      <c r="L122" s="38"/>
    </row>
    <row r="123" spans="1:12" ht="15.75">
      <c r="A123" s="27" t="str">
        <v>Bird in Hand</v>
      </c>
      <c r="B123" s="28" t="str">
        <v>MD</v>
      </c>
      <c r="C123" s="28" t="str">
        <f>Sites[[#This Row],[SOL'#]]</f>
        <v>SOL-10092</v>
      </c>
      <c r="D123" s="10"/>
      <c r="E123" s="15"/>
      <c r="F123" s="15"/>
      <c r="G123" s="16"/>
      <c r="H123" s="17"/>
      <c r="I123" s="17"/>
      <c r="J123" s="16"/>
      <c r="K123" s="39"/>
      <c r="L123" s="40"/>
    </row>
    <row r="124" spans="1:12" ht="15.75">
      <c r="A124" s="25" t="str">
        <v>Shortal</v>
      </c>
      <c r="B124" s="26" t="str">
        <v>MD</v>
      </c>
      <c r="C124" s="26" t="str">
        <f>Sites[[#This Row],[SOL'#]]</f>
        <v>SOL-10091</v>
      </c>
      <c r="D124" s="21"/>
      <c r="E124" s="11"/>
      <c r="F124" s="11"/>
      <c r="G124" s="12"/>
      <c r="H124" s="13"/>
      <c r="I124" s="13"/>
      <c r="J124" s="14"/>
      <c r="K124" s="38"/>
      <c r="L124" s="38"/>
    </row>
    <row r="125" spans="1:12" ht="15.75">
      <c r="A125" s="27" t="str">
        <v>Aguadilla</v>
      </c>
      <c r="B125" s="28" t="str">
        <v>PR</v>
      </c>
      <c r="C125" s="28" t="str">
        <f>Sites[[#This Row],[SOL'#]]</f>
        <v>SOL-10072</v>
      </c>
      <c r="D125" s="10"/>
      <c r="E125" s="15"/>
      <c r="F125" s="15"/>
      <c r="G125" s="16"/>
      <c r="H125" s="17"/>
      <c r="I125" s="17"/>
      <c r="J125" s="16"/>
      <c r="K125" s="39"/>
      <c r="L125" s="39"/>
    </row>
    <row r="126" spans="1:12" ht="15.75">
      <c r="A126" s="25" t="str">
        <v>Bayamon</v>
      </c>
      <c r="B126" s="26" t="str">
        <v>PR</v>
      </c>
      <c r="C126" s="26" t="str">
        <f>Sites[[#This Row],[SOL'#]]</f>
        <v>SOL-10073</v>
      </c>
      <c r="D126" s="21"/>
      <c r="E126" s="11"/>
      <c r="F126" s="11"/>
      <c r="G126" s="12"/>
      <c r="H126" s="13"/>
      <c r="I126" s="13"/>
      <c r="J126" s="14"/>
      <c r="K126" s="38"/>
      <c r="L126" s="38"/>
    </row>
    <row r="127" spans="1:12" ht="15.75">
      <c r="A127" s="27" t="str">
        <v>St Francis</v>
      </c>
      <c r="B127" s="28" t="str">
        <v>PR</v>
      </c>
      <c r="C127" s="28" t="str">
        <f>Sites[[#This Row],[SOL'#]]</f>
        <v>SOL-10034</v>
      </c>
      <c r="D127" s="10"/>
      <c r="E127" s="15"/>
      <c r="F127" s="15"/>
      <c r="G127" s="16"/>
      <c r="H127" s="17"/>
      <c r="I127" s="17"/>
      <c r="J127" s="16"/>
      <c r="K127" s="39"/>
      <c r="L127" s="40"/>
    </row>
    <row r="128" spans="1:12" ht="15.75">
      <c r="A128" s="25" t="str">
        <v>Seaport</v>
      </c>
      <c r="B128" s="26" t="str">
        <v>MA</v>
      </c>
      <c r="C128" s="26" t="str">
        <f>Sites[[#This Row],[SOL'#]]</f>
        <v>SOL-10772</v>
      </c>
      <c r="D128" s="21"/>
      <c r="E128" s="11"/>
      <c r="F128" s="11"/>
      <c r="G128" s="12"/>
      <c r="H128" s="13"/>
      <c r="I128" s="13"/>
      <c r="J128" s="14"/>
      <c r="K128" s="38"/>
      <c r="L128" s="38"/>
    </row>
    <row r="129" spans="1:12" ht="15.75">
      <c r="A129" s="27" t="str">
        <v>Sprague St</v>
      </c>
      <c r="B129" s="28" t="str">
        <v>MA</v>
      </c>
      <c r="C129" s="28" t="str">
        <f>Sites[[#This Row],[SOL'#]]</f>
        <v>SOL-10773</v>
      </c>
      <c r="D129" s="10"/>
      <c r="E129" s="15"/>
      <c r="F129" s="15"/>
      <c r="G129" s="16"/>
      <c r="H129" s="17"/>
      <c r="I129" s="17"/>
      <c r="J129" s="16"/>
      <c r="K129" s="39"/>
      <c r="L129" s="40"/>
    </row>
    <row r="130" spans="1:12" ht="15.75">
      <c r="A130" s="25" t="str">
        <v>Summer St</v>
      </c>
      <c r="B130" s="26" t="str">
        <v>MA</v>
      </c>
      <c r="C130" s="26" t="str">
        <f>Sites[[#This Row],[SOL'#]]</f>
        <v>SOL-10764</v>
      </c>
      <c r="D130" s="21"/>
      <c r="E130" s="11"/>
      <c r="F130" s="11"/>
      <c r="G130" s="12"/>
      <c r="H130" s="13"/>
      <c r="I130" s="13"/>
      <c r="J130" s="14"/>
      <c r="K130" s="38"/>
      <c r="L130" s="38"/>
    </row>
    <row r="131" spans="1:12" ht="15.75">
      <c r="A131" s="27" t="str">
        <v>Brock St Vocational</v>
      </c>
      <c r="B131" s="28" t="str">
        <v>NH</v>
      </c>
      <c r="C131" s="28" t="str">
        <f>Sites[[#This Row],[SOL'#]]</f>
        <v>SOL-10768</v>
      </c>
      <c r="D131" s="10"/>
      <c r="E131" s="15"/>
      <c r="F131" s="15"/>
      <c r="G131" s="16"/>
      <c r="H131" s="17"/>
      <c r="I131" s="17"/>
      <c r="J131" s="16"/>
      <c r="K131" s="39"/>
      <c r="L131" s="40"/>
    </row>
    <row r="132" spans="1:12" ht="15.75">
      <c r="A132" s="25" t="str">
        <v>McClelland ES</v>
      </c>
      <c r="B132" s="26" t="str">
        <v>NH</v>
      </c>
      <c r="C132" s="26" t="str">
        <f>Sites[[#This Row],[SOL'#]]</f>
        <v>SOL-10766</v>
      </c>
      <c r="D132" s="21"/>
      <c r="E132" s="11"/>
      <c r="F132" s="11"/>
      <c r="G132" s="12"/>
      <c r="H132" s="13"/>
      <c r="I132" s="13"/>
      <c r="J132" s="14"/>
      <c r="K132" s="38"/>
      <c r="L132" s="38"/>
    </row>
    <row r="133" spans="1:12" ht="15.75">
      <c r="A133" s="27" t="str">
        <v>Portland St</v>
      </c>
      <c r="B133" s="28" t="str">
        <v>NH</v>
      </c>
      <c r="C133" s="28" t="str">
        <f>Sites[[#This Row],[SOL'#]]</f>
        <v>SOL-10771</v>
      </c>
      <c r="D133" s="10"/>
      <c r="E133" s="15"/>
      <c r="F133" s="15"/>
      <c r="G133" s="16"/>
      <c r="H133" s="17"/>
      <c r="I133" s="17"/>
      <c r="J133" s="16"/>
      <c r="K133" s="39"/>
      <c r="L133" s="40"/>
    </row>
    <row r="134" spans="1:12" ht="15.75">
      <c r="A134" s="25" t="str">
        <v>Portsmouth HS</v>
      </c>
      <c r="B134" s="26" t="str">
        <v>NH</v>
      </c>
      <c r="C134" s="26" t="str">
        <f>Sites[[#This Row],[SOL'#]]</f>
        <v>SOL-10769</v>
      </c>
      <c r="D134" s="21"/>
      <c r="E134" s="11"/>
      <c r="F134" s="11"/>
      <c r="G134" s="12"/>
      <c r="H134" s="13"/>
      <c r="I134" s="13"/>
      <c r="J134" s="14"/>
      <c r="K134" s="38"/>
      <c r="L134" s="38"/>
    </row>
    <row r="135" spans="1:12" ht="15.75">
      <c r="A135" s="27" t="str">
        <v>Portsmouth WTP</v>
      </c>
      <c r="B135" s="28" t="str">
        <v>NH</v>
      </c>
      <c r="C135" s="28" t="str">
        <f>Sites[[#This Row],[SOL'#]]</f>
        <v>SOL-10770</v>
      </c>
      <c r="D135" s="10"/>
      <c r="E135" s="15"/>
      <c r="F135" s="15"/>
      <c r="G135" s="16"/>
      <c r="H135" s="17"/>
      <c r="I135" s="17"/>
      <c r="J135" s="16"/>
      <c r="K135" s="39"/>
      <c r="L135" s="40"/>
    </row>
    <row r="136" spans="1:12" ht="15.75">
      <c r="A136" s="25" t="str">
        <v>Rochester St</v>
      </c>
      <c r="B136" s="26" t="str">
        <v>NH</v>
      </c>
      <c r="C136" s="26" t="str">
        <f>Sites[[#This Row],[SOL'#]]</f>
        <v>SOL-10765</v>
      </c>
      <c r="D136" s="21"/>
      <c r="E136" s="11"/>
      <c r="F136" s="11"/>
      <c r="G136" s="12"/>
      <c r="H136" s="13"/>
      <c r="I136" s="13"/>
      <c r="J136" s="14"/>
      <c r="K136" s="38"/>
      <c r="L136" s="38"/>
    </row>
    <row r="137" spans="1:12" ht="15.75">
      <c r="A137" s="27" t="str">
        <v>Spaulding HS</v>
      </c>
      <c r="B137" s="28" t="str">
        <v>NH</v>
      </c>
      <c r="C137" s="28" t="str">
        <f>Sites[[#This Row],[SOL'#]]</f>
        <v>SOL-10767</v>
      </c>
      <c r="D137" s="10"/>
      <c r="E137" s="15"/>
      <c r="F137" s="15"/>
      <c r="G137" s="16"/>
      <c r="H137" s="17"/>
      <c r="I137" s="17"/>
      <c r="J137" s="16"/>
      <c r="K137" s="39"/>
      <c r="L137" s="40"/>
    </row>
    <row r="138" spans="1:12" ht="15.75">
      <c r="A138" s="25" t="str">
        <v>Ridgeway #2</v>
      </c>
      <c r="B138" s="26" t="str">
        <v>NY</v>
      </c>
      <c r="C138" s="26" t="str">
        <f>Sites[[#This Row],[SOL'#]]</f>
        <v>SOL-11027</v>
      </c>
      <c r="D138" s="21"/>
      <c r="E138" s="11"/>
      <c r="F138" s="11"/>
      <c r="G138" s="12"/>
      <c r="H138" s="13"/>
      <c r="I138" s="13"/>
      <c r="J138" s="14"/>
      <c r="K138" s="38"/>
      <c r="L138" s="38"/>
    </row>
    <row r="139" spans="1:12" ht="15.75">
      <c r="A139" s="27" t="str">
        <v>Spencer</v>
      </c>
      <c r="B139" s="28" t="str">
        <v>NY</v>
      </c>
      <c r="C139" s="28" t="str">
        <f>Sites[[#This Row],[SOL'#]]</f>
        <v>SOL-11017</v>
      </c>
      <c r="D139" s="10"/>
      <c r="E139" s="15"/>
      <c r="F139" s="15"/>
      <c r="G139" s="16"/>
      <c r="H139" s="17"/>
      <c r="I139" s="17"/>
      <c r="J139" s="16"/>
      <c r="K139" s="39"/>
      <c r="L139" s="40"/>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6" priority="11" stopIfTrue="1" operator="lessThanOrEqual">
      <formula>-0.1</formula>
    </cfRule>
    <cfRule type="expression" dxfId="5" priority="12">
      <formula>AND(ISNUMBER(G2), G2&gt;=0.1)</formula>
    </cfRule>
  </conditionalFormatting>
  <conditionalFormatting sqref="G4:G161 J4:J161">
    <cfRule type="cellIs" dxfId="4" priority="1" stopIfTrue="1" operator="lessThanOrEqual">
      <formula>-0.1</formula>
    </cfRule>
    <cfRule type="expression" dxfId="3" priority="2">
      <formula>AND(ISNUMBER(G4), G4&gt;=0.1)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61"/>
  <sheetViews>
    <sheetView tabSelected="1" zoomScale="116" zoomScaleNormal="116" workbookViewId="0">
      <pane ySplit="3" topLeftCell="A67" activePane="bottomLeft" state="frozen"/>
      <selection pane="bottomLeft" activeCell="H125" sqref="A122:H125"/>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7" ht="12.75" customHeight="1">
      <c r="A1" t="s">
        <v>1215</v>
      </c>
      <c r="B1" t="s">
        <v>1216</v>
      </c>
    </row>
    <row r="3" spans="1:7">
      <c r="A3" t="s">
        <v>1217</v>
      </c>
      <c r="B3" t="s">
        <v>3</v>
      </c>
      <c r="C3" t="s">
        <v>4</v>
      </c>
      <c r="D3" t="s">
        <v>1218</v>
      </c>
      <c r="E3" s="2" t="s">
        <v>1219</v>
      </c>
      <c r="F3" t="s">
        <v>5</v>
      </c>
    </row>
    <row r="4" spans="1:7" ht="14.25">
      <c r="A4" s="41" t="s">
        <v>1220</v>
      </c>
      <c r="B4" s="4" t="s">
        <v>1221</v>
      </c>
      <c r="C4" s="4" t="s">
        <v>1222</v>
      </c>
      <c r="D4" t="s">
        <v>1223</v>
      </c>
      <c r="E4" t="s">
        <v>1224</v>
      </c>
      <c r="F4" t="s">
        <v>1225</v>
      </c>
      <c r="G4" s="3"/>
    </row>
    <row r="5" spans="1:7" ht="14.25">
      <c r="A5" s="41" t="s">
        <v>1226</v>
      </c>
      <c r="B5" s="4" t="s">
        <v>1227</v>
      </c>
      <c r="C5" s="4" t="s">
        <v>1222</v>
      </c>
      <c r="D5" t="s">
        <v>1223</v>
      </c>
      <c r="E5" t="s">
        <v>1224</v>
      </c>
      <c r="F5" t="s">
        <v>1228</v>
      </c>
      <c r="G5" s="3"/>
    </row>
    <row r="6" spans="1:7" ht="14.25">
      <c r="A6" s="41" t="s">
        <v>1229</v>
      </c>
      <c r="B6" s="4" t="s">
        <v>1229</v>
      </c>
      <c r="C6" s="4" t="s">
        <v>1222</v>
      </c>
      <c r="D6" t="s">
        <v>1230</v>
      </c>
      <c r="E6" t="s">
        <v>1224</v>
      </c>
      <c r="F6" t="s">
        <v>1231</v>
      </c>
      <c r="G6" s="3"/>
    </row>
    <row r="7" spans="1:7" ht="12.75" customHeight="1">
      <c r="A7" s="41" t="s">
        <v>1232</v>
      </c>
      <c r="B7" s="4" t="s">
        <v>1233</v>
      </c>
      <c r="C7" s="4" t="s">
        <v>1222</v>
      </c>
      <c r="D7" t="s">
        <v>1223</v>
      </c>
      <c r="E7" t="s">
        <v>1224</v>
      </c>
      <c r="F7" t="s">
        <v>1234</v>
      </c>
    </row>
    <row r="8" spans="1:7" ht="12.75" customHeight="1">
      <c r="A8" s="41" t="s">
        <v>1235</v>
      </c>
      <c r="B8" s="4" t="s">
        <v>1236</v>
      </c>
      <c r="C8" s="4" t="s">
        <v>1222</v>
      </c>
      <c r="D8" t="s">
        <v>1223</v>
      </c>
      <c r="E8" t="s">
        <v>1224</v>
      </c>
      <c r="F8" t="s">
        <v>1237</v>
      </c>
    </row>
    <row r="9" spans="1:7" ht="12.75" customHeight="1">
      <c r="A9" s="41" t="s">
        <v>1238</v>
      </c>
      <c r="B9" s="4" t="s">
        <v>1239</v>
      </c>
      <c r="C9" s="4" t="s">
        <v>1222</v>
      </c>
      <c r="D9" t="s">
        <v>1223</v>
      </c>
      <c r="E9" t="s">
        <v>1224</v>
      </c>
      <c r="F9" t="s">
        <v>1240</v>
      </c>
    </row>
    <row r="10" spans="1:7" ht="12.75" customHeight="1">
      <c r="A10" s="41" t="s">
        <v>1241</v>
      </c>
      <c r="B10" s="4" t="s">
        <v>1242</v>
      </c>
      <c r="C10" s="4" t="s">
        <v>1222</v>
      </c>
      <c r="D10" t="s">
        <v>1223</v>
      </c>
      <c r="E10" t="s">
        <v>1224</v>
      </c>
      <c r="F10" t="s">
        <v>1243</v>
      </c>
    </row>
    <row r="11" spans="1:7" ht="12.75" customHeight="1">
      <c r="A11" s="41" t="s">
        <v>1244</v>
      </c>
      <c r="B11" s="4" t="s">
        <v>1244</v>
      </c>
      <c r="C11" s="4" t="s">
        <v>1222</v>
      </c>
      <c r="D11" t="s">
        <v>1230</v>
      </c>
      <c r="E11" t="s">
        <v>1224</v>
      </c>
      <c r="F11" t="s">
        <v>1245</v>
      </c>
    </row>
    <row r="12" spans="1:7" ht="12.75" customHeight="1">
      <c r="A12" s="41" t="s">
        <v>1246</v>
      </c>
      <c r="B12" s="4" t="s">
        <v>1246</v>
      </c>
      <c r="C12" s="4" t="s">
        <v>1222</v>
      </c>
      <c r="D12" t="s">
        <v>1223</v>
      </c>
      <c r="E12" t="s">
        <v>1224</v>
      </c>
      <c r="F12" t="s">
        <v>1247</v>
      </c>
    </row>
    <row r="13" spans="1:7" ht="12.75" customHeight="1">
      <c r="A13" s="41" t="s">
        <v>1248</v>
      </c>
      <c r="B13" s="4" t="s">
        <v>1249</v>
      </c>
      <c r="C13" s="4" t="s">
        <v>1250</v>
      </c>
      <c r="D13" t="s">
        <v>1223</v>
      </c>
      <c r="E13" t="s">
        <v>1224</v>
      </c>
      <c r="F13" t="s">
        <v>1251</v>
      </c>
    </row>
    <row r="14" spans="1:7" ht="12.75" customHeight="1">
      <c r="A14" s="41" t="s">
        <v>1252</v>
      </c>
      <c r="B14" s="4" t="s">
        <v>1253</v>
      </c>
      <c r="C14" s="4" t="s">
        <v>1250</v>
      </c>
      <c r="D14" t="s">
        <v>1230</v>
      </c>
      <c r="E14" t="s">
        <v>1224</v>
      </c>
      <c r="F14" t="s">
        <v>1254</v>
      </c>
    </row>
    <row r="15" spans="1:7" ht="12.75" customHeight="1">
      <c r="A15" s="41" t="s">
        <v>1255</v>
      </c>
      <c r="B15" s="4" t="s">
        <v>1256</v>
      </c>
      <c r="C15" s="4" t="s">
        <v>1222</v>
      </c>
      <c r="D15" t="s">
        <v>1223</v>
      </c>
      <c r="E15" t="s">
        <v>1224</v>
      </c>
      <c r="F15" t="s">
        <v>1257</v>
      </c>
    </row>
    <row r="16" spans="1:7" ht="12.75" customHeight="1">
      <c r="A16" s="41" t="s">
        <v>1258</v>
      </c>
      <c r="B16" s="4" t="s">
        <v>1259</v>
      </c>
      <c r="C16" s="4" t="s">
        <v>1222</v>
      </c>
      <c r="D16" t="s">
        <v>1223</v>
      </c>
      <c r="E16" t="s">
        <v>1224</v>
      </c>
      <c r="F16" t="s">
        <v>1260</v>
      </c>
    </row>
    <row r="17" spans="1:6" ht="12.75" customHeight="1">
      <c r="A17" s="41" t="s">
        <v>1261</v>
      </c>
      <c r="B17" s="4" t="s">
        <v>1262</v>
      </c>
      <c r="C17" s="4" t="s">
        <v>1222</v>
      </c>
      <c r="D17" t="s">
        <v>1223</v>
      </c>
      <c r="E17" t="s">
        <v>1224</v>
      </c>
      <c r="F17" t="s">
        <v>1263</v>
      </c>
    </row>
    <row r="18" spans="1:6" ht="12.75" customHeight="1">
      <c r="A18" s="41" t="s">
        <v>1264</v>
      </c>
      <c r="B18" s="4" t="s">
        <v>1264</v>
      </c>
      <c r="C18" s="4" t="s">
        <v>1222</v>
      </c>
      <c r="D18" t="s">
        <v>1230</v>
      </c>
      <c r="E18" t="s">
        <v>1224</v>
      </c>
      <c r="F18" t="s">
        <v>1265</v>
      </c>
    </row>
    <row r="19" spans="1:6" ht="12.75" customHeight="1">
      <c r="A19" s="41" t="s">
        <v>1266</v>
      </c>
      <c r="B19" s="4" t="s">
        <v>1267</v>
      </c>
      <c r="C19" s="4" t="s">
        <v>1268</v>
      </c>
      <c r="D19" t="s">
        <v>1223</v>
      </c>
      <c r="E19" t="s">
        <v>1224</v>
      </c>
      <c r="F19" t="s">
        <v>1269</v>
      </c>
    </row>
    <row r="20" spans="1:6" ht="12.75" customHeight="1">
      <c r="A20" s="41" t="s">
        <v>1270</v>
      </c>
      <c r="B20" s="4" t="s">
        <v>1271</v>
      </c>
      <c r="C20" s="4" t="s">
        <v>1268</v>
      </c>
      <c r="D20" t="s">
        <v>1223</v>
      </c>
      <c r="E20" t="s">
        <v>1224</v>
      </c>
      <c r="F20" t="s">
        <v>1272</v>
      </c>
    </row>
    <row r="21" spans="1:6" ht="12.75" customHeight="1">
      <c r="A21" s="41" t="s">
        <v>1273</v>
      </c>
      <c r="B21" s="4" t="s">
        <v>1273</v>
      </c>
      <c r="C21" s="4" t="s">
        <v>1274</v>
      </c>
      <c r="D21" t="s">
        <v>1223</v>
      </c>
      <c r="E21" t="s">
        <v>1224</v>
      </c>
      <c r="F21" t="s">
        <v>1275</v>
      </c>
    </row>
    <row r="22" spans="1:6" ht="12.75" customHeight="1">
      <c r="A22" s="41" t="s">
        <v>1276</v>
      </c>
      <c r="B22" s="4" t="s">
        <v>1276</v>
      </c>
      <c r="C22" s="4" t="s">
        <v>1274</v>
      </c>
      <c r="D22" t="s">
        <v>1223</v>
      </c>
      <c r="E22" t="s">
        <v>1224</v>
      </c>
      <c r="F22" t="s">
        <v>1277</v>
      </c>
    </row>
    <row r="23" spans="1:6" ht="12.75" customHeight="1">
      <c r="A23" s="42" t="s">
        <v>1278</v>
      </c>
      <c r="B23" t="s">
        <v>1279</v>
      </c>
      <c r="C23" s="4" t="s">
        <v>1274</v>
      </c>
      <c r="D23" t="s">
        <v>1223</v>
      </c>
      <c r="E23" t="s">
        <v>1224</v>
      </c>
      <c r="F23" t="s">
        <v>1280</v>
      </c>
    </row>
    <row r="24" spans="1:6" ht="12.75" customHeight="1">
      <c r="A24" s="41" t="s">
        <v>1281</v>
      </c>
      <c r="B24" s="4" t="s">
        <v>1281</v>
      </c>
      <c r="C24" s="4" t="s">
        <v>1274</v>
      </c>
      <c r="D24" t="s">
        <v>1223</v>
      </c>
      <c r="E24" t="s">
        <v>1224</v>
      </c>
      <c r="F24" t="s">
        <v>1282</v>
      </c>
    </row>
    <row r="25" spans="1:6" ht="12.75" customHeight="1">
      <c r="A25" s="42" t="s">
        <v>1283</v>
      </c>
      <c r="B25" t="s">
        <v>1283</v>
      </c>
      <c r="C25" s="4" t="s">
        <v>1274</v>
      </c>
      <c r="D25" t="s">
        <v>1223</v>
      </c>
      <c r="E25" t="s">
        <v>1224</v>
      </c>
      <c r="F25" t="s">
        <v>1284</v>
      </c>
    </row>
    <row r="26" spans="1:6" ht="12.75" customHeight="1">
      <c r="A26" s="41" t="s">
        <v>1285</v>
      </c>
      <c r="B26" s="4" t="s">
        <v>1285</v>
      </c>
      <c r="C26" s="4" t="s">
        <v>1274</v>
      </c>
      <c r="D26" t="s">
        <v>1223</v>
      </c>
      <c r="E26" t="s">
        <v>1224</v>
      </c>
      <c r="F26" t="s">
        <v>1286</v>
      </c>
    </row>
    <row r="27" spans="1:6" ht="12.75" customHeight="1">
      <c r="A27" s="41" t="s">
        <v>1287</v>
      </c>
      <c r="B27" s="4" t="s">
        <v>1287</v>
      </c>
      <c r="C27" s="4" t="s">
        <v>1274</v>
      </c>
      <c r="D27" t="s">
        <v>1223</v>
      </c>
      <c r="E27" t="s">
        <v>1224</v>
      </c>
      <c r="F27" t="s">
        <v>1288</v>
      </c>
    </row>
    <row r="28" spans="1:6" ht="12.75" customHeight="1">
      <c r="A28" s="41" t="s">
        <v>1289</v>
      </c>
      <c r="B28" s="4" t="s">
        <v>1289</v>
      </c>
      <c r="C28" s="4" t="s">
        <v>1274</v>
      </c>
      <c r="D28" t="s">
        <v>1223</v>
      </c>
      <c r="E28" t="s">
        <v>1224</v>
      </c>
      <c r="F28" t="s">
        <v>1290</v>
      </c>
    </row>
    <row r="29" spans="1:6" ht="12.75" customHeight="1">
      <c r="A29" s="41" t="s">
        <v>1291</v>
      </c>
      <c r="B29" s="4" t="s">
        <v>1291</v>
      </c>
      <c r="C29" s="4" t="s">
        <v>1274</v>
      </c>
      <c r="D29" t="s">
        <v>1223</v>
      </c>
      <c r="E29" t="s">
        <v>1224</v>
      </c>
      <c r="F29" t="s">
        <v>1292</v>
      </c>
    </row>
    <row r="30" spans="1:6" ht="12.75" customHeight="1">
      <c r="A30" s="41" t="s">
        <v>1293</v>
      </c>
      <c r="B30" s="4" t="s">
        <v>1293</v>
      </c>
      <c r="C30" s="4" t="s">
        <v>1274</v>
      </c>
      <c r="D30" t="s">
        <v>1223</v>
      </c>
      <c r="E30" t="s">
        <v>1224</v>
      </c>
      <c r="F30" t="s">
        <v>1294</v>
      </c>
    </row>
    <row r="31" spans="1:6" ht="12.75" customHeight="1">
      <c r="A31" s="41" t="s">
        <v>1295</v>
      </c>
      <c r="B31" s="4" t="s">
        <v>1295</v>
      </c>
      <c r="C31" s="4" t="s">
        <v>1274</v>
      </c>
      <c r="D31" t="s">
        <v>1223</v>
      </c>
      <c r="E31" t="s">
        <v>1224</v>
      </c>
      <c r="F31" t="s">
        <v>1296</v>
      </c>
    </row>
    <row r="32" spans="1:6" ht="12.75" customHeight="1">
      <c r="A32" s="42" t="s">
        <v>1297</v>
      </c>
      <c r="B32" t="s">
        <v>1297</v>
      </c>
      <c r="C32" s="4" t="s">
        <v>1274</v>
      </c>
      <c r="D32" t="s">
        <v>1223</v>
      </c>
      <c r="E32" t="s">
        <v>1224</v>
      </c>
      <c r="F32" t="s">
        <v>1298</v>
      </c>
    </row>
    <row r="33" spans="1:6" ht="12.75" customHeight="1">
      <c r="A33" s="42" t="s">
        <v>1299</v>
      </c>
      <c r="B33" t="s">
        <v>1299</v>
      </c>
      <c r="C33" s="4" t="s">
        <v>1274</v>
      </c>
      <c r="D33" t="s">
        <v>1223</v>
      </c>
      <c r="E33" t="s">
        <v>1224</v>
      </c>
      <c r="F33" t="s">
        <v>1300</v>
      </c>
    </row>
    <row r="34" spans="1:6" ht="12.75" customHeight="1">
      <c r="A34" s="41" t="s">
        <v>1301</v>
      </c>
      <c r="B34" s="4" t="s">
        <v>1301</v>
      </c>
      <c r="C34" s="4" t="s">
        <v>1274</v>
      </c>
      <c r="D34" t="s">
        <v>1223</v>
      </c>
      <c r="E34" t="s">
        <v>1224</v>
      </c>
      <c r="F34" t="s">
        <v>1302</v>
      </c>
    </row>
    <row r="35" spans="1:6" ht="12.75" customHeight="1">
      <c r="A35" s="41" t="s">
        <v>1303</v>
      </c>
      <c r="B35" s="4" t="s">
        <v>1303</v>
      </c>
      <c r="C35" s="4" t="s">
        <v>1274</v>
      </c>
      <c r="D35" t="s">
        <v>1223</v>
      </c>
      <c r="E35" t="s">
        <v>1224</v>
      </c>
      <c r="F35" t="s">
        <v>1304</v>
      </c>
    </row>
    <row r="36" spans="1:6" ht="12.75" customHeight="1">
      <c r="A36" s="41" t="s">
        <v>1305</v>
      </c>
      <c r="B36" s="4" t="s">
        <v>1305</v>
      </c>
      <c r="C36" s="4" t="s">
        <v>1274</v>
      </c>
      <c r="D36" t="s">
        <v>1223</v>
      </c>
      <c r="E36" t="s">
        <v>1224</v>
      </c>
      <c r="F36" t="s">
        <v>1306</v>
      </c>
    </row>
    <row r="37" spans="1:6" ht="12.75" customHeight="1">
      <c r="A37" s="42" t="s">
        <v>1307</v>
      </c>
      <c r="B37" t="s">
        <v>1307</v>
      </c>
      <c r="C37" s="4" t="s">
        <v>1274</v>
      </c>
      <c r="D37" t="s">
        <v>1223</v>
      </c>
      <c r="E37" t="s">
        <v>1224</v>
      </c>
      <c r="F37" t="s">
        <v>1308</v>
      </c>
    </row>
    <row r="38" spans="1:6" ht="12.75" customHeight="1">
      <c r="A38" s="41" t="s">
        <v>1309</v>
      </c>
      <c r="B38" s="4" t="s">
        <v>1309</v>
      </c>
      <c r="C38" s="4" t="s">
        <v>1274</v>
      </c>
      <c r="D38" t="s">
        <v>1223</v>
      </c>
      <c r="E38" t="s">
        <v>1224</v>
      </c>
      <c r="F38" t="s">
        <v>1310</v>
      </c>
    </row>
    <row r="39" spans="1:6" ht="12.75" customHeight="1">
      <c r="A39" s="41" t="s">
        <v>1311</v>
      </c>
      <c r="B39" s="4" t="s">
        <v>1311</v>
      </c>
      <c r="C39" s="4" t="s">
        <v>1274</v>
      </c>
      <c r="D39" t="s">
        <v>1223</v>
      </c>
      <c r="E39" t="s">
        <v>1224</v>
      </c>
      <c r="F39" t="s">
        <v>1312</v>
      </c>
    </row>
    <row r="40" spans="1:6" ht="12.75" customHeight="1">
      <c r="A40" s="41" t="s">
        <v>1313</v>
      </c>
      <c r="B40" s="4" t="s">
        <v>1313</v>
      </c>
      <c r="C40" s="4" t="s">
        <v>1274</v>
      </c>
      <c r="D40" t="s">
        <v>1223</v>
      </c>
      <c r="E40" t="s">
        <v>1224</v>
      </c>
      <c r="F40" t="s">
        <v>1314</v>
      </c>
    </row>
    <row r="41" spans="1:6" ht="12.75" customHeight="1">
      <c r="A41" s="42" t="s">
        <v>1315</v>
      </c>
      <c r="B41" t="s">
        <v>1315</v>
      </c>
      <c r="C41" s="4" t="s">
        <v>1274</v>
      </c>
      <c r="D41" t="s">
        <v>1230</v>
      </c>
      <c r="E41" t="s">
        <v>1224</v>
      </c>
      <c r="F41" t="s">
        <v>1316</v>
      </c>
    </row>
    <row r="42" spans="1:6" ht="12.75" customHeight="1">
      <c r="A42" s="42" t="s">
        <v>1317</v>
      </c>
      <c r="B42" t="s">
        <v>1317</v>
      </c>
      <c r="C42" s="4" t="s">
        <v>1274</v>
      </c>
      <c r="D42" t="s">
        <v>1223</v>
      </c>
      <c r="E42" t="s">
        <v>1224</v>
      </c>
      <c r="F42" t="s">
        <v>1318</v>
      </c>
    </row>
    <row r="43" spans="1:6" ht="12.75" customHeight="1">
      <c r="A43" s="41" t="s">
        <v>1319</v>
      </c>
      <c r="B43" s="4" t="s">
        <v>1319</v>
      </c>
      <c r="C43" s="4" t="s">
        <v>1274</v>
      </c>
      <c r="D43" t="s">
        <v>1230</v>
      </c>
      <c r="E43" t="s">
        <v>1224</v>
      </c>
      <c r="F43" t="s">
        <v>1320</v>
      </c>
    </row>
    <row r="44" spans="1:6" ht="12.75" customHeight="1">
      <c r="A44" s="41" t="s">
        <v>1321</v>
      </c>
      <c r="B44" s="4" t="s">
        <v>1322</v>
      </c>
      <c r="C44" s="4" t="s">
        <v>1274</v>
      </c>
      <c r="D44" t="s">
        <v>1223</v>
      </c>
      <c r="E44" t="s">
        <v>1224</v>
      </c>
      <c r="F44" t="s">
        <v>1323</v>
      </c>
    </row>
    <row r="45" spans="1:6" ht="12.75" customHeight="1">
      <c r="A45" s="42" t="s">
        <v>1324</v>
      </c>
      <c r="B45" t="s">
        <v>1324</v>
      </c>
      <c r="C45" s="4" t="s">
        <v>1274</v>
      </c>
      <c r="D45" t="s">
        <v>1223</v>
      </c>
      <c r="E45" t="s">
        <v>1224</v>
      </c>
      <c r="F45" t="s">
        <v>1325</v>
      </c>
    </row>
    <row r="46" spans="1:6" ht="12.75" customHeight="1">
      <c r="A46" s="41" t="s">
        <v>1326</v>
      </c>
      <c r="B46" s="4" t="s">
        <v>1326</v>
      </c>
      <c r="C46" s="4" t="s">
        <v>1274</v>
      </c>
      <c r="D46" t="s">
        <v>1223</v>
      </c>
      <c r="E46" t="s">
        <v>1224</v>
      </c>
      <c r="F46" t="s">
        <v>1327</v>
      </c>
    </row>
    <row r="47" spans="1:6" ht="12.75" customHeight="1">
      <c r="A47" s="41" t="s">
        <v>1328</v>
      </c>
      <c r="B47" s="4" t="s">
        <v>1328</v>
      </c>
      <c r="C47" s="4" t="s">
        <v>1274</v>
      </c>
      <c r="D47" t="s">
        <v>1223</v>
      </c>
      <c r="E47" t="s">
        <v>1224</v>
      </c>
      <c r="F47" t="s">
        <v>1329</v>
      </c>
    </row>
    <row r="48" spans="1:6" ht="12.75" customHeight="1">
      <c r="A48" s="41" t="s">
        <v>1330</v>
      </c>
      <c r="B48" s="4" t="s">
        <v>1330</v>
      </c>
      <c r="C48" s="4" t="s">
        <v>1274</v>
      </c>
      <c r="D48" t="s">
        <v>1223</v>
      </c>
      <c r="E48" t="s">
        <v>1224</v>
      </c>
      <c r="F48" t="s">
        <v>1331</v>
      </c>
    </row>
    <row r="49" spans="1:6" ht="12.75" customHeight="1">
      <c r="A49" s="41" t="s">
        <v>1332</v>
      </c>
      <c r="B49" s="4" t="s">
        <v>1332</v>
      </c>
      <c r="C49" s="4" t="s">
        <v>1274</v>
      </c>
      <c r="D49" t="s">
        <v>1223</v>
      </c>
      <c r="E49" t="s">
        <v>1224</v>
      </c>
      <c r="F49" t="s">
        <v>1333</v>
      </c>
    </row>
    <row r="50" spans="1:6" ht="12.75" customHeight="1">
      <c r="A50" s="41" t="s">
        <v>1334</v>
      </c>
      <c r="B50" s="4" t="s">
        <v>1334</v>
      </c>
      <c r="C50" s="4" t="s">
        <v>1274</v>
      </c>
      <c r="D50" t="s">
        <v>1223</v>
      </c>
      <c r="E50" t="s">
        <v>1224</v>
      </c>
      <c r="F50" t="s">
        <v>1335</v>
      </c>
    </row>
    <row r="51" spans="1:6" ht="12.75" customHeight="1">
      <c r="A51" s="41" t="s">
        <v>1336</v>
      </c>
      <c r="B51" s="4" t="s">
        <v>1336</v>
      </c>
      <c r="C51" s="4" t="s">
        <v>1274</v>
      </c>
      <c r="D51" t="s">
        <v>1223</v>
      </c>
      <c r="E51" t="s">
        <v>1224</v>
      </c>
      <c r="F51" t="s">
        <v>1337</v>
      </c>
    </row>
    <row r="52" spans="1:6" ht="12.75" customHeight="1">
      <c r="A52" s="41" t="s">
        <v>1338</v>
      </c>
      <c r="B52" s="4" t="s">
        <v>1338</v>
      </c>
      <c r="C52" s="4" t="s">
        <v>1274</v>
      </c>
      <c r="D52" t="s">
        <v>1223</v>
      </c>
      <c r="E52" t="s">
        <v>1224</v>
      </c>
      <c r="F52" t="s">
        <v>1339</v>
      </c>
    </row>
    <row r="53" spans="1:6" ht="12.75" customHeight="1">
      <c r="A53" s="41" t="s">
        <v>1340</v>
      </c>
      <c r="B53" s="4" t="s">
        <v>1340</v>
      </c>
      <c r="C53" s="4" t="s">
        <v>1274</v>
      </c>
      <c r="D53" t="s">
        <v>1223</v>
      </c>
      <c r="E53" t="s">
        <v>1224</v>
      </c>
      <c r="F53" t="s">
        <v>1341</v>
      </c>
    </row>
    <row r="54" spans="1:6" ht="12.75" customHeight="1">
      <c r="A54" s="41" t="s">
        <v>1342</v>
      </c>
      <c r="B54" s="4" t="s">
        <v>1342</v>
      </c>
      <c r="C54" s="4" t="s">
        <v>1274</v>
      </c>
      <c r="D54" t="s">
        <v>1223</v>
      </c>
      <c r="E54" t="s">
        <v>1224</v>
      </c>
      <c r="F54" t="s">
        <v>1343</v>
      </c>
    </row>
    <row r="55" spans="1:6" ht="12.75" customHeight="1">
      <c r="A55" s="41" t="s">
        <v>1344</v>
      </c>
      <c r="B55" s="4" t="s">
        <v>1344</v>
      </c>
      <c r="C55" s="4" t="s">
        <v>1274</v>
      </c>
      <c r="D55" t="s">
        <v>1223</v>
      </c>
      <c r="E55" t="s">
        <v>1224</v>
      </c>
      <c r="F55" t="s">
        <v>1345</v>
      </c>
    </row>
    <row r="56" spans="1:6" ht="12.75" customHeight="1">
      <c r="A56" s="41" t="s">
        <v>1346</v>
      </c>
      <c r="B56" s="4" t="s">
        <v>1346</v>
      </c>
      <c r="C56" s="4" t="s">
        <v>1274</v>
      </c>
      <c r="D56" t="s">
        <v>1223</v>
      </c>
      <c r="E56" t="s">
        <v>1224</v>
      </c>
      <c r="F56" t="s">
        <v>1347</v>
      </c>
    </row>
    <row r="57" spans="1:6" ht="12.75" customHeight="1">
      <c r="A57" s="41" t="s">
        <v>1348</v>
      </c>
      <c r="B57" s="4" t="s">
        <v>1348</v>
      </c>
      <c r="C57" s="4" t="s">
        <v>1274</v>
      </c>
      <c r="D57" t="s">
        <v>1223</v>
      </c>
      <c r="E57" t="s">
        <v>1224</v>
      </c>
      <c r="F57" t="s">
        <v>1349</v>
      </c>
    </row>
    <row r="58" spans="1:6" ht="12.75" customHeight="1">
      <c r="A58" s="42" t="s">
        <v>1350</v>
      </c>
      <c r="B58" t="s">
        <v>1350</v>
      </c>
      <c r="C58" s="4" t="s">
        <v>1274</v>
      </c>
      <c r="D58" t="s">
        <v>1223</v>
      </c>
      <c r="E58" t="s">
        <v>1224</v>
      </c>
      <c r="F58" t="s">
        <v>1351</v>
      </c>
    </row>
    <row r="59" spans="1:6" ht="12.75" customHeight="1">
      <c r="A59" s="42" t="s">
        <v>1352</v>
      </c>
      <c r="B59" t="s">
        <v>1352</v>
      </c>
      <c r="C59" s="4" t="s">
        <v>1274</v>
      </c>
      <c r="D59" t="s">
        <v>1223</v>
      </c>
      <c r="E59" t="s">
        <v>1224</v>
      </c>
      <c r="F59" t="s">
        <v>1353</v>
      </c>
    </row>
    <row r="60" spans="1:6" ht="12.75" customHeight="1">
      <c r="A60" s="41" t="s">
        <v>1354</v>
      </c>
      <c r="B60" s="4" t="s">
        <v>1354</v>
      </c>
      <c r="C60" s="4" t="s">
        <v>1274</v>
      </c>
      <c r="D60" t="s">
        <v>1223</v>
      </c>
      <c r="E60" t="s">
        <v>1224</v>
      </c>
      <c r="F60" t="s">
        <v>1355</v>
      </c>
    </row>
    <row r="61" spans="1:6" ht="12.75" customHeight="1">
      <c r="A61" s="41" t="s">
        <v>1356</v>
      </c>
      <c r="B61" s="4" t="s">
        <v>1356</v>
      </c>
      <c r="C61" s="4" t="s">
        <v>1274</v>
      </c>
      <c r="D61" t="s">
        <v>1223</v>
      </c>
      <c r="E61" t="s">
        <v>1224</v>
      </c>
      <c r="F61" t="s">
        <v>1357</v>
      </c>
    </row>
    <row r="62" spans="1:6" ht="12.75" customHeight="1">
      <c r="A62" s="42" t="s">
        <v>1358</v>
      </c>
      <c r="B62" t="s">
        <v>1359</v>
      </c>
      <c r="C62" s="4" t="s">
        <v>1274</v>
      </c>
      <c r="D62" t="s">
        <v>1230</v>
      </c>
      <c r="E62" t="s">
        <v>1224</v>
      </c>
      <c r="F62" t="s">
        <v>1360</v>
      </c>
    </row>
    <row r="63" spans="1:6" ht="12.75" customHeight="1">
      <c r="A63" s="42" t="s">
        <v>1361</v>
      </c>
      <c r="B63" t="s">
        <v>1361</v>
      </c>
      <c r="C63" s="4" t="s">
        <v>1274</v>
      </c>
      <c r="D63" t="s">
        <v>1223</v>
      </c>
      <c r="E63" t="s">
        <v>1224</v>
      </c>
      <c r="F63" t="s">
        <v>1362</v>
      </c>
    </row>
    <row r="64" spans="1:6" ht="12.75" customHeight="1">
      <c r="A64" s="41">
        <v>38</v>
      </c>
      <c r="B64" s="4" t="s">
        <v>1363</v>
      </c>
      <c r="C64" s="4" t="s">
        <v>1274</v>
      </c>
      <c r="E64" t="s">
        <v>1224</v>
      </c>
      <c r="F64" t="s">
        <v>1364</v>
      </c>
    </row>
    <row r="65" spans="1:6" ht="12.75" customHeight="1">
      <c r="A65" s="42">
        <v>144</v>
      </c>
      <c r="B65" t="s">
        <v>1365</v>
      </c>
      <c r="C65" s="4" t="s">
        <v>1274</v>
      </c>
      <c r="E65" t="s">
        <v>1224</v>
      </c>
      <c r="F65" t="s">
        <v>1366</v>
      </c>
    </row>
    <row r="66" spans="1:6" ht="12.75" customHeight="1">
      <c r="A66" s="41">
        <v>279</v>
      </c>
      <c r="B66" s="4" t="s">
        <v>1367</v>
      </c>
      <c r="C66" s="4" t="s">
        <v>1274</v>
      </c>
      <c r="E66" t="s">
        <v>1224</v>
      </c>
      <c r="F66" t="s">
        <v>1368</v>
      </c>
    </row>
    <row r="67" spans="1:6" ht="12.75" customHeight="1">
      <c r="A67" s="41">
        <v>293</v>
      </c>
      <c r="B67" s="4" t="s">
        <v>1369</v>
      </c>
      <c r="C67" s="4" t="s">
        <v>1274</v>
      </c>
      <c r="E67" t="s">
        <v>1224</v>
      </c>
      <c r="F67" t="s">
        <v>1370</v>
      </c>
    </row>
    <row r="68" spans="1:6" ht="12.75" customHeight="1">
      <c r="A68" s="42">
        <v>308</v>
      </c>
      <c r="B68" t="s">
        <v>1371</v>
      </c>
      <c r="C68" s="4" t="s">
        <v>1274</v>
      </c>
      <c r="E68" t="s">
        <v>1224</v>
      </c>
      <c r="F68" t="s">
        <v>1372</v>
      </c>
    </row>
    <row r="69" spans="1:6" ht="12.75" customHeight="1">
      <c r="A69" s="42">
        <v>309</v>
      </c>
      <c r="B69" t="s">
        <v>1373</v>
      </c>
      <c r="C69" s="4" t="s">
        <v>1274</v>
      </c>
      <c r="E69" t="s">
        <v>1224</v>
      </c>
      <c r="F69" t="s">
        <v>1374</v>
      </c>
    </row>
    <row r="70" spans="1:6" ht="12.75" customHeight="1">
      <c r="A70" s="42" t="s">
        <v>1375</v>
      </c>
      <c r="B70" t="s">
        <v>1376</v>
      </c>
      <c r="C70" s="4" t="s">
        <v>1274</v>
      </c>
      <c r="D70" t="s">
        <v>1223</v>
      </c>
      <c r="E70" t="s">
        <v>1224</v>
      </c>
      <c r="F70" t="s">
        <v>1377</v>
      </c>
    </row>
    <row r="71" spans="1:6" ht="12.75" customHeight="1">
      <c r="A71" s="41" t="s">
        <v>1378</v>
      </c>
      <c r="B71" s="4" t="s">
        <v>1378</v>
      </c>
      <c r="C71" s="4" t="s">
        <v>1274</v>
      </c>
      <c r="D71" t="s">
        <v>1223</v>
      </c>
      <c r="E71" t="s">
        <v>1224</v>
      </c>
      <c r="F71" t="s">
        <v>1379</v>
      </c>
    </row>
    <row r="72" spans="1:6" ht="12.75" customHeight="1">
      <c r="A72" s="41">
        <v>358</v>
      </c>
      <c r="B72" s="4" t="s">
        <v>1380</v>
      </c>
      <c r="C72" s="4" t="s">
        <v>1274</v>
      </c>
      <c r="E72" t="s">
        <v>1224</v>
      </c>
      <c r="F72" t="s">
        <v>1381</v>
      </c>
    </row>
    <row r="73" spans="1:6" ht="12.75" customHeight="1">
      <c r="A73" s="41" t="s">
        <v>1382</v>
      </c>
      <c r="B73" s="4" t="s">
        <v>1383</v>
      </c>
      <c r="C73" s="4" t="s">
        <v>1384</v>
      </c>
      <c r="D73" t="s">
        <v>1223</v>
      </c>
      <c r="E73" t="s">
        <v>1224</v>
      </c>
      <c r="F73" t="s">
        <v>1385</v>
      </c>
    </row>
    <row r="74" spans="1:6" ht="12.75" customHeight="1">
      <c r="A74" s="41" t="s">
        <v>1386</v>
      </c>
      <c r="B74" s="4" t="s">
        <v>1387</v>
      </c>
      <c r="C74" s="4" t="s">
        <v>1384</v>
      </c>
      <c r="D74" t="s">
        <v>1223</v>
      </c>
      <c r="E74" t="s">
        <v>1224</v>
      </c>
      <c r="F74" t="s">
        <v>1388</v>
      </c>
    </row>
    <row r="75" spans="1:6" ht="12.75" customHeight="1">
      <c r="A75" s="41" t="s">
        <v>1389</v>
      </c>
      <c r="B75" s="41" t="s">
        <v>1389</v>
      </c>
      <c r="C75" s="4" t="s">
        <v>1274</v>
      </c>
      <c r="E75" t="s">
        <v>1390</v>
      </c>
      <c r="F75" t="s">
        <v>1391</v>
      </c>
    </row>
    <row r="76" spans="1:6" ht="12.75" customHeight="1">
      <c r="A76" s="41" t="s">
        <v>1392</v>
      </c>
      <c r="B76" s="4" t="s">
        <v>1392</v>
      </c>
      <c r="C76" s="4" t="s">
        <v>1274</v>
      </c>
      <c r="E76" s="43" t="s">
        <v>1390</v>
      </c>
      <c r="F76" t="s">
        <v>1393</v>
      </c>
    </row>
    <row r="77" spans="1:6" ht="12.75" customHeight="1">
      <c r="A77" s="41" t="s">
        <v>1394</v>
      </c>
      <c r="B77" s="4" t="s">
        <v>1395</v>
      </c>
      <c r="C77" s="4" t="s">
        <v>1274</v>
      </c>
      <c r="E77" s="43" t="s">
        <v>1390</v>
      </c>
      <c r="F77" t="s">
        <v>1396</v>
      </c>
    </row>
    <row r="78" spans="1:6" ht="12.75" customHeight="1">
      <c r="A78" s="41" t="s">
        <v>1397</v>
      </c>
      <c r="B78" s="4" t="s">
        <v>1398</v>
      </c>
      <c r="C78" s="4" t="s">
        <v>1274</v>
      </c>
      <c r="E78" s="43" t="s">
        <v>1390</v>
      </c>
      <c r="F78" t="s">
        <v>1399</v>
      </c>
    </row>
    <row r="79" spans="1:6" ht="12.75" customHeight="1">
      <c r="A79" s="41" t="s">
        <v>1400</v>
      </c>
      <c r="B79" s="4" t="s">
        <v>1400</v>
      </c>
      <c r="C79" s="4" t="s">
        <v>1274</v>
      </c>
      <c r="E79" t="s">
        <v>1390</v>
      </c>
      <c r="F79" t="s">
        <v>1401</v>
      </c>
    </row>
    <row r="80" spans="1:6" ht="12.75" customHeight="1">
      <c r="A80" s="41" t="s">
        <v>1402</v>
      </c>
      <c r="B80" s="41" t="s">
        <v>1402</v>
      </c>
      <c r="C80" s="4" t="s">
        <v>1274</v>
      </c>
      <c r="E80" t="s">
        <v>1390</v>
      </c>
      <c r="F80" t="s">
        <v>1403</v>
      </c>
    </row>
    <row r="81" spans="1:6" ht="12.75" customHeight="1">
      <c r="A81" s="41" t="s">
        <v>1404</v>
      </c>
      <c r="B81" s="41" t="s">
        <v>1404</v>
      </c>
      <c r="C81" s="4" t="s">
        <v>1274</v>
      </c>
      <c r="E81" t="s">
        <v>1390</v>
      </c>
      <c r="F81" t="s">
        <v>1405</v>
      </c>
    </row>
    <row r="82" spans="1:6" ht="12.75" customHeight="1">
      <c r="A82" s="41" t="s">
        <v>1406</v>
      </c>
      <c r="B82" s="41" t="s">
        <v>1406</v>
      </c>
      <c r="C82" s="4" t="s">
        <v>1274</v>
      </c>
      <c r="E82" t="s">
        <v>1390</v>
      </c>
      <c r="F82" t="s">
        <v>1407</v>
      </c>
    </row>
    <row r="83" spans="1:6" ht="12.75" customHeight="1">
      <c r="A83" s="41" t="s">
        <v>1408</v>
      </c>
      <c r="B83" s="41" t="s">
        <v>1408</v>
      </c>
      <c r="C83" s="4" t="s">
        <v>1274</v>
      </c>
      <c r="E83" t="s">
        <v>1390</v>
      </c>
      <c r="F83" t="s">
        <v>1409</v>
      </c>
    </row>
    <row r="84" spans="1:6" ht="12.75" customHeight="1">
      <c r="A84" s="41" t="s">
        <v>1410</v>
      </c>
      <c r="B84" s="41" t="s">
        <v>1410</v>
      </c>
      <c r="C84" s="4" t="s">
        <v>1274</v>
      </c>
      <c r="E84" t="s">
        <v>1390</v>
      </c>
      <c r="F84" t="s">
        <v>1411</v>
      </c>
    </row>
    <row r="85" spans="1:6" ht="12.75" customHeight="1">
      <c r="A85" s="41" t="s">
        <v>1412</v>
      </c>
      <c r="B85" s="41" t="s">
        <v>1412</v>
      </c>
      <c r="C85" s="4" t="s">
        <v>1274</v>
      </c>
      <c r="E85" t="s">
        <v>1390</v>
      </c>
      <c r="F85" t="s">
        <v>1413</v>
      </c>
    </row>
    <row r="86" spans="1:6" ht="12.75" customHeight="1">
      <c r="A86" s="41" t="s">
        <v>1414</v>
      </c>
      <c r="B86" s="4" t="s">
        <v>1414</v>
      </c>
      <c r="C86" s="4" t="s">
        <v>1274</v>
      </c>
      <c r="E86" t="s">
        <v>1390</v>
      </c>
      <c r="F86" t="s">
        <v>1415</v>
      </c>
    </row>
    <row r="87" spans="1:6" ht="12.75" customHeight="1">
      <c r="A87" s="41" t="s">
        <v>1416</v>
      </c>
      <c r="B87" s="4" t="s">
        <v>1416</v>
      </c>
      <c r="C87" s="4" t="s">
        <v>1274</v>
      </c>
      <c r="E87" t="s">
        <v>1390</v>
      </c>
      <c r="F87" t="s">
        <v>1417</v>
      </c>
    </row>
    <row r="88" spans="1:6" ht="12.75" customHeight="1">
      <c r="A88" s="41" t="s">
        <v>1418</v>
      </c>
      <c r="B88" s="4" t="s">
        <v>1418</v>
      </c>
      <c r="C88" s="4" t="s">
        <v>1274</v>
      </c>
      <c r="E88" t="s">
        <v>1390</v>
      </c>
      <c r="F88" t="s">
        <v>1419</v>
      </c>
    </row>
    <row r="89" spans="1:6" ht="12.75" customHeight="1">
      <c r="A89" s="41" t="s">
        <v>1420</v>
      </c>
      <c r="B89" s="4" t="s">
        <v>1420</v>
      </c>
      <c r="C89" s="4" t="s">
        <v>1274</v>
      </c>
      <c r="E89" t="s">
        <v>1390</v>
      </c>
      <c r="F89" t="s">
        <v>1421</v>
      </c>
    </row>
    <row r="90" spans="1:6" ht="12.75" customHeight="1">
      <c r="A90" s="41" t="s">
        <v>1422</v>
      </c>
      <c r="B90" s="4" t="s">
        <v>1422</v>
      </c>
      <c r="C90" s="4" t="s">
        <v>1274</v>
      </c>
      <c r="E90" t="s">
        <v>1390</v>
      </c>
      <c r="F90" t="s">
        <v>1423</v>
      </c>
    </row>
    <row r="91" spans="1:6" ht="12.75" customHeight="1">
      <c r="A91" s="41" t="s">
        <v>1424</v>
      </c>
      <c r="B91" s="4" t="s">
        <v>1425</v>
      </c>
      <c r="C91" s="4" t="s">
        <v>1274</v>
      </c>
      <c r="D91" t="s">
        <v>1223</v>
      </c>
      <c r="E91" t="s">
        <v>1224</v>
      </c>
      <c r="F91" t="s">
        <v>1426</v>
      </c>
    </row>
    <row r="92" spans="1:6" ht="12.75" customHeight="1">
      <c r="A92" s="41" t="s">
        <v>1427</v>
      </c>
      <c r="B92" s="4" t="s">
        <v>1427</v>
      </c>
      <c r="C92" s="4" t="s">
        <v>1274</v>
      </c>
      <c r="E92" t="s">
        <v>1390</v>
      </c>
      <c r="F92" t="s">
        <v>1428</v>
      </c>
    </row>
    <row r="93" spans="1:6" ht="12.75" customHeight="1">
      <c r="A93" s="41" t="s">
        <v>1429</v>
      </c>
      <c r="B93" s="4" t="s">
        <v>1429</v>
      </c>
      <c r="C93" s="4" t="s">
        <v>1274</v>
      </c>
      <c r="E93" t="s">
        <v>1390</v>
      </c>
      <c r="F93" t="s">
        <v>1430</v>
      </c>
    </row>
    <row r="94" spans="1:6" ht="12.75" customHeight="1">
      <c r="A94" s="41" t="s">
        <v>1431</v>
      </c>
      <c r="B94" s="4" t="s">
        <v>1431</v>
      </c>
      <c r="C94" s="4" t="s">
        <v>1274</v>
      </c>
      <c r="E94" t="s">
        <v>1390</v>
      </c>
      <c r="F94" t="s">
        <v>1432</v>
      </c>
    </row>
    <row r="95" spans="1:6" ht="12.75" customHeight="1">
      <c r="A95" s="41" t="s">
        <v>1433</v>
      </c>
      <c r="B95" s="4" t="s">
        <v>1433</v>
      </c>
      <c r="C95" s="4" t="s">
        <v>1274</v>
      </c>
      <c r="E95" t="s">
        <v>1390</v>
      </c>
      <c r="F95" t="s">
        <v>1434</v>
      </c>
    </row>
    <row r="96" spans="1:6" ht="12.75" customHeight="1">
      <c r="A96" s="4" t="s">
        <v>1435</v>
      </c>
      <c r="B96" s="4" t="s">
        <v>1435</v>
      </c>
      <c r="C96" s="4" t="s">
        <v>1274</v>
      </c>
      <c r="E96" t="s">
        <v>1390</v>
      </c>
      <c r="F96" t="s">
        <v>1436</v>
      </c>
    </row>
    <row r="97" spans="1:6" ht="12.75" customHeight="1">
      <c r="A97" s="4" t="s">
        <v>1437</v>
      </c>
      <c r="B97" s="4" t="s">
        <v>1437</v>
      </c>
      <c r="C97" s="4" t="s">
        <v>1274</v>
      </c>
      <c r="E97" t="s">
        <v>1390</v>
      </c>
      <c r="F97" t="s">
        <v>1438</v>
      </c>
    </row>
    <row r="98" spans="1:6" ht="12.75" customHeight="1">
      <c r="A98" s="4" t="s">
        <v>1439</v>
      </c>
      <c r="B98" s="4" t="s">
        <v>1439</v>
      </c>
      <c r="C98" s="4" t="s">
        <v>1274</v>
      </c>
      <c r="E98" t="s">
        <v>1390</v>
      </c>
      <c r="F98" t="s">
        <v>1440</v>
      </c>
    </row>
    <row r="99" spans="1:6" ht="12.75" customHeight="1">
      <c r="A99" s="4" t="s">
        <v>1441</v>
      </c>
      <c r="B99" s="4" t="s">
        <v>1441</v>
      </c>
      <c r="C99" s="4" t="s">
        <v>1274</v>
      </c>
      <c r="E99" t="s">
        <v>1390</v>
      </c>
      <c r="F99" t="s">
        <v>1442</v>
      </c>
    </row>
    <row r="100" spans="1:6" ht="12.75" customHeight="1">
      <c r="A100" s="4" t="s">
        <v>1443</v>
      </c>
      <c r="B100" s="4" t="s">
        <v>1443</v>
      </c>
      <c r="C100" s="4" t="s">
        <v>1274</v>
      </c>
      <c r="E100" t="s">
        <v>1390</v>
      </c>
      <c r="F100" t="s">
        <v>1444</v>
      </c>
    </row>
    <row r="101" spans="1:6" ht="12.75" customHeight="1">
      <c r="A101" s="4" t="s">
        <v>1445</v>
      </c>
      <c r="B101" s="4" t="s">
        <v>1445</v>
      </c>
      <c r="C101" s="4" t="s">
        <v>1274</v>
      </c>
      <c r="E101" t="s">
        <v>1390</v>
      </c>
      <c r="F101" t="s">
        <v>1446</v>
      </c>
    </row>
    <row r="102" spans="1:6" ht="12.75" customHeight="1">
      <c r="A102" s="4" t="s">
        <v>1447</v>
      </c>
      <c r="B102" s="4" t="s">
        <v>1447</v>
      </c>
      <c r="C102" s="4" t="s">
        <v>1274</v>
      </c>
      <c r="E102" t="s">
        <v>1390</v>
      </c>
      <c r="F102" t="s">
        <v>1448</v>
      </c>
    </row>
    <row r="103" spans="1:6" ht="12.75" customHeight="1">
      <c r="A103" s="4" t="s">
        <v>1449</v>
      </c>
      <c r="B103" s="4" t="s">
        <v>1450</v>
      </c>
      <c r="C103" s="4" t="s">
        <v>1274</v>
      </c>
      <c r="E103" t="s">
        <v>1390</v>
      </c>
      <c r="F103" t="s">
        <v>1451</v>
      </c>
    </row>
    <row r="104" spans="1:6" ht="12.75" customHeight="1">
      <c r="A104" s="4" t="s">
        <v>1452</v>
      </c>
      <c r="B104" s="4" t="s">
        <v>1453</v>
      </c>
      <c r="C104" s="4" t="s">
        <v>1274</v>
      </c>
      <c r="E104" t="s">
        <v>1390</v>
      </c>
      <c r="F104" t="s">
        <v>1454</v>
      </c>
    </row>
    <row r="105" spans="1:6" ht="12.75" customHeight="1">
      <c r="A105" s="4" t="s">
        <v>1455</v>
      </c>
      <c r="B105" s="4" t="s">
        <v>1455</v>
      </c>
      <c r="C105" s="4" t="s">
        <v>1274</v>
      </c>
      <c r="E105" t="s">
        <v>1390</v>
      </c>
      <c r="F105" t="s">
        <v>1456</v>
      </c>
    </row>
    <row r="106" spans="1:6" ht="12.75" customHeight="1">
      <c r="A106" s="4" t="s">
        <v>1457</v>
      </c>
      <c r="B106" s="4" t="s">
        <v>1457</v>
      </c>
      <c r="C106" s="4" t="s">
        <v>1274</v>
      </c>
      <c r="E106" t="s">
        <v>1390</v>
      </c>
      <c r="F106" t="s">
        <v>1458</v>
      </c>
    </row>
    <row r="107" spans="1:6" ht="12.75" customHeight="1">
      <c r="A107" s="4" t="s">
        <v>1459</v>
      </c>
      <c r="B107" s="4" t="s">
        <v>1459</v>
      </c>
      <c r="C107" s="4" t="s">
        <v>1274</v>
      </c>
      <c r="E107" t="s">
        <v>1390</v>
      </c>
      <c r="F107" t="s">
        <v>1460</v>
      </c>
    </row>
    <row r="108" spans="1:6" ht="12.75" customHeight="1">
      <c r="A108" s="41" t="s">
        <v>1461</v>
      </c>
      <c r="B108" s="4" t="s">
        <v>1461</v>
      </c>
      <c r="C108" s="4" t="s">
        <v>1274</v>
      </c>
      <c r="E108" t="s">
        <v>1390</v>
      </c>
      <c r="F108" t="s">
        <v>1462</v>
      </c>
    </row>
    <row r="109" spans="1:6" ht="12.75" customHeight="1">
      <c r="A109" s="41" t="s">
        <v>1463</v>
      </c>
      <c r="B109" s="4" t="s">
        <v>1463</v>
      </c>
      <c r="C109" s="4" t="s">
        <v>1274</v>
      </c>
      <c r="E109" t="s">
        <v>1390</v>
      </c>
      <c r="F109" t="s">
        <v>1464</v>
      </c>
    </row>
    <row r="110" spans="1:6" ht="12.75" customHeight="1">
      <c r="A110" s="41" t="s">
        <v>1465</v>
      </c>
      <c r="B110" s="4" t="s">
        <v>1465</v>
      </c>
      <c r="C110" s="4" t="s">
        <v>1274</v>
      </c>
      <c r="E110" t="s">
        <v>1390</v>
      </c>
      <c r="F110" t="s">
        <v>1466</v>
      </c>
    </row>
    <row r="111" spans="1:6" ht="12.75" customHeight="1">
      <c r="A111" s="41" t="s">
        <v>1467</v>
      </c>
      <c r="B111" s="4" t="s">
        <v>1467</v>
      </c>
      <c r="C111" s="4" t="s">
        <v>1274</v>
      </c>
      <c r="D111" t="s">
        <v>1223</v>
      </c>
      <c r="E111" t="s">
        <v>1224</v>
      </c>
      <c r="F111" t="s">
        <v>1468</v>
      </c>
    </row>
    <row r="112" spans="1:6" ht="12.75" customHeight="1">
      <c r="A112" s="41" t="s">
        <v>1469</v>
      </c>
      <c r="B112" s="4" t="s">
        <v>1469</v>
      </c>
      <c r="C112" s="4" t="s">
        <v>1274</v>
      </c>
      <c r="D112" t="s">
        <v>1223</v>
      </c>
      <c r="E112" t="s">
        <v>1224</v>
      </c>
      <c r="F112" t="s">
        <v>1470</v>
      </c>
    </row>
    <row r="113" spans="1:6" ht="12.75" customHeight="1">
      <c r="A113" s="41" t="s">
        <v>1471</v>
      </c>
      <c r="B113" s="4" t="s">
        <v>1472</v>
      </c>
      <c r="C113" s="4" t="s">
        <v>1473</v>
      </c>
      <c r="D113" t="s">
        <v>1223</v>
      </c>
      <c r="E113" t="s">
        <v>1224</v>
      </c>
      <c r="F113" t="s">
        <v>1474</v>
      </c>
    </row>
    <row r="114" spans="1:6" ht="12.75" customHeight="1">
      <c r="A114" s="41" t="s">
        <v>1475</v>
      </c>
      <c r="B114" s="4" t="s">
        <v>1475</v>
      </c>
      <c r="C114" s="4" t="s">
        <v>1473</v>
      </c>
      <c r="D114" t="s">
        <v>1223</v>
      </c>
      <c r="E114" t="s">
        <v>1224</v>
      </c>
      <c r="F114" t="s">
        <v>1476</v>
      </c>
    </row>
    <row r="115" spans="1:6" ht="12.75" customHeight="1">
      <c r="A115" s="4" t="s">
        <v>1477</v>
      </c>
      <c r="B115" s="4" t="s">
        <v>1477</v>
      </c>
      <c r="C115" s="4" t="s">
        <v>1473</v>
      </c>
      <c r="E115" t="s">
        <v>1224</v>
      </c>
      <c r="F115" t="s">
        <v>1478</v>
      </c>
    </row>
    <row r="116" spans="1:6" ht="12.75" customHeight="1">
      <c r="A116" s="4" t="s">
        <v>1479</v>
      </c>
      <c r="B116" s="4" t="s">
        <v>1479</v>
      </c>
      <c r="C116" s="4" t="s">
        <v>1473</v>
      </c>
      <c r="E116" t="s">
        <v>1224</v>
      </c>
      <c r="F116" t="s">
        <v>1480</v>
      </c>
    </row>
    <row r="117" spans="1:6" ht="12.75" customHeight="1">
      <c r="A117" s="4" t="s">
        <v>1481</v>
      </c>
      <c r="B117" s="4" t="s">
        <v>1481</v>
      </c>
      <c r="C117" s="4" t="s">
        <v>1473</v>
      </c>
      <c r="E117" t="s">
        <v>1224</v>
      </c>
      <c r="F117" t="s">
        <v>1482</v>
      </c>
    </row>
    <row r="118" spans="1:6" ht="12.75" customHeight="1">
      <c r="A118" s="4" t="s">
        <v>1483</v>
      </c>
      <c r="B118" s="4" t="s">
        <v>1483</v>
      </c>
      <c r="C118" s="4" t="s">
        <v>1484</v>
      </c>
      <c r="E118" t="s">
        <v>1224</v>
      </c>
      <c r="F118" t="s">
        <v>1485</v>
      </c>
    </row>
    <row r="119" spans="1:6" ht="12.75" customHeight="1">
      <c r="A119" s="4" t="s">
        <v>1486</v>
      </c>
      <c r="B119" s="4" t="s">
        <v>1486</v>
      </c>
      <c r="C119" s="4" t="s">
        <v>1484</v>
      </c>
      <c r="E119" t="s">
        <v>1224</v>
      </c>
      <c r="F119" t="s">
        <v>1487</v>
      </c>
    </row>
    <row r="120" spans="1:6" ht="12.75" customHeight="1">
      <c r="A120" s="4" t="s">
        <v>1488</v>
      </c>
      <c r="B120" s="4" t="s">
        <v>1488</v>
      </c>
      <c r="C120" s="4" t="s">
        <v>1484</v>
      </c>
      <c r="E120" t="s">
        <v>1224</v>
      </c>
      <c r="F120" t="s">
        <v>1489</v>
      </c>
    </row>
    <row r="121" spans="1:6" ht="12.75" customHeight="1">
      <c r="A121" s="4" t="s">
        <v>1490</v>
      </c>
      <c r="B121" s="4" t="s">
        <v>1490</v>
      </c>
      <c r="C121" s="4" t="s">
        <v>1491</v>
      </c>
      <c r="E121" t="s">
        <v>1224</v>
      </c>
      <c r="F121" t="s">
        <v>1492</v>
      </c>
    </row>
    <row r="122" spans="1:6" ht="12.75" customHeight="1">
      <c r="A122" s="4" t="s">
        <v>1493</v>
      </c>
      <c r="B122" s="4" t="s">
        <v>1493</v>
      </c>
      <c r="C122" s="4" t="s">
        <v>1491</v>
      </c>
      <c r="E122" t="s">
        <v>1224</v>
      </c>
      <c r="F122" t="s">
        <v>1494</v>
      </c>
    </row>
    <row r="123" spans="1:6" ht="12.75" customHeight="1">
      <c r="A123" s="4" t="s">
        <v>1495</v>
      </c>
      <c r="B123" s="4" t="s">
        <v>1495</v>
      </c>
      <c r="C123" s="4" t="s">
        <v>1496</v>
      </c>
      <c r="E123" t="s">
        <v>1224</v>
      </c>
      <c r="F123" t="s">
        <v>1497</v>
      </c>
    </row>
    <row r="124" spans="1:6" ht="12.75" customHeight="1">
      <c r="A124" s="4" t="s">
        <v>1498</v>
      </c>
      <c r="B124" s="4" t="s">
        <v>1498</v>
      </c>
      <c r="C124" s="4" t="s">
        <v>1496</v>
      </c>
      <c r="E124" t="s">
        <v>1224</v>
      </c>
      <c r="F124" t="s">
        <v>1499</v>
      </c>
    </row>
    <row r="125" spans="1:6" ht="12.75" customHeight="1">
      <c r="A125" s="4" t="s">
        <v>1500</v>
      </c>
      <c r="B125" s="4" t="s">
        <v>1500</v>
      </c>
      <c r="C125" s="4" t="s">
        <v>1501</v>
      </c>
      <c r="E125" t="s">
        <v>1224</v>
      </c>
      <c r="F125" t="s">
        <v>1502</v>
      </c>
    </row>
    <row r="126" spans="1:6" ht="12.75" customHeight="1">
      <c r="A126" s="4" t="s">
        <v>1503</v>
      </c>
      <c r="B126" s="4" t="s">
        <v>1503</v>
      </c>
      <c r="C126" s="4" t="s">
        <v>1501</v>
      </c>
      <c r="E126" t="s">
        <v>1224</v>
      </c>
      <c r="F126" t="s">
        <v>1504</v>
      </c>
    </row>
    <row r="127" spans="1:6" ht="12.75" customHeight="1">
      <c r="A127" s="4" t="s">
        <v>1505</v>
      </c>
      <c r="B127" s="4" t="s">
        <v>1505</v>
      </c>
      <c r="C127" s="4" t="s">
        <v>1501</v>
      </c>
      <c r="E127" t="s">
        <v>1224</v>
      </c>
      <c r="F127" t="s">
        <v>1506</v>
      </c>
    </row>
    <row r="128" spans="1:6" ht="12.75" customHeight="1">
      <c r="A128" s="4" t="s">
        <v>1507</v>
      </c>
      <c r="B128" s="4" t="s">
        <v>1507</v>
      </c>
      <c r="C128" s="4" t="s">
        <v>1268</v>
      </c>
      <c r="E128" t="s">
        <v>1224</v>
      </c>
      <c r="F128" t="s">
        <v>1508</v>
      </c>
    </row>
    <row r="129" spans="1:6" ht="12.75" customHeight="1">
      <c r="A129" s="4" t="s">
        <v>1509</v>
      </c>
      <c r="B129" s="4" t="s">
        <v>1509</v>
      </c>
      <c r="C129" s="4" t="s">
        <v>1268</v>
      </c>
      <c r="E129" t="s">
        <v>1224</v>
      </c>
      <c r="F129" t="s">
        <v>1510</v>
      </c>
    </row>
    <row r="130" spans="1:6" ht="12.75" customHeight="1">
      <c r="A130" s="4" t="s">
        <v>1511</v>
      </c>
      <c r="B130" s="4" t="s">
        <v>1511</v>
      </c>
      <c r="C130" s="4" t="s">
        <v>1268</v>
      </c>
      <c r="E130" t="s">
        <v>1224</v>
      </c>
      <c r="F130" t="s">
        <v>1512</v>
      </c>
    </row>
    <row r="131" spans="1:6" ht="12.75" customHeight="1">
      <c r="A131" s="4" t="s">
        <v>1513</v>
      </c>
      <c r="B131" s="4" t="s">
        <v>1513</v>
      </c>
      <c r="C131" s="4" t="s">
        <v>1514</v>
      </c>
      <c r="E131" t="s">
        <v>1224</v>
      </c>
      <c r="F131" t="s">
        <v>1515</v>
      </c>
    </row>
    <row r="132" spans="1:6" ht="12.75" customHeight="1">
      <c r="A132" s="4" t="s">
        <v>1516</v>
      </c>
      <c r="B132" s="4" t="s">
        <v>1516</v>
      </c>
      <c r="C132" s="4" t="s">
        <v>1514</v>
      </c>
      <c r="E132" t="s">
        <v>1224</v>
      </c>
      <c r="F132" t="s">
        <v>1517</v>
      </c>
    </row>
    <row r="133" spans="1:6" ht="12.75" customHeight="1">
      <c r="A133" s="4" t="s">
        <v>1518</v>
      </c>
      <c r="B133" s="4" t="s">
        <v>1518</v>
      </c>
      <c r="C133" s="4" t="s">
        <v>1514</v>
      </c>
      <c r="E133" t="s">
        <v>1224</v>
      </c>
      <c r="F133" t="s">
        <v>1519</v>
      </c>
    </row>
    <row r="134" spans="1:6" ht="12.75" customHeight="1">
      <c r="A134" s="4" t="s">
        <v>1520</v>
      </c>
      <c r="B134" s="4" t="s">
        <v>1520</v>
      </c>
      <c r="C134" s="4" t="s">
        <v>1514</v>
      </c>
      <c r="E134" t="s">
        <v>1224</v>
      </c>
      <c r="F134" t="s">
        <v>1521</v>
      </c>
    </row>
    <row r="135" spans="1:6" ht="12.75" customHeight="1">
      <c r="A135" s="4" t="s">
        <v>1522</v>
      </c>
      <c r="B135" s="4" t="s">
        <v>1522</v>
      </c>
      <c r="C135" s="4" t="s">
        <v>1514</v>
      </c>
      <c r="E135" t="s">
        <v>1224</v>
      </c>
      <c r="F135" t="s">
        <v>1523</v>
      </c>
    </row>
    <row r="136" spans="1:6" ht="12.75" customHeight="1">
      <c r="A136" s="4" t="s">
        <v>1524</v>
      </c>
      <c r="B136" s="4" t="s">
        <v>1524</v>
      </c>
      <c r="C136" s="4" t="s">
        <v>1514</v>
      </c>
      <c r="E136" t="s">
        <v>1224</v>
      </c>
      <c r="F136" t="s">
        <v>1525</v>
      </c>
    </row>
    <row r="137" spans="1:6" ht="12.75" customHeight="1">
      <c r="A137" s="4" t="s">
        <v>1526</v>
      </c>
      <c r="B137" s="4" t="s">
        <v>1526</v>
      </c>
      <c r="C137" s="4" t="s">
        <v>1514</v>
      </c>
      <c r="E137" t="s">
        <v>1224</v>
      </c>
      <c r="F137" t="s">
        <v>1527</v>
      </c>
    </row>
    <row r="138" spans="1:6" ht="12.75" customHeight="1">
      <c r="A138" s="4" t="s">
        <v>1465</v>
      </c>
      <c r="B138" s="4" t="s">
        <v>1528</v>
      </c>
      <c r="C138" s="4" t="s">
        <v>1274</v>
      </c>
      <c r="E138" t="s">
        <v>1390</v>
      </c>
      <c r="F138" t="s">
        <v>1529</v>
      </c>
    </row>
    <row r="139" spans="1:6" ht="12.75" customHeight="1">
      <c r="A139" s="4" t="s">
        <v>1530</v>
      </c>
      <c r="B139" s="4" t="s">
        <v>1530</v>
      </c>
      <c r="C139" s="4" t="s">
        <v>1274</v>
      </c>
      <c r="E139" t="s">
        <v>1390</v>
      </c>
      <c r="F139" t="s">
        <v>1531</v>
      </c>
    </row>
    <row r="140" spans="1:6" ht="12.75" customHeight="1">
      <c r="A140" s="41" t="s">
        <v>1532</v>
      </c>
      <c r="B140" s="41" t="s">
        <v>1532</v>
      </c>
      <c r="C140" s="4" t="s">
        <v>1274</v>
      </c>
      <c r="E140" s="81" t="s">
        <v>1533</v>
      </c>
      <c r="F140" s="81" t="s">
        <v>1534</v>
      </c>
    </row>
    <row r="141" spans="1:6" ht="12.75" customHeight="1">
      <c r="A141" s="41" t="s">
        <v>1535</v>
      </c>
      <c r="B141" s="41" t="s">
        <v>1535</v>
      </c>
      <c r="C141" s="4" t="s">
        <v>1274</v>
      </c>
      <c r="E141" s="81" t="s">
        <v>1536</v>
      </c>
      <c r="F141" s="81" t="s">
        <v>1537</v>
      </c>
    </row>
    <row r="142" spans="1:6" ht="12.75" customHeight="1">
      <c r="A142" s="41" t="s">
        <v>1538</v>
      </c>
      <c r="B142" s="41" t="s">
        <v>1538</v>
      </c>
      <c r="C142" s="4" t="s">
        <v>1274</v>
      </c>
      <c r="D142" t="s">
        <v>1223</v>
      </c>
      <c r="E142" s="81" t="s">
        <v>1539</v>
      </c>
      <c r="F142" s="81" t="s">
        <v>1540</v>
      </c>
    </row>
    <row r="143" spans="1:6" ht="12.75" customHeight="1">
      <c r="A143" s="41" t="s">
        <v>1541</v>
      </c>
      <c r="B143" s="41" t="s">
        <v>1541</v>
      </c>
      <c r="C143" s="4" t="s">
        <v>1274</v>
      </c>
      <c r="E143" s="81" t="s">
        <v>1536</v>
      </c>
      <c r="F143" s="81" t="s">
        <v>1542</v>
      </c>
    </row>
    <row r="144" spans="1:6" ht="12.75" customHeight="1">
      <c r="A144" s="41" t="s">
        <v>1543</v>
      </c>
      <c r="B144" s="41" t="s">
        <v>1543</v>
      </c>
      <c r="C144" s="4" t="s">
        <v>1274</v>
      </c>
      <c r="E144" s="81" t="s">
        <v>1390</v>
      </c>
      <c r="F144" s="81" t="s">
        <v>1544</v>
      </c>
    </row>
    <row r="145" spans="1:6" ht="12.75" customHeight="1">
      <c r="A145" s="41" t="s">
        <v>1545</v>
      </c>
      <c r="B145" s="41" t="s">
        <v>1545</v>
      </c>
      <c r="C145" s="4" t="s">
        <v>1274</v>
      </c>
      <c r="E145" s="81" t="s">
        <v>1536</v>
      </c>
      <c r="F145" s="81" t="s">
        <v>1546</v>
      </c>
    </row>
    <row r="146" spans="1:6" ht="12.75" customHeight="1">
      <c r="A146" s="41" t="s">
        <v>1547</v>
      </c>
      <c r="B146" s="41" t="s">
        <v>1547</v>
      </c>
      <c r="C146" s="4" t="s">
        <v>1274</v>
      </c>
      <c r="E146" s="81" t="s">
        <v>1536</v>
      </c>
      <c r="F146" s="81" t="s">
        <v>1548</v>
      </c>
    </row>
    <row r="147" spans="1:6" ht="12.75" customHeight="1">
      <c r="A147" s="41" t="s">
        <v>1549</v>
      </c>
      <c r="B147" s="41" t="s">
        <v>1549</v>
      </c>
      <c r="C147" s="4" t="s">
        <v>1274</v>
      </c>
      <c r="E147" s="81" t="s">
        <v>1224</v>
      </c>
      <c r="F147" s="81" t="s">
        <v>1550</v>
      </c>
    </row>
    <row r="148" spans="1:6" ht="12.75" customHeight="1">
      <c r="A148" s="41" t="s">
        <v>1551</v>
      </c>
      <c r="B148" s="41" t="s">
        <v>1551</v>
      </c>
      <c r="C148" s="4" t="s">
        <v>1274</v>
      </c>
      <c r="E148" s="81" t="s">
        <v>1224</v>
      </c>
      <c r="F148" s="81" t="s">
        <v>1552</v>
      </c>
    </row>
    <row r="149" spans="1:6" ht="12.75" customHeight="1">
      <c r="A149" s="41" t="s">
        <v>1553</v>
      </c>
      <c r="B149" s="41" t="s">
        <v>1553</v>
      </c>
      <c r="C149" s="4" t="s">
        <v>1274</v>
      </c>
      <c r="E149" s="81" t="s">
        <v>1536</v>
      </c>
      <c r="F149" s="81" t="s">
        <v>1554</v>
      </c>
    </row>
    <row r="150" spans="1:6" ht="12.75" customHeight="1">
      <c r="A150" s="41" t="s">
        <v>1555</v>
      </c>
      <c r="B150" s="41" t="s">
        <v>1555</v>
      </c>
      <c r="C150" s="4" t="s">
        <v>1274</v>
      </c>
      <c r="E150" s="81" t="s">
        <v>1390</v>
      </c>
      <c r="F150" s="81" t="s">
        <v>1556</v>
      </c>
    </row>
    <row r="151" spans="1:6" ht="12.75" customHeight="1">
      <c r="A151" s="41" t="s">
        <v>1557</v>
      </c>
      <c r="B151" s="41" t="s">
        <v>1557</v>
      </c>
      <c r="C151" s="4" t="s">
        <v>1274</v>
      </c>
      <c r="E151" s="81" t="s">
        <v>1390</v>
      </c>
      <c r="F151" s="81" t="s">
        <v>1558</v>
      </c>
    </row>
    <row r="152" spans="1:6" ht="12.75" customHeight="1">
      <c r="A152" s="41" t="s">
        <v>1559</v>
      </c>
      <c r="B152" s="41" t="s">
        <v>1559</v>
      </c>
      <c r="C152" s="4" t="s">
        <v>1274</v>
      </c>
      <c r="E152" s="81" t="s">
        <v>1390</v>
      </c>
      <c r="F152" s="81" t="s">
        <v>1560</v>
      </c>
    </row>
    <row r="153" spans="1:6" ht="12.75" customHeight="1">
      <c r="A153" s="41" t="s">
        <v>1561</v>
      </c>
      <c r="B153" s="41" t="s">
        <v>1561</v>
      </c>
      <c r="C153" s="4" t="s">
        <v>1274</v>
      </c>
      <c r="E153" s="81" t="s">
        <v>1390</v>
      </c>
      <c r="F153" s="81" t="s">
        <v>1562</v>
      </c>
    </row>
    <row r="154" spans="1:6" ht="12.75" customHeight="1">
      <c r="A154" s="41" t="s">
        <v>1563</v>
      </c>
      <c r="B154" s="41" t="s">
        <v>1563</v>
      </c>
      <c r="C154" s="4" t="s">
        <v>1274</v>
      </c>
      <c r="E154" s="81" t="s">
        <v>1536</v>
      </c>
      <c r="F154" s="81" t="s">
        <v>1564</v>
      </c>
    </row>
    <row r="155" spans="1:6" ht="12.75" customHeight="1">
      <c r="A155" s="41" t="s">
        <v>1565</v>
      </c>
      <c r="B155" s="41" t="s">
        <v>1565</v>
      </c>
      <c r="C155" s="4" t="s">
        <v>1274</v>
      </c>
      <c r="E155" s="81" t="s">
        <v>1536</v>
      </c>
      <c r="F155" s="81" t="s">
        <v>1566</v>
      </c>
    </row>
    <row r="156" spans="1:6" ht="12.75" customHeight="1">
      <c r="A156" s="41" t="s">
        <v>1567</v>
      </c>
      <c r="B156" s="41" t="s">
        <v>1567</v>
      </c>
      <c r="C156" s="4" t="s">
        <v>1274</v>
      </c>
      <c r="E156" s="81" t="s">
        <v>1536</v>
      </c>
      <c r="F156" s="81" t="s">
        <v>1568</v>
      </c>
    </row>
    <row r="157" spans="1:6" ht="12.75" customHeight="1">
      <c r="A157" s="41" t="s">
        <v>1569</v>
      </c>
      <c r="B157" s="41" t="s">
        <v>1569</v>
      </c>
      <c r="C157" s="4" t="s">
        <v>1274</v>
      </c>
      <c r="E157" s="81" t="s">
        <v>1536</v>
      </c>
      <c r="F157" s="81" t="s">
        <v>1570</v>
      </c>
    </row>
    <row r="158" spans="1:6" ht="12.75" customHeight="1">
      <c r="A158" s="41" t="s">
        <v>1571</v>
      </c>
      <c r="B158" s="41" t="s">
        <v>1571</v>
      </c>
      <c r="C158" s="4" t="s">
        <v>1274</v>
      </c>
      <c r="E158" s="81" t="s">
        <v>1536</v>
      </c>
      <c r="F158" s="81" t="s">
        <v>1572</v>
      </c>
    </row>
    <row r="159" spans="1:6" ht="12.75" customHeight="1">
      <c r="A159" s="41" t="s">
        <v>1573</v>
      </c>
      <c r="B159" s="41" t="s">
        <v>1573</v>
      </c>
      <c r="C159" s="4" t="s">
        <v>1274</v>
      </c>
      <c r="D159" t="s">
        <v>1223</v>
      </c>
      <c r="E159" s="81" t="s">
        <v>1224</v>
      </c>
      <c r="F159" s="81" t="s">
        <v>1574</v>
      </c>
    </row>
    <row r="160" spans="1:6" ht="12.75" customHeight="1">
      <c r="A160" s="41" t="s">
        <v>1575</v>
      </c>
      <c r="B160" s="41" t="s">
        <v>1575</v>
      </c>
      <c r="C160" s="4" t="s">
        <v>1274</v>
      </c>
      <c r="E160" s="81" t="s">
        <v>1390</v>
      </c>
      <c r="F160" s="81" t="s">
        <v>1576</v>
      </c>
    </row>
    <row r="161" spans="1:6" ht="12.75" customHeight="1">
      <c r="A161" s="41" t="s">
        <v>1577</v>
      </c>
      <c r="B161" s="4" t="s">
        <v>1577</v>
      </c>
      <c r="C161" s="4" t="s">
        <v>1274</v>
      </c>
      <c r="D161" t="s">
        <v>1223</v>
      </c>
      <c r="E161" s="81" t="s">
        <v>1224</v>
      </c>
      <c r="F161" t="s">
        <v>11</v>
      </c>
    </row>
  </sheetData>
  <phoneticPr fontId="6"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1954BBA4-0359-438C-B0EC-A756015F7C02}"/>
</file>

<file path=customXml/itemProps5.xml><?xml version="1.0" encoding="utf-8"?>
<ds:datastoreItem xmlns:ds="http://schemas.openxmlformats.org/officeDocument/2006/customXml" ds:itemID="{89CF5C07-45EB-4100-9AFB-2C6AF77FA787}"/>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BF5C6359-7763-4C37-8EAF-2BC4698CB285}"/>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F12EFA50-0068-4A8C-85A0-F1B26389EBC3}"/>
</file>

<file path=customXml/itemProps10.xml><?xml version="1.0" encoding="utf-8"?>
<ds:datastoreItem xmlns:ds="http://schemas.openxmlformats.org/officeDocument/2006/customXml" ds:itemID="{2BC74AAC-D69B-4AF1-9649-B21EF3C1C463}"/>
</file>

<file path=customXml/itemProps11.xml><?xml version="1.0" encoding="utf-8"?>
<ds:datastoreItem xmlns:ds="http://schemas.openxmlformats.org/officeDocument/2006/customXml" ds:itemID="{BE26B669-A686-459C-A5E9-FEC3409C4C81}"/>
</file>

<file path=customXml/itemProps12.xml><?xml version="1.0" encoding="utf-8"?>
<ds:datastoreItem xmlns:ds="http://schemas.openxmlformats.org/officeDocument/2006/customXml" ds:itemID="{D3A7101F-9A85-4235-8B03-415370C100B2}"/>
</file>

<file path=customXml/itemProps13.xml><?xml version="1.0" encoding="utf-8"?>
<ds:datastoreItem xmlns:ds="http://schemas.openxmlformats.org/officeDocument/2006/customXml" ds:itemID="{0389C43E-394D-44C0-87DC-4780FCFCFB40}"/>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E3716282-BFD2-4ED2-BA47-BFA1123827F0}"/>
</file>

<file path=customXml/itemProps17.xml><?xml version="1.0" encoding="utf-8"?>
<ds:datastoreItem xmlns:ds="http://schemas.openxmlformats.org/officeDocument/2006/customXml" ds:itemID="{C0BCDC1E-6052-4E48-9BAF-94A40814E7C2}"/>
</file>

<file path=customXml/itemProps18.xml><?xml version="1.0" encoding="utf-8"?>
<ds:datastoreItem xmlns:ds="http://schemas.openxmlformats.org/officeDocument/2006/customXml" ds:itemID="{98A113BB-8B7A-453C-8BD4-8EFC67FC2D3F}"/>
</file>

<file path=customXml/itemProps19.xml><?xml version="1.0" encoding="utf-8"?>
<ds:datastoreItem xmlns:ds="http://schemas.openxmlformats.org/officeDocument/2006/customXml" ds:itemID="{3AEAA9D8-2182-46BA-A58E-96C72DDA1C54}"/>
</file>

<file path=customXml/itemProps20.xml><?xml version="1.0" encoding="utf-8"?>
<ds:datastoreItem xmlns:ds="http://schemas.openxmlformats.org/officeDocument/2006/customXml" ds:itemID="{66B09F59-6532-46F8-924A-9A02417E07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2024-11-22T08:38:45Z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