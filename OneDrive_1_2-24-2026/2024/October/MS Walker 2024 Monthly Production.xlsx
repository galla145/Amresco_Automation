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9" documentId="13_ncr:1_{68EC7398-5560-459A-A700-2A965F397D61}" xr6:coauthVersionLast="47" xr6:coauthVersionMax="47" xr10:uidLastSave="{47EE4D46-8740-4AA3-BA88-CFE3844EAEA2}"/>
  <bookViews>
    <workbookView xWindow="-108" yWindow="-108" windowWidth="23256" windowHeight="12456" tabRatio="866" firstSheet="4" activeTab="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C4" i="29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31" l="1"/>
  <c r="I2" i="31" s="1"/>
  <c r="G4" i="34"/>
  <c r="G2" i="34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<sst xmlns="http://schemas.openxmlformats.org/spreadsheetml/2006/main" count="243" uniqueCount="56">
  <si>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</si>
  <si>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</si>
  <si>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</si>
  <si>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</si>
  <si>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</si>
  <si>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</si>
  <si>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</si>
  <si>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</si>
  <si>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</si>
  <si>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</si>
  <si>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</si>
  <si>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</si>
  <si>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</si>
  <si>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</si>
  <si>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</si>
  <si>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</si>
  <si>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</si>
  <si>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</si>
  <si>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</si>
  <si>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</si>
  <si>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</si>
  <si>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</si>
  <si>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</si>
  <si>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</si>
  <si>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</si>
  <si>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</si>
  <si>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</si>
  <si>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</si>
  <si>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</si>
  <si>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</si>
  <si>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</si>
  <si>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</si>
  <si>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1. Inverter 12 is offline since 06/22.
2. Most of the inverters are underproducing due to soiling effect.</t>
  </si>
  <si>
    <t>1. SR087076</t>
  </si>
  <si>
    <t>July Actual v. Expected</t>
  </si>
  <si>
    <t>July Actual v. Forecasted</t>
  </si>
  <si>
    <t>August Actual v. Expected</t>
  </si>
  <si>
    <t>August Actual v. Forecasted</t>
  </si>
  <si>
    <t>1.Inverter 12 is offline since 06/22.</t>
  </si>
  <si>
    <t>1.SR087076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</si>
  <si>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</si>
  <si>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</si>
  <si>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</si>
  <si>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</si>
  <si>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</si>
  <si>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</si>
  <si>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</si>
  <si>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</si>
  <si>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</si>
  <si>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MS Walker</t>
  </si>
  <si>
    <t>Site DAS Name</t>
  </si>
  <si>
    <t>Update</t>
  </si>
  <si>
    <t>DAS</t>
  </si>
  <si>
    <t>MA: MS Walker</t>
  </si>
  <si>
    <t>MA</t>
  </si>
  <si>
    <t>InAccess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</si>
</sst>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C4" sqref="C4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SUM(C4:C60)</f>
        <v>468732.79599999997</v>
      </c>
      <c r="D2" s="6">
        <f>SUM(D4:D60)</f>
        <v>0</v>
      </c>
      <c r="E2" s="6">
        <f>C2-D2</f>
        <v>468732.79599999997</v>
      </c>
      <c r="F2" s="7">
        <f>IFERROR(E2/D2, 0)</f>
        <v>0</v>
      </c>
      <c r="G2" s="6">
        <f>SUM(G4:G60)</f>
        <v>0</v>
      </c>
      <c r="H2" s="8">
        <f>C2-G2</f>
        <v>468732.79599999997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SUM('1st Qtr'!C4, '2nd Qtr'!C4, '3rd Qtr'!C4, '4th Qtr'!C4)</f>
        <v>468732.79599999997</v>
      </c>
      <c r="D4" s="14">
        <f>SUM('1st Qtr'!D4, '2nd Qtr'!D4, '3rd Qtr'!D4, '4th Qtr'!D4)</f>
        <v>0</v>
      </c>
      <c r="E4" s="14">
        <f>IF(AND(ISNUMBER(C4),ISNUMBER(D4)), C4-D4, "")</f>
        <v>468732.79599999997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468732.79599999997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SUM(C4:C68)</f>
        <v>71907</v>
      </c>
      <c r="D2" s="6">
        <f>SUM(D4:D68)</f>
        <v>0</v>
      </c>
      <c r="E2" s="6">
        <f>C2-D2</f>
        <v>71907</v>
      </c>
      <c r="F2" s="7">
        <f>IFERROR(E2/D2, 0)</f>
        <v>0</v>
      </c>
      <c r="G2" s="6">
        <f>SUM(G4:G68)</f>
        <v>0</v>
      </c>
      <c r="H2" s="8">
        <f>C2-G2</f>
        <v>71907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SUM(Jan!C4, Feb!C4, Mar!C4)</f>
        <v>71907</v>
      </c>
      <c r="D4" s="14">
        <f>SUM(Jan!D4, Feb!D4, Mar!D4)</f>
        <v>0</v>
      </c>
      <c r="E4" s="14">
        <f>IF(AND(ISNUMBER(C4),ISNUMBER(D4)), C4-D4, "")</f>
        <v>71907</v>
      </c>
      <c r="F4" s="15" t="str">
        <f>IFERROR(E4/D4, "")</f>
        <v/>
      </c>
      <c r="G4" s="16">
        <f>SUM(Jan!G4, Feb!G4, Mar!G4)</f>
        <v>0</v>
      </c>
      <c r="H4" s="16">
        <f>SUM(Jan!H4, Feb!H4, Mar!H4)</f>
        <v>71907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SUM(C4:C90)</f>
        <v>208869.98800000001</v>
      </c>
      <c r="D2" s="6">
        <f>SUM(D4:D90)</f>
        <v>0</v>
      </c>
      <c r="E2" s="6">
        <f>C2-D2</f>
        <v>208869.98800000001</v>
      </c>
      <c r="F2" s="7">
        <f>IFERROR(E2/D2, 0)</f>
        <v>0</v>
      </c>
      <c r="G2" s="6">
        <f>SUM(G4:G90)</f>
        <v>0</v>
      </c>
      <c r="H2" s="8">
        <f>C2-G2</f>
        <v>208869.98800000001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SUM(Apr!C4, May!C4, Jun!C4)</f>
        <v>208869.98800000001</v>
      </c>
      <c r="D4" s="14">
        <f>SUM(Apr!D4, May!D4, Jun!D4)</f>
        <v>0</v>
      </c>
      <c r="E4" s="14">
        <f>IF(AND(ISNUMBER(C4),ISNUMBER(D4)), C4-D4, "")</f>
        <v>208869.98800000001</v>
      </c>
      <c r="F4" s="15" t="str">
        <f>IFERROR(E4/D4, "")</f>
        <v/>
      </c>
      <c r="G4" s="16">
        <f>SUM(Apr!G4+May!G4+Jun!G4)</f>
        <v>0</v>
      </c>
      <c r="H4" s="16">
        <f>SUM(Apr!H4, May!H4, Jun!H4)</f>
        <v>208869.98800000001</v>
      </c>
      <c r="I4" s="17" t="str">
        <f>IFERROR(H4/G4, "")</f>
        <v/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SUM(C4:C89)</f>
        <v>151962.50200000001</v>
      </c>
      <c r="D2" s="6">
        <f>SUM(D4:D89)</f>
        <v>0</v>
      </c>
      <c r="E2" s="6">
        <f>C2-D2</f>
        <v>151962.50200000001</v>
      </c>
      <c r="F2" s="7">
        <f>IFERROR(E2/D2, 0)</f>
        <v>0</v>
      </c>
      <c r="G2" s="6">
        <f>SUM(G4:G89)</f>
        <v>0</v>
      </c>
      <c r="H2" s="8">
        <f>C2-G2</f>
        <v>151962.50200000001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SUM(Jul!C4, Aug!C4, Sep!C4)</f>
        <v>151962.50200000001</v>
      </c>
      <c r="D4" s="14">
        <f>SUM(Jul!D4, Aug!D4, Sep!D4)</f>
        <v>0</v>
      </c>
      <c r="E4" s="14">
        <f>IF(AND(ISNUMBER(C4),ISNUMBER(D4)), C4-D4, "")</f>
        <v>151962.50200000001</v>
      </c>
      <c r="F4" s="15" t="str">
        <f>IFERROR(E4/D4, "")</f>
        <v/>
      </c>
      <c r="G4" s="16">
        <f>SUM(Jul!G4, Aug!G4, Sep!G4)</f>
        <v>0</v>
      </c>
      <c r="H4" s="16">
        <f>SUM(Jul!H4, Aug!H4, Sep!H4)</f>
        <v>151962.50200000001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tabSelected="1" workbookViewId="0">
      <pane ySplit="2" topLeftCell="E3" activePane="bottomLeft" state="frozen"/>
      <selection pane="bottomLeft" activeCell="H7" sqref="H7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MS Walker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SUM(C4:C89)</f>
        <v>35993.305999999997</v>
      </c>
      <c r="D2" s="6">
        <f>SUM(D4:D89)</f>
        <v>0</v>
      </c>
      <c r="E2" s="6">
        <f>C2-D2</f>
        <v>35993.305999999997</v>
      </c>
      <c r="F2" s="7">
        <f>IFERROR(E2/D2, 0)</f>
        <v>0</v>
      </c>
      <c r="G2" s="6">
        <f>SUM(G4:G89)</f>
        <v>0</v>
      </c>
      <c r="H2" s="8">
        <f>C2-G2</f>
        <v>35993.305999999997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MS Walker</v>
      </c>
      <c r="B4" s="10" t="str" cm="1">
        <f t="array" ref="B4">Sites[State]</f>
        <v>MA</v>
      </c>
      <c r="C4" s="26">
        <f>SUM(Oct!C4, Nov!C4, Dec!C4)</f>
        <v>35993.305999999997</v>
      </c>
      <c r="D4" s="14">
        <f>SUM(Oct!D4, Nov!D4, Dec!D4)</f>
        <v>0</v>
      </c>
      <c r="E4" s="14">
        <f>IF(AND(ISNUMBER(C4),ISNUMBER(D4)), C4-D4, "")</f>
        <v>35993.305999999997</v>
      </c>
      <c r="F4" s="15" t="str">
        <f>IFERROR(E4/D4, "")</f>
        <v/>
      </c>
      <c r="G4" s="16">
        <f>SUM(Oct!G4,Nov!G4,Dec!G4)</f>
        <v>0</v>
      </c>
      <c r="H4" s="16">
        <f>SUM(Oct!H4, Nov!H4, Dec!H4)</f>
        <v>35993.305999999997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G8" sqref="G8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9427</v>
      </c>
      <c r="D2" s="6">
        <f>SUM(D4:D89)</f>
        <v>0</v>
      </c>
      <c r="E2" s="6">
        <f>C2-D2</f>
        <v>9427</v>
      </c>
      <c r="F2" s="7">
        <f>IFERROR(E2/D2, 0)</f>
        <v>0</v>
      </c>
      <c r="G2" s="6">
        <f>SUM(G4:G89)</f>
        <v>0</v>
      </c>
      <c r="H2" s="8">
        <f>C2-G2</f>
        <v>9427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9427</v>
      </c>
      <c r="D4" s="14">
        <v>0</v>
      </c>
      <c r="E4" s="14">
        <f>IF(AND(ISNUMBER(C4),ISNUMBER(D4)), C4-D4, "")</f>
        <v>9427</v>
      </c>
      <c r="F4" s="15" t="str">
        <f>IFERROR(E4/D4, "")</f>
        <v/>
      </c>
      <c r="G4" s="16">
        <v>0</v>
      </c>
      <c r="H4" s="16">
        <f>IF(AND(ISNUMBER(C4),ISNUMBER(G4)), C4-G4, "")</f>
        <v>9427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C5" sqref="C5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SUM(C4:C85)</f>
        <v>27709</v>
      </c>
      <c r="D2" s="6">
        <f>SUM(D4:D85)</f>
        <v>0</v>
      </c>
      <c r="E2" s="6">
        <f>C2-D2</f>
        <v>27709</v>
      </c>
      <c r="F2" s="7">
        <f>IFERROR(E2/D2, 0)</f>
        <v>0</v>
      </c>
      <c r="G2" s="6">
        <f>SUM(G4:G85)</f>
        <v>0</v>
      </c>
      <c r="H2" s="8">
        <f>C2-G2</f>
        <v>27709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27709</v>
      </c>
      <c r="D4" s="14">
        <v>0</v>
      </c>
      <c r="E4" s="14">
        <f>IF(AND(ISNUMBER(C4),ISNUMBER(D4)), C4-D4, "")</f>
        <v>27709</v>
      </c>
      <c r="F4" s="15" t="str">
        <f>IFERROR(E4/D4, "")</f>
        <v/>
      </c>
      <c r="G4" s="16">
        <v>0</v>
      </c>
      <c r="H4" s="16">
        <f>IF(AND(ISNUMBER(C4),ISNUMBER(G4)), C4-G4, "")</f>
        <v>27709</v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F9" sqref="F9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34771</v>
      </c>
      <c r="D2" s="6">
        <f>SUM(D4:D90)</f>
        <v>0</v>
      </c>
      <c r="E2" s="6">
        <f>C2-D2</f>
        <v>34771</v>
      </c>
      <c r="F2" s="7">
        <f>IFERROR(E2/D2, 0)</f>
        <v>0</v>
      </c>
      <c r="G2" s="6">
        <f>SUM(G4:G90)</f>
        <v>0</v>
      </c>
      <c r="H2" s="8">
        <f>C2-G2</f>
        <v>34771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34771</v>
      </c>
      <c r="D4" s="14">
        <v>0</v>
      </c>
      <c r="E4" s="14">
        <f>IF(AND(ISNUMBER(C4),ISNUMBER(D4)), C4-D4, "")</f>
        <v>34771</v>
      </c>
      <c r="F4" s="15" t="str">
        <f>IFERROR(E4/D4, "")</f>
        <v/>
      </c>
      <c r="G4" s="16">
        <v>0</v>
      </c>
      <c r="H4" s="16">
        <f>IF(AND(ISNUMBER(C4),ISNUMBER(G4)), C4-G4, "")</f>
        <v>34771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F8" sqref="F8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61204.828000000001</v>
      </c>
      <c r="D2" s="6">
        <f>SUM(D4:D90)</f>
        <v>0</v>
      </c>
      <c r="E2" s="6">
        <f>C2-D2</f>
        <v>61204.828000000001</v>
      </c>
      <c r="F2" s="7">
        <f>IFERROR(E2/D2, 0)</f>
        <v>0</v>
      </c>
      <c r="G2" s="6">
        <f>SUM(G4:G90)</f>
        <v>0</v>
      </c>
      <c r="H2" s="8">
        <f>C2-G2</f>
        <v>61204.828000000001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61204.828000000001</v>
      </c>
      <c r="D4" s="14">
        <v>0</v>
      </c>
      <c r="E4" s="14">
        <f>IF(AND(ISNUMBER(C4),ISNUMBER(D4)), C4-D4, "")</f>
        <v>61204.828000000001</v>
      </c>
      <c r="F4" s="15" t="str">
        <f>IFERROR(E4/D4, "")</f>
        <v/>
      </c>
      <c r="G4" s="16">
        <v>0</v>
      </c>
      <c r="H4" s="16">
        <f>IF(AND(ISNUMBER(C4),ISNUMBER(G4)), C4-G4, "")</f>
        <v>61204.828000000001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G16" sqref="G16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72023.91</v>
      </c>
      <c r="D2" s="6">
        <f>SUM(D4:D90)</f>
        <v>0</v>
      </c>
      <c r="E2" s="6">
        <f>C2-D2</f>
        <v>72023.91</v>
      </c>
      <c r="F2" s="7">
        <f>IFERROR(E2/D2, 0)</f>
        <v>0</v>
      </c>
      <c r="G2" s="6">
        <f>SUM(G4:G90)</f>
        <v>0</v>
      </c>
      <c r="H2" s="8">
        <f>C2-G2</f>
        <v>72023.91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72023.91</v>
      </c>
      <c r="D4" s="14">
        <v>0</v>
      </c>
      <c r="E4" s="14">
        <f>IF(AND(ISNUMBER(C4),ISNUMBER(D4)), C4-D4, "")</f>
        <v>72023.91</v>
      </c>
      <c r="F4" s="15" t="str">
        <f>IFERROR(E4/D4, "")</f>
        <v/>
      </c>
      <c r="G4" s="16">
        <v>0</v>
      </c>
      <c r="H4" s="16">
        <f>IF(AND(ISNUMBER(C4),ISNUMBER(G4)), C4-G4, "")</f>
        <v>72023.91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K4" sqref="K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75641.25</v>
      </c>
      <c r="D2" s="6">
        <f>SUM(D4:D90)</f>
        <v>0</v>
      </c>
      <c r="E2" s="6">
        <f>C2-D2</f>
        <v>75641.25</v>
      </c>
      <c r="F2" s="7">
        <f>IFERROR(E2/D2, 0)</f>
        <v>0</v>
      </c>
      <c r="G2" s="6">
        <f>SUM(G4:G90)</f>
        <v>0</v>
      </c>
      <c r="H2" s="8">
        <f>C2-G2</f>
        <v>75641.25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">Sites[Site]</f>
        <v>MA: MS Walker</v>
      </c>
      <c r="B4" s="30" t="str" cm="1">
        <f t="array" ref="B4">Sites[State]</f>
        <v>MA</v>
      </c>
      <c r="C4" s="26">
        <v>75641.25</v>
      </c>
      <c r="D4" s="14">
        <v>0</v>
      </c>
      <c r="E4" s="14">
        <f>IF(AND(ISNUMBER(C4),ISNUMBER(D4)), C4-D4, "")</f>
        <v>75641.25</v>
      </c>
      <c r="F4" s="15" t="str">
        <f>IFERROR(E4/D4, "")</f>
        <v/>
      </c>
      <c r="G4" s="16">
        <v>0</v>
      </c>
      <c r="H4" s="16">
        <f>IF(AND(ISNUMBER(C4),ISNUMBER(G4)), C4-G4, "")</f>
        <v>75641.25</v>
      </c>
      <c r="I4" s="17" t="str">
        <f>IFERROR(H4/G4, "")</f>
        <v/>
      </c>
      <c r="J4" s="18" t="s">
        <v>32</v>
      </c>
      <c r="K4" s="18" t="s">
        <v>33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D22" sqref="D22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57014.343999999997</v>
      </c>
      <c r="D2" s="6">
        <f>SUM(D4:D90)</f>
        <v>0</v>
      </c>
      <c r="E2" s="6">
        <f>C2-D2</f>
        <v>57014.343999999997</v>
      </c>
      <c r="F2" s="7">
        <f>IFERROR(E2/D2, 0)</f>
        <v>0</v>
      </c>
      <c r="G2" s="6">
        <f>SUM(G4:G90)</f>
        <v>0</v>
      </c>
      <c r="H2" s="8">
        <f>C2-G2</f>
        <v>57014.343999999997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57014.343999999997</v>
      </c>
      <c r="D4" s="14">
        <v>0</v>
      </c>
      <c r="E4" s="14">
        <f>IF(AND(ISNUMBER(C4),ISNUMBER(D4)), C4-D4, "")</f>
        <v>57014.343999999997</v>
      </c>
      <c r="F4" s="15" t="str">
        <f>IFERROR(E4/D4, "")</f>
        <v/>
      </c>
      <c r="G4" s="16">
        <v>0</v>
      </c>
      <c r="H4" s="16">
        <f>IF(AND(ISNUMBER(C4),ISNUMBER(G4)), C4-G4, "")</f>
        <v>57014.343999999997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topLeftCell="B1" zoomScale="90" zoomScaleNormal="90" workbookViewId="0">
      <pane ySplit="2" topLeftCell="A3" activePane="bottomLeft" state="frozen"/>
      <selection pane="bottomLeft" activeCell="I4" sqref="I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SUM(C4:C30)</f>
        <v>53490.027000000002</v>
      </c>
      <c r="D2" s="6">
        <f>SUM(D4:D30)</f>
        <v>0</v>
      </c>
      <c r="E2" s="6">
        <f>C2-D2</f>
        <v>53490.027000000002</v>
      </c>
      <c r="F2" s="7">
        <f>IFERROR(E2/D2, 0)</f>
        <v>0</v>
      </c>
      <c r="G2" s="6">
        <f>SUM(G4:G30)</f>
        <v>0</v>
      </c>
      <c r="H2" s="8">
        <f>C2-G2</f>
        <v>53490.027000000002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53490.027000000002</v>
      </c>
      <c r="D4" s="14">
        <v>0</v>
      </c>
      <c r="E4" s="14">
        <f>IF(AND(ISNUMBER(C4),ISNUMBER(D4)), C4-D4, "")</f>
        <v>53490.027000000002</v>
      </c>
      <c r="F4" s="15" t="str">
        <f>IFERROR(E4/D4, "")</f>
        <v/>
      </c>
      <c r="G4" s="16">
        <v>0</v>
      </c>
      <c r="H4" s="16">
        <f>IF(AND(ISNUMBER(C4),ISNUMBER(G4)), C4-G4, "")</f>
        <v>53490.027000000002</v>
      </c>
      <c r="I4" s="17" t="str">
        <f>IFERROR(H4/G4, "")</f>
        <v/>
      </c>
      <c r="J4" s="18" t="s">
        <v>38</v>
      </c>
      <c r="K4" s="18" t="s">
        <v>39</v>
      </c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C4" sqref="C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41458.131000000001</v>
      </c>
      <c r="D2" s="6">
        <f>SUM(D4:D90)</f>
        <v>0</v>
      </c>
      <c r="E2" s="6">
        <f>C2-D2</f>
        <v>41458.131000000001</v>
      </c>
      <c r="F2" s="7">
        <f>IFERROR(E2/D2, 0)</f>
        <v>0</v>
      </c>
      <c r="G2" s="6">
        <f>SUM(G4:G90)</f>
        <v>0</v>
      </c>
      <c r="H2" s="8">
        <f>C2-G2</f>
        <v>41458.131000000001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>
        <v>41458.131000000001</v>
      </c>
      <c r="D4" s="14">
        <v>0</v>
      </c>
      <c r="E4" s="14">
        <f>IF(AND(ISNUMBER(C4),ISNUMBER(D4)), C4-D4, "")</f>
        <v>41458.131000000001</v>
      </c>
      <c r="F4" s="15" t="str">
        <f>IFERROR(E4/D4, "")</f>
        <v/>
      </c>
      <c r="G4" s="16">
        <v>0</v>
      </c>
      <c r="H4" s="16">
        <f>IF(AND(ISNUMBER(C4),ISNUMBER(G4)), C4-G4, "")</f>
        <v>41458.131000000001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J4" sqref="J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35993.305999999997</v>
      </c>
      <c r="D2" s="6">
        <f>SUM(D4:D90)</f>
        <v>0</v>
      </c>
      <c r="E2" s="6">
        <f>C2-D2</f>
        <v>35993.305999999997</v>
      </c>
      <c r="F2" s="7">
        <f>IFERROR(E2/D2, 0)</f>
        <v>0</v>
      </c>
      <c r="G2" s="6">
        <f>SUM(G4:G90)</f>
        <v>0</v>
      </c>
      <c r="H2" s="8">
        <f>C2-G2</f>
        <v>35993.305999999997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MA: MS Walker</v>
      </c>
      <c r="B4" s="30" t="str" cm="1">
        <f t="array" ref="B4">Sites[State]</f>
        <v>MA</v>
      </c>
      <c r="C4" s="26">
        <v>35993.305999999997</v>
      </c>
      <c r="D4" s="14">
        <v>0</v>
      </c>
      <c r="E4" s="14">
        <f>IF(AND(ISNUMBER(C4),ISNUMBER(D4)), C4-D4, "")</f>
        <v>35993.305999999997</v>
      </c>
      <c r="F4" s="15" t="str">
        <f>IFERROR(E4/D4, "")</f>
        <v/>
      </c>
      <c r="G4" s="16">
        <v>0</v>
      </c>
      <c r="H4" s="16">
        <f>IF(AND(ISNUMBER(C4),ISNUMBER(G4)), C4-G4, "")</f>
        <v>35993.305999999997</v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B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44</v>
      </c>
      <c r="E1" s="44"/>
      <c r="F1" s="44"/>
      <c r="G1" s="42" t="s">
        <v>45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B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MS Walker</v>
      </c>
      <c r="B1" s="43"/>
      <c r="C1" s="43"/>
      <c r="D1" s="44" t="s">
        <v>46</v>
      </c>
      <c r="E1" s="44"/>
      <c r="F1" s="44"/>
      <c r="G1" s="42" t="s">
        <v>47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MS Walker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E16" sqref="E16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48</v>
      </c>
      <c r="B1" t="s">
        <v>49</v>
      </c>
    </row>
    <row r="3" spans="1:7" ht="13.15">
      <c r="A3" t="s">
        <v>50</v>
      </c>
      <c r="B3" t="s">
        <v>3</v>
      </c>
      <c r="C3" t="s">
        <v>4</v>
      </c>
      <c r="D3" t="s">
        <v>51</v>
      </c>
      <c r="E3" s="2" t="s">
        <v>52</v>
      </c>
    </row>
    <row r="4" spans="1:7" ht="14.45">
      <c r="A4" t="s">
        <v>49</v>
      </c>
      <c r="B4" t="s">
        <v>53</v>
      </c>
      <c r="C4" s="4" t="s">
        <v>54</v>
      </c>
      <c r="E4" t="s">
        <v>55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89CF5C07-45EB-4100-9AFB-2C6AF77FA787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F6B2B1A1-1C4B-4AC9-9A7D-7A102DD1C942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E20E8303-6A67-485C-B6F4-303542CC295C}"/>
</file>

<file path=customXml/itemProps7.xml><?xml version="1.0" encoding="utf-8"?>
<ds:datastoreItem xmlns:ds="http://schemas.openxmlformats.org/officeDocument/2006/customXml" ds:itemID="{E3716282-BFD2-4ED2-BA47-BFA1123827F0}"/>
</file>

<file path=customXml/itemProps8.xml><?xml version="1.0" encoding="utf-8"?>
<ds:datastoreItem xmlns:ds="http://schemas.openxmlformats.org/officeDocument/2006/customXml" ds:itemID="{1954BBA4-0359-438C-B0EC-A756015F7C02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C0BCDC1E-6052-4E48-9BAF-94A40814E7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2024-11-12T06:28:49Z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