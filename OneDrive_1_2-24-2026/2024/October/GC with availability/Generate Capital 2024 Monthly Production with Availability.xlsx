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threadedComments/threadedComment2.xml" ContentType="application/vnd.ms-excel.threaded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-my.sharepoint.com/personal/dbrown_ameresco_com/Documents/Downloads/"/>
    </mc:Choice>
  </mc:AlternateContent>
  <xr:revisionPtr revIDLastSave="9655" documentId="8_{DCFD67A3-E933-48D2-8F84-2C36CDB3C742}" xr6:coauthVersionLast="47" xr6:coauthVersionMax="47" xr10:uidLastSave="{70B68FF2-7189-4910-B0BE-0D24542C72D8}"/>
  <bookViews>
    <workbookView xWindow="-40884" yWindow="-10860" windowWidth="37140" windowHeight="24204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Qtr'!$A$2:$J$2</definedName>
    <definedName name="_xlnm._FilterDatabase" localSheetId="2" hidden="1">'2nd Qtr'!$A$2:$J$2</definedName>
    <definedName name="_xlnm._FilterDatabase" localSheetId="3" hidden="1">'3rd Qtr'!$A$2:$J$2</definedName>
    <definedName name="_xlnm._FilterDatabase" localSheetId="4" hidden="1">'4th Qtr'!$A$2:$J$2</definedName>
    <definedName name="_xlnm._FilterDatabase" localSheetId="8" hidden="1">Apr!$A$2:$J$2</definedName>
    <definedName name="_xlnm._FilterDatabase" localSheetId="12" hidden="1">Aug!$A$2:$J$2</definedName>
    <definedName name="_xlnm._FilterDatabase" localSheetId="16" hidden="1">Dec!$A$2:$J$2</definedName>
    <definedName name="_xlnm._FilterDatabase" localSheetId="6" hidden="1">Feb!$A$2:$J$2</definedName>
    <definedName name="_xlnm._FilterDatabase" localSheetId="5" hidden="1">Jan!$A$3:$M$3</definedName>
    <definedName name="_xlnm._FilterDatabase" localSheetId="11" hidden="1">Jul!$A$2:$J$2</definedName>
    <definedName name="_xlnm._FilterDatabase" localSheetId="10" hidden="1">Jun!$A$2:$J$2</definedName>
    <definedName name="_xlnm._FilterDatabase" localSheetId="7" hidden="1">Mar!$A$2:$J$2</definedName>
    <definedName name="_xlnm._FilterDatabase" localSheetId="9" hidden="1">May!$A$2:$J$2</definedName>
    <definedName name="_xlnm._FilterDatabase" localSheetId="15" hidden="1">Nov!$A$2:$J$2</definedName>
    <definedName name="_xlnm._FilterDatabase" localSheetId="14" hidden="1">Oct!$A$2:$J$2</definedName>
    <definedName name="_xlnm._FilterDatabase" localSheetId="13" hidden="1">Sep!$A$2:$J$2</definedName>
    <definedName name="_xlnm._FilterDatabase" localSheetId="0" hidden="1">'Year to Date'!$A$2:$J$2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4" l="1"/>
  <c r="K6" i="34"/>
  <c r="K7" i="34"/>
  <c r="K8" i="34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K36" i="34"/>
  <c r="K37" i="34"/>
  <c r="K38" i="34"/>
  <c r="K39" i="34"/>
  <c r="K40" i="34"/>
  <c r="K41" i="34"/>
  <c r="K42" i="34"/>
  <c r="K43" i="34"/>
  <c r="K44" i="34"/>
  <c r="K45" i="34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59" i="34"/>
  <c r="K60" i="34"/>
  <c r="K61" i="34"/>
  <c r="K62" i="34"/>
  <c r="K63" i="34"/>
  <c r="K64" i="34"/>
  <c r="K65" i="34"/>
  <c r="K66" i="34"/>
  <c r="K67" i="34"/>
  <c r="K68" i="34"/>
  <c r="K69" i="34"/>
  <c r="K70" i="34"/>
  <c r="K71" i="34"/>
  <c r="K72" i="34"/>
  <c r="K73" i="34"/>
  <c r="K74" i="34"/>
  <c r="K75" i="34"/>
  <c r="K76" i="34"/>
  <c r="K77" i="34"/>
  <c r="K78" i="34"/>
  <c r="K79" i="34"/>
  <c r="K80" i="34"/>
  <c r="K81" i="34"/>
  <c r="K82" i="34"/>
  <c r="K83" i="34"/>
  <c r="K84" i="34"/>
  <c r="K85" i="34"/>
  <c r="K86" i="34"/>
  <c r="K87" i="34"/>
  <c r="K88" i="34"/>
  <c r="K89" i="34"/>
  <c r="K90" i="34"/>
  <c r="K91" i="34"/>
  <c r="K92" i="34"/>
  <c r="K93" i="34"/>
  <c r="K94" i="34"/>
  <c r="K95" i="34"/>
  <c r="K96" i="34"/>
  <c r="K97" i="34"/>
  <c r="K98" i="34"/>
  <c r="K99" i="34"/>
  <c r="K100" i="34"/>
  <c r="K101" i="34"/>
  <c r="K102" i="34"/>
  <c r="K103" i="34"/>
  <c r="K104" i="34"/>
  <c r="K105" i="34"/>
  <c r="K106" i="34"/>
  <c r="K107" i="34"/>
  <c r="K108" i="34"/>
  <c r="K109" i="34"/>
  <c r="K110" i="34"/>
  <c r="K111" i="34"/>
  <c r="K112" i="34"/>
  <c r="K113" i="34"/>
  <c r="K114" i="34"/>
  <c r="K115" i="34"/>
  <c r="K116" i="34"/>
  <c r="K117" i="34"/>
  <c r="K118" i="34"/>
  <c r="K119" i="34"/>
  <c r="K120" i="34"/>
  <c r="K121" i="34"/>
  <c r="K122" i="34"/>
  <c r="K123" i="34"/>
  <c r="K124" i="34"/>
  <c r="K125" i="34"/>
  <c r="K126" i="34"/>
  <c r="K127" i="34"/>
  <c r="K128" i="34"/>
  <c r="K129" i="34"/>
  <c r="K130" i="34"/>
  <c r="K131" i="34"/>
  <c r="K132" i="34"/>
  <c r="K133" i="34"/>
  <c r="K134" i="34"/>
  <c r="K135" i="34"/>
  <c r="K136" i="34"/>
  <c r="K137" i="34"/>
  <c r="K138" i="34"/>
  <c r="K139" i="34"/>
  <c r="K140" i="34"/>
  <c r="K141" i="34"/>
  <c r="K142" i="34"/>
  <c r="K143" i="34"/>
  <c r="K144" i="34"/>
  <c r="K145" i="34"/>
  <c r="K146" i="34"/>
  <c r="K147" i="34"/>
  <c r="K148" i="34"/>
  <c r="K149" i="34"/>
  <c r="K150" i="34"/>
  <c r="K151" i="34"/>
  <c r="K152" i="34"/>
  <c r="K153" i="34"/>
  <c r="K154" i="34"/>
  <c r="K155" i="34"/>
  <c r="K156" i="34"/>
  <c r="K157" i="34"/>
  <c r="K158" i="34"/>
  <c r="K159" i="34"/>
  <c r="K160" i="34"/>
  <c r="K161" i="34"/>
  <c r="K4" i="34"/>
  <c r="K5" i="30"/>
  <c r="K6" i="30"/>
  <c r="K7" i="30"/>
  <c r="K8" i="30"/>
  <c r="K9" i="30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37" i="30"/>
  <c r="K38" i="30"/>
  <c r="K39" i="30"/>
  <c r="K40" i="30"/>
  <c r="K41" i="30"/>
  <c r="K42" i="30"/>
  <c r="K43" i="30"/>
  <c r="K44" i="30"/>
  <c r="K45" i="30"/>
  <c r="K46" i="30"/>
  <c r="K47" i="30"/>
  <c r="K48" i="30"/>
  <c r="K49" i="30"/>
  <c r="K50" i="30"/>
  <c r="K51" i="30"/>
  <c r="K52" i="30"/>
  <c r="K53" i="30"/>
  <c r="K54" i="30"/>
  <c r="K55" i="30"/>
  <c r="K56" i="30"/>
  <c r="K57" i="30"/>
  <c r="K58" i="30"/>
  <c r="K59" i="30"/>
  <c r="K60" i="30"/>
  <c r="K61" i="30"/>
  <c r="K62" i="30"/>
  <c r="K63" i="30"/>
  <c r="K64" i="30"/>
  <c r="K65" i="30"/>
  <c r="K66" i="30"/>
  <c r="K67" i="30"/>
  <c r="K68" i="30"/>
  <c r="K69" i="30"/>
  <c r="K70" i="30"/>
  <c r="K71" i="30"/>
  <c r="K72" i="30"/>
  <c r="K73" i="30"/>
  <c r="K74" i="30"/>
  <c r="K75" i="30"/>
  <c r="K76" i="30"/>
  <c r="K77" i="30"/>
  <c r="K78" i="30"/>
  <c r="K79" i="30"/>
  <c r="K80" i="30"/>
  <c r="K81" i="30"/>
  <c r="K82" i="30"/>
  <c r="K83" i="30"/>
  <c r="K84" i="30"/>
  <c r="K85" i="30"/>
  <c r="K86" i="30"/>
  <c r="K87" i="30"/>
  <c r="K88" i="30"/>
  <c r="K89" i="30"/>
  <c r="K90" i="30"/>
  <c r="K91" i="30"/>
  <c r="K92" i="30"/>
  <c r="K93" i="30"/>
  <c r="K94" i="30"/>
  <c r="K95" i="30"/>
  <c r="K96" i="30"/>
  <c r="K97" i="30"/>
  <c r="K98" i="30"/>
  <c r="K99" i="30"/>
  <c r="K100" i="30"/>
  <c r="K101" i="30"/>
  <c r="K102" i="30"/>
  <c r="K103" i="30"/>
  <c r="K104" i="30"/>
  <c r="K105" i="30"/>
  <c r="K106" i="30"/>
  <c r="K107" i="30"/>
  <c r="K108" i="30"/>
  <c r="K109" i="30"/>
  <c r="K110" i="30"/>
  <c r="K111" i="30"/>
  <c r="K112" i="30"/>
  <c r="K113" i="30"/>
  <c r="K114" i="30"/>
  <c r="K115" i="30"/>
  <c r="K116" i="30"/>
  <c r="K117" i="30"/>
  <c r="K118" i="30"/>
  <c r="K119" i="30"/>
  <c r="K120" i="30"/>
  <c r="K121" i="30"/>
  <c r="K122" i="30"/>
  <c r="K123" i="30"/>
  <c r="K124" i="30"/>
  <c r="K125" i="30"/>
  <c r="K126" i="30"/>
  <c r="K127" i="30"/>
  <c r="K128" i="30"/>
  <c r="K129" i="30"/>
  <c r="K130" i="30"/>
  <c r="K131" i="30"/>
  <c r="K132" i="30"/>
  <c r="K133" i="30"/>
  <c r="K134" i="30"/>
  <c r="K135" i="30"/>
  <c r="K136" i="30"/>
  <c r="K137" i="30"/>
  <c r="K138" i="30"/>
  <c r="K139" i="30"/>
  <c r="K140" i="30"/>
  <c r="K141" i="30"/>
  <c r="K142" i="30"/>
  <c r="K143" i="30"/>
  <c r="K144" i="30"/>
  <c r="K145" i="30"/>
  <c r="K146" i="30"/>
  <c r="K147" i="30"/>
  <c r="K148" i="30"/>
  <c r="K149" i="30"/>
  <c r="K150" i="30"/>
  <c r="K151" i="30"/>
  <c r="K152" i="30"/>
  <c r="K153" i="30"/>
  <c r="K154" i="30"/>
  <c r="K155" i="30"/>
  <c r="K156" i="30"/>
  <c r="K157" i="30"/>
  <c r="K158" i="30"/>
  <c r="K159" i="30"/>
  <c r="K160" i="30"/>
  <c r="K161" i="30"/>
  <c r="K4" i="30"/>
  <c r="K5" i="29"/>
  <c r="K6" i="29"/>
  <c r="K7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4" i="29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116" i="18"/>
  <c r="K117" i="18"/>
  <c r="K118" i="18"/>
  <c r="K119" i="18"/>
  <c r="K120" i="18"/>
  <c r="K121" i="18"/>
  <c r="K122" i="18"/>
  <c r="K123" i="18"/>
  <c r="K124" i="18"/>
  <c r="K125" i="18"/>
  <c r="K126" i="18"/>
  <c r="K127" i="18"/>
  <c r="K128" i="18"/>
  <c r="K129" i="18"/>
  <c r="K130" i="18"/>
  <c r="K131" i="18"/>
  <c r="K132" i="18"/>
  <c r="K133" i="18"/>
  <c r="K134" i="18"/>
  <c r="K135" i="18"/>
  <c r="K136" i="18"/>
  <c r="K137" i="18"/>
  <c r="K138" i="18"/>
  <c r="K139" i="18"/>
  <c r="K140" i="18"/>
  <c r="K141" i="18"/>
  <c r="K142" i="18"/>
  <c r="K143" i="18"/>
  <c r="K144" i="18"/>
  <c r="K145" i="18"/>
  <c r="K146" i="18"/>
  <c r="K147" i="18"/>
  <c r="K148" i="18"/>
  <c r="K149" i="18"/>
  <c r="K150" i="18"/>
  <c r="K151" i="18"/>
  <c r="K152" i="18"/>
  <c r="K153" i="18"/>
  <c r="K154" i="18"/>
  <c r="K155" i="18"/>
  <c r="K156" i="18"/>
  <c r="K157" i="18"/>
  <c r="K158" i="18"/>
  <c r="K159" i="18"/>
  <c r="K160" i="18"/>
  <c r="K161" i="18"/>
  <c r="K4" i="18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O64" i="1"/>
  <c r="F136" i="28"/>
  <c r="I136" i="28"/>
  <c r="F60" i="28"/>
  <c r="G60" i="28" s="1"/>
  <c r="I18" i="28"/>
  <c r="J18" i="28" s="1"/>
  <c r="I19" i="28"/>
  <c r="J19" i="28" s="1"/>
  <c r="I20" i="28"/>
  <c r="J20" i="28" s="1"/>
  <c r="I21" i="28"/>
  <c r="J21" i="28" s="1"/>
  <c r="I22" i="28"/>
  <c r="J22" i="28" s="1"/>
  <c r="I23" i="28"/>
  <c r="J23" i="28" s="1"/>
  <c r="I24" i="28"/>
  <c r="J24" i="28" s="1"/>
  <c r="I25" i="28"/>
  <c r="J25" i="28" s="1"/>
  <c r="I26" i="28"/>
  <c r="J26" i="28" s="1"/>
  <c r="I27" i="28"/>
  <c r="J27" i="28" s="1"/>
  <c r="I28" i="28"/>
  <c r="J28" i="28" s="1"/>
  <c r="I29" i="28"/>
  <c r="J29" i="28" s="1"/>
  <c r="I30" i="28"/>
  <c r="J30" i="28" s="1"/>
  <c r="I31" i="28"/>
  <c r="J31" i="28" s="1"/>
  <c r="I32" i="28"/>
  <c r="J32" i="28" s="1"/>
  <c r="I33" i="28"/>
  <c r="J33" i="28" s="1"/>
  <c r="I34" i="28"/>
  <c r="J34" i="28" s="1"/>
  <c r="I35" i="28"/>
  <c r="J35" i="28" s="1"/>
  <c r="I36" i="28"/>
  <c r="J36" i="28" s="1"/>
  <c r="I37" i="28"/>
  <c r="J37" i="28" s="1"/>
  <c r="I38" i="28"/>
  <c r="J38" i="28" s="1"/>
  <c r="I39" i="28"/>
  <c r="J39" i="28" s="1"/>
  <c r="I40" i="28"/>
  <c r="J40" i="28" s="1"/>
  <c r="I41" i="28"/>
  <c r="J41" i="28" s="1"/>
  <c r="I42" i="28"/>
  <c r="J42" i="28" s="1"/>
  <c r="I43" i="28"/>
  <c r="J43" i="28" s="1"/>
  <c r="I44" i="28"/>
  <c r="J44" i="28" s="1"/>
  <c r="I45" i="28"/>
  <c r="J45" i="28" s="1"/>
  <c r="I46" i="28"/>
  <c r="J46" i="28" s="1"/>
  <c r="I47" i="28"/>
  <c r="J47" i="28" s="1"/>
  <c r="I48" i="28"/>
  <c r="J48" i="28" s="1"/>
  <c r="I49" i="28"/>
  <c r="J49" i="28" s="1"/>
  <c r="I50" i="28"/>
  <c r="J50" i="28" s="1"/>
  <c r="I51" i="28"/>
  <c r="J51" i="28" s="1"/>
  <c r="I52" i="28"/>
  <c r="J52" i="28" s="1"/>
  <c r="I53" i="28"/>
  <c r="J53" i="28" s="1"/>
  <c r="I54" i="28"/>
  <c r="J54" i="28" s="1"/>
  <c r="I55" i="28"/>
  <c r="J55" i="28" s="1"/>
  <c r="I56" i="28"/>
  <c r="J56" i="28" s="1"/>
  <c r="I57" i="28"/>
  <c r="J57" i="28" s="1"/>
  <c r="I58" i="28"/>
  <c r="J58" i="28" s="1"/>
  <c r="I59" i="28"/>
  <c r="J59" i="28" s="1"/>
  <c r="I60" i="28"/>
  <c r="J60" i="28" s="1"/>
  <c r="I61" i="28"/>
  <c r="J61" i="28" s="1"/>
  <c r="I62" i="28"/>
  <c r="J62" i="28" s="1"/>
  <c r="I63" i="28"/>
  <c r="J63" i="28" s="1"/>
  <c r="I64" i="28"/>
  <c r="J64" i="28" s="1"/>
  <c r="I65" i="28"/>
  <c r="J65" i="28" s="1"/>
  <c r="I66" i="28"/>
  <c r="J66" i="28" s="1"/>
  <c r="I67" i="28"/>
  <c r="J67" i="28" s="1"/>
  <c r="I68" i="28"/>
  <c r="J68" i="28" s="1"/>
  <c r="I69" i="28"/>
  <c r="J69" i="28" s="1"/>
  <c r="I70" i="28"/>
  <c r="J70" i="28" s="1"/>
  <c r="I71" i="28"/>
  <c r="J71" i="28" s="1"/>
  <c r="I72" i="28"/>
  <c r="J72" i="28" s="1"/>
  <c r="I73" i="28"/>
  <c r="J73" i="28" s="1"/>
  <c r="I74" i="28"/>
  <c r="J74" i="28" s="1"/>
  <c r="I75" i="28"/>
  <c r="J75" i="28" s="1"/>
  <c r="I76" i="28"/>
  <c r="J76" i="28" s="1"/>
  <c r="I77" i="28"/>
  <c r="J77" i="28" s="1"/>
  <c r="I78" i="28"/>
  <c r="J78" i="28" s="1"/>
  <c r="I79" i="28"/>
  <c r="J79" i="28" s="1"/>
  <c r="I80" i="28"/>
  <c r="J80" i="28" s="1"/>
  <c r="I81" i="28"/>
  <c r="J81" i="28" s="1"/>
  <c r="I82" i="28"/>
  <c r="J82" i="28" s="1"/>
  <c r="I83" i="28"/>
  <c r="J83" i="28" s="1"/>
  <c r="I84" i="28"/>
  <c r="J84" i="28" s="1"/>
  <c r="I85" i="28"/>
  <c r="J85" i="28" s="1"/>
  <c r="I86" i="28"/>
  <c r="J86" i="28" s="1"/>
  <c r="I87" i="28"/>
  <c r="J87" i="28" s="1"/>
  <c r="I88" i="28"/>
  <c r="J88" i="28" s="1"/>
  <c r="I89" i="28"/>
  <c r="J89" i="28" s="1"/>
  <c r="I90" i="28"/>
  <c r="J90" i="28" s="1"/>
  <c r="I91" i="28"/>
  <c r="J91" i="28" s="1"/>
  <c r="I92" i="28"/>
  <c r="J92" i="28" s="1"/>
  <c r="I93" i="28"/>
  <c r="J93" i="28" s="1"/>
  <c r="I94" i="28"/>
  <c r="J94" i="28" s="1"/>
  <c r="I95" i="28"/>
  <c r="J95" i="28" s="1"/>
  <c r="I96" i="28"/>
  <c r="J96" i="28" s="1"/>
  <c r="I97" i="28"/>
  <c r="J97" i="28" s="1"/>
  <c r="I98" i="28"/>
  <c r="J98" i="28" s="1"/>
  <c r="I99" i="28"/>
  <c r="J99" i="28" s="1"/>
  <c r="I100" i="28"/>
  <c r="J100" i="28" s="1"/>
  <c r="I101" i="28"/>
  <c r="J101" i="28" s="1"/>
  <c r="I102" i="28"/>
  <c r="J102" i="28" s="1"/>
  <c r="I103" i="28"/>
  <c r="J103" i="28" s="1"/>
  <c r="I104" i="28"/>
  <c r="J104" i="28" s="1"/>
  <c r="I105" i="28"/>
  <c r="J105" i="28" s="1"/>
  <c r="I106" i="28"/>
  <c r="J106" i="28" s="1"/>
  <c r="I107" i="28"/>
  <c r="J107" i="28" s="1"/>
  <c r="I108" i="28"/>
  <c r="J108" i="28" s="1"/>
  <c r="I109" i="28"/>
  <c r="J109" i="28" s="1"/>
  <c r="I110" i="28"/>
  <c r="J110" i="28" s="1"/>
  <c r="I111" i="28"/>
  <c r="J111" i="28" s="1"/>
  <c r="I112" i="28"/>
  <c r="J112" i="28" s="1"/>
  <c r="I113" i="28"/>
  <c r="J113" i="28" s="1"/>
  <c r="I114" i="28"/>
  <c r="J114" i="28" s="1"/>
  <c r="I115" i="28"/>
  <c r="J115" i="28" s="1"/>
  <c r="I116" i="28"/>
  <c r="J116" i="28" s="1"/>
  <c r="I117" i="28"/>
  <c r="J117" i="28" s="1"/>
  <c r="I118" i="28"/>
  <c r="J118" i="28" s="1"/>
  <c r="I119" i="28"/>
  <c r="J119" i="28" s="1"/>
  <c r="I120" i="28"/>
  <c r="J120" i="28" s="1"/>
  <c r="I121" i="28"/>
  <c r="J121" i="28" s="1"/>
  <c r="I122" i="28"/>
  <c r="J122" i="28" s="1"/>
  <c r="I123" i="28"/>
  <c r="J123" i="28" s="1"/>
  <c r="I124" i="28"/>
  <c r="J124" i="28" s="1"/>
  <c r="I125" i="28"/>
  <c r="J125" i="28" s="1"/>
  <c r="I126" i="28"/>
  <c r="J126" i="28" s="1"/>
  <c r="I127" i="28"/>
  <c r="J127" i="28" s="1"/>
  <c r="I128" i="28"/>
  <c r="J128" i="28" s="1"/>
  <c r="I129" i="28"/>
  <c r="J129" i="28" s="1"/>
  <c r="I130" i="28"/>
  <c r="J130" i="28" s="1"/>
  <c r="I131" i="28"/>
  <c r="J131" i="28" s="1"/>
  <c r="I132" i="28"/>
  <c r="J132" i="28" s="1"/>
  <c r="J133" i="28"/>
  <c r="I134" i="28"/>
  <c r="J134" i="28" s="1"/>
  <c r="I135" i="28"/>
  <c r="J135" i="28" s="1"/>
  <c r="J136" i="28"/>
  <c r="I137" i="28"/>
  <c r="J137" i="28" s="1"/>
  <c r="I138" i="28"/>
  <c r="J138" i="28" s="1"/>
  <c r="I139" i="28"/>
  <c r="J139" i="28" s="1"/>
  <c r="I140" i="28"/>
  <c r="J140" i="28" s="1"/>
  <c r="I141" i="28"/>
  <c r="J141" i="28" s="1"/>
  <c r="I142" i="28"/>
  <c r="J142" i="28" s="1"/>
  <c r="I143" i="28"/>
  <c r="J143" i="28" s="1"/>
  <c r="I144" i="28"/>
  <c r="J144" i="28" s="1"/>
  <c r="I145" i="28"/>
  <c r="J145" i="28" s="1"/>
  <c r="I146" i="28"/>
  <c r="J146" i="28" s="1"/>
  <c r="I147" i="28"/>
  <c r="J147" i="28" s="1"/>
  <c r="I148" i="28"/>
  <c r="J148" i="28" s="1"/>
  <c r="I149" i="28"/>
  <c r="J149" i="28" s="1"/>
  <c r="I150" i="28"/>
  <c r="J150" i="28" s="1"/>
  <c r="I151" i="28"/>
  <c r="J151" i="28" s="1"/>
  <c r="I152" i="28"/>
  <c r="J152" i="28" s="1"/>
  <c r="I153" i="28"/>
  <c r="J153" i="28" s="1"/>
  <c r="I154" i="28"/>
  <c r="J154" i="28" s="1"/>
  <c r="I155" i="28"/>
  <c r="J155" i="28" s="1"/>
  <c r="I156" i="28"/>
  <c r="J156" i="28" s="1"/>
  <c r="I157" i="28"/>
  <c r="J157" i="28" s="1"/>
  <c r="I158" i="28"/>
  <c r="J158" i="28" s="1"/>
  <c r="I159" i="28"/>
  <c r="J159" i="28" s="1"/>
  <c r="I160" i="28"/>
  <c r="J160" i="28" s="1"/>
  <c r="I161" i="28"/>
  <c r="J161" i="28" s="1"/>
  <c r="F18" i="28"/>
  <c r="G18" i="28" s="1"/>
  <c r="F19" i="28"/>
  <c r="G19" i="28" s="1"/>
  <c r="F20" i="28"/>
  <c r="G20" i="28" s="1"/>
  <c r="F21" i="28"/>
  <c r="G21" i="28" s="1"/>
  <c r="F22" i="28"/>
  <c r="G22" i="28" s="1"/>
  <c r="F23" i="28"/>
  <c r="G23" i="28" s="1"/>
  <c r="F24" i="28"/>
  <c r="G24" i="28" s="1"/>
  <c r="F25" i="28"/>
  <c r="G25" i="28" s="1"/>
  <c r="F26" i="28"/>
  <c r="G26" i="28" s="1"/>
  <c r="F27" i="28"/>
  <c r="G27" i="28" s="1"/>
  <c r="F28" i="28"/>
  <c r="G28" i="28" s="1"/>
  <c r="F29" i="28"/>
  <c r="G29" i="28" s="1"/>
  <c r="F30" i="28"/>
  <c r="G30" i="28" s="1"/>
  <c r="F31" i="28"/>
  <c r="G31" i="28" s="1"/>
  <c r="F32" i="28"/>
  <c r="G32" i="28" s="1"/>
  <c r="F33" i="28"/>
  <c r="G33" i="28" s="1"/>
  <c r="F34" i="28"/>
  <c r="G34" i="28" s="1"/>
  <c r="F35" i="28"/>
  <c r="G35" i="28" s="1"/>
  <c r="F36" i="28"/>
  <c r="G36" i="28" s="1"/>
  <c r="F37" i="28"/>
  <c r="G37" i="28" s="1"/>
  <c r="F38" i="28"/>
  <c r="G38" i="28" s="1"/>
  <c r="F39" i="28"/>
  <c r="G39" i="28" s="1"/>
  <c r="F40" i="28"/>
  <c r="G40" i="28" s="1"/>
  <c r="F41" i="28"/>
  <c r="G41" i="28" s="1"/>
  <c r="F42" i="28"/>
  <c r="G42" i="28" s="1"/>
  <c r="F43" i="28"/>
  <c r="G43" i="28" s="1"/>
  <c r="F44" i="28"/>
  <c r="G44" i="28" s="1"/>
  <c r="F45" i="28"/>
  <c r="G45" i="28" s="1"/>
  <c r="F46" i="28"/>
  <c r="G46" i="28" s="1"/>
  <c r="F47" i="28"/>
  <c r="G47" i="28" s="1"/>
  <c r="F48" i="28"/>
  <c r="G48" i="28" s="1"/>
  <c r="F49" i="28"/>
  <c r="G49" i="28" s="1"/>
  <c r="F50" i="28"/>
  <c r="G50" i="28" s="1"/>
  <c r="F51" i="28"/>
  <c r="G51" i="28" s="1"/>
  <c r="F52" i="28"/>
  <c r="G52" i="28" s="1"/>
  <c r="F53" i="28"/>
  <c r="G53" i="28" s="1"/>
  <c r="F54" i="28"/>
  <c r="G54" i="28" s="1"/>
  <c r="F55" i="28"/>
  <c r="G55" i="28" s="1"/>
  <c r="F56" i="28"/>
  <c r="G56" i="28" s="1"/>
  <c r="F57" i="28"/>
  <c r="G57" i="28" s="1"/>
  <c r="F58" i="28"/>
  <c r="G58" i="28" s="1"/>
  <c r="F59" i="28"/>
  <c r="G59" i="28" s="1"/>
  <c r="F61" i="28"/>
  <c r="G61" i="28" s="1"/>
  <c r="F62" i="28"/>
  <c r="G62" i="28" s="1"/>
  <c r="F63" i="28"/>
  <c r="G63" i="28" s="1"/>
  <c r="F64" i="28"/>
  <c r="G64" i="28" s="1"/>
  <c r="F65" i="28"/>
  <c r="G65" i="28" s="1"/>
  <c r="F66" i="28"/>
  <c r="G66" i="28" s="1"/>
  <c r="F67" i="28"/>
  <c r="G67" i="28" s="1"/>
  <c r="F68" i="28"/>
  <c r="G68" i="28" s="1"/>
  <c r="F69" i="28"/>
  <c r="G69" i="28" s="1"/>
  <c r="F70" i="28"/>
  <c r="G70" i="28" s="1"/>
  <c r="F71" i="28"/>
  <c r="G71" i="28" s="1"/>
  <c r="F72" i="28"/>
  <c r="G72" i="28" s="1"/>
  <c r="F73" i="28"/>
  <c r="G73" i="28" s="1"/>
  <c r="F74" i="28"/>
  <c r="G74" i="28" s="1"/>
  <c r="F75" i="28"/>
  <c r="G75" i="28" s="1"/>
  <c r="F76" i="28"/>
  <c r="G76" i="28" s="1"/>
  <c r="F77" i="28"/>
  <c r="G77" i="28" s="1"/>
  <c r="F78" i="28"/>
  <c r="G78" i="28" s="1"/>
  <c r="F79" i="28"/>
  <c r="G79" i="28" s="1"/>
  <c r="F80" i="28"/>
  <c r="G80" i="28" s="1"/>
  <c r="F81" i="28"/>
  <c r="G81" i="28" s="1"/>
  <c r="F82" i="28"/>
  <c r="G82" i="28" s="1"/>
  <c r="F83" i="28"/>
  <c r="G83" i="28" s="1"/>
  <c r="F84" i="28"/>
  <c r="G84" i="28" s="1"/>
  <c r="F85" i="28"/>
  <c r="G85" i="28" s="1"/>
  <c r="F86" i="28"/>
  <c r="G86" i="28" s="1"/>
  <c r="F87" i="28"/>
  <c r="G87" i="28" s="1"/>
  <c r="F88" i="28"/>
  <c r="G88" i="28" s="1"/>
  <c r="F89" i="28"/>
  <c r="G89" i="28" s="1"/>
  <c r="F90" i="28"/>
  <c r="G90" i="28" s="1"/>
  <c r="F91" i="28"/>
  <c r="G91" i="28" s="1"/>
  <c r="F92" i="28"/>
  <c r="G92" i="28" s="1"/>
  <c r="F93" i="28"/>
  <c r="G93" i="28" s="1"/>
  <c r="F94" i="28"/>
  <c r="G94" i="28" s="1"/>
  <c r="F95" i="28"/>
  <c r="G95" i="28" s="1"/>
  <c r="F96" i="28"/>
  <c r="G96" i="28" s="1"/>
  <c r="F97" i="28"/>
  <c r="G97" i="28" s="1"/>
  <c r="F98" i="28"/>
  <c r="G98" i="28" s="1"/>
  <c r="F99" i="28"/>
  <c r="G99" i="28" s="1"/>
  <c r="F100" i="28"/>
  <c r="G100" i="28" s="1"/>
  <c r="F101" i="28"/>
  <c r="G101" i="28" s="1"/>
  <c r="F102" i="28"/>
  <c r="G102" i="28" s="1"/>
  <c r="F103" i="28"/>
  <c r="G103" i="28" s="1"/>
  <c r="F104" i="28"/>
  <c r="G104" i="28" s="1"/>
  <c r="F105" i="28"/>
  <c r="G105" i="28" s="1"/>
  <c r="F106" i="28"/>
  <c r="G106" i="28" s="1"/>
  <c r="F107" i="28"/>
  <c r="G107" i="28" s="1"/>
  <c r="F108" i="28"/>
  <c r="G108" i="28" s="1"/>
  <c r="F109" i="28"/>
  <c r="G109" i="28" s="1"/>
  <c r="F110" i="28"/>
  <c r="G110" i="28" s="1"/>
  <c r="F111" i="28"/>
  <c r="G111" i="28" s="1"/>
  <c r="F112" i="28"/>
  <c r="G112" i="28" s="1"/>
  <c r="F113" i="28"/>
  <c r="G113" i="28" s="1"/>
  <c r="F114" i="28"/>
  <c r="G114" i="28" s="1"/>
  <c r="F115" i="28"/>
  <c r="G115" i="28" s="1"/>
  <c r="F116" i="28"/>
  <c r="G116" i="28" s="1"/>
  <c r="F117" i="28"/>
  <c r="G117" i="28" s="1"/>
  <c r="F118" i="28"/>
  <c r="G118" i="28" s="1"/>
  <c r="F119" i="28"/>
  <c r="G119" i="28" s="1"/>
  <c r="F120" i="28"/>
  <c r="G120" i="28" s="1"/>
  <c r="F121" i="28"/>
  <c r="G121" i="28" s="1"/>
  <c r="F122" i="28"/>
  <c r="G122" i="28" s="1"/>
  <c r="F123" i="28"/>
  <c r="G123" i="28" s="1"/>
  <c r="F124" i="28"/>
  <c r="G124" i="28" s="1"/>
  <c r="F125" i="28"/>
  <c r="G125" i="28" s="1"/>
  <c r="F126" i="28"/>
  <c r="G126" i="28" s="1"/>
  <c r="F127" i="28"/>
  <c r="G127" i="28" s="1"/>
  <c r="F128" i="28"/>
  <c r="G128" i="28" s="1"/>
  <c r="F129" i="28"/>
  <c r="G129" i="28" s="1"/>
  <c r="F130" i="28"/>
  <c r="G130" i="28" s="1"/>
  <c r="F131" i="28"/>
  <c r="G131" i="28" s="1"/>
  <c r="F132" i="28"/>
  <c r="G132" i="28" s="1"/>
  <c r="F133" i="28"/>
  <c r="G133" i="28" s="1"/>
  <c r="F134" i="28"/>
  <c r="G134" i="28" s="1"/>
  <c r="F135" i="28"/>
  <c r="G135" i="28" s="1"/>
  <c r="G136" i="28"/>
  <c r="F137" i="28"/>
  <c r="G137" i="28" s="1"/>
  <c r="F138" i="28"/>
  <c r="G138" i="28" s="1"/>
  <c r="F139" i="28"/>
  <c r="G139" i="28" s="1"/>
  <c r="F140" i="28"/>
  <c r="G140" i="28" s="1"/>
  <c r="F141" i="28"/>
  <c r="G141" i="28" s="1"/>
  <c r="F142" i="28"/>
  <c r="G142" i="28" s="1"/>
  <c r="F143" i="28"/>
  <c r="G143" i="28" s="1"/>
  <c r="F144" i="28"/>
  <c r="G144" i="28" s="1"/>
  <c r="F145" i="28"/>
  <c r="G145" i="28" s="1"/>
  <c r="F146" i="28"/>
  <c r="G146" i="28" s="1"/>
  <c r="F147" i="28"/>
  <c r="G147" i="28" s="1"/>
  <c r="F148" i="28"/>
  <c r="G148" i="28" s="1"/>
  <c r="F149" i="28"/>
  <c r="G149" i="28" s="1"/>
  <c r="F150" i="28"/>
  <c r="G150" i="28" s="1"/>
  <c r="F151" i="28"/>
  <c r="G151" i="28" s="1"/>
  <c r="F152" i="28"/>
  <c r="G152" i="28" s="1"/>
  <c r="F153" i="28"/>
  <c r="G153" i="28" s="1"/>
  <c r="F154" i="28"/>
  <c r="G154" i="28" s="1"/>
  <c r="F155" i="28"/>
  <c r="G155" i="28" s="1"/>
  <c r="F156" i="28"/>
  <c r="G156" i="28" s="1"/>
  <c r="F157" i="28"/>
  <c r="G157" i="28" s="1"/>
  <c r="F158" i="28"/>
  <c r="G158" i="28" s="1"/>
  <c r="F159" i="28"/>
  <c r="G159" i="28" s="1"/>
  <c r="F160" i="28"/>
  <c r="G160" i="28" s="1"/>
  <c r="F161" i="28"/>
  <c r="G161" i="28" s="1"/>
  <c r="I18" i="27"/>
  <c r="J18" i="27" s="1"/>
  <c r="I19" i="27"/>
  <c r="J19" i="27" s="1"/>
  <c r="I20" i="27"/>
  <c r="J20" i="27" s="1"/>
  <c r="I21" i="27"/>
  <c r="J21" i="27" s="1"/>
  <c r="I22" i="27"/>
  <c r="J22" i="27" s="1"/>
  <c r="I23" i="27"/>
  <c r="J23" i="27" s="1"/>
  <c r="I24" i="27"/>
  <c r="J24" i="27" s="1"/>
  <c r="I25" i="27"/>
  <c r="J25" i="27" s="1"/>
  <c r="I26" i="27"/>
  <c r="J26" i="27" s="1"/>
  <c r="I27" i="27"/>
  <c r="J27" i="27" s="1"/>
  <c r="I28" i="27"/>
  <c r="J28" i="27" s="1"/>
  <c r="I29" i="27"/>
  <c r="J29" i="27" s="1"/>
  <c r="I30" i="27"/>
  <c r="J30" i="27" s="1"/>
  <c r="I31" i="27"/>
  <c r="J31" i="27" s="1"/>
  <c r="I32" i="27"/>
  <c r="J32" i="27" s="1"/>
  <c r="I33" i="27"/>
  <c r="J33" i="27" s="1"/>
  <c r="I34" i="27"/>
  <c r="J34" i="27" s="1"/>
  <c r="I35" i="27"/>
  <c r="J35" i="27" s="1"/>
  <c r="I36" i="27"/>
  <c r="J36" i="27" s="1"/>
  <c r="I37" i="27"/>
  <c r="J37" i="27" s="1"/>
  <c r="I38" i="27"/>
  <c r="J38" i="27" s="1"/>
  <c r="I39" i="27"/>
  <c r="J39" i="27" s="1"/>
  <c r="I40" i="27"/>
  <c r="J40" i="27" s="1"/>
  <c r="I41" i="27"/>
  <c r="J41" i="27" s="1"/>
  <c r="I42" i="27"/>
  <c r="J42" i="27" s="1"/>
  <c r="I43" i="27"/>
  <c r="J43" i="27" s="1"/>
  <c r="I44" i="27"/>
  <c r="J44" i="27" s="1"/>
  <c r="I45" i="27"/>
  <c r="J45" i="27" s="1"/>
  <c r="I46" i="27"/>
  <c r="J46" i="27" s="1"/>
  <c r="I47" i="27"/>
  <c r="J47" i="27" s="1"/>
  <c r="I48" i="27"/>
  <c r="J48" i="27" s="1"/>
  <c r="I49" i="27"/>
  <c r="J49" i="27" s="1"/>
  <c r="I50" i="27"/>
  <c r="J50" i="27" s="1"/>
  <c r="I51" i="27"/>
  <c r="J51" i="27" s="1"/>
  <c r="I52" i="27"/>
  <c r="J52" i="27" s="1"/>
  <c r="I53" i="27"/>
  <c r="J53" i="27" s="1"/>
  <c r="I54" i="27"/>
  <c r="J54" i="27" s="1"/>
  <c r="I55" i="27"/>
  <c r="J55" i="27" s="1"/>
  <c r="I56" i="27"/>
  <c r="J56" i="27" s="1"/>
  <c r="I57" i="27"/>
  <c r="I58" i="27"/>
  <c r="I59" i="27"/>
  <c r="J59" i="27" s="1"/>
  <c r="I60" i="27"/>
  <c r="J60" i="27" s="1"/>
  <c r="I61" i="27"/>
  <c r="J61" i="27" s="1"/>
  <c r="I62" i="27"/>
  <c r="J62" i="27" s="1"/>
  <c r="I63" i="27"/>
  <c r="J63" i="27" s="1"/>
  <c r="I64" i="27"/>
  <c r="J64" i="27" s="1"/>
  <c r="I65" i="27"/>
  <c r="J65" i="27" s="1"/>
  <c r="I66" i="27"/>
  <c r="J66" i="27" s="1"/>
  <c r="I67" i="27"/>
  <c r="J67" i="27" s="1"/>
  <c r="I68" i="27"/>
  <c r="J68" i="27" s="1"/>
  <c r="I69" i="27"/>
  <c r="J69" i="27"/>
  <c r="I70" i="27"/>
  <c r="J70" i="27" s="1"/>
  <c r="I71" i="27"/>
  <c r="J71" i="27" s="1"/>
  <c r="I72" i="27"/>
  <c r="J72" i="27" s="1"/>
  <c r="I73" i="27"/>
  <c r="J73" i="27" s="1"/>
  <c r="I74" i="27"/>
  <c r="J74" i="27" s="1"/>
  <c r="I75" i="27"/>
  <c r="J75" i="27" s="1"/>
  <c r="I76" i="27"/>
  <c r="J76" i="27" s="1"/>
  <c r="I77" i="27"/>
  <c r="J77" i="27" s="1"/>
  <c r="I78" i="27"/>
  <c r="J78" i="27" s="1"/>
  <c r="I79" i="27"/>
  <c r="J79" i="27" s="1"/>
  <c r="I80" i="27"/>
  <c r="J80" i="27" s="1"/>
  <c r="I81" i="27"/>
  <c r="J81" i="27" s="1"/>
  <c r="I82" i="27"/>
  <c r="I82" i="29" s="1"/>
  <c r="I83" i="27"/>
  <c r="J83" i="27" s="1"/>
  <c r="I84" i="27"/>
  <c r="J84" i="27" s="1"/>
  <c r="I85" i="27"/>
  <c r="J85" i="27" s="1"/>
  <c r="I86" i="27"/>
  <c r="J86" i="27" s="1"/>
  <c r="I87" i="27"/>
  <c r="J87" i="27" s="1"/>
  <c r="I88" i="27"/>
  <c r="J88" i="27" s="1"/>
  <c r="I89" i="27"/>
  <c r="I90" i="27"/>
  <c r="J90" i="27" s="1"/>
  <c r="I91" i="27"/>
  <c r="J91" i="27" s="1"/>
  <c r="I92" i="27"/>
  <c r="J92" i="27" s="1"/>
  <c r="I93" i="27"/>
  <c r="J93" i="27" s="1"/>
  <c r="I94" i="27"/>
  <c r="J94" i="27" s="1"/>
  <c r="I95" i="27"/>
  <c r="J95" i="27" s="1"/>
  <c r="I96" i="27"/>
  <c r="J96" i="27" s="1"/>
  <c r="I97" i="27"/>
  <c r="J97" i="27" s="1"/>
  <c r="I98" i="27"/>
  <c r="J98" i="27" s="1"/>
  <c r="I99" i="27"/>
  <c r="J99" i="27" s="1"/>
  <c r="I100" i="27"/>
  <c r="J100" i="27" s="1"/>
  <c r="I101" i="27"/>
  <c r="J101" i="27" s="1"/>
  <c r="I102" i="27"/>
  <c r="J102" i="27" s="1"/>
  <c r="I103" i="27"/>
  <c r="J103" i="27" s="1"/>
  <c r="I104" i="27"/>
  <c r="J104" i="27" s="1"/>
  <c r="I105" i="27"/>
  <c r="J105" i="27" s="1"/>
  <c r="I106" i="27"/>
  <c r="J106" i="27" s="1"/>
  <c r="I107" i="27"/>
  <c r="J107" i="27" s="1"/>
  <c r="I108" i="27"/>
  <c r="J108" i="27" s="1"/>
  <c r="I109" i="27"/>
  <c r="J109" i="27" s="1"/>
  <c r="I110" i="27"/>
  <c r="J110" i="27" s="1"/>
  <c r="I111" i="27"/>
  <c r="J111" i="27" s="1"/>
  <c r="I112" i="27"/>
  <c r="J112" i="27" s="1"/>
  <c r="I113" i="27"/>
  <c r="J113" i="27" s="1"/>
  <c r="I114" i="27"/>
  <c r="J114" i="27" s="1"/>
  <c r="I115" i="27"/>
  <c r="J115" i="27" s="1"/>
  <c r="I116" i="27"/>
  <c r="J116" i="27" s="1"/>
  <c r="I117" i="27"/>
  <c r="J117" i="27" s="1"/>
  <c r="I118" i="27"/>
  <c r="J118" i="27" s="1"/>
  <c r="I119" i="27"/>
  <c r="J119" i="27" s="1"/>
  <c r="I120" i="27"/>
  <c r="J120" i="27" s="1"/>
  <c r="I121" i="27"/>
  <c r="J121" i="27"/>
  <c r="I122" i="27"/>
  <c r="J122" i="27" s="1"/>
  <c r="I123" i="27"/>
  <c r="J123" i="27" s="1"/>
  <c r="I124" i="27"/>
  <c r="J124" i="27" s="1"/>
  <c r="I125" i="27"/>
  <c r="J125" i="27" s="1"/>
  <c r="I126" i="27"/>
  <c r="J126" i="27" s="1"/>
  <c r="I127" i="27"/>
  <c r="I128" i="27"/>
  <c r="J128" i="27" s="1"/>
  <c r="I129" i="27"/>
  <c r="J129" i="27" s="1"/>
  <c r="I130" i="27"/>
  <c r="J130" i="27" s="1"/>
  <c r="I131" i="27"/>
  <c r="J131" i="27" s="1"/>
  <c r="I132" i="27"/>
  <c r="I133" i="27"/>
  <c r="J133" i="27" s="1"/>
  <c r="I134" i="27"/>
  <c r="J134" i="27" s="1"/>
  <c r="I135" i="27"/>
  <c r="J135" i="27" s="1"/>
  <c r="I136" i="27"/>
  <c r="I137" i="27"/>
  <c r="J137" i="27" s="1"/>
  <c r="I138" i="27"/>
  <c r="J138" i="27" s="1"/>
  <c r="I139" i="27"/>
  <c r="J139" i="27" s="1"/>
  <c r="I140" i="27"/>
  <c r="J140" i="27" s="1"/>
  <c r="I141" i="27"/>
  <c r="J141" i="27" s="1"/>
  <c r="I142" i="27"/>
  <c r="J142" i="27" s="1"/>
  <c r="I143" i="27"/>
  <c r="J143" i="27" s="1"/>
  <c r="I144" i="27"/>
  <c r="J144" i="27" s="1"/>
  <c r="I145" i="27"/>
  <c r="I146" i="27"/>
  <c r="J146" i="27" s="1"/>
  <c r="I147" i="27"/>
  <c r="J147" i="27" s="1"/>
  <c r="I148" i="27"/>
  <c r="J148" i="27" s="1"/>
  <c r="I149" i="27"/>
  <c r="J149" i="27"/>
  <c r="I150" i="27"/>
  <c r="J150" i="27" s="1"/>
  <c r="I151" i="27"/>
  <c r="J151" i="27" s="1"/>
  <c r="I152" i="27"/>
  <c r="J152" i="27" s="1"/>
  <c r="I153" i="27"/>
  <c r="I154" i="27"/>
  <c r="J154" i="27" s="1"/>
  <c r="I155" i="27"/>
  <c r="I156" i="27"/>
  <c r="J156" i="27" s="1"/>
  <c r="I157" i="27"/>
  <c r="J157" i="27" s="1"/>
  <c r="I158" i="27"/>
  <c r="J158" i="27" s="1"/>
  <c r="I159" i="27"/>
  <c r="I160" i="27"/>
  <c r="J160" i="27" s="1"/>
  <c r="I161" i="27"/>
  <c r="J161" i="27" s="1"/>
  <c r="F18" i="27"/>
  <c r="G18" i="27" s="1"/>
  <c r="F19" i="27"/>
  <c r="G19" i="27" s="1"/>
  <c r="F20" i="27"/>
  <c r="G20" i="27" s="1"/>
  <c r="F21" i="27"/>
  <c r="G21" i="27" s="1"/>
  <c r="F22" i="27"/>
  <c r="G22" i="27" s="1"/>
  <c r="F23" i="27"/>
  <c r="G23" i="27" s="1"/>
  <c r="F24" i="27"/>
  <c r="G24" i="27" s="1"/>
  <c r="F25" i="27"/>
  <c r="G25" i="27" s="1"/>
  <c r="F26" i="27"/>
  <c r="G26" i="27" s="1"/>
  <c r="F27" i="27"/>
  <c r="G27" i="27" s="1"/>
  <c r="F28" i="27"/>
  <c r="G28" i="27" s="1"/>
  <c r="F29" i="27"/>
  <c r="G29" i="27" s="1"/>
  <c r="F30" i="27"/>
  <c r="G30" i="27" s="1"/>
  <c r="F31" i="27"/>
  <c r="G31" i="27" s="1"/>
  <c r="F32" i="27"/>
  <c r="G32" i="27" s="1"/>
  <c r="F33" i="27"/>
  <c r="G33" i="27" s="1"/>
  <c r="F34" i="27"/>
  <c r="G34" i="27" s="1"/>
  <c r="F35" i="27"/>
  <c r="G35" i="27" s="1"/>
  <c r="F36" i="27"/>
  <c r="G36" i="27" s="1"/>
  <c r="F37" i="27"/>
  <c r="G37" i="27" s="1"/>
  <c r="F38" i="27"/>
  <c r="G38" i="27" s="1"/>
  <c r="F39" i="27"/>
  <c r="G39" i="27" s="1"/>
  <c r="F40" i="27"/>
  <c r="G40" i="27" s="1"/>
  <c r="F41" i="27"/>
  <c r="G41" i="27" s="1"/>
  <c r="F42" i="27"/>
  <c r="G42" i="27" s="1"/>
  <c r="F43" i="27"/>
  <c r="G43" i="27" s="1"/>
  <c r="F44" i="27"/>
  <c r="G44" i="27" s="1"/>
  <c r="F45" i="27"/>
  <c r="G45" i="27" s="1"/>
  <c r="F46" i="27"/>
  <c r="G46" i="27" s="1"/>
  <c r="F47" i="27"/>
  <c r="G47" i="27" s="1"/>
  <c r="F48" i="27"/>
  <c r="G48" i="27" s="1"/>
  <c r="F49" i="27"/>
  <c r="G49" i="27" s="1"/>
  <c r="F50" i="27"/>
  <c r="G50" i="27" s="1"/>
  <c r="F51" i="27"/>
  <c r="G51" i="27" s="1"/>
  <c r="F52" i="27"/>
  <c r="G52" i="27" s="1"/>
  <c r="F53" i="27"/>
  <c r="G53" i="27" s="1"/>
  <c r="F54" i="27"/>
  <c r="G54" i="27" s="1"/>
  <c r="F55" i="27"/>
  <c r="G55" i="27" s="1"/>
  <c r="F56" i="27"/>
  <c r="G56" i="27" s="1"/>
  <c r="F57" i="27"/>
  <c r="G57" i="27" s="1"/>
  <c r="F58" i="27"/>
  <c r="G58" i="27" s="1"/>
  <c r="F59" i="27"/>
  <c r="G59" i="27" s="1"/>
  <c r="F60" i="27"/>
  <c r="G60" i="27" s="1"/>
  <c r="F61" i="27"/>
  <c r="G61" i="27" s="1"/>
  <c r="F62" i="27"/>
  <c r="G62" i="27" s="1"/>
  <c r="F63" i="27"/>
  <c r="G63" i="27" s="1"/>
  <c r="F64" i="27"/>
  <c r="G64" i="27"/>
  <c r="F65" i="27"/>
  <c r="G65" i="27" s="1"/>
  <c r="F66" i="27"/>
  <c r="G66" i="27" s="1"/>
  <c r="F67" i="27"/>
  <c r="G67" i="27" s="1"/>
  <c r="F68" i="27"/>
  <c r="G68" i="27" s="1"/>
  <c r="F69" i="27"/>
  <c r="G69" i="27" s="1"/>
  <c r="F70" i="27"/>
  <c r="G70" i="27" s="1"/>
  <c r="F71" i="27"/>
  <c r="G71" i="27" s="1"/>
  <c r="F72" i="27"/>
  <c r="G72" i="27"/>
  <c r="F73" i="27"/>
  <c r="G73" i="27" s="1"/>
  <c r="F74" i="27"/>
  <c r="G74" i="27" s="1"/>
  <c r="F75" i="27"/>
  <c r="G75" i="27" s="1"/>
  <c r="F76" i="27"/>
  <c r="G76" i="27" s="1"/>
  <c r="F77" i="27"/>
  <c r="G77" i="27" s="1"/>
  <c r="F78" i="27"/>
  <c r="G78" i="27" s="1"/>
  <c r="F79" i="27"/>
  <c r="G79" i="27" s="1"/>
  <c r="F80" i="27"/>
  <c r="G80" i="27" s="1"/>
  <c r="F81" i="27"/>
  <c r="G81" i="27"/>
  <c r="F82" i="27"/>
  <c r="G82" i="27" s="1"/>
  <c r="F83" i="27"/>
  <c r="G83" i="27" s="1"/>
  <c r="F84" i="27"/>
  <c r="G84" i="27" s="1"/>
  <c r="F85" i="27"/>
  <c r="G85" i="27" s="1"/>
  <c r="F86" i="27"/>
  <c r="G86" i="27" s="1"/>
  <c r="F87" i="27"/>
  <c r="G87" i="27" s="1"/>
  <c r="F88" i="27"/>
  <c r="G88" i="27" s="1"/>
  <c r="F89" i="27"/>
  <c r="G89" i="27" s="1"/>
  <c r="F90" i="27"/>
  <c r="G90" i="27" s="1"/>
  <c r="F91" i="27"/>
  <c r="G91" i="27" s="1"/>
  <c r="F92" i="27"/>
  <c r="G92" i="27" s="1"/>
  <c r="F93" i="27"/>
  <c r="G93" i="27" s="1"/>
  <c r="F94" i="27"/>
  <c r="G94" i="27" s="1"/>
  <c r="F95" i="27"/>
  <c r="G95" i="27" s="1"/>
  <c r="F96" i="27"/>
  <c r="G96" i="27" s="1"/>
  <c r="F97" i="27"/>
  <c r="G97" i="27" s="1"/>
  <c r="F98" i="27"/>
  <c r="G98" i="27" s="1"/>
  <c r="F99" i="27"/>
  <c r="G99" i="27" s="1"/>
  <c r="F100" i="27"/>
  <c r="G100" i="27" s="1"/>
  <c r="F101" i="27"/>
  <c r="G101" i="27" s="1"/>
  <c r="F102" i="27"/>
  <c r="G102" i="27" s="1"/>
  <c r="F103" i="27"/>
  <c r="G103" i="27" s="1"/>
  <c r="F104" i="27"/>
  <c r="G104" i="27" s="1"/>
  <c r="F105" i="27"/>
  <c r="G105" i="27" s="1"/>
  <c r="F106" i="27"/>
  <c r="G106" i="27" s="1"/>
  <c r="F107" i="27"/>
  <c r="G107" i="27" s="1"/>
  <c r="F108" i="27"/>
  <c r="G108" i="27" s="1"/>
  <c r="F109" i="27"/>
  <c r="G109" i="27" s="1"/>
  <c r="F110" i="27"/>
  <c r="G110" i="27" s="1"/>
  <c r="F111" i="27"/>
  <c r="G111" i="27" s="1"/>
  <c r="F112" i="27"/>
  <c r="G112" i="27" s="1"/>
  <c r="F113" i="27"/>
  <c r="G113" i="27" s="1"/>
  <c r="F114" i="27"/>
  <c r="G114" i="27" s="1"/>
  <c r="F115" i="27"/>
  <c r="G115" i="27" s="1"/>
  <c r="F116" i="27"/>
  <c r="G116" i="27" s="1"/>
  <c r="F117" i="27"/>
  <c r="G117" i="27" s="1"/>
  <c r="F118" i="27"/>
  <c r="G118" i="27" s="1"/>
  <c r="F119" i="27"/>
  <c r="G119" i="27" s="1"/>
  <c r="F120" i="27"/>
  <c r="G120" i="27" s="1"/>
  <c r="F121" i="27"/>
  <c r="G121" i="27" s="1"/>
  <c r="F122" i="27"/>
  <c r="G122" i="27"/>
  <c r="F123" i="27"/>
  <c r="G123" i="27" s="1"/>
  <c r="F124" i="27"/>
  <c r="G124" i="27" s="1"/>
  <c r="F125" i="27"/>
  <c r="G125" i="27" s="1"/>
  <c r="F126" i="27"/>
  <c r="G126" i="27" s="1"/>
  <c r="F127" i="27"/>
  <c r="G127" i="27" s="1"/>
  <c r="F128" i="27"/>
  <c r="G128" i="27" s="1"/>
  <c r="F129" i="27"/>
  <c r="G129" i="27" s="1"/>
  <c r="F130" i="27"/>
  <c r="G130" i="27" s="1"/>
  <c r="F131" i="27"/>
  <c r="G131" i="27" s="1"/>
  <c r="F132" i="27"/>
  <c r="G132" i="27" s="1"/>
  <c r="F133" i="27"/>
  <c r="G133" i="27" s="1"/>
  <c r="F134" i="27"/>
  <c r="G134" i="27" s="1"/>
  <c r="F135" i="27"/>
  <c r="G135" i="27" s="1"/>
  <c r="F136" i="27"/>
  <c r="G136" i="27" s="1"/>
  <c r="F137" i="27"/>
  <c r="G137" i="27" s="1"/>
  <c r="F138" i="27"/>
  <c r="G138" i="27" s="1"/>
  <c r="F139" i="27"/>
  <c r="G139" i="27" s="1"/>
  <c r="F140" i="27"/>
  <c r="G140" i="27" s="1"/>
  <c r="F141" i="27"/>
  <c r="G141" i="27" s="1"/>
  <c r="F142" i="27"/>
  <c r="G142" i="27" s="1"/>
  <c r="F143" i="27"/>
  <c r="G143" i="27" s="1"/>
  <c r="F144" i="27"/>
  <c r="G144" i="27" s="1"/>
  <c r="F145" i="27"/>
  <c r="G145" i="27" s="1"/>
  <c r="F146" i="27"/>
  <c r="G146" i="27" s="1"/>
  <c r="F147" i="27"/>
  <c r="G147" i="27" s="1"/>
  <c r="F148" i="27"/>
  <c r="G148" i="27" s="1"/>
  <c r="F149" i="27"/>
  <c r="G149" i="27" s="1"/>
  <c r="F150" i="27"/>
  <c r="G150" i="27" s="1"/>
  <c r="F151" i="27"/>
  <c r="G151" i="27"/>
  <c r="F152" i="27"/>
  <c r="G152" i="27" s="1"/>
  <c r="F153" i="27"/>
  <c r="G153" i="27" s="1"/>
  <c r="F154" i="27"/>
  <c r="G154" i="27" s="1"/>
  <c r="F155" i="27"/>
  <c r="G155" i="27" s="1"/>
  <c r="F156" i="27"/>
  <c r="G156" i="27" s="1"/>
  <c r="F157" i="27"/>
  <c r="G157" i="27" s="1"/>
  <c r="F158" i="27"/>
  <c r="G158" i="27" s="1"/>
  <c r="F159" i="27"/>
  <c r="G159" i="27" s="1"/>
  <c r="F160" i="27"/>
  <c r="G160" i="27"/>
  <c r="F161" i="27"/>
  <c r="G161" i="27" s="1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70" i="30"/>
  <c r="H71" i="30"/>
  <c r="H72" i="30"/>
  <c r="H73" i="30"/>
  <c r="H74" i="30"/>
  <c r="H75" i="30"/>
  <c r="H76" i="30"/>
  <c r="H77" i="30"/>
  <c r="H78" i="30"/>
  <c r="H79" i="30"/>
  <c r="H80" i="30"/>
  <c r="H81" i="30"/>
  <c r="H82" i="30"/>
  <c r="H83" i="30"/>
  <c r="H84" i="30"/>
  <c r="H85" i="30"/>
  <c r="H86" i="30"/>
  <c r="H87" i="30"/>
  <c r="H88" i="30"/>
  <c r="H89" i="30"/>
  <c r="H90" i="30"/>
  <c r="H91" i="30"/>
  <c r="H92" i="30"/>
  <c r="H93" i="30"/>
  <c r="H94" i="30"/>
  <c r="H95" i="30"/>
  <c r="J95" i="30" s="1"/>
  <c r="H96" i="30"/>
  <c r="H97" i="30"/>
  <c r="H98" i="30"/>
  <c r="H99" i="30"/>
  <c r="H100" i="30"/>
  <c r="H101" i="30"/>
  <c r="H102" i="30"/>
  <c r="H103" i="30"/>
  <c r="H104" i="30"/>
  <c r="H105" i="30"/>
  <c r="H106" i="30"/>
  <c r="H107" i="30"/>
  <c r="H108" i="30"/>
  <c r="H109" i="30"/>
  <c r="H110" i="30"/>
  <c r="H111" i="30"/>
  <c r="H112" i="30"/>
  <c r="H113" i="30"/>
  <c r="H114" i="30"/>
  <c r="H115" i="30"/>
  <c r="H116" i="30"/>
  <c r="H117" i="30"/>
  <c r="H118" i="30"/>
  <c r="H119" i="30"/>
  <c r="H120" i="30"/>
  <c r="H121" i="30"/>
  <c r="H122" i="30"/>
  <c r="H123" i="30"/>
  <c r="H124" i="30"/>
  <c r="H125" i="30"/>
  <c r="H126" i="30"/>
  <c r="H127" i="30"/>
  <c r="H128" i="30"/>
  <c r="H129" i="30"/>
  <c r="H130" i="30"/>
  <c r="H131" i="30"/>
  <c r="H132" i="30"/>
  <c r="H133" i="30"/>
  <c r="H134" i="30"/>
  <c r="H135" i="30"/>
  <c r="H136" i="30"/>
  <c r="H137" i="30"/>
  <c r="H138" i="30"/>
  <c r="H139" i="30"/>
  <c r="H140" i="30"/>
  <c r="H141" i="30"/>
  <c r="H142" i="30"/>
  <c r="H143" i="30"/>
  <c r="H144" i="30"/>
  <c r="H145" i="30"/>
  <c r="H146" i="30"/>
  <c r="H147" i="30"/>
  <c r="H148" i="30"/>
  <c r="H149" i="30"/>
  <c r="H150" i="30"/>
  <c r="H151" i="30"/>
  <c r="H152" i="30"/>
  <c r="H153" i="30"/>
  <c r="H154" i="30"/>
  <c r="H155" i="30"/>
  <c r="H156" i="30"/>
  <c r="H157" i="30"/>
  <c r="H158" i="30"/>
  <c r="H159" i="30"/>
  <c r="H160" i="30"/>
  <c r="H161" i="30"/>
  <c r="H4" i="30"/>
  <c r="H5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39" i="29"/>
  <c r="H40" i="29"/>
  <c r="H41" i="29"/>
  <c r="H42" i="29"/>
  <c r="H43" i="29"/>
  <c r="H44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H61" i="29"/>
  <c r="H62" i="29"/>
  <c r="H63" i="29"/>
  <c r="H64" i="29"/>
  <c r="H65" i="29"/>
  <c r="H66" i="29"/>
  <c r="H67" i="29"/>
  <c r="H68" i="29"/>
  <c r="H69" i="29"/>
  <c r="H70" i="29"/>
  <c r="H71" i="29"/>
  <c r="H72" i="29"/>
  <c r="H73" i="29"/>
  <c r="H74" i="29"/>
  <c r="H75" i="29"/>
  <c r="H76" i="29"/>
  <c r="H77" i="29"/>
  <c r="H78" i="29"/>
  <c r="H79" i="29"/>
  <c r="H80" i="29"/>
  <c r="H81" i="29"/>
  <c r="H82" i="29"/>
  <c r="H83" i="29"/>
  <c r="H84" i="29"/>
  <c r="H85" i="29"/>
  <c r="H86" i="29"/>
  <c r="H87" i="29"/>
  <c r="H88" i="29"/>
  <c r="H89" i="29"/>
  <c r="H90" i="29"/>
  <c r="H91" i="29"/>
  <c r="H92" i="29"/>
  <c r="H93" i="29"/>
  <c r="H94" i="29"/>
  <c r="H95" i="29"/>
  <c r="H96" i="29"/>
  <c r="H97" i="29"/>
  <c r="H98" i="29"/>
  <c r="H99" i="29"/>
  <c r="H100" i="29"/>
  <c r="H101" i="29"/>
  <c r="H102" i="29"/>
  <c r="H103" i="29"/>
  <c r="H104" i="29"/>
  <c r="H105" i="29"/>
  <c r="H106" i="29"/>
  <c r="H107" i="29"/>
  <c r="H108" i="29"/>
  <c r="H109" i="29"/>
  <c r="H110" i="29"/>
  <c r="H111" i="29"/>
  <c r="H112" i="29"/>
  <c r="H113" i="29"/>
  <c r="H114" i="29"/>
  <c r="H115" i="29"/>
  <c r="H116" i="29"/>
  <c r="H117" i="29"/>
  <c r="H118" i="29"/>
  <c r="H119" i="29"/>
  <c r="H120" i="29"/>
  <c r="H121" i="29"/>
  <c r="H122" i="29"/>
  <c r="H123" i="29"/>
  <c r="H124" i="29"/>
  <c r="H125" i="29"/>
  <c r="H126" i="29"/>
  <c r="H127" i="29"/>
  <c r="H128" i="29"/>
  <c r="H129" i="29"/>
  <c r="H130" i="29"/>
  <c r="H131" i="29"/>
  <c r="H132" i="29"/>
  <c r="H133" i="29"/>
  <c r="H134" i="29"/>
  <c r="H135" i="29"/>
  <c r="H136" i="29"/>
  <c r="H137" i="29"/>
  <c r="H138" i="29"/>
  <c r="H139" i="29"/>
  <c r="H140" i="29"/>
  <c r="H141" i="29"/>
  <c r="H142" i="29"/>
  <c r="H143" i="29"/>
  <c r="H144" i="29"/>
  <c r="H145" i="29"/>
  <c r="H146" i="29"/>
  <c r="H147" i="29"/>
  <c r="H148" i="29"/>
  <c r="H149" i="29"/>
  <c r="H150" i="29"/>
  <c r="H151" i="29"/>
  <c r="H152" i="29"/>
  <c r="H153" i="29"/>
  <c r="H154" i="29"/>
  <c r="H155" i="29"/>
  <c r="H156" i="29"/>
  <c r="H157" i="29"/>
  <c r="H158" i="29"/>
  <c r="H159" i="29"/>
  <c r="H160" i="29"/>
  <c r="H161" i="29"/>
  <c r="H4" i="29"/>
  <c r="D16" i="30"/>
  <c r="E16" i="30"/>
  <c r="D17" i="30"/>
  <c r="F17" i="30" s="1"/>
  <c r="G17" i="30" s="1"/>
  <c r="E17" i="30"/>
  <c r="D18" i="30"/>
  <c r="E18" i="30"/>
  <c r="F18" i="30"/>
  <c r="G18" i="30" s="1"/>
  <c r="I18" i="30"/>
  <c r="D19" i="30"/>
  <c r="F19" i="30" s="1"/>
  <c r="G19" i="30" s="1"/>
  <c r="E19" i="30"/>
  <c r="I19" i="30"/>
  <c r="D20" i="30"/>
  <c r="E20" i="30"/>
  <c r="I20" i="30"/>
  <c r="D21" i="30"/>
  <c r="E21" i="30"/>
  <c r="I21" i="30"/>
  <c r="D22" i="30"/>
  <c r="E22" i="30"/>
  <c r="I22" i="30"/>
  <c r="J22" i="30" s="1"/>
  <c r="D23" i="30"/>
  <c r="E23" i="30"/>
  <c r="I23" i="30"/>
  <c r="D24" i="30"/>
  <c r="E24" i="30"/>
  <c r="I24" i="30"/>
  <c r="J24" i="30" s="1"/>
  <c r="D25" i="30"/>
  <c r="E25" i="30"/>
  <c r="I25" i="30"/>
  <c r="J25" i="30" s="1"/>
  <c r="D26" i="30"/>
  <c r="E26" i="30"/>
  <c r="I26" i="30"/>
  <c r="D27" i="30"/>
  <c r="E27" i="30"/>
  <c r="I27" i="30"/>
  <c r="D28" i="30"/>
  <c r="E28" i="30"/>
  <c r="I28" i="30"/>
  <c r="D29" i="30"/>
  <c r="E29" i="30"/>
  <c r="I29" i="30"/>
  <c r="D30" i="30"/>
  <c r="E30" i="30"/>
  <c r="I30" i="30"/>
  <c r="D31" i="30"/>
  <c r="E31" i="30"/>
  <c r="I31" i="30"/>
  <c r="D32" i="30"/>
  <c r="E32" i="30"/>
  <c r="I32" i="30"/>
  <c r="D33" i="30"/>
  <c r="E33" i="30"/>
  <c r="I33" i="30"/>
  <c r="D34" i="30"/>
  <c r="E34" i="30"/>
  <c r="I34" i="30"/>
  <c r="D35" i="30"/>
  <c r="E35" i="30"/>
  <c r="I35" i="30"/>
  <c r="D36" i="30"/>
  <c r="E36" i="30"/>
  <c r="I36" i="30"/>
  <c r="D37" i="30"/>
  <c r="E37" i="30"/>
  <c r="I37" i="30"/>
  <c r="J37" i="30" s="1"/>
  <c r="D38" i="30"/>
  <c r="E38" i="30"/>
  <c r="I38" i="30"/>
  <c r="D39" i="30"/>
  <c r="E39" i="30"/>
  <c r="I39" i="30"/>
  <c r="D40" i="30"/>
  <c r="E40" i="30"/>
  <c r="I40" i="30"/>
  <c r="D41" i="30"/>
  <c r="E41" i="30"/>
  <c r="I41" i="30"/>
  <c r="D42" i="30"/>
  <c r="E42" i="30"/>
  <c r="I42" i="30"/>
  <c r="D43" i="30"/>
  <c r="E43" i="30"/>
  <c r="I43" i="30"/>
  <c r="D44" i="30"/>
  <c r="E44" i="30"/>
  <c r="I44" i="30"/>
  <c r="D45" i="30"/>
  <c r="E45" i="30"/>
  <c r="I45" i="30"/>
  <c r="D46" i="30"/>
  <c r="E46" i="30"/>
  <c r="I46" i="30"/>
  <c r="D47" i="30"/>
  <c r="F47" i="30" s="1"/>
  <c r="G47" i="30" s="1"/>
  <c r="E47" i="30"/>
  <c r="I47" i="30"/>
  <c r="D48" i="30"/>
  <c r="E48" i="30"/>
  <c r="I48" i="30"/>
  <c r="D49" i="30"/>
  <c r="E49" i="30"/>
  <c r="I49" i="30"/>
  <c r="J49" i="30" s="1"/>
  <c r="D50" i="30"/>
  <c r="E50" i="30"/>
  <c r="I50" i="30"/>
  <c r="D51" i="30"/>
  <c r="E51" i="30"/>
  <c r="I51" i="30"/>
  <c r="D52" i="30"/>
  <c r="E52" i="30"/>
  <c r="I52" i="30"/>
  <c r="D53" i="30"/>
  <c r="E53" i="30"/>
  <c r="I53" i="30"/>
  <c r="D54" i="30"/>
  <c r="E54" i="30"/>
  <c r="I54" i="30"/>
  <c r="D55" i="30"/>
  <c r="E55" i="30"/>
  <c r="I55" i="30"/>
  <c r="J55" i="30" s="1"/>
  <c r="D56" i="30"/>
  <c r="E56" i="30"/>
  <c r="I56" i="30"/>
  <c r="J56" i="30" s="1"/>
  <c r="D57" i="30"/>
  <c r="E57" i="30"/>
  <c r="I57" i="30"/>
  <c r="D58" i="30"/>
  <c r="E58" i="30"/>
  <c r="I58" i="30"/>
  <c r="D59" i="30"/>
  <c r="F59" i="30" s="1"/>
  <c r="G59" i="30" s="1"/>
  <c r="E59" i="30"/>
  <c r="I59" i="30"/>
  <c r="D60" i="30"/>
  <c r="E60" i="30"/>
  <c r="I60" i="30"/>
  <c r="D61" i="30"/>
  <c r="E61" i="30"/>
  <c r="I61" i="30"/>
  <c r="J61" i="30" s="1"/>
  <c r="D62" i="30"/>
  <c r="E62" i="30"/>
  <c r="I62" i="30"/>
  <c r="D63" i="30"/>
  <c r="E63" i="30"/>
  <c r="I63" i="30"/>
  <c r="J63" i="30" s="1"/>
  <c r="D64" i="30"/>
  <c r="E64" i="30"/>
  <c r="I64" i="30"/>
  <c r="D65" i="30"/>
  <c r="E65" i="30"/>
  <c r="I65" i="30"/>
  <c r="J65" i="30" s="1"/>
  <c r="D66" i="30"/>
  <c r="E66" i="30"/>
  <c r="I66" i="30"/>
  <c r="J66" i="30" s="1"/>
  <c r="D67" i="30"/>
  <c r="E67" i="30"/>
  <c r="I67" i="30"/>
  <c r="D68" i="30"/>
  <c r="E68" i="30"/>
  <c r="I68" i="30"/>
  <c r="D69" i="30"/>
  <c r="E69" i="30"/>
  <c r="I69" i="30"/>
  <c r="D70" i="30"/>
  <c r="E70" i="30"/>
  <c r="I70" i="30"/>
  <c r="J70" i="30" s="1"/>
  <c r="D71" i="30"/>
  <c r="E71" i="30"/>
  <c r="I71" i="30"/>
  <c r="D72" i="30"/>
  <c r="E72" i="30"/>
  <c r="I72" i="30"/>
  <c r="J72" i="30" s="1"/>
  <c r="D73" i="30"/>
  <c r="E73" i="30"/>
  <c r="I73" i="30"/>
  <c r="J73" i="30" s="1"/>
  <c r="D74" i="30"/>
  <c r="F74" i="30" s="1"/>
  <c r="G74" i="30" s="1"/>
  <c r="E74" i="30"/>
  <c r="I74" i="30"/>
  <c r="D75" i="30"/>
  <c r="E75" i="30"/>
  <c r="I75" i="30"/>
  <c r="J75" i="30" s="1"/>
  <c r="D76" i="30"/>
  <c r="E76" i="30"/>
  <c r="I76" i="30"/>
  <c r="D77" i="30"/>
  <c r="E77" i="30"/>
  <c r="I77" i="30"/>
  <c r="J77" i="30" s="1"/>
  <c r="D78" i="30"/>
  <c r="E78" i="30"/>
  <c r="I78" i="30"/>
  <c r="J78" i="30" s="1"/>
  <c r="D79" i="30"/>
  <c r="F79" i="30" s="1"/>
  <c r="G79" i="30" s="1"/>
  <c r="E79" i="30"/>
  <c r="I79" i="30"/>
  <c r="J79" i="30" s="1"/>
  <c r="D80" i="30"/>
  <c r="E80" i="30"/>
  <c r="I80" i="30"/>
  <c r="D81" i="30"/>
  <c r="E81" i="30"/>
  <c r="I81" i="30"/>
  <c r="D82" i="30"/>
  <c r="E82" i="30"/>
  <c r="I82" i="30"/>
  <c r="J82" i="30" s="1"/>
  <c r="D83" i="30"/>
  <c r="E83" i="30"/>
  <c r="I83" i="30"/>
  <c r="D84" i="30"/>
  <c r="E84" i="30"/>
  <c r="I84" i="30"/>
  <c r="J84" i="30" s="1"/>
  <c r="D85" i="30"/>
  <c r="E85" i="30"/>
  <c r="I85" i="30"/>
  <c r="J85" i="30" s="1"/>
  <c r="D86" i="30"/>
  <c r="E86" i="30"/>
  <c r="I86" i="30"/>
  <c r="J86" i="30" s="1"/>
  <c r="D87" i="30"/>
  <c r="F87" i="30" s="1"/>
  <c r="G87" i="30" s="1"/>
  <c r="E87" i="30"/>
  <c r="I87" i="30"/>
  <c r="J87" i="30" s="1"/>
  <c r="D88" i="30"/>
  <c r="E88" i="30"/>
  <c r="F88" i="30" s="1"/>
  <c r="G88" i="30" s="1"/>
  <c r="I88" i="30"/>
  <c r="D89" i="30"/>
  <c r="E89" i="30"/>
  <c r="I89" i="30"/>
  <c r="J89" i="30" s="1"/>
  <c r="D90" i="30"/>
  <c r="E90" i="30"/>
  <c r="I90" i="30"/>
  <c r="J90" i="30" s="1"/>
  <c r="D91" i="30"/>
  <c r="E91" i="30"/>
  <c r="I91" i="30"/>
  <c r="D92" i="30"/>
  <c r="F92" i="30" s="1"/>
  <c r="G92" i="30" s="1"/>
  <c r="E92" i="30"/>
  <c r="I92" i="30"/>
  <c r="D93" i="30"/>
  <c r="E93" i="30"/>
  <c r="I93" i="30"/>
  <c r="D94" i="30"/>
  <c r="E94" i="30"/>
  <c r="I94" i="30"/>
  <c r="J94" i="30" s="1"/>
  <c r="D95" i="30"/>
  <c r="E95" i="30"/>
  <c r="I95" i="30"/>
  <c r="D96" i="30"/>
  <c r="E96" i="30"/>
  <c r="I96" i="30"/>
  <c r="J96" i="30" s="1"/>
  <c r="D97" i="30"/>
  <c r="E97" i="30"/>
  <c r="I97" i="30"/>
  <c r="J97" i="30" s="1"/>
  <c r="D98" i="30"/>
  <c r="E98" i="30"/>
  <c r="I98" i="30"/>
  <c r="J98" i="30" s="1"/>
  <c r="D99" i="30"/>
  <c r="E99" i="30"/>
  <c r="I99" i="30"/>
  <c r="D100" i="30"/>
  <c r="E100" i="30"/>
  <c r="I100" i="30"/>
  <c r="D101" i="30"/>
  <c r="E101" i="30"/>
  <c r="I101" i="30"/>
  <c r="J101" i="30" s="1"/>
  <c r="D102" i="30"/>
  <c r="E102" i="30"/>
  <c r="I102" i="30"/>
  <c r="J102" i="30" s="1"/>
  <c r="D103" i="30"/>
  <c r="E103" i="30"/>
  <c r="I103" i="30"/>
  <c r="D104" i="30"/>
  <c r="E104" i="30"/>
  <c r="I104" i="30"/>
  <c r="D105" i="30"/>
  <c r="E105" i="30"/>
  <c r="I105" i="30"/>
  <c r="D106" i="30"/>
  <c r="E106" i="30"/>
  <c r="I106" i="30"/>
  <c r="J106" i="30" s="1"/>
  <c r="D107" i="30"/>
  <c r="E107" i="30"/>
  <c r="I107" i="30"/>
  <c r="D108" i="30"/>
  <c r="E108" i="30"/>
  <c r="I108" i="30"/>
  <c r="D109" i="30"/>
  <c r="E109" i="30"/>
  <c r="I109" i="30"/>
  <c r="J109" i="30" s="1"/>
  <c r="D110" i="30"/>
  <c r="E110" i="30"/>
  <c r="I110" i="30"/>
  <c r="J110" i="30" s="1"/>
  <c r="D111" i="30"/>
  <c r="E111" i="30"/>
  <c r="I111" i="30"/>
  <c r="D112" i="30"/>
  <c r="E112" i="30"/>
  <c r="I112" i="30"/>
  <c r="D113" i="30"/>
  <c r="E113" i="30"/>
  <c r="I113" i="30"/>
  <c r="J113" i="30" s="1"/>
  <c r="D114" i="30"/>
  <c r="E114" i="30"/>
  <c r="I114" i="30"/>
  <c r="D115" i="30"/>
  <c r="E115" i="30"/>
  <c r="I115" i="30"/>
  <c r="D116" i="30"/>
  <c r="E116" i="30"/>
  <c r="I116" i="30"/>
  <c r="D117" i="30"/>
  <c r="E117" i="30"/>
  <c r="I117" i="30"/>
  <c r="D118" i="30"/>
  <c r="E118" i="30"/>
  <c r="I118" i="30"/>
  <c r="J118" i="30" s="1"/>
  <c r="D119" i="30"/>
  <c r="E119" i="30"/>
  <c r="I119" i="30"/>
  <c r="D120" i="30"/>
  <c r="E120" i="30"/>
  <c r="I120" i="30"/>
  <c r="J120" i="30" s="1"/>
  <c r="D121" i="30"/>
  <c r="E121" i="30"/>
  <c r="I121" i="30"/>
  <c r="J121" i="30" s="1"/>
  <c r="D122" i="30"/>
  <c r="E122" i="30"/>
  <c r="I122" i="30"/>
  <c r="J122" i="30" s="1"/>
  <c r="D123" i="30"/>
  <c r="E123" i="30"/>
  <c r="I123" i="30"/>
  <c r="D124" i="30"/>
  <c r="E124" i="30"/>
  <c r="I124" i="30"/>
  <c r="D125" i="30"/>
  <c r="E125" i="30"/>
  <c r="I125" i="30"/>
  <c r="J125" i="30" s="1"/>
  <c r="D126" i="30"/>
  <c r="E126" i="30"/>
  <c r="I126" i="30"/>
  <c r="J126" i="30" s="1"/>
  <c r="D127" i="30"/>
  <c r="E127" i="30"/>
  <c r="I127" i="30"/>
  <c r="D128" i="30"/>
  <c r="E128" i="30"/>
  <c r="I128" i="30"/>
  <c r="D129" i="30"/>
  <c r="E129" i="30"/>
  <c r="I129" i="30"/>
  <c r="D130" i="30"/>
  <c r="E130" i="30"/>
  <c r="I130" i="30"/>
  <c r="J130" i="30" s="1"/>
  <c r="D131" i="30"/>
  <c r="E131" i="30"/>
  <c r="I131" i="30"/>
  <c r="D132" i="30"/>
  <c r="F132" i="30" s="1"/>
  <c r="G132" i="30" s="1"/>
  <c r="E132" i="30"/>
  <c r="I132" i="30"/>
  <c r="D133" i="30"/>
  <c r="E133" i="30"/>
  <c r="I133" i="30"/>
  <c r="J133" i="30" s="1"/>
  <c r="D134" i="30"/>
  <c r="E134" i="30"/>
  <c r="I134" i="30"/>
  <c r="J134" i="30" s="1"/>
  <c r="D135" i="30"/>
  <c r="E135" i="30"/>
  <c r="I135" i="30"/>
  <c r="D136" i="30"/>
  <c r="F136" i="30" s="1"/>
  <c r="G136" i="30" s="1"/>
  <c r="E136" i="30"/>
  <c r="I136" i="30"/>
  <c r="D137" i="30"/>
  <c r="E137" i="30"/>
  <c r="I137" i="30"/>
  <c r="J137" i="30" s="1"/>
  <c r="D138" i="30"/>
  <c r="E138" i="30"/>
  <c r="I138" i="30"/>
  <c r="J138" i="30" s="1"/>
  <c r="D139" i="30"/>
  <c r="E139" i="30"/>
  <c r="I139" i="30"/>
  <c r="D140" i="30"/>
  <c r="E140" i="30"/>
  <c r="I140" i="30"/>
  <c r="D141" i="30"/>
  <c r="E141" i="30"/>
  <c r="I141" i="30"/>
  <c r="D142" i="30"/>
  <c r="E142" i="30"/>
  <c r="I142" i="30"/>
  <c r="D143" i="30"/>
  <c r="E143" i="30"/>
  <c r="I143" i="30"/>
  <c r="D144" i="30"/>
  <c r="E144" i="30"/>
  <c r="I144" i="30"/>
  <c r="J144" i="30" s="1"/>
  <c r="D145" i="30"/>
  <c r="E145" i="30"/>
  <c r="I145" i="30"/>
  <c r="J145" i="30" s="1"/>
  <c r="D146" i="30"/>
  <c r="E146" i="30"/>
  <c r="I146" i="30"/>
  <c r="J146" i="30" s="1"/>
  <c r="D147" i="30"/>
  <c r="E147" i="30"/>
  <c r="I147" i="30"/>
  <c r="D148" i="30"/>
  <c r="E148" i="30"/>
  <c r="I148" i="30"/>
  <c r="D149" i="30"/>
  <c r="E149" i="30"/>
  <c r="I149" i="30"/>
  <c r="J149" i="30" s="1"/>
  <c r="D150" i="30"/>
  <c r="E150" i="30"/>
  <c r="I150" i="30"/>
  <c r="J150" i="30" s="1"/>
  <c r="D151" i="30"/>
  <c r="E151" i="30"/>
  <c r="I151" i="30"/>
  <c r="D152" i="30"/>
  <c r="E152" i="30"/>
  <c r="I152" i="30"/>
  <c r="D153" i="30"/>
  <c r="E153" i="30"/>
  <c r="I153" i="30"/>
  <c r="D154" i="30"/>
  <c r="E154" i="30"/>
  <c r="I154" i="30"/>
  <c r="J154" i="30" s="1"/>
  <c r="D155" i="30"/>
  <c r="E155" i="30"/>
  <c r="I155" i="30"/>
  <c r="D156" i="30"/>
  <c r="E156" i="30"/>
  <c r="I156" i="30"/>
  <c r="D157" i="30"/>
  <c r="E157" i="30"/>
  <c r="I157" i="30"/>
  <c r="J157" i="30" s="1"/>
  <c r="D158" i="30"/>
  <c r="E158" i="30"/>
  <c r="I158" i="30"/>
  <c r="J158" i="30" s="1"/>
  <c r="D159" i="30"/>
  <c r="E159" i="30"/>
  <c r="I159" i="30"/>
  <c r="D160" i="30"/>
  <c r="F160" i="30" s="1"/>
  <c r="G160" i="30" s="1"/>
  <c r="E160" i="30"/>
  <c r="I160" i="30"/>
  <c r="D161" i="30"/>
  <c r="E161" i="30"/>
  <c r="I161" i="30"/>
  <c r="D17" i="29"/>
  <c r="E17" i="29"/>
  <c r="D18" i="29"/>
  <c r="E18" i="29"/>
  <c r="D19" i="29"/>
  <c r="E19" i="29"/>
  <c r="D20" i="29"/>
  <c r="E20" i="29"/>
  <c r="D21" i="29"/>
  <c r="E21" i="29"/>
  <c r="D22" i="29"/>
  <c r="E22" i="29"/>
  <c r="D23" i="29"/>
  <c r="E23" i="29"/>
  <c r="D24" i="29"/>
  <c r="E24" i="29"/>
  <c r="D25" i="29"/>
  <c r="E25" i="29"/>
  <c r="D26" i="29"/>
  <c r="E26" i="29"/>
  <c r="D27" i="29"/>
  <c r="E27" i="29"/>
  <c r="D28" i="29"/>
  <c r="E28" i="29"/>
  <c r="D29" i="29"/>
  <c r="E29" i="29"/>
  <c r="D30" i="29"/>
  <c r="E30" i="29"/>
  <c r="D31" i="29"/>
  <c r="E31" i="29"/>
  <c r="D32" i="29"/>
  <c r="E32" i="29"/>
  <c r="D33" i="29"/>
  <c r="E33" i="29"/>
  <c r="D34" i="29"/>
  <c r="E34" i="29"/>
  <c r="D35" i="29"/>
  <c r="E35" i="29"/>
  <c r="D36" i="29"/>
  <c r="E36" i="29"/>
  <c r="D37" i="29"/>
  <c r="E37" i="29"/>
  <c r="D38" i="29"/>
  <c r="E38" i="29"/>
  <c r="D39" i="29"/>
  <c r="E39" i="29"/>
  <c r="D40" i="29"/>
  <c r="E40" i="29"/>
  <c r="D41" i="29"/>
  <c r="E41" i="29"/>
  <c r="D42" i="29"/>
  <c r="E42" i="29"/>
  <c r="D43" i="29"/>
  <c r="E43" i="29"/>
  <c r="D44" i="29"/>
  <c r="E44" i="29"/>
  <c r="D45" i="29"/>
  <c r="E45" i="29"/>
  <c r="D46" i="29"/>
  <c r="E46" i="29"/>
  <c r="D47" i="29"/>
  <c r="E47" i="29"/>
  <c r="D48" i="29"/>
  <c r="E48" i="29"/>
  <c r="D49" i="29"/>
  <c r="E49" i="29"/>
  <c r="D50" i="29"/>
  <c r="E50" i="29"/>
  <c r="D51" i="29"/>
  <c r="E51" i="29"/>
  <c r="D52" i="29"/>
  <c r="E52" i="29"/>
  <c r="D53" i="29"/>
  <c r="E53" i="29"/>
  <c r="D54" i="29"/>
  <c r="E54" i="29"/>
  <c r="D55" i="29"/>
  <c r="E55" i="29"/>
  <c r="D56" i="29"/>
  <c r="E56" i="29"/>
  <c r="D57" i="29"/>
  <c r="E57" i="29"/>
  <c r="D58" i="29"/>
  <c r="E58" i="29"/>
  <c r="D59" i="29"/>
  <c r="E59" i="29"/>
  <c r="D60" i="29"/>
  <c r="E60" i="29"/>
  <c r="D61" i="29"/>
  <c r="E61" i="29"/>
  <c r="D62" i="29"/>
  <c r="E62" i="29"/>
  <c r="D63" i="29"/>
  <c r="E63" i="29"/>
  <c r="D64" i="29"/>
  <c r="E64" i="29"/>
  <c r="D65" i="29"/>
  <c r="E65" i="29"/>
  <c r="I65" i="29"/>
  <c r="D66" i="29"/>
  <c r="E66" i="29"/>
  <c r="D67" i="29"/>
  <c r="E67" i="29"/>
  <c r="I67" i="29"/>
  <c r="D68" i="29"/>
  <c r="E68" i="29"/>
  <c r="D69" i="29"/>
  <c r="E69" i="29"/>
  <c r="D70" i="29"/>
  <c r="E70" i="29"/>
  <c r="D71" i="29"/>
  <c r="E71" i="29"/>
  <c r="D72" i="29"/>
  <c r="E72" i="29"/>
  <c r="D73" i="29"/>
  <c r="E73" i="29"/>
  <c r="D74" i="29"/>
  <c r="E74" i="29"/>
  <c r="D75" i="29"/>
  <c r="E75" i="29"/>
  <c r="D76" i="29"/>
  <c r="E76" i="29"/>
  <c r="D77" i="29"/>
  <c r="E77" i="29"/>
  <c r="D78" i="29"/>
  <c r="E78" i="29"/>
  <c r="I78" i="29"/>
  <c r="D79" i="29"/>
  <c r="E79" i="29"/>
  <c r="D80" i="29"/>
  <c r="E80" i="29"/>
  <c r="D81" i="29"/>
  <c r="E81" i="29"/>
  <c r="I81" i="29"/>
  <c r="D82" i="29"/>
  <c r="E82" i="29"/>
  <c r="D83" i="29"/>
  <c r="E83" i="29"/>
  <c r="D84" i="29"/>
  <c r="E84" i="29"/>
  <c r="D85" i="29"/>
  <c r="E85" i="29"/>
  <c r="D86" i="29"/>
  <c r="E86" i="29"/>
  <c r="D87" i="29"/>
  <c r="E87" i="29"/>
  <c r="D88" i="29"/>
  <c r="E88" i="29"/>
  <c r="D89" i="29"/>
  <c r="E89" i="29"/>
  <c r="D90" i="29"/>
  <c r="E90" i="29"/>
  <c r="D91" i="29"/>
  <c r="E91" i="29"/>
  <c r="D92" i="29"/>
  <c r="E92" i="29"/>
  <c r="D93" i="29"/>
  <c r="E93" i="29"/>
  <c r="D94" i="29"/>
  <c r="E94" i="29"/>
  <c r="D95" i="29"/>
  <c r="E95" i="29"/>
  <c r="D96" i="29"/>
  <c r="E96" i="29"/>
  <c r="D97" i="29"/>
  <c r="E97" i="29"/>
  <c r="D98" i="29"/>
  <c r="E98" i="29"/>
  <c r="D99" i="29"/>
  <c r="E99" i="29"/>
  <c r="D100" i="29"/>
  <c r="E100" i="29"/>
  <c r="D101" i="29"/>
  <c r="E101" i="29"/>
  <c r="D102" i="29"/>
  <c r="E102" i="29"/>
  <c r="D103" i="29"/>
  <c r="E103" i="29"/>
  <c r="D104" i="29"/>
  <c r="E104" i="29"/>
  <c r="D105" i="29"/>
  <c r="E105" i="29"/>
  <c r="D106" i="29"/>
  <c r="E106" i="29"/>
  <c r="D107" i="29"/>
  <c r="E107" i="29"/>
  <c r="D108" i="29"/>
  <c r="E108" i="29"/>
  <c r="D109" i="29"/>
  <c r="E109" i="29"/>
  <c r="D110" i="29"/>
  <c r="E110" i="29"/>
  <c r="D111" i="29"/>
  <c r="E111" i="29"/>
  <c r="D112" i="29"/>
  <c r="E112" i="29"/>
  <c r="D113" i="29"/>
  <c r="E113" i="29"/>
  <c r="D114" i="29"/>
  <c r="E114" i="29"/>
  <c r="D115" i="29"/>
  <c r="E115" i="29"/>
  <c r="D116" i="29"/>
  <c r="E116" i="29"/>
  <c r="D117" i="29"/>
  <c r="E117" i="29"/>
  <c r="D118" i="29"/>
  <c r="E118" i="29"/>
  <c r="D119" i="29"/>
  <c r="E119" i="29"/>
  <c r="D120" i="29"/>
  <c r="E120" i="29"/>
  <c r="D121" i="29"/>
  <c r="E121" i="29"/>
  <c r="D122" i="29"/>
  <c r="E122" i="29"/>
  <c r="D123" i="29"/>
  <c r="E123" i="29"/>
  <c r="I123" i="29"/>
  <c r="D124" i="29"/>
  <c r="E124" i="29"/>
  <c r="D125" i="29"/>
  <c r="E125" i="29"/>
  <c r="D126" i="29"/>
  <c r="E126" i="29"/>
  <c r="D127" i="29"/>
  <c r="E127" i="29"/>
  <c r="D128" i="29"/>
  <c r="E128" i="29"/>
  <c r="D129" i="29"/>
  <c r="E129" i="29"/>
  <c r="D130" i="29"/>
  <c r="E130" i="29"/>
  <c r="D131" i="29"/>
  <c r="E131" i="29"/>
  <c r="D132" i="29"/>
  <c r="E132" i="29"/>
  <c r="D133" i="29"/>
  <c r="E133" i="29"/>
  <c r="D134" i="29"/>
  <c r="E134" i="29"/>
  <c r="D135" i="29"/>
  <c r="E135" i="29"/>
  <c r="D136" i="29"/>
  <c r="E136" i="29"/>
  <c r="D137" i="29"/>
  <c r="E137" i="29"/>
  <c r="D138" i="29"/>
  <c r="E138" i="29"/>
  <c r="D139" i="29"/>
  <c r="E139" i="29"/>
  <c r="D140" i="29"/>
  <c r="E140" i="29"/>
  <c r="D141" i="29"/>
  <c r="E141" i="29"/>
  <c r="D142" i="29"/>
  <c r="E142" i="29"/>
  <c r="D143" i="29"/>
  <c r="E143" i="29"/>
  <c r="I143" i="29"/>
  <c r="D144" i="29"/>
  <c r="E144" i="29"/>
  <c r="D145" i="29"/>
  <c r="E145" i="29"/>
  <c r="D146" i="29"/>
  <c r="E146" i="29"/>
  <c r="D147" i="29"/>
  <c r="E147" i="29"/>
  <c r="D148" i="29"/>
  <c r="E148" i="29"/>
  <c r="D149" i="29"/>
  <c r="E149" i="29"/>
  <c r="D150" i="29"/>
  <c r="E150" i="29"/>
  <c r="D151" i="29"/>
  <c r="E151" i="29"/>
  <c r="D152" i="29"/>
  <c r="E152" i="29"/>
  <c r="D153" i="29"/>
  <c r="E153" i="29"/>
  <c r="D154" i="29"/>
  <c r="E154" i="29"/>
  <c r="D155" i="29"/>
  <c r="E155" i="29"/>
  <c r="D156" i="29"/>
  <c r="E156" i="29"/>
  <c r="D157" i="29"/>
  <c r="E157" i="29"/>
  <c r="I157" i="29"/>
  <c r="D158" i="29"/>
  <c r="E158" i="29"/>
  <c r="D159" i="29"/>
  <c r="E159" i="29"/>
  <c r="D160" i="29"/>
  <c r="E160" i="29"/>
  <c r="D161" i="29"/>
  <c r="E161" i="29"/>
  <c r="D161" i="18"/>
  <c r="E161" i="18"/>
  <c r="H161" i="18"/>
  <c r="I161" i="18"/>
  <c r="D160" i="1"/>
  <c r="E160" i="1"/>
  <c r="H160" i="1"/>
  <c r="I160" i="1"/>
  <c r="J160" i="1" s="1"/>
  <c r="D161" i="1"/>
  <c r="E161" i="1"/>
  <c r="H161" i="1"/>
  <c r="I161" i="1"/>
  <c r="C160" i="18"/>
  <c r="C159" i="18"/>
  <c r="C158" i="18"/>
  <c r="C157" i="18"/>
  <c r="C156" i="18"/>
  <c r="C155" i="18"/>
  <c r="C154" i="18"/>
  <c r="C153" i="18"/>
  <c r="C152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60" i="26"/>
  <c r="I160" i="26"/>
  <c r="J160" i="26" s="1"/>
  <c r="C158" i="33"/>
  <c r="C159" i="33"/>
  <c r="C160" i="33"/>
  <c r="I145" i="26"/>
  <c r="J145" i="26" s="1"/>
  <c r="F91" i="26"/>
  <c r="G91" i="26" s="1"/>
  <c r="I91" i="26"/>
  <c r="I91" i="29" s="1"/>
  <c r="G84" i="26"/>
  <c r="G81" i="26"/>
  <c r="G76" i="26"/>
  <c r="G77" i="26"/>
  <c r="G78" i="26"/>
  <c r="G79" i="26"/>
  <c r="G80" i="26"/>
  <c r="G82" i="26"/>
  <c r="G83" i="26"/>
  <c r="G34" i="26"/>
  <c r="G75" i="26"/>
  <c r="F74" i="26"/>
  <c r="G74" i="26" s="1"/>
  <c r="I63" i="26"/>
  <c r="J63" i="26" s="1"/>
  <c r="I62" i="26"/>
  <c r="J62" i="26" s="1"/>
  <c r="F159" i="26"/>
  <c r="G159" i="26" s="1"/>
  <c r="I159" i="26"/>
  <c r="J159" i="26" s="1"/>
  <c r="I123" i="26"/>
  <c r="J123" i="26" s="1"/>
  <c r="F123" i="26"/>
  <c r="G123" i="26" s="1"/>
  <c r="F110" i="26"/>
  <c r="G110" i="26" s="1"/>
  <c r="D5" i="29"/>
  <c r="D6" i="29"/>
  <c r="D7" i="29"/>
  <c r="D8" i="29"/>
  <c r="D9" i="29"/>
  <c r="D10" i="29"/>
  <c r="D11" i="29"/>
  <c r="D12" i="29"/>
  <c r="D13" i="29"/>
  <c r="D14" i="29"/>
  <c r="D15" i="29"/>
  <c r="D16" i="29"/>
  <c r="F130" i="26"/>
  <c r="G130" i="26" s="1"/>
  <c r="F131" i="26"/>
  <c r="G131" i="26" s="1"/>
  <c r="I18" i="26"/>
  <c r="J18" i="26" s="1"/>
  <c r="I19" i="26"/>
  <c r="J19" i="26" s="1"/>
  <c r="I20" i="26"/>
  <c r="J20" i="26" s="1"/>
  <c r="I21" i="26"/>
  <c r="J21" i="26" s="1"/>
  <c r="I22" i="26"/>
  <c r="J22" i="26" s="1"/>
  <c r="I23" i="26"/>
  <c r="J23" i="26" s="1"/>
  <c r="I24" i="26"/>
  <c r="J24" i="26" s="1"/>
  <c r="I25" i="26"/>
  <c r="J25" i="26" s="1"/>
  <c r="I26" i="26"/>
  <c r="J26" i="26" s="1"/>
  <c r="I27" i="26"/>
  <c r="J27" i="26" s="1"/>
  <c r="I28" i="26"/>
  <c r="J28" i="26" s="1"/>
  <c r="I29" i="26"/>
  <c r="J29" i="26" s="1"/>
  <c r="I30" i="26"/>
  <c r="J30" i="26" s="1"/>
  <c r="I31" i="26"/>
  <c r="J31" i="26" s="1"/>
  <c r="I32" i="26"/>
  <c r="J32" i="26" s="1"/>
  <c r="I33" i="26"/>
  <c r="J33" i="26" s="1"/>
  <c r="I35" i="26"/>
  <c r="J35" i="26" s="1"/>
  <c r="I36" i="26"/>
  <c r="J36" i="26" s="1"/>
  <c r="I37" i="26"/>
  <c r="J37" i="26" s="1"/>
  <c r="I38" i="26"/>
  <c r="J38" i="26" s="1"/>
  <c r="I39" i="26"/>
  <c r="J39" i="26" s="1"/>
  <c r="I40" i="26"/>
  <c r="J40" i="26" s="1"/>
  <c r="I41" i="26"/>
  <c r="J41" i="26" s="1"/>
  <c r="I42" i="26"/>
  <c r="J42" i="26" s="1"/>
  <c r="I43" i="26"/>
  <c r="J43" i="26" s="1"/>
  <c r="I44" i="26"/>
  <c r="J44" i="26" s="1"/>
  <c r="I45" i="26"/>
  <c r="J45" i="26" s="1"/>
  <c r="I46" i="26"/>
  <c r="J46" i="26" s="1"/>
  <c r="I47" i="26"/>
  <c r="J47" i="26" s="1"/>
  <c r="I48" i="26"/>
  <c r="J48" i="26" s="1"/>
  <c r="I49" i="26"/>
  <c r="J49" i="26" s="1"/>
  <c r="I50" i="26"/>
  <c r="J50" i="26" s="1"/>
  <c r="I51" i="26"/>
  <c r="J51" i="26" s="1"/>
  <c r="I52" i="26"/>
  <c r="J52" i="26" s="1"/>
  <c r="I53" i="26"/>
  <c r="J53" i="26" s="1"/>
  <c r="I54" i="26"/>
  <c r="J54" i="26" s="1"/>
  <c r="I55" i="26"/>
  <c r="J55" i="26" s="1"/>
  <c r="I56" i="26"/>
  <c r="J56" i="26" s="1"/>
  <c r="I57" i="26"/>
  <c r="J57" i="26" s="1"/>
  <c r="I58" i="26"/>
  <c r="J58" i="26" s="1"/>
  <c r="I59" i="26"/>
  <c r="J59" i="26" s="1"/>
  <c r="I60" i="26"/>
  <c r="J60" i="26" s="1"/>
  <c r="I61" i="26"/>
  <c r="J61" i="26" s="1"/>
  <c r="I64" i="26"/>
  <c r="J64" i="26" s="1"/>
  <c r="I65" i="26"/>
  <c r="J65" i="26" s="1"/>
  <c r="I66" i="26"/>
  <c r="J66" i="26" s="1"/>
  <c r="I67" i="26"/>
  <c r="J67" i="26" s="1"/>
  <c r="I68" i="26"/>
  <c r="J68" i="26" s="1"/>
  <c r="I69" i="26"/>
  <c r="J69" i="26" s="1"/>
  <c r="I70" i="26"/>
  <c r="J70" i="26" s="1"/>
  <c r="I71" i="26"/>
  <c r="J71" i="26" s="1"/>
  <c r="I72" i="26"/>
  <c r="J72" i="26" s="1"/>
  <c r="I73" i="26"/>
  <c r="J73" i="26" s="1"/>
  <c r="I74" i="26"/>
  <c r="J74" i="26" s="1"/>
  <c r="I85" i="26"/>
  <c r="J85" i="26" s="1"/>
  <c r="I86" i="26"/>
  <c r="J86" i="26" s="1"/>
  <c r="I87" i="26"/>
  <c r="J87" i="26" s="1"/>
  <c r="I88" i="26"/>
  <c r="J88" i="26" s="1"/>
  <c r="I89" i="26"/>
  <c r="J89" i="26" s="1"/>
  <c r="I90" i="26"/>
  <c r="J90" i="26" s="1"/>
  <c r="I92" i="26"/>
  <c r="J92" i="26" s="1"/>
  <c r="I93" i="26"/>
  <c r="J93" i="26" s="1"/>
  <c r="I94" i="26"/>
  <c r="J94" i="26" s="1"/>
  <c r="I95" i="26"/>
  <c r="J95" i="26" s="1"/>
  <c r="I96" i="26"/>
  <c r="J96" i="26" s="1"/>
  <c r="I97" i="26"/>
  <c r="J97" i="26" s="1"/>
  <c r="I98" i="26"/>
  <c r="J98" i="26" s="1"/>
  <c r="I99" i="26"/>
  <c r="J99" i="26" s="1"/>
  <c r="I100" i="26"/>
  <c r="J100" i="26" s="1"/>
  <c r="I101" i="26"/>
  <c r="J101" i="26" s="1"/>
  <c r="I102" i="26"/>
  <c r="J102" i="26" s="1"/>
  <c r="I103" i="26"/>
  <c r="J103" i="26" s="1"/>
  <c r="I104" i="26"/>
  <c r="J104" i="26" s="1"/>
  <c r="I105" i="26"/>
  <c r="J105" i="26" s="1"/>
  <c r="I106" i="26"/>
  <c r="J106" i="26" s="1"/>
  <c r="I107" i="26"/>
  <c r="J107" i="26" s="1"/>
  <c r="I108" i="26"/>
  <c r="J108" i="26" s="1"/>
  <c r="I109" i="26"/>
  <c r="J109" i="26" s="1"/>
  <c r="I110" i="26"/>
  <c r="J110" i="26" s="1"/>
  <c r="I111" i="26"/>
  <c r="J111" i="26" s="1"/>
  <c r="I112" i="26"/>
  <c r="J112" i="26" s="1"/>
  <c r="I113" i="26"/>
  <c r="J113" i="26" s="1"/>
  <c r="I114" i="26"/>
  <c r="J114" i="26" s="1"/>
  <c r="I115" i="26"/>
  <c r="J115" i="26" s="1"/>
  <c r="I116" i="26"/>
  <c r="J116" i="26" s="1"/>
  <c r="I117" i="26"/>
  <c r="J117" i="26" s="1"/>
  <c r="I118" i="26"/>
  <c r="J118" i="26" s="1"/>
  <c r="I119" i="26"/>
  <c r="J119" i="26" s="1"/>
  <c r="I120" i="26"/>
  <c r="J120" i="26" s="1"/>
  <c r="I121" i="26"/>
  <c r="J121" i="26" s="1"/>
  <c r="I122" i="26"/>
  <c r="J122" i="26" s="1"/>
  <c r="I124" i="26"/>
  <c r="J124" i="26" s="1"/>
  <c r="I125" i="26"/>
  <c r="J125" i="26" s="1"/>
  <c r="I126" i="26"/>
  <c r="J126" i="26" s="1"/>
  <c r="I127" i="26"/>
  <c r="J127" i="26" s="1"/>
  <c r="I128" i="26"/>
  <c r="J128" i="26" s="1"/>
  <c r="I129" i="26"/>
  <c r="J129" i="26" s="1"/>
  <c r="I130" i="26"/>
  <c r="J130" i="26" s="1"/>
  <c r="I131" i="26"/>
  <c r="J131" i="26" s="1"/>
  <c r="I132" i="26"/>
  <c r="J132" i="26" s="1"/>
  <c r="I133" i="26"/>
  <c r="J133" i="26" s="1"/>
  <c r="I134" i="26"/>
  <c r="J134" i="26" s="1"/>
  <c r="I135" i="26"/>
  <c r="J135" i="26" s="1"/>
  <c r="I136" i="26"/>
  <c r="J136" i="26" s="1"/>
  <c r="I137" i="26"/>
  <c r="J137" i="26" s="1"/>
  <c r="I138" i="26"/>
  <c r="J138" i="26" s="1"/>
  <c r="I139" i="26"/>
  <c r="J139" i="26" s="1"/>
  <c r="I140" i="26"/>
  <c r="J140" i="26" s="1"/>
  <c r="I141" i="26"/>
  <c r="J141" i="26" s="1"/>
  <c r="I142" i="26"/>
  <c r="J142" i="26" s="1"/>
  <c r="I143" i="26"/>
  <c r="J143" i="26" s="1"/>
  <c r="I144" i="26"/>
  <c r="J144" i="26" s="1"/>
  <c r="I147" i="26"/>
  <c r="J147" i="26" s="1"/>
  <c r="I148" i="26"/>
  <c r="J148" i="26" s="1"/>
  <c r="I149" i="26"/>
  <c r="J149" i="26" s="1"/>
  <c r="I150" i="26"/>
  <c r="J150" i="26" s="1"/>
  <c r="I151" i="26"/>
  <c r="J151" i="26" s="1"/>
  <c r="I152" i="26"/>
  <c r="J152" i="26" s="1"/>
  <c r="I153" i="26"/>
  <c r="J153" i="26" s="1"/>
  <c r="I154" i="26"/>
  <c r="J154" i="26" s="1"/>
  <c r="I155" i="26"/>
  <c r="J155" i="26" s="1"/>
  <c r="I156" i="26"/>
  <c r="J156" i="26" s="1"/>
  <c r="I157" i="26"/>
  <c r="J157" i="26" s="1"/>
  <c r="I158" i="26"/>
  <c r="J158" i="26" s="1"/>
  <c r="F18" i="26"/>
  <c r="G18" i="26" s="1"/>
  <c r="F19" i="26"/>
  <c r="G19" i="26" s="1"/>
  <c r="F20" i="26"/>
  <c r="G20" i="26" s="1"/>
  <c r="F21" i="26"/>
  <c r="G21" i="26" s="1"/>
  <c r="F22" i="26"/>
  <c r="G22" i="26" s="1"/>
  <c r="F23" i="26"/>
  <c r="G23" i="26" s="1"/>
  <c r="F24" i="26"/>
  <c r="G24" i="26" s="1"/>
  <c r="F25" i="26"/>
  <c r="G25" i="26" s="1"/>
  <c r="F26" i="26"/>
  <c r="G26" i="26" s="1"/>
  <c r="F27" i="26"/>
  <c r="G27" i="26" s="1"/>
  <c r="F28" i="26"/>
  <c r="G28" i="26" s="1"/>
  <c r="F29" i="26"/>
  <c r="G29" i="26" s="1"/>
  <c r="F30" i="26"/>
  <c r="G30" i="26" s="1"/>
  <c r="F31" i="26"/>
  <c r="G31" i="26" s="1"/>
  <c r="F32" i="26"/>
  <c r="G32" i="26" s="1"/>
  <c r="F33" i="26"/>
  <c r="G33" i="26" s="1"/>
  <c r="F35" i="26"/>
  <c r="G35" i="26" s="1"/>
  <c r="F36" i="26"/>
  <c r="G36" i="26" s="1"/>
  <c r="F37" i="26"/>
  <c r="G37" i="26" s="1"/>
  <c r="F38" i="26"/>
  <c r="G38" i="26" s="1"/>
  <c r="F39" i="26"/>
  <c r="G39" i="26" s="1"/>
  <c r="F40" i="26"/>
  <c r="G40" i="26" s="1"/>
  <c r="F41" i="26"/>
  <c r="G41" i="26" s="1"/>
  <c r="F42" i="26"/>
  <c r="G42" i="26" s="1"/>
  <c r="F43" i="26"/>
  <c r="G43" i="26" s="1"/>
  <c r="F44" i="26"/>
  <c r="G44" i="26" s="1"/>
  <c r="F45" i="26"/>
  <c r="G45" i="26" s="1"/>
  <c r="F46" i="26"/>
  <c r="G46" i="26" s="1"/>
  <c r="F47" i="26"/>
  <c r="G47" i="26" s="1"/>
  <c r="F48" i="26"/>
  <c r="G48" i="26" s="1"/>
  <c r="F49" i="26"/>
  <c r="G49" i="26" s="1"/>
  <c r="F50" i="26"/>
  <c r="G50" i="26" s="1"/>
  <c r="F51" i="26"/>
  <c r="G51" i="26" s="1"/>
  <c r="F52" i="26"/>
  <c r="G52" i="26" s="1"/>
  <c r="F53" i="26"/>
  <c r="G53" i="26" s="1"/>
  <c r="F54" i="26"/>
  <c r="G54" i="26" s="1"/>
  <c r="F55" i="26"/>
  <c r="G55" i="26" s="1"/>
  <c r="F56" i="26"/>
  <c r="G56" i="26" s="1"/>
  <c r="F57" i="26"/>
  <c r="G57" i="26" s="1"/>
  <c r="F58" i="26"/>
  <c r="G58" i="26" s="1"/>
  <c r="F59" i="26"/>
  <c r="G59" i="26" s="1"/>
  <c r="F60" i="26"/>
  <c r="G60" i="26" s="1"/>
  <c r="F61" i="26"/>
  <c r="G61" i="26" s="1"/>
  <c r="F62" i="26"/>
  <c r="G62" i="26" s="1"/>
  <c r="F63" i="26"/>
  <c r="G63" i="26" s="1"/>
  <c r="F64" i="26"/>
  <c r="G64" i="26" s="1"/>
  <c r="F65" i="26"/>
  <c r="G65" i="26" s="1"/>
  <c r="F66" i="26"/>
  <c r="G66" i="26" s="1"/>
  <c r="F67" i="26"/>
  <c r="G67" i="26" s="1"/>
  <c r="F68" i="26"/>
  <c r="G68" i="26" s="1"/>
  <c r="F69" i="26"/>
  <c r="G69" i="26" s="1"/>
  <c r="F70" i="26"/>
  <c r="G70" i="26" s="1"/>
  <c r="F71" i="26"/>
  <c r="G71" i="26" s="1"/>
  <c r="F72" i="26"/>
  <c r="G72" i="26" s="1"/>
  <c r="F73" i="26"/>
  <c r="G73" i="26" s="1"/>
  <c r="F85" i="26"/>
  <c r="G85" i="26" s="1"/>
  <c r="F86" i="26"/>
  <c r="G86" i="26" s="1"/>
  <c r="F87" i="26"/>
  <c r="G87" i="26" s="1"/>
  <c r="F88" i="26"/>
  <c r="G88" i="26" s="1"/>
  <c r="F89" i="26"/>
  <c r="G89" i="26" s="1"/>
  <c r="F90" i="26"/>
  <c r="G90" i="26" s="1"/>
  <c r="F92" i="26"/>
  <c r="G92" i="26" s="1"/>
  <c r="F93" i="26"/>
  <c r="G93" i="26" s="1"/>
  <c r="F94" i="26"/>
  <c r="G94" i="26" s="1"/>
  <c r="F95" i="26"/>
  <c r="G95" i="26" s="1"/>
  <c r="F96" i="26"/>
  <c r="G96" i="26" s="1"/>
  <c r="F97" i="26"/>
  <c r="G97" i="26" s="1"/>
  <c r="F98" i="26"/>
  <c r="G98" i="26" s="1"/>
  <c r="F99" i="26"/>
  <c r="G99" i="26" s="1"/>
  <c r="F100" i="26"/>
  <c r="G100" i="26" s="1"/>
  <c r="F101" i="26"/>
  <c r="G101" i="26" s="1"/>
  <c r="F102" i="26"/>
  <c r="G102" i="26" s="1"/>
  <c r="F103" i="26"/>
  <c r="G103" i="26" s="1"/>
  <c r="F104" i="26"/>
  <c r="G104" i="26" s="1"/>
  <c r="F105" i="26"/>
  <c r="G105" i="26" s="1"/>
  <c r="F106" i="26"/>
  <c r="G106" i="26" s="1"/>
  <c r="F107" i="26"/>
  <c r="G107" i="26" s="1"/>
  <c r="F108" i="26"/>
  <c r="G108" i="26" s="1"/>
  <c r="F109" i="26"/>
  <c r="G109" i="26" s="1"/>
  <c r="F111" i="26"/>
  <c r="G111" i="26" s="1"/>
  <c r="F112" i="26"/>
  <c r="G112" i="26" s="1"/>
  <c r="F113" i="26"/>
  <c r="G113" i="26" s="1"/>
  <c r="F114" i="26"/>
  <c r="G114" i="26" s="1"/>
  <c r="F115" i="26"/>
  <c r="G115" i="26" s="1"/>
  <c r="F116" i="26"/>
  <c r="G116" i="26" s="1"/>
  <c r="F117" i="26"/>
  <c r="G117" i="26" s="1"/>
  <c r="F118" i="26"/>
  <c r="G118" i="26" s="1"/>
  <c r="F119" i="26"/>
  <c r="G119" i="26" s="1"/>
  <c r="F120" i="26"/>
  <c r="G120" i="26" s="1"/>
  <c r="F121" i="26"/>
  <c r="G121" i="26" s="1"/>
  <c r="F122" i="26"/>
  <c r="G122" i="26" s="1"/>
  <c r="F124" i="26"/>
  <c r="G124" i="26" s="1"/>
  <c r="F125" i="26"/>
  <c r="G125" i="26" s="1"/>
  <c r="F126" i="26"/>
  <c r="G126" i="26" s="1"/>
  <c r="F127" i="26"/>
  <c r="G127" i="26" s="1"/>
  <c r="F128" i="26"/>
  <c r="G128" i="26" s="1"/>
  <c r="F129" i="26"/>
  <c r="G129" i="26" s="1"/>
  <c r="F132" i="26"/>
  <c r="G132" i="26" s="1"/>
  <c r="F133" i="26"/>
  <c r="G133" i="26" s="1"/>
  <c r="F134" i="26"/>
  <c r="G134" i="26" s="1"/>
  <c r="F135" i="26"/>
  <c r="G135" i="26" s="1"/>
  <c r="F136" i="26"/>
  <c r="G136" i="26" s="1"/>
  <c r="F137" i="26"/>
  <c r="G137" i="26" s="1"/>
  <c r="F138" i="26"/>
  <c r="G138" i="26" s="1"/>
  <c r="F139" i="26"/>
  <c r="G139" i="26" s="1"/>
  <c r="F140" i="26"/>
  <c r="G140" i="26" s="1"/>
  <c r="F141" i="26"/>
  <c r="G141" i="26" s="1"/>
  <c r="F142" i="26"/>
  <c r="G142" i="26" s="1"/>
  <c r="F143" i="26"/>
  <c r="G143" i="26" s="1"/>
  <c r="F144" i="26"/>
  <c r="G144" i="26" s="1"/>
  <c r="F147" i="26"/>
  <c r="G147" i="26" s="1"/>
  <c r="F148" i="26"/>
  <c r="G148" i="26" s="1"/>
  <c r="F149" i="26"/>
  <c r="G149" i="26" s="1"/>
  <c r="F150" i="26"/>
  <c r="G150" i="26" s="1"/>
  <c r="F151" i="26"/>
  <c r="G151" i="26" s="1"/>
  <c r="F152" i="26"/>
  <c r="G152" i="26" s="1"/>
  <c r="F153" i="26"/>
  <c r="G153" i="26" s="1"/>
  <c r="F154" i="26"/>
  <c r="G154" i="26" s="1"/>
  <c r="F155" i="26"/>
  <c r="G155" i="26" s="1"/>
  <c r="F156" i="26"/>
  <c r="G156" i="26" s="1"/>
  <c r="F157" i="26"/>
  <c r="G157" i="26" s="1"/>
  <c r="F158" i="26"/>
  <c r="G158" i="26" s="1"/>
  <c r="C139" i="30"/>
  <c r="C140" i="30"/>
  <c r="C141" i="30"/>
  <c r="C142" i="30"/>
  <c r="C143" i="30"/>
  <c r="C144" i="30"/>
  <c r="C145" i="30"/>
  <c r="C146" i="30"/>
  <c r="C147" i="30"/>
  <c r="C148" i="30"/>
  <c r="C149" i="30"/>
  <c r="C150" i="30"/>
  <c r="C151" i="30"/>
  <c r="C152" i="30"/>
  <c r="C153" i="30"/>
  <c r="C154" i="30"/>
  <c r="C155" i="30"/>
  <c r="C156" i="30"/>
  <c r="C157" i="30"/>
  <c r="C158" i="30"/>
  <c r="C159" i="30"/>
  <c r="C160" i="30"/>
  <c r="C138" i="30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37" i="29"/>
  <c r="C160" i="34"/>
  <c r="C159" i="34"/>
  <c r="C158" i="34"/>
  <c r="C157" i="34"/>
  <c r="C156" i="34"/>
  <c r="C155" i="34"/>
  <c r="C154" i="34"/>
  <c r="C153" i="34"/>
  <c r="C152" i="34"/>
  <c r="C151" i="34"/>
  <c r="C150" i="34"/>
  <c r="C149" i="34"/>
  <c r="C148" i="34"/>
  <c r="C147" i="34"/>
  <c r="C146" i="34"/>
  <c r="C145" i="34"/>
  <c r="C144" i="34"/>
  <c r="C143" i="34"/>
  <c r="C142" i="34"/>
  <c r="C141" i="34"/>
  <c r="C140" i="1"/>
  <c r="C140" i="34" s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F75" i="19"/>
  <c r="G75" i="19" s="1"/>
  <c r="H2" i="19"/>
  <c r="D2" i="19"/>
  <c r="I18" i="19"/>
  <c r="J18" i="19" s="1"/>
  <c r="I19" i="19"/>
  <c r="J19" i="19" s="1"/>
  <c r="I20" i="19"/>
  <c r="J20" i="19" s="1"/>
  <c r="I21" i="19"/>
  <c r="J21" i="19" s="1"/>
  <c r="I22" i="19"/>
  <c r="J22" i="19" s="1"/>
  <c r="I23" i="19"/>
  <c r="J23" i="19" s="1"/>
  <c r="I24" i="19"/>
  <c r="J24" i="19" s="1"/>
  <c r="I25" i="19"/>
  <c r="J25" i="19" s="1"/>
  <c r="I26" i="19"/>
  <c r="J26" i="19" s="1"/>
  <c r="I27" i="19"/>
  <c r="J27" i="19" s="1"/>
  <c r="I28" i="19"/>
  <c r="J28" i="19" s="1"/>
  <c r="I29" i="19"/>
  <c r="I30" i="19"/>
  <c r="J30" i="19" s="1"/>
  <c r="I31" i="19"/>
  <c r="J31" i="19" s="1"/>
  <c r="I32" i="19"/>
  <c r="J32" i="19" s="1"/>
  <c r="I33" i="19"/>
  <c r="J33" i="19" s="1"/>
  <c r="I34" i="19"/>
  <c r="J34" i="19" s="1"/>
  <c r="I35" i="19"/>
  <c r="J35" i="19" s="1"/>
  <c r="I36" i="19"/>
  <c r="J36" i="19" s="1"/>
  <c r="I37" i="19"/>
  <c r="J37" i="19" s="1"/>
  <c r="I38" i="19"/>
  <c r="J38" i="19" s="1"/>
  <c r="I39" i="19"/>
  <c r="J39" i="19" s="1"/>
  <c r="I40" i="19"/>
  <c r="J40" i="19" s="1"/>
  <c r="I41" i="19"/>
  <c r="J41" i="19" s="1"/>
  <c r="I42" i="19"/>
  <c r="J42" i="19" s="1"/>
  <c r="I43" i="19"/>
  <c r="J43" i="19" s="1"/>
  <c r="I44" i="19"/>
  <c r="J44" i="19" s="1"/>
  <c r="I45" i="19"/>
  <c r="J45" i="19" s="1"/>
  <c r="I46" i="19"/>
  <c r="J46" i="19" s="1"/>
  <c r="I47" i="19"/>
  <c r="J47" i="19" s="1"/>
  <c r="I48" i="19"/>
  <c r="J48" i="19" s="1"/>
  <c r="I49" i="19"/>
  <c r="I50" i="19"/>
  <c r="J50" i="19" s="1"/>
  <c r="I51" i="19"/>
  <c r="J51" i="19" s="1"/>
  <c r="I52" i="19"/>
  <c r="J52" i="19" s="1"/>
  <c r="I53" i="19"/>
  <c r="J53" i="19" s="1"/>
  <c r="I54" i="19"/>
  <c r="J54" i="19" s="1"/>
  <c r="I55" i="19"/>
  <c r="J55" i="19" s="1"/>
  <c r="I56" i="19"/>
  <c r="J56" i="19" s="1"/>
  <c r="I57" i="19"/>
  <c r="J57" i="19" s="1"/>
  <c r="I58" i="19"/>
  <c r="J58" i="19" s="1"/>
  <c r="I59" i="19"/>
  <c r="J59" i="19" s="1"/>
  <c r="I60" i="19"/>
  <c r="J60" i="19" s="1"/>
  <c r="I61" i="19"/>
  <c r="J61" i="19" s="1"/>
  <c r="I62" i="19"/>
  <c r="J62" i="19" s="1"/>
  <c r="I63" i="19"/>
  <c r="J63" i="19" s="1"/>
  <c r="I64" i="19"/>
  <c r="J64" i="19" s="1"/>
  <c r="I65" i="19"/>
  <c r="J65" i="19" s="1"/>
  <c r="I66" i="19"/>
  <c r="J66" i="19" s="1"/>
  <c r="I67" i="19"/>
  <c r="J67" i="19" s="1"/>
  <c r="I68" i="19"/>
  <c r="J68" i="19" s="1"/>
  <c r="I69" i="19"/>
  <c r="J69" i="19" s="1"/>
  <c r="I70" i="19"/>
  <c r="J70" i="19" s="1"/>
  <c r="I71" i="19"/>
  <c r="J71" i="19" s="1"/>
  <c r="I72" i="19"/>
  <c r="J72" i="19" s="1"/>
  <c r="I73" i="19"/>
  <c r="J73" i="19" s="1"/>
  <c r="I74" i="19"/>
  <c r="J74" i="19" s="1"/>
  <c r="I75" i="19"/>
  <c r="J75" i="19" s="1"/>
  <c r="I76" i="19"/>
  <c r="J76" i="19" s="1"/>
  <c r="I77" i="19"/>
  <c r="J77" i="19" s="1"/>
  <c r="I78" i="19"/>
  <c r="J78" i="19" s="1"/>
  <c r="I79" i="19"/>
  <c r="J79" i="19" s="1"/>
  <c r="I80" i="19"/>
  <c r="J80" i="19" s="1"/>
  <c r="I81" i="19"/>
  <c r="J81" i="19" s="1"/>
  <c r="I82" i="19"/>
  <c r="J82" i="19" s="1"/>
  <c r="I83" i="19"/>
  <c r="J83" i="19" s="1"/>
  <c r="I84" i="19"/>
  <c r="J84" i="19" s="1"/>
  <c r="I85" i="19"/>
  <c r="J85" i="19" s="1"/>
  <c r="I86" i="19"/>
  <c r="J86" i="19" s="1"/>
  <c r="I87" i="19"/>
  <c r="J87" i="19" s="1"/>
  <c r="I88" i="19"/>
  <c r="J88" i="19" s="1"/>
  <c r="I89" i="19"/>
  <c r="J89" i="19" s="1"/>
  <c r="I90" i="19"/>
  <c r="J90" i="19" s="1"/>
  <c r="I91" i="19"/>
  <c r="J91" i="19" s="1"/>
  <c r="I92" i="19"/>
  <c r="J92" i="19" s="1"/>
  <c r="I93" i="19"/>
  <c r="I93" i="18" s="1"/>
  <c r="I94" i="19"/>
  <c r="J94" i="19" s="1"/>
  <c r="I95" i="19"/>
  <c r="J95" i="19" s="1"/>
  <c r="I96" i="19"/>
  <c r="J96" i="19" s="1"/>
  <c r="I97" i="19"/>
  <c r="J97" i="19" s="1"/>
  <c r="I98" i="19"/>
  <c r="J98" i="19" s="1"/>
  <c r="I99" i="19"/>
  <c r="J99" i="19" s="1"/>
  <c r="I100" i="19"/>
  <c r="J100" i="19" s="1"/>
  <c r="I101" i="19"/>
  <c r="J101" i="19" s="1"/>
  <c r="I102" i="19"/>
  <c r="J102" i="19" s="1"/>
  <c r="I103" i="19"/>
  <c r="J103" i="19" s="1"/>
  <c r="I104" i="19"/>
  <c r="J104" i="19" s="1"/>
  <c r="I105" i="19"/>
  <c r="I106" i="19"/>
  <c r="J106" i="19" s="1"/>
  <c r="I107" i="19"/>
  <c r="J107" i="19" s="1"/>
  <c r="I108" i="19"/>
  <c r="J108" i="19" s="1"/>
  <c r="I109" i="19"/>
  <c r="J109" i="19" s="1"/>
  <c r="I110" i="19"/>
  <c r="J110" i="19" s="1"/>
  <c r="I111" i="19"/>
  <c r="J111" i="19" s="1"/>
  <c r="I112" i="19"/>
  <c r="J112" i="19" s="1"/>
  <c r="I113" i="19"/>
  <c r="J113" i="19" s="1"/>
  <c r="I114" i="19"/>
  <c r="J114" i="19" s="1"/>
  <c r="I115" i="19"/>
  <c r="J115" i="19" s="1"/>
  <c r="I116" i="19"/>
  <c r="J116" i="19" s="1"/>
  <c r="I117" i="19"/>
  <c r="J117" i="19" s="1"/>
  <c r="I118" i="19"/>
  <c r="J118" i="19" s="1"/>
  <c r="I119" i="19"/>
  <c r="J119" i="19" s="1"/>
  <c r="I120" i="19"/>
  <c r="J120" i="19" s="1"/>
  <c r="I121" i="19"/>
  <c r="J121" i="19" s="1"/>
  <c r="I122" i="19"/>
  <c r="J122" i="19" s="1"/>
  <c r="I123" i="19"/>
  <c r="J123" i="19" s="1"/>
  <c r="I124" i="19"/>
  <c r="J124" i="19" s="1"/>
  <c r="I125" i="19"/>
  <c r="J125" i="19" s="1"/>
  <c r="I126" i="19"/>
  <c r="J126" i="19" s="1"/>
  <c r="I127" i="19"/>
  <c r="J127" i="19" s="1"/>
  <c r="I128" i="19"/>
  <c r="J128" i="19" s="1"/>
  <c r="I129" i="19"/>
  <c r="J129" i="19" s="1"/>
  <c r="I130" i="19"/>
  <c r="J130" i="19" s="1"/>
  <c r="I131" i="19"/>
  <c r="J131" i="19" s="1"/>
  <c r="I132" i="19"/>
  <c r="J132" i="19" s="1"/>
  <c r="I133" i="19"/>
  <c r="J133" i="19" s="1"/>
  <c r="I134" i="19"/>
  <c r="J134" i="19" s="1"/>
  <c r="I135" i="19"/>
  <c r="J135" i="19" s="1"/>
  <c r="I136" i="19"/>
  <c r="J136" i="19" s="1"/>
  <c r="I137" i="19"/>
  <c r="J137" i="19" s="1"/>
  <c r="I138" i="19"/>
  <c r="J138" i="19" s="1"/>
  <c r="I139" i="19"/>
  <c r="J139" i="19" s="1"/>
  <c r="I140" i="19"/>
  <c r="J140" i="19" s="1"/>
  <c r="I141" i="19"/>
  <c r="J141" i="19" s="1"/>
  <c r="I142" i="19"/>
  <c r="J142" i="19" s="1"/>
  <c r="I143" i="19"/>
  <c r="J143" i="19" s="1"/>
  <c r="I144" i="19"/>
  <c r="J144" i="19" s="1"/>
  <c r="I145" i="19"/>
  <c r="J145" i="19" s="1"/>
  <c r="I146" i="19"/>
  <c r="J146" i="19" s="1"/>
  <c r="I147" i="19"/>
  <c r="J147" i="19" s="1"/>
  <c r="I148" i="19"/>
  <c r="J148" i="19" s="1"/>
  <c r="I149" i="19"/>
  <c r="J149" i="19" s="1"/>
  <c r="I150" i="19"/>
  <c r="J150" i="19" s="1"/>
  <c r="I151" i="19"/>
  <c r="J151" i="19" s="1"/>
  <c r="I152" i="19"/>
  <c r="J152" i="19" s="1"/>
  <c r="I153" i="19"/>
  <c r="I153" i="18" s="1"/>
  <c r="I154" i="19"/>
  <c r="J154" i="19" s="1"/>
  <c r="I155" i="19"/>
  <c r="J155" i="19" s="1"/>
  <c r="I156" i="19"/>
  <c r="J156" i="19" s="1"/>
  <c r="I157" i="19"/>
  <c r="J157" i="19" s="1"/>
  <c r="I158" i="19"/>
  <c r="J158" i="19" s="1"/>
  <c r="I159" i="19"/>
  <c r="J159" i="19" s="1"/>
  <c r="I160" i="19"/>
  <c r="J160" i="19" s="1"/>
  <c r="F18" i="19"/>
  <c r="G18" i="19" s="1"/>
  <c r="F19" i="19"/>
  <c r="G19" i="19" s="1"/>
  <c r="F20" i="19"/>
  <c r="G20" i="19" s="1"/>
  <c r="F21" i="19"/>
  <c r="G21" i="19" s="1"/>
  <c r="F22" i="19"/>
  <c r="G22" i="19" s="1"/>
  <c r="F23" i="19"/>
  <c r="G23" i="19" s="1"/>
  <c r="F24" i="19"/>
  <c r="G24" i="19" s="1"/>
  <c r="F25" i="19"/>
  <c r="G25" i="19" s="1"/>
  <c r="F26" i="19"/>
  <c r="G26" i="19" s="1"/>
  <c r="F27" i="19"/>
  <c r="G27" i="19" s="1"/>
  <c r="F28" i="19"/>
  <c r="G28" i="19" s="1"/>
  <c r="F29" i="19"/>
  <c r="G29" i="19" s="1"/>
  <c r="F30" i="19"/>
  <c r="G30" i="19" s="1"/>
  <c r="F31" i="19"/>
  <c r="G31" i="19" s="1"/>
  <c r="F32" i="19"/>
  <c r="G32" i="19" s="1"/>
  <c r="F33" i="19"/>
  <c r="G33" i="19" s="1"/>
  <c r="F34" i="19"/>
  <c r="G34" i="19" s="1"/>
  <c r="F35" i="19"/>
  <c r="G35" i="19" s="1"/>
  <c r="F36" i="19"/>
  <c r="G36" i="19" s="1"/>
  <c r="F37" i="19"/>
  <c r="G37" i="19" s="1"/>
  <c r="F38" i="19"/>
  <c r="G38" i="19" s="1"/>
  <c r="F39" i="19"/>
  <c r="G39" i="19" s="1"/>
  <c r="F40" i="19"/>
  <c r="G40" i="19" s="1"/>
  <c r="F41" i="19"/>
  <c r="G41" i="19" s="1"/>
  <c r="F42" i="19"/>
  <c r="G42" i="19" s="1"/>
  <c r="F43" i="19"/>
  <c r="G43" i="19" s="1"/>
  <c r="F44" i="19"/>
  <c r="G44" i="19" s="1"/>
  <c r="F45" i="19"/>
  <c r="G45" i="19" s="1"/>
  <c r="F46" i="19"/>
  <c r="G46" i="19" s="1"/>
  <c r="F47" i="19"/>
  <c r="G47" i="19" s="1"/>
  <c r="F48" i="19"/>
  <c r="G48" i="19" s="1"/>
  <c r="F49" i="19"/>
  <c r="G49" i="19" s="1"/>
  <c r="F50" i="19"/>
  <c r="G50" i="19" s="1"/>
  <c r="F51" i="19"/>
  <c r="G51" i="19" s="1"/>
  <c r="F52" i="19"/>
  <c r="G52" i="19" s="1"/>
  <c r="F53" i="19"/>
  <c r="G53" i="19" s="1"/>
  <c r="F54" i="19"/>
  <c r="G54" i="19" s="1"/>
  <c r="F55" i="19"/>
  <c r="G55" i="19" s="1"/>
  <c r="F56" i="19"/>
  <c r="G56" i="19" s="1"/>
  <c r="F57" i="19"/>
  <c r="G57" i="19" s="1"/>
  <c r="F58" i="19"/>
  <c r="G58" i="19" s="1"/>
  <c r="F59" i="19"/>
  <c r="G59" i="19" s="1"/>
  <c r="F60" i="19"/>
  <c r="G60" i="19" s="1"/>
  <c r="F61" i="19"/>
  <c r="G61" i="19" s="1"/>
  <c r="F62" i="19"/>
  <c r="G62" i="19" s="1"/>
  <c r="F63" i="19"/>
  <c r="G63" i="19" s="1"/>
  <c r="F64" i="19"/>
  <c r="G64" i="19" s="1"/>
  <c r="F65" i="19"/>
  <c r="G65" i="19" s="1"/>
  <c r="F66" i="19"/>
  <c r="G66" i="19" s="1"/>
  <c r="F67" i="19"/>
  <c r="G67" i="19" s="1"/>
  <c r="F68" i="19"/>
  <c r="G68" i="19" s="1"/>
  <c r="F69" i="19"/>
  <c r="G69" i="19" s="1"/>
  <c r="F70" i="19"/>
  <c r="G70" i="19" s="1"/>
  <c r="F71" i="19"/>
  <c r="G71" i="19" s="1"/>
  <c r="F72" i="19"/>
  <c r="G72" i="19" s="1"/>
  <c r="F73" i="19"/>
  <c r="G73" i="19" s="1"/>
  <c r="F74" i="19"/>
  <c r="G74" i="19" s="1"/>
  <c r="F76" i="19"/>
  <c r="G76" i="19" s="1"/>
  <c r="F77" i="19"/>
  <c r="G77" i="19" s="1"/>
  <c r="F78" i="19"/>
  <c r="G78" i="19" s="1"/>
  <c r="F79" i="19"/>
  <c r="G79" i="19" s="1"/>
  <c r="F80" i="19"/>
  <c r="G80" i="19" s="1"/>
  <c r="F81" i="19"/>
  <c r="G81" i="19" s="1"/>
  <c r="F82" i="19"/>
  <c r="G82" i="19" s="1"/>
  <c r="F83" i="19"/>
  <c r="G83" i="19" s="1"/>
  <c r="F84" i="19"/>
  <c r="G84" i="19" s="1"/>
  <c r="F85" i="19"/>
  <c r="G85" i="19" s="1"/>
  <c r="F86" i="19"/>
  <c r="G86" i="19" s="1"/>
  <c r="F87" i="19"/>
  <c r="G87" i="19" s="1"/>
  <c r="F88" i="19"/>
  <c r="G88" i="19" s="1"/>
  <c r="F89" i="19"/>
  <c r="G89" i="19" s="1"/>
  <c r="F90" i="19"/>
  <c r="G90" i="19" s="1"/>
  <c r="F91" i="19"/>
  <c r="G91" i="19" s="1"/>
  <c r="F92" i="19"/>
  <c r="G92" i="19" s="1"/>
  <c r="F93" i="19"/>
  <c r="G93" i="19" s="1"/>
  <c r="F94" i="19"/>
  <c r="G94" i="19" s="1"/>
  <c r="F95" i="19"/>
  <c r="G95" i="19" s="1"/>
  <c r="F96" i="19"/>
  <c r="G96" i="19" s="1"/>
  <c r="F97" i="19"/>
  <c r="G97" i="19" s="1"/>
  <c r="F98" i="19"/>
  <c r="G98" i="19" s="1"/>
  <c r="F99" i="19"/>
  <c r="G99" i="19" s="1"/>
  <c r="F100" i="19"/>
  <c r="G100" i="19" s="1"/>
  <c r="F101" i="19"/>
  <c r="G101" i="19" s="1"/>
  <c r="F102" i="19"/>
  <c r="G102" i="19" s="1"/>
  <c r="F103" i="19"/>
  <c r="G103" i="19" s="1"/>
  <c r="F104" i="19"/>
  <c r="G104" i="19" s="1"/>
  <c r="F105" i="19"/>
  <c r="G105" i="19" s="1"/>
  <c r="F106" i="19"/>
  <c r="G106" i="19" s="1"/>
  <c r="F107" i="19"/>
  <c r="G107" i="19" s="1"/>
  <c r="F108" i="19"/>
  <c r="G108" i="19" s="1"/>
  <c r="F109" i="19"/>
  <c r="G109" i="19" s="1"/>
  <c r="F110" i="19"/>
  <c r="G110" i="19" s="1"/>
  <c r="F111" i="19"/>
  <c r="G111" i="19" s="1"/>
  <c r="F112" i="19"/>
  <c r="G112" i="19" s="1"/>
  <c r="F113" i="19"/>
  <c r="G113" i="19" s="1"/>
  <c r="F114" i="19"/>
  <c r="G114" i="19" s="1"/>
  <c r="F115" i="19"/>
  <c r="G115" i="19" s="1"/>
  <c r="F116" i="19"/>
  <c r="G116" i="19" s="1"/>
  <c r="F117" i="19"/>
  <c r="G117" i="19" s="1"/>
  <c r="F118" i="19"/>
  <c r="G118" i="19" s="1"/>
  <c r="F119" i="19"/>
  <c r="G119" i="19" s="1"/>
  <c r="F120" i="19"/>
  <c r="G120" i="19" s="1"/>
  <c r="F121" i="19"/>
  <c r="G121" i="19" s="1"/>
  <c r="F122" i="19"/>
  <c r="G122" i="19" s="1"/>
  <c r="F123" i="19"/>
  <c r="G123" i="19" s="1"/>
  <c r="F124" i="19"/>
  <c r="G124" i="19" s="1"/>
  <c r="F125" i="19"/>
  <c r="G125" i="19" s="1"/>
  <c r="F126" i="19"/>
  <c r="G126" i="19" s="1"/>
  <c r="F127" i="19"/>
  <c r="G127" i="19" s="1"/>
  <c r="F128" i="19"/>
  <c r="G128" i="19" s="1"/>
  <c r="F129" i="19"/>
  <c r="G129" i="19" s="1"/>
  <c r="F130" i="19"/>
  <c r="G130" i="19" s="1"/>
  <c r="F131" i="19"/>
  <c r="G131" i="19" s="1"/>
  <c r="F132" i="19"/>
  <c r="G132" i="19" s="1"/>
  <c r="F133" i="19"/>
  <c r="G133" i="19" s="1"/>
  <c r="F134" i="19"/>
  <c r="G134" i="19" s="1"/>
  <c r="F135" i="19"/>
  <c r="G135" i="19" s="1"/>
  <c r="F136" i="19"/>
  <c r="G136" i="19" s="1"/>
  <c r="F137" i="19"/>
  <c r="G137" i="19" s="1"/>
  <c r="F138" i="19"/>
  <c r="G138" i="19" s="1"/>
  <c r="F139" i="19"/>
  <c r="G139" i="19" s="1"/>
  <c r="F140" i="19"/>
  <c r="G140" i="19" s="1"/>
  <c r="F141" i="19"/>
  <c r="G141" i="19" s="1"/>
  <c r="F142" i="19"/>
  <c r="G142" i="19" s="1"/>
  <c r="F143" i="19"/>
  <c r="G143" i="19" s="1"/>
  <c r="F144" i="19"/>
  <c r="G144" i="19" s="1"/>
  <c r="F145" i="19"/>
  <c r="G145" i="19" s="1"/>
  <c r="F146" i="19"/>
  <c r="G146" i="19" s="1"/>
  <c r="F147" i="19"/>
  <c r="G147" i="19" s="1"/>
  <c r="F148" i="19"/>
  <c r="G148" i="19" s="1"/>
  <c r="F149" i="19"/>
  <c r="G149" i="19" s="1"/>
  <c r="F150" i="19"/>
  <c r="G150" i="19" s="1"/>
  <c r="F151" i="19"/>
  <c r="G151" i="19" s="1"/>
  <c r="F152" i="19"/>
  <c r="G152" i="19" s="1"/>
  <c r="F153" i="19"/>
  <c r="G153" i="19" s="1"/>
  <c r="F154" i="19"/>
  <c r="G154" i="19" s="1"/>
  <c r="F155" i="19"/>
  <c r="G155" i="19" s="1"/>
  <c r="F156" i="19"/>
  <c r="G156" i="19" s="1"/>
  <c r="F157" i="19"/>
  <c r="G157" i="19" s="1"/>
  <c r="F158" i="19"/>
  <c r="G158" i="19" s="1"/>
  <c r="F159" i="19"/>
  <c r="G159" i="19" s="1"/>
  <c r="F160" i="19"/>
  <c r="G160" i="19" s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J154" i="1" s="1"/>
  <c r="I155" i="1"/>
  <c r="J155" i="1" s="1"/>
  <c r="I156" i="1"/>
  <c r="I157" i="1"/>
  <c r="I158" i="1"/>
  <c r="I159" i="1"/>
  <c r="H138" i="1"/>
  <c r="H139" i="1"/>
  <c r="H140" i="1"/>
  <c r="H141" i="1"/>
  <c r="H142" i="1"/>
  <c r="H143" i="1"/>
  <c r="H144" i="1"/>
  <c r="H145" i="1"/>
  <c r="H146" i="1"/>
  <c r="H147" i="1"/>
  <c r="H148" i="1"/>
  <c r="J148" i="1" s="1"/>
  <c r="H149" i="1"/>
  <c r="H150" i="1"/>
  <c r="J150" i="1" s="1"/>
  <c r="H151" i="1"/>
  <c r="H152" i="1"/>
  <c r="H153" i="1"/>
  <c r="H154" i="1"/>
  <c r="H155" i="1"/>
  <c r="H156" i="1"/>
  <c r="H157" i="1"/>
  <c r="H158" i="1"/>
  <c r="H159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D139" i="1"/>
  <c r="F139" i="1" s="1"/>
  <c r="G139" i="1" s="1"/>
  <c r="D140" i="1"/>
  <c r="F140" i="1" s="1"/>
  <c r="G140" i="1" s="1"/>
  <c r="D141" i="1"/>
  <c r="F141" i="1" s="1"/>
  <c r="G141" i="1" s="1"/>
  <c r="D142" i="1"/>
  <c r="D143" i="1"/>
  <c r="D144" i="1"/>
  <c r="D145" i="1"/>
  <c r="D146" i="1"/>
  <c r="F146" i="1" s="1"/>
  <c r="G146" i="1" s="1"/>
  <c r="D147" i="1"/>
  <c r="D148" i="1"/>
  <c r="F148" i="1" s="1"/>
  <c r="G148" i="1" s="1"/>
  <c r="D149" i="1"/>
  <c r="D150" i="1"/>
  <c r="D151" i="1"/>
  <c r="F151" i="1" s="1"/>
  <c r="G151" i="1" s="1"/>
  <c r="D152" i="1"/>
  <c r="F152" i="1" s="1"/>
  <c r="G152" i="1" s="1"/>
  <c r="D153" i="1"/>
  <c r="F153" i="1" s="1"/>
  <c r="G153" i="1" s="1"/>
  <c r="D154" i="1"/>
  <c r="F154" i="1" s="1"/>
  <c r="G154" i="1" s="1"/>
  <c r="D155" i="1"/>
  <c r="D156" i="1"/>
  <c r="D157" i="1"/>
  <c r="D158" i="1"/>
  <c r="F158" i="1" s="1"/>
  <c r="G158" i="1" s="1"/>
  <c r="D159" i="1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D138" i="18"/>
  <c r="F138" i="18" s="1"/>
  <c r="G138" i="18" s="1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I136" i="18"/>
  <c r="I140" i="18"/>
  <c r="I141" i="18"/>
  <c r="I158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151" i="18"/>
  <c r="H152" i="18"/>
  <c r="H153" i="18"/>
  <c r="H154" i="18"/>
  <c r="H155" i="18"/>
  <c r="H156" i="18"/>
  <c r="H157" i="18"/>
  <c r="H158" i="18"/>
  <c r="H159" i="18"/>
  <c r="H160" i="18"/>
  <c r="H4" i="18"/>
  <c r="I18" i="20"/>
  <c r="J18" i="20" s="1"/>
  <c r="I19" i="20"/>
  <c r="J19" i="20" s="1"/>
  <c r="I20" i="20"/>
  <c r="J20" i="20" s="1"/>
  <c r="I21" i="20"/>
  <c r="J21" i="20" s="1"/>
  <c r="I22" i="20"/>
  <c r="J22" i="20" s="1"/>
  <c r="I23" i="20"/>
  <c r="J23" i="20" s="1"/>
  <c r="I24" i="20"/>
  <c r="J24" i="20" s="1"/>
  <c r="I25" i="20"/>
  <c r="J25" i="20" s="1"/>
  <c r="I26" i="20"/>
  <c r="J26" i="20" s="1"/>
  <c r="I27" i="20"/>
  <c r="J27" i="20" s="1"/>
  <c r="I28" i="20"/>
  <c r="J28" i="20" s="1"/>
  <c r="I29" i="20"/>
  <c r="J29" i="20" s="1"/>
  <c r="I30" i="20"/>
  <c r="J30" i="20" s="1"/>
  <c r="I31" i="20"/>
  <c r="J31" i="20" s="1"/>
  <c r="I32" i="20"/>
  <c r="J32" i="20" s="1"/>
  <c r="I33" i="20"/>
  <c r="J33" i="20" s="1"/>
  <c r="I34" i="20"/>
  <c r="J34" i="20" s="1"/>
  <c r="I35" i="20"/>
  <c r="J35" i="20" s="1"/>
  <c r="I36" i="20"/>
  <c r="J36" i="20" s="1"/>
  <c r="I37" i="20"/>
  <c r="J37" i="20" s="1"/>
  <c r="I38" i="20"/>
  <c r="J38" i="20" s="1"/>
  <c r="I39" i="20"/>
  <c r="J39" i="20" s="1"/>
  <c r="I40" i="20"/>
  <c r="J40" i="20" s="1"/>
  <c r="I41" i="20"/>
  <c r="J41" i="20" s="1"/>
  <c r="I42" i="20"/>
  <c r="J42" i="20" s="1"/>
  <c r="I43" i="20"/>
  <c r="J43" i="20" s="1"/>
  <c r="I44" i="20"/>
  <c r="J44" i="20" s="1"/>
  <c r="I45" i="20"/>
  <c r="J45" i="20" s="1"/>
  <c r="I46" i="20"/>
  <c r="J46" i="20" s="1"/>
  <c r="I47" i="20"/>
  <c r="J47" i="20" s="1"/>
  <c r="I48" i="20"/>
  <c r="J48" i="20" s="1"/>
  <c r="I49" i="20"/>
  <c r="J49" i="20" s="1"/>
  <c r="I50" i="20"/>
  <c r="J50" i="20" s="1"/>
  <c r="I51" i="20"/>
  <c r="J51" i="20" s="1"/>
  <c r="I52" i="20"/>
  <c r="J52" i="20" s="1"/>
  <c r="I53" i="20"/>
  <c r="J53" i="20" s="1"/>
  <c r="I54" i="20"/>
  <c r="J54" i="20" s="1"/>
  <c r="I55" i="20"/>
  <c r="J55" i="20" s="1"/>
  <c r="I56" i="20"/>
  <c r="J56" i="20" s="1"/>
  <c r="I57" i="20"/>
  <c r="J57" i="20" s="1"/>
  <c r="I58" i="20"/>
  <c r="J58" i="20" s="1"/>
  <c r="I59" i="20"/>
  <c r="J59" i="20" s="1"/>
  <c r="I60" i="20"/>
  <c r="J60" i="20" s="1"/>
  <c r="I61" i="20"/>
  <c r="J61" i="20" s="1"/>
  <c r="I62" i="20"/>
  <c r="J62" i="20" s="1"/>
  <c r="I63" i="20"/>
  <c r="J63" i="20" s="1"/>
  <c r="I64" i="20"/>
  <c r="J64" i="20" s="1"/>
  <c r="I65" i="20"/>
  <c r="I65" i="18" s="1"/>
  <c r="J65" i="20"/>
  <c r="I66" i="20"/>
  <c r="J66" i="20" s="1"/>
  <c r="I67" i="20"/>
  <c r="J67" i="20" s="1"/>
  <c r="I68" i="20"/>
  <c r="J68" i="20" s="1"/>
  <c r="I69" i="20"/>
  <c r="J69" i="20" s="1"/>
  <c r="I70" i="20"/>
  <c r="J70" i="20" s="1"/>
  <c r="I71" i="20"/>
  <c r="J71" i="20" s="1"/>
  <c r="I72" i="20"/>
  <c r="J72" i="20" s="1"/>
  <c r="I73" i="20"/>
  <c r="J73" i="20" s="1"/>
  <c r="I74" i="20"/>
  <c r="J74" i="20" s="1"/>
  <c r="I75" i="20"/>
  <c r="J75" i="20" s="1"/>
  <c r="I76" i="20"/>
  <c r="J76" i="20" s="1"/>
  <c r="I77" i="20"/>
  <c r="J77" i="20" s="1"/>
  <c r="I78" i="20"/>
  <c r="J78" i="20" s="1"/>
  <c r="I79" i="20"/>
  <c r="J79" i="20" s="1"/>
  <c r="I80" i="20"/>
  <c r="J80" i="20" s="1"/>
  <c r="I81" i="20"/>
  <c r="J81" i="20" s="1"/>
  <c r="I82" i="20"/>
  <c r="J82" i="20" s="1"/>
  <c r="I83" i="20"/>
  <c r="J83" i="20" s="1"/>
  <c r="I84" i="20"/>
  <c r="J84" i="20" s="1"/>
  <c r="I85" i="20"/>
  <c r="J85" i="20" s="1"/>
  <c r="I86" i="20"/>
  <c r="J86" i="20" s="1"/>
  <c r="I87" i="20"/>
  <c r="J87" i="20" s="1"/>
  <c r="I88" i="20"/>
  <c r="J88" i="20" s="1"/>
  <c r="I89" i="20"/>
  <c r="J89" i="20" s="1"/>
  <c r="I90" i="20"/>
  <c r="J90" i="20" s="1"/>
  <c r="I91" i="20"/>
  <c r="J91" i="20" s="1"/>
  <c r="I92" i="20"/>
  <c r="J92" i="20" s="1"/>
  <c r="I93" i="20"/>
  <c r="J93" i="20" s="1"/>
  <c r="I94" i="20"/>
  <c r="J94" i="20" s="1"/>
  <c r="I95" i="20"/>
  <c r="J95" i="20" s="1"/>
  <c r="I96" i="20"/>
  <c r="J96" i="20" s="1"/>
  <c r="I97" i="20"/>
  <c r="J97" i="20" s="1"/>
  <c r="I98" i="20"/>
  <c r="J98" i="20" s="1"/>
  <c r="I99" i="20"/>
  <c r="J99" i="20" s="1"/>
  <c r="I100" i="20"/>
  <c r="J100" i="20" s="1"/>
  <c r="I101" i="20"/>
  <c r="J101" i="20" s="1"/>
  <c r="I102" i="20"/>
  <c r="J102" i="20" s="1"/>
  <c r="I103" i="20"/>
  <c r="J103" i="20" s="1"/>
  <c r="I104" i="20"/>
  <c r="J104" i="20" s="1"/>
  <c r="I105" i="20"/>
  <c r="J105" i="20" s="1"/>
  <c r="I106" i="20"/>
  <c r="J106" i="20" s="1"/>
  <c r="I107" i="20"/>
  <c r="J107" i="20" s="1"/>
  <c r="I108" i="20"/>
  <c r="J108" i="20" s="1"/>
  <c r="I109" i="20"/>
  <c r="J109" i="20" s="1"/>
  <c r="I110" i="20"/>
  <c r="J110" i="20" s="1"/>
  <c r="I111" i="20"/>
  <c r="J111" i="20" s="1"/>
  <c r="I112" i="20"/>
  <c r="J112" i="20" s="1"/>
  <c r="I113" i="20"/>
  <c r="J113" i="20" s="1"/>
  <c r="I114" i="20"/>
  <c r="J114" i="20" s="1"/>
  <c r="I115" i="20"/>
  <c r="J115" i="20" s="1"/>
  <c r="I116" i="20"/>
  <c r="J116" i="20" s="1"/>
  <c r="I117" i="20"/>
  <c r="J117" i="20" s="1"/>
  <c r="I118" i="20"/>
  <c r="J118" i="20" s="1"/>
  <c r="I119" i="20"/>
  <c r="J119" i="20" s="1"/>
  <c r="I120" i="20"/>
  <c r="J120" i="20" s="1"/>
  <c r="I121" i="20"/>
  <c r="J121" i="20" s="1"/>
  <c r="I122" i="20"/>
  <c r="J122" i="20" s="1"/>
  <c r="I123" i="20"/>
  <c r="J123" i="20" s="1"/>
  <c r="I124" i="20"/>
  <c r="J124" i="20" s="1"/>
  <c r="I125" i="20"/>
  <c r="J125" i="20" s="1"/>
  <c r="I126" i="20"/>
  <c r="J126" i="20" s="1"/>
  <c r="I127" i="20"/>
  <c r="J127" i="20" s="1"/>
  <c r="I128" i="20"/>
  <c r="J128" i="20" s="1"/>
  <c r="I129" i="20"/>
  <c r="J129" i="20" s="1"/>
  <c r="I130" i="20"/>
  <c r="J130" i="20" s="1"/>
  <c r="I131" i="20"/>
  <c r="J131" i="20" s="1"/>
  <c r="I132" i="20"/>
  <c r="J132" i="20" s="1"/>
  <c r="I133" i="20"/>
  <c r="J133" i="20" s="1"/>
  <c r="I134" i="20"/>
  <c r="J134" i="20" s="1"/>
  <c r="I135" i="20"/>
  <c r="J135" i="20" s="1"/>
  <c r="I136" i="20"/>
  <c r="J136" i="20" s="1"/>
  <c r="I137" i="20"/>
  <c r="J137" i="20" s="1"/>
  <c r="I138" i="20"/>
  <c r="J138" i="20" s="1"/>
  <c r="I139" i="20"/>
  <c r="J139" i="20" s="1"/>
  <c r="I140" i="20"/>
  <c r="J140" i="20" s="1"/>
  <c r="I141" i="20"/>
  <c r="J141" i="20" s="1"/>
  <c r="I142" i="20"/>
  <c r="J142" i="20" s="1"/>
  <c r="I143" i="20"/>
  <c r="J143" i="20" s="1"/>
  <c r="I144" i="20"/>
  <c r="J144" i="20" s="1"/>
  <c r="I145" i="20"/>
  <c r="J145" i="20" s="1"/>
  <c r="I146" i="20"/>
  <c r="J146" i="20" s="1"/>
  <c r="I147" i="20"/>
  <c r="J147" i="20" s="1"/>
  <c r="I148" i="20"/>
  <c r="J148" i="20" s="1"/>
  <c r="I149" i="20"/>
  <c r="J149" i="20" s="1"/>
  <c r="I150" i="20"/>
  <c r="J150" i="20" s="1"/>
  <c r="I151" i="20"/>
  <c r="J151" i="20" s="1"/>
  <c r="I152" i="20"/>
  <c r="J152" i="20" s="1"/>
  <c r="I153" i="20"/>
  <c r="J153" i="20" s="1"/>
  <c r="I154" i="20"/>
  <c r="J154" i="20" s="1"/>
  <c r="I155" i="20"/>
  <c r="J155" i="20" s="1"/>
  <c r="I156" i="20"/>
  <c r="J156" i="20" s="1"/>
  <c r="I157" i="20"/>
  <c r="J157" i="20" s="1"/>
  <c r="I158" i="20"/>
  <c r="J158" i="20" s="1"/>
  <c r="I159" i="20"/>
  <c r="J159" i="20" s="1"/>
  <c r="I160" i="20"/>
  <c r="J160" i="20" s="1"/>
  <c r="F18" i="20"/>
  <c r="G18" i="20" s="1"/>
  <c r="F19" i="20"/>
  <c r="G19" i="20" s="1"/>
  <c r="F20" i="20"/>
  <c r="G20" i="20" s="1"/>
  <c r="F21" i="20"/>
  <c r="G21" i="20" s="1"/>
  <c r="F22" i="20"/>
  <c r="G22" i="20" s="1"/>
  <c r="F23" i="20"/>
  <c r="G23" i="20" s="1"/>
  <c r="F24" i="20"/>
  <c r="G24" i="20" s="1"/>
  <c r="F25" i="20"/>
  <c r="G25" i="20" s="1"/>
  <c r="F26" i="20"/>
  <c r="G26" i="20" s="1"/>
  <c r="F27" i="20"/>
  <c r="G27" i="20" s="1"/>
  <c r="F28" i="20"/>
  <c r="G28" i="20" s="1"/>
  <c r="F29" i="20"/>
  <c r="G29" i="20" s="1"/>
  <c r="F30" i="20"/>
  <c r="G30" i="20" s="1"/>
  <c r="F31" i="20"/>
  <c r="G31" i="20" s="1"/>
  <c r="F32" i="20"/>
  <c r="G32" i="20" s="1"/>
  <c r="F33" i="20"/>
  <c r="G33" i="20" s="1"/>
  <c r="F34" i="20"/>
  <c r="G34" i="20" s="1"/>
  <c r="F35" i="20"/>
  <c r="G35" i="20" s="1"/>
  <c r="F36" i="20"/>
  <c r="G36" i="20" s="1"/>
  <c r="F37" i="20"/>
  <c r="G37" i="20" s="1"/>
  <c r="F38" i="20"/>
  <c r="G38" i="20" s="1"/>
  <c r="F39" i="20"/>
  <c r="G39" i="20" s="1"/>
  <c r="F40" i="20"/>
  <c r="G40" i="20" s="1"/>
  <c r="F41" i="20"/>
  <c r="G41" i="20" s="1"/>
  <c r="F42" i="20"/>
  <c r="G42" i="20" s="1"/>
  <c r="F43" i="20"/>
  <c r="G43" i="20" s="1"/>
  <c r="F44" i="20"/>
  <c r="G44" i="20" s="1"/>
  <c r="F45" i="20"/>
  <c r="G45" i="20" s="1"/>
  <c r="F46" i="20"/>
  <c r="G46" i="20" s="1"/>
  <c r="F47" i="20"/>
  <c r="G47" i="20" s="1"/>
  <c r="F48" i="20"/>
  <c r="G48" i="20" s="1"/>
  <c r="F49" i="20"/>
  <c r="G49" i="20" s="1"/>
  <c r="F50" i="20"/>
  <c r="G50" i="20" s="1"/>
  <c r="F51" i="20"/>
  <c r="G51" i="20" s="1"/>
  <c r="F52" i="20"/>
  <c r="G52" i="20" s="1"/>
  <c r="F53" i="20"/>
  <c r="G53" i="20" s="1"/>
  <c r="F54" i="20"/>
  <c r="G54" i="20" s="1"/>
  <c r="F55" i="20"/>
  <c r="G55" i="20" s="1"/>
  <c r="F56" i="20"/>
  <c r="G56" i="20" s="1"/>
  <c r="F57" i="20"/>
  <c r="G57" i="20" s="1"/>
  <c r="F58" i="20"/>
  <c r="G58" i="20" s="1"/>
  <c r="F59" i="20"/>
  <c r="G59" i="20" s="1"/>
  <c r="F60" i="20"/>
  <c r="G60" i="20" s="1"/>
  <c r="F61" i="20"/>
  <c r="G61" i="20" s="1"/>
  <c r="F62" i="20"/>
  <c r="G62" i="20" s="1"/>
  <c r="F63" i="20"/>
  <c r="G63" i="20" s="1"/>
  <c r="F64" i="20"/>
  <c r="G64" i="20" s="1"/>
  <c r="F65" i="20"/>
  <c r="G65" i="20" s="1"/>
  <c r="F66" i="20"/>
  <c r="G66" i="20" s="1"/>
  <c r="F67" i="20"/>
  <c r="G67" i="20" s="1"/>
  <c r="F68" i="20"/>
  <c r="G68" i="20" s="1"/>
  <c r="F69" i="20"/>
  <c r="G69" i="20" s="1"/>
  <c r="F70" i="20"/>
  <c r="G70" i="20" s="1"/>
  <c r="F71" i="20"/>
  <c r="G71" i="20" s="1"/>
  <c r="F72" i="20"/>
  <c r="G72" i="20" s="1"/>
  <c r="F73" i="20"/>
  <c r="G73" i="20" s="1"/>
  <c r="F74" i="20"/>
  <c r="G74" i="20" s="1"/>
  <c r="F75" i="20"/>
  <c r="G75" i="20" s="1"/>
  <c r="F76" i="20"/>
  <c r="G76" i="20" s="1"/>
  <c r="F77" i="20"/>
  <c r="G77" i="20" s="1"/>
  <c r="F78" i="20"/>
  <c r="G78" i="20" s="1"/>
  <c r="F79" i="20"/>
  <c r="G79" i="20" s="1"/>
  <c r="F80" i="20"/>
  <c r="G80" i="20" s="1"/>
  <c r="F81" i="20"/>
  <c r="G81" i="20" s="1"/>
  <c r="F82" i="20"/>
  <c r="G82" i="20" s="1"/>
  <c r="F83" i="20"/>
  <c r="G83" i="20" s="1"/>
  <c r="F84" i="20"/>
  <c r="G84" i="20" s="1"/>
  <c r="F85" i="20"/>
  <c r="G85" i="20" s="1"/>
  <c r="F86" i="20"/>
  <c r="G86" i="20" s="1"/>
  <c r="F87" i="20"/>
  <c r="G87" i="20" s="1"/>
  <c r="F88" i="20"/>
  <c r="G88" i="20" s="1"/>
  <c r="F89" i="20"/>
  <c r="G89" i="20" s="1"/>
  <c r="F90" i="20"/>
  <c r="G90" i="20" s="1"/>
  <c r="F91" i="20"/>
  <c r="G91" i="20" s="1"/>
  <c r="F92" i="20"/>
  <c r="G92" i="20" s="1"/>
  <c r="F93" i="20"/>
  <c r="G93" i="20" s="1"/>
  <c r="F94" i="20"/>
  <c r="G94" i="20" s="1"/>
  <c r="F95" i="20"/>
  <c r="G95" i="20" s="1"/>
  <c r="F96" i="20"/>
  <c r="G96" i="20" s="1"/>
  <c r="F97" i="20"/>
  <c r="G97" i="20" s="1"/>
  <c r="F98" i="20"/>
  <c r="G98" i="20" s="1"/>
  <c r="F99" i="20"/>
  <c r="G99" i="20" s="1"/>
  <c r="F100" i="20"/>
  <c r="G100" i="20" s="1"/>
  <c r="F101" i="20"/>
  <c r="G101" i="20" s="1"/>
  <c r="F102" i="20"/>
  <c r="G102" i="20" s="1"/>
  <c r="F103" i="20"/>
  <c r="G103" i="20" s="1"/>
  <c r="F104" i="20"/>
  <c r="G104" i="20" s="1"/>
  <c r="F105" i="20"/>
  <c r="G105" i="20" s="1"/>
  <c r="F106" i="20"/>
  <c r="G106" i="20" s="1"/>
  <c r="F107" i="20"/>
  <c r="G107" i="20" s="1"/>
  <c r="F108" i="20"/>
  <c r="G108" i="20" s="1"/>
  <c r="F109" i="20"/>
  <c r="G109" i="20" s="1"/>
  <c r="F110" i="20"/>
  <c r="G110" i="20" s="1"/>
  <c r="F111" i="20"/>
  <c r="G111" i="20" s="1"/>
  <c r="F112" i="20"/>
  <c r="G112" i="20" s="1"/>
  <c r="F113" i="20"/>
  <c r="G113" i="20" s="1"/>
  <c r="F114" i="20"/>
  <c r="G114" i="20" s="1"/>
  <c r="F115" i="20"/>
  <c r="G115" i="20" s="1"/>
  <c r="F116" i="20"/>
  <c r="G116" i="20" s="1"/>
  <c r="F117" i="20"/>
  <c r="G117" i="20" s="1"/>
  <c r="F118" i="20"/>
  <c r="G118" i="20" s="1"/>
  <c r="F119" i="20"/>
  <c r="G119" i="20" s="1"/>
  <c r="F120" i="20"/>
  <c r="G120" i="20" s="1"/>
  <c r="F121" i="20"/>
  <c r="G121" i="20" s="1"/>
  <c r="F122" i="20"/>
  <c r="G122" i="20" s="1"/>
  <c r="F123" i="20"/>
  <c r="G123" i="20" s="1"/>
  <c r="F124" i="20"/>
  <c r="G124" i="20" s="1"/>
  <c r="F125" i="20"/>
  <c r="G125" i="20" s="1"/>
  <c r="F126" i="20"/>
  <c r="G126" i="20" s="1"/>
  <c r="F127" i="20"/>
  <c r="G127" i="20" s="1"/>
  <c r="F128" i="20"/>
  <c r="G128" i="20" s="1"/>
  <c r="F129" i="20"/>
  <c r="G129" i="20" s="1"/>
  <c r="F130" i="20"/>
  <c r="G130" i="20" s="1"/>
  <c r="F131" i="20"/>
  <c r="G131" i="20" s="1"/>
  <c r="F132" i="20"/>
  <c r="G132" i="20" s="1"/>
  <c r="F133" i="20"/>
  <c r="G133" i="20" s="1"/>
  <c r="F134" i="20"/>
  <c r="G134" i="20" s="1"/>
  <c r="F135" i="20"/>
  <c r="G135" i="20" s="1"/>
  <c r="F136" i="20"/>
  <c r="G136" i="20" s="1"/>
  <c r="F137" i="20"/>
  <c r="G137" i="20" s="1"/>
  <c r="F138" i="20"/>
  <c r="G138" i="20" s="1"/>
  <c r="F139" i="20"/>
  <c r="G139" i="20" s="1"/>
  <c r="F140" i="20"/>
  <c r="G140" i="20" s="1"/>
  <c r="F141" i="20"/>
  <c r="G141" i="20" s="1"/>
  <c r="F142" i="20"/>
  <c r="G142" i="20" s="1"/>
  <c r="F143" i="20"/>
  <c r="G143" i="20" s="1"/>
  <c r="F144" i="20"/>
  <c r="G144" i="20" s="1"/>
  <c r="F145" i="20"/>
  <c r="G145" i="20" s="1"/>
  <c r="F146" i="20"/>
  <c r="G146" i="20" s="1"/>
  <c r="F147" i="20"/>
  <c r="G147" i="20" s="1"/>
  <c r="F148" i="20"/>
  <c r="G148" i="20" s="1"/>
  <c r="F149" i="20"/>
  <c r="G149" i="20" s="1"/>
  <c r="F150" i="20"/>
  <c r="G150" i="20" s="1"/>
  <c r="F151" i="20"/>
  <c r="G151" i="20" s="1"/>
  <c r="F152" i="20"/>
  <c r="G152" i="20" s="1"/>
  <c r="F153" i="20"/>
  <c r="G153" i="20" s="1"/>
  <c r="F154" i="20"/>
  <c r="G154" i="20" s="1"/>
  <c r="F155" i="20"/>
  <c r="G155" i="20" s="1"/>
  <c r="F156" i="20"/>
  <c r="G156" i="20" s="1"/>
  <c r="F157" i="20"/>
  <c r="G157" i="20" s="1"/>
  <c r="F158" i="20"/>
  <c r="G158" i="20" s="1"/>
  <c r="F159" i="20"/>
  <c r="G159" i="20" s="1"/>
  <c r="F160" i="20"/>
  <c r="G160" i="20" s="1"/>
  <c r="H2" i="21"/>
  <c r="E2" i="21"/>
  <c r="H2" i="20"/>
  <c r="E2" i="20"/>
  <c r="D2" i="20"/>
  <c r="D2" i="21"/>
  <c r="C140" i="33"/>
  <c r="C141" i="33"/>
  <c r="C142" i="33"/>
  <c r="C143" i="33"/>
  <c r="C144" i="33"/>
  <c r="C145" i="33"/>
  <c r="C146" i="33"/>
  <c r="C147" i="33"/>
  <c r="C148" i="33"/>
  <c r="C149" i="33"/>
  <c r="C150" i="33"/>
  <c r="C151" i="33"/>
  <c r="C152" i="33"/>
  <c r="C153" i="33"/>
  <c r="C154" i="33"/>
  <c r="C155" i="33"/>
  <c r="C156" i="33"/>
  <c r="C157" i="33"/>
  <c r="C140" i="32"/>
  <c r="C141" i="32"/>
  <c r="C142" i="32"/>
  <c r="C143" i="32"/>
  <c r="C144" i="32"/>
  <c r="C145" i="32"/>
  <c r="C146" i="32"/>
  <c r="C147" i="32"/>
  <c r="C148" i="32"/>
  <c r="C149" i="32"/>
  <c r="C150" i="32"/>
  <c r="C151" i="32"/>
  <c r="C152" i="32"/>
  <c r="C153" i="32"/>
  <c r="C154" i="32"/>
  <c r="C155" i="32"/>
  <c r="C156" i="32"/>
  <c r="C157" i="32"/>
  <c r="C158" i="32"/>
  <c r="C159" i="32"/>
  <c r="C160" i="32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40" i="28"/>
  <c r="C141" i="28"/>
  <c r="C142" i="28"/>
  <c r="C143" i="28"/>
  <c r="C144" i="28"/>
  <c r="C145" i="28"/>
  <c r="C146" i="28"/>
  <c r="C147" i="28"/>
  <c r="C148" i="28"/>
  <c r="C149" i="28"/>
  <c r="C150" i="28"/>
  <c r="C151" i="28"/>
  <c r="C152" i="28"/>
  <c r="C153" i="28"/>
  <c r="C154" i="28"/>
  <c r="C155" i="28"/>
  <c r="C156" i="28"/>
  <c r="C157" i="28"/>
  <c r="C158" i="28"/>
  <c r="C159" i="28"/>
  <c r="C160" i="28"/>
  <c r="C160" i="27"/>
  <c r="C140" i="27"/>
  <c r="C141" i="27"/>
  <c r="C142" i="27"/>
  <c r="C143" i="27"/>
  <c r="C144" i="27"/>
  <c r="C145" i="27"/>
  <c r="C146" i="27"/>
  <c r="C147" i="27"/>
  <c r="C148" i="27"/>
  <c r="C149" i="27"/>
  <c r="C150" i="27"/>
  <c r="C151" i="27"/>
  <c r="C152" i="27"/>
  <c r="C153" i="27"/>
  <c r="C154" i="27"/>
  <c r="C155" i="27"/>
  <c r="C156" i="27"/>
  <c r="C157" i="27"/>
  <c r="C158" i="27"/>
  <c r="C159" i="27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40" i="21"/>
  <c r="C141" i="21"/>
  <c r="C142" i="21"/>
  <c r="C143" i="21"/>
  <c r="C144" i="21"/>
  <c r="C145" i="21"/>
  <c r="C146" i="21"/>
  <c r="C147" i="21"/>
  <c r="C148" i="21"/>
  <c r="C149" i="21"/>
  <c r="C150" i="21"/>
  <c r="C151" i="21"/>
  <c r="C152" i="21"/>
  <c r="C153" i="21"/>
  <c r="C154" i="21"/>
  <c r="C155" i="21"/>
  <c r="C156" i="21"/>
  <c r="C157" i="21"/>
  <c r="C158" i="21"/>
  <c r="C159" i="21"/>
  <c r="C160" i="21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40" i="72"/>
  <c r="C141" i="72"/>
  <c r="C142" i="72"/>
  <c r="C143" i="72"/>
  <c r="C144" i="72"/>
  <c r="C145" i="72"/>
  <c r="C146" i="72"/>
  <c r="C147" i="72"/>
  <c r="C148" i="72"/>
  <c r="C149" i="72"/>
  <c r="C150" i="72"/>
  <c r="C151" i="72"/>
  <c r="C152" i="72"/>
  <c r="C153" i="72"/>
  <c r="C154" i="72"/>
  <c r="C155" i="72"/>
  <c r="C156" i="72"/>
  <c r="C157" i="72"/>
  <c r="C158" i="72"/>
  <c r="C159" i="72"/>
  <c r="C160" i="72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J96" i="21"/>
  <c r="J125" i="21"/>
  <c r="I18" i="21"/>
  <c r="J18" i="21" s="1"/>
  <c r="I19" i="21"/>
  <c r="J19" i="21" s="1"/>
  <c r="I20" i="21"/>
  <c r="J20" i="21" s="1"/>
  <c r="I21" i="21"/>
  <c r="J21" i="21" s="1"/>
  <c r="I22" i="21"/>
  <c r="J22" i="21" s="1"/>
  <c r="I23" i="21"/>
  <c r="J23" i="21" s="1"/>
  <c r="I24" i="21"/>
  <c r="I25" i="21"/>
  <c r="J25" i="21" s="1"/>
  <c r="I26" i="21"/>
  <c r="J26" i="21" s="1"/>
  <c r="I27" i="21"/>
  <c r="J27" i="21" s="1"/>
  <c r="I28" i="21"/>
  <c r="J28" i="21" s="1"/>
  <c r="I29" i="21"/>
  <c r="J29" i="21" s="1"/>
  <c r="I30" i="21"/>
  <c r="J30" i="21" s="1"/>
  <c r="I31" i="21"/>
  <c r="J31" i="21" s="1"/>
  <c r="I32" i="21"/>
  <c r="J32" i="21" s="1"/>
  <c r="I33" i="21"/>
  <c r="J33" i="21" s="1"/>
  <c r="I34" i="21"/>
  <c r="J34" i="21" s="1"/>
  <c r="I35" i="21"/>
  <c r="J35" i="21" s="1"/>
  <c r="I36" i="21"/>
  <c r="J36" i="21" s="1"/>
  <c r="I37" i="21"/>
  <c r="J37" i="21" s="1"/>
  <c r="I38" i="21"/>
  <c r="J38" i="21" s="1"/>
  <c r="I39" i="21"/>
  <c r="J39" i="21" s="1"/>
  <c r="I40" i="21"/>
  <c r="J40" i="21" s="1"/>
  <c r="I41" i="21"/>
  <c r="J41" i="21" s="1"/>
  <c r="I42" i="21"/>
  <c r="J42" i="21" s="1"/>
  <c r="I43" i="21"/>
  <c r="J43" i="21" s="1"/>
  <c r="I44" i="21"/>
  <c r="J44" i="21" s="1"/>
  <c r="I45" i="21"/>
  <c r="J45" i="21" s="1"/>
  <c r="I46" i="21"/>
  <c r="J46" i="21" s="1"/>
  <c r="I47" i="21"/>
  <c r="I48" i="21"/>
  <c r="J48" i="21" s="1"/>
  <c r="I49" i="21"/>
  <c r="J49" i="21" s="1"/>
  <c r="I50" i="21"/>
  <c r="J50" i="21" s="1"/>
  <c r="I51" i="21"/>
  <c r="J51" i="21" s="1"/>
  <c r="I52" i="21"/>
  <c r="J52" i="21" s="1"/>
  <c r="I53" i="21"/>
  <c r="I54" i="21"/>
  <c r="J54" i="21" s="1"/>
  <c r="I55" i="21"/>
  <c r="J55" i="21" s="1"/>
  <c r="I56" i="21"/>
  <c r="J56" i="21" s="1"/>
  <c r="I57" i="21"/>
  <c r="J57" i="21" s="1"/>
  <c r="I58" i="21"/>
  <c r="J58" i="21" s="1"/>
  <c r="I59" i="21"/>
  <c r="J59" i="21" s="1"/>
  <c r="I60" i="21"/>
  <c r="J60" i="21" s="1"/>
  <c r="I61" i="21"/>
  <c r="J61" i="21" s="1"/>
  <c r="I62" i="21"/>
  <c r="J62" i="21" s="1"/>
  <c r="I63" i="21"/>
  <c r="J63" i="21" s="1"/>
  <c r="I64" i="21"/>
  <c r="I64" i="18" s="1"/>
  <c r="I65" i="21"/>
  <c r="J65" i="21" s="1"/>
  <c r="I66" i="21"/>
  <c r="J66" i="21" s="1"/>
  <c r="I67" i="21"/>
  <c r="J67" i="21" s="1"/>
  <c r="I68" i="21"/>
  <c r="J68" i="21" s="1"/>
  <c r="I69" i="21"/>
  <c r="J69" i="21" s="1"/>
  <c r="I70" i="21"/>
  <c r="J70" i="21" s="1"/>
  <c r="I71" i="21"/>
  <c r="J71" i="21" s="1"/>
  <c r="I72" i="21"/>
  <c r="J72" i="21" s="1"/>
  <c r="I73" i="21"/>
  <c r="J73" i="21" s="1"/>
  <c r="I74" i="21"/>
  <c r="J74" i="21" s="1"/>
  <c r="I75" i="21"/>
  <c r="J75" i="21" s="1"/>
  <c r="I76" i="21"/>
  <c r="J76" i="21" s="1"/>
  <c r="I77" i="21"/>
  <c r="J77" i="21" s="1"/>
  <c r="I78" i="21"/>
  <c r="J78" i="21" s="1"/>
  <c r="I79" i="21"/>
  <c r="J79" i="21" s="1"/>
  <c r="I80" i="21"/>
  <c r="J80" i="21" s="1"/>
  <c r="I81" i="21"/>
  <c r="J81" i="21" s="1"/>
  <c r="I82" i="21"/>
  <c r="J82" i="21" s="1"/>
  <c r="I83" i="21"/>
  <c r="J83" i="21" s="1"/>
  <c r="I84" i="21"/>
  <c r="J84" i="21" s="1"/>
  <c r="I85" i="21"/>
  <c r="I86" i="21"/>
  <c r="J86" i="21" s="1"/>
  <c r="I87" i="21"/>
  <c r="J87" i="21" s="1"/>
  <c r="I88" i="21"/>
  <c r="J88" i="21" s="1"/>
  <c r="I89" i="21"/>
  <c r="J89" i="21" s="1"/>
  <c r="I90" i="21"/>
  <c r="J90" i="21" s="1"/>
  <c r="I91" i="21"/>
  <c r="J91" i="21" s="1"/>
  <c r="I92" i="21"/>
  <c r="J92" i="21" s="1"/>
  <c r="I93" i="21"/>
  <c r="J93" i="21" s="1"/>
  <c r="I94" i="21"/>
  <c r="J94" i="21" s="1"/>
  <c r="I95" i="21"/>
  <c r="J95" i="21" s="1"/>
  <c r="I96" i="21"/>
  <c r="I97" i="21"/>
  <c r="J97" i="21" s="1"/>
  <c r="I98" i="21"/>
  <c r="J98" i="21" s="1"/>
  <c r="I99" i="21"/>
  <c r="J99" i="21" s="1"/>
  <c r="I100" i="21"/>
  <c r="J100" i="21" s="1"/>
  <c r="I101" i="21"/>
  <c r="J101" i="21" s="1"/>
  <c r="I102" i="21"/>
  <c r="J102" i="21" s="1"/>
  <c r="I103" i="21"/>
  <c r="J103" i="21" s="1"/>
  <c r="I104" i="21"/>
  <c r="J104" i="21" s="1"/>
  <c r="I105" i="21"/>
  <c r="J105" i="21" s="1"/>
  <c r="I106" i="21"/>
  <c r="J106" i="21" s="1"/>
  <c r="I107" i="21"/>
  <c r="J107" i="21" s="1"/>
  <c r="I108" i="21"/>
  <c r="J108" i="21" s="1"/>
  <c r="I109" i="21"/>
  <c r="J109" i="21" s="1"/>
  <c r="I110" i="21"/>
  <c r="J110" i="21" s="1"/>
  <c r="I111" i="21"/>
  <c r="J111" i="21" s="1"/>
  <c r="I112" i="21"/>
  <c r="I113" i="21"/>
  <c r="J113" i="21" s="1"/>
  <c r="I114" i="21"/>
  <c r="J114" i="21" s="1"/>
  <c r="I115" i="21"/>
  <c r="J115" i="21" s="1"/>
  <c r="I116" i="21"/>
  <c r="J116" i="21" s="1"/>
  <c r="I117" i="21"/>
  <c r="I117" i="18" s="1"/>
  <c r="I118" i="21"/>
  <c r="J118" i="21" s="1"/>
  <c r="I119" i="21"/>
  <c r="J119" i="21" s="1"/>
  <c r="I120" i="21"/>
  <c r="J120" i="21" s="1"/>
  <c r="I121" i="21"/>
  <c r="J121" i="21" s="1"/>
  <c r="I122" i="21"/>
  <c r="J122" i="21" s="1"/>
  <c r="I123" i="21"/>
  <c r="J123" i="21" s="1"/>
  <c r="I124" i="21"/>
  <c r="J124" i="21" s="1"/>
  <c r="I125" i="21"/>
  <c r="I126" i="21"/>
  <c r="J126" i="21" s="1"/>
  <c r="I127" i="21"/>
  <c r="J127" i="21" s="1"/>
  <c r="I128" i="21"/>
  <c r="I128" i="18" s="1"/>
  <c r="I129" i="21"/>
  <c r="J129" i="21" s="1"/>
  <c r="I130" i="21"/>
  <c r="J130" i="21" s="1"/>
  <c r="I131" i="21"/>
  <c r="J131" i="21" s="1"/>
  <c r="I132" i="21"/>
  <c r="J132" i="21" s="1"/>
  <c r="I133" i="21"/>
  <c r="J133" i="21" s="1"/>
  <c r="I134" i="21"/>
  <c r="J134" i="21" s="1"/>
  <c r="I135" i="21"/>
  <c r="J135" i="21" s="1"/>
  <c r="I136" i="21"/>
  <c r="J136" i="21" s="1"/>
  <c r="I137" i="21"/>
  <c r="J137" i="21" s="1"/>
  <c r="I138" i="21"/>
  <c r="J138" i="21" s="1"/>
  <c r="I139" i="21"/>
  <c r="J139" i="21" s="1"/>
  <c r="G67" i="21"/>
  <c r="G80" i="21"/>
  <c r="G83" i="21"/>
  <c r="G85" i="21"/>
  <c r="G115" i="21"/>
  <c r="G131" i="21"/>
  <c r="G133" i="21"/>
  <c r="F18" i="21"/>
  <c r="G18" i="21" s="1"/>
  <c r="F19" i="21"/>
  <c r="G19" i="21" s="1"/>
  <c r="F20" i="21"/>
  <c r="G20" i="21" s="1"/>
  <c r="F21" i="21"/>
  <c r="G21" i="21" s="1"/>
  <c r="F22" i="21"/>
  <c r="G22" i="21" s="1"/>
  <c r="F23" i="21"/>
  <c r="G23" i="21" s="1"/>
  <c r="F24" i="21"/>
  <c r="G24" i="21" s="1"/>
  <c r="F25" i="21"/>
  <c r="G25" i="21" s="1"/>
  <c r="F26" i="21"/>
  <c r="G26" i="21" s="1"/>
  <c r="F27" i="21"/>
  <c r="G27" i="21" s="1"/>
  <c r="F28" i="21"/>
  <c r="G28" i="21" s="1"/>
  <c r="F29" i="21"/>
  <c r="G29" i="21" s="1"/>
  <c r="F30" i="21"/>
  <c r="G30" i="21" s="1"/>
  <c r="F31" i="21"/>
  <c r="G31" i="21" s="1"/>
  <c r="F32" i="21"/>
  <c r="G32" i="21" s="1"/>
  <c r="F33" i="21"/>
  <c r="G33" i="21" s="1"/>
  <c r="F34" i="21"/>
  <c r="G34" i="21" s="1"/>
  <c r="F35" i="21"/>
  <c r="G35" i="21" s="1"/>
  <c r="F36" i="21"/>
  <c r="G36" i="21" s="1"/>
  <c r="F37" i="21"/>
  <c r="G37" i="21" s="1"/>
  <c r="F38" i="21"/>
  <c r="G38" i="21" s="1"/>
  <c r="F39" i="21"/>
  <c r="G39" i="21" s="1"/>
  <c r="F40" i="21"/>
  <c r="G40" i="21" s="1"/>
  <c r="F41" i="21"/>
  <c r="G41" i="21" s="1"/>
  <c r="F42" i="21"/>
  <c r="G42" i="21" s="1"/>
  <c r="F43" i="21"/>
  <c r="G43" i="21" s="1"/>
  <c r="F44" i="21"/>
  <c r="G44" i="21" s="1"/>
  <c r="F45" i="21"/>
  <c r="G45" i="21" s="1"/>
  <c r="F46" i="21"/>
  <c r="G46" i="21" s="1"/>
  <c r="F47" i="21"/>
  <c r="G47" i="21" s="1"/>
  <c r="F48" i="21"/>
  <c r="G48" i="21" s="1"/>
  <c r="F49" i="21"/>
  <c r="G49" i="21" s="1"/>
  <c r="F50" i="21"/>
  <c r="G50" i="21" s="1"/>
  <c r="F51" i="21"/>
  <c r="G51" i="21" s="1"/>
  <c r="F52" i="21"/>
  <c r="G52" i="21" s="1"/>
  <c r="F53" i="21"/>
  <c r="G53" i="21" s="1"/>
  <c r="F54" i="21"/>
  <c r="G54" i="21" s="1"/>
  <c r="F55" i="21"/>
  <c r="G55" i="21" s="1"/>
  <c r="F56" i="21"/>
  <c r="G56" i="21" s="1"/>
  <c r="F57" i="21"/>
  <c r="G57" i="21" s="1"/>
  <c r="F58" i="21"/>
  <c r="G58" i="21" s="1"/>
  <c r="F59" i="21"/>
  <c r="G59" i="21" s="1"/>
  <c r="F60" i="21"/>
  <c r="G60" i="21" s="1"/>
  <c r="F61" i="21"/>
  <c r="G61" i="21" s="1"/>
  <c r="F62" i="21"/>
  <c r="G62" i="21" s="1"/>
  <c r="F63" i="21"/>
  <c r="G63" i="21" s="1"/>
  <c r="F64" i="21"/>
  <c r="G64" i="21" s="1"/>
  <c r="F65" i="21"/>
  <c r="G65" i="21" s="1"/>
  <c r="F66" i="21"/>
  <c r="G66" i="21" s="1"/>
  <c r="F67" i="21"/>
  <c r="F68" i="21"/>
  <c r="G68" i="21" s="1"/>
  <c r="F69" i="21"/>
  <c r="G69" i="21" s="1"/>
  <c r="F70" i="21"/>
  <c r="G70" i="21" s="1"/>
  <c r="F71" i="21"/>
  <c r="G71" i="21" s="1"/>
  <c r="F72" i="21"/>
  <c r="G72" i="21" s="1"/>
  <c r="F73" i="21"/>
  <c r="G73" i="21" s="1"/>
  <c r="F74" i="21"/>
  <c r="G74" i="21" s="1"/>
  <c r="F75" i="21"/>
  <c r="G75" i="21" s="1"/>
  <c r="F76" i="21"/>
  <c r="G76" i="21" s="1"/>
  <c r="F77" i="21"/>
  <c r="G77" i="21" s="1"/>
  <c r="F78" i="21"/>
  <c r="G78" i="21" s="1"/>
  <c r="F79" i="21"/>
  <c r="G79" i="21" s="1"/>
  <c r="F80" i="21"/>
  <c r="F81" i="21"/>
  <c r="G81" i="21" s="1"/>
  <c r="F82" i="21"/>
  <c r="G82" i="21" s="1"/>
  <c r="F83" i="21"/>
  <c r="F84" i="21"/>
  <c r="G84" i="21" s="1"/>
  <c r="F85" i="21"/>
  <c r="F86" i="21"/>
  <c r="G86" i="21" s="1"/>
  <c r="F87" i="21"/>
  <c r="G87" i="21" s="1"/>
  <c r="F88" i="21"/>
  <c r="G88" i="21" s="1"/>
  <c r="F89" i="21"/>
  <c r="G89" i="21" s="1"/>
  <c r="F90" i="21"/>
  <c r="G90" i="21" s="1"/>
  <c r="F91" i="21"/>
  <c r="G91" i="21" s="1"/>
  <c r="F92" i="21"/>
  <c r="G92" i="21" s="1"/>
  <c r="F93" i="21"/>
  <c r="G93" i="21" s="1"/>
  <c r="F94" i="21"/>
  <c r="G94" i="21" s="1"/>
  <c r="F95" i="21"/>
  <c r="G95" i="21" s="1"/>
  <c r="F96" i="21"/>
  <c r="G96" i="21" s="1"/>
  <c r="F97" i="21"/>
  <c r="G97" i="21" s="1"/>
  <c r="F98" i="21"/>
  <c r="G98" i="21" s="1"/>
  <c r="F99" i="21"/>
  <c r="G99" i="21" s="1"/>
  <c r="F100" i="21"/>
  <c r="G100" i="21" s="1"/>
  <c r="F101" i="21"/>
  <c r="G101" i="21" s="1"/>
  <c r="F102" i="21"/>
  <c r="G102" i="21" s="1"/>
  <c r="F103" i="21"/>
  <c r="G103" i="21" s="1"/>
  <c r="F104" i="21"/>
  <c r="G104" i="21" s="1"/>
  <c r="F105" i="21"/>
  <c r="G105" i="21" s="1"/>
  <c r="F106" i="21"/>
  <c r="G106" i="21" s="1"/>
  <c r="F107" i="21"/>
  <c r="G107" i="21" s="1"/>
  <c r="F108" i="21"/>
  <c r="G108" i="21" s="1"/>
  <c r="F109" i="21"/>
  <c r="G109" i="21" s="1"/>
  <c r="F110" i="21"/>
  <c r="G110" i="21" s="1"/>
  <c r="F111" i="21"/>
  <c r="G111" i="21" s="1"/>
  <c r="F112" i="21"/>
  <c r="G112" i="21" s="1"/>
  <c r="F113" i="21"/>
  <c r="G113" i="21" s="1"/>
  <c r="F114" i="21"/>
  <c r="G114" i="21" s="1"/>
  <c r="F115" i="21"/>
  <c r="F116" i="21"/>
  <c r="G116" i="21" s="1"/>
  <c r="F117" i="21"/>
  <c r="G117" i="21" s="1"/>
  <c r="F118" i="21"/>
  <c r="G118" i="21" s="1"/>
  <c r="F119" i="21"/>
  <c r="G119" i="21" s="1"/>
  <c r="F120" i="21"/>
  <c r="G120" i="21" s="1"/>
  <c r="F121" i="21"/>
  <c r="G121" i="21" s="1"/>
  <c r="F122" i="21"/>
  <c r="G122" i="21" s="1"/>
  <c r="F123" i="21"/>
  <c r="G123" i="21" s="1"/>
  <c r="F124" i="21"/>
  <c r="G124" i="21" s="1"/>
  <c r="F125" i="21"/>
  <c r="G125" i="21" s="1"/>
  <c r="F126" i="21"/>
  <c r="G126" i="21" s="1"/>
  <c r="F127" i="21"/>
  <c r="G127" i="21" s="1"/>
  <c r="F128" i="21"/>
  <c r="G128" i="21" s="1"/>
  <c r="F129" i="21"/>
  <c r="G129" i="21" s="1"/>
  <c r="F130" i="21"/>
  <c r="G130" i="21" s="1"/>
  <c r="F131" i="21"/>
  <c r="F132" i="21"/>
  <c r="G132" i="21" s="1"/>
  <c r="F133" i="21"/>
  <c r="F134" i="21"/>
  <c r="G134" i="21" s="1"/>
  <c r="F135" i="21"/>
  <c r="G135" i="21" s="1"/>
  <c r="F136" i="21"/>
  <c r="G136" i="21" s="1"/>
  <c r="F137" i="21"/>
  <c r="G137" i="21" s="1"/>
  <c r="F138" i="21"/>
  <c r="G138" i="21" s="1"/>
  <c r="F139" i="21"/>
  <c r="G139" i="21" s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36" i="21"/>
  <c r="C137" i="21"/>
  <c r="C138" i="21"/>
  <c r="C139" i="21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C113" i="27"/>
  <c r="C114" i="27"/>
  <c r="C115" i="27"/>
  <c r="C116" i="27"/>
  <c r="C117" i="27"/>
  <c r="C118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1" i="32"/>
  <c r="C102" i="32"/>
  <c r="C10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3" i="32"/>
  <c r="C134" i="32"/>
  <c r="C135" i="32"/>
  <c r="C136" i="32"/>
  <c r="C137" i="32"/>
  <c r="C138" i="32"/>
  <c r="C139" i="32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39" i="33"/>
  <c r="C40" i="33"/>
  <c r="C41" i="33"/>
  <c r="C42" i="33"/>
  <c r="C43" i="33"/>
  <c r="C44" i="33"/>
  <c r="C45" i="33"/>
  <c r="C46" i="33"/>
  <c r="C47" i="33"/>
  <c r="C48" i="33"/>
  <c r="C49" i="33"/>
  <c r="C50" i="33"/>
  <c r="C51" i="33"/>
  <c r="C52" i="33"/>
  <c r="C53" i="33"/>
  <c r="C54" i="33"/>
  <c r="C55" i="33"/>
  <c r="C56" i="33"/>
  <c r="C57" i="33"/>
  <c r="C58" i="33"/>
  <c r="C59" i="33"/>
  <c r="C60" i="33"/>
  <c r="C61" i="33"/>
  <c r="C62" i="33"/>
  <c r="C63" i="33"/>
  <c r="C64" i="33"/>
  <c r="C65" i="33"/>
  <c r="C66" i="33"/>
  <c r="C67" i="33"/>
  <c r="C68" i="33"/>
  <c r="C69" i="33"/>
  <c r="C70" i="33"/>
  <c r="C71" i="33"/>
  <c r="C72" i="33"/>
  <c r="C73" i="33"/>
  <c r="C74" i="33"/>
  <c r="C75" i="33"/>
  <c r="C76" i="33"/>
  <c r="C77" i="33"/>
  <c r="C78" i="33"/>
  <c r="C79" i="33"/>
  <c r="C80" i="33"/>
  <c r="C81" i="33"/>
  <c r="C82" i="33"/>
  <c r="C83" i="33"/>
  <c r="C84" i="33"/>
  <c r="C85" i="33"/>
  <c r="C86" i="33"/>
  <c r="C87" i="33"/>
  <c r="C88" i="33"/>
  <c r="C89" i="33"/>
  <c r="C90" i="33"/>
  <c r="C91" i="33"/>
  <c r="C92" i="33"/>
  <c r="C93" i="33"/>
  <c r="C94" i="33"/>
  <c r="C95" i="33"/>
  <c r="C96" i="33"/>
  <c r="C97" i="33"/>
  <c r="C98" i="33"/>
  <c r="C99" i="33"/>
  <c r="C100" i="33"/>
  <c r="C101" i="33"/>
  <c r="C102" i="33"/>
  <c r="C103" i="33"/>
  <c r="C104" i="33"/>
  <c r="C105" i="33"/>
  <c r="C106" i="33"/>
  <c r="C107" i="33"/>
  <c r="C108" i="33"/>
  <c r="C109" i="33"/>
  <c r="C110" i="33"/>
  <c r="C111" i="33"/>
  <c r="C112" i="33"/>
  <c r="C113" i="33"/>
  <c r="C114" i="33"/>
  <c r="C115" i="33"/>
  <c r="C116" i="33"/>
  <c r="C117" i="33"/>
  <c r="C118" i="33"/>
  <c r="C119" i="33"/>
  <c r="C120" i="33"/>
  <c r="C121" i="33"/>
  <c r="C122" i="33"/>
  <c r="C123" i="33"/>
  <c r="C124" i="33"/>
  <c r="C125" i="33"/>
  <c r="C126" i="33"/>
  <c r="C127" i="33"/>
  <c r="C128" i="33"/>
  <c r="C129" i="33"/>
  <c r="C130" i="33"/>
  <c r="C131" i="33"/>
  <c r="C132" i="33"/>
  <c r="C133" i="33"/>
  <c r="C134" i="33"/>
  <c r="C135" i="33"/>
  <c r="C136" i="33"/>
  <c r="C137" i="33"/>
  <c r="C138" i="33"/>
  <c r="C139" i="33"/>
  <c r="C5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4" i="3"/>
  <c r="C4" i="4"/>
  <c r="C4" i="21"/>
  <c r="C4" i="20"/>
  <c r="C4" i="19"/>
  <c r="C4" i="26"/>
  <c r="C4" i="27"/>
  <c r="C4" i="28"/>
  <c r="C4" i="31"/>
  <c r="C4" i="32"/>
  <c r="C4" i="33"/>
  <c r="C4" i="72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C91" i="30"/>
  <c r="C92" i="30"/>
  <c r="C93" i="30"/>
  <c r="C94" i="30"/>
  <c r="C95" i="30"/>
  <c r="C96" i="30"/>
  <c r="C97" i="30"/>
  <c r="C98" i="30"/>
  <c r="C99" i="30"/>
  <c r="C100" i="30"/>
  <c r="C101" i="30"/>
  <c r="C102" i="30"/>
  <c r="C103" i="30"/>
  <c r="C104" i="30"/>
  <c r="C105" i="30"/>
  <c r="C106" i="30"/>
  <c r="C107" i="30"/>
  <c r="C108" i="30"/>
  <c r="C109" i="30"/>
  <c r="C110" i="30"/>
  <c r="C111" i="30"/>
  <c r="C112" i="30"/>
  <c r="C113" i="30"/>
  <c r="C114" i="30"/>
  <c r="C115" i="30"/>
  <c r="C116" i="30"/>
  <c r="C117" i="30"/>
  <c r="C118" i="30"/>
  <c r="C119" i="30"/>
  <c r="C120" i="30"/>
  <c r="C121" i="30"/>
  <c r="C122" i="30"/>
  <c r="C123" i="30"/>
  <c r="C124" i="30"/>
  <c r="C125" i="30"/>
  <c r="C126" i="30"/>
  <c r="C127" i="30"/>
  <c r="C128" i="30"/>
  <c r="C129" i="30"/>
  <c r="C130" i="30"/>
  <c r="C131" i="30"/>
  <c r="C132" i="30"/>
  <c r="C133" i="30"/>
  <c r="C134" i="30"/>
  <c r="C135" i="30"/>
  <c r="C136" i="30"/>
  <c r="C137" i="30"/>
  <c r="C4" i="30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8" i="29"/>
  <c r="C4" i="29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4" i="18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4" i="1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4" i="34"/>
  <c r="F138" i="4"/>
  <c r="G138" i="4" s="1"/>
  <c r="I138" i="4"/>
  <c r="J138" i="4" s="1"/>
  <c r="F139" i="4"/>
  <c r="D138" i="1"/>
  <c r="F138" i="1" s="1"/>
  <c r="G138" i="1" s="1"/>
  <c r="H2" i="4"/>
  <c r="E2" i="4"/>
  <c r="D2" i="4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F94" i="18" s="1"/>
  <c r="G94" i="18" s="1"/>
  <c r="D95" i="18"/>
  <c r="F95" i="18" s="1"/>
  <c r="G95" i="18" s="1"/>
  <c r="D96" i="18"/>
  <c r="F96" i="18" s="1"/>
  <c r="G96" i="18" s="1"/>
  <c r="D97" i="18"/>
  <c r="F97" i="18" s="1"/>
  <c r="G97" i="18" s="1"/>
  <c r="D98" i="18"/>
  <c r="D99" i="18"/>
  <c r="D100" i="18"/>
  <c r="D101" i="18"/>
  <c r="D102" i="18"/>
  <c r="D103" i="18"/>
  <c r="F103" i="18" s="1"/>
  <c r="G103" i="18" s="1"/>
  <c r="D104" i="18"/>
  <c r="D105" i="18"/>
  <c r="F105" i="18" s="1"/>
  <c r="G105" i="18" s="1"/>
  <c r="D106" i="18"/>
  <c r="F106" i="18" s="1"/>
  <c r="G106" i="18" s="1"/>
  <c r="D107" i="18"/>
  <c r="D108" i="18"/>
  <c r="D109" i="18"/>
  <c r="F109" i="18" s="1"/>
  <c r="G109" i="18" s="1"/>
  <c r="D110" i="18"/>
  <c r="D111" i="18"/>
  <c r="D112" i="18"/>
  <c r="D113" i="18"/>
  <c r="D114" i="18"/>
  <c r="D115" i="18"/>
  <c r="D116" i="18"/>
  <c r="D117" i="18"/>
  <c r="D118" i="18"/>
  <c r="D119" i="18"/>
  <c r="F119" i="18" s="1"/>
  <c r="G119" i="18" s="1"/>
  <c r="D120" i="18"/>
  <c r="D121" i="18"/>
  <c r="F121" i="18" s="1"/>
  <c r="G121" i="18" s="1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 s="1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 s="1"/>
  <c r="I46" i="4"/>
  <c r="J46" i="4" s="1"/>
  <c r="I47" i="4"/>
  <c r="J47" i="4" s="1"/>
  <c r="I48" i="4"/>
  <c r="J48" i="4" s="1"/>
  <c r="I49" i="4"/>
  <c r="J49" i="4" s="1"/>
  <c r="I50" i="4"/>
  <c r="J50" i="4" s="1"/>
  <c r="I51" i="4"/>
  <c r="J51" i="4" s="1"/>
  <c r="I52" i="4"/>
  <c r="J52" i="4" s="1"/>
  <c r="I53" i="4"/>
  <c r="J53" i="4" s="1"/>
  <c r="I54" i="4"/>
  <c r="J54" i="4" s="1"/>
  <c r="I55" i="4"/>
  <c r="J55" i="4" s="1"/>
  <c r="I56" i="4"/>
  <c r="J56" i="4" s="1"/>
  <c r="I57" i="4"/>
  <c r="J57" i="4" s="1"/>
  <c r="I58" i="4"/>
  <c r="J58" i="4" s="1"/>
  <c r="I59" i="4"/>
  <c r="J59" i="4" s="1"/>
  <c r="I60" i="4"/>
  <c r="J60" i="4" s="1"/>
  <c r="I61" i="4"/>
  <c r="J61" i="4" s="1"/>
  <c r="I62" i="4"/>
  <c r="J62" i="4" s="1"/>
  <c r="I63" i="4"/>
  <c r="J63" i="4" s="1"/>
  <c r="I64" i="4"/>
  <c r="J64" i="4" s="1"/>
  <c r="I65" i="4"/>
  <c r="J65" i="4" s="1"/>
  <c r="I66" i="4"/>
  <c r="J66" i="4" s="1"/>
  <c r="I67" i="4"/>
  <c r="J67" i="4" s="1"/>
  <c r="I68" i="4"/>
  <c r="J68" i="4"/>
  <c r="I69" i="4"/>
  <c r="J69" i="4" s="1"/>
  <c r="I70" i="4"/>
  <c r="J70" i="4" s="1"/>
  <c r="I71" i="4"/>
  <c r="J71" i="4" s="1"/>
  <c r="I72" i="4"/>
  <c r="J72" i="4" s="1"/>
  <c r="I73" i="4"/>
  <c r="J73" i="4" s="1"/>
  <c r="I74" i="4"/>
  <c r="J74" i="4" s="1"/>
  <c r="I75" i="4"/>
  <c r="J75" i="4" s="1"/>
  <c r="I76" i="4"/>
  <c r="J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J84" i="4"/>
  <c r="I85" i="4"/>
  <c r="J85" i="4" s="1"/>
  <c r="I86" i="4"/>
  <c r="J86" i="4" s="1"/>
  <c r="I87" i="4"/>
  <c r="J87" i="4" s="1"/>
  <c r="I88" i="4"/>
  <c r="J88" i="4" s="1"/>
  <c r="I89" i="4"/>
  <c r="J89" i="4" s="1"/>
  <c r="I90" i="4"/>
  <c r="J90" i="4" s="1"/>
  <c r="I91" i="4"/>
  <c r="J91" i="4" s="1"/>
  <c r="I92" i="4"/>
  <c r="J92" i="4" s="1"/>
  <c r="I93" i="4"/>
  <c r="J93" i="4" s="1"/>
  <c r="I94" i="4"/>
  <c r="J94" i="4" s="1"/>
  <c r="I95" i="4"/>
  <c r="J95" i="4" s="1"/>
  <c r="I96" i="4"/>
  <c r="J96" i="4" s="1"/>
  <c r="I97" i="4"/>
  <c r="J97" i="4" s="1"/>
  <c r="I98" i="4"/>
  <c r="J98" i="4" s="1"/>
  <c r="I99" i="4"/>
  <c r="J99" i="4" s="1"/>
  <c r="I100" i="4"/>
  <c r="J100" i="4" s="1"/>
  <c r="I101" i="4"/>
  <c r="J101" i="4" s="1"/>
  <c r="I102" i="4"/>
  <c r="J102" i="4" s="1"/>
  <c r="I103" i="4"/>
  <c r="J103" i="4" s="1"/>
  <c r="I104" i="4"/>
  <c r="J104" i="4" s="1"/>
  <c r="I105" i="4"/>
  <c r="J105" i="4" s="1"/>
  <c r="I106" i="4"/>
  <c r="J106" i="4" s="1"/>
  <c r="I107" i="4"/>
  <c r="J107" i="4" s="1"/>
  <c r="I108" i="4"/>
  <c r="J108" i="4" s="1"/>
  <c r="I109" i="4"/>
  <c r="J109" i="4" s="1"/>
  <c r="I110" i="4"/>
  <c r="J110" i="4" s="1"/>
  <c r="I111" i="4"/>
  <c r="J111" i="4" s="1"/>
  <c r="I112" i="4"/>
  <c r="J112" i="4" s="1"/>
  <c r="I113" i="4"/>
  <c r="J113" i="4" s="1"/>
  <c r="I114" i="4"/>
  <c r="J114" i="4" s="1"/>
  <c r="I115" i="4"/>
  <c r="J115" i="4" s="1"/>
  <c r="I116" i="4"/>
  <c r="J116" i="4" s="1"/>
  <c r="I117" i="4"/>
  <c r="J117" i="4" s="1"/>
  <c r="I118" i="4"/>
  <c r="J118" i="4" s="1"/>
  <c r="I119" i="4"/>
  <c r="J119" i="4" s="1"/>
  <c r="I120" i="4"/>
  <c r="J120" i="4" s="1"/>
  <c r="I121" i="4"/>
  <c r="J121" i="4" s="1"/>
  <c r="I122" i="4"/>
  <c r="J122" i="4" s="1"/>
  <c r="I123" i="4"/>
  <c r="J123" i="4" s="1"/>
  <c r="I124" i="4"/>
  <c r="J124" i="4" s="1"/>
  <c r="I125" i="4"/>
  <c r="J125" i="4" s="1"/>
  <c r="I126" i="4"/>
  <c r="J126" i="4" s="1"/>
  <c r="I127" i="4"/>
  <c r="J127" i="4" s="1"/>
  <c r="I128" i="4"/>
  <c r="J128" i="4" s="1"/>
  <c r="I129" i="4"/>
  <c r="J129" i="4"/>
  <c r="I130" i="4"/>
  <c r="J130" i="4" s="1"/>
  <c r="I131" i="4"/>
  <c r="J131" i="4" s="1"/>
  <c r="I132" i="4"/>
  <c r="J132" i="4" s="1"/>
  <c r="I133" i="4"/>
  <c r="J133" i="4" s="1"/>
  <c r="I134" i="4"/>
  <c r="J134" i="4" s="1"/>
  <c r="I135" i="4"/>
  <c r="J135" i="4" s="1"/>
  <c r="I136" i="4"/>
  <c r="J136" i="4" s="1"/>
  <c r="I137" i="4"/>
  <c r="J137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 s="1"/>
  <c r="F78" i="4"/>
  <c r="G78" i="4" s="1"/>
  <c r="F79" i="4"/>
  <c r="G79" i="4" s="1"/>
  <c r="F80" i="4"/>
  <c r="G80" i="4" s="1"/>
  <c r="F81" i="4"/>
  <c r="G81" i="4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F109" i="4"/>
  <c r="G109" i="4" s="1"/>
  <c r="F110" i="4"/>
  <c r="G110" i="4" s="1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H2" i="3"/>
  <c r="E2" i="3"/>
  <c r="E2" i="72"/>
  <c r="H2" i="72"/>
  <c r="D2" i="3"/>
  <c r="D2" i="72"/>
  <c r="I109" i="29" l="1"/>
  <c r="I79" i="29"/>
  <c r="I105" i="18"/>
  <c r="I99" i="29"/>
  <c r="I103" i="29"/>
  <c r="F70" i="30"/>
  <c r="G70" i="30" s="1"/>
  <c r="F63" i="30"/>
  <c r="G63" i="30" s="1"/>
  <c r="J74" i="30"/>
  <c r="J114" i="30"/>
  <c r="J18" i="30"/>
  <c r="J62" i="30"/>
  <c r="J58" i="30"/>
  <c r="J54" i="30"/>
  <c r="J53" i="30"/>
  <c r="J48" i="30"/>
  <c r="J46" i="30"/>
  <c r="J42" i="30"/>
  <c r="J41" i="30"/>
  <c r="J38" i="30"/>
  <c r="J159" i="30"/>
  <c r="J34" i="30"/>
  <c r="F31" i="30"/>
  <c r="G31" i="30" s="1"/>
  <c r="J30" i="30"/>
  <c r="F30" i="30"/>
  <c r="G30" i="30" s="1"/>
  <c r="J29" i="30"/>
  <c r="J27" i="30"/>
  <c r="F16" i="30"/>
  <c r="G16" i="30" s="1"/>
  <c r="J142" i="30"/>
  <c r="J161" i="30"/>
  <c r="I112" i="29"/>
  <c r="J112" i="29" s="1"/>
  <c r="I61" i="29"/>
  <c r="J61" i="29" s="1"/>
  <c r="I57" i="29"/>
  <c r="J57" i="29" s="1"/>
  <c r="I52" i="29"/>
  <c r="J52" i="29" s="1"/>
  <c r="I21" i="29"/>
  <c r="J21" i="29" s="1"/>
  <c r="F58" i="18"/>
  <c r="G58" i="18" s="1"/>
  <c r="I112" i="18"/>
  <c r="J112" i="18" s="1"/>
  <c r="I60" i="18"/>
  <c r="J60" i="18" s="1"/>
  <c r="I53" i="18"/>
  <c r="J53" i="18" s="1"/>
  <c r="I52" i="18"/>
  <c r="J52" i="18" s="1"/>
  <c r="I24" i="18"/>
  <c r="J24" i="18" s="1"/>
  <c r="I59" i="18"/>
  <c r="J59" i="18" s="1"/>
  <c r="J53" i="21"/>
  <c r="F34" i="18"/>
  <c r="G34" i="18" s="1"/>
  <c r="I22" i="18"/>
  <c r="J22" i="18" s="1"/>
  <c r="F161" i="18"/>
  <c r="G161" i="18" s="1"/>
  <c r="F142" i="1"/>
  <c r="G142" i="1" s="1"/>
  <c r="J161" i="1"/>
  <c r="J135" i="30"/>
  <c r="J123" i="30"/>
  <c r="J111" i="30"/>
  <c r="J99" i="30"/>
  <c r="F80" i="30"/>
  <c r="G80" i="30" s="1"/>
  <c r="F48" i="30"/>
  <c r="G48" i="30" s="1"/>
  <c r="F83" i="30"/>
  <c r="G83" i="30" s="1"/>
  <c r="F75" i="30"/>
  <c r="G75" i="30" s="1"/>
  <c r="F51" i="30"/>
  <c r="G51" i="30" s="1"/>
  <c r="F39" i="30"/>
  <c r="G39" i="30" s="1"/>
  <c r="F20" i="30"/>
  <c r="G20" i="30" s="1"/>
  <c r="J47" i="30"/>
  <c r="F27" i="30"/>
  <c r="G27" i="30" s="1"/>
  <c r="F23" i="30"/>
  <c r="G23" i="30" s="1"/>
  <c r="J160" i="30"/>
  <c r="J136" i="30"/>
  <c r="F133" i="30"/>
  <c r="G133" i="30" s="1"/>
  <c r="F89" i="30"/>
  <c r="G89" i="30" s="1"/>
  <c r="F26" i="30"/>
  <c r="G26" i="30" s="1"/>
  <c r="F22" i="30"/>
  <c r="G22" i="30" s="1"/>
  <c r="J112" i="30"/>
  <c r="J88" i="30"/>
  <c r="F57" i="30"/>
  <c r="G57" i="30" s="1"/>
  <c r="J64" i="30"/>
  <c r="J40" i="30"/>
  <c r="F141" i="18"/>
  <c r="G141" i="18" s="1"/>
  <c r="F149" i="1"/>
  <c r="G149" i="1" s="1"/>
  <c r="J144" i="1"/>
  <c r="J143" i="1"/>
  <c r="F159" i="1"/>
  <c r="G159" i="1" s="1"/>
  <c r="F147" i="1"/>
  <c r="G147" i="1" s="1"/>
  <c r="J142" i="1"/>
  <c r="J151" i="1"/>
  <c r="J119" i="30"/>
  <c r="F104" i="30"/>
  <c r="G104" i="30" s="1"/>
  <c r="F100" i="30"/>
  <c r="G100" i="30" s="1"/>
  <c r="F96" i="30"/>
  <c r="G96" i="30" s="1"/>
  <c r="F142" i="30"/>
  <c r="G142" i="30" s="1"/>
  <c r="F138" i="30"/>
  <c r="G138" i="30" s="1"/>
  <c r="F131" i="30"/>
  <c r="G131" i="30" s="1"/>
  <c r="F127" i="30"/>
  <c r="G127" i="30" s="1"/>
  <c r="F123" i="30"/>
  <c r="G123" i="30" s="1"/>
  <c r="F119" i="30"/>
  <c r="G119" i="30" s="1"/>
  <c r="F81" i="30"/>
  <c r="G81" i="30" s="1"/>
  <c r="F35" i="30"/>
  <c r="G35" i="30" s="1"/>
  <c r="J23" i="30"/>
  <c r="J153" i="30"/>
  <c r="J43" i="30"/>
  <c r="J31" i="30"/>
  <c r="F95" i="30"/>
  <c r="G95" i="30" s="1"/>
  <c r="F84" i="30"/>
  <c r="G84" i="30" s="1"/>
  <c r="F91" i="30"/>
  <c r="G91" i="30" s="1"/>
  <c r="F156" i="30"/>
  <c r="G156" i="30" s="1"/>
  <c r="F152" i="30"/>
  <c r="G152" i="30" s="1"/>
  <c r="F148" i="30"/>
  <c r="G148" i="30" s="1"/>
  <c r="F144" i="30"/>
  <c r="G144" i="30" s="1"/>
  <c r="F41" i="30"/>
  <c r="G41" i="30" s="1"/>
  <c r="F37" i="30"/>
  <c r="G37" i="30" s="1"/>
  <c r="J143" i="30"/>
  <c r="F112" i="30"/>
  <c r="G112" i="30" s="1"/>
  <c r="F86" i="30"/>
  <c r="G86" i="30" s="1"/>
  <c r="F55" i="30"/>
  <c r="G55" i="30" s="1"/>
  <c r="J127" i="30"/>
  <c r="J57" i="30"/>
  <c r="J155" i="30"/>
  <c r="J131" i="30"/>
  <c r="J107" i="30"/>
  <c r="J83" i="30"/>
  <c r="J71" i="30"/>
  <c r="J59" i="30"/>
  <c r="J35" i="30"/>
  <c r="F111" i="30"/>
  <c r="G111" i="30" s="1"/>
  <c r="F158" i="30"/>
  <c r="G158" i="30" s="1"/>
  <c r="F154" i="30"/>
  <c r="G154" i="30" s="1"/>
  <c r="F150" i="30"/>
  <c r="G150" i="30" s="1"/>
  <c r="J103" i="30"/>
  <c r="F50" i="30"/>
  <c r="G50" i="30" s="1"/>
  <c r="F43" i="30"/>
  <c r="G43" i="30" s="1"/>
  <c r="J141" i="30"/>
  <c r="F107" i="30"/>
  <c r="G107" i="30" s="1"/>
  <c r="J152" i="30"/>
  <c r="F126" i="30"/>
  <c r="G126" i="30" s="1"/>
  <c r="F118" i="30"/>
  <c r="G118" i="30" s="1"/>
  <c r="F71" i="30"/>
  <c r="G71" i="30" s="1"/>
  <c r="F67" i="30"/>
  <c r="G67" i="30" s="1"/>
  <c r="F34" i="30"/>
  <c r="G34" i="30" s="1"/>
  <c r="F82" i="30"/>
  <c r="G82" i="30" s="1"/>
  <c r="F53" i="30"/>
  <c r="G53" i="30" s="1"/>
  <c r="F46" i="30"/>
  <c r="G46" i="30" s="1"/>
  <c r="F157" i="30"/>
  <c r="G157" i="30" s="1"/>
  <c r="J81" i="30"/>
  <c r="J129" i="30"/>
  <c r="J117" i="30"/>
  <c r="F78" i="30"/>
  <c r="G78" i="30" s="1"/>
  <c r="J33" i="30"/>
  <c r="J26" i="30"/>
  <c r="F103" i="30"/>
  <c r="G103" i="30" s="1"/>
  <c r="F153" i="30"/>
  <c r="G153" i="30" s="1"/>
  <c r="F42" i="30"/>
  <c r="G42" i="30" s="1"/>
  <c r="J105" i="30"/>
  <c r="J80" i="30"/>
  <c r="F134" i="30"/>
  <c r="G134" i="30" s="1"/>
  <c r="F99" i="30"/>
  <c r="G99" i="30" s="1"/>
  <c r="F38" i="30"/>
  <c r="G38" i="30" s="1"/>
  <c r="J151" i="30"/>
  <c r="F140" i="30"/>
  <c r="G140" i="30" s="1"/>
  <c r="J139" i="30"/>
  <c r="J128" i="30"/>
  <c r="F109" i="30"/>
  <c r="G109" i="30" s="1"/>
  <c r="J69" i="30"/>
  <c r="J32" i="30"/>
  <c r="J21" i="30"/>
  <c r="F151" i="30"/>
  <c r="G151" i="30" s="1"/>
  <c r="J104" i="30"/>
  <c r="F97" i="30"/>
  <c r="G97" i="30" s="1"/>
  <c r="F94" i="30"/>
  <c r="G94" i="30" s="1"/>
  <c r="F62" i="30"/>
  <c r="G62" i="30" s="1"/>
  <c r="F36" i="30"/>
  <c r="G36" i="30" s="1"/>
  <c r="F29" i="30"/>
  <c r="G29" i="30" s="1"/>
  <c r="J45" i="30"/>
  <c r="F147" i="30"/>
  <c r="G147" i="30" s="1"/>
  <c r="F143" i="30"/>
  <c r="G143" i="30" s="1"/>
  <c r="F128" i="30"/>
  <c r="G128" i="30" s="1"/>
  <c r="F124" i="30"/>
  <c r="G124" i="30" s="1"/>
  <c r="F120" i="30"/>
  <c r="G120" i="30" s="1"/>
  <c r="F116" i="30"/>
  <c r="G116" i="30" s="1"/>
  <c r="F108" i="30"/>
  <c r="G108" i="30" s="1"/>
  <c r="J93" i="30"/>
  <c r="F90" i="30"/>
  <c r="G90" i="30" s="1"/>
  <c r="F69" i="30"/>
  <c r="G69" i="30" s="1"/>
  <c r="F58" i="30"/>
  <c r="G58" i="30" s="1"/>
  <c r="J50" i="30"/>
  <c r="J39" i="30"/>
  <c r="F21" i="30"/>
  <c r="G21" i="30" s="1"/>
  <c r="F105" i="30"/>
  <c r="G105" i="30" s="1"/>
  <c r="F102" i="30"/>
  <c r="G102" i="30" s="1"/>
  <c r="F72" i="30"/>
  <c r="G72" i="30" s="1"/>
  <c r="F44" i="30"/>
  <c r="G44" i="30" s="1"/>
  <c r="F146" i="30"/>
  <c r="G146" i="30" s="1"/>
  <c r="F125" i="30"/>
  <c r="G125" i="30" s="1"/>
  <c r="F122" i="30"/>
  <c r="G122" i="30" s="1"/>
  <c r="F115" i="30"/>
  <c r="G115" i="30" s="1"/>
  <c r="F85" i="30"/>
  <c r="G85" i="30" s="1"/>
  <c r="F68" i="30"/>
  <c r="G68" i="30" s="1"/>
  <c r="F61" i="30"/>
  <c r="G61" i="30" s="1"/>
  <c r="F40" i="30"/>
  <c r="G40" i="30" s="1"/>
  <c r="F33" i="30"/>
  <c r="G33" i="30" s="1"/>
  <c r="F139" i="30"/>
  <c r="G139" i="30" s="1"/>
  <c r="F101" i="30"/>
  <c r="G101" i="30" s="1"/>
  <c r="F98" i="30"/>
  <c r="G98" i="30" s="1"/>
  <c r="F64" i="30"/>
  <c r="G64" i="30" s="1"/>
  <c r="F54" i="30"/>
  <c r="G54" i="30" s="1"/>
  <c r="J115" i="30"/>
  <c r="J91" i="30"/>
  <c r="J67" i="30"/>
  <c r="J19" i="30"/>
  <c r="F159" i="30"/>
  <c r="G159" i="30" s="1"/>
  <c r="F135" i="30"/>
  <c r="G135" i="30" s="1"/>
  <c r="F121" i="30"/>
  <c r="G121" i="30" s="1"/>
  <c r="F114" i="30"/>
  <c r="G114" i="30" s="1"/>
  <c r="F60" i="30"/>
  <c r="G60" i="30" s="1"/>
  <c r="F32" i="30"/>
  <c r="G32" i="30" s="1"/>
  <c r="F25" i="30"/>
  <c r="G25" i="30" s="1"/>
  <c r="F155" i="30"/>
  <c r="G155" i="30" s="1"/>
  <c r="F141" i="30"/>
  <c r="G141" i="30" s="1"/>
  <c r="F110" i="30"/>
  <c r="G110" i="30" s="1"/>
  <c r="F77" i="30"/>
  <c r="G77" i="30" s="1"/>
  <c r="F56" i="30"/>
  <c r="G56" i="30" s="1"/>
  <c r="F49" i="30"/>
  <c r="G49" i="30" s="1"/>
  <c r="F28" i="30"/>
  <c r="G28" i="30" s="1"/>
  <c r="J147" i="30"/>
  <c r="J51" i="30"/>
  <c r="F130" i="30"/>
  <c r="G130" i="30" s="1"/>
  <c r="F106" i="30"/>
  <c r="G106" i="30" s="1"/>
  <c r="F93" i="30"/>
  <c r="G93" i="30" s="1"/>
  <c r="F66" i="30"/>
  <c r="G66" i="30" s="1"/>
  <c r="F52" i="30"/>
  <c r="G52" i="30" s="1"/>
  <c r="F45" i="30"/>
  <c r="G45" i="30" s="1"/>
  <c r="F24" i="30"/>
  <c r="G24" i="30" s="1"/>
  <c r="F76" i="30"/>
  <c r="G76" i="30" s="1"/>
  <c r="D156" i="34"/>
  <c r="J81" i="29"/>
  <c r="I20" i="29"/>
  <c r="J20" i="29" s="1"/>
  <c r="J65" i="29"/>
  <c r="H151" i="34"/>
  <c r="J67" i="29"/>
  <c r="I156" i="29"/>
  <c r="J156" i="29" s="1"/>
  <c r="I71" i="29"/>
  <c r="J71" i="29" s="1"/>
  <c r="E139" i="34"/>
  <c r="I127" i="29"/>
  <c r="J127" i="29" s="1"/>
  <c r="H153" i="34"/>
  <c r="J99" i="29"/>
  <c r="J91" i="29"/>
  <c r="F152" i="29"/>
  <c r="G152" i="29" s="1"/>
  <c r="I146" i="29"/>
  <c r="J146" i="29" s="1"/>
  <c r="F135" i="29"/>
  <c r="G135" i="29" s="1"/>
  <c r="I56" i="29"/>
  <c r="J56" i="29" s="1"/>
  <c r="I129" i="29"/>
  <c r="J129" i="29" s="1"/>
  <c r="I118" i="29"/>
  <c r="J118" i="29" s="1"/>
  <c r="I151" i="29"/>
  <c r="J151" i="29" s="1"/>
  <c r="I80" i="29"/>
  <c r="J80" i="29" s="1"/>
  <c r="I161" i="29"/>
  <c r="I161" i="34" s="1"/>
  <c r="I36" i="29"/>
  <c r="J36" i="29" s="1"/>
  <c r="I117" i="29"/>
  <c r="J117" i="29" s="1"/>
  <c r="I84" i="29"/>
  <c r="J84" i="29" s="1"/>
  <c r="I35" i="29"/>
  <c r="J35" i="29" s="1"/>
  <c r="I104" i="29"/>
  <c r="J104" i="29" s="1"/>
  <c r="J109" i="29"/>
  <c r="I142" i="29"/>
  <c r="J142" i="29" s="1"/>
  <c r="I48" i="29"/>
  <c r="J48" i="29" s="1"/>
  <c r="I43" i="29"/>
  <c r="J43" i="29" s="1"/>
  <c r="I39" i="29"/>
  <c r="J39" i="29" s="1"/>
  <c r="I159" i="29"/>
  <c r="I131" i="29"/>
  <c r="J131" i="29" s="1"/>
  <c r="I69" i="29"/>
  <c r="J69" i="29" s="1"/>
  <c r="I60" i="29"/>
  <c r="J60" i="29" s="1"/>
  <c r="I29" i="29"/>
  <c r="J29" i="29" s="1"/>
  <c r="I136" i="29"/>
  <c r="J136" i="29" s="1"/>
  <c r="I89" i="29"/>
  <c r="J89" i="29" s="1"/>
  <c r="I92" i="29"/>
  <c r="J92" i="29" s="1"/>
  <c r="I73" i="29"/>
  <c r="J73" i="29" s="1"/>
  <c r="I47" i="29"/>
  <c r="J47" i="29" s="1"/>
  <c r="I42" i="29"/>
  <c r="J42" i="29" s="1"/>
  <c r="I111" i="29"/>
  <c r="J111" i="29" s="1"/>
  <c r="I97" i="29"/>
  <c r="J97" i="29" s="1"/>
  <c r="F92" i="29"/>
  <c r="G92" i="29" s="1"/>
  <c r="I87" i="29"/>
  <c r="J87" i="29" s="1"/>
  <c r="I64" i="29"/>
  <c r="J64" i="29" s="1"/>
  <c r="I55" i="29"/>
  <c r="J55" i="29" s="1"/>
  <c r="I51" i="29"/>
  <c r="J51" i="29" s="1"/>
  <c r="I33" i="29"/>
  <c r="J33" i="29" s="1"/>
  <c r="I155" i="29"/>
  <c r="J155" i="29" s="1"/>
  <c r="I145" i="29"/>
  <c r="J145" i="29" s="1"/>
  <c r="I140" i="29"/>
  <c r="J140" i="29" s="1"/>
  <c r="I135" i="29"/>
  <c r="J135" i="29" s="1"/>
  <c r="I130" i="29"/>
  <c r="J130" i="29" s="1"/>
  <c r="I120" i="29"/>
  <c r="J120" i="29" s="1"/>
  <c r="I68" i="29"/>
  <c r="J68" i="29" s="1"/>
  <c r="F64" i="29"/>
  <c r="G64" i="29" s="1"/>
  <c r="I59" i="29"/>
  <c r="J59" i="29" s="1"/>
  <c r="I37" i="29"/>
  <c r="J37" i="29" s="1"/>
  <c r="I28" i="29"/>
  <c r="J28" i="29" s="1"/>
  <c r="I23" i="29"/>
  <c r="J23" i="29" s="1"/>
  <c r="I149" i="29"/>
  <c r="J149" i="29" s="1"/>
  <c r="I101" i="29"/>
  <c r="J101" i="29" s="1"/>
  <c r="I72" i="29"/>
  <c r="J72" i="29" s="1"/>
  <c r="I41" i="29"/>
  <c r="J41" i="29" s="1"/>
  <c r="I153" i="29"/>
  <c r="I153" i="34" s="1"/>
  <c r="I132" i="29"/>
  <c r="J132" i="29" s="1"/>
  <c r="I121" i="29"/>
  <c r="J121" i="29" s="1"/>
  <c r="I158" i="29"/>
  <c r="I158" i="34" s="1"/>
  <c r="I124" i="29"/>
  <c r="I105" i="29"/>
  <c r="J105" i="29" s="1"/>
  <c r="F63" i="29"/>
  <c r="G63" i="29" s="1"/>
  <c r="I54" i="29"/>
  <c r="J54" i="29" s="1"/>
  <c r="I32" i="29"/>
  <c r="J32" i="29" s="1"/>
  <c r="I27" i="29"/>
  <c r="J27" i="29" s="1"/>
  <c r="I148" i="29"/>
  <c r="J148" i="29" s="1"/>
  <c r="I85" i="29"/>
  <c r="J85" i="29" s="1"/>
  <c r="I49" i="29"/>
  <c r="J49" i="29" s="1"/>
  <c r="I40" i="29"/>
  <c r="J40" i="29" s="1"/>
  <c r="I25" i="29"/>
  <c r="J25" i="29" s="1"/>
  <c r="I152" i="29"/>
  <c r="J152" i="29" s="1"/>
  <c r="I138" i="29"/>
  <c r="J138" i="29" s="1"/>
  <c r="I113" i="29"/>
  <c r="J113" i="29" s="1"/>
  <c r="I53" i="29"/>
  <c r="J53" i="29" s="1"/>
  <c r="I58" i="29"/>
  <c r="J58" i="29" s="1"/>
  <c r="I156" i="18"/>
  <c r="I127" i="18"/>
  <c r="J127" i="18" s="1"/>
  <c r="I48" i="18"/>
  <c r="J48" i="18" s="1"/>
  <c r="F155" i="18"/>
  <c r="G155" i="18" s="1"/>
  <c r="I152" i="18"/>
  <c r="I114" i="18"/>
  <c r="J114" i="18" s="1"/>
  <c r="I46" i="18"/>
  <c r="J46" i="18" s="1"/>
  <c r="F142" i="18"/>
  <c r="G142" i="18" s="1"/>
  <c r="I151" i="18"/>
  <c r="I103" i="18"/>
  <c r="J103" i="18" s="1"/>
  <c r="I36" i="18"/>
  <c r="J36" i="18" s="1"/>
  <c r="I85" i="18"/>
  <c r="J85" i="18" s="1"/>
  <c r="I150" i="18"/>
  <c r="I90" i="18"/>
  <c r="I35" i="18"/>
  <c r="J35" i="18" s="1"/>
  <c r="I147" i="18"/>
  <c r="I89" i="18"/>
  <c r="J89" i="18" s="1"/>
  <c r="I30" i="18"/>
  <c r="J30" i="18" s="1"/>
  <c r="I144" i="18"/>
  <c r="I83" i="18"/>
  <c r="I29" i="18"/>
  <c r="J29" i="18" s="1"/>
  <c r="F18" i="18"/>
  <c r="G18" i="18" s="1"/>
  <c r="I143" i="18"/>
  <c r="I82" i="18"/>
  <c r="J82" i="18" s="1"/>
  <c r="I21" i="18"/>
  <c r="J21" i="18" s="1"/>
  <c r="F42" i="18"/>
  <c r="G42" i="18" s="1"/>
  <c r="I142" i="18"/>
  <c r="J142" i="18" s="1"/>
  <c r="I66" i="18"/>
  <c r="J66" i="18" s="1"/>
  <c r="I160" i="18"/>
  <c r="J160" i="18" s="1"/>
  <c r="I159" i="18"/>
  <c r="J159" i="18" s="1"/>
  <c r="I137" i="18"/>
  <c r="J137" i="18" s="1"/>
  <c r="F74" i="18"/>
  <c r="G74" i="18" s="1"/>
  <c r="F50" i="18"/>
  <c r="G50" i="18" s="1"/>
  <c r="F26" i="18"/>
  <c r="G26" i="18" s="1"/>
  <c r="J24" i="21"/>
  <c r="I124" i="18"/>
  <c r="J124" i="18" s="1"/>
  <c r="I102" i="18"/>
  <c r="J102" i="18" s="1"/>
  <c r="I76" i="18"/>
  <c r="J76" i="18" s="1"/>
  <c r="I58" i="18"/>
  <c r="J58" i="18" s="1"/>
  <c r="I34" i="18"/>
  <c r="J34" i="18" s="1"/>
  <c r="I20" i="18"/>
  <c r="J20" i="18" s="1"/>
  <c r="I81" i="18"/>
  <c r="J81" i="18" s="1"/>
  <c r="F123" i="18"/>
  <c r="G123" i="18" s="1"/>
  <c r="J117" i="21"/>
  <c r="I123" i="18"/>
  <c r="I97" i="18"/>
  <c r="I74" i="18"/>
  <c r="J74" i="18" s="1"/>
  <c r="I57" i="18"/>
  <c r="J57" i="18" s="1"/>
  <c r="I33" i="18"/>
  <c r="J33" i="18" s="1"/>
  <c r="I19" i="18"/>
  <c r="J19" i="18" s="1"/>
  <c r="J112" i="21"/>
  <c r="J64" i="21"/>
  <c r="I121" i="18"/>
  <c r="J121" i="18" s="1"/>
  <c r="I95" i="18"/>
  <c r="J95" i="18" s="1"/>
  <c r="I71" i="18"/>
  <c r="J71" i="18" s="1"/>
  <c r="I56" i="18"/>
  <c r="J56" i="18" s="1"/>
  <c r="I32" i="18"/>
  <c r="J32" i="18" s="1"/>
  <c r="I18" i="18"/>
  <c r="J18" i="18" s="1"/>
  <c r="I45" i="18"/>
  <c r="J45" i="18" s="1"/>
  <c r="I119" i="18"/>
  <c r="J119" i="18" s="1"/>
  <c r="I94" i="18"/>
  <c r="I70" i="18"/>
  <c r="J70" i="18" s="1"/>
  <c r="I54" i="18"/>
  <c r="J54" i="18" s="1"/>
  <c r="I31" i="18"/>
  <c r="J31" i="18" s="1"/>
  <c r="I37" i="18"/>
  <c r="J37" i="18" s="1"/>
  <c r="I91" i="18"/>
  <c r="J91" i="18" s="1"/>
  <c r="I67" i="18"/>
  <c r="J67" i="18" s="1"/>
  <c r="I116" i="18"/>
  <c r="I27" i="18"/>
  <c r="J27" i="18" s="1"/>
  <c r="I26" i="18"/>
  <c r="J26" i="18" s="1"/>
  <c r="I134" i="18"/>
  <c r="I113" i="18"/>
  <c r="J113" i="18" s="1"/>
  <c r="I87" i="18"/>
  <c r="J87" i="18" s="1"/>
  <c r="I44" i="18"/>
  <c r="J44" i="18" s="1"/>
  <c r="I25" i="18"/>
  <c r="J25" i="18" s="1"/>
  <c r="I130" i="18"/>
  <c r="J130" i="18" s="1"/>
  <c r="I86" i="18"/>
  <c r="J86" i="18" s="1"/>
  <c r="I63" i="18"/>
  <c r="J63" i="18" s="1"/>
  <c r="I41" i="18"/>
  <c r="J41" i="18" s="1"/>
  <c r="I61" i="18"/>
  <c r="J61" i="18" s="1"/>
  <c r="J85" i="21"/>
  <c r="I129" i="18"/>
  <c r="J129" i="18" s="1"/>
  <c r="I111" i="18"/>
  <c r="J111" i="18" s="1"/>
  <c r="I62" i="18"/>
  <c r="J62" i="18" s="1"/>
  <c r="I38" i="18"/>
  <c r="J38" i="18" s="1"/>
  <c r="I23" i="18"/>
  <c r="J23" i="18" s="1"/>
  <c r="I49" i="18"/>
  <c r="J49" i="18" s="1"/>
  <c r="J128" i="21"/>
  <c r="I110" i="18"/>
  <c r="J110" i="18" s="1"/>
  <c r="J152" i="1"/>
  <c r="J140" i="1"/>
  <c r="J139" i="1"/>
  <c r="F155" i="1"/>
  <c r="G155" i="1" s="1"/>
  <c r="F143" i="1"/>
  <c r="G143" i="1" s="1"/>
  <c r="H145" i="34"/>
  <c r="F150" i="1"/>
  <c r="G150" i="1" s="1"/>
  <c r="H143" i="34"/>
  <c r="J158" i="1"/>
  <c r="J146" i="1"/>
  <c r="I138" i="1"/>
  <c r="J138" i="1" s="1"/>
  <c r="J157" i="1"/>
  <c r="J145" i="1"/>
  <c r="J156" i="1"/>
  <c r="J159" i="1"/>
  <c r="J147" i="1"/>
  <c r="F157" i="1"/>
  <c r="G157" i="1" s="1"/>
  <c r="F145" i="1"/>
  <c r="G145" i="1" s="1"/>
  <c r="F161" i="1"/>
  <c r="G161" i="1" s="1"/>
  <c r="F156" i="1"/>
  <c r="G156" i="1" s="1"/>
  <c r="F144" i="1"/>
  <c r="G144" i="1" s="1"/>
  <c r="J153" i="1"/>
  <c r="J141" i="1"/>
  <c r="F160" i="1"/>
  <c r="G160" i="1" s="1"/>
  <c r="J149" i="1"/>
  <c r="E140" i="34"/>
  <c r="F65" i="18"/>
  <c r="G65" i="18" s="1"/>
  <c r="F59" i="18"/>
  <c r="G59" i="18" s="1"/>
  <c r="F35" i="18"/>
  <c r="G35" i="18" s="1"/>
  <c r="I51" i="18"/>
  <c r="J51" i="18" s="1"/>
  <c r="D148" i="34"/>
  <c r="I145" i="18"/>
  <c r="J145" i="18" s="1"/>
  <c r="I50" i="18"/>
  <c r="J50" i="18" s="1"/>
  <c r="J29" i="19"/>
  <c r="E147" i="34"/>
  <c r="D147" i="34"/>
  <c r="F57" i="18"/>
  <c r="G57" i="18" s="1"/>
  <c r="F33" i="18"/>
  <c r="G33" i="18" s="1"/>
  <c r="I157" i="18"/>
  <c r="J157" i="18" s="1"/>
  <c r="I122" i="18"/>
  <c r="I98" i="18"/>
  <c r="J98" i="18" s="1"/>
  <c r="I43" i="18"/>
  <c r="J43" i="18" s="1"/>
  <c r="I28" i="18"/>
  <c r="J28" i="18" s="1"/>
  <c r="J153" i="19"/>
  <c r="D155" i="34"/>
  <c r="H161" i="34"/>
  <c r="I155" i="18"/>
  <c r="J155" i="18" s="1"/>
  <c r="I73" i="18"/>
  <c r="J73" i="18" s="1"/>
  <c r="I40" i="18"/>
  <c r="J40" i="18" s="1"/>
  <c r="F27" i="18"/>
  <c r="G27" i="18" s="1"/>
  <c r="I72" i="18"/>
  <c r="I39" i="18"/>
  <c r="J39" i="18" s="1"/>
  <c r="J161" i="18"/>
  <c r="E153" i="34"/>
  <c r="F73" i="18"/>
  <c r="G73" i="18" s="1"/>
  <c r="F49" i="18"/>
  <c r="G49" i="18" s="1"/>
  <c r="I133" i="18"/>
  <c r="D139" i="34"/>
  <c r="H159" i="34"/>
  <c r="F140" i="29"/>
  <c r="G140" i="29" s="1"/>
  <c r="F111" i="29"/>
  <c r="G111" i="29" s="1"/>
  <c r="F48" i="29"/>
  <c r="G48" i="29" s="1"/>
  <c r="F96" i="29"/>
  <c r="G96" i="29" s="1"/>
  <c r="F88" i="29"/>
  <c r="G88" i="29" s="1"/>
  <c r="F72" i="29"/>
  <c r="G72" i="29" s="1"/>
  <c r="J127" i="27"/>
  <c r="F127" i="29"/>
  <c r="G127" i="29" s="1"/>
  <c r="I126" i="29"/>
  <c r="J126" i="29" s="1"/>
  <c r="I125" i="29"/>
  <c r="J125" i="29" s="1"/>
  <c r="F156" i="29"/>
  <c r="G156" i="29" s="1"/>
  <c r="F144" i="29"/>
  <c r="G144" i="29" s="1"/>
  <c r="F76" i="29"/>
  <c r="G76" i="29" s="1"/>
  <c r="F68" i="29"/>
  <c r="G68" i="29" s="1"/>
  <c r="F20" i="29"/>
  <c r="G20" i="29" s="1"/>
  <c r="J155" i="27"/>
  <c r="I134" i="29"/>
  <c r="J134" i="29" s="1"/>
  <c r="J57" i="27"/>
  <c r="D140" i="34"/>
  <c r="J157" i="29"/>
  <c r="F107" i="29"/>
  <c r="G107" i="29" s="1"/>
  <c r="F40" i="29"/>
  <c r="G40" i="29" s="1"/>
  <c r="J159" i="27"/>
  <c r="J153" i="27"/>
  <c r="F100" i="29"/>
  <c r="G100" i="29" s="1"/>
  <c r="F39" i="29"/>
  <c r="G39" i="29" s="1"/>
  <c r="F27" i="29"/>
  <c r="G27" i="29" s="1"/>
  <c r="J145" i="27"/>
  <c r="J132" i="27"/>
  <c r="H157" i="34"/>
  <c r="H149" i="34"/>
  <c r="H141" i="34"/>
  <c r="I147" i="29"/>
  <c r="J147" i="29" s="1"/>
  <c r="I141" i="29"/>
  <c r="J141" i="29" s="1"/>
  <c r="F104" i="29"/>
  <c r="G104" i="29" s="1"/>
  <c r="F99" i="29"/>
  <c r="G99" i="29" s="1"/>
  <c r="F56" i="29"/>
  <c r="G56" i="29" s="1"/>
  <c r="F115" i="29"/>
  <c r="G115" i="29" s="1"/>
  <c r="F24" i="29"/>
  <c r="G24" i="29" s="1"/>
  <c r="F80" i="29"/>
  <c r="G80" i="29" s="1"/>
  <c r="F47" i="29"/>
  <c r="G47" i="29" s="1"/>
  <c r="J136" i="27"/>
  <c r="H158" i="34"/>
  <c r="H150" i="34"/>
  <c r="H142" i="34"/>
  <c r="F159" i="29"/>
  <c r="G159" i="29" s="1"/>
  <c r="F131" i="29"/>
  <c r="G131" i="29" s="1"/>
  <c r="F103" i="29"/>
  <c r="G103" i="29" s="1"/>
  <c r="I100" i="29"/>
  <c r="J100" i="29" s="1"/>
  <c r="F91" i="29"/>
  <c r="G91" i="29" s="1"/>
  <c r="F71" i="29"/>
  <c r="G71" i="29" s="1"/>
  <c r="F60" i="29"/>
  <c r="G60" i="29" s="1"/>
  <c r="J89" i="27"/>
  <c r="I128" i="29"/>
  <c r="I93" i="29"/>
  <c r="J93" i="29" s="1"/>
  <c r="F79" i="29"/>
  <c r="G79" i="29" s="1"/>
  <c r="F43" i="29"/>
  <c r="G43" i="29" s="1"/>
  <c r="J82" i="29"/>
  <c r="I144" i="29"/>
  <c r="I139" i="29"/>
  <c r="J139" i="29" s="1"/>
  <c r="I133" i="29"/>
  <c r="J133" i="29" s="1"/>
  <c r="F155" i="29"/>
  <c r="G155" i="29" s="1"/>
  <c r="F139" i="29"/>
  <c r="G139" i="29" s="1"/>
  <c r="F136" i="29"/>
  <c r="G136" i="29" s="1"/>
  <c r="F87" i="29"/>
  <c r="G87" i="29" s="1"/>
  <c r="F84" i="29"/>
  <c r="G84" i="29" s="1"/>
  <c r="J78" i="29"/>
  <c r="F28" i="29"/>
  <c r="G28" i="29" s="1"/>
  <c r="F19" i="29"/>
  <c r="G19" i="29" s="1"/>
  <c r="I150" i="29"/>
  <c r="J150" i="29" s="1"/>
  <c r="I108" i="29"/>
  <c r="J108" i="29" s="1"/>
  <c r="I63" i="29"/>
  <c r="J63" i="29" s="1"/>
  <c r="I31" i="29"/>
  <c r="J31" i="29" s="1"/>
  <c r="I160" i="29"/>
  <c r="J160" i="29" s="1"/>
  <c r="I137" i="29"/>
  <c r="J137" i="29" s="1"/>
  <c r="I45" i="29"/>
  <c r="J45" i="29" s="1"/>
  <c r="I83" i="29"/>
  <c r="J83" i="29" s="1"/>
  <c r="I44" i="29"/>
  <c r="J44" i="29" s="1"/>
  <c r="I154" i="29"/>
  <c r="J154" i="29" s="1"/>
  <c r="I115" i="29"/>
  <c r="J115" i="29" s="1"/>
  <c r="I107" i="29"/>
  <c r="J107" i="29" s="1"/>
  <c r="I88" i="29"/>
  <c r="J88" i="29" s="1"/>
  <c r="I19" i="29"/>
  <c r="J19" i="29" s="1"/>
  <c r="I95" i="29"/>
  <c r="J95" i="29" s="1"/>
  <c r="I76" i="29"/>
  <c r="J76" i="29" s="1"/>
  <c r="I96" i="29"/>
  <c r="J96" i="29" s="1"/>
  <c r="I77" i="29"/>
  <c r="J77" i="29" s="1"/>
  <c r="I75" i="29"/>
  <c r="J75" i="29" s="1"/>
  <c r="I24" i="29"/>
  <c r="J24" i="29" s="1"/>
  <c r="J123" i="29"/>
  <c r="F123" i="29"/>
  <c r="G123" i="29" s="1"/>
  <c r="I122" i="29"/>
  <c r="J122" i="29" s="1"/>
  <c r="F160" i="29"/>
  <c r="G160" i="29" s="1"/>
  <c r="F148" i="29"/>
  <c r="G148" i="29" s="1"/>
  <c r="J143" i="29"/>
  <c r="J124" i="29"/>
  <c r="I119" i="29"/>
  <c r="J119" i="29" s="1"/>
  <c r="I114" i="29"/>
  <c r="J114" i="29" s="1"/>
  <c r="F112" i="29"/>
  <c r="G112" i="29" s="1"/>
  <c r="F108" i="29"/>
  <c r="G108" i="29" s="1"/>
  <c r="J103" i="29"/>
  <c r="F95" i="29"/>
  <c r="G95" i="29" s="1"/>
  <c r="I86" i="29"/>
  <c r="J86" i="29" s="1"/>
  <c r="I46" i="29"/>
  <c r="J46" i="29" s="1"/>
  <c r="F35" i="29"/>
  <c r="G35" i="29" s="1"/>
  <c r="I30" i="29"/>
  <c r="J30" i="29" s="1"/>
  <c r="I18" i="29"/>
  <c r="J18" i="29" s="1"/>
  <c r="F132" i="29"/>
  <c r="G132" i="29" s="1"/>
  <c r="F120" i="29"/>
  <c r="G120" i="29" s="1"/>
  <c r="F124" i="29"/>
  <c r="G124" i="29" s="1"/>
  <c r="F119" i="29"/>
  <c r="G119" i="29" s="1"/>
  <c r="I90" i="29"/>
  <c r="J90" i="29" s="1"/>
  <c r="F67" i="29"/>
  <c r="G67" i="29" s="1"/>
  <c r="I62" i="29"/>
  <c r="J62" i="29" s="1"/>
  <c r="F51" i="29"/>
  <c r="G51" i="29" s="1"/>
  <c r="F44" i="29"/>
  <c r="G44" i="29" s="1"/>
  <c r="I98" i="29"/>
  <c r="J98" i="29" s="1"/>
  <c r="I94" i="29"/>
  <c r="J94" i="29" s="1"/>
  <c r="I34" i="29"/>
  <c r="J34" i="29" s="1"/>
  <c r="I22" i="29"/>
  <c r="J22" i="29" s="1"/>
  <c r="I102" i="29"/>
  <c r="J102" i="29" s="1"/>
  <c r="J79" i="29"/>
  <c r="F75" i="29"/>
  <c r="G75" i="29" s="1"/>
  <c r="I66" i="29"/>
  <c r="J66" i="29" s="1"/>
  <c r="I50" i="29"/>
  <c r="J50" i="29" s="1"/>
  <c r="F32" i="29"/>
  <c r="G32" i="29" s="1"/>
  <c r="H160" i="34"/>
  <c r="H152" i="34"/>
  <c r="H144" i="34"/>
  <c r="I70" i="29"/>
  <c r="J70" i="29" s="1"/>
  <c r="I38" i="29"/>
  <c r="J38" i="29" s="1"/>
  <c r="I26" i="29"/>
  <c r="J26" i="29" s="1"/>
  <c r="I110" i="29"/>
  <c r="J110" i="29" s="1"/>
  <c r="E156" i="34"/>
  <c r="E148" i="34"/>
  <c r="F151" i="29"/>
  <c r="G151" i="29" s="1"/>
  <c r="F128" i="29"/>
  <c r="G128" i="29" s="1"/>
  <c r="I106" i="29"/>
  <c r="J106" i="29" s="1"/>
  <c r="F83" i="29"/>
  <c r="G83" i="29" s="1"/>
  <c r="I74" i="29"/>
  <c r="J74" i="29" s="1"/>
  <c r="F36" i="29"/>
  <c r="G36" i="29" s="1"/>
  <c r="J82" i="27"/>
  <c r="J58" i="27"/>
  <c r="F52" i="29"/>
  <c r="G52" i="29" s="1"/>
  <c r="I116" i="29"/>
  <c r="J116" i="29" s="1"/>
  <c r="F116" i="29"/>
  <c r="G116" i="29" s="1"/>
  <c r="F31" i="29"/>
  <c r="G31" i="29" s="1"/>
  <c r="E155" i="34"/>
  <c r="E145" i="34"/>
  <c r="E160" i="34"/>
  <c r="E152" i="34"/>
  <c r="E144" i="34"/>
  <c r="F55" i="29"/>
  <c r="G55" i="29" s="1"/>
  <c r="F143" i="29"/>
  <c r="G143" i="29" s="1"/>
  <c r="F59" i="29"/>
  <c r="G59" i="29" s="1"/>
  <c r="F147" i="29"/>
  <c r="G147" i="29" s="1"/>
  <c r="F23" i="29"/>
  <c r="G23" i="29" s="1"/>
  <c r="F161" i="29"/>
  <c r="G161" i="29" s="1"/>
  <c r="F157" i="29"/>
  <c r="G157" i="29" s="1"/>
  <c r="F153" i="29"/>
  <c r="G153" i="29" s="1"/>
  <c r="F150" i="29"/>
  <c r="G150" i="29" s="1"/>
  <c r="F149" i="29"/>
  <c r="G149" i="29" s="1"/>
  <c r="F146" i="29"/>
  <c r="G146" i="29" s="1"/>
  <c r="F145" i="29"/>
  <c r="G145" i="29" s="1"/>
  <c r="F141" i="29"/>
  <c r="G141" i="29" s="1"/>
  <c r="F137" i="29"/>
  <c r="G137" i="29" s="1"/>
  <c r="F134" i="29"/>
  <c r="G134" i="29" s="1"/>
  <c r="F133" i="29"/>
  <c r="G133" i="29" s="1"/>
  <c r="F130" i="29"/>
  <c r="G130" i="29" s="1"/>
  <c r="F129" i="29"/>
  <c r="G129" i="29" s="1"/>
  <c r="F125" i="29"/>
  <c r="G125" i="29" s="1"/>
  <c r="F121" i="29"/>
  <c r="G121" i="29" s="1"/>
  <c r="F117" i="29"/>
  <c r="G117" i="29" s="1"/>
  <c r="F113" i="29"/>
  <c r="G113" i="29" s="1"/>
  <c r="F109" i="29"/>
  <c r="G109" i="29" s="1"/>
  <c r="F105" i="29"/>
  <c r="G105" i="29" s="1"/>
  <c r="F101" i="29"/>
  <c r="G101" i="29" s="1"/>
  <c r="F97" i="29"/>
  <c r="G97" i="29" s="1"/>
  <c r="F94" i="29"/>
  <c r="G94" i="29" s="1"/>
  <c r="F93" i="29"/>
  <c r="G93" i="29" s="1"/>
  <c r="F89" i="29"/>
  <c r="G89" i="29" s="1"/>
  <c r="F86" i="29"/>
  <c r="G86" i="29" s="1"/>
  <c r="F85" i="29"/>
  <c r="G85" i="29" s="1"/>
  <c r="F81" i="29"/>
  <c r="G81" i="29" s="1"/>
  <c r="F77" i="29"/>
  <c r="G77" i="29" s="1"/>
  <c r="F73" i="29"/>
  <c r="G73" i="29" s="1"/>
  <c r="F70" i="29"/>
  <c r="G70" i="29" s="1"/>
  <c r="F69" i="29"/>
  <c r="G69" i="29" s="1"/>
  <c r="F65" i="29"/>
  <c r="G65" i="29" s="1"/>
  <c r="F62" i="29"/>
  <c r="G62" i="29" s="1"/>
  <c r="F61" i="29"/>
  <c r="G61" i="29" s="1"/>
  <c r="F57" i="29"/>
  <c r="G57" i="29" s="1"/>
  <c r="F54" i="29"/>
  <c r="G54" i="29" s="1"/>
  <c r="F53" i="29"/>
  <c r="G53" i="29" s="1"/>
  <c r="F49" i="29"/>
  <c r="G49" i="29" s="1"/>
  <c r="F45" i="29"/>
  <c r="G45" i="29" s="1"/>
  <c r="F41" i="29"/>
  <c r="G41" i="29" s="1"/>
  <c r="F38" i="29"/>
  <c r="G38" i="29" s="1"/>
  <c r="F37" i="29"/>
  <c r="G37" i="29" s="1"/>
  <c r="F33" i="29"/>
  <c r="G33" i="29" s="1"/>
  <c r="F30" i="29"/>
  <c r="G30" i="29" s="1"/>
  <c r="F29" i="29"/>
  <c r="G29" i="29" s="1"/>
  <c r="F25" i="29"/>
  <c r="G25" i="29" s="1"/>
  <c r="F22" i="29"/>
  <c r="G22" i="29" s="1"/>
  <c r="F21" i="29"/>
  <c r="G21" i="29" s="1"/>
  <c r="F17" i="29"/>
  <c r="G17" i="29" s="1"/>
  <c r="J116" i="30"/>
  <c r="J92" i="30"/>
  <c r="J68" i="30"/>
  <c r="J52" i="30"/>
  <c r="J36" i="30"/>
  <c r="J20" i="30"/>
  <c r="J132" i="30"/>
  <c r="J156" i="30"/>
  <c r="J100" i="30"/>
  <c r="J148" i="30"/>
  <c r="H156" i="34"/>
  <c r="H148" i="34"/>
  <c r="H140" i="34"/>
  <c r="J140" i="30"/>
  <c r="J124" i="30"/>
  <c r="H155" i="34"/>
  <c r="H147" i="34"/>
  <c r="H139" i="34"/>
  <c r="J108" i="30"/>
  <c r="J76" i="30"/>
  <c r="J60" i="30"/>
  <c r="J44" i="30"/>
  <c r="J28" i="30"/>
  <c r="H154" i="34"/>
  <c r="H146" i="34"/>
  <c r="H138" i="34"/>
  <c r="F161" i="30"/>
  <c r="G161" i="30" s="1"/>
  <c r="F129" i="30"/>
  <c r="G129" i="30" s="1"/>
  <c r="F65" i="30"/>
  <c r="G65" i="30" s="1"/>
  <c r="F137" i="30"/>
  <c r="G137" i="30" s="1"/>
  <c r="F73" i="30"/>
  <c r="G73" i="30" s="1"/>
  <c r="F145" i="30"/>
  <c r="G145" i="30" s="1"/>
  <c r="F113" i="30"/>
  <c r="G113" i="30" s="1"/>
  <c r="F149" i="30"/>
  <c r="G149" i="30" s="1"/>
  <c r="F117" i="30"/>
  <c r="G117" i="30" s="1"/>
  <c r="E137" i="34"/>
  <c r="E157" i="34"/>
  <c r="E149" i="34"/>
  <c r="E141" i="34"/>
  <c r="F106" i="29"/>
  <c r="G106" i="29" s="1"/>
  <c r="F82" i="29"/>
  <c r="G82" i="29" s="1"/>
  <c r="F50" i="29"/>
  <c r="G50" i="29" s="1"/>
  <c r="F158" i="29"/>
  <c r="G158" i="29" s="1"/>
  <c r="F142" i="29"/>
  <c r="G142" i="29" s="1"/>
  <c r="F126" i="29"/>
  <c r="G126" i="29" s="1"/>
  <c r="F110" i="29"/>
  <c r="G110" i="29" s="1"/>
  <c r="F90" i="29"/>
  <c r="G90" i="29" s="1"/>
  <c r="F58" i="29"/>
  <c r="G58" i="29" s="1"/>
  <c r="F26" i="29"/>
  <c r="G26" i="29" s="1"/>
  <c r="E138" i="34"/>
  <c r="F18" i="29"/>
  <c r="G18" i="29" s="1"/>
  <c r="F78" i="29"/>
  <c r="G78" i="29" s="1"/>
  <c r="F46" i="29"/>
  <c r="G46" i="29" s="1"/>
  <c r="F154" i="29"/>
  <c r="G154" i="29" s="1"/>
  <c r="F138" i="29"/>
  <c r="G138" i="29" s="1"/>
  <c r="D138" i="34"/>
  <c r="F118" i="29"/>
  <c r="G118" i="29" s="1"/>
  <c r="F102" i="29"/>
  <c r="G102" i="29" s="1"/>
  <c r="F74" i="29"/>
  <c r="G74" i="29" s="1"/>
  <c r="F42" i="29"/>
  <c r="G42" i="29" s="1"/>
  <c r="E154" i="34"/>
  <c r="F122" i="29"/>
  <c r="G122" i="29" s="1"/>
  <c r="F114" i="29"/>
  <c r="G114" i="29" s="1"/>
  <c r="F98" i="29"/>
  <c r="G98" i="29" s="1"/>
  <c r="F66" i="29"/>
  <c r="G66" i="29" s="1"/>
  <c r="F34" i="29"/>
  <c r="G34" i="29" s="1"/>
  <c r="E159" i="34"/>
  <c r="E151" i="34"/>
  <c r="E143" i="34"/>
  <c r="E158" i="34"/>
  <c r="E150" i="34"/>
  <c r="E142" i="34"/>
  <c r="D161" i="34"/>
  <c r="E161" i="34"/>
  <c r="D157" i="34"/>
  <c r="D149" i="34"/>
  <c r="D158" i="34"/>
  <c r="D150" i="34"/>
  <c r="D151" i="34"/>
  <c r="D146" i="34"/>
  <c r="D153" i="34"/>
  <c r="D145" i="34"/>
  <c r="D154" i="34"/>
  <c r="D160" i="34"/>
  <c r="D144" i="34"/>
  <c r="I42" i="18"/>
  <c r="J42" i="18" s="1"/>
  <c r="J49" i="19"/>
  <c r="J153" i="18"/>
  <c r="J143" i="18"/>
  <c r="I84" i="18"/>
  <c r="J84" i="18" s="1"/>
  <c r="F156" i="18"/>
  <c r="G156" i="18" s="1"/>
  <c r="I131" i="18"/>
  <c r="J131" i="18" s="1"/>
  <c r="I92" i="18"/>
  <c r="J92" i="18" s="1"/>
  <c r="J83" i="18"/>
  <c r="I108" i="18"/>
  <c r="J108" i="18" s="1"/>
  <c r="F52" i="18"/>
  <c r="G52" i="18" s="1"/>
  <c r="F44" i="18"/>
  <c r="G44" i="18" s="1"/>
  <c r="F36" i="18"/>
  <c r="G36" i="18" s="1"/>
  <c r="F28" i="18"/>
  <c r="G28" i="18" s="1"/>
  <c r="I138" i="18"/>
  <c r="J138" i="18" s="1"/>
  <c r="I55" i="18"/>
  <c r="J55" i="18" s="1"/>
  <c r="F152" i="18"/>
  <c r="G152" i="18" s="1"/>
  <c r="F93" i="18"/>
  <c r="G93" i="18" s="1"/>
  <c r="I146" i="18"/>
  <c r="J146" i="18" s="1"/>
  <c r="F159" i="18"/>
  <c r="G159" i="18" s="1"/>
  <c r="F61" i="18"/>
  <c r="G61" i="18" s="1"/>
  <c r="F21" i="18"/>
  <c r="G21" i="18" s="1"/>
  <c r="J150" i="18"/>
  <c r="F143" i="18"/>
  <c r="G143" i="18" s="1"/>
  <c r="J116" i="18"/>
  <c r="D143" i="34"/>
  <c r="D152" i="34"/>
  <c r="D142" i="34"/>
  <c r="F147" i="18"/>
  <c r="G147" i="18" s="1"/>
  <c r="J136" i="18"/>
  <c r="D159" i="34"/>
  <c r="D141" i="34"/>
  <c r="F146" i="18"/>
  <c r="G146" i="18" s="1"/>
  <c r="J144" i="18"/>
  <c r="J94" i="18"/>
  <c r="J158" i="18"/>
  <c r="I154" i="18"/>
  <c r="J154" i="18" s="1"/>
  <c r="I149" i="18"/>
  <c r="I149" i="34" s="1"/>
  <c r="F160" i="18"/>
  <c r="G160" i="18" s="1"/>
  <c r="F158" i="18"/>
  <c r="G158" i="18" s="1"/>
  <c r="F157" i="18"/>
  <c r="G157" i="18" s="1"/>
  <c r="F154" i="18"/>
  <c r="G154" i="18" s="1"/>
  <c r="F153" i="18"/>
  <c r="G153" i="18" s="1"/>
  <c r="F150" i="18"/>
  <c r="G150" i="18" s="1"/>
  <c r="F149" i="18"/>
  <c r="G149" i="18" s="1"/>
  <c r="F145" i="18"/>
  <c r="G145" i="18" s="1"/>
  <c r="F144" i="18"/>
  <c r="G144" i="18" s="1"/>
  <c r="I139" i="18"/>
  <c r="J139" i="18" s="1"/>
  <c r="I109" i="18"/>
  <c r="J109" i="18" s="1"/>
  <c r="I104" i="18"/>
  <c r="J104" i="18" s="1"/>
  <c r="I100" i="18"/>
  <c r="J100" i="18" s="1"/>
  <c r="F110" i="18"/>
  <c r="G110" i="18" s="1"/>
  <c r="F108" i="18"/>
  <c r="G108" i="18" s="1"/>
  <c r="F104" i="18"/>
  <c r="G104" i="18" s="1"/>
  <c r="F101" i="18"/>
  <c r="G101" i="18" s="1"/>
  <c r="F100" i="18"/>
  <c r="G100" i="18" s="1"/>
  <c r="I96" i="18"/>
  <c r="J96" i="18" s="1"/>
  <c r="F140" i="18"/>
  <c r="G140" i="18" s="1"/>
  <c r="F148" i="18"/>
  <c r="G148" i="18" s="1"/>
  <c r="I148" i="18"/>
  <c r="J148" i="18" s="1"/>
  <c r="F137" i="18"/>
  <c r="G137" i="18" s="1"/>
  <c r="I135" i="18"/>
  <c r="J135" i="18" s="1"/>
  <c r="J134" i="18"/>
  <c r="F132" i="18"/>
  <c r="G132" i="18" s="1"/>
  <c r="I132" i="18"/>
  <c r="J132" i="18" s="1"/>
  <c r="F118" i="18"/>
  <c r="G118" i="18" s="1"/>
  <c r="I118" i="18"/>
  <c r="J118" i="18" s="1"/>
  <c r="F120" i="18"/>
  <c r="G120" i="18" s="1"/>
  <c r="I120" i="18"/>
  <c r="J120" i="18" s="1"/>
  <c r="F131" i="18"/>
  <c r="G131" i="18" s="1"/>
  <c r="J128" i="18"/>
  <c r="I126" i="18"/>
  <c r="J126" i="18" s="1"/>
  <c r="I125" i="18"/>
  <c r="J125" i="18" s="1"/>
  <c r="J123" i="18"/>
  <c r="J122" i="18"/>
  <c r="J93" i="19"/>
  <c r="F117" i="18"/>
  <c r="G117" i="18" s="1"/>
  <c r="J117" i="18"/>
  <c r="I115" i="18"/>
  <c r="J115" i="18" s="1"/>
  <c r="F90" i="18"/>
  <c r="G90" i="18" s="1"/>
  <c r="J90" i="18"/>
  <c r="F139" i="18"/>
  <c r="G139" i="18" s="1"/>
  <c r="J72" i="18"/>
  <c r="I69" i="18"/>
  <c r="J69" i="18" s="1"/>
  <c r="I68" i="18"/>
  <c r="J68" i="18" s="1"/>
  <c r="F66" i="18"/>
  <c r="G66" i="18" s="1"/>
  <c r="J64" i="18"/>
  <c r="F62" i="18"/>
  <c r="G62" i="18" s="1"/>
  <c r="F37" i="18"/>
  <c r="G37" i="18" s="1"/>
  <c r="J156" i="18"/>
  <c r="J151" i="18"/>
  <c r="F151" i="18"/>
  <c r="G151" i="18" s="1"/>
  <c r="E146" i="34"/>
  <c r="J140" i="18"/>
  <c r="I80" i="18"/>
  <c r="J80" i="18" s="1"/>
  <c r="E75" i="18"/>
  <c r="E2" i="19"/>
  <c r="J105" i="18"/>
  <c r="I78" i="18"/>
  <c r="J78" i="18" s="1"/>
  <c r="I77" i="18"/>
  <c r="I79" i="18"/>
  <c r="J79" i="18" s="1"/>
  <c r="I88" i="18"/>
  <c r="J88" i="18" s="1"/>
  <c r="I107" i="18"/>
  <c r="J107" i="18" s="1"/>
  <c r="I106" i="18"/>
  <c r="J106" i="18" s="1"/>
  <c r="J105" i="19"/>
  <c r="I99" i="18"/>
  <c r="J99" i="18" s="1"/>
  <c r="I101" i="18"/>
  <c r="J101" i="18" s="1"/>
  <c r="I75" i="18"/>
  <c r="J75" i="18" s="1"/>
  <c r="J97" i="18"/>
  <c r="J141" i="18"/>
  <c r="J65" i="18"/>
  <c r="J93" i="18"/>
  <c r="I143" i="34"/>
  <c r="J133" i="18"/>
  <c r="J47" i="21"/>
  <c r="I47" i="18"/>
  <c r="F102" i="18"/>
  <c r="G102" i="18" s="1"/>
  <c r="F99" i="18"/>
  <c r="G99" i="18" s="1"/>
  <c r="F89" i="18"/>
  <c r="G89" i="18" s="1"/>
  <c r="F88" i="18"/>
  <c r="G88" i="18" s="1"/>
  <c r="F87" i="18"/>
  <c r="G87" i="18" s="1"/>
  <c r="F86" i="18"/>
  <c r="G86" i="18" s="1"/>
  <c r="F85" i="18"/>
  <c r="G85" i="18" s="1"/>
  <c r="F134" i="18"/>
  <c r="G134" i="18" s="1"/>
  <c r="F133" i="18"/>
  <c r="G133" i="18" s="1"/>
  <c r="F136" i="18"/>
  <c r="G136" i="18" s="1"/>
  <c r="F129" i="18"/>
  <c r="G129" i="18" s="1"/>
  <c r="F72" i="18"/>
  <c r="G72" i="18" s="1"/>
  <c r="F69" i="18"/>
  <c r="G69" i="18" s="1"/>
  <c r="F43" i="18"/>
  <c r="G43" i="18" s="1"/>
  <c r="F41" i="18"/>
  <c r="G41" i="18" s="1"/>
  <c r="F67" i="18"/>
  <c r="G67" i="18" s="1"/>
  <c r="F80" i="18"/>
  <c r="G80" i="18" s="1"/>
  <c r="F81" i="18"/>
  <c r="G81" i="18" s="1"/>
  <c r="F77" i="18"/>
  <c r="G77" i="18" s="1"/>
  <c r="F76" i="18"/>
  <c r="G76" i="18" s="1"/>
  <c r="F71" i="18"/>
  <c r="G71" i="18" s="1"/>
  <c r="F70" i="18"/>
  <c r="G70" i="18" s="1"/>
  <c r="F127" i="18"/>
  <c r="G127" i="18" s="1"/>
  <c r="F112" i="18"/>
  <c r="G112" i="18" s="1"/>
  <c r="F55" i="18"/>
  <c r="G55" i="18" s="1"/>
  <c r="F54" i="18"/>
  <c r="G54" i="18" s="1"/>
  <c r="F53" i="18"/>
  <c r="G53" i="18" s="1"/>
  <c r="F48" i="18"/>
  <c r="G48" i="18" s="1"/>
  <c r="F47" i="18"/>
  <c r="G47" i="18" s="1"/>
  <c r="F38" i="18"/>
  <c r="G38" i="18" s="1"/>
  <c r="F31" i="18"/>
  <c r="G31" i="18" s="1"/>
  <c r="F29" i="18"/>
  <c r="G29" i="18" s="1"/>
  <c r="F24" i="18"/>
  <c r="G24" i="18" s="1"/>
  <c r="F130" i="18"/>
  <c r="G130" i="18" s="1"/>
  <c r="F128" i="18"/>
  <c r="G128" i="18" s="1"/>
  <c r="F64" i="18"/>
  <c r="G64" i="18" s="1"/>
  <c r="F63" i="18"/>
  <c r="G63" i="18" s="1"/>
  <c r="F116" i="18"/>
  <c r="G116" i="18" s="1"/>
  <c r="F115" i="18"/>
  <c r="G115" i="18" s="1"/>
  <c r="F113" i="18"/>
  <c r="G113" i="18" s="1"/>
  <c r="F124" i="18"/>
  <c r="G124" i="18" s="1"/>
  <c r="F114" i="18"/>
  <c r="G114" i="18" s="1"/>
  <c r="F111" i="18"/>
  <c r="G111" i="18" s="1"/>
  <c r="F91" i="18"/>
  <c r="G91" i="18" s="1"/>
  <c r="F19" i="18"/>
  <c r="G19" i="18" s="1"/>
  <c r="F56" i="18"/>
  <c r="G56" i="18" s="1"/>
  <c r="F51" i="18"/>
  <c r="G51" i="18" s="1"/>
  <c r="F46" i="18"/>
  <c r="G46" i="18" s="1"/>
  <c r="F45" i="18"/>
  <c r="G45" i="18" s="1"/>
  <c r="F40" i="18"/>
  <c r="G40" i="18" s="1"/>
  <c r="F39" i="18"/>
  <c r="G39" i="18" s="1"/>
  <c r="F32" i="18"/>
  <c r="G32" i="18" s="1"/>
  <c r="F30" i="18"/>
  <c r="G30" i="18" s="1"/>
  <c r="F25" i="18"/>
  <c r="G25" i="18" s="1"/>
  <c r="F23" i="18"/>
  <c r="G23" i="18" s="1"/>
  <c r="F135" i="18"/>
  <c r="G135" i="18" s="1"/>
  <c r="F126" i="18"/>
  <c r="G126" i="18" s="1"/>
  <c r="F125" i="18"/>
  <c r="G125" i="18" s="1"/>
  <c r="F20" i="18"/>
  <c r="G20" i="18" s="1"/>
  <c r="F84" i="18"/>
  <c r="G84" i="18" s="1"/>
  <c r="F83" i="18"/>
  <c r="G83" i="18" s="1"/>
  <c r="F82" i="18"/>
  <c r="G82" i="18" s="1"/>
  <c r="F78" i="18"/>
  <c r="G78" i="18" s="1"/>
  <c r="F79" i="18"/>
  <c r="G79" i="18" s="1"/>
  <c r="F22" i="18"/>
  <c r="G22" i="18" s="1"/>
  <c r="F60" i="18"/>
  <c r="G60" i="18" s="1"/>
  <c r="F107" i="18"/>
  <c r="G107" i="18" s="1"/>
  <c r="F122" i="18"/>
  <c r="G122" i="18" s="1"/>
  <c r="F68" i="18"/>
  <c r="G68" i="18" s="1"/>
  <c r="F98" i="18"/>
  <c r="G98" i="18" s="1"/>
  <c r="F92" i="18"/>
  <c r="G92" i="18" s="1"/>
  <c r="F76" i="3"/>
  <c r="I151" i="34" l="1"/>
  <c r="F156" i="34"/>
  <c r="G156" i="34" s="1"/>
  <c r="I159" i="34"/>
  <c r="F139" i="34"/>
  <c r="G139" i="34" s="1"/>
  <c r="I156" i="34"/>
  <c r="F155" i="34"/>
  <c r="G155" i="34" s="1"/>
  <c r="J161" i="29"/>
  <c r="I142" i="34"/>
  <c r="J159" i="29"/>
  <c r="I152" i="34"/>
  <c r="F157" i="34"/>
  <c r="G157" i="34" s="1"/>
  <c r="I147" i="34"/>
  <c r="I140" i="34"/>
  <c r="I141" i="34"/>
  <c r="F147" i="34"/>
  <c r="G147" i="34" s="1"/>
  <c r="J158" i="29"/>
  <c r="I150" i="34"/>
  <c r="J153" i="29"/>
  <c r="F153" i="34"/>
  <c r="G153" i="34" s="1"/>
  <c r="J147" i="18"/>
  <c r="I160" i="34"/>
  <c r="J152" i="18"/>
  <c r="I155" i="34"/>
  <c r="I154" i="34"/>
  <c r="I144" i="34"/>
  <c r="I157" i="34"/>
  <c r="I138" i="34"/>
  <c r="J138" i="34" s="1"/>
  <c r="F140" i="34"/>
  <c r="G140" i="34" s="1"/>
  <c r="F144" i="34"/>
  <c r="G144" i="34" s="1"/>
  <c r="F160" i="34"/>
  <c r="G160" i="34" s="1"/>
  <c r="F148" i="34"/>
  <c r="G148" i="34" s="1"/>
  <c r="F150" i="34"/>
  <c r="G150" i="34" s="1"/>
  <c r="F138" i="34"/>
  <c r="G138" i="34" s="1"/>
  <c r="I139" i="34"/>
  <c r="I148" i="34"/>
  <c r="I145" i="34"/>
  <c r="I146" i="34"/>
  <c r="J144" i="29"/>
  <c r="F141" i="34"/>
  <c r="G141" i="34" s="1"/>
  <c r="J128" i="29"/>
  <c r="F149" i="34"/>
  <c r="G149" i="34" s="1"/>
  <c r="F154" i="34"/>
  <c r="G154" i="34" s="1"/>
  <c r="F145" i="34"/>
  <c r="G145" i="34" s="1"/>
  <c r="F152" i="34"/>
  <c r="G152" i="34" s="1"/>
  <c r="F158" i="34"/>
  <c r="G158" i="34" s="1"/>
  <c r="F142" i="34"/>
  <c r="G142" i="34" s="1"/>
  <c r="F143" i="34"/>
  <c r="G143" i="34" s="1"/>
  <c r="F159" i="34"/>
  <c r="G159" i="34" s="1"/>
  <c r="F151" i="34"/>
  <c r="G151" i="34" s="1"/>
  <c r="F161" i="34"/>
  <c r="G161" i="34" s="1"/>
  <c r="F146" i="34"/>
  <c r="G146" i="34" s="1"/>
  <c r="J77" i="18"/>
  <c r="J149" i="18"/>
  <c r="F75" i="18"/>
  <c r="G75" i="18" s="1"/>
  <c r="J47" i="18"/>
  <c r="D18" i="1"/>
  <c r="D18" i="34" s="1"/>
  <c r="E18" i="1"/>
  <c r="E18" i="34" s="1"/>
  <c r="H18" i="1"/>
  <c r="H18" i="34" s="1"/>
  <c r="D19" i="1"/>
  <c r="D19" i="34" s="1"/>
  <c r="E19" i="1"/>
  <c r="E19" i="34" s="1"/>
  <c r="H19" i="1"/>
  <c r="H19" i="34" s="1"/>
  <c r="D20" i="1"/>
  <c r="D20" i="34" s="1"/>
  <c r="E20" i="1"/>
  <c r="E20" i="34" s="1"/>
  <c r="H20" i="1"/>
  <c r="H20" i="34" s="1"/>
  <c r="D21" i="1"/>
  <c r="D21" i="34" s="1"/>
  <c r="E21" i="1"/>
  <c r="E21" i="34" s="1"/>
  <c r="H21" i="1"/>
  <c r="H21" i="34" s="1"/>
  <c r="D22" i="1"/>
  <c r="D22" i="34" s="1"/>
  <c r="E22" i="1"/>
  <c r="E22" i="34" s="1"/>
  <c r="H22" i="1"/>
  <c r="H22" i="34" s="1"/>
  <c r="D23" i="1"/>
  <c r="D23" i="34" s="1"/>
  <c r="E23" i="1"/>
  <c r="E23" i="34" s="1"/>
  <c r="H23" i="1"/>
  <c r="H23" i="34" s="1"/>
  <c r="D24" i="1"/>
  <c r="D24" i="34" s="1"/>
  <c r="E24" i="1"/>
  <c r="E24" i="34" s="1"/>
  <c r="H24" i="1"/>
  <c r="H24" i="34" s="1"/>
  <c r="D25" i="1"/>
  <c r="D25" i="34" s="1"/>
  <c r="E25" i="1"/>
  <c r="E25" i="34" s="1"/>
  <c r="H25" i="1"/>
  <c r="H25" i="34" s="1"/>
  <c r="D26" i="1"/>
  <c r="D26" i="34" s="1"/>
  <c r="E26" i="1"/>
  <c r="E26" i="34" s="1"/>
  <c r="H26" i="1"/>
  <c r="H26" i="34" s="1"/>
  <c r="D27" i="1"/>
  <c r="D27" i="34" s="1"/>
  <c r="E27" i="1"/>
  <c r="E27" i="34" s="1"/>
  <c r="H27" i="1"/>
  <c r="H27" i="34" s="1"/>
  <c r="D28" i="1"/>
  <c r="D28" i="34" s="1"/>
  <c r="E28" i="1"/>
  <c r="E28" i="34" s="1"/>
  <c r="H28" i="1"/>
  <c r="H28" i="34" s="1"/>
  <c r="D29" i="1"/>
  <c r="D29" i="34" s="1"/>
  <c r="E29" i="1"/>
  <c r="E29" i="34" s="1"/>
  <c r="H29" i="1"/>
  <c r="H29" i="34" s="1"/>
  <c r="D30" i="1"/>
  <c r="D30" i="34" s="1"/>
  <c r="E30" i="1"/>
  <c r="E30" i="34" s="1"/>
  <c r="H30" i="1"/>
  <c r="H30" i="34" s="1"/>
  <c r="D31" i="1"/>
  <c r="D31" i="34" s="1"/>
  <c r="E31" i="1"/>
  <c r="E31" i="34" s="1"/>
  <c r="H31" i="1"/>
  <c r="H31" i="34" s="1"/>
  <c r="D32" i="1"/>
  <c r="D32" i="34" s="1"/>
  <c r="E32" i="1"/>
  <c r="E32" i="34" s="1"/>
  <c r="H32" i="1"/>
  <c r="H32" i="34" s="1"/>
  <c r="D33" i="1"/>
  <c r="D33" i="34" s="1"/>
  <c r="E33" i="1"/>
  <c r="E33" i="34" s="1"/>
  <c r="H33" i="1"/>
  <c r="H33" i="34" s="1"/>
  <c r="D34" i="1"/>
  <c r="D34" i="34" s="1"/>
  <c r="E34" i="1"/>
  <c r="E34" i="34" s="1"/>
  <c r="H34" i="1"/>
  <c r="H34" i="34" s="1"/>
  <c r="D35" i="1"/>
  <c r="D35" i="34" s="1"/>
  <c r="E35" i="1"/>
  <c r="E35" i="34" s="1"/>
  <c r="H35" i="1"/>
  <c r="H35" i="34" s="1"/>
  <c r="D36" i="1"/>
  <c r="D36" i="34" s="1"/>
  <c r="E36" i="1"/>
  <c r="E36" i="34" s="1"/>
  <c r="H36" i="1"/>
  <c r="H36" i="34" s="1"/>
  <c r="D37" i="1"/>
  <c r="D37" i="34" s="1"/>
  <c r="E37" i="1"/>
  <c r="E37" i="34" s="1"/>
  <c r="H37" i="1"/>
  <c r="H37" i="34" s="1"/>
  <c r="D38" i="1"/>
  <c r="D38" i="34" s="1"/>
  <c r="E38" i="1"/>
  <c r="E38" i="34" s="1"/>
  <c r="H38" i="1"/>
  <c r="H38" i="34" s="1"/>
  <c r="D39" i="1"/>
  <c r="D39" i="34" s="1"/>
  <c r="E39" i="1"/>
  <c r="E39" i="34" s="1"/>
  <c r="H39" i="1"/>
  <c r="H39" i="34" s="1"/>
  <c r="D40" i="1"/>
  <c r="D40" i="34" s="1"/>
  <c r="E40" i="1"/>
  <c r="E40" i="34" s="1"/>
  <c r="H40" i="1"/>
  <c r="H40" i="34" s="1"/>
  <c r="D41" i="1"/>
  <c r="D41" i="34" s="1"/>
  <c r="E41" i="1"/>
  <c r="E41" i="34" s="1"/>
  <c r="H41" i="1"/>
  <c r="H41" i="34" s="1"/>
  <c r="D42" i="1"/>
  <c r="D42" i="34" s="1"/>
  <c r="E42" i="1"/>
  <c r="E42" i="34" s="1"/>
  <c r="H42" i="1"/>
  <c r="H42" i="34" s="1"/>
  <c r="D43" i="1"/>
  <c r="D43" i="34" s="1"/>
  <c r="E43" i="1"/>
  <c r="E43" i="34" s="1"/>
  <c r="H43" i="1"/>
  <c r="H43" i="34" s="1"/>
  <c r="D44" i="1"/>
  <c r="D44" i="34" s="1"/>
  <c r="E44" i="1"/>
  <c r="E44" i="34" s="1"/>
  <c r="H44" i="1"/>
  <c r="H44" i="34" s="1"/>
  <c r="D45" i="1"/>
  <c r="D45" i="34" s="1"/>
  <c r="E45" i="1"/>
  <c r="E45" i="34" s="1"/>
  <c r="H45" i="1"/>
  <c r="H45" i="34" s="1"/>
  <c r="D46" i="1"/>
  <c r="D46" i="34" s="1"/>
  <c r="E46" i="1"/>
  <c r="E46" i="34" s="1"/>
  <c r="H46" i="1"/>
  <c r="H46" i="34" s="1"/>
  <c r="D47" i="1"/>
  <c r="D47" i="34" s="1"/>
  <c r="E47" i="1"/>
  <c r="E47" i="34" s="1"/>
  <c r="H47" i="1"/>
  <c r="H47" i="34" s="1"/>
  <c r="D48" i="1"/>
  <c r="D48" i="34" s="1"/>
  <c r="E48" i="1"/>
  <c r="E48" i="34" s="1"/>
  <c r="H48" i="1"/>
  <c r="H48" i="34" s="1"/>
  <c r="D49" i="1"/>
  <c r="D49" i="34" s="1"/>
  <c r="E49" i="1"/>
  <c r="E49" i="34" s="1"/>
  <c r="H49" i="1"/>
  <c r="H49" i="34" s="1"/>
  <c r="D50" i="1"/>
  <c r="D50" i="34" s="1"/>
  <c r="E50" i="1"/>
  <c r="E50" i="34" s="1"/>
  <c r="H50" i="1"/>
  <c r="H50" i="34" s="1"/>
  <c r="D51" i="1"/>
  <c r="D51" i="34" s="1"/>
  <c r="E51" i="1"/>
  <c r="E51" i="34" s="1"/>
  <c r="H51" i="1"/>
  <c r="H51" i="34" s="1"/>
  <c r="D52" i="1"/>
  <c r="D52" i="34" s="1"/>
  <c r="E52" i="1"/>
  <c r="E52" i="34" s="1"/>
  <c r="H52" i="1"/>
  <c r="H52" i="34" s="1"/>
  <c r="D53" i="1"/>
  <c r="D53" i="34" s="1"/>
  <c r="E53" i="1"/>
  <c r="E53" i="34" s="1"/>
  <c r="H53" i="1"/>
  <c r="H53" i="34" s="1"/>
  <c r="D54" i="1"/>
  <c r="D54" i="34" s="1"/>
  <c r="E54" i="1"/>
  <c r="E54" i="34" s="1"/>
  <c r="H54" i="1"/>
  <c r="H54" i="34" s="1"/>
  <c r="D55" i="1"/>
  <c r="D55" i="34" s="1"/>
  <c r="E55" i="1"/>
  <c r="E55" i="34" s="1"/>
  <c r="H55" i="1"/>
  <c r="H55" i="34" s="1"/>
  <c r="D56" i="1"/>
  <c r="D56" i="34" s="1"/>
  <c r="E56" i="1"/>
  <c r="E56" i="34" s="1"/>
  <c r="H56" i="1"/>
  <c r="H56" i="34" s="1"/>
  <c r="D57" i="1"/>
  <c r="D57" i="34" s="1"/>
  <c r="E57" i="1"/>
  <c r="E57" i="34" s="1"/>
  <c r="H57" i="1"/>
  <c r="H57" i="34" s="1"/>
  <c r="D58" i="1"/>
  <c r="D58" i="34" s="1"/>
  <c r="E58" i="1"/>
  <c r="E58" i="34" s="1"/>
  <c r="H58" i="1"/>
  <c r="H58" i="34" s="1"/>
  <c r="D59" i="1"/>
  <c r="D59" i="34" s="1"/>
  <c r="E59" i="1"/>
  <c r="E59" i="34" s="1"/>
  <c r="H59" i="1"/>
  <c r="H59" i="34" s="1"/>
  <c r="D60" i="1"/>
  <c r="D60" i="34" s="1"/>
  <c r="E60" i="1"/>
  <c r="E60" i="34" s="1"/>
  <c r="H60" i="1"/>
  <c r="H60" i="34" s="1"/>
  <c r="D61" i="1"/>
  <c r="D61" i="34" s="1"/>
  <c r="E61" i="1"/>
  <c r="E61" i="34" s="1"/>
  <c r="H61" i="1"/>
  <c r="H61" i="34" s="1"/>
  <c r="D62" i="1"/>
  <c r="D62" i="34" s="1"/>
  <c r="E62" i="1"/>
  <c r="E62" i="34" s="1"/>
  <c r="H62" i="1"/>
  <c r="H62" i="34" s="1"/>
  <c r="D63" i="1"/>
  <c r="D63" i="34" s="1"/>
  <c r="E63" i="1"/>
  <c r="E63" i="34" s="1"/>
  <c r="H63" i="1"/>
  <c r="H63" i="34" s="1"/>
  <c r="D64" i="1"/>
  <c r="D64" i="34" s="1"/>
  <c r="E64" i="1"/>
  <c r="E64" i="34" s="1"/>
  <c r="H64" i="1"/>
  <c r="H64" i="34" s="1"/>
  <c r="D65" i="1"/>
  <c r="D65" i="34" s="1"/>
  <c r="E65" i="1"/>
  <c r="E65" i="34" s="1"/>
  <c r="H65" i="1"/>
  <c r="H65" i="34" s="1"/>
  <c r="D66" i="1"/>
  <c r="D66" i="34" s="1"/>
  <c r="E66" i="1"/>
  <c r="E66" i="34" s="1"/>
  <c r="H66" i="1"/>
  <c r="H66" i="34" s="1"/>
  <c r="D67" i="1"/>
  <c r="D67" i="34" s="1"/>
  <c r="E67" i="1"/>
  <c r="E67" i="34" s="1"/>
  <c r="H67" i="1"/>
  <c r="H67" i="34" s="1"/>
  <c r="D68" i="1"/>
  <c r="D68" i="34" s="1"/>
  <c r="E68" i="1"/>
  <c r="E68" i="34" s="1"/>
  <c r="H68" i="1"/>
  <c r="H68" i="34" s="1"/>
  <c r="D69" i="1"/>
  <c r="D69" i="34" s="1"/>
  <c r="E69" i="1"/>
  <c r="E69" i="34" s="1"/>
  <c r="H69" i="1"/>
  <c r="H69" i="34" s="1"/>
  <c r="D70" i="1"/>
  <c r="D70" i="34" s="1"/>
  <c r="E70" i="1"/>
  <c r="E70" i="34" s="1"/>
  <c r="H70" i="1"/>
  <c r="H70" i="34" s="1"/>
  <c r="D71" i="1"/>
  <c r="D71" i="34" s="1"/>
  <c r="E71" i="1"/>
  <c r="E71" i="34" s="1"/>
  <c r="H71" i="1"/>
  <c r="H71" i="34" s="1"/>
  <c r="D72" i="1"/>
  <c r="D72" i="34" s="1"/>
  <c r="E72" i="1"/>
  <c r="E72" i="34" s="1"/>
  <c r="H72" i="1"/>
  <c r="H72" i="34" s="1"/>
  <c r="D73" i="1"/>
  <c r="D73" i="34" s="1"/>
  <c r="E73" i="1"/>
  <c r="E73" i="34" s="1"/>
  <c r="H73" i="1"/>
  <c r="H73" i="34" s="1"/>
  <c r="D74" i="1"/>
  <c r="D74" i="34" s="1"/>
  <c r="E74" i="1"/>
  <c r="E74" i="34" s="1"/>
  <c r="H74" i="1"/>
  <c r="H74" i="34" s="1"/>
  <c r="D75" i="1"/>
  <c r="D75" i="34" s="1"/>
  <c r="E75" i="1"/>
  <c r="E75" i="34" s="1"/>
  <c r="H75" i="1"/>
  <c r="H75" i="34" s="1"/>
  <c r="D76" i="1"/>
  <c r="D76" i="34" s="1"/>
  <c r="E76" i="1"/>
  <c r="E76" i="34" s="1"/>
  <c r="H76" i="1"/>
  <c r="H76" i="34" s="1"/>
  <c r="D77" i="1"/>
  <c r="D77" i="34" s="1"/>
  <c r="E77" i="1"/>
  <c r="E77" i="34" s="1"/>
  <c r="H77" i="1"/>
  <c r="H77" i="34" s="1"/>
  <c r="D78" i="1"/>
  <c r="D78" i="34" s="1"/>
  <c r="E78" i="1"/>
  <c r="E78" i="34" s="1"/>
  <c r="H78" i="1"/>
  <c r="H78" i="34" s="1"/>
  <c r="D79" i="1"/>
  <c r="D79" i="34" s="1"/>
  <c r="E79" i="1"/>
  <c r="E79" i="34" s="1"/>
  <c r="H79" i="1"/>
  <c r="H79" i="34" s="1"/>
  <c r="D80" i="1"/>
  <c r="D80" i="34" s="1"/>
  <c r="E80" i="1"/>
  <c r="E80" i="34" s="1"/>
  <c r="H80" i="1"/>
  <c r="H80" i="34" s="1"/>
  <c r="D81" i="1"/>
  <c r="D81" i="34" s="1"/>
  <c r="E81" i="1"/>
  <c r="E81" i="34" s="1"/>
  <c r="H81" i="1"/>
  <c r="H81" i="34" s="1"/>
  <c r="D82" i="1"/>
  <c r="D82" i="34" s="1"/>
  <c r="E82" i="1"/>
  <c r="E82" i="34" s="1"/>
  <c r="H82" i="1"/>
  <c r="H82" i="34" s="1"/>
  <c r="D83" i="1"/>
  <c r="D83" i="34" s="1"/>
  <c r="E83" i="1"/>
  <c r="E83" i="34" s="1"/>
  <c r="H83" i="1"/>
  <c r="H83" i="34" s="1"/>
  <c r="D84" i="1"/>
  <c r="D84" i="34" s="1"/>
  <c r="E84" i="1"/>
  <c r="E84" i="34" s="1"/>
  <c r="H84" i="1"/>
  <c r="H84" i="34" s="1"/>
  <c r="D85" i="1"/>
  <c r="D85" i="34" s="1"/>
  <c r="E85" i="1"/>
  <c r="E85" i="34" s="1"/>
  <c r="H85" i="1"/>
  <c r="H85" i="34" s="1"/>
  <c r="D86" i="1"/>
  <c r="D86" i="34" s="1"/>
  <c r="E86" i="1"/>
  <c r="E86" i="34" s="1"/>
  <c r="H86" i="1"/>
  <c r="H86" i="34" s="1"/>
  <c r="D87" i="1"/>
  <c r="D87" i="34" s="1"/>
  <c r="E87" i="1"/>
  <c r="E87" i="34" s="1"/>
  <c r="H87" i="1"/>
  <c r="H87" i="34" s="1"/>
  <c r="D88" i="1"/>
  <c r="D88" i="34" s="1"/>
  <c r="E88" i="1"/>
  <c r="E88" i="34" s="1"/>
  <c r="H88" i="1"/>
  <c r="H88" i="34" s="1"/>
  <c r="D89" i="1"/>
  <c r="D89" i="34" s="1"/>
  <c r="E89" i="1"/>
  <c r="E89" i="34" s="1"/>
  <c r="H89" i="1"/>
  <c r="H89" i="34" s="1"/>
  <c r="D90" i="1"/>
  <c r="D90" i="34" s="1"/>
  <c r="E90" i="1"/>
  <c r="E90" i="34" s="1"/>
  <c r="H90" i="1"/>
  <c r="H90" i="34" s="1"/>
  <c r="D91" i="1"/>
  <c r="D91" i="34" s="1"/>
  <c r="E91" i="1"/>
  <c r="E91" i="34" s="1"/>
  <c r="H91" i="1"/>
  <c r="H91" i="34" s="1"/>
  <c r="D92" i="1"/>
  <c r="D92" i="34" s="1"/>
  <c r="E92" i="1"/>
  <c r="E92" i="34" s="1"/>
  <c r="H92" i="1"/>
  <c r="H92" i="34" s="1"/>
  <c r="D93" i="1"/>
  <c r="D93" i="34" s="1"/>
  <c r="E93" i="1"/>
  <c r="E93" i="34" s="1"/>
  <c r="H93" i="1"/>
  <c r="H93" i="34" s="1"/>
  <c r="D94" i="1"/>
  <c r="D94" i="34" s="1"/>
  <c r="E94" i="1"/>
  <c r="E94" i="34" s="1"/>
  <c r="H94" i="1"/>
  <c r="H94" i="34" s="1"/>
  <c r="D95" i="1"/>
  <c r="D95" i="34" s="1"/>
  <c r="E95" i="1"/>
  <c r="E95" i="34" s="1"/>
  <c r="H95" i="1"/>
  <c r="H95" i="34" s="1"/>
  <c r="D96" i="1"/>
  <c r="D96" i="34" s="1"/>
  <c r="E96" i="1"/>
  <c r="E96" i="34" s="1"/>
  <c r="H96" i="1"/>
  <c r="H96" i="34" s="1"/>
  <c r="D97" i="1"/>
  <c r="D97" i="34" s="1"/>
  <c r="E97" i="1"/>
  <c r="E97" i="34" s="1"/>
  <c r="H97" i="1"/>
  <c r="H97" i="34" s="1"/>
  <c r="D98" i="1"/>
  <c r="D98" i="34" s="1"/>
  <c r="E98" i="1"/>
  <c r="E98" i="34" s="1"/>
  <c r="H98" i="1"/>
  <c r="H98" i="34" s="1"/>
  <c r="D99" i="1"/>
  <c r="D99" i="34" s="1"/>
  <c r="E99" i="1"/>
  <c r="E99" i="34" s="1"/>
  <c r="H99" i="1"/>
  <c r="H99" i="34" s="1"/>
  <c r="D100" i="1"/>
  <c r="D100" i="34" s="1"/>
  <c r="E100" i="1"/>
  <c r="E100" i="34" s="1"/>
  <c r="H100" i="1"/>
  <c r="H100" i="34" s="1"/>
  <c r="D101" i="1"/>
  <c r="D101" i="34" s="1"/>
  <c r="E101" i="1"/>
  <c r="H101" i="1"/>
  <c r="H101" i="34" s="1"/>
  <c r="D102" i="1"/>
  <c r="D102" i="34" s="1"/>
  <c r="E102" i="1"/>
  <c r="E102" i="34" s="1"/>
  <c r="H102" i="1"/>
  <c r="H102" i="34" s="1"/>
  <c r="D103" i="1"/>
  <c r="D103" i="34" s="1"/>
  <c r="E103" i="1"/>
  <c r="E103" i="34" s="1"/>
  <c r="H103" i="1"/>
  <c r="H103" i="34" s="1"/>
  <c r="D104" i="1"/>
  <c r="D104" i="34" s="1"/>
  <c r="E104" i="1"/>
  <c r="E104" i="34" s="1"/>
  <c r="H104" i="1"/>
  <c r="H104" i="34" s="1"/>
  <c r="D105" i="1"/>
  <c r="D105" i="34" s="1"/>
  <c r="E105" i="1"/>
  <c r="E105" i="34" s="1"/>
  <c r="H105" i="1"/>
  <c r="H105" i="34" s="1"/>
  <c r="D106" i="1"/>
  <c r="D106" i="34" s="1"/>
  <c r="E106" i="1"/>
  <c r="E106" i="34" s="1"/>
  <c r="H106" i="1"/>
  <c r="H106" i="34" s="1"/>
  <c r="D107" i="1"/>
  <c r="D107" i="34" s="1"/>
  <c r="E107" i="1"/>
  <c r="E107" i="34" s="1"/>
  <c r="H107" i="1"/>
  <c r="H107" i="34" s="1"/>
  <c r="D108" i="1"/>
  <c r="D108" i="34" s="1"/>
  <c r="E108" i="1"/>
  <c r="E108" i="34" s="1"/>
  <c r="H108" i="1"/>
  <c r="H108" i="34" s="1"/>
  <c r="D109" i="1"/>
  <c r="D109" i="34" s="1"/>
  <c r="E109" i="1"/>
  <c r="E109" i="34" s="1"/>
  <c r="H109" i="1"/>
  <c r="H109" i="34" s="1"/>
  <c r="D110" i="1"/>
  <c r="D110" i="34" s="1"/>
  <c r="E110" i="1"/>
  <c r="E110" i="34" s="1"/>
  <c r="H110" i="1"/>
  <c r="H110" i="34" s="1"/>
  <c r="D111" i="1"/>
  <c r="D111" i="34" s="1"/>
  <c r="E111" i="1"/>
  <c r="E111" i="34" s="1"/>
  <c r="H111" i="1"/>
  <c r="H111" i="34" s="1"/>
  <c r="D112" i="1"/>
  <c r="D112" i="34" s="1"/>
  <c r="E112" i="1"/>
  <c r="E112" i="34" s="1"/>
  <c r="H112" i="1"/>
  <c r="H112" i="34" s="1"/>
  <c r="D113" i="1"/>
  <c r="D113" i="34" s="1"/>
  <c r="E113" i="1"/>
  <c r="E113" i="34" s="1"/>
  <c r="H113" i="1"/>
  <c r="H113" i="34" s="1"/>
  <c r="D114" i="1"/>
  <c r="D114" i="34" s="1"/>
  <c r="E114" i="1"/>
  <c r="E114" i="34" s="1"/>
  <c r="H114" i="1"/>
  <c r="H114" i="34" s="1"/>
  <c r="D115" i="1"/>
  <c r="D115" i="34" s="1"/>
  <c r="E115" i="1"/>
  <c r="E115" i="34" s="1"/>
  <c r="H115" i="1"/>
  <c r="H115" i="34" s="1"/>
  <c r="D116" i="1"/>
  <c r="D116" i="34" s="1"/>
  <c r="E116" i="1"/>
  <c r="E116" i="34" s="1"/>
  <c r="H116" i="1"/>
  <c r="H116" i="34" s="1"/>
  <c r="D117" i="1"/>
  <c r="D117" i="34" s="1"/>
  <c r="E117" i="1"/>
  <c r="E117" i="34" s="1"/>
  <c r="H117" i="1"/>
  <c r="H117" i="34" s="1"/>
  <c r="D118" i="1"/>
  <c r="D118" i="34" s="1"/>
  <c r="E118" i="1"/>
  <c r="E118" i="34" s="1"/>
  <c r="H118" i="1"/>
  <c r="H118" i="34" s="1"/>
  <c r="D119" i="1"/>
  <c r="D119" i="34" s="1"/>
  <c r="E119" i="1"/>
  <c r="E119" i="34" s="1"/>
  <c r="H119" i="1"/>
  <c r="H119" i="34" s="1"/>
  <c r="D120" i="1"/>
  <c r="D120" i="34" s="1"/>
  <c r="E120" i="1"/>
  <c r="E120" i="34" s="1"/>
  <c r="H120" i="1"/>
  <c r="H120" i="34" s="1"/>
  <c r="D121" i="1"/>
  <c r="D121" i="34" s="1"/>
  <c r="E121" i="1"/>
  <c r="E121" i="34" s="1"/>
  <c r="H121" i="1"/>
  <c r="H121" i="34" s="1"/>
  <c r="D122" i="1"/>
  <c r="D122" i="34" s="1"/>
  <c r="E122" i="1"/>
  <c r="E122" i="34" s="1"/>
  <c r="H122" i="1"/>
  <c r="H122" i="34" s="1"/>
  <c r="D123" i="1"/>
  <c r="D123" i="34" s="1"/>
  <c r="E123" i="1"/>
  <c r="E123" i="34" s="1"/>
  <c r="H123" i="1"/>
  <c r="H123" i="34" s="1"/>
  <c r="D124" i="1"/>
  <c r="D124" i="34" s="1"/>
  <c r="E124" i="1"/>
  <c r="E124" i="34" s="1"/>
  <c r="H124" i="1"/>
  <c r="H124" i="34" s="1"/>
  <c r="D125" i="1"/>
  <c r="D125" i="34" s="1"/>
  <c r="E125" i="1"/>
  <c r="E125" i="34" s="1"/>
  <c r="H125" i="1"/>
  <c r="H125" i="34" s="1"/>
  <c r="D126" i="1"/>
  <c r="D126" i="34" s="1"/>
  <c r="E126" i="1"/>
  <c r="E126" i="34" s="1"/>
  <c r="H126" i="1"/>
  <c r="H126" i="34" s="1"/>
  <c r="D127" i="1"/>
  <c r="D127" i="34" s="1"/>
  <c r="E127" i="1"/>
  <c r="E127" i="34" s="1"/>
  <c r="H127" i="1"/>
  <c r="H127" i="34" s="1"/>
  <c r="D128" i="1"/>
  <c r="D128" i="34" s="1"/>
  <c r="E128" i="1"/>
  <c r="E128" i="34" s="1"/>
  <c r="H128" i="1"/>
  <c r="H128" i="34" s="1"/>
  <c r="D129" i="1"/>
  <c r="D129" i="34" s="1"/>
  <c r="E129" i="1"/>
  <c r="E129" i="34" s="1"/>
  <c r="H129" i="1"/>
  <c r="H129" i="34" s="1"/>
  <c r="D130" i="1"/>
  <c r="D130" i="34" s="1"/>
  <c r="E130" i="1"/>
  <c r="E130" i="34" s="1"/>
  <c r="H130" i="1"/>
  <c r="H130" i="34" s="1"/>
  <c r="D131" i="1"/>
  <c r="D131" i="34" s="1"/>
  <c r="E131" i="1"/>
  <c r="E131" i="34" s="1"/>
  <c r="H131" i="1"/>
  <c r="H131" i="34" s="1"/>
  <c r="D132" i="1"/>
  <c r="D132" i="34" s="1"/>
  <c r="E132" i="1"/>
  <c r="E132" i="34" s="1"/>
  <c r="H132" i="1"/>
  <c r="H132" i="34" s="1"/>
  <c r="D133" i="1"/>
  <c r="D133" i="34" s="1"/>
  <c r="E133" i="1"/>
  <c r="E133" i="34" s="1"/>
  <c r="H133" i="1"/>
  <c r="H133" i="34" s="1"/>
  <c r="D134" i="1"/>
  <c r="D134" i="34" s="1"/>
  <c r="E134" i="1"/>
  <c r="E134" i="34" s="1"/>
  <c r="H134" i="1"/>
  <c r="H134" i="34" s="1"/>
  <c r="D135" i="1"/>
  <c r="D135" i="34" s="1"/>
  <c r="E135" i="1"/>
  <c r="E135" i="34" s="1"/>
  <c r="H135" i="1"/>
  <c r="H135" i="34" s="1"/>
  <c r="D136" i="1"/>
  <c r="D136" i="34" s="1"/>
  <c r="E136" i="1"/>
  <c r="E136" i="34" s="1"/>
  <c r="H136" i="1"/>
  <c r="H136" i="34" s="1"/>
  <c r="D137" i="1"/>
  <c r="D137" i="34" s="1"/>
  <c r="H137" i="1"/>
  <c r="H137" i="34" s="1"/>
  <c r="F101" i="1" l="1"/>
  <c r="G101" i="1" s="1"/>
  <c r="E101" i="34"/>
  <c r="F101" i="34" s="1"/>
  <c r="G101" i="34" s="1"/>
  <c r="F127" i="1"/>
  <c r="G127" i="1" s="1"/>
  <c r="F19" i="1"/>
  <c r="G19" i="1" s="1"/>
  <c r="F113" i="34"/>
  <c r="G113" i="34" s="1"/>
  <c r="F25" i="34"/>
  <c r="G25" i="34" s="1"/>
  <c r="F57" i="34"/>
  <c r="G57" i="34" s="1"/>
  <c r="F53" i="34"/>
  <c r="G53" i="34" s="1"/>
  <c r="F126" i="1"/>
  <c r="G126" i="1" s="1"/>
  <c r="F112" i="34"/>
  <c r="G112" i="34" s="1"/>
  <c r="F64" i="34"/>
  <c r="G64" i="34" s="1"/>
  <c r="F40" i="34"/>
  <c r="G40" i="34" s="1"/>
  <c r="F77" i="34"/>
  <c r="G77" i="34" s="1"/>
  <c r="F33" i="34"/>
  <c r="G33" i="34" s="1"/>
  <c r="F128" i="1"/>
  <c r="G128" i="1" s="1"/>
  <c r="F65" i="34"/>
  <c r="G65" i="34" s="1"/>
  <c r="F26" i="1"/>
  <c r="G26" i="1" s="1"/>
  <c r="F114" i="34"/>
  <c r="G114" i="34" s="1"/>
  <c r="F66" i="34"/>
  <c r="G66" i="34" s="1"/>
  <c r="F46" i="34"/>
  <c r="G46" i="34" s="1"/>
  <c r="F34" i="34"/>
  <c r="G34" i="34" s="1"/>
  <c r="F18" i="34"/>
  <c r="G18" i="34" s="1"/>
  <c r="F70" i="1"/>
  <c r="G70" i="1" s="1"/>
  <c r="F127" i="34"/>
  <c r="G127" i="34" s="1"/>
  <c r="F36" i="1"/>
  <c r="G36" i="1" s="1"/>
  <c r="F125" i="34"/>
  <c r="G125" i="34" s="1"/>
  <c r="F105" i="1"/>
  <c r="G105" i="1" s="1"/>
  <c r="F97" i="1"/>
  <c r="G97" i="1" s="1"/>
  <c r="F73" i="1"/>
  <c r="G73" i="1" s="1"/>
  <c r="F65" i="1"/>
  <c r="G65" i="1" s="1"/>
  <c r="F54" i="1"/>
  <c r="G54" i="1" s="1"/>
  <c r="F46" i="1"/>
  <c r="G46" i="1" s="1"/>
  <c r="F38" i="1"/>
  <c r="G38" i="1" s="1"/>
  <c r="F112" i="1"/>
  <c r="G112" i="1" s="1"/>
  <c r="F72" i="1"/>
  <c r="G72" i="1" s="1"/>
  <c r="F64" i="1"/>
  <c r="G64" i="1" s="1"/>
  <c r="F24" i="1"/>
  <c r="G24" i="1" s="1"/>
  <c r="F123" i="34"/>
  <c r="G123" i="34" s="1"/>
  <c r="F53" i="1"/>
  <c r="G53" i="1" s="1"/>
  <c r="F45" i="1"/>
  <c r="G45" i="1" s="1"/>
  <c r="F55" i="34"/>
  <c r="G55" i="34" s="1"/>
  <c r="F51" i="34"/>
  <c r="G51" i="34" s="1"/>
  <c r="F35" i="34"/>
  <c r="G35" i="34" s="1"/>
  <c r="F23" i="34"/>
  <c r="G23" i="34" s="1"/>
  <c r="F19" i="34"/>
  <c r="G19" i="34" s="1"/>
  <c r="F23" i="1"/>
  <c r="G23" i="1" s="1"/>
  <c r="F124" i="1"/>
  <c r="G124" i="1" s="1"/>
  <c r="F68" i="1"/>
  <c r="G68" i="1" s="1"/>
  <c r="F63" i="1"/>
  <c r="G63" i="1" s="1"/>
  <c r="F55" i="1"/>
  <c r="G55" i="1" s="1"/>
  <c r="F50" i="1"/>
  <c r="G50" i="1" s="1"/>
  <c r="F39" i="1"/>
  <c r="G39" i="1" s="1"/>
  <c r="F37" i="1"/>
  <c r="G37" i="1" s="1"/>
  <c r="F29" i="1"/>
  <c r="G29" i="1" s="1"/>
  <c r="F21" i="1"/>
  <c r="G21" i="1" s="1"/>
  <c r="F135" i="34"/>
  <c r="G135" i="34" s="1"/>
  <c r="F131" i="34"/>
  <c r="G131" i="34" s="1"/>
  <c r="F73" i="34"/>
  <c r="G73" i="34" s="1"/>
  <c r="F47" i="34"/>
  <c r="G47" i="34" s="1"/>
  <c r="F39" i="34"/>
  <c r="G39" i="34" s="1"/>
  <c r="F31" i="34"/>
  <c r="G31" i="34" s="1"/>
  <c r="F52" i="1"/>
  <c r="G52" i="1" s="1"/>
  <c r="F123" i="1"/>
  <c r="G123" i="1" s="1"/>
  <c r="F67" i="1"/>
  <c r="G67" i="1" s="1"/>
  <c r="F27" i="34"/>
  <c r="G27" i="34" s="1"/>
  <c r="F25" i="1"/>
  <c r="G25" i="1" s="1"/>
  <c r="F71" i="34"/>
  <c r="G71" i="34" s="1"/>
  <c r="F56" i="34"/>
  <c r="G56" i="34" s="1"/>
  <c r="F117" i="1"/>
  <c r="G117" i="1" s="1"/>
  <c r="F56" i="1"/>
  <c r="G56" i="1" s="1"/>
  <c r="F51" i="1"/>
  <c r="G51" i="1" s="1"/>
  <c r="F26" i="34"/>
  <c r="G26" i="34" s="1"/>
  <c r="F111" i="1"/>
  <c r="G111" i="1" s="1"/>
  <c r="F66" i="1"/>
  <c r="G66" i="1" s="1"/>
  <c r="F61" i="1"/>
  <c r="G61" i="1" s="1"/>
  <c r="F40" i="1"/>
  <c r="G40" i="1" s="1"/>
  <c r="F35" i="1"/>
  <c r="G35" i="1" s="1"/>
  <c r="F128" i="34"/>
  <c r="G128" i="34" s="1"/>
  <c r="F124" i="34"/>
  <c r="G124" i="34" s="1"/>
  <c r="F133" i="1"/>
  <c r="G133" i="1" s="1"/>
  <c r="F113" i="1"/>
  <c r="G113" i="1" s="1"/>
  <c r="F84" i="1"/>
  <c r="G84" i="1" s="1"/>
  <c r="F48" i="1"/>
  <c r="G48" i="1" s="1"/>
  <c r="F33" i="1"/>
  <c r="G33" i="1" s="1"/>
  <c r="F30" i="1"/>
  <c r="G30" i="1" s="1"/>
  <c r="F137" i="34"/>
  <c r="G137" i="34" s="1"/>
  <c r="F91" i="34"/>
  <c r="G91" i="34" s="1"/>
  <c r="F79" i="34"/>
  <c r="G79" i="34" s="1"/>
  <c r="F70" i="34"/>
  <c r="G70" i="34" s="1"/>
  <c r="F49" i="34"/>
  <c r="G49" i="34" s="1"/>
  <c r="F20" i="1"/>
  <c r="G20" i="1" s="1"/>
  <c r="F134" i="34"/>
  <c r="G134" i="34" s="1"/>
  <c r="F121" i="34"/>
  <c r="G121" i="34" s="1"/>
  <c r="F115" i="34"/>
  <c r="G115" i="34" s="1"/>
  <c r="F72" i="34"/>
  <c r="G72" i="34" s="1"/>
  <c r="F67" i="34"/>
  <c r="G67" i="34" s="1"/>
  <c r="F59" i="34"/>
  <c r="G59" i="34" s="1"/>
  <c r="F54" i="34"/>
  <c r="G54" i="34" s="1"/>
  <c r="F130" i="1"/>
  <c r="G130" i="1" s="1"/>
  <c r="F115" i="1"/>
  <c r="G115" i="1" s="1"/>
  <c r="F102" i="1"/>
  <c r="G102" i="1" s="1"/>
  <c r="F135" i="1"/>
  <c r="G135" i="1" s="1"/>
  <c r="F125" i="1"/>
  <c r="G125" i="1" s="1"/>
  <c r="F99" i="1"/>
  <c r="G99" i="1" s="1"/>
  <c r="F96" i="1"/>
  <c r="G96" i="1" s="1"/>
  <c r="F91" i="1"/>
  <c r="G91" i="1" s="1"/>
  <c r="F88" i="1"/>
  <c r="G88" i="1" s="1"/>
  <c r="F57" i="1"/>
  <c r="G57" i="1" s="1"/>
  <c r="F42" i="1"/>
  <c r="G42" i="1" s="1"/>
  <c r="F32" i="1"/>
  <c r="G32" i="1" s="1"/>
  <c r="F27" i="1"/>
  <c r="G27" i="1" s="1"/>
  <c r="F133" i="34"/>
  <c r="G133" i="34" s="1"/>
  <c r="F126" i="34"/>
  <c r="G126" i="34" s="1"/>
  <c r="F117" i="34"/>
  <c r="G117" i="34" s="1"/>
  <c r="F102" i="34"/>
  <c r="G102" i="34" s="1"/>
  <c r="F74" i="34"/>
  <c r="G74" i="34" s="1"/>
  <c r="F61" i="34"/>
  <c r="G61" i="34" s="1"/>
  <c r="F48" i="34"/>
  <c r="G48" i="34" s="1"/>
  <c r="F43" i="34"/>
  <c r="G43" i="34" s="1"/>
  <c r="F38" i="34"/>
  <c r="G38" i="34" s="1"/>
  <c r="F137" i="1"/>
  <c r="G137" i="1" s="1"/>
  <c r="F114" i="1"/>
  <c r="G114" i="1" s="1"/>
  <c r="F109" i="1"/>
  <c r="G109" i="1" s="1"/>
  <c r="F82" i="1"/>
  <c r="G82" i="1" s="1"/>
  <c r="F69" i="1"/>
  <c r="G69" i="1" s="1"/>
  <c r="F59" i="1"/>
  <c r="G59" i="1" s="1"/>
  <c r="F49" i="1"/>
  <c r="G49" i="1" s="1"/>
  <c r="F44" i="1"/>
  <c r="G44" i="1" s="1"/>
  <c r="F34" i="1"/>
  <c r="G34" i="1" s="1"/>
  <c r="F130" i="34"/>
  <c r="G130" i="34" s="1"/>
  <c r="F116" i="34"/>
  <c r="G116" i="34" s="1"/>
  <c r="F111" i="34"/>
  <c r="G111" i="34" s="1"/>
  <c r="F50" i="34"/>
  <c r="G50" i="34" s="1"/>
  <c r="F45" i="34"/>
  <c r="G45" i="34" s="1"/>
  <c r="F32" i="34"/>
  <c r="G32" i="34" s="1"/>
  <c r="F24" i="34"/>
  <c r="G24" i="34" s="1"/>
  <c r="F79" i="1"/>
  <c r="G79" i="1" s="1"/>
  <c r="F71" i="1"/>
  <c r="G71" i="1" s="1"/>
  <c r="F42" i="34"/>
  <c r="G42" i="34" s="1"/>
  <c r="F29" i="34"/>
  <c r="G29" i="34" s="1"/>
  <c r="F21" i="34"/>
  <c r="G21" i="34" s="1"/>
  <c r="F131" i="1"/>
  <c r="G131" i="1" s="1"/>
  <c r="F116" i="1"/>
  <c r="G116" i="1" s="1"/>
  <c r="F28" i="1"/>
  <c r="G28" i="1" s="1"/>
  <c r="F30" i="34"/>
  <c r="G30" i="34" s="1"/>
  <c r="F41" i="1"/>
  <c r="G41" i="1" s="1"/>
  <c r="F41" i="34"/>
  <c r="G41" i="34" s="1"/>
  <c r="F37" i="34"/>
  <c r="G37" i="34" s="1"/>
  <c r="F43" i="1"/>
  <c r="G43" i="1" s="1"/>
  <c r="F60" i="1"/>
  <c r="G60" i="1" s="1"/>
  <c r="F63" i="34"/>
  <c r="G63" i="34" s="1"/>
  <c r="F62" i="34"/>
  <c r="G62" i="34" s="1"/>
  <c r="F62" i="1"/>
  <c r="G62" i="1" s="1"/>
  <c r="F69" i="34"/>
  <c r="G69" i="34" s="1"/>
  <c r="F119" i="34"/>
  <c r="G119" i="34" s="1"/>
  <c r="F118" i="1"/>
  <c r="G118" i="1" s="1"/>
  <c r="F136" i="1"/>
  <c r="G136" i="1" s="1"/>
  <c r="F136" i="34"/>
  <c r="G136" i="34" s="1"/>
  <c r="F134" i="1"/>
  <c r="G134" i="1" s="1"/>
  <c r="F132" i="1"/>
  <c r="G132" i="1" s="1"/>
  <c r="F129" i="1"/>
  <c r="G129" i="1" s="1"/>
  <c r="F129" i="34"/>
  <c r="G129" i="34" s="1"/>
  <c r="F122" i="34"/>
  <c r="G122" i="34" s="1"/>
  <c r="F122" i="1"/>
  <c r="G122" i="1" s="1"/>
  <c r="F121" i="1"/>
  <c r="G121" i="1" s="1"/>
  <c r="F120" i="1"/>
  <c r="G120" i="1" s="1"/>
  <c r="F120" i="34"/>
  <c r="G120" i="34" s="1"/>
  <c r="F118" i="34"/>
  <c r="G118" i="34" s="1"/>
  <c r="F58" i="34"/>
  <c r="G58" i="34" s="1"/>
  <c r="F58" i="1"/>
  <c r="G58" i="1" s="1"/>
  <c r="F18" i="1"/>
  <c r="G18" i="1" s="1"/>
  <c r="F22" i="1"/>
  <c r="G22" i="1" s="1"/>
  <c r="F22" i="34"/>
  <c r="G22" i="34" s="1"/>
  <c r="F110" i="1"/>
  <c r="G110" i="1" s="1"/>
  <c r="F110" i="34"/>
  <c r="G110" i="34" s="1"/>
  <c r="F109" i="34"/>
  <c r="G109" i="34" s="1"/>
  <c r="F108" i="1"/>
  <c r="G108" i="1" s="1"/>
  <c r="F107" i="1"/>
  <c r="G107" i="1" s="1"/>
  <c r="F107" i="34"/>
  <c r="G107" i="34" s="1"/>
  <c r="F106" i="34"/>
  <c r="G106" i="34" s="1"/>
  <c r="F105" i="34"/>
  <c r="G105" i="34" s="1"/>
  <c r="F104" i="1"/>
  <c r="G104" i="1" s="1"/>
  <c r="F104" i="34"/>
  <c r="G104" i="34" s="1"/>
  <c r="F103" i="34"/>
  <c r="G103" i="34" s="1"/>
  <c r="F100" i="1"/>
  <c r="G100" i="1" s="1"/>
  <c r="F99" i="34"/>
  <c r="G99" i="34" s="1"/>
  <c r="F98" i="34"/>
  <c r="G98" i="34" s="1"/>
  <c r="F97" i="34"/>
  <c r="G97" i="34" s="1"/>
  <c r="F96" i="34"/>
  <c r="G96" i="34" s="1"/>
  <c r="F95" i="34"/>
  <c r="G95" i="34" s="1"/>
  <c r="F94" i="1"/>
  <c r="G94" i="1" s="1"/>
  <c r="F94" i="34"/>
  <c r="G94" i="34" s="1"/>
  <c r="F93" i="1"/>
  <c r="G93" i="1" s="1"/>
  <c r="F93" i="34"/>
  <c r="G93" i="34" s="1"/>
  <c r="F92" i="1"/>
  <c r="G92" i="1" s="1"/>
  <c r="F88" i="34"/>
  <c r="G88" i="34" s="1"/>
  <c r="F90" i="34"/>
  <c r="G90" i="34" s="1"/>
  <c r="F86" i="1"/>
  <c r="G86" i="1" s="1"/>
  <c r="F87" i="34"/>
  <c r="G87" i="34" s="1"/>
  <c r="F89" i="34"/>
  <c r="G89" i="34" s="1"/>
  <c r="F86" i="34"/>
  <c r="G86" i="34" s="1"/>
  <c r="F89" i="1"/>
  <c r="G89" i="1" s="1"/>
  <c r="F95" i="1"/>
  <c r="G95" i="1" s="1"/>
  <c r="F92" i="34"/>
  <c r="G92" i="34" s="1"/>
  <c r="F87" i="1"/>
  <c r="G87" i="1" s="1"/>
  <c r="F85" i="1"/>
  <c r="G85" i="1" s="1"/>
  <c r="F85" i="34"/>
  <c r="G85" i="34" s="1"/>
  <c r="F119" i="1"/>
  <c r="G119" i="1" s="1"/>
  <c r="F90" i="1"/>
  <c r="G90" i="1" s="1"/>
  <c r="F31" i="1"/>
  <c r="G31" i="1" s="1"/>
  <c r="F84" i="34"/>
  <c r="G84" i="34" s="1"/>
  <c r="F60" i="34"/>
  <c r="G60" i="34" s="1"/>
  <c r="F44" i="34"/>
  <c r="G44" i="34" s="1"/>
  <c r="F28" i="34"/>
  <c r="G28" i="34" s="1"/>
  <c r="F74" i="1"/>
  <c r="G74" i="1" s="1"/>
  <c r="F132" i="34"/>
  <c r="G132" i="34" s="1"/>
  <c r="F47" i="1"/>
  <c r="G47" i="1" s="1"/>
  <c r="F68" i="34"/>
  <c r="G68" i="34" s="1"/>
  <c r="F52" i="34"/>
  <c r="G52" i="34" s="1"/>
  <c r="F36" i="34"/>
  <c r="G36" i="34" s="1"/>
  <c r="F20" i="34"/>
  <c r="G20" i="34" s="1"/>
  <c r="F75" i="34"/>
  <c r="G75" i="34" s="1"/>
  <c r="F75" i="1"/>
  <c r="G75" i="1" s="1"/>
  <c r="F76" i="1"/>
  <c r="G76" i="1" s="1"/>
  <c r="F77" i="1"/>
  <c r="G77" i="1" s="1"/>
  <c r="F83" i="34"/>
  <c r="G83" i="34" s="1"/>
  <c r="F83" i="1"/>
  <c r="G83" i="1" s="1"/>
  <c r="F82" i="34"/>
  <c r="G82" i="34" s="1"/>
  <c r="F80" i="34"/>
  <c r="G80" i="34" s="1"/>
  <c r="F81" i="1"/>
  <c r="G81" i="1" s="1"/>
  <c r="F81" i="34"/>
  <c r="G81" i="34" s="1"/>
  <c r="F80" i="1"/>
  <c r="G80" i="1" s="1"/>
  <c r="F76" i="34"/>
  <c r="G76" i="34" s="1"/>
  <c r="F78" i="1"/>
  <c r="G78" i="1" s="1"/>
  <c r="F78" i="34"/>
  <c r="G78" i="34" s="1"/>
  <c r="F100" i="34"/>
  <c r="G100" i="34" s="1"/>
  <c r="F106" i="1"/>
  <c r="G106" i="1" s="1"/>
  <c r="F108" i="34"/>
  <c r="G108" i="34" s="1"/>
  <c r="F103" i="1"/>
  <c r="G103" i="1" s="1"/>
  <c r="F98" i="1"/>
  <c r="G98" i="1" s="1"/>
  <c r="F18" i="3"/>
  <c r="G18" i="3" s="1"/>
  <c r="I18" i="3"/>
  <c r="J18" i="3" s="1"/>
  <c r="F19" i="3"/>
  <c r="G19" i="3" s="1"/>
  <c r="I19" i="3"/>
  <c r="J19" i="3" s="1"/>
  <c r="F20" i="3"/>
  <c r="G20" i="3" s="1"/>
  <c r="I20" i="3"/>
  <c r="J20" i="3" s="1"/>
  <c r="F21" i="3"/>
  <c r="G21" i="3" s="1"/>
  <c r="I21" i="3"/>
  <c r="J21" i="3" s="1"/>
  <c r="F22" i="3"/>
  <c r="G22" i="3" s="1"/>
  <c r="I22" i="3"/>
  <c r="J22" i="3" s="1"/>
  <c r="F23" i="3"/>
  <c r="G23" i="3" s="1"/>
  <c r="I23" i="3"/>
  <c r="J23" i="3" s="1"/>
  <c r="F24" i="3"/>
  <c r="G24" i="3" s="1"/>
  <c r="I24" i="3"/>
  <c r="J24" i="3" s="1"/>
  <c r="F25" i="3"/>
  <c r="G25" i="3" s="1"/>
  <c r="I25" i="3"/>
  <c r="J25" i="3" s="1"/>
  <c r="F26" i="3"/>
  <c r="G26" i="3" s="1"/>
  <c r="I26" i="3"/>
  <c r="J26" i="3" s="1"/>
  <c r="F27" i="3"/>
  <c r="G27" i="3" s="1"/>
  <c r="I27" i="3"/>
  <c r="J27" i="3" s="1"/>
  <c r="F28" i="3"/>
  <c r="G28" i="3" s="1"/>
  <c r="I28" i="3"/>
  <c r="J28" i="3" s="1"/>
  <c r="F29" i="3"/>
  <c r="G29" i="3" s="1"/>
  <c r="I29" i="3"/>
  <c r="J29" i="3" s="1"/>
  <c r="F30" i="3"/>
  <c r="G30" i="3" s="1"/>
  <c r="I30" i="3"/>
  <c r="J30" i="3" s="1"/>
  <c r="F31" i="3"/>
  <c r="G31" i="3" s="1"/>
  <c r="I31" i="3"/>
  <c r="J31" i="3" s="1"/>
  <c r="F32" i="3"/>
  <c r="G32" i="3" s="1"/>
  <c r="I32" i="3"/>
  <c r="J32" i="3" s="1"/>
  <c r="F33" i="3"/>
  <c r="G33" i="3" s="1"/>
  <c r="I33" i="3"/>
  <c r="J33" i="3" s="1"/>
  <c r="F34" i="3"/>
  <c r="G34" i="3" s="1"/>
  <c r="I34" i="3"/>
  <c r="J34" i="3" s="1"/>
  <c r="F35" i="3"/>
  <c r="G35" i="3" s="1"/>
  <c r="I35" i="3"/>
  <c r="J35" i="3" s="1"/>
  <c r="F36" i="3"/>
  <c r="G36" i="3" s="1"/>
  <c r="I36" i="3"/>
  <c r="J36" i="3" s="1"/>
  <c r="F37" i="3"/>
  <c r="G37" i="3" s="1"/>
  <c r="I37" i="3"/>
  <c r="J37" i="3" s="1"/>
  <c r="F38" i="3"/>
  <c r="G38" i="3" s="1"/>
  <c r="I38" i="3"/>
  <c r="J38" i="3" s="1"/>
  <c r="F39" i="3"/>
  <c r="G39" i="3" s="1"/>
  <c r="I39" i="3"/>
  <c r="J39" i="3" s="1"/>
  <c r="F40" i="3"/>
  <c r="G40" i="3" s="1"/>
  <c r="I40" i="3"/>
  <c r="J40" i="3" s="1"/>
  <c r="F41" i="3"/>
  <c r="G41" i="3" s="1"/>
  <c r="I41" i="3"/>
  <c r="J41" i="3" s="1"/>
  <c r="F42" i="3"/>
  <c r="G42" i="3" s="1"/>
  <c r="I42" i="3"/>
  <c r="J42" i="3" s="1"/>
  <c r="F43" i="3"/>
  <c r="G43" i="3" s="1"/>
  <c r="I43" i="3"/>
  <c r="J43" i="3" s="1"/>
  <c r="F44" i="3"/>
  <c r="G44" i="3" s="1"/>
  <c r="I44" i="3"/>
  <c r="J44" i="3" s="1"/>
  <c r="F45" i="3"/>
  <c r="G45" i="3" s="1"/>
  <c r="I45" i="3"/>
  <c r="J45" i="3" s="1"/>
  <c r="F46" i="3"/>
  <c r="G46" i="3" s="1"/>
  <c r="I46" i="3"/>
  <c r="J46" i="3" s="1"/>
  <c r="F47" i="3"/>
  <c r="G47" i="3" s="1"/>
  <c r="I47" i="3"/>
  <c r="J47" i="3" s="1"/>
  <c r="F48" i="3"/>
  <c r="G48" i="3" s="1"/>
  <c r="I48" i="3"/>
  <c r="J48" i="3" s="1"/>
  <c r="F49" i="3"/>
  <c r="G49" i="3" s="1"/>
  <c r="I49" i="3"/>
  <c r="J49" i="3" s="1"/>
  <c r="F50" i="3"/>
  <c r="G50" i="3" s="1"/>
  <c r="I50" i="3"/>
  <c r="J50" i="3" s="1"/>
  <c r="F51" i="3"/>
  <c r="G51" i="3" s="1"/>
  <c r="I51" i="3"/>
  <c r="J51" i="3" s="1"/>
  <c r="F52" i="3"/>
  <c r="G52" i="3" s="1"/>
  <c r="I52" i="3"/>
  <c r="J52" i="3" s="1"/>
  <c r="F53" i="3"/>
  <c r="G53" i="3" s="1"/>
  <c r="I53" i="3"/>
  <c r="J53" i="3" s="1"/>
  <c r="F54" i="3"/>
  <c r="G54" i="3" s="1"/>
  <c r="I54" i="3"/>
  <c r="J54" i="3" s="1"/>
  <c r="F55" i="3"/>
  <c r="G55" i="3" s="1"/>
  <c r="I55" i="3"/>
  <c r="J55" i="3" s="1"/>
  <c r="F56" i="3"/>
  <c r="G56" i="3" s="1"/>
  <c r="I56" i="3"/>
  <c r="J56" i="3" s="1"/>
  <c r="F57" i="3"/>
  <c r="G57" i="3" s="1"/>
  <c r="I57" i="3"/>
  <c r="J57" i="3" s="1"/>
  <c r="F58" i="3"/>
  <c r="G58" i="3" s="1"/>
  <c r="I58" i="3"/>
  <c r="J58" i="3" s="1"/>
  <c r="F59" i="3"/>
  <c r="G59" i="3" s="1"/>
  <c r="I59" i="3"/>
  <c r="J59" i="3" s="1"/>
  <c r="F60" i="3"/>
  <c r="G60" i="3" s="1"/>
  <c r="I60" i="3"/>
  <c r="J60" i="3" s="1"/>
  <c r="F61" i="3"/>
  <c r="G61" i="3" s="1"/>
  <c r="I61" i="3"/>
  <c r="J61" i="3" s="1"/>
  <c r="F62" i="3"/>
  <c r="G62" i="3" s="1"/>
  <c r="I62" i="3"/>
  <c r="J62" i="3" s="1"/>
  <c r="F63" i="3"/>
  <c r="G63" i="3" s="1"/>
  <c r="I63" i="3"/>
  <c r="J63" i="3" s="1"/>
  <c r="F64" i="3"/>
  <c r="G64" i="3" s="1"/>
  <c r="I64" i="3"/>
  <c r="J64" i="3" s="1"/>
  <c r="F65" i="3"/>
  <c r="G65" i="3" s="1"/>
  <c r="I65" i="3"/>
  <c r="J65" i="3" s="1"/>
  <c r="F66" i="3"/>
  <c r="G66" i="3" s="1"/>
  <c r="I66" i="3"/>
  <c r="J66" i="3" s="1"/>
  <c r="F67" i="3"/>
  <c r="G67" i="3" s="1"/>
  <c r="I67" i="3"/>
  <c r="J67" i="3" s="1"/>
  <c r="F68" i="3"/>
  <c r="G68" i="3" s="1"/>
  <c r="I68" i="3"/>
  <c r="J68" i="3" s="1"/>
  <c r="F69" i="3"/>
  <c r="G69" i="3" s="1"/>
  <c r="I69" i="3"/>
  <c r="J69" i="3" s="1"/>
  <c r="F70" i="3"/>
  <c r="G70" i="3" s="1"/>
  <c r="I70" i="3"/>
  <c r="J70" i="3" s="1"/>
  <c r="F71" i="3"/>
  <c r="G71" i="3" s="1"/>
  <c r="I71" i="3"/>
  <c r="J71" i="3" s="1"/>
  <c r="F72" i="3"/>
  <c r="G72" i="3" s="1"/>
  <c r="I72" i="3"/>
  <c r="J72" i="3" s="1"/>
  <c r="F73" i="3"/>
  <c r="G73" i="3" s="1"/>
  <c r="I73" i="3"/>
  <c r="J73" i="3" s="1"/>
  <c r="F74" i="3"/>
  <c r="G74" i="3" s="1"/>
  <c r="I74" i="3"/>
  <c r="J74" i="3" s="1"/>
  <c r="F75" i="3"/>
  <c r="G75" i="3" s="1"/>
  <c r="I75" i="3"/>
  <c r="G76" i="3"/>
  <c r="I76" i="3"/>
  <c r="F77" i="3"/>
  <c r="G77" i="3" s="1"/>
  <c r="I77" i="3"/>
  <c r="F78" i="3"/>
  <c r="G78" i="3" s="1"/>
  <c r="I78" i="3"/>
  <c r="F79" i="3"/>
  <c r="G79" i="3" s="1"/>
  <c r="I79" i="3"/>
  <c r="F80" i="3"/>
  <c r="G80" i="3" s="1"/>
  <c r="I80" i="3"/>
  <c r="F81" i="3"/>
  <c r="G81" i="3" s="1"/>
  <c r="I81" i="3"/>
  <c r="F82" i="3"/>
  <c r="G82" i="3" s="1"/>
  <c r="I82" i="3"/>
  <c r="F83" i="3"/>
  <c r="G83" i="3" s="1"/>
  <c r="I83" i="3"/>
  <c r="F84" i="3"/>
  <c r="G84" i="3" s="1"/>
  <c r="I84" i="3"/>
  <c r="F85" i="3"/>
  <c r="G85" i="3" s="1"/>
  <c r="I85" i="3"/>
  <c r="J85" i="3" s="1"/>
  <c r="F86" i="3"/>
  <c r="G86" i="3" s="1"/>
  <c r="I86" i="3"/>
  <c r="J86" i="3" s="1"/>
  <c r="F87" i="3"/>
  <c r="G87" i="3" s="1"/>
  <c r="I87" i="3"/>
  <c r="J87" i="3" s="1"/>
  <c r="F88" i="3"/>
  <c r="G88" i="3" s="1"/>
  <c r="I88" i="3"/>
  <c r="J88" i="3" s="1"/>
  <c r="F89" i="3"/>
  <c r="G89" i="3" s="1"/>
  <c r="I89" i="3"/>
  <c r="J89" i="3" s="1"/>
  <c r="F90" i="3"/>
  <c r="G90" i="3" s="1"/>
  <c r="I90" i="3"/>
  <c r="J90" i="3" s="1"/>
  <c r="F91" i="3"/>
  <c r="G91" i="3" s="1"/>
  <c r="I91" i="3"/>
  <c r="J91" i="3" s="1"/>
  <c r="F92" i="3"/>
  <c r="G92" i="3" s="1"/>
  <c r="I92" i="3"/>
  <c r="J92" i="3" s="1"/>
  <c r="F93" i="3"/>
  <c r="G93" i="3" s="1"/>
  <c r="I93" i="3"/>
  <c r="J93" i="3" s="1"/>
  <c r="F94" i="3"/>
  <c r="G94" i="3" s="1"/>
  <c r="I94" i="3"/>
  <c r="J94" i="3" s="1"/>
  <c r="F95" i="3"/>
  <c r="G95" i="3" s="1"/>
  <c r="I95" i="3"/>
  <c r="J95" i="3" s="1"/>
  <c r="F96" i="3"/>
  <c r="G96" i="3" s="1"/>
  <c r="I96" i="3"/>
  <c r="J96" i="3" s="1"/>
  <c r="F97" i="3"/>
  <c r="G97" i="3" s="1"/>
  <c r="I97" i="3"/>
  <c r="F98" i="3"/>
  <c r="G98" i="3" s="1"/>
  <c r="I98" i="3"/>
  <c r="F99" i="3"/>
  <c r="G99" i="3" s="1"/>
  <c r="I99" i="3"/>
  <c r="F100" i="3"/>
  <c r="G100" i="3" s="1"/>
  <c r="I100" i="3"/>
  <c r="F101" i="3"/>
  <c r="G101" i="3" s="1"/>
  <c r="I101" i="3"/>
  <c r="F102" i="3"/>
  <c r="G102" i="3" s="1"/>
  <c r="I102" i="3"/>
  <c r="F103" i="3"/>
  <c r="G103" i="3" s="1"/>
  <c r="I103" i="3"/>
  <c r="F104" i="3"/>
  <c r="G104" i="3" s="1"/>
  <c r="I104" i="3"/>
  <c r="F105" i="3"/>
  <c r="G105" i="3" s="1"/>
  <c r="I105" i="3"/>
  <c r="F106" i="3"/>
  <c r="G106" i="3" s="1"/>
  <c r="I106" i="3"/>
  <c r="F107" i="3"/>
  <c r="G107" i="3" s="1"/>
  <c r="I107" i="3"/>
  <c r="F108" i="3"/>
  <c r="G108" i="3" s="1"/>
  <c r="I108" i="3"/>
  <c r="F109" i="3"/>
  <c r="G109" i="3" s="1"/>
  <c r="I109" i="3"/>
  <c r="J109" i="3" s="1"/>
  <c r="F110" i="3"/>
  <c r="G110" i="3" s="1"/>
  <c r="I110" i="3"/>
  <c r="J110" i="3" s="1"/>
  <c r="F111" i="3"/>
  <c r="G111" i="3" s="1"/>
  <c r="I111" i="3"/>
  <c r="J111" i="3" s="1"/>
  <c r="F112" i="3"/>
  <c r="G112" i="3" s="1"/>
  <c r="I112" i="3"/>
  <c r="J112" i="3" s="1"/>
  <c r="F113" i="3"/>
  <c r="G113" i="3" s="1"/>
  <c r="I113" i="3"/>
  <c r="J113" i="3" s="1"/>
  <c r="F114" i="3"/>
  <c r="G114" i="3" s="1"/>
  <c r="I114" i="3"/>
  <c r="J114" i="3" s="1"/>
  <c r="F115" i="3"/>
  <c r="G115" i="3" s="1"/>
  <c r="I115" i="3"/>
  <c r="J115" i="3" s="1"/>
  <c r="F116" i="3"/>
  <c r="G116" i="3" s="1"/>
  <c r="I116" i="3"/>
  <c r="J116" i="3" s="1"/>
  <c r="F117" i="3"/>
  <c r="G117" i="3" s="1"/>
  <c r="I117" i="3"/>
  <c r="J117" i="3" s="1"/>
  <c r="F118" i="3"/>
  <c r="G118" i="3" s="1"/>
  <c r="I118" i="3"/>
  <c r="J118" i="3" s="1"/>
  <c r="F119" i="3"/>
  <c r="G119" i="3" s="1"/>
  <c r="I119" i="3"/>
  <c r="J119" i="3" s="1"/>
  <c r="F120" i="3"/>
  <c r="G120" i="3" s="1"/>
  <c r="I120" i="3"/>
  <c r="J120" i="3" s="1"/>
  <c r="F121" i="3"/>
  <c r="G121" i="3" s="1"/>
  <c r="I121" i="3"/>
  <c r="J121" i="3" s="1"/>
  <c r="F122" i="3"/>
  <c r="G122" i="3" s="1"/>
  <c r="I122" i="3"/>
  <c r="J122" i="3" s="1"/>
  <c r="F123" i="3"/>
  <c r="G123" i="3" s="1"/>
  <c r="I123" i="3"/>
  <c r="J123" i="3" s="1"/>
  <c r="F124" i="3"/>
  <c r="G124" i="3" s="1"/>
  <c r="I124" i="3"/>
  <c r="J124" i="3" s="1"/>
  <c r="F125" i="3"/>
  <c r="G125" i="3" s="1"/>
  <c r="I125" i="3"/>
  <c r="J125" i="3" s="1"/>
  <c r="F126" i="3"/>
  <c r="G126" i="3" s="1"/>
  <c r="I126" i="3"/>
  <c r="J126" i="3" s="1"/>
  <c r="F127" i="3"/>
  <c r="G127" i="3" s="1"/>
  <c r="I127" i="3"/>
  <c r="J127" i="3" s="1"/>
  <c r="F128" i="3"/>
  <c r="G128" i="3" s="1"/>
  <c r="I128" i="3"/>
  <c r="J128" i="3" s="1"/>
  <c r="F129" i="3"/>
  <c r="G129" i="3" s="1"/>
  <c r="I129" i="3"/>
  <c r="J129" i="3" s="1"/>
  <c r="F130" i="3"/>
  <c r="G130" i="3" s="1"/>
  <c r="I130" i="3"/>
  <c r="J130" i="3" s="1"/>
  <c r="F131" i="3"/>
  <c r="G131" i="3" s="1"/>
  <c r="I131" i="3"/>
  <c r="J131" i="3" s="1"/>
  <c r="F132" i="3"/>
  <c r="G132" i="3" s="1"/>
  <c r="I132" i="3"/>
  <c r="J132" i="3" s="1"/>
  <c r="F133" i="3"/>
  <c r="G133" i="3" s="1"/>
  <c r="I133" i="3"/>
  <c r="J133" i="3" s="1"/>
  <c r="F134" i="3"/>
  <c r="G134" i="3" s="1"/>
  <c r="I134" i="3"/>
  <c r="J134" i="3" s="1"/>
  <c r="F135" i="3"/>
  <c r="G135" i="3" s="1"/>
  <c r="I135" i="3"/>
  <c r="J135" i="3" s="1"/>
  <c r="F136" i="3"/>
  <c r="G136" i="3" s="1"/>
  <c r="I136" i="3"/>
  <c r="J136" i="3" s="1"/>
  <c r="F137" i="3"/>
  <c r="G137" i="3" s="1"/>
  <c r="I137" i="3"/>
  <c r="J137" i="3" s="1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65" i="72"/>
  <c r="I66" i="72"/>
  <c r="I67" i="72"/>
  <c r="I68" i="72"/>
  <c r="I69" i="72"/>
  <c r="I70" i="72"/>
  <c r="I71" i="72"/>
  <c r="I72" i="72"/>
  <c r="I73" i="72"/>
  <c r="I74" i="72"/>
  <c r="I75" i="72"/>
  <c r="J75" i="72" s="1"/>
  <c r="I76" i="72"/>
  <c r="J76" i="72" s="1"/>
  <c r="I77" i="72"/>
  <c r="J77" i="72" s="1"/>
  <c r="I78" i="72"/>
  <c r="J78" i="72" s="1"/>
  <c r="I79" i="72"/>
  <c r="J79" i="72" s="1"/>
  <c r="I80" i="72"/>
  <c r="J80" i="72" s="1"/>
  <c r="I81" i="72"/>
  <c r="J81" i="72" s="1"/>
  <c r="I82" i="72"/>
  <c r="J82" i="72" s="1"/>
  <c r="I83" i="72"/>
  <c r="J83" i="72" s="1"/>
  <c r="I84" i="72"/>
  <c r="J84" i="72" s="1"/>
  <c r="I85" i="72"/>
  <c r="I86" i="72"/>
  <c r="I87" i="72"/>
  <c r="I88" i="72"/>
  <c r="I89" i="72"/>
  <c r="I90" i="72"/>
  <c r="I91" i="72"/>
  <c r="I92" i="72"/>
  <c r="I93" i="72"/>
  <c r="I94" i="72"/>
  <c r="I95" i="72"/>
  <c r="I96" i="72"/>
  <c r="I97" i="72"/>
  <c r="J97" i="72" s="1"/>
  <c r="I98" i="72"/>
  <c r="J98" i="72" s="1"/>
  <c r="I99" i="72"/>
  <c r="J99" i="72" s="1"/>
  <c r="I100" i="72"/>
  <c r="J100" i="72" s="1"/>
  <c r="I101" i="72"/>
  <c r="J101" i="72" s="1"/>
  <c r="I102" i="72"/>
  <c r="J102" i="72" s="1"/>
  <c r="I103" i="72"/>
  <c r="J103" i="72" s="1"/>
  <c r="I104" i="72"/>
  <c r="J104" i="72" s="1"/>
  <c r="I105" i="72"/>
  <c r="J105" i="72" s="1"/>
  <c r="I106" i="72"/>
  <c r="J106" i="72" s="1"/>
  <c r="I107" i="72"/>
  <c r="J107" i="72" s="1"/>
  <c r="I108" i="72"/>
  <c r="J108" i="72" s="1"/>
  <c r="I109" i="72"/>
  <c r="I110" i="72"/>
  <c r="I111" i="72"/>
  <c r="I112" i="72"/>
  <c r="I113" i="72"/>
  <c r="I114" i="72"/>
  <c r="I115" i="72"/>
  <c r="I116" i="72"/>
  <c r="I117" i="72"/>
  <c r="I118" i="72"/>
  <c r="I119" i="72"/>
  <c r="I120" i="72"/>
  <c r="I121" i="72"/>
  <c r="I122" i="72"/>
  <c r="I123" i="72"/>
  <c r="I124" i="72"/>
  <c r="I125" i="72"/>
  <c r="I126" i="72"/>
  <c r="I127" i="72"/>
  <c r="I128" i="72"/>
  <c r="I129" i="72"/>
  <c r="I130" i="72"/>
  <c r="I131" i="72"/>
  <c r="I132" i="72"/>
  <c r="I133" i="72"/>
  <c r="I134" i="72"/>
  <c r="I135" i="72"/>
  <c r="I136" i="72"/>
  <c r="I137" i="72"/>
  <c r="F22" i="72"/>
  <c r="G22" i="72" s="1"/>
  <c r="F23" i="72"/>
  <c r="G23" i="72" s="1"/>
  <c r="F24" i="72"/>
  <c r="G24" i="72" s="1"/>
  <c r="F25" i="72"/>
  <c r="G25" i="72" s="1"/>
  <c r="F26" i="72"/>
  <c r="G26" i="72" s="1"/>
  <c r="F27" i="72"/>
  <c r="G27" i="72" s="1"/>
  <c r="F28" i="72"/>
  <c r="G28" i="72" s="1"/>
  <c r="F29" i="72"/>
  <c r="G29" i="72" s="1"/>
  <c r="F30" i="72"/>
  <c r="G30" i="72" s="1"/>
  <c r="F31" i="72"/>
  <c r="G31" i="72" s="1"/>
  <c r="F32" i="72"/>
  <c r="G32" i="72" s="1"/>
  <c r="F33" i="72"/>
  <c r="G33" i="72" s="1"/>
  <c r="F34" i="72"/>
  <c r="G34" i="72" s="1"/>
  <c r="F35" i="72"/>
  <c r="G35" i="72" s="1"/>
  <c r="F36" i="72"/>
  <c r="G36" i="72" s="1"/>
  <c r="F37" i="72"/>
  <c r="G37" i="72" s="1"/>
  <c r="F38" i="72"/>
  <c r="G38" i="72" s="1"/>
  <c r="F39" i="72"/>
  <c r="G39" i="72" s="1"/>
  <c r="F40" i="72"/>
  <c r="G40" i="72" s="1"/>
  <c r="F41" i="72"/>
  <c r="G41" i="72" s="1"/>
  <c r="F42" i="72"/>
  <c r="G42" i="72" s="1"/>
  <c r="F43" i="72"/>
  <c r="G43" i="72" s="1"/>
  <c r="F44" i="72"/>
  <c r="G44" i="72" s="1"/>
  <c r="F45" i="72"/>
  <c r="G45" i="72" s="1"/>
  <c r="F46" i="72"/>
  <c r="G46" i="72" s="1"/>
  <c r="F47" i="72"/>
  <c r="G47" i="72" s="1"/>
  <c r="F48" i="72"/>
  <c r="G48" i="72" s="1"/>
  <c r="F49" i="72"/>
  <c r="G49" i="72" s="1"/>
  <c r="F50" i="72"/>
  <c r="G50" i="72" s="1"/>
  <c r="F51" i="72"/>
  <c r="G51" i="72" s="1"/>
  <c r="F52" i="72"/>
  <c r="G52" i="72" s="1"/>
  <c r="F53" i="72"/>
  <c r="G53" i="72" s="1"/>
  <c r="F54" i="72"/>
  <c r="G54" i="72" s="1"/>
  <c r="F55" i="72"/>
  <c r="G55" i="72" s="1"/>
  <c r="F56" i="72"/>
  <c r="G56" i="72" s="1"/>
  <c r="F57" i="72"/>
  <c r="G57" i="72" s="1"/>
  <c r="F58" i="72"/>
  <c r="G58" i="72" s="1"/>
  <c r="F59" i="72"/>
  <c r="G59" i="72" s="1"/>
  <c r="F60" i="72"/>
  <c r="G60" i="72" s="1"/>
  <c r="F61" i="72"/>
  <c r="G61" i="72" s="1"/>
  <c r="F62" i="72"/>
  <c r="G62" i="72" s="1"/>
  <c r="F63" i="72"/>
  <c r="G63" i="72" s="1"/>
  <c r="F64" i="72"/>
  <c r="G64" i="72" s="1"/>
  <c r="F65" i="72"/>
  <c r="G65" i="72" s="1"/>
  <c r="F66" i="72"/>
  <c r="G66" i="72" s="1"/>
  <c r="F67" i="72"/>
  <c r="G67" i="72" s="1"/>
  <c r="F68" i="72"/>
  <c r="G68" i="72" s="1"/>
  <c r="F69" i="72"/>
  <c r="G69" i="72" s="1"/>
  <c r="F70" i="72"/>
  <c r="G70" i="72" s="1"/>
  <c r="F71" i="72"/>
  <c r="G71" i="72" s="1"/>
  <c r="F72" i="72"/>
  <c r="G72" i="72" s="1"/>
  <c r="F73" i="72"/>
  <c r="G73" i="72" s="1"/>
  <c r="F74" i="72"/>
  <c r="G74" i="72" s="1"/>
  <c r="F75" i="72"/>
  <c r="G75" i="72" s="1"/>
  <c r="F76" i="72"/>
  <c r="G76" i="72" s="1"/>
  <c r="F77" i="72"/>
  <c r="G77" i="72" s="1"/>
  <c r="F78" i="72"/>
  <c r="G78" i="72" s="1"/>
  <c r="F79" i="72"/>
  <c r="G79" i="72" s="1"/>
  <c r="F80" i="72"/>
  <c r="G80" i="72" s="1"/>
  <c r="F81" i="72"/>
  <c r="G81" i="72" s="1"/>
  <c r="F82" i="72"/>
  <c r="G82" i="72" s="1"/>
  <c r="F83" i="72"/>
  <c r="G83" i="72" s="1"/>
  <c r="F84" i="72"/>
  <c r="G84" i="72" s="1"/>
  <c r="F85" i="72"/>
  <c r="G85" i="72" s="1"/>
  <c r="F86" i="72"/>
  <c r="G86" i="72" s="1"/>
  <c r="F87" i="72"/>
  <c r="G87" i="72" s="1"/>
  <c r="F88" i="72"/>
  <c r="G88" i="72" s="1"/>
  <c r="F89" i="72"/>
  <c r="G89" i="72" s="1"/>
  <c r="F90" i="72"/>
  <c r="G90" i="72" s="1"/>
  <c r="F91" i="72"/>
  <c r="G91" i="72" s="1"/>
  <c r="F92" i="72"/>
  <c r="G92" i="72" s="1"/>
  <c r="F93" i="72"/>
  <c r="G93" i="72" s="1"/>
  <c r="F94" i="72"/>
  <c r="G94" i="72" s="1"/>
  <c r="F95" i="72"/>
  <c r="G95" i="72" s="1"/>
  <c r="F96" i="72"/>
  <c r="G96" i="72" s="1"/>
  <c r="F97" i="72"/>
  <c r="G97" i="72" s="1"/>
  <c r="F98" i="72"/>
  <c r="G98" i="72" s="1"/>
  <c r="F99" i="72"/>
  <c r="G99" i="72" s="1"/>
  <c r="F100" i="72"/>
  <c r="G100" i="72" s="1"/>
  <c r="F101" i="72"/>
  <c r="G101" i="72" s="1"/>
  <c r="F102" i="72"/>
  <c r="G102" i="72" s="1"/>
  <c r="F103" i="72"/>
  <c r="G103" i="72" s="1"/>
  <c r="F104" i="72"/>
  <c r="G104" i="72" s="1"/>
  <c r="F105" i="72"/>
  <c r="G105" i="72" s="1"/>
  <c r="F106" i="72"/>
  <c r="G106" i="72" s="1"/>
  <c r="F107" i="72"/>
  <c r="G107" i="72" s="1"/>
  <c r="F108" i="72"/>
  <c r="G108" i="72" s="1"/>
  <c r="F109" i="72"/>
  <c r="G109" i="72" s="1"/>
  <c r="F110" i="72"/>
  <c r="G110" i="72" s="1"/>
  <c r="F111" i="72"/>
  <c r="G111" i="72" s="1"/>
  <c r="F112" i="72"/>
  <c r="G112" i="72" s="1"/>
  <c r="F113" i="72"/>
  <c r="G113" i="72" s="1"/>
  <c r="F114" i="72"/>
  <c r="G114" i="72" s="1"/>
  <c r="F115" i="72"/>
  <c r="G115" i="72" s="1"/>
  <c r="F116" i="72"/>
  <c r="G116" i="72" s="1"/>
  <c r="F117" i="72"/>
  <c r="G117" i="72" s="1"/>
  <c r="F118" i="72"/>
  <c r="G118" i="72" s="1"/>
  <c r="F119" i="72"/>
  <c r="G119" i="72" s="1"/>
  <c r="F120" i="72"/>
  <c r="G120" i="72" s="1"/>
  <c r="F121" i="72"/>
  <c r="G121" i="72" s="1"/>
  <c r="F122" i="72"/>
  <c r="G122" i="72" s="1"/>
  <c r="F123" i="72"/>
  <c r="G123" i="72" s="1"/>
  <c r="F124" i="72"/>
  <c r="G124" i="72" s="1"/>
  <c r="F125" i="72"/>
  <c r="G125" i="72" s="1"/>
  <c r="F126" i="72"/>
  <c r="G126" i="72" s="1"/>
  <c r="F127" i="72"/>
  <c r="G127" i="72" s="1"/>
  <c r="F128" i="72"/>
  <c r="G128" i="72" s="1"/>
  <c r="F129" i="72"/>
  <c r="G129" i="72" s="1"/>
  <c r="F130" i="72"/>
  <c r="G130" i="72" s="1"/>
  <c r="F131" i="72"/>
  <c r="G131" i="72" s="1"/>
  <c r="F132" i="72"/>
  <c r="G132" i="72" s="1"/>
  <c r="F133" i="72"/>
  <c r="G133" i="72" s="1"/>
  <c r="F134" i="72"/>
  <c r="G134" i="72" s="1"/>
  <c r="F135" i="72"/>
  <c r="G135" i="72" s="1"/>
  <c r="F136" i="72"/>
  <c r="G136" i="72" s="1"/>
  <c r="F137" i="72"/>
  <c r="G137" i="72" s="1"/>
  <c r="F21" i="72"/>
  <c r="G21" i="72" s="1"/>
  <c r="F18" i="72"/>
  <c r="G18" i="72" s="1"/>
  <c r="F19" i="72"/>
  <c r="G19" i="72" s="1"/>
  <c r="F20" i="72"/>
  <c r="G20" i="72" s="1"/>
  <c r="J136" i="72" l="1"/>
  <c r="I136" i="1"/>
  <c r="J120" i="72"/>
  <c r="I120" i="1"/>
  <c r="J112" i="72"/>
  <c r="I112" i="1"/>
  <c r="J88" i="72"/>
  <c r="I88" i="1"/>
  <c r="J72" i="72"/>
  <c r="I72" i="1"/>
  <c r="I57" i="1"/>
  <c r="J41" i="72"/>
  <c r="I41" i="1"/>
  <c r="J18" i="72"/>
  <c r="I18" i="1"/>
  <c r="J131" i="72"/>
  <c r="I131" i="1"/>
  <c r="J123" i="72"/>
  <c r="I123" i="1"/>
  <c r="J115" i="72"/>
  <c r="I115" i="1"/>
  <c r="J91" i="72"/>
  <c r="I91" i="1"/>
  <c r="J67" i="72"/>
  <c r="I67" i="1"/>
  <c r="J59" i="72"/>
  <c r="I59" i="1"/>
  <c r="J52" i="72"/>
  <c r="I52" i="1"/>
  <c r="J44" i="72"/>
  <c r="I44" i="1"/>
  <c r="J36" i="72"/>
  <c r="I36" i="1"/>
  <c r="J28" i="72"/>
  <c r="I28" i="1"/>
  <c r="I21" i="1"/>
  <c r="J130" i="72"/>
  <c r="I130" i="1"/>
  <c r="J122" i="72"/>
  <c r="I122" i="1"/>
  <c r="J114" i="72"/>
  <c r="I114" i="1"/>
  <c r="J90" i="72"/>
  <c r="I90" i="1"/>
  <c r="J74" i="72"/>
  <c r="I74" i="1"/>
  <c r="J66" i="72"/>
  <c r="I66" i="1"/>
  <c r="J58" i="72"/>
  <c r="I58" i="1"/>
  <c r="J51" i="72"/>
  <c r="I51" i="1"/>
  <c r="J43" i="72"/>
  <c r="I43" i="1"/>
  <c r="J35" i="72"/>
  <c r="I35" i="1"/>
  <c r="J27" i="72"/>
  <c r="I27" i="1"/>
  <c r="J137" i="72"/>
  <c r="I137" i="1"/>
  <c r="J129" i="72"/>
  <c r="I129" i="1"/>
  <c r="J121" i="72"/>
  <c r="I121" i="1"/>
  <c r="J113" i="72"/>
  <c r="I113" i="1"/>
  <c r="J89" i="72"/>
  <c r="I89" i="1"/>
  <c r="J73" i="72"/>
  <c r="I73" i="1"/>
  <c r="J65" i="72"/>
  <c r="I65" i="1"/>
  <c r="J57" i="72"/>
  <c r="J50" i="72"/>
  <c r="I50" i="1"/>
  <c r="J42" i="72"/>
  <c r="I42" i="1"/>
  <c r="J34" i="72"/>
  <c r="I34" i="1"/>
  <c r="J26" i="72"/>
  <c r="I26" i="1"/>
  <c r="J19" i="72"/>
  <c r="I19" i="1"/>
  <c r="J128" i="72"/>
  <c r="I128" i="1"/>
  <c r="J96" i="72"/>
  <c r="I96" i="1"/>
  <c r="J135" i="72"/>
  <c r="I135" i="1"/>
  <c r="J127" i="72"/>
  <c r="I127" i="1"/>
  <c r="J111" i="72"/>
  <c r="I111" i="1"/>
  <c r="J95" i="72"/>
  <c r="I95" i="1"/>
  <c r="J63" i="72"/>
  <c r="I63" i="1"/>
  <c r="J48" i="72"/>
  <c r="I48" i="1"/>
  <c r="J40" i="72"/>
  <c r="I40" i="1"/>
  <c r="J32" i="72"/>
  <c r="I32" i="1"/>
  <c r="J126" i="72"/>
  <c r="I126" i="1"/>
  <c r="J47" i="72"/>
  <c r="I47" i="1"/>
  <c r="J125" i="72"/>
  <c r="I125" i="1"/>
  <c r="J117" i="72"/>
  <c r="I117" i="1"/>
  <c r="J93" i="72"/>
  <c r="I93" i="1"/>
  <c r="J85" i="72"/>
  <c r="I85" i="1"/>
  <c r="J69" i="72"/>
  <c r="I69" i="1"/>
  <c r="J61" i="72"/>
  <c r="I61" i="1"/>
  <c r="J54" i="72"/>
  <c r="I54" i="1"/>
  <c r="J38" i="72"/>
  <c r="I38" i="1"/>
  <c r="J30" i="72"/>
  <c r="I30" i="1"/>
  <c r="J22" i="72"/>
  <c r="I22" i="1"/>
  <c r="J64" i="72"/>
  <c r="I64" i="1"/>
  <c r="J49" i="72"/>
  <c r="I49" i="1"/>
  <c r="J33" i="72"/>
  <c r="I33" i="1"/>
  <c r="J25" i="72"/>
  <c r="I25" i="1"/>
  <c r="J119" i="72"/>
  <c r="I119" i="1"/>
  <c r="J87" i="72"/>
  <c r="I87" i="1"/>
  <c r="J71" i="72"/>
  <c r="I71" i="1"/>
  <c r="J56" i="72"/>
  <c r="I56" i="1"/>
  <c r="J24" i="72"/>
  <c r="I24" i="1"/>
  <c r="J134" i="72"/>
  <c r="I134" i="1"/>
  <c r="J118" i="72"/>
  <c r="I118" i="1"/>
  <c r="J110" i="72"/>
  <c r="I110" i="1"/>
  <c r="J94" i="72"/>
  <c r="I94" i="1"/>
  <c r="J86" i="72"/>
  <c r="I86" i="1"/>
  <c r="J70" i="72"/>
  <c r="I70" i="1"/>
  <c r="J62" i="72"/>
  <c r="I62" i="1"/>
  <c r="J55" i="72"/>
  <c r="I55" i="1"/>
  <c r="J39" i="72"/>
  <c r="I39" i="1"/>
  <c r="J31" i="72"/>
  <c r="I31" i="1"/>
  <c r="J23" i="72"/>
  <c r="I23" i="1"/>
  <c r="J133" i="72"/>
  <c r="I133" i="1"/>
  <c r="J109" i="72"/>
  <c r="I109" i="1"/>
  <c r="J46" i="72"/>
  <c r="I46" i="1"/>
  <c r="J132" i="72"/>
  <c r="I132" i="1"/>
  <c r="J124" i="72"/>
  <c r="I124" i="1"/>
  <c r="J116" i="72"/>
  <c r="I116" i="1"/>
  <c r="J92" i="72"/>
  <c r="I92" i="1"/>
  <c r="J68" i="72"/>
  <c r="I68" i="1"/>
  <c r="J60" i="72"/>
  <c r="I60" i="1"/>
  <c r="J53" i="72"/>
  <c r="I53" i="1"/>
  <c r="J45" i="72"/>
  <c r="I45" i="1"/>
  <c r="J37" i="72"/>
  <c r="I37" i="1"/>
  <c r="J29" i="72"/>
  <c r="I29" i="1"/>
  <c r="J21" i="72"/>
  <c r="J20" i="72"/>
  <c r="I20" i="1"/>
  <c r="J83" i="3"/>
  <c r="I83" i="1"/>
  <c r="J82" i="3"/>
  <c r="I82" i="1"/>
  <c r="J84" i="3"/>
  <c r="I84" i="1"/>
  <c r="J81" i="3"/>
  <c r="I81" i="1"/>
  <c r="J80" i="3"/>
  <c r="I80" i="1"/>
  <c r="J79" i="3"/>
  <c r="I79" i="1"/>
  <c r="J76" i="3"/>
  <c r="I76" i="1"/>
  <c r="J77" i="3"/>
  <c r="I77" i="1"/>
  <c r="J78" i="3"/>
  <c r="I78" i="1"/>
  <c r="J75" i="3"/>
  <c r="I75" i="1"/>
  <c r="J97" i="3"/>
  <c r="I97" i="1"/>
  <c r="J105" i="3"/>
  <c r="I105" i="1"/>
  <c r="J101" i="3"/>
  <c r="I101" i="1"/>
  <c r="J107" i="3"/>
  <c r="I107" i="1"/>
  <c r="J103" i="3"/>
  <c r="I103" i="1"/>
  <c r="J99" i="3"/>
  <c r="I99" i="1"/>
  <c r="J108" i="3"/>
  <c r="I108" i="1"/>
  <c r="J100" i="3"/>
  <c r="I100" i="1"/>
  <c r="J106" i="3"/>
  <c r="I106" i="1"/>
  <c r="J102" i="3"/>
  <c r="I102" i="1"/>
  <c r="J98" i="3"/>
  <c r="I98" i="1"/>
  <c r="J104" i="3"/>
  <c r="I104" i="1"/>
  <c r="E16" i="29"/>
  <c r="D16" i="18"/>
  <c r="E16" i="18"/>
  <c r="D17" i="18"/>
  <c r="E17" i="18"/>
  <c r="D16" i="1"/>
  <c r="E16" i="1"/>
  <c r="H16" i="1"/>
  <c r="H16" i="34" s="1"/>
  <c r="D17" i="1"/>
  <c r="E17" i="1"/>
  <c r="H17" i="1"/>
  <c r="H17" i="34" s="1"/>
  <c r="I17" i="33"/>
  <c r="J17" i="33" s="1"/>
  <c r="F17" i="33"/>
  <c r="G17" i="33" s="1"/>
  <c r="I16" i="33"/>
  <c r="J16" i="33" s="1"/>
  <c r="F16" i="33"/>
  <c r="G16" i="33" s="1"/>
  <c r="I17" i="32"/>
  <c r="J17" i="32" s="1"/>
  <c r="F17" i="32"/>
  <c r="G17" i="32" s="1"/>
  <c r="I16" i="32"/>
  <c r="J16" i="32" s="1"/>
  <c r="F16" i="32"/>
  <c r="G16" i="32" s="1"/>
  <c r="I17" i="31"/>
  <c r="F17" i="31"/>
  <c r="G17" i="31" s="1"/>
  <c r="I16" i="31"/>
  <c r="F16" i="31"/>
  <c r="G16" i="31" s="1"/>
  <c r="I17" i="28"/>
  <c r="J17" i="28" s="1"/>
  <c r="F17" i="28"/>
  <c r="G17" i="28" s="1"/>
  <c r="I16" i="28"/>
  <c r="J16" i="28" s="1"/>
  <c r="F16" i="28"/>
  <c r="G16" i="28" s="1"/>
  <c r="I17" i="27"/>
  <c r="F17" i="27"/>
  <c r="G17" i="27" s="1"/>
  <c r="I16" i="27"/>
  <c r="J16" i="27" s="1"/>
  <c r="F16" i="27"/>
  <c r="G16" i="27" s="1"/>
  <c r="I17" i="26"/>
  <c r="J17" i="26" s="1"/>
  <c r="F17" i="26"/>
  <c r="G17" i="26" s="1"/>
  <c r="I16" i="26"/>
  <c r="J16" i="26" s="1"/>
  <c r="F16" i="26"/>
  <c r="G16" i="26" s="1"/>
  <c r="I17" i="19"/>
  <c r="J17" i="19" s="1"/>
  <c r="F17" i="19"/>
  <c r="G17" i="19" s="1"/>
  <c r="I16" i="19"/>
  <c r="J16" i="19" s="1"/>
  <c r="F16" i="19"/>
  <c r="G16" i="19" s="1"/>
  <c r="I17" i="20"/>
  <c r="J17" i="20" s="1"/>
  <c r="F17" i="20"/>
  <c r="G17" i="20" s="1"/>
  <c r="I16" i="20"/>
  <c r="J16" i="20" s="1"/>
  <c r="F16" i="20"/>
  <c r="G16" i="20" s="1"/>
  <c r="I17" i="21"/>
  <c r="J17" i="21" s="1"/>
  <c r="F17" i="21"/>
  <c r="G17" i="21" s="1"/>
  <c r="I16" i="21"/>
  <c r="J16" i="21" s="1"/>
  <c r="F16" i="21"/>
  <c r="G16" i="21" s="1"/>
  <c r="I17" i="4"/>
  <c r="J17" i="4" s="1"/>
  <c r="I16" i="4"/>
  <c r="J16" i="4" s="1"/>
  <c r="F16" i="3"/>
  <c r="G16" i="3" s="1"/>
  <c r="I16" i="3"/>
  <c r="J16" i="3" s="1"/>
  <c r="F17" i="3"/>
  <c r="G17" i="3" s="1"/>
  <c r="I17" i="3"/>
  <c r="J17" i="3" s="1"/>
  <c r="F16" i="72"/>
  <c r="G16" i="72" s="1"/>
  <c r="I16" i="72"/>
  <c r="J16" i="72" s="1"/>
  <c r="F17" i="72"/>
  <c r="G17" i="72" s="1"/>
  <c r="I17" i="72"/>
  <c r="J17" i="72" s="1"/>
  <c r="F15" i="72"/>
  <c r="G15" i="72" s="1"/>
  <c r="F14" i="72"/>
  <c r="G14" i="72" s="1"/>
  <c r="F13" i="72"/>
  <c r="G13" i="72" s="1"/>
  <c r="F12" i="72"/>
  <c r="G12" i="72" s="1"/>
  <c r="F11" i="72"/>
  <c r="G11" i="72" s="1"/>
  <c r="F10" i="72"/>
  <c r="G10" i="72" s="1"/>
  <c r="F9" i="72"/>
  <c r="G9" i="72" s="1"/>
  <c r="F8" i="72"/>
  <c r="G8" i="72" s="1"/>
  <c r="F7" i="72"/>
  <c r="G7" i="72" s="1"/>
  <c r="F6" i="72"/>
  <c r="G6" i="72" s="1"/>
  <c r="F5" i="72"/>
  <c r="G5" i="72" s="1"/>
  <c r="F4" i="72"/>
  <c r="G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F4" i="3"/>
  <c r="G4" i="3" s="1"/>
  <c r="I4" i="3"/>
  <c r="J4" i="3" s="1"/>
  <c r="F5" i="3"/>
  <c r="G5" i="3" s="1"/>
  <c r="I5" i="3"/>
  <c r="J5" i="3" s="1"/>
  <c r="F6" i="3"/>
  <c r="G6" i="3" s="1"/>
  <c r="I6" i="3"/>
  <c r="J6" i="3" s="1"/>
  <c r="F7" i="3"/>
  <c r="G7" i="3" s="1"/>
  <c r="I7" i="3"/>
  <c r="J7" i="3" s="1"/>
  <c r="F8" i="3"/>
  <c r="G8" i="3" s="1"/>
  <c r="I8" i="3"/>
  <c r="J8" i="3" s="1"/>
  <c r="F9" i="3"/>
  <c r="G9" i="3" s="1"/>
  <c r="I9" i="3"/>
  <c r="J9" i="3" s="1"/>
  <c r="F10" i="3"/>
  <c r="G10" i="3" s="1"/>
  <c r="I10" i="3"/>
  <c r="J10" i="3" s="1"/>
  <c r="F11" i="3"/>
  <c r="G11" i="3" s="1"/>
  <c r="I11" i="3"/>
  <c r="J11" i="3" s="1"/>
  <c r="F12" i="3"/>
  <c r="G12" i="3" s="1"/>
  <c r="I12" i="3"/>
  <c r="J12" i="3" s="1"/>
  <c r="F13" i="3"/>
  <c r="G13" i="3" s="1"/>
  <c r="I13" i="3"/>
  <c r="J13" i="3" s="1"/>
  <c r="F14" i="3"/>
  <c r="G14" i="3" s="1"/>
  <c r="I14" i="3"/>
  <c r="J14" i="3" s="1"/>
  <c r="F15" i="3"/>
  <c r="G15" i="3" s="1"/>
  <c r="I15" i="3"/>
  <c r="J15" i="3" s="1"/>
  <c r="H6" i="1"/>
  <c r="H6" i="34" s="1"/>
  <c r="H7" i="1"/>
  <c r="H7" i="34" s="1"/>
  <c r="H8" i="1"/>
  <c r="H8" i="34" s="1"/>
  <c r="H9" i="1"/>
  <c r="H9" i="34" s="1"/>
  <c r="H10" i="1"/>
  <c r="H10" i="34" s="1"/>
  <c r="H11" i="1"/>
  <c r="H11" i="34" s="1"/>
  <c r="H12" i="1"/>
  <c r="H12" i="34" s="1"/>
  <c r="H13" i="1"/>
  <c r="H13" i="34" s="1"/>
  <c r="H14" i="1"/>
  <c r="H14" i="34" s="1"/>
  <c r="H15" i="1"/>
  <c r="H15" i="34" s="1"/>
  <c r="H5" i="1"/>
  <c r="H5" i="34" s="1"/>
  <c r="H4" i="1"/>
  <c r="H4" i="34" s="1"/>
  <c r="B4" i="34" a="1"/>
  <c r="B4" i="34" s="1"/>
  <c r="A4" i="34" a="1"/>
  <c r="A4" i="34" s="1"/>
  <c r="A1" i="34" a="1"/>
  <c r="A1" i="34" s="1"/>
  <c r="E15" i="30"/>
  <c r="D15" i="30"/>
  <c r="E14" i="30"/>
  <c r="D14" i="30"/>
  <c r="E13" i="30"/>
  <c r="D13" i="30"/>
  <c r="E12" i="30"/>
  <c r="D12" i="30"/>
  <c r="E11" i="30"/>
  <c r="D11" i="30"/>
  <c r="E10" i="30"/>
  <c r="D10" i="30"/>
  <c r="E9" i="30"/>
  <c r="D9" i="30"/>
  <c r="E8" i="30"/>
  <c r="D8" i="30"/>
  <c r="E7" i="30"/>
  <c r="D7" i="30"/>
  <c r="E6" i="30"/>
  <c r="D6" i="30"/>
  <c r="E5" i="30"/>
  <c r="D5" i="30"/>
  <c r="E4" i="30"/>
  <c r="D4" i="30"/>
  <c r="E15" i="29"/>
  <c r="E14" i="29"/>
  <c r="E13" i="29"/>
  <c r="E12" i="29"/>
  <c r="E11" i="29"/>
  <c r="E10" i="29"/>
  <c r="E9" i="29"/>
  <c r="E8" i="29"/>
  <c r="E7" i="29"/>
  <c r="E6" i="29"/>
  <c r="E5" i="29"/>
  <c r="E4" i="29"/>
  <c r="D4" i="29"/>
  <c r="E15" i="18"/>
  <c r="D15" i="18"/>
  <c r="E14" i="18"/>
  <c r="D14" i="18"/>
  <c r="E13" i="18"/>
  <c r="D13" i="18"/>
  <c r="E12" i="18"/>
  <c r="D12" i="18"/>
  <c r="E11" i="18"/>
  <c r="D11" i="18"/>
  <c r="E10" i="18"/>
  <c r="D10" i="18"/>
  <c r="E9" i="18"/>
  <c r="D9" i="18"/>
  <c r="E8" i="18"/>
  <c r="D8" i="18"/>
  <c r="E7" i="18"/>
  <c r="D7" i="18"/>
  <c r="E6" i="18"/>
  <c r="D6" i="18"/>
  <c r="E5" i="18"/>
  <c r="D5" i="18"/>
  <c r="E4" i="18"/>
  <c r="D4" i="18"/>
  <c r="B4" i="30" a="1"/>
  <c r="B4" i="30" s="1"/>
  <c r="H2" i="30"/>
  <c r="A1" i="30" a="1"/>
  <c r="A1" i="30" s="1"/>
  <c r="B4" i="29" a="1"/>
  <c r="B4" i="29" s="1"/>
  <c r="A4" i="29" a="1"/>
  <c r="A4" i="29" s="1"/>
  <c r="H2" i="29"/>
  <c r="A1" i="29" a="1"/>
  <c r="A1" i="29" s="1"/>
  <c r="B4" i="18" a="1"/>
  <c r="B4" i="18" s="1"/>
  <c r="A4" i="18" a="1"/>
  <c r="A4" i="18" s="1"/>
  <c r="H2" i="18"/>
  <c r="A1" i="18" a="1"/>
  <c r="A1" i="18" s="1"/>
  <c r="D15" i="1"/>
  <c r="D14" i="1"/>
  <c r="D13" i="1"/>
  <c r="D12" i="1"/>
  <c r="D11" i="1"/>
  <c r="D10" i="1"/>
  <c r="D9" i="1"/>
  <c r="D8" i="1"/>
  <c r="D7" i="1"/>
  <c r="D6" i="1"/>
  <c r="D5" i="1"/>
  <c r="D4" i="1"/>
  <c r="E6" i="1"/>
  <c r="E7" i="1"/>
  <c r="E8" i="1"/>
  <c r="E9" i="1"/>
  <c r="E10" i="1"/>
  <c r="E11" i="1"/>
  <c r="E12" i="1"/>
  <c r="E13" i="1"/>
  <c r="E14" i="1"/>
  <c r="E15" i="1"/>
  <c r="E5" i="1"/>
  <c r="E4" i="1"/>
  <c r="B4" i="1" a="1"/>
  <c r="B4" i="1" s="1"/>
  <c r="A4" i="1" a="1"/>
  <c r="A4" i="1" s="1"/>
  <c r="A1" i="1" a="1"/>
  <c r="A1" i="1" s="1"/>
  <c r="I15" i="33"/>
  <c r="J15" i="33" s="1"/>
  <c r="F15" i="33"/>
  <c r="G15" i="33" s="1"/>
  <c r="I14" i="33"/>
  <c r="J14" i="33" s="1"/>
  <c r="F14" i="33"/>
  <c r="G14" i="33" s="1"/>
  <c r="I13" i="33"/>
  <c r="J13" i="33" s="1"/>
  <c r="F13" i="33"/>
  <c r="G13" i="33" s="1"/>
  <c r="I12" i="33"/>
  <c r="J12" i="33" s="1"/>
  <c r="F12" i="33"/>
  <c r="G12" i="33" s="1"/>
  <c r="I11" i="33"/>
  <c r="J11" i="33" s="1"/>
  <c r="F11" i="33"/>
  <c r="G11" i="33" s="1"/>
  <c r="I10" i="33"/>
  <c r="J10" i="33" s="1"/>
  <c r="F10" i="33"/>
  <c r="G10" i="33" s="1"/>
  <c r="I9" i="33"/>
  <c r="J9" i="33" s="1"/>
  <c r="F9" i="33"/>
  <c r="G9" i="33" s="1"/>
  <c r="I8" i="33"/>
  <c r="J8" i="33" s="1"/>
  <c r="F8" i="33"/>
  <c r="G8" i="33" s="1"/>
  <c r="I7" i="33"/>
  <c r="J7" i="33" s="1"/>
  <c r="F7" i="33"/>
  <c r="G7" i="33" s="1"/>
  <c r="I6" i="33"/>
  <c r="J6" i="33" s="1"/>
  <c r="F6" i="33"/>
  <c r="G6" i="33" s="1"/>
  <c r="I5" i="33"/>
  <c r="J5" i="33" s="1"/>
  <c r="F5" i="33"/>
  <c r="G5" i="33" s="1"/>
  <c r="I4" i="33"/>
  <c r="J4" i="33" s="1"/>
  <c r="F4" i="33"/>
  <c r="G4" i="33" s="1"/>
  <c r="H2" i="33"/>
  <c r="E2" i="33"/>
  <c r="D2" i="33"/>
  <c r="A1" i="33" a="1"/>
  <c r="A1" i="33" s="1"/>
  <c r="I15" i="32"/>
  <c r="J15" i="32" s="1"/>
  <c r="G15" i="32"/>
  <c r="F15" i="32"/>
  <c r="I14" i="32"/>
  <c r="J14" i="32" s="1"/>
  <c r="F14" i="32"/>
  <c r="G14" i="32" s="1"/>
  <c r="I13" i="32"/>
  <c r="J13" i="32" s="1"/>
  <c r="F13" i="32"/>
  <c r="G13" i="32" s="1"/>
  <c r="I12" i="32"/>
  <c r="J12" i="32" s="1"/>
  <c r="F12" i="32"/>
  <c r="G12" i="32" s="1"/>
  <c r="I11" i="32"/>
  <c r="J11" i="32" s="1"/>
  <c r="F11" i="32"/>
  <c r="G11" i="32" s="1"/>
  <c r="I10" i="32"/>
  <c r="J10" i="32" s="1"/>
  <c r="F10" i="32"/>
  <c r="G10" i="32" s="1"/>
  <c r="I9" i="32"/>
  <c r="J9" i="32" s="1"/>
  <c r="F9" i="32"/>
  <c r="G9" i="32" s="1"/>
  <c r="I8" i="32"/>
  <c r="J8" i="32" s="1"/>
  <c r="F8" i="32"/>
  <c r="G8" i="32" s="1"/>
  <c r="I7" i="32"/>
  <c r="J7" i="32" s="1"/>
  <c r="F7" i="32"/>
  <c r="G7" i="32" s="1"/>
  <c r="I6" i="32"/>
  <c r="J6" i="32" s="1"/>
  <c r="F6" i="32"/>
  <c r="G6" i="32" s="1"/>
  <c r="I5" i="32"/>
  <c r="J5" i="32" s="1"/>
  <c r="F5" i="32"/>
  <c r="G5" i="32" s="1"/>
  <c r="I4" i="32"/>
  <c r="J4" i="32" s="1"/>
  <c r="F4" i="32"/>
  <c r="G4" i="32" s="1"/>
  <c r="H2" i="32"/>
  <c r="E2" i="32"/>
  <c r="D2" i="32"/>
  <c r="A1" i="32" a="1"/>
  <c r="A1" i="32" s="1"/>
  <c r="I15" i="31"/>
  <c r="J15" i="31" s="1"/>
  <c r="F15" i="31"/>
  <c r="G15" i="31" s="1"/>
  <c r="I14" i="31"/>
  <c r="J14" i="31" s="1"/>
  <c r="F14" i="31"/>
  <c r="G14" i="31" s="1"/>
  <c r="I13" i="31"/>
  <c r="J13" i="31" s="1"/>
  <c r="F13" i="31"/>
  <c r="G13" i="31" s="1"/>
  <c r="I12" i="31"/>
  <c r="J12" i="31" s="1"/>
  <c r="F12" i="31"/>
  <c r="G12" i="31" s="1"/>
  <c r="I11" i="31"/>
  <c r="J11" i="31" s="1"/>
  <c r="F11" i="31"/>
  <c r="G11" i="31" s="1"/>
  <c r="I10" i="31"/>
  <c r="J10" i="31" s="1"/>
  <c r="F10" i="31"/>
  <c r="G10" i="31" s="1"/>
  <c r="I9" i="31"/>
  <c r="J9" i="31" s="1"/>
  <c r="F9" i="31"/>
  <c r="G9" i="31" s="1"/>
  <c r="I8" i="31"/>
  <c r="J8" i="31" s="1"/>
  <c r="F8" i="31"/>
  <c r="G8" i="31" s="1"/>
  <c r="I7" i="31"/>
  <c r="J7" i="31" s="1"/>
  <c r="F7" i="31"/>
  <c r="G7" i="31" s="1"/>
  <c r="I6" i="31"/>
  <c r="J6" i="31" s="1"/>
  <c r="F6" i="31"/>
  <c r="G6" i="31" s="1"/>
  <c r="I5" i="31"/>
  <c r="J5" i="31" s="1"/>
  <c r="F5" i="31"/>
  <c r="G5" i="31" s="1"/>
  <c r="I4" i="31"/>
  <c r="J4" i="31" s="1"/>
  <c r="F4" i="31"/>
  <c r="G4" i="31" s="1"/>
  <c r="H2" i="31"/>
  <c r="E2" i="31"/>
  <c r="D2" i="31"/>
  <c r="A1" i="31" a="1"/>
  <c r="A1" i="31" s="1"/>
  <c r="I15" i="28"/>
  <c r="J15" i="28" s="1"/>
  <c r="F15" i="28"/>
  <c r="G15" i="28" s="1"/>
  <c r="I14" i="28"/>
  <c r="J14" i="28" s="1"/>
  <c r="F14" i="28"/>
  <c r="G14" i="28" s="1"/>
  <c r="I13" i="28"/>
  <c r="J13" i="28" s="1"/>
  <c r="F13" i="28"/>
  <c r="G13" i="28" s="1"/>
  <c r="I12" i="28"/>
  <c r="J12" i="28" s="1"/>
  <c r="F12" i="28"/>
  <c r="G12" i="28" s="1"/>
  <c r="I11" i="28"/>
  <c r="J11" i="28" s="1"/>
  <c r="F11" i="28"/>
  <c r="G11" i="28" s="1"/>
  <c r="I10" i="28"/>
  <c r="J10" i="28" s="1"/>
  <c r="F10" i="28"/>
  <c r="G10" i="28" s="1"/>
  <c r="I9" i="28"/>
  <c r="J9" i="28" s="1"/>
  <c r="F9" i="28"/>
  <c r="G9" i="28" s="1"/>
  <c r="I8" i="28"/>
  <c r="J8" i="28" s="1"/>
  <c r="F8" i="28"/>
  <c r="G8" i="28" s="1"/>
  <c r="I7" i="28"/>
  <c r="J7" i="28" s="1"/>
  <c r="F7" i="28"/>
  <c r="G7" i="28" s="1"/>
  <c r="I6" i="28"/>
  <c r="J6" i="28" s="1"/>
  <c r="F6" i="28"/>
  <c r="G6" i="28" s="1"/>
  <c r="I5" i="28"/>
  <c r="J5" i="28" s="1"/>
  <c r="F5" i="28"/>
  <c r="G5" i="28" s="1"/>
  <c r="I4" i="28"/>
  <c r="J4" i="28" s="1"/>
  <c r="F4" i="28"/>
  <c r="G4" i="28" s="1"/>
  <c r="B4" i="28" a="1"/>
  <c r="B4" i="28" s="1"/>
  <c r="A4" i="28" a="1"/>
  <c r="A4" i="28" s="1"/>
  <c r="H2" i="28"/>
  <c r="E2" i="28"/>
  <c r="D2" i="28"/>
  <c r="L2" i="28" s="1"/>
  <c r="A1" i="28" a="1"/>
  <c r="A1" i="28" s="1"/>
  <c r="I15" i="27"/>
  <c r="J15" i="27" s="1"/>
  <c r="F15" i="27"/>
  <c r="G15" i="27" s="1"/>
  <c r="I14" i="27"/>
  <c r="J14" i="27" s="1"/>
  <c r="F14" i="27"/>
  <c r="G14" i="27" s="1"/>
  <c r="I13" i="27"/>
  <c r="J13" i="27" s="1"/>
  <c r="F13" i="27"/>
  <c r="G13" i="27" s="1"/>
  <c r="I12" i="27"/>
  <c r="J12" i="27" s="1"/>
  <c r="F12" i="27"/>
  <c r="G12" i="27" s="1"/>
  <c r="I11" i="27"/>
  <c r="J11" i="27" s="1"/>
  <c r="F11" i="27"/>
  <c r="G11" i="27" s="1"/>
  <c r="I10" i="27"/>
  <c r="J10" i="27" s="1"/>
  <c r="F10" i="27"/>
  <c r="G10" i="27" s="1"/>
  <c r="I9" i="27"/>
  <c r="J9" i="27" s="1"/>
  <c r="F9" i="27"/>
  <c r="G9" i="27" s="1"/>
  <c r="I8" i="27"/>
  <c r="J8" i="27" s="1"/>
  <c r="F8" i="27"/>
  <c r="G8" i="27" s="1"/>
  <c r="I7" i="27"/>
  <c r="J7" i="27" s="1"/>
  <c r="F7" i="27"/>
  <c r="G7" i="27" s="1"/>
  <c r="I6" i="27"/>
  <c r="J6" i="27" s="1"/>
  <c r="F6" i="27"/>
  <c r="G6" i="27" s="1"/>
  <c r="I5" i="27"/>
  <c r="J5" i="27" s="1"/>
  <c r="F5" i="27"/>
  <c r="G5" i="27" s="1"/>
  <c r="I4" i="27"/>
  <c r="J4" i="27" s="1"/>
  <c r="F4" i="27"/>
  <c r="G4" i="27" s="1"/>
  <c r="H2" i="27"/>
  <c r="E2" i="27"/>
  <c r="D2" i="27"/>
  <c r="A1" i="27" a="1"/>
  <c r="A1" i="27" s="1"/>
  <c r="I15" i="26"/>
  <c r="F15" i="26"/>
  <c r="G15" i="26" s="1"/>
  <c r="I14" i="26"/>
  <c r="J14" i="26" s="1"/>
  <c r="F14" i="26"/>
  <c r="G14" i="26" s="1"/>
  <c r="I13" i="26"/>
  <c r="J13" i="26" s="1"/>
  <c r="F13" i="26"/>
  <c r="G13" i="26" s="1"/>
  <c r="I12" i="26"/>
  <c r="F12" i="26"/>
  <c r="G12" i="26" s="1"/>
  <c r="I11" i="26"/>
  <c r="J11" i="26" s="1"/>
  <c r="F11" i="26"/>
  <c r="G11" i="26" s="1"/>
  <c r="I10" i="26"/>
  <c r="J10" i="26" s="1"/>
  <c r="F10" i="26"/>
  <c r="G10" i="26" s="1"/>
  <c r="I9" i="26"/>
  <c r="F9" i="26"/>
  <c r="G9" i="26" s="1"/>
  <c r="I8" i="26"/>
  <c r="J8" i="26" s="1"/>
  <c r="F8" i="26"/>
  <c r="G8" i="26" s="1"/>
  <c r="I7" i="26"/>
  <c r="F7" i="26"/>
  <c r="G7" i="26" s="1"/>
  <c r="I6" i="26"/>
  <c r="F6" i="26"/>
  <c r="G6" i="26" s="1"/>
  <c r="I5" i="26"/>
  <c r="J5" i="26" s="1"/>
  <c r="F5" i="26"/>
  <c r="G5" i="26" s="1"/>
  <c r="I4" i="26"/>
  <c r="J4" i="26" s="1"/>
  <c r="F4" i="26"/>
  <c r="G4" i="26" s="1"/>
  <c r="H2" i="26"/>
  <c r="E2" i="26"/>
  <c r="D2" i="26"/>
  <c r="L2" i="26" s="1"/>
  <c r="A1" i="26" a="1"/>
  <c r="A1" i="26" s="1"/>
  <c r="I15" i="19"/>
  <c r="J15" i="19" s="1"/>
  <c r="F15" i="19"/>
  <c r="G15" i="19" s="1"/>
  <c r="I14" i="19"/>
  <c r="J14" i="19" s="1"/>
  <c r="F14" i="19"/>
  <c r="G14" i="19" s="1"/>
  <c r="I13" i="19"/>
  <c r="J13" i="19" s="1"/>
  <c r="F13" i="19"/>
  <c r="G13" i="19" s="1"/>
  <c r="I12" i="19"/>
  <c r="J12" i="19" s="1"/>
  <c r="F12" i="19"/>
  <c r="G12" i="19" s="1"/>
  <c r="I11" i="19"/>
  <c r="J11" i="19" s="1"/>
  <c r="F11" i="19"/>
  <c r="G11" i="19" s="1"/>
  <c r="I10" i="19"/>
  <c r="J10" i="19" s="1"/>
  <c r="F10" i="19"/>
  <c r="G10" i="19" s="1"/>
  <c r="I9" i="19"/>
  <c r="J9" i="19" s="1"/>
  <c r="F9" i="19"/>
  <c r="G9" i="19" s="1"/>
  <c r="I8" i="19"/>
  <c r="J8" i="19" s="1"/>
  <c r="F8" i="19"/>
  <c r="G8" i="19" s="1"/>
  <c r="I7" i="19"/>
  <c r="J7" i="19" s="1"/>
  <c r="F7" i="19"/>
  <c r="G7" i="19" s="1"/>
  <c r="I6" i="19"/>
  <c r="J6" i="19" s="1"/>
  <c r="F6" i="19"/>
  <c r="G6" i="19" s="1"/>
  <c r="I5" i="19"/>
  <c r="J5" i="19" s="1"/>
  <c r="F5" i="19"/>
  <c r="G5" i="19" s="1"/>
  <c r="I4" i="19"/>
  <c r="J4" i="19" s="1"/>
  <c r="F4" i="19"/>
  <c r="G4" i="19" s="1"/>
  <c r="A1" i="19" a="1"/>
  <c r="A1" i="19" s="1"/>
  <c r="I15" i="20"/>
  <c r="J15" i="20" s="1"/>
  <c r="F15" i="20"/>
  <c r="G15" i="20" s="1"/>
  <c r="I14" i="20"/>
  <c r="J14" i="20" s="1"/>
  <c r="F14" i="20"/>
  <c r="G14" i="20" s="1"/>
  <c r="I13" i="20"/>
  <c r="J13" i="20" s="1"/>
  <c r="F13" i="20"/>
  <c r="G13" i="20" s="1"/>
  <c r="I12" i="20"/>
  <c r="J12" i="20" s="1"/>
  <c r="F12" i="20"/>
  <c r="G12" i="20" s="1"/>
  <c r="I11" i="20"/>
  <c r="J11" i="20" s="1"/>
  <c r="F11" i="20"/>
  <c r="G11" i="20" s="1"/>
  <c r="I10" i="20"/>
  <c r="J10" i="20" s="1"/>
  <c r="F10" i="20"/>
  <c r="G10" i="20" s="1"/>
  <c r="I9" i="20"/>
  <c r="J9" i="20" s="1"/>
  <c r="F9" i="20"/>
  <c r="G9" i="20" s="1"/>
  <c r="I8" i="20"/>
  <c r="J8" i="20" s="1"/>
  <c r="F8" i="20"/>
  <c r="G8" i="20" s="1"/>
  <c r="I7" i="20"/>
  <c r="J7" i="20" s="1"/>
  <c r="F7" i="20"/>
  <c r="G7" i="20" s="1"/>
  <c r="I6" i="20"/>
  <c r="J6" i="20" s="1"/>
  <c r="F6" i="20"/>
  <c r="G6" i="20" s="1"/>
  <c r="I5" i="20"/>
  <c r="J5" i="20" s="1"/>
  <c r="F5" i="20"/>
  <c r="G5" i="20" s="1"/>
  <c r="I4" i="20"/>
  <c r="J4" i="20" s="1"/>
  <c r="F4" i="20"/>
  <c r="G4" i="20" s="1"/>
  <c r="A1" i="20" a="1"/>
  <c r="A1" i="20" s="1"/>
  <c r="I15" i="21"/>
  <c r="J15" i="21" s="1"/>
  <c r="F15" i="21"/>
  <c r="G15" i="21" s="1"/>
  <c r="I14" i="21"/>
  <c r="J14" i="21" s="1"/>
  <c r="F14" i="21"/>
  <c r="G14" i="21" s="1"/>
  <c r="I13" i="21"/>
  <c r="J13" i="21" s="1"/>
  <c r="F13" i="21"/>
  <c r="G13" i="21" s="1"/>
  <c r="I12" i="21"/>
  <c r="J12" i="21" s="1"/>
  <c r="F12" i="21"/>
  <c r="G12" i="21" s="1"/>
  <c r="I11" i="21"/>
  <c r="J11" i="21" s="1"/>
  <c r="F11" i="21"/>
  <c r="G11" i="21" s="1"/>
  <c r="I10" i="21"/>
  <c r="J10" i="21" s="1"/>
  <c r="F10" i="21"/>
  <c r="G10" i="21" s="1"/>
  <c r="I9" i="21"/>
  <c r="J9" i="21" s="1"/>
  <c r="F9" i="21"/>
  <c r="G9" i="21" s="1"/>
  <c r="I8" i="21"/>
  <c r="J8" i="21" s="1"/>
  <c r="F8" i="21"/>
  <c r="G8" i="21" s="1"/>
  <c r="I7" i="21"/>
  <c r="J7" i="21" s="1"/>
  <c r="F7" i="21"/>
  <c r="G7" i="21" s="1"/>
  <c r="I6" i="21"/>
  <c r="J6" i="21" s="1"/>
  <c r="F6" i="21"/>
  <c r="G6" i="21" s="1"/>
  <c r="I5" i="21"/>
  <c r="J5" i="21" s="1"/>
  <c r="F5" i="21"/>
  <c r="G5" i="21" s="1"/>
  <c r="I4" i="21"/>
  <c r="J4" i="21" s="1"/>
  <c r="F4" i="21"/>
  <c r="G4" i="21" s="1"/>
  <c r="A1" i="21" a="1"/>
  <c r="A1" i="21" s="1"/>
  <c r="I15" i="4"/>
  <c r="J15" i="4" s="1"/>
  <c r="I14" i="4"/>
  <c r="J14" i="4" s="1"/>
  <c r="I13" i="4"/>
  <c r="J13" i="4" s="1"/>
  <c r="F13" i="4"/>
  <c r="G13" i="4" s="1"/>
  <c r="I12" i="4"/>
  <c r="J12" i="4" s="1"/>
  <c r="F12" i="4"/>
  <c r="G12" i="4" s="1"/>
  <c r="I11" i="4"/>
  <c r="J11" i="4" s="1"/>
  <c r="F11" i="4"/>
  <c r="G11" i="4" s="1"/>
  <c r="I10" i="4"/>
  <c r="J10" i="4" s="1"/>
  <c r="F10" i="4"/>
  <c r="G10" i="4" s="1"/>
  <c r="I9" i="4"/>
  <c r="J9" i="4" s="1"/>
  <c r="F9" i="4"/>
  <c r="G9" i="4" s="1"/>
  <c r="I8" i="4"/>
  <c r="J8" i="4" s="1"/>
  <c r="F8" i="4"/>
  <c r="G8" i="4" s="1"/>
  <c r="I7" i="4"/>
  <c r="J7" i="4" s="1"/>
  <c r="F7" i="4"/>
  <c r="G7" i="4" s="1"/>
  <c r="I6" i="4"/>
  <c r="J6" i="4" s="1"/>
  <c r="F6" i="4"/>
  <c r="G6" i="4" s="1"/>
  <c r="I5" i="4"/>
  <c r="J5" i="4" s="1"/>
  <c r="F5" i="4"/>
  <c r="G5" i="4" s="1"/>
  <c r="I4" i="4"/>
  <c r="J4" i="4" s="1"/>
  <c r="F4" i="4"/>
  <c r="G4" i="4" s="1"/>
  <c r="A1" i="4" a="1"/>
  <c r="A1" i="4" s="1"/>
  <c r="L2" i="3"/>
  <c r="A1" i="3" a="1"/>
  <c r="A1" i="3" s="1"/>
  <c r="I6" i="72"/>
  <c r="J6" i="72" s="1"/>
  <c r="I7" i="72"/>
  <c r="J7" i="72" s="1"/>
  <c r="I8" i="72"/>
  <c r="J8" i="72" s="1"/>
  <c r="I9" i="72"/>
  <c r="J9" i="72" s="1"/>
  <c r="I10" i="72"/>
  <c r="J10" i="72" s="1"/>
  <c r="I11" i="72"/>
  <c r="J11" i="72" s="1"/>
  <c r="I12" i="72"/>
  <c r="J12" i="72" s="1"/>
  <c r="I13" i="72"/>
  <c r="J13" i="72" s="1"/>
  <c r="I14" i="72"/>
  <c r="J14" i="72" s="1"/>
  <c r="I15" i="72"/>
  <c r="J15" i="72" s="1"/>
  <c r="I5" i="72"/>
  <c r="J5" i="72" s="1"/>
  <c r="I4" i="72"/>
  <c r="J4" i="72" s="1"/>
  <c r="L2" i="72"/>
  <c r="A1" i="72" a="1"/>
  <c r="A1" i="72" s="1"/>
  <c r="D4" i="34" l="1"/>
  <c r="J16" i="31"/>
  <c r="I16" i="30"/>
  <c r="J16" i="30" s="1"/>
  <c r="J17" i="31"/>
  <c r="I17" i="30"/>
  <c r="J17" i="30" s="1"/>
  <c r="D17" i="34"/>
  <c r="J53" i="1"/>
  <c r="I53" i="34"/>
  <c r="J53" i="34" s="1"/>
  <c r="J28" i="1"/>
  <c r="I28" i="34"/>
  <c r="J28" i="34" s="1"/>
  <c r="J104" i="1"/>
  <c r="I104" i="34"/>
  <c r="J104" i="34" s="1"/>
  <c r="J107" i="1"/>
  <c r="I107" i="34"/>
  <c r="J107" i="34" s="1"/>
  <c r="J65" i="1"/>
  <c r="I65" i="34"/>
  <c r="J65" i="34" s="1"/>
  <c r="J121" i="1"/>
  <c r="I121" i="34"/>
  <c r="J121" i="34" s="1"/>
  <c r="J35" i="1"/>
  <c r="I35" i="34"/>
  <c r="J35" i="34" s="1"/>
  <c r="J123" i="1"/>
  <c r="I123" i="34"/>
  <c r="J123" i="34" s="1"/>
  <c r="J100" i="1"/>
  <c r="I100" i="34"/>
  <c r="J100" i="34" s="1"/>
  <c r="J75" i="1"/>
  <c r="I75" i="34"/>
  <c r="J75" i="34" s="1"/>
  <c r="J79" i="1"/>
  <c r="I79" i="34"/>
  <c r="J79" i="34" s="1"/>
  <c r="J82" i="1"/>
  <c r="I82" i="34"/>
  <c r="J82" i="34" s="1"/>
  <c r="J37" i="1"/>
  <c r="I37" i="34"/>
  <c r="J37" i="34" s="1"/>
  <c r="J68" i="1"/>
  <c r="I68" i="34"/>
  <c r="J68" i="34" s="1"/>
  <c r="J23" i="1"/>
  <c r="I23" i="34"/>
  <c r="J23" i="34" s="1"/>
  <c r="J62" i="1"/>
  <c r="I62" i="34"/>
  <c r="J62" i="34" s="1"/>
  <c r="J110" i="1"/>
  <c r="I110" i="34"/>
  <c r="J110" i="34" s="1"/>
  <c r="J56" i="1"/>
  <c r="I56" i="34"/>
  <c r="J56" i="34" s="1"/>
  <c r="J25" i="1"/>
  <c r="I25" i="34"/>
  <c r="J25" i="34" s="1"/>
  <c r="J22" i="1"/>
  <c r="I22" i="34"/>
  <c r="J22" i="34" s="1"/>
  <c r="J32" i="1"/>
  <c r="I32" i="34"/>
  <c r="J32" i="34" s="1"/>
  <c r="J95" i="1"/>
  <c r="I95" i="34"/>
  <c r="J95" i="34" s="1"/>
  <c r="J96" i="1"/>
  <c r="I96" i="34"/>
  <c r="J96" i="34" s="1"/>
  <c r="J34" i="1"/>
  <c r="I34" i="34"/>
  <c r="J34" i="34" s="1"/>
  <c r="J44" i="1"/>
  <c r="I44" i="34"/>
  <c r="J44" i="34" s="1"/>
  <c r="J91" i="1"/>
  <c r="I91" i="34"/>
  <c r="J91" i="34" s="1"/>
  <c r="J18" i="1"/>
  <c r="I18" i="34"/>
  <c r="J18" i="34" s="1"/>
  <c r="J88" i="1"/>
  <c r="I88" i="34"/>
  <c r="J88" i="34" s="1"/>
  <c r="J132" i="1"/>
  <c r="I132" i="34"/>
  <c r="J132" i="34" s="1"/>
  <c r="J61" i="1"/>
  <c r="I61" i="34"/>
  <c r="J61" i="34" s="1"/>
  <c r="J117" i="1"/>
  <c r="I117" i="34"/>
  <c r="J117" i="34" s="1"/>
  <c r="J73" i="1"/>
  <c r="I73" i="34"/>
  <c r="J73" i="34" s="1"/>
  <c r="J43" i="1"/>
  <c r="I43" i="34"/>
  <c r="J43" i="34" s="1"/>
  <c r="J74" i="1"/>
  <c r="I74" i="34"/>
  <c r="J74" i="34" s="1"/>
  <c r="J130" i="1"/>
  <c r="I130" i="34"/>
  <c r="J130" i="34" s="1"/>
  <c r="J108" i="1"/>
  <c r="I108" i="34"/>
  <c r="J108" i="34" s="1"/>
  <c r="J101" i="1"/>
  <c r="I101" i="34"/>
  <c r="J101" i="34" s="1"/>
  <c r="J78" i="1"/>
  <c r="I78" i="34"/>
  <c r="J78" i="34" s="1"/>
  <c r="J80" i="1"/>
  <c r="I80" i="34"/>
  <c r="J80" i="34" s="1"/>
  <c r="J129" i="1"/>
  <c r="I129" i="34"/>
  <c r="J129" i="34" s="1"/>
  <c r="J98" i="1"/>
  <c r="I98" i="34"/>
  <c r="J98" i="34" s="1"/>
  <c r="J83" i="1"/>
  <c r="I83" i="34"/>
  <c r="J83" i="34" s="1"/>
  <c r="J92" i="1"/>
  <c r="I92" i="34"/>
  <c r="J92" i="34" s="1"/>
  <c r="J46" i="1"/>
  <c r="I46" i="34"/>
  <c r="J46" i="34" s="1"/>
  <c r="J31" i="1"/>
  <c r="I31" i="34"/>
  <c r="J31" i="34" s="1"/>
  <c r="J118" i="1"/>
  <c r="I118" i="34"/>
  <c r="J118" i="34" s="1"/>
  <c r="J71" i="1"/>
  <c r="I71" i="34"/>
  <c r="J71" i="34" s="1"/>
  <c r="J33" i="1"/>
  <c r="I33" i="34"/>
  <c r="J33" i="34" s="1"/>
  <c r="J125" i="1"/>
  <c r="I125" i="34"/>
  <c r="J125" i="34" s="1"/>
  <c r="J128" i="1"/>
  <c r="I128" i="34"/>
  <c r="J128" i="34" s="1"/>
  <c r="J52" i="1"/>
  <c r="I52" i="34"/>
  <c r="J52" i="34" s="1"/>
  <c r="J115" i="1"/>
  <c r="I115" i="34"/>
  <c r="J115" i="34" s="1"/>
  <c r="J41" i="1"/>
  <c r="I41" i="34"/>
  <c r="J41" i="34" s="1"/>
  <c r="J112" i="1"/>
  <c r="I112" i="34"/>
  <c r="J112" i="34" s="1"/>
  <c r="J45" i="1"/>
  <c r="I45" i="34"/>
  <c r="J45" i="34" s="1"/>
  <c r="J70" i="1"/>
  <c r="I70" i="34"/>
  <c r="J70" i="34" s="1"/>
  <c r="J30" i="1"/>
  <c r="I30" i="34"/>
  <c r="J30" i="34" s="1"/>
  <c r="J69" i="1"/>
  <c r="I69" i="34"/>
  <c r="J69" i="34" s="1"/>
  <c r="J40" i="1"/>
  <c r="I40" i="34"/>
  <c r="J40" i="34" s="1"/>
  <c r="J111" i="1"/>
  <c r="I111" i="34"/>
  <c r="J111" i="34" s="1"/>
  <c r="J42" i="1"/>
  <c r="I42" i="34"/>
  <c r="J42" i="34" s="1"/>
  <c r="J137" i="1"/>
  <c r="I137" i="34"/>
  <c r="J137" i="34" s="1"/>
  <c r="J51" i="1"/>
  <c r="I51" i="34"/>
  <c r="J51" i="34" s="1"/>
  <c r="J102" i="1"/>
  <c r="I102" i="34"/>
  <c r="J102" i="34" s="1"/>
  <c r="J99" i="1"/>
  <c r="I99" i="34"/>
  <c r="J99" i="34" s="1"/>
  <c r="J105" i="1"/>
  <c r="I105" i="34"/>
  <c r="J105" i="34" s="1"/>
  <c r="J77" i="1"/>
  <c r="I77" i="34"/>
  <c r="J77" i="34" s="1"/>
  <c r="J89" i="1"/>
  <c r="I89" i="34"/>
  <c r="J89" i="34" s="1"/>
  <c r="J90" i="1"/>
  <c r="I90" i="34"/>
  <c r="J90" i="34" s="1"/>
  <c r="J21" i="1"/>
  <c r="I21" i="34"/>
  <c r="J21" i="34" s="1"/>
  <c r="J120" i="1"/>
  <c r="I120" i="34"/>
  <c r="J120" i="34" s="1"/>
  <c r="J86" i="1"/>
  <c r="I86" i="34"/>
  <c r="J86" i="34" s="1"/>
  <c r="J134" i="1"/>
  <c r="I134" i="34"/>
  <c r="J134" i="34" s="1"/>
  <c r="J87" i="1"/>
  <c r="I87" i="34"/>
  <c r="J87" i="34" s="1"/>
  <c r="J38" i="1"/>
  <c r="I38" i="34"/>
  <c r="J38" i="34" s="1"/>
  <c r="J47" i="1"/>
  <c r="I47" i="34"/>
  <c r="J47" i="34" s="1"/>
  <c r="J19" i="1"/>
  <c r="I19" i="34"/>
  <c r="J19" i="34" s="1"/>
  <c r="J50" i="1"/>
  <c r="I50" i="34"/>
  <c r="J50" i="34" s="1"/>
  <c r="J58" i="1"/>
  <c r="I58" i="34"/>
  <c r="J58" i="34" s="1"/>
  <c r="J114" i="1"/>
  <c r="I114" i="34"/>
  <c r="J114" i="34" s="1"/>
  <c r="J109" i="1"/>
  <c r="I109" i="34"/>
  <c r="J109" i="34" s="1"/>
  <c r="J85" i="1"/>
  <c r="I85" i="34"/>
  <c r="J85" i="34" s="1"/>
  <c r="J57" i="1"/>
  <c r="I57" i="34"/>
  <c r="J57" i="34" s="1"/>
  <c r="J103" i="1"/>
  <c r="I103" i="34"/>
  <c r="J103" i="34" s="1"/>
  <c r="J113" i="1"/>
  <c r="I113" i="34"/>
  <c r="J113" i="34" s="1"/>
  <c r="J27" i="1"/>
  <c r="I27" i="34"/>
  <c r="J27" i="34" s="1"/>
  <c r="J136" i="1"/>
  <c r="I136" i="34"/>
  <c r="J136" i="34" s="1"/>
  <c r="J81" i="1"/>
  <c r="I81" i="34"/>
  <c r="J81" i="34" s="1"/>
  <c r="J116" i="1"/>
  <c r="I116" i="34"/>
  <c r="J116" i="34" s="1"/>
  <c r="J49" i="1"/>
  <c r="I49" i="34"/>
  <c r="J49" i="34" s="1"/>
  <c r="J127" i="1"/>
  <c r="I127" i="34"/>
  <c r="J127" i="34" s="1"/>
  <c r="J106" i="1"/>
  <c r="I106" i="34"/>
  <c r="J106" i="34" s="1"/>
  <c r="J97" i="1"/>
  <c r="I97" i="34"/>
  <c r="J97" i="34" s="1"/>
  <c r="J84" i="1"/>
  <c r="I84" i="34"/>
  <c r="J84" i="34" s="1"/>
  <c r="J76" i="1"/>
  <c r="I76" i="34"/>
  <c r="J76" i="34" s="1"/>
  <c r="J133" i="1"/>
  <c r="I133" i="34"/>
  <c r="J133" i="34" s="1"/>
  <c r="J55" i="1"/>
  <c r="I55" i="34"/>
  <c r="J55" i="34" s="1"/>
  <c r="J94" i="1"/>
  <c r="I94" i="34"/>
  <c r="J94" i="34" s="1"/>
  <c r="J24" i="1"/>
  <c r="I24" i="34"/>
  <c r="J24" i="34" s="1"/>
  <c r="J64" i="1"/>
  <c r="I64" i="34"/>
  <c r="J64" i="34" s="1"/>
  <c r="J63" i="1"/>
  <c r="I63" i="34"/>
  <c r="J63" i="34" s="1"/>
  <c r="J135" i="1"/>
  <c r="I135" i="34"/>
  <c r="J135" i="34" s="1"/>
  <c r="J26" i="1"/>
  <c r="I26" i="34"/>
  <c r="J26" i="34" s="1"/>
  <c r="J36" i="1"/>
  <c r="I36" i="34"/>
  <c r="J36" i="34" s="1"/>
  <c r="J131" i="1"/>
  <c r="I131" i="34"/>
  <c r="J131" i="34" s="1"/>
  <c r="J72" i="1"/>
  <c r="I72" i="34"/>
  <c r="J72" i="34" s="1"/>
  <c r="J20" i="1"/>
  <c r="I20" i="34"/>
  <c r="J20" i="34" s="1"/>
  <c r="J39" i="1"/>
  <c r="I39" i="34"/>
  <c r="J39" i="34" s="1"/>
  <c r="J48" i="1"/>
  <c r="I48" i="34"/>
  <c r="J48" i="34" s="1"/>
  <c r="J59" i="1"/>
  <c r="I59" i="34"/>
  <c r="J59" i="34" s="1"/>
  <c r="J29" i="1"/>
  <c r="I29" i="34"/>
  <c r="J29" i="34" s="1"/>
  <c r="J60" i="1"/>
  <c r="I60" i="34"/>
  <c r="J60" i="34" s="1"/>
  <c r="J124" i="1"/>
  <c r="I124" i="34"/>
  <c r="J124" i="34" s="1"/>
  <c r="J119" i="1"/>
  <c r="I119" i="34"/>
  <c r="J119" i="34" s="1"/>
  <c r="J54" i="1"/>
  <c r="I54" i="34"/>
  <c r="J54" i="34" s="1"/>
  <c r="J93" i="1"/>
  <c r="I93" i="34"/>
  <c r="J93" i="34" s="1"/>
  <c r="J126" i="1"/>
  <c r="I126" i="34"/>
  <c r="J126" i="34" s="1"/>
  <c r="J66" i="1"/>
  <c r="I66" i="34"/>
  <c r="J66" i="34" s="1"/>
  <c r="J122" i="1"/>
  <c r="I122" i="34"/>
  <c r="J122" i="34" s="1"/>
  <c r="J67" i="1"/>
  <c r="I67" i="34"/>
  <c r="J67" i="34" s="1"/>
  <c r="E6" i="34"/>
  <c r="E14" i="34"/>
  <c r="E16" i="34"/>
  <c r="J17" i="27"/>
  <c r="I17" i="29"/>
  <c r="J17" i="29" s="1"/>
  <c r="D5" i="34"/>
  <c r="D9" i="34"/>
  <c r="D13" i="34"/>
  <c r="D16" i="34"/>
  <c r="F11" i="30"/>
  <c r="G11" i="30" s="1"/>
  <c r="I12" i="29"/>
  <c r="J12" i="29" s="1"/>
  <c r="D7" i="34"/>
  <c r="D11" i="34"/>
  <c r="D15" i="34"/>
  <c r="D8" i="34"/>
  <c r="D12" i="34"/>
  <c r="D6" i="34"/>
  <c r="D10" i="34"/>
  <c r="D14" i="34"/>
  <c r="E12" i="34"/>
  <c r="E10" i="34"/>
  <c r="E11" i="34"/>
  <c r="E7" i="34"/>
  <c r="E15" i="34"/>
  <c r="E17" i="34"/>
  <c r="E13" i="34"/>
  <c r="E9" i="34"/>
  <c r="E8" i="34"/>
  <c r="E5" i="34"/>
  <c r="F16" i="18"/>
  <c r="G16" i="18" s="1"/>
  <c r="I7" i="29"/>
  <c r="J7" i="29" s="1"/>
  <c r="I15" i="29"/>
  <c r="J15" i="29" s="1"/>
  <c r="F6" i="18"/>
  <c r="G6" i="18" s="1"/>
  <c r="F10" i="18"/>
  <c r="G10" i="18" s="1"/>
  <c r="F6" i="29"/>
  <c r="G6" i="29" s="1"/>
  <c r="F10" i="29"/>
  <c r="G10" i="29" s="1"/>
  <c r="F10" i="30"/>
  <c r="G10" i="30" s="1"/>
  <c r="F14" i="30"/>
  <c r="G14" i="30" s="1"/>
  <c r="E2" i="1"/>
  <c r="F8" i="30"/>
  <c r="G8" i="30" s="1"/>
  <c r="F12" i="30"/>
  <c r="G12" i="30" s="1"/>
  <c r="F16" i="29"/>
  <c r="G16" i="29" s="1"/>
  <c r="F9" i="30"/>
  <c r="G9" i="30" s="1"/>
  <c r="F13" i="30"/>
  <c r="G13" i="30" s="1"/>
  <c r="E2" i="18"/>
  <c r="F17" i="18"/>
  <c r="G17" i="18" s="1"/>
  <c r="D2" i="1"/>
  <c r="H2" i="1"/>
  <c r="H2" i="34"/>
  <c r="F17" i="1"/>
  <c r="G17" i="1" s="1"/>
  <c r="F16" i="1"/>
  <c r="G16" i="1" s="1"/>
  <c r="F15" i="30"/>
  <c r="G15" i="30" s="1"/>
  <c r="E2" i="30"/>
  <c r="F5" i="30"/>
  <c r="G5" i="30" s="1"/>
  <c r="F6" i="30"/>
  <c r="G6" i="30" s="1"/>
  <c r="I6" i="30"/>
  <c r="J6" i="30" s="1"/>
  <c r="F4" i="30"/>
  <c r="G4" i="30" s="1"/>
  <c r="F13" i="29"/>
  <c r="G13" i="29" s="1"/>
  <c r="F14" i="29"/>
  <c r="G14" i="29" s="1"/>
  <c r="I9" i="29"/>
  <c r="J9" i="29" s="1"/>
  <c r="I6" i="29"/>
  <c r="J6" i="29" s="1"/>
  <c r="E2" i="29"/>
  <c r="F5" i="29"/>
  <c r="G5" i="29" s="1"/>
  <c r="F9" i="29"/>
  <c r="G9" i="29" s="1"/>
  <c r="I10" i="29"/>
  <c r="J10" i="29" s="1"/>
  <c r="I13" i="29"/>
  <c r="J13" i="29" s="1"/>
  <c r="F11" i="29"/>
  <c r="G11" i="29" s="1"/>
  <c r="F8" i="29"/>
  <c r="G8" i="29" s="1"/>
  <c r="F12" i="29"/>
  <c r="G12" i="29" s="1"/>
  <c r="I16" i="29"/>
  <c r="J16" i="29" s="1"/>
  <c r="F9" i="18"/>
  <c r="G9" i="18" s="1"/>
  <c r="F14" i="18"/>
  <c r="G14" i="18" s="1"/>
  <c r="F5" i="18"/>
  <c r="G5" i="18" s="1"/>
  <c r="F13" i="18"/>
  <c r="G13" i="18" s="1"/>
  <c r="I16" i="18"/>
  <c r="E4" i="34"/>
  <c r="F7" i="18"/>
  <c r="G7" i="18" s="1"/>
  <c r="F11" i="18"/>
  <c r="G11" i="18" s="1"/>
  <c r="F15" i="18"/>
  <c r="G15" i="18" s="1"/>
  <c r="I17" i="18"/>
  <c r="F4" i="18"/>
  <c r="G4" i="18" s="1"/>
  <c r="F8" i="18"/>
  <c r="G8" i="18" s="1"/>
  <c r="F12" i="18"/>
  <c r="G12" i="18" s="1"/>
  <c r="I17" i="1"/>
  <c r="J17" i="1" s="1"/>
  <c r="I16" i="1"/>
  <c r="J16" i="1" s="1"/>
  <c r="I2" i="33"/>
  <c r="J2" i="33" s="1"/>
  <c r="L2" i="33"/>
  <c r="I2" i="32"/>
  <c r="J2" i="32" s="1"/>
  <c r="L2" i="32"/>
  <c r="I2" i="31"/>
  <c r="J2" i="31" s="1"/>
  <c r="L2" i="31"/>
  <c r="I2" i="28"/>
  <c r="J2" i="28" s="1"/>
  <c r="F2" i="28"/>
  <c r="G2" i="28" s="1"/>
  <c r="I2" i="27"/>
  <c r="J2" i="27" s="1"/>
  <c r="L2" i="27"/>
  <c r="I2" i="26"/>
  <c r="J2" i="26" s="1"/>
  <c r="I2" i="19"/>
  <c r="J2" i="19" s="1"/>
  <c r="L2" i="19"/>
  <c r="F2" i="20"/>
  <c r="G2" i="20" s="1"/>
  <c r="L2" i="20"/>
  <c r="I2" i="20"/>
  <c r="J2" i="20" s="1"/>
  <c r="I2" i="21"/>
  <c r="J2" i="21" s="1"/>
  <c r="L2" i="21"/>
  <c r="I2" i="4"/>
  <c r="J2" i="4" s="1"/>
  <c r="L2" i="4"/>
  <c r="I2" i="3"/>
  <c r="J2" i="3" s="1"/>
  <c r="F7" i="1"/>
  <c r="G7" i="1" s="1"/>
  <c r="F15" i="1"/>
  <c r="G15" i="1" s="1"/>
  <c r="F8" i="1"/>
  <c r="G8" i="1" s="1"/>
  <c r="F11" i="1"/>
  <c r="G11" i="1" s="1"/>
  <c r="F9" i="1"/>
  <c r="G9" i="1" s="1"/>
  <c r="F10" i="1"/>
  <c r="G10" i="1" s="1"/>
  <c r="F12" i="1"/>
  <c r="G12" i="1" s="1"/>
  <c r="F5" i="1"/>
  <c r="G5" i="1" s="1"/>
  <c r="F13" i="1"/>
  <c r="G13" i="1" s="1"/>
  <c r="F6" i="1"/>
  <c r="G6" i="1" s="1"/>
  <c r="F14" i="1"/>
  <c r="G14" i="1" s="1"/>
  <c r="I14" i="30"/>
  <c r="J14" i="30" s="1"/>
  <c r="I9" i="30"/>
  <c r="J9" i="30" s="1"/>
  <c r="I4" i="30"/>
  <c r="J4" i="30" s="1"/>
  <c r="F7" i="30"/>
  <c r="G7" i="30" s="1"/>
  <c r="I12" i="30"/>
  <c r="J12" i="30" s="1"/>
  <c r="I7" i="30"/>
  <c r="J7" i="30" s="1"/>
  <c r="I15" i="30"/>
  <c r="J15" i="30" s="1"/>
  <c r="I10" i="30"/>
  <c r="J10" i="30" s="1"/>
  <c r="I5" i="30"/>
  <c r="J5" i="30" s="1"/>
  <c r="I13" i="30"/>
  <c r="J13" i="30" s="1"/>
  <c r="I8" i="30"/>
  <c r="J8" i="30" s="1"/>
  <c r="I11" i="30"/>
  <c r="J11" i="30" s="1"/>
  <c r="F7" i="29"/>
  <c r="G7" i="29" s="1"/>
  <c r="I8" i="29"/>
  <c r="J8" i="29" s="1"/>
  <c r="I11" i="29"/>
  <c r="J11" i="29" s="1"/>
  <c r="J6" i="26"/>
  <c r="J9" i="26"/>
  <c r="J12" i="26"/>
  <c r="J15" i="26"/>
  <c r="I14" i="29"/>
  <c r="J14" i="29" s="1"/>
  <c r="I4" i="29"/>
  <c r="J4" i="29" s="1"/>
  <c r="F15" i="29"/>
  <c r="G15" i="29" s="1"/>
  <c r="I5" i="29"/>
  <c r="J5" i="29" s="1"/>
  <c r="J7" i="26"/>
  <c r="I14" i="18"/>
  <c r="I9" i="18"/>
  <c r="I6" i="18"/>
  <c r="I4" i="18"/>
  <c r="J4" i="18" s="1"/>
  <c r="I12" i="18"/>
  <c r="I7" i="18"/>
  <c r="I15" i="18"/>
  <c r="I10" i="18"/>
  <c r="I5" i="18"/>
  <c r="I13" i="18"/>
  <c r="I8" i="18"/>
  <c r="I11" i="18"/>
  <c r="D2" i="29"/>
  <c r="D2" i="30"/>
  <c r="F4" i="29"/>
  <c r="G4" i="29" s="1"/>
  <c r="D2" i="18"/>
  <c r="I7" i="1"/>
  <c r="J7" i="1" s="1"/>
  <c r="I4" i="1"/>
  <c r="I5" i="1"/>
  <c r="J5" i="1" s="1"/>
  <c r="I15" i="1"/>
  <c r="J15" i="1" s="1"/>
  <c r="I12" i="1"/>
  <c r="J12" i="1" s="1"/>
  <c r="I11" i="1"/>
  <c r="J11" i="1" s="1"/>
  <c r="I10" i="1"/>
  <c r="J10" i="1" s="1"/>
  <c r="I6" i="1"/>
  <c r="J6" i="1" s="1"/>
  <c r="F2" i="3"/>
  <c r="G2" i="3" s="1"/>
  <c r="F4" i="1"/>
  <c r="G4" i="1" s="1"/>
  <c r="I14" i="1"/>
  <c r="J14" i="1" s="1"/>
  <c r="I13" i="1"/>
  <c r="J13" i="1" s="1"/>
  <c r="I9" i="1"/>
  <c r="J9" i="1" s="1"/>
  <c r="I8" i="1"/>
  <c r="J8" i="1" s="1"/>
  <c r="F2" i="33"/>
  <c r="G2" i="33" s="1"/>
  <c r="F2" i="32"/>
  <c r="G2" i="32" s="1"/>
  <c r="F2" i="31"/>
  <c r="G2" i="31" s="1"/>
  <c r="F2" i="27"/>
  <c r="G2" i="27" s="1"/>
  <c r="F2" i="26"/>
  <c r="G2" i="26" s="1"/>
  <c r="F2" i="19"/>
  <c r="G2" i="19" s="1"/>
  <c r="F2" i="21"/>
  <c r="G2" i="21" s="1"/>
  <c r="F2" i="4"/>
  <c r="G2" i="4" s="1"/>
  <c r="I2" i="72"/>
  <c r="F17" i="34" l="1"/>
  <c r="G17" i="34" s="1"/>
  <c r="F5" i="34"/>
  <c r="G5" i="34" s="1"/>
  <c r="F16" i="34"/>
  <c r="G16" i="34" s="1"/>
  <c r="F6" i="34"/>
  <c r="G6" i="34" s="1"/>
  <c r="F15" i="34"/>
  <c r="G15" i="34" s="1"/>
  <c r="F9" i="34"/>
  <c r="G9" i="34" s="1"/>
  <c r="F14" i="34"/>
  <c r="G14" i="34" s="1"/>
  <c r="F13" i="34"/>
  <c r="G13" i="34" s="1"/>
  <c r="F12" i="34"/>
  <c r="G12" i="34" s="1"/>
  <c r="F11" i="34"/>
  <c r="G11" i="34" s="1"/>
  <c r="F7" i="34"/>
  <c r="G7" i="34" s="1"/>
  <c r="F10" i="34"/>
  <c r="G10" i="34" s="1"/>
  <c r="F8" i="34"/>
  <c r="G8" i="34" s="1"/>
  <c r="D2" i="34"/>
  <c r="I2" i="34" s="1"/>
  <c r="J2" i="34" s="1"/>
  <c r="E2" i="34"/>
  <c r="F2" i="29"/>
  <c r="G2" i="29" s="1"/>
  <c r="J12" i="18"/>
  <c r="I12" i="34"/>
  <c r="J12" i="34" s="1"/>
  <c r="J11" i="18"/>
  <c r="I11" i="34"/>
  <c r="J11" i="34" s="1"/>
  <c r="J17" i="18"/>
  <c r="I17" i="34"/>
  <c r="J17" i="34" s="1"/>
  <c r="J6" i="18"/>
  <c r="I6" i="34"/>
  <c r="J6" i="34" s="1"/>
  <c r="J16" i="18"/>
  <c r="I16" i="34"/>
  <c r="J16" i="34" s="1"/>
  <c r="J15" i="18"/>
  <c r="I15" i="34"/>
  <c r="J15" i="34" s="1"/>
  <c r="J14" i="18"/>
  <c r="I14" i="34"/>
  <c r="J14" i="34" s="1"/>
  <c r="J13" i="18"/>
  <c r="I13" i="34"/>
  <c r="J13" i="34" s="1"/>
  <c r="J10" i="18"/>
  <c r="I10" i="34"/>
  <c r="J10" i="34" s="1"/>
  <c r="J9" i="18"/>
  <c r="I9" i="34"/>
  <c r="J9" i="34" s="1"/>
  <c r="J8" i="18"/>
  <c r="I8" i="34"/>
  <c r="J8" i="34" s="1"/>
  <c r="J7" i="18"/>
  <c r="I7" i="34"/>
  <c r="J7" i="34" s="1"/>
  <c r="J5" i="18"/>
  <c r="I5" i="34"/>
  <c r="J5" i="34" s="1"/>
  <c r="F4" i="34"/>
  <c r="G4" i="34" s="1"/>
  <c r="I2" i="1"/>
  <c r="J2" i="1" s="1"/>
  <c r="J4" i="1"/>
  <c r="I4" i="34"/>
  <c r="J4" i="34" s="1"/>
  <c r="I2" i="29"/>
  <c r="J2" i="29" s="1"/>
  <c r="I2" i="30"/>
  <c r="J2" i="30" s="1"/>
  <c r="F2" i="30"/>
  <c r="G2" i="30" s="1"/>
  <c r="I2" i="18"/>
  <c r="J2" i="18" s="1"/>
  <c r="F2" i="18"/>
  <c r="G2" i="18" s="1"/>
  <c r="F2" i="1"/>
  <c r="G2" i="1" s="1"/>
  <c r="J2" i="72"/>
  <c r="F2" i="72"/>
  <c r="G2" i="72" s="1"/>
  <c r="F2" i="34" l="1"/>
  <c r="G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</authors>
  <commentList>
    <comment ref="K3" authorId="0" shapeId="0" xr:uid="{28E60760-5B23-4649-B8F5-5CCC6F8CA4DB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</authors>
  <commentList>
    <comment ref="K3" authorId="0" shapeId="0" xr:uid="{7DA06A1F-1909-461A-B0E7-267099C6B939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</authors>
  <commentList>
    <comment ref="K3" authorId="0" shapeId="0" xr:uid="{32710A5A-4A85-4039-B6B0-5A596C5090E6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</authors>
  <commentList>
    <comment ref="K3" authorId="0" shapeId="0" xr:uid="{EBE22167-EE12-442B-9E1C-02458C14B223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</authors>
  <commentList>
    <comment ref="K3" authorId="0" shapeId="0" xr:uid="{7D8B1738-177F-466D-BEA4-5EC95BD94853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</authors>
  <commentList>
    <comment ref="K3" authorId="0" shapeId="0" xr:uid="{48955AD9-E7D5-42CE-AB49-96DB33A0F3B4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  <author>tc={DF67D825-C883-44F2-8EA5-D891A5BC6DA2}</author>
    <author>tc={A315C444-F93F-4C05-92FF-4E51C72D0B9B}</author>
  </authors>
  <commentList>
    <comment ref="K3" authorId="0" shapeId="0" xr:uid="{505A90FD-9F03-4384-BD67-513C7E87AF32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  <comment ref="D81" authorId="1" shapeId="0" xr:uid="{DF67D825-C883-44F2-8EA5-D891A5BC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  <comment ref="D89" authorId="2" shapeId="0" xr:uid="{A315C444-F93F-4C05-92FF-4E51C72D0B9B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</authors>
  <commentList>
    <comment ref="K3" authorId="0" shapeId="0" xr:uid="{33F7CBCB-014E-4DB4-9441-19F361FED4DC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</authors>
  <commentList>
    <comment ref="K3" authorId="0" shapeId="0" xr:uid="{205A511E-9723-4E11-B6BB-27ACE90B82C0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</authors>
  <commentList>
    <comment ref="K3" authorId="0" shapeId="0" xr:uid="{F9ED387A-FB65-482E-933C-B5A19845F40E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</authors>
  <commentList>
    <comment ref="K3" authorId="0" shapeId="0" xr:uid="{2ABC6E94-8315-420F-A864-77B4C64BD2CC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  <author>tc={86E18900-82D9-4255-AB88-27957F7FACBD}</author>
  </authors>
  <commentList>
    <comment ref="K3" authorId="0" shapeId="0" xr:uid="{FDF42D20-2A3F-42D2-BA83-FF9F020748A8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  <comment ref="D96" authorId="1" shapeId="0" xr:uid="{86E18900-82D9-4255-AB88-27957F7FACBD}">
      <text>
        <t>[Threaded comment]
Your version of Excel allows you to read this threaded comment; however, any edits to it will get removed if the file is opened in a newer version of Excel. Learn more: https://go.microsoft.com/fwlink/?linkid=870924
Comment:
    Inverter Actual Energy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</authors>
  <commentList>
    <comment ref="K3" authorId="0" shapeId="0" xr:uid="{202DC124-283D-4F76-9C75-E831F3479BA5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</authors>
  <commentList>
    <comment ref="K3" authorId="0" shapeId="0" xr:uid="{7E14542A-6B20-4150-8235-3EEBBCCED3BA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</authors>
  <commentList>
    <comment ref="K3" authorId="0" shapeId="0" xr:uid="{8D082448-E777-4706-A71A-4F8B5EF3B0A4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</authors>
  <commentList>
    <comment ref="K3" authorId="0" shapeId="0" xr:uid="{466138BE-E8DD-4E40-8FB4-3C4E6D21BA50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Brown, David</author>
  </authors>
  <commentList>
    <comment ref="K3" authorId="0" shapeId="0" xr:uid="{29EC3E63-E3BB-4236-8A8F-D8B99F65E2BC}">
      <text>
        <r>
          <rPr>
            <sz val="9"/>
            <color indexed="81"/>
            <rFont val="Tahoma"/>
            <family val="2"/>
          </rPr>
          <t>DAS provider reported monthly availabiility includes availability impact from all causes and is calculated monthly. This information is being included for reference purposes.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<sst xmlns="http://schemas.openxmlformats.org/spreadsheetml/2006/main" count="2433" uniqueCount="1453">
  <si>
    <t>Year to Date Actual v. Expected</t>
  </si>
  <si>
    <t>Year to Date Actual v. Forecasted</t>
  </si>
  <si>
    <t>YtD Availability</t>
  </si>
  <si>
    <t>Total</t>
  </si>
  <si>
    <t>Site</t>
  </si>
  <si>
    <t>State</t>
  </si>
  <si>
    <t>SOL#</t>
  </si>
  <si>
    <t>Actual</t>
  </si>
  <si>
    <t>Expected</t>
  </si>
  <si>
    <t>Delta</t>
  </si>
  <si>
    <t>%</t>
  </si>
  <si>
    <t>Forecasted</t>
  </si>
  <si>
    <t>Site Availability</t>
  </si>
  <si>
    <t>SOL-11085</t>
  </si>
  <si>
    <t>1st Quarter Actual v. Expected</t>
  </si>
  <si>
    <t>1st Quarter Actual v. Forecasted</t>
  </si>
  <si>
    <t>Q1 Availability</t>
  </si>
  <si>
    <t>IF(COUNTA(Jan!K64, Feb!K64, Mar!K64)," ",SUM(Jan!K64, Feb!K64, Mar!K64))/3</t>
  </si>
  <si>
    <t>2nd Quarter Actual v. Expected</t>
  </si>
  <si>
    <t>2nd Quarter Actual v. Forecasted</t>
  </si>
  <si>
    <t>Q2 Availability</t>
  </si>
  <si>
    <t>3rd Quarter Actual v. Expected</t>
  </si>
  <si>
    <t>3rd Quarter Actual v. Forecasted</t>
  </si>
  <si>
    <t>Q3 Availability</t>
  </si>
  <si>
    <t>4th Quarter Actual v. Expected</t>
  </si>
  <si>
    <t>4th Quarter Actual v. Forecasted</t>
  </si>
  <si>
    <t>Q4 Availability</t>
  </si>
  <si>
    <t>January Actual v. Expected</t>
  </si>
  <si>
    <t>January Actual v. Forecasted</t>
  </si>
  <si>
    <t>January Availability</t>
  </si>
  <si>
    <t>Notes</t>
  </si>
  <si>
    <t>Service Requests</t>
  </si>
  <si>
    <t/>
  </si>
  <si>
    <t>1.Inverter 1.1 is offline from 01/05 and back online on 01/17 at 10:45AM
2. Inverter 1.1 is offline from 07:00AM on 01/20 and back online at 11:00 on 01/22</t>
  </si>
  <si>
    <t>1.SR079991
2.SR080358</t>
  </si>
  <si>
    <t>1.Site did not started on 01/25 and started late on 01/27.</t>
  </si>
  <si>
    <t xml:space="preserve">1.SR080480	</t>
  </si>
  <si>
    <t>1. Inveter B did not started for production 1/15 and 1/24.</t>
  </si>
  <si>
    <t>1. SR080237</t>
  </si>
  <si>
    <t xml:space="preserve"> </t>
  </si>
  <si>
    <t>1. Site was offline on 1/22 at 15:30 and back online on 1/23 11:45.</t>
  </si>
  <si>
    <t>1. SR080401</t>
  </si>
  <si>
    <t>1. Site started production from 1/18</t>
  </si>
  <si>
    <t>1. SR079892</t>
  </si>
  <si>
    <t>1. Ongoing construction to the array on the roof. 70 percent of the array is offline for construction</t>
  </si>
  <si>
    <t>1. SR077214</t>
  </si>
  <si>
    <t>1. Inverter 1 primary unit offline on 01/19/2024 &amp; back online 01/25/2024 at 10:00.</t>
  </si>
  <si>
    <t>1. SR080472</t>
  </si>
  <si>
    <t>1. Site tripped offline on 01/11 at 8:15 and back online at 11:15,  but inverter 2 again tripped offline
2. Inverter 2 tripped offline on 01/11 at 11:45 and back online on 01/12</t>
  </si>
  <si>
    <t>1. SR080156
2. SR080165</t>
  </si>
  <si>
    <t>1. Inverter 4 tripped offline at 10:50 at 01/17 &amp; back online on 01/20/2024. 
2. Inverter 8 left unit offline on 01/07/2024 &amp; back online at 01/08/2024 and also left unit offline from 01/16 to 01/22</t>
  </si>
  <si>
    <t>1.SR080297
2.SR080299</t>
  </si>
  <si>
    <t xml:space="preserve">1. Inverter 3 primary unit is offline on 12/11/2024 &amp; back online on 01/02/2024. </t>
  </si>
  <si>
    <t xml:space="preserve"> 1. SR079120</t>
  </si>
  <si>
    <t xml:space="preserve">1. Inverter 3 left unit tripped offline on 01/10/2024.  </t>
  </si>
  <si>
    <t>1.SR080789</t>
  </si>
  <si>
    <t xml:space="preserve">1. Inverters 3 &amp; 4 are offline on 01/24/2024 &amp; back online on 01/29/2024. </t>
  </si>
  <si>
    <t>1.SR080430</t>
  </si>
  <si>
    <t>1. Site is offline due to transformer issue</t>
  </si>
  <si>
    <t>1. SR077239</t>
  </si>
  <si>
    <t>1. Inverter 3 right unit offline from 01/25 to 01/31.
2. Inverter 1 left unit offline from 01/25 to 01/31.</t>
  </si>
  <si>
    <t>1. SR080476.
2. SR080477</t>
  </si>
  <si>
    <t xml:space="preserve">1.Inverter 10 is offline on 01/23/2024 &amp; back onlline on 01/24/2024 at 10:00. </t>
  </si>
  <si>
    <t>1.SR080431</t>
  </si>
  <si>
    <t>1.Inverter 3 was offline on 01/04 and back online on 01/05
2. Inverter 3 was offline on 01/09 and back online on 01/11.
3. Inverter 3 is offline on 01/14 and started on 01/15 at 10:30</t>
  </si>
  <si>
    <t>1.SR079935
2.SR080108
3.SR080204</t>
  </si>
  <si>
    <t>1.Site is offline from 2:20pm and back online at 4:00pm on 01/14
2.Inverter 15 tripped offline on 01/15 at 13:15 and back online 01/17</t>
  </si>
  <si>
    <t>1. SR080213
2. SR080245</t>
  </si>
  <si>
    <t>1. Inverter 1 is offline on 01/18  at 9:45 AM and had multiple tripping on 01/19
2. inverter 1 is tripped offline on 01/30 and back online from afternoon.</t>
  </si>
  <si>
    <t>1. SR080313
2. SR080606</t>
  </si>
  <si>
    <t>1. Site was de-energized for meter work on 01/03 at 09:50 till 12:15 and again on 01/23 at 10:15 to 12:45.</t>
  </si>
  <si>
    <t>1. SR079733</t>
  </si>
  <si>
    <t>1. Meter removed for repair work, here the presented energy was inverter cummulative energy.
2. Inverter 1 tripped offline on 01/19 and self resolved next day</t>
  </si>
  <si>
    <t xml:space="preserve"> 1.SR079721
2. SR080323</t>
  </si>
  <si>
    <t>1. Inverter 2 is offline from 12/28/2023 to 01/09 till 10:20 AM.</t>
  </si>
  <si>
    <t xml:space="preserve"> 1.SR079785</t>
  </si>
  <si>
    <t>1.Inverter 2 is  started late on 01/01 at 13:45
2.Inverter 1 started late at 12:50, but inverter 2 is offline on 01/15 and back online on 01/18.
3.Inverter 1 tripped offline on 01/17 and back online at 14:05 and on 01/18
4. Inverter 1 tripped offline on 11:55 on 01/21 and back online on 01/22 at 11:45.</t>
  </si>
  <si>
    <t>1.SR079852
2.SR080228
3.SR080288
4.SR080372</t>
  </si>
  <si>
    <t>1.Inverter 2 tripped offline at 12:10 on 01/22 and back online 01/23</t>
  </si>
  <si>
    <t xml:space="preserve"> 1.SR080393</t>
  </si>
  <si>
    <t>1. Inverter 3 is tripped offline at 13:30 and 15:10 on 01/17
2.Inverter 4 has tripped offline at 14:00 to 15:40 on 01/18
3.Inverter 3 tripped offline at 13:15 on 01/21 and back online the next day.</t>
  </si>
  <si>
    <t>1.SR080300
2.SR080324
3.SR080374</t>
  </si>
  <si>
    <t>1.Inverter 1 tripped offline at 10:25 and back online at 15:35 on 01/13 and started late production at 12:45 on 01/17 and at 12:30 on 01/18 and back online on 01/19 at 15:40.
2. Inverter 2 tripped offline at 11:50 on 01/18 and back online on 01/19 at 15:40.
3. Inverter 1 is started late 12:40 on 01/24 and tripped offline at 09:35 to 14:40 on 01/30 and started late production on 01/31.</t>
  </si>
  <si>
    <t>1.SR080192
2.SR080319
3.SR080447</t>
  </si>
  <si>
    <t>1.Site tripped offline at 8:35am and back online at 16:55 on 01/17.</t>
  </si>
  <si>
    <t xml:space="preserve"> 1. SR080280	</t>
  </si>
  <si>
    <t>1.Inverter 4 started late production on 01/01 at 14:05.</t>
  </si>
  <si>
    <t xml:space="preserve"> 1.SR079788</t>
  </si>
  <si>
    <t>1. Site tripped offline on 01/03/2024 at 7:35 &amp; back online on 01/04/2024 at 16:25. 
2. Site tripped offline at 01/09/2024 at 18:20 &amp; back online on 01/10/2024 at 23:40.</t>
  </si>
  <si>
    <t>1. SR079887
2. SR080113</t>
  </si>
  <si>
    <t xml:space="preserve">1. Site tripped at 08:35 am on 01/17/2024 &amp; back online 01/18/2024 at 8:00. </t>
  </si>
  <si>
    <t>1. SR080284</t>
  </si>
  <si>
    <t xml:space="preserve">1. Site tripped offline on 01/13 at 11:00 &amp; back online at 14:20. 
2. Inverter 2 tripped offine on 01/14/2023 at 11:50 &amp; back online at 02/04/2024. </t>
  </si>
  <si>
    <t>1. SR080181
2. SR080203</t>
  </si>
  <si>
    <t>1. Site tripped offline on 01/9 at 20:50 and back onlineon 01/10 10:25</t>
  </si>
  <si>
    <t xml:space="preserve">1. SR080114 </t>
  </si>
  <si>
    <t>1. Site tripped offline on 01/20/2024 &amp; back online at 01/23/2024 at 12:40</t>
  </si>
  <si>
    <t>1. SR080356</t>
  </si>
  <si>
    <t xml:space="preserve">1. Inverter 3 tripped offline on 01/09/2023 at 11:00 &amp; back online at 01/11/2024 at 11:00  &amp; again offline on 01/12/2023 &amp; back online 13:00. 
</t>
  </si>
  <si>
    <t xml:space="preserve">1. SR080091. </t>
  </si>
  <si>
    <t>1. Site tripped offline on 01/04/2023 at 14:45 &amp; back online at EOD
2. Site tripped offline on 01/03 and back online at 10:40 AM</t>
  </si>
  <si>
    <t>1. SR079959
2. SR079882</t>
  </si>
  <si>
    <t>1. SR079960
2. SR079883</t>
  </si>
  <si>
    <t>1. Site offline due to transformer tripping issue  from 01/29   
2. Site tripped offline on 01/09 at 15:00 and back online 01/12 at 16:00.
3. Inverter 1 tripped offline due to ground fault multiples in this month.</t>
  </si>
  <si>
    <t>1. SR080591
2. SR080107
3. SR080268</t>
  </si>
  <si>
    <t>1. SR079957
2. SR079879</t>
  </si>
  <si>
    <t xml:space="preserve">1. SR079958
2. SR079880 </t>
  </si>
  <si>
    <t xml:space="preserve">1. Site was offline from 01/08/2024 &amp; back online on 01/09/2024 .
2. Site tripped offline 01/14/2024 at 12:55 and back online on 01/16/2024 </t>
  </si>
  <si>
    <t>1. 	SR079967 
2. SR080207</t>
  </si>
  <si>
    <t>1. 	SR079968
2. SR080210</t>
  </si>
  <si>
    <t>1. 	SR079969
2. SR080208</t>
  </si>
  <si>
    <t xml:space="preserve">1. Site was offline on 01/12/2024 at 09:00 &amp; back online at 15:00 
2. Site was offline on 01/25/2024 at 9:00 &amp; back online at 13:00. </t>
  </si>
  <si>
    <t xml:space="preserve">1. SR080167
2. SR080440
</t>
  </si>
  <si>
    <t>1. Planned outage from the sub contractor to replace transformer cover on 01/04 from 9:30 to 11:30</t>
  </si>
  <si>
    <t>1. SR079930</t>
  </si>
  <si>
    <t>1. Production data was not available for January month.</t>
  </si>
  <si>
    <t>1. Site was tripped offline due to utility outage on 01/09 at 13:00 and back online on 01/12 at 9:00</t>
  </si>
  <si>
    <t>1. SR080095</t>
  </si>
  <si>
    <t>1. Site tripped offline due to utility outage on 01/09 at 10:00 and back online on 01/12 at 9:00
2. Inverter 2 tripped on 01/05 at 13:00 and back online on 02/02 at 15:00
3. Site was taken offline to repair the utility recloser on 01/12 at 21:00 and back online on 01/26 at 11:00.</t>
  </si>
  <si>
    <t>1. SR080096
2. SR079987
3. SR080388</t>
  </si>
  <si>
    <t>1. Inverter 2 tripped on 08/07 and back online 01/10 but not communicating</t>
  </si>
  <si>
    <t xml:space="preserve"> 1. SR078114</t>
  </si>
  <si>
    <t>1.Inverter 2 was online only on 01/10,01/11 and 01/29</t>
  </si>
  <si>
    <t xml:space="preserve"> 1. SR078935</t>
  </si>
  <si>
    <t>1.Inverter 5 is offline on 01/24 and back online at 09:45 on 01/30</t>
  </si>
  <si>
    <t xml:space="preserve"> 1.SR080445</t>
  </si>
  <si>
    <t>1. Inverter 3 tripped offline on 12/14
2.Inverters 8 and 9 are offline since 08/17/2023 due to damage to the AC relay
3.Inverter 2 is offline on 01/21 and back online on 01/22 at 14:30
4. Inverter 2 and 15 are offline from 01/27</t>
  </si>
  <si>
    <t xml:space="preserve">1. SR079260
2. SR078106
3. SR080373
4. SR080525	</t>
  </si>
  <si>
    <t>1. Inverters 6,10,15, have been offline since the commencement of the site. SMA is RMAing the inverters
2.Inverter 13 was offline 09/09/2023 from  and back online on 01/17/2024
3.Inverter 16 was offline from 01/15.</t>
  </si>
  <si>
    <t>1. SR078111
2. SR079970
3. SR079971</t>
  </si>
  <si>
    <t>1.Inverter #3  had its three strings capped off</t>
  </si>
  <si>
    <t xml:space="preserve"> 1.SR079277</t>
  </si>
  <si>
    <t>1.Inverter 36 tripped offline on 01/03 11:00 and back online on 01/04 at 13:00</t>
  </si>
  <si>
    <t xml:space="preserve"> 1.SR079920</t>
  </si>
  <si>
    <t>February Actual v. Expected</t>
  </si>
  <si>
    <t>February Actual v. Forecasted</t>
  </si>
  <si>
    <t>Febuary Availability</t>
  </si>
  <si>
    <t>1. Inverter was offline on 02/12 and back online on 02/13
2. The inverter was offline on 02/23 and came back online on 02/26.</t>
  </si>
  <si>
    <t>1. SR080937
2. SR081271</t>
  </si>
  <si>
    <t>1. The inverter 1.1 is offline on 02/08 and back online on 02/09.</t>
  </si>
  <si>
    <t>1. SR080873</t>
  </si>
  <si>
    <t>1. Site is offline on 02/07, 02/10, 02/14, 02/17, 02/21, 02/23 to 02/25</t>
  </si>
  <si>
    <t>1. SR081005</t>
  </si>
  <si>
    <t>1. Inverter 2 has been underperforming by 40kW compared to inverter 1 since 02/09.</t>
  </si>
  <si>
    <t>1. SR081066</t>
  </si>
  <si>
    <t>1. The site was offline on 02/13, and the technician reset the inverters' AC disconnects, bringing it back online on 02/22 at 13:00.
2. All the inverters tripped offline on 02/25, and the technician reset them, bringing them back online on 02/26 at 9:00.</t>
  </si>
  <si>
    <t>1. SR080401
2. SR081307</t>
  </si>
  <si>
    <t>1. The primary unit of Inverter 1 started late on 02/10, 02/23, 02/27, and 02/28.</t>
  </si>
  <si>
    <t>1. SR080914</t>
  </si>
  <si>
    <t>1. The inverter 3 is offline on 02/06 and back online on 02/12 at 12:00pm.
2. Site tripped offline on 02/12 at 08:00am and came back online at 12:00pm on the same day.</t>
  </si>
  <si>
    <t>1. SR080762
2. 	SR080934</t>
  </si>
  <si>
    <t>1. The inverter 10 center unit has been offline since 02/26.</t>
  </si>
  <si>
    <t>1. SR081412</t>
  </si>
  <si>
    <t xml:space="preserve">1. The left unit of Inverter 2 has been offline since 02/12 and came back online on 02/20.
</t>
  </si>
  <si>
    <t xml:space="preserve">1. SR080942
</t>
  </si>
  <si>
    <t>1. Inverter 2 (which is inverter 1 in PowerTrack) left unit is offline on 02/18 and back online on 02/26 at 10:30AM</t>
  </si>
  <si>
    <t>1.SR081106, SR081210</t>
  </si>
  <si>
    <t xml:space="preserve">1.Inverter 4 is offline due to an isolation fault on 02/23
</t>
  </si>
  <si>
    <t xml:space="preserve">1.SR081267
</t>
  </si>
  <si>
    <t>1.Inverter 3 left unit is offline from 02/01 and back online on 02/22 at 11:00</t>
  </si>
  <si>
    <t>1. Site was offline due to transformer issue.</t>
  </si>
  <si>
    <t xml:space="preserve">1.Inverter 1 central unit tripped offline on 02/06 at 15:00 and back online 02/16 at 07:00
2.Inverter 2 primary unit offline from 02/06 and back online on 02/16 at 07:00
3.Inverter 3 right unit tripped offline at 15:00 on 02/07 and back online on 02/16 at 11:00
4.Inverter 4 left unit is offline from 02/07 and back online on 02/16 at 11:00AM </t>
  </si>
  <si>
    <t>1.SR080835
2.SR080836
3.SR080476
4.SR080837</t>
  </si>
  <si>
    <t>1.Inverter 4 tripped offline on 02/09 at 15:15 and back online on 02/14 at 09:15 AM and gain tripped offline on 02/23 at 09:00AM and back online at 11:30AM while technician at site</t>
  </si>
  <si>
    <t>1.SR080913</t>
  </si>
  <si>
    <t>1.  Inverter 2 left unit is offline since 02/15</t>
  </si>
  <si>
    <t>1. SR081335</t>
  </si>
  <si>
    <t>1. Inverter 2 left unit is tripped offline on 02/01 at 12:00pm and back online on 02/16</t>
  </si>
  <si>
    <t>1. SR080859</t>
  </si>
  <si>
    <t>1.Inverter 1 tripped offline on 02/04 at 08:15 AM and back online on 02/05 at 11:30AM
   Inverter 1 started late on 02/07 at 12:00PM while PE is at site
   Inverter 1 again tripped offline on 02/09 at 09:00AM and back online on 02/10 at 11:30AM 
   Inverter 1 again tripped offline on 02/11 at 09:00AM and back online on 02/12 at 13:00
   Inverter 1 again tripped offline on 02/20 at 08:45AM and back online on 02/21 at 11:30AM
   Inverter 1 is offline on 02/22 at 08:15AM and back online at 13:15 on 02/22 due to PE at site 
   On 02/23 Inverter 1 started late at 09:15AM while PE is at site</t>
  </si>
  <si>
    <t>1.SR080711</t>
  </si>
  <si>
    <t>1. Inverter 2 tripped offline at 11:00 on 02/14 and back online at 13:30 on 02/15 but combiner box 5 is disconnected due to thermal damage</t>
  </si>
  <si>
    <t>1. SR080998</t>
  </si>
  <si>
    <t xml:space="preserve">1. Inverters 23,24,25,26,27 tripped offline at 10:10 on 02/05 and back online at 13:10 on 02/06.
    Inverters 23,24,25,26,27 tripped offline at 10:00 on 02/19 and back online at 12:30 on 02/20.
    Inverters again tripped offline at 14:00 on 02/22 and back online at 14:00 on 02/29.
2. Site had a brief outage from 10:15 to 10:55 am on 02/22. Inverter 15 was offline after site outage and back online at 07:00 am on 02/23
</t>
  </si>
  <si>
    <t>1. SR080730, SR081102,  SR081202
2. SR081184</t>
  </si>
  <si>
    <t>1. Inverter 11 tripped offline at 10:30 on 02/27 and back online at 08:30 on 02/28</t>
  </si>
  <si>
    <t>1. SR081363</t>
  </si>
  <si>
    <t>1. Inverter 1 is offline from 1/30 and back online at 12:30 on 02/02</t>
  </si>
  <si>
    <t>1. SR080606</t>
  </si>
  <si>
    <t>1. Site was offline from 13:00 to 14:00 on 02/16
2. Inverter 3 tripped offline at 12:10 PM on 02/25 and back online at 12:15 PM on 02/27</t>
  </si>
  <si>
    <t>1. SR081058
2. SR081316</t>
  </si>
  <si>
    <t>1. Expected energy is not populating from 01/19/2024 - awaiting GPM support</t>
  </si>
  <si>
    <t>1. Meter not reporting power from 02/01 to 02/22 till 15:30, added inverter generation since meter didn't capture enitre generation of this month</t>
  </si>
  <si>
    <t>1. SR080648</t>
  </si>
  <si>
    <t>1. Site tripped offline from 01/30 and back online at 15:30 on 02/06
2. Inverter 1 tripped offline at 13:00 on 02/18 and back online EOD on 02/19
3. Inverter 2 tripped offline on 02/17, back online on 02/18 morning and again tripped offline at 12:35pm on 02/18 due AC contactor fault  and back online EOD on 02/19
4.   Both inverters have tripped offline and reporting instantaneous over current fault on 02/20 and back online at 13:05pm</t>
  </si>
  <si>
    <t>1. 	SR080622
2. SR081089
3. SR081080
4.  SR081125</t>
  </si>
  <si>
    <t>1. Inverter 3 tripped multiple times in the month
2. Inverters 4 are offline multiple times in the month and back online by midday
3. Inverter 2 has tripped offline on  02/17</t>
  </si>
  <si>
    <t>1. SR081289
2. SR081073	
3. SR081072</t>
  </si>
  <si>
    <t>1. Inverter 1 was offline on 02/01 from 07:00 and back online at 13:00 on 02/01
2. Site tripped offline at 17:00 on 02/28 and back online at 16:00 on 03/01</t>
  </si>
  <si>
    <t>1. 	SR080447
2. SR081429</t>
  </si>
  <si>
    <t xml:space="preserve">1. Meter 1 is not reporting production from 02/14, meter 2 looks good. Added cumulative energy values of inverters 1 &amp; 2 since meter 1 is not reporting from 02/14 </t>
  </si>
  <si>
    <t>1. SR081032</t>
  </si>
  <si>
    <t>1. Inverter 3 tripped offline on 02/29/2024 at 04:40PM and back online on 03/01/2024 at 07:00AM.
2. Inverter 4 tripped offline on 02/29/2024 at 05:00PM and back online on 03/01/2024 at 07:00PM.</t>
  </si>
  <si>
    <t>1. SR081477
2. SR081478</t>
  </si>
  <si>
    <t>1. Inverter 5 tripped offline on 02/03/2024 at 12:00PM and back online on 02/06/2024 at 10:15AM.
2. Inverter 30 tripped offline on 02/06/2024 at 11:45PM and back online on 02/06/2024 at 13:15.</t>
  </si>
  <si>
    <t>1. SR080693
2. SR080773</t>
  </si>
  <si>
    <t>1. Site tripped offline on 02/01/2024 at 04:50PM and later back online on 02/02/2024 at 05:10PM.
2. Inverter 2 was offline from 02/03/2024 and later back online on 02/05/2024 at 02:10PM.</t>
  </si>
  <si>
    <t>1. SR080659
2. SR080203, 	SR080690</t>
  </si>
  <si>
    <t>1. Site tripped offline 02/08/2023 at 02:05PM and back online on 02/09/2024 at 03:20PM.</t>
  </si>
  <si>
    <t>1. SR080885</t>
  </si>
  <si>
    <t xml:space="preserve">1. Site tripped offline  from 02/28 at 21:15PM and back online on 03/01 at 11 am </t>
  </si>
  <si>
    <t>1. SR081431</t>
  </si>
  <si>
    <t>1.  Site tripped offline  from 02/28 at 21:15 and back online at 08:50AM on 2/29</t>
  </si>
  <si>
    <t>1.  SR081432</t>
  </si>
  <si>
    <t xml:space="preserve">1. Site tripped offline at 08:55AM on 02/06 and back online at 12:55
</t>
  </si>
  <si>
    <t>1. SR080763</t>
  </si>
  <si>
    <t>1. Site tripped offline at 08:55AM on 02/06 and back online at 12:55</t>
  </si>
  <si>
    <t>1.  	SR080764</t>
  </si>
  <si>
    <t>1. Inverter 1 is getting continuously tripping due to transformer pressure relief valve and it also causing communication outage for the entire site</t>
  </si>
  <si>
    <t>1. SR080591</t>
  </si>
  <si>
    <t>1. Site tripped offline on 02/06/2024 at 08:55am &amp; back online at 12:45pm</t>
  </si>
  <si>
    <t>1.SR080765</t>
  </si>
  <si>
    <t xml:space="preserve">1. Site tripped offline on 02/06/2024 at 08:55 &amp; back online at 12:45. </t>
  </si>
  <si>
    <t>2.SR080766</t>
  </si>
  <si>
    <t xml:space="preserve">1. Site is offline on 02/09/2024 while tech is on site 12:30 to 14:00, site is offline on 02/22/2024 while tech is on site from 12:00 to 15:35. 
2. Site was taken offline by tech while on site - 02/28/2024 at 13:15 to 14:00. </t>
  </si>
  <si>
    <t>1.SR079118
2.SR081218</t>
  </si>
  <si>
    <t>1. Inverter is offline most of the days, from 02/06 to 02/28</t>
  </si>
  <si>
    <t>1. SR080654, SR081286</t>
  </si>
  <si>
    <t xml:space="preserve">1. Site was taken offline on 02/16/2024 by EV Solar from 09:00 to 12:00. 
2. Site is offline from 02/29/2024 &amp; back online on 03/01/2024 at 17:50. </t>
  </si>
  <si>
    <t>1.SR078378
2.SR081435</t>
  </si>
  <si>
    <t>1. Site is offline on 02/20/2024 at 14:55 &amp; back online at 08:35AM on 02/21/2024. 
2. Site tripped offline 02/28/2024 at 19:15 &amp; back online on 03/01/2024 at 08:00</t>
  </si>
  <si>
    <t>1. SR081137
2. SR081430</t>
  </si>
  <si>
    <t>1. Site started production from 02/02.
Site is offline on 02/05/2024 &amp; back online at 15:35 on same day &amp; again tripped offline on 02/06/2024 at 08:10 &amp; back online on 02/07/2024 at 08:40. 
Inverter 2 tripped offline on 02/09/2024 at 7:35am &amp; back online at 13:50. 
Site was offline by EV Solar on 02/16/2024 at 08:00 to 15:00. 
Site was taken offline on 02/26/2024 at 10:55 &amp; site was back online at 02/28/2024 at 14:</t>
  </si>
  <si>
    <t>1.SR080731</t>
  </si>
  <si>
    <t>1. Inverter 1 is offline at 11:45AM and back online at 13:00 and Inverter 2 is offline at 13:15 to 14:30 while technician is onsite on 02/06
2. Site tripped offline due to utility outage on 02/22 at 11 am to 11:45 am.
3. Inverter 1 did not start up from 02/25</t>
  </si>
  <si>
    <t>1.SR080509
2.SR081185
3.SR081302</t>
  </si>
  <si>
    <t>1. Inverter 2 is back online on 02/02 at 14:30
2. Site is offline on 02/06 from 10:00AM to 10:45AM while tech is onsite to troubleshoot with trackers
3. Site tripped offline due to utility outage on 02/22 at 11 am to 11:45 am.
4. DC Zones (SA3) 1 tripped offline on 02/04 at 12:00pm and back online on 02/05</t>
  </si>
  <si>
    <t>1.SR079987
2.SR080739
3.SR081186
4.SR080721</t>
  </si>
  <si>
    <t>1.Inverter 11 tripped offline on 02/19 at 11:15AM and back online at 16:00</t>
  </si>
  <si>
    <t>1.SR081112</t>
  </si>
  <si>
    <t>1.Inverter 2 had an AC contactor fail on 02/27</t>
  </si>
  <si>
    <t>1.SR081366</t>
  </si>
  <si>
    <t>1. Inverter 5 is offline and reporting " Fault Current" from 02/11/2024</t>
  </si>
  <si>
    <t>1. SR080925</t>
  </si>
  <si>
    <t>1. Inverters 2 and 15 are offline and reporting "fault current" from 01/27/2024
2. Inverters 8 and 9 are offline since 08/17/2023 due to damage to the AC relay
3.  Inverter 3 tripped offline from 12/14  and reporting "Fault Current".</t>
  </si>
  <si>
    <t>1. SR080525
2. SR078106
3.  SR079260</t>
  </si>
  <si>
    <t>1. Inverters 6,10,15, have been offline since the commencement of the site. SMA is RMAing the inverters
2. Inverter 17 tripped offline on 02/23/2024 due to "electric arc detected" 
3. Inverter 16 was offline from 01/15.</t>
  </si>
  <si>
    <t>1. SR078111
2. SR081250
3. SR079971</t>
  </si>
  <si>
    <t>1. Inverter 5 did not start on 02/23/2024 &amp; 2/28/24</t>
  </si>
  <si>
    <t>1. SR081416</t>
  </si>
  <si>
    <t>1. Inverter 7 is derating due to a fan fault (production impact was minor and can be obseved from 02/08)</t>
  </si>
  <si>
    <t>1. SR081341</t>
  </si>
  <si>
    <t>1. SR082925</t>
  </si>
  <si>
    <t>1. Inverter 5 is offline on 02/13 due to "bus differential high" fault</t>
  </si>
  <si>
    <t>1. SR080961</t>
  </si>
  <si>
    <t>March Actual v. Expected</t>
  </si>
  <si>
    <t>March Actual v. Forecasted</t>
  </si>
  <si>
    <t>March Availability</t>
  </si>
  <si>
    <t>1. Inverter tripped offline on 03/28 at 17:00 and back online on 03/29 at 17:45
2. Inverter tripped offline on 03/30 at 14:30 and back online on 04/01 at 11:00</t>
  </si>
  <si>
    <t>1. SR082894
2. SR082942</t>
  </si>
  <si>
    <t>1. Site started late at 12:00pm on 03/25 and on 03/26 site was offline between 08:00am to 13:00</t>
  </si>
  <si>
    <t>1. SR082722</t>
  </si>
  <si>
    <t>1. Inverter 3 tripped offline on 03/14 at 13:00 and back online on 03/20 at 11:00</t>
  </si>
  <si>
    <t>1. SR081918</t>
  </si>
  <si>
    <t>1. Inverter B is offline on 03/20 and back online on 03/21 and inverter is again offline on 03/25 and backonline on 03/26</t>
  </si>
  <si>
    <t>1. SR082252</t>
  </si>
  <si>
    <t>1. Weather station 2 showing erroneous value for whole month.</t>
  </si>
  <si>
    <t>1. SR082250</t>
  </si>
  <si>
    <t>1. Inverter 2 tripped offline on 03/17 at 13:15 and back online on 03/18 and again tripped offline on 03/18 at 14:30.</t>
  </si>
  <si>
    <t>1.SR081975</t>
  </si>
  <si>
    <t>1. Inverter 2 central unit is offline on 03/08 and back online on 03/12</t>
  </si>
  <si>
    <t>1. SR081701</t>
  </si>
  <si>
    <t>1. Inverter tripped offline on 03/19 at 11:00 am and back online on 03/20. Right unit is RMA'd on 03/22.</t>
  </si>
  <si>
    <t>1.SR082110</t>
  </si>
  <si>
    <t>1. Inverter 2 is offline from 03/05 and being RMA'd</t>
  </si>
  <si>
    <t>1. SR075645</t>
  </si>
  <si>
    <t>1. Inverter 1 is underproducing due to multiple tripping on left and right unit from 03/21.</t>
  </si>
  <si>
    <t>1. SR082762</t>
  </si>
  <si>
    <t>1. Inverter 3 right unit is underproducing approximately 12kW  for whole month</t>
  </si>
  <si>
    <t>1. SR081580</t>
  </si>
  <si>
    <t>1. Site tripped offline on 03/01 and back online on 03/04 at 11am
2. Site is offline on 03/27 and back online on 03/28 at 14:30 and again the site is offline on 03/29 and back online at 13:00 on 03/29</t>
  </si>
  <si>
    <t>1. SR081486
2. SR082799</t>
  </si>
  <si>
    <t xml:space="preserve">1. Site was taken offline by the technician on 03/21 at 13:00 &amp; back online on 03/22 at 13:00. </t>
  </si>
  <si>
    <t>1.SR082347</t>
  </si>
  <si>
    <t>1. Site is offline throughout the month due to transformer issue.</t>
  </si>
  <si>
    <t>1.SR077239</t>
  </si>
  <si>
    <t xml:space="preserve">1. Inverter 2 left unit is offline from 02/15 &amp; continued till 03/15. </t>
  </si>
  <si>
    <t>1.SR081335</t>
  </si>
  <si>
    <t>1. Site was  on battery mod on 03/07 at 12:45 &amp; back online at 14:15. 
2. Site is offline on 03/27 &amp; continued throughout the month. 
3. Inverter 5 derated from 08:00 to 10:35 on 03/01/23024</t>
  </si>
  <si>
    <t>1.SR082874
2.SR082874
3. SR081494</t>
  </si>
  <si>
    <t>1. Inverter 2 CB 5 is offline for whole month.</t>
  </si>
  <si>
    <t xml:space="preserve">1. Inverter 12 tripped offline on 03/08 and back online on 03/11 
2. Inverter 12 again tripped offline on 03/12 at 10:35 and back online on 03/13 at 10:35
3. Inverter 7 tripped offline on 03/29 at 10:40 and back online on 04/01
4. Inverter 13 tripped offline on 03/29 17:25 and back online on 04/01 </t>
  </si>
  <si>
    <t>1. SR081708
2. SR081833
3. SR082896
4. SR082917</t>
  </si>
  <si>
    <t>1. Inverter 1 tripped offline at 16:40 on 03/24 &amp; back online on 03/25 at 14:15</t>
  </si>
  <si>
    <t>1.SR082613</t>
  </si>
  <si>
    <t xml:space="preserve">1. Site tripped offline at 14:00 on 03/04 &amp; back online at 12:55 on 03/08. 
2. Site is offline from 07:30 to 12:15 on 03/25. 
3. Site was taken offline by the technician 12:00 to 12:45 on 02/13. </t>
  </si>
  <si>
    <t>1. SR081561
2.SR082703
3. SR081848</t>
  </si>
  <si>
    <t xml:space="preserve">1. Inverter 1 tripped offline on 03/11 from 10:00 to 15:05. 
2. Site tripped offline on 03/12 from 11:00 to 14:00  </t>
  </si>
  <si>
    <t>1.SR081756
2.SR081804</t>
  </si>
  <si>
    <t>1. Inverter 3 is offline on 03/19, 03/21, 03/22, 03/25, 03/29 and 03/30 due to temperatur fault</t>
  </si>
  <si>
    <t>1. SR081289</t>
  </si>
  <si>
    <t>1. Site tripped offline on 02/28 at 18:15and back online on 03/01 at 16:05</t>
  </si>
  <si>
    <t>1. SR081429</t>
  </si>
  <si>
    <t>1. Inverter 1 CB 12.3 tripped offline on 03/04 and back online on 03/06
2. CB 02 is offline on 03/19 and back online on 03/20</t>
  </si>
  <si>
    <t>1. SR081550
2. SR082126</t>
  </si>
  <si>
    <t>1. CB 4 tripped offline on 3/18/24. Also there is a mislabeling issue between CBs 3 and 4 and back online at 11:35 on 03/22.</t>
  </si>
  <si>
    <t>1. SR082281</t>
  </si>
  <si>
    <t>1. Inverter 30 tripped offline on 14/03 and back online on 13/15
2. Inverters 1-20 are not started for production on 03/11 and started for production on 03/12 at 14:30  and data was backfilled.
3. Inverter 23  tripped offline 03/24 and being RMA'd</t>
  </si>
  <si>
    <t>1. SR081904
2. SR081770
3. SR082624</t>
  </si>
  <si>
    <t>1. Inverter 1 didn't started for production and reporting "Isolation fault" on 03/03 and later it started production at 10:45am on 03/03.
2. Site tripped offline at 3:35pm on 03/20 and back online on 03/23.</t>
  </si>
  <si>
    <t>1. SR081524
2. SR082282</t>
  </si>
  <si>
    <t xml:space="preserve">1.  Inverter 4 tripped offline at  12:20pm due to isolation fault on 03/09 and back online at 2:00pm on 03/09. and again tripped offline at 8:45am on 03/13 and back online at 09:10am on 03/13 and again tripped offline at 8:40am on 03/14 and back online at 9:05am on 03/14.
</t>
  </si>
  <si>
    <t>1. SR081717</t>
  </si>
  <si>
    <t>1.  Inverters 1,2 are tripped offline and reporting "Instantaneous over current fault" from  03/18.</t>
  </si>
  <si>
    <t>1. SR082000</t>
  </si>
  <si>
    <t>1. Site tripped offline at 06:35 AM, meter voltages dropped to zero on 03/22 and back online on 03/23 at 4:50pm.
2. Site tripped offline at 08:20am, meter voltages dropped to zero on 03/29  and came back online at 3:25pm on 03/29</t>
  </si>
  <si>
    <t>1. SR082362
2. SR082887</t>
  </si>
  <si>
    <t>1. Site is offline, meter voltages dropped to zero at 06:35am on 03/22 and back online on 03/23 at 4:45pm.
2. Site tripped offline at 08:20am, meter voltages dropped to zero on 03/29 and back online at  1:05pm on 03/29.</t>
  </si>
  <si>
    <t>1. SR082359
2. SR082888</t>
  </si>
  <si>
    <t>1. Site was offline from 03/12 to 03/18 due to utility planned outage.</t>
  </si>
  <si>
    <t>1. SR079967</t>
  </si>
  <si>
    <t>1. Site was offline from 03/12 to 03/18 due to utility planned outage.
2. Inverter tripped offline at 10:00am on 03/20 and back online at 11:00am on 03/20</t>
  </si>
  <si>
    <t>1. SR079968
2. SR082218</t>
  </si>
  <si>
    <t>1. SR079969</t>
  </si>
  <si>
    <t>1. Site tripped offline on 02/28 at 18:00 and back online on 03/01 at 17:50
2. Site tripped offline on 03/05 at 09:30am and back online on 03/06 at 18:40
3. Inverter 1 Combiner box 1 &amp; 2 are offline from 03/07 and back online on 03/08
4. Site tripped offline on 03/11 at 13:15pm and back online on 03/12 at 03:30am
5. Inverter 1 tripped offline on 03/12 at 13:35 and back online at 16:35
6. Site was taken offline by EV solar on 03/14 at 10:35am to 12:40pm and few combiners were left offline and site was again taken offline on 03/18, 03/19. Inverter 1 taken offline on 03/20 and re-energised on 03/21</t>
  </si>
  <si>
    <t>1. SR081435
2. SR081581
3. SR081633
4. SR081779
5. SR081817
6. SR081749</t>
  </si>
  <si>
    <t>1. Inverter is exceeding its max limit and sometimes derating at 2175kW
2. EV Solar taken site offline to install cable division on 03/12 between 08:10 to 11:30, 03/13 between 13:40 to 15:55 and on 03/14 between 08:50 to 09:30</t>
  </si>
  <si>
    <t xml:space="preserve">1. SR081137
2. SR081795, SR081846
</t>
  </si>
  <si>
    <t>1. EV Solar de-energized inverter 2 on 03/13 between 15:00 to 15:30 to replace hinge on main inverter door.</t>
  </si>
  <si>
    <t xml:space="preserve">1. SR081855 </t>
  </si>
  <si>
    <t>1. CB 1-09 is offline on 03/15 and back online on 03/19 at 9:15AM.
2. Inverter 1 did not start for production with error message "Faulty switching status of the DC on 02/25 and back online on 03/14</t>
  </si>
  <si>
    <t>1. SR081950
2. SR081302</t>
  </si>
  <si>
    <t>1. Inverter 11 tripped offline on 03/22 at 10:30AM and is being RMA'd</t>
  </si>
  <si>
    <t>1. SR081812</t>
  </si>
  <si>
    <t>1. Inverter 2 tripped offline at 15:00 on 03/14 and is back online at 8:30am on 03/15</t>
  </si>
  <si>
    <t>1. SR081921</t>
  </si>
  <si>
    <t>1. Inverter 5 is offline and reporting " Fault Current" from 03/28/2024</t>
  </si>
  <si>
    <t>1. SR082872</t>
  </si>
  <si>
    <t>1. Inverter 15 is offline from 01/27 and back online on 03/12 and again offline from 03/16 and back online at 10:00am on 03/26.
2. Inverter 25 is offline from 03/26
3. Inverter 2 is offline from 01/27 and back online on 03/12.
4.  Inverters 8 and 9 are offline since 08/17/2023 due to damage to the AC relay
5. Inverter 3 tripped offline  from 12/14 and reporting "Fault Current" and back online on 03/12.</t>
  </si>
  <si>
    <t>1. SR081958
2. SR082788
3. SR080525
4. SR078106
5. SR079260</t>
  </si>
  <si>
    <t>1. Inverter 16 is offline for whole month.
2. Inverter 15 did not start for production on 03/26 and later it started for production on 03/27.
3. Inverter 4 didn't start for the production on 03/27 and back online on 03/29.</t>
  </si>
  <si>
    <t>1. SR082659
2. SR082781
3. SR082814</t>
  </si>
  <si>
    <t xml:space="preserve">1. Inverter 7 is derating due to fan fault and fan being RAM'd 
2. Inverter 9 is derating due to fan fault and fan being RAM'd 
3. Inverter 5 is underperforming and fan being RAM'd </t>
  </si>
  <si>
    <t>1. SR081341
2. SR081548
3. SR081549</t>
  </si>
  <si>
    <t>1. Inverter 37 is offline on 03/30 and back online on 03/31 at 09:00am</t>
  </si>
  <si>
    <t>1. Inverter 5 is offline on 03/23 and back online on 03/24</t>
  </si>
  <si>
    <t>1. SR082600</t>
  </si>
  <si>
    <t>April Actual v. Expected</t>
  </si>
  <si>
    <t>April Actual v. Forecasted</t>
  </si>
  <si>
    <t>April Availability</t>
  </si>
  <si>
    <t>1. Inverter started for production on 04/01 at 10:00am</t>
  </si>
  <si>
    <t>1. SR082942</t>
  </si>
  <si>
    <t>1. Inverter B was offline on 04/01 and back online on 04/02</t>
  </si>
  <si>
    <t>1. Inverter 5 tripped offline on 04/05 at 12:15pm and back online on 04/09 at 08:405am
2. Weather station 2 showing erroneous value for whole month</t>
  </si>
  <si>
    <t>1. SR083132
2. SR082250</t>
  </si>
  <si>
    <t>1. Inverter 2 was offline on 04/02 and back online on 04/03 at 10:45am</t>
  </si>
  <si>
    <t>1. SR081975</t>
  </si>
  <si>
    <t>1. Inverter 2 left unit is derating since 04/07 and fan replaced on left unit on 04/29
2.  Inverter 1 central unit tripped offline on 04/24 and back online on 04/29</t>
  </si>
  <si>
    <t>1. SR083233
2. SR083775</t>
  </si>
  <si>
    <t>1. Ongoing construction of array on the roof. 70 percent of the array is offline for construction</t>
  </si>
  <si>
    <t>1. Inverter 2 was offline from 03/05 and back online on 04/05 at 09:00am</t>
  </si>
  <si>
    <t>1. Inverter 2 is underproducing by 12kW possibly due to ongoing construction work</t>
  </si>
  <si>
    <t>1. SR078471</t>
  </si>
  <si>
    <t>1. Inverter 1 derating during peak hours due to multiple trippings on left and right units throughout the month. DC relay board being RMA'd.</t>
  </si>
  <si>
    <t>1. Inverter 3 right unit is underproducinng. Fan Being RMA'd</t>
  </si>
  <si>
    <t>1. Site tripped offline on 04/17 at 11:00am and back online on 04/22 at 11:00am
2. Inverter 2 right unit offline on 04/16 back onlin eon 04/22 at 13:00</t>
  </si>
  <si>
    <t>1. SR083544
2. SR083537</t>
  </si>
  <si>
    <t>1. Inverter 2 was offline from 04/15 and back online on 4/22</t>
  </si>
  <si>
    <t>1. SR083438</t>
  </si>
  <si>
    <t xml:space="preserve">1. Inverter 1 is underproducing due to units fluctuations form 04/23 </t>
  </si>
  <si>
    <t>1. SR083774</t>
  </si>
  <si>
    <t xml:space="preserve">1. Inverter 3 offline from 04/10 and back online on 04/17 
2. Site was taken offline by techician nd worked on inverters on 04/25 
3. Inverter 3 is offline since 04/25 and being RMA'd </t>
  </si>
  <si>
    <t>1. SR083301
2. SR083846
3. PM1680</t>
  </si>
  <si>
    <t>1. Inverter 3 tripped offline on 04/10 and back online on 04/12</t>
  </si>
  <si>
    <t>1. SR083295</t>
  </si>
  <si>
    <t>1. Inverter 3 primary unit tripped offline on 04/14 and back online on 04/19</t>
  </si>
  <si>
    <t>1. SR083418</t>
  </si>
  <si>
    <t>1. Site offline from 10/05/23 and back online 04/26
2. Inverter 1 to 4 tripped offline on 04/28 and 4 back online on 04/28 at 16:00. Inverters 1 to 3 back online on 04/29
3. Inverter 1 right unit tripped offline on 04/29, back online on 04/30 but still underproducing and inverter 4 (in SE 2) left unit tripped offline 04/29 at 11:00am</t>
  </si>
  <si>
    <t>1. SR077404
2. SR083900
3. SR083981</t>
  </si>
  <si>
    <t>1. Inverter 3 center unit tripped offline on 03/30 and back online on 04/04
2. Inverter 2 right unit tripped offline on 03/31 and back online on 04/04</t>
  </si>
  <si>
    <t>1. SR082934
2. SR082961</t>
  </si>
  <si>
    <t>1. Site tripped offline on 04/26 and back online on 04/29</t>
  </si>
  <si>
    <t>1. SR083865</t>
  </si>
  <si>
    <t>1. Technician worked on inverter 1 on 04/09</t>
  </si>
  <si>
    <t>1. SR083275</t>
  </si>
  <si>
    <t>1. Site offline since 03/27 due to utility pllanned outage and back online on 04/12 
2. Inverter 1 derated at 874 kW from 04/12 and offline since 04/17 and back online on 04/25</t>
  </si>
  <si>
    <t>1. SR082874
2. SR083425</t>
  </si>
  <si>
    <t>1. Site taken by ingeteam on 04/26 between 10:30 to 11:20
2. Inverter 2 CB 5 offline on 04/01 and back online on 04/02 at 12:55</t>
  </si>
  <si>
    <t>1. SR083853
2. SR080998</t>
  </si>
  <si>
    <t>1. Site was taken offline by technician on 04/17 between 08:20 to 09:25 to work on inverter 2 and inverter 2 was offline from 04/28 and back online on 04/30</t>
  </si>
  <si>
    <t>1. SR083296</t>
  </si>
  <si>
    <t>1. Meter stopped communicating on 04/18 and communication restored on 04/23
2. Inverter 1 was offline from 04/24, inverter 2 also offline on 04/29 and both inverters back online on 04/30</t>
  </si>
  <si>
    <t>1. SR083598
2. SR083783</t>
  </si>
  <si>
    <t>1. Site was taken offline by technician on 04/15 between 09:50 to 10:45 
2. Site was taken offline by technician  on 04/10 between 11:15 to 14:55</t>
  </si>
  <si>
    <t>1. PM5604
2. SR082364</t>
  </si>
  <si>
    <t>1. Site was taken offfline by USNE from 04/22 and back online on 04/25 at 13:50
2. Site was taken offline by technician  on 04/10 between 09:55 to 12:05</t>
  </si>
  <si>
    <t>1. SR083249
2. SR082364</t>
  </si>
  <si>
    <t>1. Site tripped offline on 04/14 at 10:15am and back online on 04/15 at 19:25
2. Site was taken offline by technician on 04/10 between 11:35 to 14:50
3. Site was taken offline by USNE on 04/23 between 08:15 to 15:05
4. Site was taken offline by technician  on 04/25 between 10:30 to 11:20</t>
  </si>
  <si>
    <t>1. SR083415 
2. SR082364
3. SR083249
4. SR082365</t>
  </si>
  <si>
    <t>1. Site was taken offline by Ingeteam on 04/23 between 13:40 to 15:15</t>
  </si>
  <si>
    <t>1. SR080818</t>
  </si>
  <si>
    <t>1. Site was taken offline by technician on 04/09 between 08:00 to 15:00
2. Inverter 3 tripped offline on 04/22 at 12:10pm and back online on 04/23
3. Inverter 3 tripped offline on 04/28 at 08:35am and back online on 04/29</t>
  </si>
  <si>
    <t>1. SR082956
2. SR083693
3. SR083897</t>
  </si>
  <si>
    <t>1. Inverter 3 CB 20 is offline throughout the month</t>
  </si>
  <si>
    <t>1. SR080319</t>
  </si>
  <si>
    <t>1. Site was taken offline by Ingeteam on 04/25 between 12:45 to 13:45</t>
  </si>
  <si>
    <t>1. SR083814</t>
  </si>
  <si>
    <t>1. Inverter 2 started late at 12:05 on 04/04
2. Site was taken offline by technician on 04/15 between 15:40 to 17:05</t>
  </si>
  <si>
    <t>1. SR083084
2. PM5576</t>
  </si>
  <si>
    <t>1. Inverters 3,4 are tripped offline at 9am on 04/14 and reporting Instantaneous over current fault ON and back online on 11:45am 
2. Inverters are offline from 12:15pm to 2:45pm due to capacitor retrofit by ingeteam
3. Site tripped offline at 09:30 AM on 04/26 and back online on same day on 1:20pm
4. Inverter 1 is tripped offline at 1:10pm on 04/30.</t>
  </si>
  <si>
    <t>1. SR083394
2. SR083496
3. SR083854
4. SR084119</t>
  </si>
  <si>
    <t>1. Inverter 23 offline form 03/24 and replaced on 04/04
2. Inverters 1 to 20 tripped offline on 04/03 at 12:30 and back online on 04/04 at 13:10
3. Inverter 5 tripped offline on 04/07 at 13:00 and back online on 04/08 at 10:15am
4. Site tripped offline on 04/10 at 01:06am and back online on 04/11 at 15:45
5. Inverter 8 offline from 04/20 and being RMA'd
6. Inverter 28 tripped offline on 04/22 and back online on 04/24</t>
  </si>
  <si>
    <t>1. SR082624
2. SR083036
3. SR083161
4. SR083280
5. SR083650
6. SR083697</t>
  </si>
  <si>
    <t>1. Inverter 1 tripped offline for multiple days and resolving for next day.
2. due to technician prforming capacity retrofit the inverters 1 is offline from 6:50am to 12:15pm and inverter 2 is offline from 11:50am to 12:20pm.</t>
  </si>
  <si>
    <t>1. SR083116, SR083715
2. SR083812</t>
  </si>
  <si>
    <t>1. Site tripped offline due to loss of utility power at 12:30pm on 04/03 at 12:25pm and back online on 04/08 at 10:15am. 
2. Again Site tripped offline at 12:00. Meter voltages are dropped on 04/16 at 11:50am and back online at 04/22 at 9:00am.
3. Inverter were offline from 11:10am to 1:15pm due to  PQA testing and medium voltage preventative maintenance inspection on 04/25 and 04/27
4. Again the site was tripped offline on 04/29 at 6:00pm and back online on 04/30 at 4:15pm</t>
  </si>
  <si>
    <t>1. SR083037
2. SR083493
3. SR083493
4. SR083978</t>
  </si>
  <si>
    <t>1. due to technician prforming capacity retrofit the inverters 1,2,3 are offline from 9:50am to 10:30am and inverter 4 is offline from 9:00am to 10:30am.</t>
  </si>
  <si>
    <t>1. SR083799</t>
  </si>
  <si>
    <t>1. Inverter 2 is offline on 04/20 and technician power cycled the inverter and it came back online on 04/22 at 11:00am</t>
  </si>
  <si>
    <t>1. SR083648</t>
  </si>
  <si>
    <t>1. Inverters 1,2 are back online on 04/05 at 12:05pm
2. Again inverter 1 tripped offline at 7:30 AM and reporting " Instantaneous over current Iac out of range" on 04/11 and back online on same day at 12:45 and tripped at 8:25am on 04/12 and back online on same day at 1:50pm
3. inv 2 tripping off multiple times and self-resolving and reporting instantaneous Vac overvoltage on 04/29</t>
  </si>
  <si>
    <t>1. SR082000
2. SR083327
3. SR083912</t>
  </si>
  <si>
    <t>1.  Site is offline on 04/10 at 9:15am due to utility planned outage and back online on 04/10 at 11:30am due to utility planned outage
2. site tripped offline at 9:30 am on 04/26 and back online at 04/26 at 1:30pm</t>
  </si>
  <si>
    <t>1. SR083284
2. SR083850</t>
  </si>
  <si>
    <t>1. Site is offline on 04/10 at 9:15am due to utility planned outage and back online on 04/10 at 11:30am due to utility planned outage and site is offline on 04/16 from 10:30 to 1:15pm
2. site tripped offline at 9:30 am on 04/26 and back online at 04/27 at 2:00am</t>
  </si>
  <si>
    <t>1. SR083285
2. SR083851</t>
  </si>
  <si>
    <t>1. Inverter 2 CBX 16 is running very low compared to its peers.</t>
  </si>
  <si>
    <t>1. SR083240</t>
  </si>
  <si>
    <t>1. Site is offline on 04/10 at 9:15am due to utility planned outage and back online on 04/10 at 11:20am</t>
  </si>
  <si>
    <t>1. SR083281</t>
  </si>
  <si>
    <t>1. Site is offline on 04/10 at 9:15am due to utility planned outage and back online on 04/10 at 11:20am
2. Site tripped offline at 9:30 am on 04/26 and back online on 04/26 at 1:30pm</t>
  </si>
  <si>
    <t>1. SR083283
2. SR083852</t>
  </si>
  <si>
    <t>1. Site tripped offline at 14:00 on 04/03 and back online on 04/04 at 9:50am.
2. Combiner box 21 is offline on 04/08 and back online on 04/09</t>
  </si>
  <si>
    <t>1. SR083044
2. SR083177</t>
  </si>
  <si>
    <t xml:space="preserve">1. Site tripped offline on 04/08 at 12:42 and back online at 14:20
2. Inverter 2 was taken offline by technician on 04/22 between 11:33 to 13:09 to replace comms borad </t>
  </si>
  <si>
    <t>1. SR083180 
2. SR081978</t>
  </si>
  <si>
    <t>1. Site tripped offline on 04/08 at 12:42 and back online at 14:20</t>
  </si>
  <si>
    <t>1. SR083179</t>
  </si>
  <si>
    <t>1. Site is offline from 04/27 and back online on 04/29</t>
  </si>
  <si>
    <t>1. SR083895</t>
  </si>
  <si>
    <t>1. Inverter 11 is replaced and back online on 04/02 at 11:00am.</t>
  </si>
  <si>
    <t>1. Inverter 8 is offline from 04/08 and is being RMA'd
2. Inverter 2 tripped offline on 04/08 at 13:45 to 15:00 and  again tripped offline on 04/10 at 13:00 and back online on 04/12 at 16:15 and again offline on 04/15 at 14:30 and is back online on 04/19 at 15:30 and again offline on 04/29 at 13:45 and back online on 05/01.</t>
  </si>
  <si>
    <t>1. SR083178
2. SR083204, SR083304</t>
  </si>
  <si>
    <t>1. Site has tripped offline due to phase A voltages missing on 04/14 at 8:00am and back online at 10:30am and again tripped offline  due to phase A voltages missing on 04/23 and back online on 04/23 at 13:30pm and again offline on 04/25 and back online on 04/26
2. Inverter 5 is offline from 03/28 to 04/15 and again offline on 04/17 t0 04/23 and back online at 04/24 at 10:00am and offline on 04/25 and They troubleshot with SMA and parameters were changed within inverter 5 and reenergised.</t>
  </si>
  <si>
    <t>1. SR083391
2. SR082872</t>
  </si>
  <si>
    <t>1. Inverter 2 is offline on 04/02 and back online on 04/12 at 8:00am and again offline on 04/15 and back online on 04/16 at 8:00am.
2. Inverter 27 is offline on 04/05 and is being RMA'd.
3. Inverter 13 is tripped offline on 04/22 at 12:00pm and is back online on same day at 13:00</t>
  </si>
  <si>
    <t>1. SR083064
2. SR083113
3. SR083696</t>
  </si>
  <si>
    <t>1. Inverter 17 tripped offline at 11:00 am due to "electric arc detected" on 03/31 and offline for whole month.
2. Inverter 16 is offline for whole month.
3. Inverter 4 is offline on 04/01 to 04/04 and back online on 04/05 at 13:00 and again offline on 04/06 and back online on 04/07 at 10:00am and again offline on 04/07 at 15:45 and back online on 04/09 and again offline on 04/10 to 04/18 and again offline on 04/20 to 04/26 and again offline on 04/28 to 04/29.
4. Inverter 2 and 7 are offline on 04/02 and back online 04/03 at 7:00am.
5.  Inverter 1 tripped offline at 12:00pm from 04/10 to end of the month.
6. Inverter 2 is offline on 04/02, 04/06 and back online on 04/07 at 10:00am and offline on 04/11 and back online on 04/12 and again offline on 04/14, 04/22, 04/30 and back online on 04/30
7. Inverter 3 is offline on 04/22 and back online on 04/23
8.  inv 5 tripped offline at 12:30 pm on 04/22 and back online on 04/23</t>
  </si>
  <si>
    <t>1. SR081250
2. SR081250
3. SR082814
4. SR082989
5. SR083305
6. SR083328
7. SR083688
8. SR083698</t>
  </si>
  <si>
    <t>1. Inverter 10 is derated at 1:40 pm to 15:30 by 20kW on 04/26 
2. Inverter 1 is derating at peak hours approximately 30 kW on 04/23 and exhaust fans need to be replaced for inverter.
3. inverters 5, 7, &amp; 9 are underperforming and Technician replaced the fan clusters  and power cycled. Currently all inverters are online and producing.</t>
  </si>
  <si>
    <t>1. SR083870
2. SR083761
3. SR081548, SR081549, SR081341</t>
  </si>
  <si>
    <t>1. Inverter 37 is offline on 04/01 and back online on 04/05 at 10:00am.
2.  Inverter 1.2 MPPT 1 is tripped offline at 13:00 on 04/08/2024 and back online on 04/09
3. Inverter 1.2 MPPT 2 &amp; 3 is tripped offline at 12:45 on 04/16/2024 and back online on 04/17
4. Inverter 1.2 MPPT 1 &amp; 3 is tripped offline at 12:45 on 04/016/2024 and back online on 04/17
5.  Inverter 1.2 MPPT 1 has tripped offline on multiple days on 04/23, 04/27, 04/29, 04/30
6.  Inverter 1.2 MPPT 4 has tripped offline on 04/28 and back online on 04/29
7.  Inverter 9 is offline on 04/26 and Reporting String 3 reverse connection alarm.</t>
  </si>
  <si>
    <t>1. SR082925
2. SR083234
3. SR083468
4. SR083469
5. SR083763
6. SR083763
7. SR083861</t>
  </si>
  <si>
    <t>1. Site was taken offline by EV solar on 04/15 between 10:45 to 15:25</t>
  </si>
  <si>
    <t>1. SR083423</t>
  </si>
  <si>
    <t>May Actual v. Expected</t>
  </si>
  <si>
    <t>May Actual v. Forecasted</t>
  </si>
  <si>
    <t>May Availability</t>
  </si>
  <si>
    <t>1. Site is offline from 12:30 PM  to 01:00PM on 05/01.</t>
  </si>
  <si>
    <t>1. SR084116</t>
  </si>
  <si>
    <t>1. Site is offline from 14:00 on 05/14 and back online at 06:00AM on 05/15 and again site is offline from 12:45pm on 05/28 and back online at 6:00AM on 05/29.</t>
  </si>
  <si>
    <t>1. SR084701</t>
  </si>
  <si>
    <t>1. Inverter B is offline from 07:00AM  to 12:15PM on 05/02 and again the inverter B remaind offline from 05/15.</t>
  </si>
  <si>
    <t>1. Inverter 1 is underprforming approximately 33kW compared to its peers inverter from 05/14.
2. Inverter 2 started derating about 100kW from 05/13 during afternoon hours.</t>
  </si>
  <si>
    <t>1. SR084741
2. SR085344</t>
  </si>
  <si>
    <t xml:space="preserve">1.  Weather station is reporting 0 W/m^2 from </t>
  </si>
  <si>
    <t>1. SR085322</t>
  </si>
  <si>
    <t>1. Inverter 2 is offline from 07:00PM to 09:45AM on 05/28.</t>
  </si>
  <si>
    <t>1. SR085229</t>
  </si>
  <si>
    <t>1. Site is offline from 10:00am on  05/07 to 08:30am on 05/09</t>
  </si>
  <si>
    <t>1. SR084369</t>
  </si>
  <si>
    <t>1. Inverter 4 is derated 10kW down from 05/01 to 05/14</t>
  </si>
  <si>
    <t>1. SR084167</t>
  </si>
  <si>
    <t>1. inverter 1 left and right unit having multiple tripping for whole month</t>
  </si>
  <si>
    <t>1. Site is offline from 17:15 to 17:45 on 05/28 and Inverter 2 is offline from 11:45AM on 05/24 and back online at 11:45AM on 05/30.
2. Inverter 2 is offline from 11:45AM on 05/11 and back online at 10:45AM on 05/15.</t>
  </si>
  <si>
    <t>1. SR085155
2. SR084586</t>
  </si>
  <si>
    <t>1. Inverter 1 left unit is offline from 15:13 on 04/04 and back online at 12:08PM on 05/01.
2. Site is offline from 14:15 on 05/03 and later back online at 09:45AM on 05/06 and site is offline at 12:30PM on 05/07 and back online at 09:30AM on 05/13.
3. Site is offline at 14:30 on 05/14 and back online at 11:30AM on 05/17</t>
  </si>
  <si>
    <t>1. SR084049
2. SR084228
3. SR084699</t>
  </si>
  <si>
    <t>1. Inverter 2 primary unit is having multiple tripping events from 04/20.</t>
  </si>
  <si>
    <t>1. SR084157</t>
  </si>
  <si>
    <t>1. Inverter 3 is offline from 07:00AM on 05/31.</t>
  </si>
  <si>
    <t>1. SR085399</t>
  </si>
  <si>
    <t>1. Inverter 3 right unit tripped offline 11:56AM on 05/11 and is back online at 11:11AM on 05/15.</t>
  </si>
  <si>
    <t>1. SR084602</t>
  </si>
  <si>
    <t>1. Inverter 5 is offline from 13:30 on 05/01 and back online 05/17.</t>
  </si>
  <si>
    <t>1. 	SR084120, SR084121</t>
  </si>
  <si>
    <t>1. Inverter 4 is tripped offline at 15:00 on 05/08 and back online at 09:30AM on 05/09.
2. Site tripped offline at 11:45AM on 05/11 and back online at 08:00AM on 05/24.
3. Inverter 3 center unit is offline from 07:00AM on 05/26 and back online at 08:48AM on 05/30.</t>
  </si>
  <si>
    <t>1. SR084426
2. SR084587
3. SR085164</t>
  </si>
  <si>
    <t>1. Inverter 2 left unit is offline at 08:00AM on 05/21 and back online at 12:29PM on 05/29.</t>
  </si>
  <si>
    <t>1. SR084951</t>
  </si>
  <si>
    <t>1. Inverter 1 primary unit is offline from 07:00AM on 05/10</t>
  </si>
  <si>
    <t>1. 	SR084588</t>
  </si>
  <si>
    <t>1. Site is offline at 09:30AM on 05/01 and back online at 12:15PM on 05/02.
2. Inverter C is offline from 07:00AM to 08:15AM on 05/22.</t>
  </si>
  <si>
    <t>1. SR084053
2. SR084997</t>
  </si>
  <si>
    <t>1. Site is offline at 09:45 om 05/01 and back online at 11:15AM on 05/02.</t>
  </si>
  <si>
    <t>1. SR084054</t>
  </si>
  <si>
    <t>1. The inverters had multiple tripping events on 05/30 due to 'Vac Out of range'.</t>
  </si>
  <si>
    <t>1. SR085331</t>
  </si>
  <si>
    <t>1. Inverter 15 tripped oflline on 05/02 at 13:10 and later self resolved at EOD, on 05/03 the technician went on site to check cause of trip event and he found the fault "Protect 0150"  code caused by AC fluctuation.</t>
  </si>
  <si>
    <t>1. SR084165</t>
  </si>
  <si>
    <t>1. The site was offline from 05/16 at 08:50 am to 05/23 at 01:45pm, due to utility 
outage.
2. Inverter 1 was offline on 05/28 at 06:30 due to "isolation fault", later on 05/29 technician on site worked on inverter 1 and brought online at 10:10am.</t>
  </si>
  <si>
    <t>1. SR084723
2. SR085221</t>
  </si>
  <si>
    <t>1.On 05/16 inverters 2, 13 ,14  and 19 derated by 20kW each at the peak irradiance due to fan fault and later the day on 05/17, the technician worked on inverters and removed the snail shells obstructing the fan movement.</t>
  </si>
  <si>
    <t>1.SR084793</t>
  </si>
  <si>
    <t>1. Meter stopped communicating almost throught out the month, still an issue</t>
  </si>
  <si>
    <t>1. SR084092</t>
  </si>
  <si>
    <t>1. Site was offline on 05/02 at 04:40 pm and later back online 05/03 at 06:05 pm, 
due to utility outage.</t>
  </si>
  <si>
    <t>1.SR084176</t>
  </si>
  <si>
    <t>1. Site tripped offline on 05/10 at 07:35 am and back online at 11:55 pm on same day, after the RGE crew cleared the dead squirrel that caused the outage.
2.Inverter 3 was offline on 05/17 at 5:55 am and back online at 09:20 am. On 05/18 the inverter again tripped ofline and later on 05/20 at 10:35 am, technicain on site worked on inverter 3 and brought inverter back online.</t>
  </si>
  <si>
    <t>1. SR084523
2. SR084801</t>
  </si>
  <si>
    <t>1. Inverter 5 tripped offline at 14:00 on 05/02 and back online at 07:15AM on 05/03.
2. Inverter 30 tripped offline at 14:15 on 05/07 and back online at 15:00 on 05/08.
3. Inverter 8 tripped offline at 07:30AM on 05/12 and back online at 11:30 on 05/20.
4. Inverter 32 tripped offline at 15:00 on 05/17 and back online at 13:00 on 05/20.
5. Inverter 23 tripped offline at 15:15 on 05/22 and back online at 09:30AM on 05/23 and inverter 30 tripped offline at 14:45 on 05/22 and back online at 09:30 on 05/23.
6. Inverter 1 tripped offline from 11:45AM on 05/19.
7. Inverter 34 tripped offline at 10:45 on 05/19.
8. Inverter 23 tripped offline at 15:15 on 05/23 and back online at 09:15 on 05/24.
9. All inverters are offline from 07:00AM to 09:45AM on 05/23.
10. Inverter 5 tripped at 14:30 on 05/31 and back online at 07:00AM on 06/03</t>
  </si>
  <si>
    <t>1. SR084169
2. SR084379
3. SR084593
4. SR084818
5. SR085025
6. SR084871
7. SR084868
8. SR085043
9. SR085047
10. SR085390</t>
  </si>
  <si>
    <t>1. Inverter 1 tripped offline at 10:30AM on 05/05 and back online at 05:00PM on 05/06.</t>
  </si>
  <si>
    <t>1. SR084275</t>
  </si>
  <si>
    <t>1. Inverter 3 tripped offline at 02:55PM on 05/18 and back online at 04:20PM 05/19 and due to PS board swapping between 3 and 4, inverter 4 is offline from 03:05AM to 04:10AM
2. Inverters 1 and 3 is having curtliment event the clipping value is about 1245 from 05/14.</t>
  </si>
  <si>
    <t>1. SR084827
2. SR085366</t>
  </si>
  <si>
    <t>1.Site was taken offline on 05/09 from 11:20AM to 14:20PM by technician.</t>
  </si>
  <si>
    <t>1.SR083716</t>
  </si>
  <si>
    <t>1. Site was taken offline on 05/09 from 11:00AM to 13:10PM by technician.</t>
  </si>
  <si>
    <t>1.SR083717</t>
  </si>
  <si>
    <t>1. Site is offline on 05/23 and back online on 05/30</t>
  </si>
  <si>
    <t>1. SR084805</t>
  </si>
  <si>
    <t>1.Site is offline due to Utility outage on 05/28 from 09:15AM to 14:00PM.</t>
  </si>
  <si>
    <t>1.SR084910</t>
  </si>
  <si>
    <t>1.SR084911</t>
  </si>
  <si>
    <t>1.SR084912</t>
  </si>
  <si>
    <t>1.Site was taken offline on 05/10 from 08:25AM to 11:10AM by technician.</t>
  </si>
  <si>
    <t>1.SR083718</t>
  </si>
  <si>
    <t xml:space="preserve">1. Inverter 1 tripped offline on 05/07 at 09:30AM and back online on 05/09 at 10:40AM.
2.Inverter 1 tripped offline on 05/16 at 12:00AM and back online on at 05:30 PM and again tripped offline on 05/17 at 15:05PM </t>
  </si>
  <si>
    <t>1.SR084352
2.SR084774</t>
  </si>
  <si>
    <t>1. Inverter 8 was offline throught out the month. Inverter 5 was offline from 05/01 due to thermal damage on breaker, later on 05/29 technician replaced the breaker and inverter was back online.</t>
  </si>
  <si>
    <t>1.SR082892</t>
  </si>
  <si>
    <t>1. Inverter 3 is tripped offline at 11:45am on 05/25.</t>
  </si>
  <si>
    <t>1. SR085156</t>
  </si>
  <si>
    <t xml:space="preserve">1. Inverter 14 is tripped offline at 12:00pm  on 05/07 and back online on 05/10 and again offline from 05/11.
2. Inverter 20 is tripped offline on 05/07 at 8:30am and back online on 05/10 at 9:00am.
3. Inverter 27 is tripped offline on 05/02 and back online at 13:15 on 05/02 and again offline on 05/04 and back online on 05/05 at 11:00am </t>
  </si>
  <si>
    <t>1. SSR084581
2. SR084581
3.  SR083113</t>
  </si>
  <si>
    <t>1. Inverter 2 tripped offline at 13:45 on 05/04 and back online on 05/05 and again tripped offline on 05/11 and back online on 05/12 
2. Inverter 3 tripped offline on 05/06 and back online on 05/07
3. Inverter 1 is offline throughout the month.
4. Inverter 16 is offline for whole month.
5.  Inverter 17  offline due to "electric arc detected and offline for whole month.
6. Inverter 4 is offline for multiple days.</t>
  </si>
  <si>
    <t>1. SR084273
2. SR084288
3. SR083305
4. SR081250
5. SR081250
6. SR082814</t>
  </si>
  <si>
    <t>1.Inverter2,6 and 8 tripped offline at 13:00 on 05/22and back online online on 05/23 at 09:15am.
2.Inverter 2 is underperforming by 30kW from 11:45 on 05/02 and self resolved on 05/03 at 05:45 am</t>
  </si>
  <si>
    <t>1. SR0805023
2. SR084168</t>
  </si>
  <si>
    <t>1. Inverter 9 is being RMA'd
2. Inverter 2.07 is underperforming ~3kW compared with its peer from 04/22
3.inv 17 underperforming by 4 kW since 5/3/24. it looks like DC current 2 lost capacity.</t>
  </si>
  <si>
    <t>1. SR083861
2. SR084135
3. SR084563</t>
  </si>
  <si>
    <t>1. Site tripped offline at 8:20am on 05/21 back online on 05/22</t>
  </si>
  <si>
    <t>1. SR084934</t>
  </si>
  <si>
    <t>June Actual v. Expected</t>
  </si>
  <si>
    <t>June Actual v. Forecasted</t>
  </si>
  <si>
    <t>June Availability</t>
  </si>
  <si>
    <t>1. Virtual Weather station had not communicated till 06/13, due to that Expected Energy is low.</t>
  </si>
  <si>
    <t>1. SR083800</t>
  </si>
  <si>
    <t>1. SR083801</t>
  </si>
  <si>
    <t>1. Inverter is tripping on and offline repeatedly on multiple days and hadn't started till 4pm on 06/20. It has a history of heat related issues</t>
  </si>
  <si>
    <t>1. SR085749, SR086481</t>
  </si>
  <si>
    <t>1. Inverter 1-1 tripped offline at 08:45AM on 06/07 and it is still offline.</t>
  </si>
  <si>
    <t>1. SR085744</t>
  </si>
  <si>
    <t xml:space="preserve">1. Virtual Weather station has stopped communication on 06/13 due to that Expected energy is low </t>
  </si>
  <si>
    <t>1. SR083804</t>
  </si>
  <si>
    <t>1. SR083803</t>
  </si>
  <si>
    <t>1. Site was expired in AlsoEnergy but communicating in SolarEdge.</t>
  </si>
  <si>
    <t>1. SR081028</t>
  </si>
  <si>
    <t>1. Virtual Weather station has stopped communication on 06/13 due to that Expected energy is low 
2. Site is experiencing a decrease in production during peak hours</t>
  </si>
  <si>
    <t>1. SR081027
2. SR086614</t>
  </si>
  <si>
    <t>1. Inverter 1 has underproduced compared to inverter 2 till 06/17 due to blown fuse 
2. Inverter 2 is derating by about 50kW</t>
  </si>
  <si>
    <t>1. SR084741
2. SR086766</t>
  </si>
  <si>
    <t>1. The meter for Buildings 1 &amp; 2 has not captured full production till 06/17
2. Building 1 &amp; 2 was tripped offline at 10:15am on 06/09 and were again offline on 06/10 from 9:45am to 13:30</t>
  </si>
  <si>
    <t>1. SR085825
2. SR085789</t>
  </si>
  <si>
    <t>1.Inverter 1 is offline from 06/25 at 13:45 and back online on 06/27 at 12:00</t>
  </si>
  <si>
    <t>1.SR086936</t>
  </si>
  <si>
    <t>1.Inverter 1 left unit is barely producing from 06/05 at 09:30 and back to normal production from 06/24 at 08:00</t>
  </si>
  <si>
    <t>1.SR085982</t>
  </si>
  <si>
    <t>1.Inverter 2 derating approximately 5-15kW from 05/06 while tech working onsite the site was offline from 06/26 from 09:25 to 12:30</t>
  </si>
  <si>
    <t>1.SR086518</t>
  </si>
  <si>
    <t>1.Weather station lost communiction from 06/14 communication started  from 06/24 at 15:45 as a result the site was taken offline from 12:45 to 15:45 on 06/24</t>
  </si>
  <si>
    <t>1. SR086843
2. SR086861</t>
  </si>
  <si>
    <t>1. No communication for weather station</t>
  </si>
  <si>
    <t>1. SR086842</t>
  </si>
  <si>
    <t>1.Inverter 1 tripped offline on 06/22 at 09:45 and  back online at 11:45</t>
  </si>
  <si>
    <t>1. SR086632</t>
  </si>
  <si>
    <t>1. Inverter 2 right unit tripped offline on 06/08 at 13:47 and back online on 06/10 at 07:15 am and again tripped offline at 13:45 back online on 06/14 at 11:00am
2. Inverter 2 right unit tripped offline on 06/24 at 14:00. Possible arc detection fault. and back online on 06/25 at 11:00 am</t>
  </si>
  <si>
    <t>1. SR085765
2. SR086883</t>
  </si>
  <si>
    <t>1. Inverter 1 is offline from 11:48 am on 06/07 and back online on 06/18 at 09:45 am</t>
  </si>
  <si>
    <t>1. SR085754</t>
  </si>
  <si>
    <t xml:space="preserve">1. Inverter 1 was underproduced 33kW due to multiple tripping in center and right unit. Later resolved after the technician replaced center and right unit on 06/03
</t>
  </si>
  <si>
    <t>1. Inverter 3 is offline since 06/01 and back online on 06/20.</t>
  </si>
  <si>
    <t>1. 	SR085399</t>
  </si>
  <si>
    <t>1. Inverter 2 started late on 06/23, 06/27, 06/30.</t>
  </si>
  <si>
    <t>1. SR087028</t>
  </si>
  <si>
    <t>1. Inverter 1 primary unit is offline since 06/05.</t>
  </si>
  <si>
    <t>1. SR085846</t>
  </si>
  <si>
    <t>1. Inverter 1 right unit and inverter 2 left unit tripped offline on 06/01 at 12:45 and back online on 06/02 and inverter right unit again tripped offline on 06/02 at 13:15 and back online on 06/03</t>
  </si>
  <si>
    <t>1. SR085404</t>
  </si>
  <si>
    <t>1. Inverter 1 right unit is offline from 06/14 and back online on 06/25 at 10:00am
2. Inverter 3 center unit is tripped offline on 06/23 at 09:00am and back online on 06/25 at 10:00am.</t>
  </si>
  <si>
    <t>1. SR086364
2. SR086840</t>
  </si>
  <si>
    <t>1. Inverter 3 is offline since 06/17 till end of the month.</t>
  </si>
  <si>
    <t>1. SR086329</t>
  </si>
  <si>
    <t>1.Inverter 1 central unit tripped offline at 13:46 on 06/02 &amp; inverter 1 is offline from 08:15 on 06/03 due to remote reset was failed and again back online from 08:00 on 06/04 and inverter 1 central unit was back online from 06/11 at 14:00</t>
  </si>
  <si>
    <t>1.SR085427</t>
  </si>
  <si>
    <t>1. Inverter 1 primary unit is back online from 06/10 at 15:53</t>
  </si>
  <si>
    <t>1.Inverter 1 left unit is underperforming by 5 kW  from 06/07</t>
  </si>
  <si>
    <t xml:space="preserve">SR086483	</t>
  </si>
  <si>
    <t>1.  Inverter 5 and its meter was offline from 06/08 to 06/10 morning
2. Inverter 3 was offline at 16:00 of 06/16 and back online at 9:15am on 06/19
3. We lost site communication from 06/20 due bad cell modem. Because of this the Actual energy is low</t>
  </si>
  <si>
    <t>1. SR085803
2. SR086297
3. SR086467</t>
  </si>
  <si>
    <t>1.  Inverter 1 tripped offline at 11:15 on 06/03 and back online on 06/14 when technician replaced the fuse
2. Inverter 3 was offline on 06/06</t>
  </si>
  <si>
    <t>1. SR085485
2. SR085685</t>
  </si>
  <si>
    <t>1. Weather station is not communicating from 04/27</t>
  </si>
  <si>
    <t>1. SR085360</t>
  </si>
  <si>
    <t>1. Inverter 20 was derated approximately 20kW from 06/17 at 13:35 and resolved on 07/02</t>
  </si>
  <si>
    <t>1. SR086419</t>
  </si>
  <si>
    <t>1. Weather station has not communicated after 05/10
2. Inverter 16 has derated approximately 20kW compared to its peers on 06/12, 06/13, 06/15, 06/16, 06/17, 06/18, 06/19 and resolved on 06/20</t>
  </si>
  <si>
    <t>1. SR085363
2. SR086276</t>
  </si>
  <si>
    <t>1. Combiner box 1 was offline from 05/19 and back online 06/11 at 8:30am</t>
  </si>
  <si>
    <t>1. SR085411</t>
  </si>
  <si>
    <t>1. Site was offline due to a loss of utility power on 06/24 afternoon and technician re-energized on 06/25 at 10:30am
2. Cradlepoint issue is being present at the site which impacted site communication, due to this Actual Energy data is not avilable from 06/25</t>
  </si>
  <si>
    <t>1. SR086846
2. SR086060</t>
  </si>
  <si>
    <t>1. Site was offline due to a loss of utility power on 06/24 afternoon and technician re-energized on 06/25 at 10:30am
2. Cradlepoint issue is being present at the site which impacted site communication, due to this Actual Energy data is not avilable from 06/17</t>
  </si>
  <si>
    <t>1. SR086847
2. SR086060</t>
  </si>
  <si>
    <t>1. Inverter 2 is offline at 07:00AM on 06/09 due to  "synchronization system failure" alarm and inverter is back online at 12:40PM on 06/14.</t>
  </si>
  <si>
    <t>1. 	SR085775</t>
  </si>
  <si>
    <t>1. Inverter 2 is offline from 07:30AM to 11:25PM on 06/10.
2. Site tripped offline at 03:55AM on 06/30 later technician reset the site, site back online at 15:15 on 07/01.</t>
  </si>
  <si>
    <t>1. SR085800
2. SR087139</t>
  </si>
  <si>
    <t>1. Inverter 3 is offline at 07:00AM on 06/01 and back online at 07:00AM on 06/03.
2. Site offline due to utility outage from 15:00 to 18:00 on 06/06.
3. Site is offline from 09:20AM to 18:15 on 06/10 and Inverter 2 offline at 07:00AM on 06/10 and inverter 2 back online after replacing the phase fan at 10:45AM on 06/18.
4. Site is offline due to planned outage on 06/11 and 06/12.
5. Site is offline from 11:20AM to 12:25PM on 06/20
6. Site offline due to utility switching work on 06/25 and 06/27
7. Inverter 2 tripped offline at 07:20pm pm 06/09 and back online on 06/18</t>
  </si>
  <si>
    <t>1. SR085398
2. SR085713
3. SR085804
4. SR085859
5. SR086486
6. SR086898
7. SR085804</t>
  </si>
  <si>
    <t>1. Inverter 3 combiner box 21 is offline</t>
  </si>
  <si>
    <t>1. SR086063</t>
  </si>
  <si>
    <t>1. Inverter 4 tripped offline at 18:05 on 06/23 and after power cycling inverter back online at 14:25 on 06/24.
2. Site tripped offline at 14:45 on 06/24 and technician re-energize site at 09:55AM on 06/25 site is back online.
3. Site tripped offline at 12:00PM on 06/27 and back online after technician closed Breaker at 11:15AM on 06/28 site back online.
Site again tripped offline at 08:50AM on 06/30 later technician reset Breaker at 14:45 on 07/03 site back online.</t>
  </si>
  <si>
    <t>1. SR086770
2. SR086831
3. SR087041</t>
  </si>
  <si>
    <t xml:space="preserve">1. Inverter 30 offline on 06/01, 06/04, 06/13, 06/16, 06/18, 06/25, 06/28
2. Inverter 9 tripped offline at 14:45 on 06/01 and techncian reset the inverter, inverter back online at 07:00AM on 06/03
3. Inverter 27 offline on 06/04, 06/15, 06/25,
4. Inverter 29 offline 06/04, 06/28
5. Inverter 35 tripped offline at 16:00 on 06/05 and techncian replaced a module with thermal burns on string 11 and repaired the homerun, inverter back online at 02:30PM on 06/06.
6. Inverter 5 tripped offline at 15:00 on 06/14, 06/15, 06/28
</t>
  </si>
  <si>
    <t xml:space="preserve">1. SR085405, SR086292, SR085548, SR086332, SR086927, SR087092
2. SR085408
3. SR085547,SR086280, SR086926
4. SR085553, 	SR087112
5. SR085602
6. SR086260, SR086908, SR087099
</t>
  </si>
  <si>
    <t xml:space="preserve">1. Inverter 4 is offline from 09:45AM to 10:20AM on 06/14
2. Site tripped offline at 6pm on 06/23 and 1 &amp; 2 inverters got back online at 12pm on 06/25 and all site back online on 06/26 </t>
  </si>
  <si>
    <t>1. SR086221
2. SR086769</t>
  </si>
  <si>
    <t>1. Inverter 4 offline on 06/18,06/21,06/23.
2. Site tripped offline at 21:00 on 06/18 and back online at 10:40AM on 06/20</t>
  </si>
  <si>
    <t>1. SR086351
2. SR086421</t>
  </si>
  <si>
    <t>1.Site is offline on 06/23 at 19:15 and back online at 11:15 on 06/24, Site is offline on 06/29 at 21:40 and back online on 06/30 at 08:50</t>
  </si>
  <si>
    <t>1.SR086816</t>
  </si>
  <si>
    <t>1.Site is offline from 06/05 at 05:30 to 06/06 at 16:30 and inverter 2 is kept offline due to replace fan from 06/05 and back online at 06/11 at 12:05
2. Inverters 1 and 3 is having curtliment event, the clipping value is about 1245kW from 05/14 throughout the month.
3.Inverter 1 tripped offline on 06/09 at 12:45 and back online on 17:45</t>
  </si>
  <si>
    <t>1.SR085594
2.SR085366
3.SR085786</t>
  </si>
  <si>
    <t>1.Site is offline from 06/05 at 05:30 to 06/06 at 16:30 
2.Inverter 2 tripped offline on 06/29 at 16:10 and back online on 06/30 at 15:15</t>
  </si>
  <si>
    <t>1.SR086855
2.SR087126</t>
  </si>
  <si>
    <t>1. Inverter 2 has tripped offline on 06/17 at 15:25 through out the month</t>
  </si>
  <si>
    <t xml:space="preserve">1.SR086333	</t>
  </si>
  <si>
    <t xml:space="preserve">1.Site is offline from 06/02 at 12:45 due to utility outage and back online on 06/05 at 16:10, Site is again offline from 06/06 at </t>
  </si>
  <si>
    <t>1.SR084805</t>
  </si>
  <si>
    <t>1.Inverter 1 started late for the production at 12:00 on 06/09, Inverter started late for the production at 17:25 on 06/10, inverter was offline and later tech reset at 10:15 on 06/12</t>
  </si>
  <si>
    <t>1.SR085787</t>
  </si>
  <si>
    <t>1.Site tripped offline from 00:10 to 09:00 on 06/20
2.Site offline on 06/03 from 09:10 to 11:45</t>
  </si>
  <si>
    <t>1.SR086461
2.SR084910</t>
  </si>
  <si>
    <t>1.SR086462
2.SR085397</t>
  </si>
  <si>
    <t>1.Site tripped offline from 00:10 to 09:00 on 06/20
2.Site offline on 06/03 from 09:15 to 11:45</t>
  </si>
  <si>
    <t>1.SR086459
2.SR084912</t>
  </si>
  <si>
    <t>1.Inverter 1 tripped offfline on 06/05 at 17:35 at 06/13 at 13:45</t>
  </si>
  <si>
    <t>1.SR085603</t>
  </si>
  <si>
    <t>1.Inverter 1 tripped offline on 06/01 at 17:05 and back online on 06/03 at 10:50
2. Site was offline on 06/16 later tech reset at 16:15 on the same day.
3. Inverter was offline 6/28 and back online on 17:30 on the same day</t>
  </si>
  <si>
    <t>1.SR085434
2.SR086281
3. SR087102</t>
  </si>
  <si>
    <t>1.Inverter 1 is back online on 06/05 at 12:15
2. Inverter 1 tripped offline at 09:45 am to 11:30 AM and again tripped offline from 16:00 on 06/20 and back online from 06/24 at 09:45
3.Inverter 1 is having multiple trip events from 06/27</t>
  </si>
  <si>
    <t>1.SR084774
2.SR086330
3.SR087050</t>
  </si>
  <si>
    <t>1. Inverter 9 is offline from 06/09 at 07:00 and back online from at 14:30 on 06/12 and again tripped offline on 12:15 on 06/14 and back online 06/15 at 07:00 and again tripped offline on 06/16 and had a multiple tripped event on 06/17 and tripped offline on 06/20 at 11:15 and observed a multiple tripping event on 06/21 and 06/22</t>
  </si>
  <si>
    <t>1.SR083382</t>
  </si>
  <si>
    <t>1. Inverter 8 was offline throught out the month</t>
  </si>
  <si>
    <t>1. Inverter A03 lost a string from 6/7/23, Inverter A07 lost a string from 11/13/23, Inverter 13 also under producing, all inverters are producing as expected from 06/04</t>
  </si>
  <si>
    <t>SR085418</t>
  </si>
  <si>
    <t>1. Inverter 3 is back online on 06/04 at 11:30</t>
  </si>
  <si>
    <t>1. Inverter 14 is offline from 05/11 throught out the month
2.Site is offline from 14:30 to 16:00 on 06/02</t>
  </si>
  <si>
    <t>1. SR084581
2.SR085429</t>
  </si>
  <si>
    <t>1. Inverter 1 is offline throughout the month.
2. Inverter 4 was back online from 06/04 at 07:00 and again offline on 06/08 at 07:00 and having mutliple days offline
3. Inverter 16 was offline from 06/01 to 06/04, 06/07 (11am) to 06/14 morning and again offline from 06/15 to 06/27 mid-day
4. Inverter 17 is offline for whole month
5. Inverters 6 &amp; 10 have no communication for whole month and are offline</t>
  </si>
  <si>
    <t>1.SR083305
2.SR082814,SR086833
3. SR085745
4. SR081250, SR084156
5. SR084156</t>
  </si>
  <si>
    <t>1. Inverter 9 is offline through out the month
2.Inverter 17 underperforming by 4 kW since 5/3/24 through out the month
3.Inverter 2 is down with ~34kW through out the month</t>
  </si>
  <si>
    <t>1. SR083861
2.SR084563
3.SR083763</t>
  </si>
  <si>
    <t>1. Inverter 5 tripped offline on 06/18 at 16:45 through out the month.</t>
  </si>
  <si>
    <t>1.SR086414</t>
  </si>
  <si>
    <t>1.Site is offline from 10:10 to 18:10 on 06/17 as tech was onsite to work on CB and modules</t>
  </si>
  <si>
    <t>1.SR084241</t>
  </si>
  <si>
    <t>1.Site was offline from 13:10 to 16:40 0n 06/07 as tech was onsite to work on CT wires and GPM meters in the monitoring cabinet
2.Site is offline from 11:40 to 17:35 as EV solar is onsite to work on CTs and metering.
3.Site is offline from 10 am to 10:25 am on 06/17 as EV solar is on site 
4.Site was taken offline from 13:10 to 13:50 and 14:40 to 15:45 as EV solar is on site for testing meters, site was taken offline from 09:20AM to 10:30AM on 06/28
5.Site tripped at 11:25 on 06/24 and back online at 08:40 on 06/25</t>
  </si>
  <si>
    <t>1.SR084706
2.SR086091
3.SR086312
4.SR086423
5.SR086863</t>
  </si>
  <si>
    <t>1. Site tripped at 07:43 on 06/06 and back online at 08:26AM on 06/13 and again site tripped offline at 10:54AM on 06/13 and back online at 04:01PM on 06/27.</t>
  </si>
  <si>
    <t>1. SR085741</t>
  </si>
  <si>
    <t>1. Site offline from April and back online on 06/01/24 at 11:45 Am and again tripped on 06/02 at 5:00 Am back online at 12:00PM on 06/03.
2. Site is offline at 21:00 on 06/14 and back online at 11:00AM on 06/15
3. Inverter is offline from 07:00AM to 09:15AM on 06/27.
4. Inverter is offline from 10:00AM to 12:00PM on 06/29
5. Site was taken offline on 06/18 and energized on 06/19 at 1:00 AM</t>
  </si>
  <si>
    <t>1. SR085400, SR085461
2. SR086259
3. SR087020
4.SR087120
5. SR086369</t>
  </si>
  <si>
    <t>1. Site tripped offline at 12:20PM on 06/30 and back online at 05:35 PM on 07/01</t>
  </si>
  <si>
    <t>1. SR087142</t>
  </si>
  <si>
    <t>1. Inverter 1 tripped offline at 07:00AM on 06/07 and back online at 06:50PM on 06/08
Inverter is offline from 07:00AM to 03:25PM on 06/16
2. Inverter is offline from 07:00AM to 12:00PM on 06/24
3. Inverter is offline from 07:30AM to 12:00PM on 06/29
4. Inverter 2 was offline because of pending parts</t>
  </si>
  <si>
    <t>1. SR085764
2. 	SR086828
3. 	SR087121
4. SR085395</t>
  </si>
  <si>
    <t>1. Site tripped  offline from 02:10PM to 05:10PM on 06/28.
2. Site tripped offline at 11:45AM on 06/30 and back online at 12:30PM on 07/02.</t>
  </si>
  <si>
    <t>1. SR087106
2. SR087143</t>
  </si>
  <si>
    <t>1. Site tripped offline at 10:15AM on 05/02 later site stopped communicating from 05/04 and back online at 07:45AM on 06/14.</t>
  </si>
  <si>
    <t>1. SR085419</t>
  </si>
  <si>
    <t xml:space="preserve">1. Inverter is tripped offline at 04:55PM on 06/16 and back online at 08:40AM on 06/18, inverter tripped offline at 03:15PM on 06/18 and back online at 08:15AM on 06/19, inverter tripped offline at 3:00PM on 06/19 and back online at 09:25AM on 06/21. 
2. Inverter tripped offline at 11:50AM on 06/21 and Upon the technician arrival site is offline from 02:40PM on 06/21 and later back online at 08:20PM on 06/23.
Inverter tripped offline at 05:40PM on 06/25 and back online at 08:30AM on 06/26.
3. While technician on site inverter offline from 01:55PM to 04:20PM on 06/24.
4. Inverter is offline from 07:30AM to 09:40PM on 06/28 and inverter again tripped offline at 05:20PM on 06/30 and back online at 06:20PM on 07/03
</t>
  </si>
  <si>
    <t>1. SR086336
2. SR086596
3. SR086860
4. SR087084</t>
  </si>
  <si>
    <t>1. Inverter tripped offline at 08:10 on 06/27 and back online at 05:51AM on 06/28</t>
  </si>
  <si>
    <t>1. 	SR087023</t>
  </si>
  <si>
    <t>1. Inverter tripped offline at 11:21AM on 06/12 and back online at 08:39AM on 06/13.</t>
  </si>
  <si>
    <t>1. SR086093</t>
  </si>
  <si>
    <t>1. Inverter offline from 07:00AM on 06/28 and back at 12:00PM on 06/29</t>
  </si>
  <si>
    <t>1. SR087078</t>
  </si>
  <si>
    <t>1. Site tripped offline at 10:15AM on 06/26 and later back online at 09:55AM on 06/28.</t>
  </si>
  <si>
    <t>1. SR086987</t>
  </si>
  <si>
    <t>1. SR086988</t>
  </si>
  <si>
    <t>July Actual v. Expected</t>
  </si>
  <si>
    <t>July Actual v. Forecasted</t>
  </si>
  <si>
    <t>July Availability</t>
  </si>
  <si>
    <t xml:space="preserve">1. Inverter was offline for multiple days. </t>
  </si>
  <si>
    <t>1. SR087356, SR087654</t>
  </si>
  <si>
    <t>1. Inverter 1 was offline from 06/07 to 07/17.
2 Inverter 2 was offline from 07/07 to 08/01.</t>
  </si>
  <si>
    <t>1. SR085744
2. SR087451</t>
  </si>
  <si>
    <t>1. Site tripped offline on 07/06 and back online on 07/07, again site tripped offline on 07/27 and back online on 07/28.</t>
  </si>
  <si>
    <t>1. SR087429</t>
  </si>
  <si>
    <t>1. Inverter 2 was offline for whole month.</t>
  </si>
  <si>
    <t>1. Site was expired in AE on 07/26</t>
  </si>
  <si>
    <t>1. Site is underproducing during peak time</t>
  </si>
  <si>
    <t>1. SR086614</t>
  </si>
  <si>
    <t>1. Inverter 2 is derating by about 50kW</t>
  </si>
  <si>
    <t>1. SR086766</t>
  </si>
  <si>
    <t>1. Inverter 1 was replaced on 07/03.</t>
  </si>
  <si>
    <t>1. SR085825</t>
  </si>
  <si>
    <t>1. Weather station 2 reporting erroneous value.</t>
  </si>
  <si>
    <t>1. Inverter 3 was tripped offline on 07/05 and back online on 07/17.
2. Inverter 2 tripped offline on 07/10.</t>
  </si>
  <si>
    <t>1. SR087398
2. SR087554</t>
  </si>
  <si>
    <t>1. Inverter 2 was derated approximately 15kW from 07/01 to 07/15</t>
  </si>
  <si>
    <t>1.SR087628</t>
  </si>
  <si>
    <t>1. Site is offline since 07/05 to end of the month.</t>
  </si>
  <si>
    <t>1. SR087393</t>
  </si>
  <si>
    <t>1. Weather station is not communicating since 06/30/2024</t>
  </si>
  <si>
    <t>1. Inverter 3 center unit was offline from 07/24 to 07/28.</t>
  </si>
  <si>
    <t>1. SR088087</t>
  </si>
  <si>
    <t>1. Site was tripped offline on 07/18 at 15:00 and back online at 11:00 am on 07/19.
2. Site started late on 07/24 at 11:00am. 
3. Site was tripped offline on 07/28 at 09:00am and back online on 07/29
4. Site was tripped offline on 07/30 at 07:00am and back online on 07/31</t>
  </si>
  <si>
    <t>1. SR087905
2. SR088083
3. SR088312
4. SR088406</t>
  </si>
  <si>
    <t>1. Inverter 2 right unit was tripped offline on 06/24 and back online on 07/02 at 13:00
2. Inverter 1 left unit started late on 07/23.</t>
  </si>
  <si>
    <t>1. SR086883
2. SR088017</t>
  </si>
  <si>
    <t>1. Inverter 1 tripped offline on 07/18.</t>
  </si>
  <si>
    <t>1. SR087903</t>
  </si>
  <si>
    <t>1.Inverter 2 started late for production on 07/29 at 11:00 and again tripped offline on 15:30 and back online 17:00.</t>
  </si>
  <si>
    <t>1.SR088330</t>
  </si>
  <si>
    <t>1.Inverter 2 right unit tripped offline on 07/15 at 17:00 and back online 07/23 at 08:30</t>
  </si>
  <si>
    <t>1.SR087733</t>
  </si>
  <si>
    <t>1.Inverter 3 left unit tripped offline at 15:00 on 07/26 and back online on 07/30 at 14:11
2.Inverter 4 primary unit tripped offline on 07/25 at 13:48 and back online on 07/30 at 14:11</t>
  </si>
  <si>
    <t>1.SR088288
2.SR088251</t>
  </si>
  <si>
    <t>1.Inverter 1 is back online on 07/10 at 09:30
2.Inverter 5 left unit tripped offline at 13:36 on 07/21 and back online at 07/22 at 07:00 and again tripped offline on 07/27 at 10:56</t>
  </si>
  <si>
    <t>1.SR087513
2.SR087977</t>
  </si>
  <si>
    <t>1. Inverter 3 center unit not started from 07/03 and back online on 07/11 at 11:00
2.Inverter 1 primary unit tripped offline at 09:00 at 07/11 and back online on 07/12
3.Inverter 3 center unit is offline from 07/25 through out the month</t>
  </si>
  <si>
    <t>1.SR087344
2.SR087586
3.SR088249</t>
  </si>
  <si>
    <t>1. Inverter 3 is offline for whole month.</t>
  </si>
  <si>
    <t>1.Inverter 3 right unit tripped offline at 07/18 at 12:00 and back online at 13:15 on 07/31</t>
  </si>
  <si>
    <t>1.SR088019</t>
  </si>
  <si>
    <t>1.Site has not communicated for the whole month due to bad Modem and it was replaced on 08/02 but production was not verified</t>
  </si>
  <si>
    <t>1. SR086467</t>
  </si>
  <si>
    <t>1.SR085360</t>
  </si>
  <si>
    <t>1. Weather station has not communicated after 05/10</t>
  </si>
  <si>
    <t>1. SR085363</t>
  </si>
  <si>
    <t>1. Inverters were offline for most of the days since 07/10 due to bad utility voltage regulatorand resolved on 07/23.
2. Inverter 1 was tripped offline on 07/24 and back online on 07/29 at 12:30pm.</t>
  </si>
  <si>
    <t>1. SR087544
2. SR088214</t>
  </si>
  <si>
    <t>1.Inverters 1 and 2 were tripped offline on 07/10, Inverter 2 was back online on 07/25.
2. Inverter 2 was tripped offline on 07/27 at 17:00 and back online on 07/29 at 11:45am.</t>
  </si>
  <si>
    <t>1. SR087545
2. SR088311</t>
  </si>
  <si>
    <t>1. Site was tripped offline on 06/24 and back online on 07/06.</t>
  </si>
  <si>
    <t>1. SR086846</t>
  </si>
  <si>
    <t>1. Site was offline for whole month.</t>
  </si>
  <si>
    <t>1. SR086071, SR086847</t>
  </si>
  <si>
    <t>1.Inverter 2 tripped offline on 07/02 at 16:25 and back online at 16:40 on 07/02</t>
  </si>
  <si>
    <t>1.SR086293</t>
  </si>
  <si>
    <t>1.Meter back online from 07/01 at 11:45
2.Inverter 3 is offline from 07/01 and back online on 07/11 at 08:30
3.Inverter 1 is derating approximately 100kW during peak hours throgh out the month</t>
  </si>
  <si>
    <t>1.SR087139
2.SR087139
3.SR087718</t>
  </si>
  <si>
    <t>1.Site tripped offline at 08:30 to 12:35 on 07/03 and again tripped offline at 17:15 on 07/15 and back online at 13:20 at 07/17
2.Site tripped offline at 12:15 to 14:20 on 07/30</t>
  </si>
  <si>
    <t>1.SR087335
2.SR088411</t>
  </si>
  <si>
    <t>1.Inverter 1 tripped offline at 13:30 to 15:20 and again tripped offline at 16:55 on 07/04 and back online at 10:15 on 07/06 and again tripped offline 12:50 to 18:45 on 07/06
2.Site is offline at 15:45 on 07/09 and again back online at 10:00 on 07/11</t>
  </si>
  <si>
    <t>1.SR087383
2.SR087533</t>
  </si>
  <si>
    <t>1.Site is back online at 14:20 on 07/02 and again tripped offline at 07:10 to 11:00 on 07/03
2.Site tripped offline at 10:05 on 07/09 and back online at 11:10 on 07/12
3.Inverter 1 tripped offline at 13:00 on 07/24  through out the month
4.Inverter 2 is kept offline for safety purpose at 14:15 on 07/26 through out the month</t>
  </si>
  <si>
    <t>1.SR087041
2.SR087510
3.SR088119
4.SR088119</t>
  </si>
  <si>
    <t>1.Inverter 5 is offline on 07/01 through out the day
2.Inverter 29 is offline on 07/01 through out the day
3.Inverter 30 is offline on 07/01 through out the day
4.Inverter 27 tripped offline at 12:15 on 07/02 and inverter 30 tripped at 13:00 on 07/02 and inverter 29 tripped at 13:45 on 07/02 and all inverters back online at 08:30 on 07/03
5.Inverter 30 tripped offline at 14:00 on 07/03 and back online at 11:45 on 07/05
6.Inverter 5 tripped offline at 12:00 on 07/04 and back online at 11:30 on 07/05
7.Inverter 02 tripped offline at 16:00 on 07/05 and back online at 09:15 on 07/06 and inverter 02 again tripped offline from 07:30 to 19:15 on 07/07 and started production at 14:30 on 07/08
8.Inverter 27,30,9,5 tripped offline at 13:45 on 07/06 and back online at 14:30 on 07/08
9.Inverter 2 tripped offline at 06:30 to 16:00 on 07/09
10.Inverter 5 is tripped offline at 14:15 on 07/10 and back online at 11:45 on 07/15
11.Inverter 27 and 30 tripped offline at 12:30 on 07/14 and back online at 11:45 on 07/15
12. inverter 27 is tripped offline at 13:45 on 07/15 and back online at 10:30 on 07/18
13.Inverter 5 tripped offline at 12:45 on 07/16 and back online at 10:30 on 07/18
14. Site tripped offline at 15:15 on 07/16 and back online at 10:30 on 07/18
15.Inverter 2 tripped offline at 18:15 on 07/18 and back online at 13:15 on 07/19 and again started at 13:15 at 07/20
16.inverter 27  tripped offline at 13:15 on 07/19 and back online at 09:15 on 07/22
17.inverter 30  tripped offline at 13:15 on 07/19 and back online at 09:15 on 07/22
18.inv 2 tripped offline on 06:30 to 12:30 and again tripped offline at 15:15 on 07/21 and back online at 09:15 on 07/22 and again 09:30 to 18:30 on 07/23 and tripped at 07:00 to 19:00 on 07/24 and started late production at 10:30 on 07/25 and again tripped offline at 10:30 on 07/26 and back online at 14:30 on 07/30
19.Inverters 5 and 27 tripped offline at 12:00 on 07/27
20.Inverters 9 and 30 tripped offline at 13:30 on 07/28 and inverter 9 back online at 11:30 on 07/29 and inverter 30 back online at 13:45 on 07/30</t>
  </si>
  <si>
    <t>1.SR087099
2.SR087112
3.SR087092
4.SR087286
5.SR087355
6.SR087355
7.SR087399
8.SR087419
9.SR087506
10.SR087556
11.SR087664
12.SR087664
13.SR087779
14.SR087783
15.SR087913
16.SR087939
17.SR087940
18.SR087966
19.SR088301
20.SR088301</t>
  </si>
  <si>
    <t>1.Inverter 4 tripped offline at 6:40am and back online at 7:30 on 07/15.
2.inverter 2 is derating by 100 kW during high irradiance days from 07/26 and again from 07/31 its derating 40kW</t>
  </si>
  <si>
    <t>1.SR087670
2.SR088280</t>
  </si>
  <si>
    <t>1.Inverter 1 started production at 15:15 on 07/13 and tripped offline at 14:50 on 07/15 and back online at 16:40 on 07/17 and inverter 2 is kept offline at 16:30 on 07/17 and back online at 10:55 on 07/22</t>
  </si>
  <si>
    <t>1.SR087619</t>
  </si>
  <si>
    <t>1.inverter 1 is derating by approximately 56 kW,inverter 3 is derating by approximately 124 kW throght out the month
2. Meter was not communicating and it is RMA'd. Due to this reason we added actual energy taken from inverters</t>
  </si>
  <si>
    <t>1.SR087997
2.SR087044</t>
  </si>
  <si>
    <t>1.Site tripped offline at 20:25 on 07/24 and back online at 11:40 on 07/25</t>
  </si>
  <si>
    <t>1.SR088221</t>
  </si>
  <si>
    <t>1.Inverter 1 tripped offline at 08:55 to 10:10 on 07/25.</t>
  </si>
  <si>
    <t>1.SR088219</t>
  </si>
  <si>
    <t>1. Site tripped offline on 07/09 at 13:00 and back online at 16:15 on 07/09.
2. Inverter 2 was offline for whole month.</t>
  </si>
  <si>
    <t>1. SR087521
2. SR086333</t>
  </si>
  <si>
    <t>1. Site tripped offline on 07/09 at 13:00 and back online at 16:15 on 07/09.</t>
  </si>
  <si>
    <t>1. SR087522</t>
  </si>
  <si>
    <t>1. Site stopped communicating on 07/07  (Modem being replaced)</t>
  </si>
  <si>
    <t>1. SR086341</t>
  </si>
  <si>
    <t>1. Site is offline from 07/01 to 07/09 and again site tripped offline on 07/10 and back online on 07/13 and again site tripped offline on 07/15 and back online on o7/25</t>
  </si>
  <si>
    <t>1. SR087016</t>
  </si>
  <si>
    <t>1. Site tripped offline on 07/09 at 12:55 pm and back online at 16:10 on 07/09</t>
  </si>
  <si>
    <t>1. SR087519</t>
  </si>
  <si>
    <t>1. Site tripped offline on 07/09 at 12:55 pm and back online at 16:10 on 07/09
2. Inverter 1 started late on 07/06, 07/10, 07/16, 07/23</t>
  </si>
  <si>
    <t>1. SR087520
2. SR086353</t>
  </si>
  <si>
    <t>1. Site was tripped offline on 07/08 at 08:45am and back online at 10:10am on 07/08.
2. Site was tripped offline on 07/24 at 10:35am and back online at 15:30 on 07/24.
3. Inverter is offline since 07/13.</t>
  </si>
  <si>
    <t>1. SR087456
2. SR088112
3. SR087636</t>
  </si>
  <si>
    <t>1. Site was tripped offline on 07/24 at 10:35am and back online at 15:30 on 07/24.
2. Site was tripped offline on 07/08 at 08:45am and back online at 10:10am on 07/08.</t>
  </si>
  <si>
    <t>1. SR088110
2. 	SR087458</t>
  </si>
  <si>
    <t>1. Site was tripped offline on 07/08 at 08:45am and back online at 10:10am on 07/08.
2. Site was tripped offline on 07/24 at 10:35am and back online at 15:30 on 07/24.</t>
  </si>
  <si>
    <t>1. SR087457
2. 	SR088108</t>
  </si>
  <si>
    <t>1. Site tripped offline on 07/16 at 15: 15 and back online on 07/17 at 09:00 am</t>
  </si>
  <si>
    <t>1. SR087781</t>
  </si>
  <si>
    <t>1. Site is not communicating since 07/26 (sim card and/or cradlepoint are being RMA).</t>
  </si>
  <si>
    <t>1. SR087929</t>
  </si>
  <si>
    <t>1. Inverter 1 tripped offline at 11:30 from 07/02 and back online at 10:15  on 07/12.
2.Site tripped offline 16:00 from 07/13 and back online  at 14:5 on 07/14.
3.Inverter 1 tripped offline at 09:45 on 07/20 and back online at 09:15 on 07/21 and also again tripped offline  from 07/21 at 12:00 and back online on 07/23 at 16:45 again tripped offline at 17:30 on 07/23 back online on 07/24 at 13:30 and also again tripped offline from 07/24 at 18:15.
4.Site tripped offline at 06:45 on 07/24 and back back online at 13:15 on 07/24.</t>
  </si>
  <si>
    <t>1.	SR087050
2.SR087649
3.SR087951
4.SR088081</t>
  </si>
  <si>
    <t>1.Site tripped offline at 06:45 on 07/24 and back online at 13:15 on 07/24</t>
  </si>
  <si>
    <t>1.	SR088082</t>
  </si>
  <si>
    <t>1.Inverter 9 tripped offline at 15:00 on 07/17 and back online on 07/18 and also again offline at 06:30 on 07/20 and back online at 11:45 on same day</t>
  </si>
  <si>
    <t>1.Site tripped offline from 07/13 at 09:30.</t>
  </si>
  <si>
    <t>1.SR087641</t>
  </si>
  <si>
    <t>1. Inverter 8 was offline throught out the month
2.Inverter 13 is underperforming 4 kW from 07/03 by  compared to its peers</t>
  </si>
  <si>
    <t>1.SR082892
2.	SR088468</t>
  </si>
  <si>
    <t>1.Inverter 14 offline from 07/01 and back online from 07/29</t>
  </si>
  <si>
    <t>1.SR084581</t>
  </si>
  <si>
    <t>1.Inverter 16 offline from 07/01 and back online on 07/28 at 18:30 and also again tripped offline from 07/30 at 11:00
2. Inverter 17 is offline for whole month
3.Inverters 6 &amp; 10 have no communication for whole month and are offline
4. Inverter 1 is offline throughout the month.
5.Inverter 4 offline on 07/03 and back online on 07/04 and again offline from 07/05 back online from 07/10 and again offline from 07/11 back online at 16:00pm on 07/12 and again offline on 07/15 back online on 07/16 and having mutliple days offline
6.Inverter 15 tripped offline from 07/12 at 16:30 and back online on 07/14 again offline on 07/19 back online from 07/20 again tripped tripped offline from 07/24 at 14:45 back online from 07/26 at 16:30.
7.Inverter 2 was offline on 07/20 and back online from 07/21 again offline on 07/23
8.Inverter 3 was offline on 07/16 at 06:00 back online at 15:00 on same day</t>
  </si>
  <si>
    <t>1.SR087995
2.SR081250, SR084156
3.SR084156
4.SR083305
5.	SR087880
6.SR087632
7.SR087958
8.SR087745</t>
  </si>
  <si>
    <t>1.Inverter 11 tripped offline at 14:15 on 07/15 back online on 07/17 at 15:00</t>
  </si>
  <si>
    <t>1.SR087738</t>
  </si>
  <si>
    <t xml:space="preserve">1.Inverter 9 is offline through out the month
2.nverter 17 underperforming by 4 kW since 5/3/24 resolved from 07/15
3.Inverter 2 is down with ~34kW through out the month
</t>
  </si>
  <si>
    <t>1.SR083861
2.SR084563
3.SR083763</t>
  </si>
  <si>
    <t>1.Site was taken offline by EV solar on 07/23 09:50 to 13:00</t>
  </si>
  <si>
    <t>1.SR088011</t>
  </si>
  <si>
    <t>1.Site was taken offline by EV solar on 07/2 08:50 to 11:40.
2.Site was taken offline by Ev solar  on 07/19 09:45 to 10:40
3.POA pyranometer dropped out from 7/22 at 2:40pm.</t>
  </si>
  <si>
    <t>1.SR087233
2.SR087233
3.SR088232</t>
  </si>
  <si>
    <t>1.Site was offline from 07/15 at 11:24 back online from 07/16 at 12:57.
2.Site was offline from 07/24 at 12:07 due to utility outage through out the month</t>
  </si>
  <si>
    <t>1.SR087750
2.	SR088115</t>
  </si>
  <si>
    <t>1.Site was offline on 07/01 at 05:45 and back online at 16:45 and again offline on 07/2 at 05:45 and back online at 09:45.
2.Site was offline due to utility outage on 07/6 at 07:00 back online on 07/7 at 09:45
3.Inverter offline at 06:00 on 7/10 and back online at 10:00 and again offline at 06:00 on 07/11 back online at 09:45 again inverter tripped offline at 12:15 on 07/16 back online at 12:45.
4.Inverter tripped offline on 07/22 at 10:30 and back online at 14:45 again tripped offline 10:00 back online at 13:45
5.Site was taken offline by Engineers on 07/24 at 10:00 and back online at 13:15 on 07/24
6.Site was tripped offline at 12:00 on 07/25 and back online on 07/26
7.Inverter tripped offline at 09:15 on 7/27 and back online 16:45 on same day</t>
  </si>
  <si>
    <t>1.SR087159
2.SR087403
3.	SR087454
4.SR088010
5.	SR088127
7.SR088294</t>
  </si>
  <si>
    <t>1. Site tripped offline at 12:20 on 06/30 and back online at 05:35  on 07/01
2.Site was offline from 07/28 at 13:10 due to utility outage and back online at 13:50 on 07/29.</t>
  </si>
  <si>
    <t>1.SR087142
2.SR088319</t>
  </si>
  <si>
    <t>1.Site was tripped offline at 09:07 on 07/15 and back online on 07/16 at 16:50</t>
  </si>
  <si>
    <t>1.SR087705</t>
  </si>
  <si>
    <t>1.Inverter tripped offline from 08:30 to 12:30 on 07/03 while technician onsite.
2.Inverter tripped offline from 12:00 to 13:55 on 07/06.
3.Inverter tripped offline from 10:00 to 16:45 on 07/09 while technician onsite again Inverter tripped offline from 11:05 to 12:55 and 16:40 to 18:00 on 7/11 while technician onsite
4.Inverter 2 offline from 7/1 to 7/11 at 12:45 and back online from 12:45 to 16:15 on 7/11 again inverter offline from 7/11 at 16:15 back online at 14:05 on 7/13
5.Inverter tripped offline at 08:50 on 7/14 to 07:30 on 7/15
6.Site tripped offline at 09:15 on 07/15 and came back online at 17:15 on 7/16 
7.Inverter 1 having multiple trippings from 7/18 later offline at 16:50 and reporting 100kW upto 10:00 from 7/26 through out the month
8.Inverter 2 is offline even the has reenergize at 09:15 from 7/15 to through out the month.</t>
  </si>
  <si>
    <t>1.SR086489
2.SR087415
3.SR085395
4.	SR085395
5.SR087669
6.	SR087700
7.	SR087594
8.SR087594</t>
  </si>
  <si>
    <t>1.Site tripped offline at 11:45AM on 06/30 and back online at 12:30PM on 07/02</t>
  </si>
  <si>
    <t>1.SR087143</t>
  </si>
  <si>
    <t>1.Inverter tripped offline at 17:20 on 06/30 and back online at 06:00 on 07/03
2.Inverter started late at 09:00 on 7/5 again tripped offline from 13:35 to 14:35
3.Inverter tripped offline at 12:40 on 7/6 back online at 08:40 on 7/7 again tripped offline at 13:00 on 7/7  back online at 06:40 on 7/8 again tripped offline 16:00 on 7/8 back online at 06:55 0n 7/9 and again tripped offline at 11:05 on 7/9 back online at 07:05 on 7/10
4.Site tripped offline at 12:20 on 7/10 back online at 11:00 on 7/11
5.Site tripped offline from 15:45 to 17:10 on 7/16</t>
  </si>
  <si>
    <t>1.SR087084
2.	SR087382
3.	SR087417
4.SR087555
5.	SR087785</t>
  </si>
  <si>
    <t xml:space="preserve">1. Inverter 1 tripped offfline  from 7/17 at 16:00 and back online at 13:28 on 7/18 
2. Inverter was offline on multiple days when technicians on site for type B maintenance inspection </t>
  </si>
  <si>
    <t>1.SR087857
2.SR086070</t>
  </si>
  <si>
    <t>1. Inverter started when it was remotely reset at 7:35AM
2. Inverter was offline till 1PM on 07/28
3. Inverter was offline till 1PM on 07/30</t>
  </si>
  <si>
    <t>1. SR087635
2. SR088310
3. SR088412</t>
  </si>
  <si>
    <t>1.Inverter 2 tripped offline from 7/14 at 15:10 and back online at 16:00 on 7/15</t>
  </si>
  <si>
    <t>1.SR087663</t>
  </si>
  <si>
    <t>1.Site tripped offline at 14:45 on 7/11 back online at 09:15 on 7/12</t>
  </si>
  <si>
    <t>1.	SR087591</t>
  </si>
  <si>
    <t>1. Site was offline from 8:15am to 8:30am on 07/08
2. Inverter tripped offline at 1:30pm on 07/15 due to ground fault and back online at 6am on 07/16</t>
  </si>
  <si>
    <t>1. SR087452
2. SR087732</t>
  </si>
  <si>
    <t>August Actual v. Expected</t>
  </si>
  <si>
    <t>August Actual v. Forecasted</t>
  </si>
  <si>
    <t>August Availability</t>
  </si>
  <si>
    <t>1.Inverter 1 is derating possible string down</t>
  </si>
  <si>
    <t>1.SR089331</t>
  </si>
  <si>
    <t>1.Site tripped offline at 11:45 on 8/4 and back online 8/5
2.Meter dropped in production to 50% at 13:00 on 8/16 and resolved on 8/17</t>
  </si>
  <si>
    <t>1.	SR087429
2.	SR089181</t>
  </si>
  <si>
    <t>1.Inverter 2 is offline whole month</t>
  </si>
  <si>
    <t>1.SR082252</t>
  </si>
  <si>
    <t>1.	SR086614</t>
  </si>
  <si>
    <t>1. Inverter 2 is derating by about 90kW</t>
  </si>
  <si>
    <t>1.	SR086766,SR088661</t>
  </si>
  <si>
    <t>1.The meters are mislabelled. Building 1 &amp; 2 meter is capturing about half of what it should be - likely inverter(s) offline. Building 5 &amp; 6 meter has an inverter that is tripping on and off in the morning and then remaining offline the rest of the day. Building 8 &amp; 9 trips on and off in the morning and barely runs the rest of the day.</t>
  </si>
  <si>
    <t>1.SR089631</t>
  </si>
  <si>
    <t>1.Weather station 2 reporting erroneous value.</t>
  </si>
  <si>
    <t>1.SR085322</t>
  </si>
  <si>
    <t>1.Inverter 2 tripped offline from 7/10 and back online on 8/8</t>
  </si>
  <si>
    <t>1.SR087554</t>
  </si>
  <si>
    <t>1.Site was offline since 7/5 to end of the month</t>
  </si>
  <si>
    <t>1.SR087393</t>
  </si>
  <si>
    <t>1.Site offline at 14:45 on 8/27 and back online at 5:15Am on 8/28</t>
  </si>
  <si>
    <t>1.	SR089636</t>
  </si>
  <si>
    <t>1.Site offline 02:45Am on 8/6 and back online at 15:45pm on 8/7 again offline at 11:30 on 8/8 back online at 13:00 
2.Site tripped offline from 8/9 at 13:45 and back online on 8/13 at 7:45Am
3.Site offline at 3:00Am on 8/14 and back online at 12:45pm on 8/14 again site offline on 8/15 back online 7:30AM on 8/16 again site tripped offline at 17:15pm on8/16 back online on 8/20 at 07:00AM
4.Site offline at 16:15 from 8/22 and back online at 07:30AM on 8/26
5.Site offline at 10:15 on 8/27 back online 8/28 at 07:45AM
6.Site offline at 16:30 from 8/29 
7.Inverter 3 right unit is derating by 12 kW and is reporting a fan fault.</t>
  </si>
  <si>
    <t>1.	SR088670
2.SR088853
3.SR089007
4.SR089443
5.	SR089622
6.SR089750
7.SR089671</t>
  </si>
  <si>
    <t>1.Inverter 1 tripped offline from 7/18 whole month</t>
  </si>
  <si>
    <t>1.	SR087903</t>
  </si>
  <si>
    <t>1. Inverter 2 left unit is offline from 08/04 and back online on 8/8 at 14:15</t>
  </si>
  <si>
    <t>1.SR088594</t>
  </si>
  <si>
    <t>1.Inverter 1 right unit is offline from 8/2 back online on 8/6</t>
  </si>
  <si>
    <t>1.SR088552</t>
  </si>
  <si>
    <t>1.Inverter 2 offline from 8/27 back online on 8/30</t>
  </si>
  <si>
    <t>1.SR089588</t>
  </si>
  <si>
    <t>1.Inverter 1 on PT (inverter 2 on SE) left unit tripped offline from 8/28 at 11:45</t>
  </si>
  <si>
    <t>1.SR089666</t>
  </si>
  <si>
    <t>1.Inverter 2 tripped offline at 13:!5 on 8/3 and back online on 8/4 at 14:15 again inverter offline from 06:00Am to 11:15Am on 8/5 again inverter offline from 8/7 back online on 8/9
2.Inverter 2 offline being RMAD from 8/18 back online on 8/28
3.Inverter 3 tripped offline at 13:15 from 8/3 and back online on 8/19</t>
  </si>
  <si>
    <t>1.SR088604
2.SR089215
3.SR088571</t>
  </si>
  <si>
    <t>1. Inverter 2 primary unit tripped offline from 8/29.</t>
  </si>
  <si>
    <t>1.	SR089816</t>
  </si>
  <si>
    <t>1. Inverter 5 left unit having multiple trippings through out the month</t>
  </si>
  <si>
    <t>1.	SR088906</t>
  </si>
  <si>
    <t>1.Inverter 3 center unit offline from 7/25nad back online on 8/30</t>
  </si>
  <si>
    <t>1.SR088249</t>
  </si>
  <si>
    <t>1.Inverter back online on 8/13 at 13:45</t>
  </si>
  <si>
    <t>1.SR086329</t>
  </si>
  <si>
    <t>1.Inverter 2 left unit tripped offline at 14:14 on 08/10 back online on 8/11 and again tripped offline on 8/15 at 12:15 back online on 8/16.</t>
  </si>
  <si>
    <t>1.SR088889</t>
  </si>
  <si>
    <t>1.Site back online on 8/6 at 09:00AM
2.Site offline from 8/14 and back online at 11:00 on 8/16</t>
  </si>
  <si>
    <t>1.SR086467
2.SR089013</t>
  </si>
  <si>
    <t>1.Inverter 2 is underperforming since 7/23. Module is likely offline and back online on 8/28.</t>
  </si>
  <si>
    <t>1.SR088415</t>
  </si>
  <si>
    <t>1.Weather station not communicating from 4/27</t>
  </si>
  <si>
    <t>1.Inverter 27 tripped offline at 18:30 on 08/04 and back online on 8/6 at 16:05PM
2.Inverter 12 is underperforming by 4 Kw from 8/12 resolved on 8/14
3.Inverter 6 is derating at 40kW since 08/25 and resolved on 8/28.</t>
  </si>
  <si>
    <t>1.	SR088633
2.	SR088933
3.	SR089562</t>
  </si>
  <si>
    <t>1.Inverter 1 tripped offline at 17:05 on 08/10 and back online on 8/12 
2. Inverter 2 offline from 8/12 back online on 8/14 again iverter tripped offline on 8/15 back online on 8/16 at 14:55</t>
  </si>
  <si>
    <t>1.	SR088891
2.SR089113</t>
  </si>
  <si>
    <t>1.Inverter 1 is derating approximately 20kW compared to its peers since 08/22 resolved on 8/28
2.Weather station not communicating after 5/10 and back online on 8/29 at 16:15PM</t>
  </si>
  <si>
    <t>1.SR089487
2.SR085363</t>
  </si>
  <si>
    <t>1. Site tripped offline at 16:15 on 8/12 back online at 18:05 same day</t>
  </si>
  <si>
    <t>1.SR088959</t>
  </si>
  <si>
    <t>1.Inverter 1 back online on 8/10
2.Inverter 2 tripped offline at 10:00 on 8/3 back online on 8/10
3. Site tripped offline at 16:15 on 8/12 and back online at 18:05 same day
4.Meter dropping to zero and A phase voltages dropped from 497.25V to 287.27V on 8/25</t>
  </si>
  <si>
    <t>1.SR087545
2.SR088578
3.SR088960
4.	SR089510</t>
  </si>
  <si>
    <t>1.The POA sensors have been getting stuck and providing invalid data from 8/23
2.Inverter 1 tripped offline at 07:45 on 8/27 back online at 09:50 8/29</t>
  </si>
  <si>
    <t>1.	SR089484
2.SR089595</t>
  </si>
  <si>
    <t xml:space="preserve"> -   </t>
  </si>
  <si>
    <t>1. POA sensor was not communicated for whole month.</t>
  </si>
  <si>
    <t>1. 	SR089394</t>
  </si>
  <si>
    <t>1. Site was offline from 9:45 am to 1:55 pm 08/08.
2. Site was offline at 12:00pm to 03:00pm on 08/14.
3. Site was offline at 11:00am to 12:00pm on 08/30.</t>
  </si>
  <si>
    <t>1. SR088761
2. SR089024
3. SR089761</t>
  </si>
  <si>
    <t>1. Site was offline from 06:00pm on 08/27 to 10:00pm on 08/27
2. Inverter 2 tripped offline at 14:50 on 08/09 and back online on 07:00 on 08/10</t>
  </si>
  <si>
    <t>1. SR089640
2. SR088860</t>
  </si>
  <si>
    <t>1. Meter 1 Nport being RMA.</t>
  </si>
  <si>
    <t>1. SR089437</t>
  </si>
  <si>
    <t>1. Inverters 1 &amp; 2 offline from 07/24 to 08/15 mid-day
2. Inverter 3 offline from 3:55pm to 5pm on 08/19</t>
  </si>
  <si>
    <t>1. SR088119, SR088827
2. SR089273</t>
  </si>
  <si>
    <t>1. Inverter 9, 27, 30 were tripped offline on 08/01 at 13:00 and back online on 08/05  
Inverters 27,30 were tripped offline on 12:45 on 08/07 and back online on 08/16 at 09:45am and again  inverters 27,30 were tripped offline on 08/16 at 12:45pm and back online on 08/20
Inverters 27,30 were tripped offline on 08/22 at 14:45 and back online on 08/26 
Inverter 27 and 30 again tripped offline on 08/26 at 12:15 and again inverters back online on 08/29
Inverter 9 was tripped offline on 08/10 at 15:45 and back online on 08/16 at 09:45am.
Inverter 9 tripped offline on 08/23 at 14:15 and inverter 9 back online on 08/26.
Inverter 5 tripped offline on 08/10 and back online on 08/16 
Inverter 5 tripped offline on 08/24 and back online on 08/26 
Inverter 5 was tripped offline on 08/26 at 15:45 and back online on 08/29 at 11:30am
2. Inverter 2 was offline from 08/01 and back online 08/16 at 09:45am and again inverter 2 tripped offline on 08/23 at 13:00.</t>
  </si>
  <si>
    <t>1. SR089442, 
SR088301,
SR089495
2. SR087966</t>
  </si>
  <si>
    <t>1. Site offline from 2:50pm of 08/14 to 11:30Am of 08/15
2. Inverter 4 had faced multiple trip events on 08/19 &amp; 08/20
3. Inverters 3 &amp; 4 are offline from 08/27</t>
  </si>
  <si>
    <t>1. SR089046
2. SR089266
3. SR089590</t>
  </si>
  <si>
    <t>1. All inverters were offline from 10:10AM to 3:40PM on 08/21</t>
  </si>
  <si>
    <t>1. SR087997</t>
  </si>
  <si>
    <t>1. Site tripped offline at 2:30pm on 08/09 and back online at 6:10am on 08/10
2. Site was offline from 1:10pm to 3:30pm on 08/25
3. Site offline from 6:40pm of 08/29 to 3AM of 08/30</t>
  </si>
  <si>
    <t>1. SR088846
2. SR089512
3. SR089741</t>
  </si>
  <si>
    <t>1. Site was offline from 1:10pm to 3:30pm on 08/25</t>
  </si>
  <si>
    <t>1. SR089513</t>
  </si>
  <si>
    <t>1. Inverter 2 was offline till 17:30 of 08/14</t>
  </si>
  <si>
    <t>1. SR088715</t>
  </si>
  <si>
    <t>1. Site offline till 13:30 of 08/08
2. Site offline from 19:00 of 08/14 to 15:15 of 08/15</t>
  </si>
  <si>
    <t>1. SR087636
2. SR089098</t>
  </si>
  <si>
    <t>1. Site offline from 13:30 on 08/09 to 7:35AM on 08/10</t>
  </si>
  <si>
    <t>1. SR088844</t>
  </si>
  <si>
    <t xml:space="preserve">1. Inverter tripped offline from 7:10 AM on 08/27 and being in offline from then after producing a while on morning </t>
  </si>
  <si>
    <t>1. SR089597</t>
  </si>
  <si>
    <t xml:space="preserve">1.Inverter 1 tripped offline on 07/24 at 18:00 and back online on 08/07. 
  Inverter 1 tripped offline on 08/14 at 17:00 and back online on 08/16 at 08/09    Inverter 1 tripped offline on 08/18 and back online at 12:00 on 08/19. </t>
  </si>
  <si>
    <t>1. SR087951</t>
  </si>
  <si>
    <t xml:space="preserve">1. Site tripped offline on 08/08 at 17:00 and back online on 08/09 at 09:00. </t>
  </si>
  <si>
    <t>1.SR088808</t>
  </si>
  <si>
    <t xml:space="preserve">1. Inverter 11 tripped offline on 08/15 at 16:00 and back online on 08/16 at 14:00. 
2. Site lost communciation from 07/31 to 08/08 making it impossible to confirm individual production on a daily basis. However, the site remained online throughout the communication failure 
3. Inverter 9 tripped offline on 08/17 and back online on 08/20 and again tripped offline at 16:00 on a same day and back online on 08/28 at 20:22. </t>
  </si>
  <si>
    <t>1.SR089093
2.SR088520
3. SR089196</t>
  </si>
  <si>
    <t xml:space="preserve">1.Site is offline throught the month. </t>
  </si>
  <si>
    <t xml:space="preserve">1.Site is offline on 08/15 and back online at 16:15 on same day. </t>
  </si>
  <si>
    <t>1.SR089099</t>
  </si>
  <si>
    <t xml:space="preserve">1. Site lost communciation on 08/01 at 14:00 and regained communication on 08/06 at 13:00. Due to the communication outage, unable to verify the daily production of individual inverters.
2. Inverter 20 tripped offline at 13:00 and ongoing issue. 
3. Inverter started derating on 08/02. 
4. Inverter 25 tripped offline on 08/21 at 15:00 and ongoing issue till date. 
5. Inverter 18 is offline on 08/23 and its a ongloing issue. </t>
  </si>
  <si>
    <t>1. SR088514
2.SR088885
3.SR088530
4.SR089384
5.SR089453</t>
  </si>
  <si>
    <t xml:space="preserve">1. Inverter 3 is offline on 08/02 and back online at 08/04. 
2.Inverter 4 is offline on 08/04 while technician is on site and back online at 15:30 and again offline on 08/05, 08/06, 08/11, 08/12, 08/19, 08/24, 08/28 and on 08/23 started online at 15:30. 
3.Inverter 10 tripped offline at 16:30 on 08/03 and back online on 08/06 at 08/45. 
4. Inverter 16 tripped offline on 08/04 at 09:00 and back online on 08/06 at 08:00. Even tripeed on 08/07 and 08/08 at EOD and contninued being offline through out the month. 
5. Inverter 6 tripped offline on 08/04 at and back online on a same day and again offline on 08/21. 
6. Inverter 17 tripped offline on 08/08 and back online at 08/17 and again triiped offline on 08/22 and being offline through out the month. 
7. Inverter 15  offline 08/09 and back online at 14:00 on the same day. And tripped offline on 08/25 and back online next day. again offline on 08/31. 
8. Inverter 1 is offline on 08/01, 08/24, 08/29. 
9. Site is offline from 08/14 at 03:00 to 08/15 at 13:00 and again offline on 08/16 and back online on 08/17.  
10 Inverter 7 tripped offline on 08/26 at continued through out the day. </t>
  </si>
  <si>
    <t>1.SR087745
2.SR087880, SR088869
3. SR088580
4. SR087995
5. SR088582
6. SR088811
7. SR088828
8.SR088868
9. SR089008
10. SR089548</t>
  </si>
  <si>
    <t xml:space="preserve">1. Inverter 2 tripped offline on08/01, 08/02, 08/03, 08/04, 08/05, 08/10 &amp; 08/24, 
2. Inverter 9 is offline through out the month. 
3.Inverter 2 is down with ~34kW through out the month. </t>
  </si>
  <si>
    <t>1. SR088872
2. SR083861
3.SR083763</t>
  </si>
  <si>
    <t>1.  Inverter 2 tripped offline at 16:15 on 08/15 and back online on 08/19 at 12:00pm</t>
  </si>
  <si>
    <t>1. SR089132</t>
  </si>
  <si>
    <t xml:space="preserve">1. Inverter 5 back online  08/28 at 13:00 which was offline from  06/18 at 16:45. </t>
  </si>
  <si>
    <t>1. SR086414</t>
  </si>
  <si>
    <t>1. POA pyranometer dropped out from 7/22 at 2:40pm</t>
  </si>
  <si>
    <t>1. SR088232</t>
  </si>
  <si>
    <t>1. Site was offline from 07/24 12PM to 4:15PM of 08/01</t>
  </si>
  <si>
    <t>1. SR088115</t>
  </si>
  <si>
    <t>1. The site was offline for most of the days in the month.</t>
  </si>
  <si>
    <t>1. SR089794, SR089578, SR089349, SR089100, SR089088, SR088865, SR088814, SR088550, SR088525, SR088421</t>
  </si>
  <si>
    <t>1. Inverter tripped offline at 1:10 PM on 08/04 and back online at 10AM on 08/16</t>
  </si>
  <si>
    <t>1. SR088586</t>
  </si>
  <si>
    <t>1. Inverter 2 offline on 08/08 morning and back online at 11AM after remotely reset
2. Inverter 1 offline from 08/17 to 14:00 of 08/19 and again offlin from 10:15AM of 08/23 to 08/29 with multiple trip events faced on 08/27 and 08/28
3. Inverter 2 tripped offline on 08/21 at 18:00 and back online at 8:30Am on 08/22
4. Inverter 2 offline till 9:35AM on 08/25</t>
  </si>
  <si>
    <t>1. SR088746
2. SR089190, SR089191, SR089214
3. SR089386
4. SR089506</t>
  </si>
  <si>
    <t>1. Site was offline from 08/07 12pm to 14:15 of 08/16</t>
  </si>
  <si>
    <t>1. SR088738</t>
  </si>
  <si>
    <t xml:space="preserve">1. Site tripped offline on 08/08 at 08:00 and back online on 08/09 at 08:00. 
2. Site tripped offline on 08/19 at 07:00 and back online on 08/20 at 13:00. 
3. Site tripped offline on 08/21 at 08:00 and back online on same day at 14:00. </t>
  </si>
  <si>
    <t>1.SR088755
2.SR089244
3.SR089366</t>
  </si>
  <si>
    <t>1. Inverter tripped offline at 05:10PM on 08/03 due to AC breaker switch Open and back online at 10AM on 08/04
2. Inverter offline till 10:20AM on 08/17 and again offline from morning to 12pm on 08/18; Again the inverter offline from 7:20AM to 9:40AM on 08/22</t>
  </si>
  <si>
    <t>1. SR088576
2. SR089192</t>
  </si>
  <si>
    <t>1. Site tripped offline on 08/13 at 16:30 pm and back online 17:30 on 08/13 after the site was back online inverter 1 was offline and again the site was tripped offline on 08/14 and back online on 08/15.
2. POA sensor is not communicating.</t>
  </si>
  <si>
    <t>1. SR088998
2. SR086650</t>
  </si>
  <si>
    <t>1. Inverter tripped offline on 08/09 at 15:55 and back online on 08/10 at 07:00am 
2.  Combiners 2-01, 2-12, and 2-13 are underproduced from 08/01 and back to expected performance on 08/28</t>
  </si>
  <si>
    <t>1. SR088859
2. SR089480</t>
  </si>
  <si>
    <t>1. Inverter tripped offline on 08/19 at 01:45pm and back online on 08/20 at 08:00am
2. Inverter tripped offline on 08/09 at 03:20pm and back online at 08:50am on 08/11</t>
  </si>
  <si>
    <t>1. SR088870
2. 	SR088870</t>
  </si>
  <si>
    <t>1. Inverter started late at 12:00 pm on 08/11</t>
  </si>
  <si>
    <t>1. SR088900</t>
  </si>
  <si>
    <t>1. Site tripped offline on 08/18 and back online on 08/19 at 10:00am
2. Site tripped offline on 08/11 at 16:00 and back online at 18:20 on 08/11.</t>
  </si>
  <si>
    <t>1. SR089212
2. 	SR088913</t>
  </si>
  <si>
    <t>1. Site is offline since 08/10 to 08/28.</t>
  </si>
  <si>
    <t>1. SR088873</t>
  </si>
  <si>
    <t>1. Inverter is offline from 08:32am to 09:38am on 08/08</t>
  </si>
  <si>
    <t>1. 	SR088751</t>
  </si>
  <si>
    <t>1. Inverter 1.4 is offline from 10:30am to 15:30 on 08/21.</t>
  </si>
  <si>
    <t>1. SR089377</t>
  </si>
  <si>
    <t>September Actual v. Expected</t>
  </si>
  <si>
    <t>September Actual v. Forecasted</t>
  </si>
  <si>
    <t>September Availability</t>
  </si>
  <si>
    <t>1. Site tripped offline at 13:45 on 09/28 and back online at 07:00AM on 09/29.</t>
  </si>
  <si>
    <t>1. SR091355</t>
  </si>
  <si>
    <t>1. 8 inverters are offline and need to replace.</t>
  </si>
  <si>
    <t>1. SR090013</t>
  </si>
  <si>
    <t>1.Inverter 3 tripped offline on 09/19 at 09:45 and offline through out the month.</t>
  </si>
  <si>
    <t>1.SR090664</t>
  </si>
  <si>
    <t>1.Discrepancies between the Pyranometer and Virtual Irradiance POA Sensor, and the expected energy curve.</t>
  </si>
  <si>
    <t>1.SR090666</t>
  </si>
  <si>
    <t>1. Site tripped offline at 12:45pm on 09/12 and back online at 9:45am on 09/23.</t>
  </si>
  <si>
    <t>1.SR089821</t>
  </si>
  <si>
    <t>1. Ongoing construction of array on the roof. 70 percent of the array is offline for construction.</t>
  </si>
  <si>
    <t>1.Site is back online from 09/13 at 11:15.</t>
  </si>
  <si>
    <t>1.Site is back online from 09/04 at 07:30 again tripped offline at 16:45 on 09/04 and again back online on 09/06 at 08:45 again tripped offline at 06:45 on 09/08 and again back online on 09/09 at 11:45 and again offline and back online on 09/10 at 13:15 again offline and back online on 09/12 at 13:45.
2.Site tripped offline on 09/13 at 17:45and back online on 09/16 at 09:30 and again tripped offline on 09/17 at 10:15.
3.Site tripped offline on 09/20 at 08:45 to 11:00 and again tripped offline on 09/21 at 14:15 and back online at 07:30 on 09/23.
4.Site tripped offline at 12:30 on 09/25 and back online at 08:30 on 09/26.
5.Site tripped offline at 14:45 on 09/29 and back online at 12:45 on 09/30.</t>
  </si>
  <si>
    <t>1.SR089750
2.SR090386,SR090395,SR090656
3.SR090953
4.SR091190
5.SR091474</t>
  </si>
  <si>
    <t>1.Inverter 1 is back online  at 13:00 on 09/11 but center and left units kept offline.
2.Inverter 1 center and left units are  back online  at 11:00 on 09/30.</t>
  </si>
  <si>
    <t>1.SR087903
2.SR090952</t>
  </si>
  <si>
    <t xml:space="preserve">1. Inverter 1 right unit tripped offline at 16:45 on 09/01/2024 , primary unit also tripped offline back online at 8:32 on 09/05/2024.
</t>
  </si>
  <si>
    <t>1.SR089831</t>
  </si>
  <si>
    <t>1.Inverter 2 has been derating its peers during high irradiance days.</t>
  </si>
  <si>
    <t>1.SR090665,SR091099</t>
  </si>
  <si>
    <t>1.Inverter 1 on PT (inverter 2 on SE) left unit tripped offline from 8/28 at 11:45 through out the month.</t>
  </si>
  <si>
    <t>1.Inverter 2 is offline on 09/26 amd back online on 13:15 on 09/27.</t>
  </si>
  <si>
    <t>1.SR090089</t>
  </si>
  <si>
    <t>1. Inverters tripped offline at 12:15 and back online at 13:30 on 09/20.</t>
  </si>
  <si>
    <t>1.SR090999</t>
  </si>
  <si>
    <t>1. Inverters 1, 2, and 5 are underperforming about 190kW.
2.Inverter 5 tripped offline on 09/28 at 09:15 and back onlin at 07:45 on 09/30.</t>
  </si>
  <si>
    <t>1.SR091296
2.SR091341</t>
  </si>
  <si>
    <t>1. Inverter 29 tripped offline at 09:40AM and back online at 1:25PM on 09/10.
2. Inverter 33 is offline from 10:20AM to 1:25PM on 09/10.
3. Inverter 24 tripped offline at 02:05PM on 09/20 and back online at 11:15AM on 09/23.</t>
  </si>
  <si>
    <t>1. SR090098
2. SR090098, SR090191
3. SR091006</t>
  </si>
  <si>
    <t>1. CB 3 string 4 is offline, CB 6 string 11 is offline, and CB 7 string 1&amp;8 are offline throughout the month and back online on 09/27.</t>
  </si>
  <si>
    <t>1. SR091301</t>
  </si>
  <si>
    <t>1. CB 7 string 11 is offline, and CB 8 string 4, 6, 11, &amp; 12 are offline throughout the month and back online on 09/27.</t>
  </si>
  <si>
    <t>1. SR091302</t>
  </si>
  <si>
    <t>1. Inverter 1 tripped from 07:35AM to 13:05  on 09/19 and again inverter 1 is offline from 09/20 and back online at 14:25 on 09/26.
2. Inverter 2 offline from 07:30AM to 17:45 on 09/30.
3. The POA sensors have been getting stuck and providing invalid data from 08/22 to 09/19.</t>
  </si>
  <si>
    <t>1. SR090778
2. SR091485
3. SR089484, SR090677</t>
  </si>
  <si>
    <t>1. Meter is not communicating from 09/21. 
2. CB1 string 1&amp;3, CB9 string 5, CB11 string 4&amp;6 are offline from 09/21.</t>
  </si>
  <si>
    <t>1. SR091068
2. SR091304</t>
  </si>
  <si>
    <t>1. Due to technician dispatch Inverter-1 and 4 tripped offline at 12:00 PM to 13:00 on 09/05.
2. Site stopped communicating from 09/11 at 8:50.
3. Inverter-2 tripped offline at 10:20AM on 09/14 and back online at 13:10 on 09/15.
4.Inverter-2 tripped offline at 08:15AM on 09/27.</t>
  </si>
  <si>
    <t>1.SR089986
2.SR090280
3.SR090423
4.SR091326</t>
  </si>
  <si>
    <t xml:space="preserve">1. Site tripped offline at 08:10AM to 11:15 on 09/03.
2. Site tripped offline at 08:50AM to 17:10 on 09/09.
</t>
  </si>
  <si>
    <t>1.SR089847
2.SR090117</t>
  </si>
  <si>
    <t>1. Inverter 2 tripped offline at 09:05 on 09/08 and back online at 10:35AM on 09/18.</t>
  </si>
  <si>
    <t>1. SR090103</t>
  </si>
  <si>
    <t>1. Inverter 5, 27 and 30 tripped offline at 14:15 on 09/01 and back online at 11:00AM on 09/03.
2. Inverter 24 is derating approximately 50kW from 09/01 and back to normal operation on 09/27.
3. Inverter 9 offline on 09/03 to 09/05, 09/10 to 09/12 
4. Inverter 30 offline from 09/04 to 09/12, 09/14 to 09/16, 09/19 to 09/23, 09/27 to 09/29.
5. Inverter 5 tripped offline from 09/02, 09/03, 09/05, 09/11, 09/12,09/13 to 09/16, 09/20 to 09/23.
6. Inverter 27 is offline from 09/01 to 09/03, 09/10 to 09/12, 09/15 to 09/23, 09/27 to 09/30.
7. Inverters 6, 16, 17 &amp; 18 are offline from 09/28 and back online 09/30.</t>
  </si>
  <si>
    <t>1. SR089806
2. SR089808
3. SR089903, 	SR090229, SR090469, SR090670, SR091330, SR091506
4. SR089940, SR090082, SR090469, SR090810, SR091073, SR091330
5. SR090015, SR090302, SR090393, SR091003
6. SR090469, SR090670, SR091324, SR091506
7. SR091346</t>
  </si>
  <si>
    <t>1. Inverter 1 is offline from 07:00AM to 10:30AM  on 09/27.</t>
  </si>
  <si>
    <t>1. SR091311</t>
  </si>
  <si>
    <t>1. Inverter 3 is offline from 09/05 and back online on 09/10.
2. Inverter 2 is offline from 09/10 and back online  on 09/12.</t>
  </si>
  <si>
    <t>1. SR089999
2. SR090155</t>
  </si>
  <si>
    <t>1. Site tripped offline from 08:00AM to 16:20 on 09/15.
2. Site tripped offline at 14:00 on 09/23 and back online at 13:25 on 09/24.</t>
  </si>
  <si>
    <t>1. SR090496
2. SR091100</t>
  </si>
  <si>
    <t xml:space="preserve"> 1. Inverter 1 is derating approximately 1000kw on 09/23.
 2. Inverter 1 started late at 12:20PM on 09/26.</t>
  </si>
  <si>
    <t>1.SR091153
2.SR091283</t>
  </si>
  <si>
    <t>1. Site tripped offline from 13:25 to 18:15 on 09/02.</t>
  </si>
  <si>
    <t>1.SR089824</t>
  </si>
  <si>
    <t>1. Inverter 1 tripped offline at 07:00AM on 08/27 and back online at 11:50AM on 09/27.
2. Combiner box 2 and 10 are offline on 09/25 and back online on 09/26.
3. Inverter is power limited to 1836kw from 09/27 and back to production on  09/30.</t>
  </si>
  <si>
    <t>1. SR089597
2. SR091169
3. SR091318</t>
  </si>
  <si>
    <t>1. Site is offline from 11:15AM  to 14:45 on 09/01 .</t>
  </si>
  <si>
    <t>1. SR089807</t>
  </si>
  <si>
    <t>1. Inverter 9 will remian offline until comms card arrives.</t>
  </si>
  <si>
    <t>1. SR090072</t>
  </si>
  <si>
    <t>1. Site is offline on 09/25 and back online at 11:59AM on 09/26.
2. The POA is reading 4.46 kW/m^2</t>
  </si>
  <si>
    <t>1. SR091181
2. SR091182</t>
  </si>
  <si>
    <t>1.SR08761</t>
  </si>
  <si>
    <t>1. Site has expired on AlsoEnergy.</t>
  </si>
  <si>
    <t>1. Inverter 15 is offline from 09/02 and back online on 09/26.</t>
  </si>
  <si>
    <t>1. SR089830</t>
  </si>
  <si>
    <t>1. Inverter 10 is offline from 09/03 and back online at 08:45AM on 09/26.
2. Inverter 1 tripped offline at 16:45 and back online at 07:00AM on 09/06.
3. Inverter 5 tripped offline at 13:30 on 09/08 and back online at 08:45AM on 09/26.
4. Inverter 16 is offline from 08/08 and back online on 09/26.</t>
  </si>
  <si>
    <t>1. SR089846
2. SR089992
3. SR090101
4. SR087995, SR090598</t>
  </si>
  <si>
    <t>1. Inverter 1.02 is derating approximately 20kW on 09/27 and back to normal operation on 09/28.</t>
  </si>
  <si>
    <t>1. SR091331, SR083763</t>
  </si>
  <si>
    <t>1.  Site underperforming ~13kW compared to previous days production, possibly one of the inverter is offline on 9/9 resolved on 9/10</t>
  </si>
  <si>
    <t>1. 	SR090153</t>
  </si>
  <si>
    <t>1.Site tripped offline at 09:10AM to 10:50 on 09/06. 
2.POA pyranometer dropped out from 7/22 at 2:40pm.</t>
  </si>
  <si>
    <t>1.SR089991.
2.SR088232.</t>
  </si>
  <si>
    <t>1. Inverter back online by a reset on 9/1.
2.Site offline on 9/4 at 17:00  and back online on 9/5 and also again site offline from 9/6 and back online at 13:00 on 9/9 again inverter offline from 07:00 to 16:30 on 9/22.
3.Inverter offline from 9/23 and back online on 9/27 at 14:00.</t>
  </si>
  <si>
    <t>1.	SR089794
2.SR089934
3.SR089934</t>
  </si>
  <si>
    <t>1.Inverter 2 tripped offline from 08:25 to 11:30 on 9/7 and again tripped offline from 9/8 back onlin eon 9/9 at 08:35.
2. Inverter 2 tripped offline from 08:50 to 10:30 on 9/22.
3. Inverter 2 having multiple tripping events faced on 9/26, 9/27 and again inverter 2 tripped offline from 9/29 at 13:40.</t>
  </si>
  <si>
    <t>1.SR089506
2.	SR091033
3.SR091284</t>
  </si>
  <si>
    <t>1. Site tripped offline from 16:25 to 18:15 on 9/11.
2. Inverter tripped offline from 17:15 to 18:00 on 9/14 and again offline from 15:55 to 18:40 on 9/15.
3. Inverter tripped offline from 13:40 to 17:15 on 9/16.
4. Inverter tripped offline at 15:45 on 9/19 and back online on 9/20 at 6:40 again inverter tripped offline on 9/21 at 15:15 and back online on 9/22 at 14:00.</t>
  </si>
  <si>
    <t>1.SR090299
2.	SR090470
3.SR090633
4.	SR090869</t>
  </si>
  <si>
    <t>1.Site offline from 10:50 to 14:00 on 9/23.
2.Inverter offline at 08:20 on 9/24 due to pending further troubleshooting and back online on 9/29 at 10:30.
3. Site tripped offline from 16:15 on 9/30 back online on 10/1.</t>
  </si>
  <si>
    <t>1.SR091087
2.	SR088237
3.SR091522 , SR088237</t>
  </si>
  <si>
    <t>1. POA sensor not communicating.</t>
  </si>
  <si>
    <t>1. Inverter offline from 9/8 and  through out the month.</t>
  </si>
  <si>
    <t>1.	SR090093</t>
  </si>
  <si>
    <t>1. Inverter offline from 13:13 to 15:16 on 9/3 tech on site.</t>
  </si>
  <si>
    <t>1.SR089899</t>
  </si>
  <si>
    <t>1. Inverter started late at 16:20 on 9/6.
2. Site offline from 06:00 to 13:45 on 9/23.</t>
  </si>
  <si>
    <t>1.SR090036
2.SR091075</t>
  </si>
  <si>
    <t>1. Inverter 2 tripped offline at 15:20 on 9/8 and back online at 14:55 on 9/9.
2. Combiner boxes 1.5 &amp; 1.16 are offline on 9/11 and back online on 9/13.</t>
  </si>
  <si>
    <t>1.SR090104
2.SR090271</t>
  </si>
  <si>
    <t>1.Combiner boxes 1.3B &amp; 1.2B are tripped offline on 9/11 and back online on 9/13.</t>
  </si>
  <si>
    <t>1.SR090272</t>
  </si>
  <si>
    <t>1. Site offline from 9/1 and back online at 13:27 on 9/27.
2.Meter not communicating after the site was reenergized at 10:13 am on 09/27.</t>
  </si>
  <si>
    <t>1.SR089796
2.SR091329.</t>
  </si>
  <si>
    <t>1. Inverter 02-4 is underperforming by 15 kW, inverter 02-21 is derating by 13 kW, inverter 02-7 is underperforming by 13 kW, and inverter 02-15 is underperforming by 10 kW.
2. Site offline  from 9/16 and back online at 08:45 on 9/24.
3. Site tripped offline from  08:00 to 12:00 on 9/29.</t>
  </si>
  <si>
    <t>1.SR089932
2.	SR090611
3.SR091357</t>
  </si>
  <si>
    <t>October Actual v. Expected</t>
  </si>
  <si>
    <t>October Actual v. Forecasted</t>
  </si>
  <si>
    <t>October Availability</t>
  </si>
  <si>
    <t>November Actual v. Expected</t>
  </si>
  <si>
    <t>November Actual v. Forecasted</t>
  </si>
  <si>
    <t>November Availability</t>
  </si>
  <si>
    <t>December Actual v. Expected</t>
  </si>
  <si>
    <t>December Actual v. Forecasted</t>
  </si>
  <si>
    <t>December Availability</t>
  </si>
  <si>
    <t>Portfolio:</t>
  </si>
  <si>
    <t>Generate Capital</t>
  </si>
  <si>
    <t>Site DAS Name</t>
  </si>
  <si>
    <t>Update</t>
  </si>
  <si>
    <t>DAS</t>
  </si>
  <si>
    <t>ASU - Farmer</t>
  </si>
  <si>
    <t>Farmer</t>
  </si>
  <si>
    <t>AZ</t>
  </si>
  <si>
    <t>AAAAAAAAAEEEEEEEEEFFFFFFFFF%%%%%%%%%</t>
  </si>
  <si>
    <t>PowerTrack</t>
  </si>
  <si>
    <t>SOL-10748</t>
  </si>
  <si>
    <t>ASU - Fulton</t>
  </si>
  <si>
    <t>Fulton</t>
  </si>
  <si>
    <t>SOL-10749</t>
  </si>
  <si>
    <t>JFK Elementary</t>
  </si>
  <si>
    <t>AAAAAAAAAFFFFFFFFF%%%%%%%%%</t>
  </si>
  <si>
    <t>SOL-10758</t>
  </si>
  <si>
    <t>ASU - Noble</t>
  </si>
  <si>
    <t>Noble</t>
  </si>
  <si>
    <t>SOL-10750</t>
  </si>
  <si>
    <t>ASU - Parking #3</t>
  </si>
  <si>
    <t>Parking 3</t>
  </si>
  <si>
    <t>SOL-10751</t>
  </si>
  <si>
    <t>ASU - PE East</t>
  </si>
  <si>
    <t>PE East</t>
  </si>
  <si>
    <t>SOL-10752</t>
  </si>
  <si>
    <t>ASU - Schwada</t>
  </si>
  <si>
    <t>Schwada</t>
  </si>
  <si>
    <t>SOL-10753</t>
  </si>
  <si>
    <t>Starshine</t>
  </si>
  <si>
    <t>SOL-10757</t>
  </si>
  <si>
    <t>Yuma Airport</t>
  </si>
  <si>
    <t>SOL-10754</t>
  </si>
  <si>
    <t>CV Kinsman</t>
  </si>
  <si>
    <t>Kinsman</t>
  </si>
  <si>
    <t>OH</t>
  </si>
  <si>
    <t>SOL-10762</t>
  </si>
  <si>
    <t>CV Wooster</t>
  </si>
  <si>
    <t>Wooster</t>
  </si>
  <si>
    <t>SOL-10763</t>
  </si>
  <si>
    <t>GCC Globe Solar PV</t>
  </si>
  <si>
    <t>Globe Gila CC</t>
  </si>
  <si>
    <t>SOL-10755</t>
  </si>
  <si>
    <t>GCC Payson Solar PV</t>
  </si>
  <si>
    <t>Payson Gila CC</t>
  </si>
  <si>
    <t>SOL-10756</t>
  </si>
  <si>
    <t>Southwest College Naturopathic Medicine</t>
  </si>
  <si>
    <t>SCNM</t>
  </si>
  <si>
    <t>SOL-10760</t>
  </si>
  <si>
    <t>Sequoia Charter School</t>
  </si>
  <si>
    <t>SOL-10759</t>
  </si>
  <si>
    <t>RCAB - Pastoral Center</t>
  </si>
  <si>
    <t>RCAB</t>
  </si>
  <si>
    <t>MA</t>
  </si>
  <si>
    <t>SOL-10838</t>
  </si>
  <si>
    <t>Claremont Flock</t>
  </si>
  <si>
    <t>Spectro Coatings</t>
  </si>
  <si>
    <t>SOL-10074</t>
  </si>
  <si>
    <t>K026</t>
  </si>
  <si>
    <t>NY</t>
  </si>
  <si>
    <t>SOL-10356</t>
  </si>
  <si>
    <t>K041</t>
  </si>
  <si>
    <t>SOL-10357</t>
  </si>
  <si>
    <t>K043 Brooklyn</t>
  </si>
  <si>
    <t>K043</t>
  </si>
  <si>
    <t>SOL-10358</t>
  </si>
  <si>
    <t>K058</t>
  </si>
  <si>
    <t>SOL-10360</t>
  </si>
  <si>
    <t>K115</t>
  </si>
  <si>
    <t>SOL-10361</t>
  </si>
  <si>
    <t>K152</t>
  </si>
  <si>
    <t>SOL-10362</t>
  </si>
  <si>
    <t>K166</t>
  </si>
  <si>
    <t>SOL-10363</t>
  </si>
  <si>
    <t>K206</t>
  </si>
  <si>
    <t>SOL-10927</t>
  </si>
  <si>
    <t>K251</t>
  </si>
  <si>
    <t>SOL-10365</t>
  </si>
  <si>
    <t>K269</t>
  </si>
  <si>
    <t>SOL-10366</t>
  </si>
  <si>
    <t>K273</t>
  </si>
  <si>
    <t>SOL-10367</t>
  </si>
  <si>
    <t>K287</t>
  </si>
  <si>
    <t>SOL-10919</t>
  </si>
  <si>
    <t>K298</t>
  </si>
  <si>
    <t>SOL-10368</t>
  </si>
  <si>
    <t>K335</t>
  </si>
  <si>
    <t>SOL-10370</t>
  </si>
  <si>
    <t>K345</t>
  </si>
  <si>
    <t>SOL-10920</t>
  </si>
  <si>
    <t>K445</t>
  </si>
  <si>
    <t>SOL-10373</t>
  </si>
  <si>
    <t>K495</t>
  </si>
  <si>
    <t>SOL-10374</t>
  </si>
  <si>
    <t>M020</t>
  </si>
  <si>
    <t>SOL-10380</t>
  </si>
  <si>
    <t>M092</t>
  </si>
  <si>
    <t>SOL-10383</t>
  </si>
  <si>
    <t>M143</t>
  </si>
  <si>
    <t>SOL-10384</t>
  </si>
  <si>
    <t>M144</t>
  </si>
  <si>
    <t>SOL-10385</t>
  </si>
  <si>
    <t>M167</t>
  </si>
  <si>
    <t>SOL-10386</t>
  </si>
  <si>
    <t>M188</t>
  </si>
  <si>
    <t>SOL-10387</t>
  </si>
  <si>
    <t>Elmhurst Hospital</t>
  </si>
  <si>
    <t>EMHC</t>
  </si>
  <si>
    <t>SOL-10351</t>
  </si>
  <si>
    <t>Q008</t>
  </si>
  <si>
    <t>SOL-10397</t>
  </si>
  <si>
    <t>Q018</t>
  </si>
  <si>
    <t>SOL-10398</t>
  </si>
  <si>
    <t>Q021</t>
  </si>
  <si>
    <t>SOL-10399</t>
  </si>
  <si>
    <t>Q025</t>
  </si>
  <si>
    <t>SOL-10400</t>
  </si>
  <si>
    <t>Q074</t>
  </si>
  <si>
    <t>SOL-10402</t>
  </si>
  <si>
    <t>Q115</t>
  </si>
  <si>
    <t>SOL-10872</t>
  </si>
  <si>
    <t>Q139</t>
  </si>
  <si>
    <t>SOL-10403</t>
  </si>
  <si>
    <t>Q157</t>
  </si>
  <si>
    <t>SOL-10404</t>
  </si>
  <si>
    <t>Q192</t>
  </si>
  <si>
    <t>SOL-10406</t>
  </si>
  <si>
    <t>Q210</t>
  </si>
  <si>
    <t>SOL-10407</t>
  </si>
  <si>
    <t>Q229</t>
  </si>
  <si>
    <t>SOL-10408</t>
  </si>
  <si>
    <t>Q231</t>
  </si>
  <si>
    <t>SOL-10870</t>
  </si>
  <si>
    <t>Q405</t>
  </si>
  <si>
    <t>SOL-10409</t>
  </si>
  <si>
    <t>Q435</t>
  </si>
  <si>
    <t>SOL-10923</t>
  </si>
  <si>
    <t>Q485</t>
  </si>
  <si>
    <t>SOL-10869</t>
  </si>
  <si>
    <t>Q490</t>
  </si>
  <si>
    <t>SOL-10411</t>
  </si>
  <si>
    <t>Q620</t>
  </si>
  <si>
    <t>SOL-10867</t>
  </si>
  <si>
    <t>Queens Museum of Art</t>
  </si>
  <si>
    <t>QMOA</t>
  </si>
  <si>
    <t>SOL-10415</t>
  </si>
  <si>
    <t>X024</t>
  </si>
  <si>
    <t>SOL-10419</t>
  </si>
  <si>
    <t>X026</t>
  </si>
  <si>
    <t>SOL-10420</t>
  </si>
  <si>
    <t>X090</t>
  </si>
  <si>
    <t>SOL-10925</t>
  </si>
  <si>
    <t>X117</t>
  </si>
  <si>
    <t>SOL-10422</t>
  </si>
  <si>
    <t>X125</t>
  </si>
  <si>
    <t>SOL-10423</t>
  </si>
  <si>
    <t>X134</t>
  </si>
  <si>
    <t>SOL-10424</t>
  </si>
  <si>
    <t>X135</t>
  </si>
  <si>
    <t>SOL-10425</t>
  </si>
  <si>
    <t>X-139  JHS 222</t>
  </si>
  <si>
    <t>X139 JHS 222</t>
  </si>
  <si>
    <t>SOL-10426</t>
  </si>
  <si>
    <t>X140</t>
  </si>
  <si>
    <t>SOL-10926</t>
  </si>
  <si>
    <t>X166</t>
  </si>
  <si>
    <t>SOL-10427</t>
  </si>
  <si>
    <t>Murphy (WaveSun)</t>
  </si>
  <si>
    <t>Murphy</t>
  </si>
  <si>
    <t>MN</t>
  </si>
  <si>
    <t>SOL-10094</t>
  </si>
  <si>
    <t>Terning (MontSun)</t>
  </si>
  <si>
    <t>Terning</t>
  </si>
  <si>
    <t>SOL-10093</t>
  </si>
  <si>
    <t>Boas Road 04</t>
  </si>
  <si>
    <t>AAAAAAAAA%%%%%%%%%FFFFFFFFF</t>
  </si>
  <si>
    <t>Green Power Monitor</t>
  </si>
  <si>
    <t>SOL-10908</t>
  </si>
  <si>
    <t>Kelly Bridge Farm</t>
  </si>
  <si>
    <t>SOL-10911</t>
  </si>
  <si>
    <t>Pool Brook Farm</t>
  </si>
  <si>
    <t>Pool Brook Road</t>
  </si>
  <si>
    <t>SOL-10909</t>
  </si>
  <si>
    <t>Sackett Lake Farm 1</t>
  </si>
  <si>
    <t>Sackett Lake</t>
  </si>
  <si>
    <t>SOL-10910</t>
  </si>
  <si>
    <t>Burritt Road</t>
  </si>
  <si>
    <t>SOL-10913</t>
  </si>
  <si>
    <t>Villa Roma 1</t>
  </si>
  <si>
    <t>SOL-10914</t>
  </si>
  <si>
    <t>Villa Roma 2</t>
  </si>
  <si>
    <t>SOL-10915</t>
  </si>
  <si>
    <t>Washington 1</t>
  </si>
  <si>
    <t>SOL-10912</t>
  </si>
  <si>
    <t>Washington 3</t>
  </si>
  <si>
    <t>SOL-10828</t>
  </si>
  <si>
    <t>Washington 4</t>
  </si>
  <si>
    <t>SOL-10829</t>
  </si>
  <si>
    <t>Big Tree</t>
  </si>
  <si>
    <t>SOL-10966</t>
  </si>
  <si>
    <t>Canoga</t>
  </si>
  <si>
    <t>SOL-10965</t>
  </si>
  <si>
    <t>County Route 84</t>
  </si>
  <si>
    <t>SOL-10967</t>
  </si>
  <si>
    <t>Donati</t>
  </si>
  <si>
    <t>SOL-10968</t>
  </si>
  <si>
    <t>Henrietta</t>
  </si>
  <si>
    <t>AAAAAAAAA%%%%%%%%%</t>
  </si>
  <si>
    <t>SOL-10972</t>
  </si>
  <si>
    <t>NY 70</t>
  </si>
  <si>
    <t>SOL-10970</t>
  </si>
  <si>
    <t>Reid (FFP)</t>
  </si>
  <si>
    <t>Reid</t>
  </si>
  <si>
    <t>SOL-10991</t>
  </si>
  <si>
    <t>Sangolqui</t>
  </si>
  <si>
    <t>SOL-10975</t>
  </si>
  <si>
    <t>State Highway 17B</t>
  </si>
  <si>
    <t>SOL-10988</t>
  </si>
  <si>
    <t>State Route 14A</t>
  </si>
  <si>
    <t>SOL-10997</t>
  </si>
  <si>
    <t>West Creek</t>
  </si>
  <si>
    <t>SOL-10995</t>
  </si>
  <si>
    <t>Wildflower</t>
  </si>
  <si>
    <t>SOL-10982</t>
  </si>
  <si>
    <t>Glen Mary 1</t>
  </si>
  <si>
    <t>SOL-10993</t>
  </si>
  <si>
    <t>Glen Mary 2</t>
  </si>
  <si>
    <t>SOL-10994</t>
  </si>
  <si>
    <t>Telegraph 1</t>
  </si>
  <si>
    <t>SOL-11003</t>
  </si>
  <si>
    <t>Telegraph 2</t>
  </si>
  <si>
    <t>SOL-11004</t>
  </si>
  <si>
    <t>Cafferty Hill</t>
  </si>
  <si>
    <t>SOL-10996</t>
  </si>
  <si>
    <t>Dunkleman</t>
  </si>
  <si>
    <t>SOL-11008</t>
  </si>
  <si>
    <t>Route 19 #1</t>
  </si>
  <si>
    <t>Route 19 1</t>
  </si>
  <si>
    <t>SOL-11001</t>
  </si>
  <si>
    <t>Route 19 #2</t>
  </si>
  <si>
    <t>Route 19 2</t>
  </si>
  <si>
    <t>SOL-11002</t>
  </si>
  <si>
    <t>Yellow Mills 1</t>
  </si>
  <si>
    <t>SOL-11006</t>
  </si>
  <si>
    <t>Yellow Mills 2</t>
  </si>
  <si>
    <t>SOL-11005</t>
  </si>
  <si>
    <t>Yellow Mills 3</t>
  </si>
  <si>
    <t>SOL-11007</t>
  </si>
  <si>
    <t>Catskill</t>
  </si>
  <si>
    <t>SOL-11021</t>
  </si>
  <si>
    <t>Eddy Ridge</t>
  </si>
  <si>
    <t>SOL-11054</t>
  </si>
  <si>
    <t>Ridgeway #1</t>
  </si>
  <si>
    <t>SOL-11018</t>
  </si>
  <si>
    <t>Rivard 1</t>
  </si>
  <si>
    <t>SOL-11011</t>
  </si>
  <si>
    <t>Rivard 2</t>
  </si>
  <si>
    <t>SOL-11012</t>
  </si>
  <si>
    <t>The Essex - DC</t>
  </si>
  <si>
    <t>Essex</t>
  </si>
  <si>
    <t>DC</t>
  </si>
  <si>
    <t>SOL-10036</t>
  </si>
  <si>
    <t>Temple Sinai</t>
  </si>
  <si>
    <t>SOL-10028</t>
  </si>
  <si>
    <t>Weinberg 1</t>
  </si>
  <si>
    <t>SOL-10039</t>
  </si>
  <si>
    <t>Weinberg 2</t>
  </si>
  <si>
    <t>SOL-10045</t>
  </si>
  <si>
    <t>Weinberg 3</t>
  </si>
  <si>
    <t>SOL-10042</t>
  </si>
  <si>
    <t>Clayton Hall</t>
  </si>
  <si>
    <t>DE</t>
  </si>
  <si>
    <t>SOL-10820</t>
  </si>
  <si>
    <t>Field House</t>
  </si>
  <si>
    <t>SOL-10821</t>
  </si>
  <si>
    <t>Wyoming Road</t>
  </si>
  <si>
    <t>SOL-10819</t>
  </si>
  <si>
    <t>Leoku</t>
  </si>
  <si>
    <t>HI</t>
  </si>
  <si>
    <t>SOL-10071</t>
  </si>
  <si>
    <t>Waipahu</t>
  </si>
  <si>
    <t>SOL-10068</t>
  </si>
  <si>
    <t>Bird in Hand</t>
  </si>
  <si>
    <t>MD</t>
  </si>
  <si>
    <t>SOL-10092</t>
  </si>
  <si>
    <t>Shortal</t>
  </si>
  <si>
    <t>SOL-10091</t>
  </si>
  <si>
    <t>Aguadilla</t>
  </si>
  <si>
    <t>PR</t>
  </si>
  <si>
    <t>SOL-10072</t>
  </si>
  <si>
    <t>Bayamon</t>
  </si>
  <si>
    <t>SOL-10073</t>
  </si>
  <si>
    <t>St Francis</t>
  </si>
  <si>
    <t>SOL-10034</t>
  </si>
  <si>
    <t>Seaport</t>
  </si>
  <si>
    <t>SOL-10772</t>
  </si>
  <si>
    <t>Sprague St</t>
  </si>
  <si>
    <t>SOL-10773</t>
  </si>
  <si>
    <t>Summer St</t>
  </si>
  <si>
    <t>SOL-10764</t>
  </si>
  <si>
    <t>Brock St Vocational</t>
  </si>
  <si>
    <t>NH</t>
  </si>
  <si>
    <t>SOL-10768</t>
  </si>
  <si>
    <t>McClelland ES</t>
  </si>
  <si>
    <t>SOL-10766</t>
  </si>
  <si>
    <t>Portland St</t>
  </si>
  <si>
    <t>SOL-10771</t>
  </si>
  <si>
    <t>Portsmouth HS</t>
  </si>
  <si>
    <t>SOL-10769</t>
  </si>
  <si>
    <t>Portsmouth WTP</t>
  </si>
  <si>
    <t>SOL-10770</t>
  </si>
  <si>
    <t>Rochester St</t>
  </si>
  <si>
    <t>SOL-10765</t>
  </si>
  <si>
    <t>Spaulding HS</t>
  </si>
  <si>
    <t>SOL-10767</t>
  </si>
  <si>
    <t>Ridgeway #2</t>
  </si>
  <si>
    <t>SOL-11027</t>
  </si>
  <si>
    <t>Spencer</t>
  </si>
  <si>
    <t>SOL-11017</t>
  </si>
  <si>
    <r>
      <rPr>
        <sz val="10"/>
        <rFont val="Arial"/>
        <family val="2"/>
      </rPr>
      <t>Reisender</t>
    </r>
  </si>
  <si>
    <t xml:space="preserve">Green Power Monitor  </t>
  </si>
  <si>
    <t>SOL-10886</t>
  </si>
  <si>
    <r>
      <rPr>
        <sz val="10"/>
        <rFont val="Arial"/>
        <family val="2"/>
      </rPr>
      <t>Finney</t>
    </r>
  </si>
  <si>
    <t xml:space="preserve">Green Power Monitor </t>
  </si>
  <si>
    <t>SOL-10999</t>
  </si>
  <si>
    <r>
      <rPr>
        <sz val="10"/>
        <rFont val="Arial"/>
        <family val="2"/>
      </rPr>
      <t>Davis Solar</t>
    </r>
  </si>
  <si>
    <t>Also Energy API</t>
  </si>
  <si>
    <t>SOL-10958</t>
  </si>
  <si>
    <r>
      <rPr>
        <sz val="10"/>
        <rFont val="Arial"/>
        <family val="2"/>
      </rPr>
      <t>Genesee</t>
    </r>
  </si>
  <si>
    <t>SOL-10951</t>
  </si>
  <si>
    <r>
      <rPr>
        <sz val="10"/>
        <rFont val="Arial"/>
        <family val="2"/>
      </rPr>
      <t>Landau I</t>
    </r>
  </si>
  <si>
    <t>SOL-10891</t>
  </si>
  <si>
    <r>
      <rPr>
        <sz val="10"/>
        <rFont val="Arial"/>
        <family val="2"/>
      </rPr>
      <t>Landau II</t>
    </r>
  </si>
  <si>
    <t>SOL-10895</t>
  </si>
  <si>
    <r>
      <rPr>
        <sz val="10"/>
        <rFont val="Arial"/>
        <family val="2"/>
      </rPr>
      <t>New Beginnings</t>
    </r>
  </si>
  <si>
    <t>SOL-10890</t>
  </si>
  <si>
    <t>Guilin Farm Solar</t>
  </si>
  <si>
    <t>SOL-10998</t>
  </si>
  <si>
    <t>Brodhead Solar</t>
  </si>
  <si>
    <t>SOL-10899</t>
  </si>
  <si>
    <r>
      <rPr>
        <sz val="10"/>
        <rFont val="Arial"/>
        <family val="2"/>
      </rPr>
      <t>Svenski</t>
    </r>
  </si>
  <si>
    <t>SOL-10894</t>
  </si>
  <si>
    <r>
      <rPr>
        <sz val="10"/>
        <rFont val="Arial"/>
        <family val="2"/>
      </rPr>
      <t>Bantam</t>
    </r>
  </si>
  <si>
    <t>SOL-10986</t>
  </si>
  <si>
    <r>
      <rPr>
        <sz val="10"/>
        <rFont val="Arial"/>
        <family val="2"/>
      </rPr>
      <t>Bogart</t>
    </r>
  </si>
  <si>
    <t>SOL-10887</t>
  </si>
  <si>
    <r>
      <rPr>
        <sz val="10"/>
        <rFont val="Arial"/>
        <family val="2"/>
      </rPr>
      <t>Dubois</t>
    </r>
  </si>
  <si>
    <t>SOL-10892</t>
  </si>
  <si>
    <r>
      <rPr>
        <sz val="10"/>
        <rFont val="Arial"/>
        <family val="2"/>
      </rPr>
      <t>Salt Point</t>
    </r>
  </si>
  <si>
    <t>SOL-10888</t>
  </si>
  <si>
    <r>
      <rPr>
        <sz val="10"/>
        <rFont val="Arial"/>
        <family val="2"/>
      </rPr>
      <t>Wheatland 2A</t>
    </r>
  </si>
  <si>
    <t>SOL-10971</t>
  </si>
  <si>
    <r>
      <rPr>
        <sz val="10"/>
        <rFont val="Arial"/>
        <family val="2"/>
      </rPr>
      <t>Wheatland 2B</t>
    </r>
  </si>
  <si>
    <t>SOL-10961</t>
  </si>
  <si>
    <r>
      <rPr>
        <sz val="10"/>
        <rFont val="Arial"/>
        <family val="2"/>
      </rPr>
      <t>Brickchurch</t>
    </r>
  </si>
  <si>
    <t>SOL-10889</t>
  </si>
  <si>
    <r>
      <rPr>
        <sz val="10"/>
        <rFont val="Arial"/>
        <family val="2"/>
      </rPr>
      <t>McCarthy Solar</t>
    </r>
  </si>
  <si>
    <t>SOL-10992</t>
  </si>
  <si>
    <r>
      <rPr>
        <sz val="10"/>
        <rFont val="Arial"/>
        <family val="2"/>
      </rPr>
      <t>Costanza</t>
    </r>
  </si>
  <si>
    <t>SOL-10907</t>
  </si>
  <si>
    <r>
      <rPr>
        <sz val="10"/>
        <rFont val="Arial"/>
        <family val="2"/>
      </rPr>
      <t>Lockenhurst Pond</t>
    </r>
  </si>
  <si>
    <t>SOL-11000</t>
  </si>
  <si>
    <r>
      <rPr>
        <sz val="10"/>
        <rFont val="Arial"/>
        <family val="2"/>
      </rPr>
      <t>Drinkwater</t>
    </r>
  </si>
  <si>
    <t>SOL-10896</t>
  </si>
  <si>
    <t>Altamont</t>
  </si>
  <si>
    <t>AAAAAAEEEEEEFFFFFF%%%%%%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</si>
</sst>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1"/>
      <name val="Calibri"/>
      <family val="2"/>
      <scheme val="minor"/>
    </font>
    <font>
      <sz val="12"/>
      <name val="Calibri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51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D9E1F2"/>
      </patternFill>
    </fill>
    <fill>
      <patternFill patternType="solid">
        <fgColor rgb="FFE2EFDA"/>
        <bgColor rgb="FF0000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24" fillId="0" borderId="0"/>
  </cellStyleXfs>
  <cellXfs count="116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43" applyFont="1"/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23" fillId="0" borderId="0" xfId="43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28" fillId="46" borderId="0" xfId="0" applyFont="1" applyFill="1" applyAlignment="1">
      <alignment horizontal="center" vertical="center"/>
    </xf>
    <xf numFmtId="0" fontId="29" fillId="46" borderId="0" xfId="0" applyFont="1" applyFill="1" applyAlignment="1">
      <alignment horizontal="center" vertical="center"/>
    </xf>
    <xf numFmtId="164" fontId="29" fillId="46" borderId="0" xfId="1" applyNumberFormat="1" applyFont="1" applyFill="1" applyBorder="1" applyAlignment="1">
      <alignment horizontal="center" vertical="center"/>
    </xf>
    <xf numFmtId="3" fontId="31" fillId="46" borderId="0" xfId="0" applyNumberFormat="1" applyFont="1" applyFill="1" applyAlignment="1">
      <alignment horizontal="right" vertical="center"/>
    </xf>
    <xf numFmtId="9" fontId="31" fillId="46" borderId="0" xfId="2" applyFont="1" applyFill="1" applyBorder="1" applyAlignment="1">
      <alignment horizontal="center" vertical="center"/>
    </xf>
    <xf numFmtId="3" fontId="31" fillId="46" borderId="0" xfId="1" applyNumberFormat="1" applyFont="1" applyFill="1" applyBorder="1" applyAlignment="1">
      <alignment vertical="center"/>
    </xf>
    <xf numFmtId="0" fontId="0" fillId="46" borderId="0" xfId="0" applyFill="1"/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6" fillId="45" borderId="1" xfId="0" applyFont="1" applyFill="1" applyBorder="1" applyAlignment="1">
      <alignment horizontal="left" vertical="top"/>
    </xf>
    <xf numFmtId="49" fontId="38" fillId="38" borderId="0" xfId="2" applyNumberFormat="1" applyFont="1" applyFill="1" applyBorder="1" applyAlignment="1">
      <alignment horizontal="left" vertical="top" wrapText="1"/>
    </xf>
    <xf numFmtId="0" fontId="38" fillId="0" borderId="0" xfId="0" applyFont="1" applyAlignment="1">
      <alignment horizontal="left" vertical="top"/>
    </xf>
    <xf numFmtId="164" fontId="29" fillId="47" borderId="0" xfId="1" applyNumberFormat="1" applyFont="1" applyFill="1" applyBorder="1" applyAlignment="1">
      <alignment horizontal="center" vertical="center"/>
    </xf>
    <xf numFmtId="49" fontId="38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1" fillId="46" borderId="0" xfId="0" applyNumberFormat="1" applyFont="1" applyFill="1" applyAlignment="1">
      <alignment horizontal="left" vertical="top" wrapText="1"/>
    </xf>
    <xf numFmtId="49" fontId="1" fillId="46" borderId="0" xfId="0" applyNumberFormat="1" applyFont="1" applyFill="1" applyAlignment="1">
      <alignment vertical="center" wrapText="1"/>
    </xf>
    <xf numFmtId="49" fontId="1" fillId="0" borderId="0" xfId="0" applyNumberFormat="1" applyFont="1" applyAlignment="1">
      <alignment vertical="top" wrapText="1"/>
    </xf>
    <xf numFmtId="49" fontId="31" fillId="38" borderId="0" xfId="2" applyNumberFormat="1" applyFont="1" applyFill="1" applyBorder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9" fontId="31" fillId="3" borderId="0" xfId="2" applyFont="1" applyFill="1" applyAlignment="1">
      <alignment horizontal="center" vertical="center"/>
    </xf>
    <xf numFmtId="49" fontId="24" fillId="46" borderId="0" xfId="0" applyNumberFormat="1" applyFont="1" applyFill="1" applyAlignment="1">
      <alignment horizontal="left" vertical="top" wrapText="1"/>
    </xf>
    <xf numFmtId="49" fontId="31" fillId="38" borderId="0" xfId="2" applyNumberFormat="1" applyFont="1" applyFill="1" applyAlignment="1">
      <alignment vertical="top" wrapText="1"/>
    </xf>
    <xf numFmtId="49" fontId="31" fillId="46" borderId="0" xfId="2" applyNumberFormat="1" applyFont="1" applyFill="1" applyAlignment="1">
      <alignment vertical="top" wrapText="1"/>
    </xf>
    <xf numFmtId="0" fontId="25" fillId="39" borderId="1" xfId="0" applyFont="1" applyFill="1" applyBorder="1" applyAlignment="1">
      <alignment horizontal="center" vertical="center"/>
    </xf>
    <xf numFmtId="0" fontId="31" fillId="48" borderId="0" xfId="0" applyFont="1" applyFill="1" applyAlignment="1">
      <alignment vertical="top" wrapText="1"/>
    </xf>
    <xf numFmtId="0" fontId="24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24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9" fillId="48" borderId="0" xfId="0" applyFont="1" applyFill="1" applyAlignment="1">
      <alignment vertical="top" wrapText="1"/>
    </xf>
    <xf numFmtId="0" fontId="24" fillId="0" borderId="0" xfId="0" applyFont="1" applyAlignment="1">
      <alignment vertical="center"/>
    </xf>
    <xf numFmtId="9" fontId="31" fillId="37" borderId="0" xfId="2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164" fontId="29" fillId="0" borderId="0" xfId="1" applyNumberFormat="1" applyFont="1" applyAlignment="1">
      <alignment horizontal="center" vertical="center"/>
    </xf>
    <xf numFmtId="3" fontId="31" fillId="4" borderId="0" xfId="1" applyNumberFormat="1" applyFont="1" applyFill="1" applyAlignment="1">
      <alignment vertical="center"/>
    </xf>
    <xf numFmtId="9" fontId="31" fillId="0" borderId="0" xfId="2" applyFont="1" applyAlignment="1">
      <alignment horizontal="center" vertical="center"/>
    </xf>
    <xf numFmtId="3" fontId="31" fillId="0" borderId="0" xfId="1" applyNumberFormat="1" applyFont="1" applyAlignment="1">
      <alignment vertical="center"/>
    </xf>
    <xf numFmtId="0" fontId="24" fillId="0" borderId="0" xfId="0" applyFont="1" applyAlignment="1">
      <alignment wrapText="1"/>
    </xf>
    <xf numFmtId="4" fontId="24" fillId="0" borderId="0" xfId="0" applyNumberFormat="1" applyFont="1"/>
    <xf numFmtId="3" fontId="24" fillId="0" borderId="0" xfId="0" applyNumberFormat="1" applyFont="1"/>
    <xf numFmtId="49" fontId="31" fillId="38" borderId="0" xfId="2" applyNumberFormat="1" applyFont="1" applyFill="1" applyAlignment="1">
      <alignment horizontal="left" vertical="top" wrapText="1"/>
    </xf>
    <xf numFmtId="49" fontId="39" fillId="38" borderId="0" xfId="2" applyNumberFormat="1" applyFont="1" applyFill="1" applyBorder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49" fontId="29" fillId="0" borderId="0" xfId="0" applyNumberFormat="1" applyFont="1" applyAlignment="1">
      <alignment horizontal="left" wrapText="1"/>
    </xf>
    <xf numFmtId="3" fontId="24" fillId="49" borderId="0" xfId="0" applyNumberFormat="1" applyFont="1" applyFill="1"/>
    <xf numFmtId="3" fontId="31" fillId="50" borderId="0" xfId="0" applyNumberFormat="1" applyFont="1" applyFill="1"/>
    <xf numFmtId="3" fontId="31" fillId="0" borderId="0" xfId="0" applyNumberFormat="1" applyFont="1"/>
    <xf numFmtId="0" fontId="0" fillId="47" borderId="0" xfId="0" applyFill="1"/>
    <xf numFmtId="49" fontId="29" fillId="0" borderId="0" xfId="0" applyNumberFormat="1" applyFont="1" applyAlignment="1">
      <alignment horizontal="left" vertical="center" wrapText="1"/>
    </xf>
    <xf numFmtId="3" fontId="24" fillId="0" borderId="0" xfId="0" applyNumberFormat="1" applyFont="1" applyAlignment="1">
      <alignment horizontal="right"/>
    </xf>
    <xf numFmtId="0" fontId="31" fillId="0" borderId="0" xfId="0" applyFont="1" applyAlignment="1">
      <alignment wrapText="1"/>
    </xf>
    <xf numFmtId="0" fontId="31" fillId="0" borderId="0" xfId="0" applyFont="1" applyAlignment="1">
      <alignment horizontal="left" vertical="top" wrapText="1"/>
    </xf>
    <xf numFmtId="0" fontId="31" fillId="0" borderId="0" xfId="0" applyFont="1" applyAlignment="1">
      <alignment vertical="top" wrapText="1"/>
    </xf>
    <xf numFmtId="49" fontId="24" fillId="0" borderId="0" xfId="0" applyNumberFormat="1" applyFont="1" applyAlignment="1">
      <alignment vertical="center" wrapText="1"/>
    </xf>
    <xf numFmtId="49" fontId="24" fillId="0" borderId="0" xfId="0" applyNumberFormat="1" applyFont="1" applyAlignment="1">
      <alignment vertical="top" wrapText="1"/>
    </xf>
    <xf numFmtId="49" fontId="24" fillId="0" borderId="0" xfId="0" applyNumberFormat="1" applyFont="1" applyAlignment="1">
      <alignment vertical="center" wrapText="1" indent="1"/>
    </xf>
    <xf numFmtId="0" fontId="4" fillId="4" borderId="0" xfId="0" applyFont="1" applyFill="1" applyAlignment="1">
      <alignment horizontal="center" vertical="center"/>
    </xf>
    <xf numFmtId="9" fontId="26" fillId="36" borderId="0" xfId="0" applyNumberFormat="1" applyFont="1" applyFill="1" applyAlignment="1">
      <alignment horizontal="center" vertical="center"/>
    </xf>
    <xf numFmtId="9" fontId="25" fillId="42" borderId="13" xfId="2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0" fontId="23" fillId="0" borderId="12" xfId="0" applyFont="1" applyBorder="1"/>
    <xf numFmtId="0" fontId="24" fillId="0" borderId="0" xfId="0" applyFont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05C49343-67EE-497F-9D68-6822DB1E5960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1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EB5A5C9F-731B-42AB-BB24-288AD262E1EF}" userId="S::urn:spo:anon#e601f5ede0214b39ffce09eb3f6d0303c273ec03a6da9030f8e882b96afd0447::" providerId="AD"/>
  <person displayName="Yatin Bhoite [Libsys]" id="{867BCBE8-FECA-4FFD-8522-7D34F30E89C9}" userId="S::yatinb_libsysinc.com#ext#@ameresco.onmicrosoft.com::b4ffb4e5-d88f-4006-af80-b23c33f36b1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F161" totalsRowShown="0">
  <autoFilter ref="A3:F161" xr:uid="{C9C95D9E-67ED-41E0-9F41-9C3DA4ACF4CD}"/>
  <sortState xmlns:xlrd2="http://schemas.microsoft.com/office/spreadsheetml/2017/richdata2" ref="A4:D6">
    <sortCondition ref="C3:C6"/>
  </sortState>
  <tableColumns count="6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  <tableColumn id="6" xr3:uid="{6E275264-06B4-4C88-9B1E-B176A724FD18}" name="SOL#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1" dT="2024-03-04T13:50:49.99" personId="{867BCBE8-FECA-4FFD-8522-7D34F30E89C9}" id="{DF67D825-C883-44F2-8EA5-D891A5BC6DA2}">
    <text>Meter data is not available, energy values are taken from inverter.</text>
  </threadedComment>
  <threadedComment ref="D89" dT="2024-03-04T13:50:27.85" personId="{867BCBE8-FECA-4FFD-8522-7D34F30E89C9}" id="{A315C444-F93F-4C05-92FF-4E51C72D0B9B}">
    <text>Meter data is not available, energy values are taken from inverter.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96" dT="2024-08-07T11:36:40.14" personId="{EB5A5C9F-731B-42AB-BB24-288AD262E1EF}" id="{86E18900-82D9-4255-AB88-27957F7FACBD}">
    <text>Inverter Actual Energy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M342"/>
  <sheetViews>
    <sheetView workbookViewId="0">
      <pane xSplit="2" ySplit="3" topLeftCell="C30" activePane="bottomRight" state="frozen"/>
      <selection pane="bottomRight" activeCell="O9" sqref="O9"/>
      <selection pane="bottomLeft"/>
      <selection pane="topRight"/>
    </sheetView>
  </sheetViews>
  <sheetFormatPr defaultRowHeight="12.6"/>
  <cols>
    <col min="1" max="1" width="35.85546875" bestFit="1" customWidth="1"/>
    <col min="2" max="2" width="8.42578125" customWidth="1"/>
    <col min="3" max="3" width="9.28515625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8.5703125" style="1" customWidth="1"/>
  </cols>
  <sheetData>
    <row r="1" spans="1:13" ht="19.5" customHeight="1">
      <c r="A1" s="111" t="str" cm="1">
        <f t="array" ref="A1">portfolio</f>
        <v>Generate Capital</v>
      </c>
      <c r="B1" s="111"/>
      <c r="C1" s="111"/>
      <c r="D1" s="111"/>
      <c r="E1" s="112" t="s">
        <v>0</v>
      </c>
      <c r="F1" s="112"/>
      <c r="G1" s="112"/>
      <c r="H1" s="110" t="s">
        <v>1</v>
      </c>
      <c r="I1" s="110"/>
      <c r="J1" s="110"/>
      <c r="K1" s="107" t="s">
        <v>2</v>
      </c>
    </row>
    <row r="2" spans="1:13" ht="19.5" customHeight="1">
      <c r="A2" s="113" t="s">
        <v>3</v>
      </c>
      <c r="B2" s="113"/>
      <c r="C2" s="72"/>
      <c r="D2" s="6">
        <f>SUM(D4:D200)</f>
        <v>265385660.81651428</v>
      </c>
      <c r="E2" s="6">
        <f>SUM(E4:E138)</f>
        <v>86991351.224899963</v>
      </c>
      <c r="F2" s="6">
        <f>D2-E2</f>
        <v>178394309.59161431</v>
      </c>
      <c r="G2" s="7">
        <f>IFERROR(F2/E2, 0)</f>
        <v>2.0507131695242782</v>
      </c>
      <c r="H2" s="6">
        <f>SUM(H4:H138)</f>
        <v>214530422.09790006</v>
      </c>
      <c r="I2" s="8">
        <f>D2-H2</f>
        <v>50855238.718614221</v>
      </c>
      <c r="J2" s="7">
        <f>IFERROR(I2/H2, 0)</f>
        <v>0.23705373914477568</v>
      </c>
      <c r="K2" s="108"/>
    </row>
    <row r="3" spans="1:13" ht="14.25" customHeight="1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f>SUM('1st Qtr'!D4, '2nd Qtr'!D4, '3rd Qtr'!D4, '4th Qtr'!D4)</f>
        <v>129168.86340809941</v>
      </c>
      <c r="E4" s="11">
        <f>SUM('1st Qtr'!E4, '2nd Qtr'!E4, '3rd Qtr'!E4, '4th Qtr'!E4)</f>
        <v>37285.273999999998</v>
      </c>
      <c r="F4" s="11">
        <f>IF(AND(ISNUMBER(D4),ISNUMBER(E4)), D4-E4, "")</f>
        <v>91883.589408099419</v>
      </c>
      <c r="G4" s="12">
        <f>IFERROR(F4/E4, "")</f>
        <v>2.464339927020502</v>
      </c>
      <c r="H4" s="13">
        <f>SUM('1st Qtr'!H4+'2nd Qtr'!H4+'3rd Qtr'!H4+'4th Qtr'!H4)</f>
        <v>122327.50600000002</v>
      </c>
      <c r="I4" s="13">
        <f>SUM('1st Qtr'!I4, '2nd Qtr'!I4, '3rd Qtr'!I4, '4th Qtr'!I4)</f>
        <v>6841.3574080994076</v>
      </c>
      <c r="J4" s="14">
        <f>IFERROR(I4/H4, "")</f>
        <v>5.5926566573665015E-2</v>
      </c>
      <c r="K4" s="14">
        <f>IFERROR(AVERAGE(Jan!K4, Feb!K4, Mar!K4, Apr!K4, May!K4, Jun!K4, Jul!K4, Aug!K4, Sep!K4, Oct!K4, Nov!K4, Dec!K4),"")</f>
        <v>0.99961239999999996</v>
      </c>
      <c r="L4" s="38"/>
      <c r="M4" s="38"/>
    </row>
    <row r="5" spans="1:13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f>SUM('1st Qtr'!D5, '2nd Qtr'!D5, '3rd Qtr'!D5, '4th Qtr'!D5)</f>
        <v>500073</v>
      </c>
      <c r="E5" s="15">
        <f>SUM('1st Qtr'!E5, '2nd Qtr'!E5, '3rd Qtr'!E5, '4th Qtr'!E5)</f>
        <v>241816.75</v>
      </c>
      <c r="F5" s="15">
        <f t="shared" ref="F5:F15" si="0">IF(AND(ISNUMBER(D5),ISNUMBER(E5)), D5-E5, "")</f>
        <v>258256.25</v>
      </c>
      <c r="G5" s="16">
        <f>IFERROR(F5/E5, "")</f>
        <v>1.0679832972695233</v>
      </c>
      <c r="H5" s="17">
        <f>SUM('1st Qtr'!H5+'2nd Qtr'!H5+'3rd Qtr'!H5+'4th Qtr'!H5)</f>
        <v>595510.1</v>
      </c>
      <c r="I5" s="17">
        <f>SUM('1st Qtr'!I5, '2nd Qtr'!I5, '3rd Qtr'!I5, '4th Qtr'!I5)</f>
        <v>-95437.1</v>
      </c>
      <c r="J5" s="16">
        <f>IFERROR(I5/H5, "")</f>
        <v>-0.16026109380848455</v>
      </c>
      <c r="K5" s="14">
        <f>IFERROR(AVERAGE(Jan!K5, Feb!K5, Mar!K5, Apr!K5, May!K5, Jun!K5, Jul!K5, Aug!K5, Sep!K5, Oct!K5, Nov!K5, Dec!K5),"")</f>
        <v>0.99668930000000011</v>
      </c>
      <c r="L5" s="39"/>
      <c r="M5" s="39"/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SUM('1st Qtr'!D6, '2nd Qtr'!D6, '3rd Qtr'!D6, '4th Qtr'!D6)</f>
        <v>-1029121.6723382547</v>
      </c>
      <c r="E6" s="11">
        <f>SUM('1st Qtr'!E6, '2nd Qtr'!E6, '3rd Qtr'!E6, '4th Qtr'!E6)</f>
        <v>0</v>
      </c>
      <c r="F6" s="11">
        <f t="shared" si="0"/>
        <v>-1029121.6723382547</v>
      </c>
      <c r="G6" s="12" t="str">
        <f t="shared" ref="G6:G15" si="1">IFERROR(F6/E6, "")</f>
        <v/>
      </c>
      <c r="H6" s="13">
        <f>SUM('1st Qtr'!H6+'2nd Qtr'!H6+'3rd Qtr'!H6+'4th Qtr'!H6)</f>
        <v>180722</v>
      </c>
      <c r="I6" s="13">
        <f>SUM('1st Qtr'!I6, '2nd Qtr'!I6, '3rd Qtr'!I6, '4th Qtr'!I6)</f>
        <v>-1209843.6723382547</v>
      </c>
      <c r="J6" s="14">
        <f t="shared" ref="J6:J15" si="2">IFERROR(I6/H6, "")</f>
        <v>-6.6945013464783187</v>
      </c>
      <c r="K6" s="14">
        <f>IFERROR(AVERAGE(Jan!K6, Feb!K6, Mar!K6, Apr!K6, May!K6, Jun!K6, Jul!K6, Aug!K6, Sep!K6, Oct!K6, Nov!K6, Dec!K6),"")</f>
        <v>0.74997376999999998</v>
      </c>
      <c r="L6" s="38"/>
      <c r="M6" s="38"/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f>SUM('1st Qtr'!D7, '2nd Qtr'!D7, '3rd Qtr'!D7, '4th Qtr'!D7)</f>
        <v>98780.803641337232</v>
      </c>
      <c r="E7" s="15">
        <f>SUM('1st Qtr'!E7, '2nd Qtr'!E7, '3rd Qtr'!E7, '4th Qtr'!E7)</f>
        <v>62997.764000000003</v>
      </c>
      <c r="F7" s="15">
        <f t="shared" si="0"/>
        <v>35783.039641337229</v>
      </c>
      <c r="G7" s="16">
        <f t="shared" si="1"/>
        <v>0.5680049158782402</v>
      </c>
      <c r="H7" s="17">
        <f>SUM('1st Qtr'!H7+'2nd Qtr'!H7+'3rd Qtr'!H7+'4th Qtr'!H7)</f>
        <v>137640.32999999999</v>
      </c>
      <c r="I7" s="17">
        <f>SUM('1st Qtr'!I7, '2nd Qtr'!I7, '3rd Qtr'!I7, '4th Qtr'!I7)</f>
        <v>-38859.526358662777</v>
      </c>
      <c r="J7" s="16">
        <f t="shared" si="2"/>
        <v>-0.2823265997594076</v>
      </c>
      <c r="K7" s="14">
        <f>IFERROR(AVERAGE(Jan!K7, Feb!K7, Mar!K7, Apr!K7, May!K7, Jun!K7, Jul!K7, Aug!K7, Sep!K7, Oct!K7, Nov!K7, Dec!K7),"")</f>
        <v>0.96105669999999999</v>
      </c>
      <c r="L7" s="39"/>
      <c r="M7" s="40"/>
    </row>
    <row r="8" spans="1:13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SUM('1st Qtr'!D8, '2nd Qtr'!D8, '3rd Qtr'!D8, '4th Qtr'!D8)</f>
        <v>270270.01359079254</v>
      </c>
      <c r="E8" s="11">
        <f>SUM('1st Qtr'!E8, '2nd Qtr'!E8, '3rd Qtr'!E8, '4th Qtr'!E8)</f>
        <v>138991.53</v>
      </c>
      <c r="F8" s="11">
        <f t="shared" si="0"/>
        <v>131278.48359079254</v>
      </c>
      <c r="G8" s="12">
        <f t="shared" si="1"/>
        <v>0.9445070760124199</v>
      </c>
      <c r="H8" s="13">
        <f>SUM('1st Qtr'!H8+'2nd Qtr'!H8+'3rd Qtr'!H8+'4th Qtr'!H8)</f>
        <v>296249.62</v>
      </c>
      <c r="I8" s="13">
        <f>SUM('1st Qtr'!I8, '2nd Qtr'!I8, '3rd Qtr'!I8, '4th Qtr'!I8)</f>
        <v>-25979.606409207499</v>
      </c>
      <c r="J8" s="14">
        <f t="shared" si="2"/>
        <v>-8.7694986441526915E-2</v>
      </c>
      <c r="K8" s="14">
        <f>IFERROR(AVERAGE(Jan!K8, Feb!K8, Mar!K8, Apr!K8, May!K8, Jun!K8, Jul!K8, Aug!K8, Sep!K8, Oct!K8, Nov!K8, Dec!K8),"")</f>
        <v>0.90212869000000018</v>
      </c>
      <c r="L8" s="38"/>
      <c r="M8" s="38"/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f>SUM('1st Qtr'!D9, '2nd Qtr'!D9, '3rd Qtr'!D9, '4th Qtr'!D9)</f>
        <v>287786.00957497634</v>
      </c>
      <c r="E9" s="15">
        <f>SUM('1st Qtr'!E9, '2nd Qtr'!E9, '3rd Qtr'!E9, '4th Qtr'!E9)</f>
        <v>100252.45999999999</v>
      </c>
      <c r="F9" s="15">
        <f t="shared" si="0"/>
        <v>187533.54957497635</v>
      </c>
      <c r="G9" s="16">
        <f t="shared" si="1"/>
        <v>1.8706129463055208</v>
      </c>
      <c r="H9" s="17">
        <f>SUM('1st Qtr'!H9+'2nd Qtr'!H9+'3rd Qtr'!H9+'4th Qtr'!H9)</f>
        <v>291561.8</v>
      </c>
      <c r="I9" s="17">
        <f>SUM('1st Qtr'!I9, '2nd Qtr'!I9, '3rd Qtr'!I9, '4th Qtr'!I9)</f>
        <v>-3775.790425023697</v>
      </c>
      <c r="J9" s="16">
        <f t="shared" si="2"/>
        <v>-1.2950223331807176E-2</v>
      </c>
      <c r="K9" s="14">
        <f>IFERROR(AVERAGE(Jan!K9, Feb!K9, Mar!K9, Apr!K9, May!K9, Jun!K9, Jul!K9, Aug!K9, Sep!K9, Oct!K9, Nov!K9, Dec!K9),"")</f>
        <v>0.99930197999999992</v>
      </c>
      <c r="L9" s="39"/>
      <c r="M9" s="40"/>
    </row>
    <row r="10" spans="1:13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SUM('1st Qtr'!D10, '2nd Qtr'!D10, '3rd Qtr'!D10, '4th Qtr'!D10)</f>
        <v>126800.16214396033</v>
      </c>
      <c r="E10" s="11">
        <f>SUM('1st Qtr'!E10, '2nd Qtr'!E10, '3rd Qtr'!E10, '4th Qtr'!E10)</f>
        <v>41274.714999999997</v>
      </c>
      <c r="F10" s="11">
        <f t="shared" si="0"/>
        <v>85525.447143960337</v>
      </c>
      <c r="G10" s="12">
        <f t="shared" si="1"/>
        <v>2.0721026697327973</v>
      </c>
      <c r="H10" s="13">
        <f>SUM('1st Qtr'!H10+'2nd Qtr'!H10+'3rd Qtr'!H10+'4th Qtr'!H10)</f>
        <v>125830</v>
      </c>
      <c r="I10" s="13">
        <f>SUM('1st Qtr'!I10, '2nd Qtr'!I10, '3rd Qtr'!I10, '4th Qtr'!I10)</f>
        <v>970.16214396033138</v>
      </c>
      <c r="J10" s="14">
        <f t="shared" si="2"/>
        <v>7.7101020739118765E-3</v>
      </c>
      <c r="K10" s="14">
        <f>IFERROR(AVERAGE(Jan!K10, Feb!K10, Mar!K10, Apr!K10, May!K10, Jun!K10, Jul!K10, Aug!K10, Sep!K10, Oct!K10, Nov!K10, Dec!K10),"")</f>
        <v>0.99354838999999995</v>
      </c>
      <c r="L10" s="38"/>
      <c r="M10" s="38"/>
    </row>
    <row r="11" spans="1:13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SUM('1st Qtr'!D11, '2nd Qtr'!D11, '3rd Qtr'!D11, '4th Qtr'!D11)</f>
        <v>-940287.27855092788</v>
      </c>
      <c r="E11" s="15">
        <f>SUM('1st Qtr'!E11, '2nd Qtr'!E11, '3rd Qtr'!E11, '4th Qtr'!E11)</f>
        <v>0</v>
      </c>
      <c r="F11" s="15">
        <f t="shared" si="0"/>
        <v>-940287.27855092788</v>
      </c>
      <c r="G11" s="16" t="str">
        <f t="shared" si="1"/>
        <v/>
      </c>
      <c r="H11" s="17">
        <f>SUM('1st Qtr'!H11+'2nd Qtr'!H11+'3rd Qtr'!H11+'4th Qtr'!H11)</f>
        <v>93543</v>
      </c>
      <c r="I11" s="17">
        <f>SUM('1st Qtr'!I11, '2nd Qtr'!I11, '3rd Qtr'!I11, '4th Qtr'!I11)</f>
        <v>-1033830.2785509279</v>
      </c>
      <c r="J11" s="16">
        <f t="shared" si="2"/>
        <v>-11.051925622985449</v>
      </c>
      <c r="K11" s="14">
        <f>IFERROR(AVERAGE(Jan!K11, Feb!K11, Mar!K11, Apr!K11, May!K11, Jun!K11, Jul!K11, Aug!K11, Sep!K11, Oct!K11, Nov!K11, Dec!K11),"")</f>
        <v>0.66234191000000009</v>
      </c>
      <c r="L11" s="39"/>
      <c r="M11" s="40"/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SUM('1st Qtr'!D12, '2nd Qtr'!D12, '3rd Qtr'!D12, '4th Qtr'!D12)</f>
        <v>748529</v>
      </c>
      <c r="E12" s="11">
        <f>SUM('1st Qtr'!E12, '2nd Qtr'!E12, '3rd Qtr'!E12, '4th Qtr'!E12)</f>
        <v>910308.38</v>
      </c>
      <c r="F12" s="11">
        <f t="shared" si="0"/>
        <v>-161779.38</v>
      </c>
      <c r="G12" s="12">
        <f t="shared" si="1"/>
        <v>-0.17771931309695294</v>
      </c>
      <c r="H12" s="13">
        <f>SUM('1st Qtr'!H12+'2nd Qtr'!H12+'3rd Qtr'!H12+'4th Qtr'!H12)</f>
        <v>759063</v>
      </c>
      <c r="I12" s="13">
        <f>SUM('1st Qtr'!I12, '2nd Qtr'!I12, '3rd Qtr'!I12, '4th Qtr'!I12)</f>
        <v>-10534</v>
      </c>
      <c r="J12" s="14">
        <f t="shared" si="2"/>
        <v>-1.3877635980149211E-2</v>
      </c>
      <c r="K12" s="14">
        <f>IFERROR(AVERAGE(Jan!K12, Feb!K12, Mar!K12, Apr!K12, May!K12, Jun!K12, Jul!K12, Aug!K12, Sep!K12, Oct!K12, Nov!K12, Dec!K12),"")</f>
        <v>1</v>
      </c>
      <c r="L12" s="38"/>
      <c r="M12" s="38"/>
    </row>
    <row r="13" spans="1:13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SUM('1st Qtr'!D13, '2nd Qtr'!D13, '3rd Qtr'!D13, '4th Qtr'!D13)</f>
        <v>844175.109375</v>
      </c>
      <c r="E13" s="15">
        <f>SUM('1st Qtr'!E13, '2nd Qtr'!E13, '3rd Qtr'!E13, '4th Qtr'!E13)</f>
        <v>1089511.3599999999</v>
      </c>
      <c r="F13" s="15">
        <f t="shared" si="0"/>
        <v>-245336.25062499987</v>
      </c>
      <c r="G13" s="16">
        <f t="shared" si="1"/>
        <v>-0.22518007579562999</v>
      </c>
      <c r="H13" s="17">
        <f>SUM('1st Qtr'!H13+'2nd Qtr'!H13+'3rd Qtr'!H13+'4th Qtr'!H13)</f>
        <v>1039848</v>
      </c>
      <c r="I13" s="17">
        <f>SUM('1st Qtr'!I13, '2nd Qtr'!I13, '3rd Qtr'!I13, '4th Qtr'!I13)</f>
        <v>-195672.890625</v>
      </c>
      <c r="J13" s="16">
        <f t="shared" si="2"/>
        <v>-0.18817451264511736</v>
      </c>
      <c r="K13" s="14">
        <f>IFERROR(AVERAGE(Jan!K13, Feb!K13, Mar!K13, Apr!K13, May!K13, Jun!K13, Jul!K13, Aug!K13, Sep!K13, Oct!K13, Nov!K13, Dec!K13),"")</f>
        <v>0.98598174999999999</v>
      </c>
      <c r="L13" s="39"/>
      <c r="M13" s="40"/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SUM('1st Qtr'!D14, '2nd Qtr'!D14, '3rd Qtr'!D14, '4th Qtr'!D14)</f>
        <v>178790.75</v>
      </c>
      <c r="E14" s="11">
        <f>SUM('1st Qtr'!E14, '2nd Qtr'!E14, '3rd Qtr'!E14, '4th Qtr'!E14)</f>
        <v>0</v>
      </c>
      <c r="F14" s="11">
        <f t="shared" si="0"/>
        <v>178790.75</v>
      </c>
      <c r="G14" s="12" t="str">
        <f t="shared" si="1"/>
        <v/>
      </c>
      <c r="H14" s="13">
        <f>SUM('1st Qtr'!H14+'2nd Qtr'!H14+'3rd Qtr'!H14+'4th Qtr'!H14)</f>
        <v>242411</v>
      </c>
      <c r="I14" s="13">
        <f>SUM('1st Qtr'!I14, '2nd Qtr'!I14, '3rd Qtr'!I14, '4th Qtr'!I14)</f>
        <v>-63620.25</v>
      </c>
      <c r="J14" s="14">
        <f t="shared" si="2"/>
        <v>-0.26244786746476029</v>
      </c>
      <c r="K14" s="14">
        <f>IFERROR(AVERAGE(Jan!K14, Feb!K14, Mar!K14, Apr!K14, May!K14, Jun!K14, Jul!K14, Aug!K14, Sep!K14, Oct!K14, Nov!K14, Dec!K14),"")</f>
        <v>1</v>
      </c>
      <c r="L14" s="38"/>
      <c r="M14" s="38"/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SUM('1st Qtr'!D15, '2nd Qtr'!D15, '3rd Qtr'!D15, '4th Qtr'!D15)</f>
        <v>-1358643.4173766803</v>
      </c>
      <c r="E15" s="15">
        <f>SUM('1st Qtr'!E15, '2nd Qtr'!E15, '3rd Qtr'!E15, '4th Qtr'!E15)</f>
        <v>48461.452000000005</v>
      </c>
      <c r="F15" s="15">
        <f t="shared" si="0"/>
        <v>-1407104.8693766803</v>
      </c>
      <c r="G15" s="16">
        <f t="shared" si="1"/>
        <v>-29.035549107704824</v>
      </c>
      <c r="H15" s="17">
        <f>SUM('1st Qtr'!H15+'2nd Qtr'!H15+'3rd Qtr'!H15+'4th Qtr'!H15)</f>
        <v>166022</v>
      </c>
      <c r="I15" s="17">
        <f>SUM('1st Qtr'!I15, '2nd Qtr'!I15, '3rd Qtr'!I15, '4th Qtr'!I15)</f>
        <v>-1524665.4173766803</v>
      </c>
      <c r="J15" s="16">
        <f t="shared" si="2"/>
        <v>-9.1835143377183766</v>
      </c>
      <c r="K15" s="14">
        <f>IFERROR(AVERAGE(Jan!K15, Feb!K15, Mar!K15, Apr!K15, May!K15, Jun!K15, Jul!K15, Aug!K15, Sep!K15, Oct!K15, Nov!K15, Dec!K15),"")</f>
        <v>0.99992132</v>
      </c>
      <c r="L15" s="39"/>
      <c r="M15" s="40"/>
    </row>
    <row r="16" spans="1:13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SUM('1st Qtr'!D16, '2nd Qtr'!D16, '3rd Qtr'!D16, '4th Qtr'!D16)</f>
        <v>98918.257930273947</v>
      </c>
      <c r="E16" s="11">
        <f>SUM('1st Qtr'!E16, '2nd Qtr'!E16, '3rd Qtr'!E16, '4th Qtr'!E16)</f>
        <v>25114.706999999999</v>
      </c>
      <c r="F16" s="11">
        <f t="shared" ref="F16:F17" si="3">IF(AND(ISNUMBER(D16),ISNUMBER(E16)), D16-E16, "")</f>
        <v>73803.550930273952</v>
      </c>
      <c r="G16" s="12">
        <f t="shared" ref="G16:G17" si="4">IFERROR(F16/E16, "")</f>
        <v>2.9386586485071855</v>
      </c>
      <c r="H16" s="13">
        <f>SUM('1st Qtr'!H16+'2nd Qtr'!H16+'3rd Qtr'!H16+'4th Qtr'!H16)</f>
        <v>128723</v>
      </c>
      <c r="I16" s="13">
        <f>SUM('1st Qtr'!I16, '2nd Qtr'!I16, '3rd Qtr'!I16, '4th Qtr'!I16)</f>
        <v>-29804.742069726057</v>
      </c>
      <c r="J16" s="14">
        <f t="shared" ref="J16:J17" si="5">IFERROR(I16/H16, "")</f>
        <v>-0.23154169860651211</v>
      </c>
      <c r="K16" s="14">
        <f>IFERROR(AVERAGE(Jan!K16, Feb!K16, Mar!K16, Apr!K16, May!K16, Jun!K16, Jul!K16, Aug!K16, Sep!K16, Oct!K16, Nov!K16, Dec!K16),"")</f>
        <v>0.9979088399999998</v>
      </c>
      <c r="L16" s="38"/>
      <c r="M16" s="38"/>
    </row>
    <row r="17" spans="1:13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SUM('1st Qtr'!D17, '2nd Qtr'!D17, '3rd Qtr'!D17, '4th Qtr'!D17)</f>
        <v>747470.56999999983</v>
      </c>
      <c r="E17" s="15">
        <f>SUM('1st Qtr'!E17, '2nd Qtr'!E17, '3rd Qtr'!E17, '4th Qtr'!E17)</f>
        <v>184029.31999999998</v>
      </c>
      <c r="F17" s="15">
        <f t="shared" si="3"/>
        <v>563441.24999999988</v>
      </c>
      <c r="G17" s="16">
        <f t="shared" si="4"/>
        <v>3.0616928324247459</v>
      </c>
      <c r="H17" s="17">
        <f>SUM('1st Qtr'!H17+'2nd Qtr'!H17+'3rd Qtr'!H17+'4th Qtr'!H17)</f>
        <v>795146</v>
      </c>
      <c r="I17" s="17">
        <f>SUM('1st Qtr'!I17, '2nd Qtr'!I17, '3rd Qtr'!I17, '4th Qtr'!I17)</f>
        <v>-47675.430000000197</v>
      </c>
      <c r="J17" s="16">
        <f t="shared" si="5"/>
        <v>-5.9958083169631991E-2</v>
      </c>
      <c r="K17" s="14">
        <f>IFERROR(AVERAGE(Jan!K17, Feb!K17, Mar!K17, Apr!K17, May!K17, Jun!K17, Jul!K17, Aug!K17, Sep!K17, Oct!K17, Nov!K17, Dec!K17),"")</f>
        <v>0.99861758999999994</v>
      </c>
      <c r="L17" s="39"/>
      <c r="M17" s="39"/>
    </row>
    <row r="18" spans="1:13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SUM('1st Qtr'!D18, '2nd Qtr'!D18, '3rd Qtr'!D18, '4th Qtr'!D18)</f>
        <v>281852.81</v>
      </c>
      <c r="E18" s="11">
        <f>SUM('1st Qtr'!E18, '2nd Qtr'!E18, '3rd Qtr'!E18, '4th Qtr'!E18)</f>
        <v>0</v>
      </c>
      <c r="F18" s="11">
        <f t="shared" ref="F18:F81" si="6">IF(AND(ISNUMBER(D18),ISNUMBER(E18)), D18-E18, "")</f>
        <v>281852.81</v>
      </c>
      <c r="G18" s="12" t="str">
        <f t="shared" ref="G18:G81" si="7">IFERROR(F18/E18, "")</f>
        <v/>
      </c>
      <c r="H18" s="13">
        <f>SUM('1st Qtr'!H18+'2nd Qtr'!H18+'3rd Qtr'!H18+'4th Qtr'!H18)</f>
        <v>470751</v>
      </c>
      <c r="I18" s="13">
        <f>SUM('1st Qtr'!I18, '2nd Qtr'!I18, '3rd Qtr'!I18, '4th Qtr'!I18)</f>
        <v>-172634.12999999992</v>
      </c>
      <c r="J18" s="14">
        <f t="shared" ref="J18:J81" si="8">IFERROR(I18/H18, "")</f>
        <v>-0.36672068673247621</v>
      </c>
      <c r="K18" s="14">
        <f>IFERROR(AVERAGE(Jan!K18, Feb!K18, Mar!K18, Apr!K18, May!K18, Jun!K18, Jul!K18, Aug!K18, Sep!K18, Oct!K18, Nov!K18, Dec!K18),"")</f>
        <v>0.99847559999999991</v>
      </c>
      <c r="L18" s="38"/>
      <c r="M18" s="38"/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SUM('1st Qtr'!D19, '2nd Qtr'!D19, '3rd Qtr'!D19, '4th Qtr'!D19)</f>
        <v>1031306</v>
      </c>
      <c r="E19" s="15">
        <f>SUM('1st Qtr'!E19, '2nd Qtr'!E19, '3rd Qtr'!E19, '4th Qtr'!E19)</f>
        <v>1270442.6400000001</v>
      </c>
      <c r="F19" s="15">
        <f t="shared" si="6"/>
        <v>-239136.64000000013</v>
      </c>
      <c r="G19" s="16">
        <f t="shared" si="7"/>
        <v>-0.1882309617693563</v>
      </c>
      <c r="H19" s="17">
        <f>SUM('1st Qtr'!H19+'2nd Qtr'!H19+'3rd Qtr'!H19+'4th Qtr'!H19)</f>
        <v>1063112.4100000001</v>
      </c>
      <c r="I19" s="17">
        <f>SUM('1st Qtr'!I19, '2nd Qtr'!I19, '3rd Qtr'!I19, '4th Qtr'!I19)</f>
        <v>-37718.639999999992</v>
      </c>
      <c r="J19" s="16">
        <f t="shared" si="8"/>
        <v>-3.5479446618443655E-2</v>
      </c>
      <c r="K19" s="14">
        <f>IFERROR(AVERAGE(Jan!K19, Feb!K19, Mar!K19, Apr!K19, May!K19, Jun!K19, Jul!K19, Aug!K19, Sep!K19, Oct!K19, Nov!K19, Dec!K19),"")</f>
        <v>1</v>
      </c>
      <c r="L19" s="39"/>
      <c r="M19" s="40"/>
    </row>
    <row r="20" spans="1:13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SUM('1st Qtr'!D20, '2nd Qtr'!D20, '3rd Qtr'!D20, '4th Qtr'!D20)</f>
        <v>259704.5</v>
      </c>
      <c r="E20" s="11">
        <f>SUM('1st Qtr'!E20, '2nd Qtr'!E20, '3rd Qtr'!E20, '4th Qtr'!E20)</f>
        <v>308218.45</v>
      </c>
      <c r="F20" s="11">
        <f t="shared" si="6"/>
        <v>-48513.950000000012</v>
      </c>
      <c r="G20" s="12">
        <f t="shared" si="7"/>
        <v>-0.15740118737213821</v>
      </c>
      <c r="H20" s="13">
        <f>SUM('1st Qtr'!H20+'2nd Qtr'!H20+'3rd Qtr'!H20+'4th Qtr'!H20)</f>
        <v>285943.13</v>
      </c>
      <c r="I20" s="13">
        <f>SUM('1st Qtr'!I20, '2nd Qtr'!I20, '3rd Qtr'!I20, '4th Qtr'!I20)</f>
        <v>-26533.57</v>
      </c>
      <c r="J20" s="14">
        <f t="shared" si="8"/>
        <v>-9.2793171845044847E-2</v>
      </c>
      <c r="K20" s="14">
        <f>IFERROR(AVERAGE(Jan!K20, Feb!K20, Mar!K20, Apr!K20, May!K20, Jun!K20, Jul!K20, Aug!K20, Sep!K20, Oct!K20, Nov!K20, Dec!K20),"")</f>
        <v>0.98531168999999996</v>
      </c>
      <c r="L20" s="38"/>
      <c r="M20" s="38"/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SUM('1st Qtr'!D21, '2nd Qtr'!D21, '3rd Qtr'!D21, '4th Qtr'!D21)</f>
        <v>283724.1875</v>
      </c>
      <c r="E21" s="15">
        <f>SUM('1st Qtr'!E21, '2nd Qtr'!E21, '3rd Qtr'!E21, '4th Qtr'!E21)</f>
        <v>327790.37</v>
      </c>
      <c r="F21" s="15">
        <f t="shared" si="6"/>
        <v>-44066.182499999995</v>
      </c>
      <c r="G21" s="16">
        <f t="shared" si="7"/>
        <v>-0.13443403630192063</v>
      </c>
      <c r="H21" s="17">
        <f>SUM('1st Qtr'!H21+'2nd Qtr'!H21+'3rd Qtr'!H21+'4th Qtr'!H21)</f>
        <v>293445.88</v>
      </c>
      <c r="I21" s="17">
        <f>SUM('1st Qtr'!I21, '2nd Qtr'!I21, '3rd Qtr'!I21, '4th Qtr'!I21)</f>
        <v>-9043.307499999999</v>
      </c>
      <c r="J21" s="16">
        <f t="shared" si="8"/>
        <v>-3.081763322081741E-2</v>
      </c>
      <c r="K21" s="14">
        <f>IFERROR(AVERAGE(Jan!K21, Feb!K21, Mar!K21, Apr!K21, May!K21, Jun!K21, Jul!K21, Aug!K21, Sep!K21, Oct!K21, Nov!K21, Dec!K21),"")</f>
        <v>0.99593566</v>
      </c>
      <c r="L21" s="39"/>
      <c r="M21" s="40"/>
    </row>
    <row r="22" spans="1:13" ht="15.6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SUM('1st Qtr'!D22, '2nd Qtr'!D22, '3rd Qtr'!D22, '4th Qtr'!D22)</f>
        <v>213013.5546875</v>
      </c>
      <c r="E22" s="11">
        <f>SUM('1st Qtr'!E22, '2nd Qtr'!E22, '3rd Qtr'!E22, '4th Qtr'!E22)</f>
        <v>259925.19899999996</v>
      </c>
      <c r="F22" s="11">
        <f t="shared" si="6"/>
        <v>-46911.644312499964</v>
      </c>
      <c r="G22" s="12">
        <f t="shared" si="7"/>
        <v>-0.18048132498496219</v>
      </c>
      <c r="H22" s="13">
        <f>SUM('1st Qtr'!H22+'2nd Qtr'!H22+'3rd Qtr'!H22+'4th Qtr'!H22)</f>
        <v>237463</v>
      </c>
      <c r="I22" s="13">
        <f>SUM('1st Qtr'!I22, '2nd Qtr'!I22, '3rd Qtr'!I22, '4th Qtr'!I22)</f>
        <v>-27201.2890625</v>
      </c>
      <c r="J22" s="14">
        <f t="shared" si="8"/>
        <v>-0.11454958904124012</v>
      </c>
      <c r="K22" s="14">
        <f>IFERROR(AVERAGE(Jan!K22, Feb!K22, Mar!K22, Apr!K22, May!K22, Jun!K22, Jul!K22, Aug!K22, Sep!K22, Oct!K22, Nov!K22, Dec!K22),"")</f>
        <v>0.94656149000000001</v>
      </c>
      <c r="L22" s="38"/>
      <c r="M22" s="38"/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SUM('1st Qtr'!D23, '2nd Qtr'!D23, '3rd Qtr'!D23, '4th Qtr'!D23)</f>
        <v>270176.71875</v>
      </c>
      <c r="E23" s="15">
        <f>SUM('1st Qtr'!E23, '2nd Qtr'!E23, '3rd Qtr'!E23, '4th Qtr'!E23)</f>
        <v>289576.62</v>
      </c>
      <c r="F23" s="15">
        <f t="shared" si="6"/>
        <v>-19399.901249999995</v>
      </c>
      <c r="G23" s="16">
        <f t="shared" si="7"/>
        <v>-6.6994017852684357E-2</v>
      </c>
      <c r="H23" s="17">
        <f>SUM('1st Qtr'!H23+'2nd Qtr'!H23+'3rd Qtr'!H23+'4th Qtr'!H23)</f>
        <v>52440</v>
      </c>
      <c r="I23" s="17">
        <f>SUM('1st Qtr'!I23, '2nd Qtr'!I23, '3rd Qtr'!I23, '4th Qtr'!I23)</f>
        <v>198863.5625</v>
      </c>
      <c r="J23" s="16">
        <f t="shared" si="8"/>
        <v>3.7922113367658277</v>
      </c>
      <c r="K23" s="14">
        <f>IFERROR(AVERAGE(Jan!K23, Feb!K23, Mar!K23, Apr!K23, May!K23, Jun!K23, Jul!K23, Aug!K23, Sep!K23, Oct!K23, Nov!K23, Dec!K23),"")</f>
        <v>0.96102668999999996</v>
      </c>
      <c r="L23" s="39"/>
      <c r="M23" s="40"/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SUM('1st Qtr'!D24, '2nd Qtr'!D24, '3rd Qtr'!D24, '4th Qtr'!D24)</f>
        <v>201039.625</v>
      </c>
      <c r="E24" s="11">
        <f>SUM('1st Qtr'!E24, '2nd Qtr'!E24, '3rd Qtr'!E24, '4th Qtr'!E24)</f>
        <v>223955.27199999997</v>
      </c>
      <c r="F24" s="11">
        <f t="shared" si="6"/>
        <v>-22915.646999999968</v>
      </c>
      <c r="G24" s="12">
        <f t="shared" si="7"/>
        <v>-0.10232242713178893</v>
      </c>
      <c r="H24" s="13">
        <f>SUM('1st Qtr'!H24+'2nd Qtr'!H24+'3rd Qtr'!H24+'4th Qtr'!H24)</f>
        <v>220939.91899999999</v>
      </c>
      <c r="I24" s="13">
        <f>SUM('1st Qtr'!I24, '2nd Qtr'!I24, '3rd Qtr'!I24, '4th Qtr'!I24)</f>
        <v>-20203.034000000007</v>
      </c>
      <c r="J24" s="14">
        <f t="shared" si="8"/>
        <v>-9.144130264662588E-2</v>
      </c>
      <c r="K24" s="14">
        <f>IFERROR(AVERAGE(Jan!K24, Feb!K24, Mar!K24, Apr!K24, May!K24, Jun!K24, Jul!K24, Aug!K24, Sep!K24, Oct!K24, Nov!K24, Dec!K24),"")</f>
        <v>0.98063436000000004</v>
      </c>
      <c r="L24" s="38"/>
      <c r="M24" s="38"/>
    </row>
    <row r="25" spans="1:13" ht="15.6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SUM('1st Qtr'!D25, '2nd Qtr'!D25, '3rd Qtr'!D25, '4th Qtr'!D25)</f>
        <v>58740.929687499985</v>
      </c>
      <c r="E25" s="15">
        <f>SUM('1st Qtr'!E25, '2nd Qtr'!E25, '3rd Qtr'!E25, '4th Qtr'!E25)</f>
        <v>104943.852</v>
      </c>
      <c r="F25" s="15">
        <f t="shared" si="6"/>
        <v>-46202.922312500014</v>
      </c>
      <c r="G25" s="16">
        <f t="shared" si="7"/>
        <v>-0.44026325918072851</v>
      </c>
      <c r="H25" s="17">
        <f>SUM('1st Qtr'!H25+'2nd Qtr'!H25+'3rd Qtr'!H25+'4th Qtr'!H25)</f>
        <v>135205.60700000002</v>
      </c>
      <c r="I25" s="17">
        <f>SUM('1st Qtr'!I25, '2nd Qtr'!I25, '3rd Qtr'!I25, '4th Qtr'!I25)</f>
        <v>-71794.975812500008</v>
      </c>
      <c r="J25" s="16">
        <f t="shared" si="8"/>
        <v>-0.53100590578688056</v>
      </c>
      <c r="K25" s="14">
        <f>IFERROR(AVERAGE(Jan!K25, Feb!K25, Mar!K25, Apr!K25, May!K25, Jun!K25, Jul!K25, Aug!K25, Sep!K25, Oct!K25, Nov!K25, Dec!K25),"")</f>
        <v>0.94760741000000004</v>
      </c>
      <c r="L25" s="39"/>
      <c r="M25" s="40"/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SUM('1st Qtr'!D26, '2nd Qtr'!D26, '3rd Qtr'!D26, '4th Qtr'!D26)</f>
        <v>82912.375</v>
      </c>
      <c r="E26" s="11">
        <f>SUM('1st Qtr'!E26, '2nd Qtr'!E26, '3rd Qtr'!E26, '4th Qtr'!E26)</f>
        <v>87765.720000000016</v>
      </c>
      <c r="F26" s="11">
        <f t="shared" si="6"/>
        <v>-4853.3450000000157</v>
      </c>
      <c r="G26" s="12">
        <f t="shared" si="7"/>
        <v>-5.5298868396453822E-2</v>
      </c>
      <c r="H26" s="13">
        <f>SUM('1st Qtr'!H26+'2nd Qtr'!H26+'3rd Qtr'!H26+'4th Qtr'!H26)</f>
        <v>85124</v>
      </c>
      <c r="I26" s="13">
        <f>SUM('1st Qtr'!I26, '2nd Qtr'!I26, '3rd Qtr'!I26, '4th Qtr'!I26)</f>
        <v>-2250.4375</v>
      </c>
      <c r="J26" s="14">
        <f t="shared" si="8"/>
        <v>-2.6437168131196842E-2</v>
      </c>
      <c r="K26" s="14">
        <f>IFERROR(AVERAGE(Jan!K26, Feb!K26, Mar!K26, Apr!K26, May!K26, Jun!K26, Jul!K26, Aug!K26, Sep!K26, Oct!K26, Nov!K26, Dec!K26),"")</f>
        <v>0.99665119000000002</v>
      </c>
      <c r="L26" s="38"/>
      <c r="M26" s="38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SUM('1st Qtr'!D27, '2nd Qtr'!D27, '3rd Qtr'!D27, '4th Qtr'!D27)</f>
        <v>298212.625</v>
      </c>
      <c r="E27" s="15">
        <f>SUM('1st Qtr'!E27, '2nd Qtr'!E27, '3rd Qtr'!E27, '4th Qtr'!E27)</f>
        <v>333845.21000000002</v>
      </c>
      <c r="F27" s="15">
        <f t="shared" si="6"/>
        <v>-35632.585000000021</v>
      </c>
      <c r="G27" s="16">
        <f t="shared" si="7"/>
        <v>-0.10673385129593448</v>
      </c>
      <c r="H27" s="17">
        <f>SUM('1st Qtr'!H27+'2nd Qtr'!H27+'3rd Qtr'!H27+'4th Qtr'!H27)</f>
        <v>310954.95</v>
      </c>
      <c r="I27" s="17">
        <f>SUM('1st Qtr'!I27, '2nd Qtr'!I27, '3rd Qtr'!I27, '4th Qtr'!I27)</f>
        <v>-11308.250000000004</v>
      </c>
      <c r="J27" s="16">
        <f t="shared" si="8"/>
        <v>-3.6366200312939231E-2</v>
      </c>
      <c r="K27" s="14">
        <f>IFERROR(AVERAGE(Jan!K27, Feb!K27, Mar!K27, Apr!K27, May!K27, Jun!K27, Jul!K27, Aug!K27, Sep!K27, Oct!K27, Nov!K27, Dec!K27),"")</f>
        <v>0.99963621999999996</v>
      </c>
      <c r="L27" s="39"/>
      <c r="M27" s="40"/>
    </row>
    <row r="28" spans="1:13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SUM('1st Qtr'!D28, '2nd Qtr'!D28, '3rd Qtr'!D28, '4th Qtr'!D28)</f>
        <v>123569.12524414064</v>
      </c>
      <c r="E28" s="11">
        <f>SUM('1st Qtr'!E28, '2nd Qtr'!E28, '3rd Qtr'!E28, '4th Qtr'!E28)</f>
        <v>134649.53699999998</v>
      </c>
      <c r="F28" s="11">
        <f t="shared" si="6"/>
        <v>-11080.411755859343</v>
      </c>
      <c r="G28" s="12">
        <f t="shared" si="7"/>
        <v>-8.2290752740273768E-2</v>
      </c>
      <c r="H28" s="13">
        <f>SUM('1st Qtr'!H28+'2nd Qtr'!H28+'3rd Qtr'!H28+'4th Qtr'!H28)</f>
        <v>174015</v>
      </c>
      <c r="I28" s="13">
        <f>SUM('1st Qtr'!I28, '2nd Qtr'!I28, '3rd Qtr'!I28, '4th Qtr'!I28)</f>
        <v>-32194.22444335937</v>
      </c>
      <c r="J28" s="14">
        <f t="shared" si="8"/>
        <v>-0.18500832941619613</v>
      </c>
      <c r="K28" s="14">
        <f>IFERROR(AVERAGE(Jan!K28, Feb!K28, Mar!K28, Apr!K28, May!K28, Jun!K28, Jul!K28, Aug!K28, Sep!K28, Oct!K28, Nov!K28, Dec!K28),"")</f>
        <v>0.89094335000000002</v>
      </c>
      <c r="L28" s="38"/>
      <c r="M28" s="38"/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SUM('1st Qtr'!D29, '2nd Qtr'!D29, '3rd Qtr'!D29, '4th Qtr'!D29)</f>
        <v>189232.375</v>
      </c>
      <c r="E29" s="15">
        <f>SUM('1st Qtr'!E29, '2nd Qtr'!E29, '3rd Qtr'!E29, '4th Qtr'!E29)</f>
        <v>205888.17699999997</v>
      </c>
      <c r="F29" s="15">
        <f t="shared" si="6"/>
        <v>-16655.801999999967</v>
      </c>
      <c r="G29" s="16">
        <f t="shared" si="7"/>
        <v>-8.0897321267748026E-2</v>
      </c>
      <c r="H29" s="17">
        <f>SUM('1st Qtr'!H29+'2nd Qtr'!H29+'3rd Qtr'!H29+'4th Qtr'!H29)</f>
        <v>199543.56400000001</v>
      </c>
      <c r="I29" s="17">
        <f>SUM('1st Qtr'!I29, '2nd Qtr'!I29, '3rd Qtr'!I29, '4th Qtr'!I29)</f>
        <v>-10384.334000000001</v>
      </c>
      <c r="J29" s="16">
        <f t="shared" si="8"/>
        <v>-5.2040435641412121E-2</v>
      </c>
      <c r="K29" s="14">
        <f>IFERROR(AVERAGE(Jan!K29, Feb!K29, Mar!K29, Apr!K29, May!K29, Jun!K29, Jul!K29, Aug!K29, Sep!K29, Oct!K29, Nov!K29, Dec!K29),"")</f>
        <v>0.99921639000000018</v>
      </c>
      <c r="L29" s="39"/>
      <c r="M29" s="39"/>
    </row>
    <row r="30" spans="1:13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SUM('1st Qtr'!D30, '2nd Qtr'!D30, '3rd Qtr'!D30, '4th Qtr'!D30)</f>
        <v>178775.78125</v>
      </c>
      <c r="E30" s="11">
        <f>SUM('1st Qtr'!E30, '2nd Qtr'!E30, '3rd Qtr'!E30, '4th Qtr'!E30)</f>
        <v>100526.94</v>
      </c>
      <c r="F30" s="11">
        <f t="shared" si="6"/>
        <v>78248.841249999998</v>
      </c>
      <c r="G30" s="12">
        <f t="shared" si="7"/>
        <v>0.77838678119517013</v>
      </c>
      <c r="H30" s="13">
        <f>SUM('1st Qtr'!H30+'2nd Qtr'!H30+'3rd Qtr'!H30+'4th Qtr'!H30)</f>
        <v>187747.807</v>
      </c>
      <c r="I30" s="13">
        <f>SUM('1st Qtr'!I30, '2nd Qtr'!I30, '3rd Qtr'!I30, '4th Qtr'!I30)</f>
        <v>-11370.873250000001</v>
      </c>
      <c r="J30" s="14">
        <f t="shared" si="8"/>
        <v>-6.0564612879872415E-2</v>
      </c>
      <c r="K30" s="14">
        <f>IFERROR(AVERAGE(Jan!K30, Feb!K30, Mar!K30, Apr!K30, May!K30, Jun!K30, Jul!K30, Aug!K30, Sep!K30, Oct!K30, Nov!K30, Dec!K30),"")</f>
        <v>1</v>
      </c>
      <c r="L30" s="38"/>
      <c r="M30" s="38"/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SUM('1st Qtr'!D31, '2nd Qtr'!D31, '3rd Qtr'!D31, '4th Qtr'!D31)</f>
        <v>199973.03125</v>
      </c>
      <c r="E31" s="15">
        <f>SUM('1st Qtr'!E31, '2nd Qtr'!E31, '3rd Qtr'!E31, '4th Qtr'!E31)</f>
        <v>0</v>
      </c>
      <c r="F31" s="15">
        <f t="shared" si="6"/>
        <v>199973.03125</v>
      </c>
      <c r="G31" s="16" t="str">
        <f t="shared" si="7"/>
        <v/>
      </c>
      <c r="H31" s="17">
        <f>SUM('1st Qtr'!H31+'2nd Qtr'!H31+'3rd Qtr'!H31+'4th Qtr'!H31)</f>
        <v>237658</v>
      </c>
      <c r="I31" s="17">
        <f>SUM('1st Qtr'!I31, '2nd Qtr'!I31, '3rd Qtr'!I31, '4th Qtr'!I31)</f>
        <v>-33811.15625</v>
      </c>
      <c r="J31" s="16">
        <f t="shared" si="8"/>
        <v>-0.14226811742083162</v>
      </c>
      <c r="K31" s="14">
        <f>IFERROR(AVERAGE(Jan!K31, Feb!K31, Mar!K31, Apr!K31, May!K31, Jun!K31, Jul!K31, Aug!K31, Sep!K31, Oct!K31, Nov!K31, Dec!K31),"")</f>
        <v>1</v>
      </c>
      <c r="L31" s="39"/>
      <c r="M31" s="40"/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SUM('1st Qtr'!D32, '2nd Qtr'!D32, '3rd Qtr'!D32, '4th Qtr'!D32)</f>
        <v>159367.375</v>
      </c>
      <c r="E32" s="11">
        <f>SUM('1st Qtr'!E32, '2nd Qtr'!E32, '3rd Qtr'!E32, '4th Qtr'!E32)</f>
        <v>142868.685</v>
      </c>
      <c r="F32" s="11">
        <f t="shared" si="6"/>
        <v>16498.690000000002</v>
      </c>
      <c r="G32" s="12">
        <f t="shared" si="7"/>
        <v>0.11548149967223401</v>
      </c>
      <c r="H32" s="13">
        <f>SUM('1st Qtr'!H32+'2nd Qtr'!H32+'3rd Qtr'!H32+'4th Qtr'!H32)</f>
        <v>163298</v>
      </c>
      <c r="I32" s="13">
        <f>SUM('1st Qtr'!I32, '2nd Qtr'!I32, '3rd Qtr'!I32, '4th Qtr'!I32)</f>
        <v>-6313.2812499999991</v>
      </c>
      <c r="J32" s="14">
        <f t="shared" si="8"/>
        <v>-3.8661105769819591E-2</v>
      </c>
      <c r="K32" s="14">
        <f>IFERROR(AVERAGE(Jan!K32, Feb!K32, Mar!K32, Apr!K32, May!K32, Jun!K32, Jul!K32, Aug!K32, Sep!K32, Oct!K32, Nov!K32, Dec!K32),"")</f>
        <v>0.99924821999999991</v>
      </c>
      <c r="L32" s="38"/>
      <c r="M32" s="38"/>
    </row>
    <row r="33" spans="1:13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SUM('1st Qtr'!D33, '2nd Qtr'!D33, '3rd Qtr'!D33, '4th Qtr'!D33)</f>
        <v>170572.03125</v>
      </c>
      <c r="E33" s="15">
        <f>SUM('1st Qtr'!E33, '2nd Qtr'!E33, '3rd Qtr'!E33, '4th Qtr'!E33)</f>
        <v>186848.79800000001</v>
      </c>
      <c r="F33" s="15">
        <f t="shared" si="6"/>
        <v>-16276.76675000001</v>
      </c>
      <c r="G33" s="16">
        <f t="shared" si="7"/>
        <v>-8.7111969272609446E-2</v>
      </c>
      <c r="H33" s="17">
        <f>SUM('1st Qtr'!H33+'2nd Qtr'!H33+'3rd Qtr'!H33+'4th Qtr'!H33)</f>
        <v>181826</v>
      </c>
      <c r="I33" s="17">
        <f>SUM('1st Qtr'!I33, '2nd Qtr'!I33, '3rd Qtr'!I33, '4th Qtr'!I33)</f>
        <v>-13668.71875</v>
      </c>
      <c r="J33" s="16">
        <f t="shared" si="8"/>
        <v>-7.517472061201369E-2</v>
      </c>
      <c r="K33" s="14">
        <f>IFERROR(AVERAGE(Jan!K33, Feb!K33, Mar!K33, Apr!K33, May!K33, Jun!K33, Jul!K33, Aug!K33, Sep!K33, Oct!K33, Nov!K33, Dec!K33),"")</f>
        <v>0.99901990000000007</v>
      </c>
      <c r="L33" s="39"/>
      <c r="M33" s="40"/>
    </row>
    <row r="34" spans="1:13" ht="15.6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SUM('1st Qtr'!D34, '2nd Qtr'!D34, '3rd Qtr'!D34, '4th Qtr'!D34)</f>
        <v>174618.625</v>
      </c>
      <c r="E34" s="11">
        <f>SUM('1st Qtr'!E34, '2nd Qtr'!E34, '3rd Qtr'!E34, '4th Qtr'!E34)</f>
        <v>204171.80899999998</v>
      </c>
      <c r="F34" s="11">
        <f t="shared" si="6"/>
        <v>-29553.183999999979</v>
      </c>
      <c r="G34" s="12">
        <f t="shared" si="7"/>
        <v>-0.14474664325475012</v>
      </c>
      <c r="H34" s="13">
        <f>SUM('1st Qtr'!H34+'2nd Qtr'!H34+'3rd Qtr'!H34+'4th Qtr'!H34)</f>
        <v>173145</v>
      </c>
      <c r="I34" s="13">
        <f>SUM('1st Qtr'!I34, '2nd Qtr'!I34, '3rd Qtr'!I34, '4th Qtr'!I34)</f>
        <v>-21130.375</v>
      </c>
      <c r="J34" s="14">
        <f t="shared" si="8"/>
        <v>-0.12203860925813624</v>
      </c>
      <c r="K34" s="14">
        <f>IFERROR(AVERAGE(Jan!K34, Feb!K34, Mar!K34, Apr!K34, May!K34, Jun!K34, Jul!K34, Aug!K34, Sep!K34, Oct!K34, Nov!K34, Dec!K34),"")</f>
        <v>0.99772801999999994</v>
      </c>
      <c r="L34" s="38"/>
      <c r="M34" s="38"/>
    </row>
    <row r="35" spans="1:13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SUM('1st Qtr'!D35, '2nd Qtr'!D35, '3rd Qtr'!D35, '4th Qtr'!D35)</f>
        <v>197249.0078125</v>
      </c>
      <c r="E35" s="15">
        <f>SUM('1st Qtr'!E35, '2nd Qtr'!E35, '3rd Qtr'!E35, '4th Qtr'!E35)</f>
        <v>129687.371</v>
      </c>
      <c r="F35" s="15">
        <f t="shared" si="6"/>
        <v>67561.636812500001</v>
      </c>
      <c r="G35" s="16">
        <f t="shared" si="7"/>
        <v>0.5209577177140865</v>
      </c>
      <c r="H35" s="17">
        <f>SUM('1st Qtr'!H35+'2nd Qtr'!H35+'3rd Qtr'!H35+'4th Qtr'!H35)</f>
        <v>212379</v>
      </c>
      <c r="I35" s="17">
        <f>SUM('1st Qtr'!I35, '2nd Qtr'!I35, '3rd Qtr'!I35, '4th Qtr'!I35)</f>
        <v>-18192.0234375</v>
      </c>
      <c r="J35" s="16">
        <f t="shared" si="8"/>
        <v>-8.5658296900823522E-2</v>
      </c>
      <c r="K35" s="14">
        <f>IFERROR(AVERAGE(Jan!K35, Feb!K35, Mar!K35, Apr!K35, May!K35, Jun!K35, Jul!K35, Aug!K35, Sep!K35, Oct!K35, Nov!K35, Dec!K35),"")</f>
        <v>0.95477770999999989</v>
      </c>
      <c r="L35" s="39"/>
      <c r="M35" s="40"/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SUM('1st Qtr'!D36, '2nd Qtr'!D36, '3rd Qtr'!D36, '4th Qtr'!D36)</f>
        <v>172530.392578125</v>
      </c>
      <c r="E36" s="11">
        <f>SUM('1st Qtr'!E36, '2nd Qtr'!E36, '3rd Qtr'!E36, '4th Qtr'!E36)</f>
        <v>195184.75199999998</v>
      </c>
      <c r="F36" s="11">
        <f t="shared" si="6"/>
        <v>-22654.359421874979</v>
      </c>
      <c r="G36" s="12">
        <f t="shared" si="7"/>
        <v>-0.11606623565489881</v>
      </c>
      <c r="H36" s="13">
        <f>SUM('1st Qtr'!H36+'2nd Qtr'!H36+'3rd Qtr'!H36+'4th Qtr'!H36)</f>
        <v>174294.29399999999</v>
      </c>
      <c r="I36" s="13">
        <f>SUM('1st Qtr'!I36, '2nd Qtr'!I36, '3rd Qtr'!I36, '4th Qtr'!I36)</f>
        <v>-4984.8814218749994</v>
      </c>
      <c r="J36" s="14">
        <f t="shared" si="8"/>
        <v>-2.8600370714803775E-2</v>
      </c>
      <c r="K36" s="14">
        <f>IFERROR(AVERAGE(Jan!K36, Feb!K36, Mar!K36, Apr!K36, May!K36, Jun!K36, Jul!K36, Aug!K36, Sep!K36, Oct!K36, Nov!K36, Dec!K36),"")</f>
        <v>0.99840848999999987</v>
      </c>
      <c r="L36" s="38"/>
      <c r="M36" s="38"/>
    </row>
    <row r="37" spans="1:13" ht="15.6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SUM('1st Qtr'!D37, '2nd Qtr'!D37, '3rd Qtr'!D37, '4th Qtr'!D37)</f>
        <v>577784.25</v>
      </c>
      <c r="E37" s="15">
        <f>SUM('1st Qtr'!E37, '2nd Qtr'!E37, '3rd Qtr'!E37, '4th Qtr'!E37)</f>
        <v>596718.74</v>
      </c>
      <c r="F37" s="15">
        <f t="shared" si="6"/>
        <v>-18934.489999999991</v>
      </c>
      <c r="G37" s="16">
        <f t="shared" si="7"/>
        <v>-3.1731012838644872E-2</v>
      </c>
      <c r="H37" s="17">
        <f>SUM('1st Qtr'!H37+'2nd Qtr'!H37+'3rd Qtr'!H37+'4th Qtr'!H37)</f>
        <v>752212</v>
      </c>
      <c r="I37" s="17">
        <f>SUM('1st Qtr'!I37, '2nd Qtr'!I37, '3rd Qtr'!I37, '4th Qtr'!I37)</f>
        <v>-141196.125</v>
      </c>
      <c r="J37" s="16">
        <f t="shared" si="8"/>
        <v>-0.1877078868723179</v>
      </c>
      <c r="K37" s="14">
        <f>IFERROR(AVERAGE(Jan!K37, Feb!K37, Mar!K37, Apr!K37, May!K37, Jun!K37, Jul!K37, Aug!K37, Sep!K37, Oct!K37, Nov!K37, Dec!K37),"")</f>
        <v>0.75234666000000006</v>
      </c>
      <c r="L37" s="39"/>
      <c r="M37" s="40"/>
    </row>
    <row r="38" spans="1:13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SUM('1st Qtr'!D38, '2nd Qtr'!D38, '3rd Qtr'!D38, '4th Qtr'!D38)</f>
        <v>179802.515625</v>
      </c>
      <c r="E38" s="11">
        <f>SUM('1st Qtr'!E38, '2nd Qtr'!E38, '3rd Qtr'!E38, '4th Qtr'!E38)</f>
        <v>192490.247</v>
      </c>
      <c r="F38" s="11">
        <f t="shared" si="6"/>
        <v>-12687.731375000003</v>
      </c>
      <c r="G38" s="12">
        <f t="shared" si="7"/>
        <v>-6.5913632367046643E-2</v>
      </c>
      <c r="H38" s="13">
        <f>SUM('1st Qtr'!H38+'2nd Qtr'!H38+'3rd Qtr'!H38+'4th Qtr'!H38)</f>
        <v>204127</v>
      </c>
      <c r="I38" s="13">
        <f>SUM('1st Qtr'!I38, '2nd Qtr'!I38, '3rd Qtr'!I38, '4th Qtr'!I38)</f>
        <v>-25663.296875</v>
      </c>
      <c r="J38" s="14">
        <f t="shared" si="8"/>
        <v>-0.1257222066409637</v>
      </c>
      <c r="K38" s="14">
        <f>IFERROR(AVERAGE(Jan!K38, Feb!K38, Mar!K38, Apr!K38, May!K38, Jun!K38, Jul!K38, Aug!K38, Sep!K38, Oct!K38, Nov!K38, Dec!K38),"")</f>
        <v>0.9610850299999999</v>
      </c>
      <c r="L38" s="38"/>
      <c r="M38" s="38"/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SUM('1st Qtr'!D39, '2nd Qtr'!D39, '3rd Qtr'!D39, '4th Qtr'!D39)</f>
        <v>181218.9375</v>
      </c>
      <c r="E39" s="15">
        <f>SUM('1st Qtr'!E39, '2nd Qtr'!E39, '3rd Qtr'!E39, '4th Qtr'!E39)</f>
        <v>202314.68899999998</v>
      </c>
      <c r="F39" s="15">
        <f t="shared" si="6"/>
        <v>-21095.751499999984</v>
      </c>
      <c r="G39" s="16">
        <f t="shared" si="7"/>
        <v>-0.10427197157197017</v>
      </c>
      <c r="H39" s="17">
        <f>SUM('1st Qtr'!H39+'2nd Qtr'!H39+'3rd Qtr'!H39+'4th Qtr'!H39)</f>
        <v>193712.09299999999</v>
      </c>
      <c r="I39" s="17">
        <f>SUM('1st Qtr'!I39, '2nd Qtr'!I39, '3rd Qtr'!I39, '4th Qtr'!I39)</f>
        <v>-14792.352999999999</v>
      </c>
      <c r="J39" s="16">
        <f t="shared" si="8"/>
        <v>-7.636256864975384E-2</v>
      </c>
      <c r="K39" s="14">
        <f>IFERROR(AVERAGE(Jan!K39, Feb!K39, Mar!K39, Apr!K39, May!K39, Jun!K39, Jul!K39, Aug!K39, Sep!K39, Oct!K39, Nov!K39, Dec!K39),"")</f>
        <v>0.99918434</v>
      </c>
      <c r="L39" s="39"/>
      <c r="M39" s="40"/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SUM('1st Qtr'!D40, '2nd Qtr'!D40, '3rd Qtr'!D40, '4th Qtr'!D40)</f>
        <v>208889.24999999991</v>
      </c>
      <c r="E40" s="11">
        <f>SUM('1st Qtr'!E40, '2nd Qtr'!E40, '3rd Qtr'!E40, '4th Qtr'!E40)</f>
        <v>247351.514</v>
      </c>
      <c r="F40" s="11">
        <f t="shared" si="6"/>
        <v>-38462.264000000083</v>
      </c>
      <c r="G40" s="12">
        <f t="shared" si="7"/>
        <v>-0.15549637589847171</v>
      </c>
      <c r="H40" s="13">
        <f>SUM('1st Qtr'!H40+'2nd Qtr'!H40+'3rd Qtr'!H40+'4th Qtr'!H40)</f>
        <v>213716.95600000001</v>
      </c>
      <c r="I40" s="13">
        <f>SUM('1st Qtr'!I40, '2nd Qtr'!I40, '3rd Qtr'!I40, '4th Qtr'!I40)</f>
        <v>-7876.4197500000028</v>
      </c>
      <c r="J40" s="14">
        <f t="shared" si="8"/>
        <v>-3.6854444763849262E-2</v>
      </c>
      <c r="K40" s="14">
        <f>IFERROR(AVERAGE(Jan!K40, Feb!K40, Mar!K40, Apr!K40, May!K40, Jun!K40, Jul!K40, Aug!K40, Sep!K40, Oct!K40, Nov!K40, Dec!K40),"")</f>
        <v>0.99795790000000006</v>
      </c>
      <c r="L40" s="38"/>
      <c r="M40" s="38"/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SUM('1st Qtr'!D41, '2nd Qtr'!D41, '3rd Qtr'!D41, '4th Qtr'!D41)</f>
        <v>258133.0625</v>
      </c>
      <c r="E41" s="15">
        <f>SUM('1st Qtr'!E41, '2nd Qtr'!E41, '3rd Qtr'!E41, '4th Qtr'!E41)</f>
        <v>0</v>
      </c>
      <c r="F41" s="15">
        <f t="shared" si="6"/>
        <v>258133.0625</v>
      </c>
      <c r="G41" s="16" t="str">
        <f t="shared" si="7"/>
        <v/>
      </c>
      <c r="H41" s="17">
        <f>SUM('1st Qtr'!H41+'2nd Qtr'!H41+'3rd Qtr'!H41+'4th Qtr'!H41)</f>
        <v>314470</v>
      </c>
      <c r="I41" s="17">
        <f>SUM('1st Qtr'!I41, '2nd Qtr'!I41, '3rd Qtr'!I41, '4th Qtr'!I41)</f>
        <v>-59057.375</v>
      </c>
      <c r="J41" s="16">
        <f t="shared" si="8"/>
        <v>-0.18779971062422487</v>
      </c>
      <c r="K41" s="14">
        <f>IFERROR(AVERAGE(Jan!K41, Feb!K41, Mar!K41, Apr!K41, May!K41, Jun!K41, Jul!K41, Aug!K41, Sep!K41, Oct!K41, Nov!K41, Dec!K41),"")</f>
        <v>0.96688599000000008</v>
      </c>
      <c r="L41" s="39"/>
      <c r="M41" s="39"/>
    </row>
    <row r="42" spans="1:13" ht="15.6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SUM('1st Qtr'!D42, '2nd Qtr'!D42, '3rd Qtr'!D42, '4th Qtr'!D42)</f>
        <v>214453.0380859375</v>
      </c>
      <c r="E42" s="11">
        <f>SUM('1st Qtr'!E42, '2nd Qtr'!E42, '3rd Qtr'!E42, '4th Qtr'!E42)</f>
        <v>178136.02899999998</v>
      </c>
      <c r="F42" s="11">
        <f t="shared" si="6"/>
        <v>36317.00908593752</v>
      </c>
      <c r="G42" s="12">
        <f t="shared" si="7"/>
        <v>0.20387234008644889</v>
      </c>
      <c r="H42" s="13">
        <f>SUM('1st Qtr'!H42+'2nd Qtr'!H42+'3rd Qtr'!H42+'4th Qtr'!H42)</f>
        <v>256458.58000000002</v>
      </c>
      <c r="I42" s="13">
        <f>SUM('1st Qtr'!I42, '2nd Qtr'!I42, '3rd Qtr'!I42, '4th Qtr'!I42)</f>
        <v>-43589.232539062497</v>
      </c>
      <c r="J42" s="14">
        <f t="shared" si="8"/>
        <v>-0.16996597477480571</v>
      </c>
      <c r="K42" s="14">
        <f>IFERROR(AVERAGE(Jan!K42, Feb!K42, Mar!K42, Apr!K42, May!K42, Jun!K42, Jul!K42, Aug!K42, Sep!K42, Oct!K42, Nov!K42, Dec!K42),"")</f>
        <v>0.99950355999999996</v>
      </c>
      <c r="L42" s="38"/>
      <c r="M42" s="38"/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SUM('1st Qtr'!D43, '2nd Qtr'!D43, '3rd Qtr'!D43, '4th Qtr'!D43)</f>
        <v>161025.51562499997</v>
      </c>
      <c r="E43" s="15">
        <f>SUM('1st Qtr'!E43, '2nd Qtr'!E43, '3rd Qtr'!E43, '4th Qtr'!E43)</f>
        <v>0</v>
      </c>
      <c r="F43" s="15">
        <f t="shared" si="6"/>
        <v>161025.51562499997</v>
      </c>
      <c r="G43" s="16" t="str">
        <f t="shared" si="7"/>
        <v/>
      </c>
      <c r="H43" s="17">
        <f>SUM('1st Qtr'!H43+'2nd Qtr'!H43+'3rd Qtr'!H43+'4th Qtr'!H43)</f>
        <v>167921</v>
      </c>
      <c r="I43" s="17">
        <f>SUM('1st Qtr'!I43, '2nd Qtr'!I43, '3rd Qtr'!I43, '4th Qtr'!I43)</f>
        <v>-8674.23437500002</v>
      </c>
      <c r="J43" s="16">
        <f t="shared" si="8"/>
        <v>-5.165663838948089E-2</v>
      </c>
      <c r="K43" s="14">
        <f>IFERROR(AVERAGE(Jan!K43, Feb!K43, Mar!K43, Apr!K43, May!K43, Jun!K43, Jul!K43, Aug!K43, Sep!K43, Oct!K43, Nov!K43, Dec!K43),"")</f>
        <v>0.96384583000000001</v>
      </c>
      <c r="L43" s="39"/>
      <c r="M43" s="40"/>
    </row>
    <row r="44" spans="1:13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SUM('1st Qtr'!D44, '2nd Qtr'!D44, '3rd Qtr'!D44, '4th Qtr'!D44)</f>
        <v>63153.560944824218</v>
      </c>
      <c r="E44" s="11">
        <f>SUM('1st Qtr'!E44, '2nd Qtr'!E44, '3rd Qtr'!E44, '4th Qtr'!E44)</f>
        <v>53399.206999999995</v>
      </c>
      <c r="F44" s="11">
        <f t="shared" si="6"/>
        <v>9754.3539448242227</v>
      </c>
      <c r="G44" s="12">
        <f t="shared" si="7"/>
        <v>0.18266851687187458</v>
      </c>
      <c r="H44" s="13">
        <f>SUM('1st Qtr'!H44+'2nd Qtr'!H44+'3rd Qtr'!H44+'4th Qtr'!H44)</f>
        <v>80403.421000000002</v>
      </c>
      <c r="I44" s="13">
        <f>SUM('1st Qtr'!I44, '2nd Qtr'!I44, '3rd Qtr'!I44, '4th Qtr'!I44)</f>
        <v>-18405.793629394531</v>
      </c>
      <c r="J44" s="14">
        <f t="shared" si="8"/>
        <v>-0.22891804105442889</v>
      </c>
      <c r="K44" s="14">
        <f>IFERROR(AVERAGE(Jan!K44, Feb!K44, Mar!K44, Apr!K44, May!K44, Jun!K44, Jul!K44, Aug!K44, Sep!K44, Oct!K44, Nov!K44, Dec!K44),"")</f>
        <v>0.96621954999999993</v>
      </c>
      <c r="L44" s="38"/>
      <c r="M44" s="38"/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SUM('1st Qtr'!D45, '2nd Qtr'!D45, '3rd Qtr'!D45, '4th Qtr'!D45)</f>
        <v>247993.4765625</v>
      </c>
      <c r="E45" s="15">
        <f>SUM('1st Qtr'!E45, '2nd Qtr'!E45, '3rd Qtr'!E45, '4th Qtr'!E45)</f>
        <v>261520.41899999999</v>
      </c>
      <c r="F45" s="15">
        <f t="shared" si="6"/>
        <v>-13526.942437499994</v>
      </c>
      <c r="G45" s="16">
        <f t="shared" si="7"/>
        <v>-5.1724230517923707E-2</v>
      </c>
      <c r="H45" s="17">
        <f>SUM('1st Qtr'!H45+'2nd Qtr'!H45+'3rd Qtr'!H45+'4th Qtr'!H45)</f>
        <v>260996</v>
      </c>
      <c r="I45" s="17">
        <f>SUM('1st Qtr'!I45, '2nd Qtr'!I45, '3rd Qtr'!I45, '4th Qtr'!I45)</f>
        <v>-15792.2421875</v>
      </c>
      <c r="J45" s="16">
        <f t="shared" si="8"/>
        <v>-6.0507602367469236E-2</v>
      </c>
      <c r="K45" s="14">
        <f>IFERROR(AVERAGE(Jan!K45, Feb!K45, Mar!K45, Apr!K45, May!K45, Jun!K45, Jul!K45, Aug!K45, Sep!K45, Oct!K45, Nov!K45, Dec!K45),"")</f>
        <v>0.9615201000000001</v>
      </c>
      <c r="L45" s="39"/>
      <c r="M45" s="40"/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SUM('1st Qtr'!D46, '2nd Qtr'!D46, '3rd Qtr'!D46, '4th Qtr'!D46)</f>
        <v>164011.0625</v>
      </c>
      <c r="E46" s="11">
        <f>SUM('1st Qtr'!E46, '2nd Qtr'!E46, '3rd Qtr'!E46, '4th Qtr'!E46)</f>
        <v>172674.29299999998</v>
      </c>
      <c r="F46" s="11">
        <f t="shared" si="6"/>
        <v>-8663.230499999976</v>
      </c>
      <c r="G46" s="12">
        <f t="shared" si="7"/>
        <v>-5.0170933666425825E-2</v>
      </c>
      <c r="H46" s="13">
        <f>SUM('1st Qtr'!H46+'2nd Qtr'!H46+'3rd Qtr'!H46+'4th Qtr'!H46)</f>
        <v>142495.63</v>
      </c>
      <c r="I46" s="13">
        <f>SUM('1st Qtr'!I46, '2nd Qtr'!I46, '3rd Qtr'!I46, '4th Qtr'!I46)</f>
        <v>20730.392500000002</v>
      </c>
      <c r="J46" s="14">
        <f t="shared" si="8"/>
        <v>0.14548090001075822</v>
      </c>
      <c r="K46" s="14">
        <f>IFERROR(AVERAGE(Jan!K46, Feb!K46, Mar!K46, Apr!K46, May!K46, Jun!K46, Jul!K46, Aug!K46, Sep!K46, Oct!K46, Nov!K46, Dec!K46),"")</f>
        <v>0.99113077000000005</v>
      </c>
      <c r="L46" s="38"/>
      <c r="M46" s="38"/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SUM('1st Qtr'!D47, '2nd Qtr'!D47, '3rd Qtr'!D47, '4th Qtr'!D47)</f>
        <v>132416.28125</v>
      </c>
      <c r="E47" s="15">
        <f>SUM('1st Qtr'!E47, '2nd Qtr'!E47, '3rd Qtr'!E47, '4th Qtr'!E47)</f>
        <v>140059.32800000001</v>
      </c>
      <c r="F47" s="15">
        <f t="shared" si="6"/>
        <v>-7643.0467500000086</v>
      </c>
      <c r="G47" s="16">
        <f t="shared" si="7"/>
        <v>-5.4570065836671788E-2</v>
      </c>
      <c r="H47" s="17">
        <f>SUM('1st Qtr'!H47+'2nd Qtr'!H47+'3rd Qtr'!H47+'4th Qtr'!H47)</f>
        <v>123882.22039999999</v>
      </c>
      <c r="I47" s="17">
        <f>SUM('1st Qtr'!I47, '2nd Qtr'!I47, '3rd Qtr'!I47, '4th Qtr'!I47)</f>
        <v>7893.3395999999984</v>
      </c>
      <c r="J47" s="16">
        <f t="shared" si="8"/>
        <v>6.3716484694199091E-2</v>
      </c>
      <c r="K47" s="14">
        <f>IFERROR(AVERAGE(Jan!K47, Feb!K47, Mar!K47, Apr!K47, May!K47, Jun!K47, Jul!K47, Aug!K47, Sep!K47, Oct!K47, Nov!K47, Dec!K47),"")</f>
        <v>0.99391034999999994</v>
      </c>
      <c r="L47" s="39"/>
      <c r="M47" s="40"/>
    </row>
    <row r="48" spans="1:13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SUM('1st Qtr'!D48, '2nd Qtr'!D48, '3rd Qtr'!D48, '4th Qtr'!D48)</f>
        <v>208285.4375</v>
      </c>
      <c r="E48" s="11">
        <f>SUM('1st Qtr'!E48, '2nd Qtr'!E48, '3rd Qtr'!E48, '4th Qtr'!E48)</f>
        <v>235898.56</v>
      </c>
      <c r="F48" s="11">
        <f t="shared" si="6"/>
        <v>-27613.122499999998</v>
      </c>
      <c r="G48" s="12">
        <f t="shared" si="7"/>
        <v>-0.11705507019627419</v>
      </c>
      <c r="H48" s="13">
        <f>SUM('1st Qtr'!H48+'2nd Qtr'!H48+'3rd Qtr'!H48+'4th Qtr'!H48)</f>
        <v>125760</v>
      </c>
      <c r="I48" s="13">
        <f>SUM('1st Qtr'!I48, '2nd Qtr'!I48, '3rd Qtr'!I48, '4th Qtr'!I48)</f>
        <v>73203.0625</v>
      </c>
      <c r="J48" s="14">
        <f t="shared" si="8"/>
        <v>0.58208542064249369</v>
      </c>
      <c r="K48" s="14">
        <f>IFERROR(AVERAGE(Jan!K48, Feb!K48, Mar!K48, Apr!K48, May!K48, Jun!K48, Jul!K48, Aug!K48, Sep!K48, Oct!K48, Nov!K48, Dec!K48),"")</f>
        <v>0.99462930999999999</v>
      </c>
      <c r="L48" s="38"/>
      <c r="M48" s="38"/>
    </row>
    <row r="49" spans="1:13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SUM('1st Qtr'!D49, '2nd Qtr'!D49, '3rd Qtr'!D49, '4th Qtr'!D49)</f>
        <v>146435.84375</v>
      </c>
      <c r="E49" s="15">
        <f>SUM('1st Qtr'!E49, '2nd Qtr'!E49, '3rd Qtr'!E49, '4th Qtr'!E49)</f>
        <v>153308.74</v>
      </c>
      <c r="F49" s="15">
        <f t="shared" si="6"/>
        <v>-6872.8962499999907</v>
      </c>
      <c r="G49" s="16">
        <f t="shared" si="7"/>
        <v>-4.4830426823676141E-2</v>
      </c>
      <c r="H49" s="17">
        <f>SUM('1st Qtr'!H49+'2nd Qtr'!H49+'3rd Qtr'!H49+'4th Qtr'!H49)</f>
        <v>147691.87099999996</v>
      </c>
      <c r="I49" s="17">
        <f>SUM('1st Qtr'!I49, '2nd Qtr'!I49, '3rd Qtr'!I49, '4th Qtr'!I49)</f>
        <v>-1392.8222499999965</v>
      </c>
      <c r="J49" s="16">
        <f t="shared" si="8"/>
        <v>-9.4305952018171463E-3</v>
      </c>
      <c r="K49" s="14">
        <f>IFERROR(AVERAGE(Jan!K49, Feb!K49, Mar!K49, Apr!K49, May!K49, Jun!K49, Jul!K49, Aug!K49, Sep!K49, Oct!K49, Nov!K49, Dec!K49),"")</f>
        <v>0.99242248000000011</v>
      </c>
      <c r="L49" s="39"/>
      <c r="M49" s="40"/>
    </row>
    <row r="50" spans="1:13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SUM('1st Qtr'!D50, '2nd Qtr'!D50, '3rd Qtr'!D50, '4th Qtr'!D50)</f>
        <v>190692</v>
      </c>
      <c r="E50" s="11">
        <f>SUM('1st Qtr'!E50, '2nd Qtr'!E50, '3rd Qtr'!E50, '4th Qtr'!E50)</f>
        <v>212531.54399999999</v>
      </c>
      <c r="F50" s="11">
        <f t="shared" si="6"/>
        <v>-21839.543999999994</v>
      </c>
      <c r="G50" s="12">
        <f t="shared" si="7"/>
        <v>-0.10275907090761076</v>
      </c>
      <c r="H50" s="13">
        <f>SUM('1st Qtr'!H50+'2nd Qtr'!H50+'3rd Qtr'!H50+'4th Qtr'!H50)</f>
        <v>195590.40900000001</v>
      </c>
      <c r="I50" s="13">
        <f>SUM('1st Qtr'!I50, '2nd Qtr'!I50, '3rd Qtr'!I50, '4th Qtr'!I50)</f>
        <v>-4992.1389999999974</v>
      </c>
      <c r="J50" s="14">
        <f t="shared" si="8"/>
        <v>-2.5523434536097303E-2</v>
      </c>
      <c r="K50" s="14">
        <f>IFERROR(AVERAGE(Jan!K50, Feb!K50, Mar!K50, Apr!K50, May!K50, Jun!K50, Jul!K50, Aug!K50, Sep!K50, Oct!K50, Nov!K50, Dec!K50),"")</f>
        <v>0.99290626999999998</v>
      </c>
      <c r="L50" s="38"/>
      <c r="M50" s="38"/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SUM('1st Qtr'!D51, '2nd Qtr'!D51, '3rd Qtr'!D51, '4th Qtr'!D51)</f>
        <v>115007.84375</v>
      </c>
      <c r="E51" s="15">
        <f>SUM('1st Qtr'!E51, '2nd Qtr'!E51, '3rd Qtr'!E51, '4th Qtr'!E51)</f>
        <v>127574.71799999999</v>
      </c>
      <c r="F51" s="15">
        <f t="shared" si="6"/>
        <v>-12566.874249999993</v>
      </c>
      <c r="G51" s="16">
        <f t="shared" si="7"/>
        <v>-9.8505992778286949E-2</v>
      </c>
      <c r="H51" s="17">
        <f>SUM('1st Qtr'!H51+'2nd Qtr'!H51+'3rd Qtr'!H51+'4th Qtr'!H51)</f>
        <v>123745</v>
      </c>
      <c r="I51" s="17">
        <f>SUM('1st Qtr'!I51, '2nd Qtr'!I51, '3rd Qtr'!I51, '4th Qtr'!I51)</f>
        <v>-8179.6875</v>
      </c>
      <c r="J51" s="16">
        <f t="shared" si="8"/>
        <v>-6.6101155602246553E-2</v>
      </c>
      <c r="K51" s="14">
        <f>IFERROR(AVERAGE(Jan!K51, Feb!K51, Mar!K51, Apr!K51, May!K51, Jun!K51, Jul!K51, Aug!K51, Sep!K51, Oct!K51, Nov!K51, Dec!K51),"")</f>
        <v>0.99334701999999986</v>
      </c>
      <c r="L51" s="39"/>
      <c r="M51" s="40"/>
    </row>
    <row r="52" spans="1:13" ht="15.6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SUM('1st Qtr'!D52, '2nd Qtr'!D52, '3rd Qtr'!D52, '4th Qtr'!D52)</f>
        <v>187265.8125</v>
      </c>
      <c r="E52" s="11">
        <f>SUM('1st Qtr'!E52, '2nd Qtr'!E52, '3rd Qtr'!E52, '4th Qtr'!E52)</f>
        <v>225372.785</v>
      </c>
      <c r="F52" s="11">
        <f t="shared" si="6"/>
        <v>-38106.972500000003</v>
      </c>
      <c r="G52" s="12">
        <f t="shared" si="7"/>
        <v>-0.16908417979571047</v>
      </c>
      <c r="H52" s="13">
        <f>SUM('1st Qtr'!H52+'2nd Qtr'!H52+'3rd Qtr'!H52+'4th Qtr'!H52)</f>
        <v>201650.101</v>
      </c>
      <c r="I52" s="13">
        <f>SUM('1st Qtr'!I52, '2nd Qtr'!I52, '3rd Qtr'!I52, '4th Qtr'!I52)</f>
        <v>-30276.752500000006</v>
      </c>
      <c r="J52" s="14">
        <f t="shared" si="8"/>
        <v>-0.15014499050511265</v>
      </c>
      <c r="K52" s="14">
        <f>IFERROR(AVERAGE(Jan!K52, Feb!K52, Mar!K52, Apr!K52, May!K52, Jun!K52, Jul!K52, Aug!K52, Sep!K52, Oct!K52, Nov!K52, Dec!K52),"")</f>
        <v>0.98959511999999994</v>
      </c>
      <c r="L52" s="38"/>
      <c r="M52" s="38"/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SUM('1st Qtr'!D53, '2nd Qtr'!D53, '3rd Qtr'!D53, '4th Qtr'!D53)</f>
        <v>314647.125</v>
      </c>
      <c r="E53" s="15">
        <f>SUM('1st Qtr'!E53, '2nd Qtr'!E53, '3rd Qtr'!E53, '4th Qtr'!E53)</f>
        <v>356999.94</v>
      </c>
      <c r="F53" s="15">
        <f t="shared" si="6"/>
        <v>-42352.815000000002</v>
      </c>
      <c r="G53" s="16">
        <f t="shared" si="7"/>
        <v>-0.11863535607316909</v>
      </c>
      <c r="H53" s="17">
        <f>SUM('1st Qtr'!H53+'2nd Qtr'!H53+'3rd Qtr'!H53+'4th Qtr'!H53)</f>
        <v>244597.10059999998</v>
      </c>
      <c r="I53" s="17">
        <f>SUM('1st Qtr'!I53, '2nd Qtr'!I53, '3rd Qtr'!I53, '4th Qtr'!I53)</f>
        <v>70495.424399999989</v>
      </c>
      <c r="J53" s="16">
        <f t="shared" si="8"/>
        <v>0.28821038445293817</v>
      </c>
      <c r="K53" s="14">
        <f>IFERROR(AVERAGE(Jan!K53, Feb!K53, Mar!K53, Apr!K53, May!K53, Jun!K53, Jul!K53, Aug!K53, Sep!K53, Oct!K53, Nov!K53, Dec!K53),"")</f>
        <v>0.99479958000000013</v>
      </c>
      <c r="L53" s="39"/>
      <c r="M53" s="39"/>
    </row>
    <row r="54" spans="1:13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SUM('1st Qtr'!D54, '2nd Qtr'!D54, '3rd Qtr'!D54, '4th Qtr'!D54)</f>
        <v>250534</v>
      </c>
      <c r="E54" s="11">
        <f>SUM('1st Qtr'!E54, '2nd Qtr'!E54, '3rd Qtr'!E54, '4th Qtr'!E54)</f>
        <v>264918.43800000002</v>
      </c>
      <c r="F54" s="11">
        <f t="shared" si="6"/>
        <v>-14384.438000000024</v>
      </c>
      <c r="G54" s="12">
        <f t="shared" si="7"/>
        <v>-5.4297609893049506E-2</v>
      </c>
      <c r="H54" s="13">
        <f>SUM('1st Qtr'!H54+'2nd Qtr'!H54+'3rd Qtr'!H54+'4th Qtr'!H54)</f>
        <v>267420</v>
      </c>
      <c r="I54" s="13">
        <f>SUM('1st Qtr'!I54, '2nd Qtr'!I54, '3rd Qtr'!I54, '4th Qtr'!I54)</f>
        <v>-16733.375</v>
      </c>
      <c r="J54" s="14">
        <f t="shared" si="8"/>
        <v>-6.2573386433325856E-2</v>
      </c>
      <c r="K54" s="14">
        <f>IFERROR(AVERAGE(Jan!K54, Feb!K54, Mar!K54, Apr!K54, May!K54, Jun!K54, Jul!K54, Aug!K54, Sep!K54, Oct!K54, Nov!K54, Dec!K54),"")</f>
        <v>0.99691094999999996</v>
      </c>
      <c r="L54" s="38"/>
      <c r="M54" s="38"/>
    </row>
    <row r="55" spans="1:13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SUM('1st Qtr'!D55, '2nd Qtr'!D55, '3rd Qtr'!D55, '4th Qtr'!D55)</f>
        <v>108023.59375</v>
      </c>
      <c r="E55" s="15">
        <f>SUM('1st Qtr'!E55, '2nd Qtr'!E55, '3rd Qtr'!E55, '4th Qtr'!E55)</f>
        <v>128470.43299999999</v>
      </c>
      <c r="F55" s="15">
        <f t="shared" si="6"/>
        <v>-20446.83924999999</v>
      </c>
      <c r="G55" s="16">
        <f t="shared" si="7"/>
        <v>-0.15915599233638444</v>
      </c>
      <c r="H55" s="17">
        <f>SUM('1st Qtr'!H55+'2nd Qtr'!H55+'3rd Qtr'!H55+'4th Qtr'!H55)</f>
        <v>94449.092099999994</v>
      </c>
      <c r="I55" s="17">
        <f>SUM('1st Qtr'!I55, '2nd Qtr'!I55, '3rd Qtr'!I55, '4th Qtr'!I55)</f>
        <v>5196.8792999999987</v>
      </c>
      <c r="J55" s="16">
        <f t="shared" si="8"/>
        <v>5.5023073112208339E-2</v>
      </c>
      <c r="K55" s="14">
        <f>IFERROR(AVERAGE(Jan!K55, Feb!K55, Mar!K55, Apr!K55, May!K55, Jun!K55, Jul!K55, Aug!K55, Sep!K55, Oct!K55, Nov!K55, Dec!K55),"")</f>
        <v>0.99474854999999995</v>
      </c>
      <c r="L55" s="39"/>
      <c r="M55" s="40"/>
    </row>
    <row r="56" spans="1:13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SUM('1st Qtr'!D56, '2nd Qtr'!D56, '3rd Qtr'!D56, '4th Qtr'!D56)</f>
        <v>422087.6875</v>
      </c>
      <c r="E56" s="11">
        <f>SUM('1st Qtr'!E56, '2nd Qtr'!E56, '3rd Qtr'!E56, '4th Qtr'!E56)</f>
        <v>463492.25</v>
      </c>
      <c r="F56" s="11">
        <f t="shared" si="6"/>
        <v>-41404.5625</v>
      </c>
      <c r="G56" s="12">
        <f t="shared" si="7"/>
        <v>-8.9331725611377533E-2</v>
      </c>
      <c r="H56" s="13">
        <f>SUM('1st Qtr'!H56+'2nd Qtr'!H56+'3rd Qtr'!H56+'4th Qtr'!H56)</f>
        <v>434559</v>
      </c>
      <c r="I56" s="13">
        <f>SUM('1st Qtr'!I56, '2nd Qtr'!I56, '3rd Qtr'!I56, '4th Qtr'!I56)</f>
        <v>-19510.375</v>
      </c>
      <c r="J56" s="14">
        <f t="shared" si="8"/>
        <v>-4.489695300292941E-2</v>
      </c>
      <c r="K56" s="14">
        <f>IFERROR(AVERAGE(Jan!K56, Feb!K56, Mar!K56, Apr!K56, May!K56, Jun!K56, Jul!K56, Aug!K56, Sep!K56, Oct!K56, Nov!K56, Dec!K56),"")</f>
        <v>0.99912247999999992</v>
      </c>
      <c r="L56" s="38"/>
      <c r="M56" s="38"/>
    </row>
    <row r="57" spans="1:13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SUM('1st Qtr'!D57, '2nd Qtr'!D57, '3rd Qtr'!D57, '4th Qtr'!D57)</f>
        <v>462184.875</v>
      </c>
      <c r="E57" s="15">
        <f>SUM('1st Qtr'!E57, '2nd Qtr'!E57, '3rd Qtr'!E57, '4th Qtr'!E57)</f>
        <v>504420.54</v>
      </c>
      <c r="F57" s="15">
        <f t="shared" si="6"/>
        <v>-42235.664999999979</v>
      </c>
      <c r="G57" s="16">
        <f t="shared" si="7"/>
        <v>-8.3731057026345479E-2</v>
      </c>
      <c r="H57" s="17">
        <f>SUM('1st Qtr'!H57+'2nd Qtr'!H57+'3rd Qtr'!H57+'4th Qtr'!H57)</f>
        <v>479661.15</v>
      </c>
      <c r="I57" s="17">
        <f>SUM('1st Qtr'!I57, '2nd Qtr'!I57, '3rd Qtr'!I57, '4th Qtr'!I57)</f>
        <v>-19691.254999999997</v>
      </c>
      <c r="J57" s="16">
        <f t="shared" si="8"/>
        <v>-4.10524283653158E-2</v>
      </c>
      <c r="K57" s="14">
        <f>IFERROR(AVERAGE(Jan!K57, Feb!K57, Mar!K57, Apr!K57, May!K57, Jun!K57, Jul!K57, Aug!K57, Sep!K57, Oct!K57, Nov!K57, Dec!K57),"")</f>
        <v>0.99097179000000002</v>
      </c>
      <c r="L57" s="39"/>
      <c r="M57" s="40"/>
    </row>
    <row r="58" spans="1:13" ht="15.6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SUM('1st Qtr'!D58, '2nd Qtr'!D58, '3rd Qtr'!D58, '4th Qtr'!D58)</f>
        <v>427483.859375</v>
      </c>
      <c r="E58" s="11">
        <f>SUM('1st Qtr'!E58, '2nd Qtr'!E58, '3rd Qtr'!E58, '4th Qtr'!E58)</f>
        <v>335376.33</v>
      </c>
      <c r="F58" s="11">
        <f t="shared" si="6"/>
        <v>92107.529374999984</v>
      </c>
      <c r="G58" s="12">
        <f t="shared" si="7"/>
        <v>0.27463932643964462</v>
      </c>
      <c r="H58" s="13">
        <f>SUM('1st Qtr'!H58+'2nd Qtr'!H58+'3rd Qtr'!H58+'4th Qtr'!H58)</f>
        <v>618533</v>
      </c>
      <c r="I58" s="13">
        <f>SUM('1st Qtr'!I58, '2nd Qtr'!I58, '3rd Qtr'!I58, '4th Qtr'!I58)</f>
        <v>-84128.765625</v>
      </c>
      <c r="J58" s="14">
        <f t="shared" si="8"/>
        <v>-0.1360133826731961</v>
      </c>
      <c r="K58" s="14">
        <f>IFERROR(AVERAGE(Jan!K58, Feb!K58, Mar!K58, Apr!K58, May!K58, Jun!K58, Jul!K58, Aug!K58, Sep!K58, Oct!K58, Nov!K58, Dec!K58),"")</f>
        <v>0.68957374999999987</v>
      </c>
      <c r="L58" s="38"/>
      <c r="M58" s="38"/>
    </row>
    <row r="59" spans="1:13" ht="15.6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SUM('1st Qtr'!D59, '2nd Qtr'!D59, '3rd Qtr'!D59, '4th Qtr'!D59)</f>
        <v>521941.75</v>
      </c>
      <c r="E59" s="15">
        <f>SUM('1st Qtr'!E59, '2nd Qtr'!E59, '3rd Qtr'!E59, '4th Qtr'!E59)</f>
        <v>431111.52999999997</v>
      </c>
      <c r="F59" s="15">
        <f t="shared" si="6"/>
        <v>90830.22000000003</v>
      </c>
      <c r="G59" s="16">
        <f t="shared" si="7"/>
        <v>0.21068844992385158</v>
      </c>
      <c r="H59" s="17">
        <f>SUM('1st Qtr'!H59+'2nd Qtr'!H59+'3rd Qtr'!H59+'4th Qtr'!H59)</f>
        <v>587054</v>
      </c>
      <c r="I59" s="17">
        <f>SUM('1st Qtr'!I59, '2nd Qtr'!I59, '3rd Qtr'!I59, '4th Qtr'!I59)</f>
        <v>-71295.548750000104</v>
      </c>
      <c r="J59" s="16">
        <f t="shared" si="8"/>
        <v>-0.12144632137759065</v>
      </c>
      <c r="K59" s="14">
        <f>IFERROR(AVERAGE(Jan!K59, Feb!K59, Mar!K59, Apr!K59, May!K59, Jun!K59, Jul!K59, Aug!K59, Sep!K59, Oct!K59, Nov!K59, Dec!K59),"")</f>
        <v>0.99639105000000006</v>
      </c>
      <c r="L59" s="39"/>
      <c r="M59" s="40"/>
    </row>
    <row r="60" spans="1:13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SUM('1st Qtr'!D60, '2nd Qtr'!D60, '3rd Qtr'!D60, '4th Qtr'!D60)</f>
        <v>391902.22281250008</v>
      </c>
      <c r="E60" s="11">
        <f>SUM('1st Qtr'!E60, '2nd Qtr'!E60, '3rd Qtr'!E60, '4th Qtr'!E60)</f>
        <v>0</v>
      </c>
      <c r="F60" s="11">
        <f t="shared" si="6"/>
        <v>391902.22281250008</v>
      </c>
      <c r="G60" s="12" t="str">
        <f t="shared" si="7"/>
        <v/>
      </c>
      <c r="H60" s="13">
        <f>SUM('1st Qtr'!H60+'2nd Qtr'!H60+'3rd Qtr'!H60+'4th Qtr'!H60)</f>
        <v>414579.79000000004</v>
      </c>
      <c r="I60" s="13">
        <f>SUM('1st Qtr'!I60, '2nd Qtr'!I60, '3rd Qtr'!I60, '4th Qtr'!I60)</f>
        <v>-21836.782187499892</v>
      </c>
      <c r="J60" s="14">
        <f t="shared" si="8"/>
        <v>-5.2672085601422801E-2</v>
      </c>
      <c r="K60" s="14">
        <f>IFERROR(AVERAGE(Jan!K60, Feb!K60, Mar!K60, Apr!K60, May!K60, Jun!K60, Jul!K60, Aug!K60, Sep!K60, Oct!K60, Nov!K60, Dec!K60),"")</f>
        <v>1</v>
      </c>
      <c r="L60" s="38"/>
      <c r="M60" s="38"/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SUM('1st Qtr'!D61, '2nd Qtr'!D61, '3rd Qtr'!D61, '4th Qtr'!D61)</f>
        <v>605047.75</v>
      </c>
      <c r="E61" s="15">
        <f>SUM('1st Qtr'!E61, '2nd Qtr'!E61, '3rd Qtr'!E61, '4th Qtr'!E61)</f>
        <v>644481.7300000001</v>
      </c>
      <c r="F61" s="15">
        <f t="shared" si="6"/>
        <v>-39433.980000000098</v>
      </c>
      <c r="G61" s="16">
        <f t="shared" si="7"/>
        <v>-6.1187118523903065E-2</v>
      </c>
      <c r="H61" s="17">
        <f>SUM('1st Qtr'!H61+'2nd Qtr'!H61+'3rd Qtr'!H61+'4th Qtr'!H61)</f>
        <v>623992.06000000006</v>
      </c>
      <c r="I61" s="17">
        <f>SUM('1st Qtr'!I61, '2nd Qtr'!I61, '3rd Qtr'!I61, '4th Qtr'!I61)</f>
        <v>-27119.165000000001</v>
      </c>
      <c r="J61" s="16">
        <f t="shared" si="8"/>
        <v>-4.3460753330739496E-2</v>
      </c>
      <c r="K61" s="14">
        <f>IFERROR(AVERAGE(Jan!K61, Feb!K61, Mar!K61, Apr!K61, May!K61, Jun!K61, Jul!K61, Aug!K61, Sep!K61, Oct!K61, Nov!K61, Dec!K61),"")</f>
        <v>0.99354320000000007</v>
      </c>
      <c r="L61" s="39"/>
      <c r="M61" s="40"/>
    </row>
    <row r="62" spans="1:13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SUM('1st Qtr'!D62, '2nd Qtr'!D62, '3rd Qtr'!D62, '4th Qtr'!D62)</f>
        <v>53365.399999999994</v>
      </c>
      <c r="E62" s="11">
        <f>SUM('1st Qtr'!E62, '2nd Qtr'!E62, '3rd Qtr'!E62, '4th Qtr'!E62)</f>
        <v>0</v>
      </c>
      <c r="F62" s="11">
        <f t="shared" si="6"/>
        <v>53365.399999999994</v>
      </c>
      <c r="G62" s="12" t="str">
        <f t="shared" si="7"/>
        <v/>
      </c>
      <c r="H62" s="13">
        <f>SUM('1st Qtr'!H62+'2nd Qtr'!H62+'3rd Qtr'!H62+'4th Qtr'!H62)</f>
        <v>57003.743000000002</v>
      </c>
      <c r="I62" s="13">
        <f>SUM('1st Qtr'!I62, '2nd Qtr'!I62, '3rd Qtr'!I62, '4th Qtr'!I62)</f>
        <v>-4439.1800000000221</v>
      </c>
      <c r="J62" s="14">
        <f t="shared" si="8"/>
        <v>-7.7875237069959108E-2</v>
      </c>
      <c r="K62" s="14">
        <f>IFERROR(AVERAGE(Jan!K62, Feb!K62, Mar!K62, Apr!K62, May!K62, Jun!K62, Jul!K62, Aug!K62, Sep!K62, Oct!K62, Nov!K62, Dec!K62),"")</f>
        <v>0.99122050000000006</v>
      </c>
      <c r="L62" s="38"/>
      <c r="M62" s="38"/>
    </row>
    <row r="63" spans="1:13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SUM('1st Qtr'!D63, '2nd Qtr'!D63, '3rd Qtr'!D63, '4th Qtr'!D63)</f>
        <v>234695.23281250001</v>
      </c>
      <c r="E63" s="15">
        <f>SUM('1st Qtr'!E63, '2nd Qtr'!E63, '3rd Qtr'!E63, '4th Qtr'!E63)</f>
        <v>253913.59</v>
      </c>
      <c r="F63" s="15">
        <f t="shared" si="6"/>
        <v>-19218.357187499991</v>
      </c>
      <c r="G63" s="16">
        <f t="shared" si="7"/>
        <v>-7.5688572586839448E-2</v>
      </c>
      <c r="H63" s="17">
        <f>SUM('1st Qtr'!H63+'2nd Qtr'!H63+'3rd Qtr'!H63+'4th Qtr'!H63)</f>
        <v>219339</v>
      </c>
      <c r="I63" s="17">
        <f>SUM('1st Qtr'!I63, '2nd Qtr'!I63, '3rd Qtr'!I63, '4th Qtr'!I63)</f>
        <v>11865.1859375</v>
      </c>
      <c r="J63" s="16">
        <f t="shared" si="8"/>
        <v>5.4095194823993914E-2</v>
      </c>
      <c r="K63" s="14">
        <f>IFERROR(AVERAGE(Jan!K63, Feb!K63, Mar!K63, Apr!K63, May!K63, Jun!K63, Jul!K63, Aug!K63, Sep!K63, Oct!K63, Nov!K63, Dec!K63),"")</f>
        <v>0.96285303</v>
      </c>
      <c r="L63" s="39"/>
      <c r="M63" s="40"/>
    </row>
    <row r="64" spans="1:13" ht="15.6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SUM('1st Qtr'!D64, '2nd Qtr'!D64, '3rd Qtr'!D64, '4th Qtr'!D64)</f>
        <v>184600.17700000005</v>
      </c>
      <c r="E64" s="11">
        <f>SUM('1st Qtr'!E64, '2nd Qtr'!E64, '3rd Qtr'!E64, '4th Qtr'!E64)</f>
        <v>183584.53999999998</v>
      </c>
      <c r="F64" s="11">
        <f t="shared" si="6"/>
        <v>1015.6370000000752</v>
      </c>
      <c r="G64" s="12">
        <f t="shared" si="7"/>
        <v>5.5322577816197122E-3</v>
      </c>
      <c r="H64" s="13">
        <f>SUM('1st Qtr'!H64+'2nd Qtr'!H64+'3rd Qtr'!H64+'4th Qtr'!H64)</f>
        <v>213391.611</v>
      </c>
      <c r="I64" s="13">
        <f>SUM('1st Qtr'!I64, '2nd Qtr'!I64, '3rd Qtr'!I64, '4th Qtr'!I64)</f>
        <v>-28791.433999999957</v>
      </c>
      <c r="J64" s="14">
        <f t="shared" si="8"/>
        <v>-0.1349229890766416</v>
      </c>
      <c r="K64" s="14" t="str">
        <f>IFERROR(AVERAGE(Jan!K64, Feb!K64, Mar!K64, Apr!K64, May!K64, Jun!K64, Jul!K64, Aug!K64, Sep!K64, Oct!K64, Nov!K64, Dec!K64),"")</f>
        <v/>
      </c>
      <c r="L64" s="38"/>
      <c r="M64" s="38"/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SUM('1st Qtr'!D65, '2nd Qtr'!D65, '3rd Qtr'!D65, '4th Qtr'!D65)</f>
        <v>161936.7833175</v>
      </c>
      <c r="E65" s="15">
        <f>SUM('1st Qtr'!E65, '2nd Qtr'!E65, '3rd Qtr'!E65, '4th Qtr'!E65)</f>
        <v>142156.46000000002</v>
      </c>
      <c r="F65" s="15">
        <f t="shared" si="6"/>
        <v>19780.323317499977</v>
      </c>
      <c r="G65" s="16">
        <f t="shared" si="7"/>
        <v>0.13914473754833212</v>
      </c>
      <c r="H65" s="17">
        <f>SUM('1st Qtr'!H65+'2nd Qtr'!H65+'3rd Qtr'!H65+'4th Qtr'!H65)</f>
        <v>153102.16999999998</v>
      </c>
      <c r="I65" s="17">
        <f>SUM('1st Qtr'!I65, '2nd Qtr'!I65, '3rd Qtr'!I65, '4th Qtr'!I65)</f>
        <v>8834.6133175000032</v>
      </c>
      <c r="J65" s="16">
        <f t="shared" si="8"/>
        <v>5.7704037228864906E-2</v>
      </c>
      <c r="K65" s="14" t="str">
        <f>IFERROR(AVERAGE(Jan!K65, Feb!K65, Mar!K65, Apr!K65, May!K65, Jun!K65, Jul!K65, Aug!K65, Sep!K65, Oct!K65, Nov!K65, Dec!K65),"")</f>
        <v/>
      </c>
      <c r="L65" s="39"/>
      <c r="M65" s="39"/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SUM('1st Qtr'!D66, '2nd Qtr'!D66, '3rd Qtr'!D66, '4th Qtr'!D66)</f>
        <v>143181.96700000003</v>
      </c>
      <c r="E66" s="11">
        <f>SUM('1st Qtr'!E66, '2nd Qtr'!E66, '3rd Qtr'!E66, '4th Qtr'!E66)</f>
        <v>156692.00599999999</v>
      </c>
      <c r="F66" s="11">
        <f t="shared" si="6"/>
        <v>-13510.038999999961</v>
      </c>
      <c r="G66" s="12">
        <f t="shared" si="7"/>
        <v>-8.6220346173881787E-2</v>
      </c>
      <c r="H66" s="13">
        <f>SUM('1st Qtr'!H66+'2nd Qtr'!H66+'3rd Qtr'!H66+'4th Qtr'!H66)</f>
        <v>188033.652</v>
      </c>
      <c r="I66" s="13">
        <f>SUM('1st Qtr'!I66, '2nd Qtr'!I66, '3rd Qtr'!I66, '4th Qtr'!I66)</f>
        <v>-44851.684999999969</v>
      </c>
      <c r="J66" s="14">
        <f t="shared" si="8"/>
        <v>-0.23853009566606709</v>
      </c>
      <c r="K66" s="14" t="str">
        <f>IFERROR(AVERAGE(Jan!K66, Feb!K66, Mar!K66, Apr!K66, May!K66, Jun!K66, Jul!K66, Aug!K66, Sep!K66, Oct!K66, Nov!K66, Dec!K66),"")</f>
        <v/>
      </c>
      <c r="L66" s="38"/>
      <c r="M66" s="38"/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SUM('1st Qtr'!D67, '2nd Qtr'!D67, '3rd Qtr'!D67, '4th Qtr'!D67)</f>
        <v>246584.53625</v>
      </c>
      <c r="E67" s="15">
        <f>SUM('1st Qtr'!E67, '2nd Qtr'!E67, '3rd Qtr'!E67, '4th Qtr'!E67)</f>
        <v>267035.413</v>
      </c>
      <c r="F67" s="15">
        <f t="shared" si="6"/>
        <v>-20450.876749999996</v>
      </c>
      <c r="G67" s="16">
        <f t="shared" si="7"/>
        <v>-7.6584886327417542E-2</v>
      </c>
      <c r="H67" s="17">
        <f>SUM('1st Qtr'!H67+'2nd Qtr'!H67+'3rd Qtr'!H67+'4th Qtr'!H67)</f>
        <v>214206.54099999997</v>
      </c>
      <c r="I67" s="17">
        <f>SUM('1st Qtr'!I67, '2nd Qtr'!I67, '3rd Qtr'!I67, '4th Qtr'!I67)</f>
        <v>32377.99525</v>
      </c>
      <c r="J67" s="16">
        <f t="shared" si="8"/>
        <v>0.15115315853029906</v>
      </c>
      <c r="K67" s="14" t="str">
        <f>IFERROR(AVERAGE(Jan!K67, Feb!K67, Mar!K67, Apr!K67, May!K67, Jun!K67, Jul!K67, Aug!K67, Sep!K67, Oct!K67, Nov!K67, Dec!K67),"")</f>
        <v/>
      </c>
      <c r="L67" s="39"/>
      <c r="M67" s="40"/>
    </row>
    <row r="68" spans="1:13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SUM('1st Qtr'!D68, '2nd Qtr'!D68, '3rd Qtr'!D68, '4th Qtr'!D68)</f>
        <v>239952.04613</v>
      </c>
      <c r="E68" s="11">
        <f>SUM('1st Qtr'!E68, '2nd Qtr'!E68, '3rd Qtr'!E68, '4th Qtr'!E68)</f>
        <v>26914</v>
      </c>
      <c r="F68" s="11">
        <f t="shared" si="6"/>
        <v>213038.04613</v>
      </c>
      <c r="G68" s="12">
        <f t="shared" si="7"/>
        <v>7.9155103711822843</v>
      </c>
      <c r="H68" s="13">
        <f>SUM('1st Qtr'!H68+'2nd Qtr'!H68+'3rd Qtr'!H68+'4th Qtr'!H68)</f>
        <v>98657</v>
      </c>
      <c r="I68" s="13">
        <f>SUM('1st Qtr'!I68, '2nd Qtr'!I68, '3rd Qtr'!I68, '4th Qtr'!I68)</f>
        <v>141295.04613</v>
      </c>
      <c r="J68" s="14">
        <f t="shared" si="8"/>
        <v>1.4321847018457889</v>
      </c>
      <c r="K68" s="14" t="str">
        <f>IFERROR(AVERAGE(Jan!K68, Feb!K68, Mar!K68, Apr!K68, May!K68, Jun!K68, Jul!K68, Aug!K68, Sep!K68, Oct!K68, Nov!K68, Dec!K68),"")</f>
        <v/>
      </c>
      <c r="L68" s="38"/>
      <c r="M68" s="38"/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SUM('1st Qtr'!D69, '2nd Qtr'!D69, '3rd Qtr'!D69, '4th Qtr'!D69)</f>
        <v>173330.677505</v>
      </c>
      <c r="E69" s="15">
        <f>SUM('1st Qtr'!E69, '2nd Qtr'!E69, '3rd Qtr'!E69, '4th Qtr'!E69)</f>
        <v>20954.990000000002</v>
      </c>
      <c r="F69" s="15">
        <f t="shared" si="6"/>
        <v>152375.68750500001</v>
      </c>
      <c r="G69" s="16">
        <f t="shared" si="7"/>
        <v>7.2715705187642659</v>
      </c>
      <c r="H69" s="17">
        <f>SUM('1st Qtr'!H69+'2nd Qtr'!H69+'3rd Qtr'!H69+'4th Qtr'!H69)</f>
        <v>78891</v>
      </c>
      <c r="I69" s="17">
        <f>SUM('1st Qtr'!I69, '2nd Qtr'!I69, '3rd Qtr'!I69, '4th Qtr'!I69)</f>
        <v>94439.677505</v>
      </c>
      <c r="J69" s="16">
        <f t="shared" si="8"/>
        <v>1.1970906377787074</v>
      </c>
      <c r="K69" s="14" t="str">
        <f>IFERROR(AVERAGE(Jan!K69, Feb!K69, Mar!K69, Apr!K69, May!K69, Jun!K69, Jul!K69, Aug!K69, Sep!K69, Oct!K69, Nov!K69, Dec!K69),"")</f>
        <v/>
      </c>
      <c r="L69" s="39"/>
      <c r="M69" s="40"/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SUM('1st Qtr'!D70, '2nd Qtr'!D70, '3rd Qtr'!D70, '4th Qtr'!D70)</f>
        <v>339142.30170208105</v>
      </c>
      <c r="E70" s="11">
        <f>SUM('1st Qtr'!E70, '2nd Qtr'!E70, '3rd Qtr'!E70, '4th Qtr'!E70)</f>
        <v>361357.99000000005</v>
      </c>
      <c r="F70" s="11">
        <f t="shared" si="6"/>
        <v>-22215.688297918998</v>
      </c>
      <c r="G70" s="12">
        <f t="shared" si="7"/>
        <v>-6.1478337030596707E-2</v>
      </c>
      <c r="H70" s="13">
        <f>SUM('1st Qtr'!H70+'2nd Qtr'!H70+'3rd Qtr'!H70+'4th Qtr'!H70)</f>
        <v>339534</v>
      </c>
      <c r="I70" s="13">
        <f>SUM('1st Qtr'!I70, '2nd Qtr'!I70, '3rd Qtr'!I70, '4th Qtr'!I70)</f>
        <v>-6919.2979232551315</v>
      </c>
      <c r="J70" s="14">
        <f t="shared" si="8"/>
        <v>-2.03788071982633E-2</v>
      </c>
      <c r="K70" s="14">
        <f>IFERROR(AVERAGE(Jan!K70, Feb!K70, Mar!K70, Apr!K70, May!K70, Jun!K70, Jul!K70, Aug!K70, Sep!K70, Oct!K70, Nov!K70, Dec!K70),"")</f>
        <v>0.99939341000000004</v>
      </c>
      <c r="L70" s="38"/>
      <c r="M70" s="38"/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SUM('1st Qtr'!D71, '2nd Qtr'!D71, '3rd Qtr'!D71, '4th Qtr'!D71)</f>
        <v>185752.47875976563</v>
      </c>
      <c r="E71" s="15">
        <f>SUM('1st Qtr'!E71, '2nd Qtr'!E71, '3rd Qtr'!E71, '4th Qtr'!E71)</f>
        <v>161514.78899999999</v>
      </c>
      <c r="F71" s="15">
        <f t="shared" si="6"/>
        <v>24237.689759765635</v>
      </c>
      <c r="G71" s="16">
        <f t="shared" si="7"/>
        <v>0.15006483251366931</v>
      </c>
      <c r="H71" s="17">
        <f>SUM('1st Qtr'!H71+'2nd Qtr'!H71+'3rd Qtr'!H71+'4th Qtr'!H71)</f>
        <v>187740.67800000001</v>
      </c>
      <c r="I71" s="17">
        <f>SUM('1st Qtr'!I71, '2nd Qtr'!I71, '3rd Qtr'!I71, '4th Qtr'!I71)</f>
        <v>-5123.9336152343803</v>
      </c>
      <c r="J71" s="16">
        <f t="shared" si="8"/>
        <v>-2.7292612713555771E-2</v>
      </c>
      <c r="K71" s="14">
        <f>IFERROR(AVERAGE(Jan!K71, Feb!K71, Mar!K71, Apr!K71, May!K71, Jun!K71, Jul!K71, Aug!K71, Sep!K71, Oct!K71, Nov!K71, Dec!K71),"")</f>
        <v>0</v>
      </c>
      <c r="L71" s="39"/>
      <c r="M71" s="40"/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SUM('1st Qtr'!D72, '2nd Qtr'!D72, '3rd Qtr'!D72, '4th Qtr'!D72)</f>
        <v>177729.29999999996</v>
      </c>
      <c r="E72" s="11">
        <f>SUM('1st Qtr'!E72, '2nd Qtr'!E72, '3rd Qtr'!E72, '4th Qtr'!E72)</f>
        <v>188272.166</v>
      </c>
      <c r="F72" s="11">
        <f t="shared" si="6"/>
        <v>-10542.866000000038</v>
      </c>
      <c r="G72" s="12">
        <f t="shared" si="7"/>
        <v>-5.5998006630465169E-2</v>
      </c>
      <c r="H72" s="13">
        <f>SUM('1st Qtr'!H72+'2nd Qtr'!H72+'3rd Qtr'!H72+'4th Qtr'!H72)</f>
        <v>74337</v>
      </c>
      <c r="I72" s="13">
        <f>SUM('1st Qtr'!I72, '2nd Qtr'!I72, '3rd Qtr'!I72, '4th Qtr'!I72)</f>
        <v>78385.299999999974</v>
      </c>
      <c r="J72" s="14">
        <f t="shared" si="8"/>
        <v>1.0544587486715897</v>
      </c>
      <c r="K72" s="14" t="str">
        <f>IFERROR(AVERAGE(Jan!K72, Feb!K72, Mar!K72, Apr!K72, May!K72, Jun!K72, Jul!K72, Aug!K72, Sep!K72, Oct!K72, Nov!K72, Dec!K72),"")</f>
        <v/>
      </c>
      <c r="L72" s="38"/>
      <c r="M72" s="38"/>
    </row>
    <row r="73" spans="1:13" ht="15.6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SUM('1st Qtr'!D73, '2nd Qtr'!D73, '3rd Qtr'!D73, '4th Qtr'!D73)</f>
        <v>7050510</v>
      </c>
      <c r="E73" s="15">
        <f>SUM('1st Qtr'!E73, '2nd Qtr'!E73, '3rd Qtr'!E73, '4th Qtr'!E73)</f>
        <v>6934087.5999999996</v>
      </c>
      <c r="F73" s="15">
        <f t="shared" si="6"/>
        <v>116422.40000000037</v>
      </c>
      <c r="G73" s="16">
        <f t="shared" si="7"/>
        <v>1.6789865764026458E-2</v>
      </c>
      <c r="H73" s="17">
        <f>SUM('1st Qtr'!H73+'2nd Qtr'!H73+'3rd Qtr'!H73+'4th Qtr'!H73)</f>
        <v>8354565.3999999994</v>
      </c>
      <c r="I73" s="17">
        <f>SUM('1st Qtr'!I73, '2nd Qtr'!I73, '3rd Qtr'!I73, '4th Qtr'!I73)</f>
        <v>-1357512.6</v>
      </c>
      <c r="J73" s="16">
        <f t="shared" si="8"/>
        <v>-0.16248751850096238</v>
      </c>
      <c r="K73" s="14">
        <f>IFERROR(AVERAGE(Jan!K73, Feb!K73, Mar!K73, Apr!K73, May!K73, Jun!K73, Jul!K73, Aug!K73, Sep!K73, Oct!K73, Nov!K73, Dec!K73),"")</f>
        <v>0.83842254000000005</v>
      </c>
      <c r="L73" s="39"/>
      <c r="M73" s="40"/>
    </row>
    <row r="74" spans="1:13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SUM('1st Qtr'!D74, '2nd Qtr'!D74, '3rd Qtr'!D74, '4th Qtr'!D74)</f>
        <v>8079260.0000000019</v>
      </c>
      <c r="E74" s="11">
        <f>SUM('1st Qtr'!E74, '2nd Qtr'!E74, '3rd Qtr'!E74, '4th Qtr'!E74)</f>
        <v>8966843.1999999993</v>
      </c>
      <c r="F74" s="11">
        <f t="shared" si="6"/>
        <v>-887583.19999999739</v>
      </c>
      <c r="G74" s="12">
        <f t="shared" si="7"/>
        <v>-9.8985025187013131E-2</v>
      </c>
      <c r="H74" s="13">
        <f>SUM('1st Qtr'!H74+'2nd Qtr'!H74+'3rd Qtr'!H74+'4th Qtr'!H74)</f>
        <v>8212855.7000000011</v>
      </c>
      <c r="I74" s="13">
        <f>SUM('1st Qtr'!I74, '2nd Qtr'!I74, '3rd Qtr'!I74, '4th Qtr'!I74)</f>
        <v>-287440.32499999803</v>
      </c>
      <c r="J74" s="14">
        <f t="shared" si="8"/>
        <v>-3.4998828117727428E-2</v>
      </c>
      <c r="K74" s="14">
        <f>IFERROR(AVERAGE(Jan!K74, Feb!K74, Mar!K74, Apr!K74, May!K74, Jun!K74, Jul!K74, Aug!K74, Sep!K74, Oct!K74, Nov!K74, Dec!K74),"")</f>
        <v>0.97979484999999999</v>
      </c>
      <c r="L74" s="38"/>
      <c r="M74" s="38"/>
    </row>
    <row r="75" spans="1:13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SUM('1st Qtr'!D75, '2nd Qtr'!D75, '3rd Qtr'!D75, '4th Qtr'!D75)</f>
        <v>2632928</v>
      </c>
      <c r="E75" s="15">
        <f>SUM('1st Qtr'!E75, '2nd Qtr'!E75, '3rd Qtr'!E75, '4th Qtr'!E75)</f>
        <v>1098552.5380000002</v>
      </c>
      <c r="F75" s="15">
        <f t="shared" si="6"/>
        <v>1534375.4619999998</v>
      </c>
      <c r="G75" s="16">
        <f t="shared" si="7"/>
        <v>1.3967246981136185</v>
      </c>
      <c r="H75" s="17">
        <f>SUM('1st Qtr'!H75+'2nd Qtr'!H75+'3rd Qtr'!H75+'4th Qtr'!H75)</f>
        <v>2892421.18</v>
      </c>
      <c r="I75" s="17">
        <f>SUM('1st Qtr'!I75, '2nd Qtr'!I75, '3rd Qtr'!I75, '4th Qtr'!I75)</f>
        <v>-254949.00000000009</v>
      </c>
      <c r="J75" s="16">
        <f t="shared" si="8"/>
        <v>-8.8143802072421576E-2</v>
      </c>
      <c r="K75" s="14">
        <f>IFERROR(AVERAGE(Jan!K75, Feb!K75, Mar!K75, Apr!K75, May!K75, Jun!K75, Jul!K75, Aug!K75, Sep!K75, Oct!K75, Nov!K75, Dec!K75),"")</f>
        <v>0.97852222222222218</v>
      </c>
      <c r="L75" s="39"/>
      <c r="M75" s="40"/>
    </row>
    <row r="76" spans="1:13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SUM('1st Qtr'!D76, '2nd Qtr'!D76, '3rd Qtr'!D76, '4th Qtr'!D76)</f>
        <v>2688038</v>
      </c>
      <c r="E76" s="11">
        <f>SUM('1st Qtr'!E76, '2nd Qtr'!E76, '3rd Qtr'!E76, '4th Qtr'!E76)</f>
        <v>2730309.2450000001</v>
      </c>
      <c r="F76" s="11">
        <f t="shared" si="6"/>
        <v>-42271.245000000112</v>
      </c>
      <c r="G76" s="12">
        <f t="shared" si="7"/>
        <v>-1.5482218755040736E-2</v>
      </c>
      <c r="H76" s="13">
        <f>SUM('1st Qtr'!H76+'2nd Qtr'!H76+'3rd Qtr'!H76+'4th Qtr'!H76)</f>
        <v>2867917.44</v>
      </c>
      <c r="I76" s="13">
        <f>SUM('1st Qtr'!I76, '2nd Qtr'!I76, '3rd Qtr'!I76, '4th Qtr'!I76)</f>
        <v>-177874.04000000004</v>
      </c>
      <c r="J76" s="14">
        <f t="shared" si="8"/>
        <v>-6.2022022502851423E-2</v>
      </c>
      <c r="K76" s="14">
        <f>IFERROR(AVERAGE(Jan!K76, Feb!K76, Mar!K76, Apr!K76, May!K76, Jun!K76, Jul!K76, Aug!K76, Sep!K76, Oct!K76, Nov!K76, Dec!K76),"")</f>
        <v>0.98777777777777787</v>
      </c>
      <c r="L76" s="38"/>
      <c r="M76" s="38"/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SUM('1st Qtr'!D77, '2nd Qtr'!D77, '3rd Qtr'!D77, '4th Qtr'!D77)</f>
        <v>2475865</v>
      </c>
      <c r="E77" s="15">
        <f>SUM('1st Qtr'!E77, '2nd Qtr'!E77, '3rd Qtr'!E77, '4th Qtr'!E77)</f>
        <v>2502241.5360000003</v>
      </c>
      <c r="F77" s="15">
        <f t="shared" si="6"/>
        <v>-26376.536000000313</v>
      </c>
      <c r="G77" s="16">
        <f t="shared" si="7"/>
        <v>-1.0541163041424434E-2</v>
      </c>
      <c r="H77" s="17">
        <f>SUM('1st Qtr'!H77+'2nd Qtr'!H77+'3rd Qtr'!H77+'4th Qtr'!H77)</f>
        <v>2728577.8</v>
      </c>
      <c r="I77" s="17">
        <f>SUM('1st Qtr'!I77, '2nd Qtr'!I77, '3rd Qtr'!I77, '4th Qtr'!I77)</f>
        <v>-246524.72999999995</v>
      </c>
      <c r="J77" s="16">
        <f t="shared" si="8"/>
        <v>-9.0349166514511692E-2</v>
      </c>
      <c r="K77" s="14">
        <f>IFERROR(AVERAGE(Jan!K77, Feb!K77, Mar!K77, Apr!K77, May!K77, Jun!K77, Jul!K77, Aug!K77, Sep!K77, Oct!K77, Nov!K77, Dec!K77),"")</f>
        <v>0.99741111111111125</v>
      </c>
      <c r="L77" s="39"/>
      <c r="M77" s="39"/>
    </row>
    <row r="78" spans="1:13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SUM('1st Qtr'!D78, '2nd Qtr'!D78, '3rd Qtr'!D78, '4th Qtr'!D78)</f>
        <v>2583975</v>
      </c>
      <c r="E78" s="11">
        <f>SUM('1st Qtr'!E78, '2nd Qtr'!E78, '3rd Qtr'!E78, '4th Qtr'!E78)</f>
        <v>2619829.9340000004</v>
      </c>
      <c r="F78" s="11">
        <f t="shared" si="6"/>
        <v>-35854.934000000358</v>
      </c>
      <c r="G78" s="12">
        <f t="shared" si="7"/>
        <v>-1.3685977679190971E-2</v>
      </c>
      <c r="H78" s="13">
        <f>SUM('1st Qtr'!H78+'2nd Qtr'!H78+'3rd Qtr'!H78+'4th Qtr'!H78)</f>
        <v>2878065.4</v>
      </c>
      <c r="I78" s="13">
        <f>SUM('1st Qtr'!I78, '2nd Qtr'!I78, '3rd Qtr'!I78, '4th Qtr'!I78)</f>
        <v>-292245.82000000007</v>
      </c>
      <c r="J78" s="14">
        <f t="shared" si="8"/>
        <v>-0.10154245278790401</v>
      </c>
      <c r="K78" s="14">
        <f>IFERROR(AVERAGE(Jan!K78, Feb!K78, Mar!K78, Apr!K78, May!K78, Jun!K78, Jul!K78, Aug!K78, Sep!K78, Oct!K78, Nov!K78, Dec!K78),"")</f>
        <v>0.97077777777777774</v>
      </c>
      <c r="L78" s="38"/>
      <c r="M78" s="38"/>
    </row>
    <row r="79" spans="1:13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SUM('1st Qtr'!D79, '2nd Qtr'!D79, '3rd Qtr'!D79, '4th Qtr'!D79)</f>
        <v>2738830</v>
      </c>
      <c r="E79" s="15">
        <f>SUM('1st Qtr'!E79, '2nd Qtr'!E79, '3rd Qtr'!E79, '4th Qtr'!E79)</f>
        <v>1339646.42</v>
      </c>
      <c r="F79" s="15">
        <f t="shared" si="6"/>
        <v>1399183.58</v>
      </c>
      <c r="G79" s="16">
        <f t="shared" si="7"/>
        <v>1.044442443253049</v>
      </c>
      <c r="H79" s="17">
        <f>SUM('1st Qtr'!H79+'2nd Qtr'!H79+'3rd Qtr'!H79+'4th Qtr'!H79)</f>
        <v>2816371.9399999995</v>
      </c>
      <c r="I79" s="17">
        <f>SUM('1st Qtr'!I79, '2nd Qtr'!I79, '3rd Qtr'!I79, '4th Qtr'!I79)</f>
        <v>-74223.50999999998</v>
      </c>
      <c r="J79" s="16">
        <f t="shared" si="8"/>
        <v>-2.6354299638420627E-2</v>
      </c>
      <c r="K79" s="14">
        <f>IFERROR(AVERAGE(Jan!K79, Feb!K79, Mar!K79, Apr!K79, May!K79, Jun!K79, Jul!K79, Aug!K79, Sep!K79, Oct!K79, Nov!K79, Dec!K79),"")</f>
        <v>0.99715555555555546</v>
      </c>
      <c r="L79" s="39"/>
      <c r="M79" s="40"/>
    </row>
    <row r="80" spans="1:13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SUM('1st Qtr'!D80, '2nd Qtr'!D80, '3rd Qtr'!D80, '4th Qtr'!D80)</f>
        <v>2123452</v>
      </c>
      <c r="E80" s="11">
        <f>SUM('1st Qtr'!E80, '2nd Qtr'!E80, '3rd Qtr'!E80, '4th Qtr'!E80)</f>
        <v>2939254.14</v>
      </c>
      <c r="F80" s="11">
        <f t="shared" si="6"/>
        <v>-815802.14000000013</v>
      </c>
      <c r="G80" s="12">
        <f t="shared" si="7"/>
        <v>-0.27755413487314168</v>
      </c>
      <c r="H80" s="13">
        <f>SUM('1st Qtr'!H80+'2nd Qtr'!H80+'3rd Qtr'!H80+'4th Qtr'!H80)</f>
        <v>2480657.62</v>
      </c>
      <c r="I80" s="13">
        <f>SUM('1st Qtr'!I80, '2nd Qtr'!I80, '3rd Qtr'!I80, '4th Qtr'!I80)</f>
        <v>-353692.67</v>
      </c>
      <c r="J80" s="14">
        <f t="shared" si="8"/>
        <v>-0.14258020419601475</v>
      </c>
      <c r="K80" s="14" t="str">
        <f>IFERROR(AVERAGE(Jan!K80, Feb!K80, Mar!K80, Apr!K80, May!K80, Jun!K80, Jul!K80, Aug!K80, Sep!K80, Oct!K80, Nov!K80, Dec!K80),"")</f>
        <v/>
      </c>
      <c r="L80" s="38"/>
      <c r="M80" s="38"/>
    </row>
    <row r="81" spans="1:13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SUM('1st Qtr'!D81, '2nd Qtr'!D81, '3rd Qtr'!D81, '4th Qtr'!D81)</f>
        <v>2009461</v>
      </c>
      <c r="E81" s="15">
        <f>SUM('1st Qtr'!E81, '2nd Qtr'!E81, '3rd Qtr'!E81, '4th Qtr'!E81)</f>
        <v>2502327.091</v>
      </c>
      <c r="F81" s="15">
        <f t="shared" si="6"/>
        <v>-492866.09100000001</v>
      </c>
      <c r="G81" s="16">
        <f t="shared" si="7"/>
        <v>-0.19696309598080439</v>
      </c>
      <c r="H81" s="17">
        <f>SUM('1st Qtr'!H81+'2nd Qtr'!H81+'3rd Qtr'!H81+'4th Qtr'!H81)</f>
        <v>2405400.29</v>
      </c>
      <c r="I81" s="17">
        <f>SUM('1st Qtr'!I81, '2nd Qtr'!I81, '3rd Qtr'!I81, '4th Qtr'!I81)</f>
        <v>-392508.91000000003</v>
      </c>
      <c r="J81" s="16">
        <f t="shared" si="8"/>
        <v>-0.16317820848021933</v>
      </c>
      <c r="K81" s="14" t="str">
        <f>IFERROR(AVERAGE(Jan!K81, Feb!K81, Mar!K81, Apr!K81, May!K81, Jun!K81, Jul!K81, Aug!K81, Sep!K81, Oct!K81, Nov!K81, Dec!K81),"")</f>
        <v/>
      </c>
      <c r="L81" s="39"/>
      <c r="M81" s="40"/>
    </row>
    <row r="82" spans="1:13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SUM('1st Qtr'!D82, '2nd Qtr'!D82, '3rd Qtr'!D82, '4th Qtr'!D82)</f>
        <v>2701800</v>
      </c>
      <c r="E82" s="11">
        <f>SUM('1st Qtr'!E82, '2nd Qtr'!E82, '3rd Qtr'!E82, '4th Qtr'!E82)</f>
        <v>2965396.156</v>
      </c>
      <c r="F82" s="11">
        <f t="shared" ref="F82:F145" si="9">IF(AND(ISNUMBER(D82),ISNUMBER(E82)), D82-E82, "")</f>
        <v>-263596.15599999996</v>
      </c>
      <c r="G82" s="12">
        <f t="shared" ref="G82:G145" si="10">IFERROR(F82/E82, "")</f>
        <v>-8.8890705367192083E-2</v>
      </c>
      <c r="H82" s="13">
        <f>SUM('1st Qtr'!H82+'2nd Qtr'!H82+'3rd Qtr'!H82+'4th Qtr'!H82)</f>
        <v>2763639.8</v>
      </c>
      <c r="I82" s="13">
        <f>SUM('1st Qtr'!I82, '2nd Qtr'!I82, '3rd Qtr'!I82, '4th Qtr'!I82)</f>
        <v>-58989.500000000044</v>
      </c>
      <c r="J82" s="14">
        <f t="shared" ref="J82:J138" si="11">IFERROR(I82/H82, "")</f>
        <v>-2.1344858327774861E-2</v>
      </c>
      <c r="K82" s="14" t="str">
        <f>IFERROR(AVERAGE(Jan!K82, Feb!K82, Mar!K82, Apr!K82, May!K82, Jun!K82, Jul!K82, Aug!K82, Sep!K82, Oct!K82, Nov!K82, Dec!K82),"")</f>
        <v/>
      </c>
      <c r="L82" s="38"/>
      <c r="M82" s="38"/>
    </row>
    <row r="83" spans="1:13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SUM('1st Qtr'!D83, '2nd Qtr'!D83, '3rd Qtr'!D83, '4th Qtr'!D83)</f>
        <v>3042940</v>
      </c>
      <c r="E83" s="15">
        <f>SUM('1st Qtr'!E83, '2nd Qtr'!E83, '3rd Qtr'!E83, '4th Qtr'!E83)</f>
        <v>2871917.102</v>
      </c>
      <c r="F83" s="15">
        <f t="shared" si="9"/>
        <v>171022.89800000004</v>
      </c>
      <c r="G83" s="16">
        <f t="shared" si="10"/>
        <v>5.9550081679203025E-2</v>
      </c>
      <c r="H83" s="17">
        <f>SUM('1st Qtr'!H83+'2nd Qtr'!H83+'3rd Qtr'!H83+'4th Qtr'!H83)</f>
        <v>3372715.24</v>
      </c>
      <c r="I83" s="17">
        <f>SUM('1st Qtr'!I83, '2nd Qtr'!I83, '3rd Qtr'!I83, '4th Qtr'!I83)</f>
        <v>-324779.52999999997</v>
      </c>
      <c r="J83" s="16">
        <f t="shared" si="11"/>
        <v>-9.629616107169485E-2</v>
      </c>
      <c r="K83" s="14" t="str">
        <f>IFERROR(AVERAGE(Jan!K83, Feb!K83, Mar!K83, Apr!K83, May!K83, Jun!K83, Jul!K83, Aug!K83, Sep!K83, Oct!K83, Nov!K83, Dec!K83),"")</f>
        <v/>
      </c>
      <c r="L83" s="39"/>
      <c r="M83" s="40"/>
    </row>
    <row r="84" spans="1:13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SUM('1st Qtr'!D84, '2nd Qtr'!D84, '3rd Qtr'!D84, '4th Qtr'!D84)</f>
        <v>1701340</v>
      </c>
      <c r="E84" s="11">
        <f>SUM('1st Qtr'!E84, '2nd Qtr'!E84, '3rd Qtr'!E84, '4th Qtr'!E84)</f>
        <v>0</v>
      </c>
      <c r="F84" s="11">
        <f t="shared" si="9"/>
        <v>1701340</v>
      </c>
      <c r="G84" s="12" t="str">
        <f t="shared" si="10"/>
        <v/>
      </c>
      <c r="H84" s="13">
        <f>SUM('1st Qtr'!H84+'2nd Qtr'!H84+'3rd Qtr'!H84+'4th Qtr'!H84)</f>
        <v>3380768.6799999997</v>
      </c>
      <c r="I84" s="13">
        <f>SUM('1st Qtr'!I84, '2nd Qtr'!I84, '3rd Qtr'!I84, '4th Qtr'!I84)</f>
        <v>-722798.68</v>
      </c>
      <c r="J84" s="14">
        <f t="shared" si="11"/>
        <v>-0.2137971415423785</v>
      </c>
      <c r="K84" s="14" t="str">
        <f>IFERROR(AVERAGE(Jan!K84, Feb!K84, Mar!K84, Apr!K84, May!K84, Jun!K84, Jul!K84, Aug!K84, Sep!K84, Oct!K84, Nov!K84, Dec!K84),"")</f>
        <v/>
      </c>
      <c r="L84" s="38"/>
      <c r="M84" s="38"/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SUM('1st Qtr'!D85, '2nd Qtr'!D85, '3rd Qtr'!D85, '4th Qtr'!D85)</f>
        <v>2645248</v>
      </c>
      <c r="E85" s="15">
        <f>SUM('1st Qtr'!E85, '2nd Qtr'!E85, '3rd Qtr'!E85, '4th Qtr'!E85)</f>
        <v>400672</v>
      </c>
      <c r="F85" s="15">
        <f t="shared" si="9"/>
        <v>2244576</v>
      </c>
      <c r="G85" s="16">
        <f t="shared" si="10"/>
        <v>5.6020285919654977</v>
      </c>
      <c r="H85" s="17">
        <f>SUM('1st Qtr'!H85+'2nd Qtr'!H85+'3rd Qtr'!H85+'4th Qtr'!H85)</f>
        <v>1743016.67</v>
      </c>
      <c r="I85" s="17">
        <f>SUM('1st Qtr'!I85, '2nd Qtr'!I85, '3rd Qtr'!I85, '4th Qtr'!I85)</f>
        <v>902231.33000000007</v>
      </c>
      <c r="J85" s="16">
        <f t="shared" si="11"/>
        <v>0.5176263345777411</v>
      </c>
      <c r="K85" s="14" t="str">
        <f>IFERROR(AVERAGE(Jan!K85, Feb!K85, Mar!K85, Apr!K85, May!K85, Jun!K85, Jul!K85, Aug!K85, Sep!K85, Oct!K85, Nov!K85, Dec!K85),"")</f>
        <v/>
      </c>
      <c r="L85" s="39"/>
      <c r="M85" s="40"/>
    </row>
    <row r="86" spans="1:13" ht="15.6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SUM('1st Qtr'!D86, '2nd Qtr'!D86, '3rd Qtr'!D86, '4th Qtr'!D86)</f>
        <v>6897629</v>
      </c>
      <c r="E86" s="11">
        <f>SUM('1st Qtr'!E86, '2nd Qtr'!E86, '3rd Qtr'!E86, '4th Qtr'!E86)</f>
        <v>0</v>
      </c>
      <c r="F86" s="11">
        <f t="shared" si="9"/>
        <v>6897629</v>
      </c>
      <c r="G86" s="12" t="str">
        <f t="shared" si="10"/>
        <v/>
      </c>
      <c r="H86" s="13">
        <f>SUM('1st Qtr'!H86+'2nd Qtr'!H86+'3rd Qtr'!H86+'4th Qtr'!H86)</f>
        <v>7481621.7300000004</v>
      </c>
      <c r="I86" s="13">
        <f>SUM('1st Qtr'!I86, '2nd Qtr'!I86, '3rd Qtr'!I86, '4th Qtr'!I86)</f>
        <v>-583992.7300000001</v>
      </c>
      <c r="J86" s="14">
        <f t="shared" si="11"/>
        <v>-7.8056970944987897E-2</v>
      </c>
      <c r="K86" s="14">
        <f>IFERROR(AVERAGE(Jan!K86, Feb!K86, Mar!K86, Apr!K86, May!K86, Jun!K86, Jul!K86, Aug!K86, Sep!K86, Oct!K86, Nov!K86, Dec!K86),"")</f>
        <v>0.99716666666666653</v>
      </c>
      <c r="L86" s="38"/>
      <c r="M86" s="38"/>
    </row>
    <row r="87" spans="1:13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SUM('1st Qtr'!D87, '2nd Qtr'!D87, '3rd Qtr'!D87, '4th Qtr'!D87)</f>
        <v>6589285</v>
      </c>
      <c r="E87" s="15">
        <f>SUM('1st Qtr'!E87, '2nd Qtr'!E87, '3rd Qtr'!E87, '4th Qtr'!E87)</f>
        <v>0</v>
      </c>
      <c r="F87" s="15">
        <f t="shared" si="9"/>
        <v>6589285</v>
      </c>
      <c r="G87" s="16" t="str">
        <f t="shared" si="10"/>
        <v/>
      </c>
      <c r="H87" s="17">
        <f>SUM('1st Qtr'!H87+'2nd Qtr'!H87+'3rd Qtr'!H87+'4th Qtr'!H87)</f>
        <v>7484835.6599999992</v>
      </c>
      <c r="I87" s="17">
        <f>SUM('1st Qtr'!I87, '2nd Qtr'!I87, '3rd Qtr'!I87, '4th Qtr'!I87)</f>
        <v>-895550.66</v>
      </c>
      <c r="J87" s="16">
        <f t="shared" si="11"/>
        <v>-0.11964867375591785</v>
      </c>
      <c r="K87" s="14">
        <f>IFERROR(AVERAGE(Jan!K87, Feb!K87, Mar!K87, Apr!K87, May!K87, Jun!K87, Jul!K87, Aug!K87, Sep!K87, Oct!K87, Nov!K87, Dec!K87),"")</f>
        <v>0.99407777777777773</v>
      </c>
      <c r="L87" s="39"/>
      <c r="M87" s="40"/>
    </row>
    <row r="88" spans="1:13" ht="15.6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SUM('1st Qtr'!D88, '2nd Qtr'!D88, '3rd Qtr'!D88, '4th Qtr'!D88)</f>
        <v>3016311</v>
      </c>
      <c r="E88" s="11">
        <f>SUM('1st Qtr'!E88, '2nd Qtr'!E88, '3rd Qtr'!E88, '4th Qtr'!E88)</f>
        <v>0</v>
      </c>
      <c r="F88" s="11">
        <f t="shared" si="9"/>
        <v>3016311</v>
      </c>
      <c r="G88" s="12" t="str">
        <f t="shared" si="10"/>
        <v/>
      </c>
      <c r="H88" s="13">
        <f>SUM('1st Qtr'!H88+'2nd Qtr'!H88+'3rd Qtr'!H88+'4th Qtr'!H88)</f>
        <v>3639721.09</v>
      </c>
      <c r="I88" s="13">
        <f>SUM('1st Qtr'!I88, '2nd Qtr'!I88, '3rd Qtr'!I88, '4th Qtr'!I88)</f>
        <v>-623410.09</v>
      </c>
      <c r="J88" s="14">
        <f t="shared" si="11"/>
        <v>-0.17127963230830964</v>
      </c>
      <c r="K88" s="14">
        <f>IFERROR(AVERAGE(Jan!K88, Feb!K88, Mar!K88, Apr!K88, May!K88, Jun!K88, Jul!K88, Aug!K88, Sep!K88, Oct!K88, Nov!K88, Dec!K88),"")</f>
        <v>0.99961111111111123</v>
      </c>
      <c r="L88" s="38"/>
      <c r="M88" s="38"/>
    </row>
    <row r="89" spans="1:13" ht="15.6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SUM('1st Qtr'!D89, '2nd Qtr'!D89, '3rd Qtr'!D89, '4th Qtr'!D89)</f>
        <v>6561747</v>
      </c>
      <c r="E89" s="15">
        <f>SUM('1st Qtr'!E89, '2nd Qtr'!E89, '3rd Qtr'!E89, '4th Qtr'!E89)</f>
        <v>923077</v>
      </c>
      <c r="F89" s="15">
        <f t="shared" si="9"/>
        <v>5638670</v>
      </c>
      <c r="G89" s="16">
        <f t="shared" si="10"/>
        <v>6.1085586576201116</v>
      </c>
      <c r="H89" s="17">
        <f>SUM('1st Qtr'!H89+'2nd Qtr'!H89+'3rd Qtr'!H89+'4th Qtr'!H89)</f>
        <v>4327235.45</v>
      </c>
      <c r="I89" s="17">
        <f>SUM('1st Qtr'!I89, '2nd Qtr'!I89, '3rd Qtr'!I89, '4th Qtr'!I89)</f>
        <v>2234511.5499999998</v>
      </c>
      <c r="J89" s="16">
        <f t="shared" si="11"/>
        <v>0.51638316791844541</v>
      </c>
      <c r="K89" s="14">
        <f>IFERROR(AVERAGE(Jan!K89, Feb!K89, Mar!K89, Apr!K89, May!K89, Jun!K89, Jul!K89, Aug!K89, Sep!K89, Oct!K89, Nov!K89, Dec!K89),"")</f>
        <v>0.99768888888888874</v>
      </c>
      <c r="L89" s="39"/>
      <c r="M89" s="39"/>
    </row>
    <row r="90" spans="1:13" ht="15.6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SUM('1st Qtr'!D90, '2nd Qtr'!D90, '3rd Qtr'!D90, '4th Qtr'!D90)</f>
        <v>6841229</v>
      </c>
      <c r="E90" s="11">
        <f>SUM('1st Qtr'!E90, '2nd Qtr'!E90, '3rd Qtr'!E90, '4th Qtr'!E90)</f>
        <v>0</v>
      </c>
      <c r="F90" s="11">
        <f t="shared" si="9"/>
        <v>6841229</v>
      </c>
      <c r="G90" s="12" t="str">
        <f t="shared" si="10"/>
        <v/>
      </c>
      <c r="H90" s="13">
        <f>SUM('1st Qtr'!H90+'2nd Qtr'!H90+'3rd Qtr'!H90+'4th Qtr'!H90)</f>
        <v>5342634.97</v>
      </c>
      <c r="I90" s="13">
        <f>SUM('1st Qtr'!I90, '2nd Qtr'!I90, '3rd Qtr'!I90, '4th Qtr'!I90)</f>
        <v>1498594.0300000003</v>
      </c>
      <c r="J90" s="14">
        <f t="shared" si="11"/>
        <v>0.28049717759399917</v>
      </c>
      <c r="K90" s="14">
        <f>IFERROR(AVERAGE(Jan!K90, Feb!K90, Mar!K90, Apr!K90, May!K90, Jun!K90, Jul!K90, Aug!K90, Sep!K90, Oct!K90, Nov!K90, Dec!K90),"")</f>
        <v>0.96491111111111094</v>
      </c>
      <c r="L90" s="38"/>
      <c r="M90" s="38"/>
    </row>
    <row r="91" spans="1:13" ht="15.6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SUM('1st Qtr'!D91, '2nd Qtr'!D91, '3rd Qtr'!D91, '4th Qtr'!D91)</f>
        <v>6577646.9066964397</v>
      </c>
      <c r="E91" s="15">
        <f>SUM('1st Qtr'!E91, '2nd Qtr'!E91, '3rd Qtr'!E91, '4th Qtr'!E91)</f>
        <v>6492472.6000000006</v>
      </c>
      <c r="F91" s="15">
        <f t="shared" si="9"/>
        <v>85174.306696439162</v>
      </c>
      <c r="G91" s="16">
        <f t="shared" si="10"/>
        <v>1.3118932022360657E-2</v>
      </c>
      <c r="H91" s="17">
        <f>SUM('1st Qtr'!H91+'2nd Qtr'!H91+'3rd Qtr'!H91+'4th Qtr'!H91)</f>
        <v>6232017</v>
      </c>
      <c r="I91" s="17">
        <f>SUM('1st Qtr'!I91, '2nd Qtr'!I91, '3rd Qtr'!I91, '4th Qtr'!I91)</f>
        <v>244611.98908075795</v>
      </c>
      <c r="J91" s="16">
        <f t="shared" si="11"/>
        <v>3.9250853949974455E-2</v>
      </c>
      <c r="K91" s="14">
        <f>IFERROR(AVERAGE(Jan!K91, Feb!K91, Mar!K91, Apr!K91, May!K91, Jun!K91, Jul!K91, Aug!K91, Sep!K91, Oct!K91, Nov!K91, Dec!K91),"")</f>
        <v>0.98756752000000003</v>
      </c>
      <c r="L91" s="39"/>
      <c r="M91" s="40"/>
    </row>
    <row r="92" spans="1:13" ht="15.6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SUM('1st Qtr'!D92, '2nd Qtr'!D92, '3rd Qtr'!D92, '4th Qtr'!D92)</f>
        <v>3215562</v>
      </c>
      <c r="E92" s="11">
        <f>SUM('1st Qtr'!E92, '2nd Qtr'!E92, '3rd Qtr'!E92, '4th Qtr'!E92)</f>
        <v>482020</v>
      </c>
      <c r="F92" s="11">
        <f t="shared" si="9"/>
        <v>2733542</v>
      </c>
      <c r="G92" s="12">
        <f t="shared" si="10"/>
        <v>5.6710136508858557</v>
      </c>
      <c r="H92" s="13">
        <f>SUM('1st Qtr'!H92+'2nd Qtr'!H92+'3rd Qtr'!H92+'4th Qtr'!H92)</f>
        <v>3554440.74</v>
      </c>
      <c r="I92" s="13">
        <f>SUM('1st Qtr'!I92, '2nd Qtr'!I92, '3rd Qtr'!I92, '4th Qtr'!I92)</f>
        <v>-338878.74</v>
      </c>
      <c r="J92" s="14">
        <f t="shared" si="11"/>
        <v>-9.5339538562682569E-2</v>
      </c>
      <c r="K92" s="14">
        <f>IFERROR(AVERAGE(Jan!K92, Feb!K92, Mar!K92, Apr!K92, May!K92, Jun!K92, Jul!K92, Aug!K92, Sep!K92, Oct!K92, Nov!K92, Dec!K92),"")</f>
        <v>0.99703333333333333</v>
      </c>
      <c r="L92" s="38"/>
      <c r="M92" s="38"/>
    </row>
    <row r="93" spans="1:13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SUM('1st Qtr'!D93, '2nd Qtr'!D93, '3rd Qtr'!D93, '4th Qtr'!D93)</f>
        <v>5578332</v>
      </c>
      <c r="E93" s="15">
        <f>SUM('1st Qtr'!E93, '2nd Qtr'!E93, '3rd Qtr'!E93, '4th Qtr'!E93)</f>
        <v>849596</v>
      </c>
      <c r="F93" s="15">
        <f t="shared" si="9"/>
        <v>4728736</v>
      </c>
      <c r="G93" s="16">
        <f t="shared" si="10"/>
        <v>5.565864246065189</v>
      </c>
      <c r="H93" s="17">
        <f>SUM('1st Qtr'!H93+'2nd Qtr'!H93+'3rd Qtr'!H93+'4th Qtr'!H93)</f>
        <v>4361915.17</v>
      </c>
      <c r="I93" s="17">
        <f>SUM('1st Qtr'!I93, '2nd Qtr'!I93, '3rd Qtr'!I93, '4th Qtr'!I93)</f>
        <v>1216416.83</v>
      </c>
      <c r="J93" s="16">
        <f t="shared" si="11"/>
        <v>0.27887218861250807</v>
      </c>
      <c r="K93" s="14" t="str">
        <f>IFERROR(AVERAGE(Jan!K93, Feb!K93, Mar!K93, Apr!K93, May!K93, Jun!K93, Jul!K93, Aug!K93, Sep!K93, Oct!K93, Nov!K93, Dec!K93),"")</f>
        <v/>
      </c>
      <c r="L93" s="39"/>
      <c r="M93" s="40"/>
    </row>
    <row r="94" spans="1:13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SUM('1st Qtr'!D94, '2nd Qtr'!D94, '3rd Qtr'!D94, '4th Qtr'!D94)</f>
        <v>6919422</v>
      </c>
      <c r="E94" s="11">
        <f>SUM('1st Qtr'!E94, '2nd Qtr'!E94, '3rd Qtr'!E94, '4th Qtr'!E94)</f>
        <v>0</v>
      </c>
      <c r="F94" s="11">
        <f t="shared" si="9"/>
        <v>6919422</v>
      </c>
      <c r="G94" s="12" t="str">
        <f t="shared" si="10"/>
        <v/>
      </c>
      <c r="H94" s="13">
        <f>SUM('1st Qtr'!H94+'2nd Qtr'!H94+'3rd Qtr'!H94+'4th Qtr'!H94)</f>
        <v>4893931.9000000004</v>
      </c>
      <c r="I94" s="13">
        <f>SUM('1st Qtr'!I94, '2nd Qtr'!I94, '3rd Qtr'!I94, '4th Qtr'!I94)</f>
        <v>2025490.1</v>
      </c>
      <c r="J94" s="14">
        <f t="shared" si="11"/>
        <v>0.41387786781422109</v>
      </c>
      <c r="K94" s="14" t="str">
        <f>IFERROR(AVERAGE(Jan!K94, Feb!K94, Mar!K94, Apr!K94, May!K94, Jun!K94, Jul!K94, Aug!K94, Sep!K94, Oct!K94, Nov!K94, Dec!K94),"")</f>
        <v/>
      </c>
      <c r="L94" s="38"/>
      <c r="M94" s="38"/>
    </row>
    <row r="95" spans="1:13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SUM('1st Qtr'!D95, '2nd Qtr'!D95, '3rd Qtr'!D95, '4th Qtr'!D95)</f>
        <v>6930330</v>
      </c>
      <c r="E95" s="15">
        <f>SUM('1st Qtr'!E95, '2nd Qtr'!E95, '3rd Qtr'!E95, '4th Qtr'!E95)</f>
        <v>0</v>
      </c>
      <c r="F95" s="15">
        <f t="shared" si="9"/>
        <v>6930330</v>
      </c>
      <c r="G95" s="16" t="str">
        <f t="shared" si="10"/>
        <v/>
      </c>
      <c r="H95" s="17">
        <f>SUM('1st Qtr'!H95+'2nd Qtr'!H95+'3rd Qtr'!H95+'4th Qtr'!H95)</f>
        <v>4601852.6500000004</v>
      </c>
      <c r="I95" s="17">
        <f>SUM('1st Qtr'!I95, '2nd Qtr'!I95, '3rd Qtr'!I95, '4th Qtr'!I95)</f>
        <v>2328477.35</v>
      </c>
      <c r="J95" s="16">
        <f t="shared" si="11"/>
        <v>0.50598694201997096</v>
      </c>
      <c r="K95" s="14" t="str">
        <f>IFERROR(AVERAGE(Jan!K95, Feb!K95, Mar!K95, Apr!K95, May!K95, Jun!K95, Jul!K95, Aug!K95, Sep!K95, Oct!K95, Nov!K95, Dec!K95),"")</f>
        <v/>
      </c>
      <c r="L95" s="39"/>
      <c r="M95" s="40"/>
    </row>
    <row r="96" spans="1:13" ht="15.6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SUM('1st Qtr'!D96, '2nd Qtr'!D96, '3rd Qtr'!D96, '4th Qtr'!D96)</f>
        <v>5088679.97</v>
      </c>
      <c r="E96" s="11">
        <f>SUM('1st Qtr'!E96, '2nd Qtr'!E96, '3rd Qtr'!E96, '4th Qtr'!E96)</f>
        <v>0</v>
      </c>
      <c r="F96" s="11">
        <f t="shared" si="9"/>
        <v>5088679.97</v>
      </c>
      <c r="G96" s="12" t="str">
        <f t="shared" si="10"/>
        <v/>
      </c>
      <c r="H96" s="13">
        <f>SUM('1st Qtr'!H96+'2nd Qtr'!H96+'3rd Qtr'!H96+'4th Qtr'!H96)</f>
        <v>5114164.67</v>
      </c>
      <c r="I96" s="13">
        <f>SUM('1st Qtr'!I96, '2nd Qtr'!I96, '3rd Qtr'!I96, '4th Qtr'!I96)</f>
        <v>-25484.70000000007</v>
      </c>
      <c r="J96" s="14">
        <f t="shared" si="11"/>
        <v>-4.9831598402559985E-3</v>
      </c>
      <c r="K96" s="14" t="str">
        <f>IFERROR(AVERAGE(Jan!K96, Feb!K96, Mar!K96, Apr!K96, May!K96, Jun!K96, Jul!K96, Aug!K96, Sep!K96, Oct!K96, Nov!K96, Dec!K96),"")</f>
        <v/>
      </c>
      <c r="L96" s="38"/>
      <c r="M96" s="38"/>
    </row>
    <row r="97" spans="1:13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SUM('1st Qtr'!D97, '2nd Qtr'!D97, '3rd Qtr'!D97, '4th Qtr'!D97)</f>
        <v>6675359</v>
      </c>
      <c r="E97" s="15">
        <f>SUM('1st Qtr'!E97, '2nd Qtr'!E97, '3rd Qtr'!E97, '4th Qtr'!E97)</f>
        <v>0</v>
      </c>
      <c r="F97" s="15">
        <f t="shared" si="9"/>
        <v>6675359</v>
      </c>
      <c r="G97" s="16" t="str">
        <f t="shared" si="10"/>
        <v/>
      </c>
      <c r="H97" s="17">
        <f>SUM('1st Qtr'!H97+'2nd Qtr'!H97+'3rd Qtr'!H97+'4th Qtr'!H97)</f>
        <v>4707859</v>
      </c>
      <c r="I97" s="17">
        <f>SUM('1st Qtr'!I97, '2nd Qtr'!I97, '3rd Qtr'!I97, '4th Qtr'!I97)</f>
        <v>1967500</v>
      </c>
      <c r="J97" s="16">
        <f t="shared" si="11"/>
        <v>0.4179182086804214</v>
      </c>
      <c r="K97" s="14">
        <f>IFERROR(AVERAGE(Jan!K97, Feb!K97, Mar!K97, Apr!K97, May!K97, Jun!K97, Jul!K97, Aug!K97, Sep!K97, Oct!K97, Nov!K97, Dec!K97),"")</f>
        <v>0.99960000000000016</v>
      </c>
      <c r="L97" s="39"/>
      <c r="M97" s="40"/>
    </row>
    <row r="98" spans="1:13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SUM('1st Qtr'!D98, '2nd Qtr'!D98, '3rd Qtr'!D98, '4th Qtr'!D98)</f>
        <v>2971818</v>
      </c>
      <c r="E98" s="11">
        <f>SUM('1st Qtr'!E98, '2nd Qtr'!E98, '3rd Qtr'!E98, '4th Qtr'!E98)</f>
        <v>0</v>
      </c>
      <c r="F98" s="11">
        <f t="shared" si="9"/>
        <v>2971818</v>
      </c>
      <c r="G98" s="12" t="str">
        <f t="shared" si="10"/>
        <v/>
      </c>
      <c r="H98" s="13">
        <f>SUM('1st Qtr'!H98+'2nd Qtr'!H98+'3rd Qtr'!H98+'4th Qtr'!H98)</f>
        <v>3170750.71</v>
      </c>
      <c r="I98" s="13">
        <f>SUM('1st Qtr'!I98, '2nd Qtr'!I98, '3rd Qtr'!I98, '4th Qtr'!I98)</f>
        <v>-198932.71</v>
      </c>
      <c r="J98" s="14">
        <f t="shared" si="11"/>
        <v>-6.2739940220655183E-2</v>
      </c>
      <c r="K98" s="14">
        <f>IFERROR(AVERAGE(Jan!K98, Feb!K98, Mar!K98, Apr!K98, May!K98, Jun!K98, Jul!K98, Aug!K98, Sep!K98, Oct!K98, Nov!K98, Dec!K98),"")</f>
        <v>0.99983333333333335</v>
      </c>
      <c r="L98" s="38"/>
      <c r="M98" s="38"/>
    </row>
    <row r="99" spans="1:13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SUM('1st Qtr'!D99, '2nd Qtr'!D99, '3rd Qtr'!D99, '4th Qtr'!D99)</f>
        <v>4518668</v>
      </c>
      <c r="E99" s="15">
        <f>SUM('1st Qtr'!E99, '2nd Qtr'!E99, '3rd Qtr'!E99, '4th Qtr'!E99)</f>
        <v>0</v>
      </c>
      <c r="F99" s="15">
        <f t="shared" si="9"/>
        <v>4518668</v>
      </c>
      <c r="G99" s="16" t="str">
        <f t="shared" si="10"/>
        <v/>
      </c>
      <c r="H99" s="17">
        <f>SUM('1st Qtr'!H99+'2nd Qtr'!H99+'3rd Qtr'!H99+'4th Qtr'!H99)</f>
        <v>5303396.4800000004</v>
      </c>
      <c r="I99" s="17">
        <f>SUM('1st Qtr'!I99, '2nd Qtr'!I99, '3rd Qtr'!I99, '4th Qtr'!I99)</f>
        <v>-784728.48</v>
      </c>
      <c r="J99" s="16">
        <f t="shared" si="11"/>
        <v>-0.14796715330625251</v>
      </c>
      <c r="K99" s="14">
        <f>IFERROR(AVERAGE(Jan!K99, Feb!K99, Mar!K99, Apr!K99, May!K99, Jun!K99, Jul!K99, Aug!K99, Sep!K99, Oct!K99, Nov!K99, Dec!K99),"")</f>
        <v>0.93085555555555566</v>
      </c>
      <c r="L99" s="39"/>
      <c r="M99" s="40"/>
    </row>
    <row r="100" spans="1:13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SUM('1st Qtr'!D100, '2nd Qtr'!D100, '3rd Qtr'!D100, '4th Qtr'!D100)</f>
        <v>2765948</v>
      </c>
      <c r="E100" s="11">
        <f>SUM('1st Qtr'!E100, '2nd Qtr'!E100, '3rd Qtr'!E100, '4th Qtr'!E100)</f>
        <v>0</v>
      </c>
      <c r="F100" s="11">
        <f t="shared" si="9"/>
        <v>2765948</v>
      </c>
      <c r="G100" s="12" t="str">
        <f t="shared" si="10"/>
        <v/>
      </c>
      <c r="H100" s="13">
        <f>SUM('1st Qtr'!H100+'2nd Qtr'!H100+'3rd Qtr'!H100+'4th Qtr'!H100)</f>
        <v>2757363.7600000002</v>
      </c>
      <c r="I100" s="13">
        <f>SUM('1st Qtr'!I100, '2nd Qtr'!I100, '3rd Qtr'!I100, '4th Qtr'!I100)</f>
        <v>8584.2399999999616</v>
      </c>
      <c r="J100" s="14">
        <f t="shared" si="11"/>
        <v>3.1132054916105669E-3</v>
      </c>
      <c r="K100" s="14">
        <f>IFERROR(AVERAGE(Jan!K100, Feb!K100, Mar!K100, Apr!K100, May!K100, Jun!K100, Jul!K100, Aug!K100, Sep!K100, Oct!K100, Nov!K100, Dec!K100),"")</f>
        <v>0.99723333333333342</v>
      </c>
      <c r="L100" s="38"/>
      <c r="M100" s="38"/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SUM('1st Qtr'!D101, '2nd Qtr'!D101, '3rd Qtr'!D101, '4th Qtr'!D101)</f>
        <v>4982187</v>
      </c>
      <c r="E101" s="15">
        <f>SUM('1st Qtr'!E101, '2nd Qtr'!E101, '3rd Qtr'!E101, '4th Qtr'!E101)</f>
        <v>0</v>
      </c>
      <c r="F101" s="15">
        <f t="shared" si="9"/>
        <v>4982187</v>
      </c>
      <c r="G101" s="16" t="str">
        <f t="shared" si="10"/>
        <v/>
      </c>
      <c r="H101" s="17">
        <f>SUM('1st Qtr'!H101+'2nd Qtr'!H101+'3rd Qtr'!H101+'4th Qtr'!H101)</f>
        <v>7003827.4000000004</v>
      </c>
      <c r="I101" s="17">
        <f>SUM('1st Qtr'!I101, '2nd Qtr'!I101, '3rd Qtr'!I101, '4th Qtr'!I101)</f>
        <v>-2021640.4000000001</v>
      </c>
      <c r="J101" s="16">
        <f t="shared" si="11"/>
        <v>-0.28864794697824792</v>
      </c>
      <c r="K101" s="14">
        <f>IFERROR(AVERAGE(Jan!K101, Feb!K101, Mar!K101, Apr!K101, May!K101, Jun!K101, Jul!K101, Aug!K101, Sep!K101, Oct!K101, Nov!K101, Dec!K101),"")</f>
        <v>0.99940000000000007</v>
      </c>
      <c r="L101" s="39"/>
      <c r="M101" s="39"/>
    </row>
    <row r="102" spans="1:13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SUM('1st Qtr'!D102, '2nd Qtr'!D102, '3rd Qtr'!D102, '4th Qtr'!D102)</f>
        <v>5699119</v>
      </c>
      <c r="E102" s="11">
        <f>SUM('1st Qtr'!E102, '2nd Qtr'!E102, '3rd Qtr'!E102, '4th Qtr'!E102)</f>
        <v>0</v>
      </c>
      <c r="F102" s="11">
        <f t="shared" si="9"/>
        <v>5699119</v>
      </c>
      <c r="G102" s="12" t="str">
        <f t="shared" si="10"/>
        <v/>
      </c>
      <c r="H102" s="13">
        <f>SUM('1st Qtr'!H102+'2nd Qtr'!H102+'3rd Qtr'!H102+'4th Qtr'!H102)</f>
        <v>8744162.4399999995</v>
      </c>
      <c r="I102" s="13">
        <f>SUM('1st Qtr'!I102, '2nd Qtr'!I102, '3rd Qtr'!I102, '4th Qtr'!I102)</f>
        <v>-3045043.4399999995</v>
      </c>
      <c r="J102" s="14">
        <f t="shared" si="11"/>
        <v>-0.3482372909806099</v>
      </c>
      <c r="K102" s="14">
        <f>IFERROR(AVERAGE(Jan!K102, Feb!K102, Mar!K102, Apr!K102, May!K102, Jun!K102, Jul!K102, Aug!K102, Sep!K102, Oct!K102, Nov!K102, Dec!K102),"")</f>
        <v>0.96873333333333334</v>
      </c>
      <c r="L102" s="38"/>
      <c r="M102" s="38"/>
    </row>
    <row r="103" spans="1:13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SUM('1st Qtr'!D103, '2nd Qtr'!D103, '3rd Qtr'!D103, '4th Qtr'!D103)</f>
        <v>3352713</v>
      </c>
      <c r="E103" s="15">
        <f>SUM('1st Qtr'!E103, '2nd Qtr'!E103, '3rd Qtr'!E103, '4th Qtr'!E103)</f>
        <v>0</v>
      </c>
      <c r="F103" s="15">
        <f t="shared" si="9"/>
        <v>3352713</v>
      </c>
      <c r="G103" s="16" t="str">
        <f t="shared" si="10"/>
        <v/>
      </c>
      <c r="H103" s="17">
        <f>SUM('1st Qtr'!H103+'2nd Qtr'!H103+'3rd Qtr'!H103+'4th Qtr'!H103)</f>
        <v>3547369.49</v>
      </c>
      <c r="I103" s="17">
        <f>SUM('1st Qtr'!I103, '2nd Qtr'!I103, '3rd Qtr'!I103, '4th Qtr'!I103)</f>
        <v>-194656.49000000005</v>
      </c>
      <c r="J103" s="16">
        <f t="shared" si="11"/>
        <v>-5.4873474710975215E-2</v>
      </c>
      <c r="K103" s="14">
        <f>IFERROR(AVERAGE(Jan!K103, Feb!K103, Mar!K103, Apr!K103, May!K103, Jun!K103, Jul!K103, Aug!K103, Sep!K103, Oct!K103, Nov!K103, Dec!K103),"")</f>
        <v>0.99991111111111108</v>
      </c>
      <c r="L103" s="39"/>
      <c r="M103" s="40"/>
    </row>
    <row r="104" spans="1:13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SUM('1st Qtr'!D104, '2nd Qtr'!D104, '3rd Qtr'!D104, '4th Qtr'!D104)</f>
        <v>7874817</v>
      </c>
      <c r="E104" s="11">
        <f>SUM('1st Qtr'!E104, '2nd Qtr'!E104, '3rd Qtr'!E104, '4th Qtr'!E104)</f>
        <v>0</v>
      </c>
      <c r="F104" s="11">
        <f t="shared" si="9"/>
        <v>7874817</v>
      </c>
      <c r="G104" s="12" t="str">
        <f t="shared" si="10"/>
        <v/>
      </c>
      <c r="H104" s="13">
        <f>SUM('1st Qtr'!H104+'2nd Qtr'!H104+'3rd Qtr'!H104+'4th Qtr'!H104)</f>
        <v>8828970.4000000004</v>
      </c>
      <c r="I104" s="13">
        <f>SUM('1st Qtr'!I104, '2nd Qtr'!I104, '3rd Qtr'!I104, '4th Qtr'!I104)</f>
        <v>-954153.39999999991</v>
      </c>
      <c r="J104" s="14">
        <f t="shared" si="11"/>
        <v>-0.10807074401336761</v>
      </c>
      <c r="K104" s="14">
        <f>IFERROR(AVERAGE(Jan!K104, Feb!K104, Mar!K104, Apr!K104, May!K104, Jun!K104, Jul!K104, Aug!K104, Sep!K104, Oct!K104, Nov!K104, Dec!K104),"")</f>
        <v>0.99990000000000001</v>
      </c>
      <c r="L104" s="38"/>
      <c r="M104" s="38"/>
    </row>
    <row r="105" spans="1:13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SUM('1st Qtr'!D105, '2nd Qtr'!D105, '3rd Qtr'!D105, '4th Qtr'!D105)</f>
        <v>2468764</v>
      </c>
      <c r="E105" s="15">
        <f>SUM('1st Qtr'!E105, '2nd Qtr'!E105, '3rd Qtr'!E105, '4th Qtr'!E105)</f>
        <v>0</v>
      </c>
      <c r="F105" s="15">
        <f t="shared" si="9"/>
        <v>2468764</v>
      </c>
      <c r="G105" s="16" t="str">
        <f t="shared" si="10"/>
        <v/>
      </c>
      <c r="H105" s="17">
        <f>SUM('1st Qtr'!H105+'2nd Qtr'!H105+'3rd Qtr'!H105+'4th Qtr'!H105)</f>
        <v>2941517.18</v>
      </c>
      <c r="I105" s="17">
        <f>SUM('1st Qtr'!I105, '2nd Qtr'!I105, '3rd Qtr'!I105, '4th Qtr'!I105)</f>
        <v>-472753.18</v>
      </c>
      <c r="J105" s="16">
        <f t="shared" si="11"/>
        <v>-0.16071746349616764</v>
      </c>
      <c r="K105" s="14">
        <f>IFERROR(AVERAGE(Jan!K105, Feb!K105, Mar!K105, Apr!K105, May!K105, Jun!K105, Jul!K105, Aug!K105, Sep!K105, Oct!K105, Nov!K105, Dec!K105),"")</f>
        <v>0.98426666666666685</v>
      </c>
      <c r="L105" s="39"/>
      <c r="M105" s="40"/>
    </row>
    <row r="106" spans="1:13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SUM('1st Qtr'!D106, '2nd Qtr'!D106, '3rd Qtr'!D106, '4th Qtr'!D106)</f>
        <v>2797505</v>
      </c>
      <c r="E106" s="11">
        <f>SUM('1st Qtr'!E106, '2nd Qtr'!E106, '3rd Qtr'!E106, '4th Qtr'!E106)</f>
        <v>0</v>
      </c>
      <c r="F106" s="11">
        <f t="shared" si="9"/>
        <v>2797505</v>
      </c>
      <c r="G106" s="12" t="str">
        <f t="shared" si="10"/>
        <v/>
      </c>
      <c r="H106" s="13">
        <f>SUM('1st Qtr'!H106+'2nd Qtr'!H106+'3rd Qtr'!H106+'4th Qtr'!H106)</f>
        <v>3041542.13</v>
      </c>
      <c r="I106" s="13">
        <f>SUM('1st Qtr'!I106, '2nd Qtr'!I106, '3rd Qtr'!I106, '4th Qtr'!I106)</f>
        <v>-244037.12999999998</v>
      </c>
      <c r="J106" s="14">
        <f t="shared" si="11"/>
        <v>-8.0234670298648794E-2</v>
      </c>
      <c r="K106" s="14">
        <f>IFERROR(AVERAGE(Jan!K106, Feb!K106, Mar!K106, Apr!K106, May!K106, Jun!K106, Jul!K106, Aug!K106, Sep!K106, Oct!K106, Nov!K106, Dec!K106),"")</f>
        <v>1</v>
      </c>
      <c r="L106" s="38"/>
      <c r="M106" s="38"/>
    </row>
    <row r="107" spans="1:13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SUM('1st Qtr'!D107, '2nd Qtr'!D107, '3rd Qtr'!D107, '4th Qtr'!D107)</f>
        <v>2550195</v>
      </c>
      <c r="E107" s="15">
        <f>SUM('1st Qtr'!E107, '2nd Qtr'!E107, '3rd Qtr'!E107, '4th Qtr'!E107)</f>
        <v>0</v>
      </c>
      <c r="F107" s="15">
        <f t="shared" si="9"/>
        <v>2550195</v>
      </c>
      <c r="G107" s="16" t="str">
        <f t="shared" si="10"/>
        <v/>
      </c>
      <c r="H107" s="17">
        <f>SUM('1st Qtr'!H107+'2nd Qtr'!H107+'3rd Qtr'!H107+'4th Qtr'!H107)</f>
        <v>2879802.3899999997</v>
      </c>
      <c r="I107" s="17">
        <f>SUM('1st Qtr'!I107, '2nd Qtr'!I107, '3rd Qtr'!I107, '4th Qtr'!I107)</f>
        <v>-329607.39</v>
      </c>
      <c r="J107" s="16">
        <f t="shared" si="11"/>
        <v>-0.11445486368944921</v>
      </c>
      <c r="K107" s="14">
        <f>IFERROR(AVERAGE(Jan!K107, Feb!K107, Mar!K107, Apr!K107, May!K107, Jun!K107, Jul!K107, Aug!K107, Sep!K107, Oct!K107, Nov!K107, Dec!K107),"")</f>
        <v>0.99982222222222228</v>
      </c>
      <c r="L107" s="39"/>
      <c r="M107" s="40"/>
    </row>
    <row r="108" spans="1:13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SUM('1st Qtr'!D108, '2nd Qtr'!D108, '3rd Qtr'!D108, '4th Qtr'!D108)</f>
        <v>5092809.2</v>
      </c>
      <c r="E108" s="11">
        <f>SUM('1st Qtr'!E108, '2nd Qtr'!E108, '3rd Qtr'!E108, '4th Qtr'!E108)</f>
        <v>0</v>
      </c>
      <c r="F108" s="11">
        <f t="shared" si="9"/>
        <v>5092809.2</v>
      </c>
      <c r="G108" s="12" t="str">
        <f t="shared" si="10"/>
        <v/>
      </c>
      <c r="H108" s="13">
        <f>SUM('1st Qtr'!H108+'2nd Qtr'!H108+'3rd Qtr'!H108+'4th Qtr'!H108)</f>
        <v>5436243.3600000003</v>
      </c>
      <c r="I108" s="13">
        <f>SUM('1st Qtr'!I108, '2nd Qtr'!I108, '3rd Qtr'!I108, '4th Qtr'!I108)</f>
        <v>-343434.15999999992</v>
      </c>
      <c r="J108" s="14">
        <f t="shared" si="11"/>
        <v>-6.3174905400114376E-2</v>
      </c>
      <c r="K108" s="14">
        <f>IFERROR(AVERAGE(Jan!K108, Feb!K108, Mar!K108, Apr!K108, May!K108, Jun!K108, Jul!K108, Aug!K108, Sep!K108, Oct!K108, Nov!K108, Dec!K108),"")</f>
        <v>0.99975555555555573</v>
      </c>
      <c r="L108" s="38"/>
      <c r="M108" s="38"/>
    </row>
    <row r="109" spans="1:13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SUM('1st Qtr'!D109, '2nd Qtr'!D109, '3rd Qtr'!D109, '4th Qtr'!D109)</f>
        <v>3344244.6</v>
      </c>
      <c r="E109" s="15">
        <f>SUM('1st Qtr'!E109, '2nd Qtr'!E109, '3rd Qtr'!E109, '4th Qtr'!E109)</f>
        <v>0</v>
      </c>
      <c r="F109" s="15">
        <f t="shared" si="9"/>
        <v>3344244.6</v>
      </c>
      <c r="G109" s="16" t="str">
        <f t="shared" si="10"/>
        <v/>
      </c>
      <c r="H109" s="17">
        <f>SUM('1st Qtr'!H109+'2nd Qtr'!H109+'3rd Qtr'!H109+'4th Qtr'!H109)</f>
        <v>4226000</v>
      </c>
      <c r="I109" s="17">
        <f>SUM('1st Qtr'!I109, '2nd Qtr'!I109, '3rd Qtr'!I109, '4th Qtr'!I109)</f>
        <v>-881755.4</v>
      </c>
      <c r="J109" s="16">
        <f t="shared" si="11"/>
        <v>-0.20865011831519167</v>
      </c>
      <c r="K109" s="14">
        <f>IFERROR(AVERAGE(Jan!K109, Feb!K109, Mar!K109, Apr!K109, May!K109, Jun!K109, Jul!K109, Aug!K109, Sep!K109, Oct!K109, Nov!K109, Dec!K109),"")</f>
        <v>0.99948888888888887</v>
      </c>
      <c r="L109" s="39"/>
      <c r="M109" s="40"/>
    </row>
    <row r="110" spans="1:13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SUM('1st Qtr'!D110, '2nd Qtr'!D110, '3rd Qtr'!D110, '4th Qtr'!D110)</f>
        <v>7223730.4900000002</v>
      </c>
      <c r="E110" s="11">
        <f>SUM('1st Qtr'!E110, '2nd Qtr'!E110, '3rd Qtr'!E110, '4th Qtr'!E110)</f>
        <v>0</v>
      </c>
      <c r="F110" s="11">
        <f t="shared" si="9"/>
        <v>7223730.4900000002</v>
      </c>
      <c r="G110" s="12" t="str">
        <f t="shared" si="10"/>
        <v/>
      </c>
      <c r="H110" s="13">
        <f>SUM('1st Qtr'!H110+'2nd Qtr'!H110+'3rd Qtr'!H110+'4th Qtr'!H110)</f>
        <v>3256018</v>
      </c>
      <c r="I110" s="13">
        <f>SUM('1st Qtr'!I110, '2nd Qtr'!I110, '3rd Qtr'!I110, '4th Qtr'!I110)</f>
        <v>3967712.49</v>
      </c>
      <c r="J110" s="14">
        <f t="shared" si="11"/>
        <v>1.2185781804646043</v>
      </c>
      <c r="K110" s="14" t="str">
        <f>IFERROR(AVERAGE(Jan!K110, Feb!K110, Mar!K110, Apr!K110, May!K110, Jun!K110, Jul!K110, Aug!K110, Sep!K110, Oct!K110, Nov!K110, Dec!K110),"")</f>
        <v/>
      </c>
      <c r="L110" s="38"/>
      <c r="M110" s="38"/>
    </row>
    <row r="111" spans="1:13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SUM('1st Qtr'!D111, '2nd Qtr'!D111, '3rd Qtr'!D111, '4th Qtr'!D111)</f>
        <v>5946017.1557788942</v>
      </c>
      <c r="E111" s="15">
        <f>SUM('1st Qtr'!E111, '2nd Qtr'!E111, '3rd Qtr'!E111, '4th Qtr'!E111)</f>
        <v>7764590.7999999998</v>
      </c>
      <c r="F111" s="15">
        <f t="shared" si="9"/>
        <v>-1818573.6442211056</v>
      </c>
      <c r="G111" s="16">
        <f t="shared" si="10"/>
        <v>-0.2342137133899066</v>
      </c>
      <c r="H111" s="17">
        <f>SUM('1st Qtr'!H111+'2nd Qtr'!H111+'3rd Qtr'!H111+'4th Qtr'!H111)</f>
        <v>6651764.5</v>
      </c>
      <c r="I111" s="17">
        <f>SUM('1st Qtr'!I111, '2nd Qtr'!I111, '3rd Qtr'!I111, '4th Qtr'!I111)</f>
        <v>-737186.8442211058</v>
      </c>
      <c r="J111" s="16">
        <f t="shared" si="11"/>
        <v>-0.11082575822116159</v>
      </c>
      <c r="K111" s="14">
        <f>IFERROR(AVERAGE(Jan!K111, Feb!K111, Mar!K111, Apr!K111, May!K111, Jun!K111, Jul!K111, Aug!K111, Sep!K111, Oct!K111, Nov!K111, Dec!K111),"")</f>
        <v>0.9634985800000001</v>
      </c>
      <c r="L111" s="39"/>
      <c r="M111" s="40"/>
    </row>
    <row r="112" spans="1:13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SUM('1st Qtr'!D112, '2nd Qtr'!D112, '3rd Qtr'!D112, '4th Qtr'!D112)</f>
        <v>6854528.1459036469</v>
      </c>
      <c r="E112" s="11">
        <f>SUM('1st Qtr'!E112, '2nd Qtr'!E112, '3rd Qtr'!E112, '4th Qtr'!E112)</f>
        <v>6918136.0899999999</v>
      </c>
      <c r="F112" s="11">
        <f t="shared" si="9"/>
        <v>-63607.944096352905</v>
      </c>
      <c r="G112" s="12">
        <f t="shared" si="10"/>
        <v>-9.1943759516810702E-3</v>
      </c>
      <c r="H112" s="13">
        <f>SUM('1st Qtr'!H112+'2nd Qtr'!H112+'3rd Qtr'!H112+'4th Qtr'!H112)</f>
        <v>7361608.9999999991</v>
      </c>
      <c r="I112" s="13">
        <f>SUM('1st Qtr'!I112, '2nd Qtr'!I112, '3rd Qtr'!I112, '4th Qtr'!I112)</f>
        <v>-517861.38241293735</v>
      </c>
      <c r="J112" s="14">
        <f t="shared" si="11"/>
        <v>-7.0346222193128902E-2</v>
      </c>
      <c r="K112" s="14">
        <f>IFERROR(AVERAGE(Jan!K112, Feb!K112, Mar!K112, Apr!K112, May!K112, Jun!K112, Jul!K112, Aug!K112, Sep!K112, Oct!K112, Nov!K112, Dec!K112),"")</f>
        <v>0.98291113999999991</v>
      </c>
      <c r="L112" s="38"/>
      <c r="M112" s="38"/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SUM('1st Qtr'!D113, '2nd Qtr'!D113, '3rd Qtr'!D113, '4th Qtr'!D113)</f>
        <v>32595</v>
      </c>
      <c r="E113" s="15">
        <f>SUM('1st Qtr'!E113, '2nd Qtr'!E113, '3rd Qtr'!E113, '4th Qtr'!E113)</f>
        <v>44805.073000000004</v>
      </c>
      <c r="F113" s="15">
        <f t="shared" si="9"/>
        <v>-12210.073000000004</v>
      </c>
      <c r="G113" s="16">
        <f t="shared" si="10"/>
        <v>-0.27251541360059839</v>
      </c>
      <c r="H113" s="17">
        <f>SUM('1st Qtr'!H113+'2nd Qtr'!H113+'3rd Qtr'!H113+'4th Qtr'!H113)</f>
        <v>42176.44</v>
      </c>
      <c r="I113" s="17">
        <f>SUM('1st Qtr'!I113, '2nd Qtr'!I113, '3rd Qtr'!I113, '4th Qtr'!I113)</f>
        <v>-8803.4770000000008</v>
      </c>
      <c r="J113" s="16">
        <f t="shared" si="11"/>
        <v>-0.20872973157525862</v>
      </c>
      <c r="K113" s="14">
        <f>IFERROR(AVERAGE(Jan!K113, Feb!K113, Mar!K113, Apr!K113, May!K113, Jun!K113, Jul!K113, Aug!K113, Sep!K113, Oct!K113, Nov!K113, Dec!K113),"")</f>
        <v>0.99570661999999999</v>
      </c>
      <c r="L113" s="39"/>
      <c r="M113" s="39"/>
    </row>
    <row r="114" spans="1:13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SUM('1st Qtr'!D114, '2nd Qtr'!D114, '3rd Qtr'!D114, '4th Qtr'!D114)</f>
        <v>83475</v>
      </c>
      <c r="E114" s="11">
        <f>SUM('1st Qtr'!E114, '2nd Qtr'!E114, '3rd Qtr'!E114, '4th Qtr'!E114)</f>
        <v>114078.567</v>
      </c>
      <c r="F114" s="11">
        <f t="shared" si="9"/>
        <v>-30603.566999999995</v>
      </c>
      <c r="G114" s="12">
        <f t="shared" si="10"/>
        <v>-0.26826745641010724</v>
      </c>
      <c r="H114" s="13">
        <f>SUM('1st Qtr'!H114+'2nd Qtr'!H114+'3rd Qtr'!H114+'4th Qtr'!H114)</f>
        <v>98231.217999999993</v>
      </c>
      <c r="I114" s="13">
        <f>SUM('1st Qtr'!I114, '2nd Qtr'!I114, '3rd Qtr'!I114, '4th Qtr'!I114)</f>
        <v>-13974.324000000051</v>
      </c>
      <c r="J114" s="14">
        <f t="shared" si="11"/>
        <v>-0.14225950043702046</v>
      </c>
      <c r="K114" s="14">
        <f>IFERROR(AVERAGE(Jan!K114, Feb!K114, Mar!K114, Apr!K114, May!K114, Jun!K114, Jul!K114, Aug!K114, Sep!K114, Oct!K114, Nov!K114, Dec!K114),"")</f>
        <v>0.98376927000000003</v>
      </c>
      <c r="L114" s="38"/>
      <c r="M114" s="38"/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SUM('1st Qtr'!D115, '2nd Qtr'!D115, '3rd Qtr'!D115, '4th Qtr'!D115)</f>
        <v>12185</v>
      </c>
      <c r="E115" s="15">
        <f>SUM('1st Qtr'!E115, '2nd Qtr'!E115, '3rd Qtr'!E115, '4th Qtr'!E115)</f>
        <v>12967.3171</v>
      </c>
      <c r="F115" s="15">
        <f t="shared" si="9"/>
        <v>-782.31710000000021</v>
      </c>
      <c r="G115" s="16">
        <f t="shared" si="10"/>
        <v>-6.0329912037085931E-2</v>
      </c>
      <c r="H115" s="17">
        <f>SUM('1st Qtr'!H115+'2nd Qtr'!H115+'3rd Qtr'!H115+'4th Qtr'!H115)</f>
        <v>13882.7971</v>
      </c>
      <c r="I115" s="17">
        <f>SUM('1st Qtr'!I115, '2nd Qtr'!I115, '3rd Qtr'!I115, '4th Qtr'!I115)</f>
        <v>-1697.7971</v>
      </c>
      <c r="J115" s="16">
        <f t="shared" si="11"/>
        <v>-0.12229503087673881</v>
      </c>
      <c r="K115" s="14" t="str">
        <f>IFERROR(AVERAGE(Jan!K115, Feb!K115, Mar!K115, Apr!K115, May!K115, Jun!K115, Jul!K115, Aug!K115, Sep!K115, Oct!K115, Nov!K115, Dec!K115),"")</f>
        <v/>
      </c>
      <c r="L115" s="39"/>
      <c r="M115" s="40"/>
    </row>
    <row r="116" spans="1:13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SUM('1st Qtr'!D116, '2nd Qtr'!D116, '3rd Qtr'!D116, '4th Qtr'!D116)</f>
        <v>11193</v>
      </c>
      <c r="E116" s="11">
        <f>SUM('1st Qtr'!E116, '2nd Qtr'!E116, '3rd Qtr'!E116, '4th Qtr'!E116)</f>
        <v>11664.052500000002</v>
      </c>
      <c r="F116" s="11">
        <f t="shared" si="9"/>
        <v>-471.0525000000016</v>
      </c>
      <c r="G116" s="12">
        <f t="shared" si="10"/>
        <v>-4.0384977691072764E-2</v>
      </c>
      <c r="H116" s="13">
        <f>SUM('1st Qtr'!H116+'2nd Qtr'!H116+'3rd Qtr'!H116+'4th Qtr'!H116)</f>
        <v>14208.4817</v>
      </c>
      <c r="I116" s="13">
        <f>SUM('1st Qtr'!I116, '2nd Qtr'!I116, '3rd Qtr'!I116, '4th Qtr'!I116)</f>
        <v>-3015.4817000000003</v>
      </c>
      <c r="J116" s="14">
        <f t="shared" si="11"/>
        <v>-0.21223109996334091</v>
      </c>
      <c r="K116" s="14" t="str">
        <f>IFERROR(AVERAGE(Jan!K116, Feb!K116, Mar!K116, Apr!K116, May!K116, Jun!K116, Jul!K116, Aug!K116, Sep!K116, Oct!K116, Nov!K116, Dec!K116),"")</f>
        <v/>
      </c>
      <c r="L116" s="38"/>
      <c r="M116" s="38"/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SUM('1st Qtr'!D117, '2nd Qtr'!D117, '3rd Qtr'!D117, '4th Qtr'!D117)</f>
        <v>13770</v>
      </c>
      <c r="E117" s="15">
        <f>SUM('1st Qtr'!E117, '2nd Qtr'!E117, '3rd Qtr'!E117, '4th Qtr'!E117)</f>
        <v>13293.031300000001</v>
      </c>
      <c r="F117" s="15">
        <f t="shared" si="9"/>
        <v>476.96869999999944</v>
      </c>
      <c r="G117" s="16">
        <f t="shared" si="10"/>
        <v>3.5881108622681075E-2</v>
      </c>
      <c r="H117" s="17">
        <f>SUM('1st Qtr'!H117+'2nd Qtr'!H117+'3rd Qtr'!H117+'4th Qtr'!H117)</f>
        <v>14607</v>
      </c>
      <c r="I117" s="17">
        <f>SUM('1st Qtr'!I117, '2nd Qtr'!I117, '3rd Qtr'!I117, '4th Qtr'!I117)</f>
        <v>-837</v>
      </c>
      <c r="J117" s="16">
        <f t="shared" si="11"/>
        <v>-5.730129390018484E-2</v>
      </c>
      <c r="K117" s="14" t="str">
        <f>IFERROR(AVERAGE(Jan!K117, Feb!K117, Mar!K117, Apr!K117, May!K117, Jun!K117, Jul!K117, Aug!K117, Sep!K117, Oct!K117, Nov!K117, Dec!K117),"")</f>
        <v/>
      </c>
      <c r="L117" s="39"/>
      <c r="M117" s="40"/>
    </row>
    <row r="118" spans="1:13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SUM('1st Qtr'!D118, '2nd Qtr'!D118, '3rd Qtr'!D118, '4th Qtr'!D118)</f>
        <v>138582</v>
      </c>
      <c r="E118" s="11">
        <f>SUM('1st Qtr'!E118, '2nd Qtr'!E118, '3rd Qtr'!E118, '4th Qtr'!E118)</f>
        <v>169408.87400000001</v>
      </c>
      <c r="F118" s="11">
        <f t="shared" si="9"/>
        <v>-30826.874000000011</v>
      </c>
      <c r="G118" s="12">
        <f t="shared" si="10"/>
        <v>-0.18196729174883725</v>
      </c>
      <c r="H118" s="13">
        <f>SUM('1st Qtr'!H118+'2nd Qtr'!H118+'3rd Qtr'!H118+'4th Qtr'!H118)</f>
        <v>79133.182000000001</v>
      </c>
      <c r="I118" s="13">
        <f>SUM('1st Qtr'!I118, '2nd Qtr'!I118, '3rd Qtr'!I118, '4th Qtr'!I118)</f>
        <v>59448.817999999999</v>
      </c>
      <c r="J118" s="14">
        <f t="shared" si="11"/>
        <v>0.75125018983818947</v>
      </c>
      <c r="K118" s="14" t="str">
        <f>IFERROR(AVERAGE(Jan!K118, Feb!K118, Mar!K118, Apr!K118, May!K118, Jun!K118, Jul!K118, Aug!K118, Sep!K118, Oct!K118, Nov!K118, Dec!K118),"")</f>
        <v/>
      </c>
      <c r="L118" s="38"/>
      <c r="M118" s="38"/>
    </row>
    <row r="119" spans="1:13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SUM('1st Qtr'!D119, '2nd Qtr'!D119, '3rd Qtr'!D119, '4th Qtr'!D119)</f>
        <v>415344</v>
      </c>
      <c r="E119" s="15">
        <f>SUM('1st Qtr'!E119, '2nd Qtr'!E119, '3rd Qtr'!E119, '4th Qtr'!E119)</f>
        <v>0</v>
      </c>
      <c r="F119" s="15">
        <f t="shared" si="9"/>
        <v>415344</v>
      </c>
      <c r="G119" s="16" t="str">
        <f t="shared" si="10"/>
        <v/>
      </c>
      <c r="H119" s="17">
        <f>SUM('1st Qtr'!H119+'2nd Qtr'!H119+'3rd Qtr'!H119+'4th Qtr'!H119)</f>
        <v>398401.196</v>
      </c>
      <c r="I119" s="17">
        <f>SUM('1st Qtr'!I119, '2nd Qtr'!I119, '3rd Qtr'!I119, '4th Qtr'!I119)</f>
        <v>16942.803999999996</v>
      </c>
      <c r="J119" s="16">
        <f t="shared" si="11"/>
        <v>4.2526990807527587E-2</v>
      </c>
      <c r="K119" s="14" t="str">
        <f>IFERROR(AVERAGE(Jan!K119, Feb!K119, Mar!K119, Apr!K119, May!K119, Jun!K119, Jul!K119, Aug!K119, Sep!K119, Oct!K119, Nov!K119, Dec!K119),"")</f>
        <v/>
      </c>
      <c r="L119" s="39"/>
      <c r="M119" s="40"/>
    </row>
    <row r="120" spans="1:13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SUM('1st Qtr'!D120, '2nd Qtr'!D120, '3rd Qtr'!D120, '4th Qtr'!D120)</f>
        <v>179735</v>
      </c>
      <c r="E120" s="11">
        <f>SUM('1st Qtr'!E120, '2nd Qtr'!E120, '3rd Qtr'!E120, '4th Qtr'!E120)</f>
        <v>203545.63099999999</v>
      </c>
      <c r="F120" s="11">
        <f t="shared" si="9"/>
        <v>-23810.630999999994</v>
      </c>
      <c r="G120" s="12">
        <f t="shared" si="10"/>
        <v>-0.11697932735289217</v>
      </c>
      <c r="H120" s="13">
        <f>SUM('1st Qtr'!H120+'2nd Qtr'!H120+'3rd Qtr'!H120+'4th Qtr'!H120)</f>
        <v>286940.11100000003</v>
      </c>
      <c r="I120" s="13">
        <f>SUM('1st Qtr'!I120, '2nd Qtr'!I120, '3rd Qtr'!I120, '4th Qtr'!I120)</f>
        <v>-42378.111000000004</v>
      </c>
      <c r="J120" s="14">
        <f t="shared" si="11"/>
        <v>-0.14768974212880262</v>
      </c>
      <c r="K120" s="14" t="str">
        <f>IFERROR(AVERAGE(Jan!K120, Feb!K120, Mar!K120, Apr!K120, May!K120, Jun!K120, Jul!K120, Aug!K120, Sep!K120, Oct!K120, Nov!K120, Dec!K120),"")</f>
        <v/>
      </c>
      <c r="L120" s="38"/>
      <c r="M120" s="38"/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SUM('1st Qtr'!D121, '2nd Qtr'!D121, '3rd Qtr'!D121, '4th Qtr'!D121)</f>
        <v>104803</v>
      </c>
      <c r="E121" s="15">
        <f>SUM('1st Qtr'!E121, '2nd Qtr'!E121, '3rd Qtr'!E121, '4th Qtr'!E121)</f>
        <v>98728.982999999993</v>
      </c>
      <c r="F121" s="15">
        <f t="shared" si="9"/>
        <v>6074.0170000000071</v>
      </c>
      <c r="G121" s="16">
        <f t="shared" si="10"/>
        <v>6.152212668897853E-2</v>
      </c>
      <c r="H121" s="17">
        <f>SUM('1st Qtr'!H121+'2nd Qtr'!H121+'3rd Qtr'!H121+'4th Qtr'!H121)</f>
        <v>116640.42799999999</v>
      </c>
      <c r="I121" s="17">
        <f>SUM('1st Qtr'!I121, '2nd Qtr'!I121, '3rd Qtr'!I121, '4th Qtr'!I121)</f>
        <v>-11837.428</v>
      </c>
      <c r="J121" s="16">
        <f t="shared" si="11"/>
        <v>-0.10148649317370476</v>
      </c>
      <c r="K121" s="14" t="str">
        <f>IFERROR(AVERAGE(Jan!K121, Feb!K121, Mar!K121, Apr!K121, May!K121, Jun!K121, Jul!K121, Aug!K121, Sep!K121, Oct!K121, Nov!K121, Dec!K121),"")</f>
        <v/>
      </c>
      <c r="L121" s="39"/>
      <c r="M121" s="40"/>
    </row>
    <row r="122" spans="1:13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SUM('1st Qtr'!D122, '2nd Qtr'!D122, '3rd Qtr'!D122, '4th Qtr'!D122)</f>
        <v>111436</v>
      </c>
      <c r="E122" s="11">
        <f>SUM('1st Qtr'!E122, '2nd Qtr'!E122, '3rd Qtr'!E122, '4th Qtr'!E122)</f>
        <v>92215.978000000003</v>
      </c>
      <c r="F122" s="11">
        <f t="shared" si="9"/>
        <v>19220.021999999997</v>
      </c>
      <c r="G122" s="12">
        <f t="shared" si="10"/>
        <v>0.2084239891702932</v>
      </c>
      <c r="H122" s="13">
        <f>SUM('1st Qtr'!H122+'2nd Qtr'!H122+'3rd Qtr'!H122+'4th Qtr'!H122)</f>
        <v>116625.05799999999</v>
      </c>
      <c r="I122" s="13">
        <f>SUM('1st Qtr'!I122, '2nd Qtr'!I122, '3rd Qtr'!I122, '4th Qtr'!I122)</f>
        <v>-5189.0580000000009</v>
      </c>
      <c r="J122" s="14">
        <f t="shared" si="11"/>
        <v>-4.4493508419091214E-2</v>
      </c>
      <c r="K122" s="14" t="str">
        <f>IFERROR(AVERAGE(Jan!K122, Feb!K122, Mar!K122, Apr!K122, May!K122, Jun!K122, Jul!K122, Aug!K122, Sep!K122, Oct!K122, Nov!K122, Dec!K122),"")</f>
        <v/>
      </c>
      <c r="L122" s="38"/>
      <c r="M122" s="38"/>
    </row>
    <row r="123" spans="1:13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SUM('1st Qtr'!D123, '2nd Qtr'!D123, '3rd Qtr'!D123, '4th Qtr'!D123)</f>
        <v>1345480</v>
      </c>
      <c r="E123" s="15">
        <f>SUM('1st Qtr'!E123, '2nd Qtr'!E123, '3rd Qtr'!E123, '4th Qtr'!E123)</f>
        <v>1416226.58</v>
      </c>
      <c r="F123" s="15">
        <f t="shared" si="9"/>
        <v>-70746.580000000075</v>
      </c>
      <c r="G123" s="16">
        <f t="shared" si="10"/>
        <v>-4.9954280620831217E-2</v>
      </c>
      <c r="H123" s="17">
        <f>SUM('1st Qtr'!H123+'2nd Qtr'!H123+'3rd Qtr'!H123+'4th Qtr'!H123)</f>
        <v>1469577.7</v>
      </c>
      <c r="I123" s="17">
        <f>SUM('1st Qtr'!I123, '2nd Qtr'!I123, '3rd Qtr'!I123, '4th Qtr'!I123)</f>
        <v>-124097.7</v>
      </c>
      <c r="J123" s="16">
        <f t="shared" si="11"/>
        <v>-8.4444463195106997E-2</v>
      </c>
      <c r="K123" s="14" t="str">
        <f>IFERROR(AVERAGE(Jan!K123, Feb!K123, Mar!K123, Apr!K123, May!K123, Jun!K123, Jul!K123, Aug!K123, Sep!K123, Oct!K123, Nov!K123, Dec!K123),"")</f>
        <v/>
      </c>
      <c r="L123" s="39"/>
      <c r="M123" s="40"/>
    </row>
    <row r="124" spans="1:13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SUM('1st Qtr'!D124, '2nd Qtr'!D124, '3rd Qtr'!D124, '4th Qtr'!D124)</f>
        <v>1444332</v>
      </c>
      <c r="E124" s="11">
        <f>SUM('1st Qtr'!E124, '2nd Qtr'!E124, '3rd Qtr'!E124, '4th Qtr'!E124)</f>
        <v>1333896.6749999998</v>
      </c>
      <c r="F124" s="11">
        <f t="shared" si="9"/>
        <v>110435.32500000019</v>
      </c>
      <c r="G124" s="12">
        <f t="shared" si="10"/>
        <v>8.2791513817965096E-2</v>
      </c>
      <c r="H124" s="13">
        <f>SUM('1st Qtr'!H124+'2nd Qtr'!H124+'3rd Qtr'!H124+'4th Qtr'!H124)</f>
        <v>532533.86</v>
      </c>
      <c r="I124" s="13">
        <f>SUM('1st Qtr'!I124, '2nd Qtr'!I124, '3rd Qtr'!I124, '4th Qtr'!I124)</f>
        <v>911798.14</v>
      </c>
      <c r="J124" s="14">
        <f t="shared" si="11"/>
        <v>1.7121881038700526</v>
      </c>
      <c r="K124" s="14" t="str">
        <f>IFERROR(AVERAGE(Jan!K124, Feb!K124, Mar!K124, Apr!K124, May!K124, Jun!K124, Jul!K124, Aug!K124, Sep!K124, Oct!K124, Nov!K124, Dec!K124),"")</f>
        <v/>
      </c>
      <c r="L124" s="38"/>
      <c r="M124" s="38"/>
    </row>
    <row r="125" spans="1:13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SUM('1st Qtr'!D125, '2nd Qtr'!D125, '3rd Qtr'!D125, '4th Qtr'!D125)</f>
        <v>174013</v>
      </c>
      <c r="E125" s="15">
        <f>SUM('1st Qtr'!E125, '2nd Qtr'!E125, '3rd Qtr'!E125, '4th Qtr'!E125)</f>
        <v>157707.538</v>
      </c>
      <c r="F125" s="15">
        <f t="shared" si="9"/>
        <v>16305.462</v>
      </c>
      <c r="G125" s="16">
        <f t="shared" si="10"/>
        <v>0.10339050502456008</v>
      </c>
      <c r="H125" s="17">
        <f>SUM('1st Qtr'!H125+'2nd Qtr'!H125+'3rd Qtr'!H125+'4th Qtr'!H125)</f>
        <v>191201</v>
      </c>
      <c r="I125" s="17">
        <f>SUM('1st Qtr'!I125, '2nd Qtr'!I125, '3rd Qtr'!I125, '4th Qtr'!I125)</f>
        <v>-17188</v>
      </c>
      <c r="J125" s="16">
        <f t="shared" si="11"/>
        <v>-8.9894927327785937E-2</v>
      </c>
      <c r="K125" s="14" t="str">
        <f>IFERROR(AVERAGE(Jan!K125, Feb!K125, Mar!K125, Apr!K125, May!K125, Jun!K125, Jul!K125, Aug!K125, Sep!K125, Oct!K125, Nov!K125, Dec!K125),"")</f>
        <v/>
      </c>
      <c r="L125" s="39"/>
      <c r="M125" s="39"/>
    </row>
    <row r="126" spans="1:13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SUM('1st Qtr'!D126, '2nd Qtr'!D126, '3rd Qtr'!D126, '4th Qtr'!D126)</f>
        <v>584808</v>
      </c>
      <c r="E126" s="11">
        <f>SUM('1st Qtr'!E126, '2nd Qtr'!E126, '3rd Qtr'!E126, '4th Qtr'!E126)</f>
        <v>641642.57000000007</v>
      </c>
      <c r="F126" s="11">
        <f t="shared" si="9"/>
        <v>-56834.570000000065</v>
      </c>
      <c r="G126" s="12">
        <f t="shared" si="10"/>
        <v>-8.8576682186158662E-2</v>
      </c>
      <c r="H126" s="13">
        <f>SUM('1st Qtr'!H126+'2nd Qtr'!H126+'3rd Qtr'!H126+'4th Qtr'!H126)</f>
        <v>265730</v>
      </c>
      <c r="I126" s="13">
        <f>SUM('1st Qtr'!I126, '2nd Qtr'!I126, '3rd Qtr'!I126, '4th Qtr'!I126)</f>
        <v>319078</v>
      </c>
      <c r="J126" s="14">
        <f t="shared" si="11"/>
        <v>1.2007601700974673</v>
      </c>
      <c r="K126" s="14" t="str">
        <f>IFERROR(AVERAGE(Jan!K126, Feb!K126, Mar!K126, Apr!K126, May!K126, Jun!K126, Jul!K126, Aug!K126, Sep!K126, Oct!K126, Nov!K126, Dec!K126),"")</f>
        <v/>
      </c>
      <c r="L126" s="38"/>
      <c r="M126" s="38"/>
    </row>
    <row r="127" spans="1:13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SUM('1st Qtr'!D127, '2nd Qtr'!D127, '3rd Qtr'!D127, '4th Qtr'!D127)</f>
        <v>191461.11999999991</v>
      </c>
      <c r="E127" s="15">
        <f>SUM('1st Qtr'!E127, '2nd Qtr'!E127, '3rd Qtr'!E127, '4th Qtr'!E127)</f>
        <v>424904.96499999997</v>
      </c>
      <c r="F127" s="15">
        <f t="shared" si="9"/>
        <v>-233443.84500000006</v>
      </c>
      <c r="G127" s="16">
        <f t="shared" si="10"/>
        <v>-0.5494024881540277</v>
      </c>
      <c r="H127" s="17">
        <f>SUM('1st Qtr'!H127+'2nd Qtr'!H127+'3rd Qtr'!H127+'4th Qtr'!H127)</f>
        <v>306760</v>
      </c>
      <c r="I127" s="17">
        <f>SUM('1st Qtr'!I127, '2nd Qtr'!I127, '3rd Qtr'!I127, '4th Qtr'!I127)</f>
        <v>-115298.88000000009</v>
      </c>
      <c r="J127" s="16">
        <f t="shared" si="11"/>
        <v>-0.37586021645586154</v>
      </c>
      <c r="K127" s="14" t="str">
        <f>IFERROR(AVERAGE(Jan!K127, Feb!K127, Mar!K127, Apr!K127, May!K127, Jun!K127, Jul!K127, Aug!K127, Sep!K127, Oct!K127, Nov!K127, Dec!K127),"")</f>
        <v/>
      </c>
      <c r="L127" s="39"/>
      <c r="M127" s="40"/>
    </row>
    <row r="128" spans="1:13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SUM('1st Qtr'!D128, '2nd Qtr'!D128, '3rd Qtr'!D128, '4th Qtr'!D128)</f>
        <v>547935.5</v>
      </c>
      <c r="E128" s="11">
        <f>SUM('1st Qtr'!E128, '2nd Qtr'!E128, '3rd Qtr'!E128, '4th Qtr'!E128)</f>
        <v>511465.96499999997</v>
      </c>
      <c r="F128" s="11">
        <f t="shared" si="9"/>
        <v>36469.535000000033</v>
      </c>
      <c r="G128" s="12">
        <f t="shared" si="10"/>
        <v>7.13039331952421E-2</v>
      </c>
      <c r="H128" s="13">
        <f>SUM('1st Qtr'!H128+'2nd Qtr'!H128+'3rd Qtr'!H128+'4th Qtr'!H128)</f>
        <v>590040.5</v>
      </c>
      <c r="I128" s="13">
        <f>SUM('1st Qtr'!I128, '2nd Qtr'!I128, '3rd Qtr'!I128, '4th Qtr'!I128)</f>
        <v>-42105.000000000007</v>
      </c>
      <c r="J128" s="14">
        <f t="shared" si="11"/>
        <v>-7.1359508372730363E-2</v>
      </c>
      <c r="K128" s="14" t="str">
        <f>IFERROR(AVERAGE(Jan!K128, Feb!K128, Mar!K128, Apr!K128, May!K128, Jun!K128, Jul!K128, Aug!K128, Sep!K128, Oct!K128, Nov!K128, Dec!K128),"")</f>
        <v/>
      </c>
      <c r="L128" s="38"/>
      <c r="M128" s="38"/>
    </row>
    <row r="129" spans="1:13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SUM('1st Qtr'!D129, '2nd Qtr'!D129, '3rd Qtr'!D129, '4th Qtr'!D129)</f>
        <v>1239533</v>
      </c>
      <c r="E129" s="15">
        <f>SUM('1st Qtr'!E129, '2nd Qtr'!E129, '3rd Qtr'!E129, '4th Qtr'!E129)</f>
        <v>1256996.537</v>
      </c>
      <c r="F129" s="15">
        <f t="shared" si="9"/>
        <v>-17463.537000000011</v>
      </c>
      <c r="G129" s="16">
        <f t="shared" si="10"/>
        <v>-1.3893066914630657E-2</v>
      </c>
      <c r="H129" s="17">
        <f>SUM('1st Qtr'!H129+'2nd Qtr'!H129+'3rd Qtr'!H129+'4th Qtr'!H129)</f>
        <v>1286874.27</v>
      </c>
      <c r="I129" s="17">
        <f>SUM('1st Qtr'!I129, '2nd Qtr'!I129, '3rd Qtr'!I129, '4th Qtr'!I129)</f>
        <v>-47341.270000000011</v>
      </c>
      <c r="J129" s="16">
        <f t="shared" si="11"/>
        <v>-3.6787797459032275E-2</v>
      </c>
      <c r="K129" s="14" t="str">
        <f>IFERROR(AVERAGE(Jan!K129, Feb!K129, Mar!K129, Apr!K129, May!K129, Jun!K129, Jul!K129, Aug!K129, Sep!K129, Oct!K129, Nov!K129, Dec!K129),"")</f>
        <v/>
      </c>
      <c r="L129" s="39"/>
      <c r="M129" s="40"/>
    </row>
    <row r="130" spans="1:13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SUM('1st Qtr'!D130, '2nd Qtr'!D130, '3rd Qtr'!D130, '4th Qtr'!D130)</f>
        <v>2547130</v>
      </c>
      <c r="E130" s="11">
        <f>SUM('1st Qtr'!E130, '2nd Qtr'!E130, '3rd Qtr'!E130, '4th Qtr'!E130)</f>
        <v>2667940.6230000001</v>
      </c>
      <c r="F130" s="11">
        <f t="shared" si="9"/>
        <v>-120810.62300000014</v>
      </c>
      <c r="G130" s="12">
        <f t="shared" si="10"/>
        <v>-4.5282350723440418E-2</v>
      </c>
      <c r="H130" s="13">
        <f>SUM('1st Qtr'!H130+'2nd Qtr'!H130+'3rd Qtr'!H130+'4th Qtr'!H130)</f>
        <v>2799631.9000000004</v>
      </c>
      <c r="I130" s="13">
        <f>SUM('1st Qtr'!I130, '2nd Qtr'!I130, '3rd Qtr'!I130, '4th Qtr'!I130)</f>
        <v>-252501.89999999997</v>
      </c>
      <c r="J130" s="14">
        <f t="shared" si="11"/>
        <v>-9.0191106909447608E-2</v>
      </c>
      <c r="K130" s="14" t="str">
        <f>IFERROR(AVERAGE(Jan!K130, Feb!K130, Mar!K130, Apr!K130, May!K130, Jun!K130, Jul!K130, Aug!K130, Sep!K130, Oct!K130, Nov!K130, Dec!K130),"")</f>
        <v/>
      </c>
      <c r="L130" s="38"/>
      <c r="M130" s="38"/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SUM('1st Qtr'!D131, '2nd Qtr'!D131, '3rd Qtr'!D131, '4th Qtr'!D131)</f>
        <v>113847.5381450436</v>
      </c>
      <c r="E131" s="15">
        <f>SUM('1st Qtr'!E131, '2nd Qtr'!E131, '3rd Qtr'!E131, '4th Qtr'!E131)</f>
        <v>117069.16800000001</v>
      </c>
      <c r="F131" s="15">
        <f t="shared" si="9"/>
        <v>-3221.629854956409</v>
      </c>
      <c r="G131" s="16">
        <f t="shared" si="10"/>
        <v>-2.7519029220028357E-2</v>
      </c>
      <c r="H131" s="17">
        <f>SUM('1st Qtr'!H131+'2nd Qtr'!H131+'3rd Qtr'!H131+'4th Qtr'!H131)</f>
        <v>103616.62</v>
      </c>
      <c r="I131" s="17">
        <f>SUM('1st Qtr'!I131, '2nd Qtr'!I131, '3rd Qtr'!I131, '4th Qtr'!I131)</f>
        <v>10230.918145043599</v>
      </c>
      <c r="J131" s="16">
        <f t="shared" si="11"/>
        <v>9.8738196102551884E-2</v>
      </c>
      <c r="K131" s="14" t="str">
        <f>IFERROR(AVERAGE(Jan!K131, Feb!K131, Mar!K131, Apr!K131, May!K131, Jun!K131, Jul!K131, Aug!K131, Sep!K131, Oct!K131, Nov!K131, Dec!K131),"")</f>
        <v/>
      </c>
      <c r="L131" s="39"/>
      <c r="M131" s="40"/>
    </row>
    <row r="132" spans="1:13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SUM('1st Qtr'!D132, '2nd Qtr'!D132, '3rd Qtr'!D132, '4th Qtr'!D132)</f>
        <v>84371.372510332847</v>
      </c>
      <c r="E132" s="11">
        <f>SUM('1st Qtr'!E132, '2nd Qtr'!E132, '3rd Qtr'!E132, '4th Qtr'!E132)</f>
        <v>99789.786999999997</v>
      </c>
      <c r="F132" s="11">
        <f t="shared" si="9"/>
        <v>-15418.41448966715</v>
      </c>
      <c r="G132" s="12">
        <f t="shared" si="10"/>
        <v>-0.15450894278055879</v>
      </c>
      <c r="H132" s="13">
        <f>SUM('1st Qtr'!H132+'2nd Qtr'!H132+'3rd Qtr'!H132+'4th Qtr'!H132)</f>
        <v>421213.62300000002</v>
      </c>
      <c r="I132" s="13">
        <f>SUM('1st Qtr'!I132, '2nd Qtr'!I132, '3rd Qtr'!I132, '4th Qtr'!I132)</f>
        <v>-336842.25048966712</v>
      </c>
      <c r="J132" s="14">
        <f t="shared" si="11"/>
        <v>-0.79969457799247656</v>
      </c>
      <c r="K132" s="14" t="str">
        <f>IFERROR(AVERAGE(Jan!K132, Feb!K132, Mar!K132, Apr!K132, May!K132, Jun!K132, Jul!K132, Aug!K132, Sep!K132, Oct!K132, Nov!K132, Dec!K132),"")</f>
        <v/>
      </c>
      <c r="L132" s="38"/>
      <c r="M132" s="38"/>
    </row>
    <row r="133" spans="1:13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SUM('1st Qtr'!D133, '2nd Qtr'!D133, '3rd Qtr'!D133, '4th Qtr'!D133)</f>
        <v>71439.785999999993</v>
      </c>
      <c r="E133" s="15">
        <f>SUM('1st Qtr'!E133, '2nd Qtr'!E133, '3rd Qtr'!E133, '4th Qtr'!E133)</f>
        <v>57616.497000000003</v>
      </c>
      <c r="F133" s="15">
        <f t="shared" si="9"/>
        <v>13823.28899999999</v>
      </c>
      <c r="G133" s="16">
        <f t="shared" si="10"/>
        <v>0.23991894196552749</v>
      </c>
      <c r="H133" s="17">
        <f>SUM('1st Qtr'!H133+'2nd Qtr'!H133+'3rd Qtr'!H133+'4th Qtr'!H133)</f>
        <v>71683.41</v>
      </c>
      <c r="I133" s="17">
        <f>SUM('1st Qtr'!I133, '2nd Qtr'!I133, '3rd Qtr'!I133, '4th Qtr'!I133)</f>
        <v>-1081.7510000000002</v>
      </c>
      <c r="J133" s="16">
        <f t="shared" si="11"/>
        <v>-1.5090674397325688E-2</v>
      </c>
      <c r="K133" s="14" t="str">
        <f>IFERROR(AVERAGE(Jan!K133, Feb!K133, Mar!K133, Apr!K133, May!K133, Jun!K133, Jul!K133, Aug!K133, Sep!K133, Oct!K133, Nov!K133, Dec!K133),"")</f>
        <v/>
      </c>
      <c r="L133" s="39"/>
      <c r="M133" s="40"/>
    </row>
    <row r="134" spans="1:13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SUM('1st Qtr'!D134, '2nd Qtr'!D134, '3rd Qtr'!D134, '4th Qtr'!D134)</f>
        <v>288140.5</v>
      </c>
      <c r="E134" s="11">
        <f>SUM('1st Qtr'!E134, '2nd Qtr'!E134, '3rd Qtr'!E134, '4th Qtr'!E134)</f>
        <v>271051.17300000001</v>
      </c>
      <c r="F134" s="11">
        <f t="shared" si="9"/>
        <v>17089.32699999999</v>
      </c>
      <c r="G134" s="12">
        <f t="shared" si="10"/>
        <v>6.3048341797805052E-2</v>
      </c>
      <c r="H134" s="13">
        <f>SUM('1st Qtr'!H134+'2nd Qtr'!H134+'3rd Qtr'!H134+'4th Qtr'!H134)</f>
        <v>176882.11800000002</v>
      </c>
      <c r="I134" s="13">
        <f>SUM('1st Qtr'!I134, '2nd Qtr'!I134, '3rd Qtr'!I134, '4th Qtr'!I134)</f>
        <v>111258.382</v>
      </c>
      <c r="J134" s="14">
        <f t="shared" si="11"/>
        <v>0.62899734160804199</v>
      </c>
      <c r="K134" s="14" t="str">
        <f>IFERROR(AVERAGE(Jan!K134, Feb!K134, Mar!K134, Apr!K134, May!K134, Jun!K134, Jul!K134, Aug!K134, Sep!K134, Oct!K134, Nov!K134, Dec!K134),"")</f>
        <v/>
      </c>
      <c r="L134" s="38"/>
      <c r="M134" s="38"/>
    </row>
    <row r="135" spans="1:13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SUM('1st Qtr'!D135, '2nd Qtr'!D135, '3rd Qtr'!D135, '4th Qtr'!D135)</f>
        <v>256330</v>
      </c>
      <c r="E135" s="15">
        <f>SUM('1st Qtr'!E135, '2nd Qtr'!E135, '3rd Qtr'!E135, '4th Qtr'!E135)</f>
        <v>287610.31599999999</v>
      </c>
      <c r="F135" s="15">
        <f t="shared" si="9"/>
        <v>-31280.315999999992</v>
      </c>
      <c r="G135" s="16">
        <f t="shared" si="10"/>
        <v>-0.10875936731003763</v>
      </c>
      <c r="H135" s="17">
        <f>SUM('1st Qtr'!H135+'2nd Qtr'!H135+'3rd Qtr'!H135+'4th Qtr'!H135)</f>
        <v>258121.1</v>
      </c>
      <c r="I135" s="17">
        <f>SUM('1st Qtr'!I135, '2nd Qtr'!I135, '3rd Qtr'!I135, '4th Qtr'!I135)</f>
        <v>-1791.1000000000022</v>
      </c>
      <c r="J135" s="16">
        <f t="shared" si="11"/>
        <v>-6.9389910394772152E-3</v>
      </c>
      <c r="K135" s="14" t="str">
        <f>IFERROR(AVERAGE(Jan!K135, Feb!K135, Mar!K135, Apr!K135, May!K135, Jun!K135, Jul!K135, Aug!K135, Sep!K135, Oct!K135, Nov!K135, Dec!K135),"")</f>
        <v/>
      </c>
      <c r="L135" s="39"/>
      <c r="M135" s="40"/>
    </row>
    <row r="136" spans="1:13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SUM('1st Qtr'!D136, '2nd Qtr'!D136, '3rd Qtr'!D136, '4th Qtr'!D136)</f>
        <v>252125.51085999998</v>
      </c>
      <c r="E136" s="11">
        <f>SUM('1st Qtr'!E136, '2nd Qtr'!E136, '3rd Qtr'!E136, '4th Qtr'!E136)</f>
        <v>288896.40500000003</v>
      </c>
      <c r="F136" s="11">
        <f t="shared" si="9"/>
        <v>-36770.894140000048</v>
      </c>
      <c r="G136" s="12">
        <f t="shared" si="10"/>
        <v>-0.12728055283346307</v>
      </c>
      <c r="H136" s="13">
        <f>SUM('1st Qtr'!H136+'2nd Qtr'!H136+'3rd Qtr'!H136+'4th Qtr'!H136)</f>
        <v>241555.91399999999</v>
      </c>
      <c r="I136" s="13">
        <f>SUM('1st Qtr'!I136, '2nd Qtr'!I136, '3rd Qtr'!I136, '4th Qtr'!I136)</f>
        <v>10569.596859999998</v>
      </c>
      <c r="J136" s="14">
        <f t="shared" si="11"/>
        <v>4.3756315815144969E-2</v>
      </c>
      <c r="K136" s="14" t="str">
        <f>IFERROR(AVERAGE(Jan!K136, Feb!K136, Mar!K136, Apr!K136, May!K136, Jun!K136, Jul!K136, Aug!K136, Sep!K136, Oct!K136, Nov!K136, Dec!K136),"")</f>
        <v/>
      </c>
      <c r="L136" s="38"/>
      <c r="M136" s="38"/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SUM('1st Qtr'!D137, '2nd Qtr'!D137, '3rd Qtr'!D137, '4th Qtr'!D137)</f>
        <v>126634.0073034512</v>
      </c>
      <c r="E137" s="15">
        <f>SUM('1st Qtr'!E137, '2nd Qtr'!E137, '3rd Qtr'!E137, '4th Qtr'!E137)</f>
        <v>119508.405</v>
      </c>
      <c r="F137" s="15">
        <f t="shared" si="9"/>
        <v>7125.6023034512036</v>
      </c>
      <c r="G137" s="16">
        <f t="shared" si="10"/>
        <v>5.9624277501245236E-2</v>
      </c>
      <c r="H137" s="17">
        <f>SUM('1st Qtr'!H137+'2nd Qtr'!H137+'3rd Qtr'!H137+'4th Qtr'!H137)</f>
        <v>118435.955</v>
      </c>
      <c r="I137" s="17">
        <f>SUM('1st Qtr'!I137, '2nd Qtr'!I137, '3rd Qtr'!I137, '4th Qtr'!I137)</f>
        <v>8198.0523034512007</v>
      </c>
      <c r="J137" s="16">
        <f t="shared" si="11"/>
        <v>6.9219286520307122E-2</v>
      </c>
      <c r="K137" s="14" t="str">
        <f>IFERROR(AVERAGE(Jan!K137, Feb!K137, Mar!K137, Apr!K137, May!K137, Jun!K137, Jul!K137, Aug!K137, Sep!K137, Oct!K137, Nov!K137, Dec!K137),"")</f>
        <v/>
      </c>
      <c r="L137" s="39"/>
      <c r="M137" s="40"/>
    </row>
    <row r="138" spans="1:13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SUM('1st Qtr'!D138, '2nd Qtr'!D138, '3rd Qtr'!D138, '4th Qtr'!D138)</f>
        <v>3747929.4</v>
      </c>
      <c r="E138" s="11">
        <f>SUM('1st Qtr'!E138, '2nd Qtr'!E138, '3rd Qtr'!E138, '4th Qtr'!E138)</f>
        <v>0</v>
      </c>
      <c r="F138" s="11">
        <f t="shared" si="9"/>
        <v>3747929.4</v>
      </c>
      <c r="G138" s="12" t="str">
        <f t="shared" si="10"/>
        <v/>
      </c>
      <c r="H138" s="13">
        <f>SUM('1st Qtr'!H138+'2nd Qtr'!H138+'3rd Qtr'!H138+'4th Qtr'!H138)</f>
        <v>1798380</v>
      </c>
      <c r="I138" s="13">
        <f>SUM('1st Qtr'!I138, '2nd Qtr'!I138, '3rd Qtr'!I138, '4th Qtr'!I138)</f>
        <v>1949549.4</v>
      </c>
      <c r="J138" s="14">
        <f t="shared" si="11"/>
        <v>1.0840586527875087</v>
      </c>
      <c r="K138" s="14" t="str">
        <f>IFERROR(AVERAGE(Jan!K138, Feb!K138, Mar!K138, Apr!K138, May!K138, Jun!K138, Jul!K138, Aug!K138, Sep!K138, Oct!K138, Nov!K138, Dec!K138),"")</f>
        <v/>
      </c>
      <c r="L138" s="38"/>
      <c r="M138" s="38"/>
    </row>
    <row r="139" spans="1:13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SUM('1st Qtr'!D139, '2nd Qtr'!D139, '3rd Qtr'!D139, '4th Qtr'!D139)</f>
        <v>6238595.7999999998</v>
      </c>
      <c r="E139" s="15">
        <f>SUM('1st Qtr'!E139, '2nd Qtr'!E139, '3rd Qtr'!E139, '4th Qtr'!E139)</f>
        <v>0</v>
      </c>
      <c r="F139" s="15">
        <f t="shared" si="9"/>
        <v>6238595.7999999998</v>
      </c>
      <c r="G139" s="16" t="str">
        <f t="shared" si="10"/>
        <v/>
      </c>
      <c r="H139" s="17">
        <f>SUM('1st Qtr'!H139+'2nd Qtr'!H139+'3rd Qtr'!H139+'4th Qtr'!H139)</f>
        <v>3451000</v>
      </c>
      <c r="I139" s="17">
        <f>SUM('1st Qtr'!I139, '2nd Qtr'!I139, '3rd Qtr'!I139, '4th Qtr'!I139)</f>
        <v>2787595.8</v>
      </c>
      <c r="J139" s="16"/>
      <c r="K139" s="14" t="str">
        <f>IFERROR(AVERAGE(Jan!K139, Feb!K139, Mar!K139, Apr!K139, May!K139, Jun!K139, Jul!K139, Aug!K139, Sep!K139, Oct!K139, Nov!K139, Dec!K139),"")</f>
        <v/>
      </c>
      <c r="L139" s="39"/>
      <c r="M139" s="40"/>
    </row>
    <row r="140" spans="1:13" ht="15.6">
      <c r="A140" s="25" t="str">
        <v>Reisender</v>
      </c>
      <c r="B140" s="26" t="str">
        <v>NY</v>
      </c>
      <c r="C140" s="26" t="str">
        <f>'1st Qtr'!C140</f>
        <v>SOL-10886</v>
      </c>
      <c r="D140" s="67">
        <f>SUM('1st Qtr'!D140, '2nd Qtr'!D140, '3rd Qtr'!D140, '4th Qtr'!D140)</f>
        <v>1447640</v>
      </c>
      <c r="E140" s="11">
        <f>SUM('1st Qtr'!E140, '2nd Qtr'!E140, '3rd Qtr'!E140, '4th Qtr'!E140)</f>
        <v>1469154.28</v>
      </c>
      <c r="F140" s="11">
        <f t="shared" si="9"/>
        <v>-21514.280000000028</v>
      </c>
      <c r="G140" s="12">
        <f t="shared" si="10"/>
        <v>-1.4643989601963401E-2</v>
      </c>
      <c r="H140" s="13">
        <f>SUM('1st Qtr'!H140+'2nd Qtr'!H140+'3rd Qtr'!H140+'4th Qtr'!H140)</f>
        <v>1500075</v>
      </c>
      <c r="I140" s="13">
        <f>SUM('1st Qtr'!I140, '2nd Qtr'!I140, '3rd Qtr'!I140, '4th Qtr'!I140)</f>
        <v>-52435</v>
      </c>
      <c r="J140" s="14"/>
      <c r="K140" s="14" t="str">
        <f>IFERROR(AVERAGE(Jan!K140, Feb!K140, Mar!K140, Apr!K140, May!K140, Jun!K140, Jul!K140, Aug!K140, Sep!K140, Oct!K140, Nov!K140, Dec!K140),"")</f>
        <v/>
      </c>
      <c r="L140" s="38"/>
      <c r="M140" s="38"/>
    </row>
    <row r="141" spans="1:13" ht="15.6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f>SUM('1st Qtr'!D141, '2nd Qtr'!D141, '3rd Qtr'!D141, '4th Qtr'!D141)</f>
        <v>3289070</v>
      </c>
      <c r="E141" s="15">
        <f>SUM('1st Qtr'!E141, '2nd Qtr'!E141, '3rd Qtr'!E141, '4th Qtr'!E141)</f>
        <v>0</v>
      </c>
      <c r="F141" s="15">
        <f t="shared" si="9"/>
        <v>3289070</v>
      </c>
      <c r="G141" s="16" t="str">
        <f t="shared" si="10"/>
        <v/>
      </c>
      <c r="H141" s="17">
        <f>SUM('1st Qtr'!H141+'2nd Qtr'!H141+'3rd Qtr'!H141+'4th Qtr'!H141)</f>
        <v>3307438</v>
      </c>
      <c r="I141" s="17">
        <f>SUM('1st Qtr'!I141, '2nd Qtr'!I141, '3rd Qtr'!I141, '4th Qtr'!I141)</f>
        <v>-334948</v>
      </c>
      <c r="J141" s="16"/>
      <c r="K141" s="14" t="str">
        <f>IFERROR(AVERAGE(Jan!K141, Feb!K141, Mar!K141, Apr!K141, May!K141, Jun!K141, Jul!K141, Aug!K141, Sep!K141, Oct!K141, Nov!K141, Dec!K141),"")</f>
        <v/>
      </c>
      <c r="L141" s="39"/>
      <c r="M141" s="40"/>
    </row>
    <row r="142" spans="1:13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f>SUM('1st Qtr'!D142, '2nd Qtr'!D142, '3rd Qtr'!D142, '4th Qtr'!D142)</f>
        <v>1996108</v>
      </c>
      <c r="E142" s="11">
        <f>SUM('1st Qtr'!E142, '2nd Qtr'!E142, '3rd Qtr'!E142, '4th Qtr'!E142)</f>
        <v>3366819.1</v>
      </c>
      <c r="F142" s="11">
        <f t="shared" si="9"/>
        <v>-1370711.1</v>
      </c>
      <c r="G142" s="12">
        <f t="shared" si="10"/>
        <v>-0.40712347746868849</v>
      </c>
      <c r="H142" s="13">
        <f>SUM('1st Qtr'!H142+'2nd Qtr'!H142+'3rd Qtr'!H142+'4th Qtr'!H142)</f>
        <v>3688372</v>
      </c>
      <c r="I142" s="13">
        <f>SUM('1st Qtr'!I142, '2nd Qtr'!I142, '3rd Qtr'!I142, '4th Qtr'!I142)</f>
        <v>-915105</v>
      </c>
      <c r="J142" s="14"/>
      <c r="K142" s="14">
        <f>IFERROR(AVERAGE(Jan!K142, Feb!K142, Mar!K142, Apr!K142, May!K142, Jun!K142, Jul!K142, Aug!K142, Sep!K142, Oct!K142, Nov!K142, Dec!K142),"")</f>
        <v>0.62107121999999992</v>
      </c>
      <c r="L142" s="38"/>
      <c r="M142" s="38"/>
    </row>
    <row r="143" spans="1:13" ht="15.6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f>SUM('1st Qtr'!D143, '2nd Qtr'!D143, '3rd Qtr'!D143, '4th Qtr'!D143)</f>
        <v>3457864.9</v>
      </c>
      <c r="E143" s="15">
        <f>SUM('1st Qtr'!E143, '2nd Qtr'!E143, '3rd Qtr'!E143, '4th Qtr'!E143)</f>
        <v>0</v>
      </c>
      <c r="F143" s="15">
        <f t="shared" si="9"/>
        <v>3457864.9</v>
      </c>
      <c r="G143" s="16" t="str">
        <f t="shared" si="10"/>
        <v/>
      </c>
      <c r="H143" s="17">
        <f>SUM('1st Qtr'!H143+'2nd Qtr'!H143+'3rd Qtr'!H143+'4th Qtr'!H143)</f>
        <v>2677368</v>
      </c>
      <c r="I143" s="17">
        <f>SUM('1st Qtr'!I143, '2nd Qtr'!I143, '3rd Qtr'!I143, '4th Qtr'!I143)</f>
        <v>780496.9</v>
      </c>
      <c r="J143" s="16"/>
      <c r="K143" s="14" t="str">
        <f>IFERROR(AVERAGE(Jan!K143, Feb!K143, Mar!K143, Apr!K143, May!K143, Jun!K143, Jul!K143, Aug!K143, Sep!K143, Oct!K143, Nov!K143, Dec!K143),"")</f>
        <v/>
      </c>
      <c r="L143" s="39"/>
      <c r="M143" s="40"/>
    </row>
    <row r="144" spans="1:13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>
        <f>SUM('1st Qtr'!D144, '2nd Qtr'!D144, '3rd Qtr'!D144, '4th Qtr'!D144)</f>
        <v>1343756</v>
      </c>
      <c r="E144" s="11">
        <f>SUM('1st Qtr'!E144, '2nd Qtr'!E144, '3rd Qtr'!E144, '4th Qtr'!E144)</f>
        <v>0</v>
      </c>
      <c r="F144" s="11">
        <f t="shared" si="9"/>
        <v>1343756</v>
      </c>
      <c r="G144" s="12" t="str">
        <f t="shared" si="10"/>
        <v/>
      </c>
      <c r="H144" s="13">
        <f>SUM('1st Qtr'!H144+'2nd Qtr'!H144+'3rd Qtr'!H144+'4th Qtr'!H144)</f>
        <v>1214601</v>
      </c>
      <c r="I144" s="13">
        <f>SUM('1st Qtr'!I144, '2nd Qtr'!I144, '3rd Qtr'!I144, '4th Qtr'!I144)</f>
        <v>129155</v>
      </c>
      <c r="J144" s="14"/>
      <c r="K144" s="14" t="str">
        <f>IFERROR(AVERAGE(Jan!K144, Feb!K144, Mar!K144, Apr!K144, May!K144, Jun!K144, Jul!K144, Aug!K144, Sep!K144, Oct!K144, Nov!K144, Dec!K144),"")</f>
        <v/>
      </c>
      <c r="L144" s="38"/>
      <c r="M144" s="38"/>
    </row>
    <row r="145" spans="1:13" ht="15.6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f>SUM('1st Qtr'!D145, '2nd Qtr'!D145, '3rd Qtr'!D145, '4th Qtr'!D145)</f>
        <v>1148070</v>
      </c>
      <c r="E145" s="15">
        <f>SUM('1st Qtr'!E145, '2nd Qtr'!E145, '3rd Qtr'!E145, '4th Qtr'!E145)</f>
        <v>0</v>
      </c>
      <c r="F145" s="15">
        <f t="shared" si="9"/>
        <v>1148070</v>
      </c>
      <c r="G145" s="16" t="str">
        <f t="shared" si="10"/>
        <v/>
      </c>
      <c r="H145" s="17">
        <f>SUM('1st Qtr'!H145+'2nd Qtr'!H145+'3rd Qtr'!H145+'4th Qtr'!H145)</f>
        <v>2553284</v>
      </c>
      <c r="I145" s="17">
        <f>SUM('1st Qtr'!I145, '2nd Qtr'!I145, '3rd Qtr'!I145, '4th Qtr'!I145)</f>
        <v>-1405214</v>
      </c>
      <c r="J145" s="16"/>
      <c r="K145" s="14" t="str">
        <f>IFERROR(AVERAGE(Jan!K145, Feb!K145, Mar!K145, Apr!K145, May!K145, Jun!K145, Jul!K145, Aug!K145, Sep!K145, Oct!K145, Nov!K145, Dec!K145),"")</f>
        <v/>
      </c>
      <c r="L145" s="39"/>
      <c r="M145" s="40"/>
    </row>
    <row r="146" spans="1:13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>
        <f>SUM('1st Qtr'!D146, '2nd Qtr'!D146, '3rd Qtr'!D146, '4th Qtr'!D146)</f>
        <v>1366080</v>
      </c>
      <c r="E146" s="11">
        <f>SUM('1st Qtr'!E146, '2nd Qtr'!E146, '3rd Qtr'!E146, '4th Qtr'!E146)</f>
        <v>1419126.3699999999</v>
      </c>
      <c r="F146" s="11">
        <f t="shared" ref="F146:F160" si="12">IF(AND(ISNUMBER(D146),ISNUMBER(E146)), D146-E146, "")</f>
        <v>-53046.369999999879</v>
      </c>
      <c r="G146" s="12">
        <f t="shared" ref="G146:G160" si="13">IFERROR(F146/E146, "")</f>
        <v>-3.7379595729730458E-2</v>
      </c>
      <c r="H146" s="13">
        <f>SUM('1st Qtr'!H146+'2nd Qtr'!H146+'3rd Qtr'!H146+'4th Qtr'!H146)</f>
        <v>1567327</v>
      </c>
      <c r="I146" s="13">
        <f>SUM('1st Qtr'!I146, '2nd Qtr'!I146, '3rd Qtr'!I146, '4th Qtr'!I146)</f>
        <v>-194180.21000000002</v>
      </c>
      <c r="J146" s="14"/>
      <c r="K146" s="14" t="str">
        <f>IFERROR(AVERAGE(Jan!K146, Feb!K146, Mar!K146, Apr!K146, May!K146, Jun!K146, Jul!K146, Aug!K146, Sep!K146, Oct!K146, Nov!K146, Dec!K146),"")</f>
        <v/>
      </c>
      <c r="L146" s="38"/>
      <c r="M146" s="38"/>
    </row>
    <row r="147" spans="1:13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f>SUM('1st Qtr'!D147, '2nd Qtr'!D147, '3rd Qtr'!D147, '4th Qtr'!D147)</f>
        <v>3832471</v>
      </c>
      <c r="E147" s="15">
        <f>SUM('1st Qtr'!E147, '2nd Qtr'!E147, '3rd Qtr'!E147, '4th Qtr'!E147)</f>
        <v>3956414</v>
      </c>
      <c r="F147" s="15">
        <f t="shared" si="12"/>
        <v>-123943</v>
      </c>
      <c r="G147" s="16">
        <f t="shared" si="13"/>
        <v>-3.1327105808441683E-2</v>
      </c>
      <c r="H147" s="17">
        <f>SUM('1st Qtr'!H147+'2nd Qtr'!H147+'3rd Qtr'!H147+'4th Qtr'!H147)</f>
        <v>4351974.9000000004</v>
      </c>
      <c r="I147" s="17">
        <f>SUM('1st Qtr'!I147, '2nd Qtr'!I147, '3rd Qtr'!I147, '4th Qtr'!I147)</f>
        <v>-519503.9</v>
      </c>
      <c r="J147" s="16"/>
      <c r="K147" s="14" t="str">
        <f>IFERROR(AVERAGE(Jan!K147, Feb!K147, Mar!K147, Apr!K147, May!K147, Jun!K147, Jul!K147, Aug!K147, Sep!K147, Oct!K147, Nov!K147, Dec!K147),"")</f>
        <v/>
      </c>
      <c r="L147" s="39"/>
      <c r="M147" s="40"/>
    </row>
    <row r="148" spans="1:13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>
        <f>SUM('1st Qtr'!D148, '2nd Qtr'!D148, '3rd Qtr'!D148, '4th Qtr'!D148)</f>
        <v>1831518</v>
      </c>
      <c r="E148" s="11">
        <f>SUM('1st Qtr'!E148, '2nd Qtr'!E148, '3rd Qtr'!E148, '4th Qtr'!E148)</f>
        <v>1928514.5</v>
      </c>
      <c r="F148" s="11">
        <f t="shared" si="12"/>
        <v>-96996.5</v>
      </c>
      <c r="G148" s="12">
        <f t="shared" si="13"/>
        <v>-5.0295966143889509E-2</v>
      </c>
      <c r="H148" s="13">
        <f>SUM('1st Qtr'!H148+'2nd Qtr'!H148+'3rd Qtr'!H148+'4th Qtr'!H148)</f>
        <v>1971095.9</v>
      </c>
      <c r="I148" s="13">
        <f>SUM('1st Qtr'!I148, '2nd Qtr'!I148, '3rd Qtr'!I148, '4th Qtr'!I148)</f>
        <v>-139577.89999999997</v>
      </c>
      <c r="J148" s="14"/>
      <c r="K148" s="14" t="str">
        <f>IFERROR(AVERAGE(Jan!K148, Feb!K148, Mar!K148, Apr!K148, May!K148, Jun!K148, Jul!K148, Aug!K148, Sep!K148, Oct!K148, Nov!K148, Dec!K148),"")</f>
        <v/>
      </c>
      <c r="L148" s="38"/>
      <c r="M148" s="38"/>
    </row>
    <row r="149" spans="1:13" ht="15.6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f>SUM('1st Qtr'!D149, '2nd Qtr'!D149, '3rd Qtr'!D149, '4th Qtr'!D149)</f>
        <v>1330592</v>
      </c>
      <c r="E149" s="15">
        <f>SUM('1st Qtr'!E149, '2nd Qtr'!E149, '3rd Qtr'!E149, '4th Qtr'!E149)</f>
        <v>0</v>
      </c>
      <c r="F149" s="15">
        <f t="shared" si="12"/>
        <v>1330592</v>
      </c>
      <c r="G149" s="16" t="str">
        <f t="shared" si="13"/>
        <v/>
      </c>
      <c r="H149" s="17">
        <f>SUM('1st Qtr'!H149+'2nd Qtr'!H149+'3rd Qtr'!H149+'4th Qtr'!H149)</f>
        <v>1225802</v>
      </c>
      <c r="I149" s="17">
        <f>SUM('1st Qtr'!I149, '2nd Qtr'!I149, '3rd Qtr'!I149, '4th Qtr'!I149)</f>
        <v>104790</v>
      </c>
      <c r="J149" s="16"/>
      <c r="K149" s="14" t="str">
        <f>IFERROR(AVERAGE(Jan!K149, Feb!K149, Mar!K149, Apr!K149, May!K149, Jun!K149, Jul!K149, Aug!K149, Sep!K149, Oct!K149, Nov!K149, Dec!K149),"")</f>
        <v/>
      </c>
      <c r="L149" s="39"/>
      <c r="M149" s="40"/>
    </row>
    <row r="150" spans="1:13" ht="15.6">
      <c r="A150" s="25" t="str">
        <v>Bantam</v>
      </c>
      <c r="B150" s="26" t="str">
        <v>NY</v>
      </c>
      <c r="C150" s="26" t="str">
        <f>Sites[[#This Row],[SOL'#]]</f>
        <v>SOL-10986</v>
      </c>
      <c r="D150" s="67">
        <f>SUM('1st Qtr'!D150, '2nd Qtr'!D150, '3rd Qtr'!D150, '4th Qtr'!D150)</f>
        <v>3406880</v>
      </c>
      <c r="E150" s="11">
        <f>SUM('1st Qtr'!E150, '2nd Qtr'!E150, '3rd Qtr'!E150, '4th Qtr'!E150)</f>
        <v>0</v>
      </c>
      <c r="F150" s="11">
        <f t="shared" si="12"/>
        <v>3406880</v>
      </c>
      <c r="G150" s="12" t="str">
        <f t="shared" si="13"/>
        <v/>
      </c>
      <c r="H150" s="13">
        <f>SUM('1st Qtr'!H150+'2nd Qtr'!H150+'3rd Qtr'!H150+'4th Qtr'!H150)</f>
        <v>3409269</v>
      </c>
      <c r="I150" s="13">
        <f>SUM('1st Qtr'!I150, '2nd Qtr'!I150, '3rd Qtr'!I150, '4th Qtr'!I150)</f>
        <v>-2389</v>
      </c>
      <c r="J150" s="14"/>
      <c r="K150" s="14" t="str">
        <f>IFERROR(AVERAGE(Jan!K150, Feb!K150, Mar!K150, Apr!K150, May!K150, Jun!K150, Jul!K150, Aug!K150, Sep!K150, Oct!K150, Nov!K150, Dec!K150),"")</f>
        <v/>
      </c>
      <c r="L150" s="38"/>
      <c r="M150" s="38"/>
    </row>
    <row r="151" spans="1:13" ht="15.6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f>SUM('1st Qtr'!D151, '2nd Qtr'!D151, '3rd Qtr'!D151, '4th Qtr'!D151)</f>
        <v>1131450</v>
      </c>
      <c r="E151" s="15">
        <f>SUM('1st Qtr'!E151, '2nd Qtr'!E151, '3rd Qtr'!E151, '4th Qtr'!E151)</f>
        <v>1478092.85</v>
      </c>
      <c r="F151" s="15">
        <f t="shared" si="12"/>
        <v>-346642.85000000009</v>
      </c>
      <c r="G151" s="16">
        <f t="shared" si="13"/>
        <v>-0.23452034829882309</v>
      </c>
      <c r="H151" s="17">
        <f>SUM('1st Qtr'!H151+'2nd Qtr'!H151+'3rd Qtr'!H151+'4th Qtr'!H151)</f>
        <v>1540873</v>
      </c>
      <c r="I151" s="17">
        <f>SUM('1st Qtr'!I151, '2nd Qtr'!I151, '3rd Qtr'!I151, '4th Qtr'!I151)</f>
        <v>-409423</v>
      </c>
      <c r="J151" s="16"/>
      <c r="K151" s="14" t="str">
        <f>IFERROR(AVERAGE(Jan!K151, Feb!K151, Mar!K151, Apr!K151, May!K151, Jun!K151, Jul!K151, Aug!K151, Sep!K151, Oct!K151, Nov!K151, Dec!K151),"")</f>
        <v/>
      </c>
      <c r="L151" s="39"/>
      <c r="M151" s="40"/>
    </row>
    <row r="152" spans="1:13" ht="15.6">
      <c r="A152" s="25" t="str">
        <v>Dubois</v>
      </c>
      <c r="B152" s="26" t="str">
        <v>NY</v>
      </c>
      <c r="C152" s="26" t="str">
        <f>Sites[[#This Row],[SOL'#]]</f>
        <v>SOL-10892</v>
      </c>
      <c r="D152" s="67">
        <f>SUM('1st Qtr'!D152, '2nd Qtr'!D152, '3rd Qtr'!D152, '4th Qtr'!D152)</f>
        <v>1424205</v>
      </c>
      <c r="E152" s="11">
        <f>SUM('1st Qtr'!E152, '2nd Qtr'!E152, '3rd Qtr'!E152, '4th Qtr'!E152)</f>
        <v>0</v>
      </c>
      <c r="F152" s="11">
        <f t="shared" si="12"/>
        <v>1424205</v>
      </c>
      <c r="G152" s="12" t="str">
        <f t="shared" si="13"/>
        <v/>
      </c>
      <c r="H152" s="13">
        <f>SUM('1st Qtr'!H152+'2nd Qtr'!H152+'3rd Qtr'!H152+'4th Qtr'!H152)</f>
        <v>848352</v>
      </c>
      <c r="I152" s="13">
        <f>SUM('1st Qtr'!I152, '2nd Qtr'!I152, '3rd Qtr'!I152, '4th Qtr'!I152)</f>
        <v>235198</v>
      </c>
      <c r="J152" s="14"/>
      <c r="K152" s="14" t="str">
        <f>IFERROR(AVERAGE(Jan!K152, Feb!K152, Mar!K152, Apr!K152, May!K152, Jun!K152, Jul!K152, Aug!K152, Sep!K152, Oct!K152, Nov!K152, Dec!K152),"")</f>
        <v/>
      </c>
      <c r="L152" s="38"/>
      <c r="M152" s="38"/>
    </row>
    <row r="153" spans="1:13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f>SUM('1st Qtr'!D153, '2nd Qtr'!D153, '3rd Qtr'!D153, '4th Qtr'!D153)</f>
        <v>1545957</v>
      </c>
      <c r="E153" s="15">
        <f>SUM('1st Qtr'!E153, '2nd Qtr'!E153, '3rd Qtr'!E153, '4th Qtr'!E153)</f>
        <v>0</v>
      </c>
      <c r="F153" s="15">
        <f t="shared" si="12"/>
        <v>1545957</v>
      </c>
      <c r="G153" s="16" t="str">
        <f t="shared" si="13"/>
        <v/>
      </c>
      <c r="H153" s="17">
        <f>SUM('1st Qtr'!H153+'2nd Qtr'!H153+'3rd Qtr'!H153+'4th Qtr'!H153)</f>
        <v>1348427</v>
      </c>
      <c r="I153" s="17">
        <f>SUM('1st Qtr'!I153, '2nd Qtr'!I153, '3rd Qtr'!I153, '4th Qtr'!I153)</f>
        <v>197530</v>
      </c>
      <c r="J153" s="16"/>
      <c r="K153" s="14" t="str">
        <f>IFERROR(AVERAGE(Jan!K153, Feb!K153, Mar!K153, Apr!K153, May!K153, Jun!K153, Jul!K153, Aug!K153, Sep!K153, Oct!K153, Nov!K153, Dec!K153),"")</f>
        <v/>
      </c>
      <c r="L153" s="39"/>
      <c r="M153" s="40"/>
    </row>
    <row r="154" spans="1:13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>
        <f>SUM('1st Qtr'!D154, '2nd Qtr'!D154, '3rd Qtr'!D154, '4th Qtr'!D154)</f>
        <v>3789690</v>
      </c>
      <c r="E154" s="11">
        <f>SUM('1st Qtr'!E154, '2nd Qtr'!E154, '3rd Qtr'!E154, '4th Qtr'!E154)</f>
        <v>0</v>
      </c>
      <c r="F154" s="11">
        <f t="shared" si="12"/>
        <v>3789690</v>
      </c>
      <c r="G154" s="12" t="str">
        <f t="shared" si="13"/>
        <v/>
      </c>
      <c r="H154" s="13">
        <f>SUM('1st Qtr'!H154+'2nd Qtr'!H154+'3rd Qtr'!H154+'4th Qtr'!H154)</f>
        <v>3037887</v>
      </c>
      <c r="I154" s="13">
        <f>SUM('1st Qtr'!I154, '2nd Qtr'!I154, '3rd Qtr'!I154, '4th Qtr'!I154)</f>
        <v>751803</v>
      </c>
      <c r="J154" s="14"/>
      <c r="K154" s="14" t="str">
        <f>IFERROR(AVERAGE(Jan!K154, Feb!K154, Mar!K154, Apr!K154, May!K154, Jun!K154, Jul!K154, Aug!K154, Sep!K154, Oct!K154, Nov!K154, Dec!K154),"")</f>
        <v/>
      </c>
      <c r="L154" s="38"/>
      <c r="M154" s="38"/>
    </row>
    <row r="155" spans="1:13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f>SUM('1st Qtr'!D155, '2nd Qtr'!D155, '3rd Qtr'!D155, '4th Qtr'!D155)</f>
        <v>3855140</v>
      </c>
      <c r="E155" s="15">
        <f>SUM('1st Qtr'!E155, '2nd Qtr'!E155, '3rd Qtr'!E155, '4th Qtr'!E155)</f>
        <v>0</v>
      </c>
      <c r="F155" s="15">
        <f t="shared" si="12"/>
        <v>3855140</v>
      </c>
      <c r="G155" s="16" t="str">
        <f t="shared" si="13"/>
        <v/>
      </c>
      <c r="H155" s="17">
        <f>SUM('1st Qtr'!H155+'2nd Qtr'!H155+'3rd Qtr'!H155+'4th Qtr'!H155)</f>
        <v>3006973</v>
      </c>
      <c r="I155" s="17">
        <f>SUM('1st Qtr'!I155, '2nd Qtr'!I155, '3rd Qtr'!I155, '4th Qtr'!I155)</f>
        <v>848167</v>
      </c>
      <c r="J155" s="16"/>
      <c r="K155" s="14" t="str">
        <f>IFERROR(AVERAGE(Jan!K155, Feb!K155, Mar!K155, Apr!K155, May!K155, Jun!K155, Jul!K155, Aug!K155, Sep!K155, Oct!K155, Nov!K155, Dec!K155),"")</f>
        <v/>
      </c>
      <c r="L155" s="39"/>
      <c r="M155" s="40"/>
    </row>
    <row r="156" spans="1:13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>
        <f>SUM('1st Qtr'!D156, '2nd Qtr'!D156, '3rd Qtr'!D156, '4th Qtr'!D156)</f>
        <v>1712700</v>
      </c>
      <c r="E156" s="11">
        <f>SUM('1st Qtr'!E156, '2nd Qtr'!E156, '3rd Qtr'!E156, '4th Qtr'!E156)</f>
        <v>1841935.73</v>
      </c>
      <c r="F156" s="11">
        <f t="shared" si="12"/>
        <v>-129235.72999999998</v>
      </c>
      <c r="G156" s="12">
        <f t="shared" si="13"/>
        <v>-7.0162996403788744E-2</v>
      </c>
      <c r="H156" s="13">
        <f>SUM('1st Qtr'!H156+'2nd Qtr'!H156+'3rd Qtr'!H156+'4th Qtr'!H156)</f>
        <v>1876331</v>
      </c>
      <c r="I156" s="13">
        <f>SUM('1st Qtr'!I156, '2nd Qtr'!I156, '3rd Qtr'!I156, '4th Qtr'!I156)</f>
        <v>-163631</v>
      </c>
      <c r="J156" s="14"/>
      <c r="K156" s="14" t="str">
        <f>IFERROR(AVERAGE(Jan!K156, Feb!K156, Mar!K156, Apr!K156, May!K156, Jun!K156, Jul!K156, Aug!K156, Sep!K156, Oct!K156, Nov!K156, Dec!K156),"")</f>
        <v/>
      </c>
      <c r="L156" s="38"/>
      <c r="M156" s="38"/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f>SUM('1st Qtr'!D157, '2nd Qtr'!D157, '3rd Qtr'!D157, '4th Qtr'!D157)</f>
        <v>1575942</v>
      </c>
      <c r="E157" s="15">
        <f>SUM('1st Qtr'!E157, '2nd Qtr'!E157, '3rd Qtr'!E157, '4th Qtr'!E157)</f>
        <v>0</v>
      </c>
      <c r="F157" s="15">
        <f t="shared" si="12"/>
        <v>1575942</v>
      </c>
      <c r="G157" s="16" t="str">
        <f t="shared" si="13"/>
        <v/>
      </c>
      <c r="H157" s="17">
        <f>SUM('1st Qtr'!H157+'2nd Qtr'!H157+'3rd Qtr'!H157+'4th Qtr'!H157)</f>
        <v>864001</v>
      </c>
      <c r="I157" s="17">
        <f>SUM('1st Qtr'!I157, '2nd Qtr'!I157, '3rd Qtr'!I157, '4th Qtr'!I157)</f>
        <v>376634</v>
      </c>
      <c r="J157" s="16"/>
      <c r="K157" s="14" t="str">
        <f>IFERROR(AVERAGE(Jan!K157, Feb!K157, Mar!K157, Apr!K157, May!K157, Jun!K157, Jul!K157, Aug!K157, Sep!K157, Oct!K157, Nov!K157, Dec!K157),"")</f>
        <v/>
      </c>
      <c r="L157" s="39"/>
      <c r="M157" s="40"/>
    </row>
    <row r="158" spans="1:13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>
        <f>SUM('1st Qtr'!D158, '2nd Qtr'!D158, '3rd Qtr'!D158, '4th Qtr'!D158)</f>
        <v>561074</v>
      </c>
      <c r="E158" s="11">
        <f>SUM('1st Qtr'!E158, '2nd Qtr'!E158, '3rd Qtr'!E158, '4th Qtr'!E158)</f>
        <v>0</v>
      </c>
      <c r="F158" s="11">
        <f t="shared" si="12"/>
        <v>561074</v>
      </c>
      <c r="G158" s="12" t="str">
        <f t="shared" si="13"/>
        <v/>
      </c>
      <c r="H158" s="13">
        <f>SUM('1st Qtr'!H158+'2nd Qtr'!H158+'3rd Qtr'!H158+'4th Qtr'!H158)</f>
        <v>1209993</v>
      </c>
      <c r="I158" s="13">
        <f>SUM('1st Qtr'!I158, '2nd Qtr'!I158, '3rd Qtr'!I158, '4th Qtr'!I158)</f>
        <v>-648919</v>
      </c>
      <c r="J158" s="14"/>
      <c r="K158" s="14" t="str">
        <f>IFERROR(AVERAGE(Jan!K158, Feb!K158, Mar!K158, Apr!K158, May!K158, Jun!K158, Jul!K158, Aug!K158, Sep!K158, Oct!K158, Nov!K158, Dec!K158),"")</f>
        <v/>
      </c>
      <c r="L158" s="38"/>
      <c r="M158" s="38"/>
    </row>
    <row r="159" spans="1:13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f>SUM('1st Qtr'!D159, '2nd Qtr'!D159, '3rd Qtr'!D159, '4th Qtr'!D159)</f>
        <v>3755194.019900498</v>
      </c>
      <c r="E159" s="15">
        <f>SUM('1st Qtr'!E159, '2nd Qtr'!E159, '3rd Qtr'!E159, '4th Qtr'!E159)</f>
        <v>3949931.3000000003</v>
      </c>
      <c r="F159" s="15">
        <f t="shared" si="12"/>
        <v>-194737.2800995023</v>
      </c>
      <c r="G159" s="16">
        <f t="shared" si="13"/>
        <v>-4.9301434710903022E-2</v>
      </c>
      <c r="H159" s="17">
        <f>SUM('1st Qtr'!H159+'2nd Qtr'!H159+'3rd Qtr'!H159+'4th Qtr'!H159)</f>
        <v>3795048</v>
      </c>
      <c r="I159" s="17">
        <f>SUM('1st Qtr'!I159, '2nd Qtr'!I159, '3rd Qtr'!I159, '4th Qtr'!I159)</f>
        <v>-103006</v>
      </c>
      <c r="J159" s="16"/>
      <c r="K159" s="14">
        <f>IFERROR(AVERAGE(Jan!K159, Feb!K159, Mar!K159, Apr!K159, May!K159, Jun!K159, Jul!K159, Aug!K159, Sep!K159, Oct!K159, Nov!K159, Dec!K159),"")</f>
        <v>0.96375356999999995</v>
      </c>
      <c r="L159" s="39"/>
      <c r="M159" s="40"/>
    </row>
    <row r="160" spans="1:13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>
        <f>SUM('1st Qtr'!D160, '2nd Qtr'!D160, '3rd Qtr'!D160, '4th Qtr'!D160)</f>
        <v>1641661</v>
      </c>
      <c r="E160" s="11">
        <f>SUM('1st Qtr'!E160, '2nd Qtr'!E160, '3rd Qtr'!E160, '4th Qtr'!E160)</f>
        <v>0</v>
      </c>
      <c r="F160" s="11">
        <f t="shared" si="12"/>
        <v>1641661</v>
      </c>
      <c r="G160" s="12" t="str">
        <f t="shared" si="13"/>
        <v/>
      </c>
      <c r="H160" s="13">
        <f>SUM('1st Qtr'!H160+'2nd Qtr'!H160+'3rd Qtr'!H160+'4th Qtr'!H160)</f>
        <v>1245202</v>
      </c>
      <c r="I160" s="13">
        <f>SUM('1st Qtr'!I160, '2nd Qtr'!I160, '3rd Qtr'!I160, '4th Qtr'!I160)</f>
        <v>396459</v>
      </c>
      <c r="J160" s="14"/>
      <c r="K160" s="14" t="str">
        <f>IFERROR(AVERAGE(Jan!K160, Feb!K160, Mar!K160, Apr!K160, May!K160, Jun!K160, Jul!K160, Aug!K160, Sep!K160, Oct!K160, Nov!K160, Dec!K160),"")</f>
        <v/>
      </c>
      <c r="L160" s="38"/>
      <c r="M160" s="38"/>
    </row>
    <row r="161" spans="1:13" ht="15.6">
      <c r="A161" s="27" t="str">
        <v>Altamont</v>
      </c>
      <c r="B161" s="28" t="str">
        <v>NY</v>
      </c>
      <c r="C161" s="114" t="s">
        <v>13</v>
      </c>
      <c r="D161" s="10">
        <f>SUM('1st Qtr'!D161, '2nd Qtr'!D161, '3rd Qtr'!D161, '4th Qtr'!D161)</f>
        <v>3647157</v>
      </c>
      <c r="E161" s="15">
        <f>SUM('1st Qtr'!E161, '2nd Qtr'!E161, '3rd Qtr'!E161, '4th Qtr'!E161)</f>
        <v>3978255.02</v>
      </c>
      <c r="F161" s="15">
        <f t="shared" ref="F161" si="14">IF(AND(ISNUMBER(D161),ISNUMBER(E161)), D161-E161, "")</f>
        <v>-331098.02</v>
      </c>
      <c r="G161" s="16">
        <f t="shared" ref="G161" si="15">IFERROR(F161/E161, "")</f>
        <v>-8.3226947074901206E-2</v>
      </c>
      <c r="H161" s="17">
        <f>SUM('1st Qtr'!H161+'2nd Qtr'!H161+'3rd Qtr'!H161+'4th Qtr'!H161)</f>
        <v>4036770.1</v>
      </c>
      <c r="I161" s="17">
        <f>SUM('1st Qtr'!I161, '2nd Qtr'!I161, '3rd Qtr'!I161, '4th Qtr'!I161)</f>
        <v>-52988.70000000007</v>
      </c>
      <c r="J161" s="16"/>
      <c r="K161" s="14">
        <f>IFERROR(AVERAGE(Jan!K161, Feb!K161, Mar!K161, Apr!K161, May!K161, Jun!K161, Jul!K161, Aug!K161, Sep!K161, Oct!K161, Nov!K161, Dec!K161),"")</f>
        <v>0.59117324999999998</v>
      </c>
      <c r="L161" s="39"/>
      <c r="M161" s="40"/>
    </row>
    <row r="162" spans="1:13" ht="12.95">
      <c r="A162" s="18"/>
      <c r="B162" s="18"/>
      <c r="C162" s="18"/>
      <c r="D162" s="18"/>
      <c r="E162" s="18"/>
      <c r="F162" s="18"/>
      <c r="G162" s="19"/>
      <c r="H162" s="18"/>
      <c r="I162" s="18"/>
      <c r="J162" s="19"/>
      <c r="K162" s="19"/>
    </row>
    <row r="163" spans="1:13" ht="12.95">
      <c r="A163" s="18"/>
      <c r="B163" s="18"/>
      <c r="C163" s="18"/>
      <c r="D163" s="18"/>
      <c r="E163" s="18"/>
      <c r="F163" s="18"/>
      <c r="G163" s="19"/>
      <c r="H163" s="18"/>
      <c r="I163" s="18"/>
      <c r="J163" s="19"/>
      <c r="K163" s="19"/>
    </row>
    <row r="164" spans="1:13" ht="12.95">
      <c r="A164" s="18"/>
      <c r="B164" s="18"/>
      <c r="C164" s="18"/>
      <c r="D164" s="18"/>
      <c r="E164" s="18"/>
      <c r="F164" s="18"/>
      <c r="G164" s="19"/>
      <c r="H164" s="18"/>
      <c r="I164" s="18"/>
      <c r="J164" s="19"/>
      <c r="K164" s="19"/>
    </row>
    <row r="165" spans="1:13" ht="12.95">
      <c r="A165" s="18"/>
      <c r="B165" s="18"/>
      <c r="C165" s="18"/>
      <c r="D165" s="18"/>
      <c r="E165" s="18"/>
      <c r="F165" s="18"/>
      <c r="G165" s="19"/>
      <c r="H165" s="18"/>
      <c r="I165" s="18"/>
      <c r="J165" s="19"/>
      <c r="K165" s="19"/>
    </row>
    <row r="166" spans="1:13" ht="12.95">
      <c r="A166" s="18"/>
      <c r="B166" s="18"/>
      <c r="C166" s="18"/>
      <c r="D166" s="18"/>
      <c r="E166" s="18"/>
      <c r="F166" s="18"/>
      <c r="G166" s="19"/>
      <c r="H166" s="18"/>
      <c r="I166" s="18"/>
      <c r="J166" s="19"/>
      <c r="K166" s="19"/>
    </row>
    <row r="167" spans="1:13" ht="12.95">
      <c r="A167" s="18"/>
      <c r="B167" s="18"/>
      <c r="C167" s="18"/>
      <c r="D167" s="18"/>
      <c r="E167" s="18"/>
      <c r="F167" s="18"/>
      <c r="G167" s="19"/>
      <c r="H167" s="18"/>
      <c r="I167" s="18"/>
      <c r="J167" s="19"/>
      <c r="K167" s="19"/>
    </row>
    <row r="168" spans="1:13" ht="12.95">
      <c r="A168" s="18"/>
      <c r="B168" s="18"/>
      <c r="C168" s="18"/>
      <c r="D168" s="18"/>
      <c r="E168" s="18"/>
      <c r="F168" s="18"/>
      <c r="G168" s="19"/>
      <c r="H168" s="18"/>
      <c r="I168" s="18"/>
      <c r="J168" s="19"/>
      <c r="K168" s="19"/>
    </row>
    <row r="169" spans="1:13" ht="12.95">
      <c r="A169" s="18"/>
      <c r="B169" s="18"/>
      <c r="C169" s="18"/>
      <c r="D169" s="18"/>
      <c r="E169" s="18"/>
      <c r="F169" s="18"/>
      <c r="G169" s="19"/>
      <c r="H169" s="18"/>
      <c r="I169" s="18"/>
      <c r="J169" s="19"/>
      <c r="K169" s="19"/>
    </row>
    <row r="170" spans="1:13" ht="12.95">
      <c r="A170" s="18"/>
      <c r="B170" s="18"/>
      <c r="C170" s="18"/>
      <c r="D170" s="18"/>
      <c r="E170" s="18"/>
      <c r="F170" s="18"/>
      <c r="G170" s="19"/>
      <c r="H170" s="18"/>
      <c r="I170" s="18"/>
      <c r="J170" s="19"/>
      <c r="K170" s="19"/>
    </row>
    <row r="171" spans="1:13" ht="12.95">
      <c r="A171" s="18"/>
      <c r="B171" s="18"/>
      <c r="C171" s="18"/>
      <c r="D171" s="18"/>
      <c r="E171" s="18"/>
      <c r="F171" s="18"/>
      <c r="G171" s="19"/>
      <c r="H171" s="18"/>
      <c r="I171" s="18"/>
      <c r="J171" s="19"/>
      <c r="K171" s="19"/>
    </row>
    <row r="172" spans="1:13" ht="12.95">
      <c r="A172" s="18"/>
      <c r="B172" s="18"/>
      <c r="C172" s="18"/>
      <c r="D172" s="18"/>
      <c r="E172" s="18"/>
      <c r="F172" s="18"/>
      <c r="G172" s="19"/>
      <c r="H172" s="18"/>
      <c r="I172" s="18"/>
      <c r="J172" s="19"/>
      <c r="K172" s="19"/>
    </row>
    <row r="173" spans="1:13" ht="12.95">
      <c r="A173" s="18"/>
      <c r="B173" s="18"/>
      <c r="C173" s="18"/>
      <c r="D173" s="18"/>
      <c r="E173" s="18"/>
      <c r="F173" s="18"/>
      <c r="G173" s="19"/>
      <c r="H173" s="18"/>
      <c r="I173" s="18"/>
      <c r="J173" s="19"/>
      <c r="K173" s="19"/>
    </row>
    <row r="174" spans="1:13" ht="12.95">
      <c r="A174" s="18"/>
      <c r="B174" s="18"/>
      <c r="C174" s="18"/>
      <c r="D174" s="18"/>
      <c r="E174" s="18"/>
      <c r="F174" s="18"/>
      <c r="G174" s="19"/>
      <c r="H174" s="18"/>
      <c r="I174" s="18"/>
      <c r="J174" s="19"/>
      <c r="K174" s="19"/>
    </row>
    <row r="175" spans="1:13" ht="12.95">
      <c r="A175" s="18"/>
      <c r="B175" s="18"/>
      <c r="C175" s="18"/>
      <c r="D175" s="18"/>
      <c r="E175" s="18"/>
      <c r="F175" s="18"/>
      <c r="G175" s="19"/>
      <c r="H175" s="18"/>
      <c r="I175" s="18"/>
      <c r="J175" s="19"/>
      <c r="K175" s="19"/>
    </row>
    <row r="176" spans="1:13" ht="12.95">
      <c r="A176" s="18"/>
      <c r="B176" s="18"/>
      <c r="C176" s="18"/>
      <c r="D176" s="18"/>
      <c r="E176" s="18"/>
      <c r="F176" s="18"/>
      <c r="G176" s="19"/>
      <c r="H176" s="18"/>
      <c r="I176" s="18"/>
      <c r="J176" s="19"/>
      <c r="K176" s="19"/>
    </row>
    <row r="177" spans="1:11" ht="12.95">
      <c r="A177" s="18"/>
      <c r="B177" s="18"/>
      <c r="C177" s="18"/>
      <c r="D177" s="18"/>
      <c r="E177" s="18"/>
      <c r="F177" s="18"/>
      <c r="G177" s="19"/>
      <c r="H177" s="18"/>
      <c r="I177" s="18"/>
      <c r="J177" s="19"/>
      <c r="K177" s="19"/>
    </row>
    <row r="178" spans="1:11" ht="12.95">
      <c r="A178" s="18"/>
      <c r="B178" s="18"/>
      <c r="C178" s="18"/>
      <c r="D178" s="18"/>
      <c r="E178" s="18"/>
      <c r="F178" s="18"/>
      <c r="G178" s="19"/>
      <c r="H178" s="18"/>
      <c r="I178" s="18"/>
      <c r="J178" s="19"/>
      <c r="K178" s="19"/>
    </row>
    <row r="179" spans="1:11" ht="12.95">
      <c r="A179" s="18"/>
      <c r="B179" s="18"/>
      <c r="C179" s="18"/>
      <c r="D179" s="18"/>
      <c r="E179" s="18"/>
      <c r="F179" s="18"/>
      <c r="G179" s="19"/>
      <c r="H179" s="18"/>
      <c r="I179" s="18"/>
      <c r="J179" s="19"/>
      <c r="K179" s="19"/>
    </row>
    <row r="180" spans="1:11" ht="12.95">
      <c r="A180" s="18"/>
      <c r="B180" s="18"/>
      <c r="C180" s="18"/>
      <c r="D180" s="18"/>
      <c r="E180" s="18"/>
      <c r="F180" s="18"/>
      <c r="G180" s="19"/>
      <c r="H180" s="18"/>
      <c r="I180" s="18"/>
      <c r="J180" s="19"/>
      <c r="K180" s="19"/>
    </row>
    <row r="181" spans="1:11" ht="12.95">
      <c r="A181" s="18"/>
      <c r="B181" s="18"/>
      <c r="C181" s="18"/>
      <c r="D181" s="18"/>
      <c r="E181" s="18"/>
      <c r="F181" s="18"/>
      <c r="G181" s="19"/>
      <c r="H181" s="18"/>
      <c r="I181" s="18"/>
      <c r="J181" s="19"/>
      <c r="K181" s="19"/>
    </row>
    <row r="182" spans="1:11" ht="12.95">
      <c r="A182" s="18"/>
      <c r="B182" s="18"/>
      <c r="C182" s="18"/>
      <c r="D182" s="18"/>
      <c r="E182" s="18"/>
      <c r="F182" s="18"/>
      <c r="G182" s="19"/>
      <c r="H182" s="18"/>
      <c r="I182" s="18"/>
      <c r="J182" s="19"/>
      <c r="K182" s="19"/>
    </row>
    <row r="183" spans="1:11" ht="12.95">
      <c r="A183" s="18"/>
      <c r="B183" s="18"/>
      <c r="C183" s="18"/>
      <c r="D183" s="18"/>
      <c r="E183" s="18"/>
      <c r="F183" s="18"/>
      <c r="G183" s="19"/>
      <c r="H183" s="18"/>
      <c r="I183" s="18"/>
      <c r="J183" s="19"/>
      <c r="K183" s="19"/>
    </row>
    <row r="184" spans="1:11" ht="12.95">
      <c r="A184" s="18"/>
      <c r="B184" s="18"/>
      <c r="C184" s="18"/>
      <c r="D184" s="18"/>
      <c r="E184" s="18"/>
      <c r="F184" s="18"/>
      <c r="G184" s="19"/>
      <c r="H184" s="18"/>
      <c r="I184" s="18"/>
      <c r="J184" s="19"/>
      <c r="K184" s="19"/>
    </row>
    <row r="185" spans="1:11" ht="12.95">
      <c r="A185" s="18"/>
      <c r="B185" s="18"/>
      <c r="C185" s="18"/>
      <c r="D185" s="18"/>
      <c r="E185" s="18"/>
      <c r="F185" s="18"/>
      <c r="G185" s="19"/>
      <c r="H185" s="18"/>
      <c r="I185" s="18"/>
      <c r="J185" s="19"/>
      <c r="K185" s="19"/>
    </row>
    <row r="186" spans="1:11" ht="12.95">
      <c r="A186" s="18"/>
      <c r="B186" s="18"/>
      <c r="C186" s="18"/>
      <c r="D186" s="18"/>
      <c r="E186" s="18"/>
      <c r="F186" s="18"/>
      <c r="G186" s="19"/>
      <c r="H186" s="18"/>
      <c r="I186" s="18"/>
      <c r="J186" s="19"/>
      <c r="K186" s="19"/>
    </row>
    <row r="187" spans="1:11" ht="12.95">
      <c r="A187" s="18"/>
      <c r="B187" s="18"/>
      <c r="C187" s="18"/>
      <c r="D187" s="18"/>
      <c r="E187" s="18"/>
      <c r="F187" s="18"/>
      <c r="G187" s="19"/>
      <c r="H187" s="18"/>
      <c r="I187" s="18"/>
      <c r="J187" s="19"/>
      <c r="K187" s="19"/>
    </row>
    <row r="188" spans="1:11" ht="12.95">
      <c r="A188" s="18"/>
      <c r="B188" s="18"/>
      <c r="C188" s="18"/>
      <c r="D188" s="18"/>
      <c r="E188" s="18"/>
      <c r="F188" s="18"/>
      <c r="G188" s="19"/>
      <c r="H188" s="18"/>
      <c r="I188" s="18"/>
      <c r="J188" s="19"/>
      <c r="K188" s="19"/>
    </row>
    <row r="189" spans="1:11" ht="12.95">
      <c r="A189" s="18"/>
      <c r="B189" s="18"/>
      <c r="C189" s="18"/>
      <c r="D189" s="18"/>
      <c r="E189" s="18"/>
      <c r="F189" s="18"/>
      <c r="G189" s="19"/>
      <c r="H189" s="18"/>
      <c r="I189" s="18"/>
      <c r="J189" s="19"/>
      <c r="K189" s="19"/>
    </row>
    <row r="190" spans="1:11" ht="12.95">
      <c r="A190" s="18"/>
      <c r="B190" s="18"/>
      <c r="C190" s="18"/>
      <c r="D190" s="18"/>
      <c r="E190" s="18"/>
      <c r="F190" s="18"/>
      <c r="G190" s="19"/>
      <c r="H190" s="18"/>
      <c r="I190" s="18"/>
      <c r="J190" s="19"/>
      <c r="K190" s="19"/>
    </row>
    <row r="191" spans="1:11" ht="12.95">
      <c r="A191" s="18"/>
      <c r="B191" s="18"/>
      <c r="C191" s="18"/>
      <c r="D191" s="18"/>
      <c r="E191" s="18"/>
      <c r="F191" s="18"/>
      <c r="G191" s="19"/>
      <c r="H191" s="18"/>
      <c r="I191" s="18"/>
      <c r="J191" s="19"/>
      <c r="K191" s="19"/>
    </row>
    <row r="192" spans="1:11" ht="12.95">
      <c r="A192" s="18"/>
      <c r="B192" s="18"/>
      <c r="C192" s="18"/>
      <c r="D192" s="18"/>
      <c r="E192" s="18"/>
      <c r="F192" s="18"/>
      <c r="G192" s="19"/>
      <c r="H192" s="18"/>
      <c r="I192" s="18"/>
      <c r="J192" s="19"/>
      <c r="K192" s="19"/>
    </row>
    <row r="193" spans="1:11" ht="12.95">
      <c r="A193" s="18"/>
      <c r="B193" s="18"/>
      <c r="C193" s="18"/>
      <c r="D193" s="18"/>
      <c r="E193" s="18"/>
      <c r="F193" s="18"/>
      <c r="G193" s="19"/>
      <c r="H193" s="18"/>
      <c r="I193" s="18"/>
      <c r="J193" s="19"/>
      <c r="K193" s="19"/>
    </row>
    <row r="194" spans="1:11" ht="12.95">
      <c r="A194" s="18"/>
      <c r="B194" s="18"/>
      <c r="C194" s="18"/>
      <c r="D194" s="18"/>
      <c r="E194" s="18"/>
      <c r="F194" s="18"/>
      <c r="G194" s="19"/>
      <c r="H194" s="18"/>
      <c r="I194" s="18"/>
      <c r="J194" s="19"/>
      <c r="K194" s="19"/>
    </row>
    <row r="195" spans="1:11" ht="12.95">
      <c r="A195" s="18"/>
      <c r="B195" s="18"/>
      <c r="C195" s="18"/>
      <c r="D195" s="18"/>
      <c r="E195" s="18"/>
      <c r="F195" s="18"/>
      <c r="G195" s="19"/>
      <c r="H195" s="18"/>
      <c r="I195" s="18"/>
      <c r="J195" s="19"/>
      <c r="K195" s="19"/>
    </row>
    <row r="196" spans="1:11" ht="12.95">
      <c r="A196" s="18"/>
      <c r="B196" s="18"/>
      <c r="C196" s="18"/>
      <c r="D196" s="18"/>
      <c r="E196" s="18"/>
      <c r="F196" s="18"/>
      <c r="G196" s="19"/>
      <c r="H196" s="18"/>
      <c r="I196" s="18"/>
      <c r="J196" s="19"/>
      <c r="K196" s="19"/>
    </row>
    <row r="197" spans="1:11" ht="12.95">
      <c r="A197" s="18"/>
      <c r="B197" s="18"/>
      <c r="C197" s="18"/>
      <c r="D197" s="18"/>
      <c r="E197" s="18"/>
      <c r="F197" s="18"/>
      <c r="G197" s="19"/>
      <c r="H197" s="18"/>
      <c r="I197" s="18"/>
      <c r="J197" s="19"/>
      <c r="K197" s="19"/>
    </row>
    <row r="198" spans="1:11" ht="12.95">
      <c r="A198" s="18"/>
      <c r="B198" s="18"/>
      <c r="C198" s="18"/>
      <c r="D198" s="18"/>
      <c r="E198" s="18"/>
      <c r="F198" s="18"/>
      <c r="G198" s="19"/>
      <c r="H198" s="18"/>
      <c r="I198" s="18"/>
      <c r="J198" s="19"/>
      <c r="K198" s="19"/>
    </row>
    <row r="199" spans="1:11" ht="12.95">
      <c r="A199" s="18"/>
      <c r="B199" s="18"/>
      <c r="C199" s="18"/>
      <c r="D199" s="18"/>
      <c r="E199" s="18"/>
      <c r="F199" s="18"/>
      <c r="G199" s="19"/>
      <c r="H199" s="18"/>
      <c r="I199" s="18"/>
      <c r="J199" s="19"/>
      <c r="K199" s="19"/>
    </row>
    <row r="200" spans="1:11" ht="12.95">
      <c r="A200" s="18"/>
      <c r="B200" s="18"/>
      <c r="C200" s="18"/>
      <c r="D200" s="18"/>
      <c r="E200" s="18"/>
      <c r="F200" s="18"/>
      <c r="G200" s="19"/>
      <c r="H200" s="18"/>
      <c r="I200" s="18"/>
      <c r="J200" s="19"/>
      <c r="K200" s="19"/>
    </row>
    <row r="201" spans="1:11" ht="12.95">
      <c r="A201" s="18"/>
      <c r="B201" s="18"/>
      <c r="C201" s="18"/>
      <c r="D201" s="18"/>
      <c r="E201" s="18"/>
      <c r="F201" s="18"/>
      <c r="G201" s="19"/>
      <c r="H201" s="18"/>
      <c r="I201" s="18"/>
      <c r="J201" s="19"/>
      <c r="K201" s="19"/>
    </row>
    <row r="202" spans="1:11" ht="12.95">
      <c r="A202" s="18"/>
      <c r="B202" s="18"/>
      <c r="C202" s="18"/>
      <c r="D202" s="18"/>
      <c r="E202" s="18"/>
      <c r="F202" s="18"/>
      <c r="G202" s="19"/>
      <c r="H202" s="18"/>
      <c r="I202" s="18"/>
      <c r="J202" s="19"/>
      <c r="K202" s="19"/>
    </row>
    <row r="203" spans="1:11" ht="12.95">
      <c r="A203" s="18"/>
      <c r="B203" s="18"/>
      <c r="C203" s="18"/>
      <c r="D203" s="18"/>
      <c r="E203" s="18"/>
      <c r="F203" s="18"/>
      <c r="G203" s="19"/>
      <c r="H203" s="18"/>
      <c r="I203" s="18"/>
      <c r="J203" s="19"/>
      <c r="K203" s="19"/>
    </row>
    <row r="204" spans="1:11" ht="12.95">
      <c r="A204" s="18"/>
      <c r="B204" s="18"/>
      <c r="C204" s="18"/>
      <c r="D204" s="18"/>
      <c r="E204" s="18"/>
      <c r="F204" s="18"/>
      <c r="G204" s="19"/>
      <c r="H204" s="18"/>
      <c r="I204" s="18"/>
      <c r="J204" s="19"/>
      <c r="K204" s="19"/>
    </row>
    <row r="205" spans="1:11" ht="12.95">
      <c r="A205" s="18"/>
      <c r="B205" s="18"/>
      <c r="C205" s="18"/>
      <c r="D205" s="18"/>
      <c r="E205" s="18"/>
      <c r="F205" s="18"/>
      <c r="G205" s="19"/>
      <c r="H205" s="18"/>
      <c r="I205" s="18"/>
      <c r="J205" s="19"/>
      <c r="K205" s="19"/>
    </row>
    <row r="206" spans="1:11" ht="12.95">
      <c r="A206" s="18"/>
      <c r="B206" s="18"/>
      <c r="C206" s="18"/>
      <c r="D206" s="18"/>
      <c r="E206" s="18"/>
      <c r="F206" s="18"/>
      <c r="G206" s="19"/>
      <c r="H206" s="18"/>
      <c r="I206" s="18"/>
      <c r="J206" s="19"/>
      <c r="K206" s="19"/>
    </row>
    <row r="207" spans="1:11" ht="12.95">
      <c r="A207" s="18"/>
      <c r="B207" s="18"/>
      <c r="C207" s="18"/>
      <c r="D207" s="18"/>
      <c r="E207" s="18"/>
      <c r="F207" s="18"/>
      <c r="G207" s="19"/>
      <c r="H207" s="18"/>
      <c r="I207" s="18"/>
      <c r="J207" s="19"/>
      <c r="K207" s="19"/>
    </row>
    <row r="208" spans="1:11" ht="12.95">
      <c r="A208" s="18"/>
      <c r="B208" s="18"/>
      <c r="C208" s="18"/>
      <c r="D208" s="18"/>
      <c r="E208" s="18"/>
      <c r="F208" s="18"/>
      <c r="G208" s="19"/>
      <c r="H208" s="18"/>
      <c r="I208" s="18"/>
      <c r="J208" s="19"/>
      <c r="K208" s="19"/>
    </row>
    <row r="209" spans="1:11" ht="12.95">
      <c r="A209" s="18"/>
      <c r="B209" s="18"/>
      <c r="C209" s="18"/>
      <c r="D209" s="18"/>
      <c r="E209" s="18"/>
      <c r="F209" s="18"/>
      <c r="G209" s="19"/>
      <c r="H209" s="18"/>
      <c r="I209" s="18"/>
      <c r="J209" s="19"/>
      <c r="K209" s="19"/>
    </row>
    <row r="210" spans="1:11" ht="12.95">
      <c r="A210" s="18"/>
      <c r="B210" s="18"/>
      <c r="C210" s="18"/>
      <c r="D210" s="18"/>
      <c r="E210" s="18"/>
      <c r="F210" s="18"/>
      <c r="G210" s="19"/>
      <c r="H210" s="18"/>
      <c r="I210" s="18"/>
      <c r="J210" s="19"/>
      <c r="K210" s="19"/>
    </row>
    <row r="211" spans="1:11" ht="12.95">
      <c r="A211" s="18"/>
      <c r="B211" s="18"/>
      <c r="C211" s="18"/>
      <c r="D211" s="18"/>
      <c r="E211" s="18"/>
      <c r="F211" s="18"/>
      <c r="G211" s="19"/>
      <c r="H211" s="18"/>
      <c r="I211" s="18"/>
      <c r="J211" s="19"/>
      <c r="K211" s="19"/>
    </row>
    <row r="212" spans="1:11" ht="12.95">
      <c r="A212" s="18"/>
      <c r="B212" s="18"/>
      <c r="C212" s="18"/>
      <c r="D212" s="18"/>
      <c r="E212" s="18"/>
      <c r="F212" s="18"/>
      <c r="G212" s="19"/>
      <c r="H212" s="18"/>
      <c r="I212" s="18"/>
      <c r="J212" s="19"/>
      <c r="K212" s="19"/>
    </row>
    <row r="213" spans="1:11" ht="12.95">
      <c r="A213" s="18"/>
      <c r="B213" s="18"/>
      <c r="C213" s="18"/>
      <c r="D213" s="18"/>
      <c r="E213" s="18"/>
      <c r="F213" s="18"/>
      <c r="G213" s="19"/>
      <c r="H213" s="18"/>
      <c r="I213" s="18"/>
      <c r="J213" s="19"/>
      <c r="K213" s="19"/>
    </row>
    <row r="214" spans="1:11" ht="12.95">
      <c r="A214" s="18"/>
      <c r="B214" s="18"/>
      <c r="C214" s="18"/>
      <c r="D214" s="18"/>
      <c r="E214" s="18"/>
      <c r="F214" s="18"/>
      <c r="G214" s="19"/>
      <c r="H214" s="18"/>
      <c r="I214" s="18"/>
      <c r="J214" s="19"/>
      <c r="K214" s="19"/>
    </row>
    <row r="215" spans="1:11" ht="12.95">
      <c r="A215" s="18"/>
      <c r="B215" s="18"/>
      <c r="C215" s="18"/>
      <c r="D215" s="18"/>
      <c r="E215" s="18"/>
      <c r="F215" s="18"/>
      <c r="G215" s="19"/>
      <c r="H215" s="18"/>
      <c r="I215" s="18"/>
      <c r="J215" s="19"/>
      <c r="K215" s="19"/>
    </row>
    <row r="216" spans="1:11" ht="12.95">
      <c r="A216" s="18"/>
      <c r="B216" s="18"/>
      <c r="C216" s="18"/>
      <c r="D216" s="18"/>
      <c r="E216" s="18"/>
      <c r="F216" s="18"/>
      <c r="G216" s="19"/>
      <c r="H216" s="18"/>
      <c r="I216" s="18"/>
      <c r="J216" s="19"/>
      <c r="K216" s="19"/>
    </row>
    <row r="217" spans="1:11" ht="12.95">
      <c r="A217" s="18"/>
      <c r="B217" s="18"/>
      <c r="C217" s="18"/>
      <c r="D217" s="18"/>
      <c r="E217" s="18"/>
      <c r="F217" s="18"/>
      <c r="G217" s="19"/>
      <c r="H217" s="18"/>
      <c r="I217" s="18"/>
      <c r="J217" s="19"/>
      <c r="K217" s="19"/>
    </row>
    <row r="218" spans="1:11" ht="12.95">
      <c r="A218" s="18"/>
      <c r="B218" s="18"/>
      <c r="C218" s="18"/>
      <c r="D218" s="18"/>
      <c r="E218" s="18"/>
      <c r="F218" s="18"/>
      <c r="G218" s="19"/>
      <c r="H218" s="18"/>
      <c r="I218" s="18"/>
      <c r="J218" s="19"/>
      <c r="K218" s="19"/>
    </row>
    <row r="219" spans="1:11" ht="12.95">
      <c r="A219" s="18"/>
      <c r="B219" s="18"/>
      <c r="C219" s="18"/>
      <c r="D219" s="18"/>
      <c r="E219" s="18"/>
      <c r="F219" s="18"/>
      <c r="G219" s="19"/>
      <c r="H219" s="18"/>
      <c r="I219" s="18"/>
      <c r="J219" s="19"/>
      <c r="K219" s="19"/>
    </row>
    <row r="220" spans="1:11" ht="12.95">
      <c r="A220" s="18"/>
      <c r="B220" s="18"/>
      <c r="C220" s="18"/>
      <c r="D220" s="18"/>
      <c r="E220" s="18"/>
      <c r="F220" s="18"/>
      <c r="G220" s="19"/>
      <c r="H220" s="18"/>
      <c r="I220" s="18"/>
      <c r="J220" s="19"/>
      <c r="K220" s="19"/>
    </row>
    <row r="221" spans="1:11" ht="12.95">
      <c r="A221" s="18"/>
      <c r="B221" s="18"/>
      <c r="C221" s="18"/>
      <c r="D221" s="18"/>
      <c r="E221" s="18"/>
      <c r="F221" s="18"/>
      <c r="G221" s="19"/>
      <c r="H221" s="18"/>
      <c r="I221" s="18"/>
      <c r="J221" s="19"/>
      <c r="K221" s="19"/>
    </row>
    <row r="222" spans="1:11" ht="12.95">
      <c r="A222" s="18"/>
      <c r="B222" s="18"/>
      <c r="C222" s="18"/>
      <c r="D222" s="18"/>
      <c r="E222" s="18"/>
      <c r="F222" s="18"/>
      <c r="G222" s="19"/>
      <c r="H222" s="18"/>
      <c r="I222" s="18"/>
      <c r="J222" s="19"/>
      <c r="K222" s="19"/>
    </row>
    <row r="223" spans="1:11" ht="12.95">
      <c r="A223" s="18"/>
      <c r="B223" s="18"/>
      <c r="C223" s="18"/>
      <c r="D223" s="18"/>
      <c r="E223" s="18"/>
      <c r="F223" s="18"/>
      <c r="G223" s="19"/>
      <c r="H223" s="18"/>
      <c r="I223" s="18"/>
      <c r="J223" s="19"/>
      <c r="K223" s="19"/>
    </row>
    <row r="224" spans="1:11" ht="12.95">
      <c r="A224" s="18"/>
      <c r="B224" s="18"/>
      <c r="C224" s="18"/>
      <c r="D224" s="18"/>
      <c r="E224" s="18"/>
      <c r="F224" s="18"/>
      <c r="G224" s="19"/>
      <c r="H224" s="18"/>
      <c r="I224" s="18"/>
      <c r="J224" s="19"/>
      <c r="K224" s="19"/>
    </row>
    <row r="225" spans="1:11" ht="12.95">
      <c r="A225" s="18"/>
      <c r="B225" s="18"/>
      <c r="C225" s="18"/>
      <c r="D225" s="18"/>
      <c r="E225" s="18"/>
      <c r="F225" s="18"/>
      <c r="G225" s="19"/>
      <c r="H225" s="18"/>
      <c r="I225" s="18"/>
      <c r="J225" s="19"/>
      <c r="K225" s="19"/>
    </row>
    <row r="226" spans="1:11" ht="12.95">
      <c r="A226" s="18"/>
      <c r="B226" s="18"/>
      <c r="C226" s="18"/>
      <c r="D226" s="18"/>
      <c r="E226" s="18"/>
      <c r="F226" s="18"/>
      <c r="G226" s="19"/>
      <c r="H226" s="18"/>
      <c r="I226" s="18"/>
      <c r="J226" s="19"/>
      <c r="K226" s="19"/>
    </row>
    <row r="227" spans="1:11" ht="12.95">
      <c r="A227" s="18"/>
      <c r="B227" s="18"/>
      <c r="C227" s="18"/>
      <c r="D227" s="18"/>
      <c r="E227" s="18"/>
      <c r="F227" s="18"/>
      <c r="G227" s="19"/>
      <c r="H227" s="18"/>
      <c r="I227" s="18"/>
      <c r="J227" s="19"/>
      <c r="K227" s="19"/>
    </row>
    <row r="228" spans="1:11" ht="12.95">
      <c r="A228" s="18"/>
      <c r="B228" s="18"/>
      <c r="C228" s="18"/>
      <c r="D228" s="18"/>
      <c r="E228" s="18"/>
      <c r="F228" s="18"/>
      <c r="G228" s="19"/>
      <c r="H228" s="18"/>
      <c r="I228" s="18"/>
      <c r="J228" s="19"/>
      <c r="K228" s="19"/>
    </row>
    <row r="229" spans="1:11" ht="12.95">
      <c r="A229" s="18"/>
      <c r="B229" s="18"/>
      <c r="C229" s="18"/>
      <c r="D229" s="18"/>
      <c r="E229" s="18"/>
      <c r="F229" s="18"/>
      <c r="G229" s="19"/>
      <c r="H229" s="18"/>
      <c r="I229" s="18"/>
      <c r="J229" s="19"/>
      <c r="K229" s="19"/>
    </row>
    <row r="230" spans="1:11" ht="12.95">
      <c r="A230" s="18"/>
      <c r="B230" s="18"/>
      <c r="C230" s="18"/>
      <c r="D230" s="18"/>
      <c r="E230" s="18"/>
      <c r="F230" s="18"/>
      <c r="G230" s="19"/>
      <c r="H230" s="18"/>
      <c r="I230" s="18"/>
      <c r="J230" s="19"/>
      <c r="K230" s="19"/>
    </row>
    <row r="231" spans="1:11" ht="12.95">
      <c r="A231" s="18"/>
      <c r="B231" s="18"/>
      <c r="C231" s="18"/>
      <c r="D231" s="18"/>
      <c r="E231" s="18"/>
      <c r="F231" s="18"/>
      <c r="G231" s="19"/>
      <c r="H231" s="18"/>
      <c r="I231" s="18"/>
      <c r="J231" s="19"/>
      <c r="K231" s="19"/>
    </row>
    <row r="232" spans="1:11" ht="12.95">
      <c r="A232" s="18"/>
      <c r="B232" s="18"/>
      <c r="C232" s="18"/>
      <c r="D232" s="18"/>
      <c r="E232" s="18"/>
      <c r="F232" s="18"/>
      <c r="G232" s="19"/>
      <c r="H232" s="18"/>
      <c r="I232" s="18"/>
      <c r="J232" s="19"/>
      <c r="K232" s="19"/>
    </row>
    <row r="233" spans="1:11" ht="12.95">
      <c r="A233" s="18"/>
      <c r="B233" s="18"/>
      <c r="C233" s="18"/>
      <c r="D233" s="18"/>
      <c r="E233" s="18"/>
      <c r="F233" s="18"/>
      <c r="G233" s="19"/>
      <c r="H233" s="18"/>
      <c r="I233" s="18"/>
      <c r="J233" s="19"/>
      <c r="K233" s="19"/>
    </row>
    <row r="234" spans="1:11" ht="12.95">
      <c r="A234" s="18"/>
      <c r="B234" s="18"/>
      <c r="C234" s="18"/>
      <c r="D234" s="18"/>
      <c r="E234" s="18"/>
      <c r="F234" s="18"/>
      <c r="G234" s="19"/>
      <c r="H234" s="18"/>
      <c r="I234" s="18"/>
      <c r="J234" s="19"/>
      <c r="K234" s="19"/>
    </row>
    <row r="235" spans="1:11" ht="12.95">
      <c r="A235" s="18"/>
      <c r="B235" s="18"/>
      <c r="C235" s="18"/>
      <c r="D235" s="18"/>
      <c r="E235" s="18"/>
      <c r="F235" s="18"/>
      <c r="G235" s="19"/>
      <c r="H235" s="18"/>
      <c r="I235" s="18"/>
      <c r="J235" s="19"/>
      <c r="K235" s="19"/>
    </row>
    <row r="236" spans="1:11" ht="12.95">
      <c r="A236" s="18"/>
      <c r="B236" s="18"/>
      <c r="C236" s="18"/>
      <c r="D236" s="18"/>
      <c r="E236" s="18"/>
      <c r="F236" s="18"/>
      <c r="G236" s="19"/>
      <c r="H236" s="18"/>
      <c r="I236" s="18"/>
      <c r="J236" s="19"/>
      <c r="K236" s="19"/>
    </row>
    <row r="237" spans="1:11" ht="12.95">
      <c r="A237" s="18"/>
      <c r="B237" s="18"/>
      <c r="C237" s="18"/>
      <c r="D237" s="18"/>
      <c r="E237" s="18"/>
      <c r="F237" s="18"/>
      <c r="G237" s="19"/>
      <c r="H237" s="18"/>
      <c r="I237" s="18"/>
      <c r="J237" s="19"/>
      <c r="K237" s="19"/>
    </row>
    <row r="238" spans="1:11" ht="12.95">
      <c r="A238" s="18"/>
      <c r="B238" s="18"/>
      <c r="C238" s="18"/>
      <c r="D238" s="18"/>
      <c r="E238" s="18"/>
      <c r="F238" s="18"/>
      <c r="G238" s="19"/>
      <c r="H238" s="18"/>
      <c r="I238" s="18"/>
      <c r="J238" s="19"/>
      <c r="K238" s="19"/>
    </row>
    <row r="239" spans="1:11" ht="12.95">
      <c r="A239" s="18"/>
      <c r="B239" s="18"/>
      <c r="C239" s="18"/>
      <c r="D239" s="18"/>
      <c r="E239" s="18"/>
      <c r="F239" s="18"/>
      <c r="G239" s="19"/>
      <c r="H239" s="18"/>
      <c r="I239" s="18"/>
      <c r="J239" s="19"/>
      <c r="K239" s="19"/>
    </row>
    <row r="240" spans="1:11" ht="12.95">
      <c r="A240" s="18"/>
      <c r="B240" s="18"/>
      <c r="C240" s="18"/>
      <c r="D240" s="18"/>
      <c r="E240" s="18"/>
      <c r="F240" s="18"/>
      <c r="G240" s="19"/>
      <c r="H240" s="18"/>
      <c r="I240" s="18"/>
      <c r="J240" s="19"/>
      <c r="K240" s="19"/>
    </row>
    <row r="241" spans="1:11" ht="12.95">
      <c r="A241" s="18"/>
      <c r="B241" s="18"/>
      <c r="C241" s="18"/>
      <c r="D241" s="18"/>
      <c r="E241" s="18"/>
      <c r="F241" s="18"/>
      <c r="G241" s="19"/>
      <c r="H241" s="18"/>
      <c r="I241" s="18"/>
      <c r="J241" s="19"/>
      <c r="K241" s="19"/>
    </row>
    <row r="242" spans="1:11" ht="12.95">
      <c r="A242" s="18"/>
      <c r="B242" s="18"/>
      <c r="C242" s="18"/>
      <c r="D242" s="18"/>
      <c r="E242" s="18"/>
      <c r="F242" s="18"/>
      <c r="G242" s="19"/>
      <c r="H242" s="18"/>
      <c r="I242" s="18"/>
      <c r="J242" s="19"/>
      <c r="K242" s="19"/>
    </row>
    <row r="243" spans="1:11" ht="12.95">
      <c r="A243" s="18"/>
      <c r="B243" s="18"/>
      <c r="C243" s="18"/>
      <c r="D243" s="18"/>
      <c r="E243" s="18"/>
      <c r="F243" s="18"/>
      <c r="G243" s="19"/>
      <c r="H243" s="18"/>
      <c r="I243" s="18"/>
      <c r="J243" s="19"/>
      <c r="K243" s="19"/>
    </row>
    <row r="244" spans="1:11" ht="12.95">
      <c r="A244" s="18"/>
      <c r="B244" s="18"/>
      <c r="C244" s="18"/>
      <c r="D244" s="18"/>
      <c r="E244" s="18"/>
      <c r="F244" s="18"/>
      <c r="G244" s="19"/>
      <c r="H244" s="18"/>
      <c r="I244" s="18"/>
      <c r="J244" s="19"/>
      <c r="K244" s="19"/>
    </row>
    <row r="245" spans="1:11" ht="12.95">
      <c r="A245" s="18"/>
      <c r="B245" s="18"/>
      <c r="C245" s="18"/>
      <c r="D245" s="18"/>
      <c r="E245" s="18"/>
      <c r="F245" s="18"/>
      <c r="G245" s="19"/>
      <c r="H245" s="18"/>
      <c r="I245" s="18"/>
      <c r="J245" s="19"/>
      <c r="K245" s="19"/>
    </row>
    <row r="246" spans="1:11" ht="12.95">
      <c r="A246" s="18"/>
      <c r="B246" s="18"/>
      <c r="C246" s="18"/>
      <c r="D246" s="18"/>
      <c r="E246" s="18"/>
      <c r="F246" s="18"/>
      <c r="G246" s="19"/>
      <c r="H246" s="18"/>
      <c r="I246" s="18"/>
      <c r="J246" s="19"/>
      <c r="K246" s="19"/>
    </row>
    <row r="247" spans="1:11" ht="12.95">
      <c r="A247" s="18"/>
      <c r="B247" s="18"/>
      <c r="C247" s="18"/>
      <c r="D247" s="18"/>
      <c r="E247" s="18"/>
      <c r="F247" s="18"/>
      <c r="G247" s="19"/>
      <c r="H247" s="18"/>
      <c r="I247" s="18"/>
      <c r="J247" s="19"/>
      <c r="K247" s="19"/>
    </row>
    <row r="248" spans="1:11" ht="12.95">
      <c r="A248" s="18"/>
      <c r="B248" s="18"/>
      <c r="C248" s="18"/>
      <c r="D248" s="18"/>
      <c r="E248" s="18"/>
      <c r="F248" s="18"/>
      <c r="G248" s="19"/>
      <c r="H248" s="18"/>
      <c r="I248" s="18"/>
      <c r="J248" s="19"/>
      <c r="K248" s="19"/>
    </row>
    <row r="249" spans="1:11" ht="12.95">
      <c r="A249" s="18"/>
      <c r="B249" s="18"/>
      <c r="C249" s="18"/>
      <c r="D249" s="18"/>
      <c r="E249" s="18"/>
      <c r="F249" s="18"/>
      <c r="G249" s="19"/>
      <c r="H249" s="18"/>
      <c r="I249" s="18"/>
      <c r="J249" s="19"/>
      <c r="K249" s="19"/>
    </row>
    <row r="250" spans="1:11" ht="12.95">
      <c r="A250" s="18"/>
      <c r="B250" s="18"/>
      <c r="C250" s="18"/>
      <c r="D250" s="18"/>
      <c r="E250" s="18"/>
      <c r="F250" s="18"/>
      <c r="G250" s="19"/>
      <c r="H250" s="18"/>
      <c r="I250" s="18"/>
      <c r="J250" s="19"/>
      <c r="K250" s="19"/>
    </row>
    <row r="251" spans="1:11" ht="12.95">
      <c r="A251" s="18"/>
      <c r="B251" s="18"/>
      <c r="C251" s="18"/>
      <c r="D251" s="18"/>
      <c r="E251" s="18"/>
      <c r="F251" s="18"/>
      <c r="G251" s="19"/>
      <c r="H251" s="18"/>
      <c r="I251" s="18"/>
      <c r="J251" s="19"/>
      <c r="K251" s="19"/>
    </row>
    <row r="252" spans="1:11" ht="12.95">
      <c r="A252" s="18"/>
      <c r="B252" s="18"/>
      <c r="C252" s="18"/>
      <c r="D252" s="18"/>
      <c r="E252" s="18"/>
      <c r="F252" s="18"/>
      <c r="G252" s="19"/>
      <c r="H252" s="18"/>
      <c r="I252" s="18"/>
      <c r="J252" s="19"/>
      <c r="K252" s="19"/>
    </row>
    <row r="253" spans="1:11" ht="12.95">
      <c r="A253" s="18"/>
      <c r="B253" s="18"/>
      <c r="C253" s="18"/>
      <c r="D253" s="18"/>
      <c r="E253" s="18"/>
      <c r="F253" s="18"/>
      <c r="G253" s="19"/>
      <c r="H253" s="18"/>
      <c r="I253" s="18"/>
      <c r="J253" s="19"/>
      <c r="K253" s="19"/>
    </row>
    <row r="254" spans="1:11" ht="12.95">
      <c r="A254" s="18"/>
      <c r="B254" s="18"/>
      <c r="C254" s="18"/>
      <c r="D254" s="18"/>
      <c r="E254" s="18"/>
      <c r="F254" s="18"/>
      <c r="G254" s="19"/>
      <c r="H254" s="18"/>
      <c r="I254" s="18"/>
      <c r="J254" s="19"/>
      <c r="K254" s="19"/>
    </row>
    <row r="255" spans="1:11" ht="12.95">
      <c r="A255" s="18"/>
      <c r="B255" s="18"/>
      <c r="C255" s="18"/>
      <c r="D255" s="18"/>
      <c r="E255" s="18"/>
      <c r="F255" s="18"/>
      <c r="G255" s="19"/>
      <c r="H255" s="18"/>
      <c r="I255" s="18"/>
      <c r="J255" s="19"/>
      <c r="K255" s="19"/>
    </row>
    <row r="256" spans="1:11" ht="12.95">
      <c r="A256" s="18"/>
      <c r="B256" s="18"/>
      <c r="C256" s="18"/>
      <c r="D256" s="18"/>
      <c r="E256" s="18"/>
      <c r="F256" s="18"/>
      <c r="G256" s="19"/>
      <c r="H256" s="18"/>
      <c r="I256" s="18"/>
      <c r="J256" s="19"/>
      <c r="K256" s="19"/>
    </row>
    <row r="257" spans="1:11" ht="12.95">
      <c r="A257" s="18"/>
      <c r="B257" s="18"/>
      <c r="C257" s="18"/>
      <c r="D257" s="18"/>
      <c r="E257" s="18"/>
      <c r="F257" s="18"/>
      <c r="G257" s="19"/>
      <c r="H257" s="18"/>
      <c r="I257" s="18"/>
      <c r="J257" s="19"/>
      <c r="K257" s="19"/>
    </row>
    <row r="258" spans="1:11" ht="12.95">
      <c r="A258" s="18"/>
      <c r="B258" s="18"/>
      <c r="C258" s="18"/>
      <c r="D258" s="18"/>
      <c r="E258" s="18"/>
      <c r="F258" s="18"/>
      <c r="G258" s="19"/>
      <c r="H258" s="18"/>
      <c r="I258" s="18"/>
      <c r="J258" s="19"/>
      <c r="K258" s="19"/>
    </row>
    <row r="259" spans="1:11" ht="12.95">
      <c r="A259" s="18"/>
      <c r="B259" s="18"/>
      <c r="C259" s="18"/>
      <c r="D259" s="18"/>
      <c r="E259" s="18"/>
      <c r="F259" s="18"/>
      <c r="G259" s="19"/>
      <c r="H259" s="18"/>
      <c r="I259" s="18"/>
      <c r="J259" s="19"/>
      <c r="K259" s="19"/>
    </row>
    <row r="260" spans="1:11" ht="12.95">
      <c r="A260" s="18"/>
      <c r="B260" s="18"/>
      <c r="C260" s="18"/>
      <c r="D260" s="18"/>
      <c r="E260" s="18"/>
      <c r="F260" s="18"/>
      <c r="G260" s="19"/>
      <c r="H260" s="18"/>
      <c r="I260" s="18"/>
      <c r="J260" s="19"/>
      <c r="K260" s="19"/>
    </row>
    <row r="261" spans="1:11" ht="12.95">
      <c r="A261" s="18"/>
      <c r="B261" s="18"/>
      <c r="C261" s="18"/>
      <c r="D261" s="18"/>
      <c r="E261" s="18"/>
      <c r="F261" s="18"/>
      <c r="G261" s="19"/>
      <c r="H261" s="18"/>
      <c r="I261" s="18"/>
      <c r="J261" s="19"/>
      <c r="K261" s="19"/>
    </row>
    <row r="262" spans="1:11" ht="12.95">
      <c r="A262" s="18"/>
      <c r="B262" s="18"/>
      <c r="C262" s="18"/>
      <c r="D262" s="18"/>
      <c r="E262" s="18"/>
      <c r="F262" s="18"/>
      <c r="G262" s="19"/>
      <c r="H262" s="18"/>
      <c r="I262" s="18"/>
      <c r="J262" s="19"/>
      <c r="K262" s="19"/>
    </row>
    <row r="263" spans="1:11" ht="12.95">
      <c r="A263" s="18"/>
      <c r="B263" s="18"/>
      <c r="C263" s="18"/>
      <c r="D263" s="18"/>
      <c r="E263" s="18"/>
      <c r="F263" s="18"/>
      <c r="G263" s="19"/>
      <c r="H263" s="18"/>
      <c r="I263" s="18"/>
      <c r="J263" s="19"/>
      <c r="K263" s="19"/>
    </row>
    <row r="264" spans="1:11" ht="12.95">
      <c r="A264" s="18"/>
      <c r="B264" s="18"/>
      <c r="C264" s="18"/>
      <c r="D264" s="18"/>
      <c r="E264" s="18"/>
      <c r="F264" s="18"/>
      <c r="G264" s="19"/>
      <c r="H264" s="18"/>
      <c r="I264" s="18"/>
      <c r="J264" s="19"/>
      <c r="K264" s="19"/>
    </row>
    <row r="265" spans="1:11" ht="12.95">
      <c r="A265" s="18"/>
      <c r="B265" s="18"/>
      <c r="C265" s="18"/>
      <c r="D265" s="18"/>
      <c r="E265" s="18"/>
      <c r="F265" s="18"/>
      <c r="G265" s="19"/>
      <c r="H265" s="18"/>
      <c r="I265" s="18"/>
      <c r="J265" s="19"/>
      <c r="K265" s="19"/>
    </row>
    <row r="266" spans="1:11" ht="12.95">
      <c r="A266" s="18"/>
      <c r="B266" s="18"/>
      <c r="C266" s="18"/>
      <c r="D266" s="18"/>
      <c r="E266" s="18"/>
      <c r="F266" s="18"/>
      <c r="G266" s="19"/>
      <c r="H266" s="18"/>
      <c r="I266" s="18"/>
      <c r="J266" s="19"/>
      <c r="K266" s="19"/>
    </row>
    <row r="267" spans="1:11" ht="12.95">
      <c r="A267" s="18"/>
      <c r="B267" s="18"/>
      <c r="C267" s="18"/>
      <c r="D267" s="18"/>
      <c r="E267" s="18"/>
      <c r="F267" s="18"/>
      <c r="G267" s="19"/>
      <c r="H267" s="18"/>
      <c r="I267" s="18"/>
      <c r="J267" s="19"/>
      <c r="K267" s="19"/>
    </row>
    <row r="268" spans="1:11" ht="12.95">
      <c r="A268" s="18"/>
      <c r="B268" s="18"/>
      <c r="C268" s="18"/>
      <c r="D268" s="18"/>
      <c r="E268" s="18"/>
      <c r="F268" s="18"/>
      <c r="G268" s="19"/>
      <c r="H268" s="18"/>
      <c r="I268" s="18"/>
      <c r="J268" s="19"/>
      <c r="K268" s="19"/>
    </row>
    <row r="269" spans="1:11" ht="12.95">
      <c r="A269" s="18"/>
      <c r="B269" s="18"/>
      <c r="C269" s="18"/>
      <c r="D269" s="18"/>
      <c r="E269" s="18"/>
      <c r="F269" s="18"/>
      <c r="G269" s="19"/>
      <c r="H269" s="18"/>
      <c r="I269" s="18"/>
      <c r="J269" s="19"/>
      <c r="K269" s="19"/>
    </row>
    <row r="270" spans="1:11" ht="12.95">
      <c r="A270" s="18"/>
      <c r="B270" s="18"/>
      <c r="C270" s="18"/>
      <c r="D270" s="18"/>
      <c r="E270" s="18"/>
      <c r="F270" s="18"/>
      <c r="G270" s="19"/>
      <c r="H270" s="18"/>
      <c r="I270" s="18"/>
      <c r="J270" s="19"/>
      <c r="K270" s="19"/>
    </row>
    <row r="271" spans="1:11" ht="12.95">
      <c r="A271" s="18"/>
      <c r="B271" s="18"/>
      <c r="C271" s="18"/>
      <c r="D271" s="18"/>
      <c r="E271" s="18"/>
      <c r="F271" s="18"/>
      <c r="G271" s="19"/>
      <c r="H271" s="18"/>
      <c r="I271" s="18"/>
      <c r="J271" s="19"/>
      <c r="K271" s="19"/>
    </row>
    <row r="272" spans="1:11" ht="12.95">
      <c r="A272" s="18"/>
      <c r="B272" s="18"/>
      <c r="C272" s="18"/>
      <c r="D272" s="18"/>
      <c r="E272" s="18"/>
      <c r="F272" s="18"/>
      <c r="G272" s="19"/>
      <c r="H272" s="18"/>
      <c r="I272" s="18"/>
      <c r="J272" s="19"/>
      <c r="K272" s="19"/>
    </row>
    <row r="273" spans="1:11" ht="12.95">
      <c r="A273" s="18"/>
      <c r="B273" s="18"/>
      <c r="C273" s="18"/>
      <c r="D273" s="18"/>
      <c r="E273" s="18"/>
      <c r="F273" s="18"/>
      <c r="G273" s="19"/>
      <c r="H273" s="18"/>
      <c r="I273" s="18"/>
      <c r="J273" s="19"/>
      <c r="K273" s="19"/>
    </row>
    <row r="274" spans="1:11" ht="12.95">
      <c r="A274" s="18"/>
      <c r="B274" s="18"/>
      <c r="C274" s="18"/>
      <c r="D274" s="18"/>
      <c r="E274" s="18"/>
      <c r="F274" s="18"/>
      <c r="G274" s="19"/>
      <c r="H274" s="18"/>
      <c r="I274" s="18"/>
      <c r="J274" s="19"/>
      <c r="K274" s="19"/>
    </row>
    <row r="275" spans="1:11" ht="12.95">
      <c r="A275" s="18"/>
      <c r="B275" s="18"/>
      <c r="C275" s="18"/>
      <c r="D275" s="18"/>
      <c r="E275" s="18"/>
      <c r="F275" s="18"/>
      <c r="G275" s="19"/>
      <c r="H275" s="18"/>
      <c r="I275" s="18"/>
      <c r="J275" s="19"/>
      <c r="K275" s="19"/>
    </row>
    <row r="276" spans="1:11" ht="12.95">
      <c r="A276" s="18"/>
      <c r="B276" s="18"/>
      <c r="C276" s="18"/>
      <c r="D276" s="18"/>
      <c r="E276" s="18"/>
      <c r="F276" s="18"/>
      <c r="G276" s="19"/>
      <c r="H276" s="18"/>
      <c r="I276" s="18"/>
      <c r="J276" s="19"/>
      <c r="K276" s="19"/>
    </row>
    <row r="277" spans="1:11" ht="12.95">
      <c r="A277" s="18"/>
      <c r="B277" s="18"/>
      <c r="C277" s="18"/>
      <c r="D277" s="18"/>
      <c r="E277" s="18"/>
      <c r="F277" s="18"/>
      <c r="G277" s="19"/>
      <c r="H277" s="18"/>
      <c r="I277" s="18"/>
      <c r="J277" s="19"/>
      <c r="K277" s="19"/>
    </row>
    <row r="278" spans="1:11" ht="12.95">
      <c r="A278" s="18"/>
      <c r="B278" s="18"/>
      <c r="C278" s="18"/>
      <c r="D278" s="18"/>
      <c r="E278" s="18"/>
      <c r="F278" s="18"/>
      <c r="G278" s="19"/>
      <c r="H278" s="18"/>
      <c r="I278" s="18"/>
      <c r="J278" s="19"/>
      <c r="K278" s="19"/>
    </row>
    <row r="279" spans="1:11" ht="12.95">
      <c r="A279" s="18"/>
      <c r="B279" s="18"/>
      <c r="C279" s="18"/>
      <c r="D279" s="18"/>
      <c r="E279" s="18"/>
      <c r="F279" s="18"/>
      <c r="G279" s="19"/>
      <c r="H279" s="18"/>
      <c r="I279" s="18"/>
      <c r="J279" s="19"/>
      <c r="K279" s="19"/>
    </row>
    <row r="280" spans="1:11" ht="12.95">
      <c r="A280" s="18"/>
      <c r="B280" s="18"/>
      <c r="C280" s="18"/>
      <c r="D280" s="18"/>
      <c r="E280" s="18"/>
      <c r="F280" s="18"/>
      <c r="G280" s="19"/>
      <c r="H280" s="18"/>
      <c r="I280" s="18"/>
      <c r="J280" s="19"/>
      <c r="K280" s="19"/>
    </row>
    <row r="281" spans="1:11" ht="12.95">
      <c r="A281" s="18"/>
      <c r="B281" s="18"/>
      <c r="C281" s="18"/>
      <c r="D281" s="18"/>
      <c r="E281" s="18"/>
      <c r="F281" s="18"/>
      <c r="G281" s="19"/>
      <c r="H281" s="18"/>
      <c r="I281" s="18"/>
      <c r="J281" s="19"/>
      <c r="K281" s="19"/>
    </row>
    <row r="282" spans="1:11" ht="12.95">
      <c r="A282" s="18"/>
      <c r="B282" s="18"/>
      <c r="C282" s="18"/>
      <c r="D282" s="18"/>
      <c r="E282" s="18"/>
      <c r="F282" s="18"/>
      <c r="G282" s="19"/>
      <c r="H282" s="18"/>
      <c r="I282" s="18"/>
      <c r="J282" s="19"/>
      <c r="K282" s="19"/>
    </row>
    <row r="283" spans="1:11" ht="12.95">
      <c r="A283" s="18"/>
      <c r="B283" s="18"/>
      <c r="C283" s="18"/>
      <c r="D283" s="18"/>
      <c r="E283" s="18"/>
      <c r="F283" s="18"/>
      <c r="G283" s="19"/>
      <c r="H283" s="18"/>
      <c r="I283" s="18"/>
      <c r="J283" s="19"/>
      <c r="K283" s="19"/>
    </row>
    <row r="284" spans="1:11" ht="12.95">
      <c r="A284" s="18"/>
      <c r="B284" s="18"/>
      <c r="C284" s="18"/>
      <c r="D284" s="18"/>
      <c r="E284" s="18"/>
      <c r="F284" s="18"/>
      <c r="G284" s="19"/>
      <c r="H284" s="18"/>
      <c r="I284" s="18"/>
      <c r="J284" s="19"/>
      <c r="K284" s="19"/>
    </row>
    <row r="285" spans="1:11" ht="12.95">
      <c r="A285" s="18"/>
      <c r="B285" s="18"/>
      <c r="C285" s="18"/>
      <c r="D285" s="18"/>
      <c r="E285" s="18"/>
      <c r="F285" s="18"/>
      <c r="G285" s="19"/>
      <c r="H285" s="18"/>
      <c r="I285" s="18"/>
      <c r="J285" s="19"/>
      <c r="K285" s="19"/>
    </row>
    <row r="286" spans="1:11" ht="12.95">
      <c r="A286" s="18"/>
      <c r="B286" s="18"/>
      <c r="C286" s="18"/>
      <c r="D286" s="18"/>
      <c r="E286" s="18"/>
      <c r="F286" s="18"/>
      <c r="G286" s="19"/>
      <c r="H286" s="18"/>
      <c r="I286" s="18"/>
      <c r="J286" s="19"/>
      <c r="K286" s="19"/>
    </row>
    <row r="287" spans="1:11" ht="12.95">
      <c r="A287" s="18"/>
      <c r="B287" s="18"/>
      <c r="C287" s="18"/>
      <c r="D287" s="18"/>
      <c r="E287" s="18"/>
      <c r="F287" s="18"/>
      <c r="G287" s="19"/>
      <c r="H287" s="18"/>
      <c r="I287" s="18"/>
      <c r="J287" s="19"/>
      <c r="K287" s="19"/>
    </row>
    <row r="288" spans="1:11" ht="12.95">
      <c r="A288" s="18"/>
      <c r="B288" s="18"/>
      <c r="C288" s="18"/>
      <c r="D288" s="18"/>
      <c r="E288" s="18"/>
      <c r="F288" s="18"/>
      <c r="G288" s="19"/>
      <c r="H288" s="18"/>
      <c r="I288" s="18"/>
      <c r="J288" s="19"/>
      <c r="K288" s="19"/>
    </row>
    <row r="289" spans="1:11" ht="12.95">
      <c r="A289" s="18"/>
      <c r="B289" s="18"/>
      <c r="C289" s="18"/>
      <c r="D289" s="18"/>
      <c r="E289" s="18"/>
      <c r="F289" s="18"/>
      <c r="G289" s="19"/>
      <c r="H289" s="18"/>
      <c r="I289" s="18"/>
      <c r="J289" s="19"/>
      <c r="K289" s="19"/>
    </row>
    <row r="290" spans="1:11" ht="12.95">
      <c r="A290" s="18"/>
      <c r="B290" s="18"/>
      <c r="C290" s="18"/>
      <c r="D290" s="18"/>
      <c r="E290" s="18"/>
      <c r="F290" s="18"/>
      <c r="G290" s="19"/>
      <c r="H290" s="18"/>
      <c r="I290" s="18"/>
      <c r="J290" s="19"/>
      <c r="K290" s="19"/>
    </row>
    <row r="291" spans="1:11" ht="12.95">
      <c r="A291" s="18"/>
      <c r="B291" s="18"/>
      <c r="C291" s="18"/>
      <c r="D291" s="18"/>
      <c r="E291" s="18"/>
      <c r="F291" s="18"/>
      <c r="G291" s="19"/>
      <c r="H291" s="18"/>
      <c r="I291" s="18"/>
      <c r="J291" s="19"/>
      <c r="K291" s="19"/>
    </row>
    <row r="292" spans="1:11" ht="12.95">
      <c r="A292" s="18"/>
      <c r="B292" s="18"/>
      <c r="C292" s="18"/>
      <c r="D292" s="18"/>
      <c r="E292" s="18"/>
      <c r="F292" s="18"/>
      <c r="G292" s="19"/>
      <c r="H292" s="18"/>
      <c r="I292" s="18"/>
      <c r="J292" s="19"/>
      <c r="K292" s="19"/>
    </row>
    <row r="293" spans="1:11" ht="12.95">
      <c r="A293" s="18"/>
      <c r="B293" s="18"/>
      <c r="C293" s="18"/>
      <c r="D293" s="18"/>
      <c r="E293" s="18"/>
      <c r="F293" s="18"/>
      <c r="G293" s="19"/>
      <c r="H293" s="18"/>
      <c r="I293" s="18"/>
      <c r="J293" s="19"/>
      <c r="K293" s="19"/>
    </row>
    <row r="294" spans="1:11" ht="12.95">
      <c r="A294" s="18"/>
      <c r="B294" s="18"/>
      <c r="C294" s="18"/>
      <c r="D294" s="18"/>
      <c r="E294" s="18"/>
      <c r="F294" s="18"/>
      <c r="G294" s="19"/>
      <c r="H294" s="18"/>
      <c r="I294" s="18"/>
      <c r="J294" s="19"/>
      <c r="K294" s="19"/>
    </row>
    <row r="295" spans="1:11" ht="12.95">
      <c r="A295" s="18"/>
      <c r="B295" s="18"/>
      <c r="C295" s="18"/>
      <c r="D295" s="18"/>
      <c r="E295" s="18"/>
      <c r="F295" s="18"/>
      <c r="G295" s="19"/>
      <c r="H295" s="18"/>
      <c r="I295" s="18"/>
      <c r="J295" s="19"/>
      <c r="K295" s="19"/>
    </row>
    <row r="296" spans="1:11" ht="12.95">
      <c r="A296" s="18"/>
      <c r="B296" s="18"/>
      <c r="C296" s="18"/>
      <c r="D296" s="18"/>
      <c r="E296" s="18"/>
      <c r="F296" s="18"/>
      <c r="G296" s="19"/>
      <c r="H296" s="18"/>
      <c r="I296" s="18"/>
      <c r="J296" s="19"/>
      <c r="K296" s="19"/>
    </row>
    <row r="297" spans="1:11" ht="12.95">
      <c r="A297" s="18"/>
      <c r="B297" s="18"/>
      <c r="C297" s="18"/>
      <c r="D297" s="18"/>
      <c r="E297" s="18"/>
      <c r="F297" s="18"/>
      <c r="G297" s="19"/>
      <c r="H297" s="18"/>
      <c r="I297" s="18"/>
      <c r="J297" s="19"/>
      <c r="K297" s="19"/>
    </row>
    <row r="298" spans="1:11" ht="12.95">
      <c r="A298" s="18"/>
      <c r="B298" s="18"/>
      <c r="C298" s="18"/>
      <c r="D298" s="18"/>
      <c r="E298" s="18"/>
      <c r="F298" s="18"/>
      <c r="G298" s="19"/>
      <c r="H298" s="18"/>
      <c r="I298" s="18"/>
      <c r="J298" s="19"/>
      <c r="K298" s="19"/>
    </row>
    <row r="299" spans="1:11" ht="12.95">
      <c r="A299" s="18"/>
      <c r="B299" s="18"/>
      <c r="C299" s="18"/>
      <c r="D299" s="18"/>
      <c r="E299" s="18"/>
      <c r="F299" s="18"/>
      <c r="G299" s="19"/>
      <c r="H299" s="18"/>
      <c r="I299" s="18"/>
      <c r="J299" s="19"/>
      <c r="K299" s="19"/>
    </row>
    <row r="300" spans="1:11" ht="12.95">
      <c r="A300" s="18"/>
      <c r="B300" s="18"/>
      <c r="C300" s="18"/>
      <c r="D300" s="18"/>
      <c r="E300" s="18"/>
      <c r="F300" s="18"/>
      <c r="G300" s="19"/>
      <c r="H300" s="18"/>
      <c r="I300" s="18"/>
      <c r="J300" s="19"/>
      <c r="K300" s="19"/>
    </row>
    <row r="301" spans="1:11" ht="12.95">
      <c r="A301" s="18"/>
      <c r="B301" s="18"/>
      <c r="C301" s="18"/>
      <c r="D301" s="18"/>
      <c r="E301" s="18"/>
      <c r="F301" s="18"/>
      <c r="G301" s="19"/>
      <c r="H301" s="18"/>
      <c r="I301" s="18"/>
      <c r="J301" s="19"/>
      <c r="K301" s="19"/>
    </row>
    <row r="302" spans="1:11" ht="12.95">
      <c r="A302" s="18"/>
      <c r="B302" s="18"/>
      <c r="C302" s="18"/>
      <c r="D302" s="18"/>
      <c r="E302" s="18"/>
      <c r="F302" s="18"/>
      <c r="G302" s="19"/>
      <c r="H302" s="18"/>
      <c r="I302" s="18"/>
      <c r="J302" s="19"/>
      <c r="K302" s="19"/>
    </row>
    <row r="303" spans="1:11" ht="12.95">
      <c r="A303" s="18"/>
      <c r="B303" s="18"/>
      <c r="C303" s="18"/>
      <c r="D303" s="18"/>
      <c r="E303" s="18"/>
      <c r="F303" s="18"/>
      <c r="G303" s="19"/>
      <c r="H303" s="18"/>
      <c r="I303" s="18"/>
      <c r="J303" s="19"/>
      <c r="K303" s="19"/>
    </row>
    <row r="304" spans="1:11" ht="12.95">
      <c r="A304" s="18"/>
      <c r="B304" s="18"/>
      <c r="C304" s="18"/>
      <c r="D304" s="18"/>
      <c r="E304" s="18"/>
      <c r="F304" s="18"/>
      <c r="G304" s="19"/>
      <c r="H304" s="18"/>
      <c r="I304" s="18"/>
      <c r="J304" s="19"/>
      <c r="K304" s="19"/>
    </row>
    <row r="305" spans="1:11" ht="12.95">
      <c r="A305" s="18"/>
      <c r="B305" s="18"/>
      <c r="C305" s="18"/>
      <c r="D305" s="18"/>
      <c r="E305" s="18"/>
      <c r="F305" s="18"/>
      <c r="G305" s="19"/>
      <c r="H305" s="18"/>
      <c r="I305" s="18"/>
      <c r="J305" s="19"/>
      <c r="K305" s="19"/>
    </row>
    <row r="306" spans="1:11" ht="12.95">
      <c r="A306" s="18"/>
      <c r="B306" s="18"/>
      <c r="C306" s="18"/>
      <c r="D306" s="18"/>
      <c r="E306" s="18"/>
      <c r="F306" s="18"/>
      <c r="G306" s="19"/>
      <c r="H306" s="18"/>
      <c r="I306" s="18"/>
      <c r="J306" s="19"/>
      <c r="K306" s="19"/>
    </row>
    <row r="307" spans="1:11" ht="12.95">
      <c r="A307" s="18"/>
      <c r="B307" s="18"/>
      <c r="C307" s="18"/>
      <c r="D307" s="18"/>
      <c r="E307" s="18"/>
      <c r="F307" s="18"/>
      <c r="G307" s="19"/>
      <c r="H307" s="18"/>
      <c r="I307" s="18"/>
      <c r="J307" s="19"/>
      <c r="K307" s="19"/>
    </row>
    <row r="308" spans="1:11" ht="12.95">
      <c r="A308" s="18"/>
      <c r="B308" s="18"/>
      <c r="C308" s="18"/>
      <c r="D308" s="18"/>
      <c r="E308" s="18"/>
      <c r="F308" s="18"/>
      <c r="G308" s="19"/>
      <c r="H308" s="18"/>
      <c r="I308" s="18"/>
      <c r="J308" s="19"/>
      <c r="K308" s="19"/>
    </row>
    <row r="309" spans="1:11" ht="12.95">
      <c r="A309" s="18"/>
      <c r="B309" s="18"/>
      <c r="C309" s="18"/>
      <c r="D309" s="18"/>
      <c r="E309" s="18"/>
      <c r="F309" s="18"/>
      <c r="G309" s="19"/>
      <c r="H309" s="18"/>
      <c r="I309" s="18"/>
      <c r="J309" s="19"/>
      <c r="K309" s="19"/>
    </row>
    <row r="310" spans="1:11" ht="12.95">
      <c r="A310" s="18"/>
      <c r="B310" s="18"/>
      <c r="C310" s="18"/>
      <c r="D310" s="18"/>
      <c r="E310" s="18"/>
      <c r="F310" s="18"/>
      <c r="G310" s="19"/>
      <c r="H310" s="18"/>
      <c r="I310" s="18"/>
      <c r="J310" s="19"/>
      <c r="K310" s="19"/>
    </row>
    <row r="311" spans="1:11" ht="12.95">
      <c r="A311" s="18"/>
      <c r="B311" s="18"/>
      <c r="C311" s="18"/>
      <c r="D311" s="18"/>
      <c r="E311" s="18"/>
      <c r="F311" s="18"/>
      <c r="G311" s="19"/>
      <c r="H311" s="18"/>
      <c r="I311" s="18"/>
      <c r="J311" s="19"/>
      <c r="K311" s="19"/>
    </row>
    <row r="312" spans="1:11" ht="12.95">
      <c r="A312" s="18"/>
      <c r="B312" s="18"/>
      <c r="C312" s="18"/>
      <c r="D312" s="18"/>
      <c r="E312" s="18"/>
      <c r="F312" s="18"/>
      <c r="G312" s="19"/>
      <c r="H312" s="18"/>
      <c r="I312" s="18"/>
      <c r="J312" s="19"/>
      <c r="K312" s="19"/>
    </row>
    <row r="313" spans="1:11" ht="12.95">
      <c r="A313" s="18"/>
      <c r="B313" s="18"/>
      <c r="C313" s="18"/>
      <c r="D313" s="18"/>
      <c r="E313" s="18"/>
      <c r="F313" s="18"/>
      <c r="G313" s="19"/>
      <c r="H313" s="18"/>
      <c r="I313" s="18"/>
      <c r="J313" s="19"/>
      <c r="K313" s="19"/>
    </row>
    <row r="314" spans="1:11" ht="12.95">
      <c r="A314" s="18"/>
      <c r="B314" s="18"/>
      <c r="C314" s="18"/>
      <c r="D314" s="18"/>
      <c r="E314" s="18"/>
      <c r="F314" s="18"/>
      <c r="G314" s="19"/>
      <c r="H314" s="18"/>
      <c r="I314" s="18"/>
      <c r="J314" s="19"/>
      <c r="K314" s="19"/>
    </row>
    <row r="315" spans="1:11" ht="12.95">
      <c r="A315" s="18"/>
      <c r="B315" s="18"/>
      <c r="C315" s="18"/>
      <c r="D315" s="18"/>
      <c r="E315" s="18"/>
      <c r="F315" s="18"/>
      <c r="G315" s="19"/>
      <c r="H315" s="18"/>
      <c r="I315" s="18"/>
      <c r="J315" s="19"/>
      <c r="K315" s="19"/>
    </row>
    <row r="316" spans="1:11" ht="12.95">
      <c r="A316" s="18"/>
      <c r="B316" s="18"/>
      <c r="C316" s="18"/>
      <c r="D316" s="18"/>
      <c r="E316" s="18"/>
      <c r="F316" s="18"/>
      <c r="G316" s="19"/>
      <c r="H316" s="18"/>
      <c r="I316" s="18"/>
      <c r="J316" s="19"/>
      <c r="K316" s="19"/>
    </row>
    <row r="317" spans="1:11" ht="12.95">
      <c r="A317" s="18"/>
      <c r="B317" s="18"/>
      <c r="C317" s="18"/>
      <c r="D317" s="18"/>
      <c r="E317" s="18"/>
      <c r="F317" s="18"/>
      <c r="G317" s="19"/>
      <c r="H317" s="18"/>
      <c r="I317" s="18"/>
      <c r="J317" s="19"/>
      <c r="K317" s="19"/>
    </row>
    <row r="318" spans="1:11" ht="12.95">
      <c r="A318" s="18"/>
      <c r="B318" s="18"/>
      <c r="C318" s="18"/>
      <c r="D318" s="18"/>
      <c r="E318" s="18"/>
      <c r="F318" s="18"/>
      <c r="G318" s="19"/>
      <c r="H318" s="18"/>
      <c r="I318" s="18"/>
      <c r="J318" s="19"/>
      <c r="K318" s="19"/>
    </row>
    <row r="319" spans="1:11" ht="12.95">
      <c r="A319" s="18"/>
      <c r="B319" s="18"/>
      <c r="C319" s="18"/>
      <c r="D319" s="18"/>
      <c r="E319" s="18"/>
      <c r="F319" s="18"/>
      <c r="G319" s="19"/>
      <c r="H319" s="18"/>
      <c r="I319" s="18"/>
      <c r="J319" s="19"/>
      <c r="K319" s="19"/>
    </row>
    <row r="320" spans="1:11" ht="12.95">
      <c r="A320" s="18"/>
      <c r="B320" s="18"/>
      <c r="C320" s="18"/>
      <c r="D320" s="18"/>
      <c r="E320" s="18"/>
      <c r="F320" s="18"/>
      <c r="G320" s="19"/>
      <c r="H320" s="18"/>
      <c r="I320" s="18"/>
      <c r="J320" s="19"/>
      <c r="K320" s="19"/>
    </row>
    <row r="321" spans="1:11" ht="12.95">
      <c r="A321" s="18"/>
      <c r="B321" s="18"/>
      <c r="C321" s="18"/>
      <c r="D321" s="18"/>
      <c r="E321" s="18"/>
      <c r="F321" s="18"/>
      <c r="G321" s="19"/>
      <c r="H321" s="18"/>
      <c r="I321" s="18"/>
      <c r="J321" s="19"/>
      <c r="K321" s="19"/>
    </row>
    <row r="322" spans="1:11" ht="12.95">
      <c r="A322" s="18"/>
      <c r="B322" s="18"/>
      <c r="C322" s="18"/>
      <c r="D322" s="18"/>
      <c r="E322" s="18"/>
      <c r="F322" s="18"/>
      <c r="G322" s="19"/>
      <c r="H322" s="18"/>
      <c r="I322" s="18"/>
      <c r="J322" s="19"/>
      <c r="K322" s="19"/>
    </row>
    <row r="323" spans="1:11" ht="12.95">
      <c r="A323" s="18"/>
      <c r="B323" s="18"/>
      <c r="C323" s="18"/>
      <c r="D323" s="18"/>
      <c r="E323" s="18"/>
      <c r="F323" s="18"/>
      <c r="G323" s="19"/>
      <c r="H323" s="18"/>
      <c r="I323" s="18"/>
      <c r="J323" s="19"/>
      <c r="K323" s="19"/>
    </row>
    <row r="324" spans="1:11" ht="12.95">
      <c r="A324" s="18"/>
      <c r="B324" s="18"/>
      <c r="C324" s="18"/>
      <c r="D324" s="18"/>
      <c r="E324" s="18"/>
      <c r="F324" s="18"/>
      <c r="G324" s="19"/>
      <c r="H324" s="18"/>
      <c r="I324" s="18"/>
      <c r="J324" s="19"/>
      <c r="K324" s="19"/>
    </row>
    <row r="325" spans="1:11" ht="12.95">
      <c r="A325" s="18"/>
      <c r="B325" s="18"/>
      <c r="C325" s="18"/>
      <c r="D325" s="18"/>
      <c r="E325" s="18"/>
      <c r="F325" s="18"/>
      <c r="G325" s="19"/>
      <c r="H325" s="18"/>
      <c r="I325" s="18"/>
      <c r="J325" s="19"/>
      <c r="K325" s="19"/>
    </row>
    <row r="326" spans="1:11" ht="12.95">
      <c r="A326" s="18"/>
      <c r="B326" s="18"/>
      <c r="C326" s="18"/>
      <c r="D326" s="18"/>
      <c r="E326" s="18"/>
      <c r="F326" s="18"/>
      <c r="G326" s="19"/>
      <c r="H326" s="18"/>
      <c r="I326" s="18"/>
      <c r="J326" s="19"/>
      <c r="K326" s="19"/>
    </row>
    <row r="327" spans="1:11" ht="12.95">
      <c r="A327" s="18"/>
      <c r="B327" s="18"/>
      <c r="C327" s="18"/>
      <c r="D327" s="18"/>
      <c r="E327" s="18"/>
      <c r="F327" s="18"/>
      <c r="G327" s="19"/>
      <c r="H327" s="18"/>
      <c r="I327" s="18"/>
      <c r="J327" s="19"/>
      <c r="K327" s="19"/>
    </row>
    <row r="328" spans="1:11" ht="12.95">
      <c r="A328" s="18"/>
      <c r="B328" s="18"/>
      <c r="C328" s="18"/>
      <c r="D328" s="18"/>
      <c r="E328" s="18"/>
      <c r="F328" s="18"/>
      <c r="G328" s="19"/>
      <c r="H328" s="18"/>
      <c r="I328" s="18"/>
      <c r="J328" s="19"/>
      <c r="K328" s="19"/>
    </row>
    <row r="329" spans="1:11" ht="12.95">
      <c r="A329" s="18"/>
      <c r="B329" s="18"/>
      <c r="C329" s="18"/>
      <c r="D329" s="18"/>
      <c r="E329" s="18"/>
      <c r="F329" s="18"/>
      <c r="G329" s="19"/>
      <c r="H329" s="18"/>
      <c r="I329" s="18"/>
      <c r="J329" s="19"/>
      <c r="K329" s="19"/>
    </row>
    <row r="330" spans="1:11" ht="12.95">
      <c r="A330" s="18"/>
      <c r="B330" s="18"/>
      <c r="C330" s="18"/>
      <c r="D330" s="18"/>
      <c r="E330" s="18"/>
      <c r="F330" s="18"/>
      <c r="G330" s="19"/>
      <c r="H330" s="18"/>
      <c r="I330" s="18"/>
      <c r="J330" s="19"/>
      <c r="K330" s="19"/>
    </row>
    <row r="331" spans="1:11" ht="12.95">
      <c r="A331" s="18"/>
      <c r="B331" s="18"/>
      <c r="C331" s="18"/>
      <c r="D331" s="18"/>
      <c r="E331" s="18"/>
      <c r="F331" s="18"/>
      <c r="G331" s="19"/>
      <c r="H331" s="18"/>
      <c r="I331" s="18"/>
      <c r="J331" s="19"/>
      <c r="K331" s="19"/>
    </row>
    <row r="332" spans="1:11" ht="12.95">
      <c r="A332" s="18"/>
      <c r="B332" s="18"/>
      <c r="C332" s="18"/>
      <c r="D332" s="18"/>
      <c r="E332" s="18"/>
      <c r="F332" s="18"/>
      <c r="G332" s="19"/>
      <c r="H332" s="18"/>
      <c r="I332" s="18"/>
      <c r="J332" s="19"/>
      <c r="K332" s="19"/>
    </row>
    <row r="333" spans="1:11" ht="12.95">
      <c r="A333" s="18"/>
      <c r="B333" s="18"/>
      <c r="C333" s="18"/>
      <c r="D333" s="18"/>
      <c r="E333" s="18"/>
      <c r="F333" s="18"/>
      <c r="G333" s="19"/>
      <c r="H333" s="18"/>
      <c r="I333" s="18"/>
      <c r="J333" s="19"/>
      <c r="K333" s="19"/>
    </row>
    <row r="334" spans="1:11" ht="12.95">
      <c r="A334" s="18"/>
      <c r="B334" s="18"/>
      <c r="C334" s="18"/>
      <c r="D334" s="18"/>
      <c r="E334" s="18"/>
      <c r="F334" s="18"/>
      <c r="G334" s="19"/>
      <c r="H334" s="18"/>
      <c r="I334" s="18"/>
      <c r="J334" s="19"/>
      <c r="K334" s="19"/>
    </row>
    <row r="335" spans="1:11" ht="12.95">
      <c r="A335" s="18"/>
      <c r="B335" s="18"/>
      <c r="C335" s="18"/>
      <c r="D335" s="18"/>
      <c r="E335" s="18"/>
      <c r="F335" s="18"/>
      <c r="G335" s="19"/>
      <c r="H335" s="18"/>
      <c r="I335" s="18"/>
      <c r="J335" s="19"/>
      <c r="K335" s="19"/>
    </row>
    <row r="336" spans="1:11" ht="12.95">
      <c r="A336" s="18"/>
      <c r="B336" s="18"/>
      <c r="C336" s="18"/>
      <c r="D336" s="18"/>
      <c r="E336" s="18"/>
      <c r="F336" s="18"/>
      <c r="G336" s="19"/>
      <c r="H336" s="18"/>
      <c r="I336" s="18"/>
      <c r="J336" s="19"/>
      <c r="K336" s="19"/>
    </row>
    <row r="337" spans="1:11" ht="12.95">
      <c r="A337" s="18"/>
      <c r="B337" s="18"/>
      <c r="C337" s="18"/>
      <c r="D337" s="18"/>
      <c r="E337" s="18"/>
      <c r="F337" s="18"/>
      <c r="G337" s="19"/>
      <c r="H337" s="18"/>
      <c r="I337" s="18"/>
      <c r="J337" s="19"/>
      <c r="K337" s="19"/>
    </row>
    <row r="338" spans="1:11" ht="12.95">
      <c r="A338" s="18"/>
      <c r="B338" s="18"/>
      <c r="C338" s="18"/>
      <c r="D338" s="18"/>
      <c r="E338" s="18"/>
      <c r="F338" s="18"/>
      <c r="G338" s="19"/>
      <c r="H338" s="18"/>
      <c r="I338" s="18"/>
      <c r="J338" s="19"/>
      <c r="K338" s="19"/>
    </row>
    <row r="339" spans="1:11" ht="12.95">
      <c r="A339" s="18"/>
      <c r="B339" s="18"/>
      <c r="C339" s="18"/>
      <c r="D339" s="18"/>
      <c r="E339" s="18"/>
      <c r="F339" s="18"/>
      <c r="G339" s="19"/>
      <c r="H339" s="18"/>
      <c r="I339" s="18"/>
      <c r="J339" s="19"/>
      <c r="K339" s="19"/>
    </row>
    <row r="340" spans="1:11" ht="12.95">
      <c r="A340" s="18"/>
      <c r="B340" s="18"/>
      <c r="C340" s="18"/>
      <c r="D340" s="18"/>
      <c r="E340" s="18"/>
      <c r="F340" s="18"/>
      <c r="G340" s="19"/>
      <c r="H340" s="18"/>
      <c r="I340" s="18"/>
      <c r="J340" s="19"/>
      <c r="K340" s="19"/>
    </row>
    <row r="341" spans="1:11" ht="12.95">
      <c r="A341" s="18"/>
      <c r="B341" s="18"/>
      <c r="C341" s="18"/>
      <c r="D341" s="18"/>
      <c r="E341" s="18"/>
      <c r="F341" s="18"/>
      <c r="G341" s="19"/>
      <c r="H341" s="18"/>
      <c r="I341" s="18"/>
      <c r="J341" s="19"/>
      <c r="K341" s="19"/>
    </row>
    <row r="342" spans="1:11" ht="12.95">
      <c r="A342" s="18"/>
      <c r="B342" s="18"/>
      <c r="C342" s="18"/>
      <c r="D342" s="18"/>
      <c r="E342" s="18"/>
      <c r="F342" s="18"/>
      <c r="G342" s="19"/>
      <c r="H342" s="18"/>
      <c r="I342" s="18"/>
      <c r="J342" s="19"/>
      <c r="K342" s="19"/>
    </row>
  </sheetData>
  <mergeCells count="4">
    <mergeCell ref="H1:J1"/>
    <mergeCell ref="A1:D1"/>
    <mergeCell ref="E1:G1"/>
    <mergeCell ref="A2:B2"/>
  </mergeCells>
  <conditionalFormatting sqref="G2">
    <cfRule type="cellIs" dxfId="144" priority="11" stopIfTrue="1" operator="lessThanOrEqual">
      <formula>-0.1</formula>
    </cfRule>
    <cfRule type="expression" dxfId="143" priority="12">
      <formula>AND(ISNUMBER(G2), G2&gt;=0.1)</formula>
    </cfRule>
  </conditionalFormatting>
  <conditionalFormatting sqref="G4:G161">
    <cfRule type="cellIs" dxfId="142" priority="7" stopIfTrue="1" operator="lessThanOrEqual">
      <formula>-0.1</formula>
    </cfRule>
    <cfRule type="expression" dxfId="141" priority="8">
      <formula>AND(ISNUMBER(G4), G4&gt;=0.1)</formula>
    </cfRule>
  </conditionalFormatting>
  <conditionalFormatting sqref="J4:J161">
    <cfRule type="cellIs" dxfId="140" priority="5" stopIfTrue="1" operator="lessThanOrEqual">
      <formula>-0.1</formula>
    </cfRule>
    <cfRule type="expression" dxfId="139" priority="6">
      <formula>AND(ISNUMBER(J4), J4&gt;=0.1)</formula>
    </cfRule>
  </conditionalFormatting>
  <conditionalFormatting sqref="J2:K2">
    <cfRule type="cellIs" dxfId="138" priority="3" stopIfTrue="1" operator="lessThanOrEqual">
      <formula>-0.1</formula>
    </cfRule>
    <cfRule type="expression" dxfId="137" priority="4">
      <formula>AND(ISNUMBER(J2), J2&gt;=0.1)</formula>
    </cfRule>
  </conditionalFormatting>
  <conditionalFormatting sqref="K4:K161">
    <cfRule type="expression" dxfId="136" priority="1" stopIfTrue="1">
      <formula>AND(K4&lt;&gt;"",K4&lt;0.975)</formula>
    </cfRule>
    <cfRule type="expression" dxfId="135" priority="2">
      <formula>AND(ISNUMBER(K4), K4&gt;=0.985)</formula>
    </cfRule>
  </conditionalFormatting>
  <pageMargins left="0.4" right="0.7" top="0.25" bottom="0.25" header="0.3" footer="0.3"/>
  <pageSetup fitToHeight="9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O342"/>
  <sheetViews>
    <sheetView zoomScale="90" zoomScaleNormal="90" workbookViewId="0">
      <pane xSplit="2" ySplit="3" topLeftCell="C4" activePane="bottomRight" state="frozen"/>
      <selection pane="bottomRight" activeCell="K4" sqref="K4"/>
      <selection pane="bottomLeft"/>
      <selection pane="topRight"/>
    </sheetView>
  </sheetViews>
  <sheetFormatPr defaultRowHeight="12.6"/>
  <cols>
    <col min="1" max="1" width="35.85546875" bestFit="1" customWidth="1"/>
    <col min="2" max="2" width="8.42578125" customWidth="1"/>
    <col min="3" max="3" width="1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8.5703125" style="1" customWidth="1"/>
  </cols>
  <sheetData>
    <row r="1" spans="1:13" ht="19.5" customHeight="1">
      <c r="A1" s="111" t="str" cm="1">
        <f t="array" ref="A1">portfolio</f>
        <v>Generate Capital</v>
      </c>
      <c r="B1" s="111"/>
      <c r="C1" s="111"/>
      <c r="D1" s="111"/>
      <c r="E1" s="112" t="s">
        <v>14</v>
      </c>
      <c r="F1" s="112"/>
      <c r="G1" s="112"/>
      <c r="H1" s="110" t="s">
        <v>15</v>
      </c>
      <c r="I1" s="110"/>
      <c r="J1" s="110"/>
      <c r="K1" s="107" t="s">
        <v>16</v>
      </c>
    </row>
    <row r="2" spans="1:13" ht="19.5" customHeight="1">
      <c r="A2" s="113" t="s">
        <v>3</v>
      </c>
      <c r="B2" s="113"/>
      <c r="C2" s="72"/>
      <c r="D2" s="6">
        <f>SUM(D4:D138)</f>
        <v>43033144.993302815</v>
      </c>
      <c r="E2" s="6">
        <f>SUM(E4:E138)</f>
        <v>17967143.504899997</v>
      </c>
      <c r="F2" s="6">
        <f>D2-E2</f>
        <v>25066001.488402817</v>
      </c>
      <c r="G2" s="7">
        <f>IFERROR(F2/E2, 0)</f>
        <v>1.39510220317252</v>
      </c>
      <c r="H2" s="6">
        <f>SUM(H4:H138)</f>
        <v>43989264.73089999</v>
      </c>
      <c r="I2" s="8">
        <f>D2-H2</f>
        <v>-956119.73759717494</v>
      </c>
      <c r="J2" s="7">
        <f>IFERROR(I2/H2, 0)</f>
        <v>-2.173529708773592E-2</v>
      </c>
      <c r="K2" s="108"/>
    </row>
    <row r="3" spans="1:13" ht="14.25" customHeight="1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f>SUM(Jan!D4, Feb!D4, Mar!D4)</f>
        <v>32706.187620842007</v>
      </c>
      <c r="E4" s="11">
        <f>SUM(Jan!E4, Feb!E4, Mar!E4)</f>
        <v>0</v>
      </c>
      <c r="F4" s="11">
        <f>IF(AND(ISNUMBER(D4),ISNUMBER(E4)), D4-E4, "")</f>
        <v>32706.187620842007</v>
      </c>
      <c r="G4" s="12" t="str">
        <f>IFERROR(F4/E4, "")</f>
        <v/>
      </c>
      <c r="H4" s="13">
        <f>SUM(Jan!H4, Feb!H4, Mar!H4)</f>
        <v>31200.866000000002</v>
      </c>
      <c r="I4" s="13">
        <f>SUM(Jan!I4, Feb!I4, Mar!I4)</f>
        <v>1505.321620842009</v>
      </c>
      <c r="J4" s="14">
        <f>IFERROR(I4/H4, "")</f>
        <v>4.8246148707603465E-2</v>
      </c>
      <c r="K4" s="14">
        <f>IFERROR(AVERAGE(Jan!K4, Feb!K4, Mar!K4),"")</f>
        <v>1</v>
      </c>
      <c r="L4" s="38"/>
      <c r="M4" s="38"/>
    </row>
    <row r="5" spans="1:13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f>SUM(Jan!D5, Feb!D5, Mar!D5)</f>
        <v>107842</v>
      </c>
      <c r="E5" s="15">
        <f>SUM(Jan!E5, Feb!E5, Mar!E5)</f>
        <v>0</v>
      </c>
      <c r="F5" s="15">
        <f t="shared" ref="F5:F15" si="0">IF(AND(ISNUMBER(D5),ISNUMBER(E5)), D5-E5, "")</f>
        <v>107842</v>
      </c>
      <c r="G5" s="16" t="str">
        <f>IFERROR(F5/E5, "")</f>
        <v/>
      </c>
      <c r="H5" s="17">
        <f>SUM(Jan!H5, Feb!H5, Mar!H5)</f>
        <v>130168.13999999998</v>
      </c>
      <c r="I5" s="17">
        <f>SUM(Jan!I5, Feb!I5, Mar!I5)</f>
        <v>-22326.14</v>
      </c>
      <c r="J5" s="16">
        <f>IFERROR(I5/H5, "")</f>
        <v>-0.171517700106954</v>
      </c>
      <c r="K5" s="14">
        <f>IFERROR(AVERAGE(Jan!K5, Feb!K5, Mar!K5),"")</f>
        <v>1</v>
      </c>
      <c r="L5" s="39"/>
      <c r="M5" s="39"/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SUM(Jan!D6, Feb!D6, Mar!D6)</f>
        <v>-1179066.5528493554</v>
      </c>
      <c r="E6" s="11">
        <f>SUM(Jan!E6, Feb!E6, Mar!E6)</f>
        <v>0</v>
      </c>
      <c r="F6" s="11">
        <f t="shared" si="0"/>
        <v>-1179066.5528493554</v>
      </c>
      <c r="G6" s="12" t="str">
        <f t="shared" ref="G6:G15" si="1">IFERROR(F6/E6, "")</f>
        <v/>
      </c>
      <c r="H6" s="13">
        <f>SUM(Jan!H6, Feb!H6, Mar!H6)</f>
        <v>48788</v>
      </c>
      <c r="I6" s="13">
        <f>SUM(Jan!I6, Feb!I6, Mar!I6)</f>
        <v>-1227854.5528493554</v>
      </c>
      <c r="J6" s="14">
        <f t="shared" ref="J6:J15" si="2">IFERROR(I6/H6, "")</f>
        <v>-25.167142593452393</v>
      </c>
      <c r="K6" s="14">
        <f>IFERROR(AVERAGE(Jan!K6, Feb!K6, Mar!K6),"")</f>
        <v>1</v>
      </c>
      <c r="L6" s="38"/>
      <c r="M6" s="38"/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f>SUM(Jan!D7, Feb!D7, Mar!D7)</f>
        <v>31148.188158420031</v>
      </c>
      <c r="E7" s="15">
        <f>SUM(Jan!E7, Feb!E7, Mar!E7)</f>
        <v>0</v>
      </c>
      <c r="F7" s="15">
        <f t="shared" si="0"/>
        <v>31148.188158420031</v>
      </c>
      <c r="G7" s="16" t="str">
        <f t="shared" si="1"/>
        <v/>
      </c>
      <c r="H7" s="17">
        <f>SUM(Jan!H7, Feb!H7, Mar!H7)</f>
        <v>34362.620000000003</v>
      </c>
      <c r="I7" s="17">
        <f>SUM(Jan!I7, Feb!I7, Mar!I7)</f>
        <v>-3214.4318415799717</v>
      </c>
      <c r="J7" s="16">
        <f t="shared" si="2"/>
        <v>-9.3544434085060205E-2</v>
      </c>
      <c r="K7" s="14">
        <f>IFERROR(AVERAGE(Jan!K7, Feb!K7, Mar!K7),"")</f>
        <v>1</v>
      </c>
      <c r="L7" s="39"/>
      <c r="M7" s="40"/>
    </row>
    <row r="8" spans="1:13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SUM(Jan!D8, Feb!D8, Mar!D8)</f>
        <v>72830.711003357297</v>
      </c>
      <c r="E8" s="11">
        <f>SUM(Jan!E8, Feb!E8, Mar!E8)</f>
        <v>0</v>
      </c>
      <c r="F8" s="11">
        <f t="shared" si="0"/>
        <v>72830.711003357297</v>
      </c>
      <c r="G8" s="12" t="str">
        <f t="shared" si="1"/>
        <v/>
      </c>
      <c r="H8" s="13">
        <f>SUM(Jan!H8, Feb!H8, Mar!H8)</f>
        <v>75774.7</v>
      </c>
      <c r="I8" s="13">
        <f>SUM(Jan!I8, Feb!I8, Mar!I8)</f>
        <v>-2943.9889966426963</v>
      </c>
      <c r="J8" s="14">
        <f t="shared" si="2"/>
        <v>-3.8851872678383373E-2</v>
      </c>
      <c r="K8" s="14">
        <f>IFERROR(AVERAGE(Jan!K8, Feb!K8, Mar!K8),"")</f>
        <v>1</v>
      </c>
      <c r="L8" s="38"/>
      <c r="M8" s="38"/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f>SUM(Jan!D9, Feb!D9, Mar!D9)</f>
        <v>74341.754694609204</v>
      </c>
      <c r="E9" s="15">
        <f>SUM(Jan!E9, Feb!E9, Mar!E9)</f>
        <v>0</v>
      </c>
      <c r="F9" s="15">
        <f t="shared" si="0"/>
        <v>74341.754694609204</v>
      </c>
      <c r="G9" s="16" t="str">
        <f t="shared" si="1"/>
        <v/>
      </c>
      <c r="H9" s="17">
        <f>SUM(Jan!H9, Feb!H9, Mar!H9)</f>
        <v>75686.649999999994</v>
      </c>
      <c r="I9" s="17">
        <f>SUM(Jan!I9, Feb!I9, Mar!I9)</f>
        <v>-1344.8953053908008</v>
      </c>
      <c r="J9" s="16">
        <f t="shared" si="2"/>
        <v>-1.7769253962102972E-2</v>
      </c>
      <c r="K9" s="14">
        <f>IFERROR(AVERAGE(Jan!K9, Feb!K9, Mar!K9),"")</f>
        <v>1</v>
      </c>
      <c r="L9" s="39"/>
      <c r="M9" s="40"/>
    </row>
    <row r="10" spans="1:13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SUM(Jan!D10, Feb!D10, Mar!D10)</f>
        <v>32098.434709116627</v>
      </c>
      <c r="E10" s="11">
        <f>SUM(Jan!E10, Feb!E10, Mar!E10)</f>
        <v>0</v>
      </c>
      <c r="F10" s="11">
        <f t="shared" si="0"/>
        <v>32098.434709116627</v>
      </c>
      <c r="G10" s="12" t="str">
        <f t="shared" si="1"/>
        <v/>
      </c>
      <c r="H10" s="13">
        <f>SUM(Jan!H10, Feb!H10, Mar!H10)</f>
        <v>32349</v>
      </c>
      <c r="I10" s="13">
        <f>SUM(Jan!I10, Feb!I10, Mar!I10)</f>
        <v>-250.56529088336902</v>
      </c>
      <c r="J10" s="14">
        <f t="shared" si="2"/>
        <v>-7.7456889203180628E-3</v>
      </c>
      <c r="K10" s="14">
        <f>IFERROR(AVERAGE(Jan!K10, Feb!K10, Mar!K10),"")</f>
        <v>1</v>
      </c>
      <c r="L10" s="38"/>
      <c r="M10" s="38"/>
    </row>
    <row r="11" spans="1:13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SUM(Jan!D11, Feb!D11, Mar!D11)</f>
        <v>14150.599590293841</v>
      </c>
      <c r="E11" s="15">
        <f>SUM(Jan!E11, Feb!E11, Mar!E11)</f>
        <v>0</v>
      </c>
      <c r="F11" s="15">
        <f t="shared" si="0"/>
        <v>14150.599590293841</v>
      </c>
      <c r="G11" s="16" t="str">
        <f t="shared" si="1"/>
        <v/>
      </c>
      <c r="H11" s="17">
        <f>SUM(Jan!H11, Feb!H11, Mar!H11)</f>
        <v>19968</v>
      </c>
      <c r="I11" s="17">
        <f>SUM(Jan!I11, Feb!I11, Mar!I11)</f>
        <v>-5817.4004097061597</v>
      </c>
      <c r="J11" s="16">
        <f t="shared" si="2"/>
        <v>-0.29133615833864984</v>
      </c>
      <c r="K11" s="14">
        <f>IFERROR(AVERAGE(Jan!K11, Feb!K11, Mar!K11),"")</f>
        <v>1</v>
      </c>
      <c r="L11" s="39"/>
      <c r="M11" s="40"/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SUM(Jan!D12, Feb!D12, Mar!D12)</f>
        <v>197991</v>
      </c>
      <c r="E12" s="11">
        <f>SUM(Jan!E12, Feb!E12, Mar!E12)</f>
        <v>251330.95</v>
      </c>
      <c r="F12" s="11">
        <f t="shared" si="0"/>
        <v>-53339.950000000012</v>
      </c>
      <c r="G12" s="12">
        <f t="shared" si="1"/>
        <v>-0.21222993029708442</v>
      </c>
      <c r="H12" s="13">
        <f>SUM(Jan!H12, Feb!H12, Mar!H12)</f>
        <v>206622</v>
      </c>
      <c r="I12" s="13">
        <f>SUM(Jan!I12, Feb!I12, Mar!I12)</f>
        <v>-8631</v>
      </c>
      <c r="J12" s="14">
        <f t="shared" si="2"/>
        <v>-4.1771931352905307E-2</v>
      </c>
      <c r="K12" s="14">
        <f>IFERROR(AVERAGE(Jan!K12, Feb!K12, Mar!K12),"")</f>
        <v>1</v>
      </c>
      <c r="L12" s="38"/>
      <c r="M12" s="38"/>
    </row>
    <row r="13" spans="1:13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SUM(Jan!D13, Feb!D13, Mar!D13)</f>
        <v>192798.96875</v>
      </c>
      <c r="E13" s="15">
        <f>SUM(Jan!E13, Feb!E13, Mar!E13)</f>
        <v>215347.16</v>
      </c>
      <c r="F13" s="15">
        <f t="shared" si="0"/>
        <v>-22548.191250000003</v>
      </c>
      <c r="G13" s="16">
        <f t="shared" si="1"/>
        <v>-0.10470623921857156</v>
      </c>
      <c r="H13" s="17">
        <f>SUM(Jan!H13, Feb!H13, Mar!H13)</f>
        <v>205726</v>
      </c>
      <c r="I13" s="17">
        <f>SUM(Jan!I13, Feb!I13, Mar!I13)</f>
        <v>-12927.03125</v>
      </c>
      <c r="J13" s="16">
        <f t="shared" si="2"/>
        <v>-6.2836157073000012E-2</v>
      </c>
      <c r="K13" s="14">
        <f>IFERROR(AVERAGE(Jan!K13, Feb!K13, Mar!K13),"")</f>
        <v>0.95440436666666673</v>
      </c>
      <c r="L13" s="39"/>
      <c r="M13" s="40"/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SUM(Jan!D14, Feb!D14, Mar!D14)</f>
        <v>41860.5</v>
      </c>
      <c r="E14" s="11">
        <f>SUM(Jan!E14, Feb!E14, Mar!E14)</f>
        <v>0</v>
      </c>
      <c r="F14" s="11">
        <f t="shared" si="0"/>
        <v>41860.5</v>
      </c>
      <c r="G14" s="12" t="str">
        <f t="shared" si="1"/>
        <v/>
      </c>
      <c r="H14" s="13">
        <f>SUM(Jan!H14, Feb!H14, Mar!H14)</f>
        <v>46251</v>
      </c>
      <c r="I14" s="13">
        <f>SUM(Jan!I14, Feb!I14, Mar!I14)</f>
        <v>-4390.5</v>
      </c>
      <c r="J14" s="14">
        <f t="shared" si="2"/>
        <v>-9.4927677239411035E-2</v>
      </c>
      <c r="K14" s="14">
        <f>IFERROR(AVERAGE(Jan!K14, Feb!K14, Mar!K14),"")</f>
        <v>1</v>
      </c>
      <c r="L14" s="38"/>
      <c r="M14" s="38"/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SUM(Jan!D15, Feb!D15, Mar!D15)</f>
        <v>37604.585026410496</v>
      </c>
      <c r="E15" s="15">
        <f>SUM(Jan!E15, Feb!E15, Mar!E15)</f>
        <v>24701.200000000001</v>
      </c>
      <c r="F15" s="15">
        <f t="shared" si="0"/>
        <v>12903.385026410495</v>
      </c>
      <c r="G15" s="16">
        <f t="shared" si="1"/>
        <v>0.52237887335070743</v>
      </c>
      <c r="H15" s="17">
        <f>SUM(Jan!H15, Feb!H15, Mar!H15)</f>
        <v>37905</v>
      </c>
      <c r="I15" s="17">
        <f>SUM(Jan!I15, Feb!I15, Mar!I15)</f>
        <v>-300.41497358950073</v>
      </c>
      <c r="J15" s="16">
        <f t="shared" si="2"/>
        <v>-7.9254708769159934E-3</v>
      </c>
      <c r="K15" s="14">
        <f>IFERROR(AVERAGE(Jan!K15, Feb!K15, Mar!K15),"")</f>
        <v>0.99973773333333327</v>
      </c>
      <c r="L15" s="39"/>
      <c r="M15" s="40"/>
    </row>
    <row r="16" spans="1:13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SUM(Jan!D16, Feb!D16, Mar!D16)</f>
        <v>25234.584260684773</v>
      </c>
      <c r="E16" s="11">
        <f>SUM(Jan!E16, Feb!E16, Mar!E16)</f>
        <v>0</v>
      </c>
      <c r="F16" s="11">
        <f t="shared" ref="F16:F17" si="3">IF(AND(ISNUMBER(D16),ISNUMBER(E16)), D16-E16, "")</f>
        <v>25234.584260684773</v>
      </c>
      <c r="G16" s="12" t="str">
        <f t="shared" ref="G16:G17" si="4">IFERROR(F16/E16, "")</f>
        <v/>
      </c>
      <c r="H16" s="13">
        <f>SUM(Jan!H16, Feb!H16, Mar!H16)</f>
        <v>29085</v>
      </c>
      <c r="I16" s="13">
        <f>SUM(Jan!I16, Feb!I16, Mar!I16)</f>
        <v>-3850.4157393152291</v>
      </c>
      <c r="J16" s="14">
        <f t="shared" ref="J16:J17" si="5">IFERROR(I16/H16, "")</f>
        <v>-0.1323849317282183</v>
      </c>
      <c r="K16" s="14">
        <f>IFERROR(AVERAGE(Jan!K16, Feb!K16, Mar!K16),"")</f>
        <v>1</v>
      </c>
      <c r="L16" s="38"/>
      <c r="M16" s="38"/>
    </row>
    <row r="17" spans="1:13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SUM(Jan!D17, Feb!D17, Mar!D17)</f>
        <v>180959.3199999998</v>
      </c>
      <c r="E17" s="15">
        <f>SUM(Jan!E17, Feb!E17, Mar!E17)</f>
        <v>0</v>
      </c>
      <c r="F17" s="15">
        <f t="shared" si="3"/>
        <v>180959.3199999998</v>
      </c>
      <c r="G17" s="16" t="str">
        <f t="shared" si="4"/>
        <v/>
      </c>
      <c r="H17" s="17">
        <f>SUM(Jan!H17, Feb!H17, Mar!H17)</f>
        <v>187565</v>
      </c>
      <c r="I17" s="17">
        <f>SUM(Jan!I17, Feb!I17, Mar!I17)</f>
        <v>-6605.6800000001967</v>
      </c>
      <c r="J17" s="16">
        <f t="shared" si="5"/>
        <v>-3.5218084397409949E-2</v>
      </c>
      <c r="K17" s="14">
        <f>IFERROR(AVERAGE(Jan!K17, Feb!K17, Mar!K17),"")</f>
        <v>1</v>
      </c>
      <c r="L17" s="39"/>
      <c r="M17" s="39"/>
    </row>
    <row r="18" spans="1:13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SUM(Jan!D18, Feb!D18, Mar!D18)</f>
        <v>81952.870000000097</v>
      </c>
      <c r="E18" s="11">
        <f>SUM(Jan!E18, Feb!E18, Mar!E18)</f>
        <v>0</v>
      </c>
      <c r="F18" s="11">
        <f t="shared" ref="F18:F81" si="6">IF(AND(ISNUMBER(D18),ISNUMBER(E18)), D18-E18, "")</f>
        <v>81952.870000000097</v>
      </c>
      <c r="G18" s="12" t="str">
        <f t="shared" ref="G18:G81" si="7">IFERROR(F18/E18, "")</f>
        <v/>
      </c>
      <c r="H18" s="13">
        <f>SUM(Jan!H18, Feb!H18, Mar!H18)</f>
        <v>110995</v>
      </c>
      <c r="I18" s="13">
        <f>SUM(Jan!I18, Feb!I18, Mar!I18)</f>
        <v>-29042.129999999899</v>
      </c>
      <c r="J18" s="14">
        <f t="shared" ref="J18:J81" si="8">IFERROR(I18/H18, "")</f>
        <v>-0.26165259696382631</v>
      </c>
      <c r="K18" s="14">
        <f>IFERROR(AVERAGE(Jan!K18, Feb!K18, Mar!K18),"")</f>
        <v>1</v>
      </c>
      <c r="L18" s="38"/>
      <c r="M18" s="38"/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SUM(Jan!D19, Feb!D19, Mar!D19)</f>
        <v>178095</v>
      </c>
      <c r="E19" s="15">
        <f>SUM(Jan!E19, Feb!E19, Mar!E19)</f>
        <v>227228.27000000002</v>
      </c>
      <c r="F19" s="15">
        <f t="shared" si="6"/>
        <v>-49133.270000000019</v>
      </c>
      <c r="G19" s="16">
        <f t="shared" si="7"/>
        <v>-0.21622868492551572</v>
      </c>
      <c r="H19" s="17">
        <f>SUM(Jan!H19, Feb!H19, Mar!H19)</f>
        <v>204027.64</v>
      </c>
      <c r="I19" s="17">
        <f>SUM(Jan!I19, Feb!I19, Mar!I19)</f>
        <v>-25932.639999999992</v>
      </c>
      <c r="J19" s="16">
        <f t="shared" si="8"/>
        <v>-0.12710356302704864</v>
      </c>
      <c r="K19" s="14">
        <f>IFERROR(AVERAGE(Jan!K19, Feb!K19, Mar!K19),"")</f>
        <v>1</v>
      </c>
      <c r="L19" s="39"/>
      <c r="M19" s="40"/>
    </row>
    <row r="20" spans="1:13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SUM(Jan!D20, Feb!D20, Mar!D20)</f>
        <v>40969.125</v>
      </c>
      <c r="E20" s="11">
        <f>SUM(Jan!E20, Feb!E20, Mar!E20)</f>
        <v>66169.3</v>
      </c>
      <c r="F20" s="11">
        <f t="shared" si="6"/>
        <v>-25200.175000000003</v>
      </c>
      <c r="G20" s="12">
        <f t="shared" si="7"/>
        <v>-0.38084391099800063</v>
      </c>
      <c r="H20" s="13">
        <f>SUM(Jan!H20, Feb!H20, Mar!H20)</f>
        <v>54131.54</v>
      </c>
      <c r="I20" s="13">
        <f>SUM(Jan!I20, Feb!I20, Mar!I20)</f>
        <v>-13162.414999999999</v>
      </c>
      <c r="J20" s="14">
        <f t="shared" si="8"/>
        <v>-0.2431561156397915</v>
      </c>
      <c r="K20" s="14">
        <f>IFERROR(AVERAGE(Jan!K20, Feb!K20, Mar!K20),"")</f>
        <v>0.95875983333333326</v>
      </c>
      <c r="L20" s="38"/>
      <c r="M20" s="38"/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SUM(Jan!D21, Feb!D21, Mar!D21)</f>
        <v>50357.9375</v>
      </c>
      <c r="E21" s="15">
        <f>SUM(Jan!E21, Feb!E21, Mar!E21)</f>
        <v>66333.48000000001</v>
      </c>
      <c r="F21" s="15">
        <f t="shared" si="6"/>
        <v>-15975.54250000001</v>
      </c>
      <c r="G21" s="16">
        <f t="shared" si="7"/>
        <v>-0.24083679161714427</v>
      </c>
      <c r="H21" s="17">
        <f>SUM(Jan!H21, Feb!H21, Mar!H21)</f>
        <v>51142.130000000005</v>
      </c>
      <c r="I21" s="17">
        <f>SUM(Jan!I21, Feb!I21, Mar!I21)</f>
        <v>-784.19250000000102</v>
      </c>
      <c r="J21" s="16">
        <f t="shared" si="8"/>
        <v>-1.5333590916139022E-2</v>
      </c>
      <c r="K21" s="14">
        <f>IFERROR(AVERAGE(Jan!K21, Feb!K21, Mar!K21),"")</f>
        <v>0.9864522</v>
      </c>
      <c r="L21" s="39"/>
      <c r="M21" s="40"/>
    </row>
    <row r="22" spans="1:13" ht="15.6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SUM(Jan!D22, Feb!D22, Mar!D22)</f>
        <v>36306.7421875</v>
      </c>
      <c r="E22" s="11">
        <f>SUM(Jan!E22, Feb!E22, Mar!E22)</f>
        <v>51459.998999999996</v>
      </c>
      <c r="F22" s="11">
        <f t="shared" si="6"/>
        <v>-15153.256812499996</v>
      </c>
      <c r="G22" s="12">
        <f t="shared" si="7"/>
        <v>-0.29446671408796565</v>
      </c>
      <c r="H22" s="13">
        <f>SUM(Jan!H22, Feb!H22, Mar!H22)</f>
        <v>46068</v>
      </c>
      <c r="I22" s="13">
        <f>SUM(Jan!I22, Feb!I22, Mar!I22)</f>
        <v>-9761.2578125</v>
      </c>
      <c r="J22" s="14">
        <f t="shared" si="8"/>
        <v>-0.21188803100850917</v>
      </c>
      <c r="K22" s="14">
        <f>IFERROR(AVERAGE(Jan!K22, Feb!K22, Mar!K22),"")</f>
        <v>0.82187163333333346</v>
      </c>
      <c r="L22" s="38"/>
      <c r="M22" s="38"/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SUM(Jan!D23, Feb!D23, Mar!D23)</f>
        <v>45532.0625</v>
      </c>
      <c r="E23" s="15">
        <f>SUM(Jan!E23, Feb!E23, Mar!E23)</f>
        <v>56574.479999999996</v>
      </c>
      <c r="F23" s="15">
        <f t="shared" si="6"/>
        <v>-11042.417499999996</v>
      </c>
      <c r="G23" s="16">
        <f t="shared" si="7"/>
        <v>-0.19518372064577522</v>
      </c>
      <c r="H23" s="17">
        <f>SUM(Jan!H23, Feb!H23, Mar!H23)</f>
        <v>10325</v>
      </c>
      <c r="I23" s="17">
        <f>SUM(Jan!I23, Feb!I23, Mar!I23)</f>
        <v>35207.0625</v>
      </c>
      <c r="J23" s="16">
        <f t="shared" si="8"/>
        <v>3.4098849878934625</v>
      </c>
      <c r="K23" s="14">
        <f>IFERROR(AVERAGE(Jan!K23, Feb!K23, Mar!K23),"")</f>
        <v>0.93195859999999986</v>
      </c>
      <c r="L23" s="39"/>
      <c r="M23" s="40"/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SUM(Jan!D24, Feb!D24, Mar!D24)</f>
        <v>37866.125</v>
      </c>
      <c r="E24" s="11">
        <f>SUM(Jan!E24, Feb!E24, Mar!E24)</f>
        <v>45918.432000000001</v>
      </c>
      <c r="F24" s="11">
        <f t="shared" si="6"/>
        <v>-8052.3070000000007</v>
      </c>
      <c r="G24" s="12">
        <f t="shared" si="7"/>
        <v>-0.17536110553600787</v>
      </c>
      <c r="H24" s="13">
        <f>SUM(Jan!H24, Feb!H24, Mar!H24)</f>
        <v>39813.339</v>
      </c>
      <c r="I24" s="13">
        <f>SUM(Jan!I24, Feb!I24, Mar!I24)</f>
        <v>-1947.2140000000018</v>
      </c>
      <c r="J24" s="14">
        <f t="shared" si="8"/>
        <v>-4.8908583125871499E-2</v>
      </c>
      <c r="K24" s="14">
        <f>IFERROR(AVERAGE(Jan!K24, Feb!K24, Mar!K24),"")</f>
        <v>0.98871559999999992</v>
      </c>
      <c r="L24" s="38"/>
      <c r="M24" s="38"/>
    </row>
    <row r="25" spans="1:13" ht="15.6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SUM(Jan!D25, Feb!D25, Mar!D25)</f>
        <v>9953.9140625</v>
      </c>
      <c r="E25" s="15">
        <f>SUM(Jan!E25, Feb!E25, Mar!E25)</f>
        <v>23326.995000000003</v>
      </c>
      <c r="F25" s="15">
        <f t="shared" si="6"/>
        <v>-13373.080937500003</v>
      </c>
      <c r="G25" s="16">
        <f t="shared" si="7"/>
        <v>-0.57328776970629958</v>
      </c>
      <c r="H25" s="17">
        <f>SUM(Jan!H25, Feb!H25, Mar!H25)</f>
        <v>25489.627999999997</v>
      </c>
      <c r="I25" s="17">
        <f>SUM(Jan!I25, Feb!I25, Mar!I25)</f>
        <v>-15535.713937499999</v>
      </c>
      <c r="J25" s="16">
        <f t="shared" si="8"/>
        <v>-0.60949159154068477</v>
      </c>
      <c r="K25" s="14">
        <f>IFERROR(AVERAGE(Jan!K25, Feb!K25, Mar!K25),"")</f>
        <v>0.90781693333333335</v>
      </c>
      <c r="L25" s="39"/>
      <c r="M25" s="40"/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SUM(Jan!D26, Feb!D26, Mar!D26)</f>
        <v>14706.625</v>
      </c>
      <c r="E26" s="11">
        <f>SUM(Jan!E26, Feb!E26, Mar!E26)</f>
        <v>16998.915000000001</v>
      </c>
      <c r="F26" s="11">
        <f t="shared" si="6"/>
        <v>-2292.2900000000009</v>
      </c>
      <c r="G26" s="12">
        <f t="shared" si="7"/>
        <v>-0.13484919478684379</v>
      </c>
      <c r="H26" s="13">
        <f>SUM(Jan!H26, Feb!H26, Mar!H26)</f>
        <v>15415</v>
      </c>
      <c r="I26" s="13">
        <f>SUM(Jan!I26, Feb!I26, Mar!I26)</f>
        <v>-708.375</v>
      </c>
      <c r="J26" s="14">
        <f t="shared" si="8"/>
        <v>-4.5953616607200778E-2</v>
      </c>
      <c r="K26" s="14">
        <f>IFERROR(AVERAGE(Jan!K26, Feb!K26, Mar!K26),"")</f>
        <v>0.98883730000000003</v>
      </c>
      <c r="L26" s="38"/>
      <c r="M26" s="38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SUM(Jan!D27, Feb!D27, Mar!D27)</f>
        <v>52641.125</v>
      </c>
      <c r="E27" s="15">
        <f>SUM(Jan!E27, Feb!E27, Mar!E27)</f>
        <v>64986.3</v>
      </c>
      <c r="F27" s="15">
        <f t="shared" si="6"/>
        <v>-12345.175000000003</v>
      </c>
      <c r="G27" s="16">
        <f t="shared" si="7"/>
        <v>-0.18996580817803141</v>
      </c>
      <c r="H27" s="17">
        <f>SUM(Jan!H27, Feb!H27, Mar!H27)</f>
        <v>54750.090000000004</v>
      </c>
      <c r="I27" s="17">
        <f>SUM(Jan!I27, Feb!I27, Mar!I27)</f>
        <v>-2108.9650000000038</v>
      </c>
      <c r="J27" s="16">
        <f t="shared" si="8"/>
        <v>-3.8519845355505421E-2</v>
      </c>
      <c r="K27" s="14">
        <f>IFERROR(AVERAGE(Jan!K27, Feb!K27, Mar!K27),"")</f>
        <v>0.99878739999999999</v>
      </c>
      <c r="L27" s="39"/>
      <c r="M27" s="40"/>
    </row>
    <row r="28" spans="1:13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SUM(Jan!D28, Feb!D28, Mar!D28)</f>
        <v>26688.355712890621</v>
      </c>
      <c r="E28" s="11">
        <f>SUM(Jan!E28, Feb!E28, Mar!E28)</f>
        <v>37464.851999999999</v>
      </c>
      <c r="F28" s="11">
        <f t="shared" si="6"/>
        <v>-10776.496287109378</v>
      </c>
      <c r="G28" s="12">
        <f t="shared" si="7"/>
        <v>-0.28764283620043068</v>
      </c>
      <c r="H28" s="13">
        <f>SUM(Jan!H28, Feb!H28, Mar!H28)</f>
        <v>32033</v>
      </c>
      <c r="I28" s="13">
        <f>SUM(Jan!I28, Feb!I28, Mar!I28)</f>
        <v>-5344.6442871093795</v>
      </c>
      <c r="J28" s="14">
        <f t="shared" si="8"/>
        <v>-0.16684807189802328</v>
      </c>
      <c r="K28" s="14">
        <f>IFERROR(AVERAGE(Jan!K28, Feb!K28, Mar!K28),"")</f>
        <v>0.98148713333333337</v>
      </c>
      <c r="L28" s="38"/>
      <c r="M28" s="38"/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SUM(Jan!D29, Feb!D29, Mar!D29)</f>
        <v>30209.09375</v>
      </c>
      <c r="E29" s="15">
        <f>SUM(Jan!E29, Feb!E29, Mar!E29)</f>
        <v>40211.756999999998</v>
      </c>
      <c r="F29" s="15">
        <f t="shared" si="6"/>
        <v>-10002.663249999998</v>
      </c>
      <c r="G29" s="16">
        <f t="shared" si="7"/>
        <v>-0.24874971889440192</v>
      </c>
      <c r="H29" s="17">
        <f>SUM(Jan!H29, Feb!H29, Mar!H29)</f>
        <v>36503.373999999996</v>
      </c>
      <c r="I29" s="17">
        <f>SUM(Jan!I29, Feb!I29, Mar!I29)</f>
        <v>-6294.2802500000016</v>
      </c>
      <c r="J29" s="16">
        <f t="shared" si="8"/>
        <v>-0.17243009509203183</v>
      </c>
      <c r="K29" s="14">
        <f>IFERROR(AVERAGE(Jan!K29, Feb!K29, Mar!K29),"")</f>
        <v>0.99790000000000001</v>
      </c>
      <c r="L29" s="39"/>
      <c r="M29" s="39"/>
    </row>
    <row r="30" spans="1:13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SUM(Jan!D30, Feb!D30, Mar!D30)</f>
        <v>31591.375</v>
      </c>
      <c r="E30" s="11">
        <f>SUM(Jan!E30, Feb!E30, Mar!E30)</f>
        <v>0</v>
      </c>
      <c r="F30" s="11">
        <f t="shared" si="6"/>
        <v>31591.375</v>
      </c>
      <c r="G30" s="12" t="str">
        <f t="shared" si="7"/>
        <v/>
      </c>
      <c r="H30" s="13">
        <f>SUM(Jan!H30, Feb!H30, Mar!H30)</f>
        <v>35937.377</v>
      </c>
      <c r="I30" s="13">
        <f>SUM(Jan!I30, Feb!I30, Mar!I30)</f>
        <v>-4346.0020000000004</v>
      </c>
      <c r="J30" s="14">
        <f t="shared" si="8"/>
        <v>-0.12093264347033453</v>
      </c>
      <c r="K30" s="14">
        <f>IFERROR(AVERAGE(Jan!K30, Feb!K30, Mar!K30),"")</f>
        <v>1</v>
      </c>
      <c r="L30" s="38"/>
      <c r="M30" s="38"/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SUM(Jan!D31, Feb!D31, Mar!D31)</f>
        <v>35721.53125</v>
      </c>
      <c r="E31" s="15">
        <f>SUM(Jan!E31, Feb!E31, Mar!E31)</f>
        <v>0</v>
      </c>
      <c r="F31" s="15">
        <f t="shared" si="6"/>
        <v>35721.53125</v>
      </c>
      <c r="G31" s="16" t="str">
        <f t="shared" si="7"/>
        <v/>
      </c>
      <c r="H31" s="17">
        <f>SUM(Jan!H31, Feb!H31, Mar!H31)</f>
        <v>42215</v>
      </c>
      <c r="I31" s="17">
        <f>SUM(Jan!I31, Feb!I31, Mar!I31)</f>
        <v>-6493.46875</v>
      </c>
      <c r="J31" s="16">
        <f t="shared" si="8"/>
        <v>-0.15381899206443209</v>
      </c>
      <c r="K31" s="14">
        <f>IFERROR(AVERAGE(Jan!K31, Feb!K31, Mar!K31),"")</f>
        <v>1</v>
      </c>
      <c r="L31" s="39"/>
      <c r="M31" s="40"/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SUM(Jan!D32, Feb!D32, Mar!D32)</f>
        <v>27908.328125</v>
      </c>
      <c r="E32" s="11">
        <f>SUM(Jan!E32, Feb!E32, Mar!E32)</f>
        <v>29044.525000000001</v>
      </c>
      <c r="F32" s="11">
        <f t="shared" si="6"/>
        <v>-1136.1968750000015</v>
      </c>
      <c r="G32" s="12">
        <f t="shared" si="7"/>
        <v>-3.9119141215082753E-2</v>
      </c>
      <c r="H32" s="13">
        <f>SUM(Jan!H32, Feb!H32, Mar!H32)</f>
        <v>31948</v>
      </c>
      <c r="I32" s="13">
        <f>SUM(Jan!I32, Feb!I32, Mar!I32)</f>
        <v>-4039.6718749999991</v>
      </c>
      <c r="J32" s="14">
        <f t="shared" si="8"/>
        <v>-0.12644521957556026</v>
      </c>
      <c r="K32" s="14">
        <f>IFERROR(AVERAGE(Jan!K32, Feb!K32, Mar!K32),"")</f>
        <v>0.99771350000000003</v>
      </c>
      <c r="L32" s="38"/>
      <c r="M32" s="38"/>
    </row>
    <row r="33" spans="1:13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SUM(Jan!D33, Feb!D33, Mar!D33)</f>
        <v>28084.875</v>
      </c>
      <c r="E33" s="15">
        <f>SUM(Jan!E33, Feb!E33, Mar!E33)</f>
        <v>37588.038</v>
      </c>
      <c r="F33" s="15">
        <f t="shared" si="6"/>
        <v>-9503.1630000000005</v>
      </c>
      <c r="G33" s="16">
        <f t="shared" si="7"/>
        <v>-0.25282412984684116</v>
      </c>
      <c r="H33" s="17">
        <f>SUM(Jan!H33, Feb!H33, Mar!H33)</f>
        <v>32201</v>
      </c>
      <c r="I33" s="17">
        <f>SUM(Jan!I33, Feb!I33, Mar!I33)</f>
        <v>-4116.125</v>
      </c>
      <c r="J33" s="16">
        <f t="shared" si="8"/>
        <v>-0.12782599919257165</v>
      </c>
      <c r="K33" s="14">
        <f>IFERROR(AVERAGE(Jan!K33, Feb!K33, Mar!K33),"")</f>
        <v>0.99673299999999998</v>
      </c>
      <c r="L33" s="39"/>
      <c r="M33" s="40"/>
    </row>
    <row r="34" spans="1:13" ht="15.6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SUM(Jan!D34, Feb!D34, Mar!D34)</f>
        <v>29236.9375</v>
      </c>
      <c r="E34" s="11">
        <f>SUM(Jan!E34, Feb!E34, Mar!E34)</f>
        <v>39988.258999999998</v>
      </c>
      <c r="F34" s="11">
        <f t="shared" si="6"/>
        <v>-10751.321499999998</v>
      </c>
      <c r="G34" s="12">
        <f t="shared" si="7"/>
        <v>-0.26886195520540163</v>
      </c>
      <c r="H34" s="13">
        <f>SUM(Jan!H34, Feb!H34, Mar!H34)</f>
        <v>35771</v>
      </c>
      <c r="I34" s="13">
        <f>SUM(Jan!I34, Feb!I34, Mar!I34)</f>
        <v>-6534.0625</v>
      </c>
      <c r="J34" s="14">
        <f t="shared" si="8"/>
        <v>-0.18266368007603925</v>
      </c>
      <c r="K34" s="14">
        <f>IFERROR(AVERAGE(Jan!K34, Feb!K34, Mar!K34),"")</f>
        <v>0.99242673333333331</v>
      </c>
      <c r="L34" s="38"/>
      <c r="M34" s="38"/>
    </row>
    <row r="35" spans="1:13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SUM(Jan!D35, Feb!D35, Mar!D35)</f>
        <v>32100.4453125</v>
      </c>
      <c r="E35" s="15">
        <f>SUM(Jan!E35, Feb!E35, Mar!E35)</f>
        <v>27385.681</v>
      </c>
      <c r="F35" s="15">
        <f t="shared" si="6"/>
        <v>4714.7643124999995</v>
      </c>
      <c r="G35" s="16">
        <f t="shared" si="7"/>
        <v>0.17216166041297273</v>
      </c>
      <c r="H35" s="17">
        <f>SUM(Jan!H35, Feb!H35, Mar!H35)</f>
        <v>38421</v>
      </c>
      <c r="I35" s="17">
        <f>SUM(Jan!I35, Feb!I35, Mar!I35)</f>
        <v>-6320.5546875</v>
      </c>
      <c r="J35" s="16">
        <f t="shared" si="8"/>
        <v>-0.16450781311001797</v>
      </c>
      <c r="K35" s="14">
        <f>IFERROR(AVERAGE(Jan!K35, Feb!K35, Mar!K35),"")</f>
        <v>0.91162693333333333</v>
      </c>
      <c r="L35" s="39"/>
      <c r="M35" s="40"/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SUM(Jan!D36, Feb!D36, Mar!D36)</f>
        <v>30178.970703125</v>
      </c>
      <c r="E36" s="11">
        <f>SUM(Jan!E36, Feb!E36, Mar!E36)</f>
        <v>39585.712</v>
      </c>
      <c r="F36" s="11">
        <f t="shared" si="6"/>
        <v>-9406.7412968749995</v>
      </c>
      <c r="G36" s="12">
        <f t="shared" si="7"/>
        <v>-0.23762971086322762</v>
      </c>
      <c r="H36" s="13">
        <f>SUM(Jan!H36, Feb!H36, Mar!H36)</f>
        <v>32363.773999999998</v>
      </c>
      <c r="I36" s="13">
        <f>SUM(Jan!I36, Feb!I36, Mar!I36)</f>
        <v>-2184.8032968749994</v>
      </c>
      <c r="J36" s="14">
        <f t="shared" si="8"/>
        <v>-6.75076799410044E-2</v>
      </c>
      <c r="K36" s="14">
        <f>IFERROR(AVERAGE(Jan!K36, Feb!K36, Mar!K36),"")</f>
        <v>0.99469496666666668</v>
      </c>
      <c r="L36" s="38"/>
      <c r="M36" s="38"/>
    </row>
    <row r="37" spans="1:13" ht="15.6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SUM(Jan!D37, Feb!D37, Mar!D37)</f>
        <v>122157.61968750009</v>
      </c>
      <c r="E37" s="15">
        <f>SUM(Jan!E37, Feb!E37, Mar!E37)</f>
        <v>112268.8</v>
      </c>
      <c r="F37" s="15">
        <f t="shared" si="6"/>
        <v>9888.8196875000867</v>
      </c>
      <c r="G37" s="16">
        <f t="shared" si="7"/>
        <v>8.8081636995319151E-2</v>
      </c>
      <c r="H37" s="17">
        <f>SUM(Jan!H37, Feb!H37, Mar!H37)</f>
        <v>145580</v>
      </c>
      <c r="I37" s="17">
        <f>SUM(Jan!I37, Feb!I37, Mar!I37)</f>
        <v>-23422.380312499903</v>
      </c>
      <c r="J37" s="16">
        <f t="shared" si="8"/>
        <v>-0.16089009693982623</v>
      </c>
      <c r="K37" s="14">
        <f>IFERROR(AVERAGE(Jan!K37, Feb!K37, Mar!K37),"")</f>
        <v>0.87719630000000004</v>
      </c>
      <c r="L37" s="39"/>
      <c r="M37" s="40"/>
    </row>
    <row r="38" spans="1:13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SUM(Jan!D38, Feb!D38, Mar!D38)</f>
        <v>31129.921875</v>
      </c>
      <c r="E38" s="11">
        <f>SUM(Jan!E38, Feb!E38, Mar!E38)</f>
        <v>30547.896999999997</v>
      </c>
      <c r="F38" s="11">
        <f t="shared" si="6"/>
        <v>582.02487500000279</v>
      </c>
      <c r="G38" s="12">
        <f t="shared" si="7"/>
        <v>1.9052862296871136E-2</v>
      </c>
      <c r="H38" s="13">
        <f>SUM(Jan!H38, Feb!H38, Mar!H38)</f>
        <v>39795</v>
      </c>
      <c r="I38" s="13">
        <f>SUM(Jan!I38, Feb!I38, Mar!I38)</f>
        <v>-8665.078125</v>
      </c>
      <c r="J38" s="14">
        <f t="shared" si="8"/>
        <v>-0.21774288541274028</v>
      </c>
      <c r="K38" s="14">
        <f>IFERROR(AVERAGE(Jan!K38, Feb!K38, Mar!K38),"")</f>
        <v>0.92967216666666663</v>
      </c>
      <c r="L38" s="38"/>
      <c r="M38" s="38"/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SUM(Jan!D39, Feb!D39, Mar!D39)</f>
        <v>30203.25</v>
      </c>
      <c r="E39" s="15">
        <f>SUM(Jan!E39, Feb!E39, Mar!E39)</f>
        <v>38940.919000000002</v>
      </c>
      <c r="F39" s="15">
        <f t="shared" si="6"/>
        <v>-8737.6690000000017</v>
      </c>
      <c r="G39" s="16">
        <f t="shared" si="7"/>
        <v>-0.22438271166635798</v>
      </c>
      <c r="H39" s="17">
        <f>SUM(Jan!H39, Feb!H39, Mar!H39)</f>
        <v>36598.192999999999</v>
      </c>
      <c r="I39" s="17">
        <f>SUM(Jan!I39, Feb!I39, Mar!I39)</f>
        <v>-6394.9429999999993</v>
      </c>
      <c r="J39" s="16">
        <f t="shared" si="8"/>
        <v>-0.17473384546608625</v>
      </c>
      <c r="K39" s="14">
        <f>IFERROR(AVERAGE(Jan!K39, Feb!K39, Mar!K39),"")</f>
        <v>0.99728113333333335</v>
      </c>
      <c r="L39" s="39"/>
      <c r="M39" s="40"/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SUM(Jan!D40, Feb!D40, Mar!D40)</f>
        <v>35003.625</v>
      </c>
      <c r="E40" s="11">
        <f>SUM(Jan!E40, Feb!E40, Mar!E40)</f>
        <v>45998.633999999998</v>
      </c>
      <c r="F40" s="11">
        <f t="shared" si="6"/>
        <v>-10995.008999999998</v>
      </c>
      <c r="G40" s="12">
        <f t="shared" si="7"/>
        <v>-0.2390290329056293</v>
      </c>
      <c r="H40" s="13">
        <f>SUM(Jan!H40, Feb!H40, Mar!H40)</f>
        <v>40334.915999999997</v>
      </c>
      <c r="I40" s="13">
        <f>SUM(Jan!I40, Feb!I40, Mar!I40)</f>
        <v>-5331.2909999999993</v>
      </c>
      <c r="J40" s="14">
        <f t="shared" si="8"/>
        <v>-0.13217558206889535</v>
      </c>
      <c r="K40" s="14">
        <f>IFERROR(AVERAGE(Jan!K40, Feb!K40, Mar!K40),"")</f>
        <v>0.9931930000000001</v>
      </c>
      <c r="L40" s="38"/>
      <c r="M40" s="38"/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SUM(Jan!D41, Feb!D41, Mar!D41)</f>
        <v>50821.890625</v>
      </c>
      <c r="E41" s="15">
        <f>SUM(Jan!E41, Feb!E41, Mar!E41)</f>
        <v>0</v>
      </c>
      <c r="F41" s="15">
        <f t="shared" si="6"/>
        <v>50821.890625</v>
      </c>
      <c r="G41" s="16" t="str">
        <f t="shared" si="7"/>
        <v/>
      </c>
      <c r="H41" s="17">
        <f>SUM(Jan!H41, Feb!H41, Mar!H41)</f>
        <v>61123</v>
      </c>
      <c r="I41" s="17">
        <f>SUM(Jan!I41, Feb!I41, Mar!I41)</f>
        <v>-10301.109375</v>
      </c>
      <c r="J41" s="16">
        <f t="shared" si="8"/>
        <v>-0.16853082104935949</v>
      </c>
      <c r="K41" s="14">
        <f>IFERROR(AVERAGE(Jan!K41, Feb!K41, Mar!K41),"")</f>
        <v>0.93415906666666659</v>
      </c>
      <c r="L41" s="39"/>
      <c r="M41" s="39"/>
    </row>
    <row r="42" spans="1:13" ht="15.6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SUM(Jan!D42, Feb!D42, Mar!D42)</f>
        <v>36408.2880859375</v>
      </c>
      <c r="E42" s="11">
        <f>SUM(Jan!E42, Feb!E42, Mar!E42)</f>
        <v>34228.319000000003</v>
      </c>
      <c r="F42" s="11">
        <f t="shared" si="6"/>
        <v>2179.9690859374969</v>
      </c>
      <c r="G42" s="12">
        <f t="shared" si="7"/>
        <v>6.3689048998798237E-2</v>
      </c>
      <c r="H42" s="13">
        <f>SUM(Jan!H42, Feb!H42, Mar!H42)</f>
        <v>45257.27</v>
      </c>
      <c r="I42" s="13">
        <f>SUM(Jan!I42, Feb!I42, Mar!I42)</f>
        <v>-8848.9819140624968</v>
      </c>
      <c r="J42" s="14">
        <f t="shared" si="8"/>
        <v>-0.19552619753826286</v>
      </c>
      <c r="K42" s="14">
        <f>IFERROR(AVERAGE(Jan!K42, Feb!K42, Mar!K42),"")</f>
        <v>0.99917896666666672</v>
      </c>
      <c r="L42" s="38"/>
      <c r="M42" s="38"/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SUM(Jan!D43, Feb!D43, Mar!D43)</f>
        <v>27839.015624999978</v>
      </c>
      <c r="E43" s="15">
        <f>SUM(Jan!E43, Feb!E43, Mar!E43)</f>
        <v>0</v>
      </c>
      <c r="F43" s="15">
        <f t="shared" si="6"/>
        <v>27839.015624999978</v>
      </c>
      <c r="G43" s="16" t="str">
        <f t="shared" si="7"/>
        <v/>
      </c>
      <c r="H43" s="17">
        <f>SUM(Jan!H43, Feb!H43, Mar!H43)</f>
        <v>31939</v>
      </c>
      <c r="I43" s="17">
        <f>SUM(Jan!I43, Feb!I43, Mar!I43)</f>
        <v>-4099.98437500002</v>
      </c>
      <c r="J43" s="16">
        <f t="shared" si="8"/>
        <v>-0.12836921553586586</v>
      </c>
      <c r="K43" s="14">
        <f>IFERROR(AVERAGE(Jan!K43, Feb!K43, Mar!K43),"")</f>
        <v>0.93193396666666661</v>
      </c>
      <c r="L43" s="39"/>
      <c r="M43" s="40"/>
    </row>
    <row r="44" spans="1:13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SUM(Jan!D44, Feb!D44, Mar!D44)</f>
        <v>7677.3287963867188</v>
      </c>
      <c r="E44" s="11">
        <f>SUM(Jan!E44, Feb!E44, Mar!E44)</f>
        <v>9296.9049999999988</v>
      </c>
      <c r="F44" s="11">
        <f t="shared" si="6"/>
        <v>-1619.5762036132801</v>
      </c>
      <c r="G44" s="12">
        <f t="shared" si="7"/>
        <v>-0.1742059538753252</v>
      </c>
      <c r="H44" s="13">
        <f>SUM(Jan!H44, Feb!H44, Mar!H44)</f>
        <v>12269.98</v>
      </c>
      <c r="I44" s="13">
        <f>SUM(Jan!I44, Feb!I44, Mar!I44)</f>
        <v>-4592.6512036132808</v>
      </c>
      <c r="J44" s="14">
        <f t="shared" si="8"/>
        <v>-0.37429981170411697</v>
      </c>
      <c r="K44" s="14">
        <f>IFERROR(AVERAGE(Jan!K44, Feb!K44, Mar!K44),"")</f>
        <v>0.98960026666666667</v>
      </c>
      <c r="L44" s="38"/>
      <c r="M44" s="38"/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SUM(Jan!D45, Feb!D45, Mar!D45)</f>
        <v>45368.6328125</v>
      </c>
      <c r="E45" s="15">
        <f>SUM(Jan!E45, Feb!E45, Mar!E45)</f>
        <v>50600.998999999996</v>
      </c>
      <c r="F45" s="15">
        <f t="shared" si="6"/>
        <v>-5232.3661874999962</v>
      </c>
      <c r="G45" s="16">
        <f t="shared" si="7"/>
        <v>-0.10340440487153221</v>
      </c>
      <c r="H45" s="17">
        <f>SUM(Jan!H45, Feb!H45, Mar!H45)</f>
        <v>50157</v>
      </c>
      <c r="I45" s="17">
        <f>SUM(Jan!I45, Feb!I45, Mar!I45)</f>
        <v>-4788.3671875</v>
      </c>
      <c r="J45" s="16">
        <f t="shared" si="8"/>
        <v>-9.5467575562733012E-2</v>
      </c>
      <c r="K45" s="14">
        <f>IFERROR(AVERAGE(Jan!K45, Feb!K45, Mar!K45),"")</f>
        <v>0.92888503333333328</v>
      </c>
      <c r="L45" s="39"/>
      <c r="M45" s="40"/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SUM(Jan!D46, Feb!D46, Mar!D46)</f>
        <v>28670.125</v>
      </c>
      <c r="E46" s="11">
        <f>SUM(Jan!E46, Feb!E46, Mar!E46)</f>
        <v>33187.002999999997</v>
      </c>
      <c r="F46" s="11">
        <f t="shared" si="6"/>
        <v>-4516.877999999997</v>
      </c>
      <c r="G46" s="12">
        <f t="shared" si="7"/>
        <v>-0.13610382353597875</v>
      </c>
      <c r="H46" s="13">
        <f>SUM(Jan!H46, Feb!H46, Mar!H46)</f>
        <v>28669.567000000003</v>
      </c>
      <c r="I46" s="13">
        <f>SUM(Jan!I46, Feb!I46, Mar!I46)</f>
        <v>0.55799999999999272</v>
      </c>
      <c r="J46" s="14">
        <f t="shared" si="8"/>
        <v>1.9463147106476797E-5</v>
      </c>
      <c r="K46" s="14">
        <f>IFERROR(AVERAGE(Jan!K46, Feb!K46, Mar!K46),"")</f>
        <v>0.97043590000000002</v>
      </c>
      <c r="L46" s="38"/>
      <c r="M46" s="38"/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SUM(Jan!D47, Feb!D47, Mar!D47)</f>
        <v>22867.875</v>
      </c>
      <c r="E47" s="15">
        <f>SUM(Jan!E47, Feb!E47, Mar!E47)</f>
        <v>29754.728000000003</v>
      </c>
      <c r="F47" s="15">
        <f t="shared" si="6"/>
        <v>-6886.8530000000028</v>
      </c>
      <c r="G47" s="16">
        <f t="shared" si="7"/>
        <v>-0.23145407345010857</v>
      </c>
      <c r="H47" s="17">
        <f>SUM(Jan!H47, Feb!H47, Mar!H47)</f>
        <v>16898.540399999998</v>
      </c>
      <c r="I47" s="17">
        <f>SUM(Jan!I47, Feb!I47, Mar!I47)</f>
        <v>5969.334600000001</v>
      </c>
      <c r="J47" s="16">
        <f t="shared" si="8"/>
        <v>0.35324557380115512</v>
      </c>
      <c r="K47" s="14">
        <f>IFERROR(AVERAGE(Jan!K47, Feb!K47, Mar!K47),"")</f>
        <v>0.98198276666666662</v>
      </c>
      <c r="L47" s="39"/>
      <c r="M47" s="40"/>
    </row>
    <row r="48" spans="1:13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SUM(Jan!D48, Feb!D48, Mar!D48)</f>
        <v>38308.625</v>
      </c>
      <c r="E48" s="11">
        <f>SUM(Jan!E48, Feb!E48, Mar!E48)</f>
        <v>47791.360000000001</v>
      </c>
      <c r="F48" s="11">
        <f t="shared" si="6"/>
        <v>-9482.7350000000006</v>
      </c>
      <c r="G48" s="12">
        <f t="shared" si="7"/>
        <v>-0.19841944234271636</v>
      </c>
      <c r="H48" s="13">
        <f>SUM(Jan!H48, Feb!H48, Mar!H48)</f>
        <v>30045</v>
      </c>
      <c r="I48" s="13">
        <f>SUM(Jan!I48, Feb!I48, Mar!I48)</f>
        <v>8263.625</v>
      </c>
      <c r="J48" s="14">
        <f t="shared" si="8"/>
        <v>0.27504160426027624</v>
      </c>
      <c r="K48" s="14">
        <f>IFERROR(AVERAGE(Jan!K48, Feb!K48, Mar!K48),"")</f>
        <v>0.98235023333333338</v>
      </c>
      <c r="L48" s="38"/>
      <c r="M48" s="38"/>
    </row>
    <row r="49" spans="1:15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SUM(Jan!D49, Feb!D49, Mar!D49)</f>
        <v>24363.46875</v>
      </c>
      <c r="E49" s="15">
        <f>SUM(Jan!E49, Feb!E49, Mar!E49)</f>
        <v>29540.1</v>
      </c>
      <c r="F49" s="15">
        <f t="shared" si="6"/>
        <v>-5176.6312499999985</v>
      </c>
      <c r="G49" s="16">
        <f t="shared" si="7"/>
        <v>-0.17524081672032252</v>
      </c>
      <c r="H49" s="17">
        <f>SUM(Jan!H49, Feb!H49, Mar!H49)</f>
        <v>26628.071000000004</v>
      </c>
      <c r="I49" s="17">
        <f>SUM(Jan!I49, Feb!I49, Mar!I49)</f>
        <v>-2264.6022500000008</v>
      </c>
      <c r="J49" s="16">
        <f t="shared" si="8"/>
        <v>-8.504567416843678E-2</v>
      </c>
      <c r="K49" s="14">
        <f>IFERROR(AVERAGE(Jan!K49, Feb!K49, Mar!K49),"")</f>
        <v>0.9747416000000001</v>
      </c>
      <c r="L49" s="39"/>
      <c r="M49" s="40"/>
    </row>
    <row r="50" spans="1:15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SUM(Jan!D50, Feb!D50, Mar!D50)</f>
        <v>32582.09375</v>
      </c>
      <c r="E50" s="11">
        <f>SUM(Jan!E50, Feb!E50, Mar!E50)</f>
        <v>42996.013999999996</v>
      </c>
      <c r="F50" s="11">
        <f t="shared" si="6"/>
        <v>-10413.920249999996</v>
      </c>
      <c r="G50" s="12">
        <f t="shared" si="7"/>
        <v>-0.24220664385307897</v>
      </c>
      <c r="H50" s="13">
        <f>SUM(Jan!H50, Feb!H50, Mar!H50)</f>
        <v>35440.599000000002</v>
      </c>
      <c r="I50" s="13">
        <f>SUM(Jan!I50, Feb!I50, Mar!I50)</f>
        <v>-2858.5052500000002</v>
      </c>
      <c r="J50" s="14">
        <f t="shared" si="8"/>
        <v>-8.0656234111618708E-2</v>
      </c>
      <c r="K50" s="14">
        <f>IFERROR(AVERAGE(Jan!K50, Feb!K50, Mar!K50),"")</f>
        <v>0.97635423333333327</v>
      </c>
      <c r="L50" s="38"/>
      <c r="M50" s="38"/>
    </row>
    <row r="51" spans="1:15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SUM(Jan!D51, Feb!D51, Mar!D51)</f>
        <v>19681.1875</v>
      </c>
      <c r="E51" s="15">
        <f>SUM(Jan!E51, Feb!E51, Mar!E51)</f>
        <v>23615.078000000001</v>
      </c>
      <c r="F51" s="15">
        <f t="shared" si="6"/>
        <v>-3933.8905000000013</v>
      </c>
      <c r="G51" s="16">
        <f t="shared" si="7"/>
        <v>-0.16658384528732029</v>
      </c>
      <c r="H51" s="17">
        <f>SUM(Jan!H51, Feb!H51, Mar!H51)</f>
        <v>22305</v>
      </c>
      <c r="I51" s="17">
        <f>SUM(Jan!I51, Feb!I51, Mar!I51)</f>
        <v>-2623.8125</v>
      </c>
      <c r="J51" s="16">
        <f t="shared" si="8"/>
        <v>-0.11763337816633042</v>
      </c>
      <c r="K51" s="14">
        <f>IFERROR(AVERAGE(Jan!K51, Feb!K51, Mar!K51),"")</f>
        <v>0.97804743333333333</v>
      </c>
      <c r="L51" s="39"/>
      <c r="M51" s="40"/>
    </row>
    <row r="52" spans="1:15" ht="15.6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SUM(Jan!D52, Feb!D52, Mar!D52)</f>
        <v>32711.5</v>
      </c>
      <c r="E52" s="11">
        <f>SUM(Jan!E52, Feb!E52, Mar!E52)</f>
        <v>45849.404999999999</v>
      </c>
      <c r="F52" s="11">
        <f t="shared" si="6"/>
        <v>-13137.904999999999</v>
      </c>
      <c r="G52" s="12">
        <f t="shared" si="7"/>
        <v>-0.28654472179082802</v>
      </c>
      <c r="H52" s="13">
        <f>SUM(Jan!H52, Feb!H52, Mar!H52)</f>
        <v>40256.69</v>
      </c>
      <c r="I52" s="13">
        <f>SUM(Jan!I52, Feb!I52, Mar!I52)</f>
        <v>-7545.1900000000005</v>
      </c>
      <c r="J52" s="14">
        <f t="shared" si="8"/>
        <v>-0.18742698418573411</v>
      </c>
      <c r="K52" s="14">
        <f>IFERROR(AVERAGE(Jan!K52, Feb!K52, Mar!K52),"")</f>
        <v>0.96531706666666661</v>
      </c>
      <c r="L52" s="38"/>
      <c r="M52" s="38"/>
    </row>
    <row r="53" spans="1:15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SUM(Jan!D53, Feb!D53, Mar!D53)</f>
        <v>54298.875</v>
      </c>
      <c r="E53" s="15">
        <f>SUM(Jan!E53, Feb!E53, Mar!E53)</f>
        <v>70533.75</v>
      </c>
      <c r="F53" s="15">
        <f t="shared" si="6"/>
        <v>-16234.875</v>
      </c>
      <c r="G53" s="16">
        <f t="shared" si="7"/>
        <v>-0.23017172630123878</v>
      </c>
      <c r="H53" s="17">
        <f>SUM(Jan!H53, Feb!H53, Mar!H53)</f>
        <v>59427.37</v>
      </c>
      <c r="I53" s="17">
        <f>SUM(Jan!I53, Feb!I53, Mar!I53)</f>
        <v>-5128.4950000000026</v>
      </c>
      <c r="J53" s="16">
        <f t="shared" si="8"/>
        <v>-8.629853550645103E-2</v>
      </c>
      <c r="K53" s="14">
        <f>IFERROR(AVERAGE(Jan!K53, Feb!K53, Mar!K53),"")</f>
        <v>0.98266526666666676</v>
      </c>
      <c r="L53" s="39"/>
      <c r="M53" s="39"/>
    </row>
    <row r="54" spans="1:15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SUM(Jan!D54, Feb!D54, Mar!D54)</f>
        <v>43295.25</v>
      </c>
      <c r="E54" s="11">
        <f>SUM(Jan!E54, Feb!E54, Mar!E54)</f>
        <v>50082.418000000005</v>
      </c>
      <c r="F54" s="11">
        <f t="shared" si="6"/>
        <v>-6787.1680000000051</v>
      </c>
      <c r="G54" s="12">
        <f t="shared" si="7"/>
        <v>-0.1355199742951709</v>
      </c>
      <c r="H54" s="13">
        <f>SUM(Jan!H54, Feb!H54, Mar!H54)</f>
        <v>49341</v>
      </c>
      <c r="I54" s="13">
        <f>SUM(Jan!I54, Feb!I54, Mar!I54)</f>
        <v>-6045.75</v>
      </c>
      <c r="J54" s="14">
        <f t="shared" si="8"/>
        <v>-0.12252994467076063</v>
      </c>
      <c r="K54" s="14">
        <f>IFERROR(AVERAGE(Jan!K54, Feb!K54, Mar!K54),"")</f>
        <v>0.9900616000000001</v>
      </c>
      <c r="L54" s="38"/>
      <c r="M54" s="38"/>
    </row>
    <row r="55" spans="1:15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SUM(Jan!D55, Feb!D55, Mar!D55)</f>
        <v>19268.65625</v>
      </c>
      <c r="E55" s="15">
        <f>SUM(Jan!E55, Feb!E55, Mar!E55)</f>
        <v>23192.663</v>
      </c>
      <c r="F55" s="15">
        <f t="shared" si="6"/>
        <v>-3924.0067500000005</v>
      </c>
      <c r="G55" s="16">
        <f t="shared" si="7"/>
        <v>-0.16919172886701284</v>
      </c>
      <c r="H55" s="17">
        <f>SUM(Jan!H55, Feb!H55, Mar!H55)</f>
        <v>9935.3956999999991</v>
      </c>
      <c r="I55" s="17">
        <f>SUM(Jan!I55, Feb!I55, Mar!I55)</f>
        <v>9333.2605500000009</v>
      </c>
      <c r="J55" s="16">
        <f t="shared" si="8"/>
        <v>0.93939495031888887</v>
      </c>
      <c r="K55" s="14">
        <f>IFERROR(AVERAGE(Jan!K55, Feb!K55, Mar!K55),"")</f>
        <v>0.9824951666666667</v>
      </c>
      <c r="L55" s="39"/>
      <c r="M55" s="40"/>
    </row>
    <row r="56" spans="1:15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SUM(Jan!D56, Feb!D56, Mar!D56)</f>
        <v>72790.125</v>
      </c>
      <c r="E56" s="11">
        <f>SUM(Jan!E56, Feb!E56, Mar!E56)</f>
        <v>97152.989999999991</v>
      </c>
      <c r="F56" s="11">
        <f t="shared" si="6"/>
        <v>-24362.864999999991</v>
      </c>
      <c r="G56" s="12">
        <f t="shared" si="7"/>
        <v>-0.2507680412100543</v>
      </c>
      <c r="H56" s="13">
        <f>SUM(Jan!H56, Feb!H56, Mar!H56)</f>
        <v>80616</v>
      </c>
      <c r="I56" s="13">
        <f>SUM(Jan!I56, Feb!I56, Mar!I56)</f>
        <v>-7825.875</v>
      </c>
      <c r="J56" s="14">
        <f t="shared" si="8"/>
        <v>-9.7075952664483475E-2</v>
      </c>
      <c r="K56" s="14">
        <f>IFERROR(AVERAGE(Jan!K56, Feb!K56, Mar!K56),"")</f>
        <v>0.9970749333333333</v>
      </c>
      <c r="L56" s="38"/>
      <c r="M56" s="38"/>
    </row>
    <row r="57" spans="1:15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SUM(Jan!D57, Feb!D57, Mar!D57)</f>
        <v>80429.75</v>
      </c>
      <c r="E57" s="15">
        <f>SUM(Jan!E57, Feb!E57, Mar!E57)</f>
        <v>98573.890000000014</v>
      </c>
      <c r="F57" s="15">
        <f t="shared" si="6"/>
        <v>-18144.140000000014</v>
      </c>
      <c r="G57" s="16">
        <f t="shared" si="7"/>
        <v>-0.18406638918277457</v>
      </c>
      <c r="H57" s="17">
        <f>SUM(Jan!H57, Feb!H57, Mar!H57)</f>
        <v>88081.47</v>
      </c>
      <c r="I57" s="17">
        <f>SUM(Jan!I57, Feb!I57, Mar!I57)</f>
        <v>-7651.7200000000012</v>
      </c>
      <c r="J57" s="16">
        <f t="shared" si="8"/>
        <v>-8.6870938915983131E-2</v>
      </c>
      <c r="K57" s="14">
        <f>IFERROR(AVERAGE(Jan!K57, Feb!K57, Mar!K57),"")</f>
        <v>0.96990596666666662</v>
      </c>
      <c r="L57" s="39"/>
      <c r="M57" s="40"/>
    </row>
    <row r="58" spans="1:15" ht="15.6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SUM(Jan!D58, Feb!D58, Mar!D58)</f>
        <v>0</v>
      </c>
      <c r="E58" s="11">
        <f>SUM(Jan!E58, Feb!E58, Mar!E58)</f>
        <v>0</v>
      </c>
      <c r="F58" s="11">
        <f t="shared" si="6"/>
        <v>0</v>
      </c>
      <c r="G58" s="12" t="str">
        <f t="shared" si="7"/>
        <v/>
      </c>
      <c r="H58" s="13">
        <f>SUM(Jan!H58, Feb!H58, Mar!H58)</f>
        <v>117825</v>
      </c>
      <c r="I58" s="13">
        <f>SUM(Jan!I58, Feb!I58, Mar!I58)</f>
        <v>0</v>
      </c>
      <c r="J58" s="14">
        <f t="shared" si="8"/>
        <v>0</v>
      </c>
      <c r="K58" s="14">
        <f>IFERROR(AVERAGE(Jan!K58, Feb!K58, Mar!K58),"")</f>
        <v>0</v>
      </c>
      <c r="L58" s="38"/>
      <c r="M58" s="38"/>
    </row>
    <row r="59" spans="1:15" ht="15.6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SUM(Jan!D59, Feb!D59, Mar!D59)</f>
        <v>89719.6640625</v>
      </c>
      <c r="E59" s="15">
        <f>SUM(Jan!E59, Feb!E59, Mar!E59)</f>
        <v>79631.06</v>
      </c>
      <c r="F59" s="15">
        <f t="shared" si="6"/>
        <v>10088.604062500002</v>
      </c>
      <c r="G59" s="16">
        <f t="shared" si="7"/>
        <v>0.12669182179039187</v>
      </c>
      <c r="H59" s="17">
        <f>SUM(Jan!H59, Feb!H59, Mar!H59)</f>
        <v>111126.04999999999</v>
      </c>
      <c r="I59" s="17">
        <f>SUM(Jan!I59, Feb!I59, Mar!I59)</f>
        <v>-21406.385937499999</v>
      </c>
      <c r="J59" s="16">
        <f t="shared" si="8"/>
        <v>-0.19263157412235926</v>
      </c>
      <c r="K59" s="14">
        <f>IFERROR(AVERAGE(Jan!K59, Feb!K59, Mar!K59),"")</f>
        <v>0.98797016666666659</v>
      </c>
      <c r="L59" s="39"/>
      <c r="M59" s="40"/>
    </row>
    <row r="60" spans="1:15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SUM(Jan!D60, Feb!D60, Mar!D60)</f>
        <v>68728.285312500098</v>
      </c>
      <c r="E60" s="11">
        <f>SUM(Jan!E60, Feb!E60, Mar!E60)</f>
        <v>0</v>
      </c>
      <c r="F60" s="11">
        <f t="shared" si="6"/>
        <v>68728.285312500098</v>
      </c>
      <c r="G60" s="12" t="str">
        <f t="shared" si="7"/>
        <v/>
      </c>
      <c r="H60" s="13">
        <f>SUM(Jan!H60, Feb!H60, Mar!H60)</f>
        <v>74937.63</v>
      </c>
      <c r="I60" s="13">
        <f>SUM(Jan!I60, Feb!I60, Mar!I60)</f>
        <v>-6209.3446874999008</v>
      </c>
      <c r="J60" s="14">
        <f t="shared" si="8"/>
        <v>-8.286016901655284E-2</v>
      </c>
      <c r="K60" s="14">
        <f>IFERROR(AVERAGE(Jan!K60, Feb!K60, Mar!K60),"")</f>
        <v>1</v>
      </c>
      <c r="L60" s="38"/>
      <c r="M60" s="38"/>
    </row>
    <row r="61" spans="1:15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SUM(Jan!D61, Feb!D61, Mar!D61)</f>
        <v>103122.625</v>
      </c>
      <c r="E61" s="15">
        <f>SUM(Jan!E61, Feb!E61, Mar!E61)</f>
        <v>126246.48000000001</v>
      </c>
      <c r="F61" s="15">
        <f t="shared" si="6"/>
        <v>-23123.85500000001</v>
      </c>
      <c r="G61" s="16">
        <f t="shared" si="7"/>
        <v>-0.18316435436457323</v>
      </c>
      <c r="H61" s="17">
        <f>SUM(Jan!H61, Feb!H61, Mar!H61)</f>
        <v>121367.7</v>
      </c>
      <c r="I61" s="17">
        <f>SUM(Jan!I61, Feb!I61, Mar!I61)</f>
        <v>-18245.074999999997</v>
      </c>
      <c r="J61" s="16">
        <f t="shared" si="8"/>
        <v>-0.1503289178257477</v>
      </c>
      <c r="K61" s="14">
        <f>IFERROR(AVERAGE(Jan!K61, Feb!K61, Mar!K61),"")</f>
        <v>0.97847733333333331</v>
      </c>
      <c r="L61" s="39"/>
      <c r="M61" s="40"/>
    </row>
    <row r="62" spans="1:15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SUM(Jan!D62, Feb!D62, Mar!D62)</f>
        <v>9674.5999999999894</v>
      </c>
      <c r="E62" s="11">
        <f>SUM(Jan!E62, Feb!E62, Mar!E62)</f>
        <v>0</v>
      </c>
      <c r="F62" s="11">
        <f t="shared" si="6"/>
        <v>9674.5999999999894</v>
      </c>
      <c r="G62" s="12" t="str">
        <f t="shared" si="7"/>
        <v/>
      </c>
      <c r="H62" s="13">
        <f>SUM(Jan!H62, Feb!H62, Mar!H62)</f>
        <v>11837.222000000002</v>
      </c>
      <c r="I62" s="13">
        <f>SUM(Jan!I62, Feb!I62, Mar!I62)</f>
        <v>-2162.6220000000108</v>
      </c>
      <c r="J62" s="14">
        <f t="shared" si="8"/>
        <v>-0.18269675097755289</v>
      </c>
      <c r="K62" s="14">
        <f>IFERROR(AVERAGE(Jan!K62, Feb!K62, Mar!K62),"")</f>
        <v>0.97299900000000006</v>
      </c>
      <c r="L62" s="38"/>
      <c r="M62" s="38"/>
    </row>
    <row r="63" spans="1:15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SUM(Jan!D63, Feb!D63, Mar!D63)</f>
        <v>38634.912499999999</v>
      </c>
      <c r="E63" s="15">
        <f>SUM(Jan!E63, Feb!E63, Mar!E63)</f>
        <v>51601.59</v>
      </c>
      <c r="F63" s="15">
        <f t="shared" si="6"/>
        <v>-12966.677499999998</v>
      </c>
      <c r="G63" s="16">
        <f t="shared" si="7"/>
        <v>-0.25128445654484677</v>
      </c>
      <c r="H63" s="17">
        <f>SUM(Jan!H63, Feb!H63, Mar!H63)</f>
        <v>38352</v>
      </c>
      <c r="I63" s="17">
        <f>SUM(Jan!I63, Feb!I63, Mar!I63)</f>
        <v>282.91250000000036</v>
      </c>
      <c r="J63" s="16">
        <f t="shared" si="8"/>
        <v>7.3767339382561628E-3</v>
      </c>
      <c r="K63" s="14">
        <f>IFERROR(AVERAGE(Jan!K63, Feb!K63, Mar!K63),"")</f>
        <v>0.9278808999999999</v>
      </c>
      <c r="L63" s="39"/>
      <c r="M63" s="40"/>
      <c r="O63" t="s">
        <v>17</v>
      </c>
    </row>
    <row r="64" spans="1:15" ht="15.6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SUM(Jan!D64, Feb!D64, Mar!D64)</f>
        <v>30231.200000000037</v>
      </c>
      <c r="E64" s="11">
        <f>SUM(Jan!E64, Feb!E64, Mar!E64)</f>
        <v>41023.509999999995</v>
      </c>
      <c r="F64" s="11">
        <f t="shared" si="6"/>
        <v>-10792.309999999958</v>
      </c>
      <c r="G64" s="12">
        <f t="shared" si="7"/>
        <v>-0.26307622141547515</v>
      </c>
      <c r="H64" s="13">
        <f>SUM(Jan!H64, Feb!H64, Mar!H64)</f>
        <v>53576.53</v>
      </c>
      <c r="I64" s="13">
        <f>SUM(Jan!I64, Feb!I64, Mar!I64)</f>
        <v>-23345.329999999962</v>
      </c>
      <c r="J64" s="14">
        <f t="shared" si="8"/>
        <v>-0.43573799945610442</v>
      </c>
      <c r="K64" s="14" t="str">
        <f>IFERROR(AVERAGE(Jan!K64, Feb!K64, Mar!K64),"")</f>
        <v/>
      </c>
      <c r="L64" s="38"/>
      <c r="M64" s="38"/>
      <c r="O64">
        <f>IF(COUNTA(Jan!K64, Feb!K64, Mar!K64)," ",SUM(Jan!K64, Feb!K64, Mar!K64))/3</f>
        <v>0</v>
      </c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SUM(Jan!D65, Feb!D65, Mar!D65)</f>
        <v>30633.6484375</v>
      </c>
      <c r="E65" s="15">
        <f>SUM(Jan!E65, Feb!E65, Mar!E65)</f>
        <v>27558.474000000002</v>
      </c>
      <c r="F65" s="15">
        <f t="shared" si="6"/>
        <v>3075.174437499998</v>
      </c>
      <c r="G65" s="16">
        <f t="shared" si="7"/>
        <v>0.11158725397857652</v>
      </c>
      <c r="H65" s="17">
        <f>SUM(Jan!H65, Feb!H65, Mar!H65)</f>
        <v>35328</v>
      </c>
      <c r="I65" s="17">
        <f>SUM(Jan!I65, Feb!I65, Mar!I65)</f>
        <v>-4694.3515624999991</v>
      </c>
      <c r="J65" s="16">
        <f t="shared" si="8"/>
        <v>-0.13287906370301175</v>
      </c>
      <c r="K65" s="14" t="str">
        <f>IFERROR(AVERAGE(Jan!K65, Feb!K65, Mar!K65),"")</f>
        <v/>
      </c>
      <c r="L65" s="39"/>
      <c r="M65" s="39"/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SUM(Jan!D66, Feb!D66, Mar!D66)</f>
        <v>23648.800000000039</v>
      </c>
      <c r="E66" s="11">
        <f>SUM(Jan!E66, Feb!E66, Mar!E66)</f>
        <v>35151.578999999998</v>
      </c>
      <c r="F66" s="11">
        <f t="shared" si="6"/>
        <v>-11502.778999999959</v>
      </c>
      <c r="G66" s="12">
        <f t="shared" si="7"/>
        <v>-0.32723363579200693</v>
      </c>
      <c r="H66" s="13">
        <f>SUM(Jan!H66, Feb!H66, Mar!H66)</f>
        <v>59162.86</v>
      </c>
      <c r="I66" s="13">
        <f>SUM(Jan!I66, Feb!I66, Mar!I66)</f>
        <v>-35514.059999999961</v>
      </c>
      <c r="J66" s="14">
        <f t="shared" si="8"/>
        <v>-0.60027625439338061</v>
      </c>
      <c r="K66" s="14" t="str">
        <f>IFERROR(AVERAGE(Jan!K66, Feb!K66, Mar!K66),"")</f>
        <v/>
      </c>
      <c r="L66" s="38"/>
      <c r="M66" s="38"/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SUM(Jan!D67, Feb!D67, Mar!D67)</f>
        <v>47490.21875</v>
      </c>
      <c r="E67" s="15">
        <f>SUM(Jan!E67, Feb!E67, Mar!E67)</f>
        <v>60381.86</v>
      </c>
      <c r="F67" s="15">
        <f t="shared" si="6"/>
        <v>-12891.641250000001</v>
      </c>
      <c r="G67" s="16">
        <f t="shared" si="7"/>
        <v>-0.21350189030281611</v>
      </c>
      <c r="H67" s="17">
        <f>SUM(Jan!H67, Feb!H67, Mar!H67)</f>
        <v>43137.520000000004</v>
      </c>
      <c r="I67" s="17">
        <f>SUM(Jan!I67, Feb!I67, Mar!I67)</f>
        <v>4352.6987499999996</v>
      </c>
      <c r="J67" s="16">
        <f t="shared" si="8"/>
        <v>0.10090285092884337</v>
      </c>
      <c r="K67" s="14" t="str">
        <f>IFERROR(AVERAGE(Jan!K67, Feb!K67, Mar!K67),"")</f>
        <v/>
      </c>
      <c r="L67" s="39"/>
      <c r="M67" s="40"/>
    </row>
    <row r="68" spans="1:13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SUM(Jan!D68, Feb!D68, Mar!D68)</f>
        <v>44627.34375</v>
      </c>
      <c r="E68" s="11">
        <f>SUM(Jan!E68, Feb!E68, Mar!E68)</f>
        <v>0</v>
      </c>
      <c r="F68" s="11">
        <f t="shared" si="6"/>
        <v>44627.34375</v>
      </c>
      <c r="G68" s="12" t="str">
        <f t="shared" si="7"/>
        <v/>
      </c>
      <c r="H68" s="13">
        <f>SUM(Jan!H68, Feb!H68, Mar!H68)</f>
        <v>0</v>
      </c>
      <c r="I68" s="13">
        <f>SUM(Jan!I68, Feb!I68, Mar!I68)</f>
        <v>44627.34375</v>
      </c>
      <c r="J68" s="14" t="str">
        <f t="shared" si="8"/>
        <v/>
      </c>
      <c r="K68" s="14" t="str">
        <f>IFERROR(AVERAGE(Jan!K68, Feb!K68, Mar!K68),"")</f>
        <v/>
      </c>
      <c r="L68" s="38"/>
      <c r="M68" s="38"/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SUM(Jan!D69, Feb!D69, Mar!D69)</f>
        <v>35026.578125</v>
      </c>
      <c r="E69" s="15">
        <f>SUM(Jan!E69, Feb!E69, Mar!E69)</f>
        <v>0</v>
      </c>
      <c r="F69" s="15">
        <f t="shared" si="6"/>
        <v>35026.578125</v>
      </c>
      <c r="G69" s="16" t="str">
        <f t="shared" si="7"/>
        <v/>
      </c>
      <c r="H69" s="17">
        <f>SUM(Jan!H69, Feb!H69, Mar!H69)</f>
        <v>0</v>
      </c>
      <c r="I69" s="17">
        <f>SUM(Jan!I69, Feb!I69, Mar!I69)</f>
        <v>35026.578125</v>
      </c>
      <c r="J69" s="16" t="str">
        <f t="shared" si="8"/>
        <v/>
      </c>
      <c r="K69" s="14" t="str">
        <f>IFERROR(AVERAGE(Jan!K69, Feb!K69, Mar!K69),"")</f>
        <v/>
      </c>
      <c r="L69" s="39"/>
      <c r="M69" s="40"/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SUM(Jan!D70, Feb!D70, Mar!D70)</f>
        <v>57659.299818625273</v>
      </c>
      <c r="E70" s="11">
        <f>SUM(Jan!E70, Feb!E70, Mar!E70)</f>
        <v>67980.320000000007</v>
      </c>
      <c r="F70" s="11">
        <f t="shared" si="6"/>
        <v>-10321.020181374734</v>
      </c>
      <c r="G70" s="12">
        <f t="shared" si="7"/>
        <v>-0.15182364809954899</v>
      </c>
      <c r="H70" s="13">
        <f>SUM(Jan!H70, Feb!H70, Mar!H70)</f>
        <v>60317</v>
      </c>
      <c r="I70" s="13">
        <f>SUM(Jan!I70, Feb!I70, Mar!I70)</f>
        <v>-2657.7001813747283</v>
      </c>
      <c r="J70" s="14">
        <f t="shared" si="8"/>
        <v>-4.4062207692271309E-2</v>
      </c>
      <c r="K70" s="14">
        <f>IFERROR(AVERAGE(Jan!K70, Feb!K70, Mar!K70),"")</f>
        <v>0.99797803333333324</v>
      </c>
      <c r="L70" s="38"/>
      <c r="M70" s="38"/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SUM(Jan!D71, Feb!D71, Mar!D71)</f>
        <v>31019.894775390618</v>
      </c>
      <c r="E71" s="15">
        <f>SUM(Jan!E71, Feb!E71, Mar!E71)</f>
        <v>30916.938999999998</v>
      </c>
      <c r="F71" s="15">
        <f t="shared" si="6"/>
        <v>102.95577539061924</v>
      </c>
      <c r="G71" s="16">
        <f t="shared" si="7"/>
        <v>3.330076609156529E-3</v>
      </c>
      <c r="H71" s="17">
        <f>SUM(Jan!H71, Feb!H71, Mar!H71)</f>
        <v>36808.678</v>
      </c>
      <c r="I71" s="17">
        <f>SUM(Jan!I71, Feb!I71, Mar!I71)</f>
        <v>-5788.7832246093803</v>
      </c>
      <c r="J71" s="16">
        <f t="shared" si="8"/>
        <v>-0.15726680606701987</v>
      </c>
      <c r="K71" s="14">
        <f>IFERROR(AVERAGE(Jan!K71, Feb!K71, Mar!K71),"")</f>
        <v>0</v>
      </c>
      <c r="L71" s="39"/>
      <c r="M71" s="40"/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SUM(Jan!D72, Feb!D72, Mar!D72)</f>
        <v>34205.999999999971</v>
      </c>
      <c r="E72" s="11">
        <f>SUM(Jan!E72, Feb!E72, Mar!E72)</f>
        <v>40811.385999999999</v>
      </c>
      <c r="F72" s="11">
        <f t="shared" si="6"/>
        <v>-6605.3860000000277</v>
      </c>
      <c r="G72" s="12">
        <f t="shared" si="7"/>
        <v>-0.16185154799692489</v>
      </c>
      <c r="H72" s="13">
        <f>SUM(Jan!H72, Feb!H72, Mar!H72)</f>
        <v>0</v>
      </c>
      <c r="I72" s="13">
        <f>SUM(Jan!I72, Feb!I72, Mar!I72)</f>
        <v>34205.999999999971</v>
      </c>
      <c r="J72" s="14" t="str">
        <f t="shared" si="8"/>
        <v/>
      </c>
      <c r="K72" s="14" t="str">
        <f>IFERROR(AVERAGE(Jan!K72, Feb!K72, Mar!K72),"")</f>
        <v/>
      </c>
      <c r="L72" s="38"/>
      <c r="M72" s="38"/>
    </row>
    <row r="73" spans="1:13" ht="15.6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SUM(Jan!D73, Feb!D73, Mar!D73)</f>
        <v>1633280</v>
      </c>
      <c r="E73" s="15">
        <f>SUM(Jan!E73, Feb!E73, Mar!E73)</f>
        <v>1972653.5</v>
      </c>
      <c r="F73" s="15">
        <f t="shared" si="6"/>
        <v>-339373.5</v>
      </c>
      <c r="G73" s="16">
        <f t="shared" si="7"/>
        <v>-0.17203908339705884</v>
      </c>
      <c r="H73" s="17">
        <f>SUM(Jan!H73, Feb!H73, Mar!H73)</f>
        <v>2001538.9</v>
      </c>
      <c r="I73" s="17">
        <f>SUM(Jan!I73, Feb!I73, Mar!I73)</f>
        <v>-368258.9</v>
      </c>
      <c r="J73" s="16">
        <f t="shared" si="8"/>
        <v>-0.1839878805253298</v>
      </c>
      <c r="K73" s="14">
        <f>IFERROR(AVERAGE(Jan!K73, Feb!K73, Mar!K73),"")</f>
        <v>0.95532626666666653</v>
      </c>
      <c r="L73" s="39"/>
      <c r="M73" s="40"/>
    </row>
    <row r="74" spans="1:13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SUM(Jan!D74, Feb!D74, Mar!D74)</f>
        <v>1735581.885</v>
      </c>
      <c r="E74" s="11">
        <f>SUM(Jan!E74, Feb!E74, Mar!E74)</f>
        <v>2080164.3</v>
      </c>
      <c r="F74" s="11">
        <f t="shared" si="6"/>
        <v>-344582.41500000004</v>
      </c>
      <c r="G74" s="12">
        <f t="shared" si="7"/>
        <v>-0.16565153771747743</v>
      </c>
      <c r="H74" s="13">
        <f>SUM(Jan!H74, Feb!H74, Mar!H74)</f>
        <v>1899129.7000000002</v>
      </c>
      <c r="I74" s="13">
        <f>SUM(Jan!I74, Feb!I74, Mar!I74)</f>
        <v>-163547.815</v>
      </c>
      <c r="J74" s="14">
        <f t="shared" si="8"/>
        <v>-8.6117243598475654E-2</v>
      </c>
      <c r="K74" s="14">
        <f>IFERROR(AVERAGE(Jan!K74, Feb!K74, Mar!K74),"")</f>
        <v>0.98567736666666672</v>
      </c>
      <c r="L74" s="38"/>
      <c r="M74" s="38"/>
    </row>
    <row r="75" spans="1:13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SUM(Jan!D75, Feb!D75, Mar!D75)</f>
        <v>526966</v>
      </c>
      <c r="E75" s="15">
        <f>SUM(Jan!E75, Feb!E75, Mar!E75)</f>
        <v>584293.79</v>
      </c>
      <c r="F75" s="15">
        <f t="shared" si="6"/>
        <v>-57327.790000000037</v>
      </c>
      <c r="G75" s="16">
        <f t="shared" si="7"/>
        <v>-9.8114665911475857E-2</v>
      </c>
      <c r="H75" s="17">
        <f>SUM(Jan!H75, Feb!H75, Mar!H75)</f>
        <v>681203.90999999992</v>
      </c>
      <c r="I75" s="17">
        <f>SUM(Jan!I75, Feb!I75, Mar!I75)</f>
        <v>-154237.91</v>
      </c>
      <c r="J75" s="16">
        <f t="shared" si="8"/>
        <v>-0.22641958998737988</v>
      </c>
      <c r="K75" s="14">
        <f>IFERROR(AVERAGE(Jan!K75, Feb!K75, Mar!K75),"")</f>
        <v>0.94646666666666668</v>
      </c>
      <c r="L75" s="39"/>
      <c r="M75" s="40"/>
    </row>
    <row r="76" spans="1:13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SUM(Jan!D76, Feb!D76, Mar!D76)</f>
        <v>610490</v>
      </c>
      <c r="E76" s="11">
        <f>SUM(Jan!E76, Feb!E76, Mar!E76)</f>
        <v>575148.26</v>
      </c>
      <c r="F76" s="11">
        <f t="shared" si="6"/>
        <v>35341.739999999991</v>
      </c>
      <c r="G76" s="12">
        <f t="shared" si="7"/>
        <v>6.144805167279823E-2</v>
      </c>
      <c r="H76" s="13">
        <f>SUM(Jan!H76, Feb!H76, Mar!H76)</f>
        <v>663561.21</v>
      </c>
      <c r="I76" s="13">
        <f>SUM(Jan!I76, Feb!I76, Mar!I76)</f>
        <v>-53071.210000000021</v>
      </c>
      <c r="J76" s="14">
        <f t="shared" si="8"/>
        <v>-7.9979373718967128E-2</v>
      </c>
      <c r="K76" s="14">
        <f>IFERROR(AVERAGE(Jan!K76, Feb!K76, Mar!K76),"")</f>
        <v>0.96749999999999992</v>
      </c>
      <c r="L76" s="38"/>
      <c r="M76" s="38"/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SUM(Jan!D77, Feb!D77, Mar!D77)</f>
        <v>507093</v>
      </c>
      <c r="E77" s="15">
        <f>SUM(Jan!E77, Feb!E77, Mar!E77)</f>
        <v>499911.67</v>
      </c>
      <c r="F77" s="15">
        <f t="shared" si="6"/>
        <v>7181.3300000000163</v>
      </c>
      <c r="G77" s="16">
        <f t="shared" si="7"/>
        <v>1.436519775583558E-2</v>
      </c>
      <c r="H77" s="17">
        <f>SUM(Jan!H77, Feb!H77, Mar!H77)</f>
        <v>602940.44999999995</v>
      </c>
      <c r="I77" s="17">
        <f>SUM(Jan!I77, Feb!I77, Mar!I77)</f>
        <v>-95847.449999999983</v>
      </c>
      <c r="J77" s="16">
        <f t="shared" si="8"/>
        <v>-0.15896669397450444</v>
      </c>
      <c r="K77" s="14">
        <f>IFERROR(AVERAGE(Jan!K77, Feb!K77, Mar!K77),"")</f>
        <v>0.99450000000000005</v>
      </c>
      <c r="L77" s="39"/>
      <c r="M77" s="39"/>
    </row>
    <row r="78" spans="1:13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SUM(Jan!D78, Feb!D78, Mar!D78)</f>
        <v>642715</v>
      </c>
      <c r="E78" s="11">
        <f>SUM(Jan!E78, Feb!E78, Mar!E78)</f>
        <v>597034.67000000004</v>
      </c>
      <c r="F78" s="11">
        <f t="shared" si="6"/>
        <v>45680.329999999958</v>
      </c>
      <c r="G78" s="12">
        <f t="shared" si="7"/>
        <v>7.6512022325269574E-2</v>
      </c>
      <c r="H78" s="13">
        <f>SUM(Jan!H78, Feb!H78, Mar!H78)</f>
        <v>703915.6</v>
      </c>
      <c r="I78" s="13">
        <f>SUM(Jan!I78, Feb!I78, Mar!I78)</f>
        <v>-61200.600000000006</v>
      </c>
      <c r="J78" s="14">
        <f t="shared" si="8"/>
        <v>-8.6943093745897954E-2</v>
      </c>
      <c r="K78" s="14">
        <f>IFERROR(AVERAGE(Jan!K78, Feb!K78, Mar!K78),"")</f>
        <v>0.9574666666666668</v>
      </c>
      <c r="L78" s="38"/>
      <c r="M78" s="38"/>
    </row>
    <row r="79" spans="1:13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SUM(Jan!D79, Feb!D79, Mar!D79)</f>
        <v>551570</v>
      </c>
      <c r="E79" s="15">
        <f>SUM(Jan!E79, Feb!E79, Mar!E79)</f>
        <v>563219.43999999994</v>
      </c>
      <c r="F79" s="15">
        <f t="shared" si="6"/>
        <v>-11649.439999999944</v>
      </c>
      <c r="G79" s="16">
        <f t="shared" si="7"/>
        <v>-2.0683661061130891E-2</v>
      </c>
      <c r="H79" s="17">
        <f>SUM(Jan!H79, Feb!H79, Mar!H79)</f>
        <v>553295.11999999988</v>
      </c>
      <c r="I79" s="17">
        <f>SUM(Jan!I79, Feb!I79, Mar!I79)</f>
        <v>-1725.1199999999662</v>
      </c>
      <c r="J79" s="16">
        <f t="shared" si="8"/>
        <v>-3.1179020700561511E-3</v>
      </c>
      <c r="K79" s="14">
        <f>IFERROR(AVERAGE(Jan!K79, Feb!K79, Mar!K79),"")</f>
        <v>0.99149999999999994</v>
      </c>
      <c r="L79" s="39"/>
      <c r="M79" s="40"/>
    </row>
    <row r="80" spans="1:13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SUM(Jan!D80, Feb!D80, Mar!D80)</f>
        <v>487440</v>
      </c>
      <c r="E80" s="11">
        <f>SUM(Jan!E80, Feb!E80, Mar!E80)</f>
        <v>261798.13</v>
      </c>
      <c r="F80" s="11">
        <f t="shared" si="6"/>
        <v>225641.87</v>
      </c>
      <c r="G80" s="12">
        <f t="shared" si="7"/>
        <v>0.86189259640624627</v>
      </c>
      <c r="H80" s="13">
        <f>SUM(Jan!H80, Feb!H80, Mar!H80)</f>
        <v>502759.05000000005</v>
      </c>
      <c r="I80" s="13">
        <f>SUM(Jan!I80, Feb!I80, Mar!I80)</f>
        <v>-15319.049999999988</v>
      </c>
      <c r="J80" s="14">
        <f t="shared" si="8"/>
        <v>-3.0469963693343732E-2</v>
      </c>
      <c r="K80" s="14" t="str">
        <f>IFERROR(AVERAGE(Jan!K80, Feb!K80, Mar!K80),"")</f>
        <v/>
      </c>
      <c r="L80" s="38"/>
      <c r="M80" s="38"/>
    </row>
    <row r="81" spans="1:13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SUM(Jan!D81, Feb!D81, Mar!D81)</f>
        <v>510400</v>
      </c>
      <c r="E81" s="15">
        <f>SUM(Jan!E81, Feb!E81, Mar!E81)</f>
        <v>611163.64</v>
      </c>
      <c r="F81" s="15">
        <f t="shared" si="6"/>
        <v>-100763.64000000001</v>
      </c>
      <c r="G81" s="16">
        <f t="shared" si="7"/>
        <v>-0.16487178458456725</v>
      </c>
      <c r="H81" s="17">
        <f>SUM(Jan!H81, Feb!H81, Mar!H81)</f>
        <v>487501.11</v>
      </c>
      <c r="I81" s="17">
        <f>SUM(Jan!I81, Feb!I81, Mar!I81)</f>
        <v>22898.889999999985</v>
      </c>
      <c r="J81" s="16">
        <f t="shared" si="8"/>
        <v>4.6971975099707949E-2</v>
      </c>
      <c r="K81" s="14" t="str">
        <f>IFERROR(AVERAGE(Jan!K81, Feb!K81, Mar!K81),"")</f>
        <v/>
      </c>
      <c r="L81" s="39"/>
      <c r="M81" s="40"/>
    </row>
    <row r="82" spans="1:13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SUM(Jan!D82, Feb!D82, Mar!D82)</f>
        <v>540070</v>
      </c>
      <c r="E82" s="11">
        <f>SUM(Jan!E82, Feb!E82, Mar!E82)</f>
        <v>662416.75</v>
      </c>
      <c r="F82" s="11">
        <f t="shared" ref="F82:F145" si="9">IF(AND(ISNUMBER(D82),ISNUMBER(E82)), D82-E82, "")</f>
        <v>-122346.75</v>
      </c>
      <c r="G82" s="12">
        <f t="shared" ref="G82:G145" si="10">IFERROR(F82/E82, "")</f>
        <v>-0.18469754878631919</v>
      </c>
      <c r="H82" s="13">
        <f>SUM(Jan!H82, Feb!H82, Mar!H82)</f>
        <v>538915.94999999995</v>
      </c>
      <c r="I82" s="13">
        <f>SUM(Jan!I82, Feb!I82, Mar!I82)</f>
        <v>1154.0500000000029</v>
      </c>
      <c r="J82" s="14">
        <f t="shared" ref="J82:J145" si="11">IFERROR(I82/H82, "")</f>
        <v>2.1414285474386182E-3</v>
      </c>
      <c r="K82" s="14" t="str">
        <f>IFERROR(AVERAGE(Jan!K82, Feb!K82, Mar!K82),"")</f>
        <v/>
      </c>
      <c r="L82" s="38"/>
      <c r="M82" s="38"/>
    </row>
    <row r="83" spans="1:13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SUM(Jan!D83, Feb!D83, Mar!D83)</f>
        <v>515380</v>
      </c>
      <c r="E83" s="15">
        <f>SUM(Jan!E83, Feb!E83, Mar!E83)</f>
        <v>672395.84</v>
      </c>
      <c r="F83" s="15">
        <f t="shared" si="9"/>
        <v>-157015.83999999997</v>
      </c>
      <c r="G83" s="16">
        <f t="shared" si="10"/>
        <v>-0.23351697119363496</v>
      </c>
      <c r="H83" s="17">
        <f>SUM(Jan!H83, Feb!H83, Mar!H83)</f>
        <v>656728.39</v>
      </c>
      <c r="I83" s="17">
        <f>SUM(Jan!I83, Feb!I83, Mar!I83)</f>
        <v>-141348.39000000001</v>
      </c>
      <c r="J83" s="16">
        <f t="shared" si="11"/>
        <v>-0.21523112469677153</v>
      </c>
      <c r="K83" s="14" t="str">
        <f>IFERROR(AVERAGE(Jan!K83, Feb!K83, Mar!K83),"")</f>
        <v/>
      </c>
      <c r="L83" s="39"/>
      <c r="M83" s="40"/>
    </row>
    <row r="84" spans="1:13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SUM(Jan!D84, Feb!D84, Mar!D84)</f>
        <v>662420</v>
      </c>
      <c r="E84" s="11">
        <f>SUM(Jan!E84, Feb!E84, Mar!E84)</f>
        <v>0</v>
      </c>
      <c r="F84" s="11">
        <f t="shared" si="9"/>
        <v>662420</v>
      </c>
      <c r="G84" s="12" t="str">
        <f t="shared" si="10"/>
        <v/>
      </c>
      <c r="H84" s="13">
        <f>SUM(Jan!H84, Feb!H84, Mar!H84)</f>
        <v>658801.46</v>
      </c>
      <c r="I84" s="13">
        <f>SUM(Jan!I84, Feb!I84, Mar!I84)</f>
        <v>3618.5400000000081</v>
      </c>
      <c r="J84" s="14">
        <f t="shared" si="11"/>
        <v>5.49261077836714E-3</v>
      </c>
      <c r="K84" s="14" t="str">
        <f>IFERROR(AVERAGE(Jan!K84, Feb!K84, Mar!K84),"")</f>
        <v/>
      </c>
      <c r="L84" s="38"/>
      <c r="M84" s="38"/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SUM(Jan!D85, Feb!D85, Mar!D85)</f>
        <v>473991</v>
      </c>
      <c r="E85" s="15">
        <f>SUM(Jan!E85, Feb!E85, Mar!E85)</f>
        <v>0</v>
      </c>
      <c r="F85" s="15">
        <f t="shared" si="9"/>
        <v>473991</v>
      </c>
      <c r="G85" s="16" t="str">
        <f t="shared" si="10"/>
        <v/>
      </c>
      <c r="H85" s="17">
        <f>SUM(Jan!H85, Feb!H85, Mar!H85)</f>
        <v>316787</v>
      </c>
      <c r="I85" s="17">
        <f>SUM(Jan!I85, Feb!I85, Mar!I85)</f>
        <v>157204</v>
      </c>
      <c r="J85" s="16">
        <f t="shared" si="11"/>
        <v>0.49624511106832037</v>
      </c>
      <c r="K85" s="14" t="str">
        <f>IFERROR(AVERAGE(Jan!K85, Feb!K85, Mar!K85),"")</f>
        <v/>
      </c>
      <c r="L85" s="39"/>
      <c r="M85" s="40"/>
    </row>
    <row r="86" spans="1:13" ht="15.6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SUM(Jan!D86, Feb!D86, Mar!D86)</f>
        <v>1516743</v>
      </c>
      <c r="E86" s="11">
        <f>SUM(Jan!E86, Feb!E86, Mar!E86)</f>
        <v>0</v>
      </c>
      <c r="F86" s="11">
        <f t="shared" si="9"/>
        <v>1516743</v>
      </c>
      <c r="G86" s="12" t="str">
        <f t="shared" si="10"/>
        <v/>
      </c>
      <c r="H86" s="13">
        <f>SUM(Jan!H86, Feb!H86, Mar!H86)</f>
        <v>1654464.22</v>
      </c>
      <c r="I86" s="13">
        <f>SUM(Jan!I86, Feb!I86, Mar!I86)</f>
        <v>-137721.21999999997</v>
      </c>
      <c r="J86" s="14">
        <f t="shared" si="11"/>
        <v>-8.3242187008432236E-2</v>
      </c>
      <c r="K86" s="14">
        <f>IFERROR(AVERAGE(Jan!K86, Feb!K86, Mar!K86),"")</f>
        <v>0.99343333333333339</v>
      </c>
      <c r="L86" s="38"/>
      <c r="M86" s="38"/>
    </row>
    <row r="87" spans="1:13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SUM(Jan!D87, Feb!D87, Mar!D87)</f>
        <v>1546079</v>
      </c>
      <c r="E87" s="15">
        <f>SUM(Jan!E87, Feb!E87, Mar!E87)</f>
        <v>0</v>
      </c>
      <c r="F87" s="15">
        <f t="shared" si="9"/>
        <v>1546079</v>
      </c>
      <c r="G87" s="16" t="str">
        <f t="shared" si="10"/>
        <v/>
      </c>
      <c r="H87" s="17">
        <f>SUM(Jan!H87, Feb!H87, Mar!H87)</f>
        <v>1848477.8599999999</v>
      </c>
      <c r="I87" s="17">
        <f>SUM(Jan!I87, Feb!I87, Mar!I87)</f>
        <v>-302398.86000000004</v>
      </c>
      <c r="J87" s="16">
        <f t="shared" si="11"/>
        <v>-0.16359344439213358</v>
      </c>
      <c r="K87" s="14">
        <f>IFERROR(AVERAGE(Jan!K87, Feb!K87, Mar!K87),"")</f>
        <v>0.98666666666666669</v>
      </c>
      <c r="L87" s="39"/>
      <c r="M87" s="40"/>
    </row>
    <row r="88" spans="1:13" ht="15.6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SUM(Jan!D88, Feb!D88, Mar!D88)</f>
        <v>628993</v>
      </c>
      <c r="E88" s="11">
        <f>SUM(Jan!E88, Feb!E88, Mar!E88)</f>
        <v>0</v>
      </c>
      <c r="F88" s="11">
        <f t="shared" si="9"/>
        <v>628993</v>
      </c>
      <c r="G88" s="12" t="str">
        <f t="shared" si="10"/>
        <v/>
      </c>
      <c r="H88" s="13">
        <f>SUM(Jan!H88, Feb!H88, Mar!H88)</f>
        <v>743688.12000000011</v>
      </c>
      <c r="I88" s="13">
        <f>SUM(Jan!I88, Feb!I88, Mar!I88)</f>
        <v>-114695.12000000002</v>
      </c>
      <c r="J88" s="14">
        <f t="shared" si="11"/>
        <v>-0.15422475755024836</v>
      </c>
      <c r="K88" s="14">
        <f>IFERROR(AVERAGE(Jan!K88, Feb!K88, Mar!K88),"")</f>
        <v>0.99949999999999994</v>
      </c>
      <c r="L88" s="38"/>
      <c r="M88" s="38"/>
    </row>
    <row r="89" spans="1:13" ht="15.6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SUM(Jan!D89, Feb!D89, Mar!D89)</f>
        <v>1210951</v>
      </c>
      <c r="E89" s="15">
        <f>SUM(Jan!E89, Feb!E89, Mar!E89)</f>
        <v>0</v>
      </c>
      <c r="F89" s="15">
        <f t="shared" si="9"/>
        <v>1210951</v>
      </c>
      <c r="G89" s="16" t="str">
        <f t="shared" si="10"/>
        <v/>
      </c>
      <c r="H89" s="17">
        <f>SUM(Jan!H89, Feb!H89, Mar!H89)</f>
        <v>680573</v>
      </c>
      <c r="I89" s="17">
        <f>SUM(Jan!I89, Feb!I89, Mar!I89)</f>
        <v>530378</v>
      </c>
      <c r="J89" s="16">
        <f t="shared" si="11"/>
        <v>0.77931096296796964</v>
      </c>
      <c r="K89" s="14">
        <f>IFERROR(AVERAGE(Jan!K89, Feb!K89, Mar!K89),"")</f>
        <v>0.99913333333333332</v>
      </c>
      <c r="L89" s="39"/>
      <c r="M89" s="39"/>
    </row>
    <row r="90" spans="1:13" ht="15.6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SUM(Jan!D90, Feb!D90, Mar!D90)</f>
        <v>1485125</v>
      </c>
      <c r="E90" s="11">
        <f>SUM(Jan!E90, Feb!E90, Mar!E90)</f>
        <v>0</v>
      </c>
      <c r="F90" s="11">
        <f t="shared" si="9"/>
        <v>1485125</v>
      </c>
      <c r="G90" s="12" t="str">
        <f t="shared" si="10"/>
        <v/>
      </c>
      <c r="H90" s="13">
        <f>SUM(Jan!H90, Feb!H90, Mar!H90)</f>
        <v>1087372</v>
      </c>
      <c r="I90" s="13">
        <f>SUM(Jan!I90, Feb!I90, Mar!I90)</f>
        <v>397753</v>
      </c>
      <c r="J90" s="14">
        <f t="shared" si="11"/>
        <v>0.36579293930687934</v>
      </c>
      <c r="K90" s="14">
        <f>IFERROR(AVERAGE(Jan!K90, Feb!K90, Mar!K90),"")</f>
        <v>0.9975666666666666</v>
      </c>
      <c r="L90" s="38"/>
      <c r="M90" s="38"/>
    </row>
    <row r="91" spans="1:13" ht="15.6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SUM(Jan!D91, Feb!D91, Mar!D91)</f>
        <v>1247674.928580411</v>
      </c>
      <c r="E91" s="15">
        <f>SUM(Jan!E91, Feb!E91, Mar!E91)</f>
        <v>1326149.3</v>
      </c>
      <c r="F91" s="15">
        <f t="shared" si="9"/>
        <v>-78474.371419589035</v>
      </c>
      <c r="G91" s="16">
        <f t="shared" si="10"/>
        <v>-5.9174612858136737E-2</v>
      </c>
      <c r="H91" s="17">
        <f>SUM(Jan!H91, Feb!H91, Mar!H91)</f>
        <v>1353538</v>
      </c>
      <c r="I91" s="17">
        <f>SUM(Jan!I91, Feb!I91, Mar!I91)</f>
        <v>-105863.07141958899</v>
      </c>
      <c r="J91" s="16">
        <f t="shared" si="11"/>
        <v>-7.8212116260931719E-2</v>
      </c>
      <c r="K91" s="14">
        <f>IFERROR(AVERAGE(Jan!K91, Feb!K91, Mar!K91),"")</f>
        <v>0.98310293333333332</v>
      </c>
      <c r="L91" s="39"/>
      <c r="M91" s="40"/>
    </row>
    <row r="92" spans="1:13" ht="15.6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SUM(Jan!D92, Feb!D92, Mar!D92)</f>
        <v>602093</v>
      </c>
      <c r="E92" s="11">
        <f>SUM(Jan!E92, Feb!E92, Mar!E92)</f>
        <v>0</v>
      </c>
      <c r="F92" s="11">
        <f t="shared" si="9"/>
        <v>602093</v>
      </c>
      <c r="G92" s="12" t="str">
        <f t="shared" si="10"/>
        <v/>
      </c>
      <c r="H92" s="13">
        <f>SUM(Jan!H92, Feb!H92, Mar!H92)</f>
        <v>722855.78</v>
      </c>
      <c r="I92" s="13">
        <f>SUM(Jan!I92, Feb!I92, Mar!I92)</f>
        <v>-120762.77999999997</v>
      </c>
      <c r="J92" s="14">
        <f t="shared" si="11"/>
        <v>-0.16706344936468512</v>
      </c>
      <c r="K92" s="14">
        <f>IFERROR(AVERAGE(Jan!K92, Feb!K92, Mar!K92),"")</f>
        <v>0.99383333333333346</v>
      </c>
      <c r="L92" s="38"/>
      <c r="M92" s="38"/>
    </row>
    <row r="93" spans="1:13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SUM(Jan!D93, Feb!D93, Mar!D93)</f>
        <v>1377802</v>
      </c>
      <c r="E93" s="15">
        <f>SUM(Jan!E93, Feb!E93, Mar!E93)</f>
        <v>0</v>
      </c>
      <c r="F93" s="15">
        <f t="shared" si="9"/>
        <v>1377802</v>
      </c>
      <c r="G93" s="16" t="str">
        <f t="shared" si="10"/>
        <v/>
      </c>
      <c r="H93" s="17">
        <f>SUM(Jan!H93, Feb!H93, Mar!H93)</f>
        <v>950364.16999999993</v>
      </c>
      <c r="I93" s="17">
        <f>SUM(Jan!I93, Feb!I93, Mar!I93)</f>
        <v>427437.83</v>
      </c>
      <c r="J93" s="16">
        <f t="shared" si="11"/>
        <v>0.44976214749341831</v>
      </c>
      <c r="K93" s="14" t="str">
        <f>IFERROR(AVERAGE(Jan!K93, Feb!K93, Mar!K93),"")</f>
        <v/>
      </c>
      <c r="L93" s="39"/>
      <c r="M93" s="40"/>
    </row>
    <row r="94" spans="1:13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SUM(Jan!D94, Feb!D94, Mar!D94)</f>
        <v>1534328</v>
      </c>
      <c r="E94" s="11">
        <f>SUM(Jan!E94, Feb!E94, Mar!E94)</f>
        <v>0</v>
      </c>
      <c r="F94" s="11">
        <f t="shared" si="9"/>
        <v>1534328</v>
      </c>
      <c r="G94" s="12" t="str">
        <f t="shared" si="10"/>
        <v/>
      </c>
      <c r="H94" s="13">
        <f>SUM(Jan!H94, Feb!H94, Mar!H94)</f>
        <v>1020343</v>
      </c>
      <c r="I94" s="13">
        <f>SUM(Jan!I94, Feb!I94, Mar!I94)</f>
        <v>513985</v>
      </c>
      <c r="J94" s="14">
        <f t="shared" si="11"/>
        <v>0.50373746867474956</v>
      </c>
      <c r="K94" s="14" t="str">
        <f>IFERROR(AVERAGE(Jan!K94, Feb!K94, Mar!K94),"")</f>
        <v/>
      </c>
      <c r="L94" s="38"/>
      <c r="M94" s="38"/>
    </row>
    <row r="95" spans="1:13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SUM(Jan!D95, Feb!D95, Mar!D95)</f>
        <v>1501233</v>
      </c>
      <c r="E95" s="15">
        <f>SUM(Jan!E95, Feb!E95, Mar!E95)</f>
        <v>0</v>
      </c>
      <c r="F95" s="15">
        <f t="shared" si="9"/>
        <v>1501233</v>
      </c>
      <c r="G95" s="16" t="str">
        <f t="shared" si="10"/>
        <v/>
      </c>
      <c r="H95" s="17">
        <f>SUM(Jan!H95, Feb!H95, Mar!H95)</f>
        <v>876014.45</v>
      </c>
      <c r="I95" s="17">
        <f>SUM(Jan!I95, Feb!I95, Mar!I95)</f>
        <v>625218.55000000005</v>
      </c>
      <c r="J95" s="16">
        <f t="shared" si="11"/>
        <v>0.71370803301246921</v>
      </c>
      <c r="K95" s="14" t="str">
        <f>IFERROR(AVERAGE(Jan!K95, Feb!K95, Mar!K95),"")</f>
        <v/>
      </c>
      <c r="L95" s="39"/>
      <c r="M95" s="40"/>
    </row>
    <row r="96" spans="1:13" ht="15.6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SUM(Jan!D96, Feb!D96, Mar!D96)</f>
        <v>1341726</v>
      </c>
      <c r="E96" s="11">
        <f>SUM(Jan!E96, Feb!E96, Mar!E96)</f>
        <v>0</v>
      </c>
      <c r="F96" s="11">
        <f t="shared" si="9"/>
        <v>1341726</v>
      </c>
      <c r="G96" s="12" t="str">
        <f t="shared" si="10"/>
        <v/>
      </c>
      <c r="H96" s="13">
        <f>SUM(Jan!H96, Feb!H96, Mar!H96)</f>
        <v>1194494.27</v>
      </c>
      <c r="I96" s="13">
        <f>SUM(Jan!I96, Feb!I96, Mar!I96)</f>
        <v>147231.72999999998</v>
      </c>
      <c r="J96" s="14">
        <f t="shared" si="11"/>
        <v>0.12325863229130432</v>
      </c>
      <c r="K96" s="14" t="str">
        <f>IFERROR(AVERAGE(Jan!K96, Feb!K96, Mar!K96),"")</f>
        <v/>
      </c>
      <c r="L96" s="38"/>
      <c r="M96" s="38"/>
    </row>
    <row r="97" spans="1:13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SUM(Jan!D97, Feb!D97, Mar!D97)</f>
        <v>1444162</v>
      </c>
      <c r="E97" s="15">
        <f>SUM(Jan!E97, Feb!E97, Mar!E97)</f>
        <v>0</v>
      </c>
      <c r="F97" s="15">
        <f t="shared" si="9"/>
        <v>1444162</v>
      </c>
      <c r="G97" s="16" t="str">
        <f t="shared" si="10"/>
        <v/>
      </c>
      <c r="H97" s="17">
        <f>SUM(Jan!H97, Feb!H97, Mar!H97)</f>
        <v>754916</v>
      </c>
      <c r="I97" s="17">
        <f>SUM(Jan!I97, Feb!I97, Mar!I97)</f>
        <v>689246</v>
      </c>
      <c r="J97" s="16">
        <f t="shared" si="11"/>
        <v>0.91301018921310451</v>
      </c>
      <c r="K97" s="14">
        <f>IFERROR(AVERAGE(Jan!K97, Feb!K97, Mar!K97),"")</f>
        <v>0.99943333333333328</v>
      </c>
      <c r="L97" s="39"/>
      <c r="M97" s="40"/>
    </row>
    <row r="98" spans="1:13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SUM(Jan!D98, Feb!D98, Mar!D98)</f>
        <v>650994</v>
      </c>
      <c r="E98" s="11">
        <f>SUM(Jan!E98, Feb!E98, Mar!E98)</f>
        <v>0</v>
      </c>
      <c r="F98" s="11">
        <f t="shared" si="9"/>
        <v>650994</v>
      </c>
      <c r="G98" s="12" t="str">
        <f t="shared" si="10"/>
        <v/>
      </c>
      <c r="H98" s="13">
        <f>SUM(Jan!H98, Feb!H98, Mar!H98)</f>
        <v>741915.57</v>
      </c>
      <c r="I98" s="13">
        <f>SUM(Jan!I98, Feb!I98, Mar!I98)</f>
        <v>-90921.569999999978</v>
      </c>
      <c r="J98" s="14">
        <f t="shared" si="11"/>
        <v>-0.12254975320170189</v>
      </c>
      <c r="K98" s="14">
        <f>IFERROR(AVERAGE(Jan!K98, Feb!K98, Mar!K98),"")</f>
        <v>0.99983333333333346</v>
      </c>
      <c r="L98" s="38"/>
      <c r="M98" s="38"/>
    </row>
    <row r="99" spans="1:13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SUM(Jan!D99, Feb!D99, Mar!D99)</f>
        <v>1076878</v>
      </c>
      <c r="E99" s="15">
        <f>SUM(Jan!E99, Feb!E99, Mar!E99)</f>
        <v>0</v>
      </c>
      <c r="F99" s="15">
        <f t="shared" si="9"/>
        <v>1076878</v>
      </c>
      <c r="G99" s="16" t="str">
        <f t="shared" si="10"/>
        <v/>
      </c>
      <c r="H99" s="17">
        <f>SUM(Jan!H99, Feb!H99, Mar!H99)</f>
        <v>1206394.3700000001</v>
      </c>
      <c r="I99" s="17">
        <f>SUM(Jan!I99, Feb!I99, Mar!I99)</f>
        <v>-129516.37000000005</v>
      </c>
      <c r="J99" s="16">
        <f t="shared" si="11"/>
        <v>-0.10735823477027669</v>
      </c>
      <c r="K99" s="14">
        <f>IFERROR(AVERAGE(Jan!K99, Feb!K99, Mar!K99),"")</f>
        <v>1</v>
      </c>
      <c r="L99" s="39"/>
      <c r="M99" s="40"/>
    </row>
    <row r="100" spans="1:13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SUM(Jan!D100, Feb!D100, Mar!D100)</f>
        <v>576571</v>
      </c>
      <c r="E100" s="11">
        <f>SUM(Jan!E100, Feb!E100, Mar!E100)</f>
        <v>0</v>
      </c>
      <c r="F100" s="11">
        <f t="shared" si="9"/>
        <v>576571</v>
      </c>
      <c r="G100" s="12" t="str">
        <f t="shared" si="10"/>
        <v/>
      </c>
      <c r="H100" s="13">
        <f>SUM(Jan!H100, Feb!H100, Mar!H100)</f>
        <v>623627.91</v>
      </c>
      <c r="I100" s="13">
        <f>SUM(Jan!I100, Feb!I100, Mar!I100)</f>
        <v>-47056.91</v>
      </c>
      <c r="J100" s="14">
        <f t="shared" si="11"/>
        <v>-7.5456709434316371E-2</v>
      </c>
      <c r="K100" s="14">
        <f>IFERROR(AVERAGE(Jan!K100, Feb!K100, Mar!K100),"")</f>
        <v>1</v>
      </c>
      <c r="L100" s="38"/>
      <c r="M100" s="38"/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SUM(Jan!D101, Feb!D101, Mar!D101)</f>
        <v>1532447</v>
      </c>
      <c r="E101" s="15">
        <f>SUM(Jan!E101, Feb!E101, Mar!E101)</f>
        <v>0</v>
      </c>
      <c r="F101" s="15">
        <f t="shared" si="9"/>
        <v>1532447</v>
      </c>
      <c r="G101" s="16" t="str">
        <f t="shared" si="10"/>
        <v/>
      </c>
      <c r="H101" s="17">
        <f>SUM(Jan!H101, Feb!H101, Mar!H101)</f>
        <v>1556347.8399999999</v>
      </c>
      <c r="I101" s="17">
        <f>SUM(Jan!I101, Feb!I101, Mar!I101)</f>
        <v>-23900.840000000026</v>
      </c>
      <c r="J101" s="16">
        <f t="shared" si="11"/>
        <v>-1.5357003997255541E-2</v>
      </c>
      <c r="K101" s="14">
        <f>IFERROR(AVERAGE(Jan!K101, Feb!K101, Mar!K101),"")</f>
        <v>0.99829999999999997</v>
      </c>
      <c r="L101" s="39"/>
      <c r="M101" s="39"/>
    </row>
    <row r="102" spans="1:13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SUM(Jan!D102, Feb!D102, Mar!D102)</f>
        <v>916775</v>
      </c>
      <c r="E102" s="11">
        <f>SUM(Jan!E102, Feb!E102, Mar!E102)</f>
        <v>0</v>
      </c>
      <c r="F102" s="11">
        <f t="shared" si="9"/>
        <v>916775</v>
      </c>
      <c r="G102" s="12" t="str">
        <f t="shared" si="10"/>
        <v/>
      </c>
      <c r="H102" s="13">
        <f>SUM(Jan!H102, Feb!H102, Mar!H102)</f>
        <v>1836548.22</v>
      </c>
      <c r="I102" s="13">
        <f>SUM(Jan!I102, Feb!I102, Mar!I102)</f>
        <v>-919773.22</v>
      </c>
      <c r="J102" s="14">
        <f t="shared" si="11"/>
        <v>-0.50081626498214138</v>
      </c>
      <c r="K102" s="14">
        <f>IFERROR(AVERAGE(Jan!K102, Feb!K102, Mar!K102),"")</f>
        <v>0.90903333333333336</v>
      </c>
      <c r="L102" s="38"/>
      <c r="M102" s="38"/>
    </row>
    <row r="103" spans="1:13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SUM(Jan!D103, Feb!D103, Mar!D103)</f>
        <v>662751</v>
      </c>
      <c r="E103" s="15">
        <f>SUM(Jan!E103, Feb!E103, Mar!E103)</f>
        <v>0</v>
      </c>
      <c r="F103" s="15">
        <f t="shared" si="9"/>
        <v>662751</v>
      </c>
      <c r="G103" s="16" t="str">
        <f t="shared" si="10"/>
        <v/>
      </c>
      <c r="H103" s="17">
        <f>SUM(Jan!H103, Feb!H103, Mar!H103)</f>
        <v>738391.07000000007</v>
      </c>
      <c r="I103" s="17">
        <f>SUM(Jan!I103, Feb!I103, Mar!I103)</f>
        <v>-75640.070000000007</v>
      </c>
      <c r="J103" s="16">
        <f t="shared" si="11"/>
        <v>-0.10243903681012827</v>
      </c>
      <c r="K103" s="14">
        <f>IFERROR(AVERAGE(Jan!K103, Feb!K103, Mar!K103),"")</f>
        <v>1</v>
      </c>
      <c r="L103" s="39"/>
      <c r="M103" s="40"/>
    </row>
    <row r="104" spans="1:13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SUM(Jan!D104, Feb!D104, Mar!D104)</f>
        <v>1590473</v>
      </c>
      <c r="E104" s="11">
        <f>SUM(Jan!E104, Feb!E104, Mar!E104)</f>
        <v>0</v>
      </c>
      <c r="F104" s="11">
        <f t="shared" si="9"/>
        <v>1590473</v>
      </c>
      <c r="G104" s="12" t="str">
        <f t="shared" si="10"/>
        <v/>
      </c>
      <c r="H104" s="13">
        <f>SUM(Jan!H104, Feb!H104, Mar!H104)</f>
        <v>1884423.4300000002</v>
      </c>
      <c r="I104" s="13">
        <f>SUM(Jan!I104, Feb!I104, Mar!I104)</f>
        <v>-293950.43000000011</v>
      </c>
      <c r="J104" s="14">
        <f t="shared" si="11"/>
        <v>-0.15598958563150539</v>
      </c>
      <c r="K104" s="14">
        <f>IFERROR(AVERAGE(Jan!K104, Feb!K104, Mar!K104),"")</f>
        <v>0.99996666666666656</v>
      </c>
      <c r="L104" s="38"/>
      <c r="M104" s="38"/>
    </row>
    <row r="105" spans="1:13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SUM(Jan!D105, Feb!D105, Mar!D105)</f>
        <v>531567</v>
      </c>
      <c r="E105" s="15">
        <f>SUM(Jan!E105, Feb!E105, Mar!E105)</f>
        <v>0</v>
      </c>
      <c r="F105" s="15">
        <f t="shared" si="9"/>
        <v>531567</v>
      </c>
      <c r="G105" s="16" t="str">
        <f t="shared" si="10"/>
        <v/>
      </c>
      <c r="H105" s="17">
        <f>SUM(Jan!H105, Feb!H105, Mar!H105)</f>
        <v>592977.78</v>
      </c>
      <c r="I105" s="17">
        <f>SUM(Jan!I105, Feb!I105, Mar!I105)</f>
        <v>-61410.779999999984</v>
      </c>
      <c r="J105" s="16">
        <f t="shared" si="11"/>
        <v>-0.10356337466810304</v>
      </c>
      <c r="K105" s="14">
        <f>IFERROR(AVERAGE(Jan!K105, Feb!K105, Mar!K105),"")</f>
        <v>0.99933333333333341</v>
      </c>
      <c r="L105" s="39"/>
      <c r="M105" s="40"/>
    </row>
    <row r="106" spans="1:13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SUM(Jan!D106, Feb!D106, Mar!D106)</f>
        <v>470773</v>
      </c>
      <c r="E106" s="11">
        <f>SUM(Jan!E106, Feb!E106, Mar!E106)</f>
        <v>0</v>
      </c>
      <c r="F106" s="11">
        <f t="shared" si="9"/>
        <v>470773</v>
      </c>
      <c r="G106" s="12" t="str">
        <f t="shared" si="10"/>
        <v/>
      </c>
      <c r="H106" s="13">
        <f>SUM(Jan!H106, Feb!H106, Mar!H106)</f>
        <v>611289.81000000006</v>
      </c>
      <c r="I106" s="13">
        <f>SUM(Jan!I106, Feb!I106, Mar!I106)</f>
        <v>-140516.81000000003</v>
      </c>
      <c r="J106" s="14">
        <f t="shared" si="11"/>
        <v>-0.22986938061342788</v>
      </c>
      <c r="K106" s="14">
        <f>IFERROR(AVERAGE(Jan!K106, Feb!K106, Mar!K106),"")</f>
        <v>1</v>
      </c>
      <c r="L106" s="38"/>
      <c r="M106" s="38"/>
    </row>
    <row r="107" spans="1:13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SUM(Jan!D107, Feb!D107, Mar!D107)</f>
        <v>331379</v>
      </c>
      <c r="E107" s="15">
        <f>SUM(Jan!E107, Feb!E107, Mar!E107)</f>
        <v>0</v>
      </c>
      <c r="F107" s="15">
        <f t="shared" si="9"/>
        <v>331379</v>
      </c>
      <c r="G107" s="16" t="str">
        <f t="shared" si="10"/>
        <v/>
      </c>
      <c r="H107" s="17">
        <f>SUM(Jan!H107, Feb!H107, Mar!H107)</f>
        <v>561663.43999999994</v>
      </c>
      <c r="I107" s="17">
        <f>SUM(Jan!I107, Feb!I107, Mar!I107)</f>
        <v>-230284.44000000003</v>
      </c>
      <c r="J107" s="16">
        <f t="shared" si="11"/>
        <v>-0.41000432572217993</v>
      </c>
      <c r="K107" s="14">
        <f>IFERROR(AVERAGE(Jan!K107, Feb!K107, Mar!K107),"")</f>
        <v>0.99946666666666673</v>
      </c>
      <c r="L107" s="39"/>
      <c r="M107" s="40"/>
    </row>
    <row r="108" spans="1:13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SUM(Jan!D108, Feb!D108, Mar!D108)</f>
        <v>946475.2</v>
      </c>
      <c r="E108" s="11">
        <f>SUM(Jan!E108, Feb!E108, Mar!E108)</f>
        <v>0</v>
      </c>
      <c r="F108" s="11">
        <f t="shared" si="9"/>
        <v>946475.2</v>
      </c>
      <c r="G108" s="12" t="str">
        <f t="shared" si="10"/>
        <v/>
      </c>
      <c r="H108" s="13">
        <f>SUM(Jan!H108, Feb!H108, Mar!H108)</f>
        <v>1216253.7999999998</v>
      </c>
      <c r="I108" s="13">
        <f>SUM(Jan!I108, Feb!I108, Mar!I108)</f>
        <v>-269778.59999999998</v>
      </c>
      <c r="J108" s="14">
        <f t="shared" si="11"/>
        <v>-0.22181110554392514</v>
      </c>
      <c r="K108" s="14">
        <f>IFERROR(AVERAGE(Jan!K108, Feb!K108, Mar!K108),"")</f>
        <v>0.9996666666666667</v>
      </c>
      <c r="L108" s="38"/>
      <c r="M108" s="38"/>
    </row>
    <row r="109" spans="1:13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SUM(Jan!D109, Feb!D109, Mar!D109)</f>
        <v>769772.6</v>
      </c>
      <c r="E109" s="15">
        <f>SUM(Jan!E109, Feb!E109, Mar!E109)</f>
        <v>0</v>
      </c>
      <c r="F109" s="15">
        <f t="shared" si="9"/>
        <v>769772.6</v>
      </c>
      <c r="G109" s="16" t="str">
        <f t="shared" si="10"/>
        <v/>
      </c>
      <c r="H109" s="17">
        <f>SUM(Jan!H109, Feb!H109, Mar!H109)</f>
        <v>853000</v>
      </c>
      <c r="I109" s="17">
        <f>SUM(Jan!I109, Feb!I109, Mar!I109)</f>
        <v>-83227.400000000038</v>
      </c>
      <c r="J109" s="16">
        <f t="shared" si="11"/>
        <v>-9.7570222743259133E-2</v>
      </c>
      <c r="K109" s="14">
        <f>IFERROR(AVERAGE(Jan!K109, Feb!K109, Mar!K109),"")</f>
        <v>0.99936666666666663</v>
      </c>
      <c r="L109" s="39"/>
      <c r="M109" s="40"/>
    </row>
    <row r="110" spans="1:13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SUM(Jan!D110, Feb!D110, Mar!D110)</f>
        <v>1270162.99</v>
      </c>
      <c r="E110" s="11">
        <f>SUM(Jan!E110, Feb!E110, Mar!E110)</f>
        <v>0</v>
      </c>
      <c r="F110" s="11">
        <f t="shared" si="9"/>
        <v>1270162.99</v>
      </c>
      <c r="G110" s="12" t="str">
        <f t="shared" si="10"/>
        <v/>
      </c>
      <c r="H110" s="13">
        <f>SUM(Jan!H110, Feb!H110, Mar!H110)</f>
        <v>0</v>
      </c>
      <c r="I110" s="13">
        <f>SUM(Jan!I110, Feb!I110, Mar!I110)</f>
        <v>1270162.99</v>
      </c>
      <c r="J110" s="14" t="str">
        <f t="shared" si="11"/>
        <v/>
      </c>
      <c r="K110" s="14" t="str">
        <f>IFERROR(AVERAGE(Jan!K110, Feb!K110, Mar!K110),"")</f>
        <v/>
      </c>
      <c r="L110" s="38"/>
      <c r="M110" s="38"/>
    </row>
    <row r="111" spans="1:13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SUM(Jan!D111, Feb!D111, Mar!D111)</f>
        <v>941585.15577889397</v>
      </c>
      <c r="E111" s="15">
        <f>SUM(Jan!E111, Feb!E111, Mar!E111)</f>
        <v>1249640.1000000001</v>
      </c>
      <c r="F111" s="15">
        <f t="shared" si="9"/>
        <v>-308054.94422110613</v>
      </c>
      <c r="G111" s="16">
        <f t="shared" si="10"/>
        <v>-0.24651493195609367</v>
      </c>
      <c r="H111" s="17">
        <f>SUM(Jan!H111, Feb!H111, Mar!H111)</f>
        <v>1313492.6000000001</v>
      </c>
      <c r="I111" s="17">
        <f>SUM(Jan!I111, Feb!I111, Mar!I111)</f>
        <v>-371907.44422110595</v>
      </c>
      <c r="J111" s="16">
        <f t="shared" si="11"/>
        <v>-0.28314392043099895</v>
      </c>
      <c r="K111" s="14">
        <f>IFERROR(AVERAGE(Jan!K111, Feb!K111, Mar!K111),"")</f>
        <v>0.94690050000000003</v>
      </c>
      <c r="L111" s="39"/>
      <c r="M111" s="40"/>
    </row>
    <row r="112" spans="1:13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SUM(Jan!D112, Feb!D112, Mar!D112)</f>
        <v>959260.36758706463</v>
      </c>
      <c r="E112" s="11">
        <f>SUM(Jan!E112, Feb!E112, Mar!E112)</f>
        <v>985034.78999999992</v>
      </c>
      <c r="F112" s="11">
        <f t="shared" si="9"/>
        <v>-25774.422412935295</v>
      </c>
      <c r="G112" s="12">
        <f t="shared" si="10"/>
        <v>-2.6166002129666199E-2</v>
      </c>
      <c r="H112" s="13">
        <f>SUM(Jan!H112, Feb!H112, Mar!H112)</f>
        <v>1259798.3</v>
      </c>
      <c r="I112" s="13">
        <f>SUM(Jan!I112, Feb!I112, Mar!I112)</f>
        <v>-300537.9324129353</v>
      </c>
      <c r="J112" s="14">
        <f t="shared" si="11"/>
        <v>-0.23856035717220392</v>
      </c>
      <c r="K112" s="14">
        <f>IFERROR(AVERAGE(Jan!K112, Feb!K112, Mar!K112),"")</f>
        <v>0.9758652333333333</v>
      </c>
      <c r="L112" s="38"/>
      <c r="M112" s="38"/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SUM(Jan!D113, Feb!D113, Mar!D113)</f>
        <v>6245</v>
      </c>
      <c r="E113" s="15">
        <f>SUM(Jan!E113, Feb!E113, Mar!E113)</f>
        <v>8634.9429999999993</v>
      </c>
      <c r="F113" s="15">
        <f t="shared" si="9"/>
        <v>-2389.9429999999993</v>
      </c>
      <c r="G113" s="16">
        <f t="shared" si="10"/>
        <v>-0.27677577026275674</v>
      </c>
      <c r="H113" s="17">
        <f>SUM(Jan!H113, Feb!H113, Mar!H113)</f>
        <v>8840.5570000000007</v>
      </c>
      <c r="I113" s="17">
        <f>SUM(Jan!I113, Feb!I113, Mar!I113)</f>
        <v>-2595.5570000000002</v>
      </c>
      <c r="J113" s="16">
        <f t="shared" si="11"/>
        <v>-0.29359654600948787</v>
      </c>
      <c r="K113" s="14">
        <f>IFERROR(AVERAGE(Jan!K113, Feb!K113, Mar!K113),"")</f>
        <v>0.98601553333333325</v>
      </c>
      <c r="L113" s="39"/>
      <c r="M113" s="39"/>
    </row>
    <row r="114" spans="1:13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SUM(Jan!D114, Feb!D114, Mar!D114)</f>
        <v>17354.87</v>
      </c>
      <c r="E114" s="11">
        <f>SUM(Jan!E114, Feb!E114, Mar!E114)</f>
        <v>24595.676999999996</v>
      </c>
      <c r="F114" s="11">
        <f t="shared" si="9"/>
        <v>-7240.8069999999971</v>
      </c>
      <c r="G114" s="12">
        <f t="shared" si="10"/>
        <v>-0.29439348223673606</v>
      </c>
      <c r="H114" s="13">
        <f>SUM(Jan!H114, Feb!H114, Mar!H114)</f>
        <v>20615.506999999998</v>
      </c>
      <c r="I114" s="13">
        <f>SUM(Jan!I114, Feb!I114, Mar!I114)</f>
        <v>-3260.6370000000006</v>
      </c>
      <c r="J114" s="14">
        <f t="shared" si="11"/>
        <v>-0.15816428865901774</v>
      </c>
      <c r="K114" s="14">
        <f>IFERROR(AVERAGE(Jan!K114, Feb!K114, Mar!K114),"")</f>
        <v>0.95632309999999998</v>
      </c>
      <c r="L114" s="38"/>
      <c r="M114" s="38"/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SUM(Jan!D115, Feb!D115, Mar!D115)</f>
        <v>2696</v>
      </c>
      <c r="E115" s="15">
        <f>SUM(Jan!E115, Feb!E115, Mar!E115)</f>
        <v>2967.9681</v>
      </c>
      <c r="F115" s="15">
        <f t="shared" si="9"/>
        <v>-271.96810000000005</v>
      </c>
      <c r="G115" s="16">
        <f t="shared" si="10"/>
        <v>-9.1634441758319446E-2</v>
      </c>
      <c r="H115" s="17">
        <f>SUM(Jan!H115, Feb!H115, Mar!H115)</f>
        <v>3280.6661000000004</v>
      </c>
      <c r="I115" s="17">
        <f>SUM(Jan!I115, Feb!I115, Mar!I115)</f>
        <v>-584.66610000000003</v>
      </c>
      <c r="J115" s="16">
        <f t="shared" si="11"/>
        <v>-0.17821566784867254</v>
      </c>
      <c r="K115" s="14" t="str">
        <f>IFERROR(AVERAGE(Jan!K115, Feb!K115, Mar!K115),"")</f>
        <v/>
      </c>
      <c r="L115" s="39"/>
      <c r="M115" s="40"/>
    </row>
    <row r="116" spans="1:13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SUM(Jan!D116, Feb!D116, Mar!D116)</f>
        <v>2697</v>
      </c>
      <c r="E116" s="11">
        <f>SUM(Jan!E116, Feb!E116, Mar!E116)</f>
        <v>2846.9925000000003</v>
      </c>
      <c r="F116" s="11">
        <f t="shared" si="9"/>
        <v>-149.99250000000029</v>
      </c>
      <c r="G116" s="12">
        <f t="shared" si="10"/>
        <v>-5.2684543426089206E-2</v>
      </c>
      <c r="H116" s="13">
        <f>SUM(Jan!H116, Feb!H116, Mar!H116)</f>
        <v>3415.7696999999998</v>
      </c>
      <c r="I116" s="13">
        <f>SUM(Jan!I116, Feb!I116, Mar!I116)</f>
        <v>-718.76970000000006</v>
      </c>
      <c r="J116" s="14">
        <f t="shared" si="11"/>
        <v>-0.21042686220912379</v>
      </c>
      <c r="K116" s="14" t="str">
        <f>IFERROR(AVERAGE(Jan!K116, Feb!K116, Mar!K116),"")</f>
        <v/>
      </c>
      <c r="L116" s="38"/>
      <c r="M116" s="38"/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SUM(Jan!D117, Feb!D117, Mar!D117)</f>
        <v>3146</v>
      </c>
      <c r="E117" s="15">
        <f>SUM(Jan!E117, Feb!E117, Mar!E117)</f>
        <v>2951.1472999999996</v>
      </c>
      <c r="F117" s="15">
        <f t="shared" si="9"/>
        <v>194.85270000000037</v>
      </c>
      <c r="G117" s="16">
        <f t="shared" si="10"/>
        <v>6.6026084160556942E-2</v>
      </c>
      <c r="H117" s="17">
        <f>SUM(Jan!H117, Feb!H117, Mar!H117)</f>
        <v>3540</v>
      </c>
      <c r="I117" s="17">
        <f>SUM(Jan!I117, Feb!I117, Mar!I117)</f>
        <v>-394</v>
      </c>
      <c r="J117" s="16">
        <f t="shared" si="11"/>
        <v>-0.11129943502824859</v>
      </c>
      <c r="K117" s="14" t="str">
        <f>IFERROR(AVERAGE(Jan!K117, Feb!K117, Mar!K117),"")</f>
        <v/>
      </c>
      <c r="L117" s="39"/>
      <c r="M117" s="40"/>
    </row>
    <row r="118" spans="1:13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SUM(Jan!D118, Feb!D118, Mar!D118)</f>
        <v>25105</v>
      </c>
      <c r="E118" s="11">
        <f>SUM(Jan!E118, Feb!E118, Mar!E118)</f>
        <v>36553.423999999999</v>
      </c>
      <c r="F118" s="11">
        <f t="shared" si="9"/>
        <v>-11448.423999999999</v>
      </c>
      <c r="G118" s="12">
        <f t="shared" si="10"/>
        <v>-0.3131970345650793</v>
      </c>
      <c r="H118" s="13">
        <f>SUM(Jan!H118, Feb!H118, Mar!H118)</f>
        <v>10039.31</v>
      </c>
      <c r="I118" s="13">
        <f>SUM(Jan!I118, Feb!I118, Mar!I118)</f>
        <v>15065.69</v>
      </c>
      <c r="J118" s="14">
        <f t="shared" si="11"/>
        <v>1.500669866753791</v>
      </c>
      <c r="K118" s="14" t="str">
        <f>IFERROR(AVERAGE(Jan!K118, Feb!K118, Mar!K118),"")</f>
        <v/>
      </c>
      <c r="L118" s="38"/>
      <c r="M118" s="38"/>
    </row>
    <row r="119" spans="1:13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SUM(Jan!D119, Feb!D119, Mar!D119)</f>
        <v>106485</v>
      </c>
      <c r="E119" s="15">
        <f>SUM(Jan!E119, Feb!E119, Mar!E119)</f>
        <v>0</v>
      </c>
      <c r="F119" s="15">
        <f t="shared" si="9"/>
        <v>106485</v>
      </c>
      <c r="G119" s="16" t="str">
        <f t="shared" si="10"/>
        <v/>
      </c>
      <c r="H119" s="17">
        <f>SUM(Jan!H119, Feb!H119, Mar!H119)</f>
        <v>107061.084</v>
      </c>
      <c r="I119" s="17">
        <f>SUM(Jan!I119, Feb!I119, Mar!I119)</f>
        <v>-576.08400000000256</v>
      </c>
      <c r="J119" s="16">
        <f t="shared" si="11"/>
        <v>-5.3808907819390519E-3</v>
      </c>
      <c r="K119" s="14" t="str">
        <f>IFERROR(AVERAGE(Jan!K119, Feb!K119, Mar!K119),"")</f>
        <v/>
      </c>
      <c r="L119" s="39"/>
      <c r="M119" s="40"/>
    </row>
    <row r="120" spans="1:13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SUM(Jan!D120, Feb!D120, Mar!D120)</f>
        <v>56880</v>
      </c>
      <c r="E120" s="11">
        <f>SUM(Jan!E120, Feb!E120, Mar!E120)</f>
        <v>58303.716</v>
      </c>
      <c r="F120" s="11">
        <f t="shared" si="9"/>
        <v>-1423.7160000000003</v>
      </c>
      <c r="G120" s="12">
        <f t="shared" si="10"/>
        <v>-2.4418958132960175E-2</v>
      </c>
      <c r="H120" s="13">
        <f>SUM(Jan!H120, Feb!H120, Mar!H120)</f>
        <v>69238.645000000004</v>
      </c>
      <c r="I120" s="13">
        <f>SUM(Jan!I120, Feb!I120, Mar!I120)</f>
        <v>-12358.645</v>
      </c>
      <c r="J120" s="14">
        <f t="shared" si="11"/>
        <v>-0.17849345549728768</v>
      </c>
      <c r="K120" s="14" t="str">
        <f>IFERROR(AVERAGE(Jan!K120, Feb!K120, Mar!K120),"")</f>
        <v/>
      </c>
      <c r="L120" s="38"/>
      <c r="M120" s="38"/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SUM(Jan!D121, Feb!D121, Mar!D121)</f>
        <v>29758</v>
      </c>
      <c r="E121" s="15">
        <f>SUM(Jan!E121, Feb!E121, Mar!E121)</f>
        <v>28633.201000000001</v>
      </c>
      <c r="F121" s="15">
        <f t="shared" si="9"/>
        <v>1124.7989999999991</v>
      </c>
      <c r="G121" s="16">
        <f t="shared" si="10"/>
        <v>3.9283033706220938E-2</v>
      </c>
      <c r="H121" s="17">
        <f>SUM(Jan!H121, Feb!H121, Mar!H121)</f>
        <v>33916.923000000003</v>
      </c>
      <c r="I121" s="17">
        <f>SUM(Jan!I121, Feb!I121, Mar!I121)</f>
        <v>-4158.9230000000007</v>
      </c>
      <c r="J121" s="16">
        <f t="shared" si="11"/>
        <v>-0.12262088161712076</v>
      </c>
      <c r="K121" s="14" t="str">
        <f>IFERROR(AVERAGE(Jan!K121, Feb!K121, Mar!K121),"")</f>
        <v/>
      </c>
      <c r="L121" s="39"/>
      <c r="M121" s="40"/>
    </row>
    <row r="122" spans="1:13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SUM(Jan!D122, Feb!D122, Mar!D122)</f>
        <v>30605</v>
      </c>
      <c r="E122" s="11">
        <f>SUM(Jan!E122, Feb!E122, Mar!E122)</f>
        <v>27019.078000000001</v>
      </c>
      <c r="F122" s="11">
        <f t="shared" si="9"/>
        <v>3585.9219999999987</v>
      </c>
      <c r="G122" s="12">
        <f t="shared" si="10"/>
        <v>0.13271814826545889</v>
      </c>
      <c r="H122" s="13">
        <f>SUM(Jan!H122, Feb!H122, Mar!H122)</f>
        <v>33916.923000000003</v>
      </c>
      <c r="I122" s="13">
        <f>SUM(Jan!I122, Feb!I122, Mar!I122)</f>
        <v>-3311.9230000000007</v>
      </c>
      <c r="J122" s="14">
        <f t="shared" si="11"/>
        <v>-9.7648097381947074E-2</v>
      </c>
      <c r="K122" s="14" t="str">
        <f>IFERROR(AVERAGE(Jan!K122, Feb!K122, Mar!K122),"")</f>
        <v/>
      </c>
      <c r="L122" s="38"/>
      <c r="M122" s="38"/>
    </row>
    <row r="123" spans="1:13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SUM(Jan!D123, Feb!D123, Mar!D123)</f>
        <v>380425</v>
      </c>
      <c r="E123" s="15">
        <f>SUM(Jan!E123, Feb!E123, Mar!E123)</f>
        <v>393526.28</v>
      </c>
      <c r="F123" s="15">
        <f t="shared" si="9"/>
        <v>-13101.280000000028</v>
      </c>
      <c r="G123" s="16">
        <f t="shared" si="10"/>
        <v>-3.329200784252586E-2</v>
      </c>
      <c r="H123" s="17">
        <f>SUM(Jan!H123, Feb!H123, Mar!H123)</f>
        <v>417619</v>
      </c>
      <c r="I123" s="17">
        <f>SUM(Jan!I123, Feb!I123, Mar!I123)</f>
        <v>-37193.999999999985</v>
      </c>
      <c r="J123" s="16">
        <f t="shared" si="11"/>
        <v>-8.9062039801828904E-2</v>
      </c>
      <c r="K123" s="14" t="str">
        <f>IFERROR(AVERAGE(Jan!K123, Feb!K123, Mar!K123),"")</f>
        <v/>
      </c>
      <c r="L123" s="39"/>
      <c r="M123" s="40"/>
    </row>
    <row r="124" spans="1:13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SUM(Jan!D124, Feb!D124, Mar!D124)</f>
        <v>397546</v>
      </c>
      <c r="E124" s="11">
        <f>SUM(Jan!E124, Feb!E124, Mar!E124)</f>
        <v>307184.92</v>
      </c>
      <c r="F124" s="11">
        <f t="shared" si="9"/>
        <v>90361.080000000016</v>
      </c>
      <c r="G124" s="12">
        <f t="shared" si="10"/>
        <v>0.29415858044073262</v>
      </c>
      <c r="H124" s="13">
        <f>SUM(Jan!H124, Feb!H124, Mar!H124)</f>
        <v>23223.040000000001</v>
      </c>
      <c r="I124" s="13">
        <f>SUM(Jan!I124, Feb!I124, Mar!I124)</f>
        <v>374322.95999999996</v>
      </c>
      <c r="J124" s="14">
        <f t="shared" si="11"/>
        <v>16.118602904701536</v>
      </c>
      <c r="K124" s="14" t="str">
        <f>IFERROR(AVERAGE(Jan!K124, Feb!K124, Mar!K124),"")</f>
        <v/>
      </c>
      <c r="L124" s="38"/>
      <c r="M124" s="38"/>
    </row>
    <row r="125" spans="1:13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SUM(Jan!D125, Feb!D125, Mar!D125)</f>
        <v>53615</v>
      </c>
      <c r="E125" s="15">
        <f>SUM(Jan!E125, Feb!E125, Mar!E125)</f>
        <v>49146.22</v>
      </c>
      <c r="F125" s="15">
        <f t="shared" si="9"/>
        <v>4468.7799999999988</v>
      </c>
      <c r="G125" s="16">
        <f t="shared" si="10"/>
        <v>9.0928254502584308E-2</v>
      </c>
      <c r="H125" s="17">
        <f>SUM(Jan!H125, Feb!H125, Mar!H125)</f>
        <v>58462</v>
      </c>
      <c r="I125" s="17">
        <f>SUM(Jan!I125, Feb!I125, Mar!I125)</f>
        <v>-4847</v>
      </c>
      <c r="J125" s="16">
        <f t="shared" si="11"/>
        <v>-8.2908555985084328E-2</v>
      </c>
      <c r="K125" s="14" t="str">
        <f>IFERROR(AVERAGE(Jan!K125, Feb!K125, Mar!K125),"")</f>
        <v/>
      </c>
      <c r="L125" s="39"/>
      <c r="M125" s="39"/>
    </row>
    <row r="126" spans="1:13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SUM(Jan!D126, Feb!D126, Mar!D126)</f>
        <v>170812</v>
      </c>
      <c r="E126" s="11">
        <f>SUM(Jan!E126, Feb!E126, Mar!E126)</f>
        <v>197474.13</v>
      </c>
      <c r="F126" s="11">
        <f t="shared" si="9"/>
        <v>-26662.130000000005</v>
      </c>
      <c r="G126" s="12">
        <f t="shared" si="10"/>
        <v>-0.13501581194458234</v>
      </c>
      <c r="H126" s="13">
        <f>SUM(Jan!H126, Feb!H126, Mar!H126)</f>
        <v>0</v>
      </c>
      <c r="I126" s="13">
        <f>SUM(Jan!I126, Feb!I126, Mar!I126)</f>
        <v>170812</v>
      </c>
      <c r="J126" s="14" t="str">
        <f t="shared" si="11"/>
        <v/>
      </c>
      <c r="K126" s="14" t="str">
        <f>IFERROR(AVERAGE(Jan!K126, Feb!K126, Mar!K126),"")</f>
        <v/>
      </c>
      <c r="L126" s="38"/>
      <c r="M126" s="38"/>
    </row>
    <row r="127" spans="1:13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SUM(Jan!D127, Feb!D127, Mar!D127)</f>
        <v>47781.119999999901</v>
      </c>
      <c r="E127" s="15">
        <f>SUM(Jan!E127, Feb!E127, Mar!E127)</f>
        <v>123066.12</v>
      </c>
      <c r="F127" s="15">
        <f t="shared" si="9"/>
        <v>-75285.000000000087</v>
      </c>
      <c r="G127" s="16">
        <f t="shared" si="10"/>
        <v>-0.61174432085776398</v>
      </c>
      <c r="H127" s="17">
        <f>SUM(Jan!H127, Feb!H127, Mar!H127)</f>
        <v>78976</v>
      </c>
      <c r="I127" s="17">
        <f>SUM(Jan!I127, Feb!I127, Mar!I127)</f>
        <v>-31194.880000000099</v>
      </c>
      <c r="J127" s="16">
        <f t="shared" si="11"/>
        <v>-0.39499189627228648</v>
      </c>
      <c r="K127" s="14" t="str">
        <f>IFERROR(AVERAGE(Jan!K127, Feb!K127, Mar!K127),"")</f>
        <v/>
      </c>
      <c r="L127" s="39"/>
      <c r="M127" s="40"/>
    </row>
    <row r="128" spans="1:13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SUM(Jan!D128, Feb!D128, Mar!D128)</f>
        <v>111279.5</v>
      </c>
      <c r="E128" s="11">
        <f>SUM(Jan!E128, Feb!E128, Mar!E128)</f>
        <v>101768.45000000001</v>
      </c>
      <c r="F128" s="11">
        <f t="shared" si="9"/>
        <v>9511.0499999999884</v>
      </c>
      <c r="G128" s="12">
        <f t="shared" si="10"/>
        <v>9.3457746482333057E-2</v>
      </c>
      <c r="H128" s="13">
        <f>SUM(Jan!H128, Feb!H128, Mar!H128)</f>
        <v>115470.66</v>
      </c>
      <c r="I128" s="13">
        <f>SUM(Jan!I128, Feb!I128, Mar!I128)</f>
        <v>-4191.1599999999962</v>
      </c>
      <c r="J128" s="14">
        <f t="shared" si="11"/>
        <v>-3.6296319775083956E-2</v>
      </c>
      <c r="K128" s="14" t="str">
        <f>IFERROR(AVERAGE(Jan!K128, Feb!K128, Mar!K128),"")</f>
        <v/>
      </c>
      <c r="L128" s="38"/>
      <c r="M128" s="38"/>
    </row>
    <row r="129" spans="1:13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SUM(Jan!D129, Feb!D129, Mar!D129)</f>
        <v>247636</v>
      </c>
      <c r="E129" s="15">
        <f>SUM(Jan!E129, Feb!E129, Mar!E129)</f>
        <v>262632.73800000001</v>
      </c>
      <c r="F129" s="15">
        <f t="shared" si="9"/>
        <v>-14996.738000000012</v>
      </c>
      <c r="G129" s="16">
        <f t="shared" si="10"/>
        <v>-5.7101556013934608E-2</v>
      </c>
      <c r="H129" s="17">
        <f>SUM(Jan!H129, Feb!H129, Mar!H129)</f>
        <v>242031.261</v>
      </c>
      <c r="I129" s="17">
        <f>SUM(Jan!I129, Feb!I129, Mar!I129)</f>
        <v>5604.7390000000087</v>
      </c>
      <c r="J129" s="16">
        <f t="shared" si="11"/>
        <v>2.3157087133467476E-2</v>
      </c>
      <c r="K129" s="14" t="str">
        <f>IFERROR(AVERAGE(Jan!K129, Feb!K129, Mar!K129),"")</f>
        <v/>
      </c>
      <c r="L129" s="39"/>
      <c r="M129" s="40"/>
    </row>
    <row r="130" spans="1:13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SUM(Jan!D130, Feb!D130, Mar!D130)</f>
        <v>529870</v>
      </c>
      <c r="E130" s="11">
        <f>SUM(Jan!E130, Feb!E130, Mar!E130)</f>
        <v>557299.4</v>
      </c>
      <c r="F130" s="11">
        <f t="shared" si="9"/>
        <v>-27429.400000000023</v>
      </c>
      <c r="G130" s="12">
        <f t="shared" si="10"/>
        <v>-4.9218427294197738E-2</v>
      </c>
      <c r="H130" s="13">
        <f>SUM(Jan!H130, Feb!H130, Mar!H130)</f>
        <v>568013.5</v>
      </c>
      <c r="I130" s="13">
        <f>SUM(Jan!I130, Feb!I130, Mar!I130)</f>
        <v>-38143.5</v>
      </c>
      <c r="J130" s="14">
        <f t="shared" si="11"/>
        <v>-6.7152453242748628E-2</v>
      </c>
      <c r="K130" s="14" t="str">
        <f>IFERROR(AVERAGE(Jan!K130, Feb!K130, Mar!K130),"")</f>
        <v/>
      </c>
      <c r="L130" s="38"/>
      <c r="M130" s="38"/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SUM(Jan!D131, Feb!D131, Mar!D131)</f>
        <v>19595.816968769897</v>
      </c>
      <c r="E131" s="15">
        <f>SUM(Jan!E131, Feb!E131, Mar!E131)</f>
        <v>25198.262000000002</v>
      </c>
      <c r="F131" s="15">
        <f t="shared" si="9"/>
        <v>-5602.4450312301051</v>
      </c>
      <c r="G131" s="16">
        <f t="shared" si="10"/>
        <v>-0.22233458129890485</v>
      </c>
      <c r="H131" s="17">
        <f>SUM(Jan!H131, Feb!H131, Mar!H131)</f>
        <v>23232.199999999997</v>
      </c>
      <c r="I131" s="17">
        <f>SUM(Jan!I131, Feb!I131, Mar!I131)</f>
        <v>-3636.3830312301011</v>
      </c>
      <c r="J131" s="16">
        <f t="shared" si="11"/>
        <v>-0.1565234042075267</v>
      </c>
      <c r="K131" s="14" t="str">
        <f>IFERROR(AVERAGE(Jan!K131, Feb!K131, Mar!K131),"")</f>
        <v/>
      </c>
      <c r="L131" s="39"/>
      <c r="M131" s="40"/>
    </row>
    <row r="132" spans="1:13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SUM(Jan!D132, Feb!D132, Mar!D132)</f>
        <v>15729.00031033286</v>
      </c>
      <c r="E132" s="11">
        <f>SUM(Jan!E132, Feb!E132, Mar!E132)</f>
        <v>25624.478999999999</v>
      </c>
      <c r="F132" s="11">
        <f t="shared" si="9"/>
        <v>-9895.4786896671394</v>
      </c>
      <c r="G132" s="12">
        <f t="shared" si="10"/>
        <v>-0.38617287358963043</v>
      </c>
      <c r="H132" s="13">
        <f>SUM(Jan!H132, Feb!H132, Mar!H132)</f>
        <v>17369.260000000002</v>
      </c>
      <c r="I132" s="13">
        <f>SUM(Jan!I132, Feb!I132, Mar!I132)</f>
        <v>-1640.2596896671405</v>
      </c>
      <c r="J132" s="14">
        <f t="shared" si="11"/>
        <v>-9.4434632774634056E-2</v>
      </c>
      <c r="K132" s="14" t="str">
        <f>IFERROR(AVERAGE(Jan!K132, Feb!K132, Mar!K132),"")</f>
        <v/>
      </c>
      <c r="L132" s="38"/>
      <c r="M132" s="38"/>
    </row>
    <row r="133" spans="1:13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SUM(Jan!D133, Feb!D133, Mar!D133)</f>
        <v>12428.221</v>
      </c>
      <c r="E133" s="15">
        <f>SUM(Jan!E133, Feb!E133, Mar!E133)</f>
        <v>13688.41</v>
      </c>
      <c r="F133" s="15">
        <f t="shared" si="9"/>
        <v>-1260.1890000000003</v>
      </c>
      <c r="G133" s="16">
        <f t="shared" si="10"/>
        <v>-9.2062482055987535E-2</v>
      </c>
      <c r="H133" s="17">
        <f>SUM(Jan!H133, Feb!H133, Mar!H133)</f>
        <v>17765.41</v>
      </c>
      <c r="I133" s="17">
        <f>SUM(Jan!I133, Feb!I133, Mar!I133)</f>
        <v>-5337.1890000000003</v>
      </c>
      <c r="J133" s="16">
        <f t="shared" si="11"/>
        <v>-0.30042588378202362</v>
      </c>
      <c r="K133" s="14" t="str">
        <f>IFERROR(AVERAGE(Jan!K133, Feb!K133, Mar!K133),"")</f>
        <v/>
      </c>
      <c r="L133" s="39"/>
      <c r="M133" s="40"/>
    </row>
    <row r="134" spans="1:13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SUM(Jan!D134, Feb!D134, Mar!D134)</f>
        <v>56740.25</v>
      </c>
      <c r="E134" s="11">
        <f>SUM(Jan!E134, Feb!E134, Mar!E134)</f>
        <v>62020.486999999994</v>
      </c>
      <c r="F134" s="11">
        <f t="shared" si="9"/>
        <v>-5280.2369999999937</v>
      </c>
      <c r="G134" s="12">
        <f t="shared" si="10"/>
        <v>-8.5136980623837968E-2</v>
      </c>
      <c r="H134" s="13">
        <f>SUM(Jan!H134, Feb!H134, Mar!H134)</f>
        <v>31508.546000000002</v>
      </c>
      <c r="I134" s="13">
        <f>SUM(Jan!I134, Feb!I134, Mar!I134)</f>
        <v>25231.703999999998</v>
      </c>
      <c r="J134" s="14">
        <f t="shared" si="11"/>
        <v>0.80078922080377801</v>
      </c>
      <c r="K134" s="14" t="str">
        <f>IFERROR(AVERAGE(Jan!K134, Feb!K134, Mar!K134),"")</f>
        <v/>
      </c>
      <c r="L134" s="38"/>
      <c r="M134" s="38"/>
    </row>
    <row r="135" spans="1:13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SUM(Jan!D135, Feb!D135, Mar!D135)</f>
        <v>60077.75</v>
      </c>
      <c r="E135" s="15">
        <f>SUM(Jan!E135, Feb!E135, Mar!E135)</f>
        <v>73421.509999999995</v>
      </c>
      <c r="F135" s="15">
        <f t="shared" si="9"/>
        <v>-13343.759999999995</v>
      </c>
      <c r="G135" s="16">
        <f t="shared" si="10"/>
        <v>-0.18174183560103838</v>
      </c>
      <c r="H135" s="17">
        <f>SUM(Jan!H135, Feb!H135, Mar!H135)</f>
        <v>64735.020000000004</v>
      </c>
      <c r="I135" s="17">
        <f>SUM(Jan!I135, Feb!I135, Mar!I135)</f>
        <v>-4657.2700000000004</v>
      </c>
      <c r="J135" s="16">
        <f t="shared" si="11"/>
        <v>-7.1943594054655433E-2</v>
      </c>
      <c r="K135" s="14" t="str">
        <f>IFERROR(AVERAGE(Jan!K135, Feb!K135, Mar!K135),"")</f>
        <v/>
      </c>
      <c r="L135" s="39"/>
      <c r="M135" s="40"/>
    </row>
    <row r="136" spans="1:13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SUM(Jan!D136, Feb!D136, Mar!D136)</f>
        <v>49282.502999999997</v>
      </c>
      <c r="E136" s="11">
        <f>SUM(Jan!E136, Feb!E136, Mar!E136)</f>
        <v>73398.569000000003</v>
      </c>
      <c r="F136" s="11">
        <f t="shared" si="9"/>
        <v>-24116.066000000006</v>
      </c>
      <c r="G136" s="12">
        <f t="shared" si="10"/>
        <v>-0.32856316313196793</v>
      </c>
      <c r="H136" s="13">
        <f>SUM(Jan!H136, Feb!H136, Mar!H136)</f>
        <v>54830.673999999999</v>
      </c>
      <c r="I136" s="13">
        <f>SUM(Jan!I136, Feb!I136, Mar!I136)</f>
        <v>-5548.1709999999985</v>
      </c>
      <c r="J136" s="14">
        <f t="shared" si="11"/>
        <v>-0.10118735728107224</v>
      </c>
      <c r="K136" s="14" t="str">
        <f>IFERROR(AVERAGE(Jan!K136, Feb!K136, Mar!K136),"")</f>
        <v/>
      </c>
      <c r="L136" s="38"/>
      <c r="M136" s="38"/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SUM(Jan!D137, Feb!D137, Mar!D137)</f>
        <v>23504.9412206099</v>
      </c>
      <c r="E137" s="15">
        <f>SUM(Jan!E137, Feb!E137, Mar!E137)</f>
        <v>31063.828000000001</v>
      </c>
      <c r="F137" s="15">
        <f t="shared" si="9"/>
        <v>-7558.8867793901009</v>
      </c>
      <c r="G137" s="16">
        <f t="shared" si="10"/>
        <v>-0.24333404045985899</v>
      </c>
      <c r="H137" s="17">
        <f>SUM(Jan!H137, Feb!H137, Mar!H137)</f>
        <v>26381.794999999998</v>
      </c>
      <c r="I137" s="17">
        <f>SUM(Jan!I137, Feb!I137, Mar!I137)</f>
        <v>-2876.8537793900991</v>
      </c>
      <c r="J137" s="16">
        <f t="shared" si="11"/>
        <v>-0.10904693101398519</v>
      </c>
      <c r="K137" s="14" t="str">
        <f>IFERROR(AVERAGE(Jan!K137, Feb!K137, Mar!K137),"")</f>
        <v/>
      </c>
      <c r="L137" s="39"/>
      <c r="M137" s="40"/>
    </row>
    <row r="138" spans="1:13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SUM(Jan!D138, Feb!D138, Mar!D138)</f>
        <v>330777</v>
      </c>
      <c r="E138" s="11">
        <f>SUM(Jan!E138, Feb!E138, Mar!E138)</f>
        <v>0</v>
      </c>
      <c r="F138" s="11">
        <f t="shared" si="9"/>
        <v>330777</v>
      </c>
      <c r="G138" s="12" t="str">
        <f t="shared" si="10"/>
        <v/>
      </c>
      <c r="H138" s="13">
        <f>SUM(Jan!H138, Feb!H138, Mar!H138)</f>
        <v>0</v>
      </c>
      <c r="I138" s="13">
        <f>SUM(Jan!I138, Feb!I138, Mar!I138)</f>
        <v>330777</v>
      </c>
      <c r="J138" s="14" t="str">
        <f t="shared" si="11"/>
        <v/>
      </c>
      <c r="K138" s="14" t="str">
        <f>IFERROR(AVERAGE(Jan!K138, Feb!K138, Mar!K138),"")</f>
        <v/>
      </c>
      <c r="L138" s="38"/>
      <c r="M138" s="38"/>
    </row>
    <row r="139" spans="1:13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SUM(Jan!D139, Feb!D139, Mar!D139)</f>
        <v>0</v>
      </c>
      <c r="E139" s="15">
        <f>SUM(Jan!E139, Feb!E139, Mar!E139)</f>
        <v>0</v>
      </c>
      <c r="F139" s="15">
        <f t="shared" si="9"/>
        <v>0</v>
      </c>
      <c r="G139" s="16" t="str">
        <f t="shared" si="10"/>
        <v/>
      </c>
      <c r="H139" s="17">
        <f>SUM(Jan!H139, Feb!H139, Mar!H139)</f>
        <v>0</v>
      </c>
      <c r="I139" s="17">
        <f>SUM(Jan!I139, Feb!I139, Mar!I139)</f>
        <v>0</v>
      </c>
      <c r="J139" s="16" t="str">
        <f t="shared" si="11"/>
        <v/>
      </c>
      <c r="K139" s="14" t="str">
        <f>IFERROR(AVERAGE(Jan!K139, Feb!K139, Mar!K139),"")</f>
        <v/>
      </c>
      <c r="L139" s="39"/>
      <c r="M139" s="40"/>
    </row>
    <row r="140" spans="1:13" ht="15.6">
      <c r="A140" s="25" t="str">
        <v>Reisender</v>
      </c>
      <c r="B140" s="26" t="str">
        <v>NY</v>
      </c>
      <c r="C140" s="26" t="str">
        <f>Sites[[#This Row],[SOL'#]]</f>
        <v>SOL-10886</v>
      </c>
      <c r="D140" s="21">
        <f>SUM(Jan!D140, Feb!D140, Mar!D140)</f>
        <v>0</v>
      </c>
      <c r="E140" s="11">
        <f>SUM(Jan!E140, Feb!E140, Mar!E140)</f>
        <v>0</v>
      </c>
      <c r="F140" s="11">
        <f t="shared" si="9"/>
        <v>0</v>
      </c>
      <c r="G140" s="12" t="str">
        <f t="shared" si="10"/>
        <v/>
      </c>
      <c r="H140" s="13">
        <f>SUM(Jan!H140, Feb!H140, Mar!H140)</f>
        <v>0</v>
      </c>
      <c r="I140" s="13">
        <f>SUM(Jan!I140, Feb!I140, Mar!I140)</f>
        <v>0</v>
      </c>
      <c r="J140" s="14" t="str">
        <f t="shared" si="11"/>
        <v/>
      </c>
      <c r="K140" s="14" t="str">
        <f>IFERROR(AVERAGE(Jan!K140, Feb!K140, Mar!K140),"")</f>
        <v/>
      </c>
    </row>
    <row r="141" spans="1:13" ht="15.6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f>SUM(Jan!D141, Feb!D141, Mar!D141)</f>
        <v>0</v>
      </c>
      <c r="E141" s="15">
        <f>SUM(Jan!E141, Feb!E141, Mar!E141)</f>
        <v>0</v>
      </c>
      <c r="F141" s="15">
        <f t="shared" si="9"/>
        <v>0</v>
      </c>
      <c r="G141" s="16" t="str">
        <f t="shared" si="10"/>
        <v/>
      </c>
      <c r="H141" s="17">
        <f>SUM(Jan!H141, Feb!H141, Mar!H141)</f>
        <v>0</v>
      </c>
      <c r="I141" s="17">
        <f>SUM(Jan!I141, Feb!I141, Mar!I141)</f>
        <v>0</v>
      </c>
      <c r="J141" s="16" t="str">
        <f t="shared" si="11"/>
        <v/>
      </c>
      <c r="K141" s="14" t="str">
        <f>IFERROR(AVERAGE(Jan!K141, Feb!K141, Mar!K141),"")</f>
        <v/>
      </c>
    </row>
    <row r="142" spans="1:13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21">
        <f>SUM(Jan!D142, Feb!D142, Mar!D142)</f>
        <v>369419</v>
      </c>
      <c r="E142" s="11">
        <f>SUM(Jan!E142, Feb!E142, Mar!E142)</f>
        <v>775553.2</v>
      </c>
      <c r="F142" s="11">
        <f t="shared" si="9"/>
        <v>-406134.19999999995</v>
      </c>
      <c r="G142" s="12">
        <f t="shared" si="10"/>
        <v>-0.52367032977234829</v>
      </c>
      <c r="H142" s="13">
        <f>SUM(Jan!H142, Feb!H142, Mar!H142)</f>
        <v>800901</v>
      </c>
      <c r="I142" s="13">
        <f>SUM(Jan!I142, Feb!I142, Mar!I142)</f>
        <v>0</v>
      </c>
      <c r="J142" s="14">
        <f t="shared" si="11"/>
        <v>0</v>
      </c>
      <c r="K142" s="14">
        <f>IFERROR(AVERAGE(Jan!K142, Feb!K142, Mar!K142),"")</f>
        <v>0.65234170000000002</v>
      </c>
    </row>
    <row r="143" spans="1:13" ht="15.6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f>SUM(Jan!D143, Feb!D143, Mar!D143)</f>
        <v>0</v>
      </c>
      <c r="E143" s="15">
        <f>SUM(Jan!E143, Feb!E143, Mar!E143)</f>
        <v>0</v>
      </c>
      <c r="F143" s="15">
        <f t="shared" si="9"/>
        <v>0</v>
      </c>
      <c r="G143" s="16" t="str">
        <f t="shared" si="10"/>
        <v/>
      </c>
      <c r="H143" s="17">
        <f>SUM(Jan!H143, Feb!H143, Mar!H143)</f>
        <v>0</v>
      </c>
      <c r="I143" s="17">
        <f>SUM(Jan!I143, Feb!I143, Mar!I143)</f>
        <v>0</v>
      </c>
      <c r="J143" s="16" t="str">
        <f t="shared" si="11"/>
        <v/>
      </c>
      <c r="K143" s="14" t="str">
        <f>IFERROR(AVERAGE(Jan!K143, Feb!K143, Mar!K143),"")</f>
        <v/>
      </c>
    </row>
    <row r="144" spans="1:13" ht="15.6">
      <c r="A144" s="25" t="str">
        <v>Landau I</v>
      </c>
      <c r="B144" s="26" t="str">
        <v>NY</v>
      </c>
      <c r="C144" s="26" t="str">
        <f>Sites[[#This Row],[SOL'#]]</f>
        <v>SOL-10891</v>
      </c>
      <c r="D144" s="21">
        <f>SUM(Jan!D144, Feb!D144, Mar!D144)</f>
        <v>0</v>
      </c>
      <c r="E144" s="11">
        <f>SUM(Jan!E144, Feb!E144, Mar!E144)</f>
        <v>0</v>
      </c>
      <c r="F144" s="11">
        <f t="shared" si="9"/>
        <v>0</v>
      </c>
      <c r="G144" s="12" t="str">
        <f t="shared" si="10"/>
        <v/>
      </c>
      <c r="H144" s="13">
        <f>SUM(Jan!H144, Feb!H144, Mar!H144)</f>
        <v>0</v>
      </c>
      <c r="I144" s="13">
        <f>SUM(Jan!I144, Feb!I144, Mar!I144)</f>
        <v>0</v>
      </c>
      <c r="J144" s="14" t="str">
        <f t="shared" si="11"/>
        <v/>
      </c>
      <c r="K144" s="14" t="str">
        <f>IFERROR(AVERAGE(Jan!K144, Feb!K144, Mar!K144),"")</f>
        <v/>
      </c>
    </row>
    <row r="145" spans="1:11" ht="15.6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f>SUM(Jan!D145, Feb!D145, Mar!D145)</f>
        <v>0</v>
      </c>
      <c r="E145" s="15">
        <f>SUM(Jan!E145, Feb!E145, Mar!E145)</f>
        <v>0</v>
      </c>
      <c r="F145" s="15">
        <f t="shared" si="9"/>
        <v>0</v>
      </c>
      <c r="G145" s="16" t="str">
        <f t="shared" si="10"/>
        <v/>
      </c>
      <c r="H145" s="17">
        <f>SUM(Jan!H145, Feb!H145, Mar!H145)</f>
        <v>0</v>
      </c>
      <c r="I145" s="17">
        <f>SUM(Jan!I145, Feb!I145, Mar!I145)</f>
        <v>0</v>
      </c>
      <c r="J145" s="16" t="str">
        <f t="shared" si="11"/>
        <v/>
      </c>
      <c r="K145" s="14" t="str">
        <f>IFERROR(AVERAGE(Jan!K145, Feb!K145, Mar!K145),"")</f>
        <v/>
      </c>
    </row>
    <row r="146" spans="1:11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21">
        <f>SUM(Jan!D146, Feb!D146, Mar!D146)</f>
        <v>0</v>
      </c>
      <c r="E146" s="11">
        <f>SUM(Jan!E146, Feb!E146, Mar!E146)</f>
        <v>0</v>
      </c>
      <c r="F146" s="11">
        <f t="shared" ref="F146:F159" si="12">IF(AND(ISNUMBER(D146),ISNUMBER(E146)), D146-E146, "")</f>
        <v>0</v>
      </c>
      <c r="G146" s="12" t="str">
        <f t="shared" ref="G146:G159" si="13">IFERROR(F146/E146, "")</f>
        <v/>
      </c>
      <c r="H146" s="13">
        <f>SUM(Jan!H146, Feb!H146, Mar!H146)</f>
        <v>0</v>
      </c>
      <c r="I146" s="13">
        <f>SUM(Jan!I146, Feb!I146, Mar!I146)</f>
        <v>0</v>
      </c>
      <c r="J146" s="14" t="str">
        <f t="shared" ref="J146:J159" si="14">IFERROR(I146/H146, "")</f>
        <v/>
      </c>
      <c r="K146" s="14" t="str">
        <f>IFERROR(AVERAGE(Jan!K146, Feb!K146, Mar!K146),"")</f>
        <v/>
      </c>
    </row>
    <row r="147" spans="1:11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f>SUM(Jan!D147, Feb!D147, Mar!D147)</f>
        <v>0</v>
      </c>
      <c r="E147" s="15">
        <f>SUM(Jan!E147, Feb!E147, Mar!E147)</f>
        <v>0</v>
      </c>
      <c r="F147" s="15">
        <f t="shared" si="12"/>
        <v>0</v>
      </c>
      <c r="G147" s="16" t="str">
        <f t="shared" si="13"/>
        <v/>
      </c>
      <c r="H147" s="17">
        <f>SUM(Jan!H147, Feb!H147, Mar!H147)</f>
        <v>0</v>
      </c>
      <c r="I147" s="17">
        <f>SUM(Jan!I147, Feb!I147, Mar!I147)</f>
        <v>0</v>
      </c>
      <c r="J147" s="16" t="str">
        <f t="shared" si="14"/>
        <v/>
      </c>
      <c r="K147" s="14" t="str">
        <f>IFERROR(AVERAGE(Jan!K147, Feb!K147, Mar!K147),"")</f>
        <v/>
      </c>
    </row>
    <row r="148" spans="1:11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21">
        <f>SUM(Jan!D148, Feb!D148, Mar!D148)</f>
        <v>0</v>
      </c>
      <c r="E148" s="11">
        <f>SUM(Jan!E148, Feb!E148, Mar!E148)</f>
        <v>0</v>
      </c>
      <c r="F148" s="11">
        <f t="shared" si="12"/>
        <v>0</v>
      </c>
      <c r="G148" s="12" t="str">
        <f t="shared" si="13"/>
        <v/>
      </c>
      <c r="H148" s="13">
        <f>SUM(Jan!H148, Feb!H148, Mar!H148)</f>
        <v>0</v>
      </c>
      <c r="I148" s="13">
        <f>SUM(Jan!I148, Feb!I148, Mar!I148)</f>
        <v>0</v>
      </c>
      <c r="J148" s="14" t="str">
        <f t="shared" si="14"/>
        <v/>
      </c>
      <c r="K148" s="14" t="str">
        <f>IFERROR(AVERAGE(Jan!K148, Feb!K148, Mar!K148),"")</f>
        <v/>
      </c>
    </row>
    <row r="149" spans="1:11" ht="15.6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f>SUM(Jan!D149, Feb!D149, Mar!D149)</f>
        <v>0</v>
      </c>
      <c r="E149" s="15">
        <f>SUM(Jan!E149, Feb!E149, Mar!E149)</f>
        <v>0</v>
      </c>
      <c r="F149" s="15">
        <f t="shared" si="12"/>
        <v>0</v>
      </c>
      <c r="G149" s="16" t="str">
        <f t="shared" si="13"/>
        <v/>
      </c>
      <c r="H149" s="17">
        <f>SUM(Jan!H149, Feb!H149, Mar!H149)</f>
        <v>0</v>
      </c>
      <c r="I149" s="17">
        <f>SUM(Jan!I149, Feb!I149, Mar!I149)</f>
        <v>0</v>
      </c>
      <c r="J149" s="16" t="str">
        <f t="shared" si="14"/>
        <v/>
      </c>
      <c r="K149" s="14" t="str">
        <f>IFERROR(AVERAGE(Jan!K149, Feb!K149, Mar!K149),"")</f>
        <v/>
      </c>
    </row>
    <row r="150" spans="1:11" ht="15.6">
      <c r="A150" s="25" t="str">
        <v>Bantam</v>
      </c>
      <c r="B150" s="26" t="str">
        <v>NY</v>
      </c>
      <c r="C150" s="26" t="str">
        <f>Sites[[#This Row],[SOL'#]]</f>
        <v>SOL-10986</v>
      </c>
      <c r="D150" s="21">
        <f>SUM(Jan!D150, Feb!D150, Mar!D150)</f>
        <v>0</v>
      </c>
      <c r="E150" s="11">
        <f>SUM(Jan!E150, Feb!E150, Mar!E150)</f>
        <v>0</v>
      </c>
      <c r="F150" s="11">
        <f t="shared" si="12"/>
        <v>0</v>
      </c>
      <c r="G150" s="12" t="str">
        <f t="shared" si="13"/>
        <v/>
      </c>
      <c r="H150" s="13">
        <f>SUM(Jan!H150, Feb!H150, Mar!H150)</f>
        <v>0</v>
      </c>
      <c r="I150" s="13">
        <f>SUM(Jan!I150, Feb!I150, Mar!I150)</f>
        <v>0</v>
      </c>
      <c r="J150" s="14" t="str">
        <f t="shared" si="14"/>
        <v/>
      </c>
      <c r="K150" s="14" t="str">
        <f>IFERROR(AVERAGE(Jan!K150, Feb!K150, Mar!K150),"")</f>
        <v/>
      </c>
    </row>
    <row r="151" spans="1:11" ht="15.6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f>SUM(Jan!D151, Feb!D151, Mar!D151)</f>
        <v>0</v>
      </c>
      <c r="E151" s="15">
        <f>SUM(Jan!E151, Feb!E151, Mar!E151)</f>
        <v>0</v>
      </c>
      <c r="F151" s="15">
        <f t="shared" si="12"/>
        <v>0</v>
      </c>
      <c r="G151" s="16" t="str">
        <f t="shared" si="13"/>
        <v/>
      </c>
      <c r="H151" s="17">
        <f>SUM(Jan!H151, Feb!H151, Mar!H151)</f>
        <v>0</v>
      </c>
      <c r="I151" s="17">
        <f>SUM(Jan!I151, Feb!I151, Mar!I151)</f>
        <v>0</v>
      </c>
      <c r="J151" s="16" t="str">
        <f t="shared" si="14"/>
        <v/>
      </c>
      <c r="K151" s="14" t="str">
        <f>IFERROR(AVERAGE(Jan!K151, Feb!K151, Mar!K151),"")</f>
        <v/>
      </c>
    </row>
    <row r="152" spans="1:11" ht="15.6">
      <c r="A152" s="25" t="str">
        <v>Dubois</v>
      </c>
      <c r="B152" s="26" t="str">
        <v>NY</v>
      </c>
      <c r="C152" s="26" t="str">
        <f>Sites[[#This Row],[SOL'#]]</f>
        <v>SOL-10892</v>
      </c>
      <c r="D152" s="21">
        <f>SUM(Jan!D152, Feb!D152, Mar!D152)</f>
        <v>0</v>
      </c>
      <c r="E152" s="11">
        <f>SUM(Jan!E152, Feb!E152, Mar!E152)</f>
        <v>0</v>
      </c>
      <c r="F152" s="11">
        <f t="shared" si="12"/>
        <v>0</v>
      </c>
      <c r="G152" s="12" t="str">
        <f t="shared" si="13"/>
        <v/>
      </c>
      <c r="H152" s="13">
        <f>SUM(Jan!H152, Feb!H152, Mar!H152)</f>
        <v>0</v>
      </c>
      <c r="I152" s="13">
        <f>SUM(Jan!I152, Feb!I152, Mar!I152)</f>
        <v>0</v>
      </c>
      <c r="J152" s="14" t="str">
        <f t="shared" si="14"/>
        <v/>
      </c>
      <c r="K152" s="14" t="str">
        <f>IFERROR(AVERAGE(Jan!K152, Feb!K152, Mar!K152),"")</f>
        <v/>
      </c>
    </row>
    <row r="153" spans="1:11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f>SUM(Jan!D153, Feb!D153, Mar!D153)</f>
        <v>0</v>
      </c>
      <c r="E153" s="15">
        <f>SUM(Jan!E153, Feb!E153, Mar!E153)</f>
        <v>0</v>
      </c>
      <c r="F153" s="15">
        <f t="shared" si="12"/>
        <v>0</v>
      </c>
      <c r="G153" s="16" t="str">
        <f t="shared" si="13"/>
        <v/>
      </c>
      <c r="H153" s="17">
        <f>SUM(Jan!H153, Feb!H153, Mar!H153)</f>
        <v>0</v>
      </c>
      <c r="I153" s="17">
        <f>SUM(Jan!I153, Feb!I153, Mar!I153)</f>
        <v>0</v>
      </c>
      <c r="J153" s="16" t="str">
        <f t="shared" si="14"/>
        <v/>
      </c>
      <c r="K153" s="14" t="str">
        <f>IFERROR(AVERAGE(Jan!K153, Feb!K153, Mar!K153),"")</f>
        <v/>
      </c>
    </row>
    <row r="154" spans="1:11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21">
        <f>SUM(Jan!D154, Feb!D154, Mar!D154)</f>
        <v>0</v>
      </c>
      <c r="E154" s="11">
        <f>SUM(Jan!E154, Feb!E154, Mar!E154)</f>
        <v>0</v>
      </c>
      <c r="F154" s="11">
        <f t="shared" si="12"/>
        <v>0</v>
      </c>
      <c r="G154" s="12" t="str">
        <f t="shared" si="13"/>
        <v/>
      </c>
      <c r="H154" s="13">
        <f>SUM(Jan!H154, Feb!H154, Mar!H154)</f>
        <v>0</v>
      </c>
      <c r="I154" s="13">
        <f>SUM(Jan!I154, Feb!I154, Mar!I154)</f>
        <v>0</v>
      </c>
      <c r="J154" s="14" t="str">
        <f t="shared" si="14"/>
        <v/>
      </c>
      <c r="K154" s="14" t="str">
        <f>IFERROR(AVERAGE(Jan!K154, Feb!K154, Mar!K154),"")</f>
        <v/>
      </c>
    </row>
    <row r="155" spans="1:11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f>SUM(Jan!D155, Feb!D155, Mar!D155)</f>
        <v>0</v>
      </c>
      <c r="E155" s="15">
        <f>SUM(Jan!E155, Feb!E155, Mar!E155)</f>
        <v>0</v>
      </c>
      <c r="F155" s="15">
        <f t="shared" si="12"/>
        <v>0</v>
      </c>
      <c r="G155" s="16" t="str">
        <f t="shared" si="13"/>
        <v/>
      </c>
      <c r="H155" s="17">
        <f>SUM(Jan!H155, Feb!H155, Mar!H155)</f>
        <v>0</v>
      </c>
      <c r="I155" s="17">
        <f>SUM(Jan!I155, Feb!I155, Mar!I155)</f>
        <v>0</v>
      </c>
      <c r="J155" s="16" t="str">
        <f t="shared" si="14"/>
        <v/>
      </c>
      <c r="K155" s="14" t="str">
        <f>IFERROR(AVERAGE(Jan!K155, Feb!K155, Mar!K155),"")</f>
        <v/>
      </c>
    </row>
    <row r="156" spans="1:11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21">
        <f>SUM(Jan!D156, Feb!D156, Mar!D156)</f>
        <v>0</v>
      </c>
      <c r="E156" s="11">
        <f>SUM(Jan!E156, Feb!E156, Mar!E156)</f>
        <v>0</v>
      </c>
      <c r="F156" s="11">
        <f t="shared" si="12"/>
        <v>0</v>
      </c>
      <c r="G156" s="12" t="str">
        <f t="shared" si="13"/>
        <v/>
      </c>
      <c r="H156" s="13">
        <f>SUM(Jan!H156, Feb!H156, Mar!H156)</f>
        <v>0</v>
      </c>
      <c r="I156" s="13">
        <f>SUM(Jan!I156, Feb!I156, Mar!I156)</f>
        <v>0</v>
      </c>
      <c r="J156" s="14" t="str">
        <f t="shared" si="14"/>
        <v/>
      </c>
      <c r="K156" s="14" t="str">
        <f>IFERROR(AVERAGE(Jan!K156, Feb!K156, Mar!K156),"")</f>
        <v/>
      </c>
    </row>
    <row r="157" spans="1:11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f>SUM(Jan!D157, Feb!D157, Mar!D157)</f>
        <v>0</v>
      </c>
      <c r="E157" s="15">
        <f>SUM(Jan!E157, Feb!E157, Mar!E157)</f>
        <v>0</v>
      </c>
      <c r="F157" s="15">
        <f t="shared" si="12"/>
        <v>0</v>
      </c>
      <c r="G157" s="16" t="str">
        <f t="shared" si="13"/>
        <v/>
      </c>
      <c r="H157" s="17">
        <f>SUM(Jan!H157, Feb!H157, Mar!H157)</f>
        <v>0</v>
      </c>
      <c r="I157" s="17">
        <f>SUM(Jan!I157, Feb!I157, Mar!I157)</f>
        <v>0</v>
      </c>
      <c r="J157" s="16" t="str">
        <f t="shared" si="14"/>
        <v/>
      </c>
      <c r="K157" s="14" t="str">
        <f>IFERROR(AVERAGE(Jan!K157, Feb!K157, Mar!K157),"")</f>
        <v/>
      </c>
    </row>
    <row r="158" spans="1:11" ht="15.6">
      <c r="A158" s="25" t="str">
        <v>Costanza</v>
      </c>
      <c r="B158" s="26" t="str">
        <v>NY</v>
      </c>
      <c r="C158" s="26" t="str">
        <f>Sites[[#This Row],[SOL'#]]</f>
        <v>SOL-10907</v>
      </c>
      <c r="D158" s="21">
        <f>SUM(Jan!D158, Feb!D158, Mar!D158)</f>
        <v>0</v>
      </c>
      <c r="E158" s="11">
        <f>SUM(Jan!E158, Feb!E158, Mar!E158)</f>
        <v>0</v>
      </c>
      <c r="F158" s="11">
        <f t="shared" si="12"/>
        <v>0</v>
      </c>
      <c r="G158" s="12" t="str">
        <f t="shared" si="13"/>
        <v/>
      </c>
      <c r="H158" s="13">
        <f>SUM(Jan!H158, Feb!H158, Mar!H158)</f>
        <v>0</v>
      </c>
      <c r="I158" s="13">
        <f>SUM(Jan!I158, Feb!I158, Mar!I158)</f>
        <v>0</v>
      </c>
      <c r="J158" s="14" t="str">
        <f t="shared" si="14"/>
        <v/>
      </c>
      <c r="K158" s="14" t="str">
        <f>IFERROR(AVERAGE(Jan!K158, Feb!K158, Mar!K158),"")</f>
        <v/>
      </c>
    </row>
    <row r="159" spans="1:11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f>SUM(Jan!D159, Feb!D159, Mar!D159)</f>
        <v>744979</v>
      </c>
      <c r="E159" s="15">
        <f>SUM(Jan!E159, Feb!E159, Mar!E159)</f>
        <v>795848.60000000009</v>
      </c>
      <c r="F159" s="15">
        <f t="shared" si="12"/>
        <v>-50869.600000000093</v>
      </c>
      <c r="G159" s="16">
        <f t="shared" si="13"/>
        <v>-6.3918690062406455E-2</v>
      </c>
      <c r="H159" s="17">
        <f>SUM(Jan!H159, Feb!H159, Mar!H159)</f>
        <v>728645</v>
      </c>
      <c r="I159" s="17">
        <f>SUM(Jan!I159, Feb!I159, Mar!I159)</f>
        <v>0</v>
      </c>
      <c r="J159" s="16">
        <f t="shared" si="14"/>
        <v>0</v>
      </c>
      <c r="K159" s="14">
        <f>IFERROR(AVERAGE(Jan!K159, Feb!K159, Mar!K159),"")</f>
        <v>0.95979296666666658</v>
      </c>
    </row>
    <row r="160" spans="1:11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21">
        <f>SUM(Jan!D160, Feb!D160, Mar!D160)</f>
        <v>0</v>
      </c>
      <c r="E160" s="11">
        <f>SUM(Jan!E160, Feb!E160, Mar!E160)</f>
        <v>0</v>
      </c>
      <c r="F160" s="11">
        <f t="shared" ref="F160:F161" si="15">IF(AND(ISNUMBER(D160),ISNUMBER(E160)), D160-E160, "")</f>
        <v>0</v>
      </c>
      <c r="G160" s="12" t="str">
        <f t="shared" ref="G160:G161" si="16">IFERROR(F160/E160, "")</f>
        <v/>
      </c>
      <c r="H160" s="13">
        <f>SUM(Jan!H160, Feb!H160, Mar!H160)</f>
        <v>0</v>
      </c>
      <c r="I160" s="13">
        <f>SUM(Jan!I160, Feb!I160, Mar!I160)</f>
        <v>0</v>
      </c>
      <c r="J160" s="14" t="str">
        <f t="shared" ref="J160:J161" si="17">IFERROR(I160/H160, "")</f>
        <v/>
      </c>
      <c r="K160" s="14" t="str">
        <f>IFERROR(AVERAGE(Jan!K160, Feb!K160, Mar!K160),"")</f>
        <v/>
      </c>
    </row>
    <row r="161" spans="1:11" ht="15.6">
      <c r="A161" s="27" t="str">
        <v>Altamont</v>
      </c>
      <c r="B161" s="28" t="str">
        <v>NY</v>
      </c>
      <c r="C161" s="28" t="s">
        <v>13</v>
      </c>
      <c r="D161" s="10">
        <f>SUM(Jan!D161, Feb!D161, Mar!D161)</f>
        <v>0</v>
      </c>
      <c r="E161" s="15">
        <f>SUM(Jan!E161, Feb!E161, Mar!E161)</f>
        <v>0</v>
      </c>
      <c r="F161" s="15">
        <f t="shared" si="15"/>
        <v>0</v>
      </c>
      <c r="G161" s="16" t="str">
        <f t="shared" si="16"/>
        <v/>
      </c>
      <c r="H161" s="17">
        <f>SUM(Jan!H161, Feb!H161, Mar!H161)</f>
        <v>0</v>
      </c>
      <c r="I161" s="17">
        <f>SUM(Jan!I161, Feb!I161, Mar!I161)</f>
        <v>0</v>
      </c>
      <c r="J161" s="16" t="str">
        <f t="shared" si="17"/>
        <v/>
      </c>
      <c r="K161" s="14">
        <f>IFERROR(AVERAGE(Jan!K161, Feb!K161, Mar!K161),"")</f>
        <v>0</v>
      </c>
    </row>
    <row r="162" spans="1:11" ht="12.95">
      <c r="A162" s="18"/>
      <c r="B162" s="18"/>
      <c r="C162" s="18"/>
      <c r="D162" s="18"/>
      <c r="E162" s="18"/>
      <c r="F162" s="18"/>
      <c r="G162" s="19"/>
      <c r="H162" s="18"/>
      <c r="I162" s="18"/>
      <c r="J162" s="19"/>
      <c r="K162" s="19"/>
    </row>
    <row r="163" spans="1:11" ht="12.95">
      <c r="A163" s="18"/>
      <c r="B163" s="18"/>
      <c r="C163" s="18"/>
      <c r="D163" s="18"/>
      <c r="E163" s="18"/>
      <c r="F163" s="18"/>
      <c r="G163" s="19"/>
      <c r="H163" s="18"/>
      <c r="I163" s="18"/>
      <c r="J163" s="19"/>
      <c r="K163" s="19"/>
    </row>
    <row r="164" spans="1:11" ht="12.95">
      <c r="A164" s="18"/>
      <c r="B164" s="18"/>
      <c r="C164" s="18"/>
      <c r="D164" s="18"/>
      <c r="E164" s="18"/>
      <c r="F164" s="18"/>
      <c r="G164" s="19"/>
      <c r="H164" s="18"/>
      <c r="I164" s="18"/>
      <c r="J164" s="19"/>
      <c r="K164" s="19"/>
    </row>
    <row r="165" spans="1:11" ht="12.95">
      <c r="A165" s="18"/>
      <c r="B165" s="18"/>
      <c r="C165" s="18"/>
      <c r="D165" s="18"/>
      <c r="E165" s="18"/>
      <c r="F165" s="18"/>
      <c r="G165" s="19"/>
      <c r="H165" s="18"/>
      <c r="I165" s="18"/>
      <c r="J165" s="19"/>
      <c r="K165" s="19"/>
    </row>
    <row r="166" spans="1:11" ht="12.95">
      <c r="A166" s="18"/>
      <c r="B166" s="18"/>
      <c r="C166" s="18"/>
      <c r="D166" s="18"/>
      <c r="E166" s="18"/>
      <c r="F166" s="18"/>
      <c r="G166" s="19"/>
      <c r="H166" s="18"/>
      <c r="I166" s="18"/>
      <c r="J166" s="19"/>
      <c r="K166" s="19"/>
    </row>
    <row r="167" spans="1:11" ht="12.95">
      <c r="A167" s="18"/>
      <c r="B167" s="18"/>
      <c r="C167" s="18"/>
      <c r="D167" s="18"/>
      <c r="E167" s="18"/>
      <c r="F167" s="18"/>
      <c r="G167" s="19"/>
      <c r="H167" s="18"/>
      <c r="I167" s="18"/>
      <c r="J167" s="19"/>
      <c r="K167" s="19"/>
    </row>
    <row r="168" spans="1:11" ht="12.95">
      <c r="A168" s="18"/>
      <c r="B168" s="18"/>
      <c r="C168" s="18"/>
      <c r="D168" s="18"/>
      <c r="E168" s="18"/>
      <c r="F168" s="18"/>
      <c r="G168" s="19"/>
      <c r="H168" s="18"/>
      <c r="I168" s="18"/>
      <c r="J168" s="19"/>
      <c r="K168" s="19"/>
    </row>
    <row r="169" spans="1:11" ht="12.95">
      <c r="A169" s="18"/>
      <c r="B169" s="18"/>
      <c r="C169" s="18"/>
      <c r="D169" s="18"/>
      <c r="E169" s="18"/>
      <c r="F169" s="18"/>
      <c r="G169" s="19"/>
      <c r="H169" s="18"/>
      <c r="I169" s="18"/>
      <c r="J169" s="19"/>
      <c r="K169" s="19"/>
    </row>
    <row r="170" spans="1:11" ht="12.95">
      <c r="A170" s="18"/>
      <c r="B170" s="18"/>
      <c r="C170" s="18"/>
      <c r="D170" s="18"/>
      <c r="E170" s="18"/>
      <c r="F170" s="18"/>
      <c r="G170" s="19"/>
      <c r="H170" s="18"/>
      <c r="I170" s="18"/>
      <c r="J170" s="19"/>
      <c r="K170" s="19"/>
    </row>
    <row r="171" spans="1:11" ht="12.95">
      <c r="A171" s="18"/>
      <c r="B171" s="18"/>
      <c r="C171" s="18"/>
      <c r="D171" s="18"/>
      <c r="E171" s="18"/>
      <c r="F171" s="18"/>
      <c r="G171" s="19"/>
      <c r="H171" s="18"/>
      <c r="I171" s="18"/>
      <c r="J171" s="19"/>
      <c r="K171" s="19"/>
    </row>
    <row r="172" spans="1:11" ht="12.95">
      <c r="A172" s="18"/>
      <c r="B172" s="18"/>
      <c r="C172" s="18"/>
      <c r="D172" s="18"/>
      <c r="E172" s="18"/>
      <c r="F172" s="18"/>
      <c r="G172" s="19"/>
      <c r="H172" s="18"/>
      <c r="I172" s="18"/>
      <c r="J172" s="19"/>
      <c r="K172" s="19"/>
    </row>
    <row r="173" spans="1:11" ht="12.95">
      <c r="A173" s="18"/>
      <c r="B173" s="18"/>
      <c r="C173" s="18"/>
      <c r="D173" s="18"/>
      <c r="E173" s="18"/>
      <c r="F173" s="18"/>
      <c r="G173" s="19"/>
      <c r="H173" s="18"/>
      <c r="I173" s="18"/>
      <c r="J173" s="19"/>
      <c r="K173" s="19"/>
    </row>
    <row r="174" spans="1:11" ht="12.95">
      <c r="A174" s="18"/>
      <c r="B174" s="18"/>
      <c r="C174" s="18"/>
      <c r="D174" s="18"/>
      <c r="E174" s="18"/>
      <c r="F174" s="18"/>
      <c r="G174" s="19"/>
      <c r="H174" s="18"/>
      <c r="I174" s="18"/>
      <c r="J174" s="19"/>
      <c r="K174" s="19"/>
    </row>
    <row r="175" spans="1:11" ht="12.95">
      <c r="A175" s="18"/>
      <c r="B175" s="18"/>
      <c r="C175" s="18"/>
      <c r="D175" s="18"/>
      <c r="E175" s="18"/>
      <c r="F175" s="18"/>
      <c r="G175" s="19"/>
      <c r="H175" s="18"/>
      <c r="I175" s="18"/>
      <c r="J175" s="19"/>
      <c r="K175" s="19"/>
    </row>
    <row r="176" spans="1:11" ht="12.95">
      <c r="A176" s="18"/>
      <c r="B176" s="18"/>
      <c r="C176" s="18"/>
      <c r="D176" s="18"/>
      <c r="E176" s="18"/>
      <c r="F176" s="18"/>
      <c r="G176" s="19"/>
      <c r="H176" s="18"/>
      <c r="I176" s="18"/>
      <c r="J176" s="19"/>
      <c r="K176" s="19"/>
    </row>
    <row r="177" spans="1:11" ht="12.95">
      <c r="A177" s="18"/>
      <c r="B177" s="18"/>
      <c r="C177" s="18"/>
      <c r="D177" s="18"/>
      <c r="E177" s="18"/>
      <c r="F177" s="18"/>
      <c r="G177" s="19"/>
      <c r="H177" s="18"/>
      <c r="I177" s="18"/>
      <c r="J177" s="19"/>
      <c r="K177" s="19"/>
    </row>
    <row r="178" spans="1:11" ht="12.95">
      <c r="A178" s="18"/>
      <c r="B178" s="18"/>
      <c r="C178" s="18"/>
      <c r="D178" s="18"/>
      <c r="E178" s="18"/>
      <c r="F178" s="18"/>
      <c r="G178" s="19"/>
      <c r="H178" s="18"/>
      <c r="I178" s="18"/>
      <c r="J178" s="19"/>
      <c r="K178" s="19"/>
    </row>
    <row r="179" spans="1:11" ht="12.95">
      <c r="A179" s="18"/>
      <c r="B179" s="18"/>
      <c r="C179" s="18"/>
      <c r="D179" s="18"/>
      <c r="E179" s="18"/>
      <c r="F179" s="18"/>
      <c r="G179" s="19"/>
      <c r="H179" s="18"/>
      <c r="I179" s="18"/>
      <c r="J179" s="19"/>
      <c r="K179" s="19"/>
    </row>
    <row r="180" spans="1:11" ht="12.95">
      <c r="A180" s="18"/>
      <c r="B180" s="18"/>
      <c r="C180" s="18"/>
      <c r="D180" s="18"/>
      <c r="E180" s="18"/>
      <c r="F180" s="18"/>
      <c r="G180" s="19"/>
      <c r="H180" s="18"/>
      <c r="I180" s="18"/>
      <c r="J180" s="19"/>
      <c r="K180" s="19"/>
    </row>
    <row r="181" spans="1:11" ht="12.95">
      <c r="A181" s="18"/>
      <c r="B181" s="18"/>
      <c r="C181" s="18"/>
      <c r="D181" s="18"/>
      <c r="E181" s="18"/>
      <c r="F181" s="18"/>
      <c r="G181" s="19"/>
      <c r="H181" s="18"/>
      <c r="I181" s="18"/>
      <c r="J181" s="19"/>
      <c r="K181" s="19"/>
    </row>
    <row r="182" spans="1:11" ht="12.95">
      <c r="A182" s="18"/>
      <c r="B182" s="18"/>
      <c r="C182" s="18"/>
      <c r="D182" s="18"/>
      <c r="E182" s="18"/>
      <c r="F182" s="18"/>
      <c r="G182" s="19"/>
      <c r="H182" s="18"/>
      <c r="I182" s="18"/>
      <c r="J182" s="19"/>
      <c r="K182" s="19"/>
    </row>
    <row r="183" spans="1:11" ht="12.95">
      <c r="A183" s="18"/>
      <c r="B183" s="18"/>
      <c r="C183" s="18"/>
      <c r="D183" s="18"/>
      <c r="E183" s="18"/>
      <c r="F183" s="18"/>
      <c r="G183" s="19"/>
      <c r="H183" s="18"/>
      <c r="I183" s="18"/>
      <c r="J183" s="19"/>
      <c r="K183" s="19"/>
    </row>
    <row r="184" spans="1:11" ht="12.95">
      <c r="A184" s="18"/>
      <c r="B184" s="18"/>
      <c r="C184" s="18"/>
      <c r="D184" s="18"/>
      <c r="E184" s="18"/>
      <c r="F184" s="18"/>
      <c r="G184" s="19"/>
      <c r="H184" s="18"/>
      <c r="I184" s="18"/>
      <c r="J184" s="19"/>
      <c r="K184" s="19"/>
    </row>
    <row r="185" spans="1:11" ht="12.95">
      <c r="A185" s="18"/>
      <c r="B185" s="18"/>
      <c r="C185" s="18"/>
      <c r="D185" s="18"/>
      <c r="E185" s="18"/>
      <c r="F185" s="18"/>
      <c r="G185" s="19"/>
      <c r="H185" s="18"/>
      <c r="I185" s="18"/>
      <c r="J185" s="19"/>
      <c r="K185" s="19"/>
    </row>
    <row r="186" spans="1:11" ht="12.95">
      <c r="A186" s="18"/>
      <c r="B186" s="18"/>
      <c r="C186" s="18"/>
      <c r="D186" s="18"/>
      <c r="E186" s="18"/>
      <c r="F186" s="18"/>
      <c r="G186" s="19"/>
      <c r="H186" s="18"/>
      <c r="I186" s="18"/>
      <c r="J186" s="19"/>
      <c r="K186" s="19"/>
    </row>
    <row r="187" spans="1:11" ht="12.95">
      <c r="A187" s="18"/>
      <c r="B187" s="18"/>
      <c r="C187" s="18"/>
      <c r="D187" s="18"/>
      <c r="E187" s="18"/>
      <c r="F187" s="18"/>
      <c r="G187" s="19"/>
      <c r="H187" s="18"/>
      <c r="I187" s="18"/>
      <c r="J187" s="19"/>
      <c r="K187" s="19"/>
    </row>
    <row r="188" spans="1:11" ht="12.95">
      <c r="A188" s="18"/>
      <c r="B188" s="18"/>
      <c r="C188" s="18"/>
      <c r="D188" s="18"/>
      <c r="E188" s="18"/>
      <c r="F188" s="18"/>
      <c r="G188" s="19"/>
      <c r="H188" s="18"/>
      <c r="I188" s="18"/>
      <c r="J188" s="19"/>
      <c r="K188" s="19"/>
    </row>
    <row r="189" spans="1:11" ht="12.95">
      <c r="A189" s="18"/>
      <c r="B189" s="18"/>
      <c r="C189" s="18"/>
      <c r="D189" s="18"/>
      <c r="E189" s="18"/>
      <c r="F189" s="18"/>
      <c r="G189" s="19"/>
      <c r="H189" s="18"/>
      <c r="I189" s="18"/>
      <c r="J189" s="19"/>
      <c r="K189" s="19"/>
    </row>
    <row r="190" spans="1:11" ht="12.95">
      <c r="A190" s="18"/>
      <c r="B190" s="18"/>
      <c r="C190" s="18"/>
      <c r="D190" s="18"/>
      <c r="E190" s="18"/>
      <c r="F190" s="18"/>
      <c r="G190" s="19"/>
      <c r="H190" s="18"/>
      <c r="I190" s="18"/>
      <c r="J190" s="19"/>
      <c r="K190" s="19"/>
    </row>
    <row r="191" spans="1:11" ht="12.95">
      <c r="A191" s="18"/>
      <c r="B191" s="18"/>
      <c r="C191" s="18"/>
      <c r="D191" s="18"/>
      <c r="E191" s="18"/>
      <c r="F191" s="18"/>
      <c r="G191" s="19"/>
      <c r="H191" s="18"/>
      <c r="I191" s="18"/>
      <c r="J191" s="19"/>
      <c r="K191" s="19"/>
    </row>
    <row r="192" spans="1:11" ht="12.95">
      <c r="A192" s="18"/>
      <c r="B192" s="18"/>
      <c r="C192" s="18"/>
      <c r="D192" s="18"/>
      <c r="E192" s="18"/>
      <c r="F192" s="18"/>
      <c r="G192" s="19"/>
      <c r="H192" s="18"/>
      <c r="I192" s="18"/>
      <c r="J192" s="19"/>
      <c r="K192" s="19"/>
    </row>
    <row r="193" spans="1:11" ht="12.95">
      <c r="A193" s="18"/>
      <c r="B193" s="18"/>
      <c r="C193" s="18"/>
      <c r="D193" s="18"/>
      <c r="E193" s="18"/>
      <c r="F193" s="18"/>
      <c r="G193" s="19"/>
      <c r="H193" s="18"/>
      <c r="I193" s="18"/>
      <c r="J193" s="19"/>
      <c r="K193" s="19"/>
    </row>
    <row r="194" spans="1:11" ht="12.95">
      <c r="A194" s="18"/>
      <c r="B194" s="18"/>
      <c r="C194" s="18"/>
      <c r="D194" s="18"/>
      <c r="E194" s="18"/>
      <c r="F194" s="18"/>
      <c r="G194" s="19"/>
      <c r="H194" s="18"/>
      <c r="I194" s="18"/>
      <c r="J194" s="19"/>
      <c r="K194" s="19"/>
    </row>
    <row r="195" spans="1:11" ht="12.95">
      <c r="A195" s="18"/>
      <c r="B195" s="18"/>
      <c r="C195" s="18"/>
      <c r="D195" s="18"/>
      <c r="E195" s="18"/>
      <c r="F195" s="18"/>
      <c r="G195" s="19"/>
      <c r="H195" s="18"/>
      <c r="I195" s="18"/>
      <c r="J195" s="19"/>
      <c r="K195" s="19"/>
    </row>
    <row r="196" spans="1:11" ht="12.95">
      <c r="A196" s="18"/>
      <c r="B196" s="18"/>
      <c r="C196" s="18"/>
      <c r="D196" s="18"/>
      <c r="E196" s="18"/>
      <c r="F196" s="18"/>
      <c r="G196" s="19"/>
      <c r="H196" s="18"/>
      <c r="I196" s="18"/>
      <c r="J196" s="19"/>
      <c r="K196" s="19"/>
    </row>
    <row r="197" spans="1:11" ht="12.95">
      <c r="A197" s="18"/>
      <c r="B197" s="18"/>
      <c r="C197" s="18"/>
      <c r="D197" s="18"/>
      <c r="E197" s="18"/>
      <c r="F197" s="18"/>
      <c r="G197" s="19"/>
      <c r="H197" s="18"/>
      <c r="I197" s="18"/>
      <c r="J197" s="19"/>
      <c r="K197" s="19"/>
    </row>
    <row r="198" spans="1:11" ht="12.95">
      <c r="A198" s="18"/>
      <c r="B198" s="18"/>
      <c r="C198" s="18"/>
      <c r="D198" s="18"/>
      <c r="E198" s="18"/>
      <c r="F198" s="18"/>
      <c r="G198" s="19"/>
      <c r="H198" s="18"/>
      <c r="I198" s="18"/>
      <c r="J198" s="19"/>
      <c r="K198" s="19"/>
    </row>
    <row r="199" spans="1:11" ht="12.95">
      <c r="A199" s="18"/>
      <c r="B199" s="18"/>
      <c r="C199" s="18"/>
      <c r="D199" s="18"/>
      <c r="E199" s="18"/>
      <c r="F199" s="18"/>
      <c r="G199" s="19"/>
      <c r="H199" s="18"/>
      <c r="I199" s="18"/>
      <c r="J199" s="19"/>
      <c r="K199" s="19"/>
    </row>
    <row r="200" spans="1:11" ht="12.95">
      <c r="A200" s="18"/>
      <c r="B200" s="18"/>
      <c r="C200" s="18"/>
      <c r="D200" s="18"/>
      <c r="E200" s="18"/>
      <c r="F200" s="18"/>
      <c r="G200" s="19"/>
      <c r="H200" s="18"/>
      <c r="I200" s="18"/>
      <c r="J200" s="19"/>
      <c r="K200" s="19"/>
    </row>
    <row r="201" spans="1:11" ht="12.95">
      <c r="A201" s="18"/>
      <c r="B201" s="18"/>
      <c r="C201" s="18"/>
      <c r="D201" s="18"/>
      <c r="E201" s="18"/>
      <c r="F201" s="18"/>
      <c r="G201" s="19"/>
      <c r="H201" s="18"/>
      <c r="I201" s="18"/>
      <c r="J201" s="19"/>
      <c r="K201" s="19"/>
    </row>
    <row r="202" spans="1:11" ht="12.95">
      <c r="A202" s="18"/>
      <c r="B202" s="18"/>
      <c r="C202" s="18"/>
      <c r="D202" s="18"/>
      <c r="E202" s="18"/>
      <c r="F202" s="18"/>
      <c r="G202" s="19"/>
      <c r="H202" s="18"/>
      <c r="I202" s="18"/>
      <c r="J202" s="19"/>
      <c r="K202" s="19"/>
    </row>
    <row r="203" spans="1:11" ht="12.95">
      <c r="A203" s="18"/>
      <c r="B203" s="18"/>
      <c r="C203" s="18"/>
      <c r="D203" s="18"/>
      <c r="E203" s="18"/>
      <c r="F203" s="18"/>
      <c r="G203" s="19"/>
      <c r="H203" s="18"/>
      <c r="I203" s="18"/>
      <c r="J203" s="19"/>
      <c r="K203" s="19"/>
    </row>
    <row r="204" spans="1:11" ht="12.95">
      <c r="A204" s="18"/>
      <c r="B204" s="18"/>
      <c r="C204" s="18"/>
      <c r="D204" s="18"/>
      <c r="E204" s="18"/>
      <c r="F204" s="18"/>
      <c r="G204" s="19"/>
      <c r="H204" s="18"/>
      <c r="I204" s="18"/>
      <c r="J204" s="19"/>
      <c r="K204" s="19"/>
    </row>
    <row r="205" spans="1:11" ht="12.95">
      <c r="A205" s="18"/>
      <c r="B205" s="18"/>
      <c r="C205" s="18"/>
      <c r="D205" s="18"/>
      <c r="E205" s="18"/>
      <c r="F205" s="18"/>
      <c r="G205" s="19"/>
      <c r="H205" s="18"/>
      <c r="I205" s="18"/>
      <c r="J205" s="19"/>
      <c r="K205" s="19"/>
    </row>
    <row r="206" spans="1:11" ht="12.95">
      <c r="A206" s="18"/>
      <c r="B206" s="18"/>
      <c r="C206" s="18"/>
      <c r="D206" s="18"/>
      <c r="E206" s="18"/>
      <c r="F206" s="18"/>
      <c r="G206" s="19"/>
      <c r="H206" s="18"/>
      <c r="I206" s="18"/>
      <c r="J206" s="19"/>
      <c r="K206" s="19"/>
    </row>
    <row r="207" spans="1:11" ht="12.95">
      <c r="A207" s="18"/>
      <c r="B207" s="18"/>
      <c r="C207" s="18"/>
      <c r="D207" s="18"/>
      <c r="E207" s="18"/>
      <c r="F207" s="18"/>
      <c r="G207" s="19"/>
      <c r="H207" s="18"/>
      <c r="I207" s="18"/>
      <c r="J207" s="19"/>
      <c r="K207" s="19"/>
    </row>
    <row r="208" spans="1:11" ht="12.95">
      <c r="A208" s="18"/>
      <c r="B208" s="18"/>
      <c r="C208" s="18"/>
      <c r="D208" s="18"/>
      <c r="E208" s="18"/>
      <c r="F208" s="18"/>
      <c r="G208" s="19"/>
      <c r="H208" s="18"/>
      <c r="I208" s="18"/>
      <c r="J208" s="19"/>
      <c r="K208" s="19"/>
    </row>
    <row r="209" spans="1:11" ht="12.95">
      <c r="A209" s="18"/>
      <c r="B209" s="18"/>
      <c r="C209" s="18"/>
      <c r="D209" s="18"/>
      <c r="E209" s="18"/>
      <c r="F209" s="18"/>
      <c r="G209" s="19"/>
      <c r="H209" s="18"/>
      <c r="I209" s="18"/>
      <c r="J209" s="19"/>
      <c r="K209" s="19"/>
    </row>
    <row r="210" spans="1:11" ht="12.95">
      <c r="A210" s="18"/>
      <c r="B210" s="18"/>
      <c r="C210" s="18"/>
      <c r="D210" s="18"/>
      <c r="E210" s="18"/>
      <c r="F210" s="18"/>
      <c r="G210" s="19"/>
      <c r="H210" s="18"/>
      <c r="I210" s="18"/>
      <c r="J210" s="19"/>
      <c r="K210" s="19"/>
    </row>
    <row r="211" spans="1:11" ht="12.95">
      <c r="A211" s="18"/>
      <c r="B211" s="18"/>
      <c r="C211" s="18"/>
      <c r="D211" s="18"/>
      <c r="E211" s="18"/>
      <c r="F211" s="18"/>
      <c r="G211" s="19"/>
      <c r="H211" s="18"/>
      <c r="I211" s="18"/>
      <c r="J211" s="19"/>
      <c r="K211" s="19"/>
    </row>
    <row r="212" spans="1:11" ht="12.95">
      <c r="A212" s="18"/>
      <c r="B212" s="18"/>
      <c r="C212" s="18"/>
      <c r="D212" s="18"/>
      <c r="E212" s="18"/>
      <c r="F212" s="18"/>
      <c r="G212" s="19"/>
      <c r="H212" s="18"/>
      <c r="I212" s="18"/>
      <c r="J212" s="19"/>
      <c r="K212" s="19"/>
    </row>
    <row r="213" spans="1:11" ht="12.95">
      <c r="A213" s="18"/>
      <c r="B213" s="18"/>
      <c r="C213" s="18"/>
      <c r="D213" s="18"/>
      <c r="E213" s="18"/>
      <c r="F213" s="18"/>
      <c r="G213" s="19"/>
      <c r="H213" s="18"/>
      <c r="I213" s="18"/>
      <c r="J213" s="19"/>
      <c r="K213" s="19"/>
    </row>
    <row r="214" spans="1:11" ht="12.95">
      <c r="A214" s="18"/>
      <c r="B214" s="18"/>
      <c r="C214" s="18"/>
      <c r="D214" s="18"/>
      <c r="E214" s="18"/>
      <c r="F214" s="18"/>
      <c r="G214" s="19"/>
      <c r="H214" s="18"/>
      <c r="I214" s="18"/>
      <c r="J214" s="19"/>
      <c r="K214" s="19"/>
    </row>
    <row r="215" spans="1:11" ht="12.95">
      <c r="A215" s="18"/>
      <c r="B215" s="18"/>
      <c r="C215" s="18"/>
      <c r="D215" s="18"/>
      <c r="E215" s="18"/>
      <c r="F215" s="18"/>
      <c r="G215" s="19"/>
      <c r="H215" s="18"/>
      <c r="I215" s="18"/>
      <c r="J215" s="19"/>
      <c r="K215" s="19"/>
    </row>
    <row r="216" spans="1:11" ht="12.95">
      <c r="A216" s="18"/>
      <c r="B216" s="18"/>
      <c r="C216" s="18"/>
      <c r="D216" s="18"/>
      <c r="E216" s="18"/>
      <c r="F216" s="18"/>
      <c r="G216" s="19"/>
      <c r="H216" s="18"/>
      <c r="I216" s="18"/>
      <c r="J216" s="19"/>
      <c r="K216" s="19"/>
    </row>
    <row r="217" spans="1:11" ht="12.95">
      <c r="A217" s="18"/>
      <c r="B217" s="18"/>
      <c r="C217" s="18"/>
      <c r="D217" s="18"/>
      <c r="E217" s="18"/>
      <c r="F217" s="18"/>
      <c r="G217" s="19"/>
      <c r="H217" s="18"/>
      <c r="I217" s="18"/>
      <c r="J217" s="19"/>
      <c r="K217" s="19"/>
    </row>
    <row r="218" spans="1:11" ht="12.95">
      <c r="A218" s="18"/>
      <c r="B218" s="18"/>
      <c r="C218" s="18"/>
      <c r="D218" s="18"/>
      <c r="E218" s="18"/>
      <c r="F218" s="18"/>
      <c r="G218" s="19"/>
      <c r="H218" s="18"/>
      <c r="I218" s="18"/>
      <c r="J218" s="19"/>
      <c r="K218" s="19"/>
    </row>
    <row r="219" spans="1:11" ht="12.95">
      <c r="A219" s="18"/>
      <c r="B219" s="18"/>
      <c r="C219" s="18"/>
      <c r="D219" s="18"/>
      <c r="E219" s="18"/>
      <c r="F219" s="18"/>
      <c r="G219" s="19"/>
      <c r="H219" s="18"/>
      <c r="I219" s="18"/>
      <c r="J219" s="19"/>
      <c r="K219" s="19"/>
    </row>
    <row r="220" spans="1:11" ht="12.95">
      <c r="A220" s="18"/>
      <c r="B220" s="18"/>
      <c r="C220" s="18"/>
      <c r="D220" s="18"/>
      <c r="E220" s="18"/>
      <c r="F220" s="18"/>
      <c r="G220" s="19"/>
      <c r="H220" s="18"/>
      <c r="I220" s="18"/>
      <c r="J220" s="19"/>
      <c r="K220" s="19"/>
    </row>
    <row r="221" spans="1:11" ht="12.95">
      <c r="A221" s="18"/>
      <c r="B221" s="18"/>
      <c r="C221" s="18"/>
      <c r="D221" s="18"/>
      <c r="E221" s="18"/>
      <c r="F221" s="18"/>
      <c r="G221" s="19"/>
      <c r="H221" s="18"/>
      <c r="I221" s="18"/>
      <c r="J221" s="19"/>
      <c r="K221" s="19"/>
    </row>
    <row r="222" spans="1:11" ht="12.95">
      <c r="A222" s="18"/>
      <c r="B222" s="18"/>
      <c r="C222" s="18"/>
      <c r="D222" s="18"/>
      <c r="E222" s="18"/>
      <c r="F222" s="18"/>
      <c r="G222" s="19"/>
      <c r="H222" s="18"/>
      <c r="I222" s="18"/>
      <c r="J222" s="19"/>
      <c r="K222" s="19"/>
    </row>
    <row r="223" spans="1:11" ht="12.95">
      <c r="A223" s="18"/>
      <c r="B223" s="18"/>
      <c r="C223" s="18"/>
      <c r="D223" s="18"/>
      <c r="E223" s="18"/>
      <c r="F223" s="18"/>
      <c r="G223" s="19"/>
      <c r="H223" s="18"/>
      <c r="I223" s="18"/>
      <c r="J223" s="19"/>
      <c r="K223" s="19"/>
    </row>
    <row r="224" spans="1:11" ht="12.95">
      <c r="A224" s="18"/>
      <c r="B224" s="18"/>
      <c r="C224" s="18"/>
      <c r="D224" s="18"/>
      <c r="E224" s="18"/>
      <c r="F224" s="18"/>
      <c r="G224" s="19"/>
      <c r="H224" s="18"/>
      <c r="I224" s="18"/>
      <c r="J224" s="19"/>
      <c r="K224" s="19"/>
    </row>
    <row r="225" spans="1:11" ht="12.95">
      <c r="A225" s="18"/>
      <c r="B225" s="18"/>
      <c r="C225" s="18"/>
      <c r="D225" s="18"/>
      <c r="E225" s="18"/>
      <c r="F225" s="18"/>
      <c r="G225" s="19"/>
      <c r="H225" s="18"/>
      <c r="I225" s="18"/>
      <c r="J225" s="19"/>
      <c r="K225" s="19"/>
    </row>
    <row r="226" spans="1:11" ht="12.95">
      <c r="A226" s="18"/>
      <c r="B226" s="18"/>
      <c r="C226" s="18"/>
      <c r="D226" s="18"/>
      <c r="E226" s="18"/>
      <c r="F226" s="18"/>
      <c r="G226" s="19"/>
      <c r="H226" s="18"/>
      <c r="I226" s="18"/>
      <c r="J226" s="19"/>
      <c r="K226" s="19"/>
    </row>
    <row r="227" spans="1:11" ht="12.95">
      <c r="A227" s="18"/>
      <c r="B227" s="18"/>
      <c r="C227" s="18"/>
      <c r="D227" s="18"/>
      <c r="E227" s="18"/>
      <c r="F227" s="18"/>
      <c r="G227" s="19"/>
      <c r="H227" s="18"/>
      <c r="I227" s="18"/>
      <c r="J227" s="19"/>
      <c r="K227" s="19"/>
    </row>
    <row r="228" spans="1:11" ht="12.95">
      <c r="A228" s="18"/>
      <c r="B228" s="18"/>
      <c r="C228" s="18"/>
      <c r="D228" s="18"/>
      <c r="E228" s="18"/>
      <c r="F228" s="18"/>
      <c r="G228" s="19"/>
      <c r="H228" s="18"/>
      <c r="I228" s="18"/>
      <c r="J228" s="19"/>
      <c r="K228" s="19"/>
    </row>
    <row r="229" spans="1:11" ht="12.95">
      <c r="A229" s="18"/>
      <c r="B229" s="18"/>
      <c r="C229" s="18"/>
      <c r="D229" s="18"/>
      <c r="E229" s="18"/>
      <c r="F229" s="18"/>
      <c r="G229" s="19"/>
      <c r="H229" s="18"/>
      <c r="I229" s="18"/>
      <c r="J229" s="19"/>
      <c r="K229" s="19"/>
    </row>
    <row r="230" spans="1:11" ht="12.95">
      <c r="A230" s="18"/>
      <c r="B230" s="18"/>
      <c r="C230" s="18"/>
      <c r="D230" s="18"/>
      <c r="E230" s="18"/>
      <c r="F230" s="18"/>
      <c r="G230" s="19"/>
      <c r="H230" s="18"/>
      <c r="I230" s="18"/>
      <c r="J230" s="19"/>
      <c r="K230" s="19"/>
    </row>
    <row r="231" spans="1:11" ht="12.95">
      <c r="A231" s="18"/>
      <c r="B231" s="18"/>
      <c r="C231" s="18"/>
      <c r="D231" s="18"/>
      <c r="E231" s="18"/>
      <c r="F231" s="18"/>
      <c r="G231" s="19"/>
      <c r="H231" s="18"/>
      <c r="I231" s="18"/>
      <c r="J231" s="19"/>
      <c r="K231" s="19"/>
    </row>
    <row r="232" spans="1:11" ht="12.95">
      <c r="A232" s="18"/>
      <c r="B232" s="18"/>
      <c r="C232" s="18"/>
      <c r="D232" s="18"/>
      <c r="E232" s="18"/>
      <c r="F232" s="18"/>
      <c r="G232" s="19"/>
      <c r="H232" s="18"/>
      <c r="I232" s="18"/>
      <c r="J232" s="19"/>
      <c r="K232" s="19"/>
    </row>
    <row r="233" spans="1:11" ht="12.95">
      <c r="A233" s="18"/>
      <c r="B233" s="18"/>
      <c r="C233" s="18"/>
      <c r="D233" s="18"/>
      <c r="E233" s="18"/>
      <c r="F233" s="18"/>
      <c r="G233" s="19"/>
      <c r="H233" s="18"/>
      <c r="I233" s="18"/>
      <c r="J233" s="19"/>
      <c r="K233" s="19"/>
    </row>
    <row r="234" spans="1:11" ht="12.95">
      <c r="A234" s="18"/>
      <c r="B234" s="18"/>
      <c r="C234" s="18"/>
      <c r="D234" s="18"/>
      <c r="E234" s="18"/>
      <c r="F234" s="18"/>
      <c r="G234" s="19"/>
      <c r="H234" s="18"/>
      <c r="I234" s="18"/>
      <c r="J234" s="19"/>
      <c r="K234" s="19"/>
    </row>
    <row r="235" spans="1:11" ht="12.95">
      <c r="A235" s="18"/>
      <c r="B235" s="18"/>
      <c r="C235" s="18"/>
      <c r="D235" s="18"/>
      <c r="E235" s="18"/>
      <c r="F235" s="18"/>
      <c r="G235" s="19"/>
      <c r="H235" s="18"/>
      <c r="I235" s="18"/>
      <c r="J235" s="19"/>
      <c r="K235" s="19"/>
    </row>
    <row r="236" spans="1:11" ht="12.95">
      <c r="A236" s="18"/>
      <c r="B236" s="18"/>
      <c r="C236" s="18"/>
      <c r="D236" s="18"/>
      <c r="E236" s="18"/>
      <c r="F236" s="18"/>
      <c r="G236" s="19"/>
      <c r="H236" s="18"/>
      <c r="I236" s="18"/>
      <c r="J236" s="19"/>
      <c r="K236" s="19"/>
    </row>
    <row r="237" spans="1:11" ht="12.95">
      <c r="A237" s="18"/>
      <c r="B237" s="18"/>
      <c r="C237" s="18"/>
      <c r="D237" s="18"/>
      <c r="E237" s="18"/>
      <c r="F237" s="18"/>
      <c r="G237" s="19"/>
      <c r="H237" s="18"/>
      <c r="I237" s="18"/>
      <c r="J237" s="19"/>
      <c r="K237" s="19"/>
    </row>
    <row r="238" spans="1:11" ht="12.95">
      <c r="A238" s="18"/>
      <c r="B238" s="18"/>
      <c r="C238" s="18"/>
      <c r="D238" s="18"/>
      <c r="E238" s="18"/>
      <c r="F238" s="18"/>
      <c r="G238" s="19"/>
      <c r="H238" s="18"/>
      <c r="I238" s="18"/>
      <c r="J238" s="19"/>
      <c r="K238" s="19"/>
    </row>
    <row r="239" spans="1:11" ht="12.95">
      <c r="A239" s="18"/>
      <c r="B239" s="18"/>
      <c r="C239" s="18"/>
      <c r="D239" s="18"/>
      <c r="E239" s="18"/>
      <c r="F239" s="18"/>
      <c r="G239" s="19"/>
      <c r="H239" s="18"/>
      <c r="I239" s="18"/>
      <c r="J239" s="19"/>
      <c r="K239" s="19"/>
    </row>
    <row r="240" spans="1:11" ht="12.95">
      <c r="A240" s="18"/>
      <c r="B240" s="18"/>
      <c r="C240" s="18"/>
      <c r="D240" s="18"/>
      <c r="E240" s="18"/>
      <c r="F240" s="18"/>
      <c r="G240" s="19"/>
      <c r="H240" s="18"/>
      <c r="I240" s="18"/>
      <c r="J240" s="19"/>
      <c r="K240" s="19"/>
    </row>
    <row r="241" spans="1:11" ht="12.95">
      <c r="A241" s="18"/>
      <c r="B241" s="18"/>
      <c r="C241" s="18"/>
      <c r="D241" s="18"/>
      <c r="E241" s="18"/>
      <c r="F241" s="18"/>
      <c r="G241" s="19"/>
      <c r="H241" s="18"/>
      <c r="I241" s="18"/>
      <c r="J241" s="19"/>
      <c r="K241" s="19"/>
    </row>
    <row r="242" spans="1:11" ht="12.95">
      <c r="A242" s="18"/>
      <c r="B242" s="18"/>
      <c r="C242" s="18"/>
      <c r="D242" s="18"/>
      <c r="E242" s="18"/>
      <c r="F242" s="18"/>
      <c r="G242" s="19"/>
      <c r="H242" s="18"/>
      <c r="I242" s="18"/>
      <c r="J242" s="19"/>
      <c r="K242" s="19"/>
    </row>
    <row r="243" spans="1:11" ht="12.95">
      <c r="A243" s="18"/>
      <c r="B243" s="18"/>
      <c r="C243" s="18"/>
      <c r="D243" s="18"/>
      <c r="E243" s="18"/>
      <c r="F243" s="18"/>
      <c r="G243" s="19"/>
      <c r="H243" s="18"/>
      <c r="I243" s="18"/>
      <c r="J243" s="19"/>
      <c r="K243" s="19"/>
    </row>
    <row r="244" spans="1:11" ht="12.95">
      <c r="A244" s="18"/>
      <c r="B244" s="18"/>
      <c r="C244" s="18"/>
      <c r="D244" s="18"/>
      <c r="E244" s="18"/>
      <c r="F244" s="18"/>
      <c r="G244" s="19"/>
      <c r="H244" s="18"/>
      <c r="I244" s="18"/>
      <c r="J244" s="19"/>
      <c r="K244" s="19"/>
    </row>
    <row r="245" spans="1:11" ht="12.95">
      <c r="A245" s="18"/>
      <c r="B245" s="18"/>
      <c r="C245" s="18"/>
      <c r="D245" s="18"/>
      <c r="E245" s="18"/>
      <c r="F245" s="18"/>
      <c r="G245" s="19"/>
      <c r="H245" s="18"/>
      <c r="I245" s="18"/>
      <c r="J245" s="19"/>
      <c r="K245" s="19"/>
    </row>
    <row r="246" spans="1:11" ht="12.95">
      <c r="A246" s="18"/>
      <c r="B246" s="18"/>
      <c r="C246" s="18"/>
      <c r="D246" s="18"/>
      <c r="E246" s="18"/>
      <c r="F246" s="18"/>
      <c r="G246" s="19"/>
      <c r="H246" s="18"/>
      <c r="I246" s="18"/>
      <c r="J246" s="19"/>
      <c r="K246" s="19"/>
    </row>
    <row r="247" spans="1:11" ht="12.95">
      <c r="A247" s="18"/>
      <c r="B247" s="18"/>
      <c r="C247" s="18"/>
      <c r="D247" s="18"/>
      <c r="E247" s="18"/>
      <c r="F247" s="18"/>
      <c r="G247" s="19"/>
      <c r="H247" s="18"/>
      <c r="I247" s="18"/>
      <c r="J247" s="19"/>
      <c r="K247" s="19"/>
    </row>
    <row r="248" spans="1:11" ht="12.95">
      <c r="A248" s="18"/>
      <c r="B248" s="18"/>
      <c r="C248" s="18"/>
      <c r="D248" s="18"/>
      <c r="E248" s="18"/>
      <c r="F248" s="18"/>
      <c r="G248" s="19"/>
      <c r="H248" s="18"/>
      <c r="I248" s="18"/>
      <c r="J248" s="19"/>
      <c r="K248" s="19"/>
    </row>
    <row r="249" spans="1:11" ht="12.95">
      <c r="A249" s="18"/>
      <c r="B249" s="18"/>
      <c r="C249" s="18"/>
      <c r="D249" s="18"/>
      <c r="E249" s="18"/>
      <c r="F249" s="18"/>
      <c r="G249" s="19"/>
      <c r="H249" s="18"/>
      <c r="I249" s="18"/>
      <c r="J249" s="19"/>
      <c r="K249" s="19"/>
    </row>
    <row r="250" spans="1:11" ht="12.95">
      <c r="A250" s="18"/>
      <c r="B250" s="18"/>
      <c r="C250" s="18"/>
      <c r="D250" s="18"/>
      <c r="E250" s="18"/>
      <c r="F250" s="18"/>
      <c r="G250" s="19"/>
      <c r="H250" s="18"/>
      <c r="I250" s="18"/>
      <c r="J250" s="19"/>
      <c r="K250" s="19"/>
    </row>
    <row r="251" spans="1:11" ht="12.95">
      <c r="A251" s="18"/>
      <c r="B251" s="18"/>
      <c r="C251" s="18"/>
      <c r="D251" s="18"/>
      <c r="E251" s="18"/>
      <c r="F251" s="18"/>
      <c r="G251" s="19"/>
      <c r="H251" s="18"/>
      <c r="I251" s="18"/>
      <c r="J251" s="19"/>
      <c r="K251" s="19"/>
    </row>
    <row r="252" spans="1:11" ht="12.95">
      <c r="A252" s="18"/>
      <c r="B252" s="18"/>
      <c r="C252" s="18"/>
      <c r="D252" s="18"/>
      <c r="E252" s="18"/>
      <c r="F252" s="18"/>
      <c r="G252" s="19"/>
      <c r="H252" s="18"/>
      <c r="I252" s="18"/>
      <c r="J252" s="19"/>
      <c r="K252" s="19"/>
    </row>
    <row r="253" spans="1:11" ht="12.95">
      <c r="A253" s="18"/>
      <c r="B253" s="18"/>
      <c r="C253" s="18"/>
      <c r="D253" s="18"/>
      <c r="E253" s="18"/>
      <c r="F253" s="18"/>
      <c r="G253" s="19"/>
      <c r="H253" s="18"/>
      <c r="I253" s="18"/>
      <c r="J253" s="19"/>
      <c r="K253" s="19"/>
    </row>
    <row r="254" spans="1:11" ht="12.95">
      <c r="A254" s="18"/>
      <c r="B254" s="18"/>
      <c r="C254" s="18"/>
      <c r="D254" s="18"/>
      <c r="E254" s="18"/>
      <c r="F254" s="18"/>
      <c r="G254" s="19"/>
      <c r="H254" s="18"/>
      <c r="I254" s="18"/>
      <c r="J254" s="19"/>
      <c r="K254" s="19"/>
    </row>
    <row r="255" spans="1:11" ht="12.95">
      <c r="A255" s="18"/>
      <c r="B255" s="18"/>
      <c r="C255" s="18"/>
      <c r="D255" s="18"/>
      <c r="E255" s="18"/>
      <c r="F255" s="18"/>
      <c r="G255" s="19"/>
      <c r="H255" s="18"/>
      <c r="I255" s="18"/>
      <c r="J255" s="19"/>
      <c r="K255" s="19"/>
    </row>
    <row r="256" spans="1:11" ht="12.95">
      <c r="A256" s="18"/>
      <c r="B256" s="18"/>
      <c r="C256" s="18"/>
      <c r="D256" s="18"/>
      <c r="E256" s="18"/>
      <c r="F256" s="18"/>
      <c r="G256" s="19"/>
      <c r="H256" s="18"/>
      <c r="I256" s="18"/>
      <c r="J256" s="19"/>
      <c r="K256" s="19"/>
    </row>
    <row r="257" spans="1:11" ht="12.95">
      <c r="A257" s="18"/>
      <c r="B257" s="18"/>
      <c r="C257" s="18"/>
      <c r="D257" s="18"/>
      <c r="E257" s="18"/>
      <c r="F257" s="18"/>
      <c r="G257" s="19"/>
      <c r="H257" s="18"/>
      <c r="I257" s="18"/>
      <c r="J257" s="19"/>
      <c r="K257" s="19"/>
    </row>
    <row r="258" spans="1:11" ht="12.95">
      <c r="A258" s="18"/>
      <c r="B258" s="18"/>
      <c r="C258" s="18"/>
      <c r="D258" s="18"/>
      <c r="E258" s="18"/>
      <c r="F258" s="18"/>
      <c r="G258" s="19"/>
      <c r="H258" s="18"/>
      <c r="I258" s="18"/>
      <c r="J258" s="19"/>
      <c r="K258" s="19"/>
    </row>
    <row r="259" spans="1:11" ht="12.95">
      <c r="A259" s="18"/>
      <c r="B259" s="18"/>
      <c r="C259" s="18"/>
      <c r="D259" s="18"/>
      <c r="E259" s="18"/>
      <c r="F259" s="18"/>
      <c r="G259" s="19"/>
      <c r="H259" s="18"/>
      <c r="I259" s="18"/>
      <c r="J259" s="19"/>
      <c r="K259" s="19"/>
    </row>
    <row r="260" spans="1:11" ht="12.95">
      <c r="A260" s="18"/>
      <c r="B260" s="18"/>
      <c r="C260" s="18"/>
      <c r="D260" s="18"/>
      <c r="E260" s="18"/>
      <c r="F260" s="18"/>
      <c r="G260" s="19"/>
      <c r="H260" s="18"/>
      <c r="I260" s="18"/>
      <c r="J260" s="19"/>
      <c r="K260" s="19"/>
    </row>
    <row r="261" spans="1:11" ht="12.95">
      <c r="A261" s="18"/>
      <c r="B261" s="18"/>
      <c r="C261" s="18"/>
      <c r="D261" s="18"/>
      <c r="E261" s="18"/>
      <c r="F261" s="18"/>
      <c r="G261" s="19"/>
      <c r="H261" s="18"/>
      <c r="I261" s="18"/>
      <c r="J261" s="19"/>
      <c r="K261" s="19"/>
    </row>
    <row r="262" spans="1:11" ht="12.95">
      <c r="A262" s="18"/>
      <c r="B262" s="18"/>
      <c r="C262" s="18"/>
      <c r="D262" s="18"/>
      <c r="E262" s="18"/>
      <c r="F262" s="18"/>
      <c r="G262" s="19"/>
      <c r="H262" s="18"/>
      <c r="I262" s="18"/>
      <c r="J262" s="19"/>
      <c r="K262" s="19"/>
    </row>
    <row r="263" spans="1:11" ht="12.95">
      <c r="A263" s="18"/>
      <c r="B263" s="18"/>
      <c r="C263" s="18"/>
      <c r="D263" s="18"/>
      <c r="E263" s="18"/>
      <c r="F263" s="18"/>
      <c r="G263" s="19"/>
      <c r="H263" s="18"/>
      <c r="I263" s="18"/>
      <c r="J263" s="19"/>
      <c r="K263" s="19"/>
    </row>
    <row r="264" spans="1:11" ht="12.95">
      <c r="A264" s="18"/>
      <c r="B264" s="18"/>
      <c r="C264" s="18"/>
      <c r="D264" s="18"/>
      <c r="E264" s="18"/>
      <c r="F264" s="18"/>
      <c r="G264" s="19"/>
      <c r="H264" s="18"/>
      <c r="I264" s="18"/>
      <c r="J264" s="19"/>
      <c r="K264" s="19"/>
    </row>
    <row r="265" spans="1:11" ht="12.95">
      <c r="A265" s="18"/>
      <c r="B265" s="18"/>
      <c r="C265" s="18"/>
      <c r="D265" s="18"/>
      <c r="E265" s="18"/>
      <c r="F265" s="18"/>
      <c r="G265" s="19"/>
      <c r="H265" s="18"/>
      <c r="I265" s="18"/>
      <c r="J265" s="19"/>
      <c r="K265" s="19"/>
    </row>
    <row r="266" spans="1:11" ht="12.95">
      <c r="A266" s="18"/>
      <c r="B266" s="18"/>
      <c r="C266" s="18"/>
      <c r="D266" s="18"/>
      <c r="E266" s="18"/>
      <c r="F266" s="18"/>
      <c r="G266" s="19"/>
      <c r="H266" s="18"/>
      <c r="I266" s="18"/>
      <c r="J266" s="19"/>
      <c r="K266" s="19"/>
    </row>
    <row r="267" spans="1:11" ht="12.95">
      <c r="A267" s="18"/>
      <c r="B267" s="18"/>
      <c r="C267" s="18"/>
      <c r="D267" s="18"/>
      <c r="E267" s="18"/>
      <c r="F267" s="18"/>
      <c r="G267" s="19"/>
      <c r="H267" s="18"/>
      <c r="I267" s="18"/>
      <c r="J267" s="19"/>
      <c r="K267" s="19"/>
    </row>
    <row r="268" spans="1:11" ht="12.95">
      <c r="A268" s="18"/>
      <c r="B268" s="18"/>
      <c r="C268" s="18"/>
      <c r="D268" s="18"/>
      <c r="E268" s="18"/>
      <c r="F268" s="18"/>
      <c r="G268" s="19"/>
      <c r="H268" s="18"/>
      <c r="I268" s="18"/>
      <c r="J268" s="19"/>
      <c r="K268" s="19"/>
    </row>
    <row r="269" spans="1:11" ht="12.95">
      <c r="A269" s="18"/>
      <c r="B269" s="18"/>
      <c r="C269" s="18"/>
      <c r="D269" s="18"/>
      <c r="E269" s="18"/>
      <c r="F269" s="18"/>
      <c r="G269" s="19"/>
      <c r="H269" s="18"/>
      <c r="I269" s="18"/>
      <c r="J269" s="19"/>
      <c r="K269" s="19"/>
    </row>
    <row r="270" spans="1:11" ht="12.95">
      <c r="A270" s="18"/>
      <c r="B270" s="18"/>
      <c r="C270" s="18"/>
      <c r="D270" s="18"/>
      <c r="E270" s="18"/>
      <c r="F270" s="18"/>
      <c r="G270" s="19"/>
      <c r="H270" s="18"/>
      <c r="I270" s="18"/>
      <c r="J270" s="19"/>
      <c r="K270" s="19"/>
    </row>
    <row r="271" spans="1:11" ht="12.95">
      <c r="A271" s="18"/>
      <c r="B271" s="18"/>
      <c r="C271" s="18"/>
      <c r="D271" s="18"/>
      <c r="E271" s="18"/>
      <c r="F271" s="18"/>
      <c r="G271" s="19"/>
      <c r="H271" s="18"/>
      <c r="I271" s="18"/>
      <c r="J271" s="19"/>
      <c r="K271" s="19"/>
    </row>
    <row r="272" spans="1:11" ht="12.95">
      <c r="A272" s="18"/>
      <c r="B272" s="18"/>
      <c r="C272" s="18"/>
      <c r="D272" s="18"/>
      <c r="E272" s="18"/>
      <c r="F272" s="18"/>
      <c r="G272" s="19"/>
      <c r="H272" s="18"/>
      <c r="I272" s="18"/>
      <c r="J272" s="19"/>
      <c r="K272" s="19"/>
    </row>
    <row r="273" spans="1:11" ht="12.95">
      <c r="A273" s="18"/>
      <c r="B273" s="18"/>
      <c r="C273" s="18"/>
      <c r="D273" s="18"/>
      <c r="E273" s="18"/>
      <c r="F273" s="18"/>
      <c r="G273" s="19"/>
      <c r="H273" s="18"/>
      <c r="I273" s="18"/>
      <c r="J273" s="19"/>
      <c r="K273" s="19"/>
    </row>
    <row r="274" spans="1:11" ht="12.95">
      <c r="A274" s="18"/>
      <c r="B274" s="18"/>
      <c r="C274" s="18"/>
      <c r="D274" s="18"/>
      <c r="E274" s="18"/>
      <c r="F274" s="18"/>
      <c r="G274" s="19"/>
      <c r="H274" s="18"/>
      <c r="I274" s="18"/>
      <c r="J274" s="19"/>
      <c r="K274" s="19"/>
    </row>
    <row r="275" spans="1:11" ht="12.95">
      <c r="A275" s="18"/>
      <c r="B275" s="18"/>
      <c r="C275" s="18"/>
      <c r="D275" s="18"/>
      <c r="E275" s="18"/>
      <c r="F275" s="18"/>
      <c r="G275" s="19"/>
      <c r="H275" s="18"/>
      <c r="I275" s="18"/>
      <c r="J275" s="19"/>
      <c r="K275" s="19"/>
    </row>
    <row r="276" spans="1:11" ht="12.95">
      <c r="A276" s="18"/>
      <c r="B276" s="18"/>
      <c r="C276" s="18"/>
      <c r="D276" s="18"/>
      <c r="E276" s="18"/>
      <c r="F276" s="18"/>
      <c r="G276" s="19"/>
      <c r="H276" s="18"/>
      <c r="I276" s="18"/>
      <c r="J276" s="19"/>
      <c r="K276" s="19"/>
    </row>
    <row r="277" spans="1:11" ht="12.95">
      <c r="A277" s="18"/>
      <c r="B277" s="18"/>
      <c r="C277" s="18"/>
      <c r="D277" s="18"/>
      <c r="E277" s="18"/>
      <c r="F277" s="18"/>
      <c r="G277" s="19"/>
      <c r="H277" s="18"/>
      <c r="I277" s="18"/>
      <c r="J277" s="19"/>
      <c r="K277" s="19"/>
    </row>
    <row r="278" spans="1:11" ht="12.95">
      <c r="A278" s="18"/>
      <c r="B278" s="18"/>
      <c r="C278" s="18"/>
      <c r="D278" s="18"/>
      <c r="E278" s="18"/>
      <c r="F278" s="18"/>
      <c r="G278" s="19"/>
      <c r="H278" s="18"/>
      <c r="I278" s="18"/>
      <c r="J278" s="19"/>
      <c r="K278" s="19"/>
    </row>
    <row r="279" spans="1:11" ht="12.95">
      <c r="A279" s="18"/>
      <c r="B279" s="18"/>
      <c r="C279" s="18"/>
      <c r="D279" s="18"/>
      <c r="E279" s="18"/>
      <c r="F279" s="18"/>
      <c r="G279" s="19"/>
      <c r="H279" s="18"/>
      <c r="I279" s="18"/>
      <c r="J279" s="19"/>
      <c r="K279" s="19"/>
    </row>
    <row r="280" spans="1:11" ht="12.95">
      <c r="A280" s="18"/>
      <c r="B280" s="18"/>
      <c r="C280" s="18"/>
      <c r="D280" s="18"/>
      <c r="E280" s="18"/>
      <c r="F280" s="18"/>
      <c r="G280" s="19"/>
      <c r="H280" s="18"/>
      <c r="I280" s="18"/>
      <c r="J280" s="19"/>
      <c r="K280" s="19"/>
    </row>
    <row r="281" spans="1:11" ht="12.95">
      <c r="A281" s="18"/>
      <c r="B281" s="18"/>
      <c r="C281" s="18"/>
      <c r="D281" s="18"/>
      <c r="E281" s="18"/>
      <c r="F281" s="18"/>
      <c r="G281" s="19"/>
      <c r="H281" s="18"/>
      <c r="I281" s="18"/>
      <c r="J281" s="19"/>
      <c r="K281" s="19"/>
    </row>
    <row r="282" spans="1:11" ht="12.95">
      <c r="A282" s="18"/>
      <c r="B282" s="18"/>
      <c r="C282" s="18"/>
      <c r="D282" s="18"/>
      <c r="E282" s="18"/>
      <c r="F282" s="18"/>
      <c r="G282" s="19"/>
      <c r="H282" s="18"/>
      <c r="I282" s="18"/>
      <c r="J282" s="19"/>
      <c r="K282" s="19"/>
    </row>
    <row r="283" spans="1:11" ht="12.95">
      <c r="A283" s="18"/>
      <c r="B283" s="18"/>
      <c r="C283" s="18"/>
      <c r="D283" s="18"/>
      <c r="E283" s="18"/>
      <c r="F283" s="18"/>
      <c r="G283" s="19"/>
      <c r="H283" s="18"/>
      <c r="I283" s="18"/>
      <c r="J283" s="19"/>
      <c r="K283" s="19"/>
    </row>
    <row r="284" spans="1:11" ht="12.95">
      <c r="A284" s="18"/>
      <c r="B284" s="18"/>
      <c r="C284" s="18"/>
      <c r="D284" s="18"/>
      <c r="E284" s="18"/>
      <c r="F284" s="18"/>
      <c r="G284" s="19"/>
      <c r="H284" s="18"/>
      <c r="I284" s="18"/>
      <c r="J284" s="19"/>
      <c r="K284" s="19"/>
    </row>
    <row r="285" spans="1:11" ht="12.95">
      <c r="A285" s="18"/>
      <c r="B285" s="18"/>
      <c r="C285" s="18"/>
      <c r="D285" s="18"/>
      <c r="E285" s="18"/>
      <c r="F285" s="18"/>
      <c r="G285" s="19"/>
      <c r="H285" s="18"/>
      <c r="I285" s="18"/>
      <c r="J285" s="19"/>
      <c r="K285" s="19"/>
    </row>
    <row r="286" spans="1:11" ht="12.95">
      <c r="A286" s="18"/>
      <c r="B286" s="18"/>
      <c r="C286" s="18"/>
      <c r="D286" s="18"/>
      <c r="E286" s="18"/>
      <c r="F286" s="18"/>
      <c r="G286" s="19"/>
      <c r="H286" s="18"/>
      <c r="I286" s="18"/>
      <c r="J286" s="19"/>
      <c r="K286" s="19"/>
    </row>
    <row r="287" spans="1:11" ht="12.95">
      <c r="A287" s="18"/>
      <c r="B287" s="18"/>
      <c r="C287" s="18"/>
      <c r="D287" s="18"/>
      <c r="E287" s="18"/>
      <c r="F287" s="18"/>
      <c r="G287" s="19"/>
      <c r="H287" s="18"/>
      <c r="I287" s="18"/>
      <c r="J287" s="19"/>
      <c r="K287" s="19"/>
    </row>
    <row r="288" spans="1:11" ht="12.95">
      <c r="A288" s="18"/>
      <c r="B288" s="18"/>
      <c r="C288" s="18"/>
      <c r="D288" s="18"/>
      <c r="E288" s="18"/>
      <c r="F288" s="18"/>
      <c r="G288" s="19"/>
      <c r="H288" s="18"/>
      <c r="I288" s="18"/>
      <c r="J288" s="19"/>
      <c r="K288" s="19"/>
    </row>
    <row r="289" spans="1:11" ht="12.95">
      <c r="A289" s="18"/>
      <c r="B289" s="18"/>
      <c r="C289" s="18"/>
      <c r="D289" s="18"/>
      <c r="E289" s="18"/>
      <c r="F289" s="18"/>
      <c r="G289" s="19"/>
      <c r="H289" s="18"/>
      <c r="I289" s="18"/>
      <c r="J289" s="19"/>
      <c r="K289" s="19"/>
    </row>
    <row r="290" spans="1:11" ht="12.95">
      <c r="A290" s="18"/>
      <c r="B290" s="18"/>
      <c r="C290" s="18"/>
      <c r="D290" s="18"/>
      <c r="E290" s="18"/>
      <c r="F290" s="18"/>
      <c r="G290" s="19"/>
      <c r="H290" s="18"/>
      <c r="I290" s="18"/>
      <c r="J290" s="19"/>
      <c r="K290" s="19"/>
    </row>
    <row r="291" spans="1:11" ht="12.95">
      <c r="A291" s="18"/>
      <c r="B291" s="18"/>
      <c r="C291" s="18"/>
      <c r="D291" s="18"/>
      <c r="E291" s="18"/>
      <c r="F291" s="18"/>
      <c r="G291" s="19"/>
      <c r="H291" s="18"/>
      <c r="I291" s="18"/>
      <c r="J291" s="19"/>
      <c r="K291" s="19"/>
    </row>
    <row r="292" spans="1:11" ht="12.95">
      <c r="A292" s="18"/>
      <c r="B292" s="18"/>
      <c r="C292" s="18"/>
      <c r="D292" s="18"/>
      <c r="E292" s="18"/>
      <c r="F292" s="18"/>
      <c r="G292" s="19"/>
      <c r="H292" s="18"/>
      <c r="I292" s="18"/>
      <c r="J292" s="19"/>
      <c r="K292" s="19"/>
    </row>
    <row r="293" spans="1:11" ht="12.95">
      <c r="A293" s="18"/>
      <c r="B293" s="18"/>
      <c r="C293" s="18"/>
      <c r="D293" s="18"/>
      <c r="E293" s="18"/>
      <c r="F293" s="18"/>
      <c r="G293" s="19"/>
      <c r="H293" s="18"/>
      <c r="I293" s="18"/>
      <c r="J293" s="19"/>
      <c r="K293" s="19"/>
    </row>
    <row r="294" spans="1:11" ht="12.95">
      <c r="A294" s="18"/>
      <c r="B294" s="18"/>
      <c r="C294" s="18"/>
      <c r="D294" s="18"/>
      <c r="E294" s="18"/>
      <c r="F294" s="18"/>
      <c r="G294" s="19"/>
      <c r="H294" s="18"/>
      <c r="I294" s="18"/>
      <c r="J294" s="19"/>
      <c r="K294" s="19"/>
    </row>
    <row r="295" spans="1:11" ht="12.95">
      <c r="A295" s="18"/>
      <c r="B295" s="18"/>
      <c r="C295" s="18"/>
      <c r="D295" s="18"/>
      <c r="E295" s="18"/>
      <c r="F295" s="18"/>
      <c r="G295" s="19"/>
      <c r="H295" s="18"/>
      <c r="I295" s="18"/>
      <c r="J295" s="19"/>
      <c r="K295" s="19"/>
    </row>
    <row r="296" spans="1:11" ht="12.95">
      <c r="A296" s="18"/>
      <c r="B296" s="18"/>
      <c r="C296" s="18"/>
      <c r="D296" s="18"/>
      <c r="E296" s="18"/>
      <c r="F296" s="18"/>
      <c r="G296" s="19"/>
      <c r="H296" s="18"/>
      <c r="I296" s="18"/>
      <c r="J296" s="19"/>
      <c r="K296" s="19"/>
    </row>
    <row r="297" spans="1:11" ht="12.95">
      <c r="A297" s="18"/>
      <c r="B297" s="18"/>
      <c r="C297" s="18"/>
      <c r="D297" s="18"/>
      <c r="E297" s="18"/>
      <c r="F297" s="18"/>
      <c r="G297" s="19"/>
      <c r="H297" s="18"/>
      <c r="I297" s="18"/>
      <c r="J297" s="19"/>
      <c r="K297" s="19"/>
    </row>
    <row r="298" spans="1:11" ht="12.95">
      <c r="A298" s="18"/>
      <c r="B298" s="18"/>
      <c r="C298" s="18"/>
      <c r="D298" s="18"/>
      <c r="E298" s="18"/>
      <c r="F298" s="18"/>
      <c r="G298" s="19"/>
      <c r="H298" s="18"/>
      <c r="I298" s="18"/>
      <c r="J298" s="19"/>
      <c r="K298" s="19"/>
    </row>
    <row r="299" spans="1:11" ht="12.95">
      <c r="A299" s="18"/>
      <c r="B299" s="18"/>
      <c r="C299" s="18"/>
      <c r="D299" s="18"/>
      <c r="E299" s="18"/>
      <c r="F299" s="18"/>
      <c r="G299" s="19"/>
      <c r="H299" s="18"/>
      <c r="I299" s="18"/>
      <c r="J299" s="19"/>
      <c r="K299" s="19"/>
    </row>
    <row r="300" spans="1:11" ht="12.95">
      <c r="A300" s="18"/>
      <c r="B300" s="18"/>
      <c r="C300" s="18"/>
      <c r="D300" s="18"/>
      <c r="E300" s="18"/>
      <c r="F300" s="18"/>
      <c r="G300" s="19"/>
      <c r="H300" s="18"/>
      <c r="I300" s="18"/>
      <c r="J300" s="19"/>
      <c r="K300" s="19"/>
    </row>
    <row r="301" spans="1:11" ht="12.95">
      <c r="A301" s="18"/>
      <c r="B301" s="18"/>
      <c r="C301" s="18"/>
      <c r="D301" s="18"/>
      <c r="E301" s="18"/>
      <c r="F301" s="18"/>
      <c r="G301" s="19"/>
      <c r="H301" s="18"/>
      <c r="I301" s="18"/>
      <c r="J301" s="19"/>
      <c r="K301" s="19"/>
    </row>
    <row r="302" spans="1:11" ht="12.95">
      <c r="A302" s="18"/>
      <c r="B302" s="18"/>
      <c r="C302" s="18"/>
      <c r="D302" s="18"/>
      <c r="E302" s="18"/>
      <c r="F302" s="18"/>
      <c r="G302" s="19"/>
      <c r="H302" s="18"/>
      <c r="I302" s="18"/>
      <c r="J302" s="19"/>
      <c r="K302" s="19"/>
    </row>
    <row r="303" spans="1:11" ht="12.95">
      <c r="A303" s="18"/>
      <c r="B303" s="18"/>
      <c r="C303" s="18"/>
      <c r="D303" s="18"/>
      <c r="E303" s="18"/>
      <c r="F303" s="18"/>
      <c r="G303" s="19"/>
      <c r="H303" s="18"/>
      <c r="I303" s="18"/>
      <c r="J303" s="19"/>
      <c r="K303" s="19"/>
    </row>
    <row r="304" spans="1:11" ht="12.95">
      <c r="A304" s="18"/>
      <c r="B304" s="18"/>
      <c r="C304" s="18"/>
      <c r="D304" s="18"/>
      <c r="E304" s="18"/>
      <c r="F304" s="18"/>
      <c r="G304" s="19"/>
      <c r="H304" s="18"/>
      <c r="I304" s="18"/>
      <c r="J304" s="19"/>
      <c r="K304" s="19"/>
    </row>
    <row r="305" spans="1:11" ht="12.95">
      <c r="A305" s="18"/>
      <c r="B305" s="18"/>
      <c r="C305" s="18"/>
      <c r="D305" s="18"/>
      <c r="E305" s="18"/>
      <c r="F305" s="18"/>
      <c r="G305" s="19"/>
      <c r="H305" s="18"/>
      <c r="I305" s="18"/>
      <c r="J305" s="19"/>
      <c r="K305" s="19"/>
    </row>
    <row r="306" spans="1:11" ht="12.95">
      <c r="A306" s="18"/>
      <c r="B306" s="18"/>
      <c r="C306" s="18"/>
      <c r="D306" s="18"/>
      <c r="E306" s="18"/>
      <c r="F306" s="18"/>
      <c r="G306" s="19"/>
      <c r="H306" s="18"/>
      <c r="I306" s="18"/>
      <c r="J306" s="19"/>
      <c r="K306" s="19"/>
    </row>
    <row r="307" spans="1:11" ht="12.95">
      <c r="A307" s="18"/>
      <c r="B307" s="18"/>
      <c r="C307" s="18"/>
      <c r="D307" s="18"/>
      <c r="E307" s="18"/>
      <c r="F307" s="18"/>
      <c r="G307" s="19"/>
      <c r="H307" s="18"/>
      <c r="I307" s="18"/>
      <c r="J307" s="19"/>
      <c r="K307" s="19"/>
    </row>
    <row r="308" spans="1:11" ht="12.95">
      <c r="A308" s="18"/>
      <c r="B308" s="18"/>
      <c r="C308" s="18"/>
      <c r="D308" s="18"/>
      <c r="E308" s="18"/>
      <c r="F308" s="18"/>
      <c r="G308" s="19"/>
      <c r="H308" s="18"/>
      <c r="I308" s="18"/>
      <c r="J308" s="19"/>
      <c r="K308" s="19"/>
    </row>
    <row r="309" spans="1:11" ht="12.95">
      <c r="A309" s="18"/>
      <c r="B309" s="18"/>
      <c r="C309" s="18"/>
      <c r="D309" s="18"/>
      <c r="E309" s="18"/>
      <c r="F309" s="18"/>
      <c r="G309" s="19"/>
      <c r="H309" s="18"/>
      <c r="I309" s="18"/>
      <c r="J309" s="19"/>
      <c r="K309" s="19"/>
    </row>
    <row r="310" spans="1:11" ht="12.95">
      <c r="A310" s="18"/>
      <c r="B310" s="18"/>
      <c r="C310" s="18"/>
      <c r="D310" s="18"/>
      <c r="E310" s="18"/>
      <c r="F310" s="18"/>
      <c r="G310" s="19"/>
      <c r="H310" s="18"/>
      <c r="I310" s="18"/>
      <c r="J310" s="19"/>
      <c r="K310" s="19"/>
    </row>
    <row r="311" spans="1:11" ht="12.95">
      <c r="A311" s="18"/>
      <c r="B311" s="18"/>
      <c r="C311" s="18"/>
      <c r="D311" s="18"/>
      <c r="E311" s="18"/>
      <c r="F311" s="18"/>
      <c r="G311" s="19"/>
      <c r="H311" s="18"/>
      <c r="I311" s="18"/>
      <c r="J311" s="19"/>
      <c r="K311" s="19"/>
    </row>
    <row r="312" spans="1:11" ht="12.95">
      <c r="A312" s="18"/>
      <c r="B312" s="18"/>
      <c r="C312" s="18"/>
      <c r="D312" s="18"/>
      <c r="E312" s="18"/>
      <c r="F312" s="18"/>
      <c r="G312" s="19"/>
      <c r="H312" s="18"/>
      <c r="I312" s="18"/>
      <c r="J312" s="19"/>
      <c r="K312" s="19"/>
    </row>
    <row r="313" spans="1:11" ht="12.95">
      <c r="A313" s="18"/>
      <c r="B313" s="18"/>
      <c r="C313" s="18"/>
      <c r="D313" s="18"/>
      <c r="E313" s="18"/>
      <c r="F313" s="18"/>
      <c r="G313" s="19"/>
      <c r="H313" s="18"/>
      <c r="I313" s="18"/>
      <c r="J313" s="19"/>
      <c r="K313" s="19"/>
    </row>
    <row r="314" spans="1:11" ht="12.95">
      <c r="A314" s="18"/>
      <c r="B314" s="18"/>
      <c r="C314" s="18"/>
      <c r="D314" s="18"/>
      <c r="E314" s="18"/>
      <c r="F314" s="18"/>
      <c r="G314" s="19"/>
      <c r="H314" s="18"/>
      <c r="I314" s="18"/>
      <c r="J314" s="19"/>
      <c r="K314" s="19"/>
    </row>
    <row r="315" spans="1:11" ht="12.95">
      <c r="A315" s="18"/>
      <c r="B315" s="18"/>
      <c r="C315" s="18"/>
      <c r="D315" s="18"/>
      <c r="E315" s="18"/>
      <c r="F315" s="18"/>
      <c r="G315" s="19"/>
      <c r="H315" s="18"/>
      <c r="I315" s="18"/>
      <c r="J315" s="19"/>
      <c r="K315" s="19"/>
    </row>
    <row r="316" spans="1:11" ht="12.95">
      <c r="A316" s="18"/>
      <c r="B316" s="18"/>
      <c r="C316" s="18"/>
      <c r="D316" s="18"/>
      <c r="E316" s="18"/>
      <c r="F316" s="18"/>
      <c r="G316" s="19"/>
      <c r="H316" s="18"/>
      <c r="I316" s="18"/>
      <c r="J316" s="19"/>
      <c r="K316" s="19"/>
    </row>
    <row r="317" spans="1:11" ht="12.95">
      <c r="A317" s="18"/>
      <c r="B317" s="18"/>
      <c r="C317" s="18"/>
      <c r="D317" s="18"/>
      <c r="E317" s="18"/>
      <c r="F317" s="18"/>
      <c r="G317" s="19"/>
      <c r="H317" s="18"/>
      <c r="I317" s="18"/>
      <c r="J317" s="19"/>
      <c r="K317" s="19"/>
    </row>
    <row r="318" spans="1:11" ht="12.95">
      <c r="A318" s="18"/>
      <c r="B318" s="18"/>
      <c r="C318" s="18"/>
      <c r="D318" s="18"/>
      <c r="E318" s="18"/>
      <c r="F318" s="18"/>
      <c r="G318" s="19"/>
      <c r="H318" s="18"/>
      <c r="I318" s="18"/>
      <c r="J318" s="19"/>
      <c r="K318" s="19"/>
    </row>
    <row r="319" spans="1:11" ht="12.95">
      <c r="A319" s="18"/>
      <c r="B319" s="18"/>
      <c r="C319" s="18"/>
      <c r="D319" s="18"/>
      <c r="E319" s="18"/>
      <c r="F319" s="18"/>
      <c r="G319" s="19"/>
      <c r="H319" s="18"/>
      <c r="I319" s="18"/>
      <c r="J319" s="19"/>
      <c r="K319" s="19"/>
    </row>
    <row r="320" spans="1:11" ht="12.95">
      <c r="A320" s="18"/>
      <c r="B320" s="18"/>
      <c r="C320" s="18"/>
      <c r="D320" s="18"/>
      <c r="E320" s="18"/>
      <c r="F320" s="18"/>
      <c r="G320" s="19"/>
      <c r="H320" s="18"/>
      <c r="I320" s="18"/>
      <c r="J320" s="19"/>
      <c r="K320" s="19"/>
    </row>
    <row r="321" spans="1:11" ht="12.95">
      <c r="A321" s="18"/>
      <c r="B321" s="18"/>
      <c r="C321" s="18"/>
      <c r="D321" s="18"/>
      <c r="E321" s="18"/>
      <c r="F321" s="18"/>
      <c r="G321" s="19"/>
      <c r="H321" s="18"/>
      <c r="I321" s="18"/>
      <c r="J321" s="19"/>
      <c r="K321" s="19"/>
    </row>
    <row r="322" spans="1:11" ht="12.95">
      <c r="A322" s="18"/>
      <c r="B322" s="18"/>
      <c r="C322" s="18"/>
      <c r="D322" s="18"/>
      <c r="E322" s="18"/>
      <c r="F322" s="18"/>
      <c r="G322" s="19"/>
      <c r="H322" s="18"/>
      <c r="I322" s="18"/>
      <c r="J322" s="19"/>
      <c r="K322" s="19"/>
    </row>
    <row r="323" spans="1:11" ht="12.95">
      <c r="A323" s="18"/>
      <c r="B323" s="18"/>
      <c r="C323" s="18"/>
      <c r="D323" s="18"/>
      <c r="E323" s="18"/>
      <c r="F323" s="18"/>
      <c r="G323" s="19"/>
      <c r="H323" s="18"/>
      <c r="I323" s="18"/>
      <c r="J323" s="19"/>
      <c r="K323" s="19"/>
    </row>
    <row r="324" spans="1:11" ht="12.95">
      <c r="A324" s="18"/>
      <c r="B324" s="18"/>
      <c r="C324" s="18"/>
      <c r="D324" s="18"/>
      <c r="E324" s="18"/>
      <c r="F324" s="18"/>
      <c r="G324" s="19"/>
      <c r="H324" s="18"/>
      <c r="I324" s="18"/>
      <c r="J324" s="19"/>
      <c r="K324" s="19"/>
    </row>
    <row r="325" spans="1:11" ht="12.95">
      <c r="A325" s="18"/>
      <c r="B325" s="18"/>
      <c r="C325" s="18"/>
      <c r="D325" s="18"/>
      <c r="E325" s="18"/>
      <c r="F325" s="18"/>
      <c r="G325" s="19"/>
      <c r="H325" s="18"/>
      <c r="I325" s="18"/>
      <c r="J325" s="19"/>
      <c r="K325" s="19"/>
    </row>
    <row r="326" spans="1:11" ht="12.95">
      <c r="A326" s="18"/>
      <c r="B326" s="18"/>
      <c r="C326" s="18"/>
      <c r="D326" s="18"/>
      <c r="E326" s="18"/>
      <c r="F326" s="18"/>
      <c r="G326" s="19"/>
      <c r="H326" s="18"/>
      <c r="I326" s="18"/>
      <c r="J326" s="19"/>
      <c r="K326" s="19"/>
    </row>
    <row r="327" spans="1:11" ht="12.95">
      <c r="A327" s="18"/>
      <c r="B327" s="18"/>
      <c r="C327" s="18"/>
      <c r="D327" s="18"/>
      <c r="E327" s="18"/>
      <c r="F327" s="18"/>
      <c r="G327" s="19"/>
      <c r="H327" s="18"/>
      <c r="I327" s="18"/>
      <c r="J327" s="19"/>
      <c r="K327" s="19"/>
    </row>
    <row r="328" spans="1:11" ht="12.95">
      <c r="A328" s="18"/>
      <c r="B328" s="18"/>
      <c r="C328" s="18"/>
      <c r="D328" s="18"/>
      <c r="E328" s="18"/>
      <c r="F328" s="18"/>
      <c r="G328" s="19"/>
      <c r="H328" s="18"/>
      <c r="I328" s="18"/>
      <c r="J328" s="19"/>
      <c r="K328" s="19"/>
    </row>
    <row r="329" spans="1:11" ht="12.95">
      <c r="A329" s="18"/>
      <c r="B329" s="18"/>
      <c r="C329" s="18"/>
      <c r="D329" s="18"/>
      <c r="E329" s="18"/>
      <c r="F329" s="18"/>
      <c r="G329" s="19"/>
      <c r="H329" s="18"/>
      <c r="I329" s="18"/>
      <c r="J329" s="19"/>
      <c r="K329" s="19"/>
    </row>
    <row r="330" spans="1:11" ht="12.95">
      <c r="A330" s="18"/>
      <c r="B330" s="18"/>
      <c r="C330" s="18"/>
      <c r="D330" s="18"/>
      <c r="E330" s="18"/>
      <c r="F330" s="18"/>
      <c r="G330" s="19"/>
      <c r="H330" s="18"/>
      <c r="I330" s="18"/>
      <c r="J330" s="19"/>
      <c r="K330" s="19"/>
    </row>
    <row r="331" spans="1:11" ht="12.95">
      <c r="A331" s="18"/>
      <c r="B331" s="18"/>
      <c r="C331" s="18"/>
      <c r="D331" s="18"/>
      <c r="E331" s="18"/>
      <c r="F331" s="18"/>
      <c r="G331" s="19"/>
      <c r="H331" s="18"/>
      <c r="I331" s="18"/>
      <c r="J331" s="19"/>
      <c r="K331" s="19"/>
    </row>
    <row r="332" spans="1:11" ht="12.95">
      <c r="A332" s="18"/>
      <c r="B332" s="18"/>
      <c r="C332" s="18"/>
      <c r="D332" s="18"/>
      <c r="E332" s="18"/>
      <c r="F332" s="18"/>
      <c r="G332" s="19"/>
      <c r="H332" s="18"/>
      <c r="I332" s="18"/>
      <c r="J332" s="19"/>
      <c r="K332" s="19"/>
    </row>
    <row r="333" spans="1:11" ht="12.95">
      <c r="A333" s="18"/>
      <c r="B333" s="18"/>
      <c r="C333" s="18"/>
      <c r="D333" s="18"/>
      <c r="E333" s="18"/>
      <c r="F333" s="18"/>
      <c r="G333" s="19"/>
      <c r="H333" s="18"/>
      <c r="I333" s="18"/>
      <c r="J333" s="19"/>
      <c r="K333" s="19"/>
    </row>
    <row r="334" spans="1:11" ht="12.95">
      <c r="A334" s="18"/>
      <c r="B334" s="18"/>
      <c r="C334" s="18"/>
      <c r="D334" s="18"/>
      <c r="E334" s="18"/>
      <c r="F334" s="18"/>
      <c r="G334" s="19"/>
      <c r="H334" s="18"/>
      <c r="I334" s="18"/>
      <c r="J334" s="19"/>
      <c r="K334" s="19"/>
    </row>
    <row r="335" spans="1:11" ht="12.95">
      <c r="A335" s="18"/>
      <c r="B335" s="18"/>
      <c r="C335" s="18"/>
      <c r="D335" s="18"/>
      <c r="E335" s="18"/>
      <c r="F335" s="18"/>
      <c r="G335" s="19"/>
      <c r="H335" s="18"/>
      <c r="I335" s="18"/>
      <c r="J335" s="19"/>
      <c r="K335" s="19"/>
    </row>
    <row r="336" spans="1:11" ht="12.95">
      <c r="A336" s="18"/>
      <c r="B336" s="18"/>
      <c r="C336" s="18"/>
      <c r="D336" s="18"/>
      <c r="E336" s="18"/>
      <c r="F336" s="18"/>
      <c r="G336" s="19"/>
      <c r="H336" s="18"/>
      <c r="I336" s="18"/>
      <c r="J336" s="19"/>
      <c r="K336" s="19"/>
    </row>
    <row r="337" spans="1:11" ht="12.95">
      <c r="A337" s="18"/>
      <c r="B337" s="18"/>
      <c r="C337" s="18"/>
      <c r="D337" s="18"/>
      <c r="E337" s="18"/>
      <c r="F337" s="18"/>
      <c r="G337" s="19"/>
      <c r="H337" s="18"/>
      <c r="I337" s="18"/>
      <c r="J337" s="19"/>
      <c r="K337" s="19"/>
    </row>
    <row r="338" spans="1:11" ht="12.95">
      <c r="A338" s="18"/>
      <c r="B338" s="18"/>
      <c r="C338" s="18"/>
      <c r="D338" s="18"/>
      <c r="E338" s="18"/>
      <c r="F338" s="18"/>
      <c r="G338" s="19"/>
      <c r="H338" s="18"/>
      <c r="I338" s="18"/>
      <c r="J338" s="19"/>
      <c r="K338" s="19"/>
    </row>
    <row r="339" spans="1:11" ht="12.95">
      <c r="A339" s="18"/>
      <c r="B339" s="18"/>
      <c r="C339" s="18"/>
      <c r="D339" s="18"/>
      <c r="E339" s="18"/>
      <c r="F339" s="18"/>
      <c r="G339" s="19"/>
      <c r="H339" s="18"/>
      <c r="I339" s="18"/>
      <c r="J339" s="19"/>
      <c r="K339" s="19"/>
    </row>
    <row r="340" spans="1:11" ht="12.95">
      <c r="A340" s="18"/>
      <c r="B340" s="18"/>
      <c r="C340" s="18"/>
      <c r="D340" s="18"/>
      <c r="E340" s="18"/>
      <c r="F340" s="18"/>
      <c r="G340" s="19"/>
      <c r="H340" s="18"/>
      <c r="I340" s="18"/>
      <c r="J340" s="19"/>
      <c r="K340" s="19"/>
    </row>
    <row r="341" spans="1:11" ht="12.95">
      <c r="A341" s="18"/>
      <c r="B341" s="18"/>
      <c r="C341" s="18"/>
      <c r="D341" s="18"/>
      <c r="E341" s="18"/>
      <c r="F341" s="18"/>
      <c r="G341" s="19"/>
      <c r="H341" s="18"/>
      <c r="I341" s="18"/>
      <c r="J341" s="19"/>
      <c r="K341" s="19"/>
    </row>
    <row r="342" spans="1:11" ht="12.95">
      <c r="A342" s="18"/>
      <c r="B342" s="18"/>
      <c r="C342" s="18"/>
      <c r="D342" s="18"/>
      <c r="E342" s="18"/>
      <c r="F342" s="18"/>
      <c r="G342" s="19"/>
      <c r="H342" s="18"/>
      <c r="I342" s="18"/>
      <c r="J342" s="19"/>
      <c r="K342" s="19"/>
    </row>
  </sheetData>
  <sortState xmlns:xlrd2="http://schemas.microsoft.com/office/spreadsheetml/2017/richdata2" ref="A3:J3">
    <sortCondition ref="A3"/>
  </sortState>
  <mergeCells count="4">
    <mergeCell ref="H1:J1"/>
    <mergeCell ref="A1:D1"/>
    <mergeCell ref="E1:G1"/>
    <mergeCell ref="A2:B2"/>
  </mergeCells>
  <conditionalFormatting sqref="G2">
    <cfRule type="cellIs" dxfId="134" priority="11" stopIfTrue="1" operator="lessThanOrEqual">
      <formula>-0.1</formula>
    </cfRule>
    <cfRule type="expression" dxfId="133" priority="12">
      <formula>AND(ISNUMBER(G2), G2&gt;=0.1)</formula>
    </cfRule>
  </conditionalFormatting>
  <conditionalFormatting sqref="G4:G161 J4:J161">
    <cfRule type="cellIs" dxfId="132" priority="7" stopIfTrue="1" operator="lessThanOrEqual">
      <formula>-0.1</formula>
    </cfRule>
    <cfRule type="expression" dxfId="131" priority="8">
      <formula>AND(ISNUMBER(G4), G4&gt;=0.1)</formula>
    </cfRule>
  </conditionalFormatting>
  <conditionalFormatting sqref="J2:K2">
    <cfRule type="cellIs" dxfId="130" priority="3" stopIfTrue="1" operator="lessThanOrEqual">
      <formula>-0.1</formula>
    </cfRule>
    <cfRule type="expression" dxfId="129" priority="4">
      <formula>AND(ISNUMBER(J2), J2&gt;=0.1)</formula>
    </cfRule>
  </conditionalFormatting>
  <conditionalFormatting sqref="K4:K161">
    <cfRule type="expression" dxfId="128" priority="1" stopIfTrue="1">
      <formula>AND(K4&lt;&gt;"",K4&lt;0.975)</formula>
    </cfRule>
    <cfRule type="expression" dxfId="127" priority="2">
      <formula>AND(ISNUMBER(K4), K4&gt;=0.985)</formula>
    </cfRule>
  </conditionalFormatting>
  <pageMargins left="0.4" right="0.7" top="0.25" bottom="0.25" header="0.3" footer="0.3"/>
  <pageSetup scale="73" fitToHeight="9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M342"/>
  <sheetViews>
    <sheetView workbookViewId="0">
      <pane xSplit="2" ySplit="3" topLeftCell="C47" activePane="bottomRight" state="frozen"/>
      <selection pane="bottomRight" activeCell="K3" sqref="K3"/>
      <selection pane="bottomLeft" activeCell="C2" sqref="C1:C1048576"/>
      <selection pane="topRight" activeCell="C2" sqref="C1:C1048576"/>
    </sheetView>
  </sheetViews>
  <sheetFormatPr defaultRowHeight="12.6"/>
  <cols>
    <col min="1" max="1" width="35.85546875" bestFit="1" customWidth="1"/>
    <col min="2" max="2" width="8.42578125" customWidth="1"/>
    <col min="3" max="3" width="11.1406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8.5703125" style="1" customWidth="1"/>
  </cols>
  <sheetData>
    <row r="1" spans="1:13" ht="19.5" customHeight="1">
      <c r="A1" s="111" t="str" cm="1">
        <f t="array" ref="A1">portfolio</f>
        <v>Generate Capital</v>
      </c>
      <c r="B1" s="111"/>
      <c r="C1" s="111"/>
      <c r="D1" s="111"/>
      <c r="E1" s="112" t="s">
        <v>18</v>
      </c>
      <c r="F1" s="112"/>
      <c r="G1" s="112"/>
      <c r="H1" s="110" t="s">
        <v>19</v>
      </c>
      <c r="I1" s="110"/>
      <c r="J1" s="110"/>
      <c r="K1" s="107" t="s">
        <v>20</v>
      </c>
    </row>
    <row r="2" spans="1:13" ht="19.5" customHeight="1">
      <c r="A2" s="113" t="s">
        <v>3</v>
      </c>
      <c r="B2" s="113"/>
      <c r="C2" s="72"/>
      <c r="D2" s="6">
        <f>SUM(D4:D100)</f>
        <v>50973995.856912799</v>
      </c>
      <c r="E2" s="6">
        <f>SUM(E4:E100)</f>
        <v>23156312.150999997</v>
      </c>
      <c r="F2" s="6">
        <f>D2-E2</f>
        <v>27817683.705912802</v>
      </c>
      <c r="G2" s="7">
        <f>IFERROR(F2/E2, 0)</f>
        <v>1.2013002556070442</v>
      </c>
      <c r="H2" s="6">
        <f>SUM(H4:H100)</f>
        <v>46730431.090000004</v>
      </c>
      <c r="I2" s="8">
        <f>D2-H2</f>
        <v>4243564.7669127956</v>
      </c>
      <c r="J2" s="7">
        <f>IFERROR(I2/H2, 0)</f>
        <v>9.0809450457239413E-2</v>
      </c>
      <c r="K2" s="108"/>
    </row>
    <row r="3" spans="1:13" ht="14.25" customHeight="1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f>SUM(Apr!D4, May!D4, Jun!D4)</f>
        <v>43015.561155885502</v>
      </c>
      <c r="E4" s="11">
        <f>SUM(Apr!E4, May!E4, Jun!E4)</f>
        <v>4619.6629999999996</v>
      </c>
      <c r="F4" s="11">
        <f>IF(AND(ISNUMBER(D4),ISNUMBER(E4)), D4-E4, "")</f>
        <v>38395.898155885501</v>
      </c>
      <c r="G4" s="12">
        <f>IFERROR(F4/E4, "")</f>
        <v>8.3114067315917861</v>
      </c>
      <c r="H4" s="13">
        <f>SUM(Apr!H4, May!H4, Jun!H4)</f>
        <v>40656.850000000006</v>
      </c>
      <c r="I4" s="13">
        <f>SUM(Apr!I4, May!I4, Jun!I4)</f>
        <v>2358.7111558854995</v>
      </c>
      <c r="J4" s="14">
        <f>IFERROR(I4/H4, "")</f>
        <v>5.8015098461526145E-2</v>
      </c>
      <c r="K4" s="14">
        <f>IFERROR(AVERAGE(Apr!K4,May!K4,Jun!K4),"")</f>
        <v>1</v>
      </c>
      <c r="L4" s="38"/>
      <c r="M4" s="38"/>
    </row>
    <row r="5" spans="1:13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f>SUM(Apr!D5, May!D5, Jun!D5)</f>
        <v>195784.25</v>
      </c>
      <c r="E5" s="15">
        <f>SUM(Apr!E5, May!E5, Jun!E5)</f>
        <v>32871.56</v>
      </c>
      <c r="F5" s="15">
        <f t="shared" ref="F5:F15" si="0">IF(AND(ISNUMBER(D5),ISNUMBER(E5)), D5-E5, "")</f>
        <v>162912.69</v>
      </c>
      <c r="G5" s="16">
        <f>IFERROR(F5/E5, "")</f>
        <v>4.9560376812052729</v>
      </c>
      <c r="H5" s="17">
        <f>SUM(Apr!H5, May!H5, Jun!H5)</f>
        <v>221317.44</v>
      </c>
      <c r="I5" s="17">
        <f>SUM(Apr!I5, May!I5, Jun!I5)</f>
        <v>-25533.190000000002</v>
      </c>
      <c r="J5" s="16">
        <f>IFERROR(I5/H5, "")</f>
        <v>-0.11536908252688989</v>
      </c>
      <c r="K5" s="14">
        <f>IFERROR(AVERAGE(Apr!K5,May!K5,Jun!K5),"")</f>
        <v>1</v>
      </c>
      <c r="L5" s="39"/>
      <c r="M5" s="39"/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SUM(Apr!D6, May!D6, Jun!D6)</f>
        <v>66638.203578180706</v>
      </c>
      <c r="E6" s="11">
        <f>SUM(Apr!E6, May!E6, Jun!E6)</f>
        <v>0</v>
      </c>
      <c r="F6" s="11">
        <f t="shared" si="0"/>
        <v>66638.203578180706</v>
      </c>
      <c r="G6" s="12" t="str">
        <f t="shared" ref="G6:G15" si="1">IFERROR(F6/E6, "")</f>
        <v/>
      </c>
      <c r="H6" s="13">
        <f>SUM(Apr!H6, May!H6, Jun!H6)</f>
        <v>58079</v>
      </c>
      <c r="I6" s="13">
        <f>SUM(Apr!I6, May!I6, Jun!I6)</f>
        <v>8559.2035781807026</v>
      </c>
      <c r="J6" s="14">
        <f t="shared" ref="J6:J15" si="2">IFERROR(I6/H6, "")</f>
        <v>0.14737174500560793</v>
      </c>
      <c r="K6" s="14">
        <f>IFERROR(AVERAGE(Apr!K6,May!K6,Jun!K6),"")</f>
        <v>0.83333333333333337</v>
      </c>
      <c r="L6" s="38"/>
      <c r="M6" s="38"/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f>SUM(Apr!D7, May!D7, Jun!D7)</f>
        <v>28784.061335572711</v>
      </c>
      <c r="E7" s="15">
        <f>SUM(Apr!E7, May!E7, Jun!E7)</f>
        <v>7863.5940000000001</v>
      </c>
      <c r="F7" s="15">
        <f t="shared" si="0"/>
        <v>20920.46733557271</v>
      </c>
      <c r="G7" s="16">
        <f t="shared" si="1"/>
        <v>2.6604205832056831</v>
      </c>
      <c r="H7" s="17">
        <f>SUM(Apr!H7, May!H7, Jun!H7)</f>
        <v>45648.84</v>
      </c>
      <c r="I7" s="17">
        <f>SUM(Apr!I7, May!I7, Jun!I7)</f>
        <v>-16864.778664427289</v>
      </c>
      <c r="J7" s="16">
        <f t="shared" si="2"/>
        <v>-0.36944594133010367</v>
      </c>
      <c r="K7" s="14">
        <f>IFERROR(AVERAGE(Apr!K7,May!K7,Jun!K7),"")</f>
        <v>0.99183673333333333</v>
      </c>
      <c r="L7" s="39"/>
      <c r="M7" s="40"/>
    </row>
    <row r="8" spans="1:13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SUM(Apr!D8, May!D8, Jun!D8)</f>
        <v>91309.237783242308</v>
      </c>
      <c r="E8" s="11">
        <f>SUM(Apr!E8, May!E8, Jun!E8)</f>
        <v>19878.29</v>
      </c>
      <c r="F8" s="11">
        <f t="shared" si="0"/>
        <v>71430.9477832423</v>
      </c>
      <c r="G8" s="12">
        <f t="shared" si="1"/>
        <v>3.5934151168557404</v>
      </c>
      <c r="H8" s="13">
        <f>SUM(Apr!H8, May!H8, Jun!H8)</f>
        <v>98753.599999999991</v>
      </c>
      <c r="I8" s="13">
        <f>SUM(Apr!I8, May!I8, Jun!I8)</f>
        <v>-7444.3622167577014</v>
      </c>
      <c r="J8" s="14">
        <f t="shared" si="2"/>
        <v>-7.5383198351834282E-2</v>
      </c>
      <c r="K8" s="14">
        <f>IFERROR(AVERAGE(Apr!K8,May!K8,Jun!K8),"")</f>
        <v>0.9</v>
      </c>
      <c r="L8" s="38"/>
      <c r="M8" s="38"/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f>SUM(Apr!D9, May!D9, Jun!D9)</f>
        <v>97023.620768978304</v>
      </c>
      <c r="E9" s="15">
        <f>SUM(Apr!E9, May!E9, Jun!E9)</f>
        <v>13998.62</v>
      </c>
      <c r="F9" s="15">
        <f t="shared" si="0"/>
        <v>83025.000768978309</v>
      </c>
      <c r="G9" s="16">
        <f t="shared" si="1"/>
        <v>5.9309418191920562</v>
      </c>
      <c r="H9" s="17">
        <f>SUM(Apr!H9, May!H9, Jun!H9)</f>
        <v>98159.94</v>
      </c>
      <c r="I9" s="17">
        <f>SUM(Apr!I9, May!I9, Jun!I9)</f>
        <v>-1136.3192310216982</v>
      </c>
      <c r="J9" s="16">
        <f t="shared" si="2"/>
        <v>-1.1576201360979827E-2</v>
      </c>
      <c r="K9" s="14">
        <f>IFERROR(AVERAGE(Apr!K9,May!K9,Jun!K9),"")</f>
        <v>0.99767326666666667</v>
      </c>
      <c r="L9" s="39"/>
      <c r="M9" s="40"/>
    </row>
    <row r="10" spans="1:13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SUM(Apr!D10, May!D10, Jun!D10)</f>
        <v>43708.489122081701</v>
      </c>
      <c r="E10" s="11">
        <f>SUM(Apr!E10, May!E10, Jun!E10)</f>
        <v>5763.3410000000003</v>
      </c>
      <c r="F10" s="11">
        <f t="shared" si="0"/>
        <v>37945.1481220817</v>
      </c>
      <c r="G10" s="12">
        <f t="shared" si="1"/>
        <v>6.5838804474837946</v>
      </c>
      <c r="H10" s="13">
        <f>SUM(Apr!H10, May!H10, Jun!H10)</f>
        <v>42109</v>
      </c>
      <c r="I10" s="13">
        <f>SUM(Apr!I10, May!I10, Jun!I10)</f>
        <v>1599.4891220817008</v>
      </c>
      <c r="J10" s="14">
        <f t="shared" si="2"/>
        <v>3.7984495525462507E-2</v>
      </c>
      <c r="K10" s="14">
        <f>IFERROR(AVERAGE(Apr!K10,May!K10,Jun!K10),"")</f>
        <v>1</v>
      </c>
      <c r="L10" s="38"/>
      <c r="M10" s="38"/>
    </row>
    <row r="11" spans="1:13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SUM(Apr!D11, May!D11, Jun!D11)</f>
        <v>-988879.29689458862</v>
      </c>
      <c r="E11" s="15">
        <f>SUM(Apr!E11, May!E11, Jun!E11)</f>
        <v>0</v>
      </c>
      <c r="F11" s="15">
        <f t="shared" si="0"/>
        <v>-988879.29689458862</v>
      </c>
      <c r="G11" s="16" t="str">
        <f t="shared" si="1"/>
        <v/>
      </c>
      <c r="H11" s="17">
        <f>SUM(Apr!H11, May!H11, Jun!H11)</f>
        <v>35234</v>
      </c>
      <c r="I11" s="17">
        <f>SUM(Apr!I11, May!I11, Jun!I11)</f>
        <v>-1024113.2968945886</v>
      </c>
      <c r="J11" s="16">
        <f t="shared" si="2"/>
        <v>-29.066052588255339</v>
      </c>
      <c r="K11" s="14">
        <f>IFERROR(AVERAGE(Apr!K11,May!K11,Jun!K11),"")</f>
        <v>0.77739986666666672</v>
      </c>
      <c r="L11" s="39"/>
      <c r="M11" s="40"/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SUM(Apr!D12, May!D12, Jun!D12)</f>
        <v>252815</v>
      </c>
      <c r="E12" s="11">
        <f>SUM(Apr!E12, May!E12, Jun!E12)</f>
        <v>295661.99</v>
      </c>
      <c r="F12" s="11">
        <f t="shared" si="0"/>
        <v>-42846.989999999991</v>
      </c>
      <c r="G12" s="12">
        <f t="shared" si="1"/>
        <v>-0.1449188311287494</v>
      </c>
      <c r="H12" s="13">
        <f>SUM(Apr!H12, May!H12, Jun!H12)</f>
        <v>252289</v>
      </c>
      <c r="I12" s="13">
        <f>SUM(Apr!I12, May!I12, Jun!I12)</f>
        <v>526</v>
      </c>
      <c r="J12" s="14">
        <f t="shared" si="2"/>
        <v>2.0849105589225056E-3</v>
      </c>
      <c r="K12" s="14">
        <f>IFERROR(AVERAGE(Apr!K12,May!K12,Jun!K12),"")</f>
        <v>1</v>
      </c>
      <c r="L12" s="38"/>
      <c r="M12" s="38"/>
    </row>
    <row r="13" spans="1:13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SUM(Apr!D13, May!D13, Jun!D13)</f>
        <v>309245.96875</v>
      </c>
      <c r="E13" s="15">
        <f>SUM(Apr!E13, May!E13, Jun!E13)</f>
        <v>379438.3</v>
      </c>
      <c r="F13" s="15">
        <f t="shared" si="0"/>
        <v>-70192.331249999988</v>
      </c>
      <c r="G13" s="16">
        <f t="shared" si="1"/>
        <v>-0.18499010576950189</v>
      </c>
      <c r="H13" s="17">
        <f>SUM(Apr!H13, May!H13, Jun!H13)</f>
        <v>372182</v>
      </c>
      <c r="I13" s="17">
        <f>SUM(Apr!I13, May!I13, Jun!I13)</f>
        <v>-62936.03125</v>
      </c>
      <c r="J13" s="16">
        <f t="shared" si="2"/>
        <v>-0.16910014791150565</v>
      </c>
      <c r="K13" s="14">
        <f>IFERROR(AVERAGE(Apr!K13,May!K13,Jun!K13),"")</f>
        <v>1</v>
      </c>
      <c r="L13" s="39"/>
      <c r="M13" s="40"/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SUM(Apr!D14, May!D14, Jun!D14)</f>
        <v>67831.5</v>
      </c>
      <c r="E14" s="11">
        <f>SUM(Apr!E14, May!E14, Jun!E14)</f>
        <v>0</v>
      </c>
      <c r="F14" s="11">
        <f t="shared" si="0"/>
        <v>67831.5</v>
      </c>
      <c r="G14" s="12" t="str">
        <f t="shared" si="1"/>
        <v/>
      </c>
      <c r="H14" s="13">
        <f>SUM(Apr!H14, May!H14, Jun!H14)</f>
        <v>89122</v>
      </c>
      <c r="I14" s="13">
        <f>SUM(Apr!I14, May!I14, Jun!I14)</f>
        <v>-21290.5</v>
      </c>
      <c r="J14" s="14">
        <f t="shared" si="2"/>
        <v>-0.23889163169587757</v>
      </c>
      <c r="K14" s="14">
        <f>IFERROR(AVERAGE(Apr!K14,May!K14,Jun!K14),"")</f>
        <v>1</v>
      </c>
      <c r="L14" s="38"/>
      <c r="M14" s="38"/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SUM(Apr!D15, May!D15, Jun!D15)</f>
        <v>-1455820.1724002431</v>
      </c>
      <c r="E15" s="15">
        <f>SUM(Apr!E15, May!E15, Jun!E15)</f>
        <v>23760.252</v>
      </c>
      <c r="F15" s="15">
        <f t="shared" si="0"/>
        <v>-1479580.4244002432</v>
      </c>
      <c r="G15" s="16">
        <f t="shared" si="1"/>
        <v>-62.271242931272077</v>
      </c>
      <c r="H15" s="17">
        <f>SUM(Apr!H15, May!H15, Jun!H15)</f>
        <v>60212</v>
      </c>
      <c r="I15" s="17">
        <f>SUM(Apr!I15, May!I15, Jun!I15)</f>
        <v>-1516032.1724002431</v>
      </c>
      <c r="J15" s="16">
        <f t="shared" si="2"/>
        <v>-25.178239759520412</v>
      </c>
      <c r="K15" s="14">
        <f>IFERROR(AVERAGE(Apr!K15,May!K15,Jun!K15),"")</f>
        <v>1</v>
      </c>
      <c r="L15" s="39"/>
      <c r="M15" s="40"/>
    </row>
    <row r="16" spans="1:13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SUM(Apr!D16, May!D16, Jun!D16)</f>
        <v>41672.57139318897</v>
      </c>
      <c r="E16" s="11">
        <f>SUM(Apr!E16, May!E16, Jun!E16)</f>
        <v>3463.3490000000002</v>
      </c>
      <c r="F16" s="11">
        <f t="shared" ref="F16:F17" si="3">IF(AND(ISNUMBER(D16),ISNUMBER(E16)), D16-E16, "")</f>
        <v>38209.222393188968</v>
      </c>
      <c r="G16" s="12">
        <f t="shared" ref="G16:G17" si="4">IFERROR(F16/E16, "")</f>
        <v>11.032449341140314</v>
      </c>
      <c r="H16" s="13">
        <f>SUM(Apr!H16, May!H16, Jun!H16)</f>
        <v>46661</v>
      </c>
      <c r="I16" s="13">
        <f>SUM(Apr!I16, May!I16, Jun!I16)</f>
        <v>-4988.4286068110287</v>
      </c>
      <c r="J16" s="14">
        <f t="shared" ref="J16:J17" si="5">IFERROR(I16/H16, "")</f>
        <v>-0.10690788038856923</v>
      </c>
      <c r="K16" s="14">
        <f>IFERROR(AVERAGE(Apr!K16,May!K16,Jun!K16),"")</f>
        <v>1</v>
      </c>
      <c r="L16" s="38"/>
      <c r="M16" s="38"/>
    </row>
    <row r="17" spans="1:13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SUM(Apr!D17, May!D17, Jun!D17)</f>
        <v>261417.9300000002</v>
      </c>
      <c r="E17" s="15">
        <f>SUM(Apr!E17, May!E17, Jun!E17)</f>
        <v>26087.13</v>
      </c>
      <c r="F17" s="15">
        <f t="shared" si="3"/>
        <v>235330.80000000019</v>
      </c>
      <c r="G17" s="16">
        <f t="shared" si="4"/>
        <v>9.0209540106558368</v>
      </c>
      <c r="H17" s="17">
        <f>SUM(Apr!H17, May!H17, Jun!H17)</f>
        <v>283286</v>
      </c>
      <c r="I17" s="17">
        <f>SUM(Apr!I17, May!I17, Jun!I17)</f>
        <v>-21868.069999999803</v>
      </c>
      <c r="J17" s="16">
        <f t="shared" si="5"/>
        <v>-7.71943195216135E-2</v>
      </c>
      <c r="K17" s="14">
        <f>IFERROR(AVERAGE(Apr!K17,May!K17,Jun!K17),"")</f>
        <v>0.99920636666666673</v>
      </c>
      <c r="L17" s="39"/>
      <c r="M17" s="39"/>
    </row>
    <row r="18" spans="1:13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67">
        <f>SUM(Apr!D18, May!D18, Jun!D18)</f>
        <v>96151.095225113895</v>
      </c>
      <c r="E18" s="11">
        <f>SUM(Apr!E18, May!E18, Jun!E18)</f>
        <v>0</v>
      </c>
      <c r="F18" s="11">
        <f t="shared" ref="F18:F49" si="6">IF(AND(ISNUMBER(D18),ISNUMBER(E18)), D18-E18, "")</f>
        <v>96151.095225113895</v>
      </c>
      <c r="G18" s="68" t="str">
        <f t="shared" ref="G18:G49" si="7">IFERROR(F18/E18, "")</f>
        <v/>
      </c>
      <c r="H18" s="13">
        <f>SUM(Apr!H18, May!H18, Jun!H18)</f>
        <v>165984</v>
      </c>
      <c r="I18" s="13">
        <f>SUM(Apr!I18, May!I18, Jun!I18)</f>
        <v>-69832.904774886105</v>
      </c>
      <c r="J18" s="14">
        <f t="shared" ref="J18:J81" si="8">IFERROR(I18/H18, "")</f>
        <v>-0.42072070063913453</v>
      </c>
      <c r="K18" s="14">
        <f>IFERROR(AVERAGE(Apr!K18,May!K18,Jun!K18),"")</f>
        <v>0.99977776666666662</v>
      </c>
      <c r="L18" s="38"/>
      <c r="M18" s="38"/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SUM(Apr!D19, May!D19, Jun!D19)</f>
        <v>411033.5</v>
      </c>
      <c r="E19" s="15">
        <f>SUM(Apr!E19, May!E19, Jun!E19)</f>
        <v>487327.4</v>
      </c>
      <c r="F19" s="15">
        <f t="shared" si="6"/>
        <v>-76293.900000000023</v>
      </c>
      <c r="G19" s="16">
        <f t="shared" si="7"/>
        <v>-0.15655573645151089</v>
      </c>
      <c r="H19" s="17">
        <f>SUM(Apr!H19, May!H19, Jun!H19)</f>
        <v>406531.2</v>
      </c>
      <c r="I19" s="17">
        <f>SUM(Apr!I19, May!I19, Jun!I19)</f>
        <v>4502.3000000000175</v>
      </c>
      <c r="J19" s="16">
        <f t="shared" si="8"/>
        <v>1.1074918727025176E-2</v>
      </c>
      <c r="K19" s="14">
        <f>IFERROR(AVERAGE(Apr!K19,May!K19,Jun!K19),"")</f>
        <v>1</v>
      </c>
      <c r="L19" s="39"/>
      <c r="M19" s="40"/>
    </row>
    <row r="20" spans="1:13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67">
        <f>SUM(Apr!D20, May!D20, Jun!D20)</f>
        <v>109436.125</v>
      </c>
      <c r="E20" s="11">
        <f>SUM(Apr!E20, May!E20, Jun!E20)</f>
        <v>110011.73999999999</v>
      </c>
      <c r="F20" s="11">
        <f t="shared" si="6"/>
        <v>-575.61499999999069</v>
      </c>
      <c r="G20" s="68">
        <f t="shared" si="7"/>
        <v>-5.2323052066987645E-3</v>
      </c>
      <c r="H20" s="13">
        <f>SUM(Apr!H20, May!H20, Jun!H20)</f>
        <v>106666.01000000001</v>
      </c>
      <c r="I20" s="13">
        <f>SUM(Apr!I20, May!I20, Jun!I20)</f>
        <v>2770.114999999998</v>
      </c>
      <c r="J20" s="14">
        <f t="shared" si="8"/>
        <v>2.5969988002738621E-2</v>
      </c>
      <c r="K20" s="14">
        <f>IFERROR(AVERAGE(Apr!K20,May!K20,Jun!K20),"")</f>
        <v>0.99335439999999997</v>
      </c>
      <c r="L20" s="38"/>
      <c r="M20" s="38"/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SUM(Apr!D21, May!D21, Jun!D21)</f>
        <v>109333.6875</v>
      </c>
      <c r="E21" s="15">
        <f>SUM(Apr!E21, May!E21, Jun!E21)</f>
        <v>120612.22</v>
      </c>
      <c r="F21" s="15">
        <f t="shared" si="6"/>
        <v>-11278.532500000001</v>
      </c>
      <c r="G21" s="16">
        <f t="shared" si="7"/>
        <v>-9.3510694853307583E-2</v>
      </c>
      <c r="H21" s="17">
        <f>SUM(Apr!H21, May!H21, Jun!H21)</f>
        <v>112226.62999999999</v>
      </c>
      <c r="I21" s="17">
        <f>SUM(Apr!I21, May!I21, Jun!I21)</f>
        <v>-2892.9424999999974</v>
      </c>
      <c r="J21" s="16">
        <f t="shared" si="8"/>
        <v>-2.5777683068626382E-2</v>
      </c>
      <c r="K21" s="14">
        <f>IFERROR(AVERAGE(Apr!K21,May!K21,Jun!K21),"")</f>
        <v>1</v>
      </c>
      <c r="L21" s="39"/>
      <c r="M21" s="40"/>
    </row>
    <row r="22" spans="1:13" ht="15.6">
      <c r="A22" s="25" t="str">
        <v>K041</v>
      </c>
      <c r="B22" s="26" t="str">
        <v>NY</v>
      </c>
      <c r="C22" s="26" t="str">
        <f>Sites[[#This Row],[SOL'#]]</f>
        <v>SOL-10357</v>
      </c>
      <c r="D22" s="67">
        <f>SUM(Apr!D22, May!D22, Jun!D22)</f>
        <v>76136.046875</v>
      </c>
      <c r="E22" s="11">
        <f>SUM(Apr!E22, May!E22, Jun!E22)</f>
        <v>94807.3</v>
      </c>
      <c r="F22" s="11">
        <f t="shared" si="6"/>
        <v>-18671.253125000003</v>
      </c>
      <c r="G22" s="68">
        <f t="shared" si="7"/>
        <v>-0.19693898175562433</v>
      </c>
      <c r="H22" s="13">
        <f>SUM(Apr!H22, May!H22, Jun!H22)</f>
        <v>88785</v>
      </c>
      <c r="I22" s="13">
        <f>SUM(Apr!I22, May!I22, Jun!I22)</f>
        <v>-12648.953125</v>
      </c>
      <c r="J22" s="14">
        <f t="shared" si="8"/>
        <v>-0.14246723123275329</v>
      </c>
      <c r="K22" s="14">
        <f>IFERROR(AVERAGE(Apr!K22,May!K22,Jun!K22),"")</f>
        <v>1</v>
      </c>
      <c r="L22" s="38"/>
      <c r="M22" s="38"/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SUM(Apr!D23, May!D23, Jun!D23)</f>
        <v>102911.53125</v>
      </c>
      <c r="E23" s="15">
        <f>SUM(Apr!E23, May!E23, Jun!E23)</f>
        <v>107159.94</v>
      </c>
      <c r="F23" s="15">
        <f t="shared" si="6"/>
        <v>-4248.4087500000023</v>
      </c>
      <c r="G23" s="16">
        <f t="shared" si="7"/>
        <v>-3.9645493922449024E-2</v>
      </c>
      <c r="H23" s="17">
        <f>SUM(Apr!H23, May!H23, Jun!H23)</f>
        <v>19543</v>
      </c>
      <c r="I23" s="17">
        <f>SUM(Apr!I23, May!I23, Jun!I23)</f>
        <v>83368.53125</v>
      </c>
      <c r="J23" s="16">
        <f t="shared" si="8"/>
        <v>4.2659024330962492</v>
      </c>
      <c r="K23" s="14">
        <f>IFERROR(AVERAGE(Apr!K23,May!K23,Jun!K23),"")</f>
        <v>0.97063473333333328</v>
      </c>
      <c r="L23" s="39"/>
      <c r="M23" s="40"/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67">
        <f>SUM(Apr!D24, May!D24, Jun!D24)</f>
        <v>82610.3125</v>
      </c>
      <c r="E24" s="11">
        <f>SUM(Apr!E24, May!E24, Jun!E24)</f>
        <v>85719.52</v>
      </c>
      <c r="F24" s="11">
        <f t="shared" si="6"/>
        <v>-3109.2075000000041</v>
      </c>
      <c r="G24" s="68">
        <f t="shared" si="7"/>
        <v>-3.6271872497652853E-2</v>
      </c>
      <c r="H24" s="13">
        <f>SUM(Apr!H24, May!H24, Jun!H24)</f>
        <v>83309.36</v>
      </c>
      <c r="I24" s="13">
        <f>SUM(Apr!I24, May!I24, Jun!I24)</f>
        <v>-699.04750000000058</v>
      </c>
      <c r="J24" s="14">
        <f t="shared" si="8"/>
        <v>-8.3909839182536097E-3</v>
      </c>
      <c r="K24" s="14">
        <f>IFERROR(AVERAGE(Apr!K24,May!K24,Jun!K24),"")</f>
        <v>0.9997474666666667</v>
      </c>
      <c r="L24" s="38"/>
      <c r="M24" s="38"/>
    </row>
    <row r="25" spans="1:13" ht="15.6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SUM(Apr!D25, May!D25, Jun!D25)</f>
        <v>22640.687499999989</v>
      </c>
      <c r="E25" s="15">
        <f>SUM(Apr!E25, May!E25, Jun!E25)</f>
        <v>35267.46</v>
      </c>
      <c r="F25" s="15">
        <f t="shared" si="6"/>
        <v>-12626.77250000001</v>
      </c>
      <c r="G25" s="16">
        <f t="shared" si="7"/>
        <v>-0.35802897345031398</v>
      </c>
      <c r="H25" s="17">
        <f>SUM(Apr!H25, May!H25, Jun!H25)</f>
        <v>51105.51</v>
      </c>
      <c r="I25" s="17">
        <f>SUM(Apr!I25, May!I25, Jun!I25)</f>
        <v>-28464.822500000009</v>
      </c>
      <c r="J25" s="16">
        <f t="shared" si="8"/>
        <v>-0.55698147812241783</v>
      </c>
      <c r="K25" s="14">
        <f>IFERROR(AVERAGE(Apr!K25,May!K25,Jun!K25),"")</f>
        <v>0.96075879999999991</v>
      </c>
      <c r="L25" s="39"/>
      <c r="M25" s="40"/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67">
        <f>SUM(Apr!D26, May!D26, Jun!D26)</f>
        <v>31613.25</v>
      </c>
      <c r="E26" s="11">
        <f>SUM(Apr!E26, May!E26, Jun!E26)</f>
        <v>32716.2</v>
      </c>
      <c r="F26" s="11">
        <f t="shared" si="6"/>
        <v>-1102.9500000000007</v>
      </c>
      <c r="G26" s="68">
        <f t="shared" si="7"/>
        <v>-3.371265611531904E-2</v>
      </c>
      <c r="H26" s="13">
        <f>SUM(Apr!H26, May!H26, Jun!H26)</f>
        <v>32067</v>
      </c>
      <c r="I26" s="13">
        <f>SUM(Apr!I26, May!I26, Jun!I26)</f>
        <v>-453.75</v>
      </c>
      <c r="J26" s="14">
        <f t="shared" si="8"/>
        <v>-1.4150060810178689E-2</v>
      </c>
      <c r="K26" s="14">
        <f>IFERROR(AVERAGE(Apr!K26,May!K26,Jun!K26),"")</f>
        <v>1</v>
      </c>
      <c r="L26" s="38"/>
      <c r="M26" s="38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SUM(Apr!D27, May!D27, Jun!D27)</f>
        <v>115096.375</v>
      </c>
      <c r="E27" s="15">
        <f>SUM(Apr!E27, May!E27, Jun!E27)</f>
        <v>124528.3</v>
      </c>
      <c r="F27" s="15">
        <f t="shared" si="6"/>
        <v>-9431.9250000000029</v>
      </c>
      <c r="G27" s="16">
        <f t="shared" si="7"/>
        <v>-7.5741217056685128E-2</v>
      </c>
      <c r="H27" s="17">
        <f>SUM(Apr!H27, May!H27, Jun!H27)</f>
        <v>118161.45</v>
      </c>
      <c r="I27" s="17">
        <f>SUM(Apr!I27, May!I27, Jun!I27)</f>
        <v>-3065.0749999999971</v>
      </c>
      <c r="J27" s="16">
        <f t="shared" si="8"/>
        <v>-2.5939720611079138E-2</v>
      </c>
      <c r="K27" s="14">
        <f>IFERROR(AVERAGE(Apr!K27,May!K27,Jun!K27),"")</f>
        <v>1</v>
      </c>
      <c r="L27" s="39"/>
      <c r="M27" s="40"/>
    </row>
    <row r="28" spans="1:13" ht="15.6">
      <c r="A28" s="25" t="str">
        <v>K206</v>
      </c>
      <c r="B28" s="26" t="str">
        <v>NY</v>
      </c>
      <c r="C28" s="26" t="str">
        <f>Sites[[#This Row],[SOL'#]]</f>
        <v>SOL-10927</v>
      </c>
      <c r="D28" s="67">
        <f>SUM(Apr!D28, May!D28, Jun!D28)</f>
        <v>68198.50390625</v>
      </c>
      <c r="E28" s="11">
        <f>SUM(Apr!E28, May!E28, Jun!E28)</f>
        <v>66642.31</v>
      </c>
      <c r="F28" s="11">
        <f t="shared" si="6"/>
        <v>1556.1939062500023</v>
      </c>
      <c r="G28" s="68">
        <f t="shared" si="7"/>
        <v>2.3351440042369515E-2</v>
      </c>
      <c r="H28" s="13">
        <f>SUM(Apr!H28, May!H28, Jun!H28)</f>
        <v>65939</v>
      </c>
      <c r="I28" s="13">
        <f>SUM(Apr!I28, May!I28, Jun!I28)</f>
        <v>2259.50390625</v>
      </c>
      <c r="J28" s="14">
        <f t="shared" si="8"/>
        <v>3.4266578295849191E-2</v>
      </c>
      <c r="K28" s="14">
        <f>IFERROR(AVERAGE(Apr!K28,May!K28,Jun!K28),"")</f>
        <v>0.99173996666666675</v>
      </c>
      <c r="L28" s="38"/>
      <c r="M28" s="38"/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SUM(Apr!D29, May!D29, Jun!D29)</f>
        <v>72811.875</v>
      </c>
      <c r="E29" s="15">
        <f>SUM(Apr!E29, May!E29, Jun!E29)</f>
        <v>76019.709999999992</v>
      </c>
      <c r="F29" s="15">
        <f t="shared" si="6"/>
        <v>-3207.8349999999919</v>
      </c>
      <c r="G29" s="16">
        <f t="shared" si="7"/>
        <v>-4.2197411697571491E-2</v>
      </c>
      <c r="H29" s="17">
        <f>SUM(Apr!H29, May!H29, Jun!H29)</f>
        <v>74534.289999999994</v>
      </c>
      <c r="I29" s="17">
        <f>SUM(Apr!I29, May!I29, Jun!I29)</f>
        <v>-1722.4149999999972</v>
      </c>
      <c r="J29" s="16">
        <f t="shared" si="8"/>
        <v>-2.3109028072850729E-2</v>
      </c>
      <c r="K29" s="14">
        <f>IFERROR(AVERAGE(Apr!K29,May!K29,Jun!K29),"")</f>
        <v>1</v>
      </c>
      <c r="L29" s="39"/>
      <c r="M29" s="39"/>
    </row>
    <row r="30" spans="1:13" ht="15.6">
      <c r="A30" s="25" t="str">
        <v>K269</v>
      </c>
      <c r="B30" s="26" t="str">
        <v>NY</v>
      </c>
      <c r="C30" s="26" t="str">
        <f>Sites[[#This Row],[SOL'#]]</f>
        <v>SOL-10366</v>
      </c>
      <c r="D30" s="67">
        <f>SUM(Apr!D30, May!D30, Jun!D30)</f>
        <v>68003.9375</v>
      </c>
      <c r="E30" s="11">
        <f>SUM(Apr!E30, May!E30, Jun!E30)</f>
        <v>6230.46</v>
      </c>
      <c r="F30" s="11">
        <f t="shared" si="6"/>
        <v>61773.477500000001</v>
      </c>
      <c r="G30" s="68">
        <f t="shared" si="7"/>
        <v>9.9147538865509137</v>
      </c>
      <c r="H30" s="13">
        <f>SUM(Apr!H30, May!H30, Jun!H30)</f>
        <v>70340.010000000009</v>
      </c>
      <c r="I30" s="13">
        <f>SUM(Apr!I30, May!I30, Jun!I30)</f>
        <v>-2336.072500000002</v>
      </c>
      <c r="J30" s="14">
        <f t="shared" si="8"/>
        <v>-3.3211148249765697E-2</v>
      </c>
      <c r="K30" s="14">
        <f>IFERROR(AVERAGE(Apr!K30,May!K30,Jun!K30),"")</f>
        <v>1</v>
      </c>
      <c r="L30" s="38"/>
      <c r="M30" s="38"/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SUM(Apr!D31, May!D31, Jun!D31)</f>
        <v>77233.1875</v>
      </c>
      <c r="E31" s="15">
        <f>SUM(Apr!E31, May!E31, Jun!E31)</f>
        <v>0</v>
      </c>
      <c r="F31" s="15">
        <f t="shared" si="6"/>
        <v>77233.1875</v>
      </c>
      <c r="G31" s="16" t="str">
        <f t="shared" si="7"/>
        <v/>
      </c>
      <c r="H31" s="17">
        <f>SUM(Apr!H31, May!H31, Jun!H31)</f>
        <v>89807</v>
      </c>
      <c r="I31" s="17">
        <f>SUM(Apr!I31, May!I31, Jun!I31)</f>
        <v>-12573.8125</v>
      </c>
      <c r="J31" s="16">
        <f t="shared" si="8"/>
        <v>-0.14000926987873996</v>
      </c>
      <c r="K31" s="14">
        <f>IFERROR(AVERAGE(Apr!K31,May!K31,Jun!K31),"")</f>
        <v>1</v>
      </c>
      <c r="L31" s="39"/>
      <c r="M31" s="40"/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67">
        <f>SUM(Apr!D32, May!D32, Jun!D32)</f>
        <v>60814.359375</v>
      </c>
      <c r="E32" s="11">
        <f>SUM(Apr!E32, May!E32, Jun!E32)</f>
        <v>52314.31</v>
      </c>
      <c r="F32" s="11">
        <f t="shared" si="6"/>
        <v>8500.0493750000023</v>
      </c>
      <c r="G32" s="68">
        <f t="shared" si="7"/>
        <v>0.16248038777535254</v>
      </c>
      <c r="H32" s="13">
        <f>SUM(Apr!H32, May!H32, Jun!H32)</f>
        <v>61335</v>
      </c>
      <c r="I32" s="13">
        <f>SUM(Apr!I32, May!I32, Jun!I32)</f>
        <v>-520.640625</v>
      </c>
      <c r="J32" s="14">
        <f t="shared" si="8"/>
        <v>-8.4884751773049646E-3</v>
      </c>
      <c r="K32" s="14">
        <f>IFERROR(AVERAGE(Apr!K32,May!K32,Jun!K32),"")</f>
        <v>0.9997805666666667</v>
      </c>
      <c r="L32" s="38"/>
      <c r="M32" s="38"/>
    </row>
    <row r="33" spans="1:13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SUM(Apr!D33, May!D33, Jun!D33)</f>
        <v>66472.625</v>
      </c>
      <c r="E33" s="15">
        <f>SUM(Apr!E33, May!E33, Jun!E33)</f>
        <v>68176.13</v>
      </c>
      <c r="F33" s="15">
        <f t="shared" si="6"/>
        <v>-1703.5050000000047</v>
      </c>
      <c r="G33" s="16">
        <f t="shared" si="7"/>
        <v>-2.4986824567484318E-2</v>
      </c>
      <c r="H33" s="17">
        <f>SUM(Apr!H33, May!H33, Jun!H33)</f>
        <v>70465</v>
      </c>
      <c r="I33" s="17">
        <f>SUM(Apr!I33, May!I33, Jun!I33)</f>
        <v>-3992.375</v>
      </c>
      <c r="J33" s="16">
        <f t="shared" si="8"/>
        <v>-5.6657560491023912E-2</v>
      </c>
      <c r="K33" s="14">
        <f>IFERROR(AVERAGE(Apr!K33,May!K33,Jun!K33),"")</f>
        <v>1</v>
      </c>
      <c r="L33" s="39"/>
      <c r="M33" s="40"/>
    </row>
    <row r="34" spans="1:13" ht="15.6">
      <c r="A34" s="25" t="str">
        <v>K335</v>
      </c>
      <c r="B34" s="26" t="str">
        <v>NY</v>
      </c>
      <c r="C34" s="26" t="str">
        <f>Sites[[#This Row],[SOL'#]]</f>
        <v>SOL-10370</v>
      </c>
      <c r="D34" s="67">
        <f>SUM(Apr!D34, May!D34, Jun!D34)</f>
        <v>66890.0625</v>
      </c>
      <c r="E34" s="11">
        <f>SUM(Apr!E34, May!E34, Jun!E34)</f>
        <v>75709.549999999988</v>
      </c>
      <c r="F34" s="11">
        <f t="shared" si="6"/>
        <v>-8819.4874999999884</v>
      </c>
      <c r="G34" s="68">
        <f t="shared" si="7"/>
        <v>-0.11649108335738344</v>
      </c>
      <c r="H34" s="13">
        <f>SUM(Apr!H34, May!H34, Jun!H34)</f>
        <v>74490</v>
      </c>
      <c r="I34" s="13">
        <f>SUM(Apr!I34, May!I34, Jun!I34)</f>
        <v>-7599.9375</v>
      </c>
      <c r="J34" s="14">
        <f t="shared" si="8"/>
        <v>-0.10202627869512686</v>
      </c>
      <c r="K34" s="14">
        <f>IFERROR(AVERAGE(Apr!K34,May!K34,Jun!K34),"")</f>
        <v>1</v>
      </c>
      <c r="L34" s="38"/>
      <c r="M34" s="38"/>
    </row>
    <row r="35" spans="1:13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SUM(Apr!D35, May!D35, Jun!D35)</f>
        <v>74964.9375</v>
      </c>
      <c r="E35" s="15">
        <f>SUM(Apr!E35, May!E35, Jun!E35)</f>
        <v>46889.86</v>
      </c>
      <c r="F35" s="15">
        <f t="shared" si="6"/>
        <v>28075.077499999999</v>
      </c>
      <c r="G35" s="16">
        <f t="shared" si="7"/>
        <v>0.59874517646245906</v>
      </c>
      <c r="H35" s="17">
        <f>SUM(Apr!H35, May!H35, Jun!H35)</f>
        <v>81770</v>
      </c>
      <c r="I35" s="17">
        <f>SUM(Apr!I35, May!I35, Jun!I35)</f>
        <v>-6805.0625</v>
      </c>
      <c r="J35" s="16">
        <f t="shared" si="8"/>
        <v>-8.3221994619053441E-2</v>
      </c>
      <c r="K35" s="14">
        <f>IFERROR(AVERAGE(Apr!K35,May!K35,Jun!K35),"")</f>
        <v>0.96999476666666673</v>
      </c>
      <c r="L35" s="39"/>
      <c r="M35" s="40"/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67">
        <f>SUM(Apr!D36, May!D36, Jun!D36)</f>
        <v>65127.4074160448</v>
      </c>
      <c r="E36" s="11">
        <f>SUM(Apr!E36, May!E36, Jun!E36)</f>
        <v>70607.78</v>
      </c>
      <c r="F36" s="11">
        <f t="shared" si="6"/>
        <v>-5480.3725839551989</v>
      </c>
      <c r="G36" s="68">
        <f t="shared" si="7"/>
        <v>-7.7617120718923599E-2</v>
      </c>
      <c r="H36" s="13">
        <f>SUM(Apr!H36, May!H36, Jun!H36)</f>
        <v>65992.210000000006</v>
      </c>
      <c r="I36" s="13">
        <f>SUM(Apr!I36, May!I36, Jun!I36)</f>
        <v>-864.80258395519922</v>
      </c>
      <c r="J36" s="14">
        <f t="shared" si="8"/>
        <v>-1.3104616195687327E-2</v>
      </c>
      <c r="K36" s="14">
        <f>IFERROR(AVERAGE(Apr!K36,May!K36,Jun!K36),"")</f>
        <v>1</v>
      </c>
      <c r="L36" s="38"/>
      <c r="M36" s="38"/>
    </row>
    <row r="37" spans="1:13" ht="15.6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SUM(Apr!D37, May!D37, Jun!D37)</f>
        <v>267542.69281249988</v>
      </c>
      <c r="E37" s="15">
        <f>SUM(Apr!E37, May!E37, Jun!E37)</f>
        <v>222196.44999999998</v>
      </c>
      <c r="F37" s="15">
        <f t="shared" si="6"/>
        <v>45346.242812499899</v>
      </c>
      <c r="G37" s="16">
        <f t="shared" si="7"/>
        <v>0.20408176103848599</v>
      </c>
      <c r="H37" s="17">
        <f>SUM(Apr!H37, May!H37, Jun!H37)</f>
        <v>282530</v>
      </c>
      <c r="I37" s="17">
        <f>SUM(Apr!I37, May!I37, Jun!I37)</f>
        <v>-14987.307187500104</v>
      </c>
      <c r="J37" s="16">
        <f t="shared" si="8"/>
        <v>-5.3046781536474373E-2</v>
      </c>
      <c r="K37" s="14">
        <f>IFERROR(AVERAGE(Apr!K37,May!K37,Jun!K37),"")</f>
        <v>0.92084810000000006</v>
      </c>
      <c r="L37" s="39"/>
      <c r="M37" s="40"/>
    </row>
    <row r="38" spans="1:13" ht="15.6">
      <c r="A38" s="25" t="str">
        <v>M020</v>
      </c>
      <c r="B38" s="26" t="str">
        <v>NY</v>
      </c>
      <c r="C38" s="26" t="str">
        <f>Sites[[#This Row],[SOL'#]]</f>
        <v>SOL-10380</v>
      </c>
      <c r="D38" s="67">
        <f>SUM(Apr!D38, May!D38, Jun!D38)</f>
        <v>67086.15625</v>
      </c>
      <c r="E38" s="11">
        <f>SUM(Apr!E38, May!E38, Jun!E38)</f>
        <v>74526.650000000009</v>
      </c>
      <c r="F38" s="11">
        <f t="shared" si="6"/>
        <v>-7440.4937500000087</v>
      </c>
      <c r="G38" s="68">
        <f t="shared" si="7"/>
        <v>-9.9836685937178288E-2</v>
      </c>
      <c r="H38" s="13">
        <f>SUM(Apr!H38, May!H38, Jun!H38)</f>
        <v>76609</v>
      </c>
      <c r="I38" s="13">
        <f>SUM(Apr!I38, May!I38, Jun!I38)</f>
        <v>-9522.84375</v>
      </c>
      <c r="J38" s="14">
        <f t="shared" si="8"/>
        <v>-0.12430450403999529</v>
      </c>
      <c r="K38" s="14">
        <f>IFERROR(AVERAGE(Apr!K38,May!K38,Jun!K38),"")</f>
        <v>0.97351806666666663</v>
      </c>
      <c r="L38" s="38"/>
      <c r="M38" s="38"/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SUM(Apr!D39, May!D39, Jun!D39)</f>
        <v>69440.90625</v>
      </c>
      <c r="E39" s="15">
        <f>SUM(Apr!E39, May!E39, Jun!E39)</f>
        <v>74901.209999999992</v>
      </c>
      <c r="F39" s="15">
        <f t="shared" si="6"/>
        <v>-5460.3037499999919</v>
      </c>
      <c r="G39" s="16">
        <f t="shared" si="7"/>
        <v>-7.2900073977442983E-2</v>
      </c>
      <c r="H39" s="17">
        <f>SUM(Apr!H39, May!H39, Jun!H39)</f>
        <v>73843.17</v>
      </c>
      <c r="I39" s="17">
        <f>SUM(Apr!I39, May!I39, Jun!I39)</f>
        <v>-4402.2637499999983</v>
      </c>
      <c r="J39" s="16">
        <f t="shared" si="8"/>
        <v>-5.9616397156297574E-2</v>
      </c>
      <c r="K39" s="14">
        <f>IFERROR(AVERAGE(Apr!K39,May!K39,Jun!K39),"")</f>
        <v>1</v>
      </c>
      <c r="L39" s="39"/>
      <c r="M39" s="40"/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67">
        <f>SUM(Apr!D40, May!D40, Jun!D40)</f>
        <v>79815.75</v>
      </c>
      <c r="E40" s="11">
        <f>SUM(Apr!E40, May!E40, Jun!E40)</f>
        <v>93753.62</v>
      </c>
      <c r="F40" s="11">
        <f t="shared" si="6"/>
        <v>-13937.869999999995</v>
      </c>
      <c r="G40" s="68">
        <f t="shared" si="7"/>
        <v>-0.14866487288704155</v>
      </c>
      <c r="H40" s="13">
        <f>SUM(Apr!H40, May!H40, Jun!H40)</f>
        <v>82029.52</v>
      </c>
      <c r="I40" s="13">
        <f>SUM(Apr!I40, May!I40, Jun!I40)</f>
        <v>-2213.7700000000041</v>
      </c>
      <c r="J40" s="14">
        <f t="shared" si="8"/>
        <v>-2.6987479629284727E-2</v>
      </c>
      <c r="K40" s="14">
        <f>IFERROR(AVERAGE(Apr!K40,May!K40,Jun!K40),"")</f>
        <v>1</v>
      </c>
      <c r="L40" s="38"/>
      <c r="M40" s="38"/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SUM(Apr!D41, May!D41, Jun!D41)</f>
        <v>112849.640625</v>
      </c>
      <c r="E41" s="15">
        <f>SUM(Apr!E41, May!E41, Jun!E41)</f>
        <v>0</v>
      </c>
      <c r="F41" s="15">
        <f t="shared" si="6"/>
        <v>112849.640625</v>
      </c>
      <c r="G41" s="16" t="str">
        <f t="shared" si="7"/>
        <v/>
      </c>
      <c r="H41" s="17">
        <f>SUM(Apr!H41, May!H41, Jun!H41)</f>
        <v>119161</v>
      </c>
      <c r="I41" s="17">
        <f>SUM(Apr!I41, May!I41, Jun!I41)</f>
        <v>-6311.359375</v>
      </c>
      <c r="J41" s="16">
        <f t="shared" si="8"/>
        <v>-5.296497490789772E-2</v>
      </c>
      <c r="K41" s="14">
        <f>IFERROR(AVERAGE(Apr!K41,May!K41,Jun!K41),"")</f>
        <v>0.98197716666666679</v>
      </c>
      <c r="L41" s="39"/>
      <c r="M41" s="39"/>
    </row>
    <row r="42" spans="1:13" ht="15.6">
      <c r="A42" s="25" t="str">
        <v>M167</v>
      </c>
      <c r="B42" s="26" t="str">
        <v>NY</v>
      </c>
      <c r="C42" s="26" t="str">
        <f>Sites[[#This Row],[SOL'#]]</f>
        <v>SOL-10386</v>
      </c>
      <c r="D42" s="67">
        <f>SUM(Apr!D42, May!D42, Jun!D42)</f>
        <v>76420.71875</v>
      </c>
      <c r="E42" s="11">
        <f>SUM(Apr!E42, May!E42, Jun!E42)</f>
        <v>66180.710000000006</v>
      </c>
      <c r="F42" s="11">
        <f t="shared" si="6"/>
        <v>10240.008749999994</v>
      </c>
      <c r="G42" s="68">
        <f t="shared" si="7"/>
        <v>0.15472799778062207</v>
      </c>
      <c r="H42" s="13">
        <f>SUM(Apr!H42, May!H42, Jun!H42)</f>
        <v>99463.43</v>
      </c>
      <c r="I42" s="13">
        <f>SUM(Apr!I42, May!I42, Jun!I42)</f>
        <v>-23042.71125</v>
      </c>
      <c r="J42" s="14">
        <f t="shared" si="8"/>
        <v>-0.23167018521279631</v>
      </c>
      <c r="K42" s="14">
        <f>IFERROR(AVERAGE(Apr!K42,May!K42,Jun!K42),"")</f>
        <v>0.99916623333333332</v>
      </c>
      <c r="L42" s="38"/>
      <c r="M42" s="38"/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SUM(Apr!D43, May!D43, Jun!D43)</f>
        <v>61787.25</v>
      </c>
      <c r="E43" s="15">
        <f>SUM(Apr!E43, May!E43, Jun!E43)</f>
        <v>0</v>
      </c>
      <c r="F43" s="15">
        <f t="shared" si="6"/>
        <v>61787.25</v>
      </c>
      <c r="G43" s="16" t="str">
        <f t="shared" si="7"/>
        <v/>
      </c>
      <c r="H43" s="17">
        <f>SUM(Apr!H43, May!H43, Jun!H43)</f>
        <v>63355</v>
      </c>
      <c r="I43" s="17">
        <f>SUM(Apr!I43, May!I43, Jun!I43)</f>
        <v>-1567.75</v>
      </c>
      <c r="J43" s="16">
        <f t="shared" si="8"/>
        <v>-2.4745481808854865E-2</v>
      </c>
      <c r="K43" s="14">
        <f>IFERROR(AVERAGE(Apr!K43,May!K43,Jun!K43),"")</f>
        <v>0.97654256666666672</v>
      </c>
      <c r="L43" s="39"/>
      <c r="M43" s="40"/>
    </row>
    <row r="44" spans="1:13" ht="15.6">
      <c r="A44" s="25" t="str">
        <v>EMHC</v>
      </c>
      <c r="B44" s="26" t="str">
        <v>NY</v>
      </c>
      <c r="C44" s="26" t="str">
        <f>Sites[[#This Row],[SOL'#]]</f>
        <v>SOL-10351</v>
      </c>
      <c r="D44" s="67">
        <f>SUM(Apr!D44, May!D44, Jun!D44)</f>
        <v>22550.26513671875</v>
      </c>
      <c r="E44" s="11">
        <f>SUM(Apr!E44, May!E44, Jun!E44)</f>
        <v>20860.714</v>
      </c>
      <c r="F44" s="11">
        <f t="shared" si="6"/>
        <v>1689.5511367187501</v>
      </c>
      <c r="G44" s="68">
        <f t="shared" si="7"/>
        <v>8.0992009032804443E-2</v>
      </c>
      <c r="H44" s="13">
        <f>SUM(Apr!H44, May!H44, Jun!H44)</f>
        <v>32696.786</v>
      </c>
      <c r="I44" s="13">
        <f>SUM(Apr!I44, May!I44, Jun!I44)</f>
        <v>-10146.52086328125</v>
      </c>
      <c r="J44" s="14">
        <f t="shared" si="8"/>
        <v>-0.31032165862666899</v>
      </c>
      <c r="K44" s="14">
        <f>IFERROR(AVERAGE(Apr!K44,May!K44,Jun!K44),"")</f>
        <v>0.89779823333333331</v>
      </c>
      <c r="L44" s="38"/>
      <c r="M44" s="38"/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SUM(Apr!D45, May!D45, Jun!D45)</f>
        <v>95909.40625</v>
      </c>
      <c r="E45" s="15">
        <f>SUM(Apr!E45, May!E45, Jun!E45)</f>
        <v>96533.38</v>
      </c>
      <c r="F45" s="15">
        <f t="shared" si="6"/>
        <v>-623.97375000000466</v>
      </c>
      <c r="G45" s="16">
        <f t="shared" si="7"/>
        <v>-6.4638133462228782E-3</v>
      </c>
      <c r="H45" s="17">
        <f>SUM(Apr!H45, May!H45, Jun!H45)</f>
        <v>98651</v>
      </c>
      <c r="I45" s="17">
        <f>SUM(Apr!I45, May!I45, Jun!I45)</f>
        <v>-2741.59375</v>
      </c>
      <c r="J45" s="16">
        <f t="shared" si="8"/>
        <v>-2.7790835875966792E-2</v>
      </c>
      <c r="K45" s="14">
        <f>IFERROR(AVERAGE(Apr!K45,May!K45,Jun!K45),"")</f>
        <v>0.9730603000000001</v>
      </c>
      <c r="L45" s="39"/>
      <c r="M45" s="40"/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67">
        <f>SUM(Apr!D46, May!D46, Jun!D46)</f>
        <v>63471.625</v>
      </c>
      <c r="E46" s="11">
        <f>SUM(Apr!E46, May!E46, Jun!E46)</f>
        <v>62934.400000000001</v>
      </c>
      <c r="F46" s="11">
        <f t="shared" si="6"/>
        <v>537.22499999999854</v>
      </c>
      <c r="G46" s="68">
        <f t="shared" si="7"/>
        <v>8.5362695123811227E-3</v>
      </c>
      <c r="H46" s="13">
        <f>SUM(Apr!H46, May!H46, Jun!H46)</f>
        <v>58686.75</v>
      </c>
      <c r="I46" s="13">
        <f>SUM(Apr!I46, May!I46, Jun!I46)</f>
        <v>4784.875</v>
      </c>
      <c r="J46" s="14">
        <f t="shared" si="8"/>
        <v>8.1532458348775497E-2</v>
      </c>
      <c r="K46" s="14">
        <f>IFERROR(AVERAGE(Apr!K46,May!K46,Jun!K46),"")</f>
        <v>1</v>
      </c>
      <c r="L46" s="38"/>
      <c r="M46" s="38"/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SUM(Apr!D47, May!D47, Jun!D47)</f>
        <v>50552.875</v>
      </c>
      <c r="E47" s="15">
        <f>SUM(Apr!E47, May!E47, Jun!E47)</f>
        <v>49240.67</v>
      </c>
      <c r="F47" s="15">
        <f t="shared" si="6"/>
        <v>1312.2050000000017</v>
      </c>
      <c r="G47" s="16">
        <f t="shared" si="7"/>
        <v>2.6648804738034673E-2</v>
      </c>
      <c r="H47" s="17">
        <f>SUM(Apr!H47, May!H47, Jun!H47)</f>
        <v>49107.89</v>
      </c>
      <c r="I47" s="17">
        <f>SUM(Apr!I47, May!I47, Jun!I47)</f>
        <v>1444.9849999999969</v>
      </c>
      <c r="J47" s="16">
        <f t="shared" si="8"/>
        <v>2.9424701407451979E-2</v>
      </c>
      <c r="K47" s="14">
        <f>IFERROR(AVERAGE(Apr!K47,May!K47,Jun!K47),"")</f>
        <v>0.99885249999999992</v>
      </c>
      <c r="L47" s="39"/>
      <c r="M47" s="40"/>
    </row>
    <row r="48" spans="1:13" ht="15.6">
      <c r="A48" s="25" t="str">
        <v>Q025</v>
      </c>
      <c r="B48" s="26" t="str">
        <v>NY</v>
      </c>
      <c r="C48" s="26" t="str">
        <f>Sites[[#This Row],[SOL'#]]</f>
        <v>SOL-10400</v>
      </c>
      <c r="D48" s="67">
        <f>SUM(Apr!D48, May!D48, Jun!D48)</f>
        <v>79732.5625</v>
      </c>
      <c r="E48" s="11">
        <f>SUM(Apr!E48, May!E48, Jun!E48)</f>
        <v>86484.65</v>
      </c>
      <c r="F48" s="11">
        <f t="shared" si="6"/>
        <v>-6752.0874999999942</v>
      </c>
      <c r="G48" s="68">
        <f t="shared" si="7"/>
        <v>-7.8072669543092263E-2</v>
      </c>
      <c r="H48" s="13">
        <f>SUM(Apr!H48, May!H48, Jun!H48)</f>
        <v>43488</v>
      </c>
      <c r="I48" s="13">
        <f>SUM(Apr!I48, May!I48, Jun!I48)</f>
        <v>36244.5625</v>
      </c>
      <c r="J48" s="14">
        <f t="shared" si="8"/>
        <v>0.83343824733259753</v>
      </c>
      <c r="K48" s="14">
        <f>IFERROR(AVERAGE(Apr!K48,May!K48,Jun!K48),"")</f>
        <v>0.9997474666666667</v>
      </c>
      <c r="L48" s="38"/>
      <c r="M48" s="38"/>
    </row>
    <row r="49" spans="1:13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SUM(Apr!D49, May!D49, Jun!D49)</f>
        <v>56648.75</v>
      </c>
      <c r="E49" s="15">
        <f>SUM(Apr!E49, May!E49, Jun!E49)</f>
        <v>57711.78</v>
      </c>
      <c r="F49" s="15">
        <f t="shared" si="6"/>
        <v>-1063.0299999999988</v>
      </c>
      <c r="G49" s="16">
        <f t="shared" si="7"/>
        <v>-1.8419636337676622E-2</v>
      </c>
      <c r="H49" s="17">
        <f>SUM(Apr!H49, May!H49, Jun!H49)</f>
        <v>55802.179999999993</v>
      </c>
      <c r="I49" s="17">
        <f>SUM(Apr!I49, May!I49, Jun!I49)</f>
        <v>846.57000000000335</v>
      </c>
      <c r="J49" s="16">
        <f t="shared" si="8"/>
        <v>1.517091267760513E-2</v>
      </c>
      <c r="K49" s="14">
        <f>IFERROR(AVERAGE(Apr!K49,May!K49,Jun!K49),"")</f>
        <v>1</v>
      </c>
      <c r="L49" s="39"/>
      <c r="M49" s="40"/>
    </row>
    <row r="50" spans="1:13" ht="15.6">
      <c r="A50" s="25" t="str">
        <v>Q115</v>
      </c>
      <c r="B50" s="26" t="str">
        <v>NY</v>
      </c>
      <c r="C50" s="26" t="str">
        <f>Sites[[#This Row],[SOL'#]]</f>
        <v>SOL-10872</v>
      </c>
      <c r="D50" s="67">
        <f>SUM(Apr!D50, May!D50, Jun!D50)</f>
        <v>72849.90625</v>
      </c>
      <c r="E50" s="11">
        <f>SUM(Apr!E50, May!E50, Jun!E50)</f>
        <v>77695.37</v>
      </c>
      <c r="F50" s="11">
        <f t="shared" ref="F50:F81" si="9">IF(AND(ISNUMBER(D50),ISNUMBER(E50)), D50-E50, "")</f>
        <v>-4845.4637499999953</v>
      </c>
      <c r="G50" s="68">
        <f t="shared" ref="G50:G81" si="10">IFERROR(F50/E50, "")</f>
        <v>-6.2364897033117879E-2</v>
      </c>
      <c r="H50" s="13">
        <f>SUM(Apr!H50, May!H50, Jun!H50)</f>
        <v>73177.91</v>
      </c>
      <c r="I50" s="13">
        <f>SUM(Apr!I50, May!I50, Jun!I50)</f>
        <v>-328.00374999999985</v>
      </c>
      <c r="J50" s="14">
        <f t="shared" si="8"/>
        <v>-4.4822781902352747E-3</v>
      </c>
      <c r="K50" s="14">
        <f>IFERROR(AVERAGE(Apr!K50,May!K50,Jun!K50),"")</f>
        <v>1</v>
      </c>
      <c r="L50" s="38"/>
      <c r="M50" s="38"/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SUM(Apr!D51, May!D51, Jun!D51)</f>
        <v>44516.1875</v>
      </c>
      <c r="E51" s="15">
        <f>SUM(Apr!E51, May!E51, Jun!E51)</f>
        <v>49302.42</v>
      </c>
      <c r="F51" s="15">
        <f t="shared" si="9"/>
        <v>-4786.2324999999983</v>
      </c>
      <c r="G51" s="16">
        <f t="shared" si="10"/>
        <v>-9.7079058188218714E-2</v>
      </c>
      <c r="H51" s="17">
        <f>SUM(Apr!H51, May!H51, Jun!H51)</f>
        <v>46846</v>
      </c>
      <c r="I51" s="17">
        <f>SUM(Apr!I51, May!I51, Jun!I51)</f>
        <v>-2329.8125</v>
      </c>
      <c r="J51" s="16">
        <f t="shared" si="8"/>
        <v>-4.9733435085172695E-2</v>
      </c>
      <c r="K51" s="14">
        <f>IFERROR(AVERAGE(Apr!K51,May!K51,Jun!K51),"")</f>
        <v>1</v>
      </c>
      <c r="L51" s="39"/>
      <c r="M51" s="40"/>
    </row>
    <row r="52" spans="1:13" ht="15.6">
      <c r="A52" s="25" t="str">
        <v>Q157</v>
      </c>
      <c r="B52" s="26" t="str">
        <v>NY</v>
      </c>
      <c r="C52" s="26" t="str">
        <f>Sites[[#This Row],[SOL'#]]</f>
        <v>SOL-10404</v>
      </c>
      <c r="D52" s="67">
        <f>SUM(Apr!D52, May!D52, Jun!D52)</f>
        <v>66563.875</v>
      </c>
      <c r="E52" s="11">
        <f>SUM(Apr!E52, May!E52, Jun!E52)</f>
        <v>80232.36</v>
      </c>
      <c r="F52" s="11">
        <f t="shared" si="9"/>
        <v>-13668.485000000001</v>
      </c>
      <c r="G52" s="68">
        <f t="shared" si="10"/>
        <v>-0.17036124825444496</v>
      </c>
      <c r="H52" s="13">
        <f>SUM(Apr!H52, May!H52, Jun!H52)</f>
        <v>82158.98000000001</v>
      </c>
      <c r="I52" s="13">
        <f>SUM(Apr!I52, May!I52, Jun!I52)</f>
        <v>-15595.105000000003</v>
      </c>
      <c r="J52" s="14">
        <f t="shared" si="8"/>
        <v>-0.18981619538119876</v>
      </c>
      <c r="K52" s="14">
        <f>IFERROR(AVERAGE(Apr!K52,May!K52,Jun!K52),"")</f>
        <v>1</v>
      </c>
      <c r="L52" s="38"/>
      <c r="M52" s="38"/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SUM(Apr!D53, May!D53, Jun!D53)</f>
        <v>120692.125</v>
      </c>
      <c r="E53" s="15">
        <f>SUM(Apr!E53, May!E53, Jun!E53)</f>
        <v>132613.73000000001</v>
      </c>
      <c r="F53" s="15">
        <f t="shared" si="9"/>
        <v>-11921.60500000001</v>
      </c>
      <c r="G53" s="16">
        <f t="shared" si="10"/>
        <v>-8.989721501687653E-2</v>
      </c>
      <c r="H53" s="17">
        <f>SUM(Apr!H53, May!H53, Jun!H53)</f>
        <v>83640.315000000002</v>
      </c>
      <c r="I53" s="17">
        <f>SUM(Apr!I53, May!I53, Jun!I53)</f>
        <v>37051.81</v>
      </c>
      <c r="J53" s="16">
        <f t="shared" si="8"/>
        <v>0.44298984287660798</v>
      </c>
      <c r="K53" s="14">
        <f>IFERROR(AVERAGE(Apr!K53,May!K53,Jun!K53),"")</f>
        <v>1</v>
      </c>
      <c r="L53" s="39"/>
      <c r="M53" s="39"/>
    </row>
    <row r="54" spans="1:13" ht="15.6">
      <c r="A54" s="25" t="str">
        <v>Q210</v>
      </c>
      <c r="B54" s="26" t="str">
        <v>NY</v>
      </c>
      <c r="C54" s="26" t="str">
        <f>Sites[[#This Row],[SOL'#]]</f>
        <v>SOL-10407</v>
      </c>
      <c r="D54" s="67">
        <f>SUM(Apr!D54, May!D54, Jun!D54)</f>
        <v>97885</v>
      </c>
      <c r="E54" s="11">
        <f>SUM(Apr!E54, May!E54, Jun!E54)</f>
        <v>99606.69</v>
      </c>
      <c r="F54" s="11">
        <f t="shared" si="9"/>
        <v>-1721.6900000000023</v>
      </c>
      <c r="G54" s="68">
        <f t="shared" si="10"/>
        <v>-1.728488317401173E-2</v>
      </c>
      <c r="H54" s="13">
        <f>SUM(Apr!H54, May!H54, Jun!H54)</f>
        <v>100170</v>
      </c>
      <c r="I54" s="13">
        <f>SUM(Apr!I54, May!I54, Jun!I54)</f>
        <v>-2285</v>
      </c>
      <c r="J54" s="14">
        <f t="shared" si="8"/>
        <v>-2.2811220924428471E-2</v>
      </c>
      <c r="K54" s="14">
        <f>IFERROR(AVERAGE(Apr!K54,May!K54,Jun!K54),"")</f>
        <v>0.99964156666666659</v>
      </c>
      <c r="L54" s="38"/>
      <c r="M54" s="38"/>
    </row>
    <row r="55" spans="1:13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SUM(Apr!D55, May!D55, Jun!D55)</f>
        <v>44033.031250000102</v>
      </c>
      <c r="E55" s="15">
        <f>SUM(Apr!E55, May!E55, Jun!E55)</f>
        <v>48752.160000000003</v>
      </c>
      <c r="F55" s="15">
        <f t="shared" si="9"/>
        <v>-4719.1287499999016</v>
      </c>
      <c r="G55" s="16">
        <f t="shared" si="10"/>
        <v>-9.6798352114037645E-2</v>
      </c>
      <c r="H55" s="17">
        <f>SUM(Apr!H55, May!H55, Jun!H55)</f>
        <v>43338.770000000004</v>
      </c>
      <c r="I55" s="17">
        <f>SUM(Apr!I55, May!I55, Jun!I55)</f>
        <v>694.26125000009779</v>
      </c>
      <c r="J55" s="16">
        <f t="shared" si="8"/>
        <v>1.6019403642514491E-2</v>
      </c>
      <c r="K55" s="14">
        <f>IFERROR(AVERAGE(Apr!K55,May!K55,Jun!K55),"")</f>
        <v>1</v>
      </c>
      <c r="L55" s="39"/>
      <c r="M55" s="40"/>
    </row>
    <row r="56" spans="1:13" ht="15.6">
      <c r="A56" s="25" t="str">
        <v>Q231</v>
      </c>
      <c r="B56" s="26" t="str">
        <v>NY</v>
      </c>
      <c r="C56" s="26" t="str">
        <f>Sites[[#This Row],[SOL'#]]</f>
        <v>SOL-10870</v>
      </c>
      <c r="D56" s="67">
        <f>SUM(Apr!D56, May!D56, Jun!D56)</f>
        <v>162127.00000000012</v>
      </c>
      <c r="E56" s="11">
        <f>SUM(Apr!E56, May!E56, Jun!E56)</f>
        <v>168625.82</v>
      </c>
      <c r="F56" s="11">
        <f t="shared" si="9"/>
        <v>-6498.8199999998906</v>
      </c>
      <c r="G56" s="68">
        <f t="shared" si="10"/>
        <v>-3.8539886714857134E-2</v>
      </c>
      <c r="H56" s="13">
        <f>SUM(Apr!H56, May!H56, Jun!H56)</f>
        <v>164396</v>
      </c>
      <c r="I56" s="13">
        <f>SUM(Apr!I56, May!I56, Jun!I56)</f>
        <v>-2268.9999999998981</v>
      </c>
      <c r="J56" s="14">
        <f t="shared" si="8"/>
        <v>-1.3802038979049965E-2</v>
      </c>
      <c r="K56" s="14">
        <f>IFERROR(AVERAGE(Apr!K56,May!K56,Jun!K56),"")</f>
        <v>1</v>
      </c>
      <c r="L56" s="38"/>
      <c r="M56" s="38"/>
    </row>
    <row r="57" spans="1:13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SUM(Apr!D57, May!D57, Jun!D57)</f>
        <v>175627.875</v>
      </c>
      <c r="E57" s="15">
        <f>SUM(Apr!E57, May!E57, Jun!E57)</f>
        <v>187037.68</v>
      </c>
      <c r="F57" s="15">
        <f t="shared" si="9"/>
        <v>-11409.804999999993</v>
      </c>
      <c r="G57" s="16">
        <f t="shared" si="10"/>
        <v>-6.100270811742315E-2</v>
      </c>
      <c r="H57" s="17">
        <f>SUM(Apr!H57, May!H57, Jun!H57)</f>
        <v>180163.47</v>
      </c>
      <c r="I57" s="17">
        <f>SUM(Apr!I57, May!I57, Jun!I57)</f>
        <v>-4535.5950000000012</v>
      </c>
      <c r="J57" s="16">
        <f t="shared" si="8"/>
        <v>-2.5174887006783345E-2</v>
      </c>
      <c r="K57" s="14">
        <f>IFERROR(AVERAGE(Apr!K57,May!K57,Jun!K57),"")</f>
        <v>1</v>
      </c>
      <c r="L57" s="39"/>
      <c r="M57" s="40"/>
    </row>
    <row r="58" spans="1:13" ht="15.6">
      <c r="A58" s="25" t="str">
        <v>Q435</v>
      </c>
      <c r="B58" s="26" t="str">
        <v>NY</v>
      </c>
      <c r="C58" s="26" t="str">
        <f>Sites[[#This Row],[SOL'#]]</f>
        <v>SOL-10923</v>
      </c>
      <c r="D58" s="67">
        <f>SUM(Apr!D58, May!D58, Jun!D58)</f>
        <v>159207.796875</v>
      </c>
      <c r="E58" s="11">
        <f>SUM(Apr!E58, May!E58, Jun!E58)</f>
        <v>132489.75</v>
      </c>
      <c r="F58" s="11">
        <f t="shared" si="9"/>
        <v>26718.046875</v>
      </c>
      <c r="G58" s="68">
        <f t="shared" si="10"/>
        <v>0.20166123700135294</v>
      </c>
      <c r="H58" s="13">
        <f>SUM(Apr!H58, May!H58, Jun!H58)</f>
        <v>234476</v>
      </c>
      <c r="I58" s="13">
        <f>SUM(Apr!I58, May!I58, Jun!I58)</f>
        <v>-75268.203125</v>
      </c>
      <c r="J58" s="14">
        <f t="shared" si="8"/>
        <v>-0.32100600114723893</v>
      </c>
      <c r="K58" s="14">
        <f>IFERROR(AVERAGE(Apr!K58,May!K58,Jun!K58),"")</f>
        <v>0.98545490000000002</v>
      </c>
      <c r="L58" s="38"/>
      <c r="M58" s="38"/>
    </row>
    <row r="59" spans="1:13" ht="15.6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SUM(Apr!D59, May!D59, Jun!D59)</f>
        <v>188257.9296875</v>
      </c>
      <c r="E59" s="15">
        <f>SUM(Apr!E59, May!E59, Jun!E59)</f>
        <v>147021.25</v>
      </c>
      <c r="F59" s="15">
        <f t="shared" si="9"/>
        <v>41236.6796875</v>
      </c>
      <c r="G59" s="16">
        <f t="shared" si="10"/>
        <v>0.28048108479216438</v>
      </c>
      <c r="H59" s="17">
        <f>SUM(Apr!H59, May!H59, Jun!H59)</f>
        <v>222466.51</v>
      </c>
      <c r="I59" s="17">
        <f>SUM(Apr!I59, May!I59, Jun!I59)</f>
        <v>-34208.580312499995</v>
      </c>
      <c r="J59" s="16">
        <f t="shared" si="8"/>
        <v>-0.15376957328318763</v>
      </c>
      <c r="K59" s="14">
        <f>IFERROR(AVERAGE(Apr!K59,May!K59,Jun!K59),"")</f>
        <v>1</v>
      </c>
      <c r="L59" s="39"/>
      <c r="M59" s="40"/>
    </row>
    <row r="60" spans="1:13" ht="15.6">
      <c r="A60" s="25" t="str">
        <v>Q490</v>
      </c>
      <c r="B60" s="26" t="str">
        <v>NY</v>
      </c>
      <c r="C60" s="26" t="str">
        <f>Sites[[#This Row],[SOL'#]]</f>
        <v>SOL-10411</v>
      </c>
      <c r="D60" s="67">
        <f>SUM(Apr!D60, May!D60, Jun!D60)</f>
        <v>152911.3125</v>
      </c>
      <c r="E60" s="11">
        <f>SUM(Apr!E60, May!E60, Jun!E60)</f>
        <v>0</v>
      </c>
      <c r="F60" s="11">
        <f t="shared" si="9"/>
        <v>152911.3125</v>
      </c>
      <c r="G60" s="68" t="str">
        <f t="shared" si="10"/>
        <v/>
      </c>
      <c r="H60" s="13">
        <f>SUM(Apr!H60, May!H60, Jun!H60)</f>
        <v>156208.53</v>
      </c>
      <c r="I60" s="13">
        <f>SUM(Apr!I60, May!I60, Jun!I60)</f>
        <v>-3297.2174999999988</v>
      </c>
      <c r="J60" s="14">
        <f t="shared" si="8"/>
        <v>-2.1107794177437036E-2</v>
      </c>
      <c r="K60" s="14">
        <f>IFERROR(AVERAGE(Apr!K60,May!K60,Jun!K60),"")</f>
        <v>1</v>
      </c>
      <c r="L60" s="38"/>
      <c r="M60" s="38"/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SUM(Apr!D61, May!D61, Jun!D61)</f>
        <v>233653.125</v>
      </c>
      <c r="E61" s="15">
        <f>SUM(Apr!E61, May!E61, Jun!E61)</f>
        <v>238612.35</v>
      </c>
      <c r="F61" s="15">
        <f t="shared" si="9"/>
        <v>-4959.2250000000058</v>
      </c>
      <c r="G61" s="16">
        <f t="shared" si="10"/>
        <v>-2.0783605710266068E-2</v>
      </c>
      <c r="H61" s="17">
        <f>SUM(Apr!H61, May!H61, Jun!H61)</f>
        <v>233657.28000000003</v>
      </c>
      <c r="I61" s="17">
        <f>SUM(Apr!I61, May!I61, Jun!I61)</f>
        <v>-4.1549999999988358</v>
      </c>
      <c r="J61" s="16">
        <f t="shared" si="8"/>
        <v>-1.7782454713154391E-5</v>
      </c>
      <c r="K61" s="14">
        <f>IFERROR(AVERAGE(Apr!K61,May!K61,Jun!K61),"")</f>
        <v>1</v>
      </c>
      <c r="L61" s="39"/>
      <c r="M61" s="40"/>
    </row>
    <row r="62" spans="1:13" ht="15.6">
      <c r="A62" s="25" t="str">
        <v>QMOA</v>
      </c>
      <c r="B62" s="26" t="str">
        <v>NY</v>
      </c>
      <c r="C62" s="26" t="str">
        <f>Sites[[#This Row],[SOL'#]]</f>
        <v>SOL-10415</v>
      </c>
      <c r="D62" s="67">
        <f>SUM(Apr!D62, May!D62, Jun!D62)</f>
        <v>19958.900000000001</v>
      </c>
      <c r="E62" s="11">
        <f>SUM(Apr!E62, May!E62, Jun!E62)</f>
        <v>0</v>
      </c>
      <c r="F62" s="11">
        <f t="shared" si="9"/>
        <v>19958.900000000001</v>
      </c>
      <c r="G62" s="68" t="str">
        <f t="shared" si="10"/>
        <v/>
      </c>
      <c r="H62" s="13">
        <f>SUM(Apr!H62, May!H62, Jun!H62)</f>
        <v>20839.485000000001</v>
      </c>
      <c r="I62" s="13">
        <f>SUM(Apr!I62, May!I62, Jun!I62)</f>
        <v>-880.58500000000095</v>
      </c>
      <c r="J62" s="14">
        <f t="shared" si="8"/>
        <v>-4.2255602765615415E-2</v>
      </c>
      <c r="K62" s="14">
        <f>IFERROR(AVERAGE(Apr!K62,May!K62,Jun!K62),"")</f>
        <v>0.99919193333333334</v>
      </c>
      <c r="L62" s="38"/>
      <c r="M62" s="38"/>
    </row>
    <row r="63" spans="1:13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SUM(Apr!D63, May!D63, Jun!D63)</f>
        <v>89605.1484375</v>
      </c>
      <c r="E63" s="15">
        <f>SUM(Apr!E63, May!E63, Jun!E63)</f>
        <v>91867.08</v>
      </c>
      <c r="F63" s="15">
        <f t="shared" si="9"/>
        <v>-2261.9315625000017</v>
      </c>
      <c r="G63" s="16">
        <f t="shared" si="10"/>
        <v>-2.4621785763736061E-2</v>
      </c>
      <c r="H63" s="17">
        <f>SUM(Apr!H63, May!H63, Jun!H63)</f>
        <v>83775</v>
      </c>
      <c r="I63" s="17">
        <f>SUM(Apr!I63, May!I63, Jun!I63)</f>
        <v>5830.1484375</v>
      </c>
      <c r="J63" s="16">
        <f t="shared" si="8"/>
        <v>6.9592938675022378E-2</v>
      </c>
      <c r="K63" s="14">
        <f>IFERROR(AVERAGE(Apr!K63,May!K63,Jun!K63),"")</f>
        <v>0.97917103333333344</v>
      </c>
      <c r="L63" s="39"/>
      <c r="M63" s="40"/>
    </row>
    <row r="64" spans="1:13" ht="15.6">
      <c r="A64" s="25" t="str">
        <v>X026</v>
      </c>
      <c r="B64" s="26" t="str">
        <v>NY</v>
      </c>
      <c r="C64" s="26" t="str">
        <f>Sites[[#This Row],[SOL'#]]</f>
        <v>SOL-10420</v>
      </c>
      <c r="D64" s="67">
        <f>SUM(Apr!D64, May!D64, Jun!D64)</f>
        <v>79861.077000000005</v>
      </c>
      <c r="E64" s="11">
        <f>SUM(Apr!E64, May!E64, Jun!E64)</f>
        <v>73590.66</v>
      </c>
      <c r="F64" s="11">
        <f t="shared" si="9"/>
        <v>6270.4170000000013</v>
      </c>
      <c r="G64" s="68">
        <f t="shared" si="10"/>
        <v>8.5206696067136795E-2</v>
      </c>
      <c r="H64" s="13">
        <f>SUM(Apr!H64, May!H64, Jun!H64)</f>
        <v>71298.951000000001</v>
      </c>
      <c r="I64" s="13">
        <f>SUM(Apr!I64, May!I64, Jun!I64)</f>
        <v>8562.1260000000002</v>
      </c>
      <c r="J64" s="14">
        <f t="shared" si="8"/>
        <v>0.12008768544154318</v>
      </c>
      <c r="K64" s="14" t="str">
        <f>IFERROR(AVERAGE(Apr!K64,May!K64,Jun!K64),"")</f>
        <v/>
      </c>
      <c r="L64" s="38"/>
      <c r="M64" s="38"/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SUM(Apr!D65, May!D65, Jun!D65)</f>
        <v>67564.07058</v>
      </c>
      <c r="E65" s="15">
        <f>SUM(Apr!E65, May!E65, Jun!E65)</f>
        <v>60046.816000000006</v>
      </c>
      <c r="F65" s="15">
        <f t="shared" si="9"/>
        <v>7517.2545799999934</v>
      </c>
      <c r="G65" s="16">
        <f t="shared" si="10"/>
        <v>0.12518989483139276</v>
      </c>
      <c r="H65" s="17">
        <f>SUM(Apr!H65, May!H65, Jun!H65)</f>
        <v>52507.17</v>
      </c>
      <c r="I65" s="17">
        <f>SUM(Apr!I65, May!I65, Jun!I65)</f>
        <v>15056.900580000001</v>
      </c>
      <c r="J65" s="16">
        <f t="shared" si="8"/>
        <v>0.28675894320718487</v>
      </c>
      <c r="K65" s="14" t="str">
        <f>IFERROR(AVERAGE(Apr!K65,May!K65,Jun!K65),"")</f>
        <v/>
      </c>
      <c r="L65" s="39"/>
      <c r="M65" s="39"/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67">
        <f>SUM(Apr!D66, May!D66, Jun!D66)</f>
        <v>65977.167000000001</v>
      </c>
      <c r="E66" s="11">
        <f>SUM(Apr!E66, May!E66, Jun!E66)</f>
        <v>63107.827000000005</v>
      </c>
      <c r="F66" s="11">
        <f t="shared" si="9"/>
        <v>2869.3399999999965</v>
      </c>
      <c r="G66" s="68">
        <f t="shared" si="10"/>
        <v>4.5467260344742917E-2</v>
      </c>
      <c r="H66" s="13">
        <f>SUM(Apr!H66, May!H66, Jun!H66)</f>
        <v>71547.361999999994</v>
      </c>
      <c r="I66" s="13">
        <f>SUM(Apr!I66, May!I66, Jun!I66)</f>
        <v>-5570.1949999999997</v>
      </c>
      <c r="J66" s="14">
        <f t="shared" si="8"/>
        <v>-7.7853254743340511E-2</v>
      </c>
      <c r="K66" s="14" t="str">
        <f>IFERROR(AVERAGE(Apr!K66,May!K66,Jun!K66),"")</f>
        <v/>
      </c>
      <c r="L66" s="38"/>
      <c r="M66" s="38"/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SUM(Apr!D67, May!D67, Jun!D67)</f>
        <v>100137.91125</v>
      </c>
      <c r="E67" s="15">
        <f>SUM(Apr!E67, May!E67, Jun!E67)</f>
        <v>105395.833</v>
      </c>
      <c r="F67" s="15">
        <f t="shared" si="9"/>
        <v>-5257.9217499999941</v>
      </c>
      <c r="G67" s="16">
        <f t="shared" si="10"/>
        <v>-4.9887377900414663E-2</v>
      </c>
      <c r="H67" s="17">
        <f>SUM(Apr!H67, May!H67, Jun!H67)</f>
        <v>71582.280999999988</v>
      </c>
      <c r="I67" s="17">
        <f>SUM(Apr!I67, May!I67, Jun!I67)</f>
        <v>28555.630249999998</v>
      </c>
      <c r="J67" s="16">
        <f t="shared" si="8"/>
        <v>0.39892037318564916</v>
      </c>
      <c r="K67" s="14" t="str">
        <f>IFERROR(AVERAGE(Apr!K67,May!K67,Jun!K67),"")</f>
        <v/>
      </c>
      <c r="L67" s="39"/>
      <c r="M67" s="40"/>
    </row>
    <row r="68" spans="1:13" ht="15.6">
      <c r="A68" s="25" t="str">
        <v>X134</v>
      </c>
      <c r="B68" s="26" t="str">
        <v>NY</v>
      </c>
      <c r="C68" s="26" t="str">
        <f>Sites[[#This Row],[SOL'#]]</f>
        <v>SOL-10424</v>
      </c>
      <c r="D68" s="67">
        <f>SUM(Apr!D68, May!D68, Jun!D68)</f>
        <v>100290.82738</v>
      </c>
      <c r="E68" s="11">
        <f>SUM(Apr!E68, May!E68, Jun!E68)</f>
        <v>0</v>
      </c>
      <c r="F68" s="11">
        <f t="shared" si="9"/>
        <v>100290.82738</v>
      </c>
      <c r="G68" s="68" t="str">
        <f t="shared" si="10"/>
        <v/>
      </c>
      <c r="H68" s="13">
        <f>SUM(Apr!H68, May!H68, Jun!H68)</f>
        <v>0</v>
      </c>
      <c r="I68" s="13">
        <f>SUM(Apr!I68, May!I68, Jun!I68)</f>
        <v>100290.82738</v>
      </c>
      <c r="J68" s="14" t="str">
        <f t="shared" si="8"/>
        <v/>
      </c>
      <c r="K68" s="14" t="str">
        <f>IFERROR(AVERAGE(Apr!K68,May!K68,Jun!K68),"")</f>
        <v/>
      </c>
      <c r="L68" s="38"/>
      <c r="M68" s="38"/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SUM(Apr!D69, May!D69, Jun!D69)</f>
        <v>71601.75563</v>
      </c>
      <c r="E69" s="15">
        <f>SUM(Apr!E69, May!E69, Jun!E69)</f>
        <v>0</v>
      </c>
      <c r="F69" s="15">
        <f t="shared" si="9"/>
        <v>71601.75563</v>
      </c>
      <c r="G69" s="16" t="str">
        <f t="shared" si="10"/>
        <v/>
      </c>
      <c r="H69" s="17">
        <f>SUM(Apr!H69, May!H69, Jun!H69)</f>
        <v>0</v>
      </c>
      <c r="I69" s="17">
        <f>SUM(Apr!I69, May!I69, Jun!I69)</f>
        <v>71601.75563</v>
      </c>
      <c r="J69" s="16" t="str">
        <f t="shared" si="8"/>
        <v/>
      </c>
      <c r="K69" s="14" t="str">
        <f>IFERROR(AVERAGE(Apr!K69,May!K69,Jun!K69),"")</f>
        <v/>
      </c>
      <c r="L69" s="39"/>
      <c r="M69" s="40"/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67">
        <f>SUM(Apr!D70, May!D70, Jun!D70)</f>
        <v>127514.2068834681</v>
      </c>
      <c r="E70" s="11">
        <f>SUM(Apr!E70, May!E70, Jun!E70)</f>
        <v>136563.81</v>
      </c>
      <c r="F70" s="11">
        <f t="shared" si="9"/>
        <v>-9049.6031165319</v>
      </c>
      <c r="G70" s="68">
        <f t="shared" si="10"/>
        <v>-6.626648096982575E-2</v>
      </c>
      <c r="H70" s="13">
        <f>SUM(Apr!H70, May!H70, Jun!H70)</f>
        <v>131060</v>
      </c>
      <c r="I70" s="13">
        <f>SUM(Apr!I70, May!I70, Jun!I70)</f>
        <v>-3545.7931165319023</v>
      </c>
      <c r="J70" s="14">
        <f t="shared" si="8"/>
        <v>-2.7054731546863286E-2</v>
      </c>
      <c r="K70" s="14">
        <f>IFERROR(AVERAGE(Apr!K70,May!K70,Jun!K70),"")</f>
        <v>1</v>
      </c>
      <c r="L70" s="38"/>
      <c r="M70" s="38"/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SUM(Apr!D71, May!D71, Jun!D71)</f>
        <v>71659.005859375</v>
      </c>
      <c r="E71" s="15">
        <f>SUM(Apr!E71, May!E71, Jun!E71)</f>
        <v>60532.45</v>
      </c>
      <c r="F71" s="15">
        <f t="shared" si="9"/>
        <v>11126.555859375003</v>
      </c>
      <c r="G71" s="16">
        <f t="shared" si="10"/>
        <v>0.18381142444052742</v>
      </c>
      <c r="H71" s="17">
        <f>SUM(Apr!H71, May!H71, Jun!H71)</f>
        <v>70176</v>
      </c>
      <c r="I71" s="17">
        <f>SUM(Apr!I71, May!I71, Jun!I71)</f>
        <v>1483.005859375</v>
      </c>
      <c r="J71" s="16">
        <f t="shared" si="8"/>
        <v>2.1132664434778271E-2</v>
      </c>
      <c r="K71" s="14">
        <f>IFERROR(AVERAGE(Apr!K71,May!K71,Jun!K71),"")</f>
        <v>0</v>
      </c>
      <c r="L71" s="39"/>
      <c r="M71" s="40"/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67">
        <f>SUM(Apr!D72, May!D72, Jun!D72)</f>
        <v>74613.5</v>
      </c>
      <c r="E72" s="11">
        <f>SUM(Apr!E72, May!E72, Jun!E72)</f>
        <v>76570</v>
      </c>
      <c r="F72" s="11">
        <f t="shared" si="9"/>
        <v>-1956.5</v>
      </c>
      <c r="G72" s="68">
        <f t="shared" si="10"/>
        <v>-2.5551782682512732E-2</v>
      </c>
      <c r="H72" s="13">
        <f>SUM(Apr!H72, May!H72, Jun!H72)</f>
        <v>0</v>
      </c>
      <c r="I72" s="13">
        <f>SUM(Apr!I72, May!I72, Jun!I72)</f>
        <v>49606.5</v>
      </c>
      <c r="J72" s="14" t="str">
        <f t="shared" si="8"/>
        <v/>
      </c>
      <c r="K72" s="14" t="str">
        <f>IFERROR(AVERAGE(Apr!K72,May!K72,Jun!K72),"")</f>
        <v/>
      </c>
      <c r="L72" s="38"/>
      <c r="M72" s="38"/>
    </row>
    <row r="73" spans="1:13" ht="15.6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SUM(Apr!D73, May!D73, Jun!D73)</f>
        <v>2241650</v>
      </c>
      <c r="E73" s="15">
        <f>SUM(Apr!E73, May!E73, Jun!E73)</f>
        <v>2143642.2999999998</v>
      </c>
      <c r="F73" s="15">
        <f t="shared" si="9"/>
        <v>98007.700000000186</v>
      </c>
      <c r="G73" s="16">
        <f t="shared" si="10"/>
        <v>4.5720174489932486E-2</v>
      </c>
      <c r="H73" s="17">
        <f>SUM(Apr!H73, May!H73, Jun!H73)</f>
        <v>2781206.3</v>
      </c>
      <c r="I73" s="17">
        <f>SUM(Apr!I73, May!I73, Jun!I73)</f>
        <v>-539556.30000000005</v>
      </c>
      <c r="J73" s="16">
        <f t="shared" si="8"/>
        <v>-0.19400081899713806</v>
      </c>
      <c r="K73" s="14">
        <f>IFERROR(AVERAGE(Apr!K73,May!K73,Jun!K73),"")</f>
        <v>0.9391875999999999</v>
      </c>
      <c r="L73" s="39"/>
      <c r="M73" s="40"/>
    </row>
    <row r="74" spans="1:13" ht="15.6">
      <c r="A74" s="25" t="str">
        <v>Terning</v>
      </c>
      <c r="B74" s="26" t="str">
        <v>MN</v>
      </c>
      <c r="C74" s="26" t="str">
        <f>Sites[[#This Row],[SOL'#]]</f>
        <v>SOL-10093</v>
      </c>
      <c r="D74" s="67">
        <f>SUM(Apr!D74, May!D74, Jun!D74)</f>
        <v>2631973.1150000002</v>
      </c>
      <c r="E74" s="11">
        <f>SUM(Apr!E74, May!E74, Jun!E74)</f>
        <v>2866525.8</v>
      </c>
      <c r="F74" s="11">
        <f t="shared" si="9"/>
        <v>-234552.68499999959</v>
      </c>
      <c r="G74" s="68">
        <f t="shared" si="10"/>
        <v>-8.1824724898690818E-2</v>
      </c>
      <c r="H74" s="13">
        <f>SUM(Apr!H74, May!H74, Jun!H74)</f>
        <v>2803633.1</v>
      </c>
      <c r="I74" s="13">
        <f>SUM(Apr!I74, May!I74, Jun!I74)</f>
        <v>-171659.98499999999</v>
      </c>
      <c r="J74" s="14">
        <f t="shared" si="8"/>
        <v>-6.122769238243049E-2</v>
      </c>
      <c r="K74" s="14">
        <f>IFERROR(AVERAGE(Apr!K74,May!K74,Jun!K74),"")</f>
        <v>0.95669839999999995</v>
      </c>
      <c r="L74" s="38"/>
      <c r="M74" s="38"/>
    </row>
    <row r="75" spans="1:13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SUM(Apr!D75, May!D75, Jun!D75)</f>
        <v>1017727</v>
      </c>
      <c r="E75" s="15">
        <f>SUM(Apr!E75, May!E75, Jun!E75)</f>
        <v>273061.74800000002</v>
      </c>
      <c r="F75" s="15">
        <f t="shared" si="9"/>
        <v>744665.25199999998</v>
      </c>
      <c r="G75" s="16">
        <f t="shared" si="10"/>
        <v>2.7270947229122693</v>
      </c>
      <c r="H75" s="17">
        <f>SUM(Apr!H75, May!H75, Jun!H75)</f>
        <v>1098747.5900000001</v>
      </c>
      <c r="I75" s="17">
        <f>SUM(Apr!I75, May!I75, Jun!I75)</f>
        <v>-81020.590000000026</v>
      </c>
      <c r="J75" s="16">
        <f t="shared" si="8"/>
        <v>-7.3739037734772209E-2</v>
      </c>
      <c r="K75" s="14">
        <f>IFERROR(AVERAGE(Apr!K75,May!K75,Jun!K75),"")</f>
        <v>0.99493333333333334</v>
      </c>
      <c r="L75" s="39"/>
      <c r="M75" s="40"/>
    </row>
    <row r="76" spans="1:13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67">
        <f>SUM(Apr!D76, May!D76, Jun!D76)</f>
        <v>1026760</v>
      </c>
      <c r="E76" s="11">
        <f>SUM(Apr!E76, May!E76, Jun!E76)</f>
        <v>1064109.7949999999</v>
      </c>
      <c r="F76" s="11">
        <f t="shared" si="9"/>
        <v>-37349.794999999925</v>
      </c>
      <c r="G76" s="68">
        <f t="shared" si="10"/>
        <v>-3.5099568837255117E-2</v>
      </c>
      <c r="H76" s="13">
        <f>SUM(Apr!H76, May!H76, Jun!H76)</f>
        <v>1099727.74</v>
      </c>
      <c r="I76" s="13">
        <f>SUM(Apr!I76, May!I76, Jun!I76)</f>
        <v>-72967.739999999991</v>
      </c>
      <c r="J76" s="14">
        <f t="shared" si="8"/>
        <v>-6.6350731500143839E-2</v>
      </c>
      <c r="K76" s="14">
        <f>IFERROR(AVERAGE(Apr!K76,May!K76,Jun!K76),"")</f>
        <v>0.99916666666666654</v>
      </c>
      <c r="L76" s="38"/>
      <c r="M76" s="38"/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SUM(Apr!D77, May!D77, Jun!D77)</f>
        <v>982492</v>
      </c>
      <c r="E77" s="15">
        <f>SUM(Apr!E77, May!E77, Jun!E77)</f>
        <v>986827.11600000004</v>
      </c>
      <c r="F77" s="15">
        <f t="shared" si="9"/>
        <v>-4335.1160000000382</v>
      </c>
      <c r="G77" s="16">
        <f t="shared" si="10"/>
        <v>-4.3929842722319739E-3</v>
      </c>
      <c r="H77" s="17">
        <f>SUM(Apr!H77, May!H77, Jun!H77)</f>
        <v>1058363.45</v>
      </c>
      <c r="I77" s="17">
        <f>SUM(Apr!I77, May!I77, Jun!I77)</f>
        <v>-75871.449999999953</v>
      </c>
      <c r="J77" s="16">
        <f t="shared" si="8"/>
        <v>-7.16875190654023E-2</v>
      </c>
      <c r="K77" s="14">
        <f>IFERROR(AVERAGE(Apr!K77,May!K77,Jun!K77),"")</f>
        <v>0.99909999999999999</v>
      </c>
      <c r="L77" s="39"/>
      <c r="M77" s="39"/>
    </row>
    <row r="78" spans="1:13" ht="15.6">
      <c r="A78" s="25" t="str">
        <v>Sackett Lake</v>
      </c>
      <c r="B78" s="26" t="str">
        <v>NY</v>
      </c>
      <c r="C78" s="26" t="str">
        <f>Sites[[#This Row],[SOL'#]]</f>
        <v>SOL-10910</v>
      </c>
      <c r="D78" s="67">
        <f>SUM(Apr!D78, May!D78, Jun!D78)</f>
        <v>908087</v>
      </c>
      <c r="E78" s="11">
        <f>SUM(Apr!E78, May!E78, Jun!E78)</f>
        <v>947309.16399999999</v>
      </c>
      <c r="F78" s="11">
        <f t="shared" si="9"/>
        <v>-39222.16399999999</v>
      </c>
      <c r="G78" s="68">
        <f t="shared" si="10"/>
        <v>-4.1403762879675877E-2</v>
      </c>
      <c r="H78" s="13">
        <f>SUM(Apr!H78, May!H78, Jun!H78)</f>
        <v>1080144.55</v>
      </c>
      <c r="I78" s="13">
        <f>SUM(Apr!I78, May!I78, Jun!I78)</f>
        <v>-172057.55</v>
      </c>
      <c r="J78" s="14">
        <f t="shared" si="8"/>
        <v>-0.15929122634558493</v>
      </c>
      <c r="K78" s="14">
        <f>IFERROR(AVERAGE(Apr!K78,May!K78,Jun!K78),"")</f>
        <v>0.97983333333333344</v>
      </c>
      <c r="L78" s="38"/>
      <c r="M78" s="38"/>
    </row>
    <row r="79" spans="1:13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SUM(Apr!D79, May!D79, Jun!D79)</f>
        <v>1057810</v>
      </c>
      <c r="E79" s="15">
        <f>SUM(Apr!E79, May!E79, Jun!E79)</f>
        <v>394509.26999999996</v>
      </c>
      <c r="F79" s="15">
        <f t="shared" si="9"/>
        <v>663300.73</v>
      </c>
      <c r="G79" s="16">
        <f t="shared" si="10"/>
        <v>1.6813311636504766</v>
      </c>
      <c r="H79" s="17">
        <f>SUM(Apr!H79, May!H79, Jun!H79)</f>
        <v>1135879.3599999999</v>
      </c>
      <c r="I79" s="17">
        <f>SUM(Apr!I79, May!I79, Jun!I79)</f>
        <v>-78069.359999999986</v>
      </c>
      <c r="J79" s="16">
        <f t="shared" si="8"/>
        <v>-6.8730327136149377E-2</v>
      </c>
      <c r="K79" s="14">
        <f>IFERROR(AVERAGE(Apr!K79,May!K79,Jun!K79),"")</f>
        <v>0.99996666666666656</v>
      </c>
      <c r="L79" s="39"/>
      <c r="M79" s="40"/>
    </row>
    <row r="80" spans="1:13" ht="15.6">
      <c r="A80" s="25" t="str">
        <v>Villa Roma 1</v>
      </c>
      <c r="B80" s="26" t="str">
        <v>NY</v>
      </c>
      <c r="C80" s="26" t="str">
        <f>Sites[[#This Row],[SOL'#]]</f>
        <v>SOL-10914</v>
      </c>
      <c r="D80" s="67">
        <f>SUM(Apr!D80, May!D80, Jun!D80)</f>
        <v>881856</v>
      </c>
      <c r="E80" s="11">
        <f>SUM(Apr!E80, May!E80, Jun!E80)</f>
        <v>1235077.2</v>
      </c>
      <c r="F80" s="11">
        <f t="shared" si="9"/>
        <v>-353221.19999999995</v>
      </c>
      <c r="G80" s="68">
        <f t="shared" si="10"/>
        <v>-0.28599119148179558</v>
      </c>
      <c r="H80" s="13">
        <f>SUM(Apr!H80, May!H80, Jun!H80)</f>
        <v>1003286.5700000001</v>
      </c>
      <c r="I80" s="13">
        <f>SUM(Apr!I80, May!I80, Jun!I80)</f>
        <v>-121430.57</v>
      </c>
      <c r="J80" s="14">
        <f t="shared" si="8"/>
        <v>-0.12103278727233437</v>
      </c>
      <c r="K80" s="14" t="str">
        <f>IFERROR(AVERAGE(Apr!K80,May!K80,Jun!K80),"")</f>
        <v/>
      </c>
      <c r="L80" s="38"/>
      <c r="M80" s="38"/>
    </row>
    <row r="81" spans="1:13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SUM(Apr!D81, May!D81, Jun!D81)</f>
        <v>886989</v>
      </c>
      <c r="E81" s="15">
        <f>SUM(Apr!E81, May!E81, Jun!E81)</f>
        <v>949960.36100000003</v>
      </c>
      <c r="F81" s="15">
        <f t="shared" si="9"/>
        <v>-62971.361000000034</v>
      </c>
      <c r="G81" s="16">
        <f t="shared" si="10"/>
        <v>-6.628840905920709E-2</v>
      </c>
      <c r="H81" s="17">
        <f>SUM(Apr!H81, May!H81, Jun!H81)</f>
        <v>973607.17999999993</v>
      </c>
      <c r="I81" s="17">
        <f>SUM(Apr!I81, May!I81, Jun!I81)</f>
        <v>-86618.18</v>
      </c>
      <c r="J81" s="16">
        <f t="shared" si="8"/>
        <v>-8.8966250228351848E-2</v>
      </c>
      <c r="K81" s="14" t="str">
        <f>IFERROR(AVERAGE(Apr!K81,May!K81,Jun!K81),"")</f>
        <v/>
      </c>
      <c r="L81" s="39"/>
      <c r="M81" s="40"/>
    </row>
    <row r="82" spans="1:13" ht="15.6">
      <c r="A82" s="25" t="str">
        <v>Washington 1</v>
      </c>
      <c r="B82" s="26" t="str">
        <v>NY</v>
      </c>
      <c r="C82" s="26" t="str">
        <f>Sites[[#This Row],[SOL'#]]</f>
        <v>SOL-10912</v>
      </c>
      <c r="D82" s="67">
        <f>SUM(Apr!D82, May!D82, Jun!D82)</f>
        <v>1046790</v>
      </c>
      <c r="E82" s="11">
        <f>SUM(Apr!E82, May!E82, Jun!E82)</f>
        <v>1114647.0260000001</v>
      </c>
      <c r="F82" s="11">
        <f t="shared" ref="F82:F113" si="11">IF(AND(ISNUMBER(D82),ISNUMBER(E82)), D82-E82, "")</f>
        <v>-67857.026000000071</v>
      </c>
      <c r="G82" s="68">
        <f t="shared" ref="G82:G113" si="12">IFERROR(F82/E82, "")</f>
        <v>-6.087759121693477E-2</v>
      </c>
      <c r="H82" s="13">
        <f>SUM(Apr!H82, May!H82, Jun!H82)</f>
        <v>1115031.8500000001</v>
      </c>
      <c r="I82" s="13">
        <f>SUM(Apr!I82, May!I82, Jun!I82)</f>
        <v>-68241.850000000035</v>
      </c>
      <c r="J82" s="14">
        <f t="shared" ref="J82:J145" si="13">IFERROR(I82/H82, "")</f>
        <v>-6.1201704686731619E-2</v>
      </c>
      <c r="K82" s="14" t="str">
        <f>IFERROR(AVERAGE(Apr!K82,May!K82,Jun!K82),"")</f>
        <v/>
      </c>
      <c r="L82" s="38"/>
      <c r="M82" s="38"/>
    </row>
    <row r="83" spans="1:13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SUM(Apr!D83, May!D83, Jun!D83)</f>
        <v>1171679</v>
      </c>
      <c r="E83" s="15">
        <f>SUM(Apr!E83, May!E83, Jun!E83)</f>
        <v>938895.30200000003</v>
      </c>
      <c r="F83" s="15">
        <f t="shared" si="11"/>
        <v>232783.69799999997</v>
      </c>
      <c r="G83" s="16">
        <f t="shared" si="12"/>
        <v>0.24793360612640489</v>
      </c>
      <c r="H83" s="17">
        <f>SUM(Apr!H83, May!H83, Jun!H83)</f>
        <v>1360787.85</v>
      </c>
      <c r="I83" s="17">
        <f>SUM(Apr!I83, May!I83, Jun!I83)</f>
        <v>-189108.84999999998</v>
      </c>
      <c r="J83" s="16">
        <f t="shared" si="13"/>
        <v>-0.13897011940546056</v>
      </c>
      <c r="K83" s="14" t="str">
        <f>IFERROR(AVERAGE(Apr!K83,May!K83,Jun!K83),"")</f>
        <v/>
      </c>
      <c r="L83" s="39"/>
      <c r="M83" s="40"/>
    </row>
    <row r="84" spans="1:13" ht="15.6">
      <c r="A84" s="25" t="str">
        <v>Washington 4</v>
      </c>
      <c r="B84" s="26" t="str">
        <v>NY</v>
      </c>
      <c r="C84" s="26" t="str">
        <f>Sites[[#This Row],[SOL'#]]</f>
        <v>SOL-10829</v>
      </c>
      <c r="D84" s="67">
        <f>SUM(Apr!D84, May!D84, Jun!D84)</f>
        <v>1038920</v>
      </c>
      <c r="E84" s="11">
        <f>SUM(Apr!E84, May!E84, Jun!E84)</f>
        <v>0</v>
      </c>
      <c r="F84" s="11">
        <f t="shared" si="11"/>
        <v>1038920</v>
      </c>
      <c r="G84" s="68" t="str">
        <f t="shared" si="12"/>
        <v/>
      </c>
      <c r="H84" s="13">
        <f>SUM(Apr!H84, May!H84, Jun!H84)</f>
        <v>1363718.22</v>
      </c>
      <c r="I84" s="13">
        <f>SUM(Apr!I84, May!I84, Jun!I84)</f>
        <v>-324798.22000000003</v>
      </c>
      <c r="J84" s="14">
        <f t="shared" si="13"/>
        <v>-0.23817106440067951</v>
      </c>
      <c r="K84" s="14" t="str">
        <f>IFERROR(AVERAGE(Apr!K84,May!K84,Jun!K84),"")</f>
        <v/>
      </c>
      <c r="L84" s="38"/>
      <c r="M84" s="38"/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SUM(Apr!D85, May!D85, Jun!D85)</f>
        <v>1022121</v>
      </c>
      <c r="E85" s="15">
        <f>SUM(Apr!E85, May!E85, Jun!E85)</f>
        <v>400672</v>
      </c>
      <c r="F85" s="15">
        <f t="shared" si="11"/>
        <v>621449</v>
      </c>
      <c r="G85" s="16">
        <f t="shared" si="12"/>
        <v>1.5510167917897932</v>
      </c>
      <c r="H85" s="17">
        <f>SUM(Apr!H85, May!H85, Jun!H85)</f>
        <v>316775.67</v>
      </c>
      <c r="I85" s="17">
        <f>SUM(Apr!I85, May!I85, Jun!I85)</f>
        <v>705345.33000000007</v>
      </c>
      <c r="J85" s="16">
        <f t="shared" si="13"/>
        <v>2.226639848950521</v>
      </c>
      <c r="K85" s="14" t="str">
        <f>IFERROR(AVERAGE(Apr!K85,May!K85,Jun!K85),"")</f>
        <v/>
      </c>
      <c r="L85" s="39"/>
      <c r="M85" s="40"/>
    </row>
    <row r="86" spans="1:13" ht="15.6">
      <c r="A86" s="25" t="str">
        <v>Canoga</v>
      </c>
      <c r="B86" s="26" t="str">
        <v>NY</v>
      </c>
      <c r="C86" s="26" t="str">
        <f>Sites[[#This Row],[SOL'#]]</f>
        <v>SOL-10965</v>
      </c>
      <c r="D86" s="67">
        <f>SUM(Apr!D86, May!D86, Jun!D86)</f>
        <v>2635522</v>
      </c>
      <c r="E86" s="11">
        <f>SUM(Apr!E86, May!E86, Jun!E86)</f>
        <v>0</v>
      </c>
      <c r="F86" s="11">
        <f t="shared" si="11"/>
        <v>2635522</v>
      </c>
      <c r="G86" s="68" t="str">
        <f t="shared" si="12"/>
        <v/>
      </c>
      <c r="H86" s="13">
        <f>SUM(Apr!H86, May!H86, Jun!H86)</f>
        <v>2940732.85</v>
      </c>
      <c r="I86" s="13">
        <f>SUM(Apr!I86, May!I86, Jun!I86)</f>
        <v>-305210.85000000009</v>
      </c>
      <c r="J86" s="14">
        <f t="shared" si="13"/>
        <v>-0.10378734334878467</v>
      </c>
      <c r="K86" s="14">
        <f>IFERROR(AVERAGE(Apr!K86,May!K86,Jun!K86),"")</f>
        <v>0.99806666666666677</v>
      </c>
      <c r="L86" s="38"/>
      <c r="M86" s="38"/>
    </row>
    <row r="87" spans="1:13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SUM(Apr!D87, May!D87, Jun!D87)</f>
        <v>2365747</v>
      </c>
      <c r="E87" s="15">
        <f>SUM(Apr!E87, May!E87, Jun!E87)</f>
        <v>0</v>
      </c>
      <c r="F87" s="15">
        <f t="shared" si="11"/>
        <v>2365747</v>
      </c>
      <c r="G87" s="16" t="str">
        <f t="shared" si="12"/>
        <v/>
      </c>
      <c r="H87" s="17">
        <f>SUM(Apr!H87, May!H87, Jun!H87)</f>
        <v>2797799.01</v>
      </c>
      <c r="I87" s="17">
        <f>SUM(Apr!I87, May!I87, Jun!I87)</f>
        <v>-432052.01</v>
      </c>
      <c r="J87" s="16">
        <f t="shared" si="13"/>
        <v>-0.15442567834778098</v>
      </c>
      <c r="K87" s="14">
        <f>IFERROR(AVERAGE(Apr!K87,May!K87,Jun!K87),"")</f>
        <v>0.99593333333333334</v>
      </c>
      <c r="L87" s="39"/>
      <c r="M87" s="40"/>
    </row>
    <row r="88" spans="1:13" ht="15.6">
      <c r="A88" s="25" t="str">
        <v>Donati</v>
      </c>
      <c r="B88" s="26" t="str">
        <v>NY</v>
      </c>
      <c r="C88" s="26" t="str">
        <f>Sites[[#This Row],[SOL'#]]</f>
        <v>SOL-10968</v>
      </c>
      <c r="D88" s="67">
        <f>SUM(Apr!D88, May!D88, Jun!D88)</f>
        <v>1172043</v>
      </c>
      <c r="E88" s="11">
        <f>SUM(Apr!E88, May!E88, Jun!E88)</f>
        <v>0</v>
      </c>
      <c r="F88" s="11">
        <f t="shared" si="11"/>
        <v>1172043</v>
      </c>
      <c r="G88" s="68" t="str">
        <f t="shared" si="12"/>
        <v/>
      </c>
      <c r="H88" s="13">
        <f>SUM(Apr!H88, May!H88, Jun!H88)</f>
        <v>1463321.63</v>
      </c>
      <c r="I88" s="13">
        <f>SUM(Apr!I88, May!I88, Jun!I88)</f>
        <v>-291278.62999999995</v>
      </c>
      <c r="J88" s="14">
        <f t="shared" si="13"/>
        <v>-0.19905304755182221</v>
      </c>
      <c r="K88" s="14">
        <f>IFERROR(AVERAGE(Apr!K88,May!K88,Jun!K88),"")</f>
        <v>0.99933333333333341</v>
      </c>
      <c r="L88" s="38"/>
      <c r="M88" s="38"/>
    </row>
    <row r="89" spans="1:13" ht="15.6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SUM(Apr!D89, May!D89, Jun!D89)</f>
        <v>2561337</v>
      </c>
      <c r="E89" s="15">
        <f>SUM(Apr!E89, May!E89, Jun!E89)</f>
        <v>923077</v>
      </c>
      <c r="F89" s="15">
        <f t="shared" si="11"/>
        <v>1638260</v>
      </c>
      <c r="G89" s="16">
        <f t="shared" si="12"/>
        <v>1.7747815187682068</v>
      </c>
      <c r="H89" s="17">
        <f>SUM(Apr!H89, May!H89, Jun!H89)</f>
        <v>680547.45</v>
      </c>
      <c r="I89" s="17">
        <f>SUM(Apr!I89, May!I89, Jun!I89)</f>
        <v>1880789.55</v>
      </c>
      <c r="J89" s="16">
        <f t="shared" si="13"/>
        <v>2.7636420502347048</v>
      </c>
      <c r="K89" s="14">
        <f>IFERROR(AVERAGE(Apr!K89,May!K89,Jun!K89),"")</f>
        <v>0.99453333333333338</v>
      </c>
      <c r="L89" s="39"/>
      <c r="M89" s="39"/>
    </row>
    <row r="90" spans="1:13" ht="15.6">
      <c r="A90" s="25" t="str">
        <v>NY 70</v>
      </c>
      <c r="B90" s="26" t="str">
        <v>NY</v>
      </c>
      <c r="C90" s="26" t="str">
        <f>Sites[[#This Row],[SOL'#]]</f>
        <v>SOL-10970</v>
      </c>
      <c r="D90" s="67">
        <f>SUM(Apr!D90, May!D90, Jun!D90)</f>
        <v>2782121</v>
      </c>
      <c r="E90" s="11">
        <f>SUM(Apr!E90, May!E90, Jun!E90)</f>
        <v>0</v>
      </c>
      <c r="F90" s="11">
        <f t="shared" si="11"/>
        <v>2782121</v>
      </c>
      <c r="G90" s="68" t="str">
        <f t="shared" si="12"/>
        <v/>
      </c>
      <c r="H90" s="13">
        <f>SUM(Apr!H90, May!H90, Jun!H90)</f>
        <v>1057730.97</v>
      </c>
      <c r="I90" s="13">
        <f>SUM(Apr!I90, May!I90, Jun!I90)</f>
        <v>1724390.03</v>
      </c>
      <c r="J90" s="14">
        <f t="shared" si="13"/>
        <v>1.6302727998973123</v>
      </c>
      <c r="K90" s="14">
        <f>IFERROR(AVERAGE(Apr!K90,May!K90,Jun!K90),"")</f>
        <v>0.99180000000000001</v>
      </c>
      <c r="L90" s="38"/>
      <c r="M90" s="38"/>
    </row>
    <row r="91" spans="1:13" ht="15.6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SUM(Apr!D91, May!D91, Jun!D91)</f>
        <v>2285846.978116028</v>
      </c>
      <c r="E91" s="15">
        <f>SUM(Apr!E91, May!E91, Jun!E91)</f>
        <v>2177247.5</v>
      </c>
      <c r="F91" s="15">
        <f t="shared" si="11"/>
        <v>108599.47811602801</v>
      </c>
      <c r="G91" s="16">
        <f t="shared" si="12"/>
        <v>4.9879252641708401E-2</v>
      </c>
      <c r="H91" s="17">
        <f>SUM(Apr!H91, May!H91, Jun!H91)</f>
        <v>2654719</v>
      </c>
      <c r="I91" s="17">
        <f>SUM(Apr!I91, May!I91, Jun!I91)</f>
        <v>-368872.02188397199</v>
      </c>
      <c r="J91" s="16">
        <f t="shared" si="13"/>
        <v>-0.13894955431590764</v>
      </c>
      <c r="K91" s="14">
        <f>IFERROR(AVERAGE(Apr!K91,May!K91,Jun!K91),"")</f>
        <v>0.98102210000000001</v>
      </c>
      <c r="L91" s="39"/>
      <c r="M91" s="40"/>
    </row>
    <row r="92" spans="1:13" ht="15.6">
      <c r="A92" s="25" t="str">
        <v>Sangolqui</v>
      </c>
      <c r="B92" s="26" t="str">
        <v>NY</v>
      </c>
      <c r="C92" s="26" t="str">
        <f>Sites[[#This Row],[SOL'#]]</f>
        <v>SOL-10975</v>
      </c>
      <c r="D92" s="67">
        <f>SUM(Apr!D92, May!D92, Jun!D92)</f>
        <v>1250352</v>
      </c>
      <c r="E92" s="11">
        <f>SUM(Apr!E92, May!E92, Jun!E92)</f>
        <v>482020</v>
      </c>
      <c r="F92" s="11">
        <f t="shared" si="11"/>
        <v>768332</v>
      </c>
      <c r="G92" s="68">
        <f t="shared" si="12"/>
        <v>1.593983652130617</v>
      </c>
      <c r="H92" s="13">
        <f>SUM(Apr!H92, May!H92, Jun!H92)</f>
        <v>1431807.26</v>
      </c>
      <c r="I92" s="13">
        <f>SUM(Apr!I92, May!I92, Jun!I92)</f>
        <v>-181455.26</v>
      </c>
      <c r="J92" s="14">
        <f t="shared" si="13"/>
        <v>-0.12673162447856284</v>
      </c>
      <c r="K92" s="14">
        <f>IFERROR(AVERAGE(Apr!K92,May!K92,Jun!K92),"")</f>
        <v>0.99733333333333329</v>
      </c>
      <c r="L92" s="38"/>
      <c r="M92" s="38"/>
    </row>
    <row r="93" spans="1:13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SUM(Apr!D93, May!D93, Jun!D93)</f>
        <v>2050940</v>
      </c>
      <c r="E93" s="15">
        <f>SUM(Apr!E93, May!E93, Jun!E93)</f>
        <v>849596</v>
      </c>
      <c r="F93" s="15">
        <f t="shared" si="11"/>
        <v>1201344</v>
      </c>
      <c r="G93" s="16">
        <f t="shared" si="12"/>
        <v>1.4140179567700413</v>
      </c>
      <c r="H93" s="17">
        <f>SUM(Apr!H93, May!H93, Jun!H93)</f>
        <v>950327</v>
      </c>
      <c r="I93" s="17">
        <f>SUM(Apr!I93, May!I93, Jun!I93)</f>
        <v>1100613</v>
      </c>
      <c r="J93" s="16">
        <f t="shared" si="13"/>
        <v>1.1581413555544564</v>
      </c>
      <c r="K93" s="14" t="str">
        <f>IFERROR(AVERAGE(Apr!K93,May!K93,Jun!K93),"")</f>
        <v/>
      </c>
      <c r="L93" s="39"/>
      <c r="M93" s="40"/>
    </row>
    <row r="94" spans="1:13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67">
        <f>SUM(Apr!D94, May!D94, Jun!D94)</f>
        <v>2572627</v>
      </c>
      <c r="E94" s="11">
        <f>SUM(Apr!E94, May!E94, Jun!E94)</f>
        <v>0</v>
      </c>
      <c r="F94" s="11">
        <f t="shared" si="11"/>
        <v>2572627</v>
      </c>
      <c r="G94" s="68" t="str">
        <f t="shared" si="12"/>
        <v/>
      </c>
      <c r="H94" s="13">
        <f>SUM(Apr!H94, May!H94, Jun!H94)</f>
        <v>1020302.9</v>
      </c>
      <c r="I94" s="13">
        <f>SUM(Apr!I94, May!I94, Jun!I94)</f>
        <v>1552324.1</v>
      </c>
      <c r="J94" s="14">
        <f t="shared" si="13"/>
        <v>1.5214345661469746</v>
      </c>
      <c r="K94" s="14" t="str">
        <f>IFERROR(AVERAGE(Apr!K94,May!K94,Jun!K94),"")</f>
        <v/>
      </c>
      <c r="L94" s="38"/>
      <c r="M94" s="38"/>
    </row>
    <row r="95" spans="1:13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SUM(Apr!D95, May!D95, Jun!D95)</f>
        <v>2667177</v>
      </c>
      <c r="E95" s="15">
        <f>SUM(Apr!E95, May!E95, Jun!E95)</f>
        <v>0</v>
      </c>
      <c r="F95" s="15">
        <f t="shared" si="11"/>
        <v>2667177</v>
      </c>
      <c r="G95" s="16" t="str">
        <f t="shared" si="12"/>
        <v/>
      </c>
      <c r="H95" s="17">
        <f>SUM(Apr!H95, May!H95, Jun!H95)</f>
        <v>875981.2</v>
      </c>
      <c r="I95" s="17">
        <f>SUM(Apr!I95, May!I95, Jun!I95)</f>
        <v>1791195.8</v>
      </c>
      <c r="J95" s="16">
        <f t="shared" si="13"/>
        <v>2.0447879475038966</v>
      </c>
      <c r="K95" s="14" t="str">
        <f>IFERROR(AVERAGE(Apr!K95,May!K95,Jun!K95),"")</f>
        <v/>
      </c>
      <c r="L95" s="39"/>
      <c r="M95" s="40"/>
    </row>
    <row r="96" spans="1:13" ht="15.6">
      <c r="A96" s="25" t="str">
        <v>Wildflower</v>
      </c>
      <c r="B96" s="26" t="str">
        <v>NY</v>
      </c>
      <c r="C96" s="26" t="str">
        <f>Sites[[#This Row],[SOL'#]]</f>
        <v>SOL-10982</v>
      </c>
      <c r="D96" s="67">
        <f>SUM(Apr!D96, May!D96, Jun!D96)</f>
        <v>1785410</v>
      </c>
      <c r="E96" s="11">
        <f>SUM(Apr!E96, May!E96, Jun!E96)</f>
        <v>0</v>
      </c>
      <c r="F96" s="11">
        <f t="shared" si="11"/>
        <v>1785410</v>
      </c>
      <c r="G96" s="68" t="str">
        <f t="shared" si="12"/>
        <v/>
      </c>
      <c r="H96" s="13">
        <f>SUM(Apr!H96, May!H96, Jun!H96)</f>
        <v>1194448.3999999999</v>
      </c>
      <c r="I96" s="13">
        <f>SUM(Apr!I96, May!I96, Jun!I96)</f>
        <v>590961.6</v>
      </c>
      <c r="J96" s="14">
        <f t="shared" si="13"/>
        <v>0.49475691038641773</v>
      </c>
      <c r="K96" s="14" t="str">
        <f>IFERROR(AVERAGE(Apr!K96,May!K96,Jun!K96),"")</f>
        <v/>
      </c>
      <c r="L96" s="38"/>
      <c r="M96" s="38"/>
    </row>
    <row r="97" spans="1:13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SUM(Apr!D97, May!D97, Jun!D97)</f>
        <v>2605117</v>
      </c>
      <c r="E97" s="15">
        <f>SUM(Apr!E97, May!E97, Jun!E97)</f>
        <v>0</v>
      </c>
      <c r="F97" s="15">
        <f t="shared" si="11"/>
        <v>2605117</v>
      </c>
      <c r="G97" s="16" t="str">
        <f t="shared" si="12"/>
        <v/>
      </c>
      <c r="H97" s="17">
        <f>SUM(Apr!H97, May!H97, Jun!H97)</f>
        <v>1144956</v>
      </c>
      <c r="I97" s="17">
        <f>SUM(Apr!I97, May!I97, Jun!I97)</f>
        <v>1460161</v>
      </c>
      <c r="J97" s="16">
        <f t="shared" si="13"/>
        <v>1.2752987887744158</v>
      </c>
      <c r="K97" s="14">
        <f>IFERROR(AVERAGE(Apr!K97,May!K97,Jun!K97),"")</f>
        <v>0.99996666666666656</v>
      </c>
      <c r="L97" s="39"/>
      <c r="M97" s="40"/>
    </row>
    <row r="98" spans="1:13" ht="15.6">
      <c r="A98" s="25" t="str">
        <v>Glen Mary 2</v>
      </c>
      <c r="B98" s="26" t="str">
        <v>NY</v>
      </c>
      <c r="C98" s="26" t="str">
        <f>Sites[[#This Row],[SOL'#]]</f>
        <v>SOL-10994</v>
      </c>
      <c r="D98" s="67">
        <f>SUM(Apr!D98, May!D98, Jun!D98)</f>
        <v>1154221</v>
      </c>
      <c r="E98" s="11">
        <f>SUM(Apr!E98, May!E98, Jun!E98)</f>
        <v>0</v>
      </c>
      <c r="F98" s="11">
        <f t="shared" si="11"/>
        <v>1154221</v>
      </c>
      <c r="G98" s="68" t="str">
        <f t="shared" si="12"/>
        <v/>
      </c>
      <c r="H98" s="13">
        <f>SUM(Apr!H98, May!H98, Jun!H98)</f>
        <v>1234536.8400000001</v>
      </c>
      <c r="I98" s="13">
        <f>SUM(Apr!I98, May!I98, Jun!I98)</f>
        <v>-80315.840000000026</v>
      </c>
      <c r="J98" s="14">
        <f t="shared" si="13"/>
        <v>-6.5057467219852283E-2</v>
      </c>
      <c r="K98" s="14">
        <f>IFERROR(AVERAGE(Apr!K98,May!K98,Jun!K98),"")</f>
        <v>0.9998999999999999</v>
      </c>
      <c r="L98" s="38"/>
      <c r="M98" s="38"/>
    </row>
    <row r="99" spans="1:13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SUM(Apr!D99, May!D99, Jun!D99)</f>
        <v>1808005</v>
      </c>
      <c r="E99" s="15">
        <f>SUM(Apr!E99, May!E99, Jun!E99)</f>
        <v>0</v>
      </c>
      <c r="F99" s="15">
        <f t="shared" si="11"/>
        <v>1808005</v>
      </c>
      <c r="G99" s="16" t="str">
        <f t="shared" si="12"/>
        <v/>
      </c>
      <c r="H99" s="17">
        <f>SUM(Apr!H99, May!H99, Jun!H99)</f>
        <v>2091186.7599999998</v>
      </c>
      <c r="I99" s="17">
        <f>SUM(Apr!I99, May!I99, Jun!I99)</f>
        <v>-283181.75999999989</v>
      </c>
      <c r="J99" s="16">
        <f t="shared" si="13"/>
        <v>-0.13541677167083821</v>
      </c>
      <c r="K99" s="14">
        <f>IFERROR(AVERAGE(Apr!K99,May!K99,Jun!K99),"")</f>
        <v>0.9291666666666667</v>
      </c>
      <c r="L99" s="39"/>
      <c r="M99" s="40"/>
    </row>
    <row r="100" spans="1:13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67">
        <f>SUM(Apr!D100, May!D100, Jun!D100)</f>
        <v>1039732</v>
      </c>
      <c r="E100" s="11">
        <f>SUM(Apr!E100, May!E100, Jun!E100)</f>
        <v>0</v>
      </c>
      <c r="F100" s="11">
        <f t="shared" si="11"/>
        <v>1039732</v>
      </c>
      <c r="G100" s="68" t="str">
        <f t="shared" si="12"/>
        <v/>
      </c>
      <c r="H100" s="13">
        <f>SUM(Apr!H100, May!H100, Jun!H100)</f>
        <v>1089452.31</v>
      </c>
      <c r="I100" s="13">
        <f>SUM(Apr!I100, May!I100, Jun!I100)</f>
        <v>-49720.31</v>
      </c>
      <c r="J100" s="14">
        <f t="shared" si="13"/>
        <v>-4.5637894879492241E-2</v>
      </c>
      <c r="K100" s="14">
        <f>IFERROR(AVERAGE(Apr!K100,May!K100,Jun!K100),"")</f>
        <v>0.99529999999999996</v>
      </c>
      <c r="L100" s="38"/>
      <c r="M100" s="38"/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SUM(Apr!D101, May!D101, Jun!D101)</f>
        <v>2583910</v>
      </c>
      <c r="E101" s="15">
        <f>SUM(Apr!E101, May!E101, Jun!E101)</f>
        <v>0</v>
      </c>
      <c r="F101" s="15">
        <f t="shared" si="11"/>
        <v>2583910</v>
      </c>
      <c r="G101" s="16" t="str">
        <f t="shared" si="12"/>
        <v/>
      </c>
      <c r="H101" s="17">
        <f>SUM(Apr!H101, May!H101, Jun!H101)</f>
        <v>2691480.96</v>
      </c>
      <c r="I101" s="17">
        <f>SUM(Apr!I101, May!I101, Jun!I101)</f>
        <v>-107570.95999999996</v>
      </c>
      <c r="J101" s="16">
        <f t="shared" si="13"/>
        <v>-3.9967200808286592E-2</v>
      </c>
      <c r="K101" s="14">
        <f>IFERROR(AVERAGE(Apr!K101,May!K101,Jun!K101),"")</f>
        <v>0.9998999999999999</v>
      </c>
      <c r="L101" s="39"/>
      <c r="M101" s="39"/>
    </row>
    <row r="102" spans="1:13" ht="15.6">
      <c r="A102" s="25" t="str">
        <v>Dunkleman</v>
      </c>
      <c r="B102" s="26" t="str">
        <v>NY</v>
      </c>
      <c r="C102" s="26" t="str">
        <f>Sites[[#This Row],[SOL'#]]</f>
        <v>SOL-11008</v>
      </c>
      <c r="D102" s="67">
        <f>SUM(Apr!D102, May!D102, Jun!D102)</f>
        <v>2343294</v>
      </c>
      <c r="E102" s="11">
        <f>SUM(Apr!E102, May!E102, Jun!E102)</f>
        <v>0</v>
      </c>
      <c r="F102" s="11">
        <f t="shared" si="11"/>
        <v>2343294</v>
      </c>
      <c r="G102" s="68" t="str">
        <f t="shared" si="12"/>
        <v/>
      </c>
      <c r="H102" s="13">
        <f>SUM(Apr!H102, May!H102, Jun!H102)</f>
        <v>3552284.2699999996</v>
      </c>
      <c r="I102" s="13">
        <f>SUM(Apr!I102, May!I102, Jun!I102)</f>
        <v>-1208990.2699999998</v>
      </c>
      <c r="J102" s="14">
        <f t="shared" si="13"/>
        <v>-0.34034164444840442</v>
      </c>
      <c r="K102" s="14">
        <f>IFERROR(AVERAGE(Apr!K102,May!K102,Jun!K102),"")</f>
        <v>0.99833333333333318</v>
      </c>
      <c r="L102" s="38"/>
      <c r="M102" s="38"/>
    </row>
    <row r="103" spans="1:13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SUM(Apr!D103, May!D103, Jun!D103)</f>
        <v>1290644</v>
      </c>
      <c r="E103" s="15">
        <f>SUM(Apr!E103, May!E103, Jun!E103)</f>
        <v>0</v>
      </c>
      <c r="F103" s="15">
        <f t="shared" si="11"/>
        <v>1290644</v>
      </c>
      <c r="G103" s="16" t="str">
        <f t="shared" si="12"/>
        <v/>
      </c>
      <c r="H103" s="17">
        <f>SUM(Apr!H103, May!H103, Jun!H103)</f>
        <v>1445884.2999999998</v>
      </c>
      <c r="I103" s="17">
        <f>SUM(Apr!I103, May!I103, Jun!I103)</f>
        <v>-155240.29999999999</v>
      </c>
      <c r="J103" s="16">
        <f t="shared" si="13"/>
        <v>-0.1073670279150275</v>
      </c>
      <c r="K103" s="14">
        <f>IFERROR(AVERAGE(Apr!K103,May!K103,Jun!K103),"")</f>
        <v>0.9998999999999999</v>
      </c>
      <c r="L103" s="39"/>
      <c r="M103" s="40"/>
    </row>
    <row r="104" spans="1:13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67">
        <f>SUM(Apr!D104, May!D104, Jun!D104)</f>
        <v>3039592</v>
      </c>
      <c r="E104" s="11">
        <f>SUM(Apr!E104, May!E104, Jun!E104)</f>
        <v>0</v>
      </c>
      <c r="F104" s="11">
        <f t="shared" si="11"/>
        <v>3039592</v>
      </c>
      <c r="G104" s="68" t="str">
        <f t="shared" si="12"/>
        <v/>
      </c>
      <c r="H104" s="13">
        <f>SUM(Apr!H104, May!H104, Jun!H104)</f>
        <v>3575427.33</v>
      </c>
      <c r="I104" s="13">
        <f>SUM(Apr!I104, May!I104, Jun!I104)</f>
        <v>-535835.32999999984</v>
      </c>
      <c r="J104" s="14">
        <f t="shared" si="13"/>
        <v>-0.14986609446765062</v>
      </c>
      <c r="K104" s="14">
        <f>IFERROR(AVERAGE(Apr!K104,May!K104,Jun!K104),"")</f>
        <v>0.99996666666666656</v>
      </c>
      <c r="L104" s="38"/>
      <c r="M104" s="38"/>
    </row>
    <row r="105" spans="1:13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SUM(Apr!D105, May!D105, Jun!D105)</f>
        <v>1106323</v>
      </c>
      <c r="E105" s="15">
        <f>SUM(Apr!E105, May!E105, Jun!E105)</f>
        <v>0</v>
      </c>
      <c r="F105" s="15">
        <f t="shared" si="11"/>
        <v>1106323</v>
      </c>
      <c r="G105" s="16" t="str">
        <f t="shared" si="12"/>
        <v/>
      </c>
      <c r="H105" s="17">
        <f>SUM(Apr!H105, May!H105, Jun!H105)</f>
        <v>1180105.05</v>
      </c>
      <c r="I105" s="17">
        <f>SUM(Apr!I105, May!I105, Jun!I105)</f>
        <v>-73782.050000000047</v>
      </c>
      <c r="J105" s="16">
        <f t="shared" si="13"/>
        <v>-6.252159500546163E-2</v>
      </c>
      <c r="K105" s="14">
        <f>IFERROR(AVERAGE(Apr!K105,May!K105,Jun!K105),"")</f>
        <v>0.9998999999999999</v>
      </c>
      <c r="L105" s="39"/>
      <c r="M105" s="40"/>
    </row>
    <row r="106" spans="1:13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67">
        <f>SUM(Apr!D106, May!D106, Jun!D106)</f>
        <v>1113142</v>
      </c>
      <c r="E106" s="11">
        <f>SUM(Apr!E106, May!E106, Jun!E106)</f>
        <v>0</v>
      </c>
      <c r="F106" s="11">
        <f t="shared" si="11"/>
        <v>1113142</v>
      </c>
      <c r="G106" s="68" t="str">
        <f t="shared" si="12"/>
        <v/>
      </c>
      <c r="H106" s="13">
        <f>SUM(Apr!H106, May!H106, Jun!H106)</f>
        <v>1217849.8500000001</v>
      </c>
      <c r="I106" s="13">
        <f>SUM(Apr!I106, May!I106, Jun!I106)</f>
        <v>-104707.84999999998</v>
      </c>
      <c r="J106" s="14">
        <f t="shared" si="13"/>
        <v>-8.597763509187932E-2</v>
      </c>
      <c r="K106" s="14">
        <f>IFERROR(AVERAGE(Apr!K106,May!K106,Jun!K106),"")</f>
        <v>1</v>
      </c>
      <c r="L106" s="38"/>
      <c r="M106" s="38"/>
    </row>
    <row r="107" spans="1:13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SUM(Apr!D107, May!D107, Jun!D107)</f>
        <v>1071391</v>
      </c>
      <c r="E107" s="15">
        <f>SUM(Apr!E107, May!E107, Jun!E107)</f>
        <v>0</v>
      </c>
      <c r="F107" s="15">
        <f t="shared" si="11"/>
        <v>1071391</v>
      </c>
      <c r="G107" s="16" t="str">
        <f t="shared" si="12"/>
        <v/>
      </c>
      <c r="H107" s="17">
        <f>SUM(Apr!H107, May!H107, Jun!H107)</f>
        <v>1164109.81</v>
      </c>
      <c r="I107" s="17">
        <f>SUM(Apr!I107, May!I107, Jun!I107)</f>
        <v>-92718.81</v>
      </c>
      <c r="J107" s="16">
        <f t="shared" si="13"/>
        <v>-7.9647821196524402E-2</v>
      </c>
      <c r="K107" s="14">
        <f>IFERROR(AVERAGE(Apr!K107,May!K107,Jun!K107),"")</f>
        <v>1</v>
      </c>
      <c r="L107" s="39"/>
      <c r="M107" s="40"/>
    </row>
    <row r="108" spans="1:13" ht="15.6">
      <c r="A108" s="25" t="str">
        <v>Catskill</v>
      </c>
      <c r="B108" s="26" t="str">
        <v>NY</v>
      </c>
      <c r="C108" s="26" t="str">
        <f>Sites[[#This Row],[SOL'#]]</f>
        <v>SOL-11021</v>
      </c>
      <c r="D108" s="67">
        <f>SUM(Apr!D108, May!D108, Jun!D108)</f>
        <v>2005552</v>
      </c>
      <c r="E108" s="11">
        <f>SUM(Apr!E108, May!E108, Jun!E108)</f>
        <v>0</v>
      </c>
      <c r="F108" s="11">
        <f t="shared" si="11"/>
        <v>2005552</v>
      </c>
      <c r="G108" s="68" t="str">
        <f t="shared" si="12"/>
        <v/>
      </c>
      <c r="H108" s="13">
        <f>SUM(Apr!H108, May!H108, Jun!H108)</f>
        <v>2074354.5700000003</v>
      </c>
      <c r="I108" s="13">
        <f>SUM(Apr!I108, May!I108, Jun!I108)</f>
        <v>-68802.570000000065</v>
      </c>
      <c r="J108" s="14">
        <f t="shared" si="13"/>
        <v>-3.3168182043246376E-2</v>
      </c>
      <c r="K108" s="14">
        <f>IFERROR(AVERAGE(Apr!K108,May!K108,Jun!K108),"")</f>
        <v>0.99973333333333336</v>
      </c>
      <c r="L108" s="38"/>
      <c r="M108" s="38"/>
    </row>
    <row r="109" spans="1:13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SUM(Apr!D109, May!D109, Jun!D109)</f>
        <v>1420619</v>
      </c>
      <c r="E109" s="15">
        <f>SUM(Apr!E109, May!E109, Jun!E109)</f>
        <v>0</v>
      </c>
      <c r="F109" s="15">
        <f t="shared" si="11"/>
        <v>1420619</v>
      </c>
      <c r="G109" s="16" t="str">
        <f t="shared" si="12"/>
        <v/>
      </c>
      <c r="H109" s="17">
        <f>SUM(Apr!H109, May!H109, Jun!H109)</f>
        <v>1699000</v>
      </c>
      <c r="I109" s="17">
        <f>SUM(Apr!I109, May!I109, Jun!I109)</f>
        <v>-278381</v>
      </c>
      <c r="J109" s="16">
        <f t="shared" si="13"/>
        <v>-0.16384991171277222</v>
      </c>
      <c r="K109" s="14">
        <f>IFERROR(AVERAGE(Apr!K109,May!K109,Jun!K109),"")</f>
        <v>0.99983333333333346</v>
      </c>
      <c r="L109" s="39"/>
      <c r="M109" s="40"/>
    </row>
    <row r="110" spans="1:13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67">
        <f>SUM(Apr!D110, May!D110, Jun!D110)</f>
        <v>3309632.5</v>
      </c>
      <c r="E110" s="11">
        <f>SUM(Apr!E110, May!E110, Jun!E110)</f>
        <v>0</v>
      </c>
      <c r="F110" s="11">
        <f t="shared" si="11"/>
        <v>3309632.5</v>
      </c>
      <c r="G110" s="68" t="str">
        <f t="shared" si="12"/>
        <v/>
      </c>
      <c r="H110" s="13">
        <f>SUM(Apr!H110, May!H110, Jun!H110)</f>
        <v>0</v>
      </c>
      <c r="I110" s="13">
        <f>SUM(Apr!I110, May!I110, Jun!I110)</f>
        <v>3309632.5</v>
      </c>
      <c r="J110" s="14" t="str">
        <f t="shared" si="13"/>
        <v/>
      </c>
      <c r="K110" s="14" t="str">
        <f>IFERROR(AVERAGE(Apr!K110,May!K110,Jun!K110),"")</f>
        <v/>
      </c>
      <c r="L110" s="38"/>
      <c r="M110" s="38"/>
    </row>
    <row r="111" spans="1:13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SUM(Apr!D111, May!D111, Jun!D111)</f>
        <v>2198503</v>
      </c>
      <c r="E111" s="15">
        <f>SUM(Apr!E111, May!E111, Jun!E111)</f>
        <v>2892930</v>
      </c>
      <c r="F111" s="15">
        <f t="shared" si="11"/>
        <v>-694427</v>
      </c>
      <c r="G111" s="16">
        <f t="shared" si="12"/>
        <v>-0.24004279398395398</v>
      </c>
      <c r="H111" s="17">
        <f>SUM(Apr!H111, May!H111, Jun!H111)</f>
        <v>2024434.8</v>
      </c>
      <c r="I111" s="17">
        <f>SUM(Apr!I111, May!I111, Jun!I111)</f>
        <v>174068.20000000007</v>
      </c>
      <c r="J111" s="16">
        <f t="shared" si="13"/>
        <v>8.5983603917498388E-2</v>
      </c>
      <c r="K111" s="14">
        <f>IFERROR(AVERAGE(Apr!K111,May!K111,Jun!K111),"")</f>
        <v>0.9841956999999999</v>
      </c>
      <c r="L111" s="39"/>
      <c r="M111" s="40"/>
    </row>
    <row r="112" spans="1:13" ht="15.6">
      <c r="A112" s="25" t="str">
        <v>Rivard 2</v>
      </c>
      <c r="B112" s="26" t="str">
        <v>NY</v>
      </c>
      <c r="C112" s="26" t="str">
        <f>Sites[[#This Row],[SOL'#]]</f>
        <v>SOL-11012</v>
      </c>
      <c r="D112" s="67">
        <f>SUM(Apr!D112, May!D112, Jun!D112)</f>
        <v>2646472.81</v>
      </c>
      <c r="E112" s="11">
        <f>SUM(Apr!E112, May!E112, Jun!E112)</f>
        <v>2600835.2999999998</v>
      </c>
      <c r="F112" s="11">
        <f t="shared" si="11"/>
        <v>45637.510000000242</v>
      </c>
      <c r="G112" s="68">
        <f t="shared" si="12"/>
        <v>1.7547251069685285E-2</v>
      </c>
      <c r="H112" s="13">
        <f>SUM(Apr!H112, May!H112, Jun!H112)</f>
        <v>2919886.5</v>
      </c>
      <c r="I112" s="13">
        <f>SUM(Apr!I112, May!I112, Jun!I112)</f>
        <v>-273413.69000000006</v>
      </c>
      <c r="J112" s="14">
        <f t="shared" si="13"/>
        <v>-9.3638465056775338E-2</v>
      </c>
      <c r="K112" s="14">
        <f>IFERROR(AVERAGE(Apr!K112,May!K112,Jun!K112),"")</f>
        <v>0.99849850000000007</v>
      </c>
      <c r="L112" s="38"/>
      <c r="M112" s="38"/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SUM(Apr!D113, May!D113, Jun!D113)</f>
        <v>12011</v>
      </c>
      <c r="E113" s="15">
        <f>SUM(Apr!E113, May!E113, Jun!E113)</f>
        <v>16851.010000000002</v>
      </c>
      <c r="F113" s="15">
        <f t="shared" si="11"/>
        <v>-4840.010000000002</v>
      </c>
      <c r="G113" s="16">
        <f t="shared" si="12"/>
        <v>-0.28722373317682448</v>
      </c>
      <c r="H113" s="17">
        <f>SUM(Apr!H113, May!H113, Jun!H113)</f>
        <v>15249.407999999999</v>
      </c>
      <c r="I113" s="17">
        <f>SUM(Apr!I113, May!I113, Jun!I113)</f>
        <v>-3238.4080000000004</v>
      </c>
      <c r="J113" s="16">
        <f t="shared" si="13"/>
        <v>-0.21236286680768202</v>
      </c>
      <c r="K113" s="14">
        <f>IFERROR(AVERAGE(Apr!K113,May!K113,Jun!K113),"")</f>
        <v>0.99967320000000004</v>
      </c>
      <c r="L113" s="39"/>
      <c r="M113" s="39"/>
    </row>
    <row r="114" spans="1:13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67">
        <f>SUM(Apr!D114, May!D114, Jun!D114)</f>
        <v>30409.1899999999</v>
      </c>
      <c r="E114" s="11">
        <f>SUM(Apr!E114, May!E114, Jun!E114)</f>
        <v>41832.61</v>
      </c>
      <c r="F114" s="11">
        <f t="shared" ref="F114:F160" si="14">IF(AND(ISNUMBER(D114),ISNUMBER(E114)), D114-E114, "")</f>
        <v>-11423.4200000001</v>
      </c>
      <c r="G114" s="68">
        <f t="shared" ref="G114:G160" si="15">IFERROR(F114/E114, "")</f>
        <v>-0.27307452248377762</v>
      </c>
      <c r="H114" s="13">
        <f>SUM(Apr!H114, May!H114, Jun!H114)</f>
        <v>35534.28</v>
      </c>
      <c r="I114" s="13">
        <f>SUM(Apr!I114, May!I114, Jun!I114)</f>
        <v>-5125.0900000000984</v>
      </c>
      <c r="J114" s="14">
        <f t="shared" si="13"/>
        <v>-0.1442294595528627</v>
      </c>
      <c r="K114" s="14">
        <f>IFERROR(AVERAGE(Apr!K114,May!K114,Jun!K114),"")</f>
        <v>0.99973543333333337</v>
      </c>
      <c r="L114" s="38"/>
      <c r="M114" s="38"/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SUM(Apr!D115, May!D115, Jun!D115)</f>
        <v>4929</v>
      </c>
      <c r="E115" s="15">
        <f>SUM(Apr!E115, May!E115, Jun!E115)</f>
        <v>5266.1530000000002</v>
      </c>
      <c r="F115" s="15">
        <f t="shared" si="14"/>
        <v>-337.15300000000025</v>
      </c>
      <c r="G115" s="16">
        <f t="shared" si="15"/>
        <v>-6.4022636638168359E-2</v>
      </c>
      <c r="H115" s="17">
        <f>SUM(Apr!H115, May!H115, Jun!H115)</f>
        <v>5445.1840000000002</v>
      </c>
      <c r="I115" s="17">
        <f>SUM(Apr!I115, May!I115, Jun!I115)</f>
        <v>-516.1840000000002</v>
      </c>
      <c r="J115" s="16">
        <f t="shared" si="13"/>
        <v>-9.4796429285034289E-2</v>
      </c>
      <c r="K115" s="14" t="str">
        <f>IFERROR(AVERAGE(Apr!K115,May!K115,Jun!K115),"")</f>
        <v/>
      </c>
      <c r="L115" s="39"/>
      <c r="M115" s="40"/>
    </row>
    <row r="116" spans="1:13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67">
        <f>SUM(Apr!D116, May!D116, Jun!D116)</f>
        <v>4380</v>
      </c>
      <c r="E116" s="11">
        <f>SUM(Apr!E116, May!E116, Jun!E116)</f>
        <v>4650.558</v>
      </c>
      <c r="F116" s="11">
        <f t="shared" si="14"/>
        <v>-270.55799999999999</v>
      </c>
      <c r="G116" s="68">
        <f t="shared" si="15"/>
        <v>-5.8177534824853272E-2</v>
      </c>
      <c r="H116" s="13">
        <f>SUM(Apr!H116, May!H116, Jun!H116)</f>
        <v>5571.7119999999995</v>
      </c>
      <c r="I116" s="13">
        <f>SUM(Apr!I116, May!I116, Jun!I116)</f>
        <v>-1191.712</v>
      </c>
      <c r="J116" s="14">
        <f t="shared" si="13"/>
        <v>-0.21388614486893798</v>
      </c>
      <c r="K116" s="14" t="str">
        <f>IFERROR(AVERAGE(Apr!K116,May!K116,Jun!K116),"")</f>
        <v/>
      </c>
      <c r="L116" s="38"/>
      <c r="M116" s="38"/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SUM(Apr!D117, May!D117, Jun!D117)</f>
        <v>5506</v>
      </c>
      <c r="E117" s="15">
        <f>SUM(Apr!E117, May!E117, Jun!E117)</f>
        <v>5402.9269999999997</v>
      </c>
      <c r="F117" s="15">
        <f t="shared" si="14"/>
        <v>103.07300000000032</v>
      </c>
      <c r="G117" s="16">
        <f t="shared" si="15"/>
        <v>1.9077252015435399E-2</v>
      </c>
      <c r="H117" s="17">
        <f>SUM(Apr!H117, May!H117, Jun!H117)</f>
        <v>5777</v>
      </c>
      <c r="I117" s="17">
        <f>SUM(Apr!I117, May!I117, Jun!I117)</f>
        <v>-271</v>
      </c>
      <c r="J117" s="16">
        <f t="shared" si="13"/>
        <v>-4.6910160983209277E-2</v>
      </c>
      <c r="K117" s="14" t="str">
        <f>IFERROR(AVERAGE(Apr!K117,May!K117,Jun!K117),"")</f>
        <v/>
      </c>
      <c r="L117" s="39"/>
      <c r="M117" s="40"/>
    </row>
    <row r="118" spans="1:13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67">
        <f>SUM(Apr!D118, May!D118, Jun!D118)</f>
        <v>55501</v>
      </c>
      <c r="E118" s="11">
        <f>SUM(Apr!E118, May!E118, Jun!E118)</f>
        <v>68708.872999999992</v>
      </c>
      <c r="F118" s="11">
        <f t="shared" si="14"/>
        <v>-13207.872999999992</v>
      </c>
      <c r="G118" s="68">
        <f t="shared" si="15"/>
        <v>-0.19222951015365938</v>
      </c>
      <c r="H118" s="13">
        <f>SUM(Apr!H118, May!H118, Jun!H118)</f>
        <v>15096.870999999999</v>
      </c>
      <c r="I118" s="13">
        <f>SUM(Apr!I118, May!I118, Jun!I118)</f>
        <v>40404.129000000001</v>
      </c>
      <c r="J118" s="14">
        <f t="shared" si="13"/>
        <v>2.6763247165588155</v>
      </c>
      <c r="K118" s="14" t="str">
        <f>IFERROR(AVERAGE(Apr!K118,May!K118,Jun!K118),"")</f>
        <v/>
      </c>
      <c r="L118" s="38"/>
      <c r="M118" s="38"/>
    </row>
    <row r="119" spans="1:13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SUM(Apr!D119, May!D119, Jun!D119)</f>
        <v>158538</v>
      </c>
      <c r="E119" s="15">
        <f>SUM(Apr!E119, May!E119, Jun!E119)</f>
        <v>0</v>
      </c>
      <c r="F119" s="15">
        <f t="shared" si="14"/>
        <v>158538</v>
      </c>
      <c r="G119" s="16" t="str">
        <f t="shared" si="15"/>
        <v/>
      </c>
      <c r="H119" s="17">
        <f>SUM(Apr!H119, May!H119, Jun!H119)</f>
        <v>153579.11199999999</v>
      </c>
      <c r="I119" s="17">
        <f>SUM(Apr!I119, May!I119, Jun!I119)</f>
        <v>4958.887999999999</v>
      </c>
      <c r="J119" s="16">
        <f t="shared" si="13"/>
        <v>3.2288818026243039E-2</v>
      </c>
      <c r="K119" s="14" t="str">
        <f>IFERROR(AVERAGE(Apr!K119,May!K119,Jun!K119),"")</f>
        <v/>
      </c>
      <c r="L119" s="39"/>
      <c r="M119" s="40"/>
    </row>
    <row r="120" spans="1:13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67">
        <f>SUM(Apr!D120, May!D120, Jun!D120)</f>
        <v>106086</v>
      </c>
      <c r="E120" s="11">
        <f>SUM(Apr!E120, May!E120, Jun!E120)</f>
        <v>105952.91500000001</v>
      </c>
      <c r="F120" s="11">
        <f t="shared" si="14"/>
        <v>133.08499999999185</v>
      </c>
      <c r="G120" s="68">
        <f t="shared" si="15"/>
        <v>1.2560768148756629E-3</v>
      </c>
      <c r="H120" s="13">
        <f>SUM(Apr!H120, May!H120, Jun!H120)</f>
        <v>113645.466</v>
      </c>
      <c r="I120" s="13">
        <f>SUM(Apr!I120, May!I120, Jun!I120)</f>
        <v>-7559.4660000000003</v>
      </c>
      <c r="J120" s="14">
        <f t="shared" si="13"/>
        <v>-6.6517972657175781E-2</v>
      </c>
      <c r="K120" s="14" t="str">
        <f>IFERROR(AVERAGE(Apr!K120,May!K120,Jun!K120),"")</f>
        <v/>
      </c>
      <c r="L120" s="38"/>
      <c r="M120" s="38"/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SUM(Apr!D121, May!D121, Jun!D121)</f>
        <v>39523</v>
      </c>
      <c r="E121" s="15">
        <f>SUM(Apr!E121, May!E121, Jun!E121)</f>
        <v>34836.191999999995</v>
      </c>
      <c r="F121" s="15">
        <f t="shared" si="14"/>
        <v>4686.8080000000045</v>
      </c>
      <c r="G121" s="16">
        <f t="shared" si="15"/>
        <v>0.13453847079497108</v>
      </c>
      <c r="H121" s="17">
        <f>SUM(Apr!H121, May!H121, Jun!H121)</f>
        <v>40916.604999999996</v>
      </c>
      <c r="I121" s="17">
        <f>SUM(Apr!I121, May!I121, Jun!I121)</f>
        <v>-1393.6049999999996</v>
      </c>
      <c r="J121" s="16">
        <f t="shared" si="13"/>
        <v>-3.4059644000278118E-2</v>
      </c>
      <c r="K121" s="14" t="str">
        <f>IFERROR(AVERAGE(Apr!K121,May!K121,Jun!K121),"")</f>
        <v/>
      </c>
      <c r="L121" s="39"/>
      <c r="M121" s="40"/>
    </row>
    <row r="122" spans="1:13" ht="15.6">
      <c r="A122" s="25" t="str">
        <v>Waipahu</v>
      </c>
      <c r="B122" s="26" t="str">
        <v>HI</v>
      </c>
      <c r="C122" s="26" t="str">
        <f>Sites[[#This Row],[SOL'#]]</f>
        <v>SOL-10068</v>
      </c>
      <c r="D122" s="67">
        <f>SUM(Apr!D122, May!D122, Jun!D122)</f>
        <v>39888</v>
      </c>
      <c r="E122" s="11">
        <f>SUM(Apr!E122, May!E122, Jun!E122)</f>
        <v>32373.629999999997</v>
      </c>
      <c r="F122" s="11">
        <f t="shared" si="14"/>
        <v>7514.3700000000026</v>
      </c>
      <c r="G122" s="68">
        <f t="shared" si="15"/>
        <v>0.23211391493632327</v>
      </c>
      <c r="H122" s="13">
        <f>SUM(Apr!H122, May!H122, Jun!H122)</f>
        <v>40908.604999999996</v>
      </c>
      <c r="I122" s="13">
        <f>SUM(Apr!I122, May!I122, Jun!I122)</f>
        <v>-1020.6049999999996</v>
      </c>
      <c r="J122" s="14">
        <f t="shared" si="13"/>
        <v>-2.4948418553993705E-2</v>
      </c>
      <c r="K122" s="14" t="str">
        <f>IFERROR(AVERAGE(Apr!K122,May!K122,Jun!K122),"")</f>
        <v/>
      </c>
      <c r="L122" s="38"/>
      <c r="M122" s="38"/>
    </row>
    <row r="123" spans="1:13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SUM(Apr!D123, May!D123, Jun!D123)</f>
        <v>475486</v>
      </c>
      <c r="E123" s="15">
        <f>SUM(Apr!E123, May!E123, Jun!E123)</f>
        <v>517562.80000000005</v>
      </c>
      <c r="F123" s="15">
        <f t="shared" si="14"/>
        <v>-42076.800000000047</v>
      </c>
      <c r="G123" s="16">
        <f t="shared" si="15"/>
        <v>-8.1297960363457419E-2</v>
      </c>
      <c r="H123" s="17">
        <f>SUM(Apr!H123, May!H123, Jun!H123)</f>
        <v>546736.6</v>
      </c>
      <c r="I123" s="17">
        <f>SUM(Apr!I123, May!I123, Jun!I123)</f>
        <v>-71250.600000000006</v>
      </c>
      <c r="J123" s="16">
        <f t="shared" si="13"/>
        <v>-0.13031979201685054</v>
      </c>
      <c r="K123" s="14" t="str">
        <f>IFERROR(AVERAGE(Apr!K123,May!K123,Jun!K123),"")</f>
        <v/>
      </c>
      <c r="L123" s="39"/>
      <c r="M123" s="40"/>
    </row>
    <row r="124" spans="1:13" ht="15.6">
      <c r="A124" s="25" t="str">
        <v>Shortal</v>
      </c>
      <c r="B124" s="26" t="str">
        <v>MD</v>
      </c>
      <c r="C124" s="26" t="str">
        <f>Sites[[#This Row],[SOL'#]]</f>
        <v>SOL-10091</v>
      </c>
      <c r="D124" s="67">
        <f>SUM(Apr!D124, May!D124, Jun!D124)</f>
        <v>526782</v>
      </c>
      <c r="E124" s="11">
        <f>SUM(Apr!E124, May!E124, Jun!E124)</f>
        <v>534090.19999999995</v>
      </c>
      <c r="F124" s="11">
        <f t="shared" si="14"/>
        <v>-7308.1999999999534</v>
      </c>
      <c r="G124" s="68">
        <f t="shared" si="15"/>
        <v>-1.3683456464844241E-2</v>
      </c>
      <c r="H124" s="13">
        <f>SUM(Apr!H124, May!H124, Jun!H124)</f>
        <v>33134.32</v>
      </c>
      <c r="I124" s="13">
        <f>SUM(Apr!I124, May!I124, Jun!I124)</f>
        <v>493647.68000000005</v>
      </c>
      <c r="J124" s="14">
        <f t="shared" si="13"/>
        <v>14.89837968607776</v>
      </c>
      <c r="K124" s="14" t="str">
        <f>IFERROR(AVERAGE(Apr!K124,May!K124,Jun!K124),"")</f>
        <v/>
      </c>
      <c r="L124" s="38"/>
      <c r="M124" s="38"/>
    </row>
    <row r="125" spans="1:13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SUM(Apr!D125, May!D125, Jun!D125)</f>
        <v>58443</v>
      </c>
      <c r="E125" s="15">
        <f>SUM(Apr!E125, May!E125, Jun!E125)</f>
        <v>53938.48</v>
      </c>
      <c r="F125" s="15">
        <f t="shared" si="14"/>
        <v>4504.5199999999968</v>
      </c>
      <c r="G125" s="16">
        <f t="shared" si="15"/>
        <v>8.3512179060292333E-2</v>
      </c>
      <c r="H125" s="17">
        <f>SUM(Apr!H125, May!H125, Jun!H125)</f>
        <v>66386</v>
      </c>
      <c r="I125" s="17">
        <f>SUM(Apr!I125, May!I125, Jun!I125)</f>
        <v>-7943</v>
      </c>
      <c r="J125" s="16">
        <f t="shared" si="13"/>
        <v>-0.11964872111589793</v>
      </c>
      <c r="K125" s="14" t="str">
        <f>IFERROR(AVERAGE(Apr!K125,May!K125,Jun!K125),"")</f>
        <v/>
      </c>
      <c r="L125" s="39"/>
      <c r="M125" s="39"/>
    </row>
    <row r="126" spans="1:13" ht="15.6">
      <c r="A126" s="25" t="str">
        <v>Bayamon</v>
      </c>
      <c r="B126" s="26" t="str">
        <v>PR</v>
      </c>
      <c r="C126" s="26" t="str">
        <f>Sites[[#This Row],[SOL'#]]</f>
        <v>SOL-10073</v>
      </c>
      <c r="D126" s="67">
        <f>SUM(Apr!D126, May!D126, Jun!D126)</f>
        <v>206287</v>
      </c>
      <c r="E126" s="11">
        <f>SUM(Apr!E126, May!E126, Jun!E126)</f>
        <v>223052.32</v>
      </c>
      <c r="F126" s="11">
        <f t="shared" si="14"/>
        <v>-16765.320000000007</v>
      </c>
      <c r="G126" s="68">
        <f t="shared" si="15"/>
        <v>-7.5163172478995094E-2</v>
      </c>
      <c r="H126" s="13">
        <f>SUM(Apr!H126, May!H126, Jun!H126)</f>
        <v>0</v>
      </c>
      <c r="I126" s="13">
        <f>SUM(Apr!I126, May!I126, Jun!I126)</f>
        <v>206287</v>
      </c>
      <c r="J126" s="14" t="str">
        <f t="shared" si="13"/>
        <v/>
      </c>
      <c r="K126" s="14" t="str">
        <f>IFERROR(AVERAGE(Apr!K126,May!K126,Jun!K126),"")</f>
        <v/>
      </c>
      <c r="L126" s="38"/>
      <c r="M126" s="38"/>
    </row>
    <row r="127" spans="1:13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SUM(Apr!D127, May!D127, Jun!D127)</f>
        <v>65018.75</v>
      </c>
      <c r="E127" s="15">
        <f>SUM(Apr!E127, May!E127, Jun!E127)</f>
        <v>140211.66999999998</v>
      </c>
      <c r="F127" s="15">
        <f t="shared" si="14"/>
        <v>-75192.919999999984</v>
      </c>
      <c r="G127" s="16">
        <f t="shared" si="15"/>
        <v>-0.53628146644284314</v>
      </c>
      <c r="H127" s="17">
        <f>SUM(Apr!H127, May!H127, Jun!H127)</f>
        <v>98294</v>
      </c>
      <c r="I127" s="17">
        <f>SUM(Apr!I127, May!I127, Jun!I127)</f>
        <v>-33275.25</v>
      </c>
      <c r="J127" s="16">
        <f t="shared" si="13"/>
        <v>-0.33852778399495392</v>
      </c>
      <c r="K127" s="14" t="str">
        <f>IFERROR(AVERAGE(Apr!K127,May!K127,Jun!K127),"")</f>
        <v/>
      </c>
      <c r="L127" s="39"/>
      <c r="M127" s="40"/>
    </row>
    <row r="128" spans="1:13" ht="15.6">
      <c r="A128" s="25" t="str">
        <v>Seaport</v>
      </c>
      <c r="B128" s="26" t="str">
        <v>MA</v>
      </c>
      <c r="C128" s="26" t="str">
        <f>Sites[[#This Row],[SOL'#]]</f>
        <v>SOL-10772</v>
      </c>
      <c r="D128" s="67">
        <f>SUM(Apr!D128, May!D128, Jun!D128)</f>
        <v>226110</v>
      </c>
      <c r="E128" s="11">
        <f>SUM(Apr!E128, May!E128, Jun!E128)</f>
        <v>210429.07</v>
      </c>
      <c r="F128" s="11">
        <f t="shared" si="14"/>
        <v>15680.929999999993</v>
      </c>
      <c r="G128" s="68">
        <f t="shared" si="15"/>
        <v>7.4518839055839545E-2</v>
      </c>
      <c r="H128" s="13">
        <f>SUM(Apr!H128, May!H128, Jun!H128)</f>
        <v>239587.29</v>
      </c>
      <c r="I128" s="13">
        <f>SUM(Apr!I128, May!I128, Jun!I128)</f>
        <v>-13477.290000000008</v>
      </c>
      <c r="J128" s="14">
        <f t="shared" si="13"/>
        <v>-5.6252107530412016E-2</v>
      </c>
      <c r="K128" s="14" t="str">
        <f>IFERROR(AVERAGE(Apr!K128,May!K128,Jun!K128),"")</f>
        <v/>
      </c>
      <c r="L128" s="38"/>
      <c r="M128" s="38"/>
    </row>
    <row r="129" spans="1:13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SUM(Apr!D129, May!D129, Jun!D129)</f>
        <v>519857</v>
      </c>
      <c r="E129" s="15">
        <f>SUM(Apr!E129, May!E129, Jun!E129)</f>
        <v>514430.239</v>
      </c>
      <c r="F129" s="15">
        <f t="shared" si="14"/>
        <v>5426.7609999999986</v>
      </c>
      <c r="G129" s="16">
        <f t="shared" si="15"/>
        <v>1.0549070774978294E-2</v>
      </c>
      <c r="H129" s="17">
        <f>SUM(Apr!H129, May!H129, Jun!H129)</f>
        <v>526200.30900000001</v>
      </c>
      <c r="I129" s="17">
        <f>SUM(Apr!I129, May!I129, Jun!I129)</f>
        <v>-6343.3090000000084</v>
      </c>
      <c r="J129" s="16">
        <f t="shared" si="13"/>
        <v>-1.205493210761305E-2</v>
      </c>
      <c r="K129" s="14" t="str">
        <f>IFERROR(AVERAGE(Apr!K129,May!K129,Jun!K129),"")</f>
        <v/>
      </c>
      <c r="L129" s="39"/>
      <c r="M129" s="40"/>
    </row>
    <row r="130" spans="1:13" ht="15.6">
      <c r="A130" s="25" t="str">
        <v>Summer St</v>
      </c>
      <c r="B130" s="26" t="str">
        <v>MA</v>
      </c>
      <c r="C130" s="26" t="str">
        <f>Sites[[#This Row],[SOL'#]]</f>
        <v>SOL-10764</v>
      </c>
      <c r="D130" s="67">
        <f>SUM(Apr!D130, May!D130, Jun!D130)</f>
        <v>1045364</v>
      </c>
      <c r="E130" s="11">
        <f>SUM(Apr!E130, May!E130, Jun!E130)</f>
        <v>1095418.2</v>
      </c>
      <c r="F130" s="11">
        <f t="shared" si="14"/>
        <v>-50054.199999999953</v>
      </c>
      <c r="G130" s="68">
        <f t="shared" si="15"/>
        <v>-4.5694146765134953E-2</v>
      </c>
      <c r="H130" s="13">
        <f>SUM(Apr!H130, May!H130, Jun!H130)</f>
        <v>1123582.1000000001</v>
      </c>
      <c r="I130" s="13">
        <f>SUM(Apr!I130, May!I130, Jun!I130)</f>
        <v>-78218.099999999977</v>
      </c>
      <c r="J130" s="14">
        <f t="shared" si="13"/>
        <v>-6.9614939575844054E-2</v>
      </c>
      <c r="K130" s="14" t="str">
        <f>IFERROR(AVERAGE(Apr!K130,May!K130,Jun!K130),"")</f>
        <v/>
      </c>
      <c r="L130" s="38"/>
      <c r="M130" s="38"/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SUM(Apr!D131, May!D131, Jun!D131)</f>
        <v>46907.4724262737</v>
      </c>
      <c r="E131" s="15">
        <f>SUM(Apr!E131, May!E131, Jun!E131)</f>
        <v>46346.36</v>
      </c>
      <c r="F131" s="15">
        <f t="shared" si="14"/>
        <v>561.11242627369938</v>
      </c>
      <c r="G131" s="16">
        <f t="shared" si="15"/>
        <v>1.210693625720983E-2</v>
      </c>
      <c r="H131" s="17">
        <f>SUM(Apr!H131, May!H131, Jun!H131)</f>
        <v>42815.26</v>
      </c>
      <c r="I131" s="17">
        <f>SUM(Apr!I131, May!I131, Jun!I131)</f>
        <v>4092.2124262736997</v>
      </c>
      <c r="J131" s="16">
        <f t="shared" si="13"/>
        <v>9.5578362160446989E-2</v>
      </c>
      <c r="K131" s="14" t="str">
        <f>IFERROR(AVERAGE(Apr!K131,May!K131,Jun!K131),"")</f>
        <v/>
      </c>
      <c r="L131" s="39"/>
      <c r="M131" s="40"/>
    </row>
    <row r="132" spans="1:13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67">
        <f>SUM(Apr!D132, May!D132, Jun!D132)</f>
        <v>33962.623</v>
      </c>
      <c r="E132" s="11">
        <f>SUM(Apr!E132, May!E132, Jun!E132)</f>
        <v>36810</v>
      </c>
      <c r="F132" s="11">
        <f t="shared" si="14"/>
        <v>-2847.3770000000004</v>
      </c>
      <c r="G132" s="68">
        <f t="shared" si="15"/>
        <v>-7.7353355066558008E-2</v>
      </c>
      <c r="H132" s="13">
        <f>SUM(Apr!H132, May!H132, Jun!H132)</f>
        <v>32280.5</v>
      </c>
      <c r="I132" s="13">
        <f>SUM(Apr!I132, May!I132, Jun!I132)</f>
        <v>1682.1229999999996</v>
      </c>
      <c r="J132" s="14">
        <f t="shared" si="13"/>
        <v>5.2109570793513096E-2</v>
      </c>
      <c r="K132" s="14" t="str">
        <f>IFERROR(AVERAGE(Apr!K132,May!K132,Jun!K132),"")</f>
        <v/>
      </c>
      <c r="L132" s="38"/>
      <c r="M132" s="38"/>
    </row>
    <row r="133" spans="1:13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SUM(Apr!D133, May!D133, Jun!D133)</f>
        <v>29447</v>
      </c>
      <c r="E133" s="15">
        <f>SUM(Apr!E133, May!E133, Jun!E133)</f>
        <v>21930</v>
      </c>
      <c r="F133" s="15">
        <f t="shared" si="14"/>
        <v>7517</v>
      </c>
      <c r="G133" s="16">
        <f t="shared" si="15"/>
        <v>0.34277245782033744</v>
      </c>
      <c r="H133" s="17">
        <f>SUM(Apr!H133, May!H133, Jun!H133)</f>
        <v>27182</v>
      </c>
      <c r="I133" s="17">
        <f>SUM(Apr!I133, May!I133, Jun!I133)</f>
        <v>2265</v>
      </c>
      <c r="J133" s="16">
        <f t="shared" si="13"/>
        <v>8.3327201824736963E-2</v>
      </c>
      <c r="K133" s="14" t="str">
        <f>IFERROR(AVERAGE(Apr!K133,May!K133,Jun!K133),"")</f>
        <v/>
      </c>
      <c r="L133" s="39"/>
      <c r="M133" s="40"/>
    </row>
    <row r="134" spans="1:13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67">
        <f>SUM(Apr!D134, May!D134, Jun!D134)</f>
        <v>115297.625</v>
      </c>
      <c r="E134" s="11">
        <f>SUM(Apr!E134, May!E134, Jun!E134)</f>
        <v>103496.432</v>
      </c>
      <c r="F134" s="11">
        <f t="shared" si="14"/>
        <v>11801.192999999999</v>
      </c>
      <c r="G134" s="68">
        <f t="shared" si="15"/>
        <v>0.11402511924275804</v>
      </c>
      <c r="H134" s="13">
        <f>SUM(Apr!H134, May!H134, Jun!H134)</f>
        <v>49195.452000000005</v>
      </c>
      <c r="I134" s="13">
        <f>SUM(Apr!I134, May!I134, Jun!I134)</f>
        <v>66102.172999999995</v>
      </c>
      <c r="J134" s="14">
        <f t="shared" si="13"/>
        <v>1.3436643086438151</v>
      </c>
      <c r="K134" s="14" t="str">
        <f>IFERROR(AVERAGE(Apr!K134,May!K134,Jun!K134),"")</f>
        <v/>
      </c>
      <c r="L134" s="38"/>
      <c r="M134" s="38"/>
    </row>
    <row r="135" spans="1:13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SUM(Apr!D135, May!D135, Jun!D135)</f>
        <v>101311</v>
      </c>
      <c r="E135" s="15">
        <f>SUM(Apr!E135, May!E135, Jun!E135)</f>
        <v>103817.2</v>
      </c>
      <c r="F135" s="15">
        <f t="shared" si="14"/>
        <v>-2506.1999999999971</v>
      </c>
      <c r="G135" s="16">
        <f t="shared" si="15"/>
        <v>-2.4140508509187274E-2</v>
      </c>
      <c r="H135" s="17">
        <f>SUM(Apr!H135, May!H135, Jun!H135)</f>
        <v>101804.29000000001</v>
      </c>
      <c r="I135" s="17">
        <f>SUM(Apr!I135, May!I135, Jun!I135)</f>
        <v>-493.29000000000087</v>
      </c>
      <c r="J135" s="16">
        <f t="shared" si="13"/>
        <v>-4.8454736043048955E-3</v>
      </c>
      <c r="K135" s="14" t="str">
        <f>IFERROR(AVERAGE(Apr!K135,May!K135,Jun!K135),"")</f>
        <v/>
      </c>
      <c r="L135" s="39"/>
      <c r="M135" s="40"/>
    </row>
    <row r="136" spans="1:13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67">
        <f>SUM(Apr!D136, May!D136, Jun!D136)</f>
        <v>99769</v>
      </c>
      <c r="E136" s="11">
        <f>SUM(Apr!E136, May!E136, Jun!E136)</f>
        <v>105292</v>
      </c>
      <c r="F136" s="11">
        <f t="shared" si="14"/>
        <v>-5523</v>
      </c>
      <c r="G136" s="68">
        <f t="shared" si="15"/>
        <v>-5.2454127569046084E-2</v>
      </c>
      <c r="H136" s="13">
        <f>SUM(Apr!H136, May!H136, Jun!H136)</f>
        <v>99721</v>
      </c>
      <c r="I136" s="13">
        <f>SUM(Apr!I136, May!I136, Jun!I136)</f>
        <v>48</v>
      </c>
      <c r="J136" s="14">
        <f t="shared" si="13"/>
        <v>4.8134294682163233E-4</v>
      </c>
      <c r="K136" s="14" t="str">
        <f>IFERROR(AVERAGE(Apr!K136,May!K136,Jun!K136),"")</f>
        <v/>
      </c>
      <c r="L136" s="38"/>
      <c r="M136" s="38"/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SUM(Apr!D137, May!D137, Jun!D137)</f>
        <v>51023.818402841302</v>
      </c>
      <c r="E137" s="15">
        <f>SUM(Apr!E137, May!E137, Jun!E137)</f>
        <v>44687.05</v>
      </c>
      <c r="F137" s="15">
        <f t="shared" si="14"/>
        <v>6336.7684028412987</v>
      </c>
      <c r="G137" s="16">
        <f t="shared" si="15"/>
        <v>0.14180323836192585</v>
      </c>
      <c r="H137" s="17">
        <f>SUM(Apr!H137, May!H137, Jun!H137)</f>
        <v>49348.91</v>
      </c>
      <c r="I137" s="17">
        <f>SUM(Apr!I137, May!I137, Jun!I137)</f>
        <v>1674.9084028412999</v>
      </c>
      <c r="J137" s="16">
        <f t="shared" si="13"/>
        <v>3.3940129636932201E-2</v>
      </c>
      <c r="K137" s="14" t="str">
        <f>IFERROR(AVERAGE(Apr!K137,May!K137,Jun!K137),"")</f>
        <v/>
      </c>
      <c r="L137" s="39"/>
      <c r="M137" s="40"/>
    </row>
    <row r="138" spans="1:13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67">
        <f>SUM(Apr!D138, May!D138, Jun!D138)</f>
        <v>1676090.4</v>
      </c>
      <c r="E138" s="11">
        <f>SUM(Apr!E138, May!E138, Jun!E138)</f>
        <v>0</v>
      </c>
      <c r="F138" s="11">
        <f t="shared" si="14"/>
        <v>1676090.4</v>
      </c>
      <c r="G138" s="68" t="str">
        <f t="shared" si="15"/>
        <v/>
      </c>
      <c r="H138" s="13">
        <f>SUM(Apr!H138, May!H138, Jun!H138)</f>
        <v>0</v>
      </c>
      <c r="I138" s="13">
        <f>SUM(Apr!I138, May!I138, Jun!I138)</f>
        <v>1676090.4</v>
      </c>
      <c r="J138" s="14" t="str">
        <f t="shared" si="13"/>
        <v/>
      </c>
      <c r="K138" s="14" t="str">
        <f>IFERROR(AVERAGE(Apr!K138,May!K138,Jun!K138),"")</f>
        <v/>
      </c>
      <c r="L138" s="38"/>
      <c r="M138" s="38"/>
    </row>
    <row r="139" spans="1:13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SUM(Apr!D139, May!D139, Jun!D139)</f>
        <v>3021643.4</v>
      </c>
      <c r="E139" s="15">
        <f>SUM(Apr!E139, May!E139, Jun!E139)</f>
        <v>0</v>
      </c>
      <c r="F139" s="15">
        <f t="shared" si="14"/>
        <v>3021643.4</v>
      </c>
      <c r="G139" s="16" t="str">
        <f t="shared" si="15"/>
        <v/>
      </c>
      <c r="H139" s="17">
        <f>SUM(Apr!H139, May!H139, Jun!H139)</f>
        <v>0</v>
      </c>
      <c r="I139" s="17">
        <f>SUM(Apr!I139, May!I139, Jun!I139)</f>
        <v>3021643.4</v>
      </c>
      <c r="J139" s="16" t="str">
        <f t="shared" si="13"/>
        <v/>
      </c>
      <c r="K139" s="14" t="str">
        <f>IFERROR(AVERAGE(Apr!K139,May!K139,Jun!K139),"")</f>
        <v/>
      </c>
      <c r="L139" s="39"/>
      <c r="M139" s="40"/>
    </row>
    <row r="140" spans="1:13" ht="15.6">
      <c r="A140" s="25" t="str">
        <v>Reisender</v>
      </c>
      <c r="B140" s="26" t="str">
        <v>NY</v>
      </c>
      <c r="C140" s="26" t="str">
        <f>Sites[[#This Row],[SOL'#]]</f>
        <v>SOL-10886</v>
      </c>
      <c r="D140" s="67">
        <f>SUM(Apr!D140, May!D140, Jun!D140)</f>
        <v>391080</v>
      </c>
      <c r="E140" s="11">
        <f>SUM(Apr!E140, May!E140, Jun!E140)</f>
        <v>392206</v>
      </c>
      <c r="F140" s="11">
        <f t="shared" si="14"/>
        <v>-1126</v>
      </c>
      <c r="G140" s="68">
        <f t="shared" si="15"/>
        <v>-2.8709402711840208E-3</v>
      </c>
      <c r="H140" s="13">
        <f>SUM(Apr!H140, May!H140, Jun!H140)</f>
        <v>381489</v>
      </c>
      <c r="I140" s="13">
        <f>SUM(Apr!I140, May!I140, Jun!I140)</f>
        <v>9591</v>
      </c>
      <c r="J140" s="14">
        <f t="shared" si="13"/>
        <v>2.5140960814073274E-2</v>
      </c>
      <c r="K140" s="14" t="str">
        <f>IFERROR(AVERAGE(Apr!K140,May!K140,Jun!K140),"")</f>
        <v/>
      </c>
      <c r="L140" s="38"/>
      <c r="M140" s="38"/>
    </row>
    <row r="141" spans="1:13" ht="15.6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f>SUM(Apr!D141, May!D141, Jun!D141)</f>
        <v>316580</v>
      </c>
      <c r="E141" s="15">
        <f>SUM(Apr!E141, May!E141, Jun!E141)</f>
        <v>0</v>
      </c>
      <c r="F141" s="15">
        <f t="shared" si="14"/>
        <v>316580</v>
      </c>
      <c r="G141" s="16" t="str">
        <f t="shared" si="15"/>
        <v/>
      </c>
      <c r="H141" s="17">
        <f>SUM(Apr!H141, May!H141, Jun!H141)</f>
        <v>0</v>
      </c>
      <c r="I141" s="17">
        <f>SUM(Apr!I141, May!I141, Jun!I141)</f>
        <v>0</v>
      </c>
      <c r="J141" s="16" t="str">
        <f t="shared" si="13"/>
        <v/>
      </c>
      <c r="K141" s="14" t="str">
        <f>IFERROR(AVERAGE(Apr!K141,May!K141,Jun!K141),"")</f>
        <v/>
      </c>
      <c r="L141" s="39"/>
      <c r="M141" s="40"/>
    </row>
    <row r="142" spans="1:13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f>SUM(Apr!D142, May!D142, Jun!D142)</f>
        <v>426330</v>
      </c>
      <c r="E142" s="11">
        <f>SUM(Apr!E142, May!E142, Jun!E142)</f>
        <v>1050479.8</v>
      </c>
      <c r="F142" s="11">
        <f t="shared" si="14"/>
        <v>-624149.80000000005</v>
      </c>
      <c r="G142" s="68">
        <f t="shared" si="15"/>
        <v>-0.59415687955161067</v>
      </c>
      <c r="H142" s="13">
        <f>SUM(Apr!H142, May!H142, Jun!H142)</f>
        <v>1305424</v>
      </c>
      <c r="I142" s="13">
        <f>SUM(Apr!I142, May!I142, Jun!I142)</f>
        <v>-528544</v>
      </c>
      <c r="J142" s="14">
        <f t="shared" si="13"/>
        <v>-0.40488301119023395</v>
      </c>
      <c r="K142" s="14">
        <f>IFERROR(AVERAGE(Apr!K142,May!K142,Jun!K142),"")</f>
        <v>0.41882836666666662</v>
      </c>
      <c r="L142" s="38"/>
      <c r="M142" s="38"/>
    </row>
    <row r="143" spans="1:13" ht="15.6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f>SUM(Apr!D143, May!D143, Jun!D143)</f>
        <v>881988</v>
      </c>
      <c r="E143" s="15">
        <f>SUM(Apr!E143, May!E143, Jun!E143)</f>
        <v>0</v>
      </c>
      <c r="F143" s="15">
        <f t="shared" si="14"/>
        <v>881988</v>
      </c>
      <c r="G143" s="16" t="str">
        <f t="shared" si="15"/>
        <v/>
      </c>
      <c r="H143" s="17">
        <f>SUM(Apr!H143, May!H143, Jun!H143)</f>
        <v>0</v>
      </c>
      <c r="I143" s="17">
        <f>SUM(Apr!I143, May!I143, Jun!I143)</f>
        <v>881988</v>
      </c>
      <c r="J143" s="16" t="str">
        <f t="shared" si="13"/>
        <v/>
      </c>
      <c r="K143" s="14" t="str">
        <f>IFERROR(AVERAGE(Apr!K143,May!K143,Jun!K143),"")</f>
        <v/>
      </c>
      <c r="L143" s="39"/>
      <c r="M143" s="40"/>
    </row>
    <row r="144" spans="1:13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>
        <f>SUM(Apr!D144, May!D144, Jun!D144)</f>
        <v>404690</v>
      </c>
      <c r="E144" s="11">
        <f>SUM(Apr!E144, May!E144, Jun!E144)</f>
        <v>0</v>
      </c>
      <c r="F144" s="11">
        <f t="shared" si="14"/>
        <v>404690</v>
      </c>
      <c r="G144" s="68" t="str">
        <f t="shared" si="15"/>
        <v/>
      </c>
      <c r="H144" s="13">
        <f>SUM(Apr!H144, May!H144, Jun!H144)</f>
        <v>0</v>
      </c>
      <c r="I144" s="13">
        <f>SUM(Apr!I144, May!I144, Jun!I144)</f>
        <v>404690</v>
      </c>
      <c r="J144" s="14" t="str">
        <f t="shared" si="13"/>
        <v/>
      </c>
      <c r="K144" s="14" t="str">
        <f>IFERROR(AVERAGE(Apr!K144,May!K144,Jun!K144),"")</f>
        <v/>
      </c>
      <c r="L144" s="38"/>
      <c r="M144" s="38"/>
    </row>
    <row r="145" spans="1:13" ht="15.6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f>SUM(Apr!D145, May!D145, Jun!D145)</f>
        <v>334690</v>
      </c>
      <c r="E145" s="15">
        <f>SUM(Apr!E145, May!E145, Jun!E145)</f>
        <v>0</v>
      </c>
      <c r="F145" s="15">
        <f t="shared" si="14"/>
        <v>334690</v>
      </c>
      <c r="G145" s="16" t="str">
        <f t="shared" si="15"/>
        <v/>
      </c>
      <c r="H145" s="17">
        <f>SUM(Apr!H145, May!H145, Jun!H145)</f>
        <v>0</v>
      </c>
      <c r="I145" s="17">
        <f>SUM(Apr!I145, May!I145, Jun!I145)</f>
        <v>334690</v>
      </c>
      <c r="J145" s="16" t="str">
        <f t="shared" si="13"/>
        <v/>
      </c>
      <c r="K145" s="14" t="str">
        <f>IFERROR(AVERAGE(Apr!K145,May!K145,Jun!K145),"")</f>
        <v/>
      </c>
      <c r="L145" s="39"/>
      <c r="M145" s="40"/>
    </row>
    <row r="146" spans="1:13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>
        <f>SUM(Apr!D146, May!D146, Jun!D146)</f>
        <v>401940</v>
      </c>
      <c r="E146" s="11">
        <f>SUM(Apr!E146, May!E146, Jun!E146)</f>
        <v>401968</v>
      </c>
      <c r="F146" s="11">
        <f t="shared" si="14"/>
        <v>-28</v>
      </c>
      <c r="G146" s="68">
        <f t="shared" si="15"/>
        <v>-6.9657286152131518E-5</v>
      </c>
      <c r="H146" s="13">
        <f>SUM(Apr!H146, May!H146, Jun!H146)</f>
        <v>398278</v>
      </c>
      <c r="I146" s="13">
        <f>SUM(Apr!I146, May!I146, Jun!I146)</f>
        <v>3662</v>
      </c>
      <c r="J146" s="14">
        <f t="shared" ref="J146:J160" si="16">IFERROR(I146/H146, "")</f>
        <v>9.1945826784306448E-3</v>
      </c>
      <c r="K146" s="14" t="str">
        <f>IFERROR(AVERAGE(Apr!K146,May!K146,Jun!K146),"")</f>
        <v/>
      </c>
      <c r="L146" s="38"/>
      <c r="M146" s="38"/>
    </row>
    <row r="147" spans="1:13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f>SUM(Apr!D147, May!D147, Jun!D147)</f>
        <v>673297</v>
      </c>
      <c r="E147" s="15">
        <f>SUM(Apr!E147, May!E147, Jun!E147)</f>
        <v>683546</v>
      </c>
      <c r="F147" s="15">
        <f t="shared" si="14"/>
        <v>-10249</v>
      </c>
      <c r="G147" s="16">
        <f t="shared" si="15"/>
        <v>-1.499387020039617E-2</v>
      </c>
      <c r="H147" s="17">
        <f>SUM(Apr!H147, May!H147, Jun!H147)</f>
        <v>1048743</v>
      </c>
      <c r="I147" s="17">
        <f>SUM(Apr!I147, May!I147, Jun!I147)</f>
        <v>-375446</v>
      </c>
      <c r="J147" s="16">
        <f t="shared" si="16"/>
        <v>-0.3579961916313148</v>
      </c>
      <c r="K147" s="14" t="str">
        <f>IFERROR(AVERAGE(Apr!K147,May!K147,Jun!K147),"")</f>
        <v/>
      </c>
      <c r="L147" s="39"/>
      <c r="M147" s="40"/>
    </row>
    <row r="148" spans="1:13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>
        <f>SUM(Apr!D148, May!D148, Jun!D148)</f>
        <v>486584</v>
      </c>
      <c r="E148" s="11">
        <f>SUM(Apr!E148, May!E148, Jun!E148)</f>
        <v>509888</v>
      </c>
      <c r="F148" s="11">
        <f t="shared" si="14"/>
        <v>-23304</v>
      </c>
      <c r="G148" s="68">
        <f t="shared" si="15"/>
        <v>-4.5704154637881259E-2</v>
      </c>
      <c r="H148" s="13">
        <f>SUM(Apr!H148, May!H148, Jun!H148)</f>
        <v>522919</v>
      </c>
      <c r="I148" s="13">
        <f>SUM(Apr!I148, May!I148, Jun!I148)</f>
        <v>-36335</v>
      </c>
      <c r="J148" s="14">
        <f t="shared" si="16"/>
        <v>-6.9484948911781752E-2</v>
      </c>
      <c r="K148" s="14" t="str">
        <f>IFERROR(AVERAGE(Apr!K148,May!K148,Jun!K148),"")</f>
        <v/>
      </c>
      <c r="L148" s="38"/>
      <c r="M148" s="38"/>
    </row>
    <row r="149" spans="1:13" ht="15.6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f>SUM(Apr!D149, May!D149, Jun!D149)</f>
        <v>304918</v>
      </c>
      <c r="E149" s="15">
        <f>SUM(Apr!E149, May!E149, Jun!E149)</f>
        <v>0</v>
      </c>
      <c r="F149" s="15">
        <f t="shared" si="14"/>
        <v>304918</v>
      </c>
      <c r="G149" s="16" t="str">
        <f t="shared" si="15"/>
        <v/>
      </c>
      <c r="H149" s="17">
        <f>SUM(Apr!H149, May!H149, Jun!H149)</f>
        <v>0</v>
      </c>
      <c r="I149" s="17">
        <f>SUM(Apr!I149, May!I149, Jun!I149)</f>
        <v>304918</v>
      </c>
      <c r="J149" s="16" t="str">
        <f t="shared" si="16"/>
        <v/>
      </c>
      <c r="K149" s="14" t="str">
        <f>IFERROR(AVERAGE(Apr!K149,May!K149,Jun!K149),"")</f>
        <v/>
      </c>
      <c r="L149" s="39"/>
      <c r="M149" s="40"/>
    </row>
    <row r="150" spans="1:13" ht="15.6">
      <c r="A150" s="25" t="str">
        <v>Bantam</v>
      </c>
      <c r="B150" s="26" t="str">
        <v>NY</v>
      </c>
      <c r="C150" s="26" t="str">
        <f>Sites[[#This Row],[SOL'#]]</f>
        <v>SOL-10986</v>
      </c>
      <c r="D150" s="67">
        <f>SUM(Apr!D150, May!D150, Jun!D150)</f>
        <v>1133220</v>
      </c>
      <c r="E150" s="11">
        <f>SUM(Apr!E150, May!E150, Jun!E150)</f>
        <v>0</v>
      </c>
      <c r="F150" s="11">
        <f t="shared" si="14"/>
        <v>1133220</v>
      </c>
      <c r="G150" s="68" t="str">
        <f t="shared" si="15"/>
        <v/>
      </c>
      <c r="H150" s="13">
        <f>SUM(Apr!H150, May!H150, Jun!H150)</f>
        <v>0</v>
      </c>
      <c r="I150" s="13">
        <f>SUM(Apr!I150, May!I150, Jun!I150)</f>
        <v>1133220</v>
      </c>
      <c r="J150" s="14" t="str">
        <f t="shared" si="16"/>
        <v/>
      </c>
      <c r="K150" s="14" t="str">
        <f>IFERROR(AVERAGE(Apr!K150,May!K150,Jun!K150),"")</f>
        <v/>
      </c>
      <c r="L150" s="38"/>
      <c r="M150" s="38"/>
    </row>
    <row r="151" spans="1:13" ht="15.6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f>SUM(Apr!D151, May!D151, Jun!D151)</f>
        <v>358420</v>
      </c>
      <c r="E151" s="15">
        <f>SUM(Apr!E151, May!E151, Jun!E151)</f>
        <v>382168</v>
      </c>
      <c r="F151" s="15">
        <f t="shared" si="14"/>
        <v>-23748</v>
      </c>
      <c r="G151" s="16">
        <f t="shared" si="15"/>
        <v>-6.2140210588013646E-2</v>
      </c>
      <c r="H151" s="17">
        <f>SUM(Apr!H151, May!H151, Jun!H151)</f>
        <v>391479</v>
      </c>
      <c r="I151" s="17">
        <f>SUM(Apr!I151, May!I151, Jun!I151)</f>
        <v>-33059</v>
      </c>
      <c r="J151" s="16">
        <f t="shared" si="16"/>
        <v>-8.4446419859047356E-2</v>
      </c>
      <c r="K151" s="14" t="str">
        <f>IFERROR(AVERAGE(Apr!K151,May!K151,Jun!K151),"")</f>
        <v/>
      </c>
      <c r="L151" s="39"/>
      <c r="M151" s="40"/>
    </row>
    <row r="152" spans="1:13" ht="15.6">
      <c r="A152" s="25" t="str">
        <v>Dubois</v>
      </c>
      <c r="B152" s="26" t="str">
        <v>NY</v>
      </c>
      <c r="C152" s="26" t="str">
        <f>Sites[[#This Row],[SOL'#]]</f>
        <v>SOL-10892</v>
      </c>
      <c r="D152" s="67">
        <f>SUM(Apr!D152, May!D152, Jun!D152)</f>
        <v>359955</v>
      </c>
      <c r="E152" s="11">
        <f>SUM(Apr!E152, May!E152, Jun!E152)</f>
        <v>0</v>
      </c>
      <c r="F152" s="11">
        <f t="shared" si="14"/>
        <v>359955</v>
      </c>
      <c r="G152" s="68" t="str">
        <f t="shared" si="15"/>
        <v/>
      </c>
      <c r="H152" s="13">
        <f>SUM(Apr!H152, May!H152, Jun!H152)</f>
        <v>0</v>
      </c>
      <c r="I152" s="13">
        <f>SUM(Apr!I152, May!I152, Jun!I152)</f>
        <v>359955</v>
      </c>
      <c r="J152" s="14" t="str">
        <f t="shared" si="16"/>
        <v/>
      </c>
      <c r="K152" s="14" t="str">
        <f>IFERROR(AVERAGE(Apr!K152,May!K152,Jun!K152),"")</f>
        <v/>
      </c>
      <c r="L152" s="38"/>
      <c r="M152" s="38"/>
    </row>
    <row r="153" spans="1:13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f>SUM(Apr!D153, May!D153, Jun!D153)</f>
        <v>418107</v>
      </c>
      <c r="E153" s="15">
        <f>SUM(Apr!E153, May!E153, Jun!E153)</f>
        <v>0</v>
      </c>
      <c r="F153" s="15">
        <f t="shared" si="14"/>
        <v>418107</v>
      </c>
      <c r="G153" s="16" t="str">
        <f t="shared" si="15"/>
        <v/>
      </c>
      <c r="H153" s="17">
        <f>SUM(Apr!H153, May!H153, Jun!H153)</f>
        <v>0</v>
      </c>
      <c r="I153" s="17">
        <f>SUM(Apr!I153, May!I153, Jun!I153)</f>
        <v>418107</v>
      </c>
      <c r="J153" s="16" t="str">
        <f t="shared" si="16"/>
        <v/>
      </c>
      <c r="K153" s="14" t="str">
        <f>IFERROR(AVERAGE(Apr!K153,May!K153,Jun!K153),"")</f>
        <v/>
      </c>
      <c r="L153" s="39"/>
      <c r="M153" s="40"/>
    </row>
    <row r="154" spans="1:13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>
        <f>SUM(Apr!D154, May!D154, Jun!D154)</f>
        <v>941330</v>
      </c>
      <c r="E154" s="11">
        <f>SUM(Apr!E154, May!E154, Jun!E154)</f>
        <v>0</v>
      </c>
      <c r="F154" s="11">
        <f t="shared" si="14"/>
        <v>941330</v>
      </c>
      <c r="G154" s="68" t="str">
        <f t="shared" si="15"/>
        <v/>
      </c>
      <c r="H154" s="13">
        <f>SUM(Apr!H154, May!H154, Jun!H154)</f>
        <v>0</v>
      </c>
      <c r="I154" s="13">
        <f>SUM(Apr!I154, May!I154, Jun!I154)</f>
        <v>941330</v>
      </c>
      <c r="J154" s="14" t="str">
        <f t="shared" si="16"/>
        <v/>
      </c>
      <c r="K154" s="14" t="str">
        <f>IFERROR(AVERAGE(Apr!K154,May!K154,Jun!K154),"")</f>
        <v/>
      </c>
      <c r="L154" s="38"/>
      <c r="M154" s="38"/>
    </row>
    <row r="155" spans="1:13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f>SUM(Apr!D155, May!D155, Jun!D155)</f>
        <v>949970</v>
      </c>
      <c r="E155" s="15">
        <f>SUM(Apr!E155, May!E155, Jun!E155)</f>
        <v>0</v>
      </c>
      <c r="F155" s="15">
        <f t="shared" si="14"/>
        <v>949970</v>
      </c>
      <c r="G155" s="16" t="str">
        <f t="shared" si="15"/>
        <v/>
      </c>
      <c r="H155" s="17">
        <f>SUM(Apr!H155, May!H155, Jun!H155)</f>
        <v>0</v>
      </c>
      <c r="I155" s="17">
        <f>SUM(Apr!I155, May!I155, Jun!I155)</f>
        <v>949970</v>
      </c>
      <c r="J155" s="16" t="str">
        <f t="shared" si="16"/>
        <v/>
      </c>
      <c r="K155" s="14" t="str">
        <f>IFERROR(AVERAGE(Apr!K155,May!K155,Jun!K155),"")</f>
        <v/>
      </c>
      <c r="L155" s="39"/>
      <c r="M155" s="40"/>
    </row>
    <row r="156" spans="1:13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>
        <f>SUM(Apr!D156, May!D156, Jun!D156)</f>
        <v>450560</v>
      </c>
      <c r="E156" s="11">
        <f>SUM(Apr!E156, May!E156, Jun!E156)</f>
        <v>486732</v>
      </c>
      <c r="F156" s="11">
        <f t="shared" si="14"/>
        <v>-36172</v>
      </c>
      <c r="G156" s="68">
        <f t="shared" si="15"/>
        <v>-7.4316050721957877E-2</v>
      </c>
      <c r="H156" s="13">
        <f>SUM(Apr!H156, May!H156, Jun!H156)</f>
        <v>496313</v>
      </c>
      <c r="I156" s="13">
        <f>SUM(Apr!I156, May!I156, Jun!I156)</f>
        <v>-45753</v>
      </c>
      <c r="J156" s="14">
        <f t="shared" si="16"/>
        <v>-9.2185777926429485E-2</v>
      </c>
      <c r="K156" s="14" t="str">
        <f>IFERROR(AVERAGE(Apr!K156,May!K156,Jun!K156),"")</f>
        <v/>
      </c>
      <c r="L156" s="38"/>
      <c r="M156" s="38"/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f>SUM(Apr!D157, May!D157, Jun!D157)</f>
        <v>429624</v>
      </c>
      <c r="E157" s="15">
        <f>SUM(Apr!E157, May!E157, Jun!E157)</f>
        <v>0</v>
      </c>
      <c r="F157" s="15">
        <f t="shared" si="14"/>
        <v>429624</v>
      </c>
      <c r="G157" s="16" t="str">
        <f t="shared" si="15"/>
        <v/>
      </c>
      <c r="H157" s="17">
        <f>SUM(Apr!H157, May!H157, Jun!H157)</f>
        <v>0</v>
      </c>
      <c r="I157" s="17">
        <f>SUM(Apr!I157, May!I157, Jun!I157)</f>
        <v>429624</v>
      </c>
      <c r="J157" s="16" t="str">
        <f t="shared" si="16"/>
        <v/>
      </c>
      <c r="K157" s="14" t="str">
        <f>IFERROR(AVERAGE(Apr!K157,May!K157,Jun!K157),"")</f>
        <v/>
      </c>
      <c r="L157" s="39"/>
      <c r="M157" s="40"/>
    </row>
    <row r="158" spans="1:13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>
        <f>SUM(Apr!D158, May!D158, Jun!D158)</f>
        <v>17824</v>
      </c>
      <c r="E158" s="11">
        <f>SUM(Apr!E158, May!E158, Jun!E158)</f>
        <v>0</v>
      </c>
      <c r="F158" s="11">
        <f t="shared" si="14"/>
        <v>17824</v>
      </c>
      <c r="G158" s="68" t="str">
        <f t="shared" si="15"/>
        <v/>
      </c>
      <c r="H158" s="13">
        <f>SUM(Apr!H158, May!H158, Jun!H158)</f>
        <v>0</v>
      </c>
      <c r="I158" s="13">
        <f>SUM(Apr!I158, May!I158, Jun!I158)</f>
        <v>17824</v>
      </c>
      <c r="J158" s="14" t="str">
        <f t="shared" si="16"/>
        <v/>
      </c>
      <c r="K158" s="14" t="str">
        <f>IFERROR(AVERAGE(Apr!K158,May!K158,Jun!K158),"")</f>
        <v/>
      </c>
      <c r="L158" s="38"/>
      <c r="M158" s="38"/>
    </row>
    <row r="159" spans="1:13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f>SUM(Apr!D159, May!D159, Jun!D159)</f>
        <v>1338934</v>
      </c>
      <c r="E159" s="15">
        <f>SUM(Apr!E159, May!E159, Jun!E159)</f>
        <v>1402964.6</v>
      </c>
      <c r="F159" s="15">
        <f t="shared" si="14"/>
        <v>-64030.600000000093</v>
      </c>
      <c r="G159" s="16">
        <f t="shared" si="15"/>
        <v>-4.5639497960247959E-2</v>
      </c>
      <c r="H159" s="17">
        <f>SUM(Apr!H159, May!H159, Jun!H159)</f>
        <v>1369272</v>
      </c>
      <c r="I159" s="17">
        <f>SUM(Apr!I159, May!I159, Jun!I159)</f>
        <v>5521</v>
      </c>
      <c r="J159" s="16">
        <f t="shared" si="16"/>
        <v>4.0320695961065444E-3</v>
      </c>
      <c r="K159" s="14">
        <f>IFERROR(AVERAGE(Apr!K159,May!K159,Jun!K159),"")</f>
        <v>0.96765626666666671</v>
      </c>
      <c r="L159" s="39"/>
      <c r="M159" s="40"/>
    </row>
    <row r="160" spans="1:13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>
        <f>SUM(Apr!D160, May!D160, Jun!D160)</f>
        <v>410647</v>
      </c>
      <c r="E160" s="11">
        <f>SUM(Apr!E160, May!E160, Jun!E160)</f>
        <v>0</v>
      </c>
      <c r="F160" s="11">
        <f t="shared" si="14"/>
        <v>410647</v>
      </c>
      <c r="G160" s="68" t="str">
        <f t="shared" si="15"/>
        <v/>
      </c>
      <c r="H160" s="13">
        <f>SUM(Apr!H160, May!H160, Jun!H160)</f>
        <v>0</v>
      </c>
      <c r="I160" s="13">
        <f>SUM(Apr!I160, May!I160, Jun!I160)</f>
        <v>410647</v>
      </c>
      <c r="J160" s="14" t="str">
        <f t="shared" si="16"/>
        <v/>
      </c>
      <c r="K160" s="14" t="str">
        <f>IFERROR(AVERAGE(Apr!K160,May!K160,Jun!K160),"")</f>
        <v/>
      </c>
      <c r="L160" s="38"/>
      <c r="M160" s="38"/>
    </row>
    <row r="161" spans="1:13" ht="15.6">
      <c r="A161" s="27" t="str">
        <v>Altamont</v>
      </c>
      <c r="B161" s="28" t="str">
        <v>NY</v>
      </c>
      <c r="C161" s="28" t="s">
        <v>13</v>
      </c>
      <c r="D161" s="10">
        <f>SUM(Apr!D161, May!D161, Jun!D161)</f>
        <v>892354</v>
      </c>
      <c r="E161" s="15">
        <f>SUM(Apr!E161, May!E161, Jun!E161)</f>
        <v>1062738.22</v>
      </c>
      <c r="F161" s="15">
        <f t="shared" ref="F161" si="17">IF(AND(ISNUMBER(D161),ISNUMBER(E161)), D161-E161, "")</f>
        <v>-170384.21999999997</v>
      </c>
      <c r="G161" s="16">
        <f t="shared" ref="G161" si="18">IFERROR(F161/E161, "")</f>
        <v>-0.16032567267600481</v>
      </c>
      <c r="H161" s="17">
        <f>SUM(Apr!H161, May!H161, Jun!H161)</f>
        <v>1593579.7999999998</v>
      </c>
      <c r="I161" s="17">
        <f>SUM(Apr!I161, May!I161, Jun!I161)</f>
        <v>0</v>
      </c>
      <c r="J161" s="16">
        <f t="shared" ref="J161" si="19">IFERROR(I161/H161, "")</f>
        <v>0</v>
      </c>
      <c r="K161" s="14">
        <f>IFERROR(AVERAGE(Apr!K161,May!K161,Jun!K161),"")</f>
        <v>0.64172960000000001</v>
      </c>
      <c r="L161" s="39"/>
      <c r="M161" s="40"/>
    </row>
    <row r="162" spans="1:13" ht="12.95">
      <c r="A162" s="18"/>
      <c r="B162" s="18"/>
      <c r="C162" s="18"/>
      <c r="D162" s="18"/>
      <c r="E162" s="18"/>
      <c r="F162" s="18"/>
      <c r="G162" s="19"/>
      <c r="H162" s="18"/>
      <c r="I162" s="18"/>
      <c r="J162" s="19"/>
      <c r="K162" s="19"/>
    </row>
    <row r="163" spans="1:13" ht="12.95">
      <c r="A163" s="18"/>
      <c r="B163" s="18"/>
      <c r="C163" s="18"/>
      <c r="D163" s="18"/>
      <c r="E163" s="18"/>
      <c r="F163" s="18"/>
      <c r="G163" s="19"/>
      <c r="H163" s="18"/>
      <c r="I163" s="18"/>
      <c r="J163" s="19"/>
      <c r="K163" s="19"/>
    </row>
    <row r="164" spans="1:13" ht="12.95">
      <c r="A164" s="18"/>
      <c r="B164" s="18"/>
      <c r="C164" s="18"/>
      <c r="D164" s="18"/>
      <c r="E164" s="18"/>
      <c r="F164" s="18"/>
      <c r="G164" s="19"/>
      <c r="H164" s="18"/>
      <c r="I164" s="18"/>
      <c r="J164" s="19"/>
      <c r="K164" s="19"/>
    </row>
    <row r="165" spans="1:13" ht="12.95">
      <c r="A165" s="18"/>
      <c r="B165" s="18"/>
      <c r="C165" s="18"/>
      <c r="D165" s="18"/>
      <c r="E165" s="18"/>
      <c r="F165" s="18"/>
      <c r="G165" s="19"/>
      <c r="H165" s="18"/>
      <c r="I165" s="18"/>
      <c r="J165" s="19"/>
      <c r="K165" s="19"/>
    </row>
    <row r="166" spans="1:13" ht="12.95">
      <c r="A166" s="18"/>
      <c r="B166" s="18"/>
      <c r="C166" s="18"/>
      <c r="D166" s="18"/>
      <c r="E166" s="18"/>
      <c r="F166" s="18"/>
      <c r="G166" s="19"/>
      <c r="H166" s="18"/>
      <c r="I166" s="18"/>
      <c r="J166" s="19"/>
      <c r="K166" s="19"/>
    </row>
    <row r="167" spans="1:13" ht="12.95">
      <c r="A167" s="18"/>
      <c r="B167" s="18"/>
      <c r="C167" s="18"/>
      <c r="D167" s="18"/>
      <c r="E167" s="18"/>
      <c r="F167" s="18"/>
      <c r="G167" s="19"/>
      <c r="H167" s="18"/>
      <c r="I167" s="18"/>
      <c r="J167" s="19"/>
      <c r="K167" s="19"/>
    </row>
    <row r="168" spans="1:13" ht="12.95">
      <c r="A168" s="18"/>
      <c r="B168" s="18"/>
      <c r="C168" s="18"/>
      <c r="D168" s="18"/>
      <c r="E168" s="18"/>
      <c r="F168" s="18"/>
      <c r="G168" s="19"/>
      <c r="H168" s="18"/>
      <c r="I168" s="18"/>
      <c r="J168" s="19"/>
      <c r="K168" s="19"/>
    </row>
    <row r="169" spans="1:13" ht="12.95">
      <c r="A169" s="18"/>
      <c r="B169" s="18"/>
      <c r="C169" s="18"/>
      <c r="D169" s="18"/>
      <c r="E169" s="18"/>
      <c r="F169" s="18"/>
      <c r="G169" s="19"/>
      <c r="H169" s="18"/>
      <c r="I169" s="18"/>
      <c r="J169" s="19"/>
      <c r="K169" s="19"/>
    </row>
    <row r="170" spans="1:13" ht="12.95">
      <c r="A170" s="18"/>
      <c r="B170" s="18"/>
      <c r="C170" s="18"/>
      <c r="D170" s="18"/>
      <c r="E170" s="18"/>
      <c r="F170" s="18"/>
      <c r="G170" s="19"/>
      <c r="H170" s="18"/>
      <c r="I170" s="18"/>
      <c r="J170" s="19"/>
      <c r="K170" s="19"/>
    </row>
    <row r="171" spans="1:13" ht="12.95">
      <c r="A171" s="18"/>
      <c r="B171" s="18"/>
      <c r="C171" s="18"/>
      <c r="D171" s="18"/>
      <c r="E171" s="18"/>
      <c r="F171" s="18"/>
      <c r="G171" s="19"/>
      <c r="H171" s="18"/>
      <c r="I171" s="18"/>
      <c r="J171" s="19"/>
      <c r="K171" s="19"/>
    </row>
    <row r="172" spans="1:13" ht="12.95">
      <c r="A172" s="18"/>
      <c r="B172" s="18"/>
      <c r="C172" s="18"/>
      <c r="D172" s="18"/>
      <c r="E172" s="18"/>
      <c r="F172" s="18"/>
      <c r="G172" s="19"/>
      <c r="H172" s="18"/>
      <c r="I172" s="18"/>
      <c r="J172" s="19"/>
      <c r="K172" s="19"/>
    </row>
    <row r="173" spans="1:13" ht="12.95">
      <c r="A173" s="18"/>
      <c r="B173" s="18"/>
      <c r="C173" s="18"/>
      <c r="D173" s="18"/>
      <c r="E173" s="18"/>
      <c r="F173" s="18"/>
      <c r="G173" s="19"/>
      <c r="H173" s="18"/>
      <c r="I173" s="18"/>
      <c r="J173" s="19"/>
      <c r="K173" s="19"/>
    </row>
    <row r="174" spans="1:13" ht="12.95">
      <c r="A174" s="18"/>
      <c r="B174" s="18"/>
      <c r="C174" s="18"/>
      <c r="D174" s="18"/>
      <c r="E174" s="18"/>
      <c r="F174" s="18"/>
      <c r="G174" s="19"/>
      <c r="H174" s="18"/>
      <c r="I174" s="18"/>
      <c r="J174" s="19"/>
      <c r="K174" s="19"/>
    </row>
    <row r="175" spans="1:13" ht="12.95">
      <c r="A175" s="18"/>
      <c r="B175" s="18"/>
      <c r="C175" s="18"/>
      <c r="D175" s="18"/>
      <c r="E175" s="18"/>
      <c r="F175" s="18"/>
      <c r="G175" s="19"/>
      <c r="H175" s="18"/>
      <c r="I175" s="18"/>
      <c r="J175" s="19"/>
      <c r="K175" s="19"/>
    </row>
    <row r="176" spans="1:13" ht="12.95">
      <c r="A176" s="18"/>
      <c r="B176" s="18"/>
      <c r="C176" s="18"/>
      <c r="D176" s="18"/>
      <c r="E176" s="18"/>
      <c r="F176" s="18"/>
      <c r="G176" s="19"/>
      <c r="H176" s="18"/>
      <c r="I176" s="18"/>
      <c r="J176" s="19"/>
      <c r="K176" s="19"/>
    </row>
    <row r="177" spans="1:11" ht="12.95">
      <c r="A177" s="18"/>
      <c r="B177" s="18"/>
      <c r="C177" s="18"/>
      <c r="D177" s="18"/>
      <c r="E177" s="18"/>
      <c r="F177" s="18"/>
      <c r="G177" s="19"/>
      <c r="H177" s="18"/>
      <c r="I177" s="18"/>
      <c r="J177" s="19"/>
      <c r="K177" s="19"/>
    </row>
    <row r="178" spans="1:11" ht="12.95">
      <c r="A178" s="18"/>
      <c r="B178" s="18"/>
      <c r="C178" s="18"/>
      <c r="D178" s="18"/>
      <c r="E178" s="18"/>
      <c r="F178" s="18"/>
      <c r="G178" s="19"/>
      <c r="H178" s="18"/>
      <c r="I178" s="18"/>
      <c r="J178" s="19"/>
      <c r="K178" s="19"/>
    </row>
    <row r="179" spans="1:11" ht="12.95">
      <c r="A179" s="18"/>
      <c r="B179" s="18"/>
      <c r="C179" s="18"/>
      <c r="D179" s="18"/>
      <c r="E179" s="18"/>
      <c r="F179" s="18"/>
      <c r="G179" s="19"/>
      <c r="H179" s="18"/>
      <c r="I179" s="18"/>
      <c r="J179" s="19"/>
      <c r="K179" s="19"/>
    </row>
    <row r="180" spans="1:11" ht="12.95">
      <c r="A180" s="18"/>
      <c r="B180" s="18"/>
      <c r="C180" s="18"/>
      <c r="D180" s="18"/>
      <c r="E180" s="18"/>
      <c r="F180" s="18"/>
      <c r="G180" s="19"/>
      <c r="H180" s="18"/>
      <c r="I180" s="18"/>
      <c r="J180" s="19"/>
      <c r="K180" s="19"/>
    </row>
    <row r="181" spans="1:11" ht="12.95">
      <c r="A181" s="18"/>
      <c r="B181" s="18"/>
      <c r="C181" s="18"/>
      <c r="D181" s="18"/>
      <c r="E181" s="18"/>
      <c r="F181" s="18"/>
      <c r="G181" s="19"/>
      <c r="H181" s="18"/>
      <c r="I181" s="18"/>
      <c r="J181" s="19"/>
      <c r="K181" s="19"/>
    </row>
    <row r="182" spans="1:11" ht="12.95">
      <c r="A182" s="18"/>
      <c r="B182" s="18"/>
      <c r="C182" s="18"/>
      <c r="D182" s="18"/>
      <c r="E182" s="18"/>
      <c r="F182" s="18"/>
      <c r="G182" s="19"/>
      <c r="H182" s="18"/>
      <c r="I182" s="18"/>
      <c r="J182" s="19"/>
      <c r="K182" s="19"/>
    </row>
    <row r="183" spans="1:11" ht="12.95">
      <c r="A183" s="18"/>
      <c r="B183" s="18"/>
      <c r="C183" s="18"/>
      <c r="D183" s="18"/>
      <c r="E183" s="18"/>
      <c r="F183" s="18"/>
      <c r="G183" s="19"/>
      <c r="H183" s="18"/>
      <c r="I183" s="18"/>
      <c r="J183" s="19"/>
      <c r="K183" s="19"/>
    </row>
    <row r="184" spans="1:11" ht="12.95">
      <c r="A184" s="18"/>
      <c r="B184" s="18"/>
      <c r="C184" s="18"/>
      <c r="D184" s="18"/>
      <c r="E184" s="18"/>
      <c r="F184" s="18"/>
      <c r="G184" s="19"/>
      <c r="H184" s="18"/>
      <c r="I184" s="18"/>
      <c r="J184" s="19"/>
      <c r="K184" s="19"/>
    </row>
    <row r="185" spans="1:11" ht="12.95">
      <c r="A185" s="18"/>
      <c r="B185" s="18"/>
      <c r="C185" s="18"/>
      <c r="D185" s="18"/>
      <c r="E185" s="18"/>
      <c r="F185" s="18"/>
      <c r="G185" s="19"/>
      <c r="H185" s="18"/>
      <c r="I185" s="18"/>
      <c r="J185" s="19"/>
      <c r="K185" s="19"/>
    </row>
    <row r="186" spans="1:11" ht="12.95">
      <c r="A186" s="18"/>
      <c r="B186" s="18"/>
      <c r="C186" s="18"/>
      <c r="D186" s="18"/>
      <c r="E186" s="18"/>
      <c r="F186" s="18"/>
      <c r="G186" s="19"/>
      <c r="H186" s="18"/>
      <c r="I186" s="18"/>
      <c r="J186" s="19"/>
      <c r="K186" s="19"/>
    </row>
    <row r="187" spans="1:11" ht="12.95">
      <c r="A187" s="18"/>
      <c r="B187" s="18"/>
      <c r="C187" s="18"/>
      <c r="D187" s="18"/>
      <c r="E187" s="18"/>
      <c r="F187" s="18"/>
      <c r="G187" s="19"/>
      <c r="H187" s="18"/>
      <c r="I187" s="18"/>
      <c r="J187" s="19"/>
      <c r="K187" s="19"/>
    </row>
    <row r="188" spans="1:11" ht="12.95">
      <c r="A188" s="18"/>
      <c r="B188" s="18"/>
      <c r="C188" s="18"/>
      <c r="D188" s="18"/>
      <c r="E188" s="18"/>
      <c r="F188" s="18"/>
      <c r="G188" s="19"/>
      <c r="H188" s="18"/>
      <c r="I188" s="18"/>
      <c r="J188" s="19"/>
      <c r="K188" s="19"/>
    </row>
    <row r="189" spans="1:11" ht="12.95">
      <c r="A189" s="18"/>
      <c r="B189" s="18"/>
      <c r="C189" s="18"/>
      <c r="D189" s="18"/>
      <c r="E189" s="18"/>
      <c r="F189" s="18"/>
      <c r="G189" s="19"/>
      <c r="H189" s="18"/>
      <c r="I189" s="18"/>
      <c r="J189" s="19"/>
      <c r="K189" s="19"/>
    </row>
    <row r="190" spans="1:11" ht="12.95">
      <c r="A190" s="18"/>
      <c r="B190" s="18"/>
      <c r="C190" s="18"/>
      <c r="D190" s="18"/>
      <c r="E190" s="18"/>
      <c r="F190" s="18"/>
      <c r="G190" s="19"/>
      <c r="H190" s="18"/>
      <c r="I190" s="18"/>
      <c r="J190" s="19"/>
      <c r="K190" s="19"/>
    </row>
    <row r="191" spans="1:11" ht="12.95">
      <c r="A191" s="18"/>
      <c r="B191" s="18"/>
      <c r="C191" s="18"/>
      <c r="D191" s="18"/>
      <c r="E191" s="18"/>
      <c r="F191" s="18"/>
      <c r="G191" s="19"/>
      <c r="H191" s="18"/>
      <c r="I191" s="18"/>
      <c r="J191" s="19"/>
      <c r="K191" s="19"/>
    </row>
    <row r="192" spans="1:11" ht="12.95">
      <c r="A192" s="18"/>
      <c r="B192" s="18"/>
      <c r="C192" s="18"/>
      <c r="D192" s="18"/>
      <c r="E192" s="18"/>
      <c r="F192" s="18"/>
      <c r="G192" s="19"/>
      <c r="H192" s="18"/>
      <c r="I192" s="18"/>
      <c r="J192" s="19"/>
      <c r="K192" s="19"/>
    </row>
    <row r="193" spans="1:11" ht="12.95">
      <c r="A193" s="18"/>
      <c r="B193" s="18"/>
      <c r="C193" s="18"/>
      <c r="D193" s="18"/>
      <c r="E193" s="18"/>
      <c r="F193" s="18"/>
      <c r="G193" s="19"/>
      <c r="H193" s="18"/>
      <c r="I193" s="18"/>
      <c r="J193" s="19"/>
      <c r="K193" s="19"/>
    </row>
    <row r="194" spans="1:11" ht="12.95">
      <c r="A194" s="18"/>
      <c r="B194" s="18"/>
      <c r="C194" s="18"/>
      <c r="D194" s="18"/>
      <c r="E194" s="18"/>
      <c r="F194" s="18"/>
      <c r="G194" s="19"/>
      <c r="H194" s="18"/>
      <c r="I194" s="18"/>
      <c r="J194" s="19"/>
      <c r="K194" s="19"/>
    </row>
    <row r="195" spans="1:11" ht="12.95">
      <c r="A195" s="18"/>
      <c r="B195" s="18"/>
      <c r="C195" s="18"/>
      <c r="D195" s="18"/>
      <c r="E195" s="18"/>
      <c r="F195" s="18"/>
      <c r="G195" s="19"/>
      <c r="H195" s="18"/>
      <c r="I195" s="18"/>
      <c r="J195" s="19"/>
      <c r="K195" s="19"/>
    </row>
    <row r="196" spans="1:11" ht="12.95">
      <c r="A196" s="18"/>
      <c r="B196" s="18"/>
      <c r="C196" s="18"/>
      <c r="D196" s="18"/>
      <c r="E196" s="18"/>
      <c r="F196" s="18"/>
      <c r="G196" s="19"/>
      <c r="H196" s="18"/>
      <c r="I196" s="18"/>
      <c r="J196" s="19"/>
      <c r="K196" s="19"/>
    </row>
    <row r="197" spans="1:11" ht="12.95">
      <c r="A197" s="18"/>
      <c r="B197" s="18"/>
      <c r="C197" s="18"/>
      <c r="D197" s="18"/>
      <c r="E197" s="18"/>
      <c r="F197" s="18"/>
      <c r="G197" s="19"/>
      <c r="H197" s="18"/>
      <c r="I197" s="18"/>
      <c r="J197" s="19"/>
      <c r="K197" s="19"/>
    </row>
    <row r="198" spans="1:11" ht="12.95">
      <c r="A198" s="18"/>
      <c r="B198" s="18"/>
      <c r="C198" s="18"/>
      <c r="D198" s="18"/>
      <c r="E198" s="18"/>
      <c r="F198" s="18"/>
      <c r="G198" s="19"/>
      <c r="H198" s="18"/>
      <c r="I198" s="18"/>
      <c r="J198" s="19"/>
      <c r="K198" s="19"/>
    </row>
    <row r="199" spans="1:11" ht="12.95">
      <c r="A199" s="18"/>
      <c r="B199" s="18"/>
      <c r="C199" s="18"/>
      <c r="D199" s="18"/>
      <c r="E199" s="18"/>
      <c r="F199" s="18"/>
      <c r="G199" s="19"/>
      <c r="H199" s="18"/>
      <c r="I199" s="18"/>
      <c r="J199" s="19"/>
      <c r="K199" s="19"/>
    </row>
    <row r="200" spans="1:11" ht="12.95">
      <c r="A200" s="18"/>
      <c r="B200" s="18"/>
      <c r="C200" s="18"/>
      <c r="D200" s="18"/>
      <c r="E200" s="18"/>
      <c r="F200" s="18"/>
      <c r="G200" s="19"/>
      <c r="H200" s="18"/>
      <c r="I200" s="18"/>
      <c r="J200" s="19"/>
      <c r="K200" s="19"/>
    </row>
    <row r="201" spans="1:11" ht="12.95">
      <c r="A201" s="18"/>
      <c r="B201" s="18"/>
      <c r="C201" s="18"/>
      <c r="D201" s="18"/>
      <c r="E201" s="18"/>
      <c r="F201" s="18"/>
      <c r="G201" s="19"/>
      <c r="H201" s="18"/>
      <c r="I201" s="18"/>
      <c r="J201" s="19"/>
      <c r="K201" s="19"/>
    </row>
    <row r="202" spans="1:11" ht="12.95">
      <c r="A202" s="18"/>
      <c r="B202" s="18"/>
      <c r="C202" s="18"/>
      <c r="D202" s="18"/>
      <c r="E202" s="18"/>
      <c r="F202" s="18"/>
      <c r="G202" s="19"/>
      <c r="H202" s="18"/>
      <c r="I202" s="18"/>
      <c r="J202" s="19"/>
      <c r="K202" s="19"/>
    </row>
    <row r="203" spans="1:11" ht="12.95">
      <c r="A203" s="18"/>
      <c r="B203" s="18"/>
      <c r="C203" s="18"/>
      <c r="D203" s="18"/>
      <c r="E203" s="18"/>
      <c r="F203" s="18"/>
      <c r="G203" s="19"/>
      <c r="H203" s="18"/>
      <c r="I203" s="18"/>
      <c r="J203" s="19"/>
      <c r="K203" s="19"/>
    </row>
    <row r="204" spans="1:11" ht="12.95">
      <c r="A204" s="18"/>
      <c r="B204" s="18"/>
      <c r="C204" s="18"/>
      <c r="D204" s="18"/>
      <c r="E204" s="18"/>
      <c r="F204" s="18"/>
      <c r="G204" s="19"/>
      <c r="H204" s="18"/>
      <c r="I204" s="18"/>
      <c r="J204" s="19"/>
      <c r="K204" s="19"/>
    </row>
    <row r="205" spans="1:11" ht="12.95">
      <c r="A205" s="18"/>
      <c r="B205" s="18"/>
      <c r="C205" s="18"/>
      <c r="D205" s="18"/>
      <c r="E205" s="18"/>
      <c r="F205" s="18"/>
      <c r="G205" s="19"/>
      <c r="H205" s="18"/>
      <c r="I205" s="18"/>
      <c r="J205" s="19"/>
      <c r="K205" s="19"/>
    </row>
    <row r="206" spans="1:11" ht="12.95">
      <c r="A206" s="18"/>
      <c r="B206" s="18"/>
      <c r="C206" s="18"/>
      <c r="D206" s="18"/>
      <c r="E206" s="18"/>
      <c r="F206" s="18"/>
      <c r="G206" s="19"/>
      <c r="H206" s="18"/>
      <c r="I206" s="18"/>
      <c r="J206" s="19"/>
      <c r="K206" s="19"/>
    </row>
    <row r="207" spans="1:11" ht="12.95">
      <c r="A207" s="18"/>
      <c r="B207" s="18"/>
      <c r="C207" s="18"/>
      <c r="D207" s="18"/>
      <c r="E207" s="18"/>
      <c r="F207" s="18"/>
      <c r="G207" s="19"/>
      <c r="H207" s="18"/>
      <c r="I207" s="18"/>
      <c r="J207" s="19"/>
      <c r="K207" s="19"/>
    </row>
    <row r="208" spans="1:11" ht="12.95">
      <c r="A208" s="18"/>
      <c r="B208" s="18"/>
      <c r="C208" s="18"/>
      <c r="D208" s="18"/>
      <c r="E208" s="18"/>
      <c r="F208" s="18"/>
      <c r="G208" s="19"/>
      <c r="H208" s="18"/>
      <c r="I208" s="18"/>
      <c r="J208" s="19"/>
      <c r="K208" s="19"/>
    </row>
    <row r="209" spans="1:11" ht="12.95">
      <c r="A209" s="18"/>
      <c r="B209" s="18"/>
      <c r="C209" s="18"/>
      <c r="D209" s="18"/>
      <c r="E209" s="18"/>
      <c r="F209" s="18"/>
      <c r="G209" s="19"/>
      <c r="H209" s="18"/>
      <c r="I209" s="18"/>
      <c r="J209" s="19"/>
      <c r="K209" s="19"/>
    </row>
    <row r="210" spans="1:11" ht="12.95">
      <c r="A210" s="18"/>
      <c r="B210" s="18"/>
      <c r="C210" s="18"/>
      <c r="D210" s="18"/>
      <c r="E210" s="18"/>
      <c r="F210" s="18"/>
      <c r="G210" s="19"/>
      <c r="H210" s="18"/>
      <c r="I210" s="18"/>
      <c r="J210" s="19"/>
      <c r="K210" s="19"/>
    </row>
    <row r="211" spans="1:11" ht="12.95">
      <c r="A211" s="18"/>
      <c r="B211" s="18"/>
      <c r="C211" s="18"/>
      <c r="D211" s="18"/>
      <c r="E211" s="18"/>
      <c r="F211" s="18"/>
      <c r="G211" s="19"/>
      <c r="H211" s="18"/>
      <c r="I211" s="18"/>
      <c r="J211" s="19"/>
      <c r="K211" s="19"/>
    </row>
    <row r="212" spans="1:11" ht="12.95">
      <c r="A212" s="18"/>
      <c r="B212" s="18"/>
      <c r="C212" s="18"/>
      <c r="D212" s="18"/>
      <c r="E212" s="18"/>
      <c r="F212" s="18"/>
      <c r="G212" s="19"/>
      <c r="H212" s="18"/>
      <c r="I212" s="18"/>
      <c r="J212" s="19"/>
      <c r="K212" s="19"/>
    </row>
    <row r="213" spans="1:11" ht="12.95">
      <c r="A213" s="18"/>
      <c r="B213" s="18"/>
      <c r="C213" s="18"/>
      <c r="D213" s="18"/>
      <c r="E213" s="18"/>
      <c r="F213" s="18"/>
      <c r="G213" s="19"/>
      <c r="H213" s="18"/>
      <c r="I213" s="18"/>
      <c r="J213" s="19"/>
      <c r="K213" s="19"/>
    </row>
    <row r="214" spans="1:11" ht="12.95">
      <c r="A214" s="18"/>
      <c r="B214" s="18"/>
      <c r="C214" s="18"/>
      <c r="D214" s="18"/>
      <c r="E214" s="18"/>
      <c r="F214" s="18"/>
      <c r="G214" s="19"/>
      <c r="H214" s="18"/>
      <c r="I214" s="18"/>
      <c r="J214" s="19"/>
      <c r="K214" s="19"/>
    </row>
    <row r="215" spans="1:11" ht="12.95">
      <c r="A215" s="18"/>
      <c r="B215" s="18"/>
      <c r="C215" s="18"/>
      <c r="D215" s="18"/>
      <c r="E215" s="18"/>
      <c r="F215" s="18"/>
      <c r="G215" s="19"/>
      <c r="H215" s="18"/>
      <c r="I215" s="18"/>
      <c r="J215" s="19"/>
      <c r="K215" s="19"/>
    </row>
    <row r="216" spans="1:11" ht="12.95">
      <c r="A216" s="18"/>
      <c r="B216" s="18"/>
      <c r="C216" s="18"/>
      <c r="D216" s="18"/>
      <c r="E216" s="18"/>
      <c r="F216" s="18"/>
      <c r="G216" s="19"/>
      <c r="H216" s="18"/>
      <c r="I216" s="18"/>
      <c r="J216" s="19"/>
      <c r="K216" s="19"/>
    </row>
    <row r="217" spans="1:11" ht="12.95">
      <c r="A217" s="18"/>
      <c r="B217" s="18"/>
      <c r="C217" s="18"/>
      <c r="D217" s="18"/>
      <c r="E217" s="18"/>
      <c r="F217" s="18"/>
      <c r="G217" s="19"/>
      <c r="H217" s="18"/>
      <c r="I217" s="18"/>
      <c r="J217" s="19"/>
      <c r="K217" s="19"/>
    </row>
    <row r="218" spans="1:11" ht="12.95">
      <c r="A218" s="18"/>
      <c r="B218" s="18"/>
      <c r="C218" s="18"/>
      <c r="D218" s="18"/>
      <c r="E218" s="18"/>
      <c r="F218" s="18"/>
      <c r="G218" s="19"/>
      <c r="H218" s="18"/>
      <c r="I218" s="18"/>
      <c r="J218" s="19"/>
      <c r="K218" s="19"/>
    </row>
    <row r="219" spans="1:11" ht="12.95">
      <c r="A219" s="18"/>
      <c r="B219" s="18"/>
      <c r="C219" s="18"/>
      <c r="D219" s="18"/>
      <c r="E219" s="18"/>
      <c r="F219" s="18"/>
      <c r="G219" s="19"/>
      <c r="H219" s="18"/>
      <c r="I219" s="18"/>
      <c r="J219" s="19"/>
      <c r="K219" s="19"/>
    </row>
    <row r="220" spans="1:11" ht="12.95">
      <c r="A220" s="18"/>
      <c r="B220" s="18"/>
      <c r="C220" s="18"/>
      <c r="D220" s="18"/>
      <c r="E220" s="18"/>
      <c r="F220" s="18"/>
      <c r="G220" s="19"/>
      <c r="H220" s="18"/>
      <c r="I220" s="18"/>
      <c r="J220" s="19"/>
      <c r="K220" s="19"/>
    </row>
    <row r="221" spans="1:11" ht="12.95">
      <c r="A221" s="18"/>
      <c r="B221" s="18"/>
      <c r="C221" s="18"/>
      <c r="D221" s="18"/>
      <c r="E221" s="18"/>
      <c r="F221" s="18"/>
      <c r="G221" s="19"/>
      <c r="H221" s="18"/>
      <c r="I221" s="18"/>
      <c r="J221" s="19"/>
      <c r="K221" s="19"/>
    </row>
    <row r="222" spans="1:11" ht="12.95">
      <c r="A222" s="18"/>
      <c r="B222" s="18"/>
      <c r="C222" s="18"/>
      <c r="D222" s="18"/>
      <c r="E222" s="18"/>
      <c r="F222" s="18"/>
      <c r="G222" s="19"/>
      <c r="H222" s="18"/>
      <c r="I222" s="18"/>
      <c r="J222" s="19"/>
      <c r="K222" s="19"/>
    </row>
    <row r="223" spans="1:11" ht="12.95">
      <c r="A223" s="18"/>
      <c r="B223" s="18"/>
      <c r="C223" s="18"/>
      <c r="D223" s="18"/>
      <c r="E223" s="18"/>
      <c r="F223" s="18"/>
      <c r="G223" s="19"/>
      <c r="H223" s="18"/>
      <c r="I223" s="18"/>
      <c r="J223" s="19"/>
      <c r="K223" s="19"/>
    </row>
    <row r="224" spans="1:11" ht="12.95">
      <c r="A224" s="18"/>
      <c r="B224" s="18"/>
      <c r="C224" s="18"/>
      <c r="D224" s="18"/>
      <c r="E224" s="18"/>
      <c r="F224" s="18"/>
      <c r="G224" s="19"/>
      <c r="H224" s="18"/>
      <c r="I224" s="18"/>
      <c r="J224" s="19"/>
      <c r="K224" s="19"/>
    </row>
    <row r="225" spans="1:11" ht="12.95">
      <c r="A225" s="18"/>
      <c r="B225" s="18"/>
      <c r="C225" s="18"/>
      <c r="D225" s="18"/>
      <c r="E225" s="18"/>
      <c r="F225" s="18"/>
      <c r="G225" s="19"/>
      <c r="H225" s="18"/>
      <c r="I225" s="18"/>
      <c r="J225" s="19"/>
      <c r="K225" s="19"/>
    </row>
    <row r="226" spans="1:11" ht="12.95">
      <c r="A226" s="18"/>
      <c r="B226" s="18"/>
      <c r="C226" s="18"/>
      <c r="D226" s="18"/>
      <c r="E226" s="18"/>
      <c r="F226" s="18"/>
      <c r="G226" s="19"/>
      <c r="H226" s="18"/>
      <c r="I226" s="18"/>
      <c r="J226" s="19"/>
      <c r="K226" s="19"/>
    </row>
    <row r="227" spans="1:11" ht="12.95">
      <c r="A227" s="18"/>
      <c r="B227" s="18"/>
      <c r="C227" s="18"/>
      <c r="D227" s="18"/>
      <c r="E227" s="18"/>
      <c r="F227" s="18"/>
      <c r="G227" s="19"/>
      <c r="H227" s="18"/>
      <c r="I227" s="18"/>
      <c r="J227" s="19"/>
      <c r="K227" s="19"/>
    </row>
    <row r="228" spans="1:11" ht="12.95">
      <c r="A228" s="18"/>
      <c r="B228" s="18"/>
      <c r="C228" s="18"/>
      <c r="D228" s="18"/>
      <c r="E228" s="18"/>
      <c r="F228" s="18"/>
      <c r="G228" s="19"/>
      <c r="H228" s="18"/>
      <c r="I228" s="18"/>
      <c r="J228" s="19"/>
      <c r="K228" s="19"/>
    </row>
    <row r="229" spans="1:11" ht="12.95">
      <c r="A229" s="18"/>
      <c r="B229" s="18"/>
      <c r="C229" s="18"/>
      <c r="D229" s="18"/>
      <c r="E229" s="18"/>
      <c r="F229" s="18"/>
      <c r="G229" s="19"/>
      <c r="H229" s="18"/>
      <c r="I229" s="18"/>
      <c r="J229" s="19"/>
      <c r="K229" s="19"/>
    </row>
    <row r="230" spans="1:11" ht="12.95">
      <c r="A230" s="18"/>
      <c r="B230" s="18"/>
      <c r="C230" s="18"/>
      <c r="D230" s="18"/>
      <c r="E230" s="18"/>
      <c r="F230" s="18"/>
      <c r="G230" s="19"/>
      <c r="H230" s="18"/>
      <c r="I230" s="18"/>
      <c r="J230" s="19"/>
      <c r="K230" s="19"/>
    </row>
    <row r="231" spans="1:11" ht="12.95">
      <c r="A231" s="18"/>
      <c r="B231" s="18"/>
      <c r="C231" s="18"/>
      <c r="D231" s="18"/>
      <c r="E231" s="18"/>
      <c r="F231" s="18"/>
      <c r="G231" s="19"/>
      <c r="H231" s="18"/>
      <c r="I231" s="18"/>
      <c r="J231" s="19"/>
      <c r="K231" s="19"/>
    </row>
    <row r="232" spans="1:11" ht="12.95">
      <c r="A232" s="18"/>
      <c r="B232" s="18"/>
      <c r="C232" s="18"/>
      <c r="D232" s="18"/>
      <c r="E232" s="18"/>
      <c r="F232" s="18"/>
      <c r="G232" s="19"/>
      <c r="H232" s="18"/>
      <c r="I232" s="18"/>
      <c r="J232" s="19"/>
      <c r="K232" s="19"/>
    </row>
    <row r="233" spans="1:11" ht="12.95">
      <c r="A233" s="18"/>
      <c r="B233" s="18"/>
      <c r="C233" s="18"/>
      <c r="D233" s="18"/>
      <c r="E233" s="18"/>
      <c r="F233" s="18"/>
      <c r="G233" s="19"/>
      <c r="H233" s="18"/>
      <c r="I233" s="18"/>
      <c r="J233" s="19"/>
      <c r="K233" s="19"/>
    </row>
    <row r="234" spans="1:11" ht="12.95">
      <c r="A234" s="18"/>
      <c r="B234" s="18"/>
      <c r="C234" s="18"/>
      <c r="D234" s="18"/>
      <c r="E234" s="18"/>
      <c r="F234" s="18"/>
      <c r="G234" s="19"/>
      <c r="H234" s="18"/>
      <c r="I234" s="18"/>
      <c r="J234" s="19"/>
      <c r="K234" s="19"/>
    </row>
    <row r="235" spans="1:11" ht="12.95">
      <c r="A235" s="18"/>
      <c r="B235" s="18"/>
      <c r="C235" s="18"/>
      <c r="D235" s="18"/>
      <c r="E235" s="18"/>
      <c r="F235" s="18"/>
      <c r="G235" s="19"/>
      <c r="H235" s="18"/>
      <c r="I235" s="18"/>
      <c r="J235" s="19"/>
      <c r="K235" s="19"/>
    </row>
    <row r="236" spans="1:11" ht="12.95">
      <c r="A236" s="18"/>
      <c r="B236" s="18"/>
      <c r="C236" s="18"/>
      <c r="D236" s="18"/>
      <c r="E236" s="18"/>
      <c r="F236" s="18"/>
      <c r="G236" s="19"/>
      <c r="H236" s="18"/>
      <c r="I236" s="18"/>
      <c r="J236" s="19"/>
      <c r="K236" s="19"/>
    </row>
    <row r="237" spans="1:11" ht="12.95">
      <c r="A237" s="18"/>
      <c r="B237" s="18"/>
      <c r="C237" s="18"/>
      <c r="D237" s="18"/>
      <c r="E237" s="18"/>
      <c r="F237" s="18"/>
      <c r="G237" s="19"/>
      <c r="H237" s="18"/>
      <c r="I237" s="18"/>
      <c r="J237" s="19"/>
      <c r="K237" s="19"/>
    </row>
    <row r="238" spans="1:11" ht="12.95">
      <c r="A238" s="18"/>
      <c r="B238" s="18"/>
      <c r="C238" s="18"/>
      <c r="D238" s="18"/>
      <c r="E238" s="18"/>
      <c r="F238" s="18"/>
      <c r="G238" s="19"/>
      <c r="H238" s="18"/>
      <c r="I238" s="18"/>
      <c r="J238" s="19"/>
      <c r="K238" s="19"/>
    </row>
    <row r="239" spans="1:11" ht="12.95">
      <c r="A239" s="18"/>
      <c r="B239" s="18"/>
      <c r="C239" s="18"/>
      <c r="D239" s="18"/>
      <c r="E239" s="18"/>
      <c r="F239" s="18"/>
      <c r="G239" s="19"/>
      <c r="H239" s="18"/>
      <c r="I239" s="18"/>
      <c r="J239" s="19"/>
      <c r="K239" s="19"/>
    </row>
    <row r="240" spans="1:11" ht="12.95">
      <c r="A240" s="18"/>
      <c r="B240" s="18"/>
      <c r="C240" s="18"/>
      <c r="D240" s="18"/>
      <c r="E240" s="18"/>
      <c r="F240" s="18"/>
      <c r="G240" s="19"/>
      <c r="H240" s="18"/>
      <c r="I240" s="18"/>
      <c r="J240" s="19"/>
      <c r="K240" s="19"/>
    </row>
    <row r="241" spans="1:11" ht="12.95">
      <c r="A241" s="18"/>
      <c r="B241" s="18"/>
      <c r="C241" s="18"/>
      <c r="D241" s="18"/>
      <c r="E241" s="18"/>
      <c r="F241" s="18"/>
      <c r="G241" s="19"/>
      <c r="H241" s="18"/>
      <c r="I241" s="18"/>
      <c r="J241" s="19"/>
      <c r="K241" s="19"/>
    </row>
    <row r="242" spans="1:11" ht="12.95">
      <c r="A242" s="18"/>
      <c r="B242" s="18"/>
      <c r="C242" s="18"/>
      <c r="D242" s="18"/>
      <c r="E242" s="18"/>
      <c r="F242" s="18"/>
      <c r="G242" s="19"/>
      <c r="H242" s="18"/>
      <c r="I242" s="18"/>
      <c r="J242" s="19"/>
      <c r="K242" s="19"/>
    </row>
    <row r="243" spans="1:11" ht="12.95">
      <c r="A243" s="18"/>
      <c r="B243" s="18"/>
      <c r="C243" s="18"/>
      <c r="D243" s="18"/>
      <c r="E243" s="18"/>
      <c r="F243" s="18"/>
      <c r="G243" s="19"/>
      <c r="H243" s="18"/>
      <c r="I243" s="18"/>
      <c r="J243" s="19"/>
      <c r="K243" s="19"/>
    </row>
    <row r="244" spans="1:11" ht="12.95">
      <c r="A244" s="18"/>
      <c r="B244" s="18"/>
      <c r="C244" s="18"/>
      <c r="D244" s="18"/>
      <c r="E244" s="18"/>
      <c r="F244" s="18"/>
      <c r="G244" s="19"/>
      <c r="H244" s="18"/>
      <c r="I244" s="18"/>
      <c r="J244" s="19"/>
      <c r="K244" s="19"/>
    </row>
    <row r="245" spans="1:11" ht="12.95">
      <c r="A245" s="18"/>
      <c r="B245" s="18"/>
      <c r="C245" s="18"/>
      <c r="D245" s="18"/>
      <c r="E245" s="18"/>
      <c r="F245" s="18"/>
      <c r="G245" s="19"/>
      <c r="H245" s="18"/>
      <c r="I245" s="18"/>
      <c r="J245" s="19"/>
      <c r="K245" s="19"/>
    </row>
    <row r="246" spans="1:11" ht="12.95">
      <c r="A246" s="18"/>
      <c r="B246" s="18"/>
      <c r="C246" s="18"/>
      <c r="D246" s="18"/>
      <c r="E246" s="18"/>
      <c r="F246" s="18"/>
      <c r="G246" s="19"/>
      <c r="H246" s="18"/>
      <c r="I246" s="18"/>
      <c r="J246" s="19"/>
      <c r="K246" s="19"/>
    </row>
    <row r="247" spans="1:11" ht="12.95">
      <c r="A247" s="18"/>
      <c r="B247" s="18"/>
      <c r="C247" s="18"/>
      <c r="D247" s="18"/>
      <c r="E247" s="18"/>
      <c r="F247" s="18"/>
      <c r="G247" s="19"/>
      <c r="H247" s="18"/>
      <c r="I247" s="18"/>
      <c r="J247" s="19"/>
      <c r="K247" s="19"/>
    </row>
    <row r="248" spans="1:11" ht="12.95">
      <c r="A248" s="18"/>
      <c r="B248" s="18"/>
      <c r="C248" s="18"/>
      <c r="D248" s="18"/>
      <c r="E248" s="18"/>
      <c r="F248" s="18"/>
      <c r="G248" s="19"/>
      <c r="H248" s="18"/>
      <c r="I248" s="18"/>
      <c r="J248" s="19"/>
      <c r="K248" s="19"/>
    </row>
    <row r="249" spans="1:11" ht="12.95">
      <c r="A249" s="18"/>
      <c r="B249" s="18"/>
      <c r="C249" s="18"/>
      <c r="D249" s="18"/>
      <c r="E249" s="18"/>
      <c r="F249" s="18"/>
      <c r="G249" s="19"/>
      <c r="H249" s="18"/>
      <c r="I249" s="18"/>
      <c r="J249" s="19"/>
      <c r="K249" s="19"/>
    </row>
    <row r="250" spans="1:11" ht="12.95">
      <c r="A250" s="18"/>
      <c r="B250" s="18"/>
      <c r="C250" s="18"/>
      <c r="D250" s="18"/>
      <c r="E250" s="18"/>
      <c r="F250" s="18"/>
      <c r="G250" s="19"/>
      <c r="H250" s="18"/>
      <c r="I250" s="18"/>
      <c r="J250" s="19"/>
      <c r="K250" s="19"/>
    </row>
    <row r="251" spans="1:11" ht="12.95">
      <c r="A251" s="18"/>
      <c r="B251" s="18"/>
      <c r="C251" s="18"/>
      <c r="D251" s="18"/>
      <c r="E251" s="18"/>
      <c r="F251" s="18"/>
      <c r="G251" s="19"/>
      <c r="H251" s="18"/>
      <c r="I251" s="18"/>
      <c r="J251" s="19"/>
      <c r="K251" s="19"/>
    </row>
    <row r="252" spans="1:11" ht="12.95">
      <c r="A252" s="18"/>
      <c r="B252" s="18"/>
      <c r="C252" s="18"/>
      <c r="D252" s="18"/>
      <c r="E252" s="18"/>
      <c r="F252" s="18"/>
      <c r="G252" s="19"/>
      <c r="H252" s="18"/>
      <c r="I252" s="18"/>
      <c r="J252" s="19"/>
      <c r="K252" s="19"/>
    </row>
    <row r="253" spans="1:11" ht="12.95">
      <c r="A253" s="18"/>
      <c r="B253" s="18"/>
      <c r="C253" s="18"/>
      <c r="D253" s="18"/>
      <c r="E253" s="18"/>
      <c r="F253" s="18"/>
      <c r="G253" s="19"/>
      <c r="H253" s="18"/>
      <c r="I253" s="18"/>
      <c r="J253" s="19"/>
      <c r="K253" s="19"/>
    </row>
    <row r="254" spans="1:11" ht="12.95">
      <c r="A254" s="18"/>
      <c r="B254" s="18"/>
      <c r="C254" s="18"/>
      <c r="D254" s="18"/>
      <c r="E254" s="18"/>
      <c r="F254" s="18"/>
      <c r="G254" s="19"/>
      <c r="H254" s="18"/>
      <c r="I254" s="18"/>
      <c r="J254" s="19"/>
      <c r="K254" s="19"/>
    </row>
    <row r="255" spans="1:11" ht="12.95">
      <c r="A255" s="18"/>
      <c r="B255" s="18"/>
      <c r="C255" s="18"/>
      <c r="D255" s="18"/>
      <c r="E255" s="18"/>
      <c r="F255" s="18"/>
      <c r="G255" s="19"/>
      <c r="H255" s="18"/>
      <c r="I255" s="18"/>
      <c r="J255" s="19"/>
      <c r="K255" s="19"/>
    </row>
    <row r="256" spans="1:11" ht="12.95">
      <c r="A256" s="18"/>
      <c r="B256" s="18"/>
      <c r="C256" s="18"/>
      <c r="D256" s="18"/>
      <c r="E256" s="18"/>
      <c r="F256" s="18"/>
      <c r="G256" s="19"/>
      <c r="H256" s="18"/>
      <c r="I256" s="18"/>
      <c r="J256" s="19"/>
      <c r="K256" s="19"/>
    </row>
    <row r="257" spans="1:11" ht="12.95">
      <c r="A257" s="18"/>
      <c r="B257" s="18"/>
      <c r="C257" s="18"/>
      <c r="D257" s="18"/>
      <c r="E257" s="18"/>
      <c r="F257" s="18"/>
      <c r="G257" s="19"/>
      <c r="H257" s="18"/>
      <c r="I257" s="18"/>
      <c r="J257" s="19"/>
      <c r="K257" s="19"/>
    </row>
    <row r="258" spans="1:11" ht="12.95">
      <c r="A258" s="18"/>
      <c r="B258" s="18"/>
      <c r="C258" s="18"/>
      <c r="D258" s="18"/>
      <c r="E258" s="18"/>
      <c r="F258" s="18"/>
      <c r="G258" s="19"/>
      <c r="H258" s="18"/>
      <c r="I258" s="18"/>
      <c r="J258" s="19"/>
      <c r="K258" s="19"/>
    </row>
    <row r="259" spans="1:11" ht="12.95">
      <c r="A259" s="18"/>
      <c r="B259" s="18"/>
      <c r="C259" s="18"/>
      <c r="D259" s="18"/>
      <c r="E259" s="18"/>
      <c r="F259" s="18"/>
      <c r="G259" s="19"/>
      <c r="H259" s="18"/>
      <c r="I259" s="18"/>
      <c r="J259" s="19"/>
      <c r="K259" s="19"/>
    </row>
    <row r="260" spans="1:11" ht="12.95">
      <c r="A260" s="18"/>
      <c r="B260" s="18"/>
      <c r="C260" s="18"/>
      <c r="D260" s="18"/>
      <c r="E260" s="18"/>
      <c r="F260" s="18"/>
      <c r="G260" s="19"/>
      <c r="H260" s="18"/>
      <c r="I260" s="18"/>
      <c r="J260" s="19"/>
      <c r="K260" s="19"/>
    </row>
    <row r="261" spans="1:11" ht="12.95">
      <c r="A261" s="18"/>
      <c r="B261" s="18"/>
      <c r="C261" s="18"/>
      <c r="D261" s="18"/>
      <c r="E261" s="18"/>
      <c r="F261" s="18"/>
      <c r="G261" s="19"/>
      <c r="H261" s="18"/>
      <c r="I261" s="18"/>
      <c r="J261" s="19"/>
      <c r="K261" s="19"/>
    </row>
    <row r="262" spans="1:11" ht="12.95">
      <c r="A262" s="18"/>
      <c r="B262" s="18"/>
      <c r="C262" s="18"/>
      <c r="D262" s="18"/>
      <c r="E262" s="18"/>
      <c r="F262" s="18"/>
      <c r="G262" s="19"/>
      <c r="H262" s="18"/>
      <c r="I262" s="18"/>
      <c r="J262" s="19"/>
      <c r="K262" s="19"/>
    </row>
    <row r="263" spans="1:11" ht="12.95">
      <c r="A263" s="18"/>
      <c r="B263" s="18"/>
      <c r="C263" s="18"/>
      <c r="D263" s="18"/>
      <c r="E263" s="18"/>
      <c r="F263" s="18"/>
      <c r="G263" s="19"/>
      <c r="H263" s="18"/>
      <c r="I263" s="18"/>
      <c r="J263" s="19"/>
      <c r="K263" s="19"/>
    </row>
    <row r="264" spans="1:11" ht="12.95">
      <c r="A264" s="18"/>
      <c r="B264" s="18"/>
      <c r="C264" s="18"/>
      <c r="D264" s="18"/>
      <c r="E264" s="18"/>
      <c r="F264" s="18"/>
      <c r="G264" s="19"/>
      <c r="H264" s="18"/>
      <c r="I264" s="18"/>
      <c r="J264" s="19"/>
      <c r="K264" s="19"/>
    </row>
    <row r="265" spans="1:11" ht="12.95">
      <c r="A265" s="18"/>
      <c r="B265" s="18"/>
      <c r="C265" s="18"/>
      <c r="D265" s="18"/>
      <c r="E265" s="18"/>
      <c r="F265" s="18"/>
      <c r="G265" s="19"/>
      <c r="H265" s="18"/>
      <c r="I265" s="18"/>
      <c r="J265" s="19"/>
      <c r="K265" s="19"/>
    </row>
    <row r="266" spans="1:11" ht="12.95">
      <c r="A266" s="18"/>
      <c r="B266" s="18"/>
      <c r="C266" s="18"/>
      <c r="D266" s="18"/>
      <c r="E266" s="18"/>
      <c r="F266" s="18"/>
      <c r="G266" s="19"/>
      <c r="H266" s="18"/>
      <c r="I266" s="18"/>
      <c r="J266" s="19"/>
      <c r="K266" s="19"/>
    </row>
    <row r="267" spans="1:11" ht="12.95">
      <c r="A267" s="18"/>
      <c r="B267" s="18"/>
      <c r="C267" s="18"/>
      <c r="D267" s="18"/>
      <c r="E267" s="18"/>
      <c r="F267" s="18"/>
      <c r="G267" s="19"/>
      <c r="H267" s="18"/>
      <c r="I267" s="18"/>
      <c r="J267" s="19"/>
      <c r="K267" s="19"/>
    </row>
    <row r="268" spans="1:11" ht="12.95">
      <c r="A268" s="18"/>
      <c r="B268" s="18"/>
      <c r="C268" s="18"/>
      <c r="D268" s="18"/>
      <c r="E268" s="18"/>
      <c r="F268" s="18"/>
      <c r="G268" s="19"/>
      <c r="H268" s="18"/>
      <c r="I268" s="18"/>
      <c r="J268" s="19"/>
      <c r="K268" s="19"/>
    </row>
    <row r="269" spans="1:11" ht="12.95">
      <c r="A269" s="18"/>
      <c r="B269" s="18"/>
      <c r="C269" s="18"/>
      <c r="D269" s="18"/>
      <c r="E269" s="18"/>
      <c r="F269" s="18"/>
      <c r="G269" s="19"/>
      <c r="H269" s="18"/>
      <c r="I269" s="18"/>
      <c r="J269" s="19"/>
      <c r="K269" s="19"/>
    </row>
    <row r="270" spans="1:11" ht="12.95">
      <c r="A270" s="18"/>
      <c r="B270" s="18"/>
      <c r="C270" s="18"/>
      <c r="D270" s="18"/>
      <c r="E270" s="18"/>
      <c r="F270" s="18"/>
      <c r="G270" s="19"/>
      <c r="H270" s="18"/>
      <c r="I270" s="18"/>
      <c r="J270" s="19"/>
      <c r="K270" s="19"/>
    </row>
    <row r="271" spans="1:11" ht="12.95">
      <c r="A271" s="18"/>
      <c r="B271" s="18"/>
      <c r="C271" s="18"/>
      <c r="D271" s="18"/>
      <c r="E271" s="18"/>
      <c r="F271" s="18"/>
      <c r="G271" s="19"/>
      <c r="H271" s="18"/>
      <c r="I271" s="18"/>
      <c r="J271" s="19"/>
      <c r="K271" s="19"/>
    </row>
    <row r="272" spans="1:11" ht="12.95">
      <c r="A272" s="18"/>
      <c r="B272" s="18"/>
      <c r="C272" s="18"/>
      <c r="D272" s="18"/>
      <c r="E272" s="18"/>
      <c r="F272" s="18"/>
      <c r="G272" s="19"/>
      <c r="H272" s="18"/>
      <c r="I272" s="18"/>
      <c r="J272" s="19"/>
      <c r="K272" s="19"/>
    </row>
    <row r="273" spans="1:11" ht="12.95">
      <c r="A273" s="18"/>
      <c r="B273" s="18"/>
      <c r="C273" s="18"/>
      <c r="D273" s="18"/>
      <c r="E273" s="18"/>
      <c r="F273" s="18"/>
      <c r="G273" s="19"/>
      <c r="H273" s="18"/>
      <c r="I273" s="18"/>
      <c r="J273" s="19"/>
      <c r="K273" s="19"/>
    </row>
    <row r="274" spans="1:11" ht="12.95">
      <c r="A274" s="18"/>
      <c r="B274" s="18"/>
      <c r="C274" s="18"/>
      <c r="D274" s="18"/>
      <c r="E274" s="18"/>
      <c r="F274" s="18"/>
      <c r="G274" s="19"/>
      <c r="H274" s="18"/>
      <c r="I274" s="18"/>
      <c r="J274" s="19"/>
      <c r="K274" s="19"/>
    </row>
    <row r="275" spans="1:11" ht="12.95">
      <c r="A275" s="18"/>
      <c r="B275" s="18"/>
      <c r="C275" s="18"/>
      <c r="D275" s="18"/>
      <c r="E275" s="18"/>
      <c r="F275" s="18"/>
      <c r="G275" s="19"/>
      <c r="H275" s="18"/>
      <c r="I275" s="18"/>
      <c r="J275" s="19"/>
      <c r="K275" s="19"/>
    </row>
    <row r="276" spans="1:11" ht="12.95">
      <c r="A276" s="18"/>
      <c r="B276" s="18"/>
      <c r="C276" s="18"/>
      <c r="D276" s="18"/>
      <c r="E276" s="18"/>
      <c r="F276" s="18"/>
      <c r="G276" s="19"/>
      <c r="H276" s="18"/>
      <c r="I276" s="18"/>
      <c r="J276" s="19"/>
      <c r="K276" s="19"/>
    </row>
    <row r="277" spans="1:11" ht="12.95">
      <c r="A277" s="18"/>
      <c r="B277" s="18"/>
      <c r="C277" s="18"/>
      <c r="D277" s="18"/>
      <c r="E277" s="18"/>
      <c r="F277" s="18"/>
      <c r="G277" s="19"/>
      <c r="H277" s="18"/>
      <c r="I277" s="18"/>
      <c r="J277" s="19"/>
      <c r="K277" s="19"/>
    </row>
    <row r="278" spans="1:11" ht="12.95">
      <c r="A278" s="18"/>
      <c r="B278" s="18"/>
      <c r="C278" s="18"/>
      <c r="D278" s="18"/>
      <c r="E278" s="18"/>
      <c r="F278" s="18"/>
      <c r="G278" s="19"/>
      <c r="H278" s="18"/>
      <c r="I278" s="18"/>
      <c r="J278" s="19"/>
      <c r="K278" s="19"/>
    </row>
    <row r="279" spans="1:11" ht="12.95">
      <c r="A279" s="18"/>
      <c r="B279" s="18"/>
      <c r="C279" s="18"/>
      <c r="D279" s="18"/>
      <c r="E279" s="18"/>
      <c r="F279" s="18"/>
      <c r="G279" s="19"/>
      <c r="H279" s="18"/>
      <c r="I279" s="18"/>
      <c r="J279" s="19"/>
      <c r="K279" s="19"/>
    </row>
    <row r="280" spans="1:11" ht="12.95">
      <c r="A280" s="18"/>
      <c r="B280" s="18"/>
      <c r="C280" s="18"/>
      <c r="D280" s="18"/>
      <c r="E280" s="18"/>
      <c r="F280" s="18"/>
      <c r="G280" s="19"/>
      <c r="H280" s="18"/>
      <c r="I280" s="18"/>
      <c r="J280" s="19"/>
      <c r="K280" s="19"/>
    </row>
    <row r="281" spans="1:11" ht="12.95">
      <c r="A281" s="18"/>
      <c r="B281" s="18"/>
      <c r="C281" s="18"/>
      <c r="D281" s="18"/>
      <c r="E281" s="18"/>
      <c r="F281" s="18"/>
      <c r="G281" s="19"/>
      <c r="H281" s="18"/>
      <c r="I281" s="18"/>
      <c r="J281" s="19"/>
      <c r="K281" s="19"/>
    </row>
    <row r="282" spans="1:11" ht="12.95">
      <c r="A282" s="18"/>
      <c r="B282" s="18"/>
      <c r="C282" s="18"/>
      <c r="D282" s="18"/>
      <c r="E282" s="18"/>
      <c r="F282" s="18"/>
      <c r="G282" s="19"/>
      <c r="H282" s="18"/>
      <c r="I282" s="18"/>
      <c r="J282" s="19"/>
      <c r="K282" s="19"/>
    </row>
    <row r="283" spans="1:11" ht="12.95">
      <c r="A283" s="18"/>
      <c r="B283" s="18"/>
      <c r="C283" s="18"/>
      <c r="D283" s="18"/>
      <c r="E283" s="18"/>
      <c r="F283" s="18"/>
      <c r="G283" s="19"/>
      <c r="H283" s="18"/>
      <c r="I283" s="18"/>
      <c r="J283" s="19"/>
      <c r="K283" s="19"/>
    </row>
    <row r="284" spans="1:11" ht="12.95">
      <c r="A284" s="18"/>
      <c r="B284" s="18"/>
      <c r="C284" s="18"/>
      <c r="D284" s="18"/>
      <c r="E284" s="18"/>
      <c r="F284" s="18"/>
      <c r="G284" s="19"/>
      <c r="H284" s="18"/>
      <c r="I284" s="18"/>
      <c r="J284" s="19"/>
      <c r="K284" s="19"/>
    </row>
    <row r="285" spans="1:11" ht="12.95">
      <c r="A285" s="18"/>
      <c r="B285" s="18"/>
      <c r="C285" s="18"/>
      <c r="D285" s="18"/>
      <c r="E285" s="18"/>
      <c r="F285" s="18"/>
      <c r="G285" s="19"/>
      <c r="H285" s="18"/>
      <c r="I285" s="18"/>
      <c r="J285" s="19"/>
      <c r="K285" s="19"/>
    </row>
    <row r="286" spans="1:11" ht="12.95">
      <c r="A286" s="18"/>
      <c r="B286" s="18"/>
      <c r="C286" s="18"/>
      <c r="D286" s="18"/>
      <c r="E286" s="18"/>
      <c r="F286" s="18"/>
      <c r="G286" s="19"/>
      <c r="H286" s="18"/>
      <c r="I286" s="18"/>
      <c r="J286" s="19"/>
      <c r="K286" s="19"/>
    </row>
    <row r="287" spans="1:11" ht="12.95">
      <c r="A287" s="18"/>
      <c r="B287" s="18"/>
      <c r="C287" s="18"/>
      <c r="D287" s="18"/>
      <c r="E287" s="18"/>
      <c r="F287" s="18"/>
      <c r="G287" s="19"/>
      <c r="H287" s="18"/>
      <c r="I287" s="18"/>
      <c r="J287" s="19"/>
      <c r="K287" s="19"/>
    </row>
    <row r="288" spans="1:11" ht="12.95">
      <c r="A288" s="18"/>
      <c r="B288" s="18"/>
      <c r="C288" s="18"/>
      <c r="D288" s="18"/>
      <c r="E288" s="18"/>
      <c r="F288" s="18"/>
      <c r="G288" s="19"/>
      <c r="H288" s="18"/>
      <c r="I288" s="18"/>
      <c r="J288" s="19"/>
      <c r="K288" s="19"/>
    </row>
    <row r="289" spans="1:11" ht="12.95">
      <c r="A289" s="18"/>
      <c r="B289" s="18"/>
      <c r="C289" s="18"/>
      <c r="D289" s="18"/>
      <c r="E289" s="18"/>
      <c r="F289" s="18"/>
      <c r="G289" s="19"/>
      <c r="H289" s="18"/>
      <c r="I289" s="18"/>
      <c r="J289" s="19"/>
      <c r="K289" s="19"/>
    </row>
    <row r="290" spans="1:11" ht="12.95">
      <c r="A290" s="18"/>
      <c r="B290" s="18"/>
      <c r="C290" s="18"/>
      <c r="D290" s="18"/>
      <c r="E290" s="18"/>
      <c r="F290" s="18"/>
      <c r="G290" s="19"/>
      <c r="H290" s="18"/>
      <c r="I290" s="18"/>
      <c r="J290" s="19"/>
      <c r="K290" s="19"/>
    </row>
    <row r="291" spans="1:11" ht="12.95">
      <c r="A291" s="18"/>
      <c r="B291" s="18"/>
      <c r="C291" s="18"/>
      <c r="D291" s="18"/>
      <c r="E291" s="18"/>
      <c r="F291" s="18"/>
      <c r="G291" s="19"/>
      <c r="H291" s="18"/>
      <c r="I291" s="18"/>
      <c r="J291" s="19"/>
      <c r="K291" s="19"/>
    </row>
    <row r="292" spans="1:11" ht="12.95">
      <c r="A292" s="18"/>
      <c r="B292" s="18"/>
      <c r="C292" s="18"/>
      <c r="D292" s="18"/>
      <c r="E292" s="18"/>
      <c r="F292" s="18"/>
      <c r="G292" s="19"/>
      <c r="H292" s="18"/>
      <c r="I292" s="18"/>
      <c r="J292" s="19"/>
      <c r="K292" s="19"/>
    </row>
    <row r="293" spans="1:11" ht="12.95">
      <c r="A293" s="18"/>
      <c r="B293" s="18"/>
      <c r="C293" s="18"/>
      <c r="D293" s="18"/>
      <c r="E293" s="18"/>
      <c r="F293" s="18"/>
      <c r="G293" s="19"/>
      <c r="H293" s="18"/>
      <c r="I293" s="18"/>
      <c r="J293" s="19"/>
      <c r="K293" s="19"/>
    </row>
    <row r="294" spans="1:11" ht="12.95">
      <c r="A294" s="18"/>
      <c r="B294" s="18"/>
      <c r="C294" s="18"/>
      <c r="D294" s="18"/>
      <c r="E294" s="18"/>
      <c r="F294" s="18"/>
      <c r="G294" s="19"/>
      <c r="H294" s="18"/>
      <c r="I294" s="18"/>
      <c r="J294" s="19"/>
      <c r="K294" s="19"/>
    </row>
    <row r="295" spans="1:11" ht="12.95">
      <c r="A295" s="18"/>
      <c r="B295" s="18"/>
      <c r="C295" s="18"/>
      <c r="D295" s="18"/>
      <c r="E295" s="18"/>
      <c r="F295" s="18"/>
      <c r="G295" s="19"/>
      <c r="H295" s="18"/>
      <c r="I295" s="18"/>
      <c r="J295" s="19"/>
      <c r="K295" s="19"/>
    </row>
    <row r="296" spans="1:11" ht="12.95">
      <c r="A296" s="18"/>
      <c r="B296" s="18"/>
      <c r="C296" s="18"/>
      <c r="D296" s="18"/>
      <c r="E296" s="18"/>
      <c r="F296" s="18"/>
      <c r="G296" s="19"/>
      <c r="H296" s="18"/>
      <c r="I296" s="18"/>
      <c r="J296" s="19"/>
      <c r="K296" s="19"/>
    </row>
    <row r="297" spans="1:11" ht="12.95">
      <c r="A297" s="18"/>
      <c r="B297" s="18"/>
      <c r="C297" s="18"/>
      <c r="D297" s="18"/>
      <c r="E297" s="18"/>
      <c r="F297" s="18"/>
      <c r="G297" s="19"/>
      <c r="H297" s="18"/>
      <c r="I297" s="18"/>
      <c r="J297" s="19"/>
      <c r="K297" s="19"/>
    </row>
    <row r="298" spans="1:11" ht="12.95">
      <c r="A298" s="18"/>
      <c r="B298" s="18"/>
      <c r="C298" s="18"/>
      <c r="D298" s="18"/>
      <c r="E298" s="18"/>
      <c r="F298" s="18"/>
      <c r="G298" s="19"/>
      <c r="H298" s="18"/>
      <c r="I298" s="18"/>
      <c r="J298" s="19"/>
      <c r="K298" s="19"/>
    </row>
    <row r="299" spans="1:11" ht="12.95">
      <c r="A299" s="18"/>
      <c r="B299" s="18"/>
      <c r="C299" s="18"/>
      <c r="D299" s="18"/>
      <c r="E299" s="18"/>
      <c r="F299" s="18"/>
      <c r="G299" s="19"/>
      <c r="H299" s="18"/>
      <c r="I299" s="18"/>
      <c r="J299" s="19"/>
      <c r="K299" s="19"/>
    </row>
    <row r="300" spans="1:11" ht="12.95">
      <c r="A300" s="18"/>
      <c r="B300" s="18"/>
      <c r="C300" s="18"/>
      <c r="D300" s="18"/>
      <c r="E300" s="18"/>
      <c r="F300" s="18"/>
      <c r="G300" s="19"/>
      <c r="H300" s="18"/>
      <c r="I300" s="18"/>
      <c r="J300" s="19"/>
      <c r="K300" s="19"/>
    </row>
    <row r="301" spans="1:11" ht="12.95">
      <c r="A301" s="18"/>
      <c r="B301" s="18"/>
      <c r="C301" s="18"/>
      <c r="D301" s="18"/>
      <c r="E301" s="18"/>
      <c r="F301" s="18"/>
      <c r="G301" s="19"/>
      <c r="H301" s="18"/>
      <c r="I301" s="18"/>
      <c r="J301" s="19"/>
      <c r="K301" s="19"/>
    </row>
    <row r="302" spans="1:11" ht="12.95">
      <c r="A302" s="18"/>
      <c r="B302" s="18"/>
      <c r="C302" s="18"/>
      <c r="D302" s="18"/>
      <c r="E302" s="18"/>
      <c r="F302" s="18"/>
      <c r="G302" s="19"/>
      <c r="H302" s="18"/>
      <c r="I302" s="18"/>
      <c r="J302" s="19"/>
      <c r="K302" s="19"/>
    </row>
    <row r="303" spans="1:11" ht="12.95">
      <c r="A303" s="18"/>
      <c r="B303" s="18"/>
      <c r="C303" s="18"/>
      <c r="D303" s="18"/>
      <c r="E303" s="18"/>
      <c r="F303" s="18"/>
      <c r="G303" s="19"/>
      <c r="H303" s="18"/>
      <c r="I303" s="18"/>
      <c r="J303" s="19"/>
      <c r="K303" s="19"/>
    </row>
    <row r="304" spans="1:11" ht="12.95">
      <c r="A304" s="18"/>
      <c r="B304" s="18"/>
      <c r="C304" s="18"/>
      <c r="D304" s="18"/>
      <c r="E304" s="18"/>
      <c r="F304" s="18"/>
      <c r="G304" s="19"/>
      <c r="H304" s="18"/>
      <c r="I304" s="18"/>
      <c r="J304" s="19"/>
      <c r="K304" s="19"/>
    </row>
    <row r="305" spans="1:11" ht="12.95">
      <c r="A305" s="18"/>
      <c r="B305" s="18"/>
      <c r="C305" s="18"/>
      <c r="D305" s="18"/>
      <c r="E305" s="18"/>
      <c r="F305" s="18"/>
      <c r="G305" s="19"/>
      <c r="H305" s="18"/>
      <c r="I305" s="18"/>
      <c r="J305" s="19"/>
      <c r="K305" s="19"/>
    </row>
    <row r="306" spans="1:11" ht="12.95">
      <c r="A306" s="18"/>
      <c r="B306" s="18"/>
      <c r="C306" s="18"/>
      <c r="D306" s="18"/>
      <c r="E306" s="18"/>
      <c r="F306" s="18"/>
      <c r="G306" s="19"/>
      <c r="H306" s="18"/>
      <c r="I306" s="18"/>
      <c r="J306" s="19"/>
      <c r="K306" s="19"/>
    </row>
    <row r="307" spans="1:11" ht="12.95">
      <c r="A307" s="18"/>
      <c r="B307" s="18"/>
      <c r="C307" s="18"/>
      <c r="D307" s="18"/>
      <c r="E307" s="18"/>
      <c r="F307" s="18"/>
      <c r="G307" s="19"/>
      <c r="H307" s="18"/>
      <c r="I307" s="18"/>
      <c r="J307" s="19"/>
      <c r="K307" s="19"/>
    </row>
    <row r="308" spans="1:11" ht="12.95">
      <c r="A308" s="18"/>
      <c r="B308" s="18"/>
      <c r="C308" s="18"/>
      <c r="D308" s="18"/>
      <c r="E308" s="18"/>
      <c r="F308" s="18"/>
      <c r="G308" s="19"/>
      <c r="H308" s="18"/>
      <c r="I308" s="18"/>
      <c r="J308" s="19"/>
      <c r="K308" s="19"/>
    </row>
    <row r="309" spans="1:11" ht="12.95">
      <c r="A309" s="18"/>
      <c r="B309" s="18"/>
      <c r="C309" s="18"/>
      <c r="D309" s="18"/>
      <c r="E309" s="18"/>
      <c r="F309" s="18"/>
      <c r="G309" s="19"/>
      <c r="H309" s="18"/>
      <c r="I309" s="18"/>
      <c r="J309" s="19"/>
      <c r="K309" s="19"/>
    </row>
    <row r="310" spans="1:11" ht="12.95">
      <c r="A310" s="18"/>
      <c r="B310" s="18"/>
      <c r="C310" s="18"/>
      <c r="D310" s="18"/>
      <c r="E310" s="18"/>
      <c r="F310" s="18"/>
      <c r="G310" s="19"/>
      <c r="H310" s="18"/>
      <c r="I310" s="18"/>
      <c r="J310" s="19"/>
      <c r="K310" s="19"/>
    </row>
    <row r="311" spans="1:11" ht="12.95">
      <c r="A311" s="18"/>
      <c r="B311" s="18"/>
      <c r="C311" s="18"/>
      <c r="D311" s="18"/>
      <c r="E311" s="18"/>
      <c r="F311" s="18"/>
      <c r="G311" s="19"/>
      <c r="H311" s="18"/>
      <c r="I311" s="18"/>
      <c r="J311" s="19"/>
      <c r="K311" s="19"/>
    </row>
    <row r="312" spans="1:11" ht="12.95">
      <c r="A312" s="18"/>
      <c r="B312" s="18"/>
      <c r="C312" s="18"/>
      <c r="D312" s="18"/>
      <c r="E312" s="18"/>
      <c r="F312" s="18"/>
      <c r="G312" s="19"/>
      <c r="H312" s="18"/>
      <c r="I312" s="18"/>
      <c r="J312" s="19"/>
      <c r="K312" s="19"/>
    </row>
    <row r="313" spans="1:11" ht="12.95">
      <c r="A313" s="18"/>
      <c r="B313" s="18"/>
      <c r="C313" s="18"/>
      <c r="D313" s="18"/>
      <c r="E313" s="18"/>
      <c r="F313" s="18"/>
      <c r="G313" s="19"/>
      <c r="H313" s="18"/>
      <c r="I313" s="18"/>
      <c r="J313" s="19"/>
      <c r="K313" s="19"/>
    </row>
    <row r="314" spans="1:11" ht="12.95">
      <c r="A314" s="18"/>
      <c r="B314" s="18"/>
      <c r="C314" s="18"/>
      <c r="D314" s="18"/>
      <c r="E314" s="18"/>
      <c r="F314" s="18"/>
      <c r="G314" s="19"/>
      <c r="H314" s="18"/>
      <c r="I314" s="18"/>
      <c r="J314" s="19"/>
      <c r="K314" s="19"/>
    </row>
    <row r="315" spans="1:11" ht="12.95">
      <c r="A315" s="18"/>
      <c r="B315" s="18"/>
      <c r="C315" s="18"/>
      <c r="D315" s="18"/>
      <c r="E315" s="18"/>
      <c r="F315" s="18"/>
      <c r="G315" s="19"/>
      <c r="H315" s="18"/>
      <c r="I315" s="18"/>
      <c r="J315" s="19"/>
      <c r="K315" s="19"/>
    </row>
    <row r="316" spans="1:11" ht="12.95">
      <c r="A316" s="18"/>
      <c r="B316" s="18"/>
      <c r="C316" s="18"/>
      <c r="D316" s="18"/>
      <c r="E316" s="18"/>
      <c r="F316" s="18"/>
      <c r="G316" s="19"/>
      <c r="H316" s="18"/>
      <c r="I316" s="18"/>
      <c r="J316" s="19"/>
      <c r="K316" s="19"/>
    </row>
    <row r="317" spans="1:11" ht="12.95">
      <c r="A317" s="18"/>
      <c r="B317" s="18"/>
      <c r="C317" s="18"/>
      <c r="D317" s="18"/>
      <c r="E317" s="18"/>
      <c r="F317" s="18"/>
      <c r="G317" s="19"/>
      <c r="H317" s="18"/>
      <c r="I317" s="18"/>
      <c r="J317" s="19"/>
      <c r="K317" s="19"/>
    </row>
    <row r="318" spans="1:11" ht="12.95">
      <c r="A318" s="18"/>
      <c r="B318" s="18"/>
      <c r="C318" s="18"/>
      <c r="D318" s="18"/>
      <c r="E318" s="18"/>
      <c r="F318" s="18"/>
      <c r="G318" s="19"/>
      <c r="H318" s="18"/>
      <c r="I318" s="18"/>
      <c r="J318" s="19"/>
      <c r="K318" s="19"/>
    </row>
    <row r="319" spans="1:11" ht="12.95">
      <c r="A319" s="18"/>
      <c r="B319" s="18"/>
      <c r="C319" s="18"/>
      <c r="D319" s="18"/>
      <c r="E319" s="18"/>
      <c r="F319" s="18"/>
      <c r="G319" s="19"/>
      <c r="H319" s="18"/>
      <c r="I319" s="18"/>
      <c r="J319" s="19"/>
      <c r="K319" s="19"/>
    </row>
    <row r="320" spans="1:11" ht="12.95">
      <c r="A320" s="18"/>
      <c r="B320" s="18"/>
      <c r="C320" s="18"/>
      <c r="D320" s="18"/>
      <c r="E320" s="18"/>
      <c r="F320" s="18"/>
      <c r="G320" s="19"/>
      <c r="H320" s="18"/>
      <c r="I320" s="18"/>
      <c r="J320" s="19"/>
      <c r="K320" s="19"/>
    </row>
    <row r="321" spans="1:11" ht="12.95">
      <c r="A321" s="18"/>
      <c r="B321" s="18"/>
      <c r="C321" s="18"/>
      <c r="D321" s="18"/>
      <c r="E321" s="18"/>
      <c r="F321" s="18"/>
      <c r="G321" s="19"/>
      <c r="H321" s="18"/>
      <c r="I321" s="18"/>
      <c r="J321" s="19"/>
      <c r="K321" s="19"/>
    </row>
    <row r="322" spans="1:11" ht="12.95">
      <c r="A322" s="18"/>
      <c r="B322" s="18"/>
      <c r="C322" s="18"/>
      <c r="D322" s="18"/>
      <c r="E322" s="18"/>
      <c r="F322" s="18"/>
      <c r="G322" s="19"/>
      <c r="H322" s="18"/>
      <c r="I322" s="18"/>
      <c r="J322" s="19"/>
      <c r="K322" s="19"/>
    </row>
    <row r="323" spans="1:11" ht="12.95">
      <c r="A323" s="18"/>
      <c r="B323" s="18"/>
      <c r="C323" s="18"/>
      <c r="D323" s="18"/>
      <c r="E323" s="18"/>
      <c r="F323" s="18"/>
      <c r="G323" s="19"/>
      <c r="H323" s="18"/>
      <c r="I323" s="18"/>
      <c r="J323" s="19"/>
      <c r="K323" s="19"/>
    </row>
    <row r="324" spans="1:11" ht="12.95">
      <c r="A324" s="18"/>
      <c r="B324" s="18"/>
      <c r="C324" s="18"/>
      <c r="D324" s="18"/>
      <c r="E324" s="18"/>
      <c r="F324" s="18"/>
      <c r="G324" s="19"/>
      <c r="H324" s="18"/>
      <c r="I324" s="18"/>
      <c r="J324" s="19"/>
      <c r="K324" s="19"/>
    </row>
    <row r="325" spans="1:11" ht="12.95">
      <c r="A325" s="18"/>
      <c r="B325" s="18"/>
      <c r="C325" s="18"/>
      <c r="D325" s="18"/>
      <c r="E325" s="18"/>
      <c r="F325" s="18"/>
      <c r="G325" s="19"/>
      <c r="H325" s="18"/>
      <c r="I325" s="18"/>
      <c r="J325" s="19"/>
      <c r="K325" s="19"/>
    </row>
    <row r="326" spans="1:11" ht="12.95">
      <c r="A326" s="18"/>
      <c r="B326" s="18"/>
      <c r="C326" s="18"/>
      <c r="D326" s="18"/>
      <c r="E326" s="18"/>
      <c r="F326" s="18"/>
      <c r="G326" s="19"/>
      <c r="H326" s="18"/>
      <c r="I326" s="18"/>
      <c r="J326" s="19"/>
      <c r="K326" s="19"/>
    </row>
    <row r="327" spans="1:11" ht="12.95">
      <c r="A327" s="18"/>
      <c r="B327" s="18"/>
      <c r="C327" s="18"/>
      <c r="D327" s="18"/>
      <c r="E327" s="18"/>
      <c r="F327" s="18"/>
      <c r="G327" s="19"/>
      <c r="H327" s="18"/>
      <c r="I327" s="18"/>
      <c r="J327" s="19"/>
      <c r="K327" s="19"/>
    </row>
    <row r="328" spans="1:11" ht="12.95">
      <c r="A328" s="18"/>
      <c r="B328" s="18"/>
      <c r="C328" s="18"/>
      <c r="D328" s="18"/>
      <c r="E328" s="18"/>
      <c r="F328" s="18"/>
      <c r="G328" s="19"/>
      <c r="H328" s="18"/>
      <c r="I328" s="18"/>
      <c r="J328" s="19"/>
      <c r="K328" s="19"/>
    </row>
    <row r="329" spans="1:11" ht="12.95">
      <c r="A329" s="18"/>
      <c r="B329" s="18"/>
      <c r="C329" s="18"/>
      <c r="D329" s="18"/>
      <c r="E329" s="18"/>
      <c r="F329" s="18"/>
      <c r="G329" s="19"/>
      <c r="H329" s="18"/>
      <c r="I329" s="18"/>
      <c r="J329" s="19"/>
      <c r="K329" s="19"/>
    </row>
    <row r="330" spans="1:11" ht="12.95">
      <c r="A330" s="18"/>
      <c r="B330" s="18"/>
      <c r="C330" s="18"/>
      <c r="D330" s="18"/>
      <c r="E330" s="18"/>
      <c r="F330" s="18"/>
      <c r="G330" s="19"/>
      <c r="H330" s="18"/>
      <c r="I330" s="18"/>
      <c r="J330" s="19"/>
      <c r="K330" s="19"/>
    </row>
    <row r="331" spans="1:11" ht="12.95">
      <c r="A331" s="18"/>
      <c r="B331" s="18"/>
      <c r="C331" s="18"/>
      <c r="D331" s="18"/>
      <c r="E331" s="18"/>
      <c r="F331" s="18"/>
      <c r="G331" s="19"/>
      <c r="H331" s="18"/>
      <c r="I331" s="18"/>
      <c r="J331" s="19"/>
      <c r="K331" s="19"/>
    </row>
    <row r="332" spans="1:11" ht="12.95">
      <c r="A332" s="18"/>
      <c r="B332" s="18"/>
      <c r="C332" s="18"/>
      <c r="D332" s="18"/>
      <c r="E332" s="18"/>
      <c r="F332" s="18"/>
      <c r="G332" s="19"/>
      <c r="H332" s="18"/>
      <c r="I332" s="18"/>
      <c r="J332" s="19"/>
      <c r="K332" s="19"/>
    </row>
    <row r="333" spans="1:11" ht="12.95">
      <c r="A333" s="18"/>
      <c r="B333" s="18"/>
      <c r="C333" s="18"/>
      <c r="D333" s="18"/>
      <c r="E333" s="18"/>
      <c r="F333" s="18"/>
      <c r="G333" s="19"/>
      <c r="H333" s="18"/>
      <c r="I333" s="18"/>
      <c r="J333" s="19"/>
      <c r="K333" s="19"/>
    </row>
    <row r="334" spans="1:11" ht="12.95">
      <c r="A334" s="18"/>
      <c r="B334" s="18"/>
      <c r="C334" s="18"/>
      <c r="D334" s="18"/>
      <c r="E334" s="18"/>
      <c r="F334" s="18"/>
      <c r="G334" s="19"/>
      <c r="H334" s="18"/>
      <c r="I334" s="18"/>
      <c r="J334" s="19"/>
      <c r="K334" s="19"/>
    </row>
    <row r="335" spans="1:11" ht="12.95">
      <c r="A335" s="18"/>
      <c r="B335" s="18"/>
      <c r="C335" s="18"/>
      <c r="D335" s="18"/>
      <c r="E335" s="18"/>
      <c r="F335" s="18"/>
      <c r="G335" s="19"/>
      <c r="H335" s="18"/>
      <c r="I335" s="18"/>
      <c r="J335" s="19"/>
      <c r="K335" s="19"/>
    </row>
    <row r="336" spans="1:11" ht="12.95">
      <c r="A336" s="18"/>
      <c r="B336" s="18"/>
      <c r="C336" s="18"/>
      <c r="D336" s="18"/>
      <c r="E336" s="18"/>
      <c r="F336" s="18"/>
      <c r="G336" s="19"/>
      <c r="H336" s="18"/>
      <c r="I336" s="18"/>
      <c r="J336" s="19"/>
      <c r="K336" s="19"/>
    </row>
    <row r="337" spans="1:11" ht="12.95">
      <c r="A337" s="18"/>
      <c r="B337" s="18"/>
      <c r="C337" s="18"/>
      <c r="D337" s="18"/>
      <c r="E337" s="18"/>
      <c r="F337" s="18"/>
      <c r="G337" s="19"/>
      <c r="H337" s="18"/>
      <c r="I337" s="18"/>
      <c r="J337" s="19"/>
      <c r="K337" s="19"/>
    </row>
    <row r="338" spans="1:11" ht="12.95">
      <c r="A338" s="18"/>
      <c r="B338" s="18"/>
      <c r="C338" s="18"/>
      <c r="D338" s="18"/>
      <c r="E338" s="18"/>
      <c r="F338" s="18"/>
      <c r="G338" s="19"/>
      <c r="H338" s="18"/>
      <c r="I338" s="18"/>
      <c r="J338" s="19"/>
      <c r="K338" s="19"/>
    </row>
    <row r="339" spans="1:11" ht="12.95">
      <c r="A339" s="18"/>
      <c r="B339" s="18"/>
      <c r="C339" s="18"/>
      <c r="D339" s="18"/>
      <c r="E339" s="18"/>
      <c r="F339" s="18"/>
      <c r="G339" s="19"/>
      <c r="H339" s="18"/>
      <c r="I339" s="18"/>
      <c r="J339" s="19"/>
      <c r="K339" s="19"/>
    </row>
    <row r="340" spans="1:11" ht="12.95">
      <c r="A340" s="18"/>
      <c r="B340" s="18"/>
      <c r="C340" s="18"/>
      <c r="D340" s="18"/>
      <c r="E340" s="18"/>
      <c r="F340" s="18"/>
      <c r="G340" s="19"/>
      <c r="H340" s="18"/>
      <c r="I340" s="18"/>
      <c r="J340" s="19"/>
      <c r="K340" s="19"/>
    </row>
    <row r="341" spans="1:11" ht="12.95">
      <c r="A341" s="18"/>
      <c r="B341" s="18"/>
      <c r="C341" s="18"/>
      <c r="D341" s="18"/>
      <c r="E341" s="18"/>
      <c r="F341" s="18"/>
      <c r="G341" s="19"/>
      <c r="H341" s="18"/>
      <c r="I341" s="18"/>
      <c r="J341" s="19"/>
      <c r="K341" s="19"/>
    </row>
    <row r="342" spans="1:11" ht="12.95">
      <c r="A342" s="18"/>
      <c r="B342" s="18"/>
      <c r="C342" s="18"/>
      <c r="D342" s="18"/>
      <c r="E342" s="18"/>
      <c r="F342" s="18"/>
      <c r="G342" s="19"/>
      <c r="H342" s="18"/>
      <c r="I342" s="18"/>
      <c r="J342" s="19"/>
      <c r="K342" s="19"/>
    </row>
  </sheetData>
  <sortState xmlns:xlrd2="http://schemas.microsoft.com/office/spreadsheetml/2017/richdata2" ref="A3:J4">
    <sortCondition ref="A3:A4"/>
  </sortState>
  <mergeCells count="4">
    <mergeCell ref="H1:J1"/>
    <mergeCell ref="A1:D1"/>
    <mergeCell ref="E1:G1"/>
    <mergeCell ref="A2:B2"/>
  </mergeCells>
  <conditionalFormatting sqref="G2">
    <cfRule type="cellIs" dxfId="126" priority="7" stopIfTrue="1" operator="lessThanOrEqual">
      <formula>-0.1</formula>
    </cfRule>
    <cfRule type="expression" dxfId="125" priority="8">
      <formula>AND(ISNUMBER(G2), G2&gt;=0.1)</formula>
    </cfRule>
  </conditionalFormatting>
  <conditionalFormatting sqref="G4:G161 J4:J161">
    <cfRule type="cellIs" dxfId="124" priority="5" stopIfTrue="1" operator="lessThanOrEqual">
      <formula>-0.1</formula>
    </cfRule>
    <cfRule type="expression" dxfId="123" priority="6">
      <formula>AND(ISNUMBER(G4), G4&gt;=0.1)</formula>
    </cfRule>
  </conditionalFormatting>
  <conditionalFormatting sqref="J2:K2">
    <cfRule type="cellIs" dxfId="122" priority="3" stopIfTrue="1" operator="lessThanOrEqual">
      <formula>-0.1</formula>
    </cfRule>
    <cfRule type="expression" dxfId="121" priority="4">
      <formula>AND(ISNUMBER(J2), J2&gt;=0.1)</formula>
    </cfRule>
  </conditionalFormatting>
  <conditionalFormatting sqref="K4:K161">
    <cfRule type="expression" dxfId="120" priority="1" stopIfTrue="1">
      <formula>AND(K4&lt;&gt;"",K4&lt;0.975)</formula>
    </cfRule>
    <cfRule type="expression" dxfId="119" priority="2">
      <formula>AND(ISNUMBER(K4), K4&gt;=0.985)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M342"/>
  <sheetViews>
    <sheetView workbookViewId="0">
      <pane xSplit="2" ySplit="3" topLeftCell="C59" activePane="bottomRight" state="frozen"/>
      <selection pane="bottomRight" activeCell="K3" sqref="K3"/>
      <selection pane="bottomLeft" activeCell="C2" sqref="C1:C1048576"/>
      <selection pane="topRight" activeCell="C2" sqref="C1:C1048576"/>
    </sheetView>
  </sheetViews>
  <sheetFormatPr defaultRowHeight="12.6"/>
  <cols>
    <col min="1" max="1" width="35.85546875" bestFit="1" customWidth="1"/>
    <col min="2" max="2" width="8.42578125" customWidth="1"/>
    <col min="3" max="3" width="13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8.5703125" style="1" customWidth="1"/>
  </cols>
  <sheetData>
    <row r="1" spans="1:13" ht="19.5" customHeight="1">
      <c r="A1" s="111" t="str" cm="1">
        <f t="array" ref="A1">portfolio</f>
        <v>Generate Capital</v>
      </c>
      <c r="B1" s="111"/>
      <c r="C1" s="111"/>
      <c r="D1" s="111"/>
      <c r="E1" s="112" t="s">
        <v>21</v>
      </c>
      <c r="F1" s="112"/>
      <c r="G1" s="112"/>
      <c r="H1" s="110" t="s">
        <v>22</v>
      </c>
      <c r="I1" s="110"/>
      <c r="J1" s="110"/>
      <c r="K1" s="107" t="s">
        <v>23</v>
      </c>
    </row>
    <row r="2" spans="1:13" ht="19.5" customHeight="1">
      <c r="A2" s="113" t="s">
        <v>3</v>
      </c>
      <c r="B2" s="113"/>
      <c r="C2" s="72"/>
      <c r="D2" s="6">
        <f>SUM(D4:D100)</f>
        <v>53836025.116985358</v>
      </c>
      <c r="E2" s="6">
        <f>SUM(E4:E100)</f>
        <v>21762902.965000004</v>
      </c>
      <c r="F2" s="6">
        <f>D2-E2</f>
        <v>32073122.151985355</v>
      </c>
      <c r="G2" s="7">
        <f>IFERROR(F2/E2, 0)</f>
        <v>1.4737520175303207</v>
      </c>
      <c r="H2" s="6">
        <f>SUM(H4:H100)</f>
        <v>59267580.461599998</v>
      </c>
      <c r="I2" s="8">
        <f>D2-H2</f>
        <v>-5431555.3446146399</v>
      </c>
      <c r="J2" s="7">
        <f>IFERROR(I2/H2, 0)</f>
        <v>-9.1644627675222773E-2</v>
      </c>
      <c r="K2" s="108"/>
    </row>
    <row r="3" spans="1:13" ht="14.25" customHeight="1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f>SUM(Jul!D4, Aug!D4, Sep!D4)</f>
        <v>41095.120079164299</v>
      </c>
      <c r="E4" s="11">
        <f>SUM(Jul!E4, Aug!E4, Sep!E4)</f>
        <v>24870.055</v>
      </c>
      <c r="F4" s="11">
        <f>IF(AND(ISNUMBER(D4),ISNUMBER(E4)), D4-E4, "")</f>
        <v>16225.065079164298</v>
      </c>
      <c r="G4" s="12">
        <f>IFERROR(F4/E4, "")</f>
        <v>0.65239361469704427</v>
      </c>
      <c r="H4" s="13">
        <f>SUM(Jul!H4,Aug!H4,Sep!H4)</f>
        <v>39065.490000000005</v>
      </c>
      <c r="I4" s="13">
        <f>SUM(Jul!I4, Aug!I4, Sep!I4)</f>
        <v>2029.6300791642989</v>
      </c>
      <c r="J4" s="14">
        <f>IFERROR(I4/H4, "")</f>
        <v>5.195455321728458E-2</v>
      </c>
      <c r="K4" s="14">
        <f>IFERROR(AVERAGE(Jul!K4, Aug!K4, Sep!K4),"")</f>
        <v>0.99870800000000004</v>
      </c>
      <c r="L4" s="38"/>
      <c r="M4" s="38"/>
    </row>
    <row r="5" spans="1:13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f>SUM(Jul!D5, Aug!D5, Sep!D5)</f>
        <v>159935.75</v>
      </c>
      <c r="E5" s="15">
        <f>SUM(Jul!E5, Aug!E5, Sep!E5)</f>
        <v>164812.4</v>
      </c>
      <c r="F5" s="15">
        <f t="shared" ref="F5:F15" si="0">IF(AND(ISNUMBER(D5),ISNUMBER(E5)), D5-E5, "")</f>
        <v>-4876.6499999999942</v>
      </c>
      <c r="G5" s="16">
        <f>IFERROR(F5/E5, "")</f>
        <v>-2.9589096451480557E-2</v>
      </c>
      <c r="H5" s="17">
        <f>SUM(Jul!H5,Aug!H5,Sep!H5)</f>
        <v>194976.14</v>
      </c>
      <c r="I5" s="17">
        <f>SUM(Jul!I5, Aug!I5, Sep!I5)</f>
        <v>-35040.390000000007</v>
      </c>
      <c r="J5" s="16">
        <f>IFERROR(I5/H5, "")</f>
        <v>-0.17971629759415692</v>
      </c>
      <c r="K5" s="14">
        <f>IFERROR(AVERAGE(Jul!K5, Aug!K5, Sep!K5),"")</f>
        <v>1</v>
      </c>
      <c r="L5" s="39"/>
      <c r="M5" s="39"/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SUM(Jul!D6, Aug!D6, Sep!D6)</f>
        <v>62748.989052591802</v>
      </c>
      <c r="E6" s="11">
        <f>SUM(Jul!E6, Aug!E6, Sep!E6)</f>
        <v>0</v>
      </c>
      <c r="F6" s="11">
        <f t="shared" si="0"/>
        <v>62748.989052591802</v>
      </c>
      <c r="G6" s="12" t="str">
        <f t="shared" ref="G6:G15" si="1">IFERROR(F6/E6, "")</f>
        <v/>
      </c>
      <c r="H6" s="13">
        <f>SUM(Jul!H6,Aug!H6,Sep!H6)</f>
        <v>56143</v>
      </c>
      <c r="I6" s="13">
        <f>SUM(Jul!I6, Aug!I6, Sep!I6)</f>
        <v>6605.9890525917981</v>
      </c>
      <c r="J6" s="14">
        <f t="shared" ref="J6:J15" si="2">IFERROR(I6/H6, "")</f>
        <v>0.1176636277468571</v>
      </c>
      <c r="K6" s="14">
        <f>IFERROR(AVERAGE(Jul!K6, Aug!K6, Sep!K6),"")</f>
        <v>0.49991256666666667</v>
      </c>
      <c r="L6" s="38"/>
      <c r="M6" s="38"/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f>SUM(Jul!D7, Aug!D7, Sep!D7)</f>
        <v>28010.87367907909</v>
      </c>
      <c r="E7" s="15">
        <f>SUM(Jul!E7, Aug!E7, Sep!E7)</f>
        <v>42057.23</v>
      </c>
      <c r="F7" s="15">
        <f t="shared" si="0"/>
        <v>-14046.356320920913</v>
      </c>
      <c r="G7" s="16">
        <f t="shared" si="1"/>
        <v>-0.33398196507285222</v>
      </c>
      <c r="H7" s="17">
        <f>SUM(Jul!H7,Aug!H7,Sep!H7)</f>
        <v>44891.67</v>
      </c>
      <c r="I7" s="17">
        <f>SUM(Jul!I7, Aug!I7, Sep!I7)</f>
        <v>-16880.796320920912</v>
      </c>
      <c r="J7" s="16">
        <f t="shared" si="2"/>
        <v>-0.37603404642600535</v>
      </c>
      <c r="K7" s="14">
        <f>IFERROR(AVERAGE(Jul!K7, Aug!K7, Sep!K7),"")</f>
        <v>0.89985763333333335</v>
      </c>
      <c r="L7" s="39"/>
      <c r="M7" s="40"/>
    </row>
    <row r="8" spans="1:13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SUM(Jul!D8, Aug!D8, Sep!D8)</f>
        <v>75718.457839288792</v>
      </c>
      <c r="E8" s="11">
        <f>SUM(Jul!E8, Aug!E8, Sep!E8)</f>
        <v>95719.27</v>
      </c>
      <c r="F8" s="11">
        <f t="shared" si="0"/>
        <v>-20000.812160711212</v>
      </c>
      <c r="G8" s="12">
        <f t="shared" si="1"/>
        <v>-0.20895282800120824</v>
      </c>
      <c r="H8" s="13">
        <f>SUM(Jul!H8,Aug!H8,Sep!H8)</f>
        <v>95629.77</v>
      </c>
      <c r="I8" s="13">
        <f>SUM(Jul!I8, Aug!I8, Sep!I8)</f>
        <v>-19911.312160711201</v>
      </c>
      <c r="J8" s="14">
        <f t="shared" si="2"/>
        <v>-0.20821248614015489</v>
      </c>
      <c r="K8" s="14">
        <f>IFERROR(AVERAGE(Jul!K8, Aug!K8, Sep!K8),"")</f>
        <v>0.77521876666666667</v>
      </c>
      <c r="L8" s="38"/>
      <c r="M8" s="38"/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f>SUM(Jul!D9, Aug!D9, Sep!D9)</f>
        <v>89283.252960686601</v>
      </c>
      <c r="E9" s="15">
        <f>SUM(Jul!E9, Aug!E9, Sep!E9)</f>
        <v>69083.06</v>
      </c>
      <c r="F9" s="15">
        <f t="shared" si="0"/>
        <v>20200.192960686603</v>
      </c>
      <c r="G9" s="16">
        <f t="shared" si="1"/>
        <v>0.29240443258718712</v>
      </c>
      <c r="H9" s="17">
        <f>SUM(Jul!H9,Aug!H9,Sep!H9)</f>
        <v>90548.3</v>
      </c>
      <c r="I9" s="17">
        <f>SUM(Jul!I9, Aug!I9, Sep!I9)</f>
        <v>-1265.0470393133983</v>
      </c>
      <c r="J9" s="16">
        <f t="shared" si="2"/>
        <v>-1.397096399726332E-2</v>
      </c>
      <c r="K9" s="14">
        <f>IFERROR(AVERAGE(Jul!K9, Aug!K9, Sep!K9),"")</f>
        <v>1</v>
      </c>
      <c r="L9" s="39"/>
      <c r="M9" s="40"/>
    </row>
    <row r="10" spans="1:13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SUM(Jul!D10, Aug!D10, Sep!D10)</f>
        <v>40493.995357250402</v>
      </c>
      <c r="E10" s="11">
        <f>SUM(Jul!E10, Aug!E10, Sep!E10)</f>
        <v>28442.034999999996</v>
      </c>
      <c r="F10" s="11">
        <f t="shared" si="0"/>
        <v>12051.960357250406</v>
      </c>
      <c r="G10" s="12">
        <f t="shared" si="1"/>
        <v>0.42373762486581595</v>
      </c>
      <c r="H10" s="13">
        <f>SUM(Jul!H10,Aug!H10,Sep!H10)</f>
        <v>40256</v>
      </c>
      <c r="I10" s="13">
        <f>SUM(Jul!I10, Aug!I10, Sep!I10)</f>
        <v>237.99535725040005</v>
      </c>
      <c r="J10" s="14">
        <f t="shared" si="2"/>
        <v>5.9120468315381567E-3</v>
      </c>
      <c r="K10" s="14">
        <f>IFERROR(AVERAGE(Jul!K10, Aug!K10, Sep!K10),"")</f>
        <v>1</v>
      </c>
      <c r="L10" s="38"/>
      <c r="M10" s="38"/>
    </row>
    <row r="11" spans="1:13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SUM(Jul!D11, Aug!D11, Sep!D11)</f>
        <v>27372.206588533438</v>
      </c>
      <c r="E11" s="15">
        <f>SUM(Jul!E11, Aug!E11, Sep!E11)</f>
        <v>0</v>
      </c>
      <c r="F11" s="15">
        <f t="shared" si="0"/>
        <v>27372.206588533438</v>
      </c>
      <c r="G11" s="16" t="str">
        <f t="shared" si="1"/>
        <v/>
      </c>
      <c r="H11" s="17">
        <f>SUM(Jul!H11,Aug!H11,Sep!H11)</f>
        <v>30120</v>
      </c>
      <c r="I11" s="17">
        <f>SUM(Jul!I11, Aug!I11, Sep!I11)</f>
        <v>-2747.7934114665604</v>
      </c>
      <c r="J11" s="16">
        <f t="shared" si="2"/>
        <v>-9.1228200911904395E-2</v>
      </c>
      <c r="K11" s="14">
        <f>IFERROR(AVERAGE(Jul!K11, Aug!K11, Sep!K11),"")</f>
        <v>0.32490116666666663</v>
      </c>
      <c r="L11" s="39"/>
      <c r="M11" s="40"/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SUM(Jul!D12, Aug!D12, Sep!D12)</f>
        <v>235675</v>
      </c>
      <c r="E12" s="11">
        <f>SUM(Jul!E12, Aug!E12, Sep!E12)</f>
        <v>273384.67000000004</v>
      </c>
      <c r="F12" s="11">
        <f t="shared" si="0"/>
        <v>-37709.670000000042</v>
      </c>
      <c r="G12" s="12">
        <f t="shared" si="1"/>
        <v>-0.13793630052482472</v>
      </c>
      <c r="H12" s="13">
        <f>SUM(Jul!H12,Aug!H12,Sep!H12)</f>
        <v>230676</v>
      </c>
      <c r="I12" s="13">
        <f>SUM(Jul!I12, Aug!I12, Sep!I12)</f>
        <v>4999</v>
      </c>
      <c r="J12" s="14">
        <f t="shared" si="2"/>
        <v>2.1671088453068373E-2</v>
      </c>
      <c r="K12" s="14">
        <f>IFERROR(AVERAGE(Jul!K12, Aug!K12, Sep!K12),"")</f>
        <v>1</v>
      </c>
      <c r="L12" s="38"/>
      <c r="M12" s="38"/>
    </row>
    <row r="13" spans="1:13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SUM(Jul!D13, Aug!D13, Sep!D13)</f>
        <v>265232.625</v>
      </c>
      <c r="E13" s="15">
        <f>SUM(Jul!E13, Aug!E13, Sep!E13)</f>
        <v>383034.7</v>
      </c>
      <c r="F13" s="15">
        <f t="shared" si="0"/>
        <v>-117802.07500000001</v>
      </c>
      <c r="G13" s="16">
        <f t="shared" si="1"/>
        <v>-0.30754935518896853</v>
      </c>
      <c r="H13" s="17">
        <f>SUM(Jul!H13,Aug!H13,Sep!H13)</f>
        <v>374505</v>
      </c>
      <c r="I13" s="17">
        <f>SUM(Jul!I13, Aug!I13, Sep!I13)</f>
        <v>-109272.375</v>
      </c>
      <c r="J13" s="16">
        <f t="shared" si="2"/>
        <v>-0.29177814715424361</v>
      </c>
      <c r="K13" s="14">
        <f>IFERROR(AVERAGE(Jul!K13, Aug!K13, Sep!K13),"")</f>
        <v>1</v>
      </c>
      <c r="L13" s="39"/>
      <c r="M13" s="40"/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SUM(Jul!D14, Aug!D14, Sep!D14)</f>
        <v>60024</v>
      </c>
      <c r="E14" s="11">
        <f>SUM(Jul!E14, Aug!E14, Sep!E14)</f>
        <v>0</v>
      </c>
      <c r="F14" s="11">
        <f t="shared" si="0"/>
        <v>60024</v>
      </c>
      <c r="G14" s="12" t="str">
        <f t="shared" si="1"/>
        <v/>
      </c>
      <c r="H14" s="13">
        <f>SUM(Jul!H14,Aug!H14,Sep!H14)</f>
        <v>87418</v>
      </c>
      <c r="I14" s="13">
        <f>SUM(Jul!I14, Aug!I14, Sep!I14)</f>
        <v>-27394</v>
      </c>
      <c r="J14" s="14">
        <f t="shared" si="2"/>
        <v>-0.31336795625614861</v>
      </c>
      <c r="K14" s="14">
        <f>IFERROR(AVERAGE(Jul!K14, Aug!K14, Sep!K14),"")</f>
        <v>1</v>
      </c>
      <c r="L14" s="38"/>
      <c r="M14" s="38"/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SUM(Jul!D15, Aug!D15, Sep!D15)</f>
        <v>48062.895438905703</v>
      </c>
      <c r="E15" s="15">
        <f>SUM(Jul!E15, Aug!E15, Sep!E15)</f>
        <v>0</v>
      </c>
      <c r="F15" s="15">
        <f t="shared" si="0"/>
        <v>48062.895438905703</v>
      </c>
      <c r="G15" s="16" t="str">
        <f t="shared" si="1"/>
        <v/>
      </c>
      <c r="H15" s="17">
        <f>SUM(Jul!H15,Aug!H15,Sep!H15)</f>
        <v>53157</v>
      </c>
      <c r="I15" s="17">
        <f>SUM(Jul!I15, Aug!I15, Sep!I15)</f>
        <v>-5094.1045610942983</v>
      </c>
      <c r="J15" s="16">
        <f t="shared" si="2"/>
        <v>-9.5831302765285814E-2</v>
      </c>
      <c r="K15" s="14">
        <f>IFERROR(AVERAGE(Jul!K15, Aug!K15, Sep!K15),"")</f>
        <v>1</v>
      </c>
      <c r="L15" s="39"/>
      <c r="M15" s="40"/>
    </row>
    <row r="16" spans="1:13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SUM(Jul!D16, Aug!D16, Sep!D16)</f>
        <v>22466.125947045861</v>
      </c>
      <c r="E16" s="11">
        <f>SUM(Jul!E16, Aug!E16, Sep!E16)</f>
        <v>17170.503000000001</v>
      </c>
      <c r="F16" s="11">
        <f t="shared" ref="F16" si="3">IF(AND(ISNUMBER(D16),ISNUMBER(E16)), D16-E16, "")</f>
        <v>5295.6229470458602</v>
      </c>
      <c r="G16" s="12">
        <f t="shared" ref="G16" si="4">IFERROR(F16/E16, "")</f>
        <v>0.30841396708330909</v>
      </c>
      <c r="H16" s="13">
        <f>SUM(Jul!H16,Aug!H16,Sep!H16)</f>
        <v>41733</v>
      </c>
      <c r="I16" s="13">
        <f>SUM(Jul!I16, Aug!I16, Sep!I16)</f>
        <v>-19266.874052954139</v>
      </c>
      <c r="J16" s="14">
        <f t="shared" ref="J16" si="5">IFERROR(I16/H16, "")</f>
        <v>-0.46166999863307551</v>
      </c>
      <c r="K16" s="14">
        <f>IFERROR(AVERAGE(Jul!K16, Aug!K16, Sep!K16),"")</f>
        <v>0.99419193333333344</v>
      </c>
      <c r="L16" s="38"/>
      <c r="M16" s="38"/>
    </row>
    <row r="17" spans="1:13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SUM(Jul!D17, Aug!D17, Sep!D17)</f>
        <v>234275.06999999977</v>
      </c>
      <c r="E17" s="15">
        <f>SUM(Jul!E17, Aug!E17, Sep!E17)</f>
        <v>126356.81999999999</v>
      </c>
      <c r="F17" s="15">
        <f t="shared" ref="F17:F80" si="6">IF(AND(ISNUMBER(D17),ISNUMBER(E17)), D17-E17, "")</f>
        <v>107918.24999999978</v>
      </c>
      <c r="G17" s="16">
        <f t="shared" ref="G17:G80" si="7">IFERROR(F17/E17, "")</f>
        <v>0.85407538746226586</v>
      </c>
      <c r="H17" s="17">
        <f>SUM(Jul!H17,Aug!H17,Sep!H17)</f>
        <v>256420</v>
      </c>
      <c r="I17" s="17">
        <f>SUM(Jul!I17, Aug!I17, Sep!I17)</f>
        <v>-22144.930000000197</v>
      </c>
      <c r="J17" s="16">
        <f t="shared" ref="J17:J80" si="8">IFERROR(I17/H17, "")</f>
        <v>-8.6361945246081415E-2</v>
      </c>
      <c r="K17" s="14">
        <f>IFERROR(AVERAGE(Jul!K17, Aug!K17, Sep!K17),"")</f>
        <v>0.9980289</v>
      </c>
      <c r="L17" s="39"/>
      <c r="M17" s="40"/>
    </row>
    <row r="18" spans="1:13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SUM(Jul!D18, Aug!D18, Sep!D18)</f>
        <v>77670.90477488609</v>
      </c>
      <c r="E18" s="11">
        <f>SUM(Jul!E18, Aug!E18, Sep!E18)</f>
        <v>0</v>
      </c>
      <c r="F18" s="11">
        <f t="shared" si="6"/>
        <v>77670.90477488609</v>
      </c>
      <c r="G18" s="12" t="str">
        <f t="shared" si="7"/>
        <v/>
      </c>
      <c r="H18" s="13">
        <f>SUM(Jul!H18,Aug!H18,Sep!H18)</f>
        <v>151430</v>
      </c>
      <c r="I18" s="13">
        <f>SUM(Jul!I18, Aug!I18, Sep!I18)</f>
        <v>-73759.09522511391</v>
      </c>
      <c r="J18" s="14">
        <f t="shared" si="8"/>
        <v>-0.48708376956424693</v>
      </c>
      <c r="K18" s="14">
        <f>IFERROR(AVERAGE(Jul!K18, Aug!K18, Sep!K18),"")</f>
        <v>0.99869010000000003</v>
      </c>
      <c r="L18" s="38"/>
      <c r="M18" s="38"/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SUM(Jul!D19, Aug!D19, Sep!D19)</f>
        <v>362517</v>
      </c>
      <c r="E19" s="15">
        <f>SUM(Jul!E19, Aug!E19, Sep!E19)</f>
        <v>455973.4</v>
      </c>
      <c r="F19" s="15">
        <f t="shared" si="6"/>
        <v>-93456.400000000023</v>
      </c>
      <c r="G19" s="16">
        <f t="shared" si="7"/>
        <v>-0.20496020162579665</v>
      </c>
      <c r="H19" s="17">
        <f>SUM(Jul!H19,Aug!H19,Sep!H19)</f>
        <v>378805.30000000005</v>
      </c>
      <c r="I19" s="17">
        <f>SUM(Jul!I19, Aug!I19, Sep!I19)</f>
        <v>-16288.300000000017</v>
      </c>
      <c r="J19" s="16">
        <f t="shared" si="8"/>
        <v>-4.2999134383811463E-2</v>
      </c>
      <c r="K19" s="14">
        <f>IFERROR(AVERAGE(Jul!K19, Aug!K19, Sep!K19),"")</f>
        <v>1</v>
      </c>
      <c r="L19" s="39"/>
      <c r="M19" s="40"/>
    </row>
    <row r="20" spans="1:13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SUM(Jul!D20, Aug!D20, Sep!D20)</f>
        <v>87776.5</v>
      </c>
      <c r="E20" s="11">
        <f>SUM(Jul!E20, Aug!E20, Sep!E20)</f>
        <v>104748.84</v>
      </c>
      <c r="F20" s="11">
        <f t="shared" si="6"/>
        <v>-16972.339999999997</v>
      </c>
      <c r="G20" s="12">
        <f t="shared" si="7"/>
        <v>-0.1620289064776278</v>
      </c>
      <c r="H20" s="13">
        <f>SUM(Jul!H20,Aug!H20,Sep!H20)</f>
        <v>103917.77</v>
      </c>
      <c r="I20" s="13">
        <f>SUM(Jul!I20, Aug!I20, Sep!I20)</f>
        <v>-16141.27</v>
      </c>
      <c r="J20" s="14">
        <f t="shared" si="8"/>
        <v>-0.15532733237058494</v>
      </c>
      <c r="K20" s="14">
        <f>IFERROR(AVERAGE(Jul!K20, Aug!K20, Sep!K20),"")</f>
        <v>0.99892473333333331</v>
      </c>
      <c r="L20" s="38"/>
      <c r="M20" s="38"/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SUM(Jul!D21, Aug!D21, Sep!D21)</f>
        <v>99963.6875</v>
      </c>
      <c r="E21" s="15">
        <f>SUM(Jul!E21, Aug!E21, Sep!E21)</f>
        <v>110941.56</v>
      </c>
      <c r="F21" s="15">
        <f t="shared" si="6"/>
        <v>-10977.872499999998</v>
      </c>
      <c r="G21" s="16">
        <f t="shared" si="7"/>
        <v>-9.8951849063597067E-2</v>
      </c>
      <c r="H21" s="17">
        <f>SUM(Jul!H21,Aug!H21,Sep!H21)</f>
        <v>105329.86</v>
      </c>
      <c r="I21" s="17">
        <f>SUM(Jul!I21, Aug!I21, Sep!I21)</f>
        <v>-5366.1725000000006</v>
      </c>
      <c r="J21" s="16">
        <f t="shared" si="8"/>
        <v>-5.0946355572864151E-2</v>
      </c>
      <c r="K21" s="14">
        <f>IFERROR(AVERAGE(Jul!K21, Aug!K21, Sep!K21),"")</f>
        <v>1</v>
      </c>
      <c r="L21" s="39"/>
      <c r="M21" s="40"/>
    </row>
    <row r="22" spans="1:13" ht="15.6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SUM(Jul!D22, Aug!D22, Sep!D22)</f>
        <v>80205.921875</v>
      </c>
      <c r="E22" s="11">
        <f>SUM(Jul!E22, Aug!E22, Sep!E22)</f>
        <v>90250.099999999991</v>
      </c>
      <c r="F22" s="11">
        <f t="shared" si="6"/>
        <v>-10044.178124999991</v>
      </c>
      <c r="G22" s="12">
        <f t="shared" si="7"/>
        <v>-0.11129270909395106</v>
      </c>
      <c r="H22" s="13">
        <f>SUM(Jul!H22,Aug!H22,Sep!H22)</f>
        <v>84997</v>
      </c>
      <c r="I22" s="13">
        <f>SUM(Jul!I22, Aug!I22, Sep!I22)</f>
        <v>-4791.078125</v>
      </c>
      <c r="J22" s="14">
        <f t="shared" si="8"/>
        <v>-5.6367614445215715E-2</v>
      </c>
      <c r="K22" s="14">
        <f>IFERROR(AVERAGE(Jul!K22, Aug!K22, Sep!K22),"")</f>
        <v>1</v>
      </c>
      <c r="L22" s="38"/>
      <c r="M22" s="38"/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SUM(Jul!D23, Aug!D23, Sep!D23)</f>
        <v>98962.96875</v>
      </c>
      <c r="E23" s="15">
        <f>SUM(Jul!E23, Aug!E23, Sep!E23)</f>
        <v>99935.14</v>
      </c>
      <c r="F23" s="15">
        <f t="shared" si="6"/>
        <v>-972.17124999999942</v>
      </c>
      <c r="G23" s="16">
        <f t="shared" si="7"/>
        <v>-9.7280220951308956E-3</v>
      </c>
      <c r="H23" s="17">
        <f>SUM(Jul!H23,Aug!H23,Sep!H23)</f>
        <v>18675</v>
      </c>
      <c r="I23" s="17">
        <f>SUM(Jul!I23, Aug!I23, Sep!I23)</f>
        <v>80287.96875</v>
      </c>
      <c r="J23" s="16">
        <f t="shared" si="8"/>
        <v>4.2992218875502006</v>
      </c>
      <c r="K23" s="14">
        <f>IFERROR(AVERAGE(Jul!K23, Aug!K23, Sep!K23),"")</f>
        <v>0.97189536666666665</v>
      </c>
      <c r="L23" s="39"/>
      <c r="M23" s="40"/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SUM(Jul!D24, Aug!D24, Sep!D24)</f>
        <v>61065.6875</v>
      </c>
      <c r="E24" s="11">
        <f>SUM(Jul!E24, Aug!E24, Sep!E24)</f>
        <v>71541.11</v>
      </c>
      <c r="F24" s="11">
        <f t="shared" si="6"/>
        <v>-10475.422500000001</v>
      </c>
      <c r="G24" s="12">
        <f t="shared" si="7"/>
        <v>-0.14642521621484486</v>
      </c>
      <c r="H24" s="13">
        <f>SUM(Jul!H24,Aug!H24,Sep!H24)</f>
        <v>78622.459999999992</v>
      </c>
      <c r="I24" s="13">
        <f>SUM(Jul!I24, Aug!I24, Sep!I24)</f>
        <v>-17556.772500000003</v>
      </c>
      <c r="J24" s="14">
        <f t="shared" si="8"/>
        <v>-0.22330479738232567</v>
      </c>
      <c r="K24" s="14">
        <f>IFERROR(AVERAGE(Jul!K24, Aug!K24, Sep!K24),"")</f>
        <v>0.94698480000000007</v>
      </c>
      <c r="L24" s="38"/>
      <c r="M24" s="38"/>
    </row>
    <row r="25" spans="1:13" ht="15.6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SUM(Jul!D25, Aug!D25, Sep!D25)</f>
        <v>20965.140625</v>
      </c>
      <c r="E25" s="15">
        <f>SUM(Jul!E25, Aug!E25, Sep!E25)</f>
        <v>34922.917000000001</v>
      </c>
      <c r="F25" s="15">
        <f t="shared" si="6"/>
        <v>-13957.776375000001</v>
      </c>
      <c r="G25" s="16">
        <f t="shared" si="7"/>
        <v>-0.39967384096236863</v>
      </c>
      <c r="H25" s="17">
        <f>SUM(Jul!H25,Aug!H25,Sep!H25)</f>
        <v>48759.58</v>
      </c>
      <c r="I25" s="17">
        <f>SUM(Jul!I25, Aug!I25, Sep!I25)</f>
        <v>-27794.439374999998</v>
      </c>
      <c r="J25" s="16">
        <f t="shared" si="8"/>
        <v>-0.57003032788633534</v>
      </c>
      <c r="K25" s="14">
        <f>IFERROR(AVERAGE(Jul!K25, Aug!K25, Sep!K25),"")</f>
        <v>0.96460816666666671</v>
      </c>
      <c r="L25" s="39"/>
      <c r="M25" s="40"/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SUM(Jul!D26, Aug!D26, Sep!D26)</f>
        <v>29112.6875</v>
      </c>
      <c r="E26" s="11">
        <f>SUM(Jul!E26, Aug!E26, Sep!E26)</f>
        <v>30054.853999999999</v>
      </c>
      <c r="F26" s="11">
        <f t="shared" si="6"/>
        <v>-942.16649999999936</v>
      </c>
      <c r="G26" s="12">
        <f t="shared" si="7"/>
        <v>-3.1348230804914223E-2</v>
      </c>
      <c r="H26" s="13">
        <f>SUM(Jul!H26,Aug!H26,Sep!H26)</f>
        <v>30201</v>
      </c>
      <c r="I26" s="13">
        <f>SUM(Jul!I26, Aug!I26, Sep!I26)</f>
        <v>-1088.3125</v>
      </c>
      <c r="J26" s="14">
        <f t="shared" si="8"/>
        <v>-3.6035644515082281E-2</v>
      </c>
      <c r="K26" s="14">
        <f>IFERROR(AVERAGE(Jul!K26, Aug!K26, Sep!K26),"")</f>
        <v>1</v>
      </c>
      <c r="L26" s="38"/>
      <c r="M26" s="38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SUM(Jul!D27, Aug!D27, Sep!D27)</f>
        <v>105364.25</v>
      </c>
      <c r="E27" s="15">
        <f>SUM(Jul!E27, Aug!E27, Sep!E27)</f>
        <v>114720.18</v>
      </c>
      <c r="F27" s="15">
        <f t="shared" si="6"/>
        <v>-9355.929999999993</v>
      </c>
      <c r="G27" s="16">
        <f t="shared" si="7"/>
        <v>-8.1554352512347814E-2</v>
      </c>
      <c r="H27" s="17">
        <f>SUM(Jul!H27,Aug!H27,Sep!H27)</f>
        <v>111498.46</v>
      </c>
      <c r="I27" s="17">
        <f>SUM(Jul!I27, Aug!I27, Sep!I27)</f>
        <v>-6134.2100000000028</v>
      </c>
      <c r="J27" s="16">
        <f t="shared" si="8"/>
        <v>-5.501609618644062E-2</v>
      </c>
      <c r="K27" s="14">
        <f>IFERROR(AVERAGE(Jul!K27, Aug!K27, Sep!K27),"")</f>
        <v>1</v>
      </c>
      <c r="L27" s="39"/>
      <c r="M27" s="40"/>
    </row>
    <row r="28" spans="1:13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SUM(Jul!D28, Aug!D28, Sep!D28)</f>
        <v>12809.915937500011</v>
      </c>
      <c r="E28" s="11">
        <f>SUM(Jul!E28, Aug!E28, Sep!E28)</f>
        <v>12804.605</v>
      </c>
      <c r="F28" s="11">
        <f t="shared" si="6"/>
        <v>5.3109375000112777</v>
      </c>
      <c r="G28" s="12">
        <f t="shared" si="7"/>
        <v>4.1476777300129743E-4</v>
      </c>
      <c r="H28" s="13">
        <f>SUM(Jul!H28,Aug!H28,Sep!H28)</f>
        <v>63576</v>
      </c>
      <c r="I28" s="13">
        <f>SUM(Jul!I28, Aug!I28, Sep!I28)</f>
        <v>-29109.084062499991</v>
      </c>
      <c r="J28" s="14">
        <f t="shared" si="8"/>
        <v>-0.45786277939002124</v>
      </c>
      <c r="K28" s="14">
        <f>IFERROR(AVERAGE(Jul!K28, Aug!K28, Sep!K28),"")</f>
        <v>0.66474279999999997</v>
      </c>
      <c r="L28" s="38"/>
      <c r="M28" s="38"/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SUM(Jul!D29, Aug!D29, Sep!D29)</f>
        <v>68623.03125</v>
      </c>
      <c r="E29" s="15">
        <f>SUM(Jul!E29, Aug!E29, Sep!E29)</f>
        <v>71028.399999999994</v>
      </c>
      <c r="F29" s="15">
        <f t="shared" si="6"/>
        <v>-2405.3687499999942</v>
      </c>
      <c r="G29" s="16">
        <f t="shared" si="7"/>
        <v>-3.3864887143733979E-2</v>
      </c>
      <c r="H29" s="17">
        <f>SUM(Jul!H29,Aug!H29,Sep!H29)</f>
        <v>70990.670000000013</v>
      </c>
      <c r="I29" s="17">
        <f>SUM(Jul!I29, Aug!I29, Sep!I29)</f>
        <v>-2367.6387500000019</v>
      </c>
      <c r="J29" s="16">
        <f t="shared" si="8"/>
        <v>-3.3351407304650055E-2</v>
      </c>
      <c r="K29" s="14">
        <f>IFERROR(AVERAGE(Jul!K29, Aug!K29, Sep!K29),"")</f>
        <v>0.99948796666666662</v>
      </c>
      <c r="L29" s="39"/>
      <c r="M29" s="40"/>
    </row>
    <row r="30" spans="1:13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SUM(Jul!D30, Aug!D30, Sep!D30)</f>
        <v>63124.78125</v>
      </c>
      <c r="E30" s="11">
        <f>SUM(Jul!E30, Aug!E30, Sep!E30)</f>
        <v>74124.27</v>
      </c>
      <c r="F30" s="11">
        <f t="shared" si="6"/>
        <v>-10999.488750000004</v>
      </c>
      <c r="G30" s="12">
        <f t="shared" si="7"/>
        <v>-0.14839254066178328</v>
      </c>
      <c r="H30" s="13">
        <f>SUM(Jul!H30,Aug!H30,Sep!H30)</f>
        <v>67813.579999999987</v>
      </c>
      <c r="I30" s="13">
        <f>SUM(Jul!I30, Aug!I30, Sep!I30)</f>
        <v>-4688.7987499999981</v>
      </c>
      <c r="J30" s="14">
        <f t="shared" si="8"/>
        <v>-6.9142474855331315E-2</v>
      </c>
      <c r="K30" s="14">
        <f>IFERROR(AVERAGE(Jul!K30, Aug!K30, Sep!K30),"")</f>
        <v>1</v>
      </c>
      <c r="L30" s="38"/>
      <c r="M30" s="38"/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SUM(Jul!D31, Aug!D31, Sep!D31)</f>
        <v>70374.125</v>
      </c>
      <c r="E31" s="15">
        <f>SUM(Jul!E31, Aug!E31, Sep!E31)</f>
        <v>0</v>
      </c>
      <c r="F31" s="15">
        <f t="shared" si="6"/>
        <v>70374.125</v>
      </c>
      <c r="G31" s="16" t="str">
        <f t="shared" si="7"/>
        <v/>
      </c>
      <c r="H31" s="17">
        <f>SUM(Jul!H31,Aug!H31,Sep!H31)</f>
        <v>85118</v>
      </c>
      <c r="I31" s="17">
        <f>SUM(Jul!I31, Aug!I31, Sep!I31)</f>
        <v>-14743.875</v>
      </c>
      <c r="J31" s="16">
        <f t="shared" si="8"/>
        <v>-0.17321688714490471</v>
      </c>
      <c r="K31" s="14">
        <f>IFERROR(AVERAGE(Jul!K31, Aug!K31, Sep!K31),"")</f>
        <v>1</v>
      </c>
      <c r="L31" s="39"/>
      <c r="M31" s="40"/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SUM(Jul!D32, Aug!D32, Sep!D32)</f>
        <v>56365.03125</v>
      </c>
      <c r="E32" s="11">
        <f>SUM(Jul!E32, Aug!E32, Sep!E32)</f>
        <v>48434.1</v>
      </c>
      <c r="F32" s="11">
        <f t="shared" si="6"/>
        <v>7930.9312500000015</v>
      </c>
      <c r="G32" s="12">
        <f t="shared" si="7"/>
        <v>0.16374684881106497</v>
      </c>
      <c r="H32" s="13">
        <f>SUM(Jul!H32,Aug!H32,Sep!H32)</f>
        <v>58118</v>
      </c>
      <c r="I32" s="13">
        <f>SUM(Jul!I32, Aug!I32, Sep!I32)</f>
        <v>-1752.96875</v>
      </c>
      <c r="J32" s="14">
        <f t="shared" si="8"/>
        <v>-3.0162234591692764E-2</v>
      </c>
      <c r="K32" s="14">
        <f>IFERROR(AVERAGE(Jul!K32, Aug!K32, Sep!K32),"")</f>
        <v>1</v>
      </c>
      <c r="L32" s="38"/>
      <c r="M32" s="38"/>
    </row>
    <row r="33" spans="1:13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SUM(Jul!D33, Aug!D33, Sep!D33)</f>
        <v>61283.78125</v>
      </c>
      <c r="E33" s="15">
        <f>SUM(Jul!E33, Aug!E33, Sep!E33)</f>
        <v>63754.81</v>
      </c>
      <c r="F33" s="15">
        <f t="shared" si="6"/>
        <v>-2471.0287499999977</v>
      </c>
      <c r="G33" s="16">
        <f t="shared" si="7"/>
        <v>-3.8758310941558724E-2</v>
      </c>
      <c r="H33" s="17">
        <f>SUM(Jul!H33,Aug!H33,Sep!H33)</f>
        <v>66844</v>
      </c>
      <c r="I33" s="17">
        <f>SUM(Jul!I33, Aug!I33, Sep!I33)</f>
        <v>-5560.21875</v>
      </c>
      <c r="J33" s="16">
        <f t="shared" si="8"/>
        <v>-8.3182017084555082E-2</v>
      </c>
      <c r="K33" s="14">
        <f>IFERROR(AVERAGE(Jul!K33, Aug!K33, Sep!K33),"")</f>
        <v>1</v>
      </c>
      <c r="L33" s="39"/>
      <c r="M33" s="40"/>
    </row>
    <row r="34" spans="1:13" ht="15.6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SUM(Jul!D34, Aug!D34, Sep!D34)</f>
        <v>63248.8125</v>
      </c>
      <c r="E34" s="11">
        <f>SUM(Jul!E34, Aug!E34, Sep!E34)</f>
        <v>70074.200000000012</v>
      </c>
      <c r="F34" s="11">
        <f t="shared" si="6"/>
        <v>-6825.3875000000116</v>
      </c>
      <c r="G34" s="12">
        <f t="shared" si="7"/>
        <v>-9.740228928764097E-2</v>
      </c>
      <c r="H34" s="13">
        <f>SUM(Jul!H34,Aug!H34,Sep!H34)</f>
        <v>45537</v>
      </c>
      <c r="I34" s="13">
        <f>SUM(Jul!I34, Aug!I34, Sep!I34)</f>
        <v>-6996.375</v>
      </c>
      <c r="J34" s="14">
        <f t="shared" si="8"/>
        <v>-0.1536415442387509</v>
      </c>
      <c r="K34" s="14">
        <f>IFERROR(AVERAGE(Jul!K34, Aug!K34, Sep!K34),"")</f>
        <v>1</v>
      </c>
      <c r="L34" s="38"/>
      <c r="M34" s="38"/>
    </row>
    <row r="35" spans="1:13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SUM(Jul!D35, Aug!D35, Sep!D35)</f>
        <v>72027.59375</v>
      </c>
      <c r="E35" s="15">
        <f>SUM(Jul!E35, Aug!E35, Sep!E35)</f>
        <v>42995.8</v>
      </c>
      <c r="F35" s="15">
        <f t="shared" si="6"/>
        <v>29031.793749999997</v>
      </c>
      <c r="G35" s="16">
        <f t="shared" si="7"/>
        <v>0.67522394629242843</v>
      </c>
      <c r="H35" s="17">
        <f>SUM(Jul!H35,Aug!H35,Sep!H35)</f>
        <v>77094</v>
      </c>
      <c r="I35" s="17">
        <f>SUM(Jul!I35, Aug!I35, Sep!I35)</f>
        <v>-5066.40625</v>
      </c>
      <c r="J35" s="16">
        <f t="shared" si="8"/>
        <v>-6.5717257503826496E-2</v>
      </c>
      <c r="K35" s="14">
        <f>IFERROR(AVERAGE(Jul!K35, Aug!K35, Sep!K35),"")</f>
        <v>0.97180353333333336</v>
      </c>
      <c r="L35" s="39"/>
      <c r="M35" s="40"/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SUM(Jul!D36, Aug!D36, Sep!D36)</f>
        <v>61666.5144589552</v>
      </c>
      <c r="E36" s="11">
        <f>SUM(Jul!E36, Aug!E36, Sep!E36)</f>
        <v>66379.01999999999</v>
      </c>
      <c r="F36" s="11">
        <f t="shared" si="6"/>
        <v>-4712.5055410447894</v>
      </c>
      <c r="G36" s="12">
        <f t="shared" si="7"/>
        <v>-7.0993900498151227E-2</v>
      </c>
      <c r="H36" s="13">
        <f>SUM(Jul!H36,Aug!H36,Sep!H36)</f>
        <v>63601.79</v>
      </c>
      <c r="I36" s="13">
        <f>SUM(Jul!I36, Aug!I36, Sep!I36)</f>
        <v>-1935.2755410448008</v>
      </c>
      <c r="J36" s="14">
        <f t="shared" si="8"/>
        <v>-3.0428004322595334E-2</v>
      </c>
      <c r="K36" s="14">
        <f>IFERROR(AVERAGE(Jul!K36, Aug!K36, Sep!K36),"")</f>
        <v>1</v>
      </c>
      <c r="L36" s="38"/>
      <c r="M36" s="38"/>
    </row>
    <row r="37" spans="1:13" ht="15.6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SUM(Jul!D37, Aug!D37, Sep!D37)</f>
        <v>166198.5625</v>
      </c>
      <c r="E37" s="15">
        <f>SUM(Jul!E37, Aug!E37, Sep!E37)</f>
        <v>204846.46</v>
      </c>
      <c r="F37" s="15">
        <f t="shared" si="6"/>
        <v>-38647.897499999992</v>
      </c>
      <c r="G37" s="16">
        <f t="shared" si="7"/>
        <v>-0.18866763672655115</v>
      </c>
      <c r="H37" s="17">
        <f>SUM(Jul!H37,Aug!H37,Sep!H37)</f>
        <v>268985</v>
      </c>
      <c r="I37" s="17">
        <f>SUM(Jul!I37, Aug!I37, Sep!I37)</f>
        <v>-102786.4375</v>
      </c>
      <c r="J37" s="16">
        <f t="shared" si="8"/>
        <v>-0.38212702381173669</v>
      </c>
      <c r="K37" s="14">
        <f>IFERROR(AVERAGE(Jul!K37, Aug!K37, Sep!K37),"")</f>
        <v>0.61359753333333333</v>
      </c>
      <c r="L37" s="39"/>
      <c r="M37" s="40"/>
    </row>
    <row r="38" spans="1:13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SUM(Jul!D38, Aug!D38, Sep!D38)</f>
        <v>65186.625</v>
      </c>
      <c r="E38" s="11">
        <f>SUM(Jul!E38, Aug!E38, Sep!E38)</f>
        <v>68984.08</v>
      </c>
      <c r="F38" s="11">
        <f t="shared" si="6"/>
        <v>-3797.4550000000017</v>
      </c>
      <c r="G38" s="12">
        <f t="shared" si="7"/>
        <v>-5.5048280704765529E-2</v>
      </c>
      <c r="H38" s="13">
        <f>SUM(Jul!H38,Aug!H38,Sep!H38)</f>
        <v>72662</v>
      </c>
      <c r="I38" s="13">
        <f>SUM(Jul!I38, Aug!I38, Sep!I38)</f>
        <v>-7475.375</v>
      </c>
      <c r="J38" s="14">
        <f t="shared" si="8"/>
        <v>-0.10287873991907737</v>
      </c>
      <c r="K38" s="14">
        <f>IFERROR(AVERAGE(Jul!K38, Aug!K38, Sep!K38),"")</f>
        <v>0.97244940000000002</v>
      </c>
      <c r="L38" s="38"/>
      <c r="M38" s="38"/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SUM(Jul!D39, Aug!D39, Sep!D39)</f>
        <v>65839.84375</v>
      </c>
      <c r="E39" s="15">
        <f>SUM(Jul!E39, Aug!E39, Sep!E39)</f>
        <v>70063.179999999993</v>
      </c>
      <c r="F39" s="15">
        <f t="shared" si="6"/>
        <v>-4223.336249999993</v>
      </c>
      <c r="G39" s="16">
        <f t="shared" si="7"/>
        <v>-6.0278968924904544E-2</v>
      </c>
      <c r="H39" s="17">
        <f>SUM(Jul!H39,Aug!H39,Sep!H39)</f>
        <v>69834.990000000005</v>
      </c>
      <c r="I39" s="17">
        <f>SUM(Jul!I39, Aug!I39, Sep!I39)</f>
        <v>-3995.1462500000016</v>
      </c>
      <c r="J39" s="16">
        <f t="shared" si="8"/>
        <v>-5.7208374340713748E-2</v>
      </c>
      <c r="K39" s="14">
        <f>IFERROR(AVERAGE(Jul!K39, Aug!K39, Sep!K39),"")</f>
        <v>1</v>
      </c>
      <c r="L39" s="39"/>
      <c r="M39" s="40"/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SUM(Jul!D40, Aug!D40, Sep!D40)</f>
        <v>75799.03125</v>
      </c>
      <c r="E40" s="11">
        <f>SUM(Jul!E40, Aug!E40, Sep!E40)</f>
        <v>86814.35</v>
      </c>
      <c r="F40" s="11">
        <f t="shared" si="6"/>
        <v>-11015.318750000006</v>
      </c>
      <c r="G40" s="12">
        <f t="shared" si="7"/>
        <v>-0.12688361716697763</v>
      </c>
      <c r="H40" s="13">
        <f>SUM(Jul!H40,Aug!H40,Sep!H40)</f>
        <v>76130.39</v>
      </c>
      <c r="I40" s="13">
        <f>SUM(Jul!I40, Aug!I40, Sep!I40)</f>
        <v>-331.35874999999942</v>
      </c>
      <c r="J40" s="14">
        <f t="shared" si="8"/>
        <v>-4.3525161239814933E-3</v>
      </c>
      <c r="K40" s="14">
        <f>IFERROR(AVERAGE(Jul!K40, Aug!K40, Sep!K40),"")</f>
        <v>1</v>
      </c>
      <c r="L40" s="38"/>
      <c r="M40" s="38"/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SUM(Jul!D41, Aug!D41, Sep!D41)</f>
        <v>69098.09375</v>
      </c>
      <c r="E41" s="15">
        <f>SUM(Jul!E41, Aug!E41, Sep!E41)</f>
        <v>0</v>
      </c>
      <c r="F41" s="15">
        <f t="shared" si="6"/>
        <v>69098.09375</v>
      </c>
      <c r="G41" s="16" t="str">
        <f t="shared" si="7"/>
        <v/>
      </c>
      <c r="H41" s="17">
        <f>SUM(Jul!H41,Aug!H41,Sep!H41)</f>
        <v>111543</v>
      </c>
      <c r="I41" s="17">
        <f>SUM(Jul!I41, Aug!I41, Sep!I41)</f>
        <v>-42444.90625</v>
      </c>
      <c r="J41" s="16">
        <f t="shared" si="8"/>
        <v>-0.3805250553598164</v>
      </c>
      <c r="K41" s="14">
        <f>IFERROR(AVERAGE(Jul!K41, Aug!K41, Sep!K41),"")</f>
        <v>0.97641643333333328</v>
      </c>
      <c r="L41" s="39"/>
      <c r="M41" s="40"/>
    </row>
    <row r="42" spans="1:13" ht="15.6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SUM(Jul!D42, Aug!D42, Sep!D42)</f>
        <v>82301.640625</v>
      </c>
      <c r="E42" s="11">
        <f>SUM(Jul!E42, Aug!E42, Sep!E42)</f>
        <v>61077.45</v>
      </c>
      <c r="F42" s="11">
        <f t="shared" si="6"/>
        <v>21224.190625000003</v>
      </c>
      <c r="G42" s="12">
        <f t="shared" si="7"/>
        <v>0.34749634480483393</v>
      </c>
      <c r="H42" s="13">
        <f>SUM(Jul!H42,Aug!H42,Sep!H42)</f>
        <v>93999.180000000008</v>
      </c>
      <c r="I42" s="13">
        <f>SUM(Jul!I42, Aug!I42, Sep!I42)</f>
        <v>-11697.539375</v>
      </c>
      <c r="J42" s="14">
        <f t="shared" si="8"/>
        <v>-0.1244429938112226</v>
      </c>
      <c r="K42" s="14">
        <f>IFERROR(AVERAGE(Jul!K42, Aug!K42, Sep!K42),"")</f>
        <v>1</v>
      </c>
      <c r="L42" s="38"/>
      <c r="M42" s="38"/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SUM(Jul!D43, Aug!D43, Sep!D43)</f>
        <v>57463.5</v>
      </c>
      <c r="E43" s="15">
        <f>SUM(Jul!E43, Aug!E43, Sep!E43)</f>
        <v>0</v>
      </c>
      <c r="F43" s="15">
        <f t="shared" si="6"/>
        <v>57463.5</v>
      </c>
      <c r="G43" s="16" t="str">
        <f t="shared" si="7"/>
        <v/>
      </c>
      <c r="H43" s="17">
        <f>SUM(Jul!H43,Aug!H43,Sep!H43)</f>
        <v>60470</v>
      </c>
      <c r="I43" s="17">
        <f>SUM(Jul!I43, Aug!I43, Sep!I43)</f>
        <v>-3006.5</v>
      </c>
      <c r="J43" s="16">
        <f t="shared" si="8"/>
        <v>-4.9718868860592028E-2</v>
      </c>
      <c r="K43" s="14">
        <f>IFERROR(AVERAGE(Jul!K43, Aug!K43, Sep!K43),"")</f>
        <v>0.9746600333333334</v>
      </c>
      <c r="L43" s="39"/>
      <c r="M43" s="40"/>
    </row>
    <row r="44" spans="1:13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SUM(Jul!D44, Aug!D44, Sep!D44)</f>
        <v>26806.3984375</v>
      </c>
      <c r="E44" s="11">
        <f>SUM(Jul!E44, Aug!E44, Sep!E44)</f>
        <v>18992.665999999997</v>
      </c>
      <c r="F44" s="11">
        <f t="shared" si="6"/>
        <v>7813.7324375000026</v>
      </c>
      <c r="G44" s="12">
        <f t="shared" si="7"/>
        <v>0.41140787909922721</v>
      </c>
      <c r="H44" s="13">
        <f>SUM(Jul!H44,Aug!H44,Sep!H44)</f>
        <v>30473.02</v>
      </c>
      <c r="I44" s="13">
        <f>SUM(Jul!I44, Aug!I44, Sep!I44)</f>
        <v>-3666.6215624999986</v>
      </c>
      <c r="J44" s="14">
        <f t="shared" si="8"/>
        <v>-0.12032353742753421</v>
      </c>
      <c r="K44" s="14">
        <f>IFERROR(AVERAGE(Jul!K44, Aug!K44, Sep!K44),"")</f>
        <v>1</v>
      </c>
      <c r="L44" s="38"/>
      <c r="M44" s="38"/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SUM(Jul!D45, Aug!D45, Sep!D45)</f>
        <v>85082.71875</v>
      </c>
      <c r="E45" s="15">
        <f>SUM(Jul!E45, Aug!E45, Sep!E45)</f>
        <v>89830.68</v>
      </c>
      <c r="F45" s="15">
        <f t="shared" si="6"/>
        <v>-4747.961249999993</v>
      </c>
      <c r="G45" s="16">
        <f t="shared" si="7"/>
        <v>-5.2854562049402198E-2</v>
      </c>
      <c r="H45" s="17">
        <f>SUM(Jul!H45,Aug!H45,Sep!H45)</f>
        <v>93345</v>
      </c>
      <c r="I45" s="17">
        <f>SUM(Jul!I45, Aug!I45, Sep!I45)</f>
        <v>-8262.28125</v>
      </c>
      <c r="J45" s="16">
        <f t="shared" si="8"/>
        <v>-8.8513377792061712E-2</v>
      </c>
      <c r="K45" s="14">
        <f>IFERROR(AVERAGE(Jul!K45, Aug!K45, Sep!K45),"")</f>
        <v>0.97370319999999999</v>
      </c>
      <c r="L45" s="39"/>
      <c r="M45" s="40"/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SUM(Jul!D46, Aug!D46, Sep!D46)</f>
        <v>57386.0625</v>
      </c>
      <c r="E46" s="11">
        <f>SUM(Jul!E46, Aug!E46, Sep!E46)</f>
        <v>61479.61</v>
      </c>
      <c r="F46" s="11">
        <f t="shared" si="6"/>
        <v>-4093.5475000000006</v>
      </c>
      <c r="G46" s="12">
        <f t="shared" si="7"/>
        <v>-6.65838234822895E-2</v>
      </c>
      <c r="H46" s="13">
        <f>SUM(Jul!H46,Aug!H46,Sep!H46)</f>
        <v>41441.102999999996</v>
      </c>
      <c r="I46" s="13">
        <f>SUM(Jul!I46, Aug!I46, Sep!I46)</f>
        <v>15944.959500000001</v>
      </c>
      <c r="J46" s="14">
        <f t="shared" si="8"/>
        <v>0.3847619475765402</v>
      </c>
      <c r="K46" s="14">
        <f>IFERROR(AVERAGE(Jul!K46, Aug!K46, Sep!K46),"")</f>
        <v>1</v>
      </c>
      <c r="L46" s="38"/>
      <c r="M46" s="38"/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SUM(Jul!D47, Aug!D47, Sep!D47)</f>
        <v>47018.5</v>
      </c>
      <c r="E47" s="15">
        <f>SUM(Jul!E47, Aug!E47, Sep!E47)</f>
        <v>47062.78</v>
      </c>
      <c r="F47" s="15">
        <f t="shared" si="6"/>
        <v>-44.279999999998836</v>
      </c>
      <c r="G47" s="16">
        <f t="shared" si="7"/>
        <v>-9.4087089627937061E-4</v>
      </c>
      <c r="H47" s="17">
        <f>SUM(Jul!H47,Aug!H47,Sep!H47)</f>
        <v>46539.479999999996</v>
      </c>
      <c r="I47" s="17">
        <f>SUM(Jul!I47, Aug!I47, Sep!I47)</f>
        <v>479.02000000000044</v>
      </c>
      <c r="J47" s="16">
        <f t="shared" si="8"/>
        <v>1.029276648557312E-2</v>
      </c>
      <c r="K47" s="14">
        <f>IFERROR(AVERAGE(Jul!K47, Aug!K47, Sep!K47),"")</f>
        <v>0.99886589999999986</v>
      </c>
      <c r="L47" s="39"/>
      <c r="M47" s="40"/>
    </row>
    <row r="48" spans="1:13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SUM(Jul!D48, Aug!D48, Sep!D48)</f>
        <v>71021.875</v>
      </c>
      <c r="E48" s="11">
        <f>SUM(Jul!E48, Aug!E48, Sep!E48)</f>
        <v>80141.38</v>
      </c>
      <c r="F48" s="11">
        <f t="shared" si="6"/>
        <v>-9119.5050000000047</v>
      </c>
      <c r="G48" s="12">
        <f t="shared" si="7"/>
        <v>-0.11379271232913639</v>
      </c>
      <c r="H48" s="13">
        <f>SUM(Jul!H48,Aug!H48,Sep!H48)</f>
        <v>42327</v>
      </c>
      <c r="I48" s="13">
        <f>SUM(Jul!I48, Aug!I48, Sep!I48)</f>
        <v>28694.875</v>
      </c>
      <c r="J48" s="14">
        <f t="shared" si="8"/>
        <v>0.677933115977981</v>
      </c>
      <c r="K48" s="14">
        <f>IFERROR(AVERAGE(Jul!K48, Aug!K48, Sep!K48),"")</f>
        <v>1</v>
      </c>
      <c r="L48" s="38"/>
      <c r="M48" s="38"/>
    </row>
    <row r="49" spans="1:13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SUM(Jul!D49, Aug!D49, Sep!D49)</f>
        <v>52557.25</v>
      </c>
      <c r="E49" s="15">
        <f>SUM(Jul!E49, Aug!E49, Sep!E49)</f>
        <v>52799.740000000005</v>
      </c>
      <c r="F49" s="15">
        <f t="shared" si="6"/>
        <v>-242.49000000000524</v>
      </c>
      <c r="G49" s="16">
        <f t="shared" si="7"/>
        <v>-4.5926362516180048E-3</v>
      </c>
      <c r="H49" s="17">
        <f>SUM(Jul!H49,Aug!H49,Sep!H49)</f>
        <v>52532.039999999994</v>
      </c>
      <c r="I49" s="17">
        <f>SUM(Jul!I49, Aug!I49, Sep!I49)</f>
        <v>25.210000000000946</v>
      </c>
      <c r="J49" s="16">
        <f t="shared" si="8"/>
        <v>4.7989760153995447E-4</v>
      </c>
      <c r="K49" s="14">
        <f>IFERROR(AVERAGE(Jul!K49, Aug!K49, Sep!K49),"")</f>
        <v>1</v>
      </c>
      <c r="L49" s="39"/>
      <c r="M49" s="40"/>
    </row>
    <row r="50" spans="1:13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SUM(Jul!D50, Aug!D50, Sep!D50)</f>
        <v>68025</v>
      </c>
      <c r="E50" s="11">
        <f>SUM(Jul!E50, Aug!E50, Sep!E50)</f>
        <v>72161.98000000001</v>
      </c>
      <c r="F50" s="11">
        <f t="shared" si="6"/>
        <v>-4136.9800000000105</v>
      </c>
      <c r="G50" s="12">
        <f t="shared" si="7"/>
        <v>-5.7329081047942557E-2</v>
      </c>
      <c r="H50" s="13">
        <f>SUM(Jul!H50,Aug!H50,Sep!H50)</f>
        <v>69830.63</v>
      </c>
      <c r="I50" s="13">
        <f>SUM(Jul!I50, Aug!I50, Sep!I50)</f>
        <v>-1805.6299999999974</v>
      </c>
      <c r="J50" s="14">
        <f t="shared" si="8"/>
        <v>-2.5857277816339296E-2</v>
      </c>
      <c r="K50" s="14">
        <f>IFERROR(AVERAGE(Jul!K50, Aug!K50, Sep!K50),"")</f>
        <v>1</v>
      </c>
      <c r="L50" s="38"/>
      <c r="M50" s="38"/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SUM(Jul!D51, Aug!D51, Sep!D51)</f>
        <v>40708.9375</v>
      </c>
      <c r="E51" s="15">
        <f>SUM(Jul!E51, Aug!E51, Sep!E51)</f>
        <v>43855.62</v>
      </c>
      <c r="F51" s="15">
        <f t="shared" si="6"/>
        <v>-3146.6825000000026</v>
      </c>
      <c r="G51" s="16">
        <f t="shared" si="7"/>
        <v>-7.1750952329484849E-2</v>
      </c>
      <c r="H51" s="17">
        <f>SUM(Jul!H51,Aug!H51,Sep!H51)</f>
        <v>43935</v>
      </c>
      <c r="I51" s="17">
        <f>SUM(Jul!I51, Aug!I51, Sep!I51)</f>
        <v>-3226.0625</v>
      </c>
      <c r="J51" s="16">
        <f t="shared" si="8"/>
        <v>-7.3428075566177309E-2</v>
      </c>
      <c r="K51" s="14">
        <f>IFERROR(AVERAGE(Jul!K51, Aug!K51, Sep!K51),"")</f>
        <v>0.99977596666666668</v>
      </c>
      <c r="L51" s="39"/>
      <c r="M51" s="40"/>
    </row>
    <row r="52" spans="1:13" ht="15.6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SUM(Jul!D52, Aug!D52, Sep!D52)</f>
        <v>70160.3125</v>
      </c>
      <c r="E52" s="11">
        <f>SUM(Jul!E52, Aug!E52, Sep!E52)</f>
        <v>78275.61</v>
      </c>
      <c r="F52" s="11">
        <f t="shared" si="6"/>
        <v>-8115.2975000000006</v>
      </c>
      <c r="G52" s="12">
        <f t="shared" si="7"/>
        <v>-0.1036759406921262</v>
      </c>
      <c r="H52" s="13">
        <f>SUM(Jul!H52,Aug!H52,Sep!H52)</f>
        <v>77296.76999999999</v>
      </c>
      <c r="I52" s="13">
        <f>SUM(Jul!I52, Aug!I52, Sep!I52)</f>
        <v>-7136.4575000000004</v>
      </c>
      <c r="J52" s="14">
        <f t="shared" si="8"/>
        <v>-9.2325429639556755E-2</v>
      </c>
      <c r="K52" s="14">
        <f>IFERROR(AVERAGE(Jul!K52, Aug!K52, Sep!K52),"")</f>
        <v>1</v>
      </c>
      <c r="L52" s="38"/>
      <c r="M52" s="38"/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SUM(Jul!D53, Aug!D53, Sep!D53)</f>
        <v>111974.375</v>
      </c>
      <c r="E53" s="15">
        <f>SUM(Jul!E53, Aug!E53, Sep!E53)</f>
        <v>122233.45999999999</v>
      </c>
      <c r="F53" s="15">
        <f t="shared" si="6"/>
        <v>-10259.084999999992</v>
      </c>
      <c r="G53" s="16">
        <f t="shared" si="7"/>
        <v>-8.3930251176723564E-2</v>
      </c>
      <c r="H53" s="17">
        <f>SUM(Jul!H53,Aug!H53,Sep!H53)</f>
        <v>73402.265599999999</v>
      </c>
      <c r="I53" s="17">
        <f>SUM(Jul!I53, Aug!I53, Sep!I53)</f>
        <v>38572.109400000001</v>
      </c>
      <c r="J53" s="16">
        <f t="shared" si="8"/>
        <v>0.5254893576472931</v>
      </c>
      <c r="K53" s="14">
        <f>IFERROR(AVERAGE(Jul!K53, Aug!K53, Sep!K53),"")</f>
        <v>1</v>
      </c>
      <c r="L53" s="39"/>
      <c r="M53" s="40"/>
    </row>
    <row r="54" spans="1:13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SUM(Jul!D54, Aug!D54, Sep!D54)</f>
        <v>86087.375</v>
      </c>
      <c r="E54" s="11">
        <f>SUM(Jul!E54, Aug!E54, Sep!E54)</f>
        <v>91427.959999999992</v>
      </c>
      <c r="F54" s="11">
        <f t="shared" si="6"/>
        <v>-5340.5849999999919</v>
      </c>
      <c r="G54" s="12">
        <f t="shared" si="7"/>
        <v>-5.8413039074698726E-2</v>
      </c>
      <c r="H54" s="13">
        <f>SUM(Jul!H54,Aug!H54,Sep!H54)</f>
        <v>94490</v>
      </c>
      <c r="I54" s="13">
        <f>SUM(Jul!I54, Aug!I54, Sep!I54)</f>
        <v>-8402.625</v>
      </c>
      <c r="J54" s="14">
        <f t="shared" si="8"/>
        <v>-8.8926076833527351E-2</v>
      </c>
      <c r="K54" s="14">
        <f>IFERROR(AVERAGE(Jul!K54, Aug!K54, Sep!K54),"")</f>
        <v>1</v>
      </c>
      <c r="L54" s="38"/>
      <c r="M54" s="38"/>
    </row>
    <row r="55" spans="1:13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SUM(Jul!D55, Aug!D55, Sep!D55)</f>
        <v>35474.937499999898</v>
      </c>
      <c r="E55" s="15">
        <f>SUM(Jul!E55, Aug!E55, Sep!E55)</f>
        <v>44769.899999999994</v>
      </c>
      <c r="F55" s="15">
        <f t="shared" si="6"/>
        <v>-9294.962500000096</v>
      </c>
      <c r="G55" s="16">
        <f t="shared" si="7"/>
        <v>-0.20761633374209229</v>
      </c>
      <c r="H55" s="17">
        <f>SUM(Jul!H55,Aug!H55,Sep!H55)</f>
        <v>40305.58</v>
      </c>
      <c r="I55" s="17">
        <f>SUM(Jul!I55, Aug!I55, Sep!I55)</f>
        <v>-4830.6425000001</v>
      </c>
      <c r="J55" s="16">
        <f t="shared" si="8"/>
        <v>-0.11985046487360063</v>
      </c>
      <c r="K55" s="14">
        <f>IFERROR(AVERAGE(Jul!K55, Aug!K55, Sep!K55),"")</f>
        <v>1</v>
      </c>
      <c r="L55" s="39"/>
      <c r="M55" s="40"/>
    </row>
    <row r="56" spans="1:13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SUM(Jul!D56, Aug!D56, Sep!D56)</f>
        <v>149562.49999999988</v>
      </c>
      <c r="E56" s="11">
        <f>SUM(Jul!E56, Aug!E56, Sep!E56)</f>
        <v>154016.60999999999</v>
      </c>
      <c r="F56" s="11">
        <f t="shared" si="6"/>
        <v>-4454.1100000001024</v>
      </c>
      <c r="G56" s="12">
        <f t="shared" si="7"/>
        <v>-2.891967301448917E-2</v>
      </c>
      <c r="H56" s="13">
        <f>SUM(Jul!H56,Aug!H56,Sep!H56)</f>
        <v>158978</v>
      </c>
      <c r="I56" s="13">
        <f>SUM(Jul!I56, Aug!I56, Sep!I56)</f>
        <v>-9415.5000000001019</v>
      </c>
      <c r="J56" s="14">
        <f t="shared" si="8"/>
        <v>-5.9225175810490145E-2</v>
      </c>
      <c r="K56" s="14">
        <f>IFERROR(AVERAGE(Jul!K56, Aug!K56, Sep!K56),"")</f>
        <v>1</v>
      </c>
      <c r="L56" s="38"/>
      <c r="M56" s="38"/>
    </row>
    <row r="57" spans="1:13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SUM(Jul!D57, Aug!D57, Sep!D57)</f>
        <v>162040</v>
      </c>
      <c r="E57" s="15">
        <f>SUM(Jul!E57, Aug!E57, Sep!E57)</f>
        <v>172586.66</v>
      </c>
      <c r="F57" s="15">
        <f t="shared" si="6"/>
        <v>-10546.660000000003</v>
      </c>
      <c r="G57" s="16">
        <f t="shared" si="7"/>
        <v>-6.1109358046560515E-2</v>
      </c>
      <c r="H57" s="17">
        <f>SUM(Jul!H57,Aug!H57,Sep!H57)</f>
        <v>169543.94</v>
      </c>
      <c r="I57" s="17">
        <f>SUM(Jul!I57, Aug!I57, Sep!I57)</f>
        <v>-7503.9399999999951</v>
      </c>
      <c r="J57" s="16">
        <f t="shared" si="8"/>
        <v>-4.4259558908445767E-2</v>
      </c>
      <c r="K57" s="14">
        <f>IFERROR(AVERAGE(Jul!K57, Aug!K57, Sep!K57),"")</f>
        <v>1</v>
      </c>
      <c r="L57" s="39"/>
      <c r="M57" s="40"/>
    </row>
    <row r="58" spans="1:13" ht="15.6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SUM(Jul!D58, Aug!D58, Sep!D58)</f>
        <v>212522.4375</v>
      </c>
      <c r="E58" s="11">
        <f>SUM(Jul!E58, Aug!E58, Sep!E58)</f>
        <v>159349.44</v>
      </c>
      <c r="F58" s="11">
        <f t="shared" si="6"/>
        <v>53172.997499999998</v>
      </c>
      <c r="G58" s="12">
        <f t="shared" si="7"/>
        <v>0.33368800982294006</v>
      </c>
      <c r="H58" s="13">
        <f>SUM(Jul!H58,Aug!H58,Sep!H58)</f>
        <v>221383</v>
      </c>
      <c r="I58" s="13">
        <f>SUM(Jul!I58, Aug!I58, Sep!I58)</f>
        <v>-8860.5625</v>
      </c>
      <c r="J58" s="14">
        <f t="shared" si="8"/>
        <v>-4.0023680680088353E-2</v>
      </c>
      <c r="K58" s="14">
        <f>IFERROR(AVERAGE(Jul!K58, Aug!K58, Sep!K58),"")</f>
        <v>0.98173146666666666</v>
      </c>
      <c r="L58" s="38"/>
      <c r="M58" s="38"/>
    </row>
    <row r="59" spans="1:13" ht="15.6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SUM(Jul!D59, Aug!D59, Sep!D59)</f>
        <v>195182.93749999988</v>
      </c>
      <c r="E59" s="15">
        <f>SUM(Jul!E59, Aug!E59, Sep!E59)</f>
        <v>160305.24</v>
      </c>
      <c r="F59" s="15">
        <f t="shared" si="6"/>
        <v>34877.697499999893</v>
      </c>
      <c r="G59" s="16">
        <f t="shared" si="7"/>
        <v>0.21757053917888083</v>
      </c>
      <c r="H59" s="17">
        <f>SUM(Jul!H59,Aug!H59,Sep!H59)</f>
        <v>210863.52</v>
      </c>
      <c r="I59" s="17">
        <f>SUM(Jul!I59, Aug!I59, Sep!I59)</f>
        <v>-15680.582500000099</v>
      </c>
      <c r="J59" s="16">
        <f t="shared" si="8"/>
        <v>-7.4363657118121235E-2</v>
      </c>
      <c r="K59" s="14">
        <f>IFERROR(AVERAGE(Jul!K59, Aug!K59, Sep!K59),"")</f>
        <v>1</v>
      </c>
      <c r="L59" s="39"/>
      <c r="M59" s="40"/>
    </row>
    <row r="60" spans="1:13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SUM(Jul!D60, Aug!D60, Sep!D60)</f>
        <v>134909</v>
      </c>
      <c r="E60" s="11">
        <f>SUM(Jul!E60, Aug!E60, Sep!E60)</f>
        <v>0</v>
      </c>
      <c r="F60" s="11">
        <f t="shared" si="6"/>
        <v>134909</v>
      </c>
      <c r="G60" s="12" t="str">
        <f t="shared" si="7"/>
        <v/>
      </c>
      <c r="H60" s="13">
        <f>SUM(Jul!H60,Aug!H60,Sep!H60)</f>
        <v>147239.22</v>
      </c>
      <c r="I60" s="13">
        <f>SUM(Jul!I60, Aug!I60, Sep!I60)</f>
        <v>-12330.219999999994</v>
      </c>
      <c r="J60" s="14">
        <f t="shared" si="8"/>
        <v>-8.3742769080140431E-2</v>
      </c>
      <c r="K60" s="14">
        <f>IFERROR(AVERAGE(Jul!K60, Aug!K60, Sep!K60),"")</f>
        <v>1</v>
      </c>
      <c r="L60" s="38"/>
      <c r="M60" s="38"/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SUM(Jul!D61, Aug!D61, Sep!D61)</f>
        <v>213775.125</v>
      </c>
      <c r="E61" s="15">
        <f>SUM(Jul!E61, Aug!E61, Sep!E61)</f>
        <v>221599.52000000002</v>
      </c>
      <c r="F61" s="15">
        <f t="shared" si="6"/>
        <v>-7824.3950000000186</v>
      </c>
      <c r="G61" s="16">
        <f t="shared" si="7"/>
        <v>-3.5308718177728987E-2</v>
      </c>
      <c r="H61" s="17">
        <f>SUM(Jul!H61,Aug!H61,Sep!H61)</f>
        <v>222645.06</v>
      </c>
      <c r="I61" s="17">
        <f>SUM(Jul!I61, Aug!I61, Sep!I61)</f>
        <v>-8869.9350000000049</v>
      </c>
      <c r="J61" s="16">
        <f t="shared" si="8"/>
        <v>-3.9838903230100885E-2</v>
      </c>
      <c r="K61" s="14">
        <f>IFERROR(AVERAGE(Jul!K61, Aug!K61, Sep!K61),"")</f>
        <v>1</v>
      </c>
      <c r="L61" s="39"/>
      <c r="M61" s="40"/>
    </row>
    <row r="62" spans="1:13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SUM(Jul!D62, Aug!D62, Sep!D62)</f>
        <v>18783.299999999988</v>
      </c>
      <c r="E62" s="11">
        <f>SUM(Jul!E62, Aug!E62, Sep!E62)</f>
        <v>0</v>
      </c>
      <c r="F62" s="11">
        <f t="shared" si="6"/>
        <v>18783.299999999988</v>
      </c>
      <c r="G62" s="12" t="str">
        <f t="shared" si="7"/>
        <v/>
      </c>
      <c r="H62" s="13">
        <f>SUM(Jul!H62,Aug!H62,Sep!H62)</f>
        <v>20179.273000000001</v>
      </c>
      <c r="I62" s="13">
        <f>SUM(Jul!I62, Aug!I62, Sep!I62)</f>
        <v>-1395.9730000000109</v>
      </c>
      <c r="J62" s="14">
        <f t="shared" si="8"/>
        <v>-6.917855762197235E-2</v>
      </c>
      <c r="K62" s="14">
        <f>IFERROR(AVERAGE(Jul!K62, Aug!K62, Sep!K62),"")</f>
        <v>0.99854406666666673</v>
      </c>
      <c r="L62" s="38"/>
      <c r="M62" s="38"/>
    </row>
    <row r="63" spans="1:13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SUM(Jul!D63, Aug!D63, Sep!D63)</f>
        <v>84391.125</v>
      </c>
      <c r="E63" s="15">
        <f>SUM(Jul!E63, Aug!E63, Sep!E63)</f>
        <v>86012.330000000016</v>
      </c>
      <c r="F63" s="15">
        <f t="shared" si="6"/>
        <v>-1621.2050000000163</v>
      </c>
      <c r="G63" s="16">
        <f t="shared" si="7"/>
        <v>-1.8848518578673732E-2</v>
      </c>
      <c r="H63" s="17">
        <f>SUM(Jul!H63,Aug!H63,Sep!H63)</f>
        <v>78639</v>
      </c>
      <c r="I63" s="17">
        <f>SUM(Jul!I63, Aug!I63, Sep!I63)</f>
        <v>5752.125</v>
      </c>
      <c r="J63" s="16">
        <f t="shared" si="8"/>
        <v>7.3145958112386986E-2</v>
      </c>
      <c r="K63" s="14">
        <f>IFERROR(AVERAGE(Jul!K63, Aug!K63, Sep!K63),"")</f>
        <v>0.97426536666666663</v>
      </c>
      <c r="L63" s="39"/>
      <c r="M63" s="40"/>
    </row>
    <row r="64" spans="1:13" ht="15.6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SUM(Jul!D64, Aug!D64, Sep!D64)</f>
        <v>74507.900000000009</v>
      </c>
      <c r="E64" s="11">
        <f>SUM(Jul!E64, Aug!E64, Sep!E64)</f>
        <v>68970.37</v>
      </c>
      <c r="F64" s="11">
        <f t="shared" si="6"/>
        <v>5537.5300000000134</v>
      </c>
      <c r="G64" s="12">
        <f t="shared" si="7"/>
        <v>8.0288535497199942E-2</v>
      </c>
      <c r="H64" s="13">
        <f>SUM(Jul!H64,Aug!H64,Sep!H64)</f>
        <v>88516.13</v>
      </c>
      <c r="I64" s="13">
        <f>SUM(Jul!I64, Aug!I64, Sep!I64)</f>
        <v>-14008.229999999996</v>
      </c>
      <c r="J64" s="14">
        <f t="shared" si="8"/>
        <v>-0.1582562409811635</v>
      </c>
      <c r="K64" s="14" t="str">
        <f>IFERROR(AVERAGE(Jul!K64, Aug!K64, Sep!K64),"")</f>
        <v/>
      </c>
      <c r="L64" s="38"/>
      <c r="M64" s="38"/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SUM(Jul!D65, Aug!D65, Sep!D65)</f>
        <v>63739.064299999998</v>
      </c>
      <c r="E65" s="15">
        <f>SUM(Jul!E65, Aug!E65, Sep!E65)</f>
        <v>54551.17</v>
      </c>
      <c r="F65" s="15">
        <f t="shared" si="6"/>
        <v>9187.8942999999999</v>
      </c>
      <c r="G65" s="16">
        <f t="shared" si="7"/>
        <v>0.16842708048241678</v>
      </c>
      <c r="H65" s="17">
        <f>SUM(Jul!H65,Aug!H65,Sep!H65)</f>
        <v>65267</v>
      </c>
      <c r="I65" s="17">
        <f>SUM(Jul!I65, Aug!I65, Sep!I65)</f>
        <v>-1527.9356999999982</v>
      </c>
      <c r="J65" s="16">
        <f t="shared" si="8"/>
        <v>-2.3410539782738569E-2</v>
      </c>
      <c r="K65" s="14" t="str">
        <f>IFERROR(AVERAGE(Jul!K65, Aug!K65, Sep!K65),"")</f>
        <v/>
      </c>
      <c r="L65" s="39"/>
      <c r="M65" s="40"/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SUM(Jul!D66, Aug!D66, Sep!D66)</f>
        <v>53556</v>
      </c>
      <c r="E66" s="11">
        <f>SUM(Jul!E66, Aug!E66, Sep!E66)</f>
        <v>58432.6</v>
      </c>
      <c r="F66" s="11">
        <f t="shared" si="6"/>
        <v>-4876.5999999999985</v>
      </c>
      <c r="G66" s="12">
        <f t="shared" si="7"/>
        <v>-8.3456837450327365E-2</v>
      </c>
      <c r="H66" s="13">
        <f>SUM(Jul!H66,Aug!H66,Sep!H66)</f>
        <v>57323.43</v>
      </c>
      <c r="I66" s="13">
        <f>SUM(Jul!I66, Aug!I66, Sep!I66)</f>
        <v>-3767.4300000000039</v>
      </c>
      <c r="J66" s="14">
        <f t="shared" si="8"/>
        <v>-6.5722340760139511E-2</v>
      </c>
      <c r="K66" s="14" t="str">
        <f>IFERROR(AVERAGE(Jul!K66, Aug!K66, Sep!K66),"")</f>
        <v/>
      </c>
      <c r="L66" s="38"/>
      <c r="M66" s="38"/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SUM(Jul!D67, Aug!D67, Sep!D67)</f>
        <v>98956.40625</v>
      </c>
      <c r="E67" s="15">
        <f>SUM(Jul!E67, Aug!E67, Sep!E67)</f>
        <v>101257.72</v>
      </c>
      <c r="F67" s="15">
        <f t="shared" si="6"/>
        <v>-2301.3137500000012</v>
      </c>
      <c r="G67" s="16">
        <f t="shared" si="7"/>
        <v>-2.2727291805503827E-2</v>
      </c>
      <c r="H67" s="17">
        <f>SUM(Jul!H67,Aug!H67,Sep!H67)</f>
        <v>99486.739999999991</v>
      </c>
      <c r="I67" s="17">
        <f>SUM(Jul!I67, Aug!I67, Sep!I67)</f>
        <v>-530.33374999999796</v>
      </c>
      <c r="J67" s="16">
        <f t="shared" si="8"/>
        <v>-5.3306978397321897E-3</v>
      </c>
      <c r="K67" s="14" t="str">
        <f>IFERROR(AVERAGE(Jul!K67, Aug!K67, Sep!K67),"")</f>
        <v/>
      </c>
      <c r="L67" s="39"/>
      <c r="M67" s="40"/>
    </row>
    <row r="68" spans="1:13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SUM(Jul!D68, Aug!D68, Sep!D68)</f>
        <v>95033.875</v>
      </c>
      <c r="E68" s="11">
        <f>SUM(Jul!E68, Aug!E68, Sep!E68)</f>
        <v>26914</v>
      </c>
      <c r="F68" s="11">
        <f t="shared" si="6"/>
        <v>68119.875</v>
      </c>
      <c r="G68" s="12">
        <f t="shared" si="7"/>
        <v>2.5310201010626439</v>
      </c>
      <c r="H68" s="13">
        <f>SUM(Jul!H68,Aug!H68,Sep!H68)</f>
        <v>98657</v>
      </c>
      <c r="I68" s="13">
        <f>SUM(Jul!I68, Aug!I68, Sep!I68)</f>
        <v>-3623.125</v>
      </c>
      <c r="J68" s="14">
        <f t="shared" si="8"/>
        <v>-3.6724459490963639E-2</v>
      </c>
      <c r="K68" s="14" t="str">
        <f>IFERROR(AVERAGE(Jul!K68, Aug!K68, Sep!K68),"")</f>
        <v/>
      </c>
      <c r="L68" s="38"/>
      <c r="M68" s="38"/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SUM(Jul!D69, Aug!D69, Sep!D69)</f>
        <v>66702.34375</v>
      </c>
      <c r="E69" s="15">
        <f>SUM(Jul!E69, Aug!E69, Sep!E69)</f>
        <v>20954.990000000002</v>
      </c>
      <c r="F69" s="15">
        <f t="shared" si="6"/>
        <v>45747.353749999995</v>
      </c>
      <c r="G69" s="16">
        <f t="shared" si="7"/>
        <v>2.183124580350551</v>
      </c>
      <c r="H69" s="17">
        <f>SUM(Jul!H69,Aug!H69,Sep!H69)</f>
        <v>78891</v>
      </c>
      <c r="I69" s="17">
        <f>SUM(Jul!I69, Aug!I69, Sep!I69)</f>
        <v>-12188.65625</v>
      </c>
      <c r="J69" s="16">
        <f t="shared" si="8"/>
        <v>-0.15449995880391934</v>
      </c>
      <c r="K69" s="14" t="str">
        <f>IFERROR(AVERAGE(Jul!K69, Aug!K69, Sep!K69),"")</f>
        <v/>
      </c>
      <c r="L69" s="39"/>
      <c r="M69" s="40"/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SUM(Jul!D70, Aug!D70, Sep!D70)</f>
        <v>124171.19537465149</v>
      </c>
      <c r="E70" s="11">
        <f>SUM(Jul!E70, Aug!E70, Sep!E70)</f>
        <v>126017.4</v>
      </c>
      <c r="F70" s="11">
        <f t="shared" si="6"/>
        <v>-1846.2046253485023</v>
      </c>
      <c r="G70" s="12">
        <f t="shared" si="7"/>
        <v>-1.4650394511777758E-2</v>
      </c>
      <c r="H70" s="13">
        <f>SUM(Jul!H70,Aug!H70,Sep!H70)</f>
        <v>124887</v>
      </c>
      <c r="I70" s="13">
        <f>SUM(Jul!I70, Aug!I70, Sep!I70)</f>
        <v>-715.80462534850085</v>
      </c>
      <c r="J70" s="14">
        <f t="shared" si="8"/>
        <v>-5.7316183858087781E-3</v>
      </c>
      <c r="K70" s="14">
        <f>IFERROR(AVERAGE(Jul!K70, Aug!K70, Sep!K70),"")</f>
        <v>1</v>
      </c>
      <c r="L70" s="38"/>
      <c r="M70" s="38"/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SUM(Jul!D71, Aug!D71, Sep!D71)</f>
        <v>66211.84375</v>
      </c>
      <c r="E71" s="15">
        <f>SUM(Jul!E71, Aug!E71, Sep!E71)</f>
        <v>55421.49</v>
      </c>
      <c r="F71" s="15">
        <f t="shared" si="6"/>
        <v>10790.353750000002</v>
      </c>
      <c r="G71" s="16">
        <f t="shared" si="7"/>
        <v>0.19469620448674335</v>
      </c>
      <c r="H71" s="17">
        <f>SUM(Jul!H71,Aug!H71,Sep!H71)</f>
        <v>67030</v>
      </c>
      <c r="I71" s="17">
        <f>SUM(Jul!I71, Aug!I71, Sep!I71)</f>
        <v>-818.15625</v>
      </c>
      <c r="J71" s="16">
        <f t="shared" si="8"/>
        <v>-1.2205822019991049E-2</v>
      </c>
      <c r="K71" s="14">
        <f>IFERROR(AVERAGE(Jul!K71, Aug!K71, Sep!K71),"")</f>
        <v>0</v>
      </c>
      <c r="L71" s="39"/>
      <c r="M71" s="40"/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SUM(Jul!D72, Aug!D72, Sep!D72)</f>
        <v>68909.799999999988</v>
      </c>
      <c r="E72" s="11">
        <f>SUM(Jul!E72, Aug!E72, Sep!E72)</f>
        <v>70890.78</v>
      </c>
      <c r="F72" s="11">
        <f t="shared" si="6"/>
        <v>-1980.9800000000105</v>
      </c>
      <c r="G72" s="12">
        <f t="shared" si="7"/>
        <v>-2.7944113465813332E-2</v>
      </c>
      <c r="H72" s="13">
        <f>SUM(Jul!H72,Aug!H72,Sep!H72)</f>
        <v>74337</v>
      </c>
      <c r="I72" s="13">
        <f>SUM(Jul!I72, Aug!I72, Sep!I72)</f>
        <v>-5427.2000000000007</v>
      </c>
      <c r="J72" s="14">
        <f t="shared" si="8"/>
        <v>-7.3008057898489326E-2</v>
      </c>
      <c r="K72" s="14" t="str">
        <f>IFERROR(AVERAGE(Jul!K72, Aug!K72, Sep!K72),"")</f>
        <v/>
      </c>
      <c r="L72" s="38"/>
      <c r="M72" s="38"/>
    </row>
    <row r="73" spans="1:13" ht="15.6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SUM(Jul!D73, Aug!D73, Sep!D73)</f>
        <v>2455190</v>
      </c>
      <c r="E73" s="15">
        <f>SUM(Jul!E73, Aug!E73, Sep!E73)</f>
        <v>1976865.8</v>
      </c>
      <c r="F73" s="15">
        <f t="shared" si="6"/>
        <v>478324.19999999995</v>
      </c>
      <c r="G73" s="16">
        <f t="shared" si="7"/>
        <v>0.24196088576169406</v>
      </c>
      <c r="H73" s="17">
        <f>SUM(Jul!H73,Aug!H73,Sep!H73)</f>
        <v>2904887.4</v>
      </c>
      <c r="I73" s="17">
        <f>SUM(Jul!I73, Aug!I73, Sep!I73)</f>
        <v>-449697.4</v>
      </c>
      <c r="J73" s="16">
        <f t="shared" si="8"/>
        <v>-0.15480717083904871</v>
      </c>
      <c r="K73" s="14">
        <f>IFERROR(AVERAGE(Jul!K73, Aug!K73, Sep!K73),"")</f>
        <v>0.59319290000000002</v>
      </c>
      <c r="L73" s="39"/>
      <c r="M73" s="40"/>
    </row>
    <row r="74" spans="1:13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SUM(Jul!D74, Aug!D74, Sep!D74)</f>
        <v>2916776.475000002</v>
      </c>
      <c r="E74" s="11">
        <f>SUM(Jul!E74, Aug!E74, Sep!E74)</f>
        <v>3179764</v>
      </c>
      <c r="F74" s="11">
        <f t="shared" si="6"/>
        <v>-262987.52499999804</v>
      </c>
      <c r="G74" s="12">
        <f t="shared" si="7"/>
        <v>-8.2706617535137208E-2</v>
      </c>
      <c r="H74" s="13">
        <f>SUM(Jul!H74,Aug!H74,Sep!H74)</f>
        <v>2869009</v>
      </c>
      <c r="I74" s="13">
        <f>SUM(Jul!I74, Aug!I74, Sep!I74)</f>
        <v>47767.475000001956</v>
      </c>
      <c r="J74" s="14">
        <f t="shared" si="8"/>
        <v>1.6649468509858965E-2</v>
      </c>
      <c r="K74" s="14">
        <f>IFERROR(AVERAGE(Jul!K74, Aug!K74, Sep!K74),"")</f>
        <v>0.99027373333333335</v>
      </c>
      <c r="L74" s="38"/>
      <c r="M74" s="38"/>
    </row>
    <row r="75" spans="1:13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SUM(Jul!D75, Aug!D75, Sep!D75)</f>
        <v>1088235</v>
      </c>
      <c r="E75" s="15">
        <f>SUM(Jul!E75, Aug!E75, Sep!E75)</f>
        <v>241197</v>
      </c>
      <c r="F75" s="15">
        <f t="shared" si="6"/>
        <v>847038</v>
      </c>
      <c r="G75" s="16">
        <f t="shared" si="7"/>
        <v>3.5118098483811986</v>
      </c>
      <c r="H75" s="17">
        <f>SUM(Jul!H75,Aug!H75,Sep!H75)</f>
        <v>1112469.6800000002</v>
      </c>
      <c r="I75" s="17">
        <f>SUM(Jul!I75, Aug!I75, Sep!I75)</f>
        <v>-19690.500000000058</v>
      </c>
      <c r="J75" s="16">
        <f t="shared" si="8"/>
        <v>-1.769980823207699E-2</v>
      </c>
      <c r="K75" s="14">
        <f>IFERROR(AVERAGE(Jul!K75, Aug!K75, Sep!K75),"")</f>
        <v>0.99416666666666664</v>
      </c>
      <c r="L75" s="39"/>
      <c r="M75" s="40"/>
    </row>
    <row r="76" spans="1:13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SUM(Jul!D76, Aug!D76, Sep!D76)</f>
        <v>1050788</v>
      </c>
      <c r="E76" s="11">
        <f>SUM(Jul!E76, Aug!E76, Sep!E76)</f>
        <v>1091051.19</v>
      </c>
      <c r="F76" s="11">
        <f t="shared" si="6"/>
        <v>-40263.189999999944</v>
      </c>
      <c r="G76" s="12">
        <f t="shared" si="7"/>
        <v>-3.6903117258870272E-2</v>
      </c>
      <c r="H76" s="13">
        <f>SUM(Jul!H76,Aug!H76,Sep!H76)</f>
        <v>1104628.49</v>
      </c>
      <c r="I76" s="13">
        <f>SUM(Jul!I76, Aug!I76, Sep!I76)</f>
        <v>-51835.090000000026</v>
      </c>
      <c r="J76" s="14">
        <f t="shared" si="8"/>
        <v>-4.6925360398770835E-2</v>
      </c>
      <c r="K76" s="14">
        <f>IFERROR(AVERAGE(Jul!K76, Aug!K76, Sep!K76),"")</f>
        <v>0.9966666666666667</v>
      </c>
      <c r="L76" s="38"/>
      <c r="M76" s="38"/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SUM(Jul!D77, Aug!D77, Sep!D77)</f>
        <v>986280</v>
      </c>
      <c r="E77" s="15">
        <f>SUM(Jul!E77, Aug!E77, Sep!E77)</f>
        <v>1015502.75</v>
      </c>
      <c r="F77" s="15">
        <f t="shared" si="6"/>
        <v>-29222.75</v>
      </c>
      <c r="G77" s="16">
        <f t="shared" si="7"/>
        <v>-2.8776633051953823E-2</v>
      </c>
      <c r="H77" s="17">
        <f>SUM(Jul!H77,Aug!H77,Sep!H77)</f>
        <v>1067273.9000000001</v>
      </c>
      <c r="I77" s="17">
        <f>SUM(Jul!I77, Aug!I77, Sep!I77)</f>
        <v>-74805.830000000016</v>
      </c>
      <c r="J77" s="16">
        <f t="shared" si="8"/>
        <v>-7.0090564380896045E-2</v>
      </c>
      <c r="K77" s="14">
        <f>IFERROR(AVERAGE(Jul!K77, Aug!K77, Sep!K77),"")</f>
        <v>0.99863333333333326</v>
      </c>
      <c r="L77" s="39"/>
      <c r="M77" s="40"/>
    </row>
    <row r="78" spans="1:13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SUM(Jul!D78, Aug!D78, Sep!D78)</f>
        <v>1033173</v>
      </c>
      <c r="E78" s="11">
        <f>SUM(Jul!E78, Aug!E78, Sep!E78)</f>
        <v>1075486.1000000001</v>
      </c>
      <c r="F78" s="11">
        <f t="shared" si="6"/>
        <v>-42313.100000000093</v>
      </c>
      <c r="G78" s="12">
        <f t="shared" si="7"/>
        <v>-3.9343232794919518E-2</v>
      </c>
      <c r="H78" s="13">
        <f>SUM(Jul!H78,Aug!H78,Sep!H78)</f>
        <v>1094005.25</v>
      </c>
      <c r="I78" s="13">
        <f>SUM(Jul!I78, Aug!I78, Sep!I78)</f>
        <v>-58987.670000000042</v>
      </c>
      <c r="J78" s="14">
        <f t="shared" si="8"/>
        <v>-5.3919000845745524E-2</v>
      </c>
      <c r="K78" s="14">
        <f>IFERROR(AVERAGE(Jul!K78, Aug!K78, Sep!K78),"")</f>
        <v>0.97503333333333353</v>
      </c>
      <c r="L78" s="38"/>
      <c r="M78" s="38"/>
    </row>
    <row r="79" spans="1:13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SUM(Jul!D79, Aug!D79, Sep!D79)</f>
        <v>1129450</v>
      </c>
      <c r="E79" s="15">
        <f>SUM(Jul!E79, Aug!E79, Sep!E79)</f>
        <v>381917.71</v>
      </c>
      <c r="F79" s="15">
        <f t="shared" si="6"/>
        <v>747532.29</v>
      </c>
      <c r="G79" s="16">
        <f t="shared" si="7"/>
        <v>1.9573124535125643</v>
      </c>
      <c r="H79" s="17">
        <f>SUM(Jul!H79,Aug!H79,Sep!H79)</f>
        <v>1127197.46</v>
      </c>
      <c r="I79" s="17">
        <f>SUM(Jul!I79, Aug!I79, Sep!I79)</f>
        <v>5570.9699999999721</v>
      </c>
      <c r="J79" s="16">
        <f t="shared" si="8"/>
        <v>4.9423195116142047E-3</v>
      </c>
      <c r="K79" s="14">
        <f>IFERROR(AVERAGE(Jul!K79, Aug!K79, Sep!K79),"")</f>
        <v>1</v>
      </c>
      <c r="L79" s="39"/>
      <c r="M79" s="40"/>
    </row>
    <row r="80" spans="1:13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SUM(Jul!D80, Aug!D80, Sep!D80)</f>
        <v>754156</v>
      </c>
      <c r="E80" s="11">
        <f>SUM(Jul!E80, Aug!E80, Sep!E80)</f>
        <v>1442378.81</v>
      </c>
      <c r="F80" s="11">
        <f t="shared" si="6"/>
        <v>-688222.81</v>
      </c>
      <c r="G80" s="12">
        <f t="shared" si="7"/>
        <v>-0.47714428777555323</v>
      </c>
      <c r="H80" s="13">
        <f>SUM(Jul!H80,Aug!H80,Sep!H80)</f>
        <v>974612</v>
      </c>
      <c r="I80" s="13">
        <f>SUM(Jul!I80, Aug!I80, Sep!I80)</f>
        <v>-216943.05</v>
      </c>
      <c r="J80" s="14">
        <f t="shared" si="8"/>
        <v>-0.22259427341341989</v>
      </c>
      <c r="K80" s="14" t="str">
        <f>IFERROR(AVERAGE(Jul!K80, Aug!K80, Sep!K80),"")</f>
        <v/>
      </c>
      <c r="L80" s="38"/>
      <c r="M80" s="38"/>
    </row>
    <row r="81" spans="1:13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SUM(Jul!D81, Aug!D81, Sep!D81)</f>
        <v>612072</v>
      </c>
      <c r="E81" s="15">
        <f>SUM(Jul!E81, Aug!E81, Sep!E81)</f>
        <v>941203.09000000008</v>
      </c>
      <c r="F81" s="15">
        <f t="shared" ref="F81:F144" si="9">IF(AND(ISNUMBER(D81),ISNUMBER(E81)), D81-E81, "")</f>
        <v>-329131.09000000008</v>
      </c>
      <c r="G81" s="16">
        <f t="shared" ref="G81:G144" si="10">IFERROR(F81/E81, "")</f>
        <v>-0.34969189274548607</v>
      </c>
      <c r="H81" s="17">
        <f>SUM(Jul!H81,Aug!H81,Sep!H81)</f>
        <v>944292</v>
      </c>
      <c r="I81" s="17">
        <f>SUM(Jul!I81, Aug!I81, Sep!I81)</f>
        <v>-328789.62</v>
      </c>
      <c r="J81" s="16">
        <f t="shared" ref="J81:J144" si="11">IFERROR(I81/H81, "")</f>
        <v>-0.34818638726156736</v>
      </c>
      <c r="K81" s="14" t="str">
        <f>IFERROR(AVERAGE(Jul!K81, Aug!K81, Sep!K81),"")</f>
        <v/>
      </c>
      <c r="L81" s="39"/>
      <c r="M81" s="40"/>
    </row>
    <row r="82" spans="1:13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SUM(Jul!D82, Aug!D82, Sep!D82)</f>
        <v>1114940</v>
      </c>
      <c r="E82" s="11">
        <f>SUM(Jul!E82, Aug!E82, Sep!E82)</f>
        <v>1188332.3799999999</v>
      </c>
      <c r="F82" s="11">
        <f t="shared" si="9"/>
        <v>-73392.379999999888</v>
      </c>
      <c r="G82" s="12">
        <f t="shared" si="10"/>
        <v>-6.1760818130698329E-2</v>
      </c>
      <c r="H82" s="13">
        <f>SUM(Jul!H82,Aug!H82,Sep!H82)</f>
        <v>1109692</v>
      </c>
      <c r="I82" s="13">
        <f>SUM(Jul!I82, Aug!I82, Sep!I82)</f>
        <v>8098.2999999999884</v>
      </c>
      <c r="J82" s="14">
        <f t="shared" si="11"/>
        <v>7.2977907383309859E-3</v>
      </c>
      <c r="K82" s="14" t="str">
        <f>IFERROR(AVERAGE(Jul!K82, Aug!K82, Sep!K82),"")</f>
        <v/>
      </c>
      <c r="L82" s="38"/>
      <c r="M82" s="38"/>
    </row>
    <row r="83" spans="1:13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SUM(Jul!D83, Aug!D83, Sep!D83)</f>
        <v>1355881</v>
      </c>
      <c r="E83" s="15">
        <f>SUM(Jul!E83, Aug!E83, Sep!E83)</f>
        <v>1260625.96</v>
      </c>
      <c r="F83" s="15">
        <f t="shared" si="9"/>
        <v>95255.040000000037</v>
      </c>
      <c r="G83" s="16">
        <f t="shared" si="10"/>
        <v>7.5561699522672082E-2</v>
      </c>
      <c r="H83" s="17">
        <f>SUM(Jul!H83,Aug!H83,Sep!H83)</f>
        <v>1355199</v>
      </c>
      <c r="I83" s="17">
        <f>SUM(Jul!I83, Aug!I83, Sep!I83)</f>
        <v>5677.710000000021</v>
      </c>
      <c r="J83" s="16">
        <f t="shared" si="11"/>
        <v>4.1895765861692793E-3</v>
      </c>
      <c r="K83" s="14" t="str">
        <f>IFERROR(AVERAGE(Jul!K83, Aug!K83, Sep!K83),"")</f>
        <v/>
      </c>
      <c r="L83" s="39"/>
      <c r="M83" s="40"/>
    </row>
    <row r="84" spans="1:13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SUM(Jul!D84, Aug!D84, Sep!D84)</f>
        <v>0</v>
      </c>
      <c r="E84" s="11">
        <f>SUM(Jul!E84, Aug!E84, Sep!E84)</f>
        <v>0</v>
      </c>
      <c r="F84" s="11">
        <f t="shared" si="9"/>
        <v>0</v>
      </c>
      <c r="G84" s="12" t="str">
        <f t="shared" si="10"/>
        <v/>
      </c>
      <c r="H84" s="13">
        <f>SUM(Jul!H84,Aug!H84,Sep!H84)</f>
        <v>1358249</v>
      </c>
      <c r="I84" s="13">
        <f>SUM(Jul!I84, Aug!I84, Sep!I84)</f>
        <v>-401619</v>
      </c>
      <c r="J84" s="14">
        <f t="shared" si="11"/>
        <v>-0.29568878754926381</v>
      </c>
      <c r="K84" s="14" t="str">
        <f>IFERROR(AVERAGE(Jul!K84, Aug!K84, Sep!K84),"")</f>
        <v/>
      </c>
      <c r="L84" s="38"/>
      <c r="M84" s="38"/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SUM(Jul!D85, Aug!D85, Sep!D85)</f>
        <v>1149136</v>
      </c>
      <c r="E85" s="15">
        <f>SUM(Jul!E85, Aug!E85, Sep!E85)</f>
        <v>0</v>
      </c>
      <c r="F85" s="15">
        <f t="shared" si="9"/>
        <v>1149136</v>
      </c>
      <c r="G85" s="16" t="str">
        <f t="shared" si="10"/>
        <v/>
      </c>
      <c r="H85" s="17">
        <f>SUM(Jul!H85,Aug!H85,Sep!H85)</f>
        <v>1109454</v>
      </c>
      <c r="I85" s="17">
        <f>SUM(Jul!I85, Aug!I85, Sep!I85)</f>
        <v>39682</v>
      </c>
      <c r="J85" s="16">
        <f t="shared" si="11"/>
        <v>3.5767143117245062E-2</v>
      </c>
      <c r="K85" s="14" t="str">
        <f>IFERROR(AVERAGE(Jul!K85, Aug!K85, Sep!K85),"")</f>
        <v/>
      </c>
      <c r="L85" s="39"/>
      <c r="M85" s="40"/>
    </row>
    <row r="86" spans="1:13" ht="15.6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SUM(Jul!D86, Aug!D86, Sep!D86)</f>
        <v>2745364</v>
      </c>
      <c r="E86" s="11">
        <f>SUM(Jul!E86, Aug!E86, Sep!E86)</f>
        <v>0</v>
      </c>
      <c r="F86" s="11">
        <f t="shared" si="9"/>
        <v>2745364</v>
      </c>
      <c r="G86" s="12" t="str">
        <f t="shared" si="10"/>
        <v/>
      </c>
      <c r="H86" s="13">
        <f>SUM(Jul!H86,Aug!H86,Sep!H86)</f>
        <v>2886424.66</v>
      </c>
      <c r="I86" s="13">
        <f>SUM(Jul!I86, Aug!I86, Sep!I86)</f>
        <v>-141060.66000000003</v>
      </c>
      <c r="J86" s="14">
        <f t="shared" si="11"/>
        <v>-4.8870376543969807E-2</v>
      </c>
      <c r="K86" s="14">
        <f>IFERROR(AVERAGE(Jul!K86, Aug!K86, Sep!K86),"")</f>
        <v>1</v>
      </c>
      <c r="L86" s="38"/>
      <c r="M86" s="38"/>
    </row>
    <row r="87" spans="1:13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SUM(Jul!D87, Aug!D87, Sep!D87)</f>
        <v>2677459</v>
      </c>
      <c r="E87" s="15">
        <f>SUM(Jul!E87, Aug!E87, Sep!E87)</f>
        <v>0</v>
      </c>
      <c r="F87" s="15">
        <f t="shared" si="9"/>
        <v>2677459</v>
      </c>
      <c r="G87" s="16" t="str">
        <f t="shared" si="10"/>
        <v/>
      </c>
      <c r="H87" s="17">
        <f>SUM(Jul!H87,Aug!H87,Sep!H87)</f>
        <v>2838558.79</v>
      </c>
      <c r="I87" s="17">
        <f>SUM(Jul!I87, Aug!I87, Sep!I87)</f>
        <v>-161099.78999999992</v>
      </c>
      <c r="J87" s="16">
        <f t="shared" si="11"/>
        <v>-5.6754079065595084E-2</v>
      </c>
      <c r="K87" s="14">
        <f>IFERROR(AVERAGE(Jul!K87, Aug!K87, Sep!K87),"")</f>
        <v>0.99963333333333326</v>
      </c>
      <c r="L87" s="39"/>
      <c r="M87" s="40"/>
    </row>
    <row r="88" spans="1:13" ht="15.6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SUM(Jul!D88, Aug!D88, Sep!D88)</f>
        <v>1215275</v>
      </c>
      <c r="E88" s="11">
        <f>SUM(Jul!E88, Aug!E88, Sep!E88)</f>
        <v>0</v>
      </c>
      <c r="F88" s="11">
        <f t="shared" si="9"/>
        <v>1215275</v>
      </c>
      <c r="G88" s="12" t="str">
        <f t="shared" si="10"/>
        <v/>
      </c>
      <c r="H88" s="13">
        <f>SUM(Jul!H88,Aug!H88,Sep!H88)</f>
        <v>1432711.3399999999</v>
      </c>
      <c r="I88" s="13">
        <f>SUM(Jul!I88, Aug!I88, Sep!I88)</f>
        <v>-217436.33999999997</v>
      </c>
      <c r="J88" s="14">
        <f t="shared" si="11"/>
        <v>-0.15176563061195564</v>
      </c>
      <c r="K88" s="14">
        <f>IFERROR(AVERAGE(Jul!K88, Aug!K88, Sep!K88),"")</f>
        <v>1</v>
      </c>
      <c r="L88" s="38"/>
      <c r="M88" s="38"/>
    </row>
    <row r="89" spans="1:13" ht="15.6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SUM(Jul!D89, Aug!D89, Sep!D89)</f>
        <v>2789459</v>
      </c>
      <c r="E89" s="15">
        <f>SUM(Jul!E89, Aug!E89, Sep!E89)</f>
        <v>0</v>
      </c>
      <c r="F89" s="15">
        <f t="shared" si="9"/>
        <v>2789459</v>
      </c>
      <c r="G89" s="16" t="str">
        <f t="shared" si="10"/>
        <v/>
      </c>
      <c r="H89" s="17">
        <f>SUM(Jul!H89,Aug!H89,Sep!H89)</f>
        <v>2966115</v>
      </c>
      <c r="I89" s="17">
        <f>SUM(Jul!I89, Aug!I89, Sep!I89)</f>
        <v>-176656</v>
      </c>
      <c r="J89" s="16">
        <f t="shared" si="11"/>
        <v>-5.9558041411071384E-2</v>
      </c>
      <c r="K89" s="14">
        <f>IFERROR(AVERAGE(Jul!K89, Aug!K89, Sep!K89),"")</f>
        <v>0.99939999999999996</v>
      </c>
      <c r="L89" s="39"/>
      <c r="M89" s="40"/>
    </row>
    <row r="90" spans="1:13" ht="15.6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SUM(Jul!D90, Aug!D90, Sep!D90)</f>
        <v>2573983</v>
      </c>
      <c r="E90" s="11">
        <f>SUM(Jul!E90, Aug!E90, Sep!E90)</f>
        <v>0</v>
      </c>
      <c r="F90" s="11">
        <f t="shared" si="9"/>
        <v>2573983</v>
      </c>
      <c r="G90" s="12" t="str">
        <f t="shared" si="10"/>
        <v/>
      </c>
      <c r="H90" s="13">
        <f>SUM(Jul!H90,Aug!H90,Sep!H90)</f>
        <v>3197532</v>
      </c>
      <c r="I90" s="13">
        <f>SUM(Jul!I90, Aug!I90, Sep!I90)</f>
        <v>-623549</v>
      </c>
      <c r="J90" s="14">
        <f t="shared" si="11"/>
        <v>-0.19500946354876197</v>
      </c>
      <c r="K90" s="14">
        <f>IFERROR(AVERAGE(Jul!K90, Aug!K90, Sep!K90),"")</f>
        <v>0.90536666666666665</v>
      </c>
      <c r="L90" s="38"/>
      <c r="M90" s="38"/>
    </row>
    <row r="91" spans="1:13" ht="15.6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SUM(Jul!D91, Aug!D91, Sep!D91)</f>
        <v>2402988.082384319</v>
      </c>
      <c r="E91" s="15">
        <f>SUM(Jul!E91, Aug!E91, Sep!E91)</f>
        <v>2348866.9000000004</v>
      </c>
      <c r="F91" s="15">
        <f t="shared" si="9"/>
        <v>54121.182384318672</v>
      </c>
      <c r="G91" s="16">
        <f t="shared" si="10"/>
        <v>2.3041400253168309E-2</v>
      </c>
      <c r="H91" s="17">
        <f>SUM(Jul!H91,Aug!H91,Sep!H91)</f>
        <v>1683641</v>
      </c>
      <c r="I91" s="17">
        <f>SUM(Jul!I91, Aug!I91, Sep!I91)</f>
        <v>719347.08238431893</v>
      </c>
      <c r="J91" s="16">
        <f t="shared" si="11"/>
        <v>0.42725680972625335</v>
      </c>
      <c r="K91" s="14">
        <f>IFERROR(AVERAGE(Jul!K91, Aug!K91, Sep!K91),"")</f>
        <v>0.99443336666666671</v>
      </c>
      <c r="L91" s="39"/>
      <c r="M91" s="40"/>
    </row>
    <row r="92" spans="1:13" ht="15.6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SUM(Jul!D92, Aug!D92, Sep!D92)</f>
        <v>1363117</v>
      </c>
      <c r="E92" s="11">
        <f>SUM(Jul!E92, Aug!E92, Sep!E92)</f>
        <v>0</v>
      </c>
      <c r="F92" s="11">
        <f t="shared" si="9"/>
        <v>1363117</v>
      </c>
      <c r="G92" s="12" t="str">
        <f t="shared" si="10"/>
        <v/>
      </c>
      <c r="H92" s="13">
        <f>SUM(Jul!H92,Aug!H92,Sep!H92)</f>
        <v>1399777.7</v>
      </c>
      <c r="I92" s="13">
        <f>SUM(Jul!I92, Aug!I92, Sep!I92)</f>
        <v>-36660.700000000012</v>
      </c>
      <c r="J92" s="14">
        <f t="shared" si="11"/>
        <v>-2.6190372942789426E-2</v>
      </c>
      <c r="K92" s="14">
        <f>IFERROR(AVERAGE(Jul!K92, Aug!K92, Sep!K92),"")</f>
        <v>0.99993333333333334</v>
      </c>
      <c r="L92" s="38"/>
      <c r="M92" s="38"/>
    </row>
    <row r="93" spans="1:13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SUM(Jul!D93, Aug!D93, Sep!D93)</f>
        <v>2149590</v>
      </c>
      <c r="E93" s="15">
        <f>SUM(Jul!E93, Aug!E93, Sep!E93)</f>
        <v>0</v>
      </c>
      <c r="F93" s="15">
        <f t="shared" si="9"/>
        <v>2149590</v>
      </c>
      <c r="G93" s="16" t="str">
        <f t="shared" si="10"/>
        <v/>
      </c>
      <c r="H93" s="17">
        <f>SUM(Jul!H93,Aug!H93,Sep!H93)</f>
        <v>2461224</v>
      </c>
      <c r="I93" s="17">
        <f>SUM(Jul!I93, Aug!I93, Sep!I93)</f>
        <v>-311634</v>
      </c>
      <c r="J93" s="16">
        <f t="shared" si="11"/>
        <v>-0.1266174878840772</v>
      </c>
      <c r="K93" s="14" t="str">
        <f>IFERROR(AVERAGE(Jul!K93, Aug!K93, Sep!K93),"")</f>
        <v/>
      </c>
      <c r="L93" s="39"/>
      <c r="M93" s="40"/>
    </row>
    <row r="94" spans="1:13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SUM(Jul!D94, Aug!D94, Sep!D94)</f>
        <v>2812467</v>
      </c>
      <c r="E94" s="11">
        <f>SUM(Jul!E94, Aug!E94, Sep!E94)</f>
        <v>0</v>
      </c>
      <c r="F94" s="11">
        <f t="shared" si="9"/>
        <v>2812467</v>
      </c>
      <c r="G94" s="12" t="str">
        <f t="shared" si="10"/>
        <v/>
      </c>
      <c r="H94" s="13">
        <f>SUM(Jul!H94,Aug!H94,Sep!H94)</f>
        <v>2853286</v>
      </c>
      <c r="I94" s="13">
        <f>SUM(Jul!I94, Aug!I94, Sep!I94)</f>
        <v>-40819</v>
      </c>
      <c r="J94" s="14">
        <f t="shared" si="11"/>
        <v>-1.4305961617587581E-2</v>
      </c>
      <c r="K94" s="14" t="str">
        <f>IFERROR(AVERAGE(Jul!K94, Aug!K94, Sep!K94),"")</f>
        <v/>
      </c>
      <c r="L94" s="38"/>
      <c r="M94" s="38"/>
    </row>
    <row r="95" spans="1:13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SUM(Jul!D95, Aug!D95, Sep!D95)</f>
        <v>2761920</v>
      </c>
      <c r="E95" s="15">
        <f>SUM(Jul!E95, Aug!E95, Sep!E95)</f>
        <v>0</v>
      </c>
      <c r="F95" s="15">
        <f t="shared" si="9"/>
        <v>2761920</v>
      </c>
      <c r="G95" s="16" t="str">
        <f t="shared" si="10"/>
        <v/>
      </c>
      <c r="H95" s="17">
        <f>SUM(Jul!H95,Aug!H95,Sep!H95)</f>
        <v>2849857</v>
      </c>
      <c r="I95" s="17">
        <f>SUM(Jul!I95, Aug!I95, Sep!I95)</f>
        <v>-87937</v>
      </c>
      <c r="J95" s="16">
        <f t="shared" si="11"/>
        <v>-3.0856635964541378E-2</v>
      </c>
      <c r="K95" s="14" t="str">
        <f>IFERROR(AVERAGE(Jul!K95, Aug!K95, Sep!K95),"")</f>
        <v/>
      </c>
      <c r="L95" s="39"/>
      <c r="M95" s="40"/>
    </row>
    <row r="96" spans="1:13" ht="15.6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SUM(Jul!D96, Aug!D96, Sep!D96)</f>
        <v>1961543.97</v>
      </c>
      <c r="E96" s="11">
        <f>SUM(Jul!E96, Aug!E96, Sep!E96)</f>
        <v>0</v>
      </c>
      <c r="F96" s="11">
        <f t="shared" si="9"/>
        <v>1961543.97</v>
      </c>
      <c r="G96" s="12" t="str">
        <f t="shared" si="10"/>
        <v/>
      </c>
      <c r="H96" s="13">
        <f>SUM(Jul!H96,Aug!H96,Sep!H96)</f>
        <v>2725222</v>
      </c>
      <c r="I96" s="13">
        <f>SUM(Jul!I96, Aug!I96, Sep!I96)</f>
        <v>-763678.03</v>
      </c>
      <c r="J96" s="14">
        <f t="shared" si="11"/>
        <v>-0.28022598892860839</v>
      </c>
      <c r="K96" s="14" t="str">
        <f>IFERROR(AVERAGE(Jul!K96, Aug!K96, Sep!K96),"")</f>
        <v/>
      </c>
      <c r="L96" s="38"/>
      <c r="M96" s="38"/>
    </row>
    <row r="97" spans="1:13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SUM(Jul!D97, Aug!D97, Sep!D97)</f>
        <v>2626080</v>
      </c>
      <c r="E97" s="15">
        <f>SUM(Jul!E97, Aug!E97, Sep!E97)</f>
        <v>0</v>
      </c>
      <c r="F97" s="15">
        <f t="shared" si="9"/>
        <v>2626080</v>
      </c>
      <c r="G97" s="16" t="str">
        <f t="shared" si="10"/>
        <v/>
      </c>
      <c r="H97" s="17">
        <f>SUM(Jul!H97,Aug!H97,Sep!H97)</f>
        <v>2807987</v>
      </c>
      <c r="I97" s="17">
        <f>SUM(Jul!I97, Aug!I97, Sep!I97)</f>
        <v>-181907</v>
      </c>
      <c r="J97" s="16">
        <f t="shared" si="11"/>
        <v>-6.478199507333901E-2</v>
      </c>
      <c r="K97" s="14">
        <f>IFERROR(AVERAGE(Jul!K97, Aug!K97, Sep!K97),"")</f>
        <v>0.99940000000000007</v>
      </c>
      <c r="L97" s="39"/>
      <c r="M97" s="40"/>
    </row>
    <row r="98" spans="1:13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SUM(Jul!D98, Aug!D98, Sep!D98)</f>
        <v>1166603</v>
      </c>
      <c r="E98" s="11">
        <f>SUM(Jul!E98, Aug!E98, Sep!E98)</f>
        <v>0</v>
      </c>
      <c r="F98" s="11">
        <f t="shared" si="9"/>
        <v>1166603</v>
      </c>
      <c r="G98" s="12" t="str">
        <f t="shared" si="10"/>
        <v/>
      </c>
      <c r="H98" s="13">
        <f>SUM(Jul!H98,Aug!H98,Sep!H98)</f>
        <v>1194298.3</v>
      </c>
      <c r="I98" s="13">
        <f>SUM(Jul!I98, Aug!I98, Sep!I98)</f>
        <v>-27695.299999999988</v>
      </c>
      <c r="J98" s="14">
        <f t="shared" si="11"/>
        <v>-2.3189600119166199E-2</v>
      </c>
      <c r="K98" s="14">
        <f>IFERROR(AVERAGE(Jul!K98, Aug!K98, Sep!K98),"")</f>
        <v>0.99976666666666658</v>
      </c>
      <c r="L98" s="38"/>
      <c r="M98" s="38"/>
    </row>
    <row r="99" spans="1:13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SUM(Jul!D99, Aug!D99, Sep!D99)</f>
        <v>1633785</v>
      </c>
      <c r="E99" s="15">
        <f>SUM(Jul!E99, Aug!E99, Sep!E99)</f>
        <v>0</v>
      </c>
      <c r="F99" s="15">
        <f t="shared" si="9"/>
        <v>1633785</v>
      </c>
      <c r="G99" s="16" t="str">
        <f t="shared" si="10"/>
        <v/>
      </c>
      <c r="H99" s="17">
        <f>SUM(Jul!H99,Aug!H99,Sep!H99)</f>
        <v>2005815.35</v>
      </c>
      <c r="I99" s="17">
        <f>SUM(Jul!I99, Aug!I99, Sep!I99)</f>
        <v>-372030.35</v>
      </c>
      <c r="J99" s="16">
        <f t="shared" si="11"/>
        <v>-0.18547587144549471</v>
      </c>
      <c r="K99" s="14">
        <f>IFERROR(AVERAGE(Jul!K99, Aug!K99, Sep!K99),"")</f>
        <v>0.86340000000000006</v>
      </c>
      <c r="L99" s="39"/>
      <c r="M99" s="40"/>
    </row>
    <row r="100" spans="1:13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SUM(Jul!D100, Aug!D100, Sep!D100)</f>
        <v>1149645</v>
      </c>
      <c r="E100" s="11">
        <f>SUM(Jul!E100, Aug!E100, Sep!E100)</f>
        <v>0</v>
      </c>
      <c r="F100" s="11">
        <f t="shared" si="9"/>
        <v>1149645</v>
      </c>
      <c r="G100" s="12" t="str">
        <f t="shared" si="10"/>
        <v/>
      </c>
      <c r="H100" s="13">
        <f>SUM(Jul!H100,Aug!H100,Sep!H100)</f>
        <v>1044283.54</v>
      </c>
      <c r="I100" s="13">
        <f>SUM(Jul!I100, Aug!I100, Sep!I100)</f>
        <v>105361.45999999996</v>
      </c>
      <c r="J100" s="14">
        <f t="shared" si="11"/>
        <v>0.10089353701773367</v>
      </c>
      <c r="K100" s="14">
        <f>IFERROR(AVERAGE(Jul!K100, Aug!K100, Sep!K100),"")</f>
        <v>0.99639999999999995</v>
      </c>
      <c r="L100" s="38"/>
      <c r="M100" s="38"/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SUM(Jul!D101, Aug!D101, Sep!D101)</f>
        <v>865830</v>
      </c>
      <c r="E101" s="15">
        <f>SUM(Jul!E101, Aug!E101, Sep!E101)</f>
        <v>0</v>
      </c>
      <c r="F101" s="15">
        <f t="shared" si="9"/>
        <v>865830</v>
      </c>
      <c r="G101" s="16" t="str">
        <f t="shared" si="10"/>
        <v/>
      </c>
      <c r="H101" s="17">
        <f>SUM(Jul!H101,Aug!H101,Sep!H101)</f>
        <v>2755998.6</v>
      </c>
      <c r="I101" s="17">
        <f>SUM(Jul!I101, Aug!I101, Sep!I101)</f>
        <v>-1890168.6</v>
      </c>
      <c r="J101" s="16">
        <f t="shared" si="11"/>
        <v>-0.68583801167388114</v>
      </c>
      <c r="K101" s="14">
        <f>IFERROR(AVERAGE(Jul!K101, Aug!K101, Sep!K101),"")</f>
        <v>1</v>
      </c>
      <c r="L101" s="39"/>
      <c r="M101" s="40"/>
    </row>
    <row r="102" spans="1:13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SUM(Jul!D102, Aug!D102, Sep!D102)</f>
        <v>2439050</v>
      </c>
      <c r="E102" s="11">
        <f>SUM(Jul!E102, Aug!E102, Sep!E102)</f>
        <v>0</v>
      </c>
      <c r="F102" s="11">
        <f t="shared" si="9"/>
        <v>2439050</v>
      </c>
      <c r="G102" s="12" t="str">
        <f t="shared" si="10"/>
        <v/>
      </c>
      <c r="H102" s="13">
        <f>SUM(Jul!H102,Aug!H102,Sep!H102)</f>
        <v>3355329.95</v>
      </c>
      <c r="I102" s="13">
        <f>SUM(Jul!I102, Aug!I102, Sep!I102)</f>
        <v>-916279.94999999984</v>
      </c>
      <c r="J102" s="14">
        <f t="shared" si="11"/>
        <v>-0.27308192149627486</v>
      </c>
      <c r="K102" s="14">
        <f>IFERROR(AVERAGE(Jul!K102, Aug!K102, Sep!K102),"")</f>
        <v>0.99883333333333335</v>
      </c>
      <c r="L102" s="38"/>
      <c r="M102" s="38"/>
    </row>
    <row r="103" spans="1:13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SUM(Jul!D103, Aug!D103, Sep!D103)</f>
        <v>1399318</v>
      </c>
      <c r="E103" s="15">
        <f>SUM(Jul!E103, Aug!E103, Sep!E103)</f>
        <v>0</v>
      </c>
      <c r="F103" s="15">
        <f t="shared" si="9"/>
        <v>1399318</v>
      </c>
      <c r="G103" s="16" t="str">
        <f t="shared" si="10"/>
        <v/>
      </c>
      <c r="H103" s="17">
        <f>SUM(Jul!H103,Aug!H103,Sep!H103)</f>
        <v>1363094.12</v>
      </c>
      <c r="I103" s="17">
        <f>SUM(Jul!I103, Aug!I103, Sep!I103)</f>
        <v>36223.879999999946</v>
      </c>
      <c r="J103" s="16">
        <f t="shared" si="11"/>
        <v>2.6574745990394225E-2</v>
      </c>
      <c r="K103" s="14">
        <f>IFERROR(AVERAGE(Jul!K103, Aug!K103, Sep!K103),"")</f>
        <v>0.99983333333333346</v>
      </c>
      <c r="L103" s="39"/>
      <c r="M103" s="40"/>
    </row>
    <row r="104" spans="1:13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SUM(Jul!D104, Aug!D104, Sep!D104)</f>
        <v>3244752</v>
      </c>
      <c r="E104" s="11">
        <f>SUM(Jul!E104, Aug!E104, Sep!E104)</f>
        <v>0</v>
      </c>
      <c r="F104" s="11">
        <f t="shared" si="9"/>
        <v>3244752</v>
      </c>
      <c r="G104" s="12" t="str">
        <f t="shared" si="10"/>
        <v/>
      </c>
      <c r="H104" s="13">
        <f>SUM(Jul!H104,Aug!H104,Sep!H104)</f>
        <v>3369119.64</v>
      </c>
      <c r="I104" s="13">
        <f>SUM(Jul!I104, Aug!I104, Sep!I104)</f>
        <v>-124367.6399999999</v>
      </c>
      <c r="J104" s="14">
        <f t="shared" si="11"/>
        <v>-3.6913987417793184E-2</v>
      </c>
      <c r="K104" s="14">
        <f>IFERROR(AVERAGE(Jul!K104, Aug!K104, Sep!K104),"")</f>
        <v>0.99976666666666658</v>
      </c>
      <c r="L104" s="38"/>
      <c r="M104" s="38"/>
    </row>
    <row r="105" spans="1:13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SUM(Jul!D105, Aug!D105, Sep!D105)</f>
        <v>830874</v>
      </c>
      <c r="E105" s="15">
        <f>SUM(Jul!E105, Aug!E105, Sep!E105)</f>
        <v>0</v>
      </c>
      <c r="F105" s="15">
        <f t="shared" si="9"/>
        <v>830874</v>
      </c>
      <c r="G105" s="16" t="str">
        <f t="shared" si="10"/>
        <v/>
      </c>
      <c r="H105" s="17">
        <f>SUM(Jul!H105,Aug!H105,Sep!H105)</f>
        <v>1168434.3500000001</v>
      </c>
      <c r="I105" s="17">
        <f>SUM(Jul!I105, Aug!I105, Sep!I105)</f>
        <v>-337560.35</v>
      </c>
      <c r="J105" s="16">
        <f t="shared" si="11"/>
        <v>-0.2888997143913134</v>
      </c>
      <c r="K105" s="14">
        <f>IFERROR(AVERAGE(Jul!K105, Aug!K105, Sep!K105),"")</f>
        <v>0.95356666666666678</v>
      </c>
      <c r="L105" s="39"/>
      <c r="M105" s="40"/>
    </row>
    <row r="106" spans="1:13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SUM(Jul!D106, Aug!D106, Sep!D106)</f>
        <v>1213590</v>
      </c>
      <c r="E106" s="11">
        <f>SUM(Jul!E106, Aug!E106, Sep!E106)</f>
        <v>0</v>
      </c>
      <c r="F106" s="11">
        <f t="shared" si="9"/>
        <v>1213590</v>
      </c>
      <c r="G106" s="12" t="str">
        <f t="shared" si="10"/>
        <v/>
      </c>
      <c r="H106" s="13">
        <f>SUM(Jul!H106,Aug!H106,Sep!H106)</f>
        <v>1212402.47</v>
      </c>
      <c r="I106" s="13">
        <f>SUM(Jul!I106, Aug!I106, Sep!I106)</f>
        <v>1187.5300000000279</v>
      </c>
      <c r="J106" s="14">
        <f t="shared" si="11"/>
        <v>9.7948497251084277E-4</v>
      </c>
      <c r="K106" s="14">
        <f>IFERROR(AVERAGE(Jul!K106, Aug!K106, Sep!K106),"")</f>
        <v>1</v>
      </c>
      <c r="L106" s="38"/>
      <c r="M106" s="38"/>
    </row>
    <row r="107" spans="1:13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SUM(Jul!D107, Aug!D107, Sep!D107)</f>
        <v>1147425</v>
      </c>
      <c r="E107" s="15">
        <f>SUM(Jul!E107, Aug!E107, Sep!E107)</f>
        <v>0</v>
      </c>
      <c r="F107" s="15">
        <f t="shared" si="9"/>
        <v>1147425</v>
      </c>
      <c r="G107" s="16" t="str">
        <f t="shared" si="10"/>
        <v/>
      </c>
      <c r="H107" s="17">
        <f>SUM(Jul!H107,Aug!H107,Sep!H107)</f>
        <v>1154029.1399999999</v>
      </c>
      <c r="I107" s="17">
        <f>SUM(Jul!I107, Aug!I107, Sep!I107)</f>
        <v>-6604.140000000014</v>
      </c>
      <c r="J107" s="16">
        <f t="shared" si="11"/>
        <v>-5.7226804515525618E-3</v>
      </c>
      <c r="K107" s="14">
        <f>IFERROR(AVERAGE(Jul!K107, Aug!K107, Sep!K107),"")</f>
        <v>1</v>
      </c>
      <c r="L107" s="39"/>
      <c r="M107" s="40"/>
    </row>
    <row r="108" spans="1:13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SUM(Jul!D108, Aug!D108, Sep!D108)</f>
        <v>2140782</v>
      </c>
      <c r="E108" s="11">
        <f>SUM(Jul!E108, Aug!E108, Sep!E108)</f>
        <v>0</v>
      </c>
      <c r="F108" s="11">
        <f t="shared" si="9"/>
        <v>2140782</v>
      </c>
      <c r="G108" s="12" t="str">
        <f t="shared" si="10"/>
        <v/>
      </c>
      <c r="H108" s="13">
        <f>SUM(Jul!H108,Aug!H108,Sep!H108)</f>
        <v>2145634.9900000002</v>
      </c>
      <c r="I108" s="13">
        <f>SUM(Jul!I108, Aug!I108, Sep!I108)</f>
        <v>-4852.9899999998743</v>
      </c>
      <c r="J108" s="14">
        <f t="shared" si="11"/>
        <v>-2.2617966348506807E-3</v>
      </c>
      <c r="K108" s="14">
        <f>IFERROR(AVERAGE(Jul!K108, Aug!K108, Sep!K108),"")</f>
        <v>0.99986666666666668</v>
      </c>
      <c r="L108" s="38"/>
      <c r="M108" s="38"/>
    </row>
    <row r="109" spans="1:13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SUM(Jul!D109, Aug!D109, Sep!D109)</f>
        <v>1153853</v>
      </c>
      <c r="E109" s="15">
        <f>SUM(Jul!E109, Aug!E109, Sep!E109)</f>
        <v>0</v>
      </c>
      <c r="F109" s="15">
        <f t="shared" si="9"/>
        <v>1153853</v>
      </c>
      <c r="G109" s="16" t="str">
        <f t="shared" si="10"/>
        <v/>
      </c>
      <c r="H109" s="17">
        <f>SUM(Jul!H109,Aug!H109,Sep!H109)</f>
        <v>1674000</v>
      </c>
      <c r="I109" s="17">
        <f>SUM(Jul!I109, Aug!I109, Sep!I109)</f>
        <v>-520147</v>
      </c>
      <c r="J109" s="16">
        <f t="shared" si="11"/>
        <v>-0.31072102747909197</v>
      </c>
      <c r="K109" s="14">
        <f>IFERROR(AVERAGE(Jul!K109, Aug!K109, Sep!K109),"")</f>
        <v>0.99926666666666664</v>
      </c>
      <c r="L109" s="39"/>
      <c r="M109" s="40"/>
    </row>
    <row r="110" spans="1:13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SUM(Jul!D110, Aug!D110, Sep!D110)</f>
        <v>2643935</v>
      </c>
      <c r="E110" s="11">
        <f>SUM(Jul!E110, Aug!E110, Sep!E110)</f>
        <v>0</v>
      </c>
      <c r="F110" s="11">
        <f t="shared" si="9"/>
        <v>2643935</v>
      </c>
      <c r="G110" s="12" t="str">
        <f t="shared" si="10"/>
        <v/>
      </c>
      <c r="H110" s="13">
        <f>SUM(Jul!H110,Aug!H110,Sep!H110)</f>
        <v>3256018</v>
      </c>
      <c r="I110" s="13">
        <f>SUM(Jul!I110, Aug!I110, Sep!I110)</f>
        <v>-612083</v>
      </c>
      <c r="J110" s="14">
        <f t="shared" si="11"/>
        <v>-0.1879851401312892</v>
      </c>
      <c r="K110" s="14" t="str">
        <f>IFERROR(AVERAGE(Jul!K110, Aug!K110, Sep!K110),"")</f>
        <v/>
      </c>
      <c r="L110" s="38"/>
      <c r="M110" s="38"/>
    </row>
    <row r="111" spans="1:13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SUM(Jul!D111, Aug!D111, Sep!D111)</f>
        <v>2264063</v>
      </c>
      <c r="E111" s="15">
        <f>SUM(Jul!E111, Aug!E111, Sep!E111)</f>
        <v>3010161.4000000004</v>
      </c>
      <c r="F111" s="15">
        <f t="shared" si="9"/>
        <v>-746098.40000000037</v>
      </c>
      <c r="G111" s="16">
        <f t="shared" si="10"/>
        <v>-0.24785993202889395</v>
      </c>
      <c r="H111" s="17">
        <f>SUM(Jul!H111,Aug!H111,Sep!H111)</f>
        <v>2803410.6</v>
      </c>
      <c r="I111" s="17">
        <f>SUM(Jul!I111, Aug!I111, Sep!I111)</f>
        <v>-539347.6</v>
      </c>
      <c r="J111" s="16">
        <f t="shared" si="11"/>
        <v>-0.19238979834063549</v>
      </c>
      <c r="K111" s="14">
        <f>IFERROR(AVERAGE(Jul!K111, Aug!K111, Sep!K111),"")</f>
        <v>0.97278279999999995</v>
      </c>
      <c r="L111" s="39"/>
      <c r="M111" s="40"/>
    </row>
    <row r="112" spans="1:13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SUM(Jul!D112, Aug!D112, Sep!D112)</f>
        <v>2751374.839999998</v>
      </c>
      <c r="E112" s="11">
        <f>SUM(Jul!E112, Aug!E112, Sep!E112)</f>
        <v>2769824.5</v>
      </c>
      <c r="F112" s="11">
        <f t="shared" si="9"/>
        <v>-18449.660000002012</v>
      </c>
      <c r="G112" s="12">
        <f t="shared" si="10"/>
        <v>-6.6609490962340799E-3</v>
      </c>
      <c r="H112" s="13">
        <f>SUM(Jul!H112,Aug!H112,Sep!H112)</f>
        <v>2695284.5999999996</v>
      </c>
      <c r="I112" s="13">
        <f>SUM(Jul!I112, Aug!I112, Sep!I112)</f>
        <v>56090.239999998012</v>
      </c>
      <c r="J112" s="14">
        <f t="shared" si="11"/>
        <v>2.0810507357923544E-2</v>
      </c>
      <c r="K112" s="14">
        <f>IFERROR(AVERAGE(Jul!K112, Aug!K112, Sep!K112),"")</f>
        <v>0.98952793333333322</v>
      </c>
      <c r="L112" s="38"/>
      <c r="M112" s="38"/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SUM(Jul!D113, Aug!D113, Sep!D113)</f>
        <v>11391</v>
      </c>
      <c r="E113" s="15">
        <f>SUM(Jul!E113, Aug!E113, Sep!E113)</f>
        <v>15429.931</v>
      </c>
      <c r="F113" s="15">
        <f t="shared" si="9"/>
        <v>-4038.9310000000005</v>
      </c>
      <c r="G113" s="16">
        <f t="shared" si="10"/>
        <v>-0.26175949847086161</v>
      </c>
      <c r="H113" s="17">
        <f>SUM(Jul!H113,Aug!H113,Sep!H113)</f>
        <v>14360.512000000001</v>
      </c>
      <c r="I113" s="17">
        <f>SUM(Jul!I113, Aug!I113, Sep!I113)</f>
        <v>-2969.5120000000002</v>
      </c>
      <c r="J113" s="16">
        <f t="shared" si="11"/>
        <v>-0.20678315647798631</v>
      </c>
      <c r="K113" s="14">
        <f>IFERROR(AVERAGE(Jul!K113, Aug!K113, Sep!K113),"")</f>
        <v>1</v>
      </c>
      <c r="L113" s="39"/>
      <c r="M113" s="40"/>
    </row>
    <row r="114" spans="1:13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SUM(Jul!D114, Aug!D114, Sep!D114)</f>
        <v>27829.130000000048</v>
      </c>
      <c r="E114" s="11">
        <f>SUM(Jul!E114, Aug!E114, Sep!E114)</f>
        <v>36134.76</v>
      </c>
      <c r="F114" s="11">
        <f t="shared" si="9"/>
        <v>-8305.6299999999537</v>
      </c>
      <c r="G114" s="12">
        <f t="shared" si="10"/>
        <v>-0.22985153353723542</v>
      </c>
      <c r="H114" s="13">
        <f>SUM(Jul!H114,Aug!H114,Sep!H114)</f>
        <v>33417.726999999999</v>
      </c>
      <c r="I114" s="13">
        <f>SUM(Jul!I114, Aug!I114, Sep!I114)</f>
        <v>-5588.5969999999515</v>
      </c>
      <c r="J114" s="14">
        <f t="shared" si="11"/>
        <v>-0.16723450401039999</v>
      </c>
      <c r="K114" s="14">
        <f>IFERROR(AVERAGE(Jul!K114, Aug!K114, Sep!K114),"")</f>
        <v>0.98983903333333334</v>
      </c>
      <c r="L114" s="38"/>
      <c r="M114" s="38"/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SUM(Jul!D115, Aug!D115, Sep!D115)</f>
        <v>4560</v>
      </c>
      <c r="E115" s="15">
        <f>SUM(Jul!E115, Aug!E115, Sep!E115)</f>
        <v>4733.1959999999999</v>
      </c>
      <c r="F115" s="15">
        <f t="shared" si="9"/>
        <v>-173.19599999999991</v>
      </c>
      <c r="G115" s="16">
        <f t="shared" si="10"/>
        <v>-3.6591765901940236E-2</v>
      </c>
      <c r="H115" s="17">
        <f>SUM(Jul!H115,Aug!H115,Sep!H115)</f>
        <v>5156.9470000000001</v>
      </c>
      <c r="I115" s="17">
        <f>SUM(Jul!I115, Aug!I115, Sep!I115)</f>
        <v>-596.94699999999989</v>
      </c>
      <c r="J115" s="16">
        <f t="shared" si="11"/>
        <v>-0.11575589200354393</v>
      </c>
      <c r="K115" s="14" t="str">
        <f>IFERROR(AVERAGE(Jul!K115, Aug!K115, Sep!K115),"")</f>
        <v/>
      </c>
      <c r="L115" s="39"/>
      <c r="M115" s="40"/>
    </row>
    <row r="116" spans="1:13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SUM(Jul!D116, Aug!D116, Sep!D116)</f>
        <v>4116</v>
      </c>
      <c r="E116" s="11">
        <f>SUM(Jul!E116, Aug!E116, Sep!E116)</f>
        <v>4166.5020000000004</v>
      </c>
      <c r="F116" s="11">
        <f t="shared" si="9"/>
        <v>-50.502000000000407</v>
      </c>
      <c r="G116" s="12">
        <f t="shared" si="10"/>
        <v>-1.212095902030058E-2</v>
      </c>
      <c r="H116" s="13">
        <f>SUM(Jul!H116,Aug!H116,Sep!H116)</f>
        <v>5221</v>
      </c>
      <c r="I116" s="13">
        <f>SUM(Jul!I116, Aug!I116, Sep!I116)</f>
        <v>-1105</v>
      </c>
      <c r="J116" s="14">
        <f t="shared" si="11"/>
        <v>-0.21164527868224478</v>
      </c>
      <c r="K116" s="14" t="str">
        <f>IFERROR(AVERAGE(Jul!K116, Aug!K116, Sep!K116),"")</f>
        <v/>
      </c>
      <c r="L116" s="38"/>
      <c r="M116" s="38"/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SUM(Jul!D117, Aug!D117, Sep!D117)</f>
        <v>5118</v>
      </c>
      <c r="E117" s="15">
        <f>SUM(Jul!E117, Aug!E117, Sep!E117)</f>
        <v>4938.9570000000003</v>
      </c>
      <c r="F117" s="15">
        <f t="shared" si="9"/>
        <v>179.04299999999967</v>
      </c>
      <c r="G117" s="16">
        <f t="shared" si="10"/>
        <v>3.6251176108639871E-2</v>
      </c>
      <c r="H117" s="17">
        <f>SUM(Jul!H117,Aug!H117,Sep!H117)</f>
        <v>5290</v>
      </c>
      <c r="I117" s="17">
        <f>SUM(Jul!I117, Aug!I117, Sep!I117)</f>
        <v>-172</v>
      </c>
      <c r="J117" s="16">
        <f t="shared" si="11"/>
        <v>-3.2514177693761817E-2</v>
      </c>
      <c r="K117" s="14" t="str">
        <f>IFERROR(AVERAGE(Jul!K117, Aug!K117, Sep!K117),"")</f>
        <v/>
      </c>
      <c r="L117" s="39"/>
      <c r="M117" s="40"/>
    </row>
    <row r="118" spans="1:13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SUM(Jul!D118, Aug!D118, Sep!D118)</f>
        <v>57976</v>
      </c>
      <c r="E118" s="11">
        <f>SUM(Jul!E118, Aug!E118, Sep!E118)</f>
        <v>64146.577000000005</v>
      </c>
      <c r="F118" s="11">
        <f t="shared" si="9"/>
        <v>-6170.5770000000048</v>
      </c>
      <c r="G118" s="12">
        <f t="shared" si="10"/>
        <v>-9.6194953629404167E-2</v>
      </c>
      <c r="H118" s="13">
        <f>SUM(Jul!H118,Aug!H118,Sep!H118)</f>
        <v>53997.001000000004</v>
      </c>
      <c r="I118" s="13">
        <f>SUM(Jul!I118, Aug!I118, Sep!I118)</f>
        <v>3978.9989999999998</v>
      </c>
      <c r="J118" s="14">
        <f t="shared" si="11"/>
        <v>7.3689259149781292E-2</v>
      </c>
      <c r="K118" s="14" t="str">
        <f>IFERROR(AVERAGE(Jul!K118, Aug!K118, Sep!K118),"")</f>
        <v/>
      </c>
      <c r="L118" s="38"/>
      <c r="M118" s="38"/>
    </row>
    <row r="119" spans="1:13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SUM(Jul!D119, Aug!D119, Sep!D119)</f>
        <v>150321</v>
      </c>
      <c r="E119" s="15">
        <f>SUM(Jul!E119, Aug!E119, Sep!E119)</f>
        <v>0</v>
      </c>
      <c r="F119" s="15">
        <f t="shared" si="9"/>
        <v>150321</v>
      </c>
      <c r="G119" s="16" t="str">
        <f t="shared" si="10"/>
        <v/>
      </c>
      <c r="H119" s="17">
        <f>SUM(Jul!H119,Aug!H119,Sep!H119)</f>
        <v>137761</v>
      </c>
      <c r="I119" s="17">
        <f>SUM(Jul!I119, Aug!I119, Sep!I119)</f>
        <v>12560</v>
      </c>
      <c r="J119" s="16">
        <f t="shared" si="11"/>
        <v>9.1172392767183752E-2</v>
      </c>
      <c r="K119" s="14" t="str">
        <f>IFERROR(AVERAGE(Jul!K119, Aug!K119, Sep!K119),"")</f>
        <v/>
      </c>
      <c r="L119" s="39"/>
      <c r="M119" s="40"/>
    </row>
    <row r="120" spans="1:13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SUM(Jul!D120, Aug!D120, Sep!D120)</f>
        <v>16769</v>
      </c>
      <c r="E120" s="11">
        <f>SUM(Jul!E120, Aug!E120, Sep!E120)</f>
        <v>39289</v>
      </c>
      <c r="F120" s="11">
        <f t="shared" si="9"/>
        <v>-22520</v>
      </c>
      <c r="G120" s="12">
        <f t="shared" si="10"/>
        <v>-0.57318842424088168</v>
      </c>
      <c r="H120" s="13">
        <f>SUM(Jul!H120,Aug!H120,Sep!H120)</f>
        <v>104056</v>
      </c>
      <c r="I120" s="13">
        <f>SUM(Jul!I120, Aug!I120, Sep!I120)</f>
        <v>-22460</v>
      </c>
      <c r="J120" s="14">
        <f t="shared" si="11"/>
        <v>-0.2158453140616591</v>
      </c>
      <c r="K120" s="14" t="str">
        <f>IFERROR(AVERAGE(Jul!K120, Aug!K120, Sep!K120),"")</f>
        <v/>
      </c>
      <c r="L120" s="38"/>
      <c r="M120" s="38"/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SUM(Jul!D121, Aug!D121, Sep!D121)</f>
        <v>35522</v>
      </c>
      <c r="E121" s="15">
        <f>SUM(Jul!E121, Aug!E121, Sep!E121)</f>
        <v>35259.589999999997</v>
      </c>
      <c r="F121" s="15">
        <f t="shared" si="9"/>
        <v>262.41000000000349</v>
      </c>
      <c r="G121" s="16">
        <f t="shared" si="10"/>
        <v>7.4422306101688514E-3</v>
      </c>
      <c r="H121" s="17">
        <f>SUM(Jul!H121,Aug!H121,Sep!H121)</f>
        <v>41806.9</v>
      </c>
      <c r="I121" s="17">
        <f>SUM(Jul!I121, Aug!I121, Sep!I121)</f>
        <v>-6284.9</v>
      </c>
      <c r="J121" s="16">
        <f t="shared" si="11"/>
        <v>-0.15033164381956088</v>
      </c>
      <c r="K121" s="14" t="str">
        <f>IFERROR(AVERAGE(Jul!K121, Aug!K121, Sep!K121),"")</f>
        <v/>
      </c>
      <c r="L121" s="39"/>
      <c r="M121" s="40"/>
    </row>
    <row r="122" spans="1:13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SUM(Jul!D122, Aug!D122, Sep!D122)</f>
        <v>40943</v>
      </c>
      <c r="E122" s="11">
        <f>SUM(Jul!E122, Aug!E122, Sep!E122)</f>
        <v>32823.269999999997</v>
      </c>
      <c r="F122" s="11">
        <f t="shared" si="9"/>
        <v>8119.7300000000032</v>
      </c>
      <c r="G122" s="12">
        <f t="shared" si="10"/>
        <v>0.24737724181655282</v>
      </c>
      <c r="H122" s="13">
        <f>SUM(Jul!H122,Aug!H122,Sep!H122)</f>
        <v>41799.53</v>
      </c>
      <c r="I122" s="13">
        <f>SUM(Jul!I122, Aug!I122, Sep!I122)</f>
        <v>-856.53000000000065</v>
      </c>
      <c r="J122" s="14">
        <f t="shared" si="11"/>
        <v>-2.0491378730813498E-2</v>
      </c>
      <c r="K122" s="14" t="str">
        <f>IFERROR(AVERAGE(Jul!K122, Aug!K122, Sep!K122),"")</f>
        <v/>
      </c>
      <c r="L122" s="38"/>
      <c r="M122" s="38"/>
    </row>
    <row r="123" spans="1:13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SUM(Jul!D123, Aug!D123, Sep!D123)</f>
        <v>489569</v>
      </c>
      <c r="E123" s="15">
        <f>SUM(Jul!E123, Aug!E123, Sep!E123)</f>
        <v>505137.5</v>
      </c>
      <c r="F123" s="15">
        <f t="shared" si="9"/>
        <v>-15568.5</v>
      </c>
      <c r="G123" s="16">
        <f t="shared" si="10"/>
        <v>-3.0820321199673355E-2</v>
      </c>
      <c r="H123" s="17">
        <f>SUM(Jul!H123,Aug!H123,Sep!H123)</f>
        <v>505222.1</v>
      </c>
      <c r="I123" s="17">
        <f>SUM(Jul!I123, Aug!I123, Sep!I123)</f>
        <v>-15653.100000000006</v>
      </c>
      <c r="J123" s="16">
        <f t="shared" si="11"/>
        <v>-3.0982611409912604E-2</v>
      </c>
      <c r="K123" s="14" t="str">
        <f>IFERROR(AVERAGE(Jul!K123, Aug!K123, Sep!K123),"")</f>
        <v/>
      </c>
      <c r="L123" s="39"/>
      <c r="M123" s="40"/>
    </row>
    <row r="124" spans="1:13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SUM(Jul!D124, Aug!D124, Sep!D124)</f>
        <v>520004</v>
      </c>
      <c r="E124" s="11">
        <f>SUM(Jul!E124, Aug!E124, Sep!E124)</f>
        <v>492621.55500000005</v>
      </c>
      <c r="F124" s="11">
        <f t="shared" si="9"/>
        <v>27382.444999999949</v>
      </c>
      <c r="G124" s="12">
        <f t="shared" si="10"/>
        <v>5.5585154003259044E-2</v>
      </c>
      <c r="H124" s="13">
        <f>SUM(Jul!H124,Aug!H124,Sep!H124)</f>
        <v>476176.5</v>
      </c>
      <c r="I124" s="13">
        <f>SUM(Jul!I124, Aug!I124, Sep!I124)</f>
        <v>43827.5</v>
      </c>
      <c r="J124" s="14">
        <f t="shared" si="11"/>
        <v>9.2040451387248215E-2</v>
      </c>
      <c r="K124" s="14" t="str">
        <f>IFERROR(AVERAGE(Jul!K124, Aug!K124, Sep!K124),"")</f>
        <v/>
      </c>
      <c r="L124" s="38"/>
      <c r="M124" s="38"/>
    </row>
    <row r="125" spans="1:13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SUM(Jul!D125, Aug!D125, Sep!D125)</f>
        <v>61955</v>
      </c>
      <c r="E125" s="15">
        <f>SUM(Jul!E125, Aug!E125, Sep!E125)</f>
        <v>54622.838000000003</v>
      </c>
      <c r="F125" s="15">
        <f t="shared" si="9"/>
        <v>7332.1619999999966</v>
      </c>
      <c r="G125" s="16">
        <f t="shared" si="10"/>
        <v>0.13423253475039132</v>
      </c>
      <c r="H125" s="17">
        <f>SUM(Jul!H125,Aug!H125,Sep!H125)</f>
        <v>66353</v>
      </c>
      <c r="I125" s="17">
        <f>SUM(Jul!I125, Aug!I125, Sep!I125)</f>
        <v>-4398</v>
      </c>
      <c r="J125" s="16">
        <f t="shared" si="11"/>
        <v>-6.6281856133106262E-2</v>
      </c>
      <c r="K125" s="14" t="str">
        <f>IFERROR(AVERAGE(Jul!K125, Aug!K125, Sep!K125),"")</f>
        <v/>
      </c>
      <c r="L125" s="39"/>
      <c r="M125" s="40"/>
    </row>
    <row r="126" spans="1:13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SUM(Jul!D126, Aug!D126, Sep!D126)</f>
        <v>207709</v>
      </c>
      <c r="E126" s="11">
        <f>SUM(Jul!E126, Aug!E126, Sep!E126)</f>
        <v>221116.12</v>
      </c>
      <c r="F126" s="11">
        <f t="shared" si="9"/>
        <v>-13407.119999999995</v>
      </c>
      <c r="G126" s="12">
        <f t="shared" si="10"/>
        <v>-6.0633842525818542E-2</v>
      </c>
      <c r="H126" s="13">
        <f>SUM(Jul!H126,Aug!H126,Sep!H126)</f>
        <v>265730</v>
      </c>
      <c r="I126" s="13">
        <f>SUM(Jul!I126, Aug!I126, Sep!I126)</f>
        <v>-58021</v>
      </c>
      <c r="J126" s="14">
        <f t="shared" si="11"/>
        <v>-0.21834568923343242</v>
      </c>
      <c r="K126" s="14" t="str">
        <f>IFERROR(AVERAGE(Jul!K126, Aug!K126, Sep!K126),"")</f>
        <v/>
      </c>
      <c r="L126" s="38"/>
      <c r="M126" s="38"/>
    </row>
    <row r="127" spans="1:13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SUM(Jul!D127, Aug!D127, Sep!D127)</f>
        <v>78661.25</v>
      </c>
      <c r="E127" s="15">
        <f>SUM(Jul!E127, Aug!E127, Sep!E127)</f>
        <v>161627.17499999999</v>
      </c>
      <c r="F127" s="15">
        <f t="shared" si="9"/>
        <v>-82965.924999999988</v>
      </c>
      <c r="G127" s="16">
        <f t="shared" si="10"/>
        <v>-0.51331668081187454</v>
      </c>
      <c r="H127" s="17">
        <f>SUM(Jul!H127,Aug!H127,Sep!H127)</f>
        <v>129490</v>
      </c>
      <c r="I127" s="17">
        <f>SUM(Jul!I127, Aug!I127, Sep!I127)</f>
        <v>-50828.75</v>
      </c>
      <c r="J127" s="16">
        <f t="shared" si="11"/>
        <v>-0.39253031122094373</v>
      </c>
      <c r="K127" s="14" t="str">
        <f>IFERROR(AVERAGE(Jul!K127, Aug!K127, Sep!K127),"")</f>
        <v/>
      </c>
      <c r="L127" s="39"/>
      <c r="M127" s="40"/>
    </row>
    <row r="128" spans="1:13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SUM(Jul!D128, Aug!D128, Sep!D128)</f>
        <v>210546</v>
      </c>
      <c r="E128" s="11">
        <f>SUM(Jul!E128, Aug!E128, Sep!E128)</f>
        <v>199268.44499999998</v>
      </c>
      <c r="F128" s="11">
        <f t="shared" si="9"/>
        <v>11277.555000000022</v>
      </c>
      <c r="G128" s="12">
        <f t="shared" si="10"/>
        <v>5.6594785993336894E-2</v>
      </c>
      <c r="H128" s="13">
        <f>SUM(Jul!H128,Aug!H128,Sep!H128)</f>
        <v>234982.55</v>
      </c>
      <c r="I128" s="13">
        <f>SUM(Jul!I128, Aug!I128, Sep!I128)</f>
        <v>-24436.550000000003</v>
      </c>
      <c r="J128" s="14">
        <f t="shared" si="11"/>
        <v>-0.10399304118539868</v>
      </c>
      <c r="K128" s="14" t="str">
        <f>IFERROR(AVERAGE(Jul!K128, Aug!K128, Sep!K128),"")</f>
        <v/>
      </c>
      <c r="L128" s="38"/>
      <c r="M128" s="38"/>
    </row>
    <row r="129" spans="1:13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SUM(Jul!D129, Aug!D129, Sep!D129)</f>
        <v>472040</v>
      </c>
      <c r="E129" s="15">
        <f>SUM(Jul!E129, Aug!E129, Sep!E129)</f>
        <v>479933.55999999994</v>
      </c>
      <c r="F129" s="15">
        <f t="shared" si="9"/>
        <v>-7893.5599999999395</v>
      </c>
      <c r="G129" s="16">
        <f t="shared" si="10"/>
        <v>-1.6447193232329783E-2</v>
      </c>
      <c r="H129" s="17">
        <f>SUM(Jul!H129,Aug!H129,Sep!H129)</f>
        <v>518642.7</v>
      </c>
      <c r="I129" s="17">
        <f>SUM(Jul!I129, Aug!I129, Sep!I129)</f>
        <v>-46602.700000000012</v>
      </c>
      <c r="J129" s="16">
        <f t="shared" si="11"/>
        <v>-8.9855116055812631E-2</v>
      </c>
      <c r="K129" s="14" t="str">
        <f>IFERROR(AVERAGE(Jul!K129, Aug!K129, Sep!K129),"")</f>
        <v/>
      </c>
      <c r="L129" s="39"/>
      <c r="M129" s="40"/>
    </row>
    <row r="130" spans="1:13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SUM(Jul!D130, Aug!D130, Sep!D130)</f>
        <v>971896</v>
      </c>
      <c r="E130" s="11">
        <f>SUM(Jul!E130, Aug!E130, Sep!E130)</f>
        <v>1015223.023</v>
      </c>
      <c r="F130" s="11">
        <f t="shared" si="9"/>
        <v>-43327.023000000045</v>
      </c>
      <c r="G130" s="12">
        <f t="shared" si="10"/>
        <v>-4.2677344798552744E-2</v>
      </c>
      <c r="H130" s="13">
        <f>SUM(Jul!H130,Aug!H130,Sep!H130)</f>
        <v>1108036.3</v>
      </c>
      <c r="I130" s="13">
        <f>SUM(Jul!I130, Aug!I130, Sep!I130)</f>
        <v>-136140.29999999999</v>
      </c>
      <c r="J130" s="14">
        <f t="shared" si="11"/>
        <v>-0.1228662815469132</v>
      </c>
      <c r="K130" s="14" t="str">
        <f>IFERROR(AVERAGE(Jul!K130, Aug!K130, Sep!K130),"")</f>
        <v/>
      </c>
      <c r="L130" s="38"/>
      <c r="M130" s="38"/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SUM(Jul!D131, Aug!D131, Sep!D131)</f>
        <v>47344.248749999999</v>
      </c>
      <c r="E131" s="15">
        <f>SUM(Jul!E131, Aug!E131, Sep!E131)</f>
        <v>45524.546000000002</v>
      </c>
      <c r="F131" s="15">
        <f t="shared" si="9"/>
        <v>1819.7027499999967</v>
      </c>
      <c r="G131" s="16">
        <f t="shared" si="10"/>
        <v>3.997190328927161E-2</v>
      </c>
      <c r="H131" s="17">
        <f>SUM(Jul!H131,Aug!H131,Sep!H131)</f>
        <v>37569.160000000003</v>
      </c>
      <c r="I131" s="17">
        <f>SUM(Jul!I131, Aug!I131, Sep!I131)</f>
        <v>9775.0887500000008</v>
      </c>
      <c r="J131" s="16">
        <f t="shared" si="11"/>
        <v>0.26018917511064926</v>
      </c>
      <c r="K131" s="14" t="str">
        <f>IFERROR(AVERAGE(Jul!K131, Aug!K131, Sep!K131),"")</f>
        <v/>
      </c>
      <c r="L131" s="39"/>
      <c r="M131" s="40"/>
    </row>
    <row r="132" spans="1:13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SUM(Jul!D132, Aug!D132, Sep!D132)</f>
        <v>34679.749199999998</v>
      </c>
      <c r="E132" s="11">
        <f>SUM(Jul!E132, Aug!E132, Sep!E132)</f>
        <v>37355.307999999997</v>
      </c>
      <c r="F132" s="11">
        <f t="shared" si="9"/>
        <v>-2675.5587999999989</v>
      </c>
      <c r="G132" s="12">
        <f t="shared" si="10"/>
        <v>-7.1624594823311294E-2</v>
      </c>
      <c r="H132" s="13">
        <f>SUM(Jul!H132,Aug!H132,Sep!H132)</f>
        <v>371563.86300000001</v>
      </c>
      <c r="I132" s="13">
        <f>SUM(Jul!I132, Aug!I132, Sep!I132)</f>
        <v>-336884.11379999999</v>
      </c>
      <c r="J132" s="14">
        <f t="shared" si="11"/>
        <v>-0.90666544125148141</v>
      </c>
      <c r="K132" s="14" t="str">
        <f>IFERROR(AVERAGE(Jul!K132, Aug!K132, Sep!K132),"")</f>
        <v/>
      </c>
      <c r="L132" s="38"/>
      <c r="M132" s="38"/>
    </row>
    <row r="133" spans="1:13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SUM(Jul!D133, Aug!D133, Sep!D133)</f>
        <v>29564.565000000002</v>
      </c>
      <c r="E133" s="15">
        <f>SUM(Jul!E133, Aug!E133, Sep!E133)</f>
        <v>21998.087</v>
      </c>
      <c r="F133" s="15">
        <f t="shared" si="9"/>
        <v>7566.4780000000028</v>
      </c>
      <c r="G133" s="16">
        <f t="shared" si="10"/>
        <v>0.34396072713050019</v>
      </c>
      <c r="H133" s="17">
        <f>SUM(Jul!H133,Aug!H133,Sep!H133)</f>
        <v>26736</v>
      </c>
      <c r="I133" s="17">
        <f>SUM(Jul!I133, Aug!I133, Sep!I133)</f>
        <v>1990.4380000000001</v>
      </c>
      <c r="J133" s="16">
        <f t="shared" si="11"/>
        <v>7.444786056253741E-2</v>
      </c>
      <c r="K133" s="14" t="str">
        <f>IFERROR(AVERAGE(Jul!K133, Aug!K133, Sep!K133),"")</f>
        <v/>
      </c>
      <c r="L133" s="39"/>
      <c r="M133" s="40"/>
    </row>
    <row r="134" spans="1:13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SUM(Jul!D134, Aug!D134, Sep!D134)</f>
        <v>116102.625</v>
      </c>
      <c r="E134" s="11">
        <f>SUM(Jul!E134, Aug!E134, Sep!E134)</f>
        <v>105534.254</v>
      </c>
      <c r="F134" s="11">
        <f t="shared" si="9"/>
        <v>10568.370999999999</v>
      </c>
      <c r="G134" s="12">
        <f t="shared" si="10"/>
        <v>0.10014161847394117</v>
      </c>
      <c r="H134" s="13">
        <f>SUM(Jul!H134,Aug!H134,Sep!H134)</f>
        <v>96178.12</v>
      </c>
      <c r="I134" s="13">
        <f>SUM(Jul!I134, Aug!I134, Sep!I134)</f>
        <v>19924.505000000001</v>
      </c>
      <c r="J134" s="14">
        <f t="shared" si="11"/>
        <v>0.2071625542275104</v>
      </c>
      <c r="K134" s="14" t="str">
        <f>IFERROR(AVERAGE(Jul!K134, Aug!K134, Sep!K134),"")</f>
        <v/>
      </c>
      <c r="L134" s="38"/>
      <c r="M134" s="38"/>
    </row>
    <row r="135" spans="1:13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SUM(Jul!D135, Aug!D135, Sep!D135)</f>
        <v>94941.25</v>
      </c>
      <c r="E135" s="15">
        <f>SUM(Jul!E135, Aug!E135, Sep!E135)</f>
        <v>110371.606</v>
      </c>
      <c r="F135" s="15">
        <f t="shared" si="9"/>
        <v>-15430.356</v>
      </c>
      <c r="G135" s="16">
        <f t="shared" si="10"/>
        <v>-0.13980367378182393</v>
      </c>
      <c r="H135" s="17">
        <f>SUM(Jul!H135,Aug!H135,Sep!H135)</f>
        <v>91581.790000000008</v>
      </c>
      <c r="I135" s="17">
        <f>SUM(Jul!I135, Aug!I135, Sep!I135)</f>
        <v>3359.4599999999991</v>
      </c>
      <c r="J135" s="16">
        <f t="shared" si="11"/>
        <v>3.668261998373256E-2</v>
      </c>
      <c r="K135" s="14" t="str">
        <f>IFERROR(AVERAGE(Jul!K135, Aug!K135, Sep!K135),"")</f>
        <v/>
      </c>
      <c r="L135" s="39"/>
      <c r="M135" s="40"/>
    </row>
    <row r="136" spans="1:13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SUM(Jul!D136, Aug!D136, Sep!D136)</f>
        <v>103074.00785999998</v>
      </c>
      <c r="E136" s="11">
        <f>SUM(Jul!E136, Aug!E136, Sep!E136)</f>
        <v>110205.83600000001</v>
      </c>
      <c r="F136" s="11">
        <f t="shared" si="9"/>
        <v>-7131.8281400000269</v>
      </c>
      <c r="G136" s="12">
        <f t="shared" si="10"/>
        <v>-6.471370663165267E-2</v>
      </c>
      <c r="H136" s="13">
        <f>SUM(Jul!H136,Aug!H136,Sep!H136)</f>
        <v>87004.24</v>
      </c>
      <c r="I136" s="13">
        <f>SUM(Jul!I136, Aug!I136, Sep!I136)</f>
        <v>16069.767859999996</v>
      </c>
      <c r="J136" s="14">
        <f t="shared" si="11"/>
        <v>0.1847009738835716</v>
      </c>
      <c r="K136" s="14" t="str">
        <f>IFERROR(AVERAGE(Jul!K136, Aug!K136, Sep!K136),"")</f>
        <v/>
      </c>
      <c r="L136" s="38"/>
      <c r="M136" s="38"/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SUM(Jul!D137, Aug!D137, Sep!D137)</f>
        <v>52105.24768</v>
      </c>
      <c r="E137" s="15">
        <f>SUM(Jul!E137, Aug!E137, Sep!E137)</f>
        <v>43757.527000000002</v>
      </c>
      <c r="F137" s="15">
        <f t="shared" si="9"/>
        <v>8347.7206799999985</v>
      </c>
      <c r="G137" s="16">
        <f t="shared" si="10"/>
        <v>0.19077222257098758</v>
      </c>
      <c r="H137" s="17">
        <f>SUM(Jul!H137,Aug!H137,Sep!H137)</f>
        <v>42705.25</v>
      </c>
      <c r="I137" s="17">
        <f>SUM(Jul!I137, Aug!I137, Sep!I137)</f>
        <v>9399.9976800000004</v>
      </c>
      <c r="J137" s="16">
        <f t="shared" si="11"/>
        <v>0.22011339776725344</v>
      </c>
      <c r="K137" s="14" t="str">
        <f>IFERROR(AVERAGE(Jul!K137, Aug!K137, Sep!K137),"")</f>
        <v/>
      </c>
      <c r="L137" s="39"/>
      <c r="M137" s="40"/>
    </row>
    <row r="138" spans="1:13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SUM(Jul!D138, Aug!D138, Sep!D138)</f>
        <v>1741062</v>
      </c>
      <c r="E138" s="11">
        <f>SUM(Jul!E138, Aug!E138, Sep!E138)</f>
        <v>0</v>
      </c>
      <c r="F138" s="11">
        <f t="shared" si="9"/>
        <v>1741062</v>
      </c>
      <c r="G138" s="12" t="str">
        <f t="shared" si="10"/>
        <v/>
      </c>
      <c r="H138" s="13">
        <f>SUM(Jul!H138,Aug!H138,Sep!H138)</f>
        <v>1798380</v>
      </c>
      <c r="I138" s="13">
        <f>SUM(Jul!I138, Aug!I138, Sep!I138)</f>
        <v>-57318</v>
      </c>
      <c r="J138" s="14">
        <f t="shared" si="11"/>
        <v>-3.1872018149668037E-2</v>
      </c>
      <c r="K138" s="14" t="str">
        <f>IFERROR(AVERAGE(Jul!K138, Aug!K138, Sep!K138),"")</f>
        <v/>
      </c>
      <c r="L138" s="38"/>
      <c r="M138" s="38"/>
    </row>
    <row r="139" spans="1:13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SUM(Jul!D139, Aug!D139, Sep!D139)</f>
        <v>3216952.4</v>
      </c>
      <c r="E139" s="15">
        <f>SUM(Jul!E139, Aug!E139, Sep!E139)</f>
        <v>0</v>
      </c>
      <c r="F139" s="15">
        <f t="shared" si="9"/>
        <v>3216952.4</v>
      </c>
      <c r="G139" s="16" t="str">
        <f t="shared" si="10"/>
        <v/>
      </c>
      <c r="H139" s="17">
        <f>SUM(Jul!H139,Aug!H139,Sep!H139)</f>
        <v>3451000</v>
      </c>
      <c r="I139" s="17">
        <f>SUM(Jul!I139, Aug!I139, Sep!I139)</f>
        <v>-234047.60000000009</v>
      </c>
      <c r="J139" s="16">
        <f t="shared" si="11"/>
        <v>-6.7820226021443081E-2</v>
      </c>
      <c r="K139" s="14" t="str">
        <f>IFERROR(AVERAGE(Jul!K139, Aug!K139, Sep!K139),"")</f>
        <v/>
      </c>
      <c r="L139" s="39"/>
      <c r="M139" s="40"/>
    </row>
    <row r="140" spans="1:13" ht="15.6">
      <c r="A140" s="25" t="str">
        <v>Reisender</v>
      </c>
      <c r="B140" s="26" t="str">
        <v>NY</v>
      </c>
      <c r="C140" s="26" t="str">
        <f>Sites[[#This Row],[SOL'#]]</f>
        <v>SOL-10886</v>
      </c>
      <c r="D140" s="21">
        <f>SUM(Jul!D140, Aug!D140, Sep!D140)</f>
        <v>1056560</v>
      </c>
      <c r="E140" s="11">
        <f>SUM(Jul!E140, Aug!E140, Sep!E140)</f>
        <v>1076948.28</v>
      </c>
      <c r="F140" s="11">
        <f t="shared" si="9"/>
        <v>-20388.280000000028</v>
      </c>
      <c r="G140" s="12">
        <f t="shared" si="10"/>
        <v>-1.8931531233793351E-2</v>
      </c>
      <c r="H140" s="13">
        <f>SUM(Jul!H140,Aug!H140,Sep!H140)</f>
        <v>1118586</v>
      </c>
      <c r="I140" s="13">
        <f>SUM(Jul!I140, Aug!I140, Sep!I140)</f>
        <v>-62026</v>
      </c>
      <c r="J140" s="14">
        <f t="shared" si="11"/>
        <v>-5.5450363226430509E-2</v>
      </c>
      <c r="K140" s="14" t="str">
        <f>IFERROR(AVERAGE(Jul!K140, Aug!K140, Sep!K140),"")</f>
        <v/>
      </c>
      <c r="L140" s="38"/>
      <c r="M140" s="38"/>
    </row>
    <row r="141" spans="1:13" ht="15.6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f>SUM(Jul!D141, Aug!D141, Sep!D141)</f>
        <v>2972490</v>
      </c>
      <c r="E141" s="15">
        <f>SUM(Jul!E141, Aug!E141, Sep!E141)</f>
        <v>0</v>
      </c>
      <c r="F141" s="15">
        <f t="shared" si="9"/>
        <v>2972490</v>
      </c>
      <c r="G141" s="16" t="str">
        <f t="shared" si="10"/>
        <v/>
      </c>
      <c r="H141" s="17">
        <f>SUM(Jul!H141,Aug!H141,Sep!H141)</f>
        <v>3307438</v>
      </c>
      <c r="I141" s="17">
        <f>SUM(Jul!I141, Aug!I141, Sep!I141)</f>
        <v>-334948</v>
      </c>
      <c r="J141" s="16">
        <f t="shared" si="11"/>
        <v>-0.10127113493888623</v>
      </c>
      <c r="K141" s="14" t="str">
        <f>IFERROR(AVERAGE(Jul!K141, Aug!K141, Sep!K141),"")</f>
        <v/>
      </c>
      <c r="L141" s="39"/>
      <c r="M141" s="40"/>
    </row>
    <row r="142" spans="1:13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21">
        <f>SUM(Jul!D142, Aug!D142, Sep!D142)</f>
        <v>902817</v>
      </c>
      <c r="E142" s="11">
        <f>SUM(Jul!E142, Aug!E142, Sep!E142)</f>
        <v>1167429</v>
      </c>
      <c r="F142" s="11">
        <f t="shared" si="9"/>
        <v>-264612</v>
      </c>
      <c r="G142" s="12">
        <f t="shared" si="10"/>
        <v>-0.22666217817100653</v>
      </c>
      <c r="H142" s="13">
        <f>SUM(Jul!H142,Aug!H142,Sep!H142)</f>
        <v>1289378</v>
      </c>
      <c r="I142" s="13">
        <f>SUM(Jul!I142, Aug!I142, Sep!I142)</f>
        <v>-386561</v>
      </c>
      <c r="J142" s="14">
        <f t="shared" si="11"/>
        <v>-0.29980424669879585</v>
      </c>
      <c r="K142" s="14">
        <f>IFERROR(AVERAGE(Jul!K142, Aug!K142, Sep!K142),"")</f>
        <v>0.73251593333333342</v>
      </c>
      <c r="L142" s="38"/>
      <c r="M142" s="38"/>
    </row>
    <row r="143" spans="1:13" ht="15.6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f>SUM(Jul!D143, Aug!D143, Sep!D143)</f>
        <v>2575876.9</v>
      </c>
      <c r="E143" s="15">
        <f>SUM(Jul!E143, Aug!E143, Sep!E143)</f>
        <v>0</v>
      </c>
      <c r="F143" s="15">
        <f t="shared" si="9"/>
        <v>2575876.9</v>
      </c>
      <c r="G143" s="16" t="str">
        <f t="shared" si="10"/>
        <v/>
      </c>
      <c r="H143" s="17">
        <f>SUM(Jul!H143,Aug!H143,Sep!H143)</f>
        <v>2677368</v>
      </c>
      <c r="I143" s="17">
        <f>SUM(Jul!I143, Aug!I143, Sep!I143)</f>
        <v>-101491.09999999998</v>
      </c>
      <c r="J143" s="16">
        <f t="shared" si="11"/>
        <v>-3.7907041542290777E-2</v>
      </c>
      <c r="K143" s="14" t="str">
        <f>IFERROR(AVERAGE(Jul!K143, Aug!K143, Sep!K143),"")</f>
        <v/>
      </c>
      <c r="L143" s="39"/>
      <c r="M143" s="40"/>
    </row>
    <row r="144" spans="1:13" ht="15.6">
      <c r="A144" s="25" t="str">
        <v>Landau I</v>
      </c>
      <c r="B144" s="26" t="str">
        <v>NY</v>
      </c>
      <c r="C144" s="26" t="str">
        <f>Sites[[#This Row],[SOL'#]]</f>
        <v>SOL-10891</v>
      </c>
      <c r="D144" s="21">
        <f>SUM(Jul!D144, Aug!D144, Sep!D144)</f>
        <v>939066</v>
      </c>
      <c r="E144" s="11">
        <f>SUM(Jul!E144, Aug!E144, Sep!E144)</f>
        <v>0</v>
      </c>
      <c r="F144" s="11">
        <f t="shared" si="9"/>
        <v>939066</v>
      </c>
      <c r="G144" s="12" t="str">
        <f t="shared" si="10"/>
        <v/>
      </c>
      <c r="H144" s="13">
        <f>SUM(Jul!H144,Aug!H144,Sep!H144)</f>
        <v>1214601</v>
      </c>
      <c r="I144" s="13">
        <f>SUM(Jul!I144, Aug!I144, Sep!I144)</f>
        <v>-275535</v>
      </c>
      <c r="J144" s="14">
        <f t="shared" si="11"/>
        <v>-0.22685227494461144</v>
      </c>
      <c r="K144" s="14" t="str">
        <f>IFERROR(AVERAGE(Jul!K144, Aug!K144, Sep!K144),"")</f>
        <v/>
      </c>
      <c r="L144" s="38"/>
      <c r="M144" s="38"/>
    </row>
    <row r="145" spans="1:13" ht="15.6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f>SUM(Jul!D145, Aug!D145, Sep!D145)</f>
        <v>813380</v>
      </c>
      <c r="E145" s="15">
        <f>SUM(Jul!E145, Aug!E145, Sep!E145)</f>
        <v>0</v>
      </c>
      <c r="F145" s="15">
        <f t="shared" ref="F145:F161" si="12">IF(AND(ISNUMBER(D145),ISNUMBER(E145)), D145-E145, "")</f>
        <v>813380</v>
      </c>
      <c r="G145" s="16" t="str">
        <f t="shared" ref="G145:G161" si="13">IFERROR(F145/E145, "")</f>
        <v/>
      </c>
      <c r="H145" s="17">
        <f>SUM(Jul!H145,Aug!H145,Sep!H145)</f>
        <v>2553284</v>
      </c>
      <c r="I145" s="17">
        <f>SUM(Jul!I145, Aug!I145, Sep!I145)</f>
        <v>-1739904</v>
      </c>
      <c r="J145" s="16">
        <f t="shared" ref="J145:J161" si="14">IFERROR(I145/H145, "")</f>
        <v>-0.6814377092403352</v>
      </c>
      <c r="K145" s="14" t="str">
        <f>IFERROR(AVERAGE(Jul!K145, Aug!K145, Sep!K145),"")</f>
        <v/>
      </c>
      <c r="L145" s="39"/>
      <c r="M145" s="40"/>
    </row>
    <row r="146" spans="1:13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21">
        <f>SUM(Jul!D146, Aug!D146, Sep!D146)</f>
        <v>964140</v>
      </c>
      <c r="E146" s="11">
        <f>SUM(Jul!E146, Aug!E146, Sep!E146)</f>
        <v>1017158.3699999999</v>
      </c>
      <c r="F146" s="11">
        <f t="shared" si="12"/>
        <v>-53018.369999999879</v>
      </c>
      <c r="G146" s="12">
        <f t="shared" si="13"/>
        <v>-5.212400700197737E-2</v>
      </c>
      <c r="H146" s="13">
        <f>SUM(Jul!H146,Aug!H146,Sep!H146)</f>
        <v>1169049</v>
      </c>
      <c r="I146" s="13">
        <f>SUM(Jul!I146, Aug!I146, Sep!I146)</f>
        <v>-197842.21000000002</v>
      </c>
      <c r="J146" s="14">
        <f t="shared" si="14"/>
        <v>-0.16923346241261061</v>
      </c>
      <c r="K146" s="14" t="str">
        <f>IFERROR(AVERAGE(Jul!K146, Aug!K146, Sep!K146),"")</f>
        <v/>
      </c>
      <c r="L146" s="38"/>
      <c r="M146" s="38"/>
    </row>
    <row r="147" spans="1:13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f>SUM(Jul!D147, Aug!D147, Sep!D147)</f>
        <v>3159174</v>
      </c>
      <c r="E147" s="15">
        <f>SUM(Jul!E147, Aug!E147, Sep!E147)</f>
        <v>3272868</v>
      </c>
      <c r="F147" s="15">
        <f t="shared" si="12"/>
        <v>-113694</v>
      </c>
      <c r="G147" s="16">
        <f t="shared" si="13"/>
        <v>-3.4738339584731187E-2</v>
      </c>
      <c r="H147" s="17">
        <f>SUM(Jul!H147,Aug!H147,Sep!H147)</f>
        <v>3303231.9</v>
      </c>
      <c r="I147" s="17">
        <f>SUM(Jul!I147, Aug!I147, Sep!I147)</f>
        <v>-144057.90000000002</v>
      </c>
      <c r="J147" s="16">
        <f t="shared" si="14"/>
        <v>-4.3611197869577373E-2</v>
      </c>
      <c r="K147" s="14" t="str">
        <f>IFERROR(AVERAGE(Jul!K147, Aug!K147, Sep!K147),"")</f>
        <v/>
      </c>
      <c r="L147" s="39"/>
      <c r="M147" s="40"/>
    </row>
    <row r="148" spans="1:13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21">
        <f>SUM(Jul!D148, Aug!D148, Sep!D148)</f>
        <v>1344934</v>
      </c>
      <c r="E148" s="11">
        <f>SUM(Jul!E148, Aug!E148, Sep!E148)</f>
        <v>1418626.5</v>
      </c>
      <c r="F148" s="11">
        <f t="shared" si="12"/>
        <v>-73692.5</v>
      </c>
      <c r="G148" s="12">
        <f t="shared" si="13"/>
        <v>-5.1946372071859648E-2</v>
      </c>
      <c r="H148" s="13">
        <f>SUM(Jul!H148,Aug!H148,Sep!H148)</f>
        <v>1448176.9</v>
      </c>
      <c r="I148" s="13">
        <f>SUM(Jul!I148, Aug!I148, Sep!I148)</f>
        <v>-103242.89999999997</v>
      </c>
      <c r="J148" s="14">
        <f t="shared" si="14"/>
        <v>-7.1291635711079201E-2</v>
      </c>
      <c r="K148" s="14" t="str">
        <f>IFERROR(AVERAGE(Jul!K148, Aug!K148, Sep!K148),"")</f>
        <v/>
      </c>
      <c r="L148" s="38"/>
      <c r="M148" s="38"/>
    </row>
    <row r="149" spans="1:13" ht="15.6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f>SUM(Jul!D149, Aug!D149, Sep!D149)</f>
        <v>1025674</v>
      </c>
      <c r="E149" s="15">
        <f>SUM(Jul!E149, Aug!E149, Sep!E149)</f>
        <v>0</v>
      </c>
      <c r="F149" s="15">
        <f t="shared" si="12"/>
        <v>1025674</v>
      </c>
      <c r="G149" s="16" t="str">
        <f t="shared" si="13"/>
        <v/>
      </c>
      <c r="H149" s="17">
        <f>SUM(Jul!H149,Aug!H149,Sep!H149)</f>
        <v>1225802</v>
      </c>
      <c r="I149" s="17">
        <f>SUM(Jul!I149, Aug!I149, Sep!I149)</f>
        <v>-200128</v>
      </c>
      <c r="J149" s="16">
        <f t="shared" si="14"/>
        <v>-0.16326290869161578</v>
      </c>
      <c r="K149" s="14" t="str">
        <f>IFERROR(AVERAGE(Jul!K149, Aug!K149, Sep!K149),"")</f>
        <v/>
      </c>
      <c r="L149" s="39"/>
      <c r="M149" s="40"/>
    </row>
    <row r="150" spans="1:13" ht="15.6">
      <c r="A150" s="25" t="str">
        <v>Bantam</v>
      </c>
      <c r="B150" s="26" t="str">
        <v>NY</v>
      </c>
      <c r="C150" s="26" t="str">
        <f>Sites[[#This Row],[SOL'#]]</f>
        <v>SOL-10986</v>
      </c>
      <c r="D150" s="21">
        <f>SUM(Jul!D150, Aug!D150, Sep!D150)</f>
        <v>2273660</v>
      </c>
      <c r="E150" s="11">
        <f>SUM(Jul!E150, Aug!E150, Sep!E150)</f>
        <v>0</v>
      </c>
      <c r="F150" s="11">
        <f t="shared" si="12"/>
        <v>2273660</v>
      </c>
      <c r="G150" s="12" t="str">
        <f t="shared" si="13"/>
        <v/>
      </c>
      <c r="H150" s="13">
        <f>SUM(Jul!H150,Aug!H150,Sep!H150)</f>
        <v>3409269</v>
      </c>
      <c r="I150" s="13">
        <f>SUM(Jul!I150, Aug!I150, Sep!I150)</f>
        <v>-1135609</v>
      </c>
      <c r="J150" s="14">
        <f t="shared" si="14"/>
        <v>-0.33309457247286733</v>
      </c>
      <c r="K150" s="14" t="str">
        <f>IFERROR(AVERAGE(Jul!K150, Aug!K150, Sep!K150),"")</f>
        <v/>
      </c>
      <c r="L150" s="38"/>
      <c r="M150" s="38"/>
    </row>
    <row r="151" spans="1:13" ht="15.6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f>SUM(Jul!D151, Aug!D151, Sep!D151)</f>
        <v>773030</v>
      </c>
      <c r="E151" s="15">
        <f>SUM(Jul!E151, Aug!E151, Sep!E151)</f>
        <v>1095924.8500000001</v>
      </c>
      <c r="F151" s="15">
        <f t="shared" si="12"/>
        <v>-322894.85000000009</v>
      </c>
      <c r="G151" s="16">
        <f t="shared" si="13"/>
        <v>-0.29463229162109067</v>
      </c>
      <c r="H151" s="17">
        <f>SUM(Jul!H151,Aug!H151,Sep!H151)</f>
        <v>1149394</v>
      </c>
      <c r="I151" s="17">
        <f>SUM(Jul!I151, Aug!I151, Sep!I151)</f>
        <v>-376364</v>
      </c>
      <c r="J151" s="16">
        <f t="shared" si="14"/>
        <v>-0.32744559306904336</v>
      </c>
      <c r="K151" s="14" t="str">
        <f>IFERROR(AVERAGE(Jul!K151, Aug!K151, Sep!K151),"")</f>
        <v/>
      </c>
      <c r="L151" s="39"/>
      <c r="M151" s="40"/>
    </row>
    <row r="152" spans="1:13" ht="15.6">
      <c r="A152" s="25" t="str">
        <v>Dubois</v>
      </c>
      <c r="B152" s="26" t="str">
        <v>NY</v>
      </c>
      <c r="C152" s="26" t="str">
        <f>Sites[[#This Row],[SOL'#]]</f>
        <v>SOL-10892</v>
      </c>
      <c r="D152" s="21">
        <f>SUM(Jul!D152, Aug!D152, Sep!D152)</f>
        <v>1064250</v>
      </c>
      <c r="E152" s="11">
        <f>SUM(Jul!E152, Aug!E152, Sep!E152)</f>
        <v>0</v>
      </c>
      <c r="F152" s="11">
        <f t="shared" si="12"/>
        <v>1064250</v>
      </c>
      <c r="G152" s="12" t="str">
        <f t="shared" si="13"/>
        <v/>
      </c>
      <c r="H152" s="13">
        <f>SUM(Jul!H152,Aug!H152,Sep!H152)</f>
        <v>848352</v>
      </c>
      <c r="I152" s="13">
        <f>SUM(Jul!I152, Aug!I152, Sep!I152)</f>
        <v>-124757</v>
      </c>
      <c r="J152" s="14">
        <f t="shared" si="14"/>
        <v>-0.14705806080494888</v>
      </c>
      <c r="K152" s="14" t="str">
        <f>IFERROR(AVERAGE(Jul!K152, Aug!K152, Sep!K152),"")</f>
        <v/>
      </c>
      <c r="L152" s="38"/>
      <c r="M152" s="38"/>
    </row>
    <row r="153" spans="1:13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f>SUM(Jul!D153, Aug!D153, Sep!D153)</f>
        <v>1127850</v>
      </c>
      <c r="E153" s="15">
        <f>SUM(Jul!E153, Aug!E153, Sep!E153)</f>
        <v>0</v>
      </c>
      <c r="F153" s="15">
        <f t="shared" si="12"/>
        <v>1127850</v>
      </c>
      <c r="G153" s="16" t="str">
        <f t="shared" si="13"/>
        <v/>
      </c>
      <c r="H153" s="17">
        <f>SUM(Jul!H153,Aug!H153,Sep!H153)</f>
        <v>1348427</v>
      </c>
      <c r="I153" s="17">
        <f>SUM(Jul!I153, Aug!I153, Sep!I153)</f>
        <v>-220577</v>
      </c>
      <c r="J153" s="16">
        <f t="shared" si="14"/>
        <v>-0.16358097249610101</v>
      </c>
      <c r="K153" s="14" t="str">
        <f>IFERROR(AVERAGE(Jul!K153, Aug!K153, Sep!K153),"")</f>
        <v/>
      </c>
      <c r="L153" s="39"/>
      <c r="M153" s="40"/>
    </row>
    <row r="154" spans="1:13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21">
        <f>SUM(Jul!D154, Aug!D154, Sep!D154)</f>
        <v>2848360</v>
      </c>
      <c r="E154" s="11">
        <f>SUM(Jul!E154, Aug!E154, Sep!E154)</f>
        <v>0</v>
      </c>
      <c r="F154" s="11">
        <f t="shared" si="12"/>
        <v>2848360</v>
      </c>
      <c r="G154" s="12" t="str">
        <f t="shared" si="13"/>
        <v/>
      </c>
      <c r="H154" s="13">
        <f>SUM(Jul!H154,Aug!H154,Sep!H154)</f>
        <v>3037887</v>
      </c>
      <c r="I154" s="13">
        <f>SUM(Jul!I154, Aug!I154, Sep!I154)</f>
        <v>-189527</v>
      </c>
      <c r="J154" s="14">
        <f t="shared" si="14"/>
        <v>-6.238777150038826E-2</v>
      </c>
      <c r="K154" s="14" t="str">
        <f>IFERROR(AVERAGE(Jul!K154, Aug!K154, Sep!K154),"")</f>
        <v/>
      </c>
      <c r="L154" s="38"/>
      <c r="M154" s="38"/>
    </row>
    <row r="155" spans="1:13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f>SUM(Jul!D155, Aug!D155, Sep!D155)</f>
        <v>2905170</v>
      </c>
      <c r="E155" s="15">
        <f>SUM(Jul!E155, Aug!E155, Sep!E155)</f>
        <v>0</v>
      </c>
      <c r="F155" s="15">
        <f t="shared" si="12"/>
        <v>2905170</v>
      </c>
      <c r="G155" s="16" t="str">
        <f t="shared" si="13"/>
        <v/>
      </c>
      <c r="H155" s="17">
        <f>SUM(Jul!H155,Aug!H155,Sep!H155)</f>
        <v>3006973</v>
      </c>
      <c r="I155" s="17">
        <f>SUM(Jul!I155, Aug!I155, Sep!I155)</f>
        <v>-101803</v>
      </c>
      <c r="J155" s="16">
        <f t="shared" si="14"/>
        <v>-3.3855641537187064E-2</v>
      </c>
      <c r="K155" s="14" t="str">
        <f>IFERROR(AVERAGE(Jul!K155, Aug!K155, Sep!K155),"")</f>
        <v/>
      </c>
      <c r="L155" s="39"/>
      <c r="M155" s="40"/>
    </row>
    <row r="156" spans="1:13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21">
        <f>SUM(Jul!D156, Aug!D156, Sep!D156)</f>
        <v>1262140</v>
      </c>
      <c r="E156" s="11">
        <f>SUM(Jul!E156, Aug!E156, Sep!E156)</f>
        <v>1355203.73</v>
      </c>
      <c r="F156" s="11">
        <f t="shared" si="12"/>
        <v>-93063.729999999981</v>
      </c>
      <c r="G156" s="12">
        <f t="shared" si="13"/>
        <v>-6.8671394521619258E-2</v>
      </c>
      <c r="H156" s="13">
        <f>SUM(Jul!H156,Aug!H156,Sep!H156)</f>
        <v>1380018</v>
      </c>
      <c r="I156" s="13">
        <f>SUM(Jul!I156, Aug!I156, Sep!I156)</f>
        <v>-117878</v>
      </c>
      <c r="J156" s="14">
        <f t="shared" si="14"/>
        <v>-8.5417726435452285E-2</v>
      </c>
      <c r="K156" s="14" t="str">
        <f>IFERROR(AVERAGE(Jul!K156, Aug!K156, Sep!K156),"")</f>
        <v/>
      </c>
      <c r="L156" s="38"/>
      <c r="M156" s="38"/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f>SUM(Jul!D157, Aug!D157, Sep!D157)</f>
        <v>1146318</v>
      </c>
      <c r="E157" s="15">
        <f>SUM(Jul!E157, Aug!E157, Sep!E157)</f>
        <v>0</v>
      </c>
      <c r="F157" s="15">
        <f t="shared" si="12"/>
        <v>1146318</v>
      </c>
      <c r="G157" s="16" t="str">
        <f t="shared" si="13"/>
        <v/>
      </c>
      <c r="H157" s="17">
        <f>SUM(Jul!H157,Aug!H157,Sep!H157)</f>
        <v>864001</v>
      </c>
      <c r="I157" s="17">
        <f>SUM(Jul!I157, Aug!I157, Sep!I157)</f>
        <v>-52990</v>
      </c>
      <c r="J157" s="16">
        <f t="shared" si="14"/>
        <v>-6.1330947533625536E-2</v>
      </c>
      <c r="K157" s="14" t="str">
        <f>IFERROR(AVERAGE(Jul!K157, Aug!K157, Sep!K157),"")</f>
        <v/>
      </c>
      <c r="L157" s="39"/>
      <c r="M157" s="40"/>
    </row>
    <row r="158" spans="1:13" ht="15.6">
      <c r="A158" s="25" t="str">
        <v>Costanza</v>
      </c>
      <c r="B158" s="26" t="str">
        <v>NY</v>
      </c>
      <c r="C158" s="26" t="str">
        <f>Sites[[#This Row],[SOL'#]]</f>
        <v>SOL-10907</v>
      </c>
      <c r="D158" s="21">
        <f>SUM(Jul!D158, Aug!D158, Sep!D158)</f>
        <v>543250</v>
      </c>
      <c r="E158" s="11">
        <f>SUM(Jul!E158, Aug!E158, Sep!E158)</f>
        <v>0</v>
      </c>
      <c r="F158" s="11">
        <f t="shared" si="12"/>
        <v>543250</v>
      </c>
      <c r="G158" s="12" t="str">
        <f t="shared" si="13"/>
        <v/>
      </c>
      <c r="H158" s="13">
        <f>SUM(Jul!H158,Aug!H158,Sep!H158)</f>
        <v>1209993</v>
      </c>
      <c r="I158" s="13">
        <f>SUM(Jul!I158, Aug!I158, Sep!I158)</f>
        <v>-666743</v>
      </c>
      <c r="J158" s="14">
        <f t="shared" si="14"/>
        <v>-0.55103046050679627</v>
      </c>
      <c r="K158" s="14" t="str">
        <f>IFERROR(AVERAGE(Jul!K158, Aug!K158, Sep!K158),"")</f>
        <v/>
      </c>
      <c r="L158" s="38"/>
      <c r="M158" s="38"/>
    </row>
    <row r="159" spans="1:13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f>SUM(Jul!D159, Aug!D159, Sep!D159)</f>
        <v>1300845</v>
      </c>
      <c r="E159" s="15">
        <f>SUM(Jul!E159, Aug!E159, Sep!E159)</f>
        <v>1358256.6</v>
      </c>
      <c r="F159" s="15">
        <f t="shared" si="12"/>
        <v>-57411.600000000093</v>
      </c>
      <c r="G159" s="16">
        <f t="shared" si="13"/>
        <v>-4.2268596375677536E-2</v>
      </c>
      <c r="H159" s="17">
        <f>SUM(Jul!H159,Aug!H159,Sep!H159)</f>
        <v>1409372</v>
      </c>
      <c r="I159" s="17">
        <f>SUM(Jul!I159, Aug!I159, Sep!I159)</f>
        <v>-108527</v>
      </c>
      <c r="J159" s="16">
        <f t="shared" si="14"/>
        <v>-7.700380027416466E-2</v>
      </c>
      <c r="K159" s="14">
        <f>IFERROR(AVERAGE(Jul!K159, Aug!K159, Sep!K159),"")</f>
        <v>0.95960106666666667</v>
      </c>
      <c r="L159" s="39"/>
      <c r="M159" s="40"/>
    </row>
    <row r="160" spans="1:13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21">
        <f>SUM(Jul!D160, Aug!D160, Sep!D160)</f>
        <v>1231014</v>
      </c>
      <c r="E160" s="11">
        <f>SUM(Jul!E160, Aug!E160, Sep!E160)</f>
        <v>0</v>
      </c>
      <c r="F160" s="11">
        <f t="shared" si="12"/>
        <v>1231014</v>
      </c>
      <c r="G160" s="12" t="str">
        <f t="shared" si="13"/>
        <v/>
      </c>
      <c r="H160" s="13">
        <f>SUM(Jul!H160,Aug!H160,Sep!H160)</f>
        <v>1245202</v>
      </c>
      <c r="I160" s="13">
        <f>SUM(Jul!I160, Aug!I160, Sep!I160)</f>
        <v>-14188</v>
      </c>
      <c r="J160" s="14">
        <f t="shared" si="14"/>
        <v>-1.1394135248738758E-2</v>
      </c>
      <c r="K160" s="14" t="str">
        <f>IFERROR(AVERAGE(Jul!K160, Aug!K160, Sep!K160),"")</f>
        <v/>
      </c>
      <c r="L160" s="38"/>
      <c r="M160" s="38"/>
    </row>
    <row r="161" spans="1:13" ht="15.6">
      <c r="A161" s="27" t="str">
        <v>Altamont</v>
      </c>
      <c r="B161" s="28" t="str">
        <v>NY</v>
      </c>
      <c r="C161" s="28" t="s">
        <v>13</v>
      </c>
      <c r="D161" s="10">
        <f>SUM(Jul!D161, Aug!D161, Sep!D161)</f>
        <v>2058946</v>
      </c>
      <c r="E161" s="15">
        <f>SUM(Jul!E161, Aug!E161, Sep!E161)</f>
        <v>2159800.4</v>
      </c>
      <c r="F161" s="15">
        <f t="shared" si="12"/>
        <v>-100854.39999999991</v>
      </c>
      <c r="G161" s="16">
        <f t="shared" si="13"/>
        <v>-4.6696166923573083E-2</v>
      </c>
      <c r="H161" s="17">
        <f>SUM(Jul!H161,Aug!H161,Sep!H161)</f>
        <v>2020093.6</v>
      </c>
      <c r="I161" s="17">
        <f>SUM(Jul!I161, Aug!I161, Sep!I161)</f>
        <v>-52988.70000000007</v>
      </c>
      <c r="J161" s="16">
        <f t="shared" si="14"/>
        <v>-2.6230814255339487E-2</v>
      </c>
      <c r="K161" s="14">
        <f>IFERROR(AVERAGE(Jul!K161, Aug!K161, Sep!K161),"")</f>
        <v>0.9955145666666666</v>
      </c>
      <c r="L161" s="39"/>
      <c r="M161" s="40"/>
    </row>
    <row r="162" spans="1:13" ht="12.95">
      <c r="A162" s="18"/>
      <c r="B162" s="18"/>
      <c r="C162" s="18"/>
      <c r="D162" s="18"/>
      <c r="E162" s="18"/>
      <c r="F162" s="18"/>
      <c r="G162" s="19"/>
      <c r="H162" s="18"/>
      <c r="I162" s="18"/>
      <c r="J162" s="19"/>
      <c r="K162" s="19"/>
    </row>
    <row r="163" spans="1:13" ht="12.95">
      <c r="A163" s="18"/>
      <c r="B163" s="18"/>
      <c r="C163" s="18"/>
      <c r="D163" s="18"/>
      <c r="E163" s="18"/>
      <c r="F163" s="18"/>
      <c r="G163" s="19"/>
      <c r="H163" s="18"/>
      <c r="I163" s="18"/>
      <c r="J163" s="19"/>
      <c r="K163" s="19"/>
    </row>
    <row r="164" spans="1:13" ht="12.95">
      <c r="A164" s="18"/>
      <c r="B164" s="18"/>
      <c r="C164" s="18"/>
      <c r="D164" s="18"/>
      <c r="E164" s="18"/>
      <c r="F164" s="18"/>
      <c r="G164" s="19"/>
      <c r="H164" s="18"/>
      <c r="I164" s="18"/>
      <c r="J164" s="19"/>
      <c r="K164" s="19"/>
    </row>
    <row r="165" spans="1:13" ht="12.95">
      <c r="A165" s="18"/>
      <c r="B165" s="18"/>
      <c r="C165" s="18"/>
      <c r="D165" s="18"/>
      <c r="E165" s="18"/>
      <c r="F165" s="18"/>
      <c r="G165" s="19"/>
      <c r="H165" s="18"/>
      <c r="I165" s="18"/>
      <c r="J165" s="19"/>
      <c r="K165" s="19"/>
    </row>
    <row r="166" spans="1:13" ht="12.95">
      <c r="A166" s="18"/>
      <c r="B166" s="18"/>
      <c r="C166" s="18"/>
      <c r="D166" s="18"/>
      <c r="E166" s="18"/>
      <c r="F166" s="18"/>
      <c r="G166" s="19"/>
      <c r="H166" s="18"/>
      <c r="I166" s="18"/>
      <c r="J166" s="19"/>
      <c r="K166" s="19"/>
    </row>
    <row r="167" spans="1:13" ht="12.95">
      <c r="A167" s="18"/>
      <c r="B167" s="18"/>
      <c r="C167" s="18"/>
      <c r="D167" s="18"/>
      <c r="E167" s="18"/>
      <c r="F167" s="18"/>
      <c r="G167" s="19"/>
      <c r="H167" s="18"/>
      <c r="I167" s="18"/>
      <c r="J167" s="19"/>
      <c r="K167" s="19"/>
    </row>
    <row r="168" spans="1:13" ht="12.95">
      <c r="A168" s="18"/>
      <c r="B168" s="18"/>
      <c r="C168" s="18"/>
      <c r="D168" s="18"/>
      <c r="E168" s="18"/>
      <c r="F168" s="18"/>
      <c r="G168" s="19"/>
      <c r="H168" s="18"/>
      <c r="I168" s="18"/>
      <c r="J168" s="19"/>
      <c r="K168" s="19"/>
    </row>
    <row r="169" spans="1:13" ht="12.95">
      <c r="A169" s="18"/>
      <c r="B169" s="18"/>
      <c r="C169" s="18"/>
      <c r="D169" s="18"/>
      <c r="E169" s="18"/>
      <c r="F169" s="18"/>
      <c r="G169" s="19"/>
      <c r="H169" s="18"/>
      <c r="I169" s="18"/>
      <c r="J169" s="19"/>
      <c r="K169" s="19"/>
    </row>
    <row r="170" spans="1:13" ht="12.95">
      <c r="A170" s="18"/>
      <c r="B170" s="18"/>
      <c r="C170" s="18"/>
      <c r="D170" s="18"/>
      <c r="E170" s="18"/>
      <c r="F170" s="18"/>
      <c r="G170" s="19"/>
      <c r="H170" s="18"/>
      <c r="I170" s="18"/>
      <c r="J170" s="19"/>
      <c r="K170" s="19"/>
    </row>
    <row r="171" spans="1:13" ht="12.95">
      <c r="A171" s="18"/>
      <c r="B171" s="18"/>
      <c r="C171" s="18"/>
      <c r="D171" s="18"/>
      <c r="E171" s="18"/>
      <c r="F171" s="18"/>
      <c r="G171" s="19"/>
      <c r="H171" s="18"/>
      <c r="I171" s="18"/>
      <c r="J171" s="19"/>
      <c r="K171" s="19"/>
    </row>
    <row r="172" spans="1:13" ht="12.95">
      <c r="A172" s="18"/>
      <c r="B172" s="18"/>
      <c r="C172" s="18"/>
      <c r="D172" s="18"/>
      <c r="E172" s="18"/>
      <c r="F172" s="18"/>
      <c r="G172" s="19"/>
      <c r="H172" s="18"/>
      <c r="I172" s="18"/>
      <c r="J172" s="19"/>
      <c r="K172" s="19"/>
    </row>
    <row r="173" spans="1:13" ht="12.95">
      <c r="A173" s="18"/>
      <c r="B173" s="18"/>
      <c r="C173" s="18"/>
      <c r="D173" s="18"/>
      <c r="E173" s="18"/>
      <c r="F173" s="18"/>
      <c r="G173" s="19"/>
      <c r="H173" s="18"/>
      <c r="I173" s="18"/>
      <c r="J173" s="19"/>
      <c r="K173" s="19"/>
    </row>
    <row r="174" spans="1:13" ht="12.95">
      <c r="A174" s="18"/>
      <c r="B174" s="18"/>
      <c r="C174" s="18"/>
      <c r="D174" s="18"/>
      <c r="E174" s="18"/>
      <c r="F174" s="18"/>
      <c r="G174" s="19"/>
      <c r="H174" s="18"/>
      <c r="I174" s="18"/>
      <c r="J174" s="19"/>
      <c r="K174" s="19"/>
    </row>
    <row r="175" spans="1:13" ht="12.95">
      <c r="A175" s="18"/>
      <c r="B175" s="18"/>
      <c r="C175" s="18"/>
      <c r="D175" s="18"/>
      <c r="E175" s="18"/>
      <c r="F175" s="18"/>
      <c r="G175" s="19"/>
      <c r="H175" s="18"/>
      <c r="I175" s="18"/>
      <c r="J175" s="19"/>
      <c r="K175" s="19"/>
    </row>
    <row r="176" spans="1:13" ht="12.95">
      <c r="A176" s="18"/>
      <c r="B176" s="18"/>
      <c r="C176" s="18"/>
      <c r="D176" s="18"/>
      <c r="E176" s="18"/>
      <c r="F176" s="18"/>
      <c r="G176" s="19"/>
      <c r="H176" s="18"/>
      <c r="I176" s="18"/>
      <c r="J176" s="19"/>
      <c r="K176" s="19"/>
    </row>
    <row r="177" spans="1:11" ht="12.95">
      <c r="A177" s="18"/>
      <c r="B177" s="18"/>
      <c r="C177" s="18"/>
      <c r="D177" s="18"/>
      <c r="E177" s="18"/>
      <c r="F177" s="18"/>
      <c r="G177" s="19"/>
      <c r="H177" s="18"/>
      <c r="I177" s="18"/>
      <c r="J177" s="19"/>
      <c r="K177" s="19"/>
    </row>
    <row r="178" spans="1:11" ht="12.95">
      <c r="A178" s="18"/>
      <c r="B178" s="18"/>
      <c r="C178" s="18"/>
      <c r="D178" s="18"/>
      <c r="E178" s="18"/>
      <c r="F178" s="18"/>
      <c r="G178" s="19"/>
      <c r="H178" s="18"/>
      <c r="I178" s="18"/>
      <c r="J178" s="19"/>
      <c r="K178" s="19"/>
    </row>
    <row r="179" spans="1:11" ht="12.95">
      <c r="A179" s="18"/>
      <c r="B179" s="18"/>
      <c r="C179" s="18"/>
      <c r="D179" s="18"/>
      <c r="E179" s="18"/>
      <c r="F179" s="18"/>
      <c r="G179" s="19"/>
      <c r="H179" s="18"/>
      <c r="I179" s="18"/>
      <c r="J179" s="19"/>
      <c r="K179" s="19"/>
    </row>
    <row r="180" spans="1:11" ht="12.95">
      <c r="A180" s="18"/>
      <c r="B180" s="18"/>
      <c r="C180" s="18"/>
      <c r="D180" s="18"/>
      <c r="E180" s="18"/>
      <c r="F180" s="18"/>
      <c r="G180" s="19"/>
      <c r="H180" s="18"/>
      <c r="I180" s="18"/>
      <c r="J180" s="19"/>
      <c r="K180" s="19"/>
    </row>
    <row r="181" spans="1:11" ht="12.95">
      <c r="A181" s="18"/>
      <c r="B181" s="18"/>
      <c r="C181" s="18"/>
      <c r="D181" s="18"/>
      <c r="E181" s="18"/>
      <c r="F181" s="18"/>
      <c r="G181" s="19"/>
      <c r="H181" s="18"/>
      <c r="I181" s="18"/>
      <c r="J181" s="19"/>
      <c r="K181" s="19"/>
    </row>
    <row r="182" spans="1:11" ht="12.95">
      <c r="A182" s="18"/>
      <c r="B182" s="18"/>
      <c r="C182" s="18"/>
      <c r="D182" s="18"/>
      <c r="E182" s="18"/>
      <c r="F182" s="18"/>
      <c r="G182" s="19"/>
      <c r="H182" s="18"/>
      <c r="I182" s="18"/>
      <c r="J182" s="19"/>
      <c r="K182" s="19"/>
    </row>
    <row r="183" spans="1:11" ht="12.95">
      <c r="A183" s="18"/>
      <c r="B183" s="18"/>
      <c r="C183" s="18"/>
      <c r="D183" s="18"/>
      <c r="E183" s="18"/>
      <c r="F183" s="18"/>
      <c r="G183" s="19"/>
      <c r="H183" s="18"/>
      <c r="I183" s="18"/>
      <c r="J183" s="19"/>
      <c r="K183" s="19"/>
    </row>
    <row r="184" spans="1:11" ht="12.95">
      <c r="A184" s="18"/>
      <c r="B184" s="18"/>
      <c r="C184" s="18"/>
      <c r="D184" s="18"/>
      <c r="E184" s="18"/>
      <c r="F184" s="18"/>
      <c r="G184" s="19"/>
      <c r="H184" s="18"/>
      <c r="I184" s="18"/>
      <c r="J184" s="19"/>
      <c r="K184" s="19"/>
    </row>
    <row r="185" spans="1:11" ht="12.95">
      <c r="A185" s="18"/>
      <c r="B185" s="18"/>
      <c r="C185" s="18"/>
      <c r="D185" s="18"/>
      <c r="E185" s="18"/>
      <c r="F185" s="18"/>
      <c r="G185" s="19"/>
      <c r="H185" s="18"/>
      <c r="I185" s="18"/>
      <c r="J185" s="19"/>
      <c r="K185" s="19"/>
    </row>
    <row r="186" spans="1:11" ht="12.95">
      <c r="A186" s="18"/>
      <c r="B186" s="18"/>
      <c r="C186" s="18"/>
      <c r="D186" s="18"/>
      <c r="E186" s="18"/>
      <c r="F186" s="18"/>
      <c r="G186" s="19"/>
      <c r="H186" s="18"/>
      <c r="I186" s="18"/>
      <c r="J186" s="19"/>
      <c r="K186" s="19"/>
    </row>
    <row r="187" spans="1:11" ht="12.95">
      <c r="A187" s="18"/>
      <c r="B187" s="18"/>
      <c r="C187" s="18"/>
      <c r="D187" s="18"/>
      <c r="E187" s="18"/>
      <c r="F187" s="18"/>
      <c r="G187" s="19"/>
      <c r="H187" s="18"/>
      <c r="I187" s="18"/>
      <c r="J187" s="19"/>
      <c r="K187" s="19"/>
    </row>
    <row r="188" spans="1:11" ht="12.95">
      <c r="A188" s="18"/>
      <c r="B188" s="18"/>
      <c r="C188" s="18"/>
      <c r="D188" s="18"/>
      <c r="E188" s="18"/>
      <c r="F188" s="18"/>
      <c r="G188" s="19"/>
      <c r="H188" s="18"/>
      <c r="I188" s="18"/>
      <c r="J188" s="19"/>
      <c r="K188" s="19"/>
    </row>
    <row r="189" spans="1:11" ht="12.95">
      <c r="A189" s="18"/>
      <c r="B189" s="18"/>
      <c r="C189" s="18"/>
      <c r="D189" s="18"/>
      <c r="E189" s="18"/>
      <c r="F189" s="18"/>
      <c r="G189" s="19"/>
      <c r="H189" s="18"/>
      <c r="I189" s="18"/>
      <c r="J189" s="19"/>
      <c r="K189" s="19"/>
    </row>
    <row r="190" spans="1:11" ht="12.95">
      <c r="A190" s="18"/>
      <c r="B190" s="18"/>
      <c r="C190" s="18"/>
      <c r="D190" s="18"/>
      <c r="E190" s="18"/>
      <c r="F190" s="18"/>
      <c r="G190" s="19"/>
      <c r="H190" s="18"/>
      <c r="I190" s="18"/>
      <c r="J190" s="19"/>
      <c r="K190" s="19"/>
    </row>
    <row r="191" spans="1:11" ht="12.95">
      <c r="A191" s="18"/>
      <c r="B191" s="18"/>
      <c r="C191" s="18"/>
      <c r="D191" s="18"/>
      <c r="E191" s="18"/>
      <c r="F191" s="18"/>
      <c r="G191" s="19"/>
      <c r="H191" s="18"/>
      <c r="I191" s="18"/>
      <c r="J191" s="19"/>
      <c r="K191" s="19"/>
    </row>
    <row r="192" spans="1:11" ht="12.95">
      <c r="A192" s="18"/>
      <c r="B192" s="18"/>
      <c r="C192" s="18"/>
      <c r="D192" s="18"/>
      <c r="E192" s="18"/>
      <c r="F192" s="18"/>
      <c r="G192" s="19"/>
      <c r="H192" s="18"/>
      <c r="I192" s="18"/>
      <c r="J192" s="19"/>
      <c r="K192" s="19"/>
    </row>
    <row r="193" spans="1:11" ht="12.95">
      <c r="A193" s="18"/>
      <c r="B193" s="18"/>
      <c r="C193" s="18"/>
      <c r="D193" s="18"/>
      <c r="E193" s="18"/>
      <c r="F193" s="18"/>
      <c r="G193" s="19"/>
      <c r="H193" s="18"/>
      <c r="I193" s="18"/>
      <c r="J193" s="19"/>
      <c r="K193" s="19"/>
    </row>
    <row r="194" spans="1:11" ht="12.95">
      <c r="A194" s="18"/>
      <c r="B194" s="18"/>
      <c r="C194" s="18"/>
      <c r="D194" s="18"/>
      <c r="E194" s="18"/>
      <c r="F194" s="18"/>
      <c r="G194" s="19"/>
      <c r="H194" s="18"/>
      <c r="I194" s="18"/>
      <c r="J194" s="19"/>
      <c r="K194" s="19"/>
    </row>
    <row r="195" spans="1:11" ht="12.95">
      <c r="A195" s="18"/>
      <c r="B195" s="18"/>
      <c r="C195" s="18"/>
      <c r="D195" s="18"/>
      <c r="E195" s="18"/>
      <c r="F195" s="18"/>
      <c r="G195" s="19"/>
      <c r="H195" s="18"/>
      <c r="I195" s="18"/>
      <c r="J195" s="19"/>
      <c r="K195" s="19"/>
    </row>
    <row r="196" spans="1:11" ht="12.95">
      <c r="A196" s="18"/>
      <c r="B196" s="18"/>
      <c r="C196" s="18"/>
      <c r="D196" s="18"/>
      <c r="E196" s="18"/>
      <c r="F196" s="18"/>
      <c r="G196" s="19"/>
      <c r="H196" s="18"/>
      <c r="I196" s="18"/>
      <c r="J196" s="19"/>
      <c r="K196" s="19"/>
    </row>
    <row r="197" spans="1:11" ht="12.95">
      <c r="A197" s="18"/>
      <c r="B197" s="18"/>
      <c r="C197" s="18"/>
      <c r="D197" s="18"/>
      <c r="E197" s="18"/>
      <c r="F197" s="18"/>
      <c r="G197" s="19"/>
      <c r="H197" s="18"/>
      <c r="I197" s="18"/>
      <c r="J197" s="19"/>
      <c r="K197" s="19"/>
    </row>
    <row r="198" spans="1:11" ht="12.95">
      <c r="A198" s="18"/>
      <c r="B198" s="18"/>
      <c r="C198" s="18"/>
      <c r="D198" s="18"/>
      <c r="E198" s="18"/>
      <c r="F198" s="18"/>
      <c r="G198" s="19"/>
      <c r="H198" s="18"/>
      <c r="I198" s="18"/>
      <c r="J198" s="19"/>
      <c r="K198" s="19"/>
    </row>
    <row r="199" spans="1:11" ht="12.95">
      <c r="A199" s="18"/>
      <c r="B199" s="18"/>
      <c r="C199" s="18"/>
      <c r="D199" s="18"/>
      <c r="E199" s="18"/>
      <c r="F199" s="18"/>
      <c r="G199" s="19"/>
      <c r="H199" s="18"/>
      <c r="I199" s="18"/>
      <c r="J199" s="19"/>
      <c r="K199" s="19"/>
    </row>
    <row r="200" spans="1:11" ht="12.95">
      <c r="A200" s="18"/>
      <c r="B200" s="18"/>
      <c r="C200" s="18"/>
      <c r="D200" s="18"/>
      <c r="E200" s="18"/>
      <c r="F200" s="18"/>
      <c r="G200" s="19"/>
      <c r="H200" s="18"/>
      <c r="I200" s="18"/>
      <c r="J200" s="19"/>
      <c r="K200" s="19"/>
    </row>
    <row r="201" spans="1:11" ht="12.95">
      <c r="A201" s="18"/>
      <c r="B201" s="18"/>
      <c r="C201" s="18"/>
      <c r="D201" s="18"/>
      <c r="E201" s="18"/>
      <c r="F201" s="18"/>
      <c r="G201" s="19"/>
      <c r="H201" s="18"/>
      <c r="I201" s="18"/>
      <c r="J201" s="19"/>
      <c r="K201" s="19"/>
    </row>
    <row r="202" spans="1:11" ht="12.95">
      <c r="A202" s="18"/>
      <c r="B202" s="18"/>
      <c r="C202" s="18"/>
      <c r="D202" s="18"/>
      <c r="E202" s="18"/>
      <c r="F202" s="18"/>
      <c r="G202" s="19"/>
      <c r="H202" s="18"/>
      <c r="I202" s="18"/>
      <c r="J202" s="19"/>
      <c r="K202" s="19"/>
    </row>
    <row r="203" spans="1:11" ht="12.95">
      <c r="A203" s="18"/>
      <c r="B203" s="18"/>
      <c r="C203" s="18"/>
      <c r="D203" s="18"/>
      <c r="E203" s="18"/>
      <c r="F203" s="18"/>
      <c r="G203" s="19"/>
      <c r="H203" s="18"/>
      <c r="I203" s="18"/>
      <c r="J203" s="19"/>
      <c r="K203" s="19"/>
    </row>
    <row r="204" spans="1:11" ht="12.95">
      <c r="A204" s="18"/>
      <c r="B204" s="18"/>
      <c r="C204" s="18"/>
      <c r="D204" s="18"/>
      <c r="E204" s="18"/>
      <c r="F204" s="18"/>
      <c r="G204" s="19"/>
      <c r="H204" s="18"/>
      <c r="I204" s="18"/>
      <c r="J204" s="19"/>
      <c r="K204" s="19"/>
    </row>
    <row r="205" spans="1:11" ht="12.95">
      <c r="A205" s="18"/>
      <c r="B205" s="18"/>
      <c r="C205" s="18"/>
      <c r="D205" s="18"/>
      <c r="E205" s="18"/>
      <c r="F205" s="18"/>
      <c r="G205" s="19"/>
      <c r="H205" s="18"/>
      <c r="I205" s="18"/>
      <c r="J205" s="19"/>
      <c r="K205" s="19"/>
    </row>
    <row r="206" spans="1:11" ht="12.95">
      <c r="A206" s="18"/>
      <c r="B206" s="18"/>
      <c r="C206" s="18"/>
      <c r="D206" s="18"/>
      <c r="E206" s="18"/>
      <c r="F206" s="18"/>
      <c r="G206" s="19"/>
      <c r="H206" s="18"/>
      <c r="I206" s="18"/>
      <c r="J206" s="19"/>
      <c r="K206" s="19"/>
    </row>
    <row r="207" spans="1:11" ht="12.95">
      <c r="A207" s="18"/>
      <c r="B207" s="18"/>
      <c r="C207" s="18"/>
      <c r="D207" s="18"/>
      <c r="E207" s="18"/>
      <c r="F207" s="18"/>
      <c r="G207" s="19"/>
      <c r="H207" s="18"/>
      <c r="I207" s="18"/>
      <c r="J207" s="19"/>
      <c r="K207" s="19"/>
    </row>
    <row r="208" spans="1:11" ht="12.95">
      <c r="A208" s="18"/>
      <c r="B208" s="18"/>
      <c r="C208" s="18"/>
      <c r="D208" s="18"/>
      <c r="E208" s="18"/>
      <c r="F208" s="18"/>
      <c r="G208" s="19"/>
      <c r="H208" s="18"/>
      <c r="I208" s="18"/>
      <c r="J208" s="19"/>
      <c r="K208" s="19"/>
    </row>
    <row r="209" spans="1:11" ht="12.95">
      <c r="A209" s="18"/>
      <c r="B209" s="18"/>
      <c r="C209" s="18"/>
      <c r="D209" s="18"/>
      <c r="E209" s="18"/>
      <c r="F209" s="18"/>
      <c r="G209" s="19"/>
      <c r="H209" s="18"/>
      <c r="I209" s="18"/>
      <c r="J209" s="19"/>
      <c r="K209" s="19"/>
    </row>
    <row r="210" spans="1:11" ht="12.95">
      <c r="A210" s="18"/>
      <c r="B210" s="18"/>
      <c r="C210" s="18"/>
      <c r="D210" s="18"/>
      <c r="E210" s="18"/>
      <c r="F210" s="18"/>
      <c r="G210" s="19"/>
      <c r="H210" s="18"/>
      <c r="I210" s="18"/>
      <c r="J210" s="19"/>
      <c r="K210" s="19"/>
    </row>
    <row r="211" spans="1:11" ht="12.95">
      <c r="A211" s="18"/>
      <c r="B211" s="18"/>
      <c r="C211" s="18"/>
      <c r="D211" s="18"/>
      <c r="E211" s="18"/>
      <c r="F211" s="18"/>
      <c r="G211" s="19"/>
      <c r="H211" s="18"/>
      <c r="I211" s="18"/>
      <c r="J211" s="19"/>
      <c r="K211" s="19"/>
    </row>
    <row r="212" spans="1:11" ht="12.95">
      <c r="A212" s="18"/>
      <c r="B212" s="18"/>
      <c r="C212" s="18"/>
      <c r="D212" s="18"/>
      <c r="E212" s="18"/>
      <c r="F212" s="18"/>
      <c r="G212" s="19"/>
      <c r="H212" s="18"/>
      <c r="I212" s="18"/>
      <c r="J212" s="19"/>
      <c r="K212" s="19"/>
    </row>
    <row r="213" spans="1:11" ht="12.95">
      <c r="A213" s="18"/>
      <c r="B213" s="18"/>
      <c r="C213" s="18"/>
      <c r="D213" s="18"/>
      <c r="E213" s="18"/>
      <c r="F213" s="18"/>
      <c r="G213" s="19"/>
      <c r="H213" s="18"/>
      <c r="I213" s="18"/>
      <c r="J213" s="19"/>
      <c r="K213" s="19"/>
    </row>
    <row r="214" spans="1:11" ht="12.95">
      <c r="A214" s="18"/>
      <c r="B214" s="18"/>
      <c r="C214" s="18"/>
      <c r="D214" s="18"/>
      <c r="E214" s="18"/>
      <c r="F214" s="18"/>
      <c r="G214" s="19"/>
      <c r="H214" s="18"/>
      <c r="I214" s="18"/>
      <c r="J214" s="19"/>
      <c r="K214" s="19"/>
    </row>
    <row r="215" spans="1:11" ht="12.95">
      <c r="A215" s="18"/>
      <c r="B215" s="18"/>
      <c r="C215" s="18"/>
      <c r="D215" s="18"/>
      <c r="E215" s="18"/>
      <c r="F215" s="18"/>
      <c r="G215" s="19"/>
      <c r="H215" s="18"/>
      <c r="I215" s="18"/>
      <c r="J215" s="19"/>
      <c r="K215" s="19"/>
    </row>
    <row r="216" spans="1:11" ht="12.95">
      <c r="A216" s="18"/>
      <c r="B216" s="18"/>
      <c r="C216" s="18"/>
      <c r="D216" s="18"/>
      <c r="E216" s="18"/>
      <c r="F216" s="18"/>
      <c r="G216" s="19"/>
      <c r="H216" s="18"/>
      <c r="I216" s="18"/>
      <c r="J216" s="19"/>
      <c r="K216" s="19"/>
    </row>
    <row r="217" spans="1:11" ht="12.95">
      <c r="A217" s="18"/>
      <c r="B217" s="18"/>
      <c r="C217" s="18"/>
      <c r="D217" s="18"/>
      <c r="E217" s="18"/>
      <c r="F217" s="18"/>
      <c r="G217" s="19"/>
      <c r="H217" s="18"/>
      <c r="I217" s="18"/>
      <c r="J217" s="19"/>
      <c r="K217" s="19"/>
    </row>
    <row r="218" spans="1:11" ht="12.95">
      <c r="A218" s="18"/>
      <c r="B218" s="18"/>
      <c r="C218" s="18"/>
      <c r="D218" s="18"/>
      <c r="E218" s="18"/>
      <c r="F218" s="18"/>
      <c r="G218" s="19"/>
      <c r="H218" s="18"/>
      <c r="I218" s="18"/>
      <c r="J218" s="19"/>
      <c r="K218" s="19"/>
    </row>
    <row r="219" spans="1:11" ht="12.95">
      <c r="A219" s="18"/>
      <c r="B219" s="18"/>
      <c r="C219" s="18"/>
      <c r="D219" s="18"/>
      <c r="E219" s="18"/>
      <c r="F219" s="18"/>
      <c r="G219" s="19"/>
      <c r="H219" s="18"/>
      <c r="I219" s="18"/>
      <c r="J219" s="19"/>
      <c r="K219" s="19"/>
    </row>
    <row r="220" spans="1:11" ht="12.95">
      <c r="A220" s="18"/>
      <c r="B220" s="18"/>
      <c r="C220" s="18"/>
      <c r="D220" s="18"/>
      <c r="E220" s="18"/>
      <c r="F220" s="18"/>
      <c r="G220" s="19"/>
      <c r="H220" s="18"/>
      <c r="I220" s="18"/>
      <c r="J220" s="19"/>
      <c r="K220" s="19"/>
    </row>
    <row r="221" spans="1:11" ht="12.95">
      <c r="A221" s="18"/>
      <c r="B221" s="18"/>
      <c r="C221" s="18"/>
      <c r="D221" s="18"/>
      <c r="E221" s="18"/>
      <c r="F221" s="18"/>
      <c r="G221" s="19"/>
      <c r="H221" s="18"/>
      <c r="I221" s="18"/>
      <c r="J221" s="19"/>
      <c r="K221" s="19"/>
    </row>
    <row r="222" spans="1:11" ht="12.95">
      <c r="A222" s="18"/>
      <c r="B222" s="18"/>
      <c r="C222" s="18"/>
      <c r="D222" s="18"/>
      <c r="E222" s="18"/>
      <c r="F222" s="18"/>
      <c r="G222" s="19"/>
      <c r="H222" s="18"/>
      <c r="I222" s="18"/>
      <c r="J222" s="19"/>
      <c r="K222" s="19"/>
    </row>
    <row r="223" spans="1:11" ht="12.95">
      <c r="A223" s="18"/>
      <c r="B223" s="18"/>
      <c r="C223" s="18"/>
      <c r="D223" s="18"/>
      <c r="E223" s="18"/>
      <c r="F223" s="18"/>
      <c r="G223" s="19"/>
      <c r="H223" s="18"/>
      <c r="I223" s="18"/>
      <c r="J223" s="19"/>
      <c r="K223" s="19"/>
    </row>
    <row r="224" spans="1:11" ht="12.95">
      <c r="A224" s="18"/>
      <c r="B224" s="18"/>
      <c r="C224" s="18"/>
      <c r="D224" s="18"/>
      <c r="E224" s="18"/>
      <c r="F224" s="18"/>
      <c r="G224" s="19"/>
      <c r="H224" s="18"/>
      <c r="I224" s="18"/>
      <c r="J224" s="19"/>
      <c r="K224" s="19"/>
    </row>
    <row r="225" spans="1:11" ht="12.95">
      <c r="A225" s="18"/>
      <c r="B225" s="18"/>
      <c r="C225" s="18"/>
      <c r="D225" s="18"/>
      <c r="E225" s="18"/>
      <c r="F225" s="18"/>
      <c r="G225" s="19"/>
      <c r="H225" s="18"/>
      <c r="I225" s="18"/>
      <c r="J225" s="19"/>
      <c r="K225" s="19"/>
    </row>
    <row r="226" spans="1:11" ht="12.95">
      <c r="A226" s="18"/>
      <c r="B226" s="18"/>
      <c r="C226" s="18"/>
      <c r="D226" s="18"/>
      <c r="E226" s="18"/>
      <c r="F226" s="18"/>
      <c r="G226" s="19"/>
      <c r="H226" s="18"/>
      <c r="I226" s="18"/>
      <c r="J226" s="19"/>
      <c r="K226" s="19"/>
    </row>
    <row r="227" spans="1:11" ht="12.95">
      <c r="A227" s="18"/>
      <c r="B227" s="18"/>
      <c r="C227" s="18"/>
      <c r="D227" s="18"/>
      <c r="E227" s="18"/>
      <c r="F227" s="18"/>
      <c r="G227" s="19"/>
      <c r="H227" s="18"/>
      <c r="I227" s="18"/>
      <c r="J227" s="19"/>
      <c r="K227" s="19"/>
    </row>
    <row r="228" spans="1:11" ht="12.95">
      <c r="A228" s="18"/>
      <c r="B228" s="18"/>
      <c r="C228" s="18"/>
      <c r="D228" s="18"/>
      <c r="E228" s="18"/>
      <c r="F228" s="18"/>
      <c r="G228" s="19"/>
      <c r="H228" s="18"/>
      <c r="I228" s="18"/>
      <c r="J228" s="19"/>
      <c r="K228" s="19"/>
    </row>
    <row r="229" spans="1:11" ht="12.95">
      <c r="A229" s="18"/>
      <c r="B229" s="18"/>
      <c r="C229" s="18"/>
      <c r="D229" s="18"/>
      <c r="E229" s="18"/>
      <c r="F229" s="18"/>
      <c r="G229" s="19"/>
      <c r="H229" s="18"/>
      <c r="I229" s="18"/>
      <c r="J229" s="19"/>
      <c r="K229" s="19"/>
    </row>
    <row r="230" spans="1:11" ht="12.95">
      <c r="A230" s="18"/>
      <c r="B230" s="18"/>
      <c r="C230" s="18"/>
      <c r="D230" s="18"/>
      <c r="E230" s="18"/>
      <c r="F230" s="18"/>
      <c r="G230" s="19"/>
      <c r="H230" s="18"/>
      <c r="I230" s="18"/>
      <c r="J230" s="19"/>
      <c r="K230" s="19"/>
    </row>
    <row r="231" spans="1:11" ht="12.95">
      <c r="A231" s="18"/>
      <c r="B231" s="18"/>
      <c r="C231" s="18"/>
      <c r="D231" s="18"/>
      <c r="E231" s="18"/>
      <c r="F231" s="18"/>
      <c r="G231" s="19"/>
      <c r="H231" s="18"/>
      <c r="I231" s="18"/>
      <c r="J231" s="19"/>
      <c r="K231" s="19"/>
    </row>
    <row r="232" spans="1:11" ht="12.95">
      <c r="A232" s="18"/>
      <c r="B232" s="18"/>
      <c r="C232" s="18"/>
      <c r="D232" s="18"/>
      <c r="E232" s="18"/>
      <c r="F232" s="18"/>
      <c r="G232" s="19"/>
      <c r="H232" s="18"/>
      <c r="I232" s="18"/>
      <c r="J232" s="19"/>
      <c r="K232" s="19"/>
    </row>
    <row r="233" spans="1:11" ht="12.95">
      <c r="A233" s="18"/>
      <c r="B233" s="18"/>
      <c r="C233" s="18"/>
      <c r="D233" s="18"/>
      <c r="E233" s="18"/>
      <c r="F233" s="18"/>
      <c r="G233" s="19"/>
      <c r="H233" s="18"/>
      <c r="I233" s="18"/>
      <c r="J233" s="19"/>
      <c r="K233" s="19"/>
    </row>
    <row r="234" spans="1:11" ht="12.95">
      <c r="A234" s="18"/>
      <c r="B234" s="18"/>
      <c r="C234" s="18"/>
      <c r="D234" s="18"/>
      <c r="E234" s="18"/>
      <c r="F234" s="18"/>
      <c r="G234" s="19"/>
      <c r="H234" s="18"/>
      <c r="I234" s="18"/>
      <c r="J234" s="19"/>
      <c r="K234" s="19"/>
    </row>
    <row r="235" spans="1:11" ht="12.95">
      <c r="A235" s="18"/>
      <c r="B235" s="18"/>
      <c r="C235" s="18"/>
      <c r="D235" s="18"/>
      <c r="E235" s="18"/>
      <c r="F235" s="18"/>
      <c r="G235" s="19"/>
      <c r="H235" s="18"/>
      <c r="I235" s="18"/>
      <c r="J235" s="19"/>
      <c r="K235" s="19"/>
    </row>
    <row r="236" spans="1:11" ht="12.95">
      <c r="A236" s="18"/>
      <c r="B236" s="18"/>
      <c r="C236" s="18"/>
      <c r="D236" s="18"/>
      <c r="E236" s="18"/>
      <c r="F236" s="18"/>
      <c r="G236" s="19"/>
      <c r="H236" s="18"/>
      <c r="I236" s="18"/>
      <c r="J236" s="19"/>
      <c r="K236" s="19"/>
    </row>
    <row r="237" spans="1:11" ht="12.95">
      <c r="A237" s="18"/>
      <c r="B237" s="18"/>
      <c r="C237" s="18"/>
      <c r="D237" s="18"/>
      <c r="E237" s="18"/>
      <c r="F237" s="18"/>
      <c r="G237" s="19"/>
      <c r="H237" s="18"/>
      <c r="I237" s="18"/>
      <c r="J237" s="19"/>
      <c r="K237" s="19"/>
    </row>
    <row r="238" spans="1:11" ht="12.95">
      <c r="A238" s="18"/>
      <c r="B238" s="18"/>
      <c r="C238" s="18"/>
      <c r="D238" s="18"/>
      <c r="E238" s="18"/>
      <c r="F238" s="18"/>
      <c r="G238" s="19"/>
      <c r="H238" s="18"/>
      <c r="I238" s="18"/>
      <c r="J238" s="19"/>
      <c r="K238" s="19"/>
    </row>
    <row r="239" spans="1:11" ht="12.95">
      <c r="A239" s="18"/>
      <c r="B239" s="18"/>
      <c r="C239" s="18"/>
      <c r="D239" s="18"/>
      <c r="E239" s="18"/>
      <c r="F239" s="18"/>
      <c r="G239" s="19"/>
      <c r="H239" s="18"/>
      <c r="I239" s="18"/>
      <c r="J239" s="19"/>
      <c r="K239" s="19"/>
    </row>
    <row r="240" spans="1:11" ht="12.95">
      <c r="A240" s="18"/>
      <c r="B240" s="18"/>
      <c r="C240" s="18"/>
      <c r="D240" s="18"/>
      <c r="E240" s="18"/>
      <c r="F240" s="18"/>
      <c r="G240" s="19"/>
      <c r="H240" s="18"/>
      <c r="I240" s="18"/>
      <c r="J240" s="19"/>
      <c r="K240" s="19"/>
    </row>
    <row r="241" spans="1:11" ht="12.95">
      <c r="A241" s="18"/>
      <c r="B241" s="18"/>
      <c r="C241" s="18"/>
      <c r="D241" s="18"/>
      <c r="E241" s="18"/>
      <c r="F241" s="18"/>
      <c r="G241" s="19"/>
      <c r="H241" s="18"/>
      <c r="I241" s="18"/>
      <c r="J241" s="19"/>
      <c r="K241" s="19"/>
    </row>
    <row r="242" spans="1:11" ht="12.95">
      <c r="A242" s="18"/>
      <c r="B242" s="18"/>
      <c r="C242" s="18"/>
      <c r="D242" s="18"/>
      <c r="E242" s="18"/>
      <c r="F242" s="18"/>
      <c r="G242" s="19"/>
      <c r="H242" s="18"/>
      <c r="I242" s="18"/>
      <c r="J242" s="19"/>
      <c r="K242" s="19"/>
    </row>
    <row r="243" spans="1:11" ht="12.95">
      <c r="A243" s="18"/>
      <c r="B243" s="18"/>
      <c r="C243" s="18"/>
      <c r="D243" s="18"/>
      <c r="E243" s="18"/>
      <c r="F243" s="18"/>
      <c r="G243" s="19"/>
      <c r="H243" s="18"/>
      <c r="I243" s="18"/>
      <c r="J243" s="19"/>
      <c r="K243" s="19"/>
    </row>
    <row r="244" spans="1:11" ht="12.95">
      <c r="A244" s="18"/>
      <c r="B244" s="18"/>
      <c r="C244" s="18"/>
      <c r="D244" s="18"/>
      <c r="E244" s="18"/>
      <c r="F244" s="18"/>
      <c r="G244" s="19"/>
      <c r="H244" s="18"/>
      <c r="I244" s="18"/>
      <c r="J244" s="19"/>
      <c r="K244" s="19"/>
    </row>
    <row r="245" spans="1:11" ht="12.95">
      <c r="A245" s="18"/>
      <c r="B245" s="18"/>
      <c r="C245" s="18"/>
      <c r="D245" s="18"/>
      <c r="E245" s="18"/>
      <c r="F245" s="18"/>
      <c r="G245" s="19"/>
      <c r="H245" s="18"/>
      <c r="I245" s="18"/>
      <c r="J245" s="19"/>
      <c r="K245" s="19"/>
    </row>
    <row r="246" spans="1:11" ht="12.95">
      <c r="A246" s="18"/>
      <c r="B246" s="18"/>
      <c r="C246" s="18"/>
      <c r="D246" s="18"/>
      <c r="E246" s="18"/>
      <c r="F246" s="18"/>
      <c r="G246" s="19"/>
      <c r="H246" s="18"/>
      <c r="I246" s="18"/>
      <c r="J246" s="19"/>
      <c r="K246" s="19"/>
    </row>
    <row r="247" spans="1:11" ht="12.95">
      <c r="A247" s="18"/>
      <c r="B247" s="18"/>
      <c r="C247" s="18"/>
      <c r="D247" s="18"/>
      <c r="E247" s="18"/>
      <c r="F247" s="18"/>
      <c r="G247" s="19"/>
      <c r="H247" s="18"/>
      <c r="I247" s="18"/>
      <c r="J247" s="19"/>
      <c r="K247" s="19"/>
    </row>
    <row r="248" spans="1:11" ht="12.95">
      <c r="A248" s="18"/>
      <c r="B248" s="18"/>
      <c r="C248" s="18"/>
      <c r="D248" s="18"/>
      <c r="E248" s="18"/>
      <c r="F248" s="18"/>
      <c r="G248" s="19"/>
      <c r="H248" s="18"/>
      <c r="I248" s="18"/>
      <c r="J248" s="19"/>
      <c r="K248" s="19"/>
    </row>
    <row r="249" spans="1:11" ht="12.95">
      <c r="A249" s="18"/>
      <c r="B249" s="18"/>
      <c r="C249" s="18"/>
      <c r="D249" s="18"/>
      <c r="E249" s="18"/>
      <c r="F249" s="18"/>
      <c r="G249" s="19"/>
      <c r="H249" s="18"/>
      <c r="I249" s="18"/>
      <c r="J249" s="19"/>
      <c r="K249" s="19"/>
    </row>
    <row r="250" spans="1:11" ht="12.95">
      <c r="A250" s="18"/>
      <c r="B250" s="18"/>
      <c r="C250" s="18"/>
      <c r="D250" s="18"/>
      <c r="E250" s="18"/>
      <c r="F250" s="18"/>
      <c r="G250" s="19"/>
      <c r="H250" s="18"/>
      <c r="I250" s="18"/>
      <c r="J250" s="19"/>
      <c r="K250" s="19"/>
    </row>
    <row r="251" spans="1:11" ht="12.95">
      <c r="A251" s="18"/>
      <c r="B251" s="18"/>
      <c r="C251" s="18"/>
      <c r="D251" s="18"/>
      <c r="E251" s="18"/>
      <c r="F251" s="18"/>
      <c r="G251" s="19"/>
      <c r="H251" s="18"/>
      <c r="I251" s="18"/>
      <c r="J251" s="19"/>
      <c r="K251" s="19"/>
    </row>
    <row r="252" spans="1:11" ht="12.95">
      <c r="A252" s="18"/>
      <c r="B252" s="18"/>
      <c r="C252" s="18"/>
      <c r="D252" s="18"/>
      <c r="E252" s="18"/>
      <c r="F252" s="18"/>
      <c r="G252" s="19"/>
      <c r="H252" s="18"/>
      <c r="I252" s="18"/>
      <c r="J252" s="19"/>
      <c r="K252" s="19"/>
    </row>
    <row r="253" spans="1:11" ht="12.95">
      <c r="A253" s="18"/>
      <c r="B253" s="18"/>
      <c r="C253" s="18"/>
      <c r="D253" s="18"/>
      <c r="E253" s="18"/>
      <c r="F253" s="18"/>
      <c r="G253" s="19"/>
      <c r="H253" s="18"/>
      <c r="I253" s="18"/>
      <c r="J253" s="19"/>
      <c r="K253" s="19"/>
    </row>
    <row r="254" spans="1:11" ht="12.95">
      <c r="A254" s="18"/>
      <c r="B254" s="18"/>
      <c r="C254" s="18"/>
      <c r="D254" s="18"/>
      <c r="E254" s="18"/>
      <c r="F254" s="18"/>
      <c r="G254" s="19"/>
      <c r="H254" s="18"/>
      <c r="I254" s="18"/>
      <c r="J254" s="19"/>
      <c r="K254" s="19"/>
    </row>
    <row r="255" spans="1:11" ht="12.95">
      <c r="A255" s="18"/>
      <c r="B255" s="18"/>
      <c r="C255" s="18"/>
      <c r="D255" s="18"/>
      <c r="E255" s="18"/>
      <c r="F255" s="18"/>
      <c r="G255" s="19"/>
      <c r="H255" s="18"/>
      <c r="I255" s="18"/>
      <c r="J255" s="19"/>
      <c r="K255" s="19"/>
    </row>
    <row r="256" spans="1:11" ht="12.95">
      <c r="A256" s="18"/>
      <c r="B256" s="18"/>
      <c r="C256" s="18"/>
      <c r="D256" s="18"/>
      <c r="E256" s="18"/>
      <c r="F256" s="18"/>
      <c r="G256" s="19"/>
      <c r="H256" s="18"/>
      <c r="I256" s="18"/>
      <c r="J256" s="19"/>
      <c r="K256" s="19"/>
    </row>
    <row r="257" spans="1:11" ht="12.95">
      <c r="A257" s="18"/>
      <c r="B257" s="18"/>
      <c r="C257" s="18"/>
      <c r="D257" s="18"/>
      <c r="E257" s="18"/>
      <c r="F257" s="18"/>
      <c r="G257" s="19"/>
      <c r="H257" s="18"/>
      <c r="I257" s="18"/>
      <c r="J257" s="19"/>
      <c r="K257" s="19"/>
    </row>
    <row r="258" spans="1:11" ht="12.95">
      <c r="A258" s="18"/>
      <c r="B258" s="18"/>
      <c r="C258" s="18"/>
      <c r="D258" s="18"/>
      <c r="E258" s="18"/>
      <c r="F258" s="18"/>
      <c r="G258" s="19"/>
      <c r="H258" s="18"/>
      <c r="I258" s="18"/>
      <c r="J258" s="19"/>
      <c r="K258" s="19"/>
    </row>
    <row r="259" spans="1:11" ht="12.95">
      <c r="A259" s="18"/>
      <c r="B259" s="18"/>
      <c r="C259" s="18"/>
      <c r="D259" s="18"/>
      <c r="E259" s="18"/>
      <c r="F259" s="18"/>
      <c r="G259" s="19"/>
      <c r="H259" s="18"/>
      <c r="I259" s="18"/>
      <c r="J259" s="19"/>
      <c r="K259" s="19"/>
    </row>
    <row r="260" spans="1:11" ht="12.95">
      <c r="A260" s="18"/>
      <c r="B260" s="18"/>
      <c r="C260" s="18"/>
      <c r="D260" s="18"/>
      <c r="E260" s="18"/>
      <c r="F260" s="18"/>
      <c r="G260" s="19"/>
      <c r="H260" s="18"/>
      <c r="I260" s="18"/>
      <c r="J260" s="19"/>
      <c r="K260" s="19"/>
    </row>
    <row r="261" spans="1:11" ht="12.95">
      <c r="A261" s="18"/>
      <c r="B261" s="18"/>
      <c r="C261" s="18"/>
      <c r="D261" s="18"/>
      <c r="E261" s="18"/>
      <c r="F261" s="18"/>
      <c r="G261" s="19"/>
      <c r="H261" s="18"/>
      <c r="I261" s="18"/>
      <c r="J261" s="19"/>
      <c r="K261" s="19"/>
    </row>
    <row r="262" spans="1:11" ht="12.95">
      <c r="A262" s="18"/>
      <c r="B262" s="18"/>
      <c r="C262" s="18"/>
      <c r="D262" s="18"/>
      <c r="E262" s="18"/>
      <c r="F262" s="18"/>
      <c r="G262" s="19"/>
      <c r="H262" s="18"/>
      <c r="I262" s="18"/>
      <c r="J262" s="19"/>
      <c r="K262" s="19"/>
    </row>
    <row r="263" spans="1:11" ht="12.95">
      <c r="A263" s="18"/>
      <c r="B263" s="18"/>
      <c r="C263" s="18"/>
      <c r="D263" s="18"/>
      <c r="E263" s="18"/>
      <c r="F263" s="18"/>
      <c r="G263" s="19"/>
      <c r="H263" s="18"/>
      <c r="I263" s="18"/>
      <c r="J263" s="19"/>
      <c r="K263" s="19"/>
    </row>
    <row r="264" spans="1:11" ht="12.95">
      <c r="A264" s="18"/>
      <c r="B264" s="18"/>
      <c r="C264" s="18"/>
      <c r="D264" s="18"/>
      <c r="E264" s="18"/>
      <c r="F264" s="18"/>
      <c r="G264" s="19"/>
      <c r="H264" s="18"/>
      <c r="I264" s="18"/>
      <c r="J264" s="19"/>
      <c r="K264" s="19"/>
    </row>
    <row r="265" spans="1:11" ht="12.95">
      <c r="A265" s="18"/>
      <c r="B265" s="18"/>
      <c r="C265" s="18"/>
      <c r="D265" s="18"/>
      <c r="E265" s="18"/>
      <c r="F265" s="18"/>
      <c r="G265" s="19"/>
      <c r="H265" s="18"/>
      <c r="I265" s="18"/>
      <c r="J265" s="19"/>
      <c r="K265" s="19"/>
    </row>
    <row r="266" spans="1:11" ht="12.95">
      <c r="A266" s="18"/>
      <c r="B266" s="18"/>
      <c r="C266" s="18"/>
      <c r="D266" s="18"/>
      <c r="E266" s="18"/>
      <c r="F266" s="18"/>
      <c r="G266" s="19"/>
      <c r="H266" s="18"/>
      <c r="I266" s="18"/>
      <c r="J266" s="19"/>
      <c r="K266" s="19"/>
    </row>
    <row r="267" spans="1:11" ht="12.95">
      <c r="A267" s="18"/>
      <c r="B267" s="18"/>
      <c r="C267" s="18"/>
      <c r="D267" s="18"/>
      <c r="E267" s="18"/>
      <c r="F267" s="18"/>
      <c r="G267" s="19"/>
      <c r="H267" s="18"/>
      <c r="I267" s="18"/>
      <c r="J267" s="19"/>
      <c r="K267" s="19"/>
    </row>
    <row r="268" spans="1:11" ht="12.95">
      <c r="A268" s="18"/>
      <c r="B268" s="18"/>
      <c r="C268" s="18"/>
      <c r="D268" s="18"/>
      <c r="E268" s="18"/>
      <c r="F268" s="18"/>
      <c r="G268" s="19"/>
      <c r="H268" s="18"/>
      <c r="I268" s="18"/>
      <c r="J268" s="19"/>
      <c r="K268" s="19"/>
    </row>
    <row r="269" spans="1:11" ht="12.95">
      <c r="A269" s="18"/>
      <c r="B269" s="18"/>
      <c r="C269" s="18"/>
      <c r="D269" s="18"/>
      <c r="E269" s="18"/>
      <c r="F269" s="18"/>
      <c r="G269" s="19"/>
      <c r="H269" s="18"/>
      <c r="I269" s="18"/>
      <c r="J269" s="19"/>
      <c r="K269" s="19"/>
    </row>
    <row r="270" spans="1:11" ht="12.95">
      <c r="A270" s="18"/>
      <c r="B270" s="18"/>
      <c r="C270" s="18"/>
      <c r="D270" s="18"/>
      <c r="E270" s="18"/>
      <c r="F270" s="18"/>
      <c r="G270" s="19"/>
      <c r="H270" s="18"/>
      <c r="I270" s="18"/>
      <c r="J270" s="19"/>
      <c r="K270" s="19"/>
    </row>
    <row r="271" spans="1:11" ht="12.95">
      <c r="A271" s="18"/>
      <c r="B271" s="18"/>
      <c r="C271" s="18"/>
      <c r="D271" s="18"/>
      <c r="E271" s="18"/>
      <c r="F271" s="18"/>
      <c r="G271" s="19"/>
      <c r="H271" s="18"/>
      <c r="I271" s="18"/>
      <c r="J271" s="19"/>
      <c r="K271" s="19"/>
    </row>
    <row r="272" spans="1:11" ht="12.95">
      <c r="A272" s="18"/>
      <c r="B272" s="18"/>
      <c r="C272" s="18"/>
      <c r="D272" s="18"/>
      <c r="E272" s="18"/>
      <c r="F272" s="18"/>
      <c r="G272" s="19"/>
      <c r="H272" s="18"/>
      <c r="I272" s="18"/>
      <c r="J272" s="19"/>
      <c r="K272" s="19"/>
    </row>
    <row r="273" spans="1:11" ht="12.95">
      <c r="A273" s="18"/>
      <c r="B273" s="18"/>
      <c r="C273" s="18"/>
      <c r="D273" s="18"/>
      <c r="E273" s="18"/>
      <c r="F273" s="18"/>
      <c r="G273" s="19"/>
      <c r="H273" s="18"/>
      <c r="I273" s="18"/>
      <c r="J273" s="19"/>
      <c r="K273" s="19"/>
    </row>
    <row r="274" spans="1:11" ht="12.95">
      <c r="A274" s="18"/>
      <c r="B274" s="18"/>
      <c r="C274" s="18"/>
      <c r="D274" s="18"/>
      <c r="E274" s="18"/>
      <c r="F274" s="18"/>
      <c r="G274" s="19"/>
      <c r="H274" s="18"/>
      <c r="I274" s="18"/>
      <c r="J274" s="19"/>
      <c r="K274" s="19"/>
    </row>
    <row r="275" spans="1:11" ht="12.95">
      <c r="A275" s="18"/>
      <c r="B275" s="18"/>
      <c r="C275" s="18"/>
      <c r="D275" s="18"/>
      <c r="E275" s="18"/>
      <c r="F275" s="18"/>
      <c r="G275" s="19"/>
      <c r="H275" s="18"/>
      <c r="I275" s="18"/>
      <c r="J275" s="19"/>
      <c r="K275" s="19"/>
    </row>
    <row r="276" spans="1:11" ht="12.95">
      <c r="A276" s="18"/>
      <c r="B276" s="18"/>
      <c r="C276" s="18"/>
      <c r="D276" s="18"/>
      <c r="E276" s="18"/>
      <c r="F276" s="18"/>
      <c r="G276" s="19"/>
      <c r="H276" s="18"/>
      <c r="I276" s="18"/>
      <c r="J276" s="19"/>
      <c r="K276" s="19"/>
    </row>
    <row r="277" spans="1:11" ht="12.95">
      <c r="A277" s="18"/>
      <c r="B277" s="18"/>
      <c r="C277" s="18"/>
      <c r="D277" s="18"/>
      <c r="E277" s="18"/>
      <c r="F277" s="18"/>
      <c r="G277" s="19"/>
      <c r="H277" s="18"/>
      <c r="I277" s="18"/>
      <c r="J277" s="19"/>
      <c r="K277" s="19"/>
    </row>
    <row r="278" spans="1:11" ht="12.95">
      <c r="A278" s="18"/>
      <c r="B278" s="18"/>
      <c r="C278" s="18"/>
      <c r="D278" s="18"/>
      <c r="E278" s="18"/>
      <c r="F278" s="18"/>
      <c r="G278" s="19"/>
      <c r="H278" s="18"/>
      <c r="I278" s="18"/>
      <c r="J278" s="19"/>
      <c r="K278" s="19"/>
    </row>
    <row r="279" spans="1:11" ht="12.95">
      <c r="A279" s="18"/>
      <c r="B279" s="18"/>
      <c r="C279" s="18"/>
      <c r="D279" s="18"/>
      <c r="E279" s="18"/>
      <c r="F279" s="18"/>
      <c r="G279" s="19"/>
      <c r="H279" s="18"/>
      <c r="I279" s="18"/>
      <c r="J279" s="19"/>
      <c r="K279" s="19"/>
    </row>
    <row r="280" spans="1:11" ht="12.95">
      <c r="A280" s="18"/>
      <c r="B280" s="18"/>
      <c r="C280" s="18"/>
      <c r="D280" s="18"/>
      <c r="E280" s="18"/>
      <c r="F280" s="18"/>
      <c r="G280" s="19"/>
      <c r="H280" s="18"/>
      <c r="I280" s="18"/>
      <c r="J280" s="19"/>
      <c r="K280" s="19"/>
    </row>
    <row r="281" spans="1:11" ht="12.95">
      <c r="A281" s="18"/>
      <c r="B281" s="18"/>
      <c r="C281" s="18"/>
      <c r="D281" s="18"/>
      <c r="E281" s="18"/>
      <c r="F281" s="18"/>
      <c r="G281" s="19"/>
      <c r="H281" s="18"/>
      <c r="I281" s="18"/>
      <c r="J281" s="19"/>
      <c r="K281" s="19"/>
    </row>
    <row r="282" spans="1:11" ht="12.95">
      <c r="A282" s="18"/>
      <c r="B282" s="18"/>
      <c r="C282" s="18"/>
      <c r="D282" s="18"/>
      <c r="E282" s="18"/>
      <c r="F282" s="18"/>
      <c r="G282" s="19"/>
      <c r="H282" s="18"/>
      <c r="I282" s="18"/>
      <c r="J282" s="19"/>
      <c r="K282" s="19"/>
    </row>
    <row r="283" spans="1:11" ht="12.95">
      <c r="A283" s="18"/>
      <c r="B283" s="18"/>
      <c r="C283" s="18"/>
      <c r="D283" s="18"/>
      <c r="E283" s="18"/>
      <c r="F283" s="18"/>
      <c r="G283" s="19"/>
      <c r="H283" s="18"/>
      <c r="I283" s="18"/>
      <c r="J283" s="19"/>
      <c r="K283" s="19"/>
    </row>
    <row r="284" spans="1:11" ht="12.95">
      <c r="A284" s="18"/>
      <c r="B284" s="18"/>
      <c r="C284" s="18"/>
      <c r="D284" s="18"/>
      <c r="E284" s="18"/>
      <c r="F284" s="18"/>
      <c r="G284" s="19"/>
      <c r="H284" s="18"/>
      <c r="I284" s="18"/>
      <c r="J284" s="19"/>
      <c r="K284" s="19"/>
    </row>
    <row r="285" spans="1:11" ht="12.95">
      <c r="A285" s="18"/>
      <c r="B285" s="18"/>
      <c r="C285" s="18"/>
      <c r="D285" s="18"/>
      <c r="E285" s="18"/>
      <c r="F285" s="18"/>
      <c r="G285" s="19"/>
      <c r="H285" s="18"/>
      <c r="I285" s="18"/>
      <c r="J285" s="19"/>
      <c r="K285" s="19"/>
    </row>
    <row r="286" spans="1:11" ht="12.95">
      <c r="A286" s="18"/>
      <c r="B286" s="18"/>
      <c r="C286" s="18"/>
      <c r="D286" s="18"/>
      <c r="E286" s="18"/>
      <c r="F286" s="18"/>
      <c r="G286" s="19"/>
      <c r="H286" s="18"/>
      <c r="I286" s="18"/>
      <c r="J286" s="19"/>
      <c r="K286" s="19"/>
    </row>
    <row r="287" spans="1:11" ht="12.95">
      <c r="A287" s="18"/>
      <c r="B287" s="18"/>
      <c r="C287" s="18"/>
      <c r="D287" s="18"/>
      <c r="E287" s="18"/>
      <c r="F287" s="18"/>
      <c r="G287" s="19"/>
      <c r="H287" s="18"/>
      <c r="I287" s="18"/>
      <c r="J287" s="19"/>
      <c r="K287" s="19"/>
    </row>
    <row r="288" spans="1:11" ht="12.95">
      <c r="A288" s="18"/>
      <c r="B288" s="18"/>
      <c r="C288" s="18"/>
      <c r="D288" s="18"/>
      <c r="E288" s="18"/>
      <c r="F288" s="18"/>
      <c r="G288" s="19"/>
      <c r="H288" s="18"/>
      <c r="I288" s="18"/>
      <c r="J288" s="19"/>
      <c r="K288" s="19"/>
    </row>
    <row r="289" spans="1:11" ht="12.95">
      <c r="A289" s="18"/>
      <c r="B289" s="18"/>
      <c r="C289" s="18"/>
      <c r="D289" s="18"/>
      <c r="E289" s="18"/>
      <c r="F289" s="18"/>
      <c r="G289" s="19"/>
      <c r="H289" s="18"/>
      <c r="I289" s="18"/>
      <c r="J289" s="19"/>
      <c r="K289" s="19"/>
    </row>
    <row r="290" spans="1:11" ht="12.95">
      <c r="A290" s="18"/>
      <c r="B290" s="18"/>
      <c r="C290" s="18"/>
      <c r="D290" s="18"/>
      <c r="E290" s="18"/>
      <c r="F290" s="18"/>
      <c r="G290" s="19"/>
      <c r="H290" s="18"/>
      <c r="I290" s="18"/>
      <c r="J290" s="19"/>
      <c r="K290" s="19"/>
    </row>
    <row r="291" spans="1:11" ht="12.95">
      <c r="A291" s="18"/>
      <c r="B291" s="18"/>
      <c r="C291" s="18"/>
      <c r="D291" s="18"/>
      <c r="E291" s="18"/>
      <c r="F291" s="18"/>
      <c r="G291" s="19"/>
      <c r="H291" s="18"/>
      <c r="I291" s="18"/>
      <c r="J291" s="19"/>
      <c r="K291" s="19"/>
    </row>
    <row r="292" spans="1:11" ht="12.95">
      <c r="A292" s="18"/>
      <c r="B292" s="18"/>
      <c r="C292" s="18"/>
      <c r="D292" s="18"/>
      <c r="E292" s="18"/>
      <c r="F292" s="18"/>
      <c r="G292" s="19"/>
      <c r="H292" s="18"/>
      <c r="I292" s="18"/>
      <c r="J292" s="19"/>
      <c r="K292" s="19"/>
    </row>
    <row r="293" spans="1:11" ht="12.95">
      <c r="A293" s="18"/>
      <c r="B293" s="18"/>
      <c r="C293" s="18"/>
      <c r="D293" s="18"/>
      <c r="E293" s="18"/>
      <c r="F293" s="18"/>
      <c r="G293" s="19"/>
      <c r="H293" s="18"/>
      <c r="I293" s="18"/>
      <c r="J293" s="19"/>
      <c r="K293" s="19"/>
    </row>
    <row r="294" spans="1:11" ht="12.95">
      <c r="A294" s="18"/>
      <c r="B294" s="18"/>
      <c r="C294" s="18"/>
      <c r="D294" s="18"/>
      <c r="E294" s="18"/>
      <c r="F294" s="18"/>
      <c r="G294" s="19"/>
      <c r="H294" s="18"/>
      <c r="I294" s="18"/>
      <c r="J294" s="19"/>
      <c r="K294" s="19"/>
    </row>
    <row r="295" spans="1:11" ht="12.95">
      <c r="A295" s="18"/>
      <c r="B295" s="18"/>
      <c r="C295" s="18"/>
      <c r="D295" s="18"/>
      <c r="E295" s="18"/>
      <c r="F295" s="18"/>
      <c r="G295" s="19"/>
      <c r="H295" s="18"/>
      <c r="I295" s="18"/>
      <c r="J295" s="19"/>
      <c r="K295" s="19"/>
    </row>
    <row r="296" spans="1:11" ht="12.95">
      <c r="A296" s="18"/>
      <c r="B296" s="18"/>
      <c r="C296" s="18"/>
      <c r="D296" s="18"/>
      <c r="E296" s="18"/>
      <c r="F296" s="18"/>
      <c r="G296" s="19"/>
      <c r="H296" s="18"/>
      <c r="I296" s="18"/>
      <c r="J296" s="19"/>
      <c r="K296" s="19"/>
    </row>
    <row r="297" spans="1:11" ht="12.95">
      <c r="A297" s="18"/>
      <c r="B297" s="18"/>
      <c r="C297" s="18"/>
      <c r="D297" s="18"/>
      <c r="E297" s="18"/>
      <c r="F297" s="18"/>
      <c r="G297" s="19"/>
      <c r="H297" s="18"/>
      <c r="I297" s="18"/>
      <c r="J297" s="19"/>
      <c r="K297" s="19"/>
    </row>
    <row r="298" spans="1:11" ht="12.95">
      <c r="A298" s="18"/>
      <c r="B298" s="18"/>
      <c r="C298" s="18"/>
      <c r="D298" s="18"/>
      <c r="E298" s="18"/>
      <c r="F298" s="18"/>
      <c r="G298" s="19"/>
      <c r="H298" s="18"/>
      <c r="I298" s="18"/>
      <c r="J298" s="19"/>
      <c r="K298" s="19"/>
    </row>
    <row r="299" spans="1:11" ht="12.95">
      <c r="A299" s="18"/>
      <c r="B299" s="18"/>
      <c r="C299" s="18"/>
      <c r="D299" s="18"/>
      <c r="E299" s="18"/>
      <c r="F299" s="18"/>
      <c r="G299" s="19"/>
      <c r="H299" s="18"/>
      <c r="I299" s="18"/>
      <c r="J299" s="19"/>
      <c r="K299" s="19"/>
    </row>
    <row r="300" spans="1:11" ht="12.95">
      <c r="A300" s="18"/>
      <c r="B300" s="18"/>
      <c r="C300" s="18"/>
      <c r="D300" s="18"/>
      <c r="E300" s="18"/>
      <c r="F300" s="18"/>
      <c r="G300" s="19"/>
      <c r="H300" s="18"/>
      <c r="I300" s="18"/>
      <c r="J300" s="19"/>
      <c r="K300" s="19"/>
    </row>
    <row r="301" spans="1:11" ht="12.95">
      <c r="A301" s="18"/>
      <c r="B301" s="18"/>
      <c r="C301" s="18"/>
      <c r="D301" s="18"/>
      <c r="E301" s="18"/>
      <c r="F301" s="18"/>
      <c r="G301" s="19"/>
      <c r="H301" s="18"/>
      <c r="I301" s="18"/>
      <c r="J301" s="19"/>
      <c r="K301" s="19"/>
    </row>
    <row r="302" spans="1:11" ht="12.95">
      <c r="A302" s="18"/>
      <c r="B302" s="18"/>
      <c r="C302" s="18"/>
      <c r="D302" s="18"/>
      <c r="E302" s="18"/>
      <c r="F302" s="18"/>
      <c r="G302" s="19"/>
      <c r="H302" s="18"/>
      <c r="I302" s="18"/>
      <c r="J302" s="19"/>
      <c r="K302" s="19"/>
    </row>
    <row r="303" spans="1:11" ht="12.95">
      <c r="A303" s="18"/>
      <c r="B303" s="18"/>
      <c r="C303" s="18"/>
      <c r="D303" s="18"/>
      <c r="E303" s="18"/>
      <c r="F303" s="18"/>
      <c r="G303" s="19"/>
      <c r="H303" s="18"/>
      <c r="I303" s="18"/>
      <c r="J303" s="19"/>
      <c r="K303" s="19"/>
    </row>
    <row r="304" spans="1:11" ht="12.95">
      <c r="A304" s="18"/>
      <c r="B304" s="18"/>
      <c r="C304" s="18"/>
      <c r="D304" s="18"/>
      <c r="E304" s="18"/>
      <c r="F304" s="18"/>
      <c r="G304" s="19"/>
      <c r="H304" s="18"/>
      <c r="I304" s="18"/>
      <c r="J304" s="19"/>
      <c r="K304" s="19"/>
    </row>
    <row r="305" spans="1:11" ht="12.95">
      <c r="A305" s="18"/>
      <c r="B305" s="18"/>
      <c r="C305" s="18"/>
      <c r="D305" s="18"/>
      <c r="E305" s="18"/>
      <c r="F305" s="18"/>
      <c r="G305" s="19"/>
      <c r="H305" s="18"/>
      <c r="I305" s="18"/>
      <c r="J305" s="19"/>
      <c r="K305" s="19"/>
    </row>
    <row r="306" spans="1:11" ht="12.95">
      <c r="A306" s="18"/>
      <c r="B306" s="18"/>
      <c r="C306" s="18"/>
      <c r="D306" s="18"/>
      <c r="E306" s="18"/>
      <c r="F306" s="18"/>
      <c r="G306" s="19"/>
      <c r="H306" s="18"/>
      <c r="I306" s="18"/>
      <c r="J306" s="19"/>
      <c r="K306" s="19"/>
    </row>
    <row r="307" spans="1:11" ht="12.95">
      <c r="A307" s="18"/>
      <c r="B307" s="18"/>
      <c r="C307" s="18"/>
      <c r="D307" s="18"/>
      <c r="E307" s="18"/>
      <c r="F307" s="18"/>
      <c r="G307" s="19"/>
      <c r="H307" s="18"/>
      <c r="I307" s="18"/>
      <c r="J307" s="19"/>
      <c r="K307" s="19"/>
    </row>
    <row r="308" spans="1:11" ht="12.95">
      <c r="A308" s="18"/>
      <c r="B308" s="18"/>
      <c r="C308" s="18"/>
      <c r="D308" s="18"/>
      <c r="E308" s="18"/>
      <c r="F308" s="18"/>
      <c r="G308" s="19"/>
      <c r="H308" s="18"/>
      <c r="I308" s="18"/>
      <c r="J308" s="19"/>
      <c r="K308" s="19"/>
    </row>
    <row r="309" spans="1:11" ht="12.95">
      <c r="A309" s="18"/>
      <c r="B309" s="18"/>
      <c r="C309" s="18"/>
      <c r="D309" s="18"/>
      <c r="E309" s="18"/>
      <c r="F309" s="18"/>
      <c r="G309" s="19"/>
      <c r="H309" s="18"/>
      <c r="I309" s="18"/>
      <c r="J309" s="19"/>
      <c r="K309" s="19"/>
    </row>
    <row r="310" spans="1:11" ht="12.95">
      <c r="A310" s="18"/>
      <c r="B310" s="18"/>
      <c r="C310" s="18"/>
      <c r="D310" s="18"/>
      <c r="E310" s="18"/>
      <c r="F310" s="18"/>
      <c r="G310" s="19"/>
      <c r="H310" s="18"/>
      <c r="I310" s="18"/>
      <c r="J310" s="19"/>
      <c r="K310" s="19"/>
    </row>
    <row r="311" spans="1:11" ht="12.95">
      <c r="A311" s="18"/>
      <c r="B311" s="18"/>
      <c r="C311" s="18"/>
      <c r="D311" s="18"/>
      <c r="E311" s="18"/>
      <c r="F311" s="18"/>
      <c r="G311" s="19"/>
      <c r="H311" s="18"/>
      <c r="I311" s="18"/>
      <c r="J311" s="19"/>
      <c r="K311" s="19"/>
    </row>
    <row r="312" spans="1:11" ht="12.95">
      <c r="A312" s="18"/>
      <c r="B312" s="18"/>
      <c r="C312" s="18"/>
      <c r="D312" s="18"/>
      <c r="E312" s="18"/>
      <c r="F312" s="18"/>
      <c r="G312" s="19"/>
      <c r="H312" s="18"/>
      <c r="I312" s="18"/>
      <c r="J312" s="19"/>
      <c r="K312" s="19"/>
    </row>
    <row r="313" spans="1:11" ht="12.95">
      <c r="A313" s="18"/>
      <c r="B313" s="18"/>
      <c r="C313" s="18"/>
      <c r="D313" s="18"/>
      <c r="E313" s="18"/>
      <c r="F313" s="18"/>
      <c r="G313" s="19"/>
      <c r="H313" s="18"/>
      <c r="I313" s="18"/>
      <c r="J313" s="19"/>
      <c r="K313" s="19"/>
    </row>
    <row r="314" spans="1:11" ht="12.95">
      <c r="A314" s="18"/>
      <c r="B314" s="18"/>
      <c r="C314" s="18"/>
      <c r="D314" s="18"/>
      <c r="E314" s="18"/>
      <c r="F314" s="18"/>
      <c r="G314" s="19"/>
      <c r="H314" s="18"/>
      <c r="I314" s="18"/>
      <c r="J314" s="19"/>
      <c r="K314" s="19"/>
    </row>
    <row r="315" spans="1:11" ht="12.95">
      <c r="A315" s="18"/>
      <c r="B315" s="18"/>
      <c r="C315" s="18"/>
      <c r="D315" s="18"/>
      <c r="E315" s="18"/>
      <c r="F315" s="18"/>
      <c r="G315" s="19"/>
      <c r="H315" s="18"/>
      <c r="I315" s="18"/>
      <c r="J315" s="19"/>
      <c r="K315" s="19"/>
    </row>
    <row r="316" spans="1:11" ht="12.95">
      <c r="A316" s="18"/>
      <c r="B316" s="18"/>
      <c r="C316" s="18"/>
      <c r="D316" s="18"/>
      <c r="E316" s="18"/>
      <c r="F316" s="18"/>
      <c r="G316" s="19"/>
      <c r="H316" s="18"/>
      <c r="I316" s="18"/>
      <c r="J316" s="19"/>
      <c r="K316" s="19"/>
    </row>
    <row r="317" spans="1:11" ht="12.95">
      <c r="A317" s="18"/>
      <c r="B317" s="18"/>
      <c r="C317" s="18"/>
      <c r="D317" s="18"/>
      <c r="E317" s="18"/>
      <c r="F317" s="18"/>
      <c r="G317" s="19"/>
      <c r="H317" s="18"/>
      <c r="I317" s="18"/>
      <c r="J317" s="19"/>
      <c r="K317" s="19"/>
    </row>
    <row r="318" spans="1:11" ht="12.95">
      <c r="A318" s="18"/>
      <c r="B318" s="18"/>
      <c r="C318" s="18"/>
      <c r="D318" s="18"/>
      <c r="E318" s="18"/>
      <c r="F318" s="18"/>
      <c r="G318" s="19"/>
      <c r="H318" s="18"/>
      <c r="I318" s="18"/>
      <c r="J318" s="19"/>
      <c r="K318" s="19"/>
    </row>
    <row r="319" spans="1:11" ht="12.95">
      <c r="A319" s="18"/>
      <c r="B319" s="18"/>
      <c r="C319" s="18"/>
      <c r="D319" s="18"/>
      <c r="E319" s="18"/>
      <c r="F319" s="18"/>
      <c r="G319" s="19"/>
      <c r="H319" s="18"/>
      <c r="I319" s="18"/>
      <c r="J319" s="19"/>
      <c r="K319" s="19"/>
    </row>
    <row r="320" spans="1:11" ht="12.95">
      <c r="A320" s="18"/>
      <c r="B320" s="18"/>
      <c r="C320" s="18"/>
      <c r="D320" s="18"/>
      <c r="E320" s="18"/>
      <c r="F320" s="18"/>
      <c r="G320" s="19"/>
      <c r="H320" s="18"/>
      <c r="I320" s="18"/>
      <c r="J320" s="19"/>
      <c r="K320" s="19"/>
    </row>
    <row r="321" spans="1:11" ht="12.95">
      <c r="A321" s="18"/>
      <c r="B321" s="18"/>
      <c r="C321" s="18"/>
      <c r="D321" s="18"/>
      <c r="E321" s="18"/>
      <c r="F321" s="18"/>
      <c r="G321" s="19"/>
      <c r="H321" s="18"/>
      <c r="I321" s="18"/>
      <c r="J321" s="19"/>
      <c r="K321" s="19"/>
    </row>
    <row r="322" spans="1:11" ht="12.95">
      <c r="A322" s="18"/>
      <c r="B322" s="18"/>
      <c r="C322" s="18"/>
      <c r="D322" s="18"/>
      <c r="E322" s="18"/>
      <c r="F322" s="18"/>
      <c r="G322" s="19"/>
      <c r="H322" s="18"/>
      <c r="I322" s="18"/>
      <c r="J322" s="19"/>
      <c r="K322" s="19"/>
    </row>
    <row r="323" spans="1:11" ht="12.95">
      <c r="A323" s="18"/>
      <c r="B323" s="18"/>
      <c r="C323" s="18"/>
      <c r="D323" s="18"/>
      <c r="E323" s="18"/>
      <c r="F323" s="18"/>
      <c r="G323" s="19"/>
      <c r="H323" s="18"/>
      <c r="I323" s="18"/>
      <c r="J323" s="19"/>
      <c r="K323" s="19"/>
    </row>
    <row r="324" spans="1:11" ht="12.95">
      <c r="A324" s="18"/>
      <c r="B324" s="18"/>
      <c r="C324" s="18"/>
      <c r="D324" s="18"/>
      <c r="E324" s="18"/>
      <c r="F324" s="18"/>
      <c r="G324" s="19"/>
      <c r="H324" s="18"/>
      <c r="I324" s="18"/>
      <c r="J324" s="19"/>
      <c r="K324" s="19"/>
    </row>
    <row r="325" spans="1:11" ht="12.95">
      <c r="A325" s="18"/>
      <c r="B325" s="18"/>
      <c r="C325" s="18"/>
      <c r="D325" s="18"/>
      <c r="E325" s="18"/>
      <c r="F325" s="18"/>
      <c r="G325" s="19"/>
      <c r="H325" s="18"/>
      <c r="I325" s="18"/>
      <c r="J325" s="19"/>
      <c r="K325" s="19"/>
    </row>
    <row r="326" spans="1:11" ht="12.95">
      <c r="A326" s="18"/>
      <c r="B326" s="18"/>
      <c r="C326" s="18"/>
      <c r="D326" s="18"/>
      <c r="E326" s="18"/>
      <c r="F326" s="18"/>
      <c r="G326" s="19"/>
      <c r="H326" s="18"/>
      <c r="I326" s="18"/>
      <c r="J326" s="19"/>
      <c r="K326" s="19"/>
    </row>
    <row r="327" spans="1:11" ht="12.95">
      <c r="A327" s="18"/>
      <c r="B327" s="18"/>
      <c r="C327" s="18"/>
      <c r="D327" s="18"/>
      <c r="E327" s="18"/>
      <c r="F327" s="18"/>
      <c r="G327" s="19"/>
      <c r="H327" s="18"/>
      <c r="I327" s="18"/>
      <c r="J327" s="19"/>
      <c r="K327" s="19"/>
    </row>
    <row r="328" spans="1:11" ht="12.95">
      <c r="A328" s="18"/>
      <c r="B328" s="18"/>
      <c r="C328" s="18"/>
      <c r="D328" s="18"/>
      <c r="E328" s="18"/>
      <c r="F328" s="18"/>
      <c r="G328" s="19"/>
      <c r="H328" s="18"/>
      <c r="I328" s="18"/>
      <c r="J328" s="19"/>
      <c r="K328" s="19"/>
    </row>
    <row r="329" spans="1:11" ht="12.95">
      <c r="A329" s="18"/>
      <c r="B329" s="18"/>
      <c r="C329" s="18"/>
      <c r="D329" s="18"/>
      <c r="E329" s="18"/>
      <c r="F329" s="18"/>
      <c r="G329" s="19"/>
      <c r="H329" s="18"/>
      <c r="I329" s="18"/>
      <c r="J329" s="19"/>
      <c r="K329" s="19"/>
    </row>
    <row r="330" spans="1:11" ht="12.95">
      <c r="A330" s="18"/>
      <c r="B330" s="18"/>
      <c r="C330" s="18"/>
      <c r="D330" s="18"/>
      <c r="E330" s="18"/>
      <c r="F330" s="18"/>
      <c r="G330" s="19"/>
      <c r="H330" s="18"/>
      <c r="I330" s="18"/>
      <c r="J330" s="19"/>
      <c r="K330" s="19"/>
    </row>
    <row r="331" spans="1:11" ht="12.95">
      <c r="A331" s="18"/>
      <c r="B331" s="18"/>
      <c r="C331" s="18"/>
      <c r="D331" s="18"/>
      <c r="E331" s="18"/>
      <c r="F331" s="18"/>
      <c r="G331" s="19"/>
      <c r="H331" s="18"/>
      <c r="I331" s="18"/>
      <c r="J331" s="19"/>
      <c r="K331" s="19"/>
    </row>
    <row r="332" spans="1:11" ht="12.95">
      <c r="A332" s="18"/>
      <c r="B332" s="18"/>
      <c r="C332" s="18"/>
      <c r="D332" s="18"/>
      <c r="E332" s="18"/>
      <c r="F332" s="18"/>
      <c r="G332" s="19"/>
      <c r="H332" s="18"/>
      <c r="I332" s="18"/>
      <c r="J332" s="19"/>
      <c r="K332" s="19"/>
    </row>
    <row r="333" spans="1:11" ht="12.95">
      <c r="A333" s="18"/>
      <c r="B333" s="18"/>
      <c r="C333" s="18"/>
      <c r="D333" s="18"/>
      <c r="E333" s="18"/>
      <c r="F333" s="18"/>
      <c r="G333" s="19"/>
      <c r="H333" s="18"/>
      <c r="I333" s="18"/>
      <c r="J333" s="19"/>
      <c r="K333" s="19"/>
    </row>
    <row r="334" spans="1:11" ht="12.95">
      <c r="A334" s="18"/>
      <c r="B334" s="18"/>
      <c r="C334" s="18"/>
      <c r="D334" s="18"/>
      <c r="E334" s="18"/>
      <c r="F334" s="18"/>
      <c r="G334" s="19"/>
      <c r="H334" s="18"/>
      <c r="I334" s="18"/>
      <c r="J334" s="19"/>
      <c r="K334" s="19"/>
    </row>
    <row r="335" spans="1:11" ht="12.95">
      <c r="A335" s="18"/>
      <c r="B335" s="18"/>
      <c r="C335" s="18"/>
      <c r="D335" s="18"/>
      <c r="E335" s="18"/>
      <c r="F335" s="18"/>
      <c r="G335" s="19"/>
      <c r="H335" s="18"/>
      <c r="I335" s="18"/>
      <c r="J335" s="19"/>
      <c r="K335" s="19"/>
    </row>
    <row r="336" spans="1:11" ht="12.95">
      <c r="A336" s="18"/>
      <c r="B336" s="18"/>
      <c r="C336" s="18"/>
      <c r="D336" s="18"/>
      <c r="E336" s="18"/>
      <c r="F336" s="18"/>
      <c r="G336" s="19"/>
      <c r="H336" s="18"/>
      <c r="I336" s="18"/>
      <c r="J336" s="19"/>
      <c r="K336" s="19"/>
    </row>
    <row r="337" spans="1:11" ht="12.95">
      <c r="A337" s="18"/>
      <c r="B337" s="18"/>
      <c r="C337" s="18"/>
      <c r="D337" s="18"/>
      <c r="E337" s="18"/>
      <c r="F337" s="18"/>
      <c r="G337" s="19"/>
      <c r="H337" s="18"/>
      <c r="I337" s="18"/>
      <c r="J337" s="19"/>
      <c r="K337" s="19"/>
    </row>
    <row r="338" spans="1:11" ht="12.95">
      <c r="A338" s="18"/>
      <c r="B338" s="18"/>
      <c r="C338" s="18"/>
      <c r="D338" s="18"/>
      <c r="E338" s="18"/>
      <c r="F338" s="18"/>
      <c r="G338" s="19"/>
      <c r="H338" s="18"/>
      <c r="I338" s="18"/>
      <c r="J338" s="19"/>
      <c r="K338" s="19"/>
    </row>
    <row r="339" spans="1:11" ht="12.95">
      <c r="A339" s="18"/>
      <c r="B339" s="18"/>
      <c r="C339" s="18"/>
      <c r="D339" s="18"/>
      <c r="E339" s="18"/>
      <c r="F339" s="18"/>
      <c r="G339" s="19"/>
      <c r="H339" s="18"/>
      <c r="I339" s="18"/>
      <c r="J339" s="19"/>
      <c r="K339" s="19"/>
    </row>
    <row r="340" spans="1:11" ht="12.95">
      <c r="A340" s="18"/>
      <c r="B340" s="18"/>
      <c r="C340" s="18"/>
      <c r="D340" s="18"/>
      <c r="E340" s="18"/>
      <c r="F340" s="18"/>
      <c r="G340" s="19"/>
      <c r="H340" s="18"/>
      <c r="I340" s="18"/>
      <c r="J340" s="19"/>
      <c r="K340" s="19"/>
    </row>
    <row r="341" spans="1:11" ht="12.95">
      <c r="A341" s="18"/>
      <c r="B341" s="18"/>
      <c r="C341" s="18"/>
      <c r="D341" s="18"/>
      <c r="E341" s="18"/>
      <c r="F341" s="18"/>
      <c r="G341" s="19"/>
      <c r="H341" s="18"/>
      <c r="I341" s="18"/>
      <c r="J341" s="19"/>
      <c r="K341" s="19"/>
    </row>
    <row r="342" spans="1:11" ht="12.95">
      <c r="A342" s="18"/>
      <c r="B342" s="18"/>
      <c r="C342" s="18"/>
      <c r="D342" s="18"/>
      <c r="E342" s="18"/>
      <c r="F342" s="18"/>
      <c r="G342" s="19"/>
      <c r="H342" s="18"/>
      <c r="I342" s="18"/>
      <c r="J342" s="19"/>
      <c r="K342" s="19"/>
    </row>
  </sheetData>
  <mergeCells count="4">
    <mergeCell ref="H1:J1"/>
    <mergeCell ref="A1:D1"/>
    <mergeCell ref="E1:G1"/>
    <mergeCell ref="A2:B2"/>
  </mergeCells>
  <conditionalFormatting sqref="G2">
    <cfRule type="cellIs" dxfId="118" priority="7" stopIfTrue="1" operator="lessThanOrEqual">
      <formula>-0.1</formula>
    </cfRule>
    <cfRule type="expression" dxfId="117" priority="8">
      <formula>AND(ISNUMBER(G2), G2&gt;=0.1)</formula>
    </cfRule>
  </conditionalFormatting>
  <conditionalFormatting sqref="G4:G161 J4:J161">
    <cfRule type="cellIs" dxfId="116" priority="5" stopIfTrue="1" operator="lessThanOrEqual">
      <formula>-0.1</formula>
    </cfRule>
    <cfRule type="expression" dxfId="115" priority="6">
      <formula>AND(ISNUMBER(G4), G4&gt;=0.1)</formula>
    </cfRule>
  </conditionalFormatting>
  <conditionalFormatting sqref="J2:K2">
    <cfRule type="cellIs" dxfId="114" priority="3" stopIfTrue="1" operator="lessThanOrEqual">
      <formula>-0.1</formula>
    </cfRule>
    <cfRule type="expression" dxfId="113" priority="4">
      <formula>AND(ISNUMBER(J2), J2&gt;=0.1)</formula>
    </cfRule>
  </conditionalFormatting>
  <conditionalFormatting sqref="K4:K161">
    <cfRule type="expression" dxfId="112" priority="1" stopIfTrue="1">
      <formula>AND(K4&lt;&gt;"",K4&lt;0.975)</formula>
    </cfRule>
    <cfRule type="expression" dxfId="111" priority="2">
      <formula>AND(ISNUMBER(K4), K4&gt;=0.985)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M342"/>
  <sheetViews>
    <sheetView workbookViewId="0">
      <pane xSplit="2" ySplit="3" topLeftCell="C127" activePane="bottomRight" state="frozen"/>
      <selection pane="bottomRight" activeCell="K3" sqref="K3"/>
      <selection pane="bottomLeft" activeCell="C2" sqref="C1:C1048576"/>
      <selection pane="topRight" activeCell="C2" sqref="C1:C1048576"/>
    </sheetView>
  </sheetViews>
  <sheetFormatPr defaultRowHeight="12.6"/>
  <cols>
    <col min="1" max="1" width="35.85546875" bestFit="1" customWidth="1"/>
    <col min="2" max="3" width="8.42578125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8.5703125" style="1" customWidth="1"/>
  </cols>
  <sheetData>
    <row r="1" spans="1:13" ht="19.5" customHeight="1">
      <c r="A1" s="111" t="str" cm="1">
        <f t="array" ref="A1">portfolio</f>
        <v>Generate Capital</v>
      </c>
      <c r="B1" s="111"/>
      <c r="C1" s="111"/>
      <c r="D1" s="111"/>
      <c r="E1" s="112" t="s">
        <v>24</v>
      </c>
      <c r="F1" s="112"/>
      <c r="G1" s="112"/>
      <c r="H1" s="110" t="s">
        <v>25</v>
      </c>
      <c r="I1" s="110"/>
      <c r="J1" s="110"/>
      <c r="K1" s="107" t="s">
        <v>26</v>
      </c>
    </row>
    <row r="2" spans="1:13" ht="19.5" customHeight="1">
      <c r="A2" s="113" t="s">
        <v>3</v>
      </c>
      <c r="B2" s="113"/>
      <c r="C2" s="72"/>
      <c r="D2" s="6">
        <f>SUM(D4:D100)</f>
        <v>3619914.08877709</v>
      </c>
      <c r="E2" s="6">
        <f>SUM(E4:E100)</f>
        <v>3732929.8430000003</v>
      </c>
      <c r="F2" s="6">
        <f>D2-E2</f>
        <v>-113015.75422291039</v>
      </c>
      <c r="G2" s="7">
        <f>IFERROR(F2/E2, 0)</f>
        <v>-3.0275349116147418E-2</v>
      </c>
      <c r="H2" s="6">
        <f>SUM(H4:H100)</f>
        <v>3268905.6843999997</v>
      </c>
      <c r="I2" s="8">
        <f>D2-H2</f>
        <v>351008.40437709028</v>
      </c>
      <c r="J2" s="7">
        <f>IFERROR(I2/H2, 0)</f>
        <v>0.10737795405116349</v>
      </c>
      <c r="K2" s="108"/>
    </row>
    <row r="3" spans="1:13" ht="14.25" customHeight="1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f>SUM(Oct!D4, Nov!D4, Dec!D4)</f>
        <v>12351.9945522076</v>
      </c>
      <c r="E4" s="11">
        <f>SUM(Oct!E4, Nov!E4, Dec!E4)</f>
        <v>7795.5559999999996</v>
      </c>
      <c r="F4" s="11">
        <f>IF(AND(ISNUMBER(D4),ISNUMBER(E4)), D4-E4, "")</f>
        <v>4556.4385522076</v>
      </c>
      <c r="G4" s="12">
        <f>IFERROR(F4/E4, "")</f>
        <v>0.58449179920041627</v>
      </c>
      <c r="H4" s="13">
        <f>SUM(Oct!H4,Nov!H4,Dec!H4)</f>
        <v>11404.3</v>
      </c>
      <c r="I4" s="13">
        <f>SUM(Oct!I4, Nov!I4, Dec!I4)</f>
        <v>947.69455220760028</v>
      </c>
      <c r="J4" s="14">
        <f>IFERROR(I4/H4, "")</f>
        <v>8.3099756425874485E-2</v>
      </c>
      <c r="K4" s="14">
        <f>IFERROR(AVERAGE(Oct!K4, Nov!K4, Dec!K4),"")</f>
        <v>1</v>
      </c>
      <c r="L4" s="38"/>
      <c r="M4" s="38"/>
    </row>
    <row r="5" spans="1:13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f>SUM(Oct!D5, Nov!D5, Dec!D5)</f>
        <v>36511</v>
      </c>
      <c r="E5" s="15">
        <f>SUM(Oct!E5, Nov!E5, Dec!E5)</f>
        <v>44132.79</v>
      </c>
      <c r="F5" s="15">
        <f t="shared" ref="F5:F15" si="0">IF(AND(ISNUMBER(D5),ISNUMBER(E5)), D5-E5, "")</f>
        <v>-7621.7900000000009</v>
      </c>
      <c r="G5" s="16">
        <f>IFERROR(F5/E5, "")</f>
        <v>-0.1727012953407206</v>
      </c>
      <c r="H5" s="17">
        <f>SUM(Oct!H5,Nov!H5,Dec!H5)</f>
        <v>49048.38</v>
      </c>
      <c r="I5" s="17">
        <f>SUM(Oct!I5, Nov!I5, Dec!I5)</f>
        <v>-12537.379999999997</v>
      </c>
      <c r="J5" s="16">
        <f>IFERROR(I5/H5, "")</f>
        <v>-0.25561251972032506</v>
      </c>
      <c r="K5" s="14">
        <f>IFERROR(AVERAGE(Oct!K5, Nov!K5, Dec!K5),"")</f>
        <v>0.966893</v>
      </c>
      <c r="L5" s="39"/>
      <c r="M5" s="39"/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f>SUM(Oct!D6, Nov!D6, Dec!D6)</f>
        <v>20557.6878803281</v>
      </c>
      <c r="E6" s="11">
        <f>SUM(Oct!E6, Nov!E6, Dec!E6)</f>
        <v>0</v>
      </c>
      <c r="F6" s="11">
        <f t="shared" si="0"/>
        <v>20557.6878803281</v>
      </c>
      <c r="G6" s="12" t="str">
        <f t="shared" ref="G6:G15" si="1">IFERROR(F6/E6, "")</f>
        <v/>
      </c>
      <c r="H6" s="13">
        <f>SUM(Oct!H6,Nov!H6,Dec!H6)</f>
        <v>17712</v>
      </c>
      <c r="I6" s="13">
        <f>SUM(Oct!I6, Nov!I6, Dec!I6)</f>
        <v>2845.6878803280997</v>
      </c>
      <c r="J6" s="14">
        <f t="shared" ref="J6:J15" si="2">IFERROR(I6/H6, "")</f>
        <v>0.16066440155420617</v>
      </c>
      <c r="K6" s="14">
        <f>IFERROR(AVERAGE(Oct!K6, Nov!K6, Dec!K6),"")</f>
        <v>0.5</v>
      </c>
      <c r="L6" s="38"/>
      <c r="M6" s="38"/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f>SUM(Oct!D7, Nov!D7, Dec!D7)</f>
        <v>10837.6804682654</v>
      </c>
      <c r="E7" s="15">
        <f>SUM(Oct!E7, Nov!E7, Dec!E7)</f>
        <v>13076.94</v>
      </c>
      <c r="F7" s="15">
        <f t="shared" si="0"/>
        <v>-2239.2595317346004</v>
      </c>
      <c r="G7" s="16">
        <f t="shared" si="1"/>
        <v>-0.1712372720020586</v>
      </c>
      <c r="H7" s="17">
        <f>SUM(Oct!H7,Nov!H7,Dec!H7)</f>
        <v>12737.2</v>
      </c>
      <c r="I7" s="17">
        <f>SUM(Oct!I7, Nov!I7, Dec!I7)</f>
        <v>-1899.5195317346006</v>
      </c>
      <c r="J7" s="16">
        <f t="shared" si="2"/>
        <v>-0.14913164052810668</v>
      </c>
      <c r="K7" s="14">
        <f>IFERROR(AVERAGE(Oct!K7, Nov!K7, Dec!K7),"")</f>
        <v>0.93548389999999992</v>
      </c>
      <c r="L7" s="39"/>
      <c r="M7" s="40"/>
    </row>
    <row r="8" spans="1:13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f>SUM(Oct!D8, Nov!D8, Dec!D8)</f>
        <v>30411.606964904098</v>
      </c>
      <c r="E8" s="11">
        <f>SUM(Oct!E8, Nov!E8, Dec!E8)</f>
        <v>23393.97</v>
      </c>
      <c r="F8" s="11">
        <f t="shared" si="0"/>
        <v>7017.6369649040971</v>
      </c>
      <c r="G8" s="12">
        <f t="shared" si="1"/>
        <v>0.29997631718362028</v>
      </c>
      <c r="H8" s="13">
        <f>SUM(Oct!H8,Nov!H8,Dec!H8)</f>
        <v>26091.55</v>
      </c>
      <c r="I8" s="13">
        <f>SUM(Oct!I8, Nov!I8, Dec!I8)</f>
        <v>4320.056964904099</v>
      </c>
      <c r="J8" s="14">
        <f t="shared" si="2"/>
        <v>0.16557302900380005</v>
      </c>
      <c r="K8" s="14">
        <f>IFERROR(AVERAGE(Oct!K8, Nov!K8, Dec!K8),"")</f>
        <v>0.99563059999999992</v>
      </c>
      <c r="L8" s="38"/>
      <c r="M8" s="38"/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f>SUM(Oct!D9, Nov!D9, Dec!D9)</f>
        <v>27137.3811507022</v>
      </c>
      <c r="E9" s="15">
        <f>SUM(Oct!E9, Nov!E9, Dec!E9)</f>
        <v>17170.78</v>
      </c>
      <c r="F9" s="15">
        <f t="shared" si="0"/>
        <v>9966.6011507022013</v>
      </c>
      <c r="G9" s="16">
        <f t="shared" si="1"/>
        <v>0.58043962771069235</v>
      </c>
      <c r="H9" s="17">
        <f>SUM(Oct!H9,Nov!H9,Dec!H9)</f>
        <v>27166.91</v>
      </c>
      <c r="I9" s="17">
        <f>SUM(Oct!I9, Nov!I9, Dec!I9)</f>
        <v>-29.528849297799752</v>
      </c>
      <c r="J9" s="16">
        <f t="shared" si="2"/>
        <v>-1.0869417720970015E-3</v>
      </c>
      <c r="K9" s="14">
        <f>IFERROR(AVERAGE(Oct!K9, Nov!K9, Dec!K9),"")</f>
        <v>1</v>
      </c>
      <c r="L9" s="39"/>
      <c r="M9" s="40"/>
    </row>
    <row r="10" spans="1:13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f>SUM(Oct!D10, Nov!D10, Dec!D10)</f>
        <v>10499.2429555116</v>
      </c>
      <c r="E10" s="11">
        <f>SUM(Oct!E10, Nov!E10, Dec!E10)</f>
        <v>7069.3389999999999</v>
      </c>
      <c r="F10" s="11">
        <f t="shared" si="0"/>
        <v>3429.9039555115996</v>
      </c>
      <c r="G10" s="12">
        <f t="shared" si="1"/>
        <v>0.48518029132732204</v>
      </c>
      <c r="H10" s="13">
        <f>SUM(Oct!H10,Nov!H10,Dec!H10)</f>
        <v>11116</v>
      </c>
      <c r="I10" s="13">
        <f>SUM(Oct!I10, Nov!I10, Dec!I10)</f>
        <v>-616.75704448840042</v>
      </c>
      <c r="J10" s="14">
        <f t="shared" si="2"/>
        <v>-5.5483721166642713E-2</v>
      </c>
      <c r="K10" s="14">
        <f>IFERROR(AVERAGE(Oct!K10, Nov!K10, Dec!K10),"")</f>
        <v>0.93548389999999992</v>
      </c>
      <c r="L10" s="38"/>
      <c r="M10" s="38"/>
    </row>
    <row r="11" spans="1:13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f>SUM(Oct!D11, Nov!D11, Dec!D11)</f>
        <v>7069.2121648334096</v>
      </c>
      <c r="E11" s="15">
        <f>SUM(Oct!E11, Nov!E11, Dec!E11)</f>
        <v>0</v>
      </c>
      <c r="F11" s="15">
        <f t="shared" si="0"/>
        <v>7069.2121648334096</v>
      </c>
      <c r="G11" s="16" t="str">
        <f t="shared" si="1"/>
        <v/>
      </c>
      <c r="H11" s="17">
        <f>SUM(Oct!H11,Nov!H11,Dec!H11)</f>
        <v>8221</v>
      </c>
      <c r="I11" s="17">
        <f>SUM(Oct!I11, Nov!I11, Dec!I11)</f>
        <v>-1151.7878351665904</v>
      </c>
      <c r="J11" s="16">
        <f t="shared" si="2"/>
        <v>-0.14010313041802583</v>
      </c>
      <c r="K11" s="14">
        <f>IFERROR(AVERAGE(Oct!K11, Nov!K11, Dec!K11),"")</f>
        <v>0.31651599999999996</v>
      </c>
      <c r="L11" s="39"/>
      <c r="M11" s="40"/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f>SUM(Oct!D12, Nov!D12, Dec!D12)</f>
        <v>62048</v>
      </c>
      <c r="E12" s="11">
        <f>SUM(Oct!E12, Nov!E12, Dec!E12)</f>
        <v>89930.77</v>
      </c>
      <c r="F12" s="11">
        <f t="shared" si="0"/>
        <v>-27882.770000000004</v>
      </c>
      <c r="G12" s="12">
        <f t="shared" si="1"/>
        <v>-0.3100470506368399</v>
      </c>
      <c r="H12" s="13">
        <f>SUM(Oct!H12,Nov!H12,Dec!H12)</f>
        <v>69476</v>
      </c>
      <c r="I12" s="13">
        <f>SUM(Oct!I12, Nov!I12, Dec!I12)</f>
        <v>-7428</v>
      </c>
      <c r="J12" s="14">
        <f t="shared" si="2"/>
        <v>-0.1069146179975819</v>
      </c>
      <c r="K12" s="14">
        <f>IFERROR(AVERAGE(Oct!K12, Nov!K12, Dec!K12),"")</f>
        <v>1</v>
      </c>
      <c r="L12" s="38"/>
      <c r="M12" s="38"/>
    </row>
    <row r="13" spans="1:13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f>SUM(Oct!D13, Nov!D13, Dec!D13)</f>
        <v>76897.546875</v>
      </c>
      <c r="E13" s="15">
        <f>SUM(Oct!E13, Nov!E13, Dec!E13)</f>
        <v>111691.2</v>
      </c>
      <c r="F13" s="15">
        <f t="shared" si="0"/>
        <v>-34793.653124999997</v>
      </c>
      <c r="G13" s="16">
        <f t="shared" si="1"/>
        <v>-0.31151651271541536</v>
      </c>
      <c r="H13" s="17">
        <f>SUM(Oct!H13,Nov!H13,Dec!H13)</f>
        <v>87435</v>
      </c>
      <c r="I13" s="17">
        <f>SUM(Oct!I13, Nov!I13, Dec!I13)</f>
        <v>-10537.453125</v>
      </c>
      <c r="J13" s="16">
        <f t="shared" si="2"/>
        <v>-0.12051756304683479</v>
      </c>
      <c r="K13" s="14">
        <f>IFERROR(AVERAGE(Oct!K13, Nov!K13, Dec!K13),"")</f>
        <v>0.99660439999999995</v>
      </c>
      <c r="L13" s="39"/>
      <c r="M13" s="40"/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f>SUM(Oct!D14, Nov!D14, Dec!D14)</f>
        <v>9074.75</v>
      </c>
      <c r="E14" s="11">
        <f>SUM(Oct!E14, Nov!E14, Dec!E14)</f>
        <v>0</v>
      </c>
      <c r="F14" s="11">
        <f t="shared" si="0"/>
        <v>9074.75</v>
      </c>
      <c r="G14" s="12" t="str">
        <f t="shared" si="1"/>
        <v/>
      </c>
      <c r="H14" s="13">
        <f>SUM(Oct!H14,Nov!H14,Dec!H14)</f>
        <v>19620</v>
      </c>
      <c r="I14" s="13">
        <f>SUM(Oct!I14, Nov!I14, Dec!I14)</f>
        <v>-10545.25</v>
      </c>
      <c r="J14" s="14">
        <f t="shared" si="2"/>
        <v>-0.53747451580020389</v>
      </c>
      <c r="K14" s="14">
        <f>IFERROR(AVERAGE(Oct!K14, Nov!K14, Dec!K14),"")</f>
        <v>1</v>
      </c>
      <c r="L14" s="38"/>
      <c r="M14" s="38"/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f>SUM(Oct!D15, Nov!D15, Dec!D15)</f>
        <v>11509.2745582467</v>
      </c>
      <c r="E15" s="15">
        <f>SUM(Oct!E15, Nov!E15, Dec!E15)</f>
        <v>0</v>
      </c>
      <c r="F15" s="15">
        <f t="shared" si="0"/>
        <v>11509.2745582467</v>
      </c>
      <c r="G15" s="16" t="str">
        <f t="shared" si="1"/>
        <v/>
      </c>
      <c r="H15" s="17">
        <f>SUM(Oct!H15,Nov!H15,Dec!H15)</f>
        <v>14748</v>
      </c>
      <c r="I15" s="17">
        <f>SUM(Oct!I15, Nov!I15, Dec!I15)</f>
        <v>-3238.7254417533004</v>
      </c>
      <c r="J15" s="16">
        <f t="shared" si="2"/>
        <v>-0.21960438308606595</v>
      </c>
      <c r="K15" s="14">
        <f>IFERROR(AVERAGE(Oct!K15, Nov!K15, Dec!K15),"")</f>
        <v>1</v>
      </c>
      <c r="L15" s="39"/>
      <c r="M15" s="40"/>
    </row>
    <row r="16" spans="1:13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f>SUM(Oct!D16, Nov!D16, Dec!D16)</f>
        <v>9544.9763293543401</v>
      </c>
      <c r="E16" s="11">
        <f>SUM(Oct!E16, Nov!E16, Dec!E16)</f>
        <v>4480.8549999999996</v>
      </c>
      <c r="F16" s="11">
        <f t="shared" ref="F16:F79" si="3">IF(AND(ISNUMBER(D16),ISNUMBER(E16)), D16-E16, "")</f>
        <v>5064.1213293543406</v>
      </c>
      <c r="G16" s="12">
        <f t="shared" ref="G16:G79" si="4">IFERROR(F16/E16, "")</f>
        <v>1.1301685346556274</v>
      </c>
      <c r="H16" s="13">
        <f>SUM(Oct!H16,Nov!H16,Dec!H16)</f>
        <v>11244</v>
      </c>
      <c r="I16" s="13">
        <f>SUM(Oct!I16, Nov!I16, Dec!I16)</f>
        <v>-1699.0236706456599</v>
      </c>
      <c r="J16" s="14">
        <f t="shared" ref="J16:J79" si="5">IFERROR(I16/H16, "")</f>
        <v>-0.15110491556791711</v>
      </c>
      <c r="K16" s="14">
        <f>IFERROR(AVERAGE(Oct!K16, Nov!K16, Dec!K16),"")</f>
        <v>0.99651259999999997</v>
      </c>
      <c r="L16" s="39"/>
      <c r="M16" s="40"/>
    </row>
    <row r="17" spans="1:13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f>SUM(Oct!D17, Nov!D17, Dec!D17)</f>
        <v>70818.25</v>
      </c>
      <c r="E17" s="15">
        <f>SUM(Oct!E17, Nov!E17, Dec!E17)</f>
        <v>31585.37</v>
      </c>
      <c r="F17" s="15">
        <f t="shared" si="3"/>
        <v>39232.880000000005</v>
      </c>
      <c r="G17" s="16">
        <f t="shared" si="4"/>
        <v>1.2421219064395954</v>
      </c>
      <c r="H17" s="17">
        <f>SUM(Oct!H17,Nov!H17,Dec!H17)</f>
        <v>67875</v>
      </c>
      <c r="I17" s="17">
        <f>SUM(Oct!I17, Nov!I17, Dec!I17)</f>
        <v>2943.25</v>
      </c>
      <c r="J17" s="16">
        <f t="shared" si="5"/>
        <v>4.3362799263351751E-2</v>
      </c>
      <c r="K17" s="14">
        <f>IFERROR(AVERAGE(Oct!K17, Nov!K17, Dec!K17),"")</f>
        <v>0.99447010000000002</v>
      </c>
      <c r="L17" s="39"/>
      <c r="M17" s="40"/>
    </row>
    <row r="18" spans="1:13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f>SUM(Oct!D18, Nov!D18, Dec!D18)</f>
        <v>26077.9399999999</v>
      </c>
      <c r="E18" s="11">
        <f>SUM(Oct!E18, Nov!E18, Dec!E18)</f>
        <v>0</v>
      </c>
      <c r="F18" s="11">
        <f t="shared" si="3"/>
        <v>26077.9399999999</v>
      </c>
      <c r="G18" s="12" t="str">
        <f t="shared" si="4"/>
        <v/>
      </c>
      <c r="H18" s="13">
        <f>SUM(Oct!H18,Nov!H18,Dec!H18)</f>
        <v>42342</v>
      </c>
      <c r="I18" s="13">
        <f>SUM(Oct!I18, Nov!I18, Dec!I18)</f>
        <v>0</v>
      </c>
      <c r="J18" s="14">
        <f t="shared" si="5"/>
        <v>0</v>
      </c>
      <c r="K18" s="14">
        <f>IFERROR(AVERAGE(Oct!K18, Nov!K18, Dec!K18),"")</f>
        <v>0.98935239999999991</v>
      </c>
      <c r="L18" s="39"/>
      <c r="M18" s="40"/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f>SUM(Oct!D19, Nov!D19, Dec!D19)</f>
        <v>79660.5</v>
      </c>
      <c r="E19" s="15">
        <f>SUM(Oct!E19, Nov!E19, Dec!E19)</f>
        <v>99913.57</v>
      </c>
      <c r="F19" s="15">
        <f t="shared" si="3"/>
        <v>-20253.070000000007</v>
      </c>
      <c r="G19" s="16">
        <f t="shared" si="4"/>
        <v>-0.20270589870825359</v>
      </c>
      <c r="H19" s="17">
        <f>SUM(Oct!H19,Nov!H19,Dec!H19)</f>
        <v>73748.27</v>
      </c>
      <c r="I19" s="17">
        <f>SUM(Oct!I19, Nov!I19, Dec!I19)</f>
        <v>0</v>
      </c>
      <c r="J19" s="16">
        <f t="shared" si="5"/>
        <v>0</v>
      </c>
      <c r="K19" s="14">
        <f>IFERROR(AVERAGE(Oct!K19, Nov!K19, Dec!K19),"")</f>
        <v>1</v>
      </c>
      <c r="L19" s="39"/>
      <c r="M19" s="40"/>
    </row>
    <row r="20" spans="1:13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f>SUM(Oct!D20, Nov!D20, Dec!D20)</f>
        <v>21522.75</v>
      </c>
      <c r="E20" s="11">
        <f>SUM(Oct!E20, Nov!E20, Dec!E20)</f>
        <v>27288.57</v>
      </c>
      <c r="F20" s="11">
        <f t="shared" si="3"/>
        <v>-5765.82</v>
      </c>
      <c r="G20" s="12">
        <f t="shared" si="4"/>
        <v>-0.21129066125487703</v>
      </c>
      <c r="H20" s="13">
        <f>SUM(Oct!H20,Nov!H20,Dec!H20)</f>
        <v>21227.81</v>
      </c>
      <c r="I20" s="13">
        <f>SUM(Oct!I20, Nov!I20, Dec!I20)</f>
        <v>0</v>
      </c>
      <c r="J20" s="14">
        <f t="shared" si="5"/>
        <v>0</v>
      </c>
      <c r="K20" s="14">
        <f>IFERROR(AVERAGE(Oct!K20, Nov!K20, Dec!K20),"")</f>
        <v>1</v>
      </c>
      <c r="L20" s="39"/>
      <c r="M20" s="40"/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f>SUM(Oct!D21, Nov!D21, Dec!D21)</f>
        <v>24068.875</v>
      </c>
      <c r="E21" s="15">
        <f>SUM(Oct!E21, Nov!E21, Dec!E21)</f>
        <v>29903.11</v>
      </c>
      <c r="F21" s="15">
        <f t="shared" si="3"/>
        <v>-5834.2350000000006</v>
      </c>
      <c r="G21" s="16">
        <f t="shared" si="4"/>
        <v>-0.1951046228970833</v>
      </c>
      <c r="H21" s="17">
        <f>SUM(Oct!H21,Nov!H21,Dec!H21)</f>
        <v>24747.26</v>
      </c>
      <c r="I21" s="17">
        <f>SUM(Oct!I21, Nov!I21, Dec!I21)</f>
        <v>0</v>
      </c>
      <c r="J21" s="16">
        <f t="shared" si="5"/>
        <v>0</v>
      </c>
      <c r="K21" s="14">
        <f>IFERROR(AVERAGE(Oct!K21, Nov!K21, Dec!K21),"")</f>
        <v>1</v>
      </c>
      <c r="L21" s="39"/>
      <c r="M21" s="40"/>
    </row>
    <row r="22" spans="1:13" ht="15.6">
      <c r="A22" s="25" t="str">
        <v>K041</v>
      </c>
      <c r="B22" s="26" t="str">
        <v>NY</v>
      </c>
      <c r="C22" s="26" t="str">
        <f>Sites[[#This Row],[SOL'#]]</f>
        <v>SOL-10357</v>
      </c>
      <c r="D22" s="21">
        <f>SUM(Oct!D22, Nov!D22, Dec!D22)</f>
        <v>20364.84375</v>
      </c>
      <c r="E22" s="11">
        <f>SUM(Oct!E22, Nov!E22, Dec!E22)</f>
        <v>23407.8</v>
      </c>
      <c r="F22" s="11">
        <f t="shared" si="3"/>
        <v>-3042.9562499999993</v>
      </c>
      <c r="G22" s="12">
        <f t="shared" si="4"/>
        <v>-0.12999753287365748</v>
      </c>
      <c r="H22" s="13">
        <f>SUM(Oct!H22,Nov!H22,Dec!H22)</f>
        <v>17613</v>
      </c>
      <c r="I22" s="13">
        <f>SUM(Oct!I22, Nov!I22, Dec!I22)</f>
        <v>0</v>
      </c>
      <c r="J22" s="14">
        <f t="shared" si="5"/>
        <v>0</v>
      </c>
      <c r="K22" s="14">
        <f>IFERROR(AVERAGE(Oct!K22, Nov!K22, Dec!K22),"")</f>
        <v>1</v>
      </c>
      <c r="L22" s="39"/>
      <c r="M22" s="40"/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f>SUM(Oct!D23, Nov!D23, Dec!D23)</f>
        <v>22770.15625</v>
      </c>
      <c r="E23" s="15">
        <f>SUM(Oct!E23, Nov!E23, Dec!E23)</f>
        <v>25907.06</v>
      </c>
      <c r="F23" s="15">
        <f t="shared" si="3"/>
        <v>-3136.9037500000013</v>
      </c>
      <c r="G23" s="16">
        <f t="shared" si="4"/>
        <v>-0.12108296927555659</v>
      </c>
      <c r="H23" s="17">
        <f>SUM(Oct!H23,Nov!H23,Dec!H23)</f>
        <v>3897</v>
      </c>
      <c r="I23" s="17">
        <f>SUM(Oct!I23, Nov!I23, Dec!I23)</f>
        <v>0</v>
      </c>
      <c r="J23" s="16">
        <f t="shared" si="5"/>
        <v>0</v>
      </c>
      <c r="K23" s="14">
        <f>IFERROR(AVERAGE(Oct!K23, Nov!K23, Dec!K23),"")</f>
        <v>0.98680080000000003</v>
      </c>
      <c r="L23" s="39"/>
      <c r="M23" s="40"/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f>SUM(Oct!D24, Nov!D24, Dec!D24)</f>
        <v>19497.5</v>
      </c>
      <c r="E24" s="11">
        <f>SUM(Oct!E24, Nov!E24, Dec!E24)</f>
        <v>20776.21</v>
      </c>
      <c r="F24" s="11">
        <f t="shared" si="3"/>
        <v>-1278.7099999999991</v>
      </c>
      <c r="G24" s="12">
        <f t="shared" si="4"/>
        <v>-6.1546836501941364E-2</v>
      </c>
      <c r="H24" s="13">
        <f>SUM(Oct!H24,Nov!H24,Dec!H24)</f>
        <v>19194.759999999998</v>
      </c>
      <c r="I24" s="13">
        <f>SUM(Oct!I24, Nov!I24, Dec!I24)</f>
        <v>0</v>
      </c>
      <c r="J24" s="14">
        <f t="shared" si="5"/>
        <v>0</v>
      </c>
      <c r="K24" s="14">
        <f>IFERROR(AVERAGE(Oct!K24, Nov!K24, Dec!K24),"")</f>
        <v>1</v>
      </c>
      <c r="L24" s="39"/>
      <c r="M24" s="40"/>
    </row>
    <row r="25" spans="1:13" ht="15.6">
      <c r="A25" s="27" t="str">
        <v>K115</v>
      </c>
      <c r="B25" s="28" t="str">
        <v>NY</v>
      </c>
      <c r="C25" s="28" t="str">
        <f>Sites[[#This Row],[SOL'#]]</f>
        <v>SOL-10361</v>
      </c>
      <c r="D25" s="10">
        <f>SUM(Oct!D25, Nov!D25, Dec!D25)</f>
        <v>5181.1875</v>
      </c>
      <c r="E25" s="15">
        <f>SUM(Oct!E25, Nov!E25, Dec!E25)</f>
        <v>11426.48</v>
      </c>
      <c r="F25" s="15">
        <f t="shared" si="3"/>
        <v>-6245.2924999999996</v>
      </c>
      <c r="G25" s="16">
        <f t="shared" si="4"/>
        <v>-0.54656311480000841</v>
      </c>
      <c r="H25" s="17">
        <f>SUM(Oct!H25,Nov!H25,Dec!H25)</f>
        <v>9850.8889999999992</v>
      </c>
      <c r="I25" s="17">
        <f>SUM(Oct!I25, Nov!I25, Dec!I25)</f>
        <v>0</v>
      </c>
      <c r="J25" s="16">
        <f t="shared" si="5"/>
        <v>0</v>
      </c>
      <c r="K25" s="14">
        <f>IFERROR(AVERAGE(Oct!K25, Nov!K25, Dec!K25),"")</f>
        <v>0.97652240000000001</v>
      </c>
      <c r="L25" s="39"/>
      <c r="M25" s="40"/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f>SUM(Oct!D26, Nov!D26, Dec!D26)</f>
        <v>7479.8125</v>
      </c>
      <c r="E26" s="11">
        <f>SUM(Oct!E26, Nov!E26, Dec!E26)</f>
        <v>7995.7510000000002</v>
      </c>
      <c r="F26" s="11">
        <f t="shared" si="3"/>
        <v>-515.9385000000002</v>
      </c>
      <c r="G26" s="12">
        <f t="shared" si="4"/>
        <v>-6.45265841820237E-2</v>
      </c>
      <c r="H26" s="13">
        <f>SUM(Oct!H26,Nov!H26,Dec!H26)</f>
        <v>7441</v>
      </c>
      <c r="I26" s="13">
        <f>SUM(Oct!I26, Nov!I26, Dec!I26)</f>
        <v>0</v>
      </c>
      <c r="J26" s="14">
        <f t="shared" si="5"/>
        <v>0</v>
      </c>
      <c r="K26" s="14">
        <f>IFERROR(AVERAGE(Oct!K26, Nov!K26, Dec!K26),"")</f>
        <v>1</v>
      </c>
      <c r="L26" s="39"/>
      <c r="M26" s="40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f>SUM(Oct!D27, Nov!D27, Dec!D27)</f>
        <v>25110.875</v>
      </c>
      <c r="E27" s="15">
        <f>SUM(Oct!E27, Nov!E27, Dec!E27)</f>
        <v>29610.43</v>
      </c>
      <c r="F27" s="15">
        <f t="shared" si="3"/>
        <v>-4499.5550000000003</v>
      </c>
      <c r="G27" s="16">
        <f t="shared" si="4"/>
        <v>-0.15195844842509887</v>
      </c>
      <c r="H27" s="17">
        <f>SUM(Oct!H27,Nov!H27,Dec!H27)</f>
        <v>26544.95</v>
      </c>
      <c r="I27" s="17">
        <f>SUM(Oct!I27, Nov!I27, Dec!I27)</f>
        <v>0</v>
      </c>
      <c r="J27" s="16">
        <f t="shared" si="5"/>
        <v>0</v>
      </c>
      <c r="K27" s="14">
        <f>IFERROR(AVERAGE(Oct!K27, Nov!K27, Dec!K27),"")</f>
        <v>1</v>
      </c>
      <c r="L27" s="39"/>
      <c r="M27" s="40"/>
    </row>
    <row r="28" spans="1:13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f>SUM(Oct!D28, Nov!D28, Dec!D28)</f>
        <v>15872.3496875</v>
      </c>
      <c r="E28" s="11">
        <f>SUM(Oct!E28, Nov!E28, Dec!E28)</f>
        <v>17737.77</v>
      </c>
      <c r="F28" s="11">
        <f t="shared" si="3"/>
        <v>-1865.4203125000004</v>
      </c>
      <c r="G28" s="12">
        <f t="shared" si="4"/>
        <v>-0.1051665633560476</v>
      </c>
      <c r="H28" s="13">
        <f>SUM(Oct!H28,Nov!H28,Dec!H28)</f>
        <v>12467</v>
      </c>
      <c r="I28" s="13">
        <f>SUM(Oct!I28, Nov!I28, Dec!I28)</f>
        <v>0</v>
      </c>
      <c r="J28" s="14">
        <f t="shared" si="5"/>
        <v>0</v>
      </c>
      <c r="K28" s="14">
        <f>IFERROR(AVERAGE(Oct!K28, Nov!K28, Dec!K28),"")</f>
        <v>0.99552379999999996</v>
      </c>
      <c r="L28" s="39"/>
      <c r="M28" s="40"/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f>SUM(Oct!D29, Nov!D29, Dec!D29)</f>
        <v>17588.375</v>
      </c>
      <c r="E29" s="15">
        <f>SUM(Oct!E29, Nov!E29, Dec!E29)</f>
        <v>18628.310000000001</v>
      </c>
      <c r="F29" s="15">
        <f t="shared" si="3"/>
        <v>-1039.9350000000013</v>
      </c>
      <c r="G29" s="16">
        <f t="shared" si="4"/>
        <v>-5.5825515035985616E-2</v>
      </c>
      <c r="H29" s="17">
        <f>SUM(Oct!H29,Nov!H29,Dec!H29)</f>
        <v>17515.23</v>
      </c>
      <c r="I29" s="17">
        <f>SUM(Oct!I29, Nov!I29, Dec!I29)</f>
        <v>0</v>
      </c>
      <c r="J29" s="16">
        <f t="shared" si="5"/>
        <v>0</v>
      </c>
      <c r="K29" s="14">
        <f>IFERROR(AVERAGE(Oct!K29, Nov!K29, Dec!K29),"")</f>
        <v>1</v>
      </c>
      <c r="L29" s="39"/>
      <c r="M29" s="40"/>
    </row>
    <row r="30" spans="1:13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f>SUM(Oct!D30, Nov!D30, Dec!D30)</f>
        <v>16055.6875</v>
      </c>
      <c r="E30" s="11">
        <f>SUM(Oct!E30, Nov!E30, Dec!E30)</f>
        <v>20172.21</v>
      </c>
      <c r="F30" s="11">
        <f t="shared" si="3"/>
        <v>-4116.5224999999991</v>
      </c>
      <c r="G30" s="12">
        <f t="shared" si="4"/>
        <v>-0.20406898897046974</v>
      </c>
      <c r="H30" s="13">
        <f>SUM(Oct!H30,Nov!H30,Dec!H30)</f>
        <v>13656.84</v>
      </c>
      <c r="I30" s="13">
        <f>SUM(Oct!I30, Nov!I30, Dec!I30)</f>
        <v>0</v>
      </c>
      <c r="J30" s="14">
        <f t="shared" si="5"/>
        <v>0</v>
      </c>
      <c r="K30" s="14">
        <f>IFERROR(AVERAGE(Oct!K30, Nov!K30, Dec!K30),"")</f>
        <v>1</v>
      </c>
      <c r="L30" s="39"/>
      <c r="M30" s="40"/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f>SUM(Oct!D31, Nov!D31, Dec!D31)</f>
        <v>16644.1875</v>
      </c>
      <c r="E31" s="15">
        <f>SUM(Oct!E31, Nov!E31, Dec!E31)</f>
        <v>0</v>
      </c>
      <c r="F31" s="15">
        <f t="shared" si="3"/>
        <v>16644.1875</v>
      </c>
      <c r="G31" s="16" t="str">
        <f t="shared" si="4"/>
        <v/>
      </c>
      <c r="H31" s="17">
        <f>SUM(Oct!H31,Nov!H31,Dec!H31)</f>
        <v>20518</v>
      </c>
      <c r="I31" s="17">
        <f>SUM(Oct!I31, Nov!I31, Dec!I31)</f>
        <v>0</v>
      </c>
      <c r="J31" s="16">
        <f t="shared" si="5"/>
        <v>0</v>
      </c>
      <c r="K31" s="14">
        <f>IFERROR(AVERAGE(Oct!K31, Nov!K31, Dec!K31),"")</f>
        <v>1</v>
      </c>
      <c r="L31" s="39"/>
      <c r="M31" s="40"/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f>SUM(Oct!D32, Nov!D32, Dec!D32)</f>
        <v>14279.65625</v>
      </c>
      <c r="E32" s="11">
        <f>SUM(Oct!E32, Nov!E32, Dec!E32)</f>
        <v>13075.75</v>
      </c>
      <c r="F32" s="11">
        <f t="shared" si="3"/>
        <v>1203.90625</v>
      </c>
      <c r="G32" s="12">
        <f t="shared" si="4"/>
        <v>9.2071678488805611E-2</v>
      </c>
      <c r="H32" s="13">
        <f>SUM(Oct!H32,Nov!H32,Dec!H32)</f>
        <v>11897</v>
      </c>
      <c r="I32" s="13">
        <f>SUM(Oct!I32, Nov!I32, Dec!I32)</f>
        <v>0</v>
      </c>
      <c r="J32" s="14">
        <f t="shared" si="5"/>
        <v>0</v>
      </c>
      <c r="K32" s="14">
        <f>IFERROR(AVERAGE(Oct!K32, Nov!K32, Dec!K32),"")</f>
        <v>1</v>
      </c>
      <c r="L32" s="39"/>
      <c r="M32" s="40"/>
    </row>
    <row r="33" spans="1:13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f>SUM(Oct!D33, Nov!D33, Dec!D33)</f>
        <v>14730.75</v>
      </c>
      <c r="E33" s="15">
        <f>SUM(Oct!E33, Nov!E33, Dec!E33)</f>
        <v>17329.82</v>
      </c>
      <c r="F33" s="15">
        <f t="shared" si="3"/>
        <v>-2599.0699999999997</v>
      </c>
      <c r="G33" s="16">
        <f t="shared" si="4"/>
        <v>-0.14997674528644844</v>
      </c>
      <c r="H33" s="17">
        <f>SUM(Oct!H33,Nov!H33,Dec!H33)</f>
        <v>12316</v>
      </c>
      <c r="I33" s="17">
        <f>SUM(Oct!I33, Nov!I33, Dec!I33)</f>
        <v>0</v>
      </c>
      <c r="J33" s="16">
        <f t="shared" si="5"/>
        <v>0</v>
      </c>
      <c r="K33" s="14">
        <f>IFERROR(AVERAGE(Oct!K33, Nov!K33, Dec!K33),"")</f>
        <v>1</v>
      </c>
      <c r="L33" s="39"/>
      <c r="M33" s="40"/>
    </row>
    <row r="34" spans="1:13" ht="15.6">
      <c r="A34" s="25" t="str">
        <v>K335</v>
      </c>
      <c r="B34" s="26" t="str">
        <v>NY</v>
      </c>
      <c r="C34" s="26" t="str">
        <f>Sites[[#This Row],[SOL'#]]</f>
        <v>SOL-10370</v>
      </c>
      <c r="D34" s="21">
        <f>SUM(Oct!D34, Nov!D34, Dec!D34)</f>
        <v>15242.8125</v>
      </c>
      <c r="E34" s="11">
        <f>SUM(Oct!E34, Nov!E34, Dec!E34)</f>
        <v>18399.8</v>
      </c>
      <c r="F34" s="11">
        <f t="shared" si="3"/>
        <v>-3156.9874999999993</v>
      </c>
      <c r="G34" s="12">
        <f t="shared" si="4"/>
        <v>-0.17157727257904973</v>
      </c>
      <c r="H34" s="13">
        <f>SUM(Oct!H34,Nov!H34,Dec!H34)</f>
        <v>17347</v>
      </c>
      <c r="I34" s="13">
        <f>SUM(Oct!I34, Nov!I34, Dec!I34)</f>
        <v>0</v>
      </c>
      <c r="J34" s="14">
        <f t="shared" si="5"/>
        <v>0</v>
      </c>
      <c r="K34" s="14">
        <f>IFERROR(AVERAGE(Oct!K34, Nov!K34, Dec!K34),"")</f>
        <v>1</v>
      </c>
      <c r="L34" s="39"/>
      <c r="M34" s="40"/>
    </row>
    <row r="35" spans="1:13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f>SUM(Oct!D35, Nov!D35, Dec!D35)</f>
        <v>18156.03125</v>
      </c>
      <c r="E35" s="15">
        <f>SUM(Oct!E35, Nov!E35, Dec!E35)</f>
        <v>12416.03</v>
      </c>
      <c r="F35" s="15">
        <f t="shared" si="3"/>
        <v>5740.0012499999993</v>
      </c>
      <c r="G35" s="16">
        <f t="shared" si="4"/>
        <v>0.46230568466732114</v>
      </c>
      <c r="H35" s="17">
        <f>SUM(Oct!H35,Nov!H35,Dec!H35)</f>
        <v>15094</v>
      </c>
      <c r="I35" s="17">
        <f>SUM(Oct!I35, Nov!I35, Dec!I35)</f>
        <v>0</v>
      </c>
      <c r="J35" s="16">
        <f t="shared" si="5"/>
        <v>0</v>
      </c>
      <c r="K35" s="14">
        <f>IFERROR(AVERAGE(Oct!K35, Nov!K35, Dec!K35),"")</f>
        <v>0.98750139999999997</v>
      </c>
      <c r="L35" s="39"/>
      <c r="M35" s="40"/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f>SUM(Oct!D36, Nov!D36, Dec!D36)</f>
        <v>15557.5</v>
      </c>
      <c r="E36" s="11">
        <f>SUM(Oct!E36, Nov!E36, Dec!E36)</f>
        <v>18612.240000000002</v>
      </c>
      <c r="F36" s="11">
        <f t="shared" si="3"/>
        <v>-3054.7400000000016</v>
      </c>
      <c r="G36" s="12">
        <f t="shared" si="4"/>
        <v>-0.16412532827859524</v>
      </c>
      <c r="H36" s="13">
        <f>SUM(Oct!H36,Nov!H36,Dec!H36)</f>
        <v>12336.52</v>
      </c>
      <c r="I36" s="13">
        <f>SUM(Oct!I36, Nov!I36, Dec!I36)</f>
        <v>0</v>
      </c>
      <c r="J36" s="14">
        <f t="shared" si="5"/>
        <v>0</v>
      </c>
      <c r="K36" s="14">
        <f>IFERROR(AVERAGE(Oct!K36, Nov!K36, Dec!K36),"")</f>
        <v>1</v>
      </c>
      <c r="L36" s="39"/>
      <c r="M36" s="40"/>
    </row>
    <row r="37" spans="1:13" ht="15.6">
      <c r="A37" s="27" t="str">
        <v>K495</v>
      </c>
      <c r="B37" s="28" t="str">
        <v>NY</v>
      </c>
      <c r="C37" s="28" t="str">
        <f>Sites[[#This Row],[SOL'#]]</f>
        <v>SOL-10374</v>
      </c>
      <c r="D37" s="10">
        <f>SUM(Oct!D37, Nov!D37, Dec!D37)</f>
        <v>21885.375</v>
      </c>
      <c r="E37" s="15">
        <f>SUM(Oct!E37, Nov!E37, Dec!E37)</f>
        <v>57407.03</v>
      </c>
      <c r="F37" s="15">
        <f t="shared" si="3"/>
        <v>-35521.654999999999</v>
      </c>
      <c r="G37" s="16">
        <f t="shared" si="4"/>
        <v>-0.61876838080632279</v>
      </c>
      <c r="H37" s="17">
        <f>SUM(Oct!H37,Nov!H37,Dec!H37)</f>
        <v>55117</v>
      </c>
      <c r="I37" s="17">
        <f>SUM(Oct!I37, Nov!I37, Dec!I37)</f>
        <v>0</v>
      </c>
      <c r="J37" s="16">
        <f t="shared" si="5"/>
        <v>0</v>
      </c>
      <c r="K37" s="14">
        <f>IFERROR(AVERAGE(Oct!K37, Nov!K37, Dec!K37),"")</f>
        <v>0.28854079999999999</v>
      </c>
      <c r="L37" s="39"/>
      <c r="M37" s="40"/>
    </row>
    <row r="38" spans="1:13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f>SUM(Oct!D38, Nov!D38, Dec!D38)</f>
        <v>16399.8125</v>
      </c>
      <c r="E38" s="11">
        <f>SUM(Oct!E38, Nov!E38, Dec!E38)</f>
        <v>18431.62</v>
      </c>
      <c r="F38" s="11">
        <f t="shared" si="3"/>
        <v>-2031.807499999999</v>
      </c>
      <c r="G38" s="12">
        <f t="shared" si="4"/>
        <v>-0.11023488439974344</v>
      </c>
      <c r="H38" s="13">
        <f>SUM(Oct!H38,Nov!H38,Dec!H38)</f>
        <v>15061</v>
      </c>
      <c r="I38" s="13">
        <f>SUM(Oct!I38, Nov!I38, Dec!I38)</f>
        <v>0</v>
      </c>
      <c r="J38" s="14">
        <f t="shared" si="5"/>
        <v>0</v>
      </c>
      <c r="K38" s="14">
        <f>IFERROR(AVERAGE(Oct!K38, Nov!K38, Dec!K38),"")</f>
        <v>0.98393140000000001</v>
      </c>
      <c r="L38" s="39"/>
      <c r="M38" s="40"/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f>SUM(Oct!D39, Nov!D39, Dec!D39)</f>
        <v>15734.9375</v>
      </c>
      <c r="E39" s="15">
        <f>SUM(Oct!E39, Nov!E39, Dec!E39)</f>
        <v>18409.38</v>
      </c>
      <c r="F39" s="15">
        <f t="shared" si="3"/>
        <v>-2674.442500000001</v>
      </c>
      <c r="G39" s="16">
        <f t="shared" si="4"/>
        <v>-0.14527607665222841</v>
      </c>
      <c r="H39" s="17">
        <f>SUM(Oct!H39,Nov!H39,Dec!H39)</f>
        <v>13435.74</v>
      </c>
      <c r="I39" s="17">
        <f>SUM(Oct!I39, Nov!I39, Dec!I39)</f>
        <v>0</v>
      </c>
      <c r="J39" s="16">
        <f t="shared" si="5"/>
        <v>0</v>
      </c>
      <c r="K39" s="14">
        <f>IFERROR(AVERAGE(Oct!K39, Nov!K39, Dec!K39),"")</f>
        <v>1</v>
      </c>
      <c r="L39" s="39"/>
      <c r="M39" s="40"/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f>SUM(Oct!D40, Nov!D40, Dec!D40)</f>
        <v>18270.843749999902</v>
      </c>
      <c r="E40" s="11">
        <f>SUM(Oct!E40, Nov!E40, Dec!E40)</f>
        <v>20784.91</v>
      </c>
      <c r="F40" s="11">
        <f t="shared" si="3"/>
        <v>-2514.0662500000981</v>
      </c>
      <c r="G40" s="12">
        <f t="shared" si="4"/>
        <v>-0.12095632119648814</v>
      </c>
      <c r="H40" s="13">
        <f>SUM(Oct!H40,Nov!H40,Dec!H40)</f>
        <v>15222.13</v>
      </c>
      <c r="I40" s="13">
        <f>SUM(Oct!I40, Nov!I40, Dec!I40)</f>
        <v>0</v>
      </c>
      <c r="J40" s="14">
        <f t="shared" si="5"/>
        <v>0</v>
      </c>
      <c r="K40" s="14">
        <f>IFERROR(AVERAGE(Oct!K40, Nov!K40, Dec!K40),"")</f>
        <v>1</v>
      </c>
      <c r="L40" s="39"/>
      <c r="M40" s="40"/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f>SUM(Oct!D41, Nov!D41, Dec!D41)</f>
        <v>25363.4375</v>
      </c>
      <c r="E41" s="15">
        <f>SUM(Oct!E41, Nov!E41, Dec!E41)</f>
        <v>0</v>
      </c>
      <c r="F41" s="15">
        <f t="shared" si="3"/>
        <v>25363.4375</v>
      </c>
      <c r="G41" s="16" t="str">
        <f t="shared" si="4"/>
        <v/>
      </c>
      <c r="H41" s="17">
        <f>SUM(Oct!H41,Nov!H41,Dec!H41)</f>
        <v>22643</v>
      </c>
      <c r="I41" s="17">
        <f>SUM(Oct!I41, Nov!I41, Dec!I41)</f>
        <v>0</v>
      </c>
      <c r="J41" s="16">
        <f t="shared" si="5"/>
        <v>0</v>
      </c>
      <c r="K41" s="14">
        <f>IFERROR(AVERAGE(Oct!K41, Nov!K41, Dec!K41),"")</f>
        <v>0.99120189999999997</v>
      </c>
      <c r="L41" s="39"/>
      <c r="M41" s="40"/>
    </row>
    <row r="42" spans="1:13" ht="15.6">
      <c r="A42" s="25" t="str">
        <v>M167</v>
      </c>
      <c r="B42" s="26" t="str">
        <v>NY</v>
      </c>
      <c r="C42" s="26" t="str">
        <f>Sites[[#This Row],[SOL'#]]</f>
        <v>SOL-10386</v>
      </c>
      <c r="D42" s="21">
        <f>SUM(Oct!D42, Nov!D42, Dec!D42)</f>
        <v>19322.390625</v>
      </c>
      <c r="E42" s="11">
        <f>SUM(Oct!E42, Nov!E42, Dec!E42)</f>
        <v>16649.55</v>
      </c>
      <c r="F42" s="11">
        <f t="shared" si="3"/>
        <v>2672.8406250000007</v>
      </c>
      <c r="G42" s="12">
        <f t="shared" si="4"/>
        <v>0.16053530726055665</v>
      </c>
      <c r="H42" s="13">
        <f>SUM(Oct!H42,Nov!H42,Dec!H42)</f>
        <v>17738.7</v>
      </c>
      <c r="I42" s="13">
        <f>SUM(Oct!I42, Nov!I42, Dec!I42)</f>
        <v>0</v>
      </c>
      <c r="J42" s="14">
        <f t="shared" si="5"/>
        <v>0</v>
      </c>
      <c r="K42" s="14">
        <f>IFERROR(AVERAGE(Oct!K42, Nov!K42, Dec!K42),"")</f>
        <v>1</v>
      </c>
      <c r="L42" s="39"/>
      <c r="M42" s="40"/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f>SUM(Oct!D43, Nov!D43, Dec!D43)</f>
        <v>13935.75</v>
      </c>
      <c r="E43" s="15">
        <f>SUM(Oct!E43, Nov!E43, Dec!E43)</f>
        <v>0</v>
      </c>
      <c r="F43" s="15">
        <f t="shared" si="3"/>
        <v>13935.75</v>
      </c>
      <c r="G43" s="16" t="str">
        <f t="shared" si="4"/>
        <v/>
      </c>
      <c r="H43" s="17">
        <f>SUM(Oct!H43,Nov!H43,Dec!H43)</f>
        <v>12157</v>
      </c>
      <c r="I43" s="17">
        <f>SUM(Oct!I43, Nov!I43, Dec!I43)</f>
        <v>0</v>
      </c>
      <c r="J43" s="16">
        <f t="shared" si="5"/>
        <v>0</v>
      </c>
      <c r="K43" s="14">
        <f>IFERROR(AVERAGE(Oct!K43, Nov!K43, Dec!K43),"")</f>
        <v>0.98904859999999994</v>
      </c>
      <c r="L43" s="39"/>
      <c r="M43" s="40"/>
    </row>
    <row r="44" spans="1:13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f>SUM(Oct!D44, Nov!D44, Dec!D44)</f>
        <v>6119.5685742187497</v>
      </c>
      <c r="E44" s="11">
        <f>SUM(Oct!E44, Nov!E44, Dec!E44)</f>
        <v>4248.9219999999996</v>
      </c>
      <c r="F44" s="11">
        <f t="shared" si="3"/>
        <v>1870.6465742187502</v>
      </c>
      <c r="G44" s="12">
        <f t="shared" si="4"/>
        <v>0.44026380672997772</v>
      </c>
      <c r="H44" s="13">
        <f>SUM(Oct!H44,Nov!H44,Dec!H44)</f>
        <v>4963.6350000000002</v>
      </c>
      <c r="I44" s="13">
        <f>SUM(Oct!I44, Nov!I44, Dec!I44)</f>
        <v>0</v>
      </c>
      <c r="J44" s="14">
        <f t="shared" si="5"/>
        <v>0</v>
      </c>
      <c r="K44" s="14">
        <f>IFERROR(AVERAGE(Oct!K44, Nov!K44, Dec!K44),"")</f>
        <v>1</v>
      </c>
      <c r="L44" s="39"/>
      <c r="M44" s="40"/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f>SUM(Oct!D45, Nov!D45, Dec!D45)</f>
        <v>21632.71875</v>
      </c>
      <c r="E45" s="15">
        <f>SUM(Oct!E45, Nov!E45, Dec!E45)</f>
        <v>24555.360000000001</v>
      </c>
      <c r="F45" s="15">
        <f t="shared" si="3"/>
        <v>-2922.6412500000006</v>
      </c>
      <c r="G45" s="16">
        <f t="shared" si="4"/>
        <v>-0.11902253723830562</v>
      </c>
      <c r="H45" s="17">
        <f>SUM(Oct!H45,Nov!H45,Dec!H45)</f>
        <v>18843</v>
      </c>
      <c r="I45" s="17">
        <f>SUM(Oct!I45, Nov!I45, Dec!I45)</f>
        <v>0</v>
      </c>
      <c r="J45" s="16">
        <f t="shared" si="5"/>
        <v>0</v>
      </c>
      <c r="K45" s="14">
        <f>IFERROR(AVERAGE(Oct!K45, Nov!K45, Dec!K45),"")</f>
        <v>0.98825540000000001</v>
      </c>
      <c r="L45" s="39"/>
      <c r="M45" s="40"/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f>SUM(Oct!D46, Nov!D46, Dec!D46)</f>
        <v>14483.25</v>
      </c>
      <c r="E46" s="11">
        <f>SUM(Oct!E46, Nov!E46, Dec!E46)</f>
        <v>15073.28</v>
      </c>
      <c r="F46" s="11">
        <f t="shared" si="3"/>
        <v>-590.03000000000065</v>
      </c>
      <c r="G46" s="12">
        <f t="shared" si="4"/>
        <v>-3.9144101350203846E-2</v>
      </c>
      <c r="H46" s="13">
        <f>SUM(Oct!H46,Nov!H46,Dec!H46)</f>
        <v>13698.21</v>
      </c>
      <c r="I46" s="13">
        <f>SUM(Oct!I46, Nov!I46, Dec!I46)</f>
        <v>0</v>
      </c>
      <c r="J46" s="14">
        <f t="shared" si="5"/>
        <v>0</v>
      </c>
      <c r="K46" s="14">
        <f>IFERROR(AVERAGE(Oct!K46, Nov!K46, Dec!K46),"")</f>
        <v>1</v>
      </c>
      <c r="L46" s="39"/>
      <c r="M46" s="40"/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f>SUM(Oct!D47, Nov!D47, Dec!D47)</f>
        <v>11977.03125</v>
      </c>
      <c r="E47" s="15">
        <f>SUM(Oct!E47, Nov!E47, Dec!E47)</f>
        <v>14001.15</v>
      </c>
      <c r="F47" s="15">
        <f t="shared" si="3"/>
        <v>-2024.1187499999996</v>
      </c>
      <c r="G47" s="16">
        <f t="shared" si="4"/>
        <v>-0.14456803548279962</v>
      </c>
      <c r="H47" s="17">
        <f>SUM(Oct!H47,Nov!H47,Dec!H47)</f>
        <v>11336.31</v>
      </c>
      <c r="I47" s="17">
        <f>SUM(Oct!I47, Nov!I47, Dec!I47)</f>
        <v>0</v>
      </c>
      <c r="J47" s="16">
        <f t="shared" si="5"/>
        <v>0</v>
      </c>
      <c r="K47" s="14">
        <f>IFERROR(AVERAGE(Oct!K47, Nov!K47, Dec!K47),"")</f>
        <v>1</v>
      </c>
      <c r="L47" s="39"/>
      <c r="M47" s="40"/>
    </row>
    <row r="48" spans="1:13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f>SUM(Oct!D48, Nov!D48, Dec!D48)</f>
        <v>19222.375</v>
      </c>
      <c r="E48" s="11">
        <f>SUM(Oct!E48, Nov!E48, Dec!E48)</f>
        <v>21481.17</v>
      </c>
      <c r="F48" s="11">
        <f t="shared" si="3"/>
        <v>-2258.7949999999983</v>
      </c>
      <c r="G48" s="12">
        <f t="shared" si="4"/>
        <v>-0.10515232643287113</v>
      </c>
      <c r="H48" s="13">
        <f>SUM(Oct!H48,Nov!H48,Dec!H48)</f>
        <v>9900</v>
      </c>
      <c r="I48" s="13">
        <f>SUM(Oct!I48, Nov!I48, Dec!I48)</f>
        <v>0</v>
      </c>
      <c r="J48" s="14">
        <f t="shared" si="5"/>
        <v>0</v>
      </c>
      <c r="K48" s="14">
        <f>IFERROR(AVERAGE(Oct!K48, Nov!K48, Dec!K48),"")</f>
        <v>1</v>
      </c>
      <c r="L48" s="39"/>
      <c r="M48" s="40"/>
    </row>
    <row r="49" spans="1:13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f>SUM(Oct!D49, Nov!D49, Dec!D49)</f>
        <v>12866.375</v>
      </c>
      <c r="E49" s="15">
        <f>SUM(Oct!E49, Nov!E49, Dec!E49)</f>
        <v>13257.12</v>
      </c>
      <c r="F49" s="15">
        <f t="shared" si="3"/>
        <v>-390.7450000000008</v>
      </c>
      <c r="G49" s="16">
        <f t="shared" si="4"/>
        <v>-2.9474350386811069E-2</v>
      </c>
      <c r="H49" s="17">
        <f>SUM(Oct!H49,Nov!H49,Dec!H49)</f>
        <v>12729.58</v>
      </c>
      <c r="I49" s="17">
        <f>SUM(Oct!I49, Nov!I49, Dec!I49)</f>
        <v>0</v>
      </c>
      <c r="J49" s="16">
        <f t="shared" si="5"/>
        <v>0</v>
      </c>
      <c r="K49" s="14">
        <f>IFERROR(AVERAGE(Oct!K49, Nov!K49, Dec!K49),"")</f>
        <v>1</v>
      </c>
      <c r="L49" s="39"/>
      <c r="M49" s="40"/>
    </row>
    <row r="50" spans="1:13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f>SUM(Oct!D50, Nov!D50, Dec!D50)</f>
        <v>17235</v>
      </c>
      <c r="E50" s="11">
        <f>SUM(Oct!E50, Nov!E50, Dec!E50)</f>
        <v>19678.18</v>
      </c>
      <c r="F50" s="11">
        <f t="shared" si="3"/>
        <v>-2443.1800000000003</v>
      </c>
      <c r="G50" s="12">
        <f t="shared" si="4"/>
        <v>-0.12415680718440426</v>
      </c>
      <c r="H50" s="13">
        <f>SUM(Oct!H50,Nov!H50,Dec!H50)</f>
        <v>17141.27</v>
      </c>
      <c r="I50" s="13">
        <f>SUM(Oct!I50, Nov!I50, Dec!I50)</f>
        <v>0</v>
      </c>
      <c r="J50" s="14">
        <f t="shared" si="5"/>
        <v>0</v>
      </c>
      <c r="K50" s="14">
        <f>IFERROR(AVERAGE(Oct!K50, Nov!K50, Dec!K50),"")</f>
        <v>1</v>
      </c>
      <c r="L50" s="39"/>
      <c r="M50" s="40"/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f>SUM(Oct!D51, Nov!D51, Dec!D51)</f>
        <v>10101.53125</v>
      </c>
      <c r="E51" s="15">
        <f>SUM(Oct!E51, Nov!E51, Dec!E51)</f>
        <v>10801.6</v>
      </c>
      <c r="F51" s="15">
        <f t="shared" si="3"/>
        <v>-700.06875000000036</v>
      </c>
      <c r="G51" s="16">
        <f t="shared" si="4"/>
        <v>-6.4811578840171857E-2</v>
      </c>
      <c r="H51" s="17">
        <f>SUM(Oct!H51,Nov!H51,Dec!H51)</f>
        <v>10659</v>
      </c>
      <c r="I51" s="17">
        <f>SUM(Oct!I51, Nov!I51, Dec!I51)</f>
        <v>0</v>
      </c>
      <c r="J51" s="16">
        <f t="shared" si="5"/>
        <v>0</v>
      </c>
      <c r="K51" s="14">
        <f>IFERROR(AVERAGE(Oct!K51, Nov!K51, Dec!K51),"")</f>
        <v>1</v>
      </c>
      <c r="L51" s="39"/>
      <c r="M51" s="40"/>
    </row>
    <row r="52" spans="1:13" ht="15.6">
      <c r="A52" s="25" t="str">
        <v>Q157</v>
      </c>
      <c r="B52" s="26" t="str">
        <v>NY</v>
      </c>
      <c r="C52" s="26" t="str">
        <f>Sites[[#This Row],[SOL'#]]</f>
        <v>SOL-10404</v>
      </c>
      <c r="D52" s="21">
        <f>SUM(Oct!D52, Nov!D52, Dec!D52)</f>
        <v>17830.125</v>
      </c>
      <c r="E52" s="11">
        <f>SUM(Oct!E52, Nov!E52, Dec!E52)</f>
        <v>21015.41</v>
      </c>
      <c r="F52" s="11">
        <f t="shared" si="3"/>
        <v>-3185.2849999999999</v>
      </c>
      <c r="G52" s="12">
        <f t="shared" si="4"/>
        <v>-0.15156901530829042</v>
      </c>
      <c r="H52" s="13">
        <f>SUM(Oct!H52,Nov!H52,Dec!H52)</f>
        <v>1937.6610000000001</v>
      </c>
      <c r="I52" s="13">
        <f>SUM(Oct!I52, Nov!I52, Dec!I52)</f>
        <v>0</v>
      </c>
      <c r="J52" s="14">
        <f t="shared" si="5"/>
        <v>0</v>
      </c>
      <c r="K52" s="14">
        <f>IFERROR(AVERAGE(Oct!K52, Nov!K52, Dec!K52),"")</f>
        <v>1</v>
      </c>
      <c r="L52" s="39"/>
      <c r="M52" s="40"/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f>SUM(Oct!D53, Nov!D53, Dec!D53)</f>
        <v>27681.75</v>
      </c>
      <c r="E53" s="15">
        <f>SUM(Oct!E53, Nov!E53, Dec!E53)</f>
        <v>31619</v>
      </c>
      <c r="F53" s="15">
        <f t="shared" si="3"/>
        <v>-3937.25</v>
      </c>
      <c r="G53" s="16">
        <f t="shared" si="4"/>
        <v>-0.12452164837597647</v>
      </c>
      <c r="H53" s="17">
        <f>SUM(Oct!H53,Nov!H53,Dec!H53)</f>
        <v>28127.15</v>
      </c>
      <c r="I53" s="17">
        <f>SUM(Oct!I53, Nov!I53, Dec!I53)</f>
        <v>0</v>
      </c>
      <c r="J53" s="16">
        <f t="shared" si="5"/>
        <v>0</v>
      </c>
      <c r="K53" s="14">
        <f>IFERROR(AVERAGE(Oct!K53, Nov!K53, Dec!K53),"")</f>
        <v>1</v>
      </c>
      <c r="L53" s="39"/>
      <c r="M53" s="40"/>
    </row>
    <row r="54" spans="1:13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f>SUM(Oct!D54, Nov!D54, Dec!D54)</f>
        <v>23266.375</v>
      </c>
      <c r="E54" s="11">
        <f>SUM(Oct!E54, Nov!E54, Dec!E54)</f>
        <v>23801.37</v>
      </c>
      <c r="F54" s="11">
        <f t="shared" si="3"/>
        <v>-534.99499999999898</v>
      </c>
      <c r="G54" s="12">
        <f t="shared" si="4"/>
        <v>-2.2477487640417296E-2</v>
      </c>
      <c r="H54" s="13">
        <f>SUM(Oct!H54,Nov!H54,Dec!H54)</f>
        <v>23419</v>
      </c>
      <c r="I54" s="13">
        <f>SUM(Oct!I54, Nov!I54, Dec!I54)</f>
        <v>0</v>
      </c>
      <c r="J54" s="14">
        <f t="shared" si="5"/>
        <v>0</v>
      </c>
      <c r="K54" s="14">
        <f>IFERROR(AVERAGE(Oct!K54, Nov!K54, Dec!K54),"")</f>
        <v>1</v>
      </c>
      <c r="L54" s="39"/>
      <c r="M54" s="40"/>
    </row>
    <row r="55" spans="1:13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f>SUM(Oct!D55, Nov!D55, Dec!D55)</f>
        <v>9246.96875</v>
      </c>
      <c r="E55" s="15">
        <f>SUM(Oct!E55, Nov!E55, Dec!E55)</f>
        <v>11755.71</v>
      </c>
      <c r="F55" s="15">
        <f t="shared" si="3"/>
        <v>-2508.7412499999991</v>
      </c>
      <c r="G55" s="16">
        <f t="shared" si="4"/>
        <v>-0.2134061872911121</v>
      </c>
      <c r="H55" s="17">
        <f>SUM(Oct!H55,Nov!H55,Dec!H55)</f>
        <v>869.34640000000002</v>
      </c>
      <c r="I55" s="17">
        <f>SUM(Oct!I55, Nov!I55, Dec!I55)</f>
        <v>0</v>
      </c>
      <c r="J55" s="16">
        <f t="shared" si="5"/>
        <v>0</v>
      </c>
      <c r="K55" s="14">
        <f>IFERROR(AVERAGE(Oct!K55, Nov!K55, Dec!K55),"")</f>
        <v>1</v>
      </c>
      <c r="L55" s="39"/>
      <c r="M55" s="40"/>
    </row>
    <row r="56" spans="1:13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f>SUM(Oct!D56, Nov!D56, Dec!D56)</f>
        <v>37608.0625</v>
      </c>
      <c r="E56" s="11">
        <f>SUM(Oct!E56, Nov!E56, Dec!E56)</f>
        <v>43696.83</v>
      </c>
      <c r="F56" s="11">
        <f t="shared" si="3"/>
        <v>-6088.7675000000017</v>
      </c>
      <c r="G56" s="12">
        <f t="shared" si="4"/>
        <v>-0.13934117188821252</v>
      </c>
      <c r="H56" s="13">
        <f>SUM(Oct!H56,Nov!H56,Dec!H56)</f>
        <v>30569</v>
      </c>
      <c r="I56" s="13">
        <f>SUM(Oct!I56, Nov!I56, Dec!I56)</f>
        <v>0</v>
      </c>
      <c r="J56" s="14">
        <f t="shared" si="5"/>
        <v>0</v>
      </c>
      <c r="K56" s="14">
        <f>IFERROR(AVERAGE(Oct!K56, Nov!K56, Dec!K56),"")</f>
        <v>1</v>
      </c>
      <c r="L56" s="39"/>
      <c r="M56" s="40"/>
    </row>
    <row r="57" spans="1:13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f>SUM(Oct!D57, Nov!D57, Dec!D57)</f>
        <v>44087.25</v>
      </c>
      <c r="E57" s="15">
        <f>SUM(Oct!E57, Nov!E57, Dec!E57)</f>
        <v>46222.31</v>
      </c>
      <c r="F57" s="15">
        <f t="shared" si="3"/>
        <v>-2135.0599999999977</v>
      </c>
      <c r="G57" s="16">
        <f t="shared" si="4"/>
        <v>-4.6191114204374419E-2</v>
      </c>
      <c r="H57" s="17">
        <f>SUM(Oct!H57,Nov!H57,Dec!H57)</f>
        <v>41872.269999999997</v>
      </c>
      <c r="I57" s="17">
        <f>SUM(Oct!I57, Nov!I57, Dec!I57)</f>
        <v>0</v>
      </c>
      <c r="J57" s="16">
        <f t="shared" si="5"/>
        <v>0</v>
      </c>
      <c r="K57" s="14">
        <f>IFERROR(AVERAGE(Oct!K57, Nov!K57, Dec!K57),"")</f>
        <v>1</v>
      </c>
      <c r="L57" s="39"/>
      <c r="M57" s="40"/>
    </row>
    <row r="58" spans="1:13" ht="15.6">
      <c r="A58" s="25" t="str">
        <v>Q435</v>
      </c>
      <c r="B58" s="26" t="str">
        <v>NY</v>
      </c>
      <c r="C58" s="26" t="str">
        <f>Sites[[#This Row],[SOL'#]]</f>
        <v>SOL-10923</v>
      </c>
      <c r="D58" s="21">
        <f>SUM(Oct!D58, Nov!D58, Dec!D58)</f>
        <v>55753.625</v>
      </c>
      <c r="E58" s="11">
        <f>SUM(Oct!E58, Nov!E58, Dec!E58)</f>
        <v>43537.14</v>
      </c>
      <c r="F58" s="11">
        <f t="shared" si="3"/>
        <v>12216.485000000001</v>
      </c>
      <c r="G58" s="12">
        <f t="shared" si="4"/>
        <v>0.28059916200283253</v>
      </c>
      <c r="H58" s="13">
        <f>SUM(Oct!H58,Nov!H58,Dec!H58)</f>
        <v>44849</v>
      </c>
      <c r="I58" s="13">
        <f>SUM(Oct!I58, Nov!I58, Dec!I58)</f>
        <v>0</v>
      </c>
      <c r="J58" s="14">
        <f t="shared" si="5"/>
        <v>0</v>
      </c>
      <c r="K58" s="14">
        <f>IFERROR(AVERAGE(Oct!K58, Nov!K58, Dec!K58),"")</f>
        <v>0.99417840000000002</v>
      </c>
      <c r="L58" s="39"/>
      <c r="M58" s="40"/>
    </row>
    <row r="59" spans="1:13" ht="15.6">
      <c r="A59" s="27" t="str">
        <v>Q485</v>
      </c>
      <c r="B59" s="28" t="str">
        <v>NY</v>
      </c>
      <c r="C59" s="28" t="str">
        <f>Sites[[#This Row],[SOL'#]]</f>
        <v>SOL-10869</v>
      </c>
      <c r="D59" s="10">
        <f>SUM(Oct!D59, Nov!D59, Dec!D59)</f>
        <v>48781.218750000102</v>
      </c>
      <c r="E59" s="15">
        <f>SUM(Oct!E59, Nov!E59, Dec!E59)</f>
        <v>44153.98</v>
      </c>
      <c r="F59" s="15">
        <f t="shared" si="3"/>
        <v>4627.2387500000987</v>
      </c>
      <c r="G59" s="16">
        <f t="shared" si="4"/>
        <v>0.10479777247713792</v>
      </c>
      <c r="H59" s="17">
        <f>SUM(Oct!H59,Nov!H59,Dec!H59)</f>
        <v>42597.919999999998</v>
      </c>
      <c r="I59" s="17">
        <f>SUM(Oct!I59, Nov!I59, Dec!I59)</f>
        <v>0</v>
      </c>
      <c r="J59" s="16">
        <f t="shared" si="5"/>
        <v>0</v>
      </c>
      <c r="K59" s="14">
        <f>IFERROR(AVERAGE(Oct!K59, Nov!K59, Dec!K59),"")</f>
        <v>1</v>
      </c>
      <c r="L59" s="39"/>
      <c r="M59" s="40"/>
    </row>
    <row r="60" spans="1:13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f>SUM(Oct!D60, Nov!D60, Dec!D60)</f>
        <v>35353.625</v>
      </c>
      <c r="E60" s="11">
        <f>SUM(Oct!E60, Nov!E60, Dec!E60)</f>
        <v>0</v>
      </c>
      <c r="F60" s="11">
        <f t="shared" si="3"/>
        <v>35353.625</v>
      </c>
      <c r="G60" s="12" t="str">
        <f t="shared" si="4"/>
        <v/>
      </c>
      <c r="H60" s="13">
        <f>SUM(Oct!H60,Nov!H60,Dec!H60)</f>
        <v>36194.410000000003</v>
      </c>
      <c r="I60" s="13">
        <f>SUM(Oct!I60, Nov!I60, Dec!I60)</f>
        <v>0</v>
      </c>
      <c r="J60" s="14">
        <f t="shared" si="5"/>
        <v>0</v>
      </c>
      <c r="K60" s="14">
        <f>IFERROR(AVERAGE(Oct!K60, Nov!K60, Dec!K60),"")</f>
        <v>1</v>
      </c>
      <c r="L60" s="39"/>
      <c r="M60" s="40"/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f>SUM(Oct!D61, Nov!D61, Dec!D61)</f>
        <v>54496.875</v>
      </c>
      <c r="E61" s="15">
        <f>SUM(Oct!E61, Nov!E61, Dec!E61)</f>
        <v>58023.38</v>
      </c>
      <c r="F61" s="15">
        <f t="shared" si="3"/>
        <v>-3526.5049999999974</v>
      </c>
      <c r="G61" s="16">
        <f t="shared" si="4"/>
        <v>-6.0777310801266617E-2</v>
      </c>
      <c r="H61" s="17">
        <f>SUM(Oct!H61,Nov!H61,Dec!H61)</f>
        <v>46322.02</v>
      </c>
      <c r="I61" s="17">
        <f>SUM(Oct!I61, Nov!I61, Dec!I61)</f>
        <v>0</v>
      </c>
      <c r="J61" s="16">
        <f t="shared" si="5"/>
        <v>0</v>
      </c>
      <c r="K61" s="14">
        <f>IFERROR(AVERAGE(Oct!K61, Nov!K61, Dec!K61),"")</f>
        <v>1</v>
      </c>
      <c r="L61" s="39"/>
      <c r="M61" s="40"/>
    </row>
    <row r="62" spans="1:13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f>SUM(Oct!D62, Nov!D62, Dec!D62)</f>
        <v>4948.6000000000104</v>
      </c>
      <c r="E62" s="11">
        <f>SUM(Oct!E62, Nov!E62, Dec!E62)</f>
        <v>0</v>
      </c>
      <c r="F62" s="11">
        <f t="shared" si="3"/>
        <v>4948.6000000000104</v>
      </c>
      <c r="G62" s="12" t="str">
        <f t="shared" si="4"/>
        <v/>
      </c>
      <c r="H62" s="13">
        <f>SUM(Oct!H62,Nov!H62,Dec!H62)</f>
        <v>4147.7629999999999</v>
      </c>
      <c r="I62" s="13">
        <f>SUM(Oct!I62, Nov!I62, Dec!I62)</f>
        <v>0</v>
      </c>
      <c r="J62" s="14">
        <f t="shared" si="5"/>
        <v>0</v>
      </c>
      <c r="K62" s="14">
        <f>IFERROR(AVERAGE(Oct!K62, Nov!K62, Dec!K62),"")</f>
        <v>1</v>
      </c>
      <c r="L62" s="39"/>
      <c r="M62" s="40"/>
    </row>
    <row r="63" spans="1:13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f>SUM(Oct!D63, Nov!D63, Dec!D63)</f>
        <v>22064.046875</v>
      </c>
      <c r="E63" s="15">
        <f>SUM(Oct!E63, Nov!E63, Dec!E63)</f>
        <v>24432.59</v>
      </c>
      <c r="F63" s="15">
        <f t="shared" si="3"/>
        <v>-2368.5431250000001</v>
      </c>
      <c r="G63" s="16">
        <f t="shared" si="4"/>
        <v>-9.6941958466130698E-2</v>
      </c>
      <c r="H63" s="17">
        <f>SUM(Oct!H63,Nov!H63,Dec!H63)</f>
        <v>18573</v>
      </c>
      <c r="I63" s="17">
        <f>SUM(Oct!I63, Nov!I63, Dec!I63)</f>
        <v>0</v>
      </c>
      <c r="J63" s="16">
        <f t="shared" si="5"/>
        <v>0</v>
      </c>
      <c r="K63" s="14">
        <f>IFERROR(AVERAGE(Oct!K63, Nov!K63, Dec!K63),"")</f>
        <v>0.98457840000000008</v>
      </c>
      <c r="L63" s="39"/>
      <c r="M63" s="40"/>
    </row>
    <row r="64" spans="1:13" ht="15.6">
      <c r="A64" s="25" t="str">
        <v>X026</v>
      </c>
      <c r="B64" s="26" t="str">
        <v>NY</v>
      </c>
      <c r="C64" s="26" t="str">
        <f>Sites[[#This Row],[SOL'#]]</f>
        <v>SOL-10420</v>
      </c>
      <c r="D64" s="21">
        <f>SUM(Oct!D64, Nov!D64, Dec!D64)</f>
        <v>0</v>
      </c>
      <c r="E64" s="11">
        <f>SUM(Oct!E64, Nov!E64, Dec!E64)</f>
        <v>0</v>
      </c>
      <c r="F64" s="11">
        <f t="shared" si="3"/>
        <v>0</v>
      </c>
      <c r="G64" s="12" t="str">
        <f t="shared" si="4"/>
        <v/>
      </c>
      <c r="H64" s="13">
        <f>SUM(Oct!H64,Nov!H64,Dec!H64)</f>
        <v>0</v>
      </c>
      <c r="I64" s="13">
        <f>SUM(Oct!I64, Nov!I64, Dec!I64)</f>
        <v>0</v>
      </c>
      <c r="J64" s="14" t="str">
        <f t="shared" si="5"/>
        <v/>
      </c>
      <c r="K64" s="14" t="str">
        <f>IFERROR(AVERAGE(Oct!K64, Nov!K64, Dec!K64),"")</f>
        <v/>
      </c>
      <c r="L64" s="39"/>
      <c r="M64" s="40"/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f>SUM(Oct!D65, Nov!D65, Dec!D65)</f>
        <v>0</v>
      </c>
      <c r="E65" s="15">
        <f>SUM(Oct!E65, Nov!E65, Dec!E65)</f>
        <v>0</v>
      </c>
      <c r="F65" s="15">
        <f t="shared" si="3"/>
        <v>0</v>
      </c>
      <c r="G65" s="16" t="str">
        <f t="shared" si="4"/>
        <v/>
      </c>
      <c r="H65" s="17">
        <f>SUM(Oct!H65,Nov!H65,Dec!H65)</f>
        <v>0</v>
      </c>
      <c r="I65" s="17">
        <f>SUM(Oct!I65, Nov!I65, Dec!I65)</f>
        <v>0</v>
      </c>
      <c r="J65" s="16" t="str">
        <f t="shared" si="5"/>
        <v/>
      </c>
      <c r="K65" s="14" t="str">
        <f>IFERROR(AVERAGE(Oct!K65, Nov!K65, Dec!K65),"")</f>
        <v/>
      </c>
      <c r="L65" s="39"/>
      <c r="M65" s="40"/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f>SUM(Oct!D66, Nov!D66, Dec!D66)</f>
        <v>0</v>
      </c>
      <c r="E66" s="11">
        <f>SUM(Oct!E66, Nov!E66, Dec!E66)</f>
        <v>0</v>
      </c>
      <c r="F66" s="11">
        <f t="shared" si="3"/>
        <v>0</v>
      </c>
      <c r="G66" s="12" t="str">
        <f t="shared" si="4"/>
        <v/>
      </c>
      <c r="H66" s="13">
        <f>SUM(Oct!H66,Nov!H66,Dec!H66)</f>
        <v>0</v>
      </c>
      <c r="I66" s="13">
        <f>SUM(Oct!I66, Nov!I66, Dec!I66)</f>
        <v>0</v>
      </c>
      <c r="J66" s="14" t="str">
        <f t="shared" si="5"/>
        <v/>
      </c>
      <c r="K66" s="14" t="str">
        <f>IFERROR(AVERAGE(Oct!K66, Nov!K66, Dec!K66),"")</f>
        <v/>
      </c>
      <c r="L66" s="39"/>
      <c r="M66" s="40"/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f>SUM(Oct!D67, Nov!D67, Dec!D67)</f>
        <v>0</v>
      </c>
      <c r="E67" s="15">
        <f>SUM(Oct!E67, Nov!E67, Dec!E67)</f>
        <v>0</v>
      </c>
      <c r="F67" s="15">
        <f t="shared" si="3"/>
        <v>0</v>
      </c>
      <c r="G67" s="16" t="str">
        <f t="shared" si="4"/>
        <v/>
      </c>
      <c r="H67" s="17">
        <f>SUM(Oct!H67,Nov!H67,Dec!H67)</f>
        <v>0</v>
      </c>
      <c r="I67" s="17">
        <f>SUM(Oct!I67, Nov!I67, Dec!I67)</f>
        <v>0</v>
      </c>
      <c r="J67" s="16" t="str">
        <f t="shared" si="5"/>
        <v/>
      </c>
      <c r="K67" s="14" t="str">
        <f>IFERROR(AVERAGE(Oct!K67, Nov!K67, Dec!K67),"")</f>
        <v/>
      </c>
      <c r="L67" s="39"/>
      <c r="M67" s="40"/>
    </row>
    <row r="68" spans="1:13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f>SUM(Oct!D68, Nov!D68, Dec!D68)</f>
        <v>0</v>
      </c>
      <c r="E68" s="11">
        <f>SUM(Oct!E68, Nov!E68, Dec!E68)</f>
        <v>0</v>
      </c>
      <c r="F68" s="11">
        <f t="shared" si="3"/>
        <v>0</v>
      </c>
      <c r="G68" s="12" t="str">
        <f t="shared" si="4"/>
        <v/>
      </c>
      <c r="H68" s="13">
        <f>SUM(Oct!H68,Nov!H68,Dec!H68)</f>
        <v>0</v>
      </c>
      <c r="I68" s="13">
        <f>SUM(Oct!I68, Nov!I68, Dec!I68)</f>
        <v>0</v>
      </c>
      <c r="J68" s="14" t="str">
        <f t="shared" si="5"/>
        <v/>
      </c>
      <c r="K68" s="14" t="str">
        <f>IFERROR(AVERAGE(Oct!K68, Nov!K68, Dec!K68),"")</f>
        <v/>
      </c>
      <c r="L68" s="39"/>
      <c r="M68" s="40"/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f>SUM(Oct!D69, Nov!D69, Dec!D69)</f>
        <v>0</v>
      </c>
      <c r="E69" s="15">
        <f>SUM(Oct!E69, Nov!E69, Dec!E69)</f>
        <v>0</v>
      </c>
      <c r="F69" s="15">
        <f t="shared" si="3"/>
        <v>0</v>
      </c>
      <c r="G69" s="16" t="str">
        <f t="shared" si="4"/>
        <v/>
      </c>
      <c r="H69" s="17">
        <f>SUM(Oct!H69,Nov!H69,Dec!H69)</f>
        <v>0</v>
      </c>
      <c r="I69" s="17">
        <f>SUM(Oct!I69, Nov!I69, Dec!I69)</f>
        <v>0</v>
      </c>
      <c r="J69" s="16" t="str">
        <f t="shared" si="5"/>
        <v/>
      </c>
      <c r="K69" s="14" t="str">
        <f>IFERROR(AVERAGE(Oct!K69, Nov!K69, Dec!K69),"")</f>
        <v/>
      </c>
      <c r="L69" s="39"/>
      <c r="M69" s="40"/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f>SUM(Oct!D70, Nov!D70, Dec!D70)</f>
        <v>29797.599625336199</v>
      </c>
      <c r="E70" s="11">
        <f>SUM(Oct!E70, Nov!E70, Dec!E70)</f>
        <v>30796.46</v>
      </c>
      <c r="F70" s="11">
        <f t="shared" si="3"/>
        <v>-998.86037466380003</v>
      </c>
      <c r="G70" s="12">
        <f t="shared" si="4"/>
        <v>-3.2434259478647871E-2</v>
      </c>
      <c r="H70" s="13">
        <f>SUM(Oct!H70,Nov!H70,Dec!H70)</f>
        <v>23270</v>
      </c>
      <c r="I70" s="13">
        <f>SUM(Oct!I70, Nov!I70, Dec!I70)</f>
        <v>0</v>
      </c>
      <c r="J70" s="14">
        <f t="shared" si="5"/>
        <v>0</v>
      </c>
      <c r="K70" s="14">
        <f>IFERROR(AVERAGE(Oct!K70, Nov!K70, Dec!K70),"")</f>
        <v>1</v>
      </c>
      <c r="L70" s="39"/>
      <c r="M70" s="40"/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f>SUM(Oct!D71, Nov!D71, Dec!D71)</f>
        <v>16861.734375</v>
      </c>
      <c r="E71" s="15">
        <f>SUM(Oct!E71, Nov!E71, Dec!E71)</f>
        <v>14643.91</v>
      </c>
      <c r="F71" s="15">
        <f t="shared" si="3"/>
        <v>2217.8243750000001</v>
      </c>
      <c r="G71" s="16">
        <f t="shared" si="4"/>
        <v>0.15145028718422882</v>
      </c>
      <c r="H71" s="17">
        <f>SUM(Oct!H71,Nov!H71,Dec!H71)</f>
        <v>13726</v>
      </c>
      <c r="I71" s="17">
        <f>SUM(Oct!I71, Nov!I71, Dec!I71)</f>
        <v>0</v>
      </c>
      <c r="J71" s="16">
        <f t="shared" si="5"/>
        <v>0</v>
      </c>
      <c r="K71" s="14">
        <f>IFERROR(AVERAGE(Oct!K71, Nov!K71, Dec!K71),"")</f>
        <v>0</v>
      </c>
      <c r="L71" s="39"/>
      <c r="M71" s="40"/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f>SUM(Oct!D72, Nov!D72, Dec!D72)</f>
        <v>0</v>
      </c>
      <c r="E72" s="11">
        <f>SUM(Oct!E72, Nov!E72, Dec!E72)</f>
        <v>0</v>
      </c>
      <c r="F72" s="11">
        <f t="shared" si="3"/>
        <v>0</v>
      </c>
      <c r="G72" s="12" t="str">
        <f t="shared" si="4"/>
        <v/>
      </c>
      <c r="H72" s="13">
        <f>SUM(Oct!H72,Nov!H72,Dec!H72)</f>
        <v>0</v>
      </c>
      <c r="I72" s="13">
        <f>SUM(Oct!I72, Nov!I72, Dec!I72)</f>
        <v>0</v>
      </c>
      <c r="J72" s="14" t="str">
        <f t="shared" si="5"/>
        <v/>
      </c>
      <c r="K72" s="14" t="str">
        <f>IFERROR(AVERAGE(Oct!K72, Nov!K72, Dec!K72),"")</f>
        <v/>
      </c>
      <c r="L72" s="39"/>
      <c r="M72" s="40"/>
    </row>
    <row r="73" spans="1:13" ht="15.6">
      <c r="A73" s="27" t="str">
        <v>Murphy</v>
      </c>
      <c r="B73" s="28" t="str">
        <v>MN</v>
      </c>
      <c r="C73" s="28" t="str">
        <f>Sites[[#This Row],[SOL'#]]</f>
        <v>SOL-10094</v>
      </c>
      <c r="D73" s="10">
        <f>SUM(Oct!D73, Nov!D73, Dec!D73)</f>
        <v>720390</v>
      </c>
      <c r="E73" s="15">
        <f>SUM(Oct!E73, Nov!E73, Dec!E73)</f>
        <v>840926</v>
      </c>
      <c r="F73" s="15">
        <f t="shared" si="3"/>
        <v>-120536</v>
      </c>
      <c r="G73" s="16">
        <f t="shared" si="4"/>
        <v>-0.14333722586767444</v>
      </c>
      <c r="H73" s="17">
        <f>SUM(Oct!H73,Nov!H73,Dec!H73)</f>
        <v>666932.80000000005</v>
      </c>
      <c r="I73" s="17">
        <f>SUM(Oct!I73, Nov!I73, Dec!I73)</f>
        <v>0</v>
      </c>
      <c r="J73" s="16">
        <f t="shared" si="5"/>
        <v>0</v>
      </c>
      <c r="K73" s="14">
        <f>IFERROR(AVERAGE(Oct!K73, Nov!K73, Dec!K73),"")</f>
        <v>0.92110510000000001</v>
      </c>
      <c r="L73" s="39"/>
      <c r="M73" s="40"/>
    </row>
    <row r="74" spans="1:13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f>SUM(Oct!D74, Nov!D74, Dec!D74)</f>
        <v>794928.52500000002</v>
      </c>
      <c r="E74" s="11">
        <f>SUM(Oct!E74, Nov!E74, Dec!E74)</f>
        <v>840389.1</v>
      </c>
      <c r="F74" s="11">
        <f t="shared" si="3"/>
        <v>-45460.574999999953</v>
      </c>
      <c r="G74" s="12">
        <f t="shared" si="4"/>
        <v>-5.4094674716747226E-2</v>
      </c>
      <c r="H74" s="13">
        <f>SUM(Oct!H74,Nov!H74,Dec!H74)</f>
        <v>641083.9</v>
      </c>
      <c r="I74" s="13">
        <f>SUM(Oct!I74, Nov!I74, Dec!I74)</f>
        <v>0</v>
      </c>
      <c r="J74" s="14">
        <f t="shared" si="5"/>
        <v>0</v>
      </c>
      <c r="K74" s="14">
        <f>IFERROR(AVERAGE(Oct!K74, Nov!K74, Dec!K74),"")</f>
        <v>1</v>
      </c>
      <c r="L74" s="39"/>
      <c r="M74" s="40"/>
    </row>
    <row r="75" spans="1:13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f>SUM(Oct!D75, Nov!D75, Dec!D75)</f>
        <v>0</v>
      </c>
      <c r="E75" s="15">
        <f>SUM(Oct!E75, Nov!E75, Dec!E75)</f>
        <v>0</v>
      </c>
      <c r="F75" s="15">
        <f t="shared" si="3"/>
        <v>0</v>
      </c>
      <c r="G75" s="16" t="str">
        <f t="shared" si="4"/>
        <v/>
      </c>
      <c r="H75" s="17">
        <f>SUM(Oct!H75,Nov!H75,Dec!H75)</f>
        <v>0</v>
      </c>
      <c r="I75" s="17">
        <f>SUM(Oct!I75, Nov!I75, Dec!I75)</f>
        <v>0</v>
      </c>
      <c r="J75" s="16" t="str">
        <f t="shared" si="5"/>
        <v/>
      </c>
      <c r="K75" s="14" t="str">
        <f>IFERROR(AVERAGE(Oct!K75, Nov!K75, Dec!K75),"")</f>
        <v/>
      </c>
      <c r="L75" s="39"/>
      <c r="M75" s="40"/>
    </row>
    <row r="76" spans="1:13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f>SUM(Oct!D76, Nov!D76, Dec!D76)</f>
        <v>0</v>
      </c>
      <c r="E76" s="11">
        <f>SUM(Oct!E76, Nov!E76, Dec!E76)</f>
        <v>0</v>
      </c>
      <c r="F76" s="11">
        <f t="shared" si="3"/>
        <v>0</v>
      </c>
      <c r="G76" s="12" t="str">
        <f t="shared" si="4"/>
        <v/>
      </c>
      <c r="H76" s="13">
        <f>SUM(Oct!H76,Nov!H76,Dec!H76)</f>
        <v>0</v>
      </c>
      <c r="I76" s="13">
        <f>SUM(Oct!I76, Nov!I76, Dec!I76)</f>
        <v>0</v>
      </c>
      <c r="J76" s="14" t="str">
        <f t="shared" si="5"/>
        <v/>
      </c>
      <c r="K76" s="14" t="str">
        <f>IFERROR(AVERAGE(Oct!K76, Nov!K76, Dec!K76),"")</f>
        <v/>
      </c>
      <c r="L76" s="39"/>
      <c r="M76" s="40"/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f>SUM(Oct!D77, Nov!D77, Dec!D77)</f>
        <v>0</v>
      </c>
      <c r="E77" s="15">
        <f>SUM(Oct!E77, Nov!E77, Dec!E77)</f>
        <v>0</v>
      </c>
      <c r="F77" s="15">
        <f t="shared" si="3"/>
        <v>0</v>
      </c>
      <c r="G77" s="16" t="str">
        <f t="shared" si="4"/>
        <v/>
      </c>
      <c r="H77" s="17">
        <f>SUM(Oct!H77,Nov!H77,Dec!H77)</f>
        <v>0</v>
      </c>
      <c r="I77" s="17">
        <f>SUM(Oct!I77, Nov!I77, Dec!I77)</f>
        <v>0</v>
      </c>
      <c r="J77" s="16" t="str">
        <f t="shared" si="5"/>
        <v/>
      </c>
      <c r="K77" s="14" t="str">
        <f>IFERROR(AVERAGE(Oct!K77, Nov!K77, Dec!K77),"")</f>
        <v/>
      </c>
      <c r="L77" s="39"/>
      <c r="M77" s="40"/>
    </row>
    <row r="78" spans="1:13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f>SUM(Oct!D78, Nov!D78, Dec!D78)</f>
        <v>0</v>
      </c>
      <c r="E78" s="11">
        <f>SUM(Oct!E78, Nov!E78, Dec!E78)</f>
        <v>0</v>
      </c>
      <c r="F78" s="11">
        <f t="shared" si="3"/>
        <v>0</v>
      </c>
      <c r="G78" s="12" t="str">
        <f t="shared" si="4"/>
        <v/>
      </c>
      <c r="H78" s="13">
        <f>SUM(Oct!H78,Nov!H78,Dec!H78)</f>
        <v>0</v>
      </c>
      <c r="I78" s="13">
        <f>SUM(Oct!I78, Nov!I78, Dec!I78)</f>
        <v>0</v>
      </c>
      <c r="J78" s="14" t="str">
        <f t="shared" si="5"/>
        <v/>
      </c>
      <c r="K78" s="14" t="str">
        <f>IFERROR(AVERAGE(Oct!K78, Nov!K78, Dec!K78),"")</f>
        <v/>
      </c>
      <c r="L78" s="39"/>
      <c r="M78" s="40"/>
    </row>
    <row r="79" spans="1:13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f>SUM(Oct!D79, Nov!D79, Dec!D79)</f>
        <v>0</v>
      </c>
      <c r="E79" s="15">
        <f>SUM(Oct!E79, Nov!E79, Dec!E79)</f>
        <v>0</v>
      </c>
      <c r="F79" s="15">
        <f t="shared" si="3"/>
        <v>0</v>
      </c>
      <c r="G79" s="16" t="str">
        <f t="shared" si="4"/>
        <v/>
      </c>
      <c r="H79" s="17">
        <f>SUM(Oct!H79,Nov!H79,Dec!H79)</f>
        <v>0</v>
      </c>
      <c r="I79" s="17">
        <f>SUM(Oct!I79, Nov!I79, Dec!I79)</f>
        <v>0</v>
      </c>
      <c r="J79" s="16" t="str">
        <f t="shared" si="5"/>
        <v/>
      </c>
      <c r="K79" s="14" t="str">
        <f>IFERROR(AVERAGE(Oct!K79, Nov!K79, Dec!K79),"")</f>
        <v/>
      </c>
      <c r="L79" s="39"/>
      <c r="M79" s="40"/>
    </row>
    <row r="80" spans="1:13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f>SUM(Oct!D80, Nov!D80, Dec!D80)</f>
        <v>0</v>
      </c>
      <c r="E80" s="11">
        <f>SUM(Oct!E80, Nov!E80, Dec!E80)</f>
        <v>0</v>
      </c>
      <c r="F80" s="11">
        <f t="shared" ref="F80:F143" si="6">IF(AND(ISNUMBER(D80),ISNUMBER(E80)), D80-E80, "")</f>
        <v>0</v>
      </c>
      <c r="G80" s="12" t="str">
        <f t="shared" ref="G80:G143" si="7">IFERROR(F80/E80, "")</f>
        <v/>
      </c>
      <c r="H80" s="13">
        <f>SUM(Oct!H80,Nov!H80,Dec!H80)</f>
        <v>0</v>
      </c>
      <c r="I80" s="13">
        <f>SUM(Oct!I80, Nov!I80, Dec!I80)</f>
        <v>0</v>
      </c>
      <c r="J80" s="14" t="str">
        <f t="shared" ref="J80:J143" si="8">IFERROR(I80/H80, "")</f>
        <v/>
      </c>
      <c r="K80" s="14" t="str">
        <f>IFERROR(AVERAGE(Oct!K80, Nov!K80, Dec!K80),"")</f>
        <v/>
      </c>
      <c r="L80" s="39"/>
      <c r="M80" s="40"/>
    </row>
    <row r="81" spans="1:13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f>SUM(Oct!D81, Nov!D81, Dec!D81)</f>
        <v>0</v>
      </c>
      <c r="E81" s="15">
        <f>SUM(Oct!E81, Nov!E81, Dec!E81)</f>
        <v>0</v>
      </c>
      <c r="F81" s="15">
        <f t="shared" si="6"/>
        <v>0</v>
      </c>
      <c r="G81" s="16" t="str">
        <f t="shared" si="7"/>
        <v/>
      </c>
      <c r="H81" s="17">
        <f>SUM(Oct!H81,Nov!H81,Dec!H81)</f>
        <v>0</v>
      </c>
      <c r="I81" s="17">
        <f>SUM(Oct!I81, Nov!I81, Dec!I81)</f>
        <v>0</v>
      </c>
      <c r="J81" s="16" t="str">
        <f t="shared" si="8"/>
        <v/>
      </c>
      <c r="K81" s="14" t="str">
        <f>IFERROR(AVERAGE(Oct!K81, Nov!K81, Dec!K81),"")</f>
        <v/>
      </c>
      <c r="L81" s="39"/>
      <c r="M81" s="40"/>
    </row>
    <row r="82" spans="1:13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f>SUM(Oct!D82, Nov!D82, Dec!D82)</f>
        <v>0</v>
      </c>
      <c r="E82" s="11">
        <f>SUM(Oct!E82, Nov!E82, Dec!E82)</f>
        <v>0</v>
      </c>
      <c r="F82" s="11">
        <f t="shared" si="6"/>
        <v>0</v>
      </c>
      <c r="G82" s="12" t="str">
        <f t="shared" si="7"/>
        <v/>
      </c>
      <c r="H82" s="13">
        <f>SUM(Oct!H82,Nov!H82,Dec!H82)</f>
        <v>0</v>
      </c>
      <c r="I82" s="13">
        <f>SUM(Oct!I82, Nov!I82, Dec!I82)</f>
        <v>0</v>
      </c>
      <c r="J82" s="14" t="str">
        <f t="shared" si="8"/>
        <v/>
      </c>
      <c r="K82" s="14" t="str">
        <f>IFERROR(AVERAGE(Oct!K82, Nov!K82, Dec!K82),"")</f>
        <v/>
      </c>
      <c r="L82" s="39"/>
      <c r="M82" s="40"/>
    </row>
    <row r="83" spans="1:13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f>SUM(Oct!D83, Nov!D83, Dec!D83)</f>
        <v>0</v>
      </c>
      <c r="E83" s="15">
        <f>SUM(Oct!E83, Nov!E83, Dec!E83)</f>
        <v>0</v>
      </c>
      <c r="F83" s="15">
        <f t="shared" si="6"/>
        <v>0</v>
      </c>
      <c r="G83" s="16" t="str">
        <f t="shared" si="7"/>
        <v/>
      </c>
      <c r="H83" s="17">
        <f>SUM(Oct!H83,Nov!H83,Dec!H83)</f>
        <v>0</v>
      </c>
      <c r="I83" s="17">
        <f>SUM(Oct!I83, Nov!I83, Dec!I83)</f>
        <v>0</v>
      </c>
      <c r="J83" s="16" t="str">
        <f t="shared" si="8"/>
        <v/>
      </c>
      <c r="K83" s="14" t="str">
        <f>IFERROR(AVERAGE(Oct!K83, Nov!K83, Dec!K83),"")</f>
        <v/>
      </c>
      <c r="L83" s="39"/>
      <c r="M83" s="40"/>
    </row>
    <row r="84" spans="1:13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f>SUM(Oct!D84, Nov!D84, Dec!D84)</f>
        <v>0</v>
      </c>
      <c r="E84" s="11">
        <f>SUM(Oct!E84, Nov!E84, Dec!E84)</f>
        <v>0</v>
      </c>
      <c r="F84" s="11">
        <f t="shared" si="6"/>
        <v>0</v>
      </c>
      <c r="G84" s="12" t="str">
        <f t="shared" si="7"/>
        <v/>
      </c>
      <c r="H84" s="13">
        <f>SUM(Oct!H84,Nov!H84,Dec!H84)</f>
        <v>0</v>
      </c>
      <c r="I84" s="13">
        <f>SUM(Oct!I84, Nov!I84, Dec!I84)</f>
        <v>0</v>
      </c>
      <c r="J84" s="14" t="str">
        <f t="shared" si="8"/>
        <v/>
      </c>
      <c r="K84" s="14" t="str">
        <f>IFERROR(AVERAGE(Oct!K84, Nov!K84, Dec!K84),"")</f>
        <v/>
      </c>
      <c r="L84" s="39"/>
      <c r="M84" s="40"/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f>SUM(Oct!D85, Nov!D85, Dec!D85)</f>
        <v>0</v>
      </c>
      <c r="E85" s="15">
        <f>SUM(Oct!E85, Nov!E85, Dec!E85)</f>
        <v>0</v>
      </c>
      <c r="F85" s="15">
        <f t="shared" si="6"/>
        <v>0</v>
      </c>
      <c r="G85" s="16" t="str">
        <f t="shared" si="7"/>
        <v/>
      </c>
      <c r="H85" s="17">
        <f>SUM(Oct!H85,Nov!H85,Dec!H85)</f>
        <v>0</v>
      </c>
      <c r="I85" s="17">
        <f>SUM(Oct!I85, Nov!I85, Dec!I85)</f>
        <v>0</v>
      </c>
      <c r="J85" s="16" t="str">
        <f t="shared" si="8"/>
        <v/>
      </c>
      <c r="K85" s="14" t="str">
        <f>IFERROR(AVERAGE(Oct!K85, Nov!K85, Dec!K85),"")</f>
        <v/>
      </c>
      <c r="L85" s="39"/>
      <c r="M85" s="40"/>
    </row>
    <row r="86" spans="1:13" ht="15.6">
      <c r="A86" s="25" t="str">
        <v>Canoga</v>
      </c>
      <c r="B86" s="26" t="str">
        <v>NY</v>
      </c>
      <c r="C86" s="26" t="str">
        <f>Sites[[#This Row],[SOL'#]]</f>
        <v>SOL-10965</v>
      </c>
      <c r="D86" s="21">
        <f>SUM(Oct!D86, Nov!D86, Dec!D86)</f>
        <v>0</v>
      </c>
      <c r="E86" s="11">
        <f>SUM(Oct!E86, Nov!E86, Dec!E86)</f>
        <v>0</v>
      </c>
      <c r="F86" s="11">
        <f t="shared" si="6"/>
        <v>0</v>
      </c>
      <c r="G86" s="12" t="str">
        <f t="shared" si="7"/>
        <v/>
      </c>
      <c r="H86" s="13">
        <f>SUM(Oct!H86,Nov!H86,Dec!H86)</f>
        <v>0</v>
      </c>
      <c r="I86" s="13">
        <f>SUM(Oct!I86, Nov!I86, Dec!I86)</f>
        <v>0</v>
      </c>
      <c r="J86" s="14" t="str">
        <f t="shared" si="8"/>
        <v/>
      </c>
      <c r="K86" s="14" t="str">
        <f>IFERROR(AVERAGE(Oct!K86, Nov!K86, Dec!K86),"")</f>
        <v/>
      </c>
      <c r="L86" s="39"/>
      <c r="M86" s="40"/>
    </row>
    <row r="87" spans="1:13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f>SUM(Oct!D87, Nov!D87, Dec!D87)</f>
        <v>0</v>
      </c>
      <c r="E87" s="15">
        <f>SUM(Oct!E87, Nov!E87, Dec!E87)</f>
        <v>0</v>
      </c>
      <c r="F87" s="15">
        <f t="shared" si="6"/>
        <v>0</v>
      </c>
      <c r="G87" s="16" t="str">
        <f t="shared" si="7"/>
        <v/>
      </c>
      <c r="H87" s="17">
        <f>SUM(Oct!H87,Nov!H87,Dec!H87)</f>
        <v>0</v>
      </c>
      <c r="I87" s="17">
        <f>SUM(Oct!I87, Nov!I87, Dec!I87)</f>
        <v>0</v>
      </c>
      <c r="J87" s="16" t="str">
        <f t="shared" si="8"/>
        <v/>
      </c>
      <c r="K87" s="14" t="str">
        <f>IFERROR(AVERAGE(Oct!K87, Nov!K87, Dec!K87),"")</f>
        <v/>
      </c>
      <c r="L87" s="39"/>
      <c r="M87" s="40"/>
    </row>
    <row r="88" spans="1:13" ht="15.6">
      <c r="A88" s="25" t="str">
        <v>Donati</v>
      </c>
      <c r="B88" s="26" t="str">
        <v>NY</v>
      </c>
      <c r="C88" s="26" t="str">
        <f>Sites[[#This Row],[SOL'#]]</f>
        <v>SOL-10968</v>
      </c>
      <c r="D88" s="21">
        <f>SUM(Oct!D88, Nov!D88, Dec!D88)</f>
        <v>0</v>
      </c>
      <c r="E88" s="11">
        <f>SUM(Oct!E88, Nov!E88, Dec!E88)</f>
        <v>0</v>
      </c>
      <c r="F88" s="11">
        <f t="shared" si="6"/>
        <v>0</v>
      </c>
      <c r="G88" s="12" t="str">
        <f t="shared" si="7"/>
        <v/>
      </c>
      <c r="H88" s="13">
        <f>SUM(Oct!H88,Nov!H88,Dec!H88)</f>
        <v>0</v>
      </c>
      <c r="I88" s="13">
        <f>SUM(Oct!I88, Nov!I88, Dec!I88)</f>
        <v>0</v>
      </c>
      <c r="J88" s="14" t="str">
        <f t="shared" si="8"/>
        <v/>
      </c>
      <c r="K88" s="14" t="str">
        <f>IFERROR(AVERAGE(Oct!K88, Nov!K88, Dec!K88),"")</f>
        <v/>
      </c>
      <c r="L88" s="39"/>
      <c r="M88" s="40"/>
    </row>
    <row r="89" spans="1:13" ht="15.6">
      <c r="A89" s="27" t="str">
        <v>Henrietta</v>
      </c>
      <c r="B89" s="28" t="str">
        <v>NY</v>
      </c>
      <c r="C89" s="28" t="str">
        <f>Sites[[#This Row],[SOL'#]]</f>
        <v>SOL-10972</v>
      </c>
      <c r="D89" s="10">
        <f>SUM(Oct!D89, Nov!D89, Dec!D89)</f>
        <v>0</v>
      </c>
      <c r="E89" s="15">
        <f>SUM(Oct!E89, Nov!E89, Dec!E89)</f>
        <v>0</v>
      </c>
      <c r="F89" s="15">
        <f t="shared" si="6"/>
        <v>0</v>
      </c>
      <c r="G89" s="16" t="str">
        <f t="shared" si="7"/>
        <v/>
      </c>
      <c r="H89" s="17">
        <f>SUM(Oct!H89,Nov!H89,Dec!H89)</f>
        <v>0</v>
      </c>
      <c r="I89" s="17">
        <f>SUM(Oct!I89, Nov!I89, Dec!I89)</f>
        <v>0</v>
      </c>
      <c r="J89" s="16" t="str">
        <f t="shared" si="8"/>
        <v/>
      </c>
      <c r="K89" s="14" t="str">
        <f>IFERROR(AVERAGE(Oct!K89, Nov!K89, Dec!K89),"")</f>
        <v/>
      </c>
      <c r="L89" s="39"/>
      <c r="M89" s="40"/>
    </row>
    <row r="90" spans="1:13" ht="15.6">
      <c r="A90" s="25" t="str">
        <v>NY 70</v>
      </c>
      <c r="B90" s="26" t="str">
        <v>NY</v>
      </c>
      <c r="C90" s="26" t="str">
        <f>Sites[[#This Row],[SOL'#]]</f>
        <v>SOL-10970</v>
      </c>
      <c r="D90" s="21">
        <f>SUM(Oct!D90, Nov!D90, Dec!D90)</f>
        <v>0</v>
      </c>
      <c r="E90" s="11">
        <f>SUM(Oct!E90, Nov!E90, Dec!E90)</f>
        <v>0</v>
      </c>
      <c r="F90" s="11">
        <f t="shared" si="6"/>
        <v>0</v>
      </c>
      <c r="G90" s="12" t="str">
        <f t="shared" si="7"/>
        <v/>
      </c>
      <c r="H90" s="13">
        <f>SUM(Oct!H90,Nov!H90,Dec!H90)</f>
        <v>0</v>
      </c>
      <c r="I90" s="13">
        <f>SUM(Oct!I90, Nov!I90, Dec!I90)</f>
        <v>0</v>
      </c>
      <c r="J90" s="14" t="str">
        <f t="shared" si="8"/>
        <v/>
      </c>
      <c r="K90" s="14" t="str">
        <f>IFERROR(AVERAGE(Oct!K90, Nov!K90, Dec!K90),"")</f>
        <v/>
      </c>
      <c r="L90" s="39"/>
      <c r="M90" s="40"/>
    </row>
    <row r="91" spans="1:13" ht="15.6">
      <c r="A91" s="27" t="str">
        <v>Reid</v>
      </c>
      <c r="B91" s="28" t="str">
        <v>NY</v>
      </c>
      <c r="C91" s="28" t="str">
        <f>Sites[[#This Row],[SOL'#]]</f>
        <v>SOL-10991</v>
      </c>
      <c r="D91" s="10">
        <f>SUM(Oct!D91, Nov!D91, Dec!D91)</f>
        <v>641136.917615682</v>
      </c>
      <c r="E91" s="15">
        <f>SUM(Oct!E91, Nov!E91, Dec!E91)</f>
        <v>640208.9</v>
      </c>
      <c r="F91" s="15">
        <f t="shared" si="6"/>
        <v>928.01761568197981</v>
      </c>
      <c r="G91" s="16">
        <f t="shared" si="7"/>
        <v>1.4495543808934548E-3</v>
      </c>
      <c r="H91" s="17">
        <f>SUM(Oct!H91,Nov!H91,Dec!H91)</f>
        <v>540119</v>
      </c>
      <c r="I91" s="17">
        <f>SUM(Oct!I91, Nov!I91, Dec!I91)</f>
        <v>0</v>
      </c>
      <c r="J91" s="16">
        <f t="shared" si="8"/>
        <v>0</v>
      </c>
      <c r="K91" s="14">
        <f>IFERROR(AVERAGE(Oct!K91, Nov!K91, Dec!K91),"")</f>
        <v>1</v>
      </c>
      <c r="L91" s="39"/>
      <c r="M91" s="40"/>
    </row>
    <row r="92" spans="1:13" ht="15.6">
      <c r="A92" s="25" t="str">
        <v>Sangolqui</v>
      </c>
      <c r="B92" s="26" t="str">
        <v>NY</v>
      </c>
      <c r="C92" s="26" t="str">
        <f>Sites[[#This Row],[SOL'#]]</f>
        <v>SOL-10975</v>
      </c>
      <c r="D92" s="21">
        <f>SUM(Oct!D92, Nov!D92, Dec!D92)</f>
        <v>0</v>
      </c>
      <c r="E92" s="11">
        <f>SUM(Oct!E92, Nov!E92, Dec!E92)</f>
        <v>0</v>
      </c>
      <c r="F92" s="11">
        <f t="shared" si="6"/>
        <v>0</v>
      </c>
      <c r="G92" s="12" t="str">
        <f t="shared" si="7"/>
        <v/>
      </c>
      <c r="H92" s="13">
        <f>SUM(Oct!H92,Nov!H92,Dec!H92)</f>
        <v>0</v>
      </c>
      <c r="I92" s="13">
        <f>SUM(Oct!I92, Nov!I92, Dec!I92)</f>
        <v>0</v>
      </c>
      <c r="J92" s="14" t="str">
        <f t="shared" si="8"/>
        <v/>
      </c>
      <c r="K92" s="14" t="str">
        <f>IFERROR(AVERAGE(Oct!K92, Nov!K92, Dec!K92),"")</f>
        <v/>
      </c>
      <c r="L92" s="39"/>
      <c r="M92" s="40"/>
    </row>
    <row r="93" spans="1:13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f>SUM(Oct!D93, Nov!D93, Dec!D93)</f>
        <v>0</v>
      </c>
      <c r="E93" s="15">
        <f>SUM(Oct!E93, Nov!E93, Dec!E93)</f>
        <v>0</v>
      </c>
      <c r="F93" s="15">
        <f t="shared" si="6"/>
        <v>0</v>
      </c>
      <c r="G93" s="16" t="str">
        <f t="shared" si="7"/>
        <v/>
      </c>
      <c r="H93" s="17">
        <f>SUM(Oct!H93,Nov!H93,Dec!H93)</f>
        <v>0</v>
      </c>
      <c r="I93" s="17">
        <f>SUM(Oct!I93, Nov!I93, Dec!I93)</f>
        <v>0</v>
      </c>
      <c r="J93" s="16" t="str">
        <f t="shared" si="8"/>
        <v/>
      </c>
      <c r="K93" s="14" t="str">
        <f>IFERROR(AVERAGE(Oct!K93, Nov!K93, Dec!K93),"")</f>
        <v/>
      </c>
      <c r="L93" s="39"/>
      <c r="M93" s="40"/>
    </row>
    <row r="94" spans="1:13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f>SUM(Oct!D94, Nov!D94, Dec!D94)</f>
        <v>0</v>
      </c>
      <c r="E94" s="11">
        <f>SUM(Oct!E94, Nov!E94, Dec!E94)</f>
        <v>0</v>
      </c>
      <c r="F94" s="11">
        <f t="shared" si="6"/>
        <v>0</v>
      </c>
      <c r="G94" s="12" t="str">
        <f t="shared" si="7"/>
        <v/>
      </c>
      <c r="H94" s="13">
        <f>SUM(Oct!H94,Nov!H94,Dec!H94)</f>
        <v>0</v>
      </c>
      <c r="I94" s="13">
        <f>SUM(Oct!I94, Nov!I94, Dec!I94)</f>
        <v>0</v>
      </c>
      <c r="J94" s="14" t="str">
        <f t="shared" si="8"/>
        <v/>
      </c>
      <c r="K94" s="14" t="str">
        <f>IFERROR(AVERAGE(Oct!K94, Nov!K94, Dec!K94),"")</f>
        <v/>
      </c>
      <c r="L94" s="39"/>
      <c r="M94" s="40"/>
    </row>
    <row r="95" spans="1:13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f>SUM(Oct!D95, Nov!D95, Dec!D95)</f>
        <v>0</v>
      </c>
      <c r="E95" s="15">
        <f>SUM(Oct!E95, Nov!E95, Dec!E95)</f>
        <v>0</v>
      </c>
      <c r="F95" s="15">
        <f t="shared" si="6"/>
        <v>0</v>
      </c>
      <c r="G95" s="16" t="str">
        <f t="shared" si="7"/>
        <v/>
      </c>
      <c r="H95" s="17">
        <f>SUM(Oct!H95,Nov!H95,Dec!H95)</f>
        <v>0</v>
      </c>
      <c r="I95" s="17">
        <f>SUM(Oct!I95, Nov!I95, Dec!I95)</f>
        <v>0</v>
      </c>
      <c r="J95" s="16" t="str">
        <f t="shared" si="8"/>
        <v/>
      </c>
      <c r="K95" s="14" t="str">
        <f>IFERROR(AVERAGE(Oct!K95, Nov!K95, Dec!K95),"")</f>
        <v/>
      </c>
      <c r="L95" s="39"/>
      <c r="M95" s="40"/>
    </row>
    <row r="96" spans="1:13" ht="15.6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f>SUM(Oct!D96, Nov!D96, Dec!D96)</f>
        <v>0</v>
      </c>
      <c r="E96" s="11">
        <f>SUM(Oct!E96, Nov!E96, Dec!E96)</f>
        <v>0</v>
      </c>
      <c r="F96" s="11">
        <f t="shared" si="6"/>
        <v>0</v>
      </c>
      <c r="G96" s="12" t="str">
        <f t="shared" si="7"/>
        <v/>
      </c>
      <c r="H96" s="13">
        <f>SUM(Oct!H96,Nov!H96,Dec!H96)</f>
        <v>0</v>
      </c>
      <c r="I96" s="13">
        <f>SUM(Oct!I96, Nov!I96, Dec!I96)</f>
        <v>0</v>
      </c>
      <c r="J96" s="14" t="str">
        <f t="shared" si="8"/>
        <v/>
      </c>
      <c r="K96" s="14" t="str">
        <f>IFERROR(AVERAGE(Oct!K96, Nov!K96, Dec!K96),"")</f>
        <v/>
      </c>
      <c r="L96" s="39"/>
      <c r="M96" s="40"/>
    </row>
    <row r="97" spans="1:13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f>SUM(Oct!D97, Nov!D97, Dec!D97)</f>
        <v>0</v>
      </c>
      <c r="E97" s="15">
        <f>SUM(Oct!E97, Nov!E97, Dec!E97)</f>
        <v>0</v>
      </c>
      <c r="F97" s="15">
        <f t="shared" si="6"/>
        <v>0</v>
      </c>
      <c r="G97" s="16" t="str">
        <f t="shared" si="7"/>
        <v/>
      </c>
      <c r="H97" s="17">
        <f>SUM(Oct!H97,Nov!H97,Dec!H97)</f>
        <v>0</v>
      </c>
      <c r="I97" s="17">
        <f>SUM(Oct!I97, Nov!I97, Dec!I97)</f>
        <v>0</v>
      </c>
      <c r="J97" s="16" t="str">
        <f t="shared" si="8"/>
        <v/>
      </c>
      <c r="K97" s="14" t="str">
        <f>IFERROR(AVERAGE(Oct!K97, Nov!K97, Dec!K97),"")</f>
        <v/>
      </c>
      <c r="L97" s="39"/>
      <c r="M97" s="40"/>
    </row>
    <row r="98" spans="1:13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f>SUM(Oct!D98, Nov!D98, Dec!D98)</f>
        <v>0</v>
      </c>
      <c r="E98" s="11">
        <f>SUM(Oct!E98, Nov!E98, Dec!E98)</f>
        <v>0</v>
      </c>
      <c r="F98" s="11">
        <f t="shared" si="6"/>
        <v>0</v>
      </c>
      <c r="G98" s="12" t="str">
        <f t="shared" si="7"/>
        <v/>
      </c>
      <c r="H98" s="13">
        <f>SUM(Oct!H98,Nov!H98,Dec!H98)</f>
        <v>0</v>
      </c>
      <c r="I98" s="13">
        <f>SUM(Oct!I98, Nov!I98, Dec!I98)</f>
        <v>0</v>
      </c>
      <c r="J98" s="14" t="str">
        <f t="shared" si="8"/>
        <v/>
      </c>
      <c r="K98" s="14" t="str">
        <f>IFERROR(AVERAGE(Oct!K98, Nov!K98, Dec!K98),"")</f>
        <v/>
      </c>
      <c r="L98" s="39"/>
      <c r="M98" s="40"/>
    </row>
    <row r="99" spans="1:13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f>SUM(Oct!D99, Nov!D99, Dec!D99)</f>
        <v>0</v>
      </c>
      <c r="E99" s="15">
        <f>SUM(Oct!E99, Nov!E99, Dec!E99)</f>
        <v>0</v>
      </c>
      <c r="F99" s="15">
        <f t="shared" si="6"/>
        <v>0</v>
      </c>
      <c r="G99" s="16" t="str">
        <f t="shared" si="7"/>
        <v/>
      </c>
      <c r="H99" s="17">
        <f>SUM(Oct!H99,Nov!H99,Dec!H99)</f>
        <v>0</v>
      </c>
      <c r="I99" s="17">
        <f>SUM(Oct!I99, Nov!I99, Dec!I99)</f>
        <v>0</v>
      </c>
      <c r="J99" s="16" t="str">
        <f t="shared" si="8"/>
        <v/>
      </c>
      <c r="K99" s="14" t="str">
        <f>IFERROR(AVERAGE(Oct!K99, Nov!K99, Dec!K99),"")</f>
        <v/>
      </c>
      <c r="L99" s="39"/>
      <c r="M99" s="40"/>
    </row>
    <row r="100" spans="1:13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f>SUM(Oct!D100, Nov!D100, Dec!D100)</f>
        <v>0</v>
      </c>
      <c r="E100" s="11">
        <f>SUM(Oct!E100, Nov!E100, Dec!E100)</f>
        <v>0</v>
      </c>
      <c r="F100" s="11">
        <f t="shared" si="6"/>
        <v>0</v>
      </c>
      <c r="G100" s="12" t="str">
        <f t="shared" si="7"/>
        <v/>
      </c>
      <c r="H100" s="13">
        <f>SUM(Oct!H100,Nov!H100,Dec!H100)</f>
        <v>0</v>
      </c>
      <c r="I100" s="13">
        <f>SUM(Oct!I100, Nov!I100, Dec!I100)</f>
        <v>0</v>
      </c>
      <c r="J100" s="14" t="str">
        <f t="shared" si="8"/>
        <v/>
      </c>
      <c r="K100" s="14" t="str">
        <f>IFERROR(AVERAGE(Oct!K100, Nov!K100, Dec!K100),"")</f>
        <v/>
      </c>
      <c r="L100" s="39"/>
      <c r="M100" s="40"/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f>SUM(Oct!D101, Nov!D101, Dec!D101)</f>
        <v>0</v>
      </c>
      <c r="E101" s="15">
        <f>SUM(Oct!E101, Nov!E101, Dec!E101)</f>
        <v>0</v>
      </c>
      <c r="F101" s="15">
        <f t="shared" si="6"/>
        <v>0</v>
      </c>
      <c r="G101" s="16" t="str">
        <f t="shared" si="7"/>
        <v/>
      </c>
      <c r="H101" s="17">
        <f>SUM(Oct!H101,Nov!H101,Dec!H101)</f>
        <v>0</v>
      </c>
      <c r="I101" s="17">
        <f>SUM(Oct!I101, Nov!I101, Dec!I101)</f>
        <v>0</v>
      </c>
      <c r="J101" s="16" t="str">
        <f t="shared" si="8"/>
        <v/>
      </c>
      <c r="K101" s="14" t="str">
        <f>IFERROR(AVERAGE(Oct!K101, Nov!K101, Dec!K101),"")</f>
        <v/>
      </c>
      <c r="L101" s="39"/>
      <c r="M101" s="40"/>
    </row>
    <row r="102" spans="1:13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f>SUM(Oct!D102, Nov!D102, Dec!D102)</f>
        <v>0</v>
      </c>
      <c r="E102" s="11">
        <f>SUM(Oct!E102, Nov!E102, Dec!E102)</f>
        <v>0</v>
      </c>
      <c r="F102" s="11">
        <f t="shared" si="6"/>
        <v>0</v>
      </c>
      <c r="G102" s="12" t="str">
        <f t="shared" si="7"/>
        <v/>
      </c>
      <c r="H102" s="13">
        <f>SUM(Oct!H102,Nov!H102,Dec!H102)</f>
        <v>0</v>
      </c>
      <c r="I102" s="13">
        <f>SUM(Oct!I102, Nov!I102, Dec!I102)</f>
        <v>0</v>
      </c>
      <c r="J102" s="14" t="str">
        <f t="shared" si="8"/>
        <v/>
      </c>
      <c r="K102" s="14" t="str">
        <f>IFERROR(AVERAGE(Oct!K102, Nov!K102, Dec!K102),"")</f>
        <v/>
      </c>
      <c r="L102" s="39"/>
      <c r="M102" s="40"/>
    </row>
    <row r="103" spans="1:13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f>SUM(Oct!D103, Nov!D103, Dec!D103)</f>
        <v>0</v>
      </c>
      <c r="E103" s="15">
        <f>SUM(Oct!E103, Nov!E103, Dec!E103)</f>
        <v>0</v>
      </c>
      <c r="F103" s="15">
        <f t="shared" si="6"/>
        <v>0</v>
      </c>
      <c r="G103" s="16" t="str">
        <f t="shared" si="7"/>
        <v/>
      </c>
      <c r="H103" s="17">
        <f>SUM(Oct!H103,Nov!H103,Dec!H103)</f>
        <v>0</v>
      </c>
      <c r="I103" s="17">
        <f>SUM(Oct!I103, Nov!I103, Dec!I103)</f>
        <v>0</v>
      </c>
      <c r="J103" s="16" t="str">
        <f t="shared" si="8"/>
        <v/>
      </c>
      <c r="K103" s="14" t="str">
        <f>IFERROR(AVERAGE(Oct!K103, Nov!K103, Dec!K103),"")</f>
        <v/>
      </c>
      <c r="L103" s="39"/>
      <c r="M103" s="40"/>
    </row>
    <row r="104" spans="1:13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f>SUM(Oct!D104, Nov!D104, Dec!D104)</f>
        <v>0</v>
      </c>
      <c r="E104" s="11">
        <f>SUM(Oct!E104, Nov!E104, Dec!E104)</f>
        <v>0</v>
      </c>
      <c r="F104" s="11">
        <f t="shared" si="6"/>
        <v>0</v>
      </c>
      <c r="G104" s="12" t="str">
        <f t="shared" si="7"/>
        <v/>
      </c>
      <c r="H104" s="13">
        <f>SUM(Oct!H104,Nov!H104,Dec!H104)</f>
        <v>0</v>
      </c>
      <c r="I104" s="13">
        <f>SUM(Oct!I104, Nov!I104, Dec!I104)</f>
        <v>0</v>
      </c>
      <c r="J104" s="14" t="str">
        <f t="shared" si="8"/>
        <v/>
      </c>
      <c r="K104" s="14" t="str">
        <f>IFERROR(AVERAGE(Oct!K104, Nov!K104, Dec!K104),"")</f>
        <v/>
      </c>
      <c r="L104" s="39"/>
      <c r="M104" s="40"/>
    </row>
    <row r="105" spans="1:13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f>SUM(Oct!D105, Nov!D105, Dec!D105)</f>
        <v>0</v>
      </c>
      <c r="E105" s="15">
        <f>SUM(Oct!E105, Nov!E105, Dec!E105)</f>
        <v>0</v>
      </c>
      <c r="F105" s="15">
        <f t="shared" si="6"/>
        <v>0</v>
      </c>
      <c r="G105" s="16" t="str">
        <f t="shared" si="7"/>
        <v/>
      </c>
      <c r="H105" s="17">
        <f>SUM(Oct!H105,Nov!H105,Dec!H105)</f>
        <v>0</v>
      </c>
      <c r="I105" s="17">
        <f>SUM(Oct!I105, Nov!I105, Dec!I105)</f>
        <v>0</v>
      </c>
      <c r="J105" s="16" t="str">
        <f t="shared" si="8"/>
        <v/>
      </c>
      <c r="K105" s="14" t="str">
        <f>IFERROR(AVERAGE(Oct!K105, Nov!K105, Dec!K105),"")</f>
        <v/>
      </c>
      <c r="L105" s="39"/>
      <c r="M105" s="40"/>
    </row>
    <row r="106" spans="1:13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f>SUM(Oct!D106, Nov!D106, Dec!D106)</f>
        <v>0</v>
      </c>
      <c r="E106" s="11">
        <f>SUM(Oct!E106, Nov!E106, Dec!E106)</f>
        <v>0</v>
      </c>
      <c r="F106" s="11">
        <f t="shared" si="6"/>
        <v>0</v>
      </c>
      <c r="G106" s="12" t="str">
        <f t="shared" si="7"/>
        <v/>
      </c>
      <c r="H106" s="13">
        <f>SUM(Oct!H106,Nov!H106,Dec!H106)</f>
        <v>0</v>
      </c>
      <c r="I106" s="13">
        <f>SUM(Oct!I106, Nov!I106, Dec!I106)</f>
        <v>0</v>
      </c>
      <c r="J106" s="14" t="str">
        <f t="shared" si="8"/>
        <v/>
      </c>
      <c r="K106" s="14" t="str">
        <f>IFERROR(AVERAGE(Oct!K106, Nov!K106, Dec!K106),"")</f>
        <v/>
      </c>
      <c r="L106" s="39"/>
      <c r="M106" s="40"/>
    </row>
    <row r="107" spans="1:13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f>SUM(Oct!D107, Nov!D107, Dec!D107)</f>
        <v>0</v>
      </c>
      <c r="E107" s="15">
        <f>SUM(Oct!E107, Nov!E107, Dec!E107)</f>
        <v>0</v>
      </c>
      <c r="F107" s="15">
        <f t="shared" si="6"/>
        <v>0</v>
      </c>
      <c r="G107" s="16" t="str">
        <f t="shared" si="7"/>
        <v/>
      </c>
      <c r="H107" s="17">
        <f>SUM(Oct!H107,Nov!H107,Dec!H107)</f>
        <v>0</v>
      </c>
      <c r="I107" s="17">
        <f>SUM(Oct!I107, Nov!I107, Dec!I107)</f>
        <v>0</v>
      </c>
      <c r="J107" s="16" t="str">
        <f t="shared" si="8"/>
        <v/>
      </c>
      <c r="K107" s="14" t="str">
        <f>IFERROR(AVERAGE(Oct!K107, Nov!K107, Dec!K107),"")</f>
        <v/>
      </c>
      <c r="L107" s="39"/>
      <c r="M107" s="40"/>
    </row>
    <row r="108" spans="1:13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f>SUM(Oct!D108, Nov!D108, Dec!D108)</f>
        <v>0</v>
      </c>
      <c r="E108" s="11">
        <f>SUM(Oct!E108, Nov!E108, Dec!E108)</f>
        <v>0</v>
      </c>
      <c r="F108" s="11">
        <f t="shared" si="6"/>
        <v>0</v>
      </c>
      <c r="G108" s="12" t="str">
        <f t="shared" si="7"/>
        <v/>
      </c>
      <c r="H108" s="13">
        <f>SUM(Oct!H108,Nov!H108,Dec!H108)</f>
        <v>0</v>
      </c>
      <c r="I108" s="13">
        <f>SUM(Oct!I108, Nov!I108, Dec!I108)</f>
        <v>0</v>
      </c>
      <c r="J108" s="14" t="str">
        <f t="shared" si="8"/>
        <v/>
      </c>
      <c r="K108" s="14" t="str">
        <f>IFERROR(AVERAGE(Oct!K108, Nov!K108, Dec!K108),"")</f>
        <v/>
      </c>
      <c r="L108" s="39"/>
      <c r="M108" s="40"/>
    </row>
    <row r="109" spans="1:13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f>SUM(Oct!D109, Nov!D109, Dec!D109)</f>
        <v>0</v>
      </c>
      <c r="E109" s="15">
        <f>SUM(Oct!E109, Nov!E109, Dec!E109)</f>
        <v>0</v>
      </c>
      <c r="F109" s="15">
        <f t="shared" si="6"/>
        <v>0</v>
      </c>
      <c r="G109" s="16" t="str">
        <f t="shared" si="7"/>
        <v/>
      </c>
      <c r="H109" s="17">
        <f>SUM(Oct!H109,Nov!H109,Dec!H109)</f>
        <v>0</v>
      </c>
      <c r="I109" s="17">
        <f>SUM(Oct!I109, Nov!I109, Dec!I109)</f>
        <v>0</v>
      </c>
      <c r="J109" s="16" t="str">
        <f t="shared" si="8"/>
        <v/>
      </c>
      <c r="K109" s="14" t="str">
        <f>IFERROR(AVERAGE(Oct!K109, Nov!K109, Dec!K109),"")</f>
        <v/>
      </c>
      <c r="L109" s="39"/>
      <c r="M109" s="40"/>
    </row>
    <row r="110" spans="1:13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f>SUM(Oct!D110, Nov!D110, Dec!D110)</f>
        <v>0</v>
      </c>
      <c r="E110" s="11">
        <f>SUM(Oct!E110, Nov!E110, Dec!E110)</f>
        <v>0</v>
      </c>
      <c r="F110" s="11">
        <f t="shared" si="6"/>
        <v>0</v>
      </c>
      <c r="G110" s="12" t="str">
        <f t="shared" si="7"/>
        <v/>
      </c>
      <c r="H110" s="13">
        <f>SUM(Oct!H110,Nov!H110,Dec!H110)</f>
        <v>0</v>
      </c>
      <c r="I110" s="13">
        <f>SUM(Oct!I110, Nov!I110, Dec!I110)</f>
        <v>0</v>
      </c>
      <c r="J110" s="14" t="str">
        <f t="shared" si="8"/>
        <v/>
      </c>
      <c r="K110" s="14" t="str">
        <f>IFERROR(AVERAGE(Oct!K110, Nov!K110, Dec!K110),"")</f>
        <v/>
      </c>
      <c r="L110" s="39"/>
      <c r="M110" s="40"/>
    </row>
    <row r="111" spans="1:13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f>SUM(Oct!D111, Nov!D111, Dec!D111)</f>
        <v>541866</v>
      </c>
      <c r="E111" s="15">
        <f>SUM(Oct!E111, Nov!E111, Dec!E111)</f>
        <v>611859.30000000005</v>
      </c>
      <c r="F111" s="15">
        <f t="shared" si="6"/>
        <v>-69993.300000000047</v>
      </c>
      <c r="G111" s="16">
        <f t="shared" si="7"/>
        <v>-0.11439443676021602</v>
      </c>
      <c r="H111" s="17">
        <f>SUM(Oct!H111,Nov!H111,Dec!H111)</f>
        <v>510426.5</v>
      </c>
      <c r="I111" s="17">
        <f>SUM(Oct!I111, Nov!I111, Dec!I111)</f>
        <v>0</v>
      </c>
      <c r="J111" s="16">
        <f t="shared" si="8"/>
        <v>0</v>
      </c>
      <c r="K111" s="14">
        <f>IFERROR(AVERAGE(Oct!K111, Nov!K111, Dec!K111),"")</f>
        <v>0.92334879999999997</v>
      </c>
      <c r="L111" s="39"/>
      <c r="M111" s="40"/>
    </row>
    <row r="112" spans="1:13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f>SUM(Oct!D112, Nov!D112, Dec!D112)</f>
        <v>497420.12831658398</v>
      </c>
      <c r="E112" s="11">
        <f>SUM(Oct!E112, Nov!E112, Dec!E112)</f>
        <v>562441.5</v>
      </c>
      <c r="F112" s="11">
        <f t="shared" si="6"/>
        <v>-65021.371683416015</v>
      </c>
      <c r="G112" s="12">
        <f t="shared" si="7"/>
        <v>-0.11560557263896071</v>
      </c>
      <c r="H112" s="13">
        <f>SUM(Oct!H112,Nov!H112,Dec!H112)</f>
        <v>486639.6</v>
      </c>
      <c r="I112" s="13">
        <f>SUM(Oct!I112, Nov!I112, Dec!I112)</f>
        <v>0</v>
      </c>
      <c r="J112" s="14">
        <f t="shared" si="8"/>
        <v>0</v>
      </c>
      <c r="K112" s="14">
        <f>IFERROR(AVERAGE(Oct!K112, Nov!K112, Dec!K112),"")</f>
        <v>0.93743639999999995</v>
      </c>
      <c r="L112" s="39"/>
      <c r="M112" s="40"/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f>SUM(Oct!D113, Nov!D113, Dec!D113)</f>
        <v>2948</v>
      </c>
      <c r="E113" s="15">
        <f>SUM(Oct!E113, Nov!E113, Dec!E113)</f>
        <v>3889.1889999999999</v>
      </c>
      <c r="F113" s="15">
        <f t="shared" si="6"/>
        <v>-941.18899999999985</v>
      </c>
      <c r="G113" s="16">
        <f t="shared" si="7"/>
        <v>-0.24200135298130276</v>
      </c>
      <c r="H113" s="17">
        <f>SUM(Oct!H113,Nov!H113,Dec!H113)</f>
        <v>3725.9630000000002</v>
      </c>
      <c r="I113" s="17">
        <f>SUM(Oct!I113, Nov!I113, Dec!I113)</f>
        <v>0</v>
      </c>
      <c r="J113" s="16">
        <f t="shared" si="8"/>
        <v>0</v>
      </c>
      <c r="K113" s="14">
        <f>IFERROR(AVERAGE(Oct!K113, Nov!K113, Dec!K113),"")</f>
        <v>1</v>
      </c>
      <c r="L113" s="39"/>
      <c r="M113" s="40"/>
    </row>
    <row r="114" spans="1:13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f>SUM(Oct!D114, Nov!D114, Dec!D114)</f>
        <v>7881.8100000000604</v>
      </c>
      <c r="E114" s="11">
        <f>SUM(Oct!E114, Nov!E114, Dec!E114)</f>
        <v>11515.52</v>
      </c>
      <c r="F114" s="11">
        <f t="shared" si="6"/>
        <v>-3633.70999999994</v>
      </c>
      <c r="G114" s="12">
        <f t="shared" si="7"/>
        <v>-0.31554892875006424</v>
      </c>
      <c r="H114" s="13">
        <f>SUM(Oct!H114,Nov!H114,Dec!H114)</f>
        <v>8663.7039999999997</v>
      </c>
      <c r="I114" s="13">
        <f>SUM(Oct!I114, Nov!I114, Dec!I114)</f>
        <v>0</v>
      </c>
      <c r="J114" s="14">
        <f t="shared" si="8"/>
        <v>0</v>
      </c>
      <c r="K114" s="14">
        <f>IFERROR(AVERAGE(Oct!K114, Nov!K114, Dec!K114),"")</f>
        <v>1</v>
      </c>
      <c r="L114" s="39"/>
      <c r="M114" s="40"/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f>SUM(Oct!D115, Nov!D115, Dec!D115)</f>
        <v>0</v>
      </c>
      <c r="E115" s="15">
        <f>SUM(Oct!E115, Nov!E115, Dec!E115)</f>
        <v>0</v>
      </c>
      <c r="F115" s="15">
        <f t="shared" si="6"/>
        <v>0</v>
      </c>
      <c r="G115" s="16" t="str">
        <f t="shared" si="7"/>
        <v/>
      </c>
      <c r="H115" s="17">
        <f>SUM(Oct!H115,Nov!H115,Dec!H115)</f>
        <v>0</v>
      </c>
      <c r="I115" s="17">
        <f>SUM(Oct!I115, Nov!I115, Dec!I115)</f>
        <v>0</v>
      </c>
      <c r="J115" s="16" t="str">
        <f t="shared" si="8"/>
        <v/>
      </c>
      <c r="K115" s="14" t="str">
        <f>IFERROR(AVERAGE(Oct!K115, Nov!K115, Dec!K115),"")</f>
        <v/>
      </c>
      <c r="L115" s="39"/>
      <c r="M115" s="40"/>
    </row>
    <row r="116" spans="1:13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f>SUM(Oct!D116, Nov!D116, Dec!D116)</f>
        <v>0</v>
      </c>
      <c r="E116" s="11">
        <f>SUM(Oct!E116, Nov!E116, Dec!E116)</f>
        <v>0</v>
      </c>
      <c r="F116" s="11">
        <f t="shared" si="6"/>
        <v>0</v>
      </c>
      <c r="G116" s="12" t="str">
        <f t="shared" si="7"/>
        <v/>
      </c>
      <c r="H116" s="13">
        <f>SUM(Oct!H116,Nov!H116,Dec!H116)</f>
        <v>0</v>
      </c>
      <c r="I116" s="13">
        <f>SUM(Oct!I116, Nov!I116, Dec!I116)</f>
        <v>0</v>
      </c>
      <c r="J116" s="14" t="str">
        <f t="shared" si="8"/>
        <v/>
      </c>
      <c r="K116" s="14" t="str">
        <f>IFERROR(AVERAGE(Oct!K116, Nov!K116, Dec!K116),"")</f>
        <v/>
      </c>
      <c r="L116" s="39"/>
      <c r="M116" s="40"/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f>SUM(Oct!D117, Nov!D117, Dec!D117)</f>
        <v>0</v>
      </c>
      <c r="E117" s="15">
        <f>SUM(Oct!E117, Nov!E117, Dec!E117)</f>
        <v>0</v>
      </c>
      <c r="F117" s="15">
        <f t="shared" si="6"/>
        <v>0</v>
      </c>
      <c r="G117" s="16" t="str">
        <f t="shared" si="7"/>
        <v/>
      </c>
      <c r="H117" s="17">
        <f>SUM(Oct!H117,Nov!H117,Dec!H117)</f>
        <v>0</v>
      </c>
      <c r="I117" s="17">
        <f>SUM(Oct!I117, Nov!I117, Dec!I117)</f>
        <v>0</v>
      </c>
      <c r="J117" s="16" t="str">
        <f t="shared" si="8"/>
        <v/>
      </c>
      <c r="K117" s="14" t="str">
        <f>IFERROR(AVERAGE(Oct!K117, Nov!K117, Dec!K117),"")</f>
        <v/>
      </c>
      <c r="L117" s="39"/>
      <c r="M117" s="40"/>
    </row>
    <row r="118" spans="1:13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f>SUM(Oct!D118, Nov!D118, Dec!D118)</f>
        <v>0</v>
      </c>
      <c r="E118" s="11">
        <f>SUM(Oct!E118, Nov!E118, Dec!E118)</f>
        <v>0</v>
      </c>
      <c r="F118" s="11">
        <f t="shared" si="6"/>
        <v>0</v>
      </c>
      <c r="G118" s="12" t="str">
        <f t="shared" si="7"/>
        <v/>
      </c>
      <c r="H118" s="13">
        <f>SUM(Oct!H118,Nov!H118,Dec!H118)</f>
        <v>0</v>
      </c>
      <c r="I118" s="13">
        <f>SUM(Oct!I118, Nov!I118, Dec!I118)</f>
        <v>0</v>
      </c>
      <c r="J118" s="14" t="str">
        <f t="shared" si="8"/>
        <v/>
      </c>
      <c r="K118" s="14" t="str">
        <f>IFERROR(AVERAGE(Oct!K118, Nov!K118, Dec!K118),"")</f>
        <v/>
      </c>
      <c r="L118" s="39"/>
      <c r="M118" s="40"/>
    </row>
    <row r="119" spans="1:13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f>SUM(Oct!D119, Nov!D119, Dec!D119)</f>
        <v>0</v>
      </c>
      <c r="E119" s="15">
        <f>SUM(Oct!E119, Nov!E119, Dec!E119)</f>
        <v>0</v>
      </c>
      <c r="F119" s="15">
        <f t="shared" si="6"/>
        <v>0</v>
      </c>
      <c r="G119" s="16" t="str">
        <f t="shared" si="7"/>
        <v/>
      </c>
      <c r="H119" s="17">
        <f>SUM(Oct!H119,Nov!H119,Dec!H119)</f>
        <v>0</v>
      </c>
      <c r="I119" s="17">
        <f>SUM(Oct!I119, Nov!I119, Dec!I119)</f>
        <v>0</v>
      </c>
      <c r="J119" s="16" t="str">
        <f t="shared" si="8"/>
        <v/>
      </c>
      <c r="K119" s="14" t="str">
        <f>IFERROR(AVERAGE(Oct!K119, Nov!K119, Dec!K119),"")</f>
        <v/>
      </c>
      <c r="L119" s="39"/>
      <c r="M119" s="40"/>
    </row>
    <row r="120" spans="1:13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f>SUM(Oct!D120, Nov!D120, Dec!D120)</f>
        <v>0</v>
      </c>
      <c r="E120" s="11">
        <f>SUM(Oct!E120, Nov!E120, Dec!E120)</f>
        <v>0</v>
      </c>
      <c r="F120" s="11">
        <f t="shared" si="6"/>
        <v>0</v>
      </c>
      <c r="G120" s="12" t="str">
        <f t="shared" si="7"/>
        <v/>
      </c>
      <c r="H120" s="13">
        <f>SUM(Oct!H120,Nov!H120,Dec!H120)</f>
        <v>0</v>
      </c>
      <c r="I120" s="13">
        <f>SUM(Oct!I120, Nov!I120, Dec!I120)</f>
        <v>0</v>
      </c>
      <c r="J120" s="14" t="str">
        <f t="shared" si="8"/>
        <v/>
      </c>
      <c r="K120" s="14" t="str">
        <f>IFERROR(AVERAGE(Oct!K120, Nov!K120, Dec!K120),"")</f>
        <v/>
      </c>
      <c r="L120" s="39"/>
      <c r="M120" s="40"/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f>SUM(Oct!D121, Nov!D121, Dec!D121)</f>
        <v>0</v>
      </c>
      <c r="E121" s="15">
        <f>SUM(Oct!E121, Nov!E121, Dec!E121)</f>
        <v>0</v>
      </c>
      <c r="F121" s="15">
        <f t="shared" si="6"/>
        <v>0</v>
      </c>
      <c r="G121" s="16" t="str">
        <f t="shared" si="7"/>
        <v/>
      </c>
      <c r="H121" s="17">
        <f>SUM(Oct!H121,Nov!H121,Dec!H121)</f>
        <v>0</v>
      </c>
      <c r="I121" s="17">
        <f>SUM(Oct!I121, Nov!I121, Dec!I121)</f>
        <v>0</v>
      </c>
      <c r="J121" s="16" t="str">
        <f t="shared" si="8"/>
        <v/>
      </c>
      <c r="K121" s="14" t="str">
        <f>IFERROR(AVERAGE(Oct!K121, Nov!K121, Dec!K121),"")</f>
        <v/>
      </c>
      <c r="L121" s="39"/>
      <c r="M121" s="40"/>
    </row>
    <row r="122" spans="1:13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f>SUM(Oct!D122, Nov!D122, Dec!D122)</f>
        <v>0</v>
      </c>
      <c r="E122" s="11">
        <f>SUM(Oct!E122, Nov!E122, Dec!E122)</f>
        <v>0</v>
      </c>
      <c r="F122" s="11">
        <f t="shared" si="6"/>
        <v>0</v>
      </c>
      <c r="G122" s="12" t="str">
        <f t="shared" si="7"/>
        <v/>
      </c>
      <c r="H122" s="13">
        <f>SUM(Oct!H122,Nov!H122,Dec!H122)</f>
        <v>0</v>
      </c>
      <c r="I122" s="13">
        <f>SUM(Oct!I122, Nov!I122, Dec!I122)</f>
        <v>0</v>
      </c>
      <c r="J122" s="14" t="str">
        <f t="shared" si="8"/>
        <v/>
      </c>
      <c r="K122" s="14" t="str">
        <f>IFERROR(AVERAGE(Oct!K122, Nov!K122, Dec!K122),"")</f>
        <v/>
      </c>
      <c r="L122" s="39"/>
      <c r="M122" s="40"/>
    </row>
    <row r="123" spans="1:13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f>SUM(Oct!D123, Nov!D123, Dec!D123)</f>
        <v>0</v>
      </c>
      <c r="E123" s="15">
        <f>SUM(Oct!E123, Nov!E123, Dec!E123)</f>
        <v>0</v>
      </c>
      <c r="F123" s="15">
        <f t="shared" si="6"/>
        <v>0</v>
      </c>
      <c r="G123" s="16" t="str">
        <f t="shared" si="7"/>
        <v/>
      </c>
      <c r="H123" s="17">
        <f>SUM(Oct!H123,Nov!H123,Dec!H123)</f>
        <v>0</v>
      </c>
      <c r="I123" s="17">
        <f>SUM(Oct!I123, Nov!I123, Dec!I123)</f>
        <v>0</v>
      </c>
      <c r="J123" s="16" t="str">
        <f t="shared" si="8"/>
        <v/>
      </c>
      <c r="K123" s="14" t="str">
        <f>IFERROR(AVERAGE(Oct!K123, Nov!K123, Dec!K123),"")</f>
        <v/>
      </c>
      <c r="L123" s="39"/>
      <c r="M123" s="40"/>
    </row>
    <row r="124" spans="1:13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f>SUM(Oct!D124, Nov!D124, Dec!D124)</f>
        <v>0</v>
      </c>
      <c r="E124" s="11">
        <f>SUM(Oct!E124, Nov!E124, Dec!E124)</f>
        <v>0</v>
      </c>
      <c r="F124" s="11">
        <f t="shared" si="6"/>
        <v>0</v>
      </c>
      <c r="G124" s="12" t="str">
        <f t="shared" si="7"/>
        <v/>
      </c>
      <c r="H124" s="13">
        <f>SUM(Oct!H124,Nov!H124,Dec!H124)</f>
        <v>0</v>
      </c>
      <c r="I124" s="13">
        <f>SUM(Oct!I124, Nov!I124, Dec!I124)</f>
        <v>0</v>
      </c>
      <c r="J124" s="14" t="str">
        <f t="shared" si="8"/>
        <v/>
      </c>
      <c r="K124" s="14" t="str">
        <f>IFERROR(AVERAGE(Oct!K124, Nov!K124, Dec!K124),"")</f>
        <v/>
      </c>
      <c r="L124" s="39"/>
      <c r="M124" s="40"/>
    </row>
    <row r="125" spans="1:13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f>SUM(Oct!D125, Nov!D125, Dec!D125)</f>
        <v>0</v>
      </c>
      <c r="E125" s="15">
        <f>SUM(Oct!E125, Nov!E125, Dec!E125)</f>
        <v>0</v>
      </c>
      <c r="F125" s="15">
        <f t="shared" si="6"/>
        <v>0</v>
      </c>
      <c r="G125" s="16" t="str">
        <f t="shared" si="7"/>
        <v/>
      </c>
      <c r="H125" s="17">
        <f>SUM(Oct!H125,Nov!H125,Dec!H125)</f>
        <v>0</v>
      </c>
      <c r="I125" s="17">
        <f>SUM(Oct!I125, Nov!I125, Dec!I125)</f>
        <v>0</v>
      </c>
      <c r="J125" s="16" t="str">
        <f t="shared" si="8"/>
        <v/>
      </c>
      <c r="K125" s="14" t="str">
        <f>IFERROR(AVERAGE(Oct!K125, Nov!K125, Dec!K125),"")</f>
        <v/>
      </c>
      <c r="L125" s="39"/>
      <c r="M125" s="40"/>
    </row>
    <row r="126" spans="1:13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f>SUM(Oct!D126, Nov!D126, Dec!D126)</f>
        <v>0</v>
      </c>
      <c r="E126" s="11">
        <f>SUM(Oct!E126, Nov!E126, Dec!E126)</f>
        <v>0</v>
      </c>
      <c r="F126" s="11">
        <f t="shared" si="6"/>
        <v>0</v>
      </c>
      <c r="G126" s="12" t="str">
        <f t="shared" si="7"/>
        <v/>
      </c>
      <c r="H126" s="13">
        <f>SUM(Oct!H126,Nov!H126,Dec!H126)</f>
        <v>0</v>
      </c>
      <c r="I126" s="13">
        <f>SUM(Oct!I126, Nov!I126, Dec!I126)</f>
        <v>0</v>
      </c>
      <c r="J126" s="14" t="str">
        <f t="shared" si="8"/>
        <v/>
      </c>
      <c r="K126" s="14" t="str">
        <f>IFERROR(AVERAGE(Oct!K126, Nov!K126, Dec!K126),"")</f>
        <v/>
      </c>
      <c r="L126" s="39"/>
      <c r="M126" s="40"/>
    </row>
    <row r="127" spans="1:13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f>SUM(Oct!D127, Nov!D127, Dec!D127)</f>
        <v>0</v>
      </c>
      <c r="E127" s="15">
        <f>SUM(Oct!E127, Nov!E127, Dec!E127)</f>
        <v>0</v>
      </c>
      <c r="F127" s="15">
        <f t="shared" si="6"/>
        <v>0</v>
      </c>
      <c r="G127" s="16" t="str">
        <f t="shared" si="7"/>
        <v/>
      </c>
      <c r="H127" s="17">
        <f>SUM(Oct!H127,Nov!H127,Dec!H127)</f>
        <v>0</v>
      </c>
      <c r="I127" s="17">
        <f>SUM(Oct!I127, Nov!I127, Dec!I127)</f>
        <v>0</v>
      </c>
      <c r="J127" s="16" t="str">
        <f t="shared" si="8"/>
        <v/>
      </c>
      <c r="K127" s="14" t="str">
        <f>IFERROR(AVERAGE(Oct!K127, Nov!K127, Dec!K127),"")</f>
        <v/>
      </c>
      <c r="L127" s="39"/>
      <c r="M127" s="40"/>
    </row>
    <row r="128" spans="1:13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f>SUM(Oct!D128, Nov!D128, Dec!D128)</f>
        <v>0</v>
      </c>
      <c r="E128" s="11">
        <f>SUM(Oct!E128, Nov!E128, Dec!E128)</f>
        <v>0</v>
      </c>
      <c r="F128" s="11">
        <f t="shared" si="6"/>
        <v>0</v>
      </c>
      <c r="G128" s="12" t="str">
        <f t="shared" si="7"/>
        <v/>
      </c>
      <c r="H128" s="13">
        <f>SUM(Oct!H128,Nov!H128,Dec!H128)</f>
        <v>0</v>
      </c>
      <c r="I128" s="13">
        <f>SUM(Oct!I128, Nov!I128, Dec!I128)</f>
        <v>0</v>
      </c>
      <c r="J128" s="14" t="str">
        <f t="shared" si="8"/>
        <v/>
      </c>
      <c r="K128" s="14" t="str">
        <f>IFERROR(AVERAGE(Oct!K128, Nov!K128, Dec!K128),"")</f>
        <v/>
      </c>
      <c r="L128" s="39"/>
      <c r="M128" s="40"/>
    </row>
    <row r="129" spans="1:13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f>SUM(Oct!D129, Nov!D129, Dec!D129)</f>
        <v>0</v>
      </c>
      <c r="E129" s="15">
        <f>SUM(Oct!E129, Nov!E129, Dec!E129)</f>
        <v>0</v>
      </c>
      <c r="F129" s="15">
        <f t="shared" si="6"/>
        <v>0</v>
      </c>
      <c r="G129" s="16" t="str">
        <f t="shared" si="7"/>
        <v/>
      </c>
      <c r="H129" s="17">
        <f>SUM(Oct!H129,Nov!H129,Dec!H129)</f>
        <v>0</v>
      </c>
      <c r="I129" s="17">
        <f>SUM(Oct!I129, Nov!I129, Dec!I129)</f>
        <v>0</v>
      </c>
      <c r="J129" s="16" t="str">
        <f t="shared" si="8"/>
        <v/>
      </c>
      <c r="K129" s="14" t="str">
        <f>IFERROR(AVERAGE(Oct!K129, Nov!K129, Dec!K129),"")</f>
        <v/>
      </c>
      <c r="L129" s="39"/>
      <c r="M129" s="40"/>
    </row>
    <row r="130" spans="1:13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f>SUM(Oct!D130, Nov!D130, Dec!D130)</f>
        <v>0</v>
      </c>
      <c r="E130" s="11">
        <f>SUM(Oct!E130, Nov!E130, Dec!E130)</f>
        <v>0</v>
      </c>
      <c r="F130" s="11">
        <f t="shared" si="6"/>
        <v>0</v>
      </c>
      <c r="G130" s="12" t="str">
        <f t="shared" si="7"/>
        <v/>
      </c>
      <c r="H130" s="13">
        <f>SUM(Oct!H130,Nov!H130,Dec!H130)</f>
        <v>0</v>
      </c>
      <c r="I130" s="13">
        <f>SUM(Oct!I130, Nov!I130, Dec!I130)</f>
        <v>0</v>
      </c>
      <c r="J130" s="14" t="str">
        <f t="shared" si="8"/>
        <v/>
      </c>
      <c r="K130" s="14" t="str">
        <f>IFERROR(AVERAGE(Oct!K130, Nov!K130, Dec!K130),"")</f>
        <v/>
      </c>
      <c r="L130" s="39"/>
      <c r="M130" s="40"/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f>SUM(Oct!D131, Nov!D131, Dec!D131)</f>
        <v>0</v>
      </c>
      <c r="E131" s="15">
        <f>SUM(Oct!E131, Nov!E131, Dec!E131)</f>
        <v>0</v>
      </c>
      <c r="F131" s="15">
        <f t="shared" si="6"/>
        <v>0</v>
      </c>
      <c r="G131" s="16" t="str">
        <f t="shared" si="7"/>
        <v/>
      </c>
      <c r="H131" s="17">
        <f>SUM(Oct!H131,Nov!H131,Dec!H131)</f>
        <v>0</v>
      </c>
      <c r="I131" s="17">
        <f>SUM(Oct!I131, Nov!I131, Dec!I131)</f>
        <v>0</v>
      </c>
      <c r="J131" s="16" t="str">
        <f t="shared" si="8"/>
        <v/>
      </c>
      <c r="K131" s="14" t="str">
        <f>IFERROR(AVERAGE(Oct!K131, Nov!K131, Dec!K131),"")</f>
        <v/>
      </c>
      <c r="L131" s="39"/>
      <c r="M131" s="40"/>
    </row>
    <row r="132" spans="1:13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f>SUM(Oct!D132, Nov!D132, Dec!D132)</f>
        <v>0</v>
      </c>
      <c r="E132" s="11">
        <f>SUM(Oct!E132, Nov!E132, Dec!E132)</f>
        <v>0</v>
      </c>
      <c r="F132" s="11">
        <f t="shared" si="6"/>
        <v>0</v>
      </c>
      <c r="G132" s="12" t="str">
        <f t="shared" si="7"/>
        <v/>
      </c>
      <c r="H132" s="13">
        <f>SUM(Oct!H132,Nov!H132,Dec!H132)</f>
        <v>0</v>
      </c>
      <c r="I132" s="13">
        <f>SUM(Oct!I132, Nov!I132, Dec!I132)</f>
        <v>0</v>
      </c>
      <c r="J132" s="14" t="str">
        <f t="shared" si="8"/>
        <v/>
      </c>
      <c r="K132" s="14" t="str">
        <f>IFERROR(AVERAGE(Oct!K132, Nov!K132, Dec!K132),"")</f>
        <v/>
      </c>
      <c r="L132" s="39"/>
      <c r="M132" s="40"/>
    </row>
    <row r="133" spans="1:13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f>SUM(Oct!D133, Nov!D133, Dec!D133)</f>
        <v>0</v>
      </c>
      <c r="E133" s="15">
        <f>SUM(Oct!E133, Nov!E133, Dec!E133)</f>
        <v>0</v>
      </c>
      <c r="F133" s="15">
        <f t="shared" si="6"/>
        <v>0</v>
      </c>
      <c r="G133" s="16" t="str">
        <f t="shared" si="7"/>
        <v/>
      </c>
      <c r="H133" s="17">
        <f>SUM(Oct!H133,Nov!H133,Dec!H133)</f>
        <v>0</v>
      </c>
      <c r="I133" s="17">
        <f>SUM(Oct!I133, Nov!I133, Dec!I133)</f>
        <v>0</v>
      </c>
      <c r="J133" s="16" t="str">
        <f t="shared" si="8"/>
        <v/>
      </c>
      <c r="K133" s="14" t="str">
        <f>IFERROR(AVERAGE(Oct!K133, Nov!K133, Dec!K133),"")</f>
        <v/>
      </c>
      <c r="L133" s="39"/>
      <c r="M133" s="40"/>
    </row>
    <row r="134" spans="1:13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f>SUM(Oct!D134, Nov!D134, Dec!D134)</f>
        <v>0</v>
      </c>
      <c r="E134" s="11">
        <f>SUM(Oct!E134, Nov!E134, Dec!E134)</f>
        <v>0</v>
      </c>
      <c r="F134" s="11">
        <f t="shared" si="6"/>
        <v>0</v>
      </c>
      <c r="G134" s="12" t="str">
        <f t="shared" si="7"/>
        <v/>
      </c>
      <c r="H134" s="13">
        <f>SUM(Oct!H134,Nov!H134,Dec!H134)</f>
        <v>0</v>
      </c>
      <c r="I134" s="13">
        <f>SUM(Oct!I134, Nov!I134, Dec!I134)</f>
        <v>0</v>
      </c>
      <c r="J134" s="14" t="str">
        <f t="shared" si="8"/>
        <v/>
      </c>
      <c r="K134" s="14" t="str">
        <f>IFERROR(AVERAGE(Oct!K134, Nov!K134, Dec!K134),"")</f>
        <v/>
      </c>
      <c r="L134" s="39"/>
      <c r="M134" s="40"/>
    </row>
    <row r="135" spans="1:13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f>SUM(Oct!D135, Nov!D135, Dec!D135)</f>
        <v>0</v>
      </c>
      <c r="E135" s="15">
        <f>SUM(Oct!E135, Nov!E135, Dec!E135)</f>
        <v>0</v>
      </c>
      <c r="F135" s="15">
        <f t="shared" si="6"/>
        <v>0</v>
      </c>
      <c r="G135" s="16" t="str">
        <f t="shared" si="7"/>
        <v/>
      </c>
      <c r="H135" s="17">
        <f>SUM(Oct!H135,Nov!H135,Dec!H135)</f>
        <v>0</v>
      </c>
      <c r="I135" s="17">
        <f>SUM(Oct!I135, Nov!I135, Dec!I135)</f>
        <v>0</v>
      </c>
      <c r="J135" s="16" t="str">
        <f t="shared" si="8"/>
        <v/>
      </c>
      <c r="K135" s="14" t="str">
        <f>IFERROR(AVERAGE(Oct!K135, Nov!K135, Dec!K135),"")</f>
        <v/>
      </c>
      <c r="L135" s="39"/>
      <c r="M135" s="40"/>
    </row>
    <row r="136" spans="1:13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f>SUM(Oct!D136, Nov!D136, Dec!D136)</f>
        <v>0</v>
      </c>
      <c r="E136" s="11">
        <f>SUM(Oct!E136, Nov!E136, Dec!E136)</f>
        <v>0</v>
      </c>
      <c r="F136" s="11">
        <f t="shared" si="6"/>
        <v>0</v>
      </c>
      <c r="G136" s="12" t="str">
        <f t="shared" si="7"/>
        <v/>
      </c>
      <c r="H136" s="13">
        <f>SUM(Oct!H136,Nov!H136,Dec!H136)</f>
        <v>0</v>
      </c>
      <c r="I136" s="13">
        <f>SUM(Oct!I136, Nov!I136, Dec!I136)</f>
        <v>0</v>
      </c>
      <c r="J136" s="14" t="str">
        <f t="shared" si="8"/>
        <v/>
      </c>
      <c r="K136" s="14" t="str">
        <f>IFERROR(AVERAGE(Oct!K136, Nov!K136, Dec!K136),"")</f>
        <v/>
      </c>
      <c r="L136" s="39"/>
      <c r="M136" s="40"/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f>SUM(Oct!D137, Nov!D137, Dec!D137)</f>
        <v>0</v>
      </c>
      <c r="E137" s="15">
        <f>SUM(Oct!E137, Nov!E137, Dec!E137)</f>
        <v>0</v>
      </c>
      <c r="F137" s="15">
        <f t="shared" si="6"/>
        <v>0</v>
      </c>
      <c r="G137" s="16" t="str">
        <f t="shared" si="7"/>
        <v/>
      </c>
      <c r="H137" s="17">
        <f>SUM(Oct!H137,Nov!H137,Dec!H137)</f>
        <v>0</v>
      </c>
      <c r="I137" s="17">
        <f>SUM(Oct!I137, Nov!I137, Dec!I137)</f>
        <v>0</v>
      </c>
      <c r="J137" s="16" t="str">
        <f t="shared" si="8"/>
        <v/>
      </c>
      <c r="K137" s="14" t="str">
        <f>IFERROR(AVERAGE(Oct!K137, Nov!K137, Dec!K137),"")</f>
        <v/>
      </c>
      <c r="L137" s="39"/>
      <c r="M137" s="40"/>
    </row>
    <row r="138" spans="1:13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f>SUM(Oct!D138, Nov!D138, Dec!D138)</f>
        <v>0</v>
      </c>
      <c r="E138" s="11">
        <f>SUM(Oct!E138, Nov!E138, Dec!E138)</f>
        <v>0</v>
      </c>
      <c r="F138" s="11">
        <f t="shared" si="6"/>
        <v>0</v>
      </c>
      <c r="G138" s="12" t="str">
        <f t="shared" si="7"/>
        <v/>
      </c>
      <c r="H138" s="13">
        <f>SUM(Oct!H138,Nov!H138,Dec!H138)</f>
        <v>0</v>
      </c>
      <c r="I138" s="13">
        <f>SUM(Oct!I138, Nov!I138, Dec!I138)</f>
        <v>0</v>
      </c>
      <c r="J138" s="14" t="str">
        <f t="shared" si="8"/>
        <v/>
      </c>
      <c r="K138" s="14" t="str">
        <f>IFERROR(AVERAGE(Oct!K138, Nov!K138, Dec!K138),"")</f>
        <v/>
      </c>
      <c r="L138" s="39"/>
      <c r="M138" s="40"/>
    </row>
    <row r="139" spans="1:13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f>SUM(Oct!D139, Nov!D139, Dec!D139)</f>
        <v>0</v>
      </c>
      <c r="E139" s="15">
        <f>SUM(Oct!E139, Nov!E139, Dec!E139)</f>
        <v>0</v>
      </c>
      <c r="F139" s="15">
        <f t="shared" si="6"/>
        <v>0</v>
      </c>
      <c r="G139" s="16" t="str">
        <f t="shared" si="7"/>
        <v/>
      </c>
      <c r="H139" s="17">
        <f>SUM(Oct!H139,Nov!H139,Dec!H139)</f>
        <v>0</v>
      </c>
      <c r="I139" s="17">
        <f>SUM(Oct!I139, Nov!I139, Dec!I139)</f>
        <v>0</v>
      </c>
      <c r="J139" s="16" t="str">
        <f t="shared" si="8"/>
        <v/>
      </c>
      <c r="K139" s="14" t="str">
        <f>IFERROR(AVERAGE(Oct!K139, Nov!K139, Dec!K139),"")</f>
        <v/>
      </c>
      <c r="L139" s="39"/>
      <c r="M139" s="40"/>
    </row>
    <row r="140" spans="1:13" ht="15.6">
      <c r="A140" s="25" t="str">
        <v>Reisender</v>
      </c>
      <c r="B140" s="26" t="str">
        <v>NY</v>
      </c>
      <c r="C140" s="26" t="str">
        <f>Sites[[#This Row],[SOL'#]]</f>
        <v>SOL-10886</v>
      </c>
      <c r="D140" s="21">
        <f>SUM(Oct!D140, Nov!D140, Dec!D140)</f>
        <v>0</v>
      </c>
      <c r="E140" s="11">
        <f>SUM(Oct!E140, Nov!E140, Dec!E140)</f>
        <v>0</v>
      </c>
      <c r="F140" s="11">
        <f t="shared" si="6"/>
        <v>0</v>
      </c>
      <c r="G140" s="12" t="str">
        <f t="shared" si="7"/>
        <v/>
      </c>
      <c r="H140" s="13">
        <f>SUM(Oct!H140,Nov!H140,Dec!H140)</f>
        <v>0</v>
      </c>
      <c r="I140" s="13">
        <f>SUM(Oct!I140, Nov!I140, Dec!I140)</f>
        <v>0</v>
      </c>
      <c r="J140" s="14" t="str">
        <f t="shared" si="8"/>
        <v/>
      </c>
      <c r="K140" s="14" t="str">
        <f>IFERROR(AVERAGE(Oct!K140, Nov!K140, Dec!K140),"")</f>
        <v/>
      </c>
      <c r="L140" s="39"/>
      <c r="M140" s="40"/>
    </row>
    <row r="141" spans="1:13" ht="15.6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f>SUM(Oct!D141, Nov!D141, Dec!D141)</f>
        <v>0</v>
      </c>
      <c r="E141" s="15">
        <f>SUM(Oct!E141, Nov!E141, Dec!E141)</f>
        <v>0</v>
      </c>
      <c r="F141" s="15">
        <f t="shared" si="6"/>
        <v>0</v>
      </c>
      <c r="G141" s="16" t="str">
        <f t="shared" si="7"/>
        <v/>
      </c>
      <c r="H141" s="17">
        <f>SUM(Oct!H141,Nov!H141,Dec!H141)</f>
        <v>0</v>
      </c>
      <c r="I141" s="17">
        <f>SUM(Oct!I141, Nov!I141, Dec!I141)</f>
        <v>0</v>
      </c>
      <c r="J141" s="16" t="str">
        <f t="shared" si="8"/>
        <v/>
      </c>
      <c r="K141" s="14" t="str">
        <f>IFERROR(AVERAGE(Oct!K141, Nov!K141, Dec!K141),"")</f>
        <v/>
      </c>
      <c r="L141" s="39"/>
      <c r="M141" s="40"/>
    </row>
    <row r="142" spans="1:13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21">
        <f>SUM(Oct!D142, Nov!D142, Dec!D142)</f>
        <v>297542</v>
      </c>
      <c r="E142" s="11">
        <f>SUM(Oct!E142, Nov!E142, Dec!E142)</f>
        <v>373357.1</v>
      </c>
      <c r="F142" s="11">
        <f t="shared" si="6"/>
        <v>-75815.099999999977</v>
      </c>
      <c r="G142" s="12">
        <f t="shared" si="7"/>
        <v>-0.20306323356379183</v>
      </c>
      <c r="H142" s="13">
        <f>SUM(Oct!H142,Nov!H142,Dec!H142)</f>
        <v>292669</v>
      </c>
      <c r="I142" s="13">
        <f>SUM(Oct!I142, Nov!I142, Dec!I142)</f>
        <v>0</v>
      </c>
      <c r="J142" s="14">
        <f t="shared" si="8"/>
        <v>0</v>
      </c>
      <c r="K142" s="14">
        <f>IFERROR(AVERAGE(Oct!K142, Nov!K142, Dec!K142),"")</f>
        <v>0.79965419999999998</v>
      </c>
      <c r="L142" s="39"/>
      <c r="M142" s="40"/>
    </row>
    <row r="143" spans="1:13" ht="15.6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f>SUM(Oct!D143, Nov!D143, Dec!D143)</f>
        <v>0</v>
      </c>
      <c r="E143" s="15">
        <f>SUM(Oct!E143, Nov!E143, Dec!E143)</f>
        <v>0</v>
      </c>
      <c r="F143" s="15">
        <f t="shared" si="6"/>
        <v>0</v>
      </c>
      <c r="G143" s="16" t="str">
        <f t="shared" si="7"/>
        <v/>
      </c>
      <c r="H143" s="17">
        <f>SUM(Oct!H143,Nov!H143,Dec!H143)</f>
        <v>0</v>
      </c>
      <c r="I143" s="17">
        <f>SUM(Oct!I143, Nov!I143, Dec!I143)</f>
        <v>0</v>
      </c>
      <c r="J143" s="16" t="str">
        <f t="shared" si="8"/>
        <v/>
      </c>
      <c r="K143" s="14" t="str">
        <f>IFERROR(AVERAGE(Oct!K143, Nov!K143, Dec!K143),"")</f>
        <v/>
      </c>
      <c r="L143" s="39"/>
      <c r="M143" s="40"/>
    </row>
    <row r="144" spans="1:13" ht="15.6">
      <c r="A144" s="25" t="str">
        <v>Landau I</v>
      </c>
      <c r="B144" s="26" t="str">
        <v>NY</v>
      </c>
      <c r="C144" s="26" t="str">
        <f>Sites[[#This Row],[SOL'#]]</f>
        <v>SOL-10891</v>
      </c>
      <c r="D144" s="21">
        <f>SUM(Oct!D144, Nov!D144, Dec!D144)</f>
        <v>0</v>
      </c>
      <c r="E144" s="11">
        <f>SUM(Oct!E144, Nov!E144, Dec!E144)</f>
        <v>0</v>
      </c>
      <c r="F144" s="11">
        <f t="shared" ref="F144:F161" si="9">IF(AND(ISNUMBER(D144),ISNUMBER(E144)), D144-E144, "")</f>
        <v>0</v>
      </c>
      <c r="G144" s="12" t="str">
        <f t="shared" ref="G144:G161" si="10">IFERROR(F144/E144, "")</f>
        <v/>
      </c>
      <c r="H144" s="13">
        <f>SUM(Oct!H144,Nov!H144,Dec!H144)</f>
        <v>0</v>
      </c>
      <c r="I144" s="13">
        <f>SUM(Oct!I144, Nov!I144, Dec!I144)</f>
        <v>0</v>
      </c>
      <c r="J144" s="14" t="str">
        <f t="shared" ref="J144:J161" si="11">IFERROR(I144/H144, "")</f>
        <v/>
      </c>
      <c r="K144" s="14" t="str">
        <f>IFERROR(AVERAGE(Oct!K144, Nov!K144, Dec!K144),"")</f>
        <v/>
      </c>
      <c r="L144" s="39"/>
      <c r="M144" s="40"/>
    </row>
    <row r="145" spans="1:13" ht="15.6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f>SUM(Oct!D145, Nov!D145, Dec!D145)</f>
        <v>0</v>
      </c>
      <c r="E145" s="15">
        <f>SUM(Oct!E145, Nov!E145, Dec!E145)</f>
        <v>0</v>
      </c>
      <c r="F145" s="15">
        <f t="shared" si="9"/>
        <v>0</v>
      </c>
      <c r="G145" s="16" t="str">
        <f t="shared" si="10"/>
        <v/>
      </c>
      <c r="H145" s="17">
        <f>SUM(Oct!H145,Nov!H145,Dec!H145)</f>
        <v>0</v>
      </c>
      <c r="I145" s="17">
        <f>SUM(Oct!I145, Nov!I145, Dec!I145)</f>
        <v>0</v>
      </c>
      <c r="J145" s="16" t="str">
        <f t="shared" si="11"/>
        <v/>
      </c>
      <c r="K145" s="14" t="str">
        <f>IFERROR(AVERAGE(Oct!K145, Nov!K145, Dec!K145),"")</f>
        <v/>
      </c>
      <c r="L145" s="39"/>
      <c r="M145" s="40"/>
    </row>
    <row r="146" spans="1:13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21">
        <f>SUM(Oct!D146, Nov!D146, Dec!D146)</f>
        <v>0</v>
      </c>
      <c r="E146" s="11">
        <f>SUM(Oct!E146, Nov!E146, Dec!E146)</f>
        <v>0</v>
      </c>
      <c r="F146" s="11">
        <f t="shared" si="9"/>
        <v>0</v>
      </c>
      <c r="G146" s="12" t="str">
        <f t="shared" si="10"/>
        <v/>
      </c>
      <c r="H146" s="13">
        <f>SUM(Oct!H146,Nov!H146,Dec!H146)</f>
        <v>0</v>
      </c>
      <c r="I146" s="13">
        <f>SUM(Oct!I146, Nov!I146, Dec!I146)</f>
        <v>0</v>
      </c>
      <c r="J146" s="14" t="str">
        <f t="shared" si="11"/>
        <v/>
      </c>
      <c r="K146" s="14" t="str">
        <f>IFERROR(AVERAGE(Oct!K146, Nov!K146, Dec!K146),"")</f>
        <v/>
      </c>
      <c r="L146" s="39"/>
      <c r="M146" s="40"/>
    </row>
    <row r="147" spans="1:13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f>SUM(Oct!D147, Nov!D147, Dec!D147)</f>
        <v>0</v>
      </c>
      <c r="E147" s="15">
        <f>SUM(Oct!E147, Nov!E147, Dec!E147)</f>
        <v>0</v>
      </c>
      <c r="F147" s="15">
        <f t="shared" si="9"/>
        <v>0</v>
      </c>
      <c r="G147" s="16" t="str">
        <f t="shared" si="10"/>
        <v/>
      </c>
      <c r="H147" s="17">
        <f>SUM(Oct!H147,Nov!H147,Dec!H147)</f>
        <v>0</v>
      </c>
      <c r="I147" s="17">
        <f>SUM(Oct!I147, Nov!I147, Dec!I147)</f>
        <v>0</v>
      </c>
      <c r="J147" s="16" t="str">
        <f t="shared" si="11"/>
        <v/>
      </c>
      <c r="K147" s="14" t="str">
        <f>IFERROR(AVERAGE(Oct!K147, Nov!K147, Dec!K147),"")</f>
        <v/>
      </c>
      <c r="L147" s="39"/>
      <c r="M147" s="40"/>
    </row>
    <row r="148" spans="1:13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21">
        <f>SUM(Oct!D148, Nov!D148, Dec!D148)</f>
        <v>0</v>
      </c>
      <c r="E148" s="11">
        <f>SUM(Oct!E148, Nov!E148, Dec!E148)</f>
        <v>0</v>
      </c>
      <c r="F148" s="11">
        <f t="shared" si="9"/>
        <v>0</v>
      </c>
      <c r="G148" s="12" t="str">
        <f t="shared" si="10"/>
        <v/>
      </c>
      <c r="H148" s="13">
        <f>SUM(Oct!H148,Nov!H148,Dec!H148)</f>
        <v>0</v>
      </c>
      <c r="I148" s="13">
        <f>SUM(Oct!I148, Nov!I148, Dec!I148)</f>
        <v>0</v>
      </c>
      <c r="J148" s="14" t="str">
        <f t="shared" si="11"/>
        <v/>
      </c>
      <c r="K148" s="14" t="str">
        <f>IFERROR(AVERAGE(Oct!K148, Nov!K148, Dec!K148),"")</f>
        <v/>
      </c>
      <c r="L148" s="39"/>
      <c r="M148" s="40"/>
    </row>
    <row r="149" spans="1:13" ht="15.6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f>SUM(Oct!D149, Nov!D149, Dec!D149)</f>
        <v>0</v>
      </c>
      <c r="E149" s="15">
        <f>SUM(Oct!E149, Nov!E149, Dec!E149)</f>
        <v>0</v>
      </c>
      <c r="F149" s="15">
        <f t="shared" si="9"/>
        <v>0</v>
      </c>
      <c r="G149" s="16" t="str">
        <f t="shared" si="10"/>
        <v/>
      </c>
      <c r="H149" s="17">
        <f>SUM(Oct!H149,Nov!H149,Dec!H149)</f>
        <v>0</v>
      </c>
      <c r="I149" s="17">
        <f>SUM(Oct!I149, Nov!I149, Dec!I149)</f>
        <v>0</v>
      </c>
      <c r="J149" s="16" t="str">
        <f t="shared" si="11"/>
        <v/>
      </c>
      <c r="K149" s="14" t="str">
        <f>IFERROR(AVERAGE(Oct!K149, Nov!K149, Dec!K149),"")</f>
        <v/>
      </c>
      <c r="L149" s="39"/>
      <c r="M149" s="40"/>
    </row>
    <row r="150" spans="1:13" ht="15.6">
      <c r="A150" s="25" t="str">
        <v>Bantam</v>
      </c>
      <c r="B150" s="26" t="str">
        <v>NY</v>
      </c>
      <c r="C150" s="26" t="str">
        <f>Sites[[#This Row],[SOL'#]]</f>
        <v>SOL-10986</v>
      </c>
      <c r="D150" s="21">
        <f>SUM(Oct!D150, Nov!D150, Dec!D150)</f>
        <v>0</v>
      </c>
      <c r="E150" s="11">
        <f>SUM(Oct!E150, Nov!E150, Dec!E150)</f>
        <v>0</v>
      </c>
      <c r="F150" s="11">
        <f t="shared" si="9"/>
        <v>0</v>
      </c>
      <c r="G150" s="12" t="str">
        <f t="shared" si="10"/>
        <v/>
      </c>
      <c r="H150" s="13">
        <f>SUM(Oct!H150,Nov!H150,Dec!H150)</f>
        <v>0</v>
      </c>
      <c r="I150" s="13">
        <f>SUM(Oct!I150, Nov!I150, Dec!I150)</f>
        <v>0</v>
      </c>
      <c r="J150" s="14" t="str">
        <f t="shared" si="11"/>
        <v/>
      </c>
      <c r="K150" s="14" t="str">
        <f>IFERROR(AVERAGE(Oct!K150, Nov!K150, Dec!K150),"")</f>
        <v/>
      </c>
      <c r="L150" s="39"/>
      <c r="M150" s="40"/>
    </row>
    <row r="151" spans="1:13" ht="15.6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f>SUM(Oct!D151, Nov!D151, Dec!D151)</f>
        <v>0</v>
      </c>
      <c r="E151" s="15">
        <f>SUM(Oct!E151, Nov!E151, Dec!E151)</f>
        <v>0</v>
      </c>
      <c r="F151" s="15">
        <f t="shared" si="9"/>
        <v>0</v>
      </c>
      <c r="G151" s="16" t="str">
        <f t="shared" si="10"/>
        <v/>
      </c>
      <c r="H151" s="17">
        <f>SUM(Oct!H151,Nov!H151,Dec!H151)</f>
        <v>0</v>
      </c>
      <c r="I151" s="17">
        <f>SUM(Oct!I151, Nov!I151, Dec!I151)</f>
        <v>0</v>
      </c>
      <c r="J151" s="16" t="str">
        <f t="shared" si="11"/>
        <v/>
      </c>
      <c r="K151" s="14" t="str">
        <f>IFERROR(AVERAGE(Oct!K151, Nov!K151, Dec!K151),"")</f>
        <v/>
      </c>
      <c r="L151" s="39"/>
      <c r="M151" s="40"/>
    </row>
    <row r="152" spans="1:13" ht="15.6">
      <c r="A152" s="25" t="str">
        <v>Dubois</v>
      </c>
      <c r="B152" s="26" t="str">
        <v>NY</v>
      </c>
      <c r="C152" s="26" t="str">
        <f>Sites[[#This Row],[SOL'#]]</f>
        <v>SOL-10892</v>
      </c>
      <c r="D152" s="21">
        <f>SUM(Oct!D152, Nov!D152, Dec!D152)</f>
        <v>0</v>
      </c>
      <c r="E152" s="11">
        <f>SUM(Oct!E152, Nov!E152, Dec!E152)</f>
        <v>0</v>
      </c>
      <c r="F152" s="11">
        <f t="shared" si="9"/>
        <v>0</v>
      </c>
      <c r="G152" s="12" t="str">
        <f t="shared" si="10"/>
        <v/>
      </c>
      <c r="H152" s="13">
        <f>SUM(Oct!H152,Nov!H152,Dec!H152)</f>
        <v>0</v>
      </c>
      <c r="I152" s="13">
        <f>SUM(Oct!I152, Nov!I152, Dec!I152)</f>
        <v>0</v>
      </c>
      <c r="J152" s="14" t="str">
        <f t="shared" si="11"/>
        <v/>
      </c>
      <c r="K152" s="14" t="str">
        <f>IFERROR(AVERAGE(Oct!K152, Nov!K152, Dec!K152),"")</f>
        <v/>
      </c>
      <c r="L152" s="39"/>
      <c r="M152" s="40"/>
    </row>
    <row r="153" spans="1:13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f>SUM(Oct!D153, Nov!D153, Dec!D153)</f>
        <v>0</v>
      </c>
      <c r="E153" s="15">
        <f>SUM(Oct!E153, Nov!E153, Dec!E153)</f>
        <v>0</v>
      </c>
      <c r="F153" s="15">
        <f t="shared" si="9"/>
        <v>0</v>
      </c>
      <c r="G153" s="16" t="str">
        <f t="shared" si="10"/>
        <v/>
      </c>
      <c r="H153" s="17">
        <f>SUM(Oct!H153,Nov!H153,Dec!H153)</f>
        <v>0</v>
      </c>
      <c r="I153" s="17">
        <f>SUM(Oct!I153, Nov!I153, Dec!I153)</f>
        <v>0</v>
      </c>
      <c r="J153" s="16" t="str">
        <f t="shared" si="11"/>
        <v/>
      </c>
      <c r="K153" s="14" t="str">
        <f>IFERROR(AVERAGE(Oct!K153, Nov!K153, Dec!K153),"")</f>
        <v/>
      </c>
      <c r="L153" s="39"/>
      <c r="M153" s="40"/>
    </row>
    <row r="154" spans="1:13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21">
        <f>SUM(Oct!D154, Nov!D154, Dec!D154)</f>
        <v>0</v>
      </c>
      <c r="E154" s="11">
        <f>SUM(Oct!E154, Nov!E154, Dec!E154)</f>
        <v>0</v>
      </c>
      <c r="F154" s="11">
        <f t="shared" si="9"/>
        <v>0</v>
      </c>
      <c r="G154" s="12" t="str">
        <f t="shared" si="10"/>
        <v/>
      </c>
      <c r="H154" s="13">
        <f>SUM(Oct!H154,Nov!H154,Dec!H154)</f>
        <v>0</v>
      </c>
      <c r="I154" s="13">
        <f>SUM(Oct!I154, Nov!I154, Dec!I154)</f>
        <v>0</v>
      </c>
      <c r="J154" s="14" t="str">
        <f t="shared" si="11"/>
        <v/>
      </c>
      <c r="K154" s="14" t="str">
        <f>IFERROR(AVERAGE(Oct!K154, Nov!K154, Dec!K154),"")</f>
        <v/>
      </c>
      <c r="L154" s="39"/>
      <c r="M154" s="40"/>
    </row>
    <row r="155" spans="1:13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f>SUM(Oct!D155, Nov!D155, Dec!D155)</f>
        <v>0</v>
      </c>
      <c r="E155" s="15">
        <f>SUM(Oct!E155, Nov!E155, Dec!E155)</f>
        <v>0</v>
      </c>
      <c r="F155" s="15">
        <f t="shared" si="9"/>
        <v>0</v>
      </c>
      <c r="G155" s="16" t="str">
        <f t="shared" si="10"/>
        <v/>
      </c>
      <c r="H155" s="17">
        <f>SUM(Oct!H155,Nov!H155,Dec!H155)</f>
        <v>0</v>
      </c>
      <c r="I155" s="17">
        <f>SUM(Oct!I155, Nov!I155, Dec!I155)</f>
        <v>0</v>
      </c>
      <c r="J155" s="16" t="str">
        <f t="shared" si="11"/>
        <v/>
      </c>
      <c r="K155" s="14" t="str">
        <f>IFERROR(AVERAGE(Oct!K155, Nov!K155, Dec!K155),"")</f>
        <v/>
      </c>
      <c r="L155" s="39"/>
      <c r="M155" s="40"/>
    </row>
    <row r="156" spans="1:13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21">
        <f>SUM(Oct!D156, Nov!D156, Dec!D156)</f>
        <v>0</v>
      </c>
      <c r="E156" s="11">
        <f>SUM(Oct!E156, Nov!E156, Dec!E156)</f>
        <v>0</v>
      </c>
      <c r="F156" s="11">
        <f t="shared" si="9"/>
        <v>0</v>
      </c>
      <c r="G156" s="12" t="str">
        <f t="shared" si="10"/>
        <v/>
      </c>
      <c r="H156" s="13">
        <f>SUM(Oct!H156,Nov!H156,Dec!H156)</f>
        <v>0</v>
      </c>
      <c r="I156" s="13">
        <f>SUM(Oct!I156, Nov!I156, Dec!I156)</f>
        <v>0</v>
      </c>
      <c r="J156" s="14" t="str">
        <f t="shared" si="11"/>
        <v/>
      </c>
      <c r="K156" s="14" t="str">
        <f>IFERROR(AVERAGE(Oct!K156, Nov!K156, Dec!K156),"")</f>
        <v/>
      </c>
      <c r="L156" s="39"/>
      <c r="M156" s="40"/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f>SUM(Oct!D157, Nov!D157, Dec!D157)</f>
        <v>0</v>
      </c>
      <c r="E157" s="15">
        <f>SUM(Oct!E157, Nov!E157, Dec!E157)</f>
        <v>0</v>
      </c>
      <c r="F157" s="15">
        <f t="shared" si="9"/>
        <v>0</v>
      </c>
      <c r="G157" s="16" t="str">
        <f t="shared" si="10"/>
        <v/>
      </c>
      <c r="H157" s="17">
        <f>SUM(Oct!H157,Nov!H157,Dec!H157)</f>
        <v>0</v>
      </c>
      <c r="I157" s="17">
        <f>SUM(Oct!I157, Nov!I157, Dec!I157)</f>
        <v>0</v>
      </c>
      <c r="J157" s="16" t="str">
        <f t="shared" si="11"/>
        <v/>
      </c>
      <c r="K157" s="14" t="str">
        <f>IFERROR(AVERAGE(Oct!K157, Nov!K157, Dec!K157),"")</f>
        <v/>
      </c>
      <c r="L157" s="39"/>
      <c r="M157" s="40"/>
    </row>
    <row r="158" spans="1:13" ht="15.6">
      <c r="A158" s="25" t="str">
        <v>Costanza</v>
      </c>
      <c r="B158" s="26" t="str">
        <v>NY</v>
      </c>
      <c r="C158" s="26" t="str">
        <f>Sites[[#This Row],[SOL'#]]</f>
        <v>SOL-10907</v>
      </c>
      <c r="D158" s="21">
        <f>SUM(Oct!D158, Nov!D158, Dec!D158)</f>
        <v>0</v>
      </c>
      <c r="E158" s="11">
        <f>SUM(Oct!E158, Nov!E158, Dec!E158)</f>
        <v>0</v>
      </c>
      <c r="F158" s="11">
        <f t="shared" si="9"/>
        <v>0</v>
      </c>
      <c r="G158" s="12" t="str">
        <f t="shared" si="10"/>
        <v/>
      </c>
      <c r="H158" s="13">
        <f>SUM(Oct!H158,Nov!H158,Dec!H158)</f>
        <v>0</v>
      </c>
      <c r="I158" s="13">
        <f>SUM(Oct!I158, Nov!I158, Dec!I158)</f>
        <v>0</v>
      </c>
      <c r="J158" s="14" t="str">
        <f t="shared" si="11"/>
        <v/>
      </c>
      <c r="K158" s="14" t="str">
        <f>IFERROR(AVERAGE(Oct!K158, Nov!K158, Dec!K158),"")</f>
        <v/>
      </c>
      <c r="L158" s="39"/>
      <c r="M158" s="40"/>
    </row>
    <row r="159" spans="1:13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f>SUM(Oct!D159, Nov!D159, Dec!D159)</f>
        <v>370436.01990049798</v>
      </c>
      <c r="E159" s="15">
        <f>SUM(Oct!E159, Nov!E159, Dec!E159)</f>
        <v>392861.5</v>
      </c>
      <c r="F159" s="15">
        <f t="shared" si="9"/>
        <v>-22425.48009950202</v>
      </c>
      <c r="G159" s="16">
        <f t="shared" si="10"/>
        <v>-5.7082407157489391E-2</v>
      </c>
      <c r="H159" s="17">
        <f>SUM(Oct!H159,Nov!H159,Dec!H159)</f>
        <v>287759</v>
      </c>
      <c r="I159" s="17">
        <f>SUM(Oct!I159, Nov!I159, Dec!I159)</f>
        <v>0</v>
      </c>
      <c r="J159" s="16">
        <f t="shared" si="11"/>
        <v>0</v>
      </c>
      <c r="K159" s="14">
        <f>IFERROR(AVERAGE(Oct!K159, Nov!K159, Dec!K159),"")</f>
        <v>0.97638480000000005</v>
      </c>
      <c r="L159" s="39"/>
      <c r="M159" s="40"/>
    </row>
    <row r="160" spans="1:13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21">
        <f>SUM(Oct!D160, Nov!D160, Dec!D160)</f>
        <v>0</v>
      </c>
      <c r="E160" s="11">
        <f>SUM(Oct!E160, Nov!E160, Dec!E160)</f>
        <v>0</v>
      </c>
      <c r="F160" s="11">
        <f t="shared" si="9"/>
        <v>0</v>
      </c>
      <c r="G160" s="12" t="str">
        <f t="shared" si="10"/>
        <v/>
      </c>
      <c r="H160" s="13">
        <f>SUM(Oct!H160,Nov!H160,Dec!H160)</f>
        <v>0</v>
      </c>
      <c r="I160" s="13">
        <f>SUM(Oct!I160, Nov!I160, Dec!I160)</f>
        <v>0</v>
      </c>
      <c r="J160" s="14" t="str">
        <f t="shared" si="11"/>
        <v/>
      </c>
      <c r="K160" s="14" t="str">
        <f>IFERROR(AVERAGE(Oct!K160, Nov!K160, Dec!K160),"")</f>
        <v/>
      </c>
      <c r="L160" s="39"/>
      <c r="M160" s="40"/>
    </row>
    <row r="161" spans="1:13" ht="15.6">
      <c r="A161" s="27" t="str">
        <v>Altamont</v>
      </c>
      <c r="B161" s="28" t="str">
        <v>NY</v>
      </c>
      <c r="C161" s="28" t="s">
        <v>13</v>
      </c>
      <c r="D161" s="10">
        <f>SUM(Oct!D161, Nov!D161, Dec!D161)</f>
        <v>695857</v>
      </c>
      <c r="E161" s="15">
        <f>SUM(Oct!E161, Nov!E161, Dec!E161)</f>
        <v>755716.4</v>
      </c>
      <c r="F161" s="15">
        <f t="shared" si="9"/>
        <v>-59859.400000000023</v>
      </c>
      <c r="G161" s="16">
        <f t="shared" si="10"/>
        <v>-7.9208814311823889E-2</v>
      </c>
      <c r="H161" s="17">
        <f>SUM(Oct!H161,Nov!H161,Dec!H161)</f>
        <v>423096.7</v>
      </c>
      <c r="I161" s="17">
        <f>SUM(Oct!I161, Nov!I161, Dec!I161)</f>
        <v>0</v>
      </c>
      <c r="J161" s="16">
        <f t="shared" si="11"/>
        <v>0</v>
      </c>
      <c r="K161" s="14">
        <f>IFERROR(AVERAGE(Oct!K161, Nov!K161, Dec!K161),"")</f>
        <v>1</v>
      </c>
      <c r="L161" s="39"/>
      <c r="M161" s="40"/>
    </row>
    <row r="162" spans="1:13" ht="12.95">
      <c r="A162" s="18"/>
      <c r="B162" s="18"/>
      <c r="C162" s="18"/>
      <c r="D162" s="18"/>
      <c r="E162" s="18"/>
      <c r="F162" s="18"/>
      <c r="G162" s="19"/>
      <c r="H162" s="18"/>
      <c r="I162" s="18"/>
      <c r="J162" s="19"/>
      <c r="K162" s="19"/>
    </row>
    <row r="163" spans="1:13" ht="12.95">
      <c r="A163" s="18"/>
      <c r="B163" s="18"/>
      <c r="C163" s="18"/>
      <c r="D163" s="18"/>
      <c r="E163" s="18"/>
      <c r="F163" s="18"/>
      <c r="G163" s="19"/>
      <c r="H163" s="18"/>
      <c r="I163" s="18"/>
      <c r="J163" s="19"/>
      <c r="K163" s="19"/>
    </row>
    <row r="164" spans="1:13" ht="12.95">
      <c r="A164" s="18"/>
      <c r="B164" s="18"/>
      <c r="C164" s="18"/>
      <c r="D164" s="18"/>
      <c r="E164" s="18"/>
      <c r="F164" s="18"/>
      <c r="G164" s="19"/>
      <c r="H164" s="18"/>
      <c r="I164" s="18"/>
      <c r="J164" s="19"/>
      <c r="K164" s="19"/>
    </row>
    <row r="165" spans="1:13" ht="12.95">
      <c r="A165" s="18"/>
      <c r="B165" s="18"/>
      <c r="C165" s="18"/>
      <c r="D165" s="18"/>
      <c r="E165" s="18"/>
      <c r="F165" s="18"/>
      <c r="G165" s="19"/>
      <c r="H165" s="18"/>
      <c r="I165" s="18"/>
      <c r="J165" s="19"/>
      <c r="K165" s="19"/>
    </row>
    <row r="166" spans="1:13" ht="12.95">
      <c r="A166" s="18"/>
      <c r="B166" s="18"/>
      <c r="C166" s="18"/>
      <c r="D166" s="18"/>
      <c r="E166" s="18"/>
      <c r="F166" s="18"/>
      <c r="G166" s="19"/>
      <c r="H166" s="18"/>
      <c r="I166" s="18"/>
      <c r="J166" s="19"/>
      <c r="K166" s="19"/>
    </row>
    <row r="167" spans="1:13" ht="12.95">
      <c r="A167" s="18"/>
      <c r="B167" s="18"/>
      <c r="C167" s="18"/>
      <c r="D167" s="18"/>
      <c r="E167" s="18"/>
      <c r="F167" s="18"/>
      <c r="G167" s="19"/>
      <c r="H167" s="18"/>
      <c r="I167" s="18"/>
      <c r="J167" s="19"/>
      <c r="K167" s="19"/>
    </row>
    <row r="168" spans="1:13" ht="12.95">
      <c r="A168" s="18"/>
      <c r="B168" s="18"/>
      <c r="C168" s="18"/>
      <c r="D168" s="18"/>
      <c r="E168" s="18"/>
      <c r="F168" s="18"/>
      <c r="G168" s="19"/>
      <c r="H168" s="18"/>
      <c r="I168" s="18"/>
      <c r="J168" s="19"/>
      <c r="K168" s="19"/>
    </row>
    <row r="169" spans="1:13" ht="12.95">
      <c r="A169" s="18"/>
      <c r="B169" s="18"/>
      <c r="C169" s="18"/>
      <c r="D169" s="18"/>
      <c r="E169" s="18"/>
      <c r="F169" s="18"/>
      <c r="G169" s="19"/>
      <c r="H169" s="18"/>
      <c r="I169" s="18"/>
      <c r="J169" s="19"/>
      <c r="K169" s="19"/>
    </row>
    <row r="170" spans="1:13" ht="12.95">
      <c r="A170" s="18"/>
      <c r="B170" s="18"/>
      <c r="C170" s="18"/>
      <c r="D170" s="18"/>
      <c r="E170" s="18"/>
      <c r="F170" s="18"/>
      <c r="G170" s="19"/>
      <c r="H170" s="18"/>
      <c r="I170" s="18"/>
      <c r="J170" s="19"/>
      <c r="K170" s="19"/>
    </row>
    <row r="171" spans="1:13" ht="12.95">
      <c r="A171" s="18"/>
      <c r="B171" s="18"/>
      <c r="C171" s="18"/>
      <c r="D171" s="18"/>
      <c r="E171" s="18"/>
      <c r="F171" s="18"/>
      <c r="G171" s="19"/>
      <c r="H171" s="18"/>
      <c r="I171" s="18"/>
      <c r="J171" s="19"/>
      <c r="K171" s="19"/>
    </row>
    <row r="172" spans="1:13" ht="12.95">
      <c r="A172" s="18"/>
      <c r="B172" s="18"/>
      <c r="C172" s="18"/>
      <c r="D172" s="18"/>
      <c r="E172" s="18"/>
      <c r="F172" s="18"/>
      <c r="G172" s="19"/>
      <c r="H172" s="18"/>
      <c r="I172" s="18"/>
      <c r="J172" s="19"/>
      <c r="K172" s="19"/>
    </row>
    <row r="173" spans="1:13" ht="12.95">
      <c r="A173" s="18"/>
      <c r="B173" s="18"/>
      <c r="C173" s="18"/>
      <c r="D173" s="18"/>
      <c r="E173" s="18"/>
      <c r="F173" s="18"/>
      <c r="G173" s="19"/>
      <c r="H173" s="18"/>
      <c r="I173" s="18"/>
      <c r="J173" s="19"/>
      <c r="K173" s="19"/>
    </row>
    <row r="174" spans="1:13" ht="12.95">
      <c r="A174" s="18"/>
      <c r="B174" s="18"/>
      <c r="C174" s="18"/>
      <c r="D174" s="18"/>
      <c r="E174" s="18"/>
      <c r="F174" s="18"/>
      <c r="G174" s="19"/>
      <c r="H174" s="18"/>
      <c r="I174" s="18"/>
      <c r="J174" s="19"/>
      <c r="K174" s="19"/>
    </row>
    <row r="175" spans="1:13" ht="12.95">
      <c r="A175" s="18"/>
      <c r="B175" s="18"/>
      <c r="C175" s="18"/>
      <c r="D175" s="18"/>
      <c r="E175" s="18"/>
      <c r="F175" s="18"/>
      <c r="G175" s="19"/>
      <c r="H175" s="18"/>
      <c r="I175" s="18"/>
      <c r="J175" s="19"/>
      <c r="K175" s="19"/>
    </row>
    <row r="176" spans="1:13" ht="12.95">
      <c r="A176" s="18"/>
      <c r="B176" s="18"/>
      <c r="C176" s="18"/>
      <c r="D176" s="18"/>
      <c r="E176" s="18"/>
      <c r="F176" s="18"/>
      <c r="G176" s="19"/>
      <c r="H176" s="18"/>
      <c r="I176" s="18"/>
      <c r="J176" s="19"/>
      <c r="K176" s="19"/>
    </row>
    <row r="177" spans="1:11" ht="12.95">
      <c r="A177" s="18"/>
      <c r="B177" s="18"/>
      <c r="C177" s="18"/>
      <c r="D177" s="18"/>
      <c r="E177" s="18"/>
      <c r="F177" s="18"/>
      <c r="G177" s="19"/>
      <c r="H177" s="18"/>
      <c r="I177" s="18"/>
      <c r="J177" s="19"/>
      <c r="K177" s="19"/>
    </row>
    <row r="178" spans="1:11" ht="12.95">
      <c r="A178" s="18"/>
      <c r="B178" s="18"/>
      <c r="C178" s="18"/>
      <c r="D178" s="18"/>
      <c r="E178" s="18"/>
      <c r="F178" s="18"/>
      <c r="G178" s="19"/>
      <c r="H178" s="18"/>
      <c r="I178" s="18"/>
      <c r="J178" s="19"/>
      <c r="K178" s="19"/>
    </row>
    <row r="179" spans="1:11" ht="12.95">
      <c r="A179" s="18"/>
      <c r="B179" s="18"/>
      <c r="C179" s="18"/>
      <c r="D179" s="18"/>
      <c r="E179" s="18"/>
      <c r="F179" s="18"/>
      <c r="G179" s="19"/>
      <c r="H179" s="18"/>
      <c r="I179" s="18"/>
      <c r="J179" s="19"/>
      <c r="K179" s="19"/>
    </row>
    <row r="180" spans="1:11" ht="12.95">
      <c r="A180" s="18"/>
      <c r="B180" s="18"/>
      <c r="C180" s="18"/>
      <c r="D180" s="18"/>
      <c r="E180" s="18"/>
      <c r="F180" s="18"/>
      <c r="G180" s="19"/>
      <c r="H180" s="18"/>
      <c r="I180" s="18"/>
      <c r="J180" s="19"/>
      <c r="K180" s="19"/>
    </row>
    <row r="181" spans="1:11" ht="12.95">
      <c r="A181" s="18"/>
      <c r="B181" s="18"/>
      <c r="C181" s="18"/>
      <c r="D181" s="18"/>
      <c r="E181" s="18"/>
      <c r="F181" s="18"/>
      <c r="G181" s="19"/>
      <c r="H181" s="18"/>
      <c r="I181" s="18"/>
      <c r="J181" s="19"/>
      <c r="K181" s="19"/>
    </row>
    <row r="182" spans="1:11" ht="12.95">
      <c r="A182" s="18"/>
      <c r="B182" s="18"/>
      <c r="C182" s="18"/>
      <c r="D182" s="18"/>
      <c r="E182" s="18"/>
      <c r="F182" s="18"/>
      <c r="G182" s="19"/>
      <c r="H182" s="18"/>
      <c r="I182" s="18"/>
      <c r="J182" s="19"/>
      <c r="K182" s="19"/>
    </row>
    <row r="183" spans="1:11" ht="12.95">
      <c r="A183" s="18"/>
      <c r="B183" s="18"/>
      <c r="C183" s="18"/>
      <c r="D183" s="18"/>
      <c r="E183" s="18"/>
      <c r="F183" s="18"/>
      <c r="G183" s="19"/>
      <c r="H183" s="18"/>
      <c r="I183" s="18"/>
      <c r="J183" s="19"/>
      <c r="K183" s="19"/>
    </row>
    <row r="184" spans="1:11" ht="12.95">
      <c r="A184" s="18"/>
      <c r="B184" s="18"/>
      <c r="C184" s="18"/>
      <c r="D184" s="18"/>
      <c r="E184" s="18"/>
      <c r="F184" s="18"/>
      <c r="G184" s="19"/>
      <c r="H184" s="18"/>
      <c r="I184" s="18"/>
      <c r="J184" s="19"/>
      <c r="K184" s="19"/>
    </row>
    <row r="185" spans="1:11" ht="12.95">
      <c r="A185" s="18"/>
      <c r="B185" s="18"/>
      <c r="C185" s="18"/>
      <c r="D185" s="18"/>
      <c r="E185" s="18"/>
      <c r="F185" s="18"/>
      <c r="G185" s="19"/>
      <c r="H185" s="18"/>
      <c r="I185" s="18"/>
      <c r="J185" s="19"/>
      <c r="K185" s="19"/>
    </row>
    <row r="186" spans="1:11" ht="12.95">
      <c r="A186" s="18"/>
      <c r="B186" s="18"/>
      <c r="C186" s="18"/>
      <c r="D186" s="18"/>
      <c r="E186" s="18"/>
      <c r="F186" s="18"/>
      <c r="G186" s="19"/>
      <c r="H186" s="18"/>
      <c r="I186" s="18"/>
      <c r="J186" s="19"/>
      <c r="K186" s="19"/>
    </row>
    <row r="187" spans="1:11" ht="12.95">
      <c r="A187" s="18"/>
      <c r="B187" s="18"/>
      <c r="C187" s="18"/>
      <c r="D187" s="18"/>
      <c r="E187" s="18"/>
      <c r="F187" s="18"/>
      <c r="G187" s="19"/>
      <c r="H187" s="18"/>
      <c r="I187" s="18"/>
      <c r="J187" s="19"/>
      <c r="K187" s="19"/>
    </row>
    <row r="188" spans="1:11" ht="12.95">
      <c r="A188" s="18"/>
      <c r="B188" s="18"/>
      <c r="C188" s="18"/>
      <c r="D188" s="18"/>
      <c r="E188" s="18"/>
      <c r="F188" s="18"/>
      <c r="G188" s="19"/>
      <c r="H188" s="18"/>
      <c r="I188" s="18"/>
      <c r="J188" s="19"/>
      <c r="K188" s="19"/>
    </row>
    <row r="189" spans="1:11" ht="12.95">
      <c r="A189" s="18"/>
      <c r="B189" s="18"/>
      <c r="C189" s="18"/>
      <c r="D189" s="18"/>
      <c r="E189" s="18"/>
      <c r="F189" s="18"/>
      <c r="G189" s="19"/>
      <c r="H189" s="18"/>
      <c r="I189" s="18"/>
      <c r="J189" s="19"/>
      <c r="K189" s="19"/>
    </row>
    <row r="190" spans="1:11" ht="12.95">
      <c r="A190" s="18"/>
      <c r="B190" s="18"/>
      <c r="C190" s="18"/>
      <c r="D190" s="18"/>
      <c r="E190" s="18"/>
      <c r="F190" s="18"/>
      <c r="G190" s="19"/>
      <c r="H190" s="18"/>
      <c r="I190" s="18"/>
      <c r="J190" s="19"/>
      <c r="K190" s="19"/>
    </row>
    <row r="191" spans="1:11" ht="12.95">
      <c r="A191" s="18"/>
      <c r="B191" s="18"/>
      <c r="C191" s="18"/>
      <c r="D191" s="18"/>
      <c r="E191" s="18"/>
      <c r="F191" s="18"/>
      <c r="G191" s="19"/>
      <c r="H191" s="18"/>
      <c r="I191" s="18"/>
      <c r="J191" s="19"/>
      <c r="K191" s="19"/>
    </row>
    <row r="192" spans="1:11" ht="12.95">
      <c r="A192" s="18"/>
      <c r="B192" s="18"/>
      <c r="C192" s="18"/>
      <c r="D192" s="18"/>
      <c r="E192" s="18"/>
      <c r="F192" s="18"/>
      <c r="G192" s="19"/>
      <c r="H192" s="18"/>
      <c r="I192" s="18"/>
      <c r="J192" s="19"/>
      <c r="K192" s="19"/>
    </row>
    <row r="193" spans="1:11" ht="12.95">
      <c r="A193" s="18"/>
      <c r="B193" s="18"/>
      <c r="C193" s="18"/>
      <c r="D193" s="18"/>
      <c r="E193" s="18"/>
      <c r="F193" s="18"/>
      <c r="G193" s="19"/>
      <c r="H193" s="18"/>
      <c r="I193" s="18"/>
      <c r="J193" s="19"/>
      <c r="K193" s="19"/>
    </row>
    <row r="194" spans="1:11" ht="12.95">
      <c r="A194" s="18"/>
      <c r="B194" s="18"/>
      <c r="C194" s="18"/>
      <c r="D194" s="18"/>
      <c r="E194" s="18"/>
      <c r="F194" s="18"/>
      <c r="G194" s="19"/>
      <c r="H194" s="18"/>
      <c r="I194" s="18"/>
      <c r="J194" s="19"/>
      <c r="K194" s="19"/>
    </row>
    <row r="195" spans="1:11" ht="12.95">
      <c r="A195" s="18"/>
      <c r="B195" s="18"/>
      <c r="C195" s="18"/>
      <c r="D195" s="18"/>
      <c r="E195" s="18"/>
      <c r="F195" s="18"/>
      <c r="G195" s="19"/>
      <c r="H195" s="18"/>
      <c r="I195" s="18"/>
      <c r="J195" s="19"/>
      <c r="K195" s="19"/>
    </row>
    <row r="196" spans="1:11" ht="12.95">
      <c r="A196" s="18"/>
      <c r="B196" s="18"/>
      <c r="C196" s="18"/>
      <c r="D196" s="18"/>
      <c r="E196" s="18"/>
      <c r="F196" s="18"/>
      <c r="G196" s="19"/>
      <c r="H196" s="18"/>
      <c r="I196" s="18"/>
      <c r="J196" s="19"/>
      <c r="K196" s="19"/>
    </row>
    <row r="197" spans="1:11" ht="12.95">
      <c r="A197" s="18"/>
      <c r="B197" s="18"/>
      <c r="C197" s="18"/>
      <c r="D197" s="18"/>
      <c r="E197" s="18"/>
      <c r="F197" s="18"/>
      <c r="G197" s="19"/>
      <c r="H197" s="18"/>
      <c r="I197" s="18"/>
      <c r="J197" s="19"/>
      <c r="K197" s="19"/>
    </row>
    <row r="198" spans="1:11" ht="12.95">
      <c r="A198" s="18"/>
      <c r="B198" s="18"/>
      <c r="C198" s="18"/>
      <c r="D198" s="18"/>
      <c r="E198" s="18"/>
      <c r="F198" s="18"/>
      <c r="G198" s="19"/>
      <c r="H198" s="18"/>
      <c r="I198" s="18"/>
      <c r="J198" s="19"/>
      <c r="K198" s="19"/>
    </row>
    <row r="199" spans="1:11" ht="12.95">
      <c r="A199" s="18"/>
      <c r="B199" s="18"/>
      <c r="C199" s="18"/>
      <c r="D199" s="18"/>
      <c r="E199" s="18"/>
      <c r="F199" s="18"/>
      <c r="G199" s="19"/>
      <c r="H199" s="18"/>
      <c r="I199" s="18"/>
      <c r="J199" s="19"/>
      <c r="K199" s="19"/>
    </row>
    <row r="200" spans="1:11" ht="12.95">
      <c r="A200" s="18"/>
      <c r="B200" s="18"/>
      <c r="C200" s="18"/>
      <c r="D200" s="18"/>
      <c r="E200" s="18"/>
      <c r="F200" s="18"/>
      <c r="G200" s="19"/>
      <c r="H200" s="18"/>
      <c r="I200" s="18"/>
      <c r="J200" s="19"/>
      <c r="K200" s="19"/>
    </row>
    <row r="201" spans="1:11" ht="12.95">
      <c r="A201" s="18"/>
      <c r="B201" s="18"/>
      <c r="C201" s="18"/>
      <c r="D201" s="18"/>
      <c r="E201" s="18"/>
      <c r="F201" s="18"/>
      <c r="G201" s="19"/>
      <c r="H201" s="18"/>
      <c r="I201" s="18"/>
      <c r="J201" s="19"/>
      <c r="K201" s="19"/>
    </row>
    <row r="202" spans="1:11" ht="12.95">
      <c r="A202" s="18"/>
      <c r="B202" s="18"/>
      <c r="C202" s="18"/>
      <c r="D202" s="18"/>
      <c r="E202" s="18"/>
      <c r="F202" s="18"/>
      <c r="G202" s="19"/>
      <c r="H202" s="18"/>
      <c r="I202" s="18"/>
      <c r="J202" s="19"/>
      <c r="K202" s="19"/>
    </row>
    <row r="203" spans="1:11" ht="12.95">
      <c r="A203" s="18"/>
      <c r="B203" s="18"/>
      <c r="C203" s="18"/>
      <c r="D203" s="18"/>
      <c r="E203" s="18"/>
      <c r="F203" s="18"/>
      <c r="G203" s="19"/>
      <c r="H203" s="18"/>
      <c r="I203" s="18"/>
      <c r="J203" s="19"/>
      <c r="K203" s="19"/>
    </row>
    <row r="204" spans="1:11" ht="12.95">
      <c r="A204" s="18"/>
      <c r="B204" s="18"/>
      <c r="C204" s="18"/>
      <c r="D204" s="18"/>
      <c r="E204" s="18"/>
      <c r="F204" s="18"/>
      <c r="G204" s="19"/>
      <c r="H204" s="18"/>
      <c r="I204" s="18"/>
      <c r="J204" s="19"/>
      <c r="K204" s="19"/>
    </row>
    <row r="205" spans="1:11" ht="12.95">
      <c r="A205" s="18"/>
      <c r="B205" s="18"/>
      <c r="C205" s="18"/>
      <c r="D205" s="18"/>
      <c r="E205" s="18"/>
      <c r="F205" s="18"/>
      <c r="G205" s="19"/>
      <c r="H205" s="18"/>
      <c r="I205" s="18"/>
      <c r="J205" s="19"/>
      <c r="K205" s="19"/>
    </row>
    <row r="206" spans="1:11" ht="12.95">
      <c r="A206" s="18"/>
      <c r="B206" s="18"/>
      <c r="C206" s="18"/>
      <c r="D206" s="18"/>
      <c r="E206" s="18"/>
      <c r="F206" s="18"/>
      <c r="G206" s="19"/>
      <c r="H206" s="18"/>
      <c r="I206" s="18"/>
      <c r="J206" s="19"/>
      <c r="K206" s="19"/>
    </row>
    <row r="207" spans="1:11" ht="12.95">
      <c r="A207" s="18"/>
      <c r="B207" s="18"/>
      <c r="C207" s="18"/>
      <c r="D207" s="18"/>
      <c r="E207" s="18"/>
      <c r="F207" s="18"/>
      <c r="G207" s="19"/>
      <c r="H207" s="18"/>
      <c r="I207" s="18"/>
      <c r="J207" s="19"/>
      <c r="K207" s="19"/>
    </row>
    <row r="208" spans="1:11" ht="12.95">
      <c r="A208" s="18"/>
      <c r="B208" s="18"/>
      <c r="C208" s="18"/>
      <c r="D208" s="18"/>
      <c r="E208" s="18"/>
      <c r="F208" s="18"/>
      <c r="G208" s="19"/>
      <c r="H208" s="18"/>
      <c r="I208" s="18"/>
      <c r="J208" s="19"/>
      <c r="K208" s="19"/>
    </row>
    <row r="209" spans="1:11" ht="12.95">
      <c r="A209" s="18"/>
      <c r="B209" s="18"/>
      <c r="C209" s="18"/>
      <c r="D209" s="18"/>
      <c r="E209" s="18"/>
      <c r="F209" s="18"/>
      <c r="G209" s="19"/>
      <c r="H209" s="18"/>
      <c r="I209" s="18"/>
      <c r="J209" s="19"/>
      <c r="K209" s="19"/>
    </row>
    <row r="210" spans="1:11" ht="12.95">
      <c r="A210" s="18"/>
      <c r="B210" s="18"/>
      <c r="C210" s="18"/>
      <c r="D210" s="18"/>
      <c r="E210" s="18"/>
      <c r="F210" s="18"/>
      <c r="G210" s="19"/>
      <c r="H210" s="18"/>
      <c r="I210" s="18"/>
      <c r="J210" s="19"/>
      <c r="K210" s="19"/>
    </row>
    <row r="211" spans="1:11" ht="12.95">
      <c r="A211" s="18"/>
      <c r="B211" s="18"/>
      <c r="C211" s="18"/>
      <c r="D211" s="18"/>
      <c r="E211" s="18"/>
      <c r="F211" s="18"/>
      <c r="G211" s="19"/>
      <c r="H211" s="18"/>
      <c r="I211" s="18"/>
      <c r="J211" s="19"/>
      <c r="K211" s="19"/>
    </row>
    <row r="212" spans="1:11" ht="12.95">
      <c r="A212" s="18"/>
      <c r="B212" s="18"/>
      <c r="C212" s="18"/>
      <c r="D212" s="18"/>
      <c r="E212" s="18"/>
      <c r="F212" s="18"/>
      <c r="G212" s="19"/>
      <c r="H212" s="18"/>
      <c r="I212" s="18"/>
      <c r="J212" s="19"/>
      <c r="K212" s="19"/>
    </row>
    <row r="213" spans="1:11" ht="12.95">
      <c r="A213" s="18"/>
      <c r="B213" s="18"/>
      <c r="C213" s="18"/>
      <c r="D213" s="18"/>
      <c r="E213" s="18"/>
      <c r="F213" s="18"/>
      <c r="G213" s="19"/>
      <c r="H213" s="18"/>
      <c r="I213" s="18"/>
      <c r="J213" s="19"/>
      <c r="K213" s="19"/>
    </row>
    <row r="214" spans="1:11" ht="12.95">
      <c r="A214" s="18"/>
      <c r="B214" s="18"/>
      <c r="C214" s="18"/>
      <c r="D214" s="18"/>
      <c r="E214" s="18"/>
      <c r="F214" s="18"/>
      <c r="G214" s="19"/>
      <c r="H214" s="18"/>
      <c r="I214" s="18"/>
      <c r="J214" s="19"/>
      <c r="K214" s="19"/>
    </row>
    <row r="215" spans="1:11" ht="12.95">
      <c r="A215" s="18"/>
      <c r="B215" s="18"/>
      <c r="C215" s="18"/>
      <c r="D215" s="18"/>
      <c r="E215" s="18"/>
      <c r="F215" s="18"/>
      <c r="G215" s="19"/>
      <c r="H215" s="18"/>
      <c r="I215" s="18"/>
      <c r="J215" s="19"/>
      <c r="K215" s="19"/>
    </row>
    <row r="216" spans="1:11" ht="12.95">
      <c r="A216" s="18"/>
      <c r="B216" s="18"/>
      <c r="C216" s="18"/>
      <c r="D216" s="18"/>
      <c r="E216" s="18"/>
      <c r="F216" s="18"/>
      <c r="G216" s="19"/>
      <c r="H216" s="18"/>
      <c r="I216" s="18"/>
      <c r="J216" s="19"/>
      <c r="K216" s="19"/>
    </row>
    <row r="217" spans="1:11" ht="12.95">
      <c r="A217" s="18"/>
      <c r="B217" s="18"/>
      <c r="C217" s="18"/>
      <c r="D217" s="18"/>
      <c r="E217" s="18"/>
      <c r="F217" s="18"/>
      <c r="G217" s="19"/>
      <c r="H217" s="18"/>
      <c r="I217" s="18"/>
      <c r="J217" s="19"/>
      <c r="K217" s="19"/>
    </row>
    <row r="218" spans="1:11" ht="12.95">
      <c r="A218" s="18"/>
      <c r="B218" s="18"/>
      <c r="C218" s="18"/>
      <c r="D218" s="18"/>
      <c r="E218" s="18"/>
      <c r="F218" s="18"/>
      <c r="G218" s="19"/>
      <c r="H218" s="18"/>
      <c r="I218" s="18"/>
      <c r="J218" s="19"/>
      <c r="K218" s="19"/>
    </row>
    <row r="219" spans="1:11" ht="12.95">
      <c r="A219" s="18"/>
      <c r="B219" s="18"/>
      <c r="C219" s="18"/>
      <c r="D219" s="18"/>
      <c r="E219" s="18"/>
      <c r="F219" s="18"/>
      <c r="G219" s="19"/>
      <c r="H219" s="18"/>
      <c r="I219" s="18"/>
      <c r="J219" s="19"/>
      <c r="K219" s="19"/>
    </row>
    <row r="220" spans="1:11" ht="12.95">
      <c r="A220" s="18"/>
      <c r="B220" s="18"/>
      <c r="C220" s="18"/>
      <c r="D220" s="18"/>
      <c r="E220" s="18"/>
      <c r="F220" s="18"/>
      <c r="G220" s="19"/>
      <c r="H220" s="18"/>
      <c r="I220" s="18"/>
      <c r="J220" s="19"/>
      <c r="K220" s="19"/>
    </row>
    <row r="221" spans="1:11" ht="12.95">
      <c r="A221" s="18"/>
      <c r="B221" s="18"/>
      <c r="C221" s="18"/>
      <c r="D221" s="18"/>
      <c r="E221" s="18"/>
      <c r="F221" s="18"/>
      <c r="G221" s="19"/>
      <c r="H221" s="18"/>
      <c r="I221" s="18"/>
      <c r="J221" s="19"/>
      <c r="K221" s="19"/>
    </row>
    <row r="222" spans="1:11" ht="12.95">
      <c r="A222" s="18"/>
      <c r="B222" s="18"/>
      <c r="C222" s="18"/>
      <c r="D222" s="18"/>
      <c r="E222" s="18"/>
      <c r="F222" s="18"/>
      <c r="G222" s="19"/>
      <c r="H222" s="18"/>
      <c r="I222" s="18"/>
      <c r="J222" s="19"/>
      <c r="K222" s="19"/>
    </row>
    <row r="223" spans="1:11" ht="12.95">
      <c r="A223" s="18"/>
      <c r="B223" s="18"/>
      <c r="C223" s="18"/>
      <c r="D223" s="18"/>
      <c r="E223" s="18"/>
      <c r="F223" s="18"/>
      <c r="G223" s="19"/>
      <c r="H223" s="18"/>
      <c r="I223" s="18"/>
      <c r="J223" s="19"/>
      <c r="K223" s="19"/>
    </row>
    <row r="224" spans="1:11" ht="12.95">
      <c r="A224" s="18"/>
      <c r="B224" s="18"/>
      <c r="C224" s="18"/>
      <c r="D224" s="18"/>
      <c r="E224" s="18"/>
      <c r="F224" s="18"/>
      <c r="G224" s="19"/>
      <c r="H224" s="18"/>
      <c r="I224" s="18"/>
      <c r="J224" s="19"/>
      <c r="K224" s="19"/>
    </row>
    <row r="225" spans="1:11" ht="12.95">
      <c r="A225" s="18"/>
      <c r="B225" s="18"/>
      <c r="C225" s="18"/>
      <c r="D225" s="18"/>
      <c r="E225" s="18"/>
      <c r="F225" s="18"/>
      <c r="G225" s="19"/>
      <c r="H225" s="18"/>
      <c r="I225" s="18"/>
      <c r="J225" s="19"/>
      <c r="K225" s="19"/>
    </row>
    <row r="226" spans="1:11" ht="12.95">
      <c r="A226" s="18"/>
      <c r="B226" s="18"/>
      <c r="C226" s="18"/>
      <c r="D226" s="18"/>
      <c r="E226" s="18"/>
      <c r="F226" s="18"/>
      <c r="G226" s="19"/>
      <c r="H226" s="18"/>
      <c r="I226" s="18"/>
      <c r="J226" s="19"/>
      <c r="K226" s="19"/>
    </row>
    <row r="227" spans="1:11" ht="12.95">
      <c r="A227" s="18"/>
      <c r="B227" s="18"/>
      <c r="C227" s="18"/>
      <c r="D227" s="18"/>
      <c r="E227" s="18"/>
      <c r="F227" s="18"/>
      <c r="G227" s="19"/>
      <c r="H227" s="18"/>
      <c r="I227" s="18"/>
      <c r="J227" s="19"/>
      <c r="K227" s="19"/>
    </row>
    <row r="228" spans="1:11" ht="12.95">
      <c r="A228" s="18"/>
      <c r="B228" s="18"/>
      <c r="C228" s="18"/>
      <c r="D228" s="18"/>
      <c r="E228" s="18"/>
      <c r="F228" s="18"/>
      <c r="G228" s="19"/>
      <c r="H228" s="18"/>
      <c r="I228" s="18"/>
      <c r="J228" s="19"/>
      <c r="K228" s="19"/>
    </row>
    <row r="229" spans="1:11" ht="12.95">
      <c r="A229" s="18"/>
      <c r="B229" s="18"/>
      <c r="C229" s="18"/>
      <c r="D229" s="18"/>
      <c r="E229" s="18"/>
      <c r="F229" s="18"/>
      <c r="G229" s="19"/>
      <c r="H229" s="18"/>
      <c r="I229" s="18"/>
      <c r="J229" s="19"/>
      <c r="K229" s="19"/>
    </row>
    <row r="230" spans="1:11" ht="12.95">
      <c r="A230" s="18"/>
      <c r="B230" s="18"/>
      <c r="C230" s="18"/>
      <c r="D230" s="18"/>
      <c r="E230" s="18"/>
      <c r="F230" s="18"/>
      <c r="G230" s="19"/>
      <c r="H230" s="18"/>
      <c r="I230" s="18"/>
      <c r="J230" s="19"/>
      <c r="K230" s="19"/>
    </row>
    <row r="231" spans="1:11" ht="12.95">
      <c r="A231" s="18"/>
      <c r="B231" s="18"/>
      <c r="C231" s="18"/>
      <c r="D231" s="18"/>
      <c r="E231" s="18"/>
      <c r="F231" s="18"/>
      <c r="G231" s="19"/>
      <c r="H231" s="18"/>
      <c r="I231" s="18"/>
      <c r="J231" s="19"/>
      <c r="K231" s="19"/>
    </row>
    <row r="232" spans="1:11" ht="12.95">
      <c r="A232" s="18"/>
      <c r="B232" s="18"/>
      <c r="C232" s="18"/>
      <c r="D232" s="18"/>
      <c r="E232" s="18"/>
      <c r="F232" s="18"/>
      <c r="G232" s="19"/>
      <c r="H232" s="18"/>
      <c r="I232" s="18"/>
      <c r="J232" s="19"/>
      <c r="K232" s="19"/>
    </row>
    <row r="233" spans="1:11" ht="12.95">
      <c r="A233" s="18"/>
      <c r="B233" s="18"/>
      <c r="C233" s="18"/>
      <c r="D233" s="18"/>
      <c r="E233" s="18"/>
      <c r="F233" s="18"/>
      <c r="G233" s="19"/>
      <c r="H233" s="18"/>
      <c r="I233" s="18"/>
      <c r="J233" s="19"/>
      <c r="K233" s="19"/>
    </row>
    <row r="234" spans="1:11" ht="12.95">
      <c r="A234" s="18"/>
      <c r="B234" s="18"/>
      <c r="C234" s="18"/>
      <c r="D234" s="18"/>
      <c r="E234" s="18"/>
      <c r="F234" s="18"/>
      <c r="G234" s="19"/>
      <c r="H234" s="18"/>
      <c r="I234" s="18"/>
      <c r="J234" s="19"/>
      <c r="K234" s="19"/>
    </row>
    <row r="235" spans="1:11" ht="12.95">
      <c r="A235" s="18"/>
      <c r="B235" s="18"/>
      <c r="C235" s="18"/>
      <c r="D235" s="18"/>
      <c r="E235" s="18"/>
      <c r="F235" s="18"/>
      <c r="G235" s="19"/>
      <c r="H235" s="18"/>
      <c r="I235" s="18"/>
      <c r="J235" s="19"/>
      <c r="K235" s="19"/>
    </row>
    <row r="236" spans="1:11" ht="12.95">
      <c r="A236" s="18"/>
      <c r="B236" s="18"/>
      <c r="C236" s="18"/>
      <c r="D236" s="18"/>
      <c r="E236" s="18"/>
      <c r="F236" s="18"/>
      <c r="G236" s="19"/>
      <c r="H236" s="18"/>
      <c r="I236" s="18"/>
      <c r="J236" s="19"/>
      <c r="K236" s="19"/>
    </row>
    <row r="237" spans="1:11" ht="12.95">
      <c r="A237" s="18"/>
      <c r="B237" s="18"/>
      <c r="C237" s="18"/>
      <c r="D237" s="18"/>
      <c r="E237" s="18"/>
      <c r="F237" s="18"/>
      <c r="G237" s="19"/>
      <c r="H237" s="18"/>
      <c r="I237" s="18"/>
      <c r="J237" s="19"/>
      <c r="K237" s="19"/>
    </row>
    <row r="238" spans="1:11" ht="12.95">
      <c r="A238" s="18"/>
      <c r="B238" s="18"/>
      <c r="C238" s="18"/>
      <c r="D238" s="18"/>
      <c r="E238" s="18"/>
      <c r="F238" s="18"/>
      <c r="G238" s="19"/>
      <c r="H238" s="18"/>
      <c r="I238" s="18"/>
      <c r="J238" s="19"/>
      <c r="K238" s="19"/>
    </row>
    <row r="239" spans="1:11" ht="12.95">
      <c r="A239" s="18"/>
      <c r="B239" s="18"/>
      <c r="C239" s="18"/>
      <c r="D239" s="18"/>
      <c r="E239" s="18"/>
      <c r="F239" s="18"/>
      <c r="G239" s="19"/>
      <c r="H239" s="18"/>
      <c r="I239" s="18"/>
      <c r="J239" s="19"/>
      <c r="K239" s="19"/>
    </row>
    <row r="240" spans="1:11" ht="12.95">
      <c r="A240" s="18"/>
      <c r="B240" s="18"/>
      <c r="C240" s="18"/>
      <c r="D240" s="18"/>
      <c r="E240" s="18"/>
      <c r="F240" s="18"/>
      <c r="G240" s="19"/>
      <c r="H240" s="18"/>
      <c r="I240" s="18"/>
      <c r="J240" s="19"/>
      <c r="K240" s="19"/>
    </row>
    <row r="241" spans="1:11" ht="12.95">
      <c r="A241" s="18"/>
      <c r="B241" s="18"/>
      <c r="C241" s="18"/>
      <c r="D241" s="18"/>
      <c r="E241" s="18"/>
      <c r="F241" s="18"/>
      <c r="G241" s="19"/>
      <c r="H241" s="18"/>
      <c r="I241" s="18"/>
      <c r="J241" s="19"/>
      <c r="K241" s="19"/>
    </row>
    <row r="242" spans="1:11" ht="12.95">
      <c r="A242" s="18"/>
      <c r="B242" s="18"/>
      <c r="C242" s="18"/>
      <c r="D242" s="18"/>
      <c r="E242" s="18"/>
      <c r="F242" s="18"/>
      <c r="G242" s="19"/>
      <c r="H242" s="18"/>
      <c r="I242" s="18"/>
      <c r="J242" s="19"/>
      <c r="K242" s="19"/>
    </row>
    <row r="243" spans="1:11" ht="12.95">
      <c r="A243" s="18"/>
      <c r="B243" s="18"/>
      <c r="C243" s="18"/>
      <c r="D243" s="18"/>
      <c r="E243" s="18"/>
      <c r="F243" s="18"/>
      <c r="G243" s="19"/>
      <c r="H243" s="18"/>
      <c r="I243" s="18"/>
      <c r="J243" s="19"/>
      <c r="K243" s="19"/>
    </row>
    <row r="244" spans="1:11" ht="12.95">
      <c r="A244" s="18"/>
      <c r="B244" s="18"/>
      <c r="C244" s="18"/>
      <c r="D244" s="18"/>
      <c r="E244" s="18"/>
      <c r="F244" s="18"/>
      <c r="G244" s="19"/>
      <c r="H244" s="18"/>
      <c r="I244" s="18"/>
      <c r="J244" s="19"/>
      <c r="K244" s="19"/>
    </row>
    <row r="245" spans="1:11" ht="12.95">
      <c r="A245" s="18"/>
      <c r="B245" s="18"/>
      <c r="C245" s="18"/>
      <c r="D245" s="18"/>
      <c r="E245" s="18"/>
      <c r="F245" s="18"/>
      <c r="G245" s="19"/>
      <c r="H245" s="18"/>
      <c r="I245" s="18"/>
      <c r="J245" s="19"/>
      <c r="K245" s="19"/>
    </row>
    <row r="246" spans="1:11" ht="12.95">
      <c r="A246" s="18"/>
      <c r="B246" s="18"/>
      <c r="C246" s="18"/>
      <c r="D246" s="18"/>
      <c r="E246" s="18"/>
      <c r="F246" s="18"/>
      <c r="G246" s="19"/>
      <c r="H246" s="18"/>
      <c r="I246" s="18"/>
      <c r="J246" s="19"/>
      <c r="K246" s="19"/>
    </row>
    <row r="247" spans="1:11" ht="12.95">
      <c r="A247" s="18"/>
      <c r="B247" s="18"/>
      <c r="C247" s="18"/>
      <c r="D247" s="18"/>
      <c r="E247" s="18"/>
      <c r="F247" s="18"/>
      <c r="G247" s="19"/>
      <c r="H247" s="18"/>
      <c r="I247" s="18"/>
      <c r="J247" s="19"/>
      <c r="K247" s="19"/>
    </row>
    <row r="248" spans="1:11" ht="12.95">
      <c r="A248" s="18"/>
      <c r="B248" s="18"/>
      <c r="C248" s="18"/>
      <c r="D248" s="18"/>
      <c r="E248" s="18"/>
      <c r="F248" s="18"/>
      <c r="G248" s="19"/>
      <c r="H248" s="18"/>
      <c r="I248" s="18"/>
      <c r="J248" s="19"/>
      <c r="K248" s="19"/>
    </row>
    <row r="249" spans="1:11" ht="12.95">
      <c r="A249" s="18"/>
      <c r="B249" s="18"/>
      <c r="C249" s="18"/>
      <c r="D249" s="18"/>
      <c r="E249" s="18"/>
      <c r="F249" s="18"/>
      <c r="G249" s="19"/>
      <c r="H249" s="18"/>
      <c r="I249" s="18"/>
      <c r="J249" s="19"/>
      <c r="K249" s="19"/>
    </row>
    <row r="250" spans="1:11" ht="12.95">
      <c r="A250" s="18"/>
      <c r="B250" s="18"/>
      <c r="C250" s="18"/>
      <c r="D250" s="18"/>
      <c r="E250" s="18"/>
      <c r="F250" s="18"/>
      <c r="G250" s="19"/>
      <c r="H250" s="18"/>
      <c r="I250" s="18"/>
      <c r="J250" s="19"/>
      <c r="K250" s="19"/>
    </row>
    <row r="251" spans="1:11" ht="12.95">
      <c r="A251" s="18"/>
      <c r="B251" s="18"/>
      <c r="C251" s="18"/>
      <c r="D251" s="18"/>
      <c r="E251" s="18"/>
      <c r="F251" s="18"/>
      <c r="G251" s="19"/>
      <c r="H251" s="18"/>
      <c r="I251" s="18"/>
      <c r="J251" s="19"/>
      <c r="K251" s="19"/>
    </row>
    <row r="252" spans="1:11" ht="12.95">
      <c r="A252" s="18"/>
      <c r="B252" s="18"/>
      <c r="C252" s="18"/>
      <c r="D252" s="18"/>
      <c r="E252" s="18"/>
      <c r="F252" s="18"/>
      <c r="G252" s="19"/>
      <c r="H252" s="18"/>
      <c r="I252" s="18"/>
      <c r="J252" s="19"/>
      <c r="K252" s="19"/>
    </row>
    <row r="253" spans="1:11" ht="12.95">
      <c r="A253" s="18"/>
      <c r="B253" s="18"/>
      <c r="C253" s="18"/>
      <c r="D253" s="18"/>
      <c r="E253" s="18"/>
      <c r="F253" s="18"/>
      <c r="G253" s="19"/>
      <c r="H253" s="18"/>
      <c r="I253" s="18"/>
      <c r="J253" s="19"/>
      <c r="K253" s="19"/>
    </row>
    <row r="254" spans="1:11" ht="12.95">
      <c r="A254" s="18"/>
      <c r="B254" s="18"/>
      <c r="C254" s="18"/>
      <c r="D254" s="18"/>
      <c r="E254" s="18"/>
      <c r="F254" s="18"/>
      <c r="G254" s="19"/>
      <c r="H254" s="18"/>
      <c r="I254" s="18"/>
      <c r="J254" s="19"/>
      <c r="K254" s="19"/>
    </row>
    <row r="255" spans="1:11" ht="12.95">
      <c r="A255" s="18"/>
      <c r="B255" s="18"/>
      <c r="C255" s="18"/>
      <c r="D255" s="18"/>
      <c r="E255" s="18"/>
      <c r="F255" s="18"/>
      <c r="G255" s="19"/>
      <c r="H255" s="18"/>
      <c r="I255" s="18"/>
      <c r="J255" s="19"/>
      <c r="K255" s="19"/>
    </row>
    <row r="256" spans="1:11" ht="12.95">
      <c r="A256" s="18"/>
      <c r="B256" s="18"/>
      <c r="C256" s="18"/>
      <c r="D256" s="18"/>
      <c r="E256" s="18"/>
      <c r="F256" s="18"/>
      <c r="G256" s="19"/>
      <c r="H256" s="18"/>
      <c r="I256" s="18"/>
      <c r="J256" s="19"/>
      <c r="K256" s="19"/>
    </row>
    <row r="257" spans="1:11" ht="12.95">
      <c r="A257" s="18"/>
      <c r="B257" s="18"/>
      <c r="C257" s="18"/>
      <c r="D257" s="18"/>
      <c r="E257" s="18"/>
      <c r="F257" s="18"/>
      <c r="G257" s="19"/>
      <c r="H257" s="18"/>
      <c r="I257" s="18"/>
      <c r="J257" s="19"/>
      <c r="K257" s="19"/>
    </row>
    <row r="258" spans="1:11" ht="12.95">
      <c r="A258" s="18"/>
      <c r="B258" s="18"/>
      <c r="C258" s="18"/>
      <c r="D258" s="18"/>
      <c r="E258" s="18"/>
      <c r="F258" s="18"/>
      <c r="G258" s="19"/>
      <c r="H258" s="18"/>
      <c r="I258" s="18"/>
      <c r="J258" s="19"/>
      <c r="K258" s="19"/>
    </row>
    <row r="259" spans="1:11" ht="12.95">
      <c r="A259" s="18"/>
      <c r="B259" s="18"/>
      <c r="C259" s="18"/>
      <c r="D259" s="18"/>
      <c r="E259" s="18"/>
      <c r="F259" s="18"/>
      <c r="G259" s="19"/>
      <c r="H259" s="18"/>
      <c r="I259" s="18"/>
      <c r="J259" s="19"/>
      <c r="K259" s="19"/>
    </row>
    <row r="260" spans="1:11" ht="12.95">
      <c r="A260" s="18"/>
      <c r="B260" s="18"/>
      <c r="C260" s="18"/>
      <c r="D260" s="18"/>
      <c r="E260" s="18"/>
      <c r="F260" s="18"/>
      <c r="G260" s="19"/>
      <c r="H260" s="18"/>
      <c r="I260" s="18"/>
      <c r="J260" s="19"/>
      <c r="K260" s="19"/>
    </row>
    <row r="261" spans="1:11" ht="12.95">
      <c r="A261" s="18"/>
      <c r="B261" s="18"/>
      <c r="C261" s="18"/>
      <c r="D261" s="18"/>
      <c r="E261" s="18"/>
      <c r="F261" s="18"/>
      <c r="G261" s="19"/>
      <c r="H261" s="18"/>
      <c r="I261" s="18"/>
      <c r="J261" s="19"/>
      <c r="K261" s="19"/>
    </row>
    <row r="262" spans="1:11" ht="12.95">
      <c r="A262" s="18"/>
      <c r="B262" s="18"/>
      <c r="C262" s="18"/>
      <c r="D262" s="18"/>
      <c r="E262" s="18"/>
      <c r="F262" s="18"/>
      <c r="G262" s="19"/>
      <c r="H262" s="18"/>
      <c r="I262" s="18"/>
      <c r="J262" s="19"/>
      <c r="K262" s="19"/>
    </row>
    <row r="263" spans="1:11" ht="12.95">
      <c r="A263" s="18"/>
      <c r="B263" s="18"/>
      <c r="C263" s="18"/>
      <c r="D263" s="18"/>
      <c r="E263" s="18"/>
      <c r="F263" s="18"/>
      <c r="G263" s="19"/>
      <c r="H263" s="18"/>
      <c r="I263" s="18"/>
      <c r="J263" s="19"/>
      <c r="K263" s="19"/>
    </row>
    <row r="264" spans="1:11" ht="12.95">
      <c r="A264" s="18"/>
      <c r="B264" s="18"/>
      <c r="C264" s="18"/>
      <c r="D264" s="18"/>
      <c r="E264" s="18"/>
      <c r="F264" s="18"/>
      <c r="G264" s="19"/>
      <c r="H264" s="18"/>
      <c r="I264" s="18"/>
      <c r="J264" s="19"/>
      <c r="K264" s="19"/>
    </row>
    <row r="265" spans="1:11" ht="12.95">
      <c r="A265" s="18"/>
      <c r="B265" s="18"/>
      <c r="C265" s="18"/>
      <c r="D265" s="18"/>
      <c r="E265" s="18"/>
      <c r="F265" s="18"/>
      <c r="G265" s="19"/>
      <c r="H265" s="18"/>
      <c r="I265" s="18"/>
      <c r="J265" s="19"/>
      <c r="K265" s="19"/>
    </row>
    <row r="266" spans="1:11" ht="12.95">
      <c r="A266" s="18"/>
      <c r="B266" s="18"/>
      <c r="C266" s="18"/>
      <c r="D266" s="18"/>
      <c r="E266" s="18"/>
      <c r="F266" s="18"/>
      <c r="G266" s="19"/>
      <c r="H266" s="18"/>
      <c r="I266" s="18"/>
      <c r="J266" s="19"/>
      <c r="K266" s="19"/>
    </row>
    <row r="267" spans="1:11" ht="12.95">
      <c r="A267" s="18"/>
      <c r="B267" s="18"/>
      <c r="C267" s="18"/>
      <c r="D267" s="18"/>
      <c r="E267" s="18"/>
      <c r="F267" s="18"/>
      <c r="G267" s="19"/>
      <c r="H267" s="18"/>
      <c r="I267" s="18"/>
      <c r="J267" s="19"/>
      <c r="K267" s="19"/>
    </row>
    <row r="268" spans="1:11" ht="12.95">
      <c r="A268" s="18"/>
      <c r="B268" s="18"/>
      <c r="C268" s="18"/>
      <c r="D268" s="18"/>
      <c r="E268" s="18"/>
      <c r="F268" s="18"/>
      <c r="G268" s="19"/>
      <c r="H268" s="18"/>
      <c r="I268" s="18"/>
      <c r="J268" s="19"/>
      <c r="K268" s="19"/>
    </row>
    <row r="269" spans="1:11" ht="12.95">
      <c r="A269" s="18"/>
      <c r="B269" s="18"/>
      <c r="C269" s="18"/>
      <c r="D269" s="18"/>
      <c r="E269" s="18"/>
      <c r="F269" s="18"/>
      <c r="G269" s="19"/>
      <c r="H269" s="18"/>
      <c r="I269" s="18"/>
      <c r="J269" s="19"/>
      <c r="K269" s="19"/>
    </row>
    <row r="270" spans="1:11" ht="12.95">
      <c r="A270" s="18"/>
      <c r="B270" s="18"/>
      <c r="C270" s="18"/>
      <c r="D270" s="18"/>
      <c r="E270" s="18"/>
      <c r="F270" s="18"/>
      <c r="G270" s="19"/>
      <c r="H270" s="18"/>
      <c r="I270" s="18"/>
      <c r="J270" s="19"/>
      <c r="K270" s="19"/>
    </row>
    <row r="271" spans="1:11" ht="12.95">
      <c r="A271" s="18"/>
      <c r="B271" s="18"/>
      <c r="C271" s="18"/>
      <c r="D271" s="18"/>
      <c r="E271" s="18"/>
      <c r="F271" s="18"/>
      <c r="G271" s="19"/>
      <c r="H271" s="18"/>
      <c r="I271" s="18"/>
      <c r="J271" s="19"/>
      <c r="K271" s="19"/>
    </row>
    <row r="272" spans="1:11" ht="12.95">
      <c r="A272" s="18"/>
      <c r="B272" s="18"/>
      <c r="C272" s="18"/>
      <c r="D272" s="18"/>
      <c r="E272" s="18"/>
      <c r="F272" s="18"/>
      <c r="G272" s="19"/>
      <c r="H272" s="18"/>
      <c r="I272" s="18"/>
      <c r="J272" s="19"/>
      <c r="K272" s="19"/>
    </row>
    <row r="273" spans="1:11" ht="12.95">
      <c r="A273" s="18"/>
      <c r="B273" s="18"/>
      <c r="C273" s="18"/>
      <c r="D273" s="18"/>
      <c r="E273" s="18"/>
      <c r="F273" s="18"/>
      <c r="G273" s="19"/>
      <c r="H273" s="18"/>
      <c r="I273" s="18"/>
      <c r="J273" s="19"/>
      <c r="K273" s="19"/>
    </row>
    <row r="274" spans="1:11" ht="12.95">
      <c r="A274" s="18"/>
      <c r="B274" s="18"/>
      <c r="C274" s="18"/>
      <c r="D274" s="18"/>
      <c r="E274" s="18"/>
      <c r="F274" s="18"/>
      <c r="G274" s="19"/>
      <c r="H274" s="18"/>
      <c r="I274" s="18"/>
      <c r="J274" s="19"/>
      <c r="K274" s="19"/>
    </row>
    <row r="275" spans="1:11" ht="12.95">
      <c r="A275" s="18"/>
      <c r="B275" s="18"/>
      <c r="C275" s="18"/>
      <c r="D275" s="18"/>
      <c r="E275" s="18"/>
      <c r="F275" s="18"/>
      <c r="G275" s="19"/>
      <c r="H275" s="18"/>
      <c r="I275" s="18"/>
      <c r="J275" s="19"/>
      <c r="K275" s="19"/>
    </row>
    <row r="276" spans="1:11" ht="12.95">
      <c r="A276" s="18"/>
      <c r="B276" s="18"/>
      <c r="C276" s="18"/>
      <c r="D276" s="18"/>
      <c r="E276" s="18"/>
      <c r="F276" s="18"/>
      <c r="G276" s="19"/>
      <c r="H276" s="18"/>
      <c r="I276" s="18"/>
      <c r="J276" s="19"/>
      <c r="K276" s="19"/>
    </row>
    <row r="277" spans="1:11" ht="12.95">
      <c r="A277" s="18"/>
      <c r="B277" s="18"/>
      <c r="C277" s="18"/>
      <c r="D277" s="18"/>
      <c r="E277" s="18"/>
      <c r="F277" s="18"/>
      <c r="G277" s="19"/>
      <c r="H277" s="18"/>
      <c r="I277" s="18"/>
      <c r="J277" s="19"/>
      <c r="K277" s="19"/>
    </row>
    <row r="278" spans="1:11" ht="12.95">
      <c r="A278" s="18"/>
      <c r="B278" s="18"/>
      <c r="C278" s="18"/>
      <c r="D278" s="18"/>
      <c r="E278" s="18"/>
      <c r="F278" s="18"/>
      <c r="G278" s="19"/>
      <c r="H278" s="18"/>
      <c r="I278" s="18"/>
      <c r="J278" s="19"/>
      <c r="K278" s="19"/>
    </row>
    <row r="279" spans="1:11" ht="12.95">
      <c r="A279" s="18"/>
      <c r="B279" s="18"/>
      <c r="C279" s="18"/>
      <c r="D279" s="18"/>
      <c r="E279" s="18"/>
      <c r="F279" s="18"/>
      <c r="G279" s="19"/>
      <c r="H279" s="18"/>
      <c r="I279" s="18"/>
      <c r="J279" s="19"/>
      <c r="K279" s="19"/>
    </row>
    <row r="280" spans="1:11" ht="12.95">
      <c r="A280" s="18"/>
      <c r="B280" s="18"/>
      <c r="C280" s="18"/>
      <c r="D280" s="18"/>
      <c r="E280" s="18"/>
      <c r="F280" s="18"/>
      <c r="G280" s="19"/>
      <c r="H280" s="18"/>
      <c r="I280" s="18"/>
      <c r="J280" s="19"/>
      <c r="K280" s="19"/>
    </row>
    <row r="281" spans="1:11" ht="12.95">
      <c r="A281" s="18"/>
      <c r="B281" s="18"/>
      <c r="C281" s="18"/>
      <c r="D281" s="18"/>
      <c r="E281" s="18"/>
      <c r="F281" s="18"/>
      <c r="G281" s="19"/>
      <c r="H281" s="18"/>
      <c r="I281" s="18"/>
      <c r="J281" s="19"/>
      <c r="K281" s="19"/>
    </row>
    <row r="282" spans="1:11" ht="12.95">
      <c r="A282" s="18"/>
      <c r="B282" s="18"/>
      <c r="C282" s="18"/>
      <c r="D282" s="18"/>
      <c r="E282" s="18"/>
      <c r="F282" s="18"/>
      <c r="G282" s="19"/>
      <c r="H282" s="18"/>
      <c r="I282" s="18"/>
      <c r="J282" s="19"/>
      <c r="K282" s="19"/>
    </row>
    <row r="283" spans="1:11" ht="12.95">
      <c r="A283" s="18"/>
      <c r="B283" s="18"/>
      <c r="C283" s="18"/>
      <c r="D283" s="18"/>
      <c r="E283" s="18"/>
      <c r="F283" s="18"/>
      <c r="G283" s="19"/>
      <c r="H283" s="18"/>
      <c r="I283" s="18"/>
      <c r="J283" s="19"/>
      <c r="K283" s="19"/>
    </row>
    <row r="284" spans="1:11" ht="12.95">
      <c r="A284" s="18"/>
      <c r="B284" s="18"/>
      <c r="C284" s="18"/>
      <c r="D284" s="18"/>
      <c r="E284" s="18"/>
      <c r="F284" s="18"/>
      <c r="G284" s="19"/>
      <c r="H284" s="18"/>
      <c r="I284" s="18"/>
      <c r="J284" s="19"/>
      <c r="K284" s="19"/>
    </row>
    <row r="285" spans="1:11" ht="12.95">
      <c r="A285" s="18"/>
      <c r="B285" s="18"/>
      <c r="C285" s="18"/>
      <c r="D285" s="18"/>
      <c r="E285" s="18"/>
      <c r="F285" s="18"/>
      <c r="G285" s="19"/>
      <c r="H285" s="18"/>
      <c r="I285" s="18"/>
      <c r="J285" s="19"/>
      <c r="K285" s="19"/>
    </row>
    <row r="286" spans="1:11" ht="12.95">
      <c r="A286" s="18"/>
      <c r="B286" s="18"/>
      <c r="C286" s="18"/>
      <c r="D286" s="18"/>
      <c r="E286" s="18"/>
      <c r="F286" s="18"/>
      <c r="G286" s="19"/>
      <c r="H286" s="18"/>
      <c r="I286" s="18"/>
      <c r="J286" s="19"/>
      <c r="K286" s="19"/>
    </row>
    <row r="287" spans="1:11" ht="12.95">
      <c r="A287" s="18"/>
      <c r="B287" s="18"/>
      <c r="C287" s="18"/>
      <c r="D287" s="18"/>
      <c r="E287" s="18"/>
      <c r="F287" s="18"/>
      <c r="G287" s="19"/>
      <c r="H287" s="18"/>
      <c r="I287" s="18"/>
      <c r="J287" s="19"/>
      <c r="K287" s="19"/>
    </row>
    <row r="288" spans="1:11" ht="12.95">
      <c r="A288" s="18"/>
      <c r="B288" s="18"/>
      <c r="C288" s="18"/>
      <c r="D288" s="18"/>
      <c r="E288" s="18"/>
      <c r="F288" s="18"/>
      <c r="G288" s="19"/>
      <c r="H288" s="18"/>
      <c r="I288" s="18"/>
      <c r="J288" s="19"/>
      <c r="K288" s="19"/>
    </row>
    <row r="289" spans="1:11" ht="12.95">
      <c r="A289" s="18"/>
      <c r="B289" s="18"/>
      <c r="C289" s="18"/>
      <c r="D289" s="18"/>
      <c r="E289" s="18"/>
      <c r="F289" s="18"/>
      <c r="G289" s="19"/>
      <c r="H289" s="18"/>
      <c r="I289" s="18"/>
      <c r="J289" s="19"/>
      <c r="K289" s="19"/>
    </row>
    <row r="290" spans="1:11" ht="12.95">
      <c r="A290" s="18"/>
      <c r="B290" s="18"/>
      <c r="C290" s="18"/>
      <c r="D290" s="18"/>
      <c r="E290" s="18"/>
      <c r="F290" s="18"/>
      <c r="G290" s="19"/>
      <c r="H290" s="18"/>
      <c r="I290" s="18"/>
      <c r="J290" s="19"/>
      <c r="K290" s="19"/>
    </row>
    <row r="291" spans="1:11" ht="12.95">
      <c r="A291" s="18"/>
      <c r="B291" s="18"/>
      <c r="C291" s="18"/>
      <c r="D291" s="18"/>
      <c r="E291" s="18"/>
      <c r="F291" s="18"/>
      <c r="G291" s="19"/>
      <c r="H291" s="18"/>
      <c r="I291" s="18"/>
      <c r="J291" s="19"/>
      <c r="K291" s="19"/>
    </row>
    <row r="292" spans="1:11" ht="12.95">
      <c r="A292" s="18"/>
      <c r="B292" s="18"/>
      <c r="C292" s="18"/>
      <c r="D292" s="18"/>
      <c r="E292" s="18"/>
      <c r="F292" s="18"/>
      <c r="G292" s="19"/>
      <c r="H292" s="18"/>
      <c r="I292" s="18"/>
      <c r="J292" s="19"/>
      <c r="K292" s="19"/>
    </row>
    <row r="293" spans="1:11" ht="12.95">
      <c r="A293" s="18"/>
      <c r="B293" s="18"/>
      <c r="C293" s="18"/>
      <c r="D293" s="18"/>
      <c r="E293" s="18"/>
      <c r="F293" s="18"/>
      <c r="G293" s="19"/>
      <c r="H293" s="18"/>
      <c r="I293" s="18"/>
      <c r="J293" s="19"/>
      <c r="K293" s="19"/>
    </row>
    <row r="294" spans="1:11" ht="12.95">
      <c r="A294" s="18"/>
      <c r="B294" s="18"/>
      <c r="C294" s="18"/>
      <c r="D294" s="18"/>
      <c r="E294" s="18"/>
      <c r="F294" s="18"/>
      <c r="G294" s="19"/>
      <c r="H294" s="18"/>
      <c r="I294" s="18"/>
      <c r="J294" s="19"/>
      <c r="K294" s="19"/>
    </row>
    <row r="295" spans="1:11" ht="12.95">
      <c r="A295" s="18"/>
      <c r="B295" s="18"/>
      <c r="C295" s="18"/>
      <c r="D295" s="18"/>
      <c r="E295" s="18"/>
      <c r="F295" s="18"/>
      <c r="G295" s="19"/>
      <c r="H295" s="18"/>
      <c r="I295" s="18"/>
      <c r="J295" s="19"/>
      <c r="K295" s="19"/>
    </row>
    <row r="296" spans="1:11" ht="12.95">
      <c r="A296" s="18"/>
      <c r="B296" s="18"/>
      <c r="C296" s="18"/>
      <c r="D296" s="18"/>
      <c r="E296" s="18"/>
      <c r="F296" s="18"/>
      <c r="G296" s="19"/>
      <c r="H296" s="18"/>
      <c r="I296" s="18"/>
      <c r="J296" s="19"/>
      <c r="K296" s="19"/>
    </row>
    <row r="297" spans="1:11" ht="12.95">
      <c r="A297" s="18"/>
      <c r="B297" s="18"/>
      <c r="C297" s="18"/>
      <c r="D297" s="18"/>
      <c r="E297" s="18"/>
      <c r="F297" s="18"/>
      <c r="G297" s="19"/>
      <c r="H297" s="18"/>
      <c r="I297" s="18"/>
      <c r="J297" s="19"/>
      <c r="K297" s="19"/>
    </row>
    <row r="298" spans="1:11" ht="12.95">
      <c r="A298" s="18"/>
      <c r="B298" s="18"/>
      <c r="C298" s="18"/>
      <c r="D298" s="18"/>
      <c r="E298" s="18"/>
      <c r="F298" s="18"/>
      <c r="G298" s="19"/>
      <c r="H298" s="18"/>
      <c r="I298" s="18"/>
      <c r="J298" s="19"/>
      <c r="K298" s="19"/>
    </row>
    <row r="299" spans="1:11" ht="12.95">
      <c r="A299" s="18"/>
      <c r="B299" s="18"/>
      <c r="C299" s="18"/>
      <c r="D299" s="18"/>
      <c r="E299" s="18"/>
      <c r="F299" s="18"/>
      <c r="G299" s="19"/>
      <c r="H299" s="18"/>
      <c r="I299" s="18"/>
      <c r="J299" s="19"/>
      <c r="K299" s="19"/>
    </row>
    <row r="300" spans="1:11" ht="12.95">
      <c r="A300" s="18"/>
      <c r="B300" s="18"/>
      <c r="C300" s="18"/>
      <c r="D300" s="18"/>
      <c r="E300" s="18"/>
      <c r="F300" s="18"/>
      <c r="G300" s="19"/>
      <c r="H300" s="18"/>
      <c r="I300" s="18"/>
      <c r="J300" s="19"/>
      <c r="K300" s="19"/>
    </row>
    <row r="301" spans="1:11" ht="12.95">
      <c r="A301" s="18"/>
      <c r="B301" s="18"/>
      <c r="C301" s="18"/>
      <c r="D301" s="18"/>
      <c r="E301" s="18"/>
      <c r="F301" s="18"/>
      <c r="G301" s="19"/>
      <c r="H301" s="18"/>
      <c r="I301" s="18"/>
      <c r="J301" s="19"/>
      <c r="K301" s="19"/>
    </row>
    <row r="302" spans="1:11" ht="12.95">
      <c r="A302" s="18"/>
      <c r="B302" s="18"/>
      <c r="C302" s="18"/>
      <c r="D302" s="18"/>
      <c r="E302" s="18"/>
      <c r="F302" s="18"/>
      <c r="G302" s="19"/>
      <c r="H302" s="18"/>
      <c r="I302" s="18"/>
      <c r="J302" s="19"/>
      <c r="K302" s="19"/>
    </row>
    <row r="303" spans="1:11" ht="12.95">
      <c r="A303" s="18"/>
      <c r="B303" s="18"/>
      <c r="C303" s="18"/>
      <c r="D303" s="18"/>
      <c r="E303" s="18"/>
      <c r="F303" s="18"/>
      <c r="G303" s="19"/>
      <c r="H303" s="18"/>
      <c r="I303" s="18"/>
      <c r="J303" s="19"/>
      <c r="K303" s="19"/>
    </row>
    <row r="304" spans="1:11" ht="12.95">
      <c r="A304" s="18"/>
      <c r="B304" s="18"/>
      <c r="C304" s="18"/>
      <c r="D304" s="18"/>
      <c r="E304" s="18"/>
      <c r="F304" s="18"/>
      <c r="G304" s="19"/>
      <c r="H304" s="18"/>
      <c r="I304" s="18"/>
      <c r="J304" s="19"/>
      <c r="K304" s="19"/>
    </row>
    <row r="305" spans="1:11" ht="12.95">
      <c r="A305" s="18"/>
      <c r="B305" s="18"/>
      <c r="C305" s="18"/>
      <c r="D305" s="18"/>
      <c r="E305" s="18"/>
      <c r="F305" s="18"/>
      <c r="G305" s="19"/>
      <c r="H305" s="18"/>
      <c r="I305" s="18"/>
      <c r="J305" s="19"/>
      <c r="K305" s="19"/>
    </row>
    <row r="306" spans="1:11" ht="12.95">
      <c r="A306" s="18"/>
      <c r="B306" s="18"/>
      <c r="C306" s="18"/>
      <c r="D306" s="18"/>
      <c r="E306" s="18"/>
      <c r="F306" s="18"/>
      <c r="G306" s="19"/>
      <c r="H306" s="18"/>
      <c r="I306" s="18"/>
      <c r="J306" s="19"/>
      <c r="K306" s="19"/>
    </row>
    <row r="307" spans="1:11" ht="12.95">
      <c r="A307" s="18"/>
      <c r="B307" s="18"/>
      <c r="C307" s="18"/>
      <c r="D307" s="18"/>
      <c r="E307" s="18"/>
      <c r="F307" s="18"/>
      <c r="G307" s="19"/>
      <c r="H307" s="18"/>
      <c r="I307" s="18"/>
      <c r="J307" s="19"/>
      <c r="K307" s="19"/>
    </row>
    <row r="308" spans="1:11" ht="12.95">
      <c r="A308" s="18"/>
      <c r="B308" s="18"/>
      <c r="C308" s="18"/>
      <c r="D308" s="18"/>
      <c r="E308" s="18"/>
      <c r="F308" s="18"/>
      <c r="G308" s="19"/>
      <c r="H308" s="18"/>
      <c r="I308" s="18"/>
      <c r="J308" s="19"/>
      <c r="K308" s="19"/>
    </row>
    <row r="309" spans="1:11" ht="12.95">
      <c r="A309" s="18"/>
      <c r="B309" s="18"/>
      <c r="C309" s="18"/>
      <c r="D309" s="18"/>
      <c r="E309" s="18"/>
      <c r="F309" s="18"/>
      <c r="G309" s="19"/>
      <c r="H309" s="18"/>
      <c r="I309" s="18"/>
      <c r="J309" s="19"/>
      <c r="K309" s="19"/>
    </row>
    <row r="310" spans="1:11" ht="12.95">
      <c r="A310" s="18"/>
      <c r="B310" s="18"/>
      <c r="C310" s="18"/>
      <c r="D310" s="18"/>
      <c r="E310" s="18"/>
      <c r="F310" s="18"/>
      <c r="G310" s="19"/>
      <c r="H310" s="18"/>
      <c r="I310" s="18"/>
      <c r="J310" s="19"/>
      <c r="K310" s="19"/>
    </row>
    <row r="311" spans="1:11" ht="12.95">
      <c r="A311" s="18"/>
      <c r="B311" s="18"/>
      <c r="C311" s="18"/>
      <c r="D311" s="18"/>
      <c r="E311" s="18"/>
      <c r="F311" s="18"/>
      <c r="G311" s="19"/>
      <c r="H311" s="18"/>
      <c r="I311" s="18"/>
      <c r="J311" s="19"/>
      <c r="K311" s="19"/>
    </row>
    <row r="312" spans="1:11" ht="12.95">
      <c r="A312" s="18"/>
      <c r="B312" s="18"/>
      <c r="C312" s="18"/>
      <c r="D312" s="18"/>
      <c r="E312" s="18"/>
      <c r="F312" s="18"/>
      <c r="G312" s="19"/>
      <c r="H312" s="18"/>
      <c r="I312" s="18"/>
      <c r="J312" s="19"/>
      <c r="K312" s="19"/>
    </row>
    <row r="313" spans="1:11" ht="12.95">
      <c r="A313" s="18"/>
      <c r="B313" s="18"/>
      <c r="C313" s="18"/>
      <c r="D313" s="18"/>
      <c r="E313" s="18"/>
      <c r="F313" s="18"/>
      <c r="G313" s="19"/>
      <c r="H313" s="18"/>
      <c r="I313" s="18"/>
      <c r="J313" s="19"/>
      <c r="K313" s="19"/>
    </row>
    <row r="314" spans="1:11" ht="12.95">
      <c r="A314" s="18"/>
      <c r="B314" s="18"/>
      <c r="C314" s="18"/>
      <c r="D314" s="18"/>
      <c r="E314" s="18"/>
      <c r="F314" s="18"/>
      <c r="G314" s="19"/>
      <c r="H314" s="18"/>
      <c r="I314" s="18"/>
      <c r="J314" s="19"/>
      <c r="K314" s="19"/>
    </row>
    <row r="315" spans="1:11" ht="12.95">
      <c r="A315" s="18"/>
      <c r="B315" s="18"/>
      <c r="C315" s="18"/>
      <c r="D315" s="18"/>
      <c r="E315" s="18"/>
      <c r="F315" s="18"/>
      <c r="G315" s="19"/>
      <c r="H315" s="18"/>
      <c r="I315" s="18"/>
      <c r="J315" s="19"/>
      <c r="K315" s="19"/>
    </row>
    <row r="316" spans="1:11" ht="12.95">
      <c r="A316" s="18"/>
      <c r="B316" s="18"/>
      <c r="C316" s="18"/>
      <c r="D316" s="18"/>
      <c r="E316" s="18"/>
      <c r="F316" s="18"/>
      <c r="G316" s="19"/>
      <c r="H316" s="18"/>
      <c r="I316" s="18"/>
      <c r="J316" s="19"/>
      <c r="K316" s="19"/>
    </row>
    <row r="317" spans="1:11" ht="12.95">
      <c r="A317" s="18"/>
      <c r="B317" s="18"/>
      <c r="C317" s="18"/>
      <c r="D317" s="18"/>
      <c r="E317" s="18"/>
      <c r="F317" s="18"/>
      <c r="G317" s="19"/>
      <c r="H317" s="18"/>
      <c r="I317" s="18"/>
      <c r="J317" s="19"/>
      <c r="K317" s="19"/>
    </row>
    <row r="318" spans="1:11" ht="12.95">
      <c r="A318" s="18"/>
      <c r="B318" s="18"/>
      <c r="C318" s="18"/>
      <c r="D318" s="18"/>
      <c r="E318" s="18"/>
      <c r="F318" s="18"/>
      <c r="G318" s="19"/>
      <c r="H318" s="18"/>
      <c r="I318" s="18"/>
      <c r="J318" s="19"/>
      <c r="K318" s="19"/>
    </row>
    <row r="319" spans="1:11" ht="12.95">
      <c r="A319" s="18"/>
      <c r="B319" s="18"/>
      <c r="C319" s="18"/>
      <c r="D319" s="18"/>
      <c r="E319" s="18"/>
      <c r="F319" s="18"/>
      <c r="G319" s="19"/>
      <c r="H319" s="18"/>
      <c r="I319" s="18"/>
      <c r="J319" s="19"/>
      <c r="K319" s="19"/>
    </row>
    <row r="320" spans="1:11" ht="12.95">
      <c r="A320" s="18"/>
      <c r="B320" s="18"/>
      <c r="C320" s="18"/>
      <c r="D320" s="18"/>
      <c r="E320" s="18"/>
      <c r="F320" s="18"/>
      <c r="G320" s="19"/>
      <c r="H320" s="18"/>
      <c r="I320" s="18"/>
      <c r="J320" s="19"/>
      <c r="K320" s="19"/>
    </row>
    <row r="321" spans="1:11" ht="12.95">
      <c r="A321" s="18"/>
      <c r="B321" s="18"/>
      <c r="C321" s="18"/>
      <c r="D321" s="18"/>
      <c r="E321" s="18"/>
      <c r="F321" s="18"/>
      <c r="G321" s="19"/>
      <c r="H321" s="18"/>
      <c r="I321" s="18"/>
      <c r="J321" s="19"/>
      <c r="K321" s="19"/>
    </row>
    <row r="322" spans="1:11" ht="12.95">
      <c r="A322" s="18"/>
      <c r="B322" s="18"/>
      <c r="C322" s="18"/>
      <c r="D322" s="18"/>
      <c r="E322" s="18"/>
      <c r="F322" s="18"/>
      <c r="G322" s="19"/>
      <c r="H322" s="18"/>
      <c r="I322" s="18"/>
      <c r="J322" s="19"/>
      <c r="K322" s="19"/>
    </row>
    <row r="323" spans="1:11" ht="12.95">
      <c r="A323" s="18"/>
      <c r="B323" s="18"/>
      <c r="C323" s="18"/>
      <c r="D323" s="18"/>
      <c r="E323" s="18"/>
      <c r="F323" s="18"/>
      <c r="G323" s="19"/>
      <c r="H323" s="18"/>
      <c r="I323" s="18"/>
      <c r="J323" s="19"/>
      <c r="K323" s="19"/>
    </row>
    <row r="324" spans="1:11" ht="12.95">
      <c r="A324" s="18"/>
      <c r="B324" s="18"/>
      <c r="C324" s="18"/>
      <c r="D324" s="18"/>
      <c r="E324" s="18"/>
      <c r="F324" s="18"/>
      <c r="G324" s="19"/>
      <c r="H324" s="18"/>
      <c r="I324" s="18"/>
      <c r="J324" s="19"/>
      <c r="K324" s="19"/>
    </row>
    <row r="325" spans="1:11" ht="12.95">
      <c r="A325" s="18"/>
      <c r="B325" s="18"/>
      <c r="C325" s="18"/>
      <c r="D325" s="18"/>
      <c r="E325" s="18"/>
      <c r="F325" s="18"/>
      <c r="G325" s="19"/>
      <c r="H325" s="18"/>
      <c r="I325" s="18"/>
      <c r="J325" s="19"/>
      <c r="K325" s="19"/>
    </row>
    <row r="326" spans="1:11" ht="12.95">
      <c r="A326" s="18"/>
      <c r="B326" s="18"/>
      <c r="C326" s="18"/>
      <c r="D326" s="18"/>
      <c r="E326" s="18"/>
      <c r="F326" s="18"/>
      <c r="G326" s="19"/>
      <c r="H326" s="18"/>
      <c r="I326" s="18"/>
      <c r="J326" s="19"/>
      <c r="K326" s="19"/>
    </row>
    <row r="327" spans="1:11" ht="12.95">
      <c r="A327" s="18"/>
      <c r="B327" s="18"/>
      <c r="C327" s="18"/>
      <c r="D327" s="18"/>
      <c r="E327" s="18"/>
      <c r="F327" s="18"/>
      <c r="G327" s="19"/>
      <c r="H327" s="18"/>
      <c r="I327" s="18"/>
      <c r="J327" s="19"/>
      <c r="K327" s="19"/>
    </row>
    <row r="328" spans="1:11" ht="12.95">
      <c r="A328" s="18"/>
      <c r="B328" s="18"/>
      <c r="C328" s="18"/>
      <c r="D328" s="18"/>
      <c r="E328" s="18"/>
      <c r="F328" s="18"/>
      <c r="G328" s="19"/>
      <c r="H328" s="18"/>
      <c r="I328" s="18"/>
      <c r="J328" s="19"/>
      <c r="K328" s="19"/>
    </row>
    <row r="329" spans="1:11" ht="12.95">
      <c r="A329" s="18"/>
      <c r="B329" s="18"/>
      <c r="C329" s="18"/>
      <c r="D329" s="18"/>
      <c r="E329" s="18"/>
      <c r="F329" s="18"/>
      <c r="G329" s="19"/>
      <c r="H329" s="18"/>
      <c r="I329" s="18"/>
      <c r="J329" s="19"/>
      <c r="K329" s="19"/>
    </row>
    <row r="330" spans="1:11" ht="12.95">
      <c r="A330" s="18"/>
      <c r="B330" s="18"/>
      <c r="C330" s="18"/>
      <c r="D330" s="18"/>
      <c r="E330" s="18"/>
      <c r="F330" s="18"/>
      <c r="G330" s="19"/>
      <c r="H330" s="18"/>
      <c r="I330" s="18"/>
      <c r="J330" s="19"/>
      <c r="K330" s="19"/>
    </row>
    <row r="331" spans="1:11" ht="12.95">
      <c r="A331" s="18"/>
      <c r="B331" s="18"/>
      <c r="C331" s="18"/>
      <c r="D331" s="18"/>
      <c r="E331" s="18"/>
      <c r="F331" s="18"/>
      <c r="G331" s="19"/>
      <c r="H331" s="18"/>
      <c r="I331" s="18"/>
      <c r="J331" s="19"/>
      <c r="K331" s="19"/>
    </row>
    <row r="332" spans="1:11" ht="12.95">
      <c r="A332" s="18"/>
      <c r="B332" s="18"/>
      <c r="C332" s="18"/>
      <c r="D332" s="18"/>
      <c r="E332" s="18"/>
      <c r="F332" s="18"/>
      <c r="G332" s="19"/>
      <c r="H332" s="18"/>
      <c r="I332" s="18"/>
      <c r="J332" s="19"/>
      <c r="K332" s="19"/>
    </row>
    <row r="333" spans="1:11" ht="12.95">
      <c r="A333" s="18"/>
      <c r="B333" s="18"/>
      <c r="C333" s="18"/>
      <c r="D333" s="18"/>
      <c r="E333" s="18"/>
      <c r="F333" s="18"/>
      <c r="G333" s="19"/>
      <c r="H333" s="18"/>
      <c r="I333" s="18"/>
      <c r="J333" s="19"/>
      <c r="K333" s="19"/>
    </row>
    <row r="334" spans="1:11" ht="12.95">
      <c r="A334" s="18"/>
      <c r="B334" s="18"/>
      <c r="C334" s="18"/>
      <c r="D334" s="18"/>
      <c r="E334" s="18"/>
      <c r="F334" s="18"/>
      <c r="G334" s="19"/>
      <c r="H334" s="18"/>
      <c r="I334" s="18"/>
      <c r="J334" s="19"/>
      <c r="K334" s="19"/>
    </row>
    <row r="335" spans="1:11" ht="12.95">
      <c r="A335" s="18"/>
      <c r="B335" s="18"/>
      <c r="C335" s="18"/>
      <c r="D335" s="18"/>
      <c r="E335" s="18"/>
      <c r="F335" s="18"/>
      <c r="G335" s="19"/>
      <c r="H335" s="18"/>
      <c r="I335" s="18"/>
      <c r="J335" s="19"/>
      <c r="K335" s="19"/>
    </row>
    <row r="336" spans="1:11" ht="12.95">
      <c r="A336" s="18"/>
      <c r="B336" s="18"/>
      <c r="C336" s="18"/>
      <c r="D336" s="18"/>
      <c r="E336" s="18"/>
      <c r="F336" s="18"/>
      <c r="G336" s="19"/>
      <c r="H336" s="18"/>
      <c r="I336" s="18"/>
      <c r="J336" s="19"/>
      <c r="K336" s="19"/>
    </row>
    <row r="337" spans="1:11" ht="12.95">
      <c r="A337" s="18"/>
      <c r="B337" s="18"/>
      <c r="C337" s="18"/>
      <c r="D337" s="18"/>
      <c r="E337" s="18"/>
      <c r="F337" s="18"/>
      <c r="G337" s="19"/>
      <c r="H337" s="18"/>
      <c r="I337" s="18"/>
      <c r="J337" s="19"/>
      <c r="K337" s="19"/>
    </row>
    <row r="338" spans="1:11" ht="12.95">
      <c r="A338" s="18"/>
      <c r="B338" s="18"/>
      <c r="C338" s="18"/>
      <c r="D338" s="18"/>
      <c r="E338" s="18"/>
      <c r="F338" s="18"/>
      <c r="G338" s="19"/>
      <c r="H338" s="18"/>
      <c r="I338" s="18"/>
      <c r="J338" s="19"/>
      <c r="K338" s="19"/>
    </row>
    <row r="339" spans="1:11" ht="12.95">
      <c r="A339" s="18"/>
      <c r="B339" s="18"/>
      <c r="C339" s="18"/>
      <c r="D339" s="18"/>
      <c r="E339" s="18"/>
      <c r="F339" s="18"/>
      <c r="G339" s="19"/>
      <c r="H339" s="18"/>
      <c r="I339" s="18"/>
      <c r="J339" s="19"/>
      <c r="K339" s="19"/>
    </row>
    <row r="340" spans="1:11" ht="12.95">
      <c r="A340" s="18"/>
      <c r="B340" s="18"/>
      <c r="C340" s="18"/>
      <c r="D340" s="18"/>
      <c r="E340" s="18"/>
      <c r="F340" s="18"/>
      <c r="G340" s="19"/>
      <c r="H340" s="18"/>
      <c r="I340" s="18"/>
      <c r="J340" s="19"/>
      <c r="K340" s="19"/>
    </row>
    <row r="341" spans="1:11" ht="12.95">
      <c r="A341" s="18"/>
      <c r="B341" s="18"/>
      <c r="C341" s="18"/>
      <c r="D341" s="18"/>
      <c r="E341" s="18"/>
      <c r="F341" s="18"/>
      <c r="G341" s="19"/>
      <c r="H341" s="18"/>
      <c r="I341" s="18"/>
      <c r="J341" s="19"/>
      <c r="K341" s="19"/>
    </row>
    <row r="342" spans="1:11" ht="12.95">
      <c r="A342" s="18"/>
      <c r="B342" s="18"/>
      <c r="C342" s="18"/>
      <c r="D342" s="18"/>
      <c r="E342" s="18"/>
      <c r="F342" s="18"/>
      <c r="G342" s="19"/>
      <c r="H342" s="18"/>
      <c r="I342" s="18"/>
      <c r="J342" s="19"/>
      <c r="K342" s="19"/>
    </row>
  </sheetData>
  <mergeCells count="4">
    <mergeCell ref="H1:J1"/>
    <mergeCell ref="A1:D1"/>
    <mergeCell ref="E1:G1"/>
    <mergeCell ref="A2:B2"/>
  </mergeCells>
  <conditionalFormatting sqref="G2">
    <cfRule type="cellIs" dxfId="110" priority="7" stopIfTrue="1" operator="lessThanOrEqual">
      <formula>-0.1</formula>
    </cfRule>
    <cfRule type="expression" dxfId="109" priority="8">
      <formula>AND(ISNUMBER(G2), G2&gt;=0.1)</formula>
    </cfRule>
  </conditionalFormatting>
  <conditionalFormatting sqref="G4:G161 J4:J161">
    <cfRule type="cellIs" dxfId="108" priority="5" stopIfTrue="1" operator="lessThanOrEqual">
      <formula>-0.1</formula>
    </cfRule>
    <cfRule type="expression" dxfId="107" priority="6">
      <formula>AND(ISNUMBER(G4), G4&gt;=0.1)</formula>
    </cfRule>
  </conditionalFormatting>
  <conditionalFormatting sqref="J2:K2">
    <cfRule type="cellIs" dxfId="106" priority="3" stopIfTrue="1" operator="lessThanOrEqual">
      <formula>-0.1</formula>
    </cfRule>
    <cfRule type="expression" dxfId="105" priority="4">
      <formula>AND(ISNUMBER(J2), J2&gt;=0.1)</formula>
    </cfRule>
  </conditionalFormatting>
  <conditionalFormatting sqref="K4:K161">
    <cfRule type="expression" dxfId="104" priority="1" stopIfTrue="1">
      <formula>AND(K4&lt;&gt;"",K4&lt;0.975)</formula>
    </cfRule>
    <cfRule type="expression" dxfId="103" priority="2">
      <formula>AND(ISNUMBER(K4), K4&gt;=0.985)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2"/>
  <sheetViews>
    <sheetView zoomScale="90" zoomScaleNormal="90" workbookViewId="0">
      <pane xSplit="2" ySplit="3" topLeftCell="C131" activePane="bottomRight" state="frozen"/>
      <selection pane="bottomRight" activeCell="K20" sqref="K20"/>
      <selection pane="bottomLeft" activeCell="C3" sqref="C3"/>
      <selection pane="topRight" activeCell="C3" sqref="C3"/>
    </sheetView>
  </sheetViews>
  <sheetFormatPr defaultRowHeight="14.1"/>
  <cols>
    <col min="1" max="1" width="35.85546875" bestFit="1" customWidth="1"/>
    <col min="2" max="2" width="8.42578125" style="31" customWidth="1"/>
    <col min="3" max="3" width="9.710937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8.5703125" style="1" customWidth="1"/>
    <col min="12" max="12" width="71.5703125" customWidth="1"/>
    <col min="13" max="13" width="20.5703125" bestFit="1" customWidth="1"/>
  </cols>
  <sheetData>
    <row r="1" spans="1:13" ht="19.5" customHeight="1">
      <c r="A1" s="111" t="str" cm="1">
        <f t="array" ref="A1">portfolio</f>
        <v>Generate Capital</v>
      </c>
      <c r="B1" s="111"/>
      <c r="C1" s="111"/>
      <c r="D1" s="111"/>
      <c r="E1" s="112" t="s">
        <v>27</v>
      </c>
      <c r="F1" s="112"/>
      <c r="G1" s="112"/>
      <c r="H1" s="110" t="s">
        <v>28</v>
      </c>
      <c r="I1" s="110"/>
      <c r="J1" s="110"/>
      <c r="K1" s="107" t="s">
        <v>29</v>
      </c>
      <c r="L1" s="5"/>
      <c r="M1" s="5"/>
    </row>
    <row r="2" spans="1:13" ht="19.5" customHeight="1">
      <c r="A2" s="113" t="s">
        <v>3</v>
      </c>
      <c r="B2" s="113"/>
      <c r="C2" s="72"/>
      <c r="D2" s="6">
        <f>SUM(D4:D137)</f>
        <v>6036713.5531980917</v>
      </c>
      <c r="E2" s="6">
        <f>SUM(E4:E137)</f>
        <v>2852220.8888000012</v>
      </c>
      <c r="F2" s="6">
        <f>D2-E2</f>
        <v>3184492.6643980904</v>
      </c>
      <c r="G2" s="7">
        <f>IFERROR(F2/E2, 0)</f>
        <v>1.1164958074961313</v>
      </c>
      <c r="H2" s="6">
        <f>SUM(H4:H137)</f>
        <v>10548236.055199996</v>
      </c>
      <c r="I2" s="8">
        <f>D2-H2</f>
        <v>-4511522.502001904</v>
      </c>
      <c r="J2" s="7">
        <f>IFERROR(I2/H2, 0)</f>
        <v>-0.42770397613332184</v>
      </c>
      <c r="K2" s="108"/>
      <c r="L2" s="23" t="str">
        <f ca="1">IF(AND(TODAY()&gt;DATE(2024, 1,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4.25" customHeight="1">
      <c r="A3" s="24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7" t="s">
        <v>11</v>
      </c>
      <c r="I3" s="35" t="s">
        <v>9</v>
      </c>
      <c r="J3" s="36" t="s">
        <v>10</v>
      </c>
      <c r="K3" s="109" t="s">
        <v>12</v>
      </c>
      <c r="L3" s="22" t="s">
        <v>30</v>
      </c>
      <c r="M3" s="22" t="s">
        <v>31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9019.8055667054105</v>
      </c>
      <c r="E4" s="11"/>
      <c r="F4" s="11" t="str">
        <f>IF(AND(ISNUMBER(D4),ISNUMBER(E4)), D4-E4, "")</f>
        <v/>
      </c>
      <c r="G4" s="12" t="str">
        <f>IFERROR(F4/E4, "")</f>
        <v/>
      </c>
      <c r="H4" s="13">
        <v>9006.5920000000006</v>
      </c>
      <c r="I4" s="13">
        <f>IF(AND(ISNUMBER(D4),ISNUMBER(H4)), D4-H4, "")</f>
        <v>13.213566705409903</v>
      </c>
      <c r="J4" s="14">
        <f>IFERROR(I4/H4, "")</f>
        <v>1.4670995094937021E-3</v>
      </c>
      <c r="K4" s="14">
        <v>1</v>
      </c>
      <c r="L4" s="38" t="s">
        <v>32</v>
      </c>
      <c r="M4" s="38" t="s">
        <v>32</v>
      </c>
    </row>
    <row r="5" spans="1:13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v>29434.75</v>
      </c>
      <c r="E5" s="15"/>
      <c r="F5" s="15" t="str">
        <f t="shared" ref="F5:F15" si="0">IF(AND(ISNUMBER(D5),ISNUMBER(E5)), D5-E5, "")</f>
        <v/>
      </c>
      <c r="G5" s="16" t="str">
        <f>IFERROR(F5/E5, "")</f>
        <v/>
      </c>
      <c r="H5" s="17">
        <v>37171.279999999999</v>
      </c>
      <c r="I5" s="17">
        <f t="shared" ref="I5:I6" si="1">IF(AND(ISNUMBER(D5),ISNUMBER(H5)), D5-H5, "")</f>
        <v>-7736.5299999999988</v>
      </c>
      <c r="J5" s="16">
        <f t="shared" ref="J5:J6" si="2">IFERROR(I5/H5, "")</f>
        <v>-0.20813192335588118</v>
      </c>
      <c r="K5" s="16">
        <v>1</v>
      </c>
      <c r="L5" s="39" t="s">
        <v>32</v>
      </c>
      <c r="M5" s="39" t="s">
        <v>32</v>
      </c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15656.706981031701</v>
      </c>
      <c r="E6" s="11">
        <v>0</v>
      </c>
      <c r="F6" s="11">
        <f t="shared" si="0"/>
        <v>15656.706981031701</v>
      </c>
      <c r="G6" s="12" t="str">
        <f t="shared" ref="G6:G15" si="3">IFERROR(F6/E6, "")</f>
        <v/>
      </c>
      <c r="H6" s="13">
        <v>15355</v>
      </c>
      <c r="I6" s="13">
        <f t="shared" si="1"/>
        <v>301.70698103170071</v>
      </c>
      <c r="J6" s="14">
        <f t="shared" si="2"/>
        <v>1.9648777664063869E-2</v>
      </c>
      <c r="K6" s="14">
        <v>1</v>
      </c>
      <c r="L6" s="38" t="s">
        <v>32</v>
      </c>
      <c r="M6" s="38" t="s">
        <v>32</v>
      </c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v>8806.2478459322592</v>
      </c>
      <c r="E7" s="15"/>
      <c r="F7" s="15" t="str">
        <f t="shared" si="0"/>
        <v/>
      </c>
      <c r="G7" s="16" t="str">
        <f t="shared" si="3"/>
        <v/>
      </c>
      <c r="H7" s="17">
        <v>10511.28</v>
      </c>
      <c r="I7" s="17">
        <f t="shared" ref="I7:I15" si="4">IF(AND(ISNUMBER(D7),ISNUMBER(H7)), D7-H7, "")</f>
        <v>-1705.0321540677414</v>
      </c>
      <c r="J7" s="16">
        <f t="shared" ref="J7:J15" si="5">IFERROR(I7/H7, "")</f>
        <v>-0.16220975505054963</v>
      </c>
      <c r="K7" s="16">
        <v>1</v>
      </c>
      <c r="L7" s="39" t="s">
        <v>32</v>
      </c>
      <c r="M7" s="40" t="s">
        <v>32</v>
      </c>
    </row>
    <row r="8" spans="1:13" ht="29.1">
      <c r="A8" s="25" t="str">
        <v>Parking 3</v>
      </c>
      <c r="B8" s="26" t="str">
        <v>AZ</v>
      </c>
      <c r="C8" s="26" t="str">
        <f>Sites[[#This Row],[SOL'#]]</f>
        <v>SOL-10751</v>
      </c>
      <c r="D8" s="21">
        <v>16586.7967314991</v>
      </c>
      <c r="E8" s="11"/>
      <c r="F8" s="11" t="str">
        <f t="shared" si="0"/>
        <v/>
      </c>
      <c r="G8" s="12" t="str">
        <f t="shared" si="3"/>
        <v/>
      </c>
      <c r="H8" s="13">
        <v>21555.37</v>
      </c>
      <c r="I8" s="13">
        <f t="shared" si="4"/>
        <v>-4968.5732685008988</v>
      </c>
      <c r="J8" s="14">
        <f t="shared" si="5"/>
        <v>-0.23050280595976311</v>
      </c>
      <c r="K8" s="14">
        <v>1</v>
      </c>
      <c r="L8" s="38" t="s">
        <v>33</v>
      </c>
      <c r="M8" s="38" t="s">
        <v>34</v>
      </c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v>20730.183365017401</v>
      </c>
      <c r="E9" s="15"/>
      <c r="F9" s="15" t="str">
        <f t="shared" si="0"/>
        <v/>
      </c>
      <c r="G9" s="16" t="str">
        <f t="shared" si="3"/>
        <v/>
      </c>
      <c r="H9" s="17">
        <v>22830.6</v>
      </c>
      <c r="I9" s="17">
        <f t="shared" si="4"/>
        <v>-2100.4166349825973</v>
      </c>
      <c r="J9" s="16">
        <f t="shared" si="5"/>
        <v>-9.2000062853477241E-2</v>
      </c>
      <c r="K9" s="16">
        <v>1</v>
      </c>
      <c r="L9" s="39" t="s">
        <v>32</v>
      </c>
      <c r="M9" s="40" t="s">
        <v>32</v>
      </c>
    </row>
    <row r="10" spans="1:13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v>8912.9887629654295</v>
      </c>
      <c r="E10" s="11"/>
      <c r="F10" s="11" t="str">
        <f t="shared" si="0"/>
        <v/>
      </c>
      <c r="G10" s="12" t="str">
        <f t="shared" si="3"/>
        <v/>
      </c>
      <c r="H10" s="13">
        <v>10042</v>
      </c>
      <c r="I10" s="13">
        <f t="shared" si="4"/>
        <v>-1129.0112370345705</v>
      </c>
      <c r="J10" s="14">
        <f t="shared" si="5"/>
        <v>-0.11242892223009067</v>
      </c>
      <c r="K10" s="14">
        <v>1</v>
      </c>
      <c r="L10" s="38" t="s">
        <v>32</v>
      </c>
      <c r="M10" s="38" t="s">
        <v>32</v>
      </c>
    </row>
    <row r="11" spans="1:13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3747.2089325583102</v>
      </c>
      <c r="E11" s="15">
        <v>0</v>
      </c>
      <c r="F11" s="15">
        <f t="shared" si="0"/>
        <v>3747.2089325583102</v>
      </c>
      <c r="G11" s="16" t="str">
        <f t="shared" si="3"/>
        <v/>
      </c>
      <c r="H11" s="17">
        <v>5668</v>
      </c>
      <c r="I11" s="17">
        <f t="shared" si="4"/>
        <v>-1920.7910674416898</v>
      </c>
      <c r="J11" s="16">
        <f t="shared" si="5"/>
        <v>-0.33888339227976177</v>
      </c>
      <c r="K11" s="16">
        <v>1</v>
      </c>
      <c r="L11" s="39" t="s">
        <v>35</v>
      </c>
      <c r="M11" s="40" t="s">
        <v>36</v>
      </c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52995</v>
      </c>
      <c r="E12" s="11">
        <v>74566.16</v>
      </c>
      <c r="F12" s="11">
        <f t="shared" si="0"/>
        <v>-21571.160000000003</v>
      </c>
      <c r="G12" s="12">
        <f t="shared" si="3"/>
        <v>-0.28928886776521684</v>
      </c>
      <c r="H12" s="13">
        <v>62836</v>
      </c>
      <c r="I12" s="13">
        <f t="shared" si="4"/>
        <v>-9841</v>
      </c>
      <c r="J12" s="14">
        <f t="shared" si="5"/>
        <v>-0.15661404290534089</v>
      </c>
      <c r="K12" s="14">
        <v>1</v>
      </c>
      <c r="L12" s="38" t="s">
        <v>32</v>
      </c>
      <c r="M12" s="38" t="s">
        <v>32</v>
      </c>
    </row>
    <row r="13" spans="1:13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v>20047.7890625</v>
      </c>
      <c r="E13" s="15">
        <v>33380.339999999997</v>
      </c>
      <c r="F13" s="15">
        <f t="shared" si="0"/>
        <v>-13332.550937499997</v>
      </c>
      <c r="G13" s="16">
        <f t="shared" si="3"/>
        <v>-0.39941327552385619</v>
      </c>
      <c r="H13" s="17">
        <v>52574</v>
      </c>
      <c r="I13" s="17">
        <f t="shared" si="4"/>
        <v>-32526.2109375</v>
      </c>
      <c r="J13" s="16">
        <f t="shared" si="5"/>
        <v>-0.61867483808536539</v>
      </c>
      <c r="K13" s="16">
        <v>0.87096770000000001</v>
      </c>
      <c r="L13" s="39" t="s">
        <v>37</v>
      </c>
      <c r="M13" s="40" t="s">
        <v>38</v>
      </c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v>6323.25</v>
      </c>
      <c r="E14" s="11">
        <v>0</v>
      </c>
      <c r="F14" s="11">
        <f t="shared" si="0"/>
        <v>6323.25</v>
      </c>
      <c r="G14" s="12" t="str">
        <f t="shared" si="3"/>
        <v/>
      </c>
      <c r="H14" s="13">
        <v>11652</v>
      </c>
      <c r="I14" s="13">
        <f t="shared" si="4"/>
        <v>-5328.75</v>
      </c>
      <c r="J14" s="14">
        <f t="shared" si="5"/>
        <v>-0.45732492276004122</v>
      </c>
      <c r="K14" s="14">
        <v>1</v>
      </c>
      <c r="L14" s="38" t="s">
        <v>32</v>
      </c>
      <c r="M14" s="38" t="s">
        <v>39</v>
      </c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10382.8357762534</v>
      </c>
      <c r="E15" s="15">
        <v>7229.7179999999998</v>
      </c>
      <c r="F15" s="15">
        <f t="shared" si="0"/>
        <v>3153.1177762533998</v>
      </c>
      <c r="G15" s="16">
        <f t="shared" si="3"/>
        <v>0.436132885992704</v>
      </c>
      <c r="H15" s="17">
        <v>11007</v>
      </c>
      <c r="I15" s="17">
        <f t="shared" si="4"/>
        <v>-624.16422374660033</v>
      </c>
      <c r="J15" s="16">
        <f t="shared" si="5"/>
        <v>-5.670611644831474E-2</v>
      </c>
      <c r="K15" s="16">
        <v>1</v>
      </c>
      <c r="L15" s="39" t="s">
        <v>32</v>
      </c>
      <c r="M15" s="40" t="s">
        <v>39</v>
      </c>
    </row>
    <row r="16" spans="1:13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6804.6062686749501</v>
      </c>
      <c r="E16" s="11"/>
      <c r="F16" s="11" t="str">
        <f t="shared" ref="F16:F79" si="6">IF(AND(ISNUMBER(D16),ISNUMBER(E16)), D16-E16, "")</f>
        <v/>
      </c>
      <c r="G16" s="12" t="str">
        <f t="shared" ref="G16:G79" si="7">IFERROR(F16/E16, "")</f>
        <v/>
      </c>
      <c r="H16" s="13">
        <v>8158</v>
      </c>
      <c r="I16" s="13">
        <f t="shared" ref="I16:I17" si="8">IF(AND(ISNUMBER(D16),ISNUMBER(H16)), D16-H16, "")</f>
        <v>-1353.3937313250499</v>
      </c>
      <c r="J16" s="14">
        <f t="shared" ref="J16:J17" si="9">IFERROR(I16/H16, "")</f>
        <v>-0.16589773612712061</v>
      </c>
      <c r="K16" s="14">
        <v>1</v>
      </c>
      <c r="L16" s="38" t="s">
        <v>32</v>
      </c>
      <c r="M16" s="38" t="s">
        <v>39</v>
      </c>
    </row>
    <row r="17" spans="1:13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v>51680.319999999803</v>
      </c>
      <c r="E17" s="15"/>
      <c r="F17" s="15" t="str">
        <f t="shared" si="6"/>
        <v/>
      </c>
      <c r="G17" s="16" t="str">
        <f t="shared" si="7"/>
        <v/>
      </c>
      <c r="H17" s="17">
        <v>54453</v>
      </c>
      <c r="I17" s="17">
        <f t="shared" si="8"/>
        <v>-2772.6800000001967</v>
      </c>
      <c r="J17" s="16">
        <f t="shared" si="9"/>
        <v>-5.0918773988580919E-2</v>
      </c>
      <c r="K17" s="16">
        <v>1</v>
      </c>
      <c r="L17" s="39" t="s">
        <v>32</v>
      </c>
      <c r="M17" s="39" t="s">
        <v>39</v>
      </c>
    </row>
    <row r="18" spans="1:13" ht="15.6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20768</v>
      </c>
      <c r="E18" s="11">
        <v>0</v>
      </c>
      <c r="F18" s="11">
        <f t="shared" si="6"/>
        <v>20768</v>
      </c>
      <c r="G18" s="12" t="str">
        <f t="shared" si="7"/>
        <v/>
      </c>
      <c r="H18" s="13">
        <v>32604</v>
      </c>
      <c r="I18" s="13">
        <f t="shared" ref="I18:I81" si="10">IF(AND(ISNUMBER(D18),ISNUMBER(H18)), D18-H18, "")</f>
        <v>-11836</v>
      </c>
      <c r="J18" s="14">
        <f t="shared" ref="J18:J81" si="11">IFERROR(I18/H18, "")</f>
        <v>-0.36302294197031038</v>
      </c>
      <c r="K18" s="80">
        <v>1</v>
      </c>
      <c r="L18" s="38" t="s">
        <v>32</v>
      </c>
      <c r="M18" s="38" t="s">
        <v>39</v>
      </c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v>23135</v>
      </c>
      <c r="E19" s="15">
        <v>43481.120000000003</v>
      </c>
      <c r="F19" s="15">
        <f t="shared" si="6"/>
        <v>-20346.120000000003</v>
      </c>
      <c r="G19" s="16">
        <f t="shared" si="7"/>
        <v>-0.4679299889239284</v>
      </c>
      <c r="H19" s="17">
        <v>46237.45</v>
      </c>
      <c r="I19" s="17">
        <f t="shared" si="10"/>
        <v>-23102.449999999997</v>
      </c>
      <c r="J19" s="16">
        <f t="shared" si="11"/>
        <v>-0.49964801259585029</v>
      </c>
      <c r="K19" s="16">
        <v>1</v>
      </c>
      <c r="L19" s="39" t="s">
        <v>32</v>
      </c>
      <c r="M19" s="40" t="s">
        <v>39</v>
      </c>
    </row>
    <row r="20" spans="1:13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5510.625</v>
      </c>
      <c r="E20" s="11">
        <v>12146.73</v>
      </c>
      <c r="F20" s="11">
        <f t="shared" si="6"/>
        <v>-6636.1049999999996</v>
      </c>
      <c r="G20" s="12">
        <f t="shared" si="7"/>
        <v>-0.54632851804559746</v>
      </c>
      <c r="H20" s="13">
        <v>11421.63</v>
      </c>
      <c r="I20" s="13">
        <f t="shared" si="10"/>
        <v>-5911.0049999999992</v>
      </c>
      <c r="J20" s="14">
        <f t="shared" si="11"/>
        <v>-0.51752727062599646</v>
      </c>
      <c r="K20" s="80">
        <v>0.90209549999999994</v>
      </c>
      <c r="L20" s="38" t="s">
        <v>40</v>
      </c>
      <c r="M20" s="38" t="s">
        <v>41</v>
      </c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v>7049.125</v>
      </c>
      <c r="E21" s="15">
        <v>12398.04</v>
      </c>
      <c r="F21" s="15">
        <f t="shared" si="6"/>
        <v>-5348.9150000000009</v>
      </c>
      <c r="G21" s="16">
        <f t="shared" si="7"/>
        <v>-0.43143230704208091</v>
      </c>
      <c r="H21" s="17">
        <v>11167.42</v>
      </c>
      <c r="I21" s="17">
        <f t="shared" si="10"/>
        <v>-4118.2950000000001</v>
      </c>
      <c r="J21" s="16">
        <f t="shared" si="11"/>
        <v>-0.36877765858183897</v>
      </c>
      <c r="K21" s="16">
        <v>0.99899190000000004</v>
      </c>
      <c r="L21" s="39" t="s">
        <v>32</v>
      </c>
      <c r="M21" s="40" t="s">
        <v>32</v>
      </c>
    </row>
    <row r="22" spans="1:13" ht="15.6">
      <c r="A22" s="25" t="str">
        <v>K041</v>
      </c>
      <c r="B22" s="26" t="str">
        <v>NY</v>
      </c>
      <c r="C22" s="26" t="str">
        <f>Sites[[#This Row],[SOL'#]]</f>
        <v>SOL-10357</v>
      </c>
      <c r="D22" s="21">
        <v>2400.5966796875</v>
      </c>
      <c r="E22" s="11">
        <v>9772.2489999999998</v>
      </c>
      <c r="F22" s="11">
        <f t="shared" si="6"/>
        <v>-7371.6523203124998</v>
      </c>
      <c r="G22" s="12">
        <f t="shared" si="7"/>
        <v>-0.75434552683957401</v>
      </c>
      <c r="H22" s="13">
        <v>9924</v>
      </c>
      <c r="I22" s="13">
        <f t="shared" si="10"/>
        <v>-7523.4033203125</v>
      </c>
      <c r="J22" s="14">
        <f t="shared" si="11"/>
        <v>-0.75810190652080811</v>
      </c>
      <c r="K22" s="80">
        <v>0.46774189999999999</v>
      </c>
      <c r="L22" s="38" t="s">
        <v>42</v>
      </c>
      <c r="M22" s="38" t="s">
        <v>43</v>
      </c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v>7037.328125</v>
      </c>
      <c r="E23" s="15">
        <v>10909.38</v>
      </c>
      <c r="F23" s="15">
        <f t="shared" si="6"/>
        <v>-3872.0518749999992</v>
      </c>
      <c r="G23" s="16">
        <f t="shared" si="7"/>
        <v>-0.35492868293156893</v>
      </c>
      <c r="H23" s="17">
        <v>2303</v>
      </c>
      <c r="I23" s="17">
        <f t="shared" si="10"/>
        <v>4734.328125</v>
      </c>
      <c r="J23" s="16">
        <f t="shared" si="11"/>
        <v>2.0557221558836298</v>
      </c>
      <c r="K23" s="16">
        <v>0.90789900000000001</v>
      </c>
      <c r="L23" s="39" t="s">
        <v>32</v>
      </c>
      <c r="M23" s="40" t="s">
        <v>39</v>
      </c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v>5262.6875</v>
      </c>
      <c r="E24" s="11">
        <v>8705.5619999999999</v>
      </c>
      <c r="F24" s="11">
        <f t="shared" si="6"/>
        <v>-3442.8744999999999</v>
      </c>
      <c r="G24" s="12">
        <f t="shared" si="7"/>
        <v>-0.39547986677942215</v>
      </c>
      <c r="H24" s="13">
        <v>9193.0889999999999</v>
      </c>
      <c r="I24" s="13">
        <f t="shared" si="10"/>
        <v>-3930.4014999999999</v>
      </c>
      <c r="J24" s="14">
        <f t="shared" si="11"/>
        <v>-0.42753871957510692</v>
      </c>
      <c r="K24" s="80">
        <v>0.99691079999999999</v>
      </c>
      <c r="L24" s="38" t="s">
        <v>32</v>
      </c>
      <c r="M24" s="38" t="s">
        <v>39</v>
      </c>
    </row>
    <row r="25" spans="1:13" ht="29.1">
      <c r="A25" s="27" t="str">
        <v>K115</v>
      </c>
      <c r="B25" s="28" t="str">
        <v>NY</v>
      </c>
      <c r="C25" s="28" t="str">
        <f>Sites[[#This Row],[SOL'#]]</f>
        <v>SOL-10361</v>
      </c>
      <c r="D25" s="10">
        <v>1496.6525963930401</v>
      </c>
      <c r="E25" s="15">
        <v>5139.6459999999997</v>
      </c>
      <c r="F25" s="15">
        <f t="shared" si="6"/>
        <v>-3642.9934036069599</v>
      </c>
      <c r="G25" s="16">
        <f t="shared" si="7"/>
        <v>-0.70880239682012347</v>
      </c>
      <c r="H25" s="17">
        <v>5622</v>
      </c>
      <c r="I25" s="17">
        <f t="shared" si="10"/>
        <v>-4125.3474036069601</v>
      </c>
      <c r="J25" s="16">
        <f t="shared" si="11"/>
        <v>-0.73378644674616866</v>
      </c>
      <c r="K25" s="16">
        <v>0.87466820000000001</v>
      </c>
      <c r="L25" s="39" t="s">
        <v>44</v>
      </c>
      <c r="M25" s="40" t="s">
        <v>45</v>
      </c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v>1927.1875</v>
      </c>
      <c r="E26" s="11">
        <v>3008.1570000000002</v>
      </c>
      <c r="F26" s="11">
        <f t="shared" si="6"/>
        <v>-1080.9695000000002</v>
      </c>
      <c r="G26" s="12">
        <f t="shared" si="7"/>
        <v>-0.3593461046082369</v>
      </c>
      <c r="H26" s="13">
        <v>3567</v>
      </c>
      <c r="I26" s="13">
        <f t="shared" si="10"/>
        <v>-1639.8125</v>
      </c>
      <c r="J26" s="14">
        <f t="shared" si="11"/>
        <v>-0.45971754976170454</v>
      </c>
      <c r="K26" s="80">
        <v>1</v>
      </c>
      <c r="L26" s="38" t="s">
        <v>32</v>
      </c>
      <c r="M26" s="38" t="s">
        <v>39</v>
      </c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v>7390.625</v>
      </c>
      <c r="E27" s="15">
        <v>11891.79</v>
      </c>
      <c r="F27" s="15">
        <f t="shared" si="6"/>
        <v>-4501.1650000000009</v>
      </c>
      <c r="G27" s="16">
        <f t="shared" si="7"/>
        <v>-0.37851029996325203</v>
      </c>
      <c r="H27" s="17">
        <v>12186.2</v>
      </c>
      <c r="I27" s="17">
        <f t="shared" si="10"/>
        <v>-4795.5750000000007</v>
      </c>
      <c r="J27" s="16">
        <f t="shared" si="11"/>
        <v>-0.3935250529287227</v>
      </c>
      <c r="K27" s="16">
        <v>1</v>
      </c>
      <c r="L27" s="39" t="s">
        <v>32</v>
      </c>
      <c r="M27" s="40" t="s">
        <v>39</v>
      </c>
    </row>
    <row r="28" spans="1:13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v>4600.7712402343705</v>
      </c>
      <c r="E28" s="11">
        <v>7372.8819999999996</v>
      </c>
      <c r="F28" s="11">
        <f t="shared" si="6"/>
        <v>-2772.1107597656292</v>
      </c>
      <c r="G28" s="12">
        <f t="shared" si="7"/>
        <v>-0.37598740353712828</v>
      </c>
      <c r="H28" s="13">
        <v>6894</v>
      </c>
      <c r="I28" s="13">
        <f t="shared" si="10"/>
        <v>-2293.2287597656295</v>
      </c>
      <c r="J28" s="14">
        <f t="shared" si="11"/>
        <v>-0.33264124742756446</v>
      </c>
      <c r="K28" s="80">
        <v>0.97604299999999999</v>
      </c>
      <c r="L28" s="38" t="s">
        <v>32</v>
      </c>
      <c r="M28" s="38" t="s">
        <v>39</v>
      </c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v>4966.375</v>
      </c>
      <c r="E29" s="15">
        <v>7470.1769999999997</v>
      </c>
      <c r="F29" s="15">
        <f t="shared" si="6"/>
        <v>-2503.8019999999997</v>
      </c>
      <c r="G29" s="16">
        <f t="shared" si="7"/>
        <v>-0.33517304877782678</v>
      </c>
      <c r="H29" s="17">
        <v>8568.6239999999998</v>
      </c>
      <c r="I29" s="17">
        <f t="shared" si="10"/>
        <v>-3602.2489999999998</v>
      </c>
      <c r="J29" s="16">
        <f t="shared" si="11"/>
        <v>-0.42039993819311011</v>
      </c>
      <c r="K29" s="16">
        <v>1</v>
      </c>
      <c r="L29" s="39" t="s">
        <v>32</v>
      </c>
      <c r="M29" s="39" t="s">
        <v>39</v>
      </c>
    </row>
    <row r="30" spans="1:13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v>4328.3125</v>
      </c>
      <c r="E30" s="11"/>
      <c r="F30" s="11" t="str">
        <f t="shared" si="6"/>
        <v/>
      </c>
      <c r="G30" s="12" t="str">
        <f t="shared" si="7"/>
        <v/>
      </c>
      <c r="H30" s="13">
        <v>7801.0169999999998</v>
      </c>
      <c r="I30" s="13">
        <f t="shared" si="10"/>
        <v>-3472.7044999999998</v>
      </c>
      <c r="J30" s="14">
        <f t="shared" si="11"/>
        <v>-0.44516048356259191</v>
      </c>
      <c r="K30" s="80">
        <v>1</v>
      </c>
      <c r="L30" s="38" t="s">
        <v>32</v>
      </c>
      <c r="M30" s="38" t="s">
        <v>39</v>
      </c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v>5062.03125</v>
      </c>
      <c r="E31" s="15"/>
      <c r="F31" s="15" t="str">
        <f t="shared" si="6"/>
        <v/>
      </c>
      <c r="G31" s="16" t="str">
        <f t="shared" si="7"/>
        <v/>
      </c>
      <c r="H31" s="17">
        <v>9546</v>
      </c>
      <c r="I31" s="17">
        <f t="shared" si="10"/>
        <v>-4483.96875</v>
      </c>
      <c r="J31" s="16">
        <f t="shared" si="11"/>
        <v>-0.46972226587052168</v>
      </c>
      <c r="K31" s="16">
        <v>1</v>
      </c>
      <c r="L31" s="39" t="s">
        <v>32</v>
      </c>
      <c r="M31" s="40" t="s">
        <v>39</v>
      </c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v>3720.0499218750001</v>
      </c>
      <c r="E32" s="11">
        <v>5460.0349999999999</v>
      </c>
      <c r="F32" s="11">
        <f t="shared" si="6"/>
        <v>-1739.9850781249997</v>
      </c>
      <c r="G32" s="12">
        <f t="shared" si="7"/>
        <v>-0.3186765429388273</v>
      </c>
      <c r="H32" s="13">
        <v>7303</v>
      </c>
      <c r="I32" s="13">
        <f t="shared" si="10"/>
        <v>-3582.9500781249999</v>
      </c>
      <c r="J32" s="14">
        <f t="shared" si="11"/>
        <v>-0.49061345722648225</v>
      </c>
      <c r="K32" s="80">
        <v>0.9988876000000001</v>
      </c>
      <c r="L32" s="38" t="s">
        <v>32</v>
      </c>
      <c r="M32" s="38" t="s">
        <v>39</v>
      </c>
    </row>
    <row r="33" spans="1:13" ht="44.25" customHeight="1">
      <c r="A33" s="27" t="str">
        <v>K298</v>
      </c>
      <c r="B33" s="28" t="str">
        <v>NY</v>
      </c>
      <c r="C33" s="28" t="str">
        <f>Sites[[#This Row],[SOL'#]]</f>
        <v>SOL-10368</v>
      </c>
      <c r="D33" s="10">
        <v>3421.078125</v>
      </c>
      <c r="E33" s="15">
        <v>7008.5879999999997</v>
      </c>
      <c r="F33" s="15">
        <f t="shared" si="6"/>
        <v>-3587.5098749999997</v>
      </c>
      <c r="G33" s="16">
        <f t="shared" si="7"/>
        <v>-0.51187341515865958</v>
      </c>
      <c r="H33" s="17">
        <v>6119</v>
      </c>
      <c r="I33" s="17">
        <f t="shared" si="10"/>
        <v>-2697.921875</v>
      </c>
      <c r="J33" s="16">
        <f t="shared" si="11"/>
        <v>-0.44090895162608268</v>
      </c>
      <c r="K33" s="16">
        <v>0.99791659999999993</v>
      </c>
      <c r="L33" s="39" t="s">
        <v>46</v>
      </c>
      <c r="M33" s="40" t="s">
        <v>47</v>
      </c>
    </row>
    <row r="34" spans="1:13" ht="15.6">
      <c r="A34" s="25" t="str">
        <v>K335</v>
      </c>
      <c r="B34" s="26" t="str">
        <v>NY</v>
      </c>
      <c r="C34" s="26" t="str">
        <f>Sites[[#This Row],[SOL'#]]</f>
        <v>SOL-10370</v>
      </c>
      <c r="D34" s="21">
        <v>4100.5625</v>
      </c>
      <c r="E34" s="11">
        <v>7358.259</v>
      </c>
      <c r="F34" s="11">
        <f t="shared" si="6"/>
        <v>-3257.6965</v>
      </c>
      <c r="G34" s="12">
        <f t="shared" si="7"/>
        <v>-0.44272653354550306</v>
      </c>
      <c r="H34" s="13">
        <v>8179</v>
      </c>
      <c r="I34" s="13">
        <f t="shared" si="10"/>
        <v>-4078.4375</v>
      </c>
      <c r="J34" s="14">
        <f t="shared" si="11"/>
        <v>-0.49864745078860495</v>
      </c>
      <c r="K34" s="80">
        <v>1</v>
      </c>
      <c r="L34" s="38" t="s">
        <v>32</v>
      </c>
      <c r="M34" s="38" t="s">
        <v>39</v>
      </c>
    </row>
    <row r="35" spans="1:13" ht="43.5">
      <c r="A35" s="27" t="str">
        <v>K345</v>
      </c>
      <c r="B35" s="28" t="str">
        <v>NY</v>
      </c>
      <c r="C35" s="28" t="str">
        <f>Sites[[#This Row],[SOL'#]]</f>
        <v>SOL-10920</v>
      </c>
      <c r="D35" s="10">
        <v>4561.30078125</v>
      </c>
      <c r="E35" s="15">
        <v>5473.3670000000002</v>
      </c>
      <c r="F35" s="15">
        <f t="shared" si="6"/>
        <v>-912.06621875000019</v>
      </c>
      <c r="G35" s="16">
        <f t="shared" si="7"/>
        <v>-0.16663713921430814</v>
      </c>
      <c r="H35" s="17">
        <v>6910</v>
      </c>
      <c r="I35" s="17">
        <f t="shared" si="10"/>
        <v>-2348.69921875</v>
      </c>
      <c r="J35" s="16">
        <f t="shared" si="11"/>
        <v>-0.33989858447901594</v>
      </c>
      <c r="K35" s="16">
        <v>0.87272379999999994</v>
      </c>
      <c r="L35" s="39" t="s">
        <v>48</v>
      </c>
      <c r="M35" s="40" t="s">
        <v>49</v>
      </c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v>4488.806640625</v>
      </c>
      <c r="E36" s="11">
        <v>7748.8320000000003</v>
      </c>
      <c r="F36" s="11">
        <f t="shared" si="6"/>
        <v>-3260.0253593750003</v>
      </c>
      <c r="G36" s="12">
        <f t="shared" si="7"/>
        <v>-0.42071183881325602</v>
      </c>
      <c r="H36" s="13">
        <v>6851</v>
      </c>
      <c r="I36" s="13">
        <f t="shared" si="10"/>
        <v>-2362.193359375</v>
      </c>
      <c r="J36" s="14">
        <f t="shared" si="11"/>
        <v>-0.34479541079769377</v>
      </c>
      <c r="K36" s="80">
        <v>1</v>
      </c>
      <c r="L36" s="38" t="s">
        <v>32</v>
      </c>
      <c r="M36" s="38" t="s">
        <v>39</v>
      </c>
    </row>
    <row r="37" spans="1:13" ht="43.5">
      <c r="A37" s="27" t="str">
        <v>K495</v>
      </c>
      <c r="B37" s="28" t="str">
        <v>NY</v>
      </c>
      <c r="C37" s="28" t="str">
        <f>Sites[[#This Row],[SOL'#]]</f>
        <v>SOL-10374</v>
      </c>
      <c r="D37" s="10">
        <v>20449.1875</v>
      </c>
      <c r="E37" s="15">
        <v>18604.060000000001</v>
      </c>
      <c r="F37" s="15">
        <f t="shared" si="6"/>
        <v>1845.1274999999987</v>
      </c>
      <c r="G37" s="16">
        <f t="shared" si="7"/>
        <v>9.9178754529925112E-2</v>
      </c>
      <c r="H37" s="17">
        <v>33557</v>
      </c>
      <c r="I37" s="17">
        <f t="shared" si="10"/>
        <v>-13107.8125</v>
      </c>
      <c r="J37" s="16">
        <f t="shared" si="11"/>
        <v>-0.39061335935870312</v>
      </c>
      <c r="K37" s="16">
        <v>0.92565819999999999</v>
      </c>
      <c r="L37" s="39" t="s">
        <v>50</v>
      </c>
      <c r="M37" s="40" t="s">
        <v>51</v>
      </c>
    </row>
    <row r="38" spans="1:13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v>4382.65625</v>
      </c>
      <c r="E38" s="11">
        <v>7052.3590000000004</v>
      </c>
      <c r="F38" s="11">
        <f t="shared" si="6"/>
        <v>-2669.7027500000004</v>
      </c>
      <c r="G38" s="12">
        <f t="shared" si="7"/>
        <v>-0.37855457301592277</v>
      </c>
      <c r="H38" s="13">
        <v>9125</v>
      </c>
      <c r="I38" s="13">
        <f t="shared" si="10"/>
        <v>-4742.34375</v>
      </c>
      <c r="J38" s="14">
        <f t="shared" si="11"/>
        <v>-0.51970890410958903</v>
      </c>
      <c r="K38" s="80">
        <v>0.89072739999999995</v>
      </c>
      <c r="L38" s="38" t="s">
        <v>32</v>
      </c>
      <c r="M38" s="38" t="s">
        <v>39</v>
      </c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v>4470.75</v>
      </c>
      <c r="E39" s="15">
        <v>7217.8190000000004</v>
      </c>
      <c r="F39" s="15">
        <f t="shared" si="6"/>
        <v>-2747.0690000000004</v>
      </c>
      <c r="G39" s="16">
        <f t="shared" si="7"/>
        <v>-0.38059544025695302</v>
      </c>
      <c r="H39" s="17">
        <v>8219.643</v>
      </c>
      <c r="I39" s="17">
        <f t="shared" si="10"/>
        <v>-3748.893</v>
      </c>
      <c r="J39" s="16">
        <f t="shared" si="11"/>
        <v>-0.45608951629651068</v>
      </c>
      <c r="K39" s="16">
        <v>0.9989247</v>
      </c>
      <c r="L39" s="39" t="s">
        <v>32</v>
      </c>
      <c r="M39" s="40" t="s">
        <v>39</v>
      </c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v>4964.5</v>
      </c>
      <c r="E40" s="11">
        <v>7892.9740000000002</v>
      </c>
      <c r="F40" s="11">
        <f t="shared" si="6"/>
        <v>-2928.4740000000002</v>
      </c>
      <c r="G40" s="12">
        <f t="shared" si="7"/>
        <v>-0.37102288693716717</v>
      </c>
      <c r="H40" s="13">
        <v>8746.5660000000007</v>
      </c>
      <c r="I40" s="13">
        <f t="shared" si="10"/>
        <v>-3782.0660000000007</v>
      </c>
      <c r="J40" s="14">
        <f t="shared" si="11"/>
        <v>-0.43240581503643832</v>
      </c>
      <c r="K40" s="80">
        <v>1</v>
      </c>
      <c r="L40" s="38" t="s">
        <v>32</v>
      </c>
      <c r="M40" s="38" t="s">
        <v>39</v>
      </c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v>7482.359375</v>
      </c>
      <c r="E41" s="15">
        <v>0</v>
      </c>
      <c r="F41" s="15">
        <f t="shared" si="6"/>
        <v>7482.359375</v>
      </c>
      <c r="G41" s="16" t="str">
        <f t="shared" si="7"/>
        <v/>
      </c>
      <c r="H41" s="17">
        <v>13644</v>
      </c>
      <c r="I41" s="17">
        <f t="shared" si="10"/>
        <v>-6161.640625</v>
      </c>
      <c r="J41" s="16">
        <f t="shared" si="11"/>
        <v>-0.45160074941366168</v>
      </c>
      <c r="K41" s="16">
        <v>0.91369119999999993</v>
      </c>
      <c r="L41" s="39" t="s">
        <v>32</v>
      </c>
      <c r="M41" s="39" t="s">
        <v>39</v>
      </c>
    </row>
    <row r="42" spans="1:13" ht="15.6">
      <c r="A42" s="25" t="str">
        <v>M167</v>
      </c>
      <c r="B42" s="26" t="str">
        <v>NY</v>
      </c>
      <c r="C42" s="26" t="str">
        <f>Sites[[#This Row],[SOL'#]]</f>
        <v>SOL-10386</v>
      </c>
      <c r="D42" s="21">
        <v>4433.8251953125</v>
      </c>
      <c r="E42" s="11">
        <v>5656.8190000000004</v>
      </c>
      <c r="F42" s="11">
        <f t="shared" si="6"/>
        <v>-1222.9938046875004</v>
      </c>
      <c r="G42" s="12">
        <f t="shared" si="7"/>
        <v>-0.21619815035402412</v>
      </c>
      <c r="H42" s="13">
        <v>8147.03</v>
      </c>
      <c r="I42" s="13">
        <f t="shared" si="10"/>
        <v>-3713.2048046874997</v>
      </c>
      <c r="J42" s="14">
        <f t="shared" si="11"/>
        <v>-0.45577404338605598</v>
      </c>
      <c r="K42" s="80">
        <v>1</v>
      </c>
      <c r="L42" s="38" t="s">
        <v>32</v>
      </c>
      <c r="M42" s="38" t="s">
        <v>39</v>
      </c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v>3879.9296875</v>
      </c>
      <c r="E43" s="15">
        <v>0</v>
      </c>
      <c r="F43" s="15">
        <f t="shared" si="6"/>
        <v>3879.9296875</v>
      </c>
      <c r="G43" s="16" t="str">
        <f t="shared" si="7"/>
        <v/>
      </c>
      <c r="H43" s="17">
        <v>6981</v>
      </c>
      <c r="I43" s="17">
        <f t="shared" si="10"/>
        <v>-3101.0703125</v>
      </c>
      <c r="J43" s="16">
        <f t="shared" si="11"/>
        <v>-0.44421577317003297</v>
      </c>
      <c r="K43" s="16">
        <v>0.89510140000000005</v>
      </c>
      <c r="L43" s="39" t="s">
        <v>32</v>
      </c>
      <c r="M43" s="40" t="s">
        <v>39</v>
      </c>
    </row>
    <row r="44" spans="1:13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v>910.98822021484898</v>
      </c>
      <c r="E44" s="11">
        <v>1511.3920000000001</v>
      </c>
      <c r="F44" s="11">
        <f t="shared" si="6"/>
        <v>-600.40377978515107</v>
      </c>
      <c r="G44" s="12">
        <f t="shared" si="7"/>
        <v>-0.3972521885686513</v>
      </c>
      <c r="H44" s="13">
        <v>2331.0740000000001</v>
      </c>
      <c r="I44" s="13">
        <f t="shared" si="10"/>
        <v>-1420.0857797851511</v>
      </c>
      <c r="J44" s="14">
        <f t="shared" si="11"/>
        <v>-0.60919806912399654</v>
      </c>
      <c r="K44" s="80">
        <v>0.99466279999999996</v>
      </c>
      <c r="L44" s="38" t="s">
        <v>32</v>
      </c>
      <c r="M44" s="38" t="s">
        <v>39</v>
      </c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v>6839.03125</v>
      </c>
      <c r="E45" s="15">
        <v>9522.7690000000002</v>
      </c>
      <c r="F45" s="15">
        <f t="shared" si="6"/>
        <v>-2683.7377500000002</v>
      </c>
      <c r="G45" s="16">
        <f t="shared" si="7"/>
        <v>-0.281823254349654</v>
      </c>
      <c r="H45" s="17">
        <v>10992</v>
      </c>
      <c r="I45" s="17">
        <f t="shared" si="10"/>
        <v>-4152.96875</v>
      </c>
      <c r="J45" s="16">
        <f t="shared" si="11"/>
        <v>-0.37781738991994179</v>
      </c>
      <c r="K45" s="16">
        <v>0.90016509999999994</v>
      </c>
      <c r="L45" s="39" t="s">
        <v>32</v>
      </c>
      <c r="M45" s="40" t="s">
        <v>39</v>
      </c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v>4357.5</v>
      </c>
      <c r="E46" s="11">
        <v>5639.9430000000002</v>
      </c>
      <c r="F46" s="11">
        <f t="shared" si="6"/>
        <v>-1282.4430000000002</v>
      </c>
      <c r="G46" s="12">
        <f t="shared" si="7"/>
        <v>-0.2273858086863644</v>
      </c>
      <c r="H46" s="13">
        <v>6715.9589999999998</v>
      </c>
      <c r="I46" s="13">
        <f t="shared" si="10"/>
        <v>-2358.4589999999998</v>
      </c>
      <c r="J46" s="14">
        <f t="shared" si="11"/>
        <v>-0.35117233443503748</v>
      </c>
      <c r="K46" s="80">
        <v>1</v>
      </c>
      <c r="L46" s="38" t="s">
        <v>32</v>
      </c>
      <c r="M46" s="38" t="s">
        <v>39</v>
      </c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v>3435.6875</v>
      </c>
      <c r="E47" s="15">
        <v>6008.808</v>
      </c>
      <c r="F47" s="15">
        <f t="shared" si="6"/>
        <v>-2573.1205</v>
      </c>
      <c r="G47" s="16">
        <f t="shared" si="7"/>
        <v>-0.42822478268568409</v>
      </c>
      <c r="H47" s="17">
        <v>5249.951</v>
      </c>
      <c r="I47" s="17">
        <f t="shared" si="10"/>
        <v>-1814.2635</v>
      </c>
      <c r="J47" s="16">
        <f t="shared" si="11"/>
        <v>-0.34557722538743696</v>
      </c>
      <c r="K47" s="16">
        <v>1</v>
      </c>
      <c r="L47" s="39" t="s">
        <v>32</v>
      </c>
      <c r="M47" s="40" t="s">
        <v>39</v>
      </c>
    </row>
    <row r="48" spans="1:13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v>6042.5</v>
      </c>
      <c r="E48" s="11">
        <v>9148.84</v>
      </c>
      <c r="F48" s="11">
        <f t="shared" si="6"/>
        <v>-3106.34</v>
      </c>
      <c r="G48" s="12">
        <f t="shared" si="7"/>
        <v>-0.33953375509900707</v>
      </c>
      <c r="H48" s="13">
        <v>7767</v>
      </c>
      <c r="I48" s="13">
        <f t="shared" si="10"/>
        <v>-1724.5</v>
      </c>
      <c r="J48" s="14">
        <f t="shared" si="11"/>
        <v>-0.22202909746362817</v>
      </c>
      <c r="K48" s="80">
        <v>0.9988876000000001</v>
      </c>
      <c r="L48" s="38" t="s">
        <v>32</v>
      </c>
      <c r="M48" s="38" t="s">
        <v>39</v>
      </c>
    </row>
    <row r="49" spans="1:13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v>3737.71875</v>
      </c>
      <c r="E49" s="15">
        <v>5120.8</v>
      </c>
      <c r="F49" s="15">
        <f t="shared" si="6"/>
        <v>-1383.0812500000002</v>
      </c>
      <c r="G49" s="16">
        <f t="shared" si="7"/>
        <v>-0.27009085494453994</v>
      </c>
      <c r="H49" s="17">
        <v>6065.4920000000002</v>
      </c>
      <c r="I49" s="17">
        <f t="shared" si="10"/>
        <v>-2327.7732500000002</v>
      </c>
      <c r="J49" s="16">
        <f t="shared" si="11"/>
        <v>-0.38377319597486897</v>
      </c>
      <c r="K49" s="16">
        <v>0.99687830000000011</v>
      </c>
      <c r="L49" s="39" t="s">
        <v>32</v>
      </c>
      <c r="M49" s="40" t="s">
        <v>39</v>
      </c>
    </row>
    <row r="50" spans="1:13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v>4955.0625</v>
      </c>
      <c r="E50" s="11">
        <v>8344.5239999999994</v>
      </c>
      <c r="F50" s="11">
        <f t="shared" si="6"/>
        <v>-3389.4614999999994</v>
      </c>
      <c r="G50" s="12">
        <f t="shared" si="7"/>
        <v>-0.40618991568602353</v>
      </c>
      <c r="H50" s="13">
        <v>8195.5689999999995</v>
      </c>
      <c r="I50" s="13">
        <f t="shared" si="10"/>
        <v>-3240.5064999999995</v>
      </c>
      <c r="J50" s="14">
        <f t="shared" si="11"/>
        <v>-0.39539737875429998</v>
      </c>
      <c r="K50" s="80">
        <v>0.99564719999999995</v>
      </c>
      <c r="L50" s="38" t="s">
        <v>32</v>
      </c>
      <c r="M50" s="38" t="s">
        <v>39</v>
      </c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v>2925.8125</v>
      </c>
      <c r="E51" s="15">
        <v>4425.3320000000003</v>
      </c>
      <c r="F51" s="15">
        <f t="shared" si="6"/>
        <v>-1499.5195000000003</v>
      </c>
      <c r="G51" s="16">
        <f t="shared" si="7"/>
        <v>-0.33884904002682742</v>
      </c>
      <c r="H51" s="17">
        <v>5168</v>
      </c>
      <c r="I51" s="17">
        <f t="shared" si="10"/>
        <v>-2242.1875</v>
      </c>
      <c r="J51" s="16">
        <f t="shared" si="11"/>
        <v>-0.43385981037151705</v>
      </c>
      <c r="K51" s="16">
        <v>0.99406570000000005</v>
      </c>
      <c r="L51" s="39" t="s">
        <v>32</v>
      </c>
      <c r="M51" s="40" t="s">
        <v>39</v>
      </c>
    </row>
    <row r="52" spans="1:13" ht="15.6">
      <c r="A52" s="25" t="str">
        <v>Q157</v>
      </c>
      <c r="B52" s="26" t="str">
        <v>NY</v>
      </c>
      <c r="C52" s="26" t="str">
        <f>Sites[[#This Row],[SOL'#]]</f>
        <v>SOL-10404</v>
      </c>
      <c r="D52" s="21">
        <v>4902.4375</v>
      </c>
      <c r="E52" s="11">
        <v>8720.9449999999997</v>
      </c>
      <c r="F52" s="11">
        <f t="shared" si="6"/>
        <v>-3818.5074999999997</v>
      </c>
      <c r="G52" s="12">
        <f t="shared" si="7"/>
        <v>-0.43785478523256366</v>
      </c>
      <c r="H52" s="13">
        <v>9246.6</v>
      </c>
      <c r="I52" s="13">
        <f t="shared" si="10"/>
        <v>-4344.1625000000004</v>
      </c>
      <c r="J52" s="14">
        <f t="shared" si="11"/>
        <v>-0.46981187679795822</v>
      </c>
      <c r="K52" s="80">
        <v>0.99365239999999999</v>
      </c>
      <c r="L52" s="38" t="s">
        <v>32</v>
      </c>
      <c r="M52" s="38" t="s">
        <v>39</v>
      </c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v>8347.5</v>
      </c>
      <c r="E53" s="15">
        <v>13350</v>
      </c>
      <c r="F53" s="15">
        <f t="shared" si="6"/>
        <v>-5002.5</v>
      </c>
      <c r="G53" s="16">
        <f t="shared" si="7"/>
        <v>-0.37471910112359552</v>
      </c>
      <c r="H53" s="17">
        <v>13980.45</v>
      </c>
      <c r="I53" s="17">
        <f t="shared" si="10"/>
        <v>-5632.9500000000007</v>
      </c>
      <c r="J53" s="16">
        <f t="shared" si="11"/>
        <v>-0.4029162151432894</v>
      </c>
      <c r="K53" s="16">
        <v>1</v>
      </c>
      <c r="L53" s="39" t="s">
        <v>52</v>
      </c>
      <c r="M53" s="39" t="s">
        <v>53</v>
      </c>
    </row>
    <row r="54" spans="1:13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v>6315.875</v>
      </c>
      <c r="E54" s="11">
        <v>9204.3379999999997</v>
      </c>
      <c r="F54" s="11">
        <f t="shared" si="6"/>
        <v>-2888.4629999999997</v>
      </c>
      <c r="G54" s="12">
        <f t="shared" si="7"/>
        <v>-0.31381539878261749</v>
      </c>
      <c r="H54" s="13">
        <v>11622</v>
      </c>
      <c r="I54" s="13">
        <f t="shared" si="10"/>
        <v>-5306.125</v>
      </c>
      <c r="J54" s="14">
        <f t="shared" si="11"/>
        <v>-0.45655868181035969</v>
      </c>
      <c r="K54" s="80">
        <v>1</v>
      </c>
      <c r="L54" s="38" t="s">
        <v>54</v>
      </c>
      <c r="M54" s="38" t="s">
        <v>55</v>
      </c>
    </row>
    <row r="55" spans="1:13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v>2660.53125000006</v>
      </c>
      <c r="E55" s="15">
        <v>3950.5940000000001</v>
      </c>
      <c r="F55" s="15">
        <f t="shared" si="6"/>
        <v>-1290.06274999994</v>
      </c>
      <c r="G55" s="16">
        <f t="shared" si="7"/>
        <v>-0.32654905819224656</v>
      </c>
      <c r="H55" s="17">
        <v>3705.68</v>
      </c>
      <c r="I55" s="17">
        <f t="shared" si="10"/>
        <v>-1045.1487499999398</v>
      </c>
      <c r="J55" s="16">
        <f t="shared" si="11"/>
        <v>-0.28203966613413461</v>
      </c>
      <c r="K55" s="16">
        <v>0.99569890000000005</v>
      </c>
      <c r="L55" s="39" t="s">
        <v>32</v>
      </c>
      <c r="M55" s="40" t="s">
        <v>39</v>
      </c>
    </row>
    <row r="56" spans="1:13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v>11460.875</v>
      </c>
      <c r="E56" s="11">
        <v>21002.59</v>
      </c>
      <c r="F56" s="11">
        <f t="shared" si="6"/>
        <v>-9541.7150000000001</v>
      </c>
      <c r="G56" s="12">
        <f t="shared" si="7"/>
        <v>-0.4543113492193106</v>
      </c>
      <c r="H56" s="13">
        <v>16899</v>
      </c>
      <c r="I56" s="13">
        <f t="shared" si="10"/>
        <v>-5438.125</v>
      </c>
      <c r="J56" s="14">
        <f t="shared" si="11"/>
        <v>-0.32180158589265639</v>
      </c>
      <c r="K56" s="80">
        <v>1</v>
      </c>
      <c r="L56" s="38" t="s">
        <v>32</v>
      </c>
      <c r="M56" s="38" t="s">
        <v>32</v>
      </c>
    </row>
    <row r="57" spans="1:13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v>12294.25</v>
      </c>
      <c r="E57" s="15">
        <v>18722.73</v>
      </c>
      <c r="F57" s="15">
        <f t="shared" si="6"/>
        <v>-6428.48</v>
      </c>
      <c r="G57" s="16">
        <f t="shared" si="7"/>
        <v>-0.34335163728793822</v>
      </c>
      <c r="H57" s="17">
        <v>20882.47</v>
      </c>
      <c r="I57" s="17">
        <f t="shared" si="10"/>
        <v>-8588.2200000000012</v>
      </c>
      <c r="J57" s="16">
        <f t="shared" si="11"/>
        <v>-0.41126456784087329</v>
      </c>
      <c r="K57" s="16">
        <v>1</v>
      </c>
      <c r="L57" s="39" t="s">
        <v>56</v>
      </c>
      <c r="M57" s="40" t="s">
        <v>57</v>
      </c>
    </row>
    <row r="58" spans="1:13" ht="15.6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 t="str">
        <f t="shared" si="6"/>
        <v/>
      </c>
      <c r="G58" s="12" t="str">
        <f t="shared" si="7"/>
        <v/>
      </c>
      <c r="H58" s="13">
        <v>25692</v>
      </c>
      <c r="I58" s="13" t="str">
        <f t="shared" si="10"/>
        <v/>
      </c>
      <c r="J58" s="14" t="str">
        <f t="shared" si="11"/>
        <v/>
      </c>
      <c r="K58" s="80">
        <v>0</v>
      </c>
      <c r="L58" s="38" t="s">
        <v>58</v>
      </c>
      <c r="M58" s="38" t="s">
        <v>59</v>
      </c>
    </row>
    <row r="59" spans="1:13" ht="30.95">
      <c r="A59" s="27" t="str">
        <v>Q485</v>
      </c>
      <c r="B59" s="28" t="str">
        <v>NY</v>
      </c>
      <c r="C59" s="28" t="str">
        <f>Sites[[#This Row],[SOL'#]]</f>
        <v>SOL-10869</v>
      </c>
      <c r="D59" s="10">
        <v>12481.439453125</v>
      </c>
      <c r="E59" s="15">
        <v>12754.8</v>
      </c>
      <c r="F59" s="15">
        <f t="shared" si="6"/>
        <v>-273.36054687499927</v>
      </c>
      <c r="G59" s="16">
        <f t="shared" si="7"/>
        <v>-2.1431974384153361E-2</v>
      </c>
      <c r="H59" s="17">
        <v>23947.88</v>
      </c>
      <c r="I59" s="17">
        <f t="shared" si="10"/>
        <v>-11466.440546875001</v>
      </c>
      <c r="J59" s="16">
        <f t="shared" si="11"/>
        <v>-0.4788081678576559</v>
      </c>
      <c r="K59" s="16">
        <v>1</v>
      </c>
      <c r="L59" s="39" t="s">
        <v>60</v>
      </c>
      <c r="M59" s="40" t="s">
        <v>61</v>
      </c>
    </row>
    <row r="60" spans="1:13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v>10238.1439808419</v>
      </c>
      <c r="E60" s="11"/>
      <c r="F60" s="11" t="str">
        <f t="shared" si="6"/>
        <v/>
      </c>
      <c r="G60" s="12" t="str">
        <f t="shared" si="7"/>
        <v/>
      </c>
      <c r="H60" s="13">
        <v>16931.400000000001</v>
      </c>
      <c r="I60" s="13">
        <f t="shared" si="10"/>
        <v>-6693.2560191581015</v>
      </c>
      <c r="J60" s="14">
        <f t="shared" si="11"/>
        <v>-0.39531615927555319</v>
      </c>
      <c r="K60" s="80">
        <v>1</v>
      </c>
      <c r="L60" s="38" t="s">
        <v>62</v>
      </c>
      <c r="M60" s="38" t="s">
        <v>63</v>
      </c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v>15903</v>
      </c>
      <c r="E61" s="15">
        <v>23742.06</v>
      </c>
      <c r="F61" s="15">
        <f t="shared" si="6"/>
        <v>-7839.0600000000013</v>
      </c>
      <c r="G61" s="16">
        <f t="shared" si="7"/>
        <v>-0.33017606728312543</v>
      </c>
      <c r="H61" s="17">
        <v>27418.85</v>
      </c>
      <c r="I61" s="17">
        <f t="shared" si="10"/>
        <v>-11515.849999999999</v>
      </c>
      <c r="J61" s="16">
        <f t="shared" si="11"/>
        <v>-0.41999755642559766</v>
      </c>
      <c r="K61" s="16">
        <v>1</v>
      </c>
      <c r="L61" s="39" t="s">
        <v>32</v>
      </c>
      <c r="M61" s="40" t="s">
        <v>39</v>
      </c>
    </row>
    <row r="62" spans="1:13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v>1546.0999999999899</v>
      </c>
      <c r="E62" s="11">
        <v>0</v>
      </c>
      <c r="F62" s="11">
        <f t="shared" si="6"/>
        <v>1546.0999999999899</v>
      </c>
      <c r="G62" s="12" t="str">
        <f t="shared" si="7"/>
        <v/>
      </c>
      <c r="H62" s="13">
        <v>2946.8270000000002</v>
      </c>
      <c r="I62" s="13">
        <f t="shared" si="10"/>
        <v>-1400.7270000000103</v>
      </c>
      <c r="J62" s="14">
        <f t="shared" si="11"/>
        <v>-0.47533397786840226</v>
      </c>
      <c r="K62" s="80">
        <v>0.96790319999999996</v>
      </c>
      <c r="L62" s="38" t="s">
        <v>32</v>
      </c>
      <c r="M62" s="38" t="s">
        <v>39</v>
      </c>
    </row>
    <row r="63" spans="1:13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v>5421.5052734375004</v>
      </c>
      <c r="E63" s="15">
        <v>10176.280000000001</v>
      </c>
      <c r="F63" s="15">
        <f t="shared" si="6"/>
        <v>-4754.7747265625003</v>
      </c>
      <c r="G63" s="16">
        <f t="shared" si="7"/>
        <v>-0.46724094920368742</v>
      </c>
      <c r="H63" s="17">
        <v>8671</v>
      </c>
      <c r="I63" s="17">
        <f t="shared" si="10"/>
        <v>-3249.4947265624996</v>
      </c>
      <c r="J63" s="16">
        <f t="shared" si="11"/>
        <v>-0.37475432205772108</v>
      </c>
      <c r="K63" s="16">
        <v>0.92197149999999994</v>
      </c>
      <c r="L63" s="39" t="s">
        <v>32</v>
      </c>
      <c r="M63" s="40" t="s">
        <v>39</v>
      </c>
    </row>
    <row r="64" spans="1:13" ht="15.6">
      <c r="A64" s="25" t="str">
        <v>X026</v>
      </c>
      <c r="B64" s="26" t="str">
        <v>NY</v>
      </c>
      <c r="C64" s="26" t="str">
        <f>Sites[[#This Row],[SOL'#]]</f>
        <v>SOL-10420</v>
      </c>
      <c r="D64" s="21">
        <v>4766.8999999999696</v>
      </c>
      <c r="E64" s="11">
        <v>7713.94</v>
      </c>
      <c r="F64" s="11">
        <f t="shared" si="6"/>
        <v>-2947.04000000003</v>
      </c>
      <c r="G64" s="12">
        <f t="shared" si="7"/>
        <v>-0.38204082479252238</v>
      </c>
      <c r="H64" s="13">
        <v>14664.49</v>
      </c>
      <c r="I64" s="13">
        <f t="shared" si="10"/>
        <v>-9897.5900000000292</v>
      </c>
      <c r="J64" s="14">
        <f t="shared" si="11"/>
        <v>-0.67493584843387189</v>
      </c>
      <c r="K64" s="80"/>
      <c r="L64" s="38" t="s">
        <v>32</v>
      </c>
      <c r="M64" s="38" t="s">
        <v>39</v>
      </c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v>4671.94531250001</v>
      </c>
      <c r="E65" s="15">
        <v>4641.6970000000001</v>
      </c>
      <c r="F65" s="15">
        <f t="shared" si="6"/>
        <v>30.248312500009888</v>
      </c>
      <c r="G65" s="16">
        <f t="shared" si="7"/>
        <v>6.5166495141776573E-3</v>
      </c>
      <c r="H65" s="17">
        <v>9177</v>
      </c>
      <c r="I65" s="17">
        <f t="shared" si="10"/>
        <v>-4505.05468749999</v>
      </c>
      <c r="J65" s="16">
        <f t="shared" si="11"/>
        <v>-0.49090712514983004</v>
      </c>
      <c r="K65" s="16"/>
      <c r="L65" s="39" t="s">
        <v>32</v>
      </c>
      <c r="M65" s="39" t="s">
        <v>39</v>
      </c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v>3429.2000000000098</v>
      </c>
      <c r="E66" s="11">
        <v>6689.2290000000003</v>
      </c>
      <c r="F66" s="11">
        <f t="shared" si="6"/>
        <v>-3260.0289999999904</v>
      </c>
      <c r="G66" s="12">
        <f t="shared" si="7"/>
        <v>-0.48735497020657992</v>
      </c>
      <c r="H66" s="13">
        <v>16899.22</v>
      </c>
      <c r="I66" s="13">
        <f t="shared" si="10"/>
        <v>-13470.019999999991</v>
      </c>
      <c r="J66" s="14">
        <f t="shared" si="11"/>
        <v>-0.79707939182991816</v>
      </c>
      <c r="K66" s="80"/>
      <c r="L66" s="38" t="s">
        <v>32</v>
      </c>
      <c r="M66" s="38" t="s">
        <v>39</v>
      </c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v>7318.96875</v>
      </c>
      <c r="E67" s="15">
        <v>11623.7</v>
      </c>
      <c r="F67" s="15">
        <f t="shared" si="6"/>
        <v>-4304.7312500000007</v>
      </c>
      <c r="G67" s="16">
        <f t="shared" si="7"/>
        <v>-0.37034087682923683</v>
      </c>
      <c r="H67" s="17">
        <v>10537.29</v>
      </c>
      <c r="I67" s="17">
        <f t="shared" si="10"/>
        <v>-3218.3212500000009</v>
      </c>
      <c r="J67" s="16">
        <f t="shared" si="11"/>
        <v>-0.30542210093866645</v>
      </c>
      <c r="K67" s="16"/>
      <c r="L67" s="39" t="s">
        <v>32</v>
      </c>
      <c r="M67" s="40" t="s">
        <v>39</v>
      </c>
    </row>
    <row r="68" spans="1:13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v>6696.25</v>
      </c>
      <c r="E68" s="11">
        <v>0</v>
      </c>
      <c r="F68" s="11">
        <f t="shared" si="6"/>
        <v>6696.25</v>
      </c>
      <c r="G68" s="12" t="str">
        <f t="shared" si="7"/>
        <v/>
      </c>
      <c r="H68" s="13">
        <v>0</v>
      </c>
      <c r="I68" s="13">
        <f t="shared" si="10"/>
        <v>6696.25</v>
      </c>
      <c r="J68" s="14" t="str">
        <f t="shared" si="11"/>
        <v/>
      </c>
      <c r="K68" s="80"/>
      <c r="L68" s="38" t="s">
        <v>32</v>
      </c>
      <c r="M68" s="38" t="s">
        <v>39</v>
      </c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v>5327.84375</v>
      </c>
      <c r="E69" s="15">
        <v>0</v>
      </c>
      <c r="F69" s="15">
        <f t="shared" si="6"/>
        <v>5327.84375</v>
      </c>
      <c r="G69" s="16" t="str">
        <f t="shared" si="7"/>
        <v/>
      </c>
      <c r="H69" s="17">
        <v>0</v>
      </c>
      <c r="I69" s="17">
        <f t="shared" si="10"/>
        <v>5327.84375</v>
      </c>
      <c r="J69" s="16" t="str">
        <f t="shared" si="11"/>
        <v/>
      </c>
      <c r="K69" s="16"/>
      <c r="L69" s="39" t="s">
        <v>32</v>
      </c>
      <c r="M69" s="40" t="s">
        <v>39</v>
      </c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8332.7036999624706</v>
      </c>
      <c r="E70" s="11">
        <v>11815.57</v>
      </c>
      <c r="F70" s="11">
        <f t="shared" si="6"/>
        <v>-3482.8663000375291</v>
      </c>
      <c r="G70" s="12">
        <f t="shared" si="7"/>
        <v>-0.29476921553827107</v>
      </c>
      <c r="H70" s="13">
        <v>12346</v>
      </c>
      <c r="I70" s="13">
        <f t="shared" si="10"/>
        <v>-4013.2963000375294</v>
      </c>
      <c r="J70" s="14">
        <f t="shared" si="11"/>
        <v>-0.32506854852077832</v>
      </c>
      <c r="K70" s="80">
        <v>1</v>
      </c>
      <c r="L70" s="38" t="s">
        <v>32</v>
      </c>
      <c r="M70" s="38" t="s">
        <v>39</v>
      </c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v>3985.22094726562</v>
      </c>
      <c r="E71" s="15">
        <v>5392.4489999999996</v>
      </c>
      <c r="F71" s="15">
        <f t="shared" si="6"/>
        <v>-1407.2280527343796</v>
      </c>
      <c r="G71" s="16">
        <f t="shared" si="7"/>
        <v>-0.26096270038611025</v>
      </c>
      <c r="H71" s="17">
        <v>8279.6779999999999</v>
      </c>
      <c r="I71" s="17">
        <f t="shared" si="10"/>
        <v>-4294.4570527343803</v>
      </c>
      <c r="J71" s="16">
        <f t="shared" si="11"/>
        <v>-0.5186744040932969</v>
      </c>
      <c r="K71" s="16">
        <v>0</v>
      </c>
      <c r="L71" s="39" t="s">
        <v>32</v>
      </c>
      <c r="M71" s="40" t="s">
        <v>39</v>
      </c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v>5046.3999999999696</v>
      </c>
      <c r="E72" s="11">
        <v>7824.4260000000004</v>
      </c>
      <c r="F72" s="11">
        <f t="shared" si="6"/>
        <v>-2778.0260000000308</v>
      </c>
      <c r="G72" s="12">
        <f t="shared" si="7"/>
        <v>-0.35504534134517096</v>
      </c>
      <c r="H72" s="13">
        <v>0</v>
      </c>
      <c r="I72" s="13">
        <f t="shared" si="10"/>
        <v>5046.3999999999696</v>
      </c>
      <c r="J72" s="14" t="str">
        <f t="shared" si="11"/>
        <v/>
      </c>
      <c r="K72" s="80"/>
      <c r="L72" s="38" t="s">
        <v>32</v>
      </c>
      <c r="M72" s="38" t="s">
        <v>39</v>
      </c>
    </row>
    <row r="73" spans="1:13" ht="46.5">
      <c r="A73" s="27" t="str">
        <v>Murphy</v>
      </c>
      <c r="B73" s="28" t="str">
        <v>MN</v>
      </c>
      <c r="C73" s="28" t="str">
        <f>Sites[[#This Row],[SOL'#]]</f>
        <v>SOL-10094</v>
      </c>
      <c r="D73" s="10">
        <v>286090</v>
      </c>
      <c r="E73" s="15">
        <v>414785.1</v>
      </c>
      <c r="F73" s="15">
        <f t="shared" si="6"/>
        <v>-128695.09999999998</v>
      </c>
      <c r="G73" s="16">
        <f t="shared" si="7"/>
        <v>-0.31026934188330291</v>
      </c>
      <c r="H73" s="17">
        <v>517448</v>
      </c>
      <c r="I73" s="17">
        <f t="shared" si="10"/>
        <v>-231358</v>
      </c>
      <c r="J73" s="16">
        <f t="shared" si="11"/>
        <v>-0.44711352638332741</v>
      </c>
      <c r="K73" s="16">
        <v>0.95381460000000007</v>
      </c>
      <c r="L73" s="39" t="s">
        <v>64</v>
      </c>
      <c r="M73" s="40" t="s">
        <v>65</v>
      </c>
    </row>
    <row r="74" spans="1:13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v>283485</v>
      </c>
      <c r="E74" s="11">
        <v>410301.4</v>
      </c>
      <c r="F74" s="11">
        <f t="shared" si="6"/>
        <v>-126816.40000000002</v>
      </c>
      <c r="G74" s="12">
        <f t="shared" si="7"/>
        <v>-0.30908108039602111</v>
      </c>
      <c r="H74" s="13">
        <v>468856.2</v>
      </c>
      <c r="I74" s="13">
        <f t="shared" si="10"/>
        <v>-185371.2</v>
      </c>
      <c r="J74" s="14">
        <f t="shared" si="11"/>
        <v>-0.39536898520271246</v>
      </c>
      <c r="K74" s="80">
        <v>0.99913979999999991</v>
      </c>
      <c r="L74" s="38" t="s">
        <v>32</v>
      </c>
      <c r="M74" s="38" t="s">
        <v>39</v>
      </c>
    </row>
    <row r="75" spans="1:13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65712</v>
      </c>
      <c r="E75" s="15">
        <v>0</v>
      </c>
      <c r="F75" s="15">
        <f t="shared" si="6"/>
        <v>65712</v>
      </c>
      <c r="G75" s="16" t="str">
        <f t="shared" si="7"/>
        <v/>
      </c>
      <c r="H75" s="17">
        <v>155843.76999999999</v>
      </c>
      <c r="I75" s="17">
        <f t="shared" si="10"/>
        <v>-90131.76999999999</v>
      </c>
      <c r="J75" s="16">
        <f t="shared" si="11"/>
        <v>-0.57834695605733866</v>
      </c>
      <c r="K75" s="16">
        <v>0.92909999999999993</v>
      </c>
      <c r="L75" s="39" t="s">
        <v>32</v>
      </c>
      <c r="M75" s="40" t="s">
        <v>39</v>
      </c>
    </row>
    <row r="76" spans="1:13" ht="29.1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84933</v>
      </c>
      <c r="E76" s="11">
        <v>0</v>
      </c>
      <c r="F76" s="11">
        <f t="shared" si="6"/>
        <v>84933</v>
      </c>
      <c r="G76" s="12" t="str">
        <f t="shared" si="7"/>
        <v/>
      </c>
      <c r="H76" s="13">
        <v>145062.13</v>
      </c>
      <c r="I76" s="13">
        <f t="shared" si="10"/>
        <v>-60129.130000000005</v>
      </c>
      <c r="J76" s="14">
        <f t="shared" si="11"/>
        <v>-0.41450604647815392</v>
      </c>
      <c r="K76" s="80">
        <v>0.98419999999999996</v>
      </c>
      <c r="L76" s="38" t="s">
        <v>66</v>
      </c>
      <c r="M76" s="38" t="s">
        <v>67</v>
      </c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55579</v>
      </c>
      <c r="E77" s="15">
        <v>0</v>
      </c>
      <c r="F77" s="15">
        <f t="shared" si="6"/>
        <v>55579</v>
      </c>
      <c r="G77" s="16" t="str">
        <f t="shared" si="7"/>
        <v/>
      </c>
      <c r="H77" s="17">
        <v>144547.29999999999</v>
      </c>
      <c r="I77" s="17">
        <f t="shared" si="10"/>
        <v>-88968.299999999988</v>
      </c>
      <c r="J77" s="16">
        <f t="shared" si="11"/>
        <v>-0.61549610404345145</v>
      </c>
      <c r="K77" s="16">
        <v>0.98650000000000004</v>
      </c>
      <c r="L77" s="39" t="s">
        <v>32</v>
      </c>
      <c r="M77" s="39" t="s">
        <v>39</v>
      </c>
    </row>
    <row r="78" spans="1:13" ht="29.1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88409</v>
      </c>
      <c r="E78" s="11">
        <v>0</v>
      </c>
      <c r="F78" s="11">
        <f t="shared" si="6"/>
        <v>88409</v>
      </c>
      <c r="G78" s="12" t="str">
        <f t="shared" si="7"/>
        <v/>
      </c>
      <c r="H78" s="13">
        <v>169154.27</v>
      </c>
      <c r="I78" s="13">
        <f t="shared" si="10"/>
        <v>-80745.26999999999</v>
      </c>
      <c r="J78" s="14">
        <f t="shared" si="11"/>
        <v>-0.47734692124532235</v>
      </c>
      <c r="K78" s="80">
        <v>0.90739999999999998</v>
      </c>
      <c r="L78" s="38" t="s">
        <v>68</v>
      </c>
      <c r="M78" s="38" t="s">
        <v>69</v>
      </c>
    </row>
    <row r="79" spans="1:13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72810</v>
      </c>
      <c r="E79" s="15">
        <v>97923.36</v>
      </c>
      <c r="F79" s="15">
        <f t="shared" si="6"/>
        <v>-25113.360000000001</v>
      </c>
      <c r="G79" s="16">
        <f t="shared" si="7"/>
        <v>-0.25645933717960656</v>
      </c>
      <c r="H79" s="17">
        <v>112535.15</v>
      </c>
      <c r="I79" s="17">
        <f t="shared" si="10"/>
        <v>-39725.149999999994</v>
      </c>
      <c r="J79" s="16">
        <f t="shared" si="11"/>
        <v>-0.35300215088352394</v>
      </c>
      <c r="K79" s="16">
        <v>0.99790000000000001</v>
      </c>
      <c r="L79" s="39" t="s">
        <v>32</v>
      </c>
      <c r="M79" s="40" t="s">
        <v>39</v>
      </c>
    </row>
    <row r="80" spans="1:13" ht="29.1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8879</v>
      </c>
      <c r="E80" s="11">
        <v>74159.11</v>
      </c>
      <c r="F80" s="11">
        <f t="shared" ref="F80:F137" si="12">IF(AND(ISNUMBER(D80),ISNUMBER(E80)), D80-E80, "")</f>
        <v>-65280.11</v>
      </c>
      <c r="G80" s="12">
        <f t="shared" ref="G80:G137" si="13">IFERROR(F80/E80, "")</f>
        <v>-0.88027094715672827</v>
      </c>
      <c r="H80" s="13">
        <v>118883.5</v>
      </c>
      <c r="I80" s="13">
        <f t="shared" si="10"/>
        <v>-110004.5</v>
      </c>
      <c r="J80" s="14">
        <f t="shared" si="11"/>
        <v>-0.92531343710439207</v>
      </c>
      <c r="K80" s="80"/>
      <c r="L80" s="38" t="s">
        <v>70</v>
      </c>
      <c r="M80" s="38" t="s">
        <v>71</v>
      </c>
    </row>
    <row r="81" spans="1:13" ht="43.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67057</v>
      </c>
      <c r="E81" s="15">
        <v>110773.82</v>
      </c>
      <c r="F81" s="15">
        <f t="shared" si="12"/>
        <v>-43716.820000000007</v>
      </c>
      <c r="G81" s="16">
        <f t="shared" si="13"/>
        <v>-0.39464938556781742</v>
      </c>
      <c r="H81" s="17">
        <v>115878.35</v>
      </c>
      <c r="I81" s="17">
        <f t="shared" si="10"/>
        <v>-48821.350000000006</v>
      </c>
      <c r="J81" s="16">
        <f t="shared" si="11"/>
        <v>-0.42131554341255295</v>
      </c>
      <c r="K81" s="16"/>
      <c r="L81" s="39" t="s">
        <v>72</v>
      </c>
      <c r="M81" s="40" t="s">
        <v>73</v>
      </c>
    </row>
    <row r="82" spans="1:13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55740</v>
      </c>
      <c r="E82" s="11">
        <v>109395.46</v>
      </c>
      <c r="F82" s="11">
        <f t="shared" si="12"/>
        <v>-53655.460000000006</v>
      </c>
      <c r="G82" s="12">
        <f t="shared" si="13"/>
        <v>-0.49047245653521637</v>
      </c>
      <c r="H82" s="13">
        <v>107420.17</v>
      </c>
      <c r="I82" s="13">
        <f t="shared" ref="I82:I137" si="14">IF(AND(ISNUMBER(D82),ISNUMBER(H82)), D82-H82, "")</f>
        <v>-51680.17</v>
      </c>
      <c r="J82" s="14">
        <f t="shared" ref="J82:J137" si="15">IFERROR(I82/H82, "")</f>
        <v>-0.4811030367946727</v>
      </c>
      <c r="K82" s="80"/>
      <c r="L82" s="38" t="s">
        <v>74</v>
      </c>
      <c r="M82" s="38" t="s">
        <v>75</v>
      </c>
    </row>
    <row r="83" spans="1:13" ht="72.599999999999994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48791</v>
      </c>
      <c r="E83" s="15">
        <v>117227.81</v>
      </c>
      <c r="F83" s="15">
        <f t="shared" si="12"/>
        <v>-68436.81</v>
      </c>
      <c r="G83" s="16">
        <f t="shared" si="13"/>
        <v>-0.58379329955920867</v>
      </c>
      <c r="H83" s="17">
        <v>130931.08</v>
      </c>
      <c r="I83" s="17">
        <f t="shared" si="14"/>
        <v>-82140.08</v>
      </c>
      <c r="J83" s="16">
        <f t="shared" si="15"/>
        <v>-0.6273535664717651</v>
      </c>
      <c r="K83" s="16"/>
      <c r="L83" s="39" t="s">
        <v>76</v>
      </c>
      <c r="M83" s="40" t="s">
        <v>77</v>
      </c>
    </row>
    <row r="84" spans="1:13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81604</v>
      </c>
      <c r="E84" s="11">
        <v>0</v>
      </c>
      <c r="F84" s="11">
        <f t="shared" si="12"/>
        <v>81604</v>
      </c>
      <c r="G84" s="12" t="str">
        <f t="shared" si="13"/>
        <v/>
      </c>
      <c r="H84" s="13">
        <v>131400.47</v>
      </c>
      <c r="I84" s="13">
        <f t="shared" si="14"/>
        <v>-49796.47</v>
      </c>
      <c r="J84" s="14">
        <f t="shared" si="15"/>
        <v>-0.37896721373979864</v>
      </c>
      <c r="K84" s="80"/>
      <c r="L84" s="38" t="s">
        <v>78</v>
      </c>
      <c r="M84" s="38" t="s">
        <v>79</v>
      </c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32655</v>
      </c>
      <c r="E85" s="15">
        <v>0</v>
      </c>
      <c r="F85" s="15">
        <f t="shared" si="12"/>
        <v>32655</v>
      </c>
      <c r="G85" s="16" t="str">
        <f t="shared" si="13"/>
        <v/>
      </c>
      <c r="H85" s="17">
        <v>107924</v>
      </c>
      <c r="I85" s="17">
        <f t="shared" si="14"/>
        <v>-75269</v>
      </c>
      <c r="J85" s="16">
        <f t="shared" si="15"/>
        <v>-0.69742596642081467</v>
      </c>
      <c r="K85" s="16"/>
      <c r="L85" s="39" t="s">
        <v>32</v>
      </c>
      <c r="M85" s="40" t="s">
        <v>39</v>
      </c>
    </row>
    <row r="86" spans="1:13" ht="43.5">
      <c r="A86" s="25" t="str">
        <v>Canoga</v>
      </c>
      <c r="B86" s="26" t="str">
        <v>NY</v>
      </c>
      <c r="C86" s="26" t="str">
        <f>Sites[[#This Row],[SOL'#]]</f>
        <v>SOL-10965</v>
      </c>
      <c r="D86" s="21">
        <v>219933</v>
      </c>
      <c r="E86" s="11">
        <v>0</v>
      </c>
      <c r="F86" s="11">
        <f t="shared" si="12"/>
        <v>219933</v>
      </c>
      <c r="G86" s="12" t="str">
        <f t="shared" si="13"/>
        <v/>
      </c>
      <c r="H86" s="13">
        <v>383890.22</v>
      </c>
      <c r="I86" s="13">
        <f t="shared" si="14"/>
        <v>-163957.21999999997</v>
      </c>
      <c r="J86" s="14">
        <f t="shared" si="15"/>
        <v>-0.42709402703720867</v>
      </c>
      <c r="K86" s="80">
        <v>0.98930000000000007</v>
      </c>
      <c r="L86" s="38" t="s">
        <v>80</v>
      </c>
      <c r="M86" s="38" t="s">
        <v>81</v>
      </c>
    </row>
    <row r="87" spans="1:13" ht="87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240973</v>
      </c>
      <c r="E87" s="15">
        <v>0</v>
      </c>
      <c r="F87" s="15">
        <f t="shared" si="12"/>
        <v>240973</v>
      </c>
      <c r="G87" s="16" t="str">
        <f t="shared" si="13"/>
        <v/>
      </c>
      <c r="H87" s="17">
        <v>474659.05</v>
      </c>
      <c r="I87" s="17">
        <f t="shared" si="14"/>
        <v>-233686.05</v>
      </c>
      <c r="J87" s="16">
        <f t="shared" si="15"/>
        <v>-0.49232401657568731</v>
      </c>
      <c r="K87" s="16">
        <v>0.96030000000000004</v>
      </c>
      <c r="L87" s="39" t="s">
        <v>82</v>
      </c>
      <c r="M87" s="40" t="s">
        <v>83</v>
      </c>
    </row>
    <row r="88" spans="1:13" ht="15.6">
      <c r="A88" s="25" t="str">
        <v>Donati</v>
      </c>
      <c r="B88" s="26" t="str">
        <v>NY</v>
      </c>
      <c r="C88" s="26" t="str">
        <f>Sites[[#This Row],[SOL'#]]</f>
        <v>SOL-10968</v>
      </c>
      <c r="D88" s="21">
        <v>82618</v>
      </c>
      <c r="E88" s="11">
        <v>0</v>
      </c>
      <c r="F88" s="11">
        <f t="shared" si="12"/>
        <v>82618</v>
      </c>
      <c r="G88" s="12" t="str">
        <f t="shared" si="13"/>
        <v/>
      </c>
      <c r="H88" s="13">
        <v>157357.19</v>
      </c>
      <c r="I88" s="13">
        <f t="shared" si="14"/>
        <v>-74739.19</v>
      </c>
      <c r="J88" s="14">
        <f t="shared" si="15"/>
        <v>-0.47496520495822275</v>
      </c>
      <c r="K88" s="80">
        <v>1</v>
      </c>
      <c r="L88" s="38" t="s">
        <v>84</v>
      </c>
      <c r="M88" s="38" t="s">
        <v>85</v>
      </c>
    </row>
    <row r="89" spans="1:13" ht="15.6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149508</v>
      </c>
      <c r="E89" s="15">
        <v>0</v>
      </c>
      <c r="F89" s="15">
        <f t="shared" si="12"/>
        <v>149508</v>
      </c>
      <c r="G89" s="16" t="str">
        <f t="shared" si="13"/>
        <v/>
      </c>
      <c r="H89" s="17">
        <v>231860</v>
      </c>
      <c r="I89" s="17">
        <f t="shared" si="14"/>
        <v>-82352</v>
      </c>
      <c r="J89" s="16">
        <f t="shared" si="15"/>
        <v>-0.35517984990942808</v>
      </c>
      <c r="K89" s="16">
        <v>1</v>
      </c>
      <c r="L89" s="39" t="s">
        <v>86</v>
      </c>
      <c r="M89" s="39" t="s">
        <v>87</v>
      </c>
    </row>
    <row r="90" spans="1:13" ht="29.1">
      <c r="A90" s="25" t="str">
        <v>NY 70</v>
      </c>
      <c r="B90" s="26" t="str">
        <v>NY</v>
      </c>
      <c r="C90" s="26" t="str">
        <f>Sites[[#This Row],[SOL'#]]</f>
        <v>SOL-10970</v>
      </c>
      <c r="D90" s="21">
        <v>202299</v>
      </c>
      <c r="E90" s="11">
        <v>0</v>
      </c>
      <c r="F90" s="11">
        <f t="shared" si="12"/>
        <v>202299</v>
      </c>
      <c r="G90" s="12" t="str">
        <f t="shared" si="13"/>
        <v/>
      </c>
      <c r="H90" s="13">
        <v>360230</v>
      </c>
      <c r="I90" s="13">
        <f t="shared" si="14"/>
        <v>-157931</v>
      </c>
      <c r="J90" s="14">
        <f t="shared" si="15"/>
        <v>-0.43841712239402603</v>
      </c>
      <c r="K90" s="80">
        <v>0.99819999999999998</v>
      </c>
      <c r="L90" s="38" t="s">
        <v>88</v>
      </c>
      <c r="M90" s="38" t="s">
        <v>89</v>
      </c>
    </row>
    <row r="91" spans="1:13" ht="15.6">
      <c r="A91" s="27" t="str">
        <v>Reid</v>
      </c>
      <c r="B91" s="28" t="str">
        <v>NY</v>
      </c>
      <c r="C91" s="28" t="str">
        <f>Sites[[#This Row],[SOL'#]]</f>
        <v>SOL-10991</v>
      </c>
      <c r="D91" s="10">
        <v>161556.07105237199</v>
      </c>
      <c r="E91" s="15">
        <v>184058</v>
      </c>
      <c r="F91" s="15">
        <f t="shared" si="12"/>
        <v>-22501.92894762801</v>
      </c>
      <c r="G91" s="16">
        <f t="shared" si="13"/>
        <v>-0.12225455534466315</v>
      </c>
      <c r="H91" s="17">
        <v>265223</v>
      </c>
      <c r="I91" s="17">
        <f t="shared" si="14"/>
        <v>-103666.92894762801</v>
      </c>
      <c r="J91" s="16">
        <f t="shared" si="15"/>
        <v>-0.39086703999135824</v>
      </c>
      <c r="K91" s="16">
        <v>1</v>
      </c>
      <c r="L91" s="39" t="s">
        <v>32</v>
      </c>
      <c r="M91" s="40" t="s">
        <v>39</v>
      </c>
    </row>
    <row r="92" spans="1:13" ht="15.6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76404</v>
      </c>
      <c r="E92" s="11">
        <v>0</v>
      </c>
      <c r="F92" s="11">
        <f t="shared" si="12"/>
        <v>76404</v>
      </c>
      <c r="G92" s="12" t="str">
        <f t="shared" si="13"/>
        <v/>
      </c>
      <c r="H92" s="13">
        <v>152738.63</v>
      </c>
      <c r="I92" s="13">
        <f t="shared" si="14"/>
        <v>-76334.63</v>
      </c>
      <c r="J92" s="14">
        <f t="shared" si="15"/>
        <v>-0.49977291272024638</v>
      </c>
      <c r="K92" s="80">
        <v>0.98180000000000012</v>
      </c>
      <c r="L92" s="38" t="s">
        <v>90</v>
      </c>
      <c r="M92" s="38" t="s">
        <v>91</v>
      </c>
    </row>
    <row r="93" spans="1:13" ht="30.9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175181</v>
      </c>
      <c r="E93" s="15">
        <v>0</v>
      </c>
      <c r="F93" s="15">
        <f t="shared" si="12"/>
        <v>175181</v>
      </c>
      <c r="G93" s="16" t="str">
        <f t="shared" si="13"/>
        <v/>
      </c>
      <c r="H93" s="17">
        <v>323774</v>
      </c>
      <c r="I93" s="17">
        <f t="shared" si="14"/>
        <v>-148593</v>
      </c>
      <c r="J93" s="16">
        <f t="shared" si="15"/>
        <v>-0.45894049553083321</v>
      </c>
      <c r="K93" s="16"/>
      <c r="L93" s="39" t="s">
        <v>92</v>
      </c>
      <c r="M93" s="40" t="s">
        <v>93</v>
      </c>
    </row>
    <row r="94" spans="1:13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251217</v>
      </c>
      <c r="E94" s="11">
        <v>0</v>
      </c>
      <c r="F94" s="11">
        <f t="shared" si="12"/>
        <v>251217</v>
      </c>
      <c r="G94" s="12" t="str">
        <f t="shared" si="13"/>
        <v/>
      </c>
      <c r="H94" s="13">
        <v>347615</v>
      </c>
      <c r="I94" s="13">
        <f t="shared" si="14"/>
        <v>-96398</v>
      </c>
      <c r="J94" s="14">
        <f t="shared" si="15"/>
        <v>-0.27731254405017047</v>
      </c>
      <c r="K94" s="80"/>
      <c r="L94" s="38" t="s">
        <v>94</v>
      </c>
      <c r="M94" s="38" t="s">
        <v>95</v>
      </c>
    </row>
    <row r="95" spans="1:13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204956</v>
      </c>
      <c r="E95" s="15">
        <v>0</v>
      </c>
      <c r="F95" s="15">
        <f t="shared" si="12"/>
        <v>204956</v>
      </c>
      <c r="G95" s="16" t="str">
        <f t="shared" si="13"/>
        <v/>
      </c>
      <c r="H95" s="17">
        <v>298444</v>
      </c>
      <c r="I95" s="17">
        <f t="shared" si="14"/>
        <v>-93488</v>
      </c>
      <c r="J95" s="16">
        <f t="shared" si="15"/>
        <v>-0.3132513972470547</v>
      </c>
      <c r="K95" s="16"/>
      <c r="L95" s="39" t="s">
        <v>96</v>
      </c>
      <c r="M95" s="39" t="s">
        <v>97</v>
      </c>
    </row>
    <row r="96" spans="1:13" ht="43.5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222902</v>
      </c>
      <c r="E96" s="11">
        <v>0</v>
      </c>
      <c r="F96" s="11">
        <f t="shared" si="12"/>
        <v>222902</v>
      </c>
      <c r="G96" s="12" t="str">
        <f t="shared" si="13"/>
        <v/>
      </c>
      <c r="H96" s="13">
        <v>406945</v>
      </c>
      <c r="I96" s="13">
        <f t="shared" si="14"/>
        <v>-184043</v>
      </c>
      <c r="J96" s="14">
        <f t="shared" si="15"/>
        <v>-0.45225521876420649</v>
      </c>
      <c r="K96" s="80"/>
      <c r="L96" s="38" t="s">
        <v>98</v>
      </c>
      <c r="M96" s="38" t="s">
        <v>99</v>
      </c>
    </row>
    <row r="97" spans="1:13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221993</v>
      </c>
      <c r="E97" s="15">
        <v>0</v>
      </c>
      <c r="F97" s="15">
        <f t="shared" si="12"/>
        <v>221993</v>
      </c>
      <c r="G97" s="16" t="str">
        <f t="shared" si="13"/>
        <v/>
      </c>
      <c r="H97" s="17">
        <v>0</v>
      </c>
      <c r="I97" s="17">
        <f t="shared" si="14"/>
        <v>221993</v>
      </c>
      <c r="J97" s="16" t="str">
        <f t="shared" si="15"/>
        <v/>
      </c>
      <c r="K97" s="16">
        <v>0.99939999999999996</v>
      </c>
      <c r="L97" s="39" t="s">
        <v>32</v>
      </c>
      <c r="M97" s="40" t="s">
        <v>39</v>
      </c>
    </row>
    <row r="98" spans="1:13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98372</v>
      </c>
      <c r="E98" s="11">
        <v>0</v>
      </c>
      <c r="F98" s="11">
        <f t="shared" si="12"/>
        <v>98372</v>
      </c>
      <c r="G98" s="12" t="str">
        <f t="shared" si="13"/>
        <v/>
      </c>
      <c r="H98" s="13">
        <v>172436.09</v>
      </c>
      <c r="I98" s="13">
        <f t="shared" si="14"/>
        <v>-74064.09</v>
      </c>
      <c r="J98" s="14">
        <f t="shared" si="15"/>
        <v>-0.42951617610907322</v>
      </c>
      <c r="K98" s="80">
        <v>1</v>
      </c>
      <c r="L98" s="38" t="s">
        <v>32</v>
      </c>
      <c r="M98" s="38" t="s">
        <v>39</v>
      </c>
    </row>
    <row r="99" spans="1:13" ht="30.9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148343</v>
      </c>
      <c r="E99" s="15">
        <v>0</v>
      </c>
      <c r="F99" s="15">
        <f t="shared" si="12"/>
        <v>148343</v>
      </c>
      <c r="G99" s="16" t="str">
        <f t="shared" si="13"/>
        <v/>
      </c>
      <c r="H99" s="17">
        <v>287459.52</v>
      </c>
      <c r="I99" s="17">
        <f t="shared" si="14"/>
        <v>-139116.52000000002</v>
      </c>
      <c r="J99" s="16">
        <f t="shared" si="15"/>
        <v>-0.48395168822378892</v>
      </c>
      <c r="K99" s="16">
        <v>1</v>
      </c>
      <c r="L99" s="39" t="s">
        <v>100</v>
      </c>
      <c r="M99" s="40" t="s">
        <v>101</v>
      </c>
    </row>
    <row r="100" spans="1:13" ht="29.1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80574</v>
      </c>
      <c r="E100" s="11">
        <v>0</v>
      </c>
      <c r="F100" s="11">
        <f t="shared" si="12"/>
        <v>80574</v>
      </c>
      <c r="G100" s="12" t="str">
        <f t="shared" si="13"/>
        <v/>
      </c>
      <c r="H100" s="13">
        <v>147363.93</v>
      </c>
      <c r="I100" s="13">
        <f t="shared" si="14"/>
        <v>-66789.929999999993</v>
      </c>
      <c r="J100" s="14">
        <f t="shared" si="15"/>
        <v>-0.45323119436350534</v>
      </c>
      <c r="K100" s="80">
        <v>1</v>
      </c>
      <c r="L100" s="38" t="s">
        <v>100</v>
      </c>
      <c r="M100" s="38" t="s">
        <v>102</v>
      </c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205816</v>
      </c>
      <c r="E101" s="15">
        <v>0</v>
      </c>
      <c r="F101" s="15">
        <f t="shared" si="12"/>
        <v>205816</v>
      </c>
      <c r="G101" s="16" t="str">
        <f t="shared" si="13"/>
        <v/>
      </c>
      <c r="H101" s="17">
        <v>375018.52</v>
      </c>
      <c r="I101" s="17">
        <f t="shared" si="14"/>
        <v>-169202.52000000002</v>
      </c>
      <c r="J101" s="16">
        <f t="shared" si="15"/>
        <v>-0.45118443750457982</v>
      </c>
      <c r="K101" s="16">
        <v>1</v>
      </c>
      <c r="L101" s="39" t="s">
        <v>32</v>
      </c>
      <c r="M101" s="39" t="s">
        <v>32</v>
      </c>
    </row>
    <row r="102" spans="1:13" ht="43.5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92488</v>
      </c>
      <c r="E102" s="11">
        <v>0</v>
      </c>
      <c r="F102" s="11">
        <f t="shared" si="12"/>
        <v>92488</v>
      </c>
      <c r="G102" s="12" t="str">
        <f t="shared" si="13"/>
        <v/>
      </c>
      <c r="H102" s="13">
        <v>371573.6</v>
      </c>
      <c r="I102" s="13">
        <f t="shared" si="14"/>
        <v>-279085.59999999998</v>
      </c>
      <c r="J102" s="14">
        <f t="shared" si="15"/>
        <v>-0.7510910355310495</v>
      </c>
      <c r="K102" s="80">
        <v>0.74199999999999999</v>
      </c>
      <c r="L102" s="38" t="s">
        <v>103</v>
      </c>
      <c r="M102" s="38" t="s">
        <v>104</v>
      </c>
    </row>
    <row r="103" spans="1:13" ht="30.95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92798</v>
      </c>
      <c r="E103" s="15">
        <v>0</v>
      </c>
      <c r="F103" s="15">
        <f t="shared" si="12"/>
        <v>92798</v>
      </c>
      <c r="G103" s="16" t="str">
        <f t="shared" si="13"/>
        <v/>
      </c>
      <c r="H103" s="17">
        <v>155344.57</v>
      </c>
      <c r="I103" s="17">
        <f t="shared" si="14"/>
        <v>-62546.570000000007</v>
      </c>
      <c r="J103" s="16">
        <f t="shared" si="15"/>
        <v>-0.40263119592786539</v>
      </c>
      <c r="K103" s="16">
        <v>1</v>
      </c>
      <c r="L103" s="39" t="s">
        <v>100</v>
      </c>
      <c r="M103" s="40" t="s">
        <v>105</v>
      </c>
    </row>
    <row r="104" spans="1:13" ht="29.1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231825</v>
      </c>
      <c r="E104" s="11">
        <v>0</v>
      </c>
      <c r="F104" s="11">
        <f t="shared" si="12"/>
        <v>231825</v>
      </c>
      <c r="G104" s="12" t="str">
        <f t="shared" si="13"/>
        <v/>
      </c>
      <c r="H104" s="13">
        <v>411632.84</v>
      </c>
      <c r="I104" s="13">
        <f t="shared" si="14"/>
        <v>-179807.84000000003</v>
      </c>
      <c r="J104" s="14">
        <f t="shared" si="15"/>
        <v>-0.43681607133191808</v>
      </c>
      <c r="K104" s="80">
        <v>1</v>
      </c>
      <c r="L104" s="38" t="s">
        <v>100</v>
      </c>
      <c r="M104" s="38" t="s">
        <v>106</v>
      </c>
    </row>
    <row r="105" spans="1:13" ht="30.9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71870</v>
      </c>
      <c r="E105" s="15">
        <v>0</v>
      </c>
      <c r="F105" s="15">
        <f t="shared" si="12"/>
        <v>71870</v>
      </c>
      <c r="G105" s="16" t="str">
        <f t="shared" si="13"/>
        <v/>
      </c>
      <c r="H105" s="17">
        <v>124129.29</v>
      </c>
      <c r="I105" s="17">
        <f t="shared" si="14"/>
        <v>-52259.289999999994</v>
      </c>
      <c r="J105" s="16">
        <f t="shared" si="15"/>
        <v>-0.42100691947887559</v>
      </c>
      <c r="K105" s="16">
        <v>1</v>
      </c>
      <c r="L105" s="39" t="s">
        <v>107</v>
      </c>
      <c r="M105" s="40" t="s">
        <v>108</v>
      </c>
    </row>
    <row r="106" spans="1:13" ht="29.1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31675</v>
      </c>
      <c r="E106" s="11">
        <v>0</v>
      </c>
      <c r="F106" s="11">
        <f t="shared" si="12"/>
        <v>31675</v>
      </c>
      <c r="G106" s="12" t="str">
        <f t="shared" si="13"/>
        <v/>
      </c>
      <c r="H106" s="13">
        <v>126850.44</v>
      </c>
      <c r="I106" s="13">
        <f t="shared" si="14"/>
        <v>-95175.44</v>
      </c>
      <c r="J106" s="14">
        <f t="shared" si="15"/>
        <v>-0.7502964908911629</v>
      </c>
      <c r="K106" s="80">
        <v>1</v>
      </c>
      <c r="L106" s="38" t="s">
        <v>107</v>
      </c>
      <c r="M106" s="38" t="s">
        <v>109</v>
      </c>
    </row>
    <row r="107" spans="1:13" ht="30.9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68145</v>
      </c>
      <c r="E107" s="15">
        <v>0</v>
      </c>
      <c r="F107" s="15">
        <f t="shared" si="12"/>
        <v>68145</v>
      </c>
      <c r="G107" s="16" t="str">
        <f t="shared" si="13"/>
        <v/>
      </c>
      <c r="H107" s="17">
        <v>111960.62</v>
      </c>
      <c r="I107" s="17">
        <f t="shared" si="14"/>
        <v>-43815.619999999995</v>
      </c>
      <c r="J107" s="16">
        <f t="shared" si="15"/>
        <v>-0.39134849378290326</v>
      </c>
      <c r="K107" s="16">
        <v>1</v>
      </c>
      <c r="L107" s="39" t="s">
        <v>107</v>
      </c>
      <c r="M107" s="40" t="s">
        <v>110</v>
      </c>
    </row>
    <row r="108" spans="1:13" ht="43.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130763.6</v>
      </c>
      <c r="E108" s="11">
        <v>0</v>
      </c>
      <c r="F108" s="11">
        <f t="shared" si="12"/>
        <v>130763.6</v>
      </c>
      <c r="G108" s="12" t="str">
        <f t="shared" si="13"/>
        <v/>
      </c>
      <c r="H108" s="13">
        <v>296602.33</v>
      </c>
      <c r="I108" s="13">
        <f t="shared" si="14"/>
        <v>-165838.73000000001</v>
      </c>
      <c r="J108" s="14">
        <f t="shared" si="15"/>
        <v>-0.55912821048978278</v>
      </c>
      <c r="K108" s="80">
        <v>1</v>
      </c>
      <c r="L108" s="38" t="s">
        <v>111</v>
      </c>
      <c r="M108" s="38" t="s">
        <v>112</v>
      </c>
    </row>
    <row r="109" spans="1:13" ht="29.1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108825.2</v>
      </c>
      <c r="E109" s="15">
        <v>0</v>
      </c>
      <c r="F109" s="15">
        <f t="shared" si="12"/>
        <v>108825.2</v>
      </c>
      <c r="G109" s="16" t="str">
        <f t="shared" si="13"/>
        <v/>
      </c>
      <c r="H109" s="17">
        <v>177000</v>
      </c>
      <c r="I109" s="17">
        <f t="shared" si="14"/>
        <v>-68174.8</v>
      </c>
      <c r="J109" s="16">
        <f t="shared" si="15"/>
        <v>-0.38516836158192091</v>
      </c>
      <c r="K109" s="16">
        <v>1</v>
      </c>
      <c r="L109" s="39" t="s">
        <v>113</v>
      </c>
      <c r="M109" s="40" t="s">
        <v>114</v>
      </c>
    </row>
    <row r="110" spans="1:13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0</v>
      </c>
      <c r="E110" s="11">
        <v>0</v>
      </c>
      <c r="F110" s="11">
        <f t="shared" si="12"/>
        <v>0</v>
      </c>
      <c r="G110" s="12" t="str">
        <f t="shared" si="13"/>
        <v/>
      </c>
      <c r="H110" s="13">
        <v>0</v>
      </c>
      <c r="I110" s="13">
        <f t="shared" si="14"/>
        <v>0</v>
      </c>
      <c r="J110" s="14" t="str">
        <f t="shared" si="15"/>
        <v/>
      </c>
      <c r="K110" s="80"/>
      <c r="L110" s="38" t="s">
        <v>115</v>
      </c>
      <c r="M110" s="38" t="s">
        <v>32</v>
      </c>
    </row>
    <row r="111" spans="1:13" ht="29.1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148695.250778894</v>
      </c>
      <c r="E111" s="15">
        <v>188962.4</v>
      </c>
      <c r="F111" s="15">
        <f t="shared" si="12"/>
        <v>-40267.149221105996</v>
      </c>
      <c r="G111" s="16">
        <f t="shared" si="13"/>
        <v>-0.21309609330272053</v>
      </c>
      <c r="H111" s="17">
        <v>259656.7</v>
      </c>
      <c r="I111" s="17">
        <f t="shared" si="14"/>
        <v>-110961.44922110601</v>
      </c>
      <c r="J111" s="16">
        <f t="shared" si="15"/>
        <v>-0.42733905661246563</v>
      </c>
      <c r="K111" s="16">
        <v>0.88730039999999999</v>
      </c>
      <c r="L111" s="39" t="s">
        <v>116</v>
      </c>
      <c r="M111" s="40" t="s">
        <v>117</v>
      </c>
    </row>
    <row r="112" spans="1:13" ht="72.599999999999994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28249.4825870647</v>
      </c>
      <c r="E112" s="11">
        <v>48018.29</v>
      </c>
      <c r="F112" s="11">
        <f t="shared" si="12"/>
        <v>-19768.807412935301</v>
      </c>
      <c r="G112" s="12">
        <f t="shared" si="13"/>
        <v>-0.41169328214176931</v>
      </c>
      <c r="H112" s="13">
        <v>247718.5</v>
      </c>
      <c r="I112" s="13">
        <f t="shared" si="14"/>
        <v>-219469.0174129353</v>
      </c>
      <c r="J112" s="14">
        <f t="shared" si="15"/>
        <v>-0.8859613529588436</v>
      </c>
      <c r="K112" s="80">
        <v>0.93548389999999992</v>
      </c>
      <c r="L112" s="38" t="s">
        <v>118</v>
      </c>
      <c r="M112" s="38" t="s">
        <v>119</v>
      </c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870</v>
      </c>
      <c r="E113" s="15">
        <v>1507.5250000000001</v>
      </c>
      <c r="F113" s="15">
        <f t="shared" si="12"/>
        <v>-637.52500000000009</v>
      </c>
      <c r="G113" s="16">
        <f t="shared" si="13"/>
        <v>-0.42289514270078443</v>
      </c>
      <c r="H113" s="17">
        <v>2164</v>
      </c>
      <c r="I113" s="17">
        <f t="shared" si="14"/>
        <v>-1294</v>
      </c>
      <c r="J113" s="16">
        <f t="shared" si="15"/>
        <v>-0.5979667282809612</v>
      </c>
      <c r="K113" s="16">
        <v>0.95804659999999997</v>
      </c>
      <c r="L113" s="39" t="s">
        <v>32</v>
      </c>
      <c r="M113" s="39" t="s">
        <v>39</v>
      </c>
    </row>
    <row r="114" spans="1:13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2505.62</v>
      </c>
      <c r="E114" s="11">
        <v>4293.1019999999999</v>
      </c>
      <c r="F114" s="11">
        <f t="shared" si="12"/>
        <v>-1787.482</v>
      </c>
      <c r="G114" s="12">
        <f t="shared" si="13"/>
        <v>-0.41636140953557593</v>
      </c>
      <c r="H114" s="13">
        <v>5046.8469999999998</v>
      </c>
      <c r="I114" s="13">
        <f t="shared" si="14"/>
        <v>-2541.2269999999999</v>
      </c>
      <c r="J114" s="14">
        <f t="shared" si="15"/>
        <v>-0.50352764805431982</v>
      </c>
      <c r="K114" s="80">
        <v>0.87311830000000001</v>
      </c>
      <c r="L114" s="38" t="s">
        <v>32</v>
      </c>
      <c r="M114" s="38" t="s">
        <v>39</v>
      </c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385</v>
      </c>
      <c r="E115" s="15">
        <v>590.59410000000003</v>
      </c>
      <c r="F115" s="15">
        <f t="shared" si="12"/>
        <v>-205.59410000000003</v>
      </c>
      <c r="G115" s="16">
        <f t="shared" si="13"/>
        <v>-0.34811404313046812</v>
      </c>
      <c r="H115" s="17">
        <v>808.99249999999995</v>
      </c>
      <c r="I115" s="17">
        <f t="shared" si="14"/>
        <v>-423.99249999999995</v>
      </c>
      <c r="J115" s="16">
        <f t="shared" si="15"/>
        <v>-0.52409941995753972</v>
      </c>
      <c r="K115" s="16"/>
      <c r="L115" s="39" t="s">
        <v>32</v>
      </c>
      <c r="M115" s="40" t="s">
        <v>39</v>
      </c>
    </row>
    <row r="116" spans="1:13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398</v>
      </c>
      <c r="E116" s="11">
        <v>563.71370000000002</v>
      </c>
      <c r="F116" s="11">
        <f t="shared" si="12"/>
        <v>-165.71370000000002</v>
      </c>
      <c r="G116" s="12">
        <f t="shared" si="13"/>
        <v>-0.2939678421865568</v>
      </c>
      <c r="H116" s="13">
        <v>862.08870000000002</v>
      </c>
      <c r="I116" s="13">
        <f t="shared" si="14"/>
        <v>-464.08870000000002</v>
      </c>
      <c r="J116" s="14">
        <f t="shared" si="15"/>
        <v>-0.53833056853662509</v>
      </c>
      <c r="K116" s="80"/>
      <c r="L116" s="38" t="s">
        <v>32</v>
      </c>
      <c r="M116" s="38" t="s">
        <v>39</v>
      </c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464</v>
      </c>
      <c r="E117" s="15">
        <v>551.17399999999998</v>
      </c>
      <c r="F117" s="15">
        <f t="shared" si="12"/>
        <v>-87.173999999999978</v>
      </c>
      <c r="G117" s="16">
        <f t="shared" si="13"/>
        <v>-0.15816058086919918</v>
      </c>
      <c r="H117" s="17">
        <v>893</v>
      </c>
      <c r="I117" s="17">
        <f t="shared" si="14"/>
        <v>-429</v>
      </c>
      <c r="J117" s="16">
        <f t="shared" si="15"/>
        <v>-0.48040313549832026</v>
      </c>
      <c r="K117" s="16"/>
      <c r="L117" s="39" t="s">
        <v>32</v>
      </c>
      <c r="M117" s="40" t="s">
        <v>39</v>
      </c>
    </row>
    <row r="118" spans="1:13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3000</v>
      </c>
      <c r="E118" s="11">
        <v>5979.6080000000002</v>
      </c>
      <c r="F118" s="11">
        <f t="shared" si="12"/>
        <v>-2979.6080000000002</v>
      </c>
      <c r="G118" s="12">
        <f t="shared" si="13"/>
        <v>-0.4982948715032825</v>
      </c>
      <c r="H118" s="13">
        <v>2819</v>
      </c>
      <c r="I118" s="13">
        <f t="shared" si="14"/>
        <v>181</v>
      </c>
      <c r="J118" s="14">
        <f t="shared" si="15"/>
        <v>6.4207165661582119E-2</v>
      </c>
      <c r="K118" s="80"/>
      <c r="L118" s="38" t="s">
        <v>32</v>
      </c>
      <c r="M118" s="38" t="s">
        <v>39</v>
      </c>
    </row>
    <row r="119" spans="1:13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17646</v>
      </c>
      <c r="E119" s="15">
        <v>0</v>
      </c>
      <c r="F119" s="15">
        <f t="shared" si="12"/>
        <v>17646</v>
      </c>
      <c r="G119" s="16" t="str">
        <f t="shared" si="13"/>
        <v/>
      </c>
      <c r="H119" s="17">
        <v>28692</v>
      </c>
      <c r="I119" s="17">
        <f t="shared" si="14"/>
        <v>-11046</v>
      </c>
      <c r="J119" s="16">
        <f t="shared" si="15"/>
        <v>-0.3849853617733166</v>
      </c>
      <c r="K119" s="16"/>
      <c r="L119" s="39" t="s">
        <v>32</v>
      </c>
      <c r="M119" s="40" t="s">
        <v>39</v>
      </c>
    </row>
    <row r="120" spans="1:13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7263</v>
      </c>
      <c r="E120" s="11">
        <v>10662</v>
      </c>
      <c r="F120" s="11">
        <f t="shared" si="12"/>
        <v>-3399</v>
      </c>
      <c r="G120" s="12">
        <f t="shared" si="13"/>
        <v>-0.31879572312886889</v>
      </c>
      <c r="H120" s="13">
        <v>16720</v>
      </c>
      <c r="I120" s="13">
        <f t="shared" si="14"/>
        <v>-9457</v>
      </c>
      <c r="J120" s="14">
        <f t="shared" si="15"/>
        <v>-0.56561004784688995</v>
      </c>
      <c r="K120" s="80"/>
      <c r="L120" s="38" t="s">
        <v>32</v>
      </c>
      <c r="M120" s="38" t="s">
        <v>39</v>
      </c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8344</v>
      </c>
      <c r="E121" s="15">
        <v>7977.7489999999998</v>
      </c>
      <c r="F121" s="15">
        <f t="shared" si="12"/>
        <v>366.2510000000002</v>
      </c>
      <c r="G121" s="16">
        <f t="shared" si="13"/>
        <v>4.5909065326572726E-2</v>
      </c>
      <c r="H121" s="17">
        <v>10288</v>
      </c>
      <c r="I121" s="17">
        <f t="shared" si="14"/>
        <v>-1944</v>
      </c>
      <c r="J121" s="16">
        <f t="shared" si="15"/>
        <v>-0.18895800933125972</v>
      </c>
      <c r="K121" s="16"/>
      <c r="L121" s="39" t="s">
        <v>120</v>
      </c>
      <c r="M121" s="40" t="s">
        <v>121</v>
      </c>
    </row>
    <row r="122" spans="1:13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7031</v>
      </c>
      <c r="E122" s="11">
        <v>7601.15</v>
      </c>
      <c r="F122" s="11">
        <f t="shared" si="12"/>
        <v>-570.14999999999964</v>
      </c>
      <c r="G122" s="12">
        <f t="shared" si="13"/>
        <v>-7.5008386888825995E-2</v>
      </c>
      <c r="H122" s="13">
        <v>10288</v>
      </c>
      <c r="I122" s="13">
        <f t="shared" si="14"/>
        <v>-3257</v>
      </c>
      <c r="J122" s="14">
        <f t="shared" si="15"/>
        <v>-0.31658242612752724</v>
      </c>
      <c r="K122" s="80"/>
      <c r="L122" s="38" t="s">
        <v>122</v>
      </c>
      <c r="M122" s="38" t="s">
        <v>123</v>
      </c>
    </row>
    <row r="123" spans="1:13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82202</v>
      </c>
      <c r="E123" s="15">
        <v>92318.48</v>
      </c>
      <c r="F123" s="15">
        <f t="shared" si="12"/>
        <v>-10116.479999999996</v>
      </c>
      <c r="G123" s="16">
        <f t="shared" si="13"/>
        <v>-0.10958239347094965</v>
      </c>
      <c r="H123" s="17">
        <v>127325.2</v>
      </c>
      <c r="I123" s="17">
        <f t="shared" si="14"/>
        <v>-45123.199999999997</v>
      </c>
      <c r="J123" s="16">
        <f t="shared" si="15"/>
        <v>-0.35439331726948003</v>
      </c>
      <c r="K123" s="16"/>
      <c r="L123" s="39" t="s">
        <v>32</v>
      </c>
      <c r="M123" s="40" t="s">
        <v>39</v>
      </c>
    </row>
    <row r="124" spans="1:13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86841</v>
      </c>
      <c r="E124" s="11">
        <v>66423.12</v>
      </c>
      <c r="F124" s="11">
        <f t="shared" si="12"/>
        <v>20417.880000000005</v>
      </c>
      <c r="G124" s="12">
        <f t="shared" si="13"/>
        <v>0.30739116139079292</v>
      </c>
      <c r="H124" s="13">
        <v>6278.299</v>
      </c>
      <c r="I124" s="13">
        <f t="shared" si="14"/>
        <v>80562.701000000001</v>
      </c>
      <c r="J124" s="14">
        <f t="shared" si="15"/>
        <v>12.831931228506321</v>
      </c>
      <c r="K124" s="80"/>
      <c r="L124" s="38" t="s">
        <v>32</v>
      </c>
      <c r="M124" s="38" t="s">
        <v>39</v>
      </c>
    </row>
    <row r="125" spans="1:13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17577</v>
      </c>
      <c r="E125" s="15">
        <v>15476.68</v>
      </c>
      <c r="F125" s="15">
        <f t="shared" si="12"/>
        <v>2100.3199999999997</v>
      </c>
      <c r="G125" s="16">
        <f t="shared" si="13"/>
        <v>0.13570869204506392</v>
      </c>
      <c r="H125" s="17">
        <v>18224</v>
      </c>
      <c r="I125" s="17">
        <f t="shared" si="14"/>
        <v>-647</v>
      </c>
      <c r="J125" s="16">
        <f t="shared" si="15"/>
        <v>-3.5502633889376647E-2</v>
      </c>
      <c r="K125" s="16"/>
      <c r="L125" s="39" t="s">
        <v>124</v>
      </c>
      <c r="M125" s="39" t="s">
        <v>125</v>
      </c>
    </row>
    <row r="126" spans="1:13" ht="57.95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52498</v>
      </c>
      <c r="E126" s="11">
        <v>58863.74</v>
      </c>
      <c r="F126" s="11">
        <f t="shared" si="12"/>
        <v>-6365.739999999998</v>
      </c>
      <c r="G126" s="12">
        <f t="shared" si="13"/>
        <v>-0.10814365516020556</v>
      </c>
      <c r="H126" s="13">
        <v>0</v>
      </c>
      <c r="I126" s="13">
        <f t="shared" si="14"/>
        <v>52498</v>
      </c>
      <c r="J126" s="14" t="str">
        <f t="shared" si="15"/>
        <v/>
      </c>
      <c r="K126" s="80"/>
      <c r="L126" s="38" t="s">
        <v>126</v>
      </c>
      <c r="M126" s="38" t="s">
        <v>127</v>
      </c>
    </row>
    <row r="127" spans="1:13" ht="57.9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13494</v>
      </c>
      <c r="E127" s="15">
        <v>34760.43</v>
      </c>
      <c r="F127" s="15">
        <f t="shared" si="12"/>
        <v>-21266.43</v>
      </c>
      <c r="G127" s="16">
        <f t="shared" si="13"/>
        <v>-0.61179996910279877</v>
      </c>
      <c r="H127" s="17">
        <v>23239</v>
      </c>
      <c r="I127" s="17">
        <f t="shared" si="14"/>
        <v>-9745</v>
      </c>
      <c r="J127" s="16">
        <f t="shared" si="15"/>
        <v>-0.41933818150522828</v>
      </c>
      <c r="K127" s="16"/>
      <c r="L127" s="39" t="s">
        <v>128</v>
      </c>
      <c r="M127" s="39" t="s">
        <v>129</v>
      </c>
    </row>
    <row r="128" spans="1:13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15979.5</v>
      </c>
      <c r="E128" s="11">
        <v>16624.46</v>
      </c>
      <c r="F128" s="11">
        <f t="shared" si="12"/>
        <v>-644.95999999999913</v>
      </c>
      <c r="G128" s="12">
        <f t="shared" si="13"/>
        <v>-3.8795846601934691E-2</v>
      </c>
      <c r="H128" s="13">
        <v>23841.21</v>
      </c>
      <c r="I128" s="13">
        <f t="shared" si="14"/>
        <v>-7861.7099999999991</v>
      </c>
      <c r="J128" s="14">
        <f t="shared" si="15"/>
        <v>-0.32975297814162952</v>
      </c>
      <c r="K128" s="80"/>
      <c r="L128" s="38" t="s">
        <v>130</v>
      </c>
      <c r="M128" s="38" t="s">
        <v>131</v>
      </c>
    </row>
    <row r="129" spans="1:13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32699.5</v>
      </c>
      <c r="E129" s="15">
        <v>50419.89</v>
      </c>
      <c r="F129" s="15">
        <f t="shared" si="12"/>
        <v>-17720.39</v>
      </c>
      <c r="G129" s="16">
        <f t="shared" si="13"/>
        <v>-0.35145633994838149</v>
      </c>
      <c r="H129" s="17">
        <v>52949.27</v>
      </c>
      <c r="I129" s="17">
        <f t="shared" si="14"/>
        <v>-20249.769999999997</v>
      </c>
      <c r="J129" s="16">
        <f t="shared" si="15"/>
        <v>-0.38243718940789928</v>
      </c>
      <c r="K129" s="16"/>
      <c r="L129" s="39" t="s">
        <v>32</v>
      </c>
      <c r="M129" s="40" t="s">
        <v>39</v>
      </c>
    </row>
    <row r="130" spans="1:13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74644</v>
      </c>
      <c r="E130" s="11">
        <v>104933.8</v>
      </c>
      <c r="F130" s="11">
        <f t="shared" si="12"/>
        <v>-30289.800000000003</v>
      </c>
      <c r="G130" s="12">
        <f t="shared" si="13"/>
        <v>-0.28865627662392862</v>
      </c>
      <c r="H130" s="13">
        <v>132017.60000000001</v>
      </c>
      <c r="I130" s="13">
        <f t="shared" si="14"/>
        <v>-57373.600000000006</v>
      </c>
      <c r="J130" s="14">
        <f t="shared" si="15"/>
        <v>-0.43459053944322579</v>
      </c>
      <c r="K130" s="80"/>
      <c r="L130" s="38" t="s">
        <v>132</v>
      </c>
      <c r="M130" s="38" t="s">
        <v>133</v>
      </c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1820.4686795321199</v>
      </c>
      <c r="E131" s="15">
        <v>4815.5290000000005</v>
      </c>
      <c r="F131" s="15">
        <f t="shared" si="12"/>
        <v>-2995.0603204678805</v>
      </c>
      <c r="G131" s="16">
        <f t="shared" si="13"/>
        <v>-0.62195873401818991</v>
      </c>
      <c r="H131" s="17">
        <v>4801.3860000000004</v>
      </c>
      <c r="I131" s="17">
        <f t="shared" si="14"/>
        <v>-2980.9173204678805</v>
      </c>
      <c r="J131" s="16">
        <f t="shared" si="15"/>
        <v>-0.62084517272051865</v>
      </c>
      <c r="K131" s="16"/>
      <c r="L131" s="39" t="s">
        <v>32</v>
      </c>
      <c r="M131" s="40" t="s">
        <v>39</v>
      </c>
    </row>
    <row r="132" spans="1:13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1822.9083103328601</v>
      </c>
      <c r="E132" s="11">
        <v>5664.0169999999998</v>
      </c>
      <c r="F132" s="11">
        <f t="shared" si="12"/>
        <v>-3841.1086896671395</v>
      </c>
      <c r="G132" s="12">
        <f t="shared" si="13"/>
        <v>-0.67815980948982668</v>
      </c>
      <c r="H132" s="13">
        <v>3544.0749999999998</v>
      </c>
      <c r="I132" s="13">
        <f t="shared" si="14"/>
        <v>-1721.1666896671397</v>
      </c>
      <c r="J132" s="14">
        <f t="shared" si="15"/>
        <v>-0.48564623764089071</v>
      </c>
      <c r="K132" s="80"/>
      <c r="L132" s="38" t="s">
        <v>32</v>
      </c>
      <c r="M132" s="38" t="s">
        <v>39</v>
      </c>
    </row>
    <row r="133" spans="1:13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1250</v>
      </c>
      <c r="E133" s="15">
        <v>2762</v>
      </c>
      <c r="F133" s="15">
        <f t="shared" si="12"/>
        <v>-1512</v>
      </c>
      <c r="G133" s="16">
        <f t="shared" si="13"/>
        <v>-0.54742939898624188</v>
      </c>
      <c r="H133" s="17">
        <v>4395</v>
      </c>
      <c r="I133" s="17">
        <f t="shared" si="14"/>
        <v>-3145</v>
      </c>
      <c r="J133" s="16">
        <f t="shared" si="15"/>
        <v>-0.71558589306029574</v>
      </c>
      <c r="K133" s="16"/>
      <c r="L133" s="39" t="s">
        <v>32</v>
      </c>
      <c r="M133" s="40" t="s">
        <v>39</v>
      </c>
    </row>
    <row r="134" spans="1:13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6169.25</v>
      </c>
      <c r="E134" s="11">
        <v>11780.96</v>
      </c>
      <c r="F134" s="11">
        <f t="shared" si="12"/>
        <v>-5611.7099999999991</v>
      </c>
      <c r="G134" s="12">
        <f t="shared" si="13"/>
        <v>-0.47633724246580922</v>
      </c>
      <c r="H134" s="13">
        <v>7989.4369999999999</v>
      </c>
      <c r="I134" s="13">
        <f t="shared" si="14"/>
        <v>-1820.1869999999999</v>
      </c>
      <c r="J134" s="14">
        <f t="shared" si="15"/>
        <v>-0.2278241883627094</v>
      </c>
      <c r="K134" s="80"/>
      <c r="L134" s="38" t="s">
        <v>32</v>
      </c>
      <c r="M134" s="38" t="s">
        <v>39</v>
      </c>
    </row>
    <row r="135" spans="1:13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7384.75</v>
      </c>
      <c r="E135" s="15">
        <v>15101.21</v>
      </c>
      <c r="F135" s="15">
        <f t="shared" si="12"/>
        <v>-7716.4599999999991</v>
      </c>
      <c r="G135" s="16">
        <f t="shared" si="13"/>
        <v>-0.51098289474816916</v>
      </c>
      <c r="H135" s="17">
        <v>14831.87</v>
      </c>
      <c r="I135" s="17">
        <f t="shared" si="14"/>
        <v>-7447.1200000000008</v>
      </c>
      <c r="J135" s="16">
        <f t="shared" si="15"/>
        <v>-0.50210256697233735</v>
      </c>
      <c r="K135" s="16"/>
      <c r="L135" s="39" t="s">
        <v>32</v>
      </c>
      <c r="M135" s="40" t="s">
        <v>39</v>
      </c>
    </row>
    <row r="136" spans="1:13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5444.625</v>
      </c>
      <c r="E136" s="11">
        <v>16420.68</v>
      </c>
      <c r="F136" s="11">
        <f t="shared" si="12"/>
        <v>-10976.055</v>
      </c>
      <c r="G136" s="12">
        <f t="shared" si="13"/>
        <v>-0.66842877396063993</v>
      </c>
      <c r="H136" s="13">
        <v>11432.38</v>
      </c>
      <c r="I136" s="13">
        <f t="shared" si="14"/>
        <v>-5987.7549999999992</v>
      </c>
      <c r="J136" s="14">
        <f t="shared" si="15"/>
        <v>-0.52375402147234429</v>
      </c>
      <c r="K136" s="80"/>
      <c r="L136" s="38" t="s">
        <v>32</v>
      </c>
      <c r="M136" s="38" t="s">
        <v>39</v>
      </c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2486.1234915329801</v>
      </c>
      <c r="E137" s="15">
        <v>6531.7079999999996</v>
      </c>
      <c r="F137" s="15">
        <f t="shared" si="12"/>
        <v>-4045.5845084670195</v>
      </c>
      <c r="G137" s="16">
        <f t="shared" si="13"/>
        <v>-0.61937620427413775</v>
      </c>
      <c r="H137" s="17">
        <v>5447.299</v>
      </c>
      <c r="I137" s="17">
        <f t="shared" si="14"/>
        <v>-2961.1755084670199</v>
      </c>
      <c r="J137" s="16">
        <f t="shared" si="15"/>
        <v>-0.54360436400994694</v>
      </c>
      <c r="K137" s="16"/>
      <c r="L137" s="39" t="s">
        <v>32</v>
      </c>
      <c r="M137" s="40" t="s">
        <v>39</v>
      </c>
    </row>
    <row r="138" spans="1:13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80"/>
      <c r="L138" s="38"/>
      <c r="M138" s="38"/>
    </row>
    <row r="139" spans="1:13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16"/>
      <c r="L139" s="39"/>
      <c r="M139" s="40"/>
    </row>
    <row r="140" spans="1:13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80"/>
      <c r="L140" s="70"/>
      <c r="M140" s="38"/>
    </row>
    <row r="141" spans="1:13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16"/>
      <c r="L141" s="39"/>
      <c r="M141" s="18"/>
    </row>
    <row r="142" spans="1:13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v>63549</v>
      </c>
      <c r="E142" s="11">
        <v>151411.20000000001</v>
      </c>
      <c r="F142" s="11"/>
      <c r="G142" s="68"/>
      <c r="H142" s="83">
        <v>182746</v>
      </c>
      <c r="I142" s="83"/>
      <c r="J142" s="80"/>
      <c r="K142" s="80">
        <v>0.75256049999999997</v>
      </c>
      <c r="L142" s="70"/>
      <c r="M142" s="38"/>
    </row>
    <row r="143" spans="1:13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16"/>
      <c r="L143" s="39"/>
      <c r="M143" s="18"/>
    </row>
    <row r="144" spans="1:13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80"/>
      <c r="L144" s="70"/>
      <c r="M144" s="38"/>
    </row>
    <row r="145" spans="1:13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16"/>
      <c r="L145" s="39"/>
      <c r="M145" s="18"/>
    </row>
    <row r="146" spans="1:13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80"/>
      <c r="L146" s="70"/>
      <c r="M146" s="38"/>
    </row>
    <row r="147" spans="1:13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16"/>
      <c r="L147" s="39"/>
      <c r="M147" s="18"/>
    </row>
    <row r="148" spans="1:13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80"/>
      <c r="L148" s="70"/>
      <c r="M148" s="38"/>
    </row>
    <row r="149" spans="1:13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16"/>
      <c r="L149" s="39"/>
      <c r="M149" s="18"/>
    </row>
    <row r="150" spans="1:13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80"/>
      <c r="L150" s="70"/>
      <c r="M150" s="38"/>
    </row>
    <row r="151" spans="1:13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16"/>
      <c r="L151" s="39"/>
      <c r="M151" s="18"/>
    </row>
    <row r="152" spans="1:13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80"/>
      <c r="L152" s="70"/>
      <c r="M152" s="38"/>
    </row>
    <row r="153" spans="1:13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16"/>
      <c r="L153" s="59"/>
      <c r="M153" s="18"/>
    </row>
    <row r="154" spans="1:13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80"/>
      <c r="L154" s="70"/>
      <c r="M154" s="38"/>
    </row>
    <row r="155" spans="1:13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16"/>
      <c r="L155" s="39"/>
      <c r="M155" s="18"/>
    </row>
    <row r="156" spans="1:13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80"/>
      <c r="L156" s="70"/>
      <c r="M156" s="38"/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16"/>
      <c r="L157" s="39"/>
      <c r="M157" s="18"/>
    </row>
    <row r="158" spans="1:13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80"/>
      <c r="L158" s="70"/>
      <c r="M158" s="38"/>
    </row>
    <row r="159" spans="1:13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>
        <v>112979.02</v>
      </c>
      <c r="E159" s="15">
        <v>135891.79999999999</v>
      </c>
      <c r="F159" s="15"/>
      <c r="G159" s="84"/>
      <c r="H159" s="85">
        <v>160367</v>
      </c>
      <c r="I159" s="85"/>
      <c r="J159" s="84"/>
      <c r="K159" s="16">
        <v>0.94821529999999998</v>
      </c>
      <c r="L159" s="39"/>
      <c r="M159" s="18"/>
    </row>
    <row r="160" spans="1:13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80"/>
      <c r="L160" s="70"/>
      <c r="M160" s="38"/>
    </row>
    <row r="161" spans="1:13" ht="15.6">
      <c r="A161" s="27" t="str">
        <v>Altamont</v>
      </c>
      <c r="B161" s="28" t="str">
        <v>NY</v>
      </c>
      <c r="C161" s="28" t="s">
        <v>13</v>
      </c>
      <c r="D161" s="82"/>
      <c r="E161" s="15"/>
      <c r="F161" s="15"/>
      <c r="G161" s="84"/>
      <c r="H161" s="85"/>
      <c r="I161" s="85"/>
      <c r="J161" s="84"/>
      <c r="K161" s="19">
        <v>0</v>
      </c>
      <c r="L161" s="39"/>
      <c r="M161" s="18"/>
    </row>
    <row r="162" spans="1:13" ht="14.4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9"/>
      <c r="L162" s="18"/>
      <c r="M162" s="18"/>
    </row>
    <row r="163" spans="1:13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9"/>
      <c r="L163" s="18"/>
      <c r="M163" s="18"/>
    </row>
    <row r="164" spans="1:13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9"/>
      <c r="L164" s="18"/>
      <c r="M164" s="18"/>
    </row>
    <row r="165" spans="1:13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9"/>
      <c r="L165" s="18"/>
      <c r="M165" s="18"/>
    </row>
    <row r="166" spans="1:13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9"/>
      <c r="L166" s="18"/>
      <c r="M166" s="18"/>
    </row>
    <row r="167" spans="1:13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9"/>
      <c r="L167" s="18"/>
      <c r="M167" s="18"/>
    </row>
    <row r="168" spans="1:13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9"/>
      <c r="L168" s="18"/>
      <c r="M168" s="18"/>
    </row>
    <row r="169" spans="1:13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9"/>
      <c r="L169" s="18"/>
      <c r="M169" s="18"/>
    </row>
    <row r="170" spans="1:13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9"/>
      <c r="L170" s="18"/>
      <c r="M170" s="18"/>
    </row>
    <row r="171" spans="1:13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9"/>
      <c r="L171" s="18"/>
      <c r="M171" s="18"/>
    </row>
    <row r="172" spans="1:13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9"/>
      <c r="L172" s="18"/>
      <c r="M172" s="18"/>
    </row>
    <row r="173" spans="1:13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9"/>
      <c r="L173" s="18"/>
      <c r="M173" s="18"/>
    </row>
    <row r="174" spans="1:13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9"/>
      <c r="L174" s="18"/>
      <c r="M174" s="18"/>
    </row>
    <row r="175" spans="1:13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9"/>
      <c r="L175" s="18"/>
      <c r="M175" s="18"/>
    </row>
    <row r="176" spans="1:13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9"/>
      <c r="L176" s="18"/>
      <c r="M176" s="18"/>
    </row>
    <row r="177" spans="1:13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9"/>
      <c r="L177" s="18"/>
      <c r="M177" s="18"/>
    </row>
    <row r="178" spans="1:13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9"/>
      <c r="L178" s="18"/>
      <c r="M178" s="18"/>
    </row>
    <row r="179" spans="1:13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9"/>
      <c r="L179" s="18"/>
      <c r="M179" s="18"/>
    </row>
    <row r="180" spans="1:13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9"/>
      <c r="L180" s="18"/>
      <c r="M180" s="18"/>
    </row>
    <row r="181" spans="1:13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9"/>
      <c r="L181" s="18"/>
      <c r="M181" s="18"/>
    </row>
    <row r="182" spans="1:13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9"/>
      <c r="L182" s="18"/>
      <c r="M182" s="18"/>
    </row>
    <row r="183" spans="1:13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9"/>
      <c r="L183" s="18"/>
      <c r="M183" s="18"/>
    </row>
    <row r="184" spans="1:13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9"/>
      <c r="L184" s="18"/>
      <c r="M184" s="18"/>
    </row>
    <row r="185" spans="1:13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9"/>
      <c r="L185" s="18"/>
      <c r="M185" s="18"/>
    </row>
    <row r="186" spans="1:13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9"/>
      <c r="L186" s="18"/>
      <c r="M186" s="18"/>
    </row>
    <row r="187" spans="1:13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9"/>
      <c r="L187" s="18"/>
      <c r="M187" s="18"/>
    </row>
    <row r="188" spans="1:13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9"/>
      <c r="L188" s="18"/>
      <c r="M188" s="18"/>
    </row>
    <row r="189" spans="1:13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9"/>
      <c r="L189" s="18"/>
      <c r="M189" s="18"/>
    </row>
    <row r="190" spans="1:13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9"/>
      <c r="L190" s="18"/>
      <c r="M190" s="18"/>
    </row>
    <row r="191" spans="1:13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9"/>
      <c r="L191" s="18"/>
      <c r="M191" s="18"/>
    </row>
    <row r="192" spans="1:13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9"/>
      <c r="L192" s="18"/>
      <c r="M192" s="18"/>
    </row>
    <row r="193" spans="1:13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9"/>
      <c r="L193" s="18"/>
      <c r="M193" s="18"/>
    </row>
    <row r="194" spans="1:13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9"/>
      <c r="L194" s="18"/>
      <c r="M194" s="18"/>
    </row>
    <row r="195" spans="1:13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9"/>
      <c r="L195" s="18"/>
      <c r="M195" s="18"/>
    </row>
    <row r="196" spans="1:13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9"/>
      <c r="L196" s="18"/>
      <c r="M196" s="18"/>
    </row>
    <row r="197" spans="1:13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9"/>
      <c r="L197" s="18"/>
      <c r="M197" s="18"/>
    </row>
    <row r="198" spans="1:13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9"/>
      <c r="L198" s="18"/>
      <c r="M198" s="18"/>
    </row>
    <row r="199" spans="1:13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9"/>
      <c r="L199" s="18"/>
      <c r="M199" s="18"/>
    </row>
    <row r="200" spans="1:13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9"/>
      <c r="L200" s="18"/>
      <c r="M200" s="18"/>
    </row>
    <row r="201" spans="1:13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9"/>
      <c r="L201" s="18"/>
      <c r="M201" s="18"/>
    </row>
    <row r="202" spans="1:13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9"/>
      <c r="L202" s="18"/>
      <c r="M202" s="18"/>
    </row>
    <row r="203" spans="1:13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9"/>
      <c r="L203" s="18"/>
      <c r="M203" s="18"/>
    </row>
    <row r="204" spans="1:13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9"/>
      <c r="L204" s="18"/>
      <c r="M204" s="18"/>
    </row>
    <row r="205" spans="1:13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9"/>
      <c r="L205" s="18"/>
      <c r="M205" s="18"/>
    </row>
    <row r="206" spans="1:13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9"/>
      <c r="L206" s="18"/>
      <c r="M206" s="18"/>
    </row>
    <row r="207" spans="1:13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9"/>
      <c r="L207" s="18"/>
      <c r="M207" s="18"/>
    </row>
    <row r="208" spans="1:13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9"/>
      <c r="L208" s="18"/>
      <c r="M208" s="18"/>
    </row>
    <row r="209" spans="1:13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9"/>
      <c r="L209" s="18"/>
      <c r="M209" s="18"/>
    </row>
    <row r="210" spans="1:13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9"/>
      <c r="L210" s="18"/>
      <c r="M210" s="18"/>
    </row>
    <row r="211" spans="1:13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9"/>
      <c r="L211" s="18"/>
      <c r="M211" s="18"/>
    </row>
    <row r="212" spans="1:13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9"/>
      <c r="L212" s="18"/>
      <c r="M212" s="18"/>
    </row>
    <row r="213" spans="1:13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9"/>
      <c r="L213" s="18"/>
      <c r="M213" s="18"/>
    </row>
    <row r="214" spans="1:13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9"/>
      <c r="L214" s="18"/>
      <c r="M214" s="18"/>
    </row>
    <row r="215" spans="1:13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9"/>
      <c r="L215" s="18"/>
      <c r="M215" s="18"/>
    </row>
    <row r="216" spans="1:13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9"/>
      <c r="L216" s="18"/>
      <c r="M216" s="18"/>
    </row>
    <row r="217" spans="1:13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9"/>
      <c r="L217" s="18"/>
      <c r="M217" s="18"/>
    </row>
    <row r="218" spans="1:13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9"/>
      <c r="L218" s="18"/>
      <c r="M218" s="18"/>
    </row>
    <row r="219" spans="1:13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9"/>
      <c r="L219" s="18"/>
      <c r="M219" s="18"/>
    </row>
    <row r="220" spans="1:13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9"/>
      <c r="L220" s="18"/>
      <c r="M220" s="18"/>
    </row>
    <row r="221" spans="1:13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9"/>
      <c r="L221" s="18"/>
      <c r="M221" s="18"/>
    </row>
    <row r="222" spans="1:13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9"/>
      <c r="L222" s="18"/>
      <c r="M222" s="18"/>
    </row>
    <row r="223" spans="1:13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9"/>
      <c r="L223" s="18"/>
      <c r="M223" s="18"/>
    </row>
    <row r="224" spans="1:13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9"/>
      <c r="L224" s="18"/>
      <c r="M224" s="18"/>
    </row>
    <row r="225" spans="1:13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9"/>
      <c r="L225" s="18"/>
      <c r="M225" s="18"/>
    </row>
    <row r="226" spans="1:13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9"/>
      <c r="L226" s="18"/>
      <c r="M226" s="18"/>
    </row>
    <row r="227" spans="1:13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9"/>
      <c r="L227" s="18"/>
      <c r="M227" s="18"/>
    </row>
    <row r="228" spans="1:13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9"/>
      <c r="L228" s="18"/>
      <c r="M228" s="18"/>
    </row>
    <row r="229" spans="1:13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9"/>
      <c r="L229" s="18"/>
      <c r="M229" s="18"/>
    </row>
    <row r="230" spans="1:13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9"/>
      <c r="L230" s="18"/>
      <c r="M230" s="18"/>
    </row>
    <row r="231" spans="1:13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9"/>
      <c r="L231" s="18"/>
      <c r="M231" s="18"/>
    </row>
    <row r="232" spans="1:13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9"/>
      <c r="L232" s="18"/>
      <c r="M232" s="18"/>
    </row>
    <row r="233" spans="1:13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9"/>
      <c r="L233" s="18"/>
      <c r="M233" s="18"/>
    </row>
    <row r="234" spans="1:13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9"/>
      <c r="L234" s="18"/>
      <c r="M234" s="18"/>
    </row>
    <row r="235" spans="1:13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9"/>
      <c r="L235" s="18"/>
      <c r="M235" s="18"/>
    </row>
    <row r="236" spans="1:13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9"/>
      <c r="L236" s="18"/>
      <c r="M236" s="18"/>
    </row>
    <row r="237" spans="1:13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9"/>
      <c r="L237" s="18"/>
      <c r="M237" s="18"/>
    </row>
    <row r="238" spans="1:13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9"/>
      <c r="L238" s="18"/>
      <c r="M238" s="18"/>
    </row>
    <row r="239" spans="1:13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9"/>
      <c r="L239" s="18"/>
      <c r="M239" s="18"/>
    </row>
    <row r="240" spans="1:13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9"/>
      <c r="L240" s="18"/>
      <c r="M240" s="18"/>
    </row>
    <row r="241" spans="1:13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9"/>
      <c r="L241" s="18"/>
      <c r="M241" s="18"/>
    </row>
    <row r="242" spans="1:13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9"/>
      <c r="L242" s="18"/>
      <c r="M242" s="18"/>
    </row>
    <row r="243" spans="1:13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9"/>
      <c r="L243" s="18"/>
      <c r="M243" s="18"/>
    </row>
    <row r="244" spans="1:13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9"/>
      <c r="L244" s="18"/>
      <c r="M244" s="18"/>
    </row>
    <row r="245" spans="1:13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9"/>
      <c r="L245" s="18"/>
      <c r="M245" s="18"/>
    </row>
    <row r="246" spans="1:13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9"/>
      <c r="L246" s="18"/>
      <c r="M246" s="18"/>
    </row>
    <row r="247" spans="1:13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9"/>
      <c r="L247" s="18"/>
      <c r="M247" s="18"/>
    </row>
    <row r="248" spans="1:13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9"/>
      <c r="L248" s="18"/>
      <c r="M248" s="18"/>
    </row>
    <row r="249" spans="1:13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9"/>
      <c r="L249" s="18"/>
      <c r="M249" s="18"/>
    </row>
    <row r="250" spans="1:13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9"/>
      <c r="L250" s="18"/>
      <c r="M250" s="18"/>
    </row>
    <row r="251" spans="1:13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9"/>
      <c r="L251" s="18"/>
      <c r="M251" s="18"/>
    </row>
    <row r="252" spans="1:13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9"/>
      <c r="L252" s="18"/>
      <c r="M252" s="18"/>
    </row>
    <row r="253" spans="1:13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9"/>
      <c r="L253" s="18"/>
      <c r="M253" s="18"/>
    </row>
    <row r="254" spans="1:13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9"/>
      <c r="L254" s="18"/>
      <c r="M254" s="18"/>
    </row>
    <row r="255" spans="1:13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9"/>
      <c r="L255" s="18"/>
      <c r="M255" s="18"/>
    </row>
    <row r="256" spans="1:13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9"/>
      <c r="L256" s="18"/>
      <c r="M256" s="18"/>
    </row>
    <row r="257" spans="1:13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9"/>
      <c r="L257" s="18"/>
      <c r="M257" s="18"/>
    </row>
    <row r="258" spans="1:13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9"/>
      <c r="L258" s="18"/>
      <c r="M258" s="18"/>
    </row>
    <row r="259" spans="1:13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9"/>
      <c r="L259" s="18"/>
      <c r="M259" s="18"/>
    </row>
    <row r="260" spans="1:13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9"/>
      <c r="L260" s="18"/>
      <c r="M260" s="18"/>
    </row>
    <row r="261" spans="1:13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9"/>
      <c r="L261" s="18"/>
      <c r="M261" s="18"/>
    </row>
    <row r="262" spans="1:13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9"/>
      <c r="L262" s="18"/>
      <c r="M262" s="18"/>
    </row>
    <row r="263" spans="1:13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9"/>
      <c r="L263" s="18"/>
      <c r="M263" s="18"/>
    </row>
    <row r="264" spans="1:13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9"/>
      <c r="L264" s="18"/>
      <c r="M264" s="18"/>
    </row>
    <row r="265" spans="1:13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9"/>
      <c r="L265" s="18"/>
      <c r="M265" s="18"/>
    </row>
    <row r="266" spans="1:13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9"/>
      <c r="L266" s="18"/>
      <c r="M266" s="18"/>
    </row>
    <row r="267" spans="1:13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9"/>
      <c r="L267" s="18"/>
      <c r="M267" s="18"/>
    </row>
    <row r="268" spans="1:13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9"/>
      <c r="L268" s="18"/>
      <c r="M268" s="18"/>
    </row>
    <row r="269" spans="1:13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9"/>
      <c r="L269" s="18"/>
      <c r="M269" s="18"/>
    </row>
    <row r="270" spans="1:13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9"/>
      <c r="L270" s="18"/>
      <c r="M270" s="18"/>
    </row>
    <row r="271" spans="1:13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9"/>
      <c r="L271" s="18"/>
      <c r="M271" s="18"/>
    </row>
    <row r="272" spans="1:13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9"/>
      <c r="L272" s="18"/>
      <c r="M272" s="18"/>
    </row>
    <row r="273" spans="1:13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9"/>
      <c r="L273" s="18"/>
      <c r="M273" s="18"/>
    </row>
    <row r="274" spans="1:13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9"/>
      <c r="L274" s="18"/>
      <c r="M274" s="18"/>
    </row>
    <row r="275" spans="1:13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9"/>
      <c r="L275" s="18"/>
      <c r="M275" s="18"/>
    </row>
    <row r="276" spans="1:13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9"/>
      <c r="L276" s="18"/>
      <c r="M276" s="18"/>
    </row>
    <row r="277" spans="1:13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9"/>
      <c r="L277" s="18"/>
      <c r="M277" s="18"/>
    </row>
    <row r="278" spans="1:13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9"/>
      <c r="L278" s="18"/>
      <c r="M278" s="18"/>
    </row>
    <row r="279" spans="1:13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9"/>
      <c r="L279" s="18"/>
      <c r="M279" s="18"/>
    </row>
    <row r="280" spans="1:13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9"/>
      <c r="L280" s="18"/>
      <c r="M280" s="18"/>
    </row>
    <row r="281" spans="1:13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9"/>
      <c r="L281" s="18"/>
      <c r="M281" s="18"/>
    </row>
    <row r="282" spans="1:13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9"/>
      <c r="L282" s="18"/>
      <c r="M282" s="18"/>
    </row>
    <row r="283" spans="1:13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9"/>
      <c r="L283" s="18"/>
      <c r="M283" s="18"/>
    </row>
    <row r="284" spans="1:13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9"/>
      <c r="L284" s="18"/>
      <c r="M284" s="18"/>
    </row>
    <row r="285" spans="1:13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9"/>
      <c r="L285" s="18"/>
      <c r="M285" s="18"/>
    </row>
    <row r="286" spans="1:13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9"/>
      <c r="L286" s="18"/>
      <c r="M286" s="18"/>
    </row>
    <row r="287" spans="1:13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9"/>
      <c r="L287" s="18"/>
      <c r="M287" s="18"/>
    </row>
    <row r="288" spans="1:13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9"/>
      <c r="L288" s="18"/>
      <c r="M288" s="18"/>
    </row>
    <row r="289" spans="1:13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9"/>
      <c r="L289" s="18"/>
      <c r="M289" s="18"/>
    </row>
    <row r="290" spans="1:13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9"/>
      <c r="L290" s="18"/>
      <c r="M290" s="18"/>
    </row>
    <row r="291" spans="1:13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9"/>
      <c r="L291" s="18"/>
      <c r="M291" s="18"/>
    </row>
    <row r="292" spans="1:13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9"/>
      <c r="L292" s="18"/>
      <c r="M292" s="18"/>
    </row>
    <row r="293" spans="1:13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9"/>
      <c r="L293" s="18"/>
      <c r="M293" s="18"/>
    </row>
    <row r="294" spans="1:13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9"/>
      <c r="L294" s="18"/>
      <c r="M294" s="18"/>
    </row>
    <row r="295" spans="1:13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9"/>
      <c r="L295" s="18"/>
      <c r="M295" s="18"/>
    </row>
    <row r="296" spans="1:13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9"/>
      <c r="L296" s="18"/>
      <c r="M296" s="18"/>
    </row>
    <row r="297" spans="1:13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9"/>
      <c r="L297" s="18"/>
      <c r="M297" s="18"/>
    </row>
    <row r="298" spans="1:13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9"/>
      <c r="L298" s="18"/>
      <c r="M298" s="18"/>
    </row>
    <row r="299" spans="1:13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9"/>
      <c r="L299" s="18"/>
      <c r="M299" s="18"/>
    </row>
    <row r="300" spans="1:13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9"/>
      <c r="L300" s="18"/>
      <c r="M300" s="18"/>
    </row>
    <row r="301" spans="1:13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9"/>
      <c r="L301" s="18"/>
      <c r="M301" s="18"/>
    </row>
    <row r="302" spans="1:13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9"/>
      <c r="L302" s="18"/>
      <c r="M302" s="18"/>
    </row>
    <row r="303" spans="1:13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9"/>
      <c r="L303" s="18"/>
      <c r="M303" s="18"/>
    </row>
    <row r="304" spans="1:13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9"/>
      <c r="L304" s="18"/>
      <c r="M304" s="18"/>
    </row>
    <row r="305" spans="1:13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9"/>
      <c r="L305" s="18"/>
      <c r="M305" s="18"/>
    </row>
    <row r="306" spans="1:13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9"/>
      <c r="L306" s="18"/>
      <c r="M306" s="18"/>
    </row>
    <row r="307" spans="1:13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9"/>
      <c r="L307" s="18"/>
      <c r="M307" s="18"/>
    </row>
    <row r="308" spans="1:13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9"/>
      <c r="L308" s="18"/>
      <c r="M308" s="18"/>
    </row>
    <row r="309" spans="1:13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9"/>
      <c r="L309" s="18"/>
      <c r="M309" s="18"/>
    </row>
    <row r="310" spans="1:13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9"/>
      <c r="L310" s="18"/>
      <c r="M310" s="18"/>
    </row>
    <row r="311" spans="1:13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9"/>
      <c r="L311" s="18"/>
      <c r="M311" s="18"/>
    </row>
    <row r="312" spans="1:13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9"/>
      <c r="L312" s="18"/>
      <c r="M312" s="18"/>
    </row>
    <row r="313" spans="1:13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9"/>
      <c r="L313" s="18"/>
      <c r="M313" s="18"/>
    </row>
    <row r="314" spans="1:13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9"/>
      <c r="L314" s="18"/>
      <c r="M314" s="18"/>
    </row>
    <row r="315" spans="1:13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9"/>
      <c r="L315" s="18"/>
      <c r="M315" s="18"/>
    </row>
    <row r="316" spans="1:13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9"/>
      <c r="L316" s="18"/>
      <c r="M316" s="18"/>
    </row>
    <row r="317" spans="1:13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9"/>
      <c r="L317" s="18"/>
      <c r="M317" s="18"/>
    </row>
    <row r="318" spans="1:13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9"/>
      <c r="L318" s="18"/>
      <c r="M318" s="18"/>
    </row>
    <row r="319" spans="1:13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9"/>
      <c r="L319" s="18"/>
      <c r="M319" s="18"/>
    </row>
    <row r="320" spans="1:13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9"/>
      <c r="L320" s="18"/>
      <c r="M320" s="18"/>
    </row>
    <row r="321" spans="1:13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9"/>
      <c r="L321" s="18"/>
      <c r="M321" s="18"/>
    </row>
    <row r="322" spans="1:13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9"/>
      <c r="L322" s="18"/>
      <c r="M322" s="18"/>
    </row>
    <row r="323" spans="1:13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9"/>
      <c r="L323" s="18"/>
      <c r="M323" s="18"/>
    </row>
    <row r="324" spans="1:13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9"/>
      <c r="L324" s="18"/>
      <c r="M324" s="18"/>
    </row>
    <row r="325" spans="1:13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9"/>
      <c r="L325" s="18"/>
      <c r="M325" s="18"/>
    </row>
    <row r="326" spans="1:13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9"/>
      <c r="L326" s="18"/>
      <c r="M326" s="18"/>
    </row>
    <row r="327" spans="1:13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9"/>
      <c r="L327" s="18"/>
      <c r="M327" s="18"/>
    </row>
    <row r="328" spans="1:13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9"/>
      <c r="L328" s="18"/>
      <c r="M328" s="18"/>
    </row>
    <row r="329" spans="1:13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9"/>
      <c r="L329" s="18"/>
      <c r="M329" s="18"/>
    </row>
    <row r="330" spans="1:13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9"/>
      <c r="L330" s="18"/>
      <c r="M330" s="18"/>
    </row>
    <row r="331" spans="1:13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9"/>
      <c r="L331" s="18"/>
      <c r="M331" s="18"/>
    </row>
    <row r="332" spans="1:13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9"/>
      <c r="L332" s="18"/>
      <c r="M332" s="18"/>
    </row>
    <row r="333" spans="1:13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9"/>
      <c r="L333" s="18"/>
      <c r="M333" s="18"/>
    </row>
    <row r="334" spans="1:13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9"/>
      <c r="L334" s="18"/>
      <c r="M334" s="18"/>
    </row>
    <row r="335" spans="1:13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9"/>
      <c r="L335" s="18"/>
      <c r="M335" s="18"/>
    </row>
    <row r="336" spans="1:13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9"/>
      <c r="L336" s="18"/>
      <c r="M336" s="18"/>
    </row>
    <row r="337" spans="1:13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9"/>
      <c r="L337" s="18"/>
      <c r="M337" s="18"/>
    </row>
    <row r="338" spans="1:13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9"/>
      <c r="L338" s="18"/>
      <c r="M338" s="18"/>
    </row>
    <row r="339" spans="1:13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9"/>
      <c r="L339" s="18"/>
      <c r="M339" s="18"/>
    </row>
    <row r="340" spans="1:13" ht="14.4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9"/>
      <c r="L340" s="18"/>
      <c r="M340" s="18"/>
    </row>
    <row r="341" spans="1:13" ht="14.4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9"/>
      <c r="L341" s="18"/>
      <c r="M341" s="18"/>
    </row>
    <row r="342" spans="1:13">
      <c r="K342" s="19"/>
    </row>
  </sheetData>
  <mergeCells count="4">
    <mergeCell ref="E1:G1"/>
    <mergeCell ref="A1:D1"/>
    <mergeCell ref="H1:J1"/>
    <mergeCell ref="A2:B2"/>
  </mergeCells>
  <conditionalFormatting sqref="G2">
    <cfRule type="cellIs" dxfId="102" priority="16" stopIfTrue="1" operator="lessThanOrEqual">
      <formula>-0.1</formula>
    </cfRule>
    <cfRule type="expression" dxfId="101" priority="17">
      <formula>AND(ISNUMBER(G2), G2&gt;=0.1)</formula>
    </cfRule>
  </conditionalFormatting>
  <conditionalFormatting sqref="G4:G161 J4:J161">
    <cfRule type="cellIs" dxfId="100" priority="5" stopIfTrue="1" operator="lessThanOrEqual">
      <formula>-0.1</formula>
    </cfRule>
    <cfRule type="expression" dxfId="99" priority="6">
      <formula>AND(ISNUMBER(G4), G4&gt;=0.1)</formula>
    </cfRule>
  </conditionalFormatting>
  <conditionalFormatting sqref="J2:K2">
    <cfRule type="cellIs" dxfId="98" priority="3" stopIfTrue="1" operator="lessThanOrEqual">
      <formula>-0.1</formula>
    </cfRule>
    <cfRule type="expression" dxfId="97" priority="4">
      <formula>AND(ISNUMBER(J2), J2&gt;=0.1)</formula>
    </cfRule>
  </conditionalFormatting>
  <conditionalFormatting sqref="K4:K160">
    <cfRule type="expression" dxfId="96" priority="1" stopIfTrue="1">
      <formula>AND(K4&lt;&gt;"",K4&lt;0.975)</formula>
    </cfRule>
    <cfRule type="expression" dxfId="95" priority="2">
      <formula>AND(ISNUMBER(K4), K4&gt;=0.985)</formula>
    </cfRule>
  </conditionalFormatting>
  <pageMargins left="0.4" right="0.7" top="0.25" bottom="0.25" header="0.3" footer="0.3"/>
  <pageSetup fitToHeight="99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42"/>
  <sheetViews>
    <sheetView zoomScale="70" zoomScaleNormal="70" workbookViewId="0">
      <pane xSplit="2" ySplit="3" topLeftCell="C124" activePane="bottomRight" state="frozen"/>
      <selection pane="bottomRight" activeCell="K3" sqref="K3"/>
      <selection pane="bottomLeft" activeCell="K49" sqref="K49"/>
      <selection pane="topRight" activeCell="K49" sqref="K49"/>
    </sheetView>
  </sheetViews>
  <sheetFormatPr defaultRowHeight="14.45"/>
  <cols>
    <col min="1" max="1" width="22.85546875" customWidth="1"/>
    <col min="2" max="3" width="22.85546875" style="31" customWidth="1"/>
    <col min="4" max="6" width="12.85546875" customWidth="1"/>
    <col min="7" max="7" width="12.85546875" style="1" customWidth="1"/>
    <col min="8" max="9" width="12.85546875" customWidth="1"/>
    <col min="10" max="10" width="12.85546875" style="1" customWidth="1"/>
    <col min="11" max="11" width="18.5703125" style="1" customWidth="1"/>
    <col min="12" max="12" width="34.42578125" style="55" customWidth="1"/>
    <col min="13" max="23" width="22.85546875" customWidth="1"/>
  </cols>
  <sheetData>
    <row r="1" spans="1:13" ht="15.6">
      <c r="A1" s="111" t="str" cm="1">
        <f t="array" ref="A1">portfolio</f>
        <v>Generate Capital</v>
      </c>
      <c r="B1" s="111"/>
      <c r="C1" s="111"/>
      <c r="D1" s="111"/>
      <c r="E1" s="112" t="s">
        <v>134</v>
      </c>
      <c r="F1" s="112"/>
      <c r="G1" s="112"/>
      <c r="H1" s="110" t="s">
        <v>135</v>
      </c>
      <c r="I1" s="110"/>
      <c r="J1" s="110"/>
      <c r="K1" s="107" t="s">
        <v>136</v>
      </c>
      <c r="L1" s="51"/>
      <c r="M1" s="5"/>
    </row>
    <row r="2" spans="1:13" ht="15.6">
      <c r="A2" s="113" t="s">
        <v>3</v>
      </c>
      <c r="B2" s="113"/>
      <c r="C2" s="72"/>
      <c r="D2" s="6">
        <f>SUM(D4:D137)</f>
        <v>16656260.678501355</v>
      </c>
      <c r="E2" s="6">
        <f>SUM(E4:E137)</f>
        <v>6655131.5151000004</v>
      </c>
      <c r="F2" s="6">
        <f>D2-E2</f>
        <v>10001129.163401354</v>
      </c>
      <c r="G2" s="7">
        <f>IFERROR(F2/E2, 0)</f>
        <v>1.5027695757340833</v>
      </c>
      <c r="H2" s="6">
        <f>SUM(H4:H137)</f>
        <v>14015193.112000005</v>
      </c>
      <c r="I2" s="8">
        <f>D2-H2</f>
        <v>2641067.5665013492</v>
      </c>
      <c r="J2" s="7">
        <f>IFERROR(I2/H2, 0)</f>
        <v>0.188443180582366</v>
      </c>
      <c r="K2" s="108"/>
      <c r="L2" s="52" t="str">
        <f ca="1">IF(AND(TODAY()&gt;DATE(2024, 2,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5.6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  <c r="L3" s="53" t="s">
        <v>30</v>
      </c>
      <c r="M3" s="22" t="s">
        <v>31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10378.0129699468</v>
      </c>
      <c r="E4" s="11"/>
      <c r="F4" s="11" t="str">
        <f>IF(AND(ISNUMBER(D4),ISNUMBER(E4)), D4-E4, "")</f>
        <v/>
      </c>
      <c r="G4" s="12" t="str">
        <f>IFERROR(F4/E4, "")</f>
        <v/>
      </c>
      <c r="H4" s="13">
        <v>9682.6740000000009</v>
      </c>
      <c r="I4" s="13">
        <f>IF(AND(ISNUMBER(D4),ISNUMBER(H4)), D4-H4, "")</f>
        <v>695.3389699467989</v>
      </c>
      <c r="J4" s="14">
        <f>IFERROR(I4/H4, "")</f>
        <v>7.1812700700942617E-2</v>
      </c>
      <c r="K4" s="14">
        <v>1</v>
      </c>
      <c r="L4" s="54"/>
      <c r="M4" s="38"/>
    </row>
    <row r="5" spans="1:13" ht="57.95">
      <c r="A5" s="27" t="str">
        <v>Fulton</v>
      </c>
      <c r="B5" s="28" t="str">
        <v>AZ</v>
      </c>
      <c r="C5" s="28" t="str">
        <f>Sites[[#This Row],[SOL'#]]</f>
        <v>SOL-10749</v>
      </c>
      <c r="D5" s="10">
        <v>30613.5</v>
      </c>
      <c r="E5" s="15"/>
      <c r="F5" s="15" t="str">
        <f t="shared" ref="F5:F15" si="0">IF(AND(ISNUMBER(D5),ISNUMBER(E5)), D5-E5, "")</f>
        <v/>
      </c>
      <c r="G5" s="16" t="str">
        <f>IFERROR(F5/E5, "")</f>
        <v/>
      </c>
      <c r="H5" s="17">
        <v>37732.370000000003</v>
      </c>
      <c r="I5" s="17">
        <f t="shared" ref="I5:I15" si="1">IF(AND(ISNUMBER(D5),ISNUMBER(H5)), D5-H5, "")</f>
        <v>-7118.8700000000026</v>
      </c>
      <c r="J5" s="16">
        <f t="shared" ref="J5:J15" si="2">IFERROR(I5/H5, "")</f>
        <v>-0.18866744919547862</v>
      </c>
      <c r="K5" s="16">
        <v>1</v>
      </c>
      <c r="L5" s="59" t="s">
        <v>137</v>
      </c>
      <c r="M5" s="59" t="s">
        <v>138</v>
      </c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16543.201664902899</v>
      </c>
      <c r="E6" s="11">
        <v>0</v>
      </c>
      <c r="F6" s="11">
        <f t="shared" si="0"/>
        <v>16543.201664902899</v>
      </c>
      <c r="G6" s="12" t="str">
        <f t="shared" ref="G6:G15" si="3">IFERROR(F6/E6, "")</f>
        <v/>
      </c>
      <c r="H6" s="13">
        <v>15108</v>
      </c>
      <c r="I6" s="13">
        <f t="shared" si="1"/>
        <v>1435.2016649028992</v>
      </c>
      <c r="J6" s="14">
        <f t="shared" si="2"/>
        <v>9.4996138794208318E-2</v>
      </c>
      <c r="K6" s="14">
        <v>1</v>
      </c>
      <c r="L6" s="54"/>
      <c r="M6" s="57"/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v>9896.6206336668693</v>
      </c>
      <c r="E7" s="15"/>
      <c r="F7" s="15" t="str">
        <f t="shared" si="0"/>
        <v/>
      </c>
      <c r="G7" s="16" t="str">
        <f t="shared" si="3"/>
        <v/>
      </c>
      <c r="H7" s="17">
        <v>9896.2000000000007</v>
      </c>
      <c r="I7" s="17">
        <f t="shared" si="1"/>
        <v>0.42063366686852532</v>
      </c>
      <c r="J7" s="16">
        <f t="shared" si="2"/>
        <v>4.2504564061814162E-5</v>
      </c>
      <c r="K7" s="16">
        <v>1</v>
      </c>
      <c r="L7" s="59"/>
      <c r="M7" s="60"/>
    </row>
    <row r="8" spans="1:13" ht="29.1">
      <c r="A8" s="25" t="str">
        <v>Parking 3</v>
      </c>
      <c r="B8" s="26" t="str">
        <v>AZ</v>
      </c>
      <c r="C8" s="26" t="str">
        <f>Sites[[#This Row],[SOL'#]]</f>
        <v>SOL-10751</v>
      </c>
      <c r="D8" s="21">
        <v>24635.156915748099</v>
      </c>
      <c r="E8" s="11"/>
      <c r="F8" s="11" t="str">
        <f t="shared" si="0"/>
        <v/>
      </c>
      <c r="G8" s="12" t="str">
        <f t="shared" si="3"/>
        <v/>
      </c>
      <c r="H8" s="13">
        <v>23896.19</v>
      </c>
      <c r="I8" s="13">
        <f t="shared" si="1"/>
        <v>738.96691574810029</v>
      </c>
      <c r="J8" s="14">
        <f t="shared" si="2"/>
        <v>3.0924047546830702E-2</v>
      </c>
      <c r="K8" s="14">
        <v>1</v>
      </c>
      <c r="L8" s="54" t="s">
        <v>139</v>
      </c>
      <c r="M8" s="57" t="s">
        <v>140</v>
      </c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v>23621.373316974801</v>
      </c>
      <c r="E9" s="15"/>
      <c r="F9" s="15" t="str">
        <f t="shared" si="0"/>
        <v/>
      </c>
      <c r="G9" s="16" t="str">
        <f t="shared" si="3"/>
        <v/>
      </c>
      <c r="H9" s="17">
        <v>23259.97</v>
      </c>
      <c r="I9" s="17">
        <f t="shared" si="1"/>
        <v>361.40331697479996</v>
      </c>
      <c r="J9" s="16">
        <f t="shared" si="2"/>
        <v>1.5537565911512351E-2</v>
      </c>
      <c r="K9" s="16">
        <v>1</v>
      </c>
      <c r="L9" s="59"/>
      <c r="M9" s="60"/>
    </row>
    <row r="10" spans="1:13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10153.233842162101</v>
      </c>
      <c r="E10" s="11"/>
      <c r="F10" s="11" t="str">
        <f t="shared" si="0"/>
        <v/>
      </c>
      <c r="G10" s="12" t="str">
        <f t="shared" si="3"/>
        <v/>
      </c>
      <c r="H10" s="13">
        <v>10204</v>
      </c>
      <c r="I10" s="13">
        <f t="shared" si="1"/>
        <v>-50.7661578378993</v>
      </c>
      <c r="J10" s="14">
        <f t="shared" si="2"/>
        <v>-4.9751232691002843E-3</v>
      </c>
      <c r="K10" s="14">
        <v>1</v>
      </c>
      <c r="L10" s="54"/>
      <c r="M10" s="57"/>
    </row>
    <row r="11" spans="1:13" s="50" customFormat="1" ht="29.1">
      <c r="A11" s="44" t="str">
        <v>Starshine</v>
      </c>
      <c r="B11" s="45" t="str">
        <v>AZ</v>
      </c>
      <c r="C11" s="45" t="str">
        <f>Sites[[#This Row],[SOL'#]]</f>
        <v>SOL-10757</v>
      </c>
      <c r="D11" s="46">
        <v>3146.59376314888</v>
      </c>
      <c r="E11" s="47">
        <v>0</v>
      </c>
      <c r="F11" s="47">
        <f t="shared" si="0"/>
        <v>3146.59376314888</v>
      </c>
      <c r="G11" s="48" t="str">
        <f t="shared" si="3"/>
        <v/>
      </c>
      <c r="H11" s="49">
        <v>6328</v>
      </c>
      <c r="I11" s="49">
        <f t="shared" si="1"/>
        <v>-3181.40623685112</v>
      </c>
      <c r="J11" s="48">
        <f t="shared" si="2"/>
        <v>-0.502750669540316</v>
      </c>
      <c r="K11" s="16">
        <v>1</v>
      </c>
      <c r="L11" s="63" t="s">
        <v>141</v>
      </c>
      <c r="M11" s="64" t="s">
        <v>142</v>
      </c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64193</v>
      </c>
      <c r="E12" s="11">
        <v>78368.52</v>
      </c>
      <c r="F12" s="11">
        <f t="shared" si="0"/>
        <v>-14175.520000000004</v>
      </c>
      <c r="G12" s="12">
        <f t="shared" si="3"/>
        <v>-0.18088283407674413</v>
      </c>
      <c r="H12" s="13">
        <v>59338</v>
      </c>
      <c r="I12" s="13">
        <f t="shared" si="1"/>
        <v>4855</v>
      </c>
      <c r="J12" s="14">
        <f t="shared" si="2"/>
        <v>8.1819407462334418E-2</v>
      </c>
      <c r="K12" s="14">
        <v>1</v>
      </c>
      <c r="L12" s="54"/>
      <c r="M12" s="57"/>
    </row>
    <row r="13" spans="1:13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v>84185.890625</v>
      </c>
      <c r="E13" s="15">
        <v>88452.35</v>
      </c>
      <c r="F13" s="15">
        <f t="shared" si="0"/>
        <v>-4266.4593750000058</v>
      </c>
      <c r="G13" s="16">
        <f t="shared" si="3"/>
        <v>-4.8234550862696193E-2</v>
      </c>
      <c r="H13" s="17">
        <v>62296</v>
      </c>
      <c r="I13" s="17">
        <f t="shared" si="1"/>
        <v>21889.890625</v>
      </c>
      <c r="J13" s="16">
        <f t="shared" si="2"/>
        <v>0.35138517119879287</v>
      </c>
      <c r="K13" s="16">
        <v>0.9976218</v>
      </c>
      <c r="L13" s="59"/>
      <c r="M13" s="60"/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v>16957.75</v>
      </c>
      <c r="E14" s="11">
        <v>0</v>
      </c>
      <c r="F14" s="11">
        <f t="shared" si="0"/>
        <v>16957.75</v>
      </c>
      <c r="G14" s="12" t="str">
        <f t="shared" si="3"/>
        <v/>
      </c>
      <c r="H14" s="13">
        <v>13354</v>
      </c>
      <c r="I14" s="13">
        <f t="shared" si="1"/>
        <v>3603.75</v>
      </c>
      <c r="J14" s="14">
        <f t="shared" si="2"/>
        <v>0.26986296240826718</v>
      </c>
      <c r="K14" s="14">
        <v>1</v>
      </c>
      <c r="L14" s="54"/>
      <c r="M14" s="57"/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11714.483226419699</v>
      </c>
      <c r="E15" s="15">
        <v>7871.7479999999996</v>
      </c>
      <c r="F15" s="15">
        <f t="shared" si="0"/>
        <v>3842.7352264196998</v>
      </c>
      <c r="G15" s="16">
        <f t="shared" si="3"/>
        <v>0.48816796808278162</v>
      </c>
      <c r="H15" s="17">
        <v>10665</v>
      </c>
      <c r="I15" s="17">
        <f t="shared" si="1"/>
        <v>1049.4832264196993</v>
      </c>
      <c r="J15" s="16">
        <f t="shared" si="2"/>
        <v>9.8404428168748184E-2</v>
      </c>
      <c r="K15" s="16">
        <v>1</v>
      </c>
      <c r="L15" s="59"/>
      <c r="M15" s="60"/>
    </row>
    <row r="16" spans="1:13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7699.9960849860199</v>
      </c>
      <c r="E16" s="11"/>
      <c r="F16" s="11" t="str">
        <f t="shared" ref="F16:F17" si="4">IF(AND(ISNUMBER(D16),ISNUMBER(E16)), D16-E16, "")</f>
        <v/>
      </c>
      <c r="G16" s="12" t="str">
        <f t="shared" ref="G16:G17" si="5">IFERROR(F16/E16, "")</f>
        <v/>
      </c>
      <c r="H16" s="13">
        <v>8752</v>
      </c>
      <c r="I16" s="13">
        <f t="shared" ref="I16:I17" si="6">IF(AND(ISNUMBER(D16),ISNUMBER(H16)), D16-H16, "")</f>
        <v>-1052.0039150139801</v>
      </c>
      <c r="J16" s="14">
        <f t="shared" ref="J16:J17" si="7">IFERROR(I16/H16, "")</f>
        <v>-0.12020154422006171</v>
      </c>
      <c r="K16" s="14">
        <v>1</v>
      </c>
      <c r="L16" s="54"/>
      <c r="M16" s="57"/>
    </row>
    <row r="17" spans="1:13" ht="43.5">
      <c r="A17" s="27" t="str">
        <v>SCNM</v>
      </c>
      <c r="B17" s="28" t="str">
        <v>AZ</v>
      </c>
      <c r="C17" s="28" t="str">
        <f>Sites[[#This Row],[SOL'#]]</f>
        <v>SOL-10760</v>
      </c>
      <c r="D17" s="10">
        <v>56041</v>
      </c>
      <c r="E17" s="15"/>
      <c r="F17" s="15" t="str">
        <f t="shared" si="4"/>
        <v/>
      </c>
      <c r="G17" s="16" t="str">
        <f t="shared" si="5"/>
        <v/>
      </c>
      <c r="H17" s="17">
        <v>54018</v>
      </c>
      <c r="I17" s="17">
        <f t="shared" si="6"/>
        <v>2023</v>
      </c>
      <c r="J17" s="16">
        <f t="shared" si="7"/>
        <v>3.7450479469806362E-2</v>
      </c>
      <c r="K17" s="16">
        <v>1</v>
      </c>
      <c r="L17" s="59" t="s">
        <v>143</v>
      </c>
      <c r="M17" s="60" t="s">
        <v>144</v>
      </c>
    </row>
    <row r="18" spans="1:13" ht="15.6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25607.4300000002</v>
      </c>
      <c r="E18" s="11">
        <v>0</v>
      </c>
      <c r="F18" s="11">
        <f t="shared" ref="F18:F81" si="8">IF(AND(ISNUMBER(D18),ISNUMBER(E18)), D18-E18, "")</f>
        <v>25607.4300000002</v>
      </c>
      <c r="G18" s="12" t="str">
        <f t="shared" ref="G18:G81" si="9">IFERROR(F18/E18, "")</f>
        <v/>
      </c>
      <c r="H18" s="13">
        <v>34134</v>
      </c>
      <c r="I18" s="13">
        <f t="shared" ref="I18:I81" si="10">IF(AND(ISNUMBER(D18),ISNUMBER(H18)), D18-H18, "")</f>
        <v>-8526.5699999997996</v>
      </c>
      <c r="J18" s="14">
        <f t="shared" ref="J18:J81" si="11">IFERROR(I18/H18, "")</f>
        <v>-0.24979697662154449</v>
      </c>
      <c r="K18" s="80">
        <v>1</v>
      </c>
      <c r="L18" s="54"/>
      <c r="M18" s="57"/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v>63236</v>
      </c>
      <c r="E19" s="15">
        <v>78953.95</v>
      </c>
      <c r="F19" s="15">
        <f t="shared" si="8"/>
        <v>-15717.949999999997</v>
      </c>
      <c r="G19" s="16">
        <f t="shared" si="9"/>
        <v>-0.19907743691100949</v>
      </c>
      <c r="H19" s="17">
        <v>62537.46</v>
      </c>
      <c r="I19" s="17">
        <f t="shared" si="10"/>
        <v>698.54000000000087</v>
      </c>
      <c r="J19" s="16">
        <f t="shared" si="11"/>
        <v>1.1169945181655937E-2</v>
      </c>
      <c r="K19" s="16">
        <v>1</v>
      </c>
      <c r="L19" s="59"/>
      <c r="M19" s="60"/>
    </row>
    <row r="20" spans="1:13" ht="116.1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11878.5</v>
      </c>
      <c r="E20" s="11">
        <v>25057.18</v>
      </c>
      <c r="F20" s="11">
        <f t="shared" si="8"/>
        <v>-13178.68</v>
      </c>
      <c r="G20" s="12">
        <f t="shared" si="9"/>
        <v>-0.52594426028786956</v>
      </c>
      <c r="H20" s="13">
        <v>16306.91</v>
      </c>
      <c r="I20" s="13">
        <f t="shared" si="10"/>
        <v>-4428.41</v>
      </c>
      <c r="J20" s="14">
        <f t="shared" si="11"/>
        <v>-0.27156647090098612</v>
      </c>
      <c r="K20" s="80">
        <v>0.97418400000000005</v>
      </c>
      <c r="L20" s="54" t="s">
        <v>145</v>
      </c>
      <c r="M20" s="57" t="s">
        <v>146</v>
      </c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v>14883.333433014501</v>
      </c>
      <c r="E21" s="15">
        <v>23285.08</v>
      </c>
      <c r="F21" s="15">
        <f t="shared" si="8"/>
        <v>-8401.746566985501</v>
      </c>
      <c r="G21" s="16">
        <f t="shared" si="9"/>
        <v>-0.36082103076242383</v>
      </c>
      <c r="H21" s="17">
        <v>15247.28</v>
      </c>
      <c r="I21" s="17">
        <f t="shared" si="10"/>
        <v>-363.94656698549989</v>
      </c>
      <c r="J21" s="16">
        <f t="shared" si="11"/>
        <v>-2.3869606053374758E-2</v>
      </c>
      <c r="K21" s="16">
        <v>0.96036469999999996</v>
      </c>
      <c r="L21" s="59"/>
      <c r="M21" s="60"/>
    </row>
    <row r="22" spans="1:13" ht="15.6">
      <c r="A22" s="25" t="str">
        <v>K041</v>
      </c>
      <c r="B22" s="26" t="str">
        <v>NY</v>
      </c>
      <c r="C22" s="26" t="str">
        <f>Sites[[#This Row],[SOL'#]]</f>
        <v>SOL-10357</v>
      </c>
      <c r="D22" s="21">
        <v>12699.7255859375</v>
      </c>
      <c r="E22" s="11">
        <v>17589.95</v>
      </c>
      <c r="F22" s="11">
        <f t="shared" si="8"/>
        <v>-4890.2244140625007</v>
      </c>
      <c r="G22" s="12">
        <f t="shared" si="9"/>
        <v>-0.27801241129522825</v>
      </c>
      <c r="H22" s="13">
        <v>13859</v>
      </c>
      <c r="I22" s="13">
        <f t="shared" si="10"/>
        <v>-1159.2744140625</v>
      </c>
      <c r="J22" s="14">
        <f t="shared" si="11"/>
        <v>-8.3647767808824589E-2</v>
      </c>
      <c r="K22" s="80">
        <v>0.99885059999999992</v>
      </c>
      <c r="L22" s="54"/>
      <c r="M22" s="57"/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v>13738.875</v>
      </c>
      <c r="E23" s="15">
        <v>19314.28</v>
      </c>
      <c r="F23" s="15">
        <f t="shared" si="8"/>
        <v>-5575.4049999999988</v>
      </c>
      <c r="G23" s="16">
        <f t="shared" si="9"/>
        <v>-0.28866750404364022</v>
      </c>
      <c r="H23" s="17">
        <v>3061</v>
      </c>
      <c r="I23" s="17">
        <f t="shared" si="10"/>
        <v>10677.875</v>
      </c>
      <c r="J23" s="16">
        <f t="shared" si="11"/>
        <v>3.4883616465207448</v>
      </c>
      <c r="K23" s="16">
        <v>0.90844530000000001</v>
      </c>
      <c r="L23" s="59"/>
      <c r="M23" s="60"/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v>11751.8125</v>
      </c>
      <c r="E24" s="11">
        <v>16058.48</v>
      </c>
      <c r="F24" s="11">
        <f t="shared" si="8"/>
        <v>-4306.6674999999996</v>
      </c>
      <c r="G24" s="12">
        <f t="shared" si="9"/>
        <v>-0.26818649710308817</v>
      </c>
      <c r="H24" s="13">
        <v>12065.67</v>
      </c>
      <c r="I24" s="13">
        <f t="shared" si="10"/>
        <v>-313.85750000000007</v>
      </c>
      <c r="J24" s="14">
        <f t="shared" si="11"/>
        <v>-2.6012438596447612E-2</v>
      </c>
      <c r="K24" s="80">
        <v>0.96923599999999999</v>
      </c>
      <c r="L24" s="54"/>
      <c r="M24" s="57"/>
    </row>
    <row r="25" spans="1:13" ht="43.5">
      <c r="A25" s="27" t="str">
        <v>K115</v>
      </c>
      <c r="B25" s="28" t="str">
        <v>NY</v>
      </c>
      <c r="C25" s="28" t="str">
        <f>Sites[[#This Row],[SOL'#]]</f>
        <v>SOL-10361</v>
      </c>
      <c r="D25" s="10">
        <v>2969.1286536069601</v>
      </c>
      <c r="E25" s="15">
        <v>8398.1460000000006</v>
      </c>
      <c r="F25" s="15">
        <f t="shared" si="8"/>
        <v>-5429.0173463930405</v>
      </c>
      <c r="G25" s="16">
        <f t="shared" si="9"/>
        <v>-0.64645427054888549</v>
      </c>
      <c r="H25" s="17">
        <v>7525.7979999999998</v>
      </c>
      <c r="I25" s="17">
        <f t="shared" si="10"/>
        <v>-4556.6693463930396</v>
      </c>
      <c r="J25" s="16">
        <f t="shared" si="11"/>
        <v>-0.60547324634451249</v>
      </c>
      <c r="K25" s="16">
        <v>0.88307340000000001</v>
      </c>
      <c r="L25" s="59" t="s">
        <v>44</v>
      </c>
      <c r="M25" s="60" t="s">
        <v>45</v>
      </c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v>4632.078125</v>
      </c>
      <c r="E26" s="11">
        <v>5853.1670000000004</v>
      </c>
      <c r="F26" s="11">
        <f t="shared" si="8"/>
        <v>-1221.0888750000004</v>
      </c>
      <c r="G26" s="12">
        <f t="shared" si="9"/>
        <v>-0.20862020082461347</v>
      </c>
      <c r="H26" s="13">
        <v>4676</v>
      </c>
      <c r="I26" s="13">
        <f t="shared" si="10"/>
        <v>-43.921875</v>
      </c>
      <c r="J26" s="14">
        <f t="shared" si="11"/>
        <v>-9.3930442686056461E-3</v>
      </c>
      <c r="K26" s="80">
        <v>0.96651189999999998</v>
      </c>
      <c r="L26" s="54"/>
      <c r="M26" s="57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v>16586.375</v>
      </c>
      <c r="E27" s="15">
        <v>22508.54</v>
      </c>
      <c r="F27" s="15">
        <f t="shared" si="8"/>
        <v>-5922.1650000000009</v>
      </c>
      <c r="G27" s="16">
        <f t="shared" si="9"/>
        <v>-0.26310746943160246</v>
      </c>
      <c r="H27" s="17">
        <v>16499.900000000001</v>
      </c>
      <c r="I27" s="17">
        <f t="shared" si="10"/>
        <v>86.474999999998545</v>
      </c>
      <c r="J27" s="16">
        <f t="shared" si="11"/>
        <v>5.2409408541869065E-3</v>
      </c>
      <c r="K27" s="16">
        <v>0.99636219999999998</v>
      </c>
      <c r="L27" s="59"/>
      <c r="M27" s="60"/>
    </row>
    <row r="28" spans="1:13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v>9460.92431640625</v>
      </c>
      <c r="E28" s="11">
        <v>13021.06</v>
      </c>
      <c r="F28" s="11">
        <f t="shared" si="8"/>
        <v>-3560.1356835937495</v>
      </c>
      <c r="G28" s="12">
        <f t="shared" si="9"/>
        <v>-0.27341366091499075</v>
      </c>
      <c r="H28" s="13">
        <v>9232</v>
      </c>
      <c r="I28" s="13">
        <f t="shared" si="10"/>
        <v>228.92431640625</v>
      </c>
      <c r="J28" s="14">
        <f t="shared" si="11"/>
        <v>2.4796828033605937E-2</v>
      </c>
      <c r="K28" s="80">
        <v>0.97798090000000004</v>
      </c>
      <c r="L28" s="54"/>
      <c r="M28" s="57"/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v>10884.625</v>
      </c>
      <c r="E29" s="15">
        <v>14018.29</v>
      </c>
      <c r="F29" s="15">
        <f t="shared" si="8"/>
        <v>-3133.6650000000009</v>
      </c>
      <c r="G29" s="16">
        <f t="shared" si="9"/>
        <v>-0.22354117370948959</v>
      </c>
      <c r="H29" s="17">
        <v>11088.62</v>
      </c>
      <c r="I29" s="17">
        <f t="shared" si="10"/>
        <v>-203.9950000000008</v>
      </c>
      <c r="J29" s="16">
        <f t="shared" si="11"/>
        <v>-1.8396788779848239E-2</v>
      </c>
      <c r="K29" s="16">
        <v>0.99477530000000003</v>
      </c>
      <c r="L29" s="59"/>
      <c r="M29" s="60"/>
    </row>
    <row r="30" spans="1:13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v>9933.21875</v>
      </c>
      <c r="E30" s="11"/>
      <c r="F30" s="11" t="str">
        <f t="shared" si="8"/>
        <v/>
      </c>
      <c r="G30" s="12" t="str">
        <f t="shared" si="9"/>
        <v/>
      </c>
      <c r="H30" s="13">
        <v>10776.84</v>
      </c>
      <c r="I30" s="13">
        <f t="shared" si="10"/>
        <v>-843.62125000000015</v>
      </c>
      <c r="J30" s="14">
        <f t="shared" si="11"/>
        <v>-7.828094784742097E-2</v>
      </c>
      <c r="K30" s="80">
        <v>1</v>
      </c>
      <c r="L30" s="54"/>
      <c r="M30" s="57"/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v>10966.5625</v>
      </c>
      <c r="E31" s="15"/>
      <c r="F31" s="15" t="str">
        <f t="shared" si="8"/>
        <v/>
      </c>
      <c r="G31" s="16" t="str">
        <f t="shared" si="9"/>
        <v/>
      </c>
      <c r="H31" s="17">
        <v>12777</v>
      </c>
      <c r="I31" s="17">
        <f t="shared" si="10"/>
        <v>-1810.4375</v>
      </c>
      <c r="J31" s="16">
        <f t="shared" si="11"/>
        <v>-0.14169503795883229</v>
      </c>
      <c r="K31" s="16">
        <v>1</v>
      </c>
      <c r="L31" s="59"/>
      <c r="M31" s="60"/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v>8921.2469531250008</v>
      </c>
      <c r="E32" s="11">
        <v>10196.719999999999</v>
      </c>
      <c r="F32" s="11">
        <f t="shared" si="8"/>
        <v>-1275.4730468749985</v>
      </c>
      <c r="G32" s="12">
        <f t="shared" si="9"/>
        <v>-0.12508660107122668</v>
      </c>
      <c r="H32" s="13">
        <v>9504</v>
      </c>
      <c r="I32" s="13">
        <f t="shared" si="10"/>
        <v>-582.7530468749992</v>
      </c>
      <c r="J32" s="14">
        <f t="shared" si="11"/>
        <v>-6.1316608467487287E-2</v>
      </c>
      <c r="K32" s="80">
        <v>0.9942529</v>
      </c>
      <c r="L32" s="54"/>
      <c r="M32" s="57"/>
    </row>
    <row r="33" spans="1:13" ht="43.5">
      <c r="A33" s="27" t="str">
        <v>K298</v>
      </c>
      <c r="B33" s="28" t="str">
        <v>NY</v>
      </c>
      <c r="C33" s="28" t="str">
        <f>Sites[[#This Row],[SOL'#]]</f>
        <v>SOL-10368</v>
      </c>
      <c r="D33" s="10">
        <v>8100.8125</v>
      </c>
      <c r="E33" s="15">
        <v>13207.68</v>
      </c>
      <c r="F33" s="15">
        <f t="shared" si="8"/>
        <v>-5106.8675000000003</v>
      </c>
      <c r="G33" s="16">
        <f t="shared" si="9"/>
        <v>-0.38665893631584047</v>
      </c>
      <c r="H33" s="17">
        <v>9465</v>
      </c>
      <c r="I33" s="17">
        <f t="shared" si="10"/>
        <v>-1364.1875</v>
      </c>
      <c r="J33" s="16">
        <f t="shared" si="11"/>
        <v>-0.1441296883254094</v>
      </c>
      <c r="K33" s="16">
        <v>0.99228240000000001</v>
      </c>
      <c r="L33" s="59" t="s">
        <v>147</v>
      </c>
      <c r="M33" s="60" t="s">
        <v>148</v>
      </c>
    </row>
    <row r="34" spans="1:13" ht="15.6">
      <c r="A34" s="25" t="str">
        <v>K335</v>
      </c>
      <c r="B34" s="26" t="str">
        <v>NY</v>
      </c>
      <c r="C34" s="26" t="str">
        <f>Sites[[#This Row],[SOL'#]]</f>
        <v>SOL-10370</v>
      </c>
      <c r="D34" s="21">
        <v>9156.96875</v>
      </c>
      <c r="E34" s="11">
        <v>13942.97</v>
      </c>
      <c r="F34" s="11">
        <f t="shared" si="8"/>
        <v>-4786.0012499999993</v>
      </c>
      <c r="G34" s="12">
        <f t="shared" si="9"/>
        <v>-0.34325550797283505</v>
      </c>
      <c r="H34" s="13">
        <v>10841</v>
      </c>
      <c r="I34" s="13">
        <f t="shared" si="10"/>
        <v>-1684.03125</v>
      </c>
      <c r="J34" s="14">
        <f t="shared" si="11"/>
        <v>-0.15533910617101743</v>
      </c>
      <c r="K34" s="80">
        <v>0.97728020000000004</v>
      </c>
      <c r="L34" s="54"/>
      <c r="M34" s="57"/>
    </row>
    <row r="35" spans="1:13" ht="72.599999999999994">
      <c r="A35" s="27" t="str">
        <v>K345</v>
      </c>
      <c r="B35" s="28" t="str">
        <v>NY</v>
      </c>
      <c r="C35" s="28" t="str">
        <f>Sites[[#This Row],[SOL'#]]</f>
        <v>SOL-10920</v>
      </c>
      <c r="D35" s="10">
        <v>9252.80078125</v>
      </c>
      <c r="E35" s="15">
        <v>9601.5740000000005</v>
      </c>
      <c r="F35" s="15">
        <f t="shared" si="8"/>
        <v>-348.77321875000052</v>
      </c>
      <c r="G35" s="16">
        <f t="shared" si="9"/>
        <v>-3.6324587900900471E-2</v>
      </c>
      <c r="H35" s="17">
        <v>11577</v>
      </c>
      <c r="I35" s="17">
        <f t="shared" si="10"/>
        <v>-2324.19921875</v>
      </c>
      <c r="J35" s="16">
        <f t="shared" si="11"/>
        <v>-0.20076006035674182</v>
      </c>
      <c r="K35" s="16">
        <v>0.88951520000000006</v>
      </c>
      <c r="L35" s="59" t="s">
        <v>149</v>
      </c>
      <c r="M35" s="60" t="s">
        <v>150</v>
      </c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v>9518.3828125</v>
      </c>
      <c r="E36" s="11">
        <v>13879.59</v>
      </c>
      <c r="F36" s="11">
        <f t="shared" si="8"/>
        <v>-4361.2071875000001</v>
      </c>
      <c r="G36" s="12">
        <f t="shared" si="9"/>
        <v>-0.31421729226151496</v>
      </c>
      <c r="H36" s="13">
        <v>9508.9539999999997</v>
      </c>
      <c r="I36" s="13">
        <f t="shared" si="10"/>
        <v>9.4288125000002765</v>
      </c>
      <c r="J36" s="14">
        <f t="shared" si="11"/>
        <v>9.9157199624693489E-4</v>
      </c>
      <c r="K36" s="80">
        <v>0.98408490000000004</v>
      </c>
      <c r="L36" s="54"/>
      <c r="M36" s="57"/>
    </row>
    <row r="37" spans="1:13" ht="29.1">
      <c r="A37" s="27" t="str">
        <v>K495</v>
      </c>
      <c r="B37" s="28" t="str">
        <v>NY</v>
      </c>
      <c r="C37" s="28" t="str">
        <f>Sites[[#This Row],[SOL'#]]</f>
        <v>SOL-10374</v>
      </c>
      <c r="D37" s="10">
        <v>41137.3125</v>
      </c>
      <c r="E37" s="15">
        <v>37088.050000000003</v>
      </c>
      <c r="F37" s="15">
        <f t="shared" si="8"/>
        <v>4049.2624999999971</v>
      </c>
      <c r="G37" s="16">
        <f t="shared" si="9"/>
        <v>0.1091797088280456</v>
      </c>
      <c r="H37" s="17">
        <v>42524</v>
      </c>
      <c r="I37" s="17">
        <f t="shared" si="10"/>
        <v>-1386.6875</v>
      </c>
      <c r="J37" s="16">
        <f t="shared" si="11"/>
        <v>-3.2609526385100181E-2</v>
      </c>
      <c r="K37" s="16">
        <v>0.90840609999999999</v>
      </c>
      <c r="L37" s="59" t="s">
        <v>151</v>
      </c>
      <c r="M37" s="60" t="s">
        <v>152</v>
      </c>
    </row>
    <row r="38" spans="1:13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v>9899.21875</v>
      </c>
      <c r="E38" s="11">
        <v>8106.8879999999999</v>
      </c>
      <c r="F38" s="11">
        <f t="shared" si="8"/>
        <v>1792.3307500000001</v>
      </c>
      <c r="G38" s="12">
        <f t="shared" si="9"/>
        <v>0.22108739506454267</v>
      </c>
      <c r="H38" s="13">
        <v>11685</v>
      </c>
      <c r="I38" s="13">
        <f t="shared" si="10"/>
        <v>-1785.78125</v>
      </c>
      <c r="J38" s="14">
        <f t="shared" si="11"/>
        <v>-0.15282680787334188</v>
      </c>
      <c r="K38" s="80">
        <v>0.92569029999999997</v>
      </c>
      <c r="L38" s="54"/>
      <c r="M38" s="57"/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v>9074.4375</v>
      </c>
      <c r="E39" s="15">
        <v>13564.97</v>
      </c>
      <c r="F39" s="15">
        <f t="shared" si="8"/>
        <v>-4490.5324999999993</v>
      </c>
      <c r="G39" s="16">
        <f t="shared" si="9"/>
        <v>-0.33103888176678603</v>
      </c>
      <c r="H39" s="17">
        <v>10723.09</v>
      </c>
      <c r="I39" s="17">
        <f t="shared" si="10"/>
        <v>-1648.6525000000001</v>
      </c>
      <c r="J39" s="16">
        <f t="shared" si="11"/>
        <v>-0.1537478935642618</v>
      </c>
      <c r="K39" s="16">
        <v>0.99291870000000004</v>
      </c>
      <c r="L39" s="59"/>
      <c r="M39" s="60"/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v>9946.8125</v>
      </c>
      <c r="E40" s="11">
        <v>15822.48</v>
      </c>
      <c r="F40" s="11">
        <f t="shared" si="8"/>
        <v>-5875.6674999999996</v>
      </c>
      <c r="G40" s="12">
        <f t="shared" si="9"/>
        <v>-0.37134933967367945</v>
      </c>
      <c r="H40" s="13">
        <v>11537.23</v>
      </c>
      <c r="I40" s="13">
        <f t="shared" si="10"/>
        <v>-1590.4174999999996</v>
      </c>
      <c r="J40" s="14">
        <f t="shared" si="11"/>
        <v>-0.13785089661903244</v>
      </c>
      <c r="K40" s="80">
        <v>0.97957899999999998</v>
      </c>
      <c r="L40" s="54"/>
      <c r="M40" s="57"/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v>15594.5</v>
      </c>
      <c r="E41" s="15">
        <v>0</v>
      </c>
      <c r="F41" s="15">
        <f t="shared" si="8"/>
        <v>15594.5</v>
      </c>
      <c r="G41" s="16" t="str">
        <f t="shared" si="9"/>
        <v/>
      </c>
      <c r="H41" s="17">
        <v>18132</v>
      </c>
      <c r="I41" s="17">
        <f t="shared" si="10"/>
        <v>-2537.5</v>
      </c>
      <c r="J41" s="16">
        <f t="shared" si="11"/>
        <v>-0.13994595190822853</v>
      </c>
      <c r="K41" s="16">
        <v>0.91070449999999992</v>
      </c>
      <c r="L41" s="59"/>
      <c r="M41" s="60"/>
    </row>
    <row r="42" spans="1:13" ht="57.95">
      <c r="A42" s="25" t="str">
        <v>M167</v>
      </c>
      <c r="B42" s="26" t="str">
        <v>NY</v>
      </c>
      <c r="C42" s="26" t="str">
        <f>Sites[[#This Row],[SOL'#]]</f>
        <v>SOL-10386</v>
      </c>
      <c r="D42" s="21">
        <v>10945.1796875</v>
      </c>
      <c r="E42" s="11">
        <v>12895.85</v>
      </c>
      <c r="F42" s="11">
        <f t="shared" si="8"/>
        <v>-1950.6703125000004</v>
      </c>
      <c r="G42" s="12">
        <f t="shared" si="9"/>
        <v>-0.15126341516844569</v>
      </c>
      <c r="H42" s="13">
        <v>13417.55</v>
      </c>
      <c r="I42" s="13">
        <f t="shared" si="10"/>
        <v>-2472.3703124999993</v>
      </c>
      <c r="J42" s="14">
        <f t="shared" si="11"/>
        <v>-0.18426391647506432</v>
      </c>
      <c r="K42" s="80">
        <v>0.99753690000000006</v>
      </c>
      <c r="L42" s="54" t="s">
        <v>153</v>
      </c>
      <c r="M42" s="57" t="s">
        <v>154</v>
      </c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v>8728.4586718749797</v>
      </c>
      <c r="E43" s="15">
        <v>0</v>
      </c>
      <c r="F43" s="15">
        <f t="shared" si="8"/>
        <v>8728.4586718749797</v>
      </c>
      <c r="G43" s="16" t="str">
        <f t="shared" si="9"/>
        <v/>
      </c>
      <c r="H43" s="17">
        <v>9611</v>
      </c>
      <c r="I43" s="17">
        <f t="shared" si="10"/>
        <v>-882.5413281250203</v>
      </c>
      <c r="J43" s="16">
        <f t="shared" si="11"/>
        <v>-9.1826170858913772E-2</v>
      </c>
      <c r="K43" s="16">
        <v>0.92805870000000001</v>
      </c>
      <c r="L43" s="59"/>
      <c r="M43" s="60"/>
    </row>
    <row r="44" spans="1:13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v>2373.44750976562</v>
      </c>
      <c r="E44" s="11">
        <v>3139.01</v>
      </c>
      <c r="F44" s="11">
        <f t="shared" si="8"/>
        <v>-765.56249023438022</v>
      </c>
      <c r="G44" s="12">
        <f t="shared" si="9"/>
        <v>-0.24388660444993171</v>
      </c>
      <c r="H44" s="13">
        <v>3455.741</v>
      </c>
      <c r="I44" s="13">
        <f t="shared" si="10"/>
        <v>-1082.29349023438</v>
      </c>
      <c r="J44" s="14">
        <f t="shared" si="11"/>
        <v>-0.31318709655451032</v>
      </c>
      <c r="K44" s="80">
        <v>0.97413799999999995</v>
      </c>
      <c r="L44" s="54"/>
      <c r="M44" s="57"/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v>14341.1171875</v>
      </c>
      <c r="E45" s="15">
        <v>17495.71</v>
      </c>
      <c r="F45" s="15">
        <f t="shared" si="8"/>
        <v>-3154.5928124999991</v>
      </c>
      <c r="G45" s="16">
        <f t="shared" si="9"/>
        <v>-0.18030664731525609</v>
      </c>
      <c r="H45" s="17">
        <v>14789</v>
      </c>
      <c r="I45" s="17">
        <f t="shared" si="10"/>
        <v>-447.8828125</v>
      </c>
      <c r="J45" s="16">
        <f t="shared" si="11"/>
        <v>-3.028486121441612E-2</v>
      </c>
      <c r="K45" s="16">
        <v>0.91243189999999996</v>
      </c>
      <c r="L45" s="59"/>
      <c r="M45" s="60"/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v>8095.6875</v>
      </c>
      <c r="E46" s="11">
        <v>12613.08</v>
      </c>
      <c r="F46" s="11">
        <f t="shared" si="8"/>
        <v>-4517.3924999999999</v>
      </c>
      <c r="G46" s="12">
        <f t="shared" si="9"/>
        <v>-0.35815141900313008</v>
      </c>
      <c r="H46" s="13">
        <v>8744.8279999999995</v>
      </c>
      <c r="I46" s="13">
        <f t="shared" si="10"/>
        <v>-649.14049999999952</v>
      </c>
      <c r="J46" s="14">
        <f t="shared" si="11"/>
        <v>-7.4231362812396035E-2</v>
      </c>
      <c r="K46" s="80">
        <v>0.91130769999999994</v>
      </c>
      <c r="L46" s="54"/>
      <c r="M46" s="57"/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v>6658.71875</v>
      </c>
      <c r="E47" s="15">
        <v>10734.29</v>
      </c>
      <c r="F47" s="15">
        <f t="shared" si="8"/>
        <v>-4075.5712500000009</v>
      </c>
      <c r="G47" s="16">
        <f t="shared" si="9"/>
        <v>-0.37967776629846972</v>
      </c>
      <c r="H47" s="17">
        <v>781.86940000000004</v>
      </c>
      <c r="I47" s="17">
        <f t="shared" si="10"/>
        <v>5876.8493500000004</v>
      </c>
      <c r="J47" s="16">
        <f t="shared" si="11"/>
        <v>7.5164079192765438</v>
      </c>
      <c r="K47" s="16">
        <v>0.94594829999999996</v>
      </c>
      <c r="L47" s="59"/>
      <c r="M47" s="60"/>
    </row>
    <row r="48" spans="1:13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v>10992.375</v>
      </c>
      <c r="E48" s="11">
        <v>16909.419999999998</v>
      </c>
      <c r="F48" s="11">
        <f t="shared" si="8"/>
        <v>-5917.0449999999983</v>
      </c>
      <c r="G48" s="12">
        <f t="shared" si="9"/>
        <v>-0.34992595843027136</v>
      </c>
      <c r="H48" s="13">
        <v>9540</v>
      </c>
      <c r="I48" s="13">
        <f t="shared" si="10"/>
        <v>1452.375</v>
      </c>
      <c r="J48" s="14">
        <f t="shared" si="11"/>
        <v>0.15224056603773584</v>
      </c>
      <c r="K48" s="80">
        <v>0.94816310000000004</v>
      </c>
      <c r="L48" s="54"/>
      <c r="M48" s="57"/>
    </row>
    <row r="49" spans="1:13" ht="43.5">
      <c r="A49" s="27" t="str">
        <v>Q074</v>
      </c>
      <c r="B49" s="28" t="str">
        <v>NY</v>
      </c>
      <c r="C49" s="28" t="str">
        <f>Sites[[#This Row],[SOL'#]]</f>
        <v>SOL-10402</v>
      </c>
      <c r="D49" s="10">
        <v>6577.59375</v>
      </c>
      <c r="E49" s="15">
        <v>10436.129999999999</v>
      </c>
      <c r="F49" s="15">
        <f t="shared" si="8"/>
        <v>-3858.5362499999992</v>
      </c>
      <c r="G49" s="16">
        <f t="shared" si="9"/>
        <v>-0.36972864941314448</v>
      </c>
      <c r="H49" s="17">
        <v>8050.6390000000001</v>
      </c>
      <c r="I49" s="17">
        <f t="shared" si="10"/>
        <v>-1473.0452500000001</v>
      </c>
      <c r="J49" s="16">
        <f t="shared" si="11"/>
        <v>-0.18297246342805834</v>
      </c>
      <c r="K49" s="16">
        <v>0.92734650000000007</v>
      </c>
      <c r="L49" s="59" t="s">
        <v>155</v>
      </c>
      <c r="M49" s="59" t="s">
        <v>156</v>
      </c>
    </row>
    <row r="50" spans="1:13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v>9157.21875</v>
      </c>
      <c r="E50" s="11">
        <v>15076.37</v>
      </c>
      <c r="F50" s="11">
        <f t="shared" si="8"/>
        <v>-5919.1512500000008</v>
      </c>
      <c r="G50" s="12">
        <f t="shared" si="9"/>
        <v>-0.39261116900155679</v>
      </c>
      <c r="H50" s="13">
        <v>10735.99</v>
      </c>
      <c r="I50" s="13">
        <f t="shared" si="10"/>
        <v>-1578.7712499999998</v>
      </c>
      <c r="J50" s="14">
        <f t="shared" si="11"/>
        <v>-0.14705409095947367</v>
      </c>
      <c r="K50" s="80">
        <v>0.93341549999999995</v>
      </c>
      <c r="L50" s="54"/>
      <c r="M50" s="57"/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v>5878.21875</v>
      </c>
      <c r="E51" s="15">
        <v>8344.6959999999999</v>
      </c>
      <c r="F51" s="15">
        <f t="shared" si="8"/>
        <v>-2466.4772499999999</v>
      </c>
      <c r="G51" s="16">
        <f t="shared" si="9"/>
        <v>-0.29557424860054815</v>
      </c>
      <c r="H51" s="17">
        <v>6752</v>
      </c>
      <c r="I51" s="17">
        <f t="shared" si="10"/>
        <v>-873.78125</v>
      </c>
      <c r="J51" s="16">
        <f t="shared" si="11"/>
        <v>-0.12941073015402843</v>
      </c>
      <c r="K51" s="16">
        <v>0.94007660000000004</v>
      </c>
      <c r="L51" s="59"/>
      <c r="M51" s="60"/>
    </row>
    <row r="52" spans="1:13" ht="43.5">
      <c r="A52" s="25" t="str">
        <v>Q157</v>
      </c>
      <c r="B52" s="26" t="str">
        <v>NY</v>
      </c>
      <c r="C52" s="26" t="str">
        <f>Sites[[#This Row],[SOL'#]]</f>
        <v>SOL-10404</v>
      </c>
      <c r="D52" s="21">
        <v>9228.1875</v>
      </c>
      <c r="E52" s="11">
        <v>16163.48</v>
      </c>
      <c r="F52" s="11">
        <f t="shared" si="8"/>
        <v>-6935.2924999999996</v>
      </c>
      <c r="G52" s="12">
        <f t="shared" si="9"/>
        <v>-0.42907174073899929</v>
      </c>
      <c r="H52" s="13">
        <v>12268.39</v>
      </c>
      <c r="I52" s="13">
        <f t="shared" si="10"/>
        <v>-3040.2024999999994</v>
      </c>
      <c r="J52" s="14">
        <f t="shared" si="11"/>
        <v>-0.24780778080905477</v>
      </c>
      <c r="K52" s="80">
        <v>0.90229879999999996</v>
      </c>
      <c r="L52" s="54" t="s">
        <v>157</v>
      </c>
      <c r="M52" s="57" t="s">
        <v>158</v>
      </c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v>15802.6875</v>
      </c>
      <c r="E53" s="15">
        <v>24783.49</v>
      </c>
      <c r="F53" s="15">
        <f t="shared" si="8"/>
        <v>-8980.8025000000016</v>
      </c>
      <c r="G53" s="16">
        <f t="shared" si="9"/>
        <v>-0.36237037237289826</v>
      </c>
      <c r="H53" s="17">
        <v>18081.580000000002</v>
      </c>
      <c r="I53" s="17">
        <f t="shared" si="10"/>
        <v>-2278.8925000000017</v>
      </c>
      <c r="J53" s="16">
        <f t="shared" si="11"/>
        <v>-0.12603392513264888</v>
      </c>
      <c r="K53" s="16">
        <v>0.94799580000000006</v>
      </c>
      <c r="L53" s="59"/>
      <c r="M53" s="60"/>
    </row>
    <row r="54" spans="1:13" ht="43.5">
      <c r="A54" s="25" t="str">
        <v>Q210</v>
      </c>
      <c r="B54" s="26" t="str">
        <v>NY</v>
      </c>
      <c r="C54" s="26" t="str">
        <f>Sites[[#This Row],[SOL'#]]</f>
        <v>SOL-10407</v>
      </c>
      <c r="D54" s="21">
        <v>12134.875</v>
      </c>
      <c r="E54" s="11">
        <v>17223.77</v>
      </c>
      <c r="F54" s="11">
        <f t="shared" si="8"/>
        <v>-5088.8950000000004</v>
      </c>
      <c r="G54" s="12">
        <f t="shared" si="9"/>
        <v>-0.29545767273947576</v>
      </c>
      <c r="H54" s="13">
        <v>15013</v>
      </c>
      <c r="I54" s="13">
        <f t="shared" si="10"/>
        <v>-2878.125</v>
      </c>
      <c r="J54" s="14">
        <f t="shared" si="11"/>
        <v>-0.1917088523279824</v>
      </c>
      <c r="K54" s="80">
        <v>0.97018479999999996</v>
      </c>
      <c r="L54" s="54" t="s">
        <v>159</v>
      </c>
      <c r="M54" s="57" t="s">
        <v>55</v>
      </c>
    </row>
    <row r="55" spans="1:13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v>5675.18749999994</v>
      </c>
      <c r="E55" s="15">
        <v>8021.049</v>
      </c>
      <c r="F55" s="15">
        <f t="shared" si="8"/>
        <v>-2345.86150000006</v>
      </c>
      <c r="G55" s="16">
        <f t="shared" si="9"/>
        <v>-0.29246318031470198</v>
      </c>
      <c r="H55" s="17">
        <v>5319.3459999999995</v>
      </c>
      <c r="I55" s="17">
        <f t="shared" si="10"/>
        <v>355.84149999994042</v>
      </c>
      <c r="J55" s="16">
        <f t="shared" si="11"/>
        <v>6.689572364721913E-2</v>
      </c>
      <c r="K55" s="16">
        <v>0.95178659999999993</v>
      </c>
      <c r="L55" s="59"/>
      <c r="M55" s="60"/>
    </row>
    <row r="56" spans="1:13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v>22856.1875</v>
      </c>
      <c r="E56" s="11">
        <v>35658.61</v>
      </c>
      <c r="F56" s="11">
        <f t="shared" si="8"/>
        <v>-12802.422500000001</v>
      </c>
      <c r="G56" s="12">
        <f t="shared" si="9"/>
        <v>-0.35902752518956854</v>
      </c>
      <c r="H56" s="13">
        <v>23657</v>
      </c>
      <c r="I56" s="13">
        <f t="shared" si="10"/>
        <v>-800.8125</v>
      </c>
      <c r="J56" s="14">
        <f t="shared" si="11"/>
        <v>-3.3850974341632499E-2</v>
      </c>
      <c r="K56" s="80">
        <v>0.99122479999999991</v>
      </c>
      <c r="L56" s="54"/>
      <c r="M56" s="57"/>
    </row>
    <row r="57" spans="1:13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v>23173.875</v>
      </c>
      <c r="E57" s="15">
        <v>34907.18</v>
      </c>
      <c r="F57" s="15">
        <f t="shared" si="8"/>
        <v>-11733.305</v>
      </c>
      <c r="G57" s="16">
        <f t="shared" si="9"/>
        <v>-0.33612869902409764</v>
      </c>
      <c r="H57" s="17">
        <v>26723.35</v>
      </c>
      <c r="I57" s="17">
        <f t="shared" si="10"/>
        <v>-3549.4749999999985</v>
      </c>
      <c r="J57" s="16">
        <f t="shared" si="11"/>
        <v>-0.13282298065175208</v>
      </c>
      <c r="K57" s="16">
        <v>0.90971789999999997</v>
      </c>
      <c r="L57" s="59"/>
      <c r="M57" s="60"/>
    </row>
    <row r="58" spans="1:13" ht="29.1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 t="str">
        <f t="shared" si="8"/>
        <v/>
      </c>
      <c r="G58" s="12" t="str">
        <f t="shared" si="9"/>
        <v/>
      </c>
      <c r="H58" s="13">
        <v>34507</v>
      </c>
      <c r="I58" s="13" t="str">
        <f t="shared" si="10"/>
        <v/>
      </c>
      <c r="J58" s="14" t="str">
        <f t="shared" si="11"/>
        <v/>
      </c>
      <c r="K58" s="80">
        <v>0</v>
      </c>
      <c r="L58" s="54" t="s">
        <v>160</v>
      </c>
      <c r="M58" s="57" t="s">
        <v>59</v>
      </c>
    </row>
    <row r="59" spans="1:13" ht="174">
      <c r="A59" s="27" t="str">
        <v>Q485</v>
      </c>
      <c r="B59" s="28" t="str">
        <v>NY</v>
      </c>
      <c r="C59" s="28" t="str">
        <f>Sites[[#This Row],[SOL'#]]</f>
        <v>SOL-10869</v>
      </c>
      <c r="D59" s="10">
        <v>23492.947265625</v>
      </c>
      <c r="E59" s="15">
        <v>26113.119999999999</v>
      </c>
      <c r="F59" s="15">
        <f t="shared" si="8"/>
        <v>-2620.172734374999</v>
      </c>
      <c r="G59" s="16">
        <f t="shared" si="9"/>
        <v>-0.10033932116786501</v>
      </c>
      <c r="H59" s="17">
        <v>32920.29</v>
      </c>
      <c r="I59" s="17">
        <f t="shared" si="10"/>
        <v>-9427.3427343750009</v>
      </c>
      <c r="J59" s="16">
        <f t="shared" si="11"/>
        <v>-0.28636876328777788</v>
      </c>
      <c r="K59" s="16">
        <v>0.96391050000000011</v>
      </c>
      <c r="L59" s="59" t="s">
        <v>161</v>
      </c>
      <c r="M59" s="59" t="s">
        <v>162</v>
      </c>
    </row>
    <row r="60" spans="1:13" ht="72.599999999999994">
      <c r="A60" s="25" t="str">
        <v>Q490</v>
      </c>
      <c r="B60" s="26" t="str">
        <v>NY</v>
      </c>
      <c r="C60" s="26" t="str">
        <f>Sites[[#This Row],[SOL'#]]</f>
        <v>SOL-10411</v>
      </c>
      <c r="D60" s="21">
        <v>19705.7056880938</v>
      </c>
      <c r="E60" s="11"/>
      <c r="F60" s="11" t="str">
        <f t="shared" si="8"/>
        <v/>
      </c>
      <c r="G60" s="12" t="str">
        <f t="shared" si="9"/>
        <v/>
      </c>
      <c r="H60" s="13">
        <v>22778.49</v>
      </c>
      <c r="I60" s="13">
        <f t="shared" si="10"/>
        <v>-3072.7843119062018</v>
      </c>
      <c r="J60" s="14">
        <f t="shared" si="11"/>
        <v>-0.13489850784253923</v>
      </c>
      <c r="K60" s="80">
        <v>1</v>
      </c>
      <c r="L60" s="54" t="s">
        <v>163</v>
      </c>
      <c r="M60" s="57" t="s">
        <v>164</v>
      </c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v>29063.125</v>
      </c>
      <c r="E61" s="15">
        <v>43869.760000000002</v>
      </c>
      <c r="F61" s="15">
        <f t="shared" si="8"/>
        <v>-14806.635000000002</v>
      </c>
      <c r="G61" s="16">
        <f t="shared" si="9"/>
        <v>-0.33751347169439727</v>
      </c>
      <c r="H61" s="17">
        <v>36786.639999999999</v>
      </c>
      <c r="I61" s="17">
        <f t="shared" si="10"/>
        <v>-7723.5149999999994</v>
      </c>
      <c r="J61" s="16">
        <f t="shared" si="11"/>
        <v>-0.20995434755661294</v>
      </c>
      <c r="K61" s="16">
        <v>0.93543200000000004</v>
      </c>
      <c r="L61" s="59"/>
      <c r="M61" s="60"/>
    </row>
    <row r="62" spans="1:13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v>3142</v>
      </c>
      <c r="E62" s="11">
        <v>0</v>
      </c>
      <c r="F62" s="11">
        <f t="shared" si="8"/>
        <v>3142</v>
      </c>
      <c r="G62" s="12" t="str">
        <f t="shared" si="9"/>
        <v/>
      </c>
      <c r="H62" s="13">
        <v>3731.7240000000002</v>
      </c>
      <c r="I62" s="13">
        <f t="shared" si="10"/>
        <v>-589.72400000000016</v>
      </c>
      <c r="J62" s="14">
        <f t="shared" si="11"/>
        <v>-0.15802990789243795</v>
      </c>
      <c r="K62" s="80">
        <v>0.95109379999999999</v>
      </c>
      <c r="L62" s="54"/>
      <c r="M62" s="57"/>
    </row>
    <row r="63" spans="1:13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v>10749.8759765625</v>
      </c>
      <c r="E63" s="15">
        <v>18103.47</v>
      </c>
      <c r="F63" s="15">
        <f t="shared" si="8"/>
        <v>-7353.5940234375012</v>
      </c>
      <c r="G63" s="16">
        <f t="shared" si="9"/>
        <v>-0.40619803957128114</v>
      </c>
      <c r="H63" s="17">
        <v>11514</v>
      </c>
      <c r="I63" s="17">
        <f t="shared" si="10"/>
        <v>-764.1240234375</v>
      </c>
      <c r="J63" s="16">
        <f t="shared" si="11"/>
        <v>-6.6364775355002611E-2</v>
      </c>
      <c r="K63" s="16">
        <v>0.88217339999999989</v>
      </c>
      <c r="L63" s="59"/>
      <c r="M63" s="60"/>
    </row>
    <row r="64" spans="1:13" ht="29.1">
      <c r="A64" s="25" t="str">
        <v>X026</v>
      </c>
      <c r="B64" s="26" t="str">
        <v>NY</v>
      </c>
      <c r="C64" s="26" t="str">
        <f>Sites[[#This Row],[SOL'#]]</f>
        <v>SOL-10420</v>
      </c>
      <c r="D64" s="21">
        <v>8054.2000000000698</v>
      </c>
      <c r="E64" s="11">
        <v>14614.25</v>
      </c>
      <c r="F64" s="11">
        <f t="shared" si="8"/>
        <v>-6560.0499999999302</v>
      </c>
      <c r="G64" s="12">
        <f t="shared" si="9"/>
        <v>-0.44888037360794636</v>
      </c>
      <c r="H64" s="13">
        <v>16730.150000000001</v>
      </c>
      <c r="I64" s="13">
        <f t="shared" si="10"/>
        <v>-8675.9499999999316</v>
      </c>
      <c r="J64" s="14">
        <f t="shared" si="11"/>
        <v>-0.5185817222200596</v>
      </c>
      <c r="K64" s="80"/>
      <c r="L64" s="54" t="s">
        <v>165</v>
      </c>
      <c r="M64" s="57" t="s">
        <v>166</v>
      </c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v>9045.1328124999909</v>
      </c>
      <c r="E65" s="15">
        <v>9690.9269999999997</v>
      </c>
      <c r="F65" s="15">
        <f t="shared" si="8"/>
        <v>-645.79418750000877</v>
      </c>
      <c r="G65" s="16">
        <f t="shared" si="9"/>
        <v>-6.6639051919389014E-2</v>
      </c>
      <c r="H65" s="17">
        <v>11057</v>
      </c>
      <c r="I65" s="17">
        <f t="shared" si="10"/>
        <v>-2011.8671875000091</v>
      </c>
      <c r="J65" s="16">
        <f t="shared" si="11"/>
        <v>-0.181954163651986</v>
      </c>
      <c r="K65" s="16"/>
      <c r="L65" s="59"/>
      <c r="M65" s="60"/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v>6764.6000000000304</v>
      </c>
      <c r="E66" s="11">
        <v>12607.26</v>
      </c>
      <c r="F66" s="11">
        <f t="shared" si="8"/>
        <v>-5842.6599999999698</v>
      </c>
      <c r="G66" s="12">
        <f t="shared" si="9"/>
        <v>-0.46343614710888564</v>
      </c>
      <c r="H66" s="13">
        <v>18680.64</v>
      </c>
      <c r="I66" s="13">
        <f t="shared" si="10"/>
        <v>-11916.039999999968</v>
      </c>
      <c r="J66" s="14">
        <f t="shared" si="11"/>
        <v>-0.63788178563475173</v>
      </c>
      <c r="K66" s="80"/>
      <c r="L66" s="54"/>
      <c r="M66" s="57"/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v>14000.8125</v>
      </c>
      <c r="E67" s="15">
        <v>21066.57</v>
      </c>
      <c r="F67" s="15">
        <f t="shared" si="8"/>
        <v>-7065.7574999999997</v>
      </c>
      <c r="G67" s="16">
        <f t="shared" si="9"/>
        <v>-0.33540142035461873</v>
      </c>
      <c r="H67" s="17">
        <v>13446.52</v>
      </c>
      <c r="I67" s="17">
        <f t="shared" si="10"/>
        <v>554.29249999999956</v>
      </c>
      <c r="J67" s="16">
        <f t="shared" si="11"/>
        <v>4.1222003908818007E-2</v>
      </c>
      <c r="K67" s="16"/>
      <c r="L67" s="59"/>
      <c r="M67" s="60"/>
    </row>
    <row r="68" spans="1:13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v>12948.28125</v>
      </c>
      <c r="E68" s="11">
        <v>0</v>
      </c>
      <c r="F68" s="11">
        <f t="shared" si="8"/>
        <v>12948.28125</v>
      </c>
      <c r="G68" s="12" t="str">
        <f t="shared" si="9"/>
        <v/>
      </c>
      <c r="H68" s="13">
        <v>0</v>
      </c>
      <c r="I68" s="13">
        <f t="shared" si="10"/>
        <v>12948.28125</v>
      </c>
      <c r="J68" s="14" t="str">
        <f t="shared" si="11"/>
        <v/>
      </c>
      <c r="K68" s="80"/>
      <c r="L68" s="54"/>
      <c r="M68" s="57"/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v>9774.890625</v>
      </c>
      <c r="E69" s="15">
        <v>0</v>
      </c>
      <c r="F69" s="15">
        <f t="shared" si="8"/>
        <v>9774.890625</v>
      </c>
      <c r="G69" s="16" t="str">
        <f t="shared" si="9"/>
        <v/>
      </c>
      <c r="H69" s="17">
        <v>0</v>
      </c>
      <c r="I69" s="17">
        <f t="shared" si="10"/>
        <v>9774.890625</v>
      </c>
      <c r="J69" s="16" t="str">
        <f t="shared" si="11"/>
        <v/>
      </c>
      <c r="K69" s="16"/>
      <c r="L69" s="59"/>
      <c r="M69" s="60"/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17038.202951816402</v>
      </c>
      <c r="E70" s="11">
        <v>22535.35</v>
      </c>
      <c r="F70" s="11">
        <f t="shared" si="8"/>
        <v>-5497.1470481835968</v>
      </c>
      <c r="G70" s="12">
        <f t="shared" si="9"/>
        <v>-0.2439343985420061</v>
      </c>
      <c r="H70" s="13">
        <v>17714</v>
      </c>
      <c r="I70" s="13">
        <f t="shared" si="10"/>
        <v>-675.79704818359824</v>
      </c>
      <c r="J70" s="14">
        <f t="shared" si="11"/>
        <v>-3.8150448695020787E-2</v>
      </c>
      <c r="K70" s="80">
        <v>0.99751829999999997</v>
      </c>
      <c r="L70" s="54"/>
      <c r="M70" s="57"/>
    </row>
    <row r="71" spans="1:13" ht="43.5">
      <c r="A71" s="27" t="str">
        <v>X140</v>
      </c>
      <c r="B71" s="28" t="str">
        <v>NY</v>
      </c>
      <c r="C71" s="28" t="str">
        <f>Sites[[#This Row],[SOL'#]]</f>
        <v>SOL-10926</v>
      </c>
      <c r="D71" s="10">
        <v>9393.27734375</v>
      </c>
      <c r="E71" s="15">
        <v>10965.87</v>
      </c>
      <c r="F71" s="15">
        <f t="shared" si="8"/>
        <v>-1572.5926562500008</v>
      </c>
      <c r="G71" s="16">
        <f t="shared" si="9"/>
        <v>-0.14340792442824879</v>
      </c>
      <c r="H71" s="17">
        <v>10945</v>
      </c>
      <c r="I71" s="17">
        <f t="shared" si="10"/>
        <v>-1551.72265625</v>
      </c>
      <c r="J71" s="16">
        <f t="shared" si="11"/>
        <v>-0.14177456886706258</v>
      </c>
      <c r="K71" s="16">
        <v>0</v>
      </c>
      <c r="L71" s="59" t="s">
        <v>167</v>
      </c>
      <c r="M71" s="59" t="s">
        <v>168</v>
      </c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v>10298.799999999999</v>
      </c>
      <c r="E72" s="11">
        <v>14615.42</v>
      </c>
      <c r="F72" s="11">
        <f t="shared" si="8"/>
        <v>-4316.6200000000008</v>
      </c>
      <c r="G72" s="12">
        <f t="shared" si="9"/>
        <v>-0.29534696915996944</v>
      </c>
      <c r="H72" s="13">
        <v>0</v>
      </c>
      <c r="I72" s="13">
        <f t="shared" si="10"/>
        <v>10298.799999999999</v>
      </c>
      <c r="J72" s="14" t="str">
        <f t="shared" si="11"/>
        <v/>
      </c>
      <c r="K72" s="80"/>
      <c r="L72" s="54"/>
      <c r="M72" s="57"/>
    </row>
    <row r="73" spans="1:13" ht="275.45">
      <c r="A73" s="27" t="str">
        <v>Murphy</v>
      </c>
      <c r="B73" s="28" t="str">
        <v>MN</v>
      </c>
      <c r="C73" s="28" t="str">
        <f>Sites[[#This Row],[SOL'#]]</f>
        <v>SOL-10094</v>
      </c>
      <c r="D73" s="10">
        <v>575720</v>
      </c>
      <c r="E73" s="15">
        <v>738454.1</v>
      </c>
      <c r="F73" s="15">
        <f t="shared" si="8"/>
        <v>-162734.09999999998</v>
      </c>
      <c r="G73" s="16">
        <f t="shared" si="9"/>
        <v>-0.22037131353187692</v>
      </c>
      <c r="H73" s="17">
        <v>670926.4</v>
      </c>
      <c r="I73" s="17">
        <f t="shared" si="10"/>
        <v>-95206.400000000023</v>
      </c>
      <c r="J73" s="16">
        <f t="shared" si="11"/>
        <v>-0.14190289724774582</v>
      </c>
      <c r="K73" s="16">
        <v>0.91689539999999992</v>
      </c>
      <c r="L73" s="59" t="s">
        <v>169</v>
      </c>
      <c r="M73" s="59" t="s">
        <v>170</v>
      </c>
    </row>
    <row r="74" spans="1:13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v>579703</v>
      </c>
      <c r="E74" s="11">
        <v>721827.7</v>
      </c>
      <c r="F74" s="11">
        <f t="shared" si="8"/>
        <v>-142124.69999999995</v>
      </c>
      <c r="G74" s="12">
        <f t="shared" si="9"/>
        <v>-0.19689560264866526</v>
      </c>
      <c r="H74" s="13">
        <v>633379.1</v>
      </c>
      <c r="I74" s="13">
        <f t="shared" si="10"/>
        <v>-53676.099999999977</v>
      </c>
      <c r="J74" s="14">
        <f t="shared" si="11"/>
        <v>-8.4745612856502492E-2</v>
      </c>
      <c r="K74" s="80">
        <v>0.9643174000000001</v>
      </c>
      <c r="L74" s="54"/>
      <c r="M74" s="57"/>
    </row>
    <row r="75" spans="1:13" ht="57.9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192892</v>
      </c>
      <c r="E75" s="15">
        <v>264045.63</v>
      </c>
      <c r="F75" s="15">
        <f t="shared" si="8"/>
        <v>-71153.63</v>
      </c>
      <c r="G75" s="16">
        <f t="shared" si="9"/>
        <v>-0.2694747494968957</v>
      </c>
      <c r="H75" s="17">
        <v>222493.94</v>
      </c>
      <c r="I75" s="17">
        <f t="shared" si="10"/>
        <v>-29601.940000000002</v>
      </c>
      <c r="J75" s="16">
        <f t="shared" si="11"/>
        <v>-0.13304605060254676</v>
      </c>
      <c r="K75" s="16">
        <v>0.93359999999999999</v>
      </c>
      <c r="L75" s="59" t="s">
        <v>171</v>
      </c>
      <c r="M75" s="59" t="s">
        <v>172</v>
      </c>
    </row>
    <row r="76" spans="1:13" ht="71.25" customHeight="1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242238</v>
      </c>
      <c r="E76" s="11">
        <v>291693.36</v>
      </c>
      <c r="F76" s="11">
        <f t="shared" si="8"/>
        <v>-49455.359999999986</v>
      </c>
      <c r="G76" s="12">
        <f t="shared" si="9"/>
        <v>-0.16954571746165215</v>
      </c>
      <c r="H76" s="13">
        <v>210732.14</v>
      </c>
      <c r="I76" s="13">
        <f t="shared" si="10"/>
        <v>31505.859999999986</v>
      </c>
      <c r="J76" s="14">
        <f t="shared" si="11"/>
        <v>0.14950666756385611</v>
      </c>
      <c r="K76" s="80">
        <v>0.92849999999999999</v>
      </c>
      <c r="L76" s="54" t="s">
        <v>173</v>
      </c>
      <c r="M76" s="57" t="s">
        <v>174</v>
      </c>
    </row>
    <row r="77" spans="1:13" ht="43.5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227358</v>
      </c>
      <c r="E77" s="15">
        <v>253637.61</v>
      </c>
      <c r="F77" s="15">
        <f t="shared" si="8"/>
        <v>-26279.609999999986</v>
      </c>
      <c r="G77" s="16">
        <f t="shared" si="9"/>
        <v>-0.1036108564498774</v>
      </c>
      <c r="H77" s="17">
        <v>198010</v>
      </c>
      <c r="I77" s="17">
        <f t="shared" si="10"/>
        <v>29348</v>
      </c>
      <c r="J77" s="16">
        <f t="shared" si="11"/>
        <v>0.14821473662946316</v>
      </c>
      <c r="K77" s="16">
        <v>0.998</v>
      </c>
      <c r="L77" s="59" t="s">
        <v>175</v>
      </c>
      <c r="M77" s="60" t="s">
        <v>176</v>
      </c>
    </row>
    <row r="78" spans="1:13" ht="29.1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272809</v>
      </c>
      <c r="E78" s="11">
        <v>302531.58</v>
      </c>
      <c r="F78" s="11">
        <f t="shared" si="8"/>
        <v>-29722.580000000016</v>
      </c>
      <c r="G78" s="12">
        <f t="shared" si="9"/>
        <v>-9.8246206230767755E-2</v>
      </c>
      <c r="H78" s="13">
        <v>224875.68</v>
      </c>
      <c r="I78" s="13">
        <f t="shared" si="10"/>
        <v>47933.320000000007</v>
      </c>
      <c r="J78" s="14">
        <f t="shared" si="11"/>
        <v>0.21315475288390459</v>
      </c>
      <c r="K78" s="80">
        <v>0.98010000000000008</v>
      </c>
      <c r="L78" s="54" t="s">
        <v>177</v>
      </c>
      <c r="M78" s="57" t="s">
        <v>178</v>
      </c>
    </row>
    <row r="79" spans="1:13" ht="72.599999999999994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191650</v>
      </c>
      <c r="E79" s="15">
        <v>156033.66</v>
      </c>
      <c r="F79" s="15">
        <f t="shared" si="8"/>
        <v>35616.339999999997</v>
      </c>
      <c r="G79" s="16">
        <f t="shared" si="9"/>
        <v>0.22826062017644139</v>
      </c>
      <c r="H79" s="17">
        <v>177081.05</v>
      </c>
      <c r="I79" s="17">
        <f t="shared" si="10"/>
        <v>14568.950000000012</v>
      </c>
      <c r="J79" s="16">
        <f t="shared" si="11"/>
        <v>8.2272778481943795E-2</v>
      </c>
      <c r="K79" s="16">
        <v>0.97670000000000001</v>
      </c>
      <c r="L79" s="59" t="s">
        <v>179</v>
      </c>
      <c r="M79" s="59" t="s">
        <v>180</v>
      </c>
    </row>
    <row r="80" spans="1:13" ht="43.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231364</v>
      </c>
      <c r="E80" s="11">
        <v>200.4</v>
      </c>
      <c r="F80" s="11">
        <f t="shared" si="8"/>
        <v>231163.6</v>
      </c>
      <c r="G80" s="12">
        <f t="shared" si="9"/>
        <v>1153.5109780439122</v>
      </c>
      <c r="H80" s="13">
        <v>154208.4</v>
      </c>
      <c r="I80" s="13">
        <f t="shared" si="10"/>
        <v>77155.600000000006</v>
      </c>
      <c r="J80" s="14">
        <f t="shared" si="11"/>
        <v>0.50033331517608648</v>
      </c>
      <c r="K80" s="80"/>
      <c r="L80" s="54" t="s">
        <v>181</v>
      </c>
      <c r="M80" s="57"/>
    </row>
    <row r="81" spans="1:13" ht="33" customHeight="1">
      <c r="A81" s="27" t="str">
        <v>Villa Roma 2</v>
      </c>
      <c r="B81" s="28" t="str">
        <v>NY</v>
      </c>
      <c r="C81" s="28" t="str">
        <f>Sites[[#This Row],[SOL'#]]</f>
        <v>SOL-10915</v>
      </c>
      <c r="D81" s="56">
        <v>204180</v>
      </c>
      <c r="E81" s="15">
        <v>244833.94</v>
      </c>
      <c r="F81" s="15">
        <f t="shared" si="8"/>
        <v>-40653.94</v>
      </c>
      <c r="G81" s="16">
        <f t="shared" si="9"/>
        <v>-0.16604699495502953</v>
      </c>
      <c r="H81" s="17">
        <v>149312.26</v>
      </c>
      <c r="I81" s="17">
        <f t="shared" si="10"/>
        <v>54867.739999999991</v>
      </c>
      <c r="J81" s="16">
        <f t="shared" si="11"/>
        <v>0.36746975767428602</v>
      </c>
      <c r="K81" s="16"/>
      <c r="L81" s="59" t="s">
        <v>182</v>
      </c>
      <c r="M81" s="60" t="s">
        <v>183</v>
      </c>
    </row>
    <row r="82" spans="1:13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209440</v>
      </c>
      <c r="E82" s="11">
        <v>242548.32</v>
      </c>
      <c r="F82" s="11">
        <f t="shared" ref="F82:F137" si="12">IF(AND(ISNUMBER(D82),ISNUMBER(E82)), D82-E82, "")</f>
        <v>-33108.320000000007</v>
      </c>
      <c r="G82" s="12">
        <f t="shared" ref="G82:G137" si="13">IFERROR(F82/E82, "")</f>
        <v>-0.13650195556910064</v>
      </c>
      <c r="H82" s="13">
        <v>173775.12</v>
      </c>
      <c r="I82" s="13">
        <f t="shared" ref="I82:I137" si="14">IF(AND(ISNUMBER(D82),ISNUMBER(H82)), D82-H82, "")</f>
        <v>35664.880000000005</v>
      </c>
      <c r="J82" s="14">
        <f t="shared" ref="J82:J137" si="15">IFERROR(I82/H82, "")</f>
        <v>0.20523582432283749</v>
      </c>
      <c r="K82" s="80"/>
      <c r="L82" s="54"/>
      <c r="M82" s="57"/>
    </row>
    <row r="83" spans="1:13" ht="188.4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188205</v>
      </c>
      <c r="E83" s="15">
        <v>225708.02</v>
      </c>
      <c r="F83" s="15">
        <f t="shared" si="12"/>
        <v>-37503.01999999999</v>
      </c>
      <c r="G83" s="16">
        <f t="shared" si="13"/>
        <v>-0.16615723269381386</v>
      </c>
      <c r="H83" s="17">
        <v>211399.74</v>
      </c>
      <c r="I83" s="17">
        <f t="shared" si="14"/>
        <v>-23194.739999999991</v>
      </c>
      <c r="J83" s="16">
        <f t="shared" si="15"/>
        <v>-0.10971981327886209</v>
      </c>
      <c r="K83" s="16"/>
      <c r="L83" s="59" t="s">
        <v>184</v>
      </c>
      <c r="M83" s="60" t="s">
        <v>185</v>
      </c>
    </row>
    <row r="84" spans="1:13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255677</v>
      </c>
      <c r="E84" s="11">
        <v>0</v>
      </c>
      <c r="F84" s="11">
        <f t="shared" si="12"/>
        <v>255677</v>
      </c>
      <c r="G84" s="12" t="str">
        <f t="shared" si="13"/>
        <v/>
      </c>
      <c r="H84" s="13">
        <v>212129.44</v>
      </c>
      <c r="I84" s="13">
        <f t="shared" si="14"/>
        <v>43547.56</v>
      </c>
      <c r="J84" s="14">
        <f t="shared" si="15"/>
        <v>0.20528767718427013</v>
      </c>
      <c r="K84" s="80"/>
      <c r="L84" s="54"/>
      <c r="M84" s="57"/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205830</v>
      </c>
      <c r="E85" s="15">
        <v>0</v>
      </c>
      <c r="F85" s="15">
        <f t="shared" si="12"/>
        <v>205830</v>
      </c>
      <c r="G85" s="16" t="str">
        <f t="shared" si="13"/>
        <v/>
      </c>
      <c r="H85" s="17">
        <v>100951</v>
      </c>
      <c r="I85" s="17">
        <f t="shared" si="14"/>
        <v>104879</v>
      </c>
      <c r="J85" s="16">
        <f t="shared" si="15"/>
        <v>1.038909966221236</v>
      </c>
      <c r="K85" s="16"/>
      <c r="L85" s="59"/>
      <c r="M85" s="59"/>
    </row>
    <row r="86" spans="1:13" ht="101.45">
      <c r="A86" s="25" t="str">
        <v>Canoga</v>
      </c>
      <c r="B86" s="26" t="str">
        <v>NY</v>
      </c>
      <c r="C86" s="26" t="str">
        <f>Sites[[#This Row],[SOL'#]]</f>
        <v>SOL-10965</v>
      </c>
      <c r="D86" s="21">
        <v>588710</v>
      </c>
      <c r="E86" s="11">
        <v>0</v>
      </c>
      <c r="F86" s="11">
        <f t="shared" si="12"/>
        <v>588710</v>
      </c>
      <c r="G86" s="12" t="str">
        <f t="shared" si="13"/>
        <v/>
      </c>
      <c r="H86" s="13">
        <v>545036.31999999995</v>
      </c>
      <c r="I86" s="13">
        <f t="shared" si="14"/>
        <v>43673.680000000051</v>
      </c>
      <c r="J86" s="14">
        <f t="shared" si="15"/>
        <v>8.0129852630738546E-2</v>
      </c>
      <c r="K86" s="80">
        <v>0.998</v>
      </c>
      <c r="L86" s="54" t="s">
        <v>186</v>
      </c>
      <c r="M86" s="54" t="s">
        <v>187</v>
      </c>
    </row>
    <row r="87" spans="1:13" ht="72.599999999999994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643919</v>
      </c>
      <c r="E87" s="15">
        <v>0</v>
      </c>
      <c r="F87" s="15">
        <f t="shared" si="12"/>
        <v>643919</v>
      </c>
      <c r="G87" s="16" t="str">
        <f t="shared" si="13"/>
        <v/>
      </c>
      <c r="H87" s="17">
        <v>567853.41</v>
      </c>
      <c r="I87" s="17">
        <f t="shared" si="14"/>
        <v>76065.589999999967</v>
      </c>
      <c r="J87" s="16">
        <f t="shared" si="15"/>
        <v>0.13395286294045494</v>
      </c>
      <c r="K87" s="16">
        <v>1</v>
      </c>
      <c r="L87" s="59" t="s">
        <v>188</v>
      </c>
      <c r="M87" s="59" t="s">
        <v>189</v>
      </c>
    </row>
    <row r="88" spans="1:13" ht="15.6">
      <c r="A88" s="25" t="str">
        <v>Donati</v>
      </c>
      <c r="B88" s="26" t="str">
        <v>NY</v>
      </c>
      <c r="C88" s="26" t="str">
        <f>Sites[[#This Row],[SOL'#]]</f>
        <v>SOL-10968</v>
      </c>
      <c r="D88" s="21">
        <v>235734</v>
      </c>
      <c r="E88" s="11">
        <v>0</v>
      </c>
      <c r="F88" s="11">
        <f t="shared" si="12"/>
        <v>235734</v>
      </c>
      <c r="G88" s="12" t="str">
        <f t="shared" si="13"/>
        <v/>
      </c>
      <c r="H88" s="13">
        <v>243552.85</v>
      </c>
      <c r="I88" s="13">
        <f t="shared" si="14"/>
        <v>-7818.8500000000058</v>
      </c>
      <c r="J88" s="14">
        <f t="shared" si="15"/>
        <v>-3.2103299140207167E-2</v>
      </c>
      <c r="K88" s="80">
        <v>1</v>
      </c>
      <c r="L88" s="54"/>
      <c r="M88" s="54"/>
    </row>
    <row r="89" spans="1:13" ht="72.599999999999994">
      <c r="A89" s="27" t="str">
        <v>Henrietta</v>
      </c>
      <c r="B89" s="28" t="str">
        <v>NY</v>
      </c>
      <c r="C89" s="28" t="str">
        <f>Sites[[#This Row],[SOL'#]]</f>
        <v>SOL-10972</v>
      </c>
      <c r="D89" s="56">
        <v>268548</v>
      </c>
      <c r="E89" s="15">
        <v>0</v>
      </c>
      <c r="F89" s="15">
        <f t="shared" si="12"/>
        <v>268548</v>
      </c>
      <c r="G89" s="16" t="str">
        <f t="shared" si="13"/>
        <v/>
      </c>
      <c r="H89" s="17">
        <v>216878</v>
      </c>
      <c r="I89" s="17">
        <f t="shared" si="14"/>
        <v>51670</v>
      </c>
      <c r="J89" s="16">
        <f t="shared" si="15"/>
        <v>0.23824454301496695</v>
      </c>
      <c r="K89" s="16">
        <v>0.99739999999999995</v>
      </c>
      <c r="L89" s="59" t="s">
        <v>190</v>
      </c>
      <c r="M89" s="59" t="s">
        <v>191</v>
      </c>
    </row>
    <row r="90" spans="1:13" ht="87">
      <c r="A90" s="25" t="str">
        <v>NY 70</v>
      </c>
      <c r="B90" s="26" t="str">
        <v>NY</v>
      </c>
      <c r="C90" s="26" t="str">
        <f>Sites[[#This Row],[SOL'#]]</f>
        <v>SOL-10970</v>
      </c>
      <c r="D90" s="21">
        <v>513047</v>
      </c>
      <c r="E90" s="11">
        <v>0</v>
      </c>
      <c r="F90" s="11">
        <f t="shared" si="12"/>
        <v>513047</v>
      </c>
      <c r="G90" s="12" t="str">
        <f t="shared" si="13"/>
        <v/>
      </c>
      <c r="H90" s="13">
        <v>336952</v>
      </c>
      <c r="I90" s="13">
        <f t="shared" si="14"/>
        <v>176095</v>
      </c>
      <c r="J90" s="14">
        <f t="shared" si="15"/>
        <v>0.52261152923858589</v>
      </c>
      <c r="K90" s="80">
        <v>0.99769999999999992</v>
      </c>
      <c r="L90" s="54" t="s">
        <v>192</v>
      </c>
      <c r="M90" s="54" t="s">
        <v>193</v>
      </c>
    </row>
    <row r="91" spans="1:13" ht="87">
      <c r="A91" s="27" t="str">
        <v>Reid</v>
      </c>
      <c r="B91" s="28" t="str">
        <v>NY</v>
      </c>
      <c r="C91" s="28" t="str">
        <f>Sites[[#This Row],[SOL'#]]</f>
        <v>SOL-10991</v>
      </c>
      <c r="D91" s="10">
        <v>532878.94852957898</v>
      </c>
      <c r="E91" s="15">
        <v>547634.5</v>
      </c>
      <c r="F91" s="15">
        <f t="shared" si="12"/>
        <v>-14755.551470421022</v>
      </c>
      <c r="G91" s="16">
        <f t="shared" si="13"/>
        <v>-2.6944159782521047E-2</v>
      </c>
      <c r="H91" s="17">
        <v>430708</v>
      </c>
      <c r="I91" s="17">
        <f t="shared" si="14"/>
        <v>102170.94852957898</v>
      </c>
      <c r="J91" s="16">
        <f t="shared" si="15"/>
        <v>0.23721627768599371</v>
      </c>
      <c r="K91" s="16">
        <v>1</v>
      </c>
      <c r="L91" s="59" t="s">
        <v>194</v>
      </c>
      <c r="M91" s="59" t="s">
        <v>195</v>
      </c>
    </row>
    <row r="92" spans="1:13" ht="15.6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232615</v>
      </c>
      <c r="E92" s="11">
        <v>0</v>
      </c>
      <c r="F92" s="11">
        <f t="shared" si="12"/>
        <v>232615</v>
      </c>
      <c r="G92" s="12" t="str">
        <f t="shared" si="13"/>
        <v/>
      </c>
      <c r="H92" s="13">
        <v>235824.05</v>
      </c>
      <c r="I92" s="13">
        <f t="shared" si="14"/>
        <v>-3209.0499999999884</v>
      </c>
      <c r="J92" s="14">
        <f t="shared" si="15"/>
        <v>-1.3607814809388561E-2</v>
      </c>
      <c r="K92" s="80">
        <v>1</v>
      </c>
      <c r="L92" s="54"/>
      <c r="M92" s="57"/>
    </row>
    <row r="93" spans="1:13" ht="87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573455</v>
      </c>
      <c r="E93" s="15">
        <v>0</v>
      </c>
      <c r="F93" s="15">
        <f t="shared" si="12"/>
        <v>573455</v>
      </c>
      <c r="G93" s="16" t="str">
        <f t="shared" si="13"/>
        <v/>
      </c>
      <c r="H93" s="17">
        <v>302852</v>
      </c>
      <c r="I93" s="17">
        <f t="shared" si="14"/>
        <v>270603</v>
      </c>
      <c r="J93" s="16">
        <f t="shared" si="15"/>
        <v>0.89351564460528576</v>
      </c>
      <c r="K93" s="16"/>
      <c r="L93" s="59" t="s">
        <v>196</v>
      </c>
      <c r="M93" s="59" t="s">
        <v>197</v>
      </c>
    </row>
    <row r="94" spans="1:13" ht="43.5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556372</v>
      </c>
      <c r="E94" s="11">
        <v>0</v>
      </c>
      <c r="F94" s="11">
        <f t="shared" si="12"/>
        <v>556372</v>
      </c>
      <c r="G94" s="12" t="str">
        <f t="shared" si="13"/>
        <v/>
      </c>
      <c r="H94" s="13">
        <v>325152</v>
      </c>
      <c r="I94" s="13">
        <f t="shared" si="14"/>
        <v>231220</v>
      </c>
      <c r="J94" s="14">
        <f t="shared" si="15"/>
        <v>0.71111357149886822</v>
      </c>
      <c r="K94" s="80"/>
      <c r="L94" s="54" t="s">
        <v>198</v>
      </c>
      <c r="M94" s="57" t="s">
        <v>199</v>
      </c>
    </row>
    <row r="95" spans="1:13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644863</v>
      </c>
      <c r="E95" s="15">
        <v>0</v>
      </c>
      <c r="F95" s="15">
        <f t="shared" si="12"/>
        <v>644863</v>
      </c>
      <c r="G95" s="16" t="str">
        <f t="shared" si="13"/>
        <v/>
      </c>
      <c r="H95" s="17">
        <v>279159</v>
      </c>
      <c r="I95" s="17">
        <f t="shared" si="14"/>
        <v>365704</v>
      </c>
      <c r="J95" s="16">
        <f t="shared" si="15"/>
        <v>1.3100204542930731</v>
      </c>
      <c r="K95" s="16"/>
      <c r="L95" s="59"/>
      <c r="M95" s="60"/>
    </row>
    <row r="96" spans="1:13" ht="15.6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591798</v>
      </c>
      <c r="E96" s="11">
        <v>0</v>
      </c>
      <c r="F96" s="11">
        <f t="shared" si="12"/>
        <v>591798</v>
      </c>
      <c r="G96" s="12" t="str">
        <f t="shared" si="13"/>
        <v/>
      </c>
      <c r="H96" s="13">
        <v>380649</v>
      </c>
      <c r="I96" s="13">
        <f t="shared" si="14"/>
        <v>211149</v>
      </c>
      <c r="J96" s="14">
        <f t="shared" si="15"/>
        <v>0.55470788048832387</v>
      </c>
      <c r="K96" s="80"/>
      <c r="L96" s="54"/>
      <c r="M96" s="57"/>
    </row>
    <row r="97" spans="1:14" ht="43.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614649</v>
      </c>
      <c r="E97" s="15">
        <v>0</v>
      </c>
      <c r="F97" s="15">
        <f t="shared" si="12"/>
        <v>614649</v>
      </c>
      <c r="G97" s="16" t="str">
        <f t="shared" si="13"/>
        <v/>
      </c>
      <c r="H97" s="17">
        <v>364876</v>
      </c>
      <c r="I97" s="17">
        <f t="shared" si="14"/>
        <v>249773</v>
      </c>
      <c r="J97" s="16">
        <f t="shared" si="15"/>
        <v>0.68454214582488293</v>
      </c>
      <c r="K97" s="16">
        <v>1</v>
      </c>
      <c r="L97" s="59" t="s">
        <v>200</v>
      </c>
      <c r="M97" s="60" t="s">
        <v>201</v>
      </c>
    </row>
    <row r="98" spans="1:14" ht="43.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279832</v>
      </c>
      <c r="E98" s="11">
        <v>0</v>
      </c>
      <c r="F98" s="11">
        <f t="shared" si="12"/>
        <v>279832</v>
      </c>
      <c r="G98" s="12" t="str">
        <f t="shared" si="13"/>
        <v/>
      </c>
      <c r="H98" s="13">
        <v>243587.25</v>
      </c>
      <c r="I98" s="13">
        <f t="shared" si="14"/>
        <v>36244.75</v>
      </c>
      <c r="J98" s="14">
        <f t="shared" si="15"/>
        <v>0.14879576004080675</v>
      </c>
      <c r="K98" s="80">
        <v>1</v>
      </c>
      <c r="L98" s="54" t="s">
        <v>202</v>
      </c>
      <c r="M98" s="57" t="s">
        <v>203</v>
      </c>
    </row>
    <row r="99" spans="1:14" ht="43.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399000</v>
      </c>
      <c r="E99" s="15">
        <v>0</v>
      </c>
      <c r="F99" s="15">
        <f t="shared" si="12"/>
        <v>399000</v>
      </c>
      <c r="G99" s="16" t="str">
        <f t="shared" si="13"/>
        <v/>
      </c>
      <c r="H99" s="17">
        <v>387325.54</v>
      </c>
      <c r="I99" s="17">
        <f t="shared" si="14"/>
        <v>11674.460000000021</v>
      </c>
      <c r="J99" s="16">
        <f t="shared" si="15"/>
        <v>3.0141208865286862E-2</v>
      </c>
      <c r="K99" s="16">
        <v>1</v>
      </c>
      <c r="L99" s="59" t="s">
        <v>204</v>
      </c>
      <c r="M99" s="60" t="s">
        <v>205</v>
      </c>
    </row>
    <row r="100" spans="1:14" ht="29.1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213368</v>
      </c>
      <c r="E100" s="11">
        <v>0</v>
      </c>
      <c r="F100" s="11">
        <f t="shared" si="12"/>
        <v>213368</v>
      </c>
      <c r="G100" s="12" t="str">
        <f t="shared" si="13"/>
        <v/>
      </c>
      <c r="H100" s="13">
        <v>200346.09</v>
      </c>
      <c r="I100" s="13">
        <f t="shared" si="14"/>
        <v>13021.910000000003</v>
      </c>
      <c r="J100" s="14">
        <f t="shared" si="15"/>
        <v>6.4997075810164326E-2</v>
      </c>
      <c r="K100" s="80">
        <v>1</v>
      </c>
      <c r="L100" s="54" t="s">
        <v>206</v>
      </c>
      <c r="M100" s="57" t="s">
        <v>207</v>
      </c>
      <c r="N100" s="31"/>
    </row>
    <row r="101" spans="1:14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661076</v>
      </c>
      <c r="E101" s="15">
        <v>0</v>
      </c>
      <c r="F101" s="15">
        <f t="shared" si="12"/>
        <v>661076</v>
      </c>
      <c r="G101" s="16" t="str">
        <f t="shared" si="13"/>
        <v/>
      </c>
      <c r="H101" s="17">
        <v>489721.91</v>
      </c>
      <c r="I101" s="17">
        <f t="shared" si="14"/>
        <v>171354.09000000003</v>
      </c>
      <c r="J101" s="16">
        <f t="shared" si="15"/>
        <v>0.34990080390726247</v>
      </c>
      <c r="K101" s="16">
        <v>0.99580000000000002</v>
      </c>
      <c r="L101" s="59"/>
      <c r="M101" s="60"/>
    </row>
    <row r="102" spans="1:14" ht="72.599999999999994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389440</v>
      </c>
      <c r="E102" s="11">
        <v>0</v>
      </c>
      <c r="F102" s="11">
        <f t="shared" si="12"/>
        <v>389440</v>
      </c>
      <c r="G102" s="12" t="str">
        <f t="shared" si="13"/>
        <v/>
      </c>
      <c r="H102" s="13">
        <v>580710.66</v>
      </c>
      <c r="I102" s="13">
        <f t="shared" si="14"/>
        <v>-191270.66000000003</v>
      </c>
      <c r="J102" s="14">
        <f t="shared" si="15"/>
        <v>-0.32937342669066905</v>
      </c>
      <c r="K102" s="80">
        <v>0.98670000000000002</v>
      </c>
      <c r="L102" s="54" t="s">
        <v>208</v>
      </c>
      <c r="M102" s="57" t="s">
        <v>209</v>
      </c>
    </row>
    <row r="103" spans="1:14" ht="29.1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236607</v>
      </c>
      <c r="E103" s="15">
        <v>0</v>
      </c>
      <c r="F103" s="15">
        <f t="shared" si="12"/>
        <v>236607</v>
      </c>
      <c r="G103" s="16" t="str">
        <f t="shared" si="13"/>
        <v/>
      </c>
      <c r="H103" s="17">
        <v>232008.12</v>
      </c>
      <c r="I103" s="17">
        <f t="shared" si="14"/>
        <v>4598.8800000000047</v>
      </c>
      <c r="J103" s="16">
        <f t="shared" si="15"/>
        <v>1.982206484841998E-2</v>
      </c>
      <c r="K103" s="16">
        <v>1</v>
      </c>
      <c r="L103" s="59" t="s">
        <v>210</v>
      </c>
      <c r="M103" s="60" t="s">
        <v>211</v>
      </c>
    </row>
    <row r="104" spans="1:14" ht="29.1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554800</v>
      </c>
      <c r="E104" s="11">
        <v>0</v>
      </c>
      <c r="F104" s="11">
        <f t="shared" si="12"/>
        <v>554800</v>
      </c>
      <c r="G104" s="12" t="str">
        <f t="shared" si="13"/>
        <v/>
      </c>
      <c r="H104" s="13">
        <v>594301.92000000004</v>
      </c>
      <c r="I104" s="13">
        <f t="shared" si="14"/>
        <v>-39501.920000000042</v>
      </c>
      <c r="J104" s="14">
        <f t="shared" si="15"/>
        <v>-6.6467764398270901E-2</v>
      </c>
      <c r="K104" s="80">
        <v>1</v>
      </c>
      <c r="L104" s="54" t="s">
        <v>212</v>
      </c>
      <c r="M104" s="57" t="s">
        <v>213</v>
      </c>
    </row>
    <row r="105" spans="1:14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231858</v>
      </c>
      <c r="E105" s="15">
        <v>0</v>
      </c>
      <c r="F105" s="15">
        <f t="shared" si="12"/>
        <v>231858</v>
      </c>
      <c r="G105" s="16" t="str">
        <f t="shared" si="13"/>
        <v/>
      </c>
      <c r="H105" s="17">
        <v>177162.63</v>
      </c>
      <c r="I105" s="17">
        <f t="shared" si="14"/>
        <v>54695.369999999995</v>
      </c>
      <c r="J105" s="16">
        <f t="shared" si="15"/>
        <v>0.30872972477322103</v>
      </c>
      <c r="K105" s="16">
        <v>0.998</v>
      </c>
      <c r="L105" s="59"/>
      <c r="M105" s="59"/>
    </row>
    <row r="106" spans="1:14" ht="61.5" customHeight="1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208657</v>
      </c>
      <c r="E106" s="11">
        <v>0</v>
      </c>
      <c r="F106" s="11">
        <f t="shared" si="12"/>
        <v>208657</v>
      </c>
      <c r="G106" s="12" t="str">
        <f t="shared" si="13"/>
        <v/>
      </c>
      <c r="H106" s="13">
        <v>182601.60000000001</v>
      </c>
      <c r="I106" s="13">
        <f t="shared" si="14"/>
        <v>26055.399999999994</v>
      </c>
      <c r="J106" s="14">
        <f t="shared" si="15"/>
        <v>0.14268987785430134</v>
      </c>
      <c r="K106" s="80">
        <v>1</v>
      </c>
      <c r="L106" s="54" t="s">
        <v>214</v>
      </c>
      <c r="M106" s="57" t="s">
        <v>215</v>
      </c>
    </row>
    <row r="107" spans="1:14" ht="29.1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42064</v>
      </c>
      <c r="E107" s="15">
        <v>0</v>
      </c>
      <c r="F107" s="15">
        <f t="shared" si="12"/>
        <v>42064</v>
      </c>
      <c r="G107" s="16" t="str">
        <f t="shared" si="13"/>
        <v/>
      </c>
      <c r="H107" s="17">
        <v>169891.73</v>
      </c>
      <c r="I107" s="17">
        <f t="shared" si="14"/>
        <v>-127827.73000000001</v>
      </c>
      <c r="J107" s="16">
        <f t="shared" si="15"/>
        <v>-0.75240701828158441</v>
      </c>
      <c r="K107" s="16">
        <v>0.99840000000000007</v>
      </c>
      <c r="L107" s="59" t="s">
        <v>216</v>
      </c>
      <c r="M107" s="60" t="s">
        <v>217</v>
      </c>
    </row>
    <row r="108" spans="1:14" ht="57.95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454121.5</v>
      </c>
      <c r="E108" s="11">
        <v>0</v>
      </c>
      <c r="F108" s="11">
        <f t="shared" si="12"/>
        <v>454121.5</v>
      </c>
      <c r="G108" s="12" t="str">
        <f t="shared" si="13"/>
        <v/>
      </c>
      <c r="H108" s="13">
        <v>380868.38</v>
      </c>
      <c r="I108" s="13">
        <f t="shared" si="14"/>
        <v>73253.119999999995</v>
      </c>
      <c r="J108" s="14">
        <f t="shared" si="15"/>
        <v>0.19233184965367825</v>
      </c>
      <c r="K108" s="80">
        <v>1</v>
      </c>
      <c r="L108" s="54" t="s">
        <v>218</v>
      </c>
      <c r="M108" s="57" t="s">
        <v>219</v>
      </c>
    </row>
    <row r="109" spans="1:14" ht="87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276167.8</v>
      </c>
      <c r="E109" s="15">
        <v>0</v>
      </c>
      <c r="F109" s="15">
        <f t="shared" si="12"/>
        <v>276167.8</v>
      </c>
      <c r="G109" s="16" t="str">
        <f t="shared" si="13"/>
        <v/>
      </c>
      <c r="H109" s="17">
        <v>263000</v>
      </c>
      <c r="I109" s="17">
        <f t="shared" si="14"/>
        <v>13167.799999999988</v>
      </c>
      <c r="J109" s="16">
        <f t="shared" si="15"/>
        <v>5.0067680608364973E-2</v>
      </c>
      <c r="K109" s="16">
        <v>0.99870000000000003</v>
      </c>
      <c r="L109" s="59" t="s">
        <v>220</v>
      </c>
      <c r="M109" s="60" t="s">
        <v>221</v>
      </c>
    </row>
    <row r="110" spans="1:14" ht="78" customHeight="1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439556.49</v>
      </c>
      <c r="E110" s="11">
        <v>0</v>
      </c>
      <c r="F110" s="11">
        <f t="shared" si="12"/>
        <v>439556.49</v>
      </c>
      <c r="G110" s="12" t="str">
        <f t="shared" si="13"/>
        <v/>
      </c>
      <c r="H110" s="13">
        <v>0</v>
      </c>
      <c r="I110" s="13">
        <f t="shared" si="14"/>
        <v>439556.49</v>
      </c>
      <c r="J110" s="14" t="str">
        <f t="shared" si="15"/>
        <v/>
      </c>
      <c r="K110" s="80"/>
      <c r="L110" s="57" t="s">
        <v>222</v>
      </c>
      <c r="M110" s="57" t="s">
        <v>223</v>
      </c>
    </row>
    <row r="111" spans="1:14" ht="71.849999999999994" customHeight="1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356850.90500000003</v>
      </c>
      <c r="E111" s="15">
        <v>440280.9</v>
      </c>
      <c r="F111" s="15">
        <f t="shared" si="12"/>
        <v>-83429.994999999995</v>
      </c>
      <c r="G111" s="16">
        <f t="shared" si="13"/>
        <v>-0.18949265116883332</v>
      </c>
      <c r="H111" s="17">
        <v>400755.3</v>
      </c>
      <c r="I111" s="17">
        <f t="shared" si="14"/>
        <v>-43904.39499999996</v>
      </c>
      <c r="J111" s="16">
        <f t="shared" si="15"/>
        <v>-0.10955412192926696</v>
      </c>
      <c r="K111" s="16">
        <v>0.97400279999999995</v>
      </c>
      <c r="L111" s="59" t="s">
        <v>224</v>
      </c>
      <c r="M111" s="59" t="s">
        <v>225</v>
      </c>
    </row>
    <row r="112" spans="1:14" ht="84.75" customHeight="1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367054.47894736798</v>
      </c>
      <c r="E112" s="11">
        <v>374976.3</v>
      </c>
      <c r="F112" s="11">
        <f t="shared" si="12"/>
        <v>-7921.8210526320036</v>
      </c>
      <c r="G112" s="12">
        <f t="shared" si="13"/>
        <v>-2.112619131564316E-2</v>
      </c>
      <c r="H112" s="13">
        <v>383850</v>
      </c>
      <c r="I112" s="13">
        <f t="shared" si="14"/>
        <v>-16795.521052632015</v>
      </c>
      <c r="J112" s="14">
        <f t="shared" si="15"/>
        <v>-4.3755428038640132E-2</v>
      </c>
      <c r="K112" s="80">
        <v>0.99211179999999999</v>
      </c>
      <c r="L112" s="54" t="s">
        <v>226</v>
      </c>
      <c r="M112" s="57" t="s">
        <v>227</v>
      </c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2236</v>
      </c>
      <c r="E113" s="15">
        <v>3005.7849999999999</v>
      </c>
      <c r="F113" s="15">
        <f t="shared" si="12"/>
        <v>-769.78499999999985</v>
      </c>
      <c r="G113" s="16">
        <f t="shared" si="13"/>
        <v>-0.25610115161264024</v>
      </c>
      <c r="H113" s="17">
        <v>2652.8710000000001</v>
      </c>
      <c r="I113" s="17">
        <f t="shared" si="14"/>
        <v>-416.87100000000009</v>
      </c>
      <c r="J113" s="16">
        <f t="shared" si="15"/>
        <v>-0.15713956690694725</v>
      </c>
      <c r="K113" s="16">
        <v>1</v>
      </c>
      <c r="L113" s="59"/>
      <c r="M113" s="60"/>
    </row>
    <row r="114" spans="1:13" ht="29.1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6407.6899999999396</v>
      </c>
      <c r="E114" s="11">
        <v>8966.9449999999997</v>
      </c>
      <c r="F114" s="11">
        <f t="shared" si="12"/>
        <v>-2559.2550000000601</v>
      </c>
      <c r="G114" s="12">
        <f t="shared" si="13"/>
        <v>-0.28540991385584058</v>
      </c>
      <c r="H114" s="13">
        <v>6185.2250000000004</v>
      </c>
      <c r="I114" s="13">
        <f t="shared" si="14"/>
        <v>222.46499999993921</v>
      </c>
      <c r="J114" s="14">
        <f t="shared" si="15"/>
        <v>3.5967163684415555E-2</v>
      </c>
      <c r="K114" s="80">
        <v>0.99585099999999993</v>
      </c>
      <c r="L114" s="54" t="s">
        <v>228</v>
      </c>
      <c r="M114" s="57" t="s">
        <v>229</v>
      </c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990</v>
      </c>
      <c r="E115" s="15">
        <v>1021.15</v>
      </c>
      <c r="F115" s="15">
        <f t="shared" si="12"/>
        <v>-31.149999999999977</v>
      </c>
      <c r="G115" s="16">
        <f t="shared" si="13"/>
        <v>-3.050482299368357E-2</v>
      </c>
      <c r="H115" s="17">
        <v>989.09860000000003</v>
      </c>
      <c r="I115" s="17">
        <f t="shared" si="14"/>
        <v>0.90139999999996689</v>
      </c>
      <c r="J115" s="16">
        <f t="shared" si="15"/>
        <v>9.113348254663052E-4</v>
      </c>
      <c r="K115" s="16"/>
      <c r="L115" s="59"/>
      <c r="M115" s="60"/>
    </row>
    <row r="116" spans="1:13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1015</v>
      </c>
      <c r="E116" s="11">
        <v>957.60879999999997</v>
      </c>
      <c r="F116" s="11">
        <f t="shared" si="12"/>
        <v>57.391200000000026</v>
      </c>
      <c r="G116" s="12">
        <f t="shared" si="13"/>
        <v>5.9931780075538184E-2</v>
      </c>
      <c r="H116" s="13">
        <v>1030.5930000000001</v>
      </c>
      <c r="I116" s="13">
        <f t="shared" si="14"/>
        <v>-15.593000000000075</v>
      </c>
      <c r="J116" s="14">
        <f t="shared" si="15"/>
        <v>-1.5130124113010736E-2</v>
      </c>
      <c r="K116" s="80"/>
      <c r="L116" s="54"/>
      <c r="M116" s="57"/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1162</v>
      </c>
      <c r="E117" s="15">
        <v>999.51030000000003</v>
      </c>
      <c r="F117" s="15">
        <f t="shared" si="12"/>
        <v>162.48969999999997</v>
      </c>
      <c r="G117" s="16">
        <f t="shared" si="13"/>
        <v>0.16256931019120061</v>
      </c>
      <c r="H117" s="17">
        <v>1068</v>
      </c>
      <c r="I117" s="17">
        <f t="shared" si="14"/>
        <v>94</v>
      </c>
      <c r="J117" s="16">
        <f t="shared" si="15"/>
        <v>8.8014981273408247E-2</v>
      </c>
      <c r="K117" s="16"/>
      <c r="L117" s="59"/>
      <c r="M117" s="60"/>
    </row>
    <row r="118" spans="1:13" ht="29.1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8519</v>
      </c>
      <c r="E118" s="11">
        <v>13058.816000000001</v>
      </c>
      <c r="F118" s="11">
        <f t="shared" si="12"/>
        <v>-4539.8160000000007</v>
      </c>
      <c r="G118" s="12">
        <f t="shared" si="13"/>
        <v>-0.34764376801082125</v>
      </c>
      <c r="H118" s="13">
        <v>2769.31</v>
      </c>
      <c r="I118" s="13">
        <f t="shared" si="14"/>
        <v>5749.6900000000005</v>
      </c>
      <c r="J118" s="14">
        <f t="shared" si="15"/>
        <v>2.0762175415536723</v>
      </c>
      <c r="K118" s="80"/>
      <c r="L118" s="54" t="s">
        <v>230</v>
      </c>
      <c r="M118" s="57" t="s">
        <v>231</v>
      </c>
    </row>
    <row r="119" spans="1:13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41381</v>
      </c>
      <c r="E119" s="15">
        <v>0</v>
      </c>
      <c r="F119" s="15">
        <f t="shared" si="12"/>
        <v>41381</v>
      </c>
      <c r="G119" s="16" t="str">
        <f t="shared" si="13"/>
        <v/>
      </c>
      <c r="H119" s="17">
        <v>34707.084000000003</v>
      </c>
      <c r="I119" s="17">
        <f t="shared" si="14"/>
        <v>6673.9159999999974</v>
      </c>
      <c r="J119" s="16">
        <f t="shared" si="15"/>
        <v>0.19229261668885803</v>
      </c>
      <c r="K119" s="16"/>
      <c r="L119" s="59"/>
      <c r="M119" s="60"/>
    </row>
    <row r="120" spans="1:13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21132</v>
      </c>
      <c r="E120" s="11">
        <v>20852.716</v>
      </c>
      <c r="F120" s="11">
        <f t="shared" si="12"/>
        <v>279.28399999999965</v>
      </c>
      <c r="G120" s="12">
        <f t="shared" si="13"/>
        <v>1.3393171421890542E-2</v>
      </c>
      <c r="H120" s="13">
        <v>23225.645</v>
      </c>
      <c r="I120" s="13">
        <f t="shared" si="14"/>
        <v>-2093.6450000000004</v>
      </c>
      <c r="J120" s="14">
        <f t="shared" si="15"/>
        <v>-9.014367523485356E-2</v>
      </c>
      <c r="K120" s="80"/>
      <c r="L120" s="54"/>
      <c r="M120" s="57"/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10185</v>
      </c>
      <c r="E121" s="15">
        <v>9559.4519999999993</v>
      </c>
      <c r="F121" s="15">
        <f t="shared" si="12"/>
        <v>625.54800000000068</v>
      </c>
      <c r="G121" s="16">
        <f t="shared" si="13"/>
        <v>6.5437642241417265E-2</v>
      </c>
      <c r="H121" s="17">
        <v>10774.923000000001</v>
      </c>
      <c r="I121" s="17">
        <f t="shared" si="14"/>
        <v>-589.92300000000068</v>
      </c>
      <c r="J121" s="16">
        <f t="shared" si="15"/>
        <v>-5.4749625588971784E-2</v>
      </c>
      <c r="K121" s="16"/>
      <c r="L121" s="59"/>
      <c r="M121" s="60"/>
    </row>
    <row r="122" spans="1:13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11085</v>
      </c>
      <c r="E122" s="11">
        <v>9130.9279999999999</v>
      </c>
      <c r="F122" s="11">
        <f t="shared" si="12"/>
        <v>1954.0720000000001</v>
      </c>
      <c r="G122" s="12">
        <f t="shared" si="13"/>
        <v>0.21400584913165455</v>
      </c>
      <c r="H122" s="13">
        <v>10774.923000000001</v>
      </c>
      <c r="I122" s="13">
        <f t="shared" si="14"/>
        <v>310.07699999999932</v>
      </c>
      <c r="J122" s="14">
        <f t="shared" si="15"/>
        <v>2.8777653445876069E-2</v>
      </c>
      <c r="K122" s="80"/>
      <c r="L122" s="54"/>
      <c r="M122" s="57"/>
    </row>
    <row r="123" spans="1:13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137720</v>
      </c>
      <c r="E123" s="15">
        <v>139927.70000000001</v>
      </c>
      <c r="F123" s="15">
        <f t="shared" si="12"/>
        <v>-2207.7000000000116</v>
      </c>
      <c r="G123" s="16">
        <f t="shared" si="13"/>
        <v>-1.5777433631797073E-2</v>
      </c>
      <c r="H123" s="17">
        <v>134561.5</v>
      </c>
      <c r="I123" s="17">
        <f t="shared" si="14"/>
        <v>3158.5</v>
      </c>
      <c r="J123" s="16">
        <f t="shared" si="15"/>
        <v>2.3472538579014057E-2</v>
      </c>
      <c r="K123" s="16"/>
      <c r="L123" s="59"/>
      <c r="M123" s="60"/>
    </row>
    <row r="124" spans="1:13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145554</v>
      </c>
      <c r="E124" s="11">
        <v>100718.3</v>
      </c>
      <c r="F124" s="11">
        <f t="shared" si="12"/>
        <v>44835.7</v>
      </c>
      <c r="G124" s="12">
        <f t="shared" si="13"/>
        <v>0.44515941988695196</v>
      </c>
      <c r="H124" s="13">
        <v>7485.1170000000002</v>
      </c>
      <c r="I124" s="13">
        <f t="shared" si="14"/>
        <v>138068.883</v>
      </c>
      <c r="J124" s="14">
        <f t="shared" si="15"/>
        <v>18.445788222148032</v>
      </c>
      <c r="K124" s="80"/>
      <c r="L124" s="54"/>
      <c r="M124" s="57"/>
    </row>
    <row r="125" spans="1:13" ht="29.1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15313</v>
      </c>
      <c r="E125" s="15">
        <v>14685.7</v>
      </c>
      <c r="F125" s="15">
        <f t="shared" si="12"/>
        <v>627.29999999999927</v>
      </c>
      <c r="G125" s="16">
        <f t="shared" si="13"/>
        <v>4.2715022096324946E-2</v>
      </c>
      <c r="H125" s="17">
        <v>18246</v>
      </c>
      <c r="I125" s="17">
        <f t="shared" si="14"/>
        <v>-2933</v>
      </c>
      <c r="J125" s="16">
        <f t="shared" si="15"/>
        <v>-0.16074756110928423</v>
      </c>
      <c r="K125" s="16"/>
      <c r="L125" s="59" t="s">
        <v>232</v>
      </c>
      <c r="M125" s="60" t="s">
        <v>233</v>
      </c>
    </row>
    <row r="126" spans="1:13" ht="116.1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46973</v>
      </c>
      <c r="E126" s="11">
        <v>57930.46</v>
      </c>
      <c r="F126" s="11">
        <f t="shared" si="12"/>
        <v>-10957.46</v>
      </c>
      <c r="G126" s="12">
        <f t="shared" si="13"/>
        <v>-0.18914850667507213</v>
      </c>
      <c r="H126" s="13">
        <v>0</v>
      </c>
      <c r="I126" s="13">
        <f t="shared" si="14"/>
        <v>46973</v>
      </c>
      <c r="J126" s="14" t="str">
        <f t="shared" si="15"/>
        <v/>
      </c>
      <c r="K126" s="80"/>
      <c r="L126" s="54" t="s">
        <v>234</v>
      </c>
      <c r="M126" s="57" t="s">
        <v>235</v>
      </c>
    </row>
    <row r="127" spans="1:13" ht="101.45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13954</v>
      </c>
      <c r="E127" s="15">
        <v>34576.160000000003</v>
      </c>
      <c r="F127" s="15">
        <f t="shared" si="12"/>
        <v>-20622.160000000003</v>
      </c>
      <c r="G127" s="16">
        <f t="shared" si="13"/>
        <v>-0.59642713360882182</v>
      </c>
      <c r="H127" s="17">
        <v>24282</v>
      </c>
      <c r="I127" s="17">
        <f t="shared" si="14"/>
        <v>-10328</v>
      </c>
      <c r="J127" s="16">
        <f t="shared" si="15"/>
        <v>-0.42533563956840459</v>
      </c>
      <c r="K127" s="16"/>
      <c r="L127" s="59" t="s">
        <v>236</v>
      </c>
      <c r="M127" s="65" t="s">
        <v>237</v>
      </c>
    </row>
    <row r="128" spans="1:13" ht="29.1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41241</v>
      </c>
      <c r="E128" s="11">
        <v>35120.870000000003</v>
      </c>
      <c r="F128" s="11">
        <f t="shared" si="12"/>
        <v>6120.1299999999974</v>
      </c>
      <c r="G128" s="12">
        <f t="shared" si="13"/>
        <v>0.1742590659058274</v>
      </c>
      <c r="H128" s="13">
        <v>35874.839999999997</v>
      </c>
      <c r="I128" s="13">
        <f t="shared" si="14"/>
        <v>5366.1600000000035</v>
      </c>
      <c r="J128" s="14">
        <f t="shared" si="15"/>
        <v>0.14958003993885419</v>
      </c>
      <c r="K128" s="80"/>
      <c r="L128" s="54" t="s">
        <v>238</v>
      </c>
      <c r="M128" s="57" t="s">
        <v>239</v>
      </c>
    </row>
    <row r="129" spans="1:13" ht="43.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94270.5</v>
      </c>
      <c r="E129" s="15">
        <v>92569.847999999998</v>
      </c>
      <c r="F129" s="15">
        <f t="shared" si="12"/>
        <v>1700.6520000000019</v>
      </c>
      <c r="G129" s="16">
        <f t="shared" si="13"/>
        <v>1.8371554418021751E-2</v>
      </c>
      <c r="H129" s="17">
        <v>73764.990999999995</v>
      </c>
      <c r="I129" s="17">
        <f t="shared" si="14"/>
        <v>20505.509000000005</v>
      </c>
      <c r="J129" s="16">
        <f t="shared" si="15"/>
        <v>0.27798429474491504</v>
      </c>
      <c r="K129" s="16"/>
      <c r="L129" s="59" t="s">
        <v>240</v>
      </c>
      <c r="M129" s="60" t="s">
        <v>241</v>
      </c>
    </row>
    <row r="130" spans="1:13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199486</v>
      </c>
      <c r="E130" s="11">
        <v>198743.2</v>
      </c>
      <c r="F130" s="11">
        <f t="shared" si="12"/>
        <v>742.79999999998836</v>
      </c>
      <c r="G130" s="12">
        <f t="shared" si="13"/>
        <v>3.7374863643132861E-3</v>
      </c>
      <c r="H130" s="13">
        <v>171694.9</v>
      </c>
      <c r="I130" s="13">
        <f t="shared" si="14"/>
        <v>27791.100000000006</v>
      </c>
      <c r="J130" s="14">
        <f t="shared" si="15"/>
        <v>0.16186328190295696</v>
      </c>
      <c r="K130" s="80"/>
      <c r="L130" s="54"/>
      <c r="M130" s="57" t="s">
        <v>242</v>
      </c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7683.0969245387796</v>
      </c>
      <c r="E131" s="15">
        <v>9051.2430000000004</v>
      </c>
      <c r="F131" s="15">
        <f t="shared" si="12"/>
        <v>-1368.1460754612208</v>
      </c>
      <c r="G131" s="16">
        <f t="shared" si="13"/>
        <v>-0.15115560099990916</v>
      </c>
      <c r="H131" s="17">
        <v>5578.1639999999998</v>
      </c>
      <c r="I131" s="17">
        <f t="shared" si="14"/>
        <v>2104.9329245387798</v>
      </c>
      <c r="J131" s="16">
        <f t="shared" si="15"/>
        <v>0.37735228375120916</v>
      </c>
      <c r="K131" s="16"/>
      <c r="L131" s="59"/>
      <c r="M131" s="60"/>
    </row>
    <row r="132" spans="1:13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6756.0919999999996</v>
      </c>
      <c r="E132" s="11">
        <v>9837.4619999999995</v>
      </c>
      <c r="F132" s="11">
        <f t="shared" si="12"/>
        <v>-3081.37</v>
      </c>
      <c r="G132" s="12">
        <f t="shared" si="13"/>
        <v>-0.31322814766654244</v>
      </c>
      <c r="H132" s="13">
        <v>4705.1850000000004</v>
      </c>
      <c r="I132" s="13">
        <f t="shared" si="14"/>
        <v>2050.9069999999992</v>
      </c>
      <c r="J132" s="14">
        <f t="shared" si="15"/>
        <v>0.43588232981274894</v>
      </c>
      <c r="K132" s="80"/>
      <c r="L132" s="54"/>
      <c r="M132" s="57"/>
    </row>
    <row r="133" spans="1:13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4841.2209999999995</v>
      </c>
      <c r="E133" s="15">
        <v>5080.41</v>
      </c>
      <c r="F133" s="15">
        <f t="shared" si="12"/>
        <v>-239.18900000000031</v>
      </c>
      <c r="G133" s="16">
        <f t="shared" si="13"/>
        <v>-4.7080649002738027E-2</v>
      </c>
      <c r="H133" s="17">
        <v>5616.41</v>
      </c>
      <c r="I133" s="17">
        <f t="shared" si="14"/>
        <v>-775.18900000000031</v>
      </c>
      <c r="J133" s="16">
        <f t="shared" si="15"/>
        <v>-0.1380221529411137</v>
      </c>
      <c r="K133" s="16"/>
      <c r="L133" s="59"/>
      <c r="M133" s="60"/>
    </row>
    <row r="134" spans="1:13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23245</v>
      </c>
      <c r="E134" s="11">
        <v>23386.526999999998</v>
      </c>
      <c r="F134" s="11">
        <f t="shared" si="12"/>
        <v>-141.52699999999822</v>
      </c>
      <c r="G134" s="12">
        <f t="shared" si="13"/>
        <v>-6.0516467451536618E-3</v>
      </c>
      <c r="H134" s="13">
        <v>10031.109</v>
      </c>
      <c r="I134" s="13">
        <f t="shared" si="14"/>
        <v>13213.891</v>
      </c>
      <c r="J134" s="14">
        <f t="shared" si="15"/>
        <v>1.3172911389956983</v>
      </c>
      <c r="K134" s="80"/>
      <c r="L134" s="54"/>
      <c r="M134" s="57"/>
    </row>
    <row r="135" spans="1:13" ht="29.1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24756.5</v>
      </c>
      <c r="E135" s="15">
        <v>28681.8</v>
      </c>
      <c r="F135" s="15">
        <f t="shared" si="12"/>
        <v>-3925.2999999999993</v>
      </c>
      <c r="G135" s="16">
        <f t="shared" si="13"/>
        <v>-0.1368568220962422</v>
      </c>
      <c r="H135" s="17">
        <v>15500.15</v>
      </c>
      <c r="I135" s="17">
        <f t="shared" si="14"/>
        <v>9256.35</v>
      </c>
      <c r="J135" s="16">
        <f t="shared" si="15"/>
        <v>0.59717809182491788</v>
      </c>
      <c r="K135" s="16"/>
      <c r="L135" s="59" t="s">
        <v>243</v>
      </c>
      <c r="M135" s="60" t="s">
        <v>244</v>
      </c>
    </row>
    <row r="136" spans="1:13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20943.878000000001</v>
      </c>
      <c r="E136" s="11">
        <v>28162.888999999999</v>
      </c>
      <c r="F136" s="11">
        <f t="shared" si="12"/>
        <v>-7219.0109999999986</v>
      </c>
      <c r="G136" s="12">
        <f t="shared" si="13"/>
        <v>-0.25633062715973487</v>
      </c>
      <c r="H136" s="13">
        <v>14876.294</v>
      </c>
      <c r="I136" s="13">
        <f t="shared" si="14"/>
        <v>6067.5840000000007</v>
      </c>
      <c r="J136" s="14">
        <f t="shared" si="15"/>
        <v>0.40786932551884231</v>
      </c>
      <c r="K136" s="80"/>
      <c r="L136" s="54"/>
      <c r="M136" s="57"/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9600.8161760828207</v>
      </c>
      <c r="E137" s="15">
        <v>11954.22</v>
      </c>
      <c r="F137" s="15">
        <f t="shared" si="12"/>
        <v>-2353.4038239171787</v>
      </c>
      <c r="G137" s="16">
        <f t="shared" si="13"/>
        <v>-0.19686803688715607</v>
      </c>
      <c r="H137" s="17">
        <v>6332.8559999999998</v>
      </c>
      <c r="I137" s="17">
        <f t="shared" si="14"/>
        <v>3267.9601760828209</v>
      </c>
      <c r="J137" s="16">
        <f t="shared" si="15"/>
        <v>0.51603260457569555</v>
      </c>
      <c r="K137" s="16"/>
      <c r="L137" s="59"/>
      <c r="M137" s="40"/>
    </row>
    <row r="138" spans="1:13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80"/>
      <c r="L138" s="54"/>
      <c r="M138" s="57"/>
    </row>
    <row r="139" spans="1:13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16"/>
      <c r="L139" s="59"/>
      <c r="M139" s="40"/>
    </row>
    <row r="140" spans="1:13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80"/>
      <c r="L140" s="70"/>
      <c r="M140" s="38"/>
    </row>
    <row r="141" spans="1:13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16"/>
      <c r="L141" s="39"/>
      <c r="M141" s="18"/>
    </row>
    <row r="142" spans="1:13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v>204416</v>
      </c>
      <c r="E142" s="11">
        <v>302167.40000000002</v>
      </c>
      <c r="F142" s="11"/>
      <c r="G142" s="68"/>
      <c r="H142" s="83">
        <v>249300</v>
      </c>
      <c r="I142" s="83"/>
      <c r="J142" s="80"/>
      <c r="K142" s="80">
        <v>0.89071330000000004</v>
      </c>
      <c r="L142" s="70"/>
      <c r="M142" s="38"/>
    </row>
    <row r="143" spans="1:13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16"/>
      <c r="L143" s="39"/>
      <c r="M143" s="18"/>
    </row>
    <row r="144" spans="1:13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80"/>
      <c r="L144" s="70"/>
      <c r="M144" s="38"/>
    </row>
    <row r="145" spans="1:13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16"/>
      <c r="L145" s="39"/>
      <c r="M145" s="18"/>
    </row>
    <row r="146" spans="1:13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80"/>
      <c r="L146" s="70"/>
      <c r="M146" s="38"/>
    </row>
    <row r="147" spans="1:13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16"/>
      <c r="L147" s="39"/>
      <c r="M147" s="18"/>
    </row>
    <row r="148" spans="1:13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80"/>
      <c r="L148" s="70"/>
      <c r="M148" s="38"/>
    </row>
    <row r="149" spans="1:13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16"/>
      <c r="L149" s="39"/>
      <c r="M149" s="18"/>
    </row>
    <row r="150" spans="1:13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80"/>
      <c r="L150" s="70"/>
      <c r="M150" s="38"/>
    </row>
    <row r="151" spans="1:13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16"/>
      <c r="L151" s="39"/>
      <c r="M151" s="18"/>
    </row>
    <row r="152" spans="1:13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80"/>
      <c r="L152" s="70"/>
      <c r="M152" s="38"/>
    </row>
    <row r="153" spans="1:13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16"/>
      <c r="L153" s="59"/>
      <c r="M153" s="18"/>
    </row>
    <row r="154" spans="1:13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80"/>
      <c r="L154" s="70"/>
      <c r="M154" s="38"/>
    </row>
    <row r="155" spans="1:13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16"/>
      <c r="L155" s="39"/>
      <c r="M155" s="18"/>
    </row>
    <row r="156" spans="1:13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80"/>
      <c r="L156" s="70"/>
      <c r="M156" s="38"/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16"/>
      <c r="L157" s="39"/>
      <c r="M157" s="18"/>
    </row>
    <row r="158" spans="1:13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80"/>
      <c r="L158" s="70"/>
      <c r="M158" s="38"/>
    </row>
    <row r="159" spans="1:13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>
        <v>296668.98</v>
      </c>
      <c r="E159" s="15">
        <v>308870.90000000002</v>
      </c>
      <c r="F159" s="15"/>
      <c r="G159" s="84"/>
      <c r="H159" s="85">
        <v>218702</v>
      </c>
      <c r="I159" s="85"/>
      <c r="J159" s="84"/>
      <c r="K159" s="16">
        <v>0.96469470000000002</v>
      </c>
      <c r="L159" s="39"/>
      <c r="M159" s="18"/>
    </row>
    <row r="160" spans="1:13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80"/>
      <c r="L160" s="70"/>
      <c r="M160" s="38"/>
    </row>
    <row r="161" spans="1:13" ht="15.6">
      <c r="A161" s="27" t="str">
        <v>Altamont</v>
      </c>
      <c r="B161" s="28" t="str">
        <v>NY</v>
      </c>
      <c r="C161" s="28" t="s">
        <v>13</v>
      </c>
      <c r="D161" s="82"/>
      <c r="E161" s="15"/>
      <c r="F161" s="15"/>
      <c r="G161" s="84"/>
      <c r="H161" s="85"/>
      <c r="I161" s="85"/>
      <c r="J161" s="84"/>
      <c r="K161" s="19">
        <v>0</v>
      </c>
      <c r="L161" s="39"/>
      <c r="M161" s="18"/>
    </row>
    <row r="162" spans="1:13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9"/>
      <c r="M162" s="18"/>
    </row>
    <row r="163" spans="1:13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9"/>
      <c r="M163" s="18"/>
    </row>
    <row r="164" spans="1:13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9"/>
      <c r="M164" s="18"/>
    </row>
    <row r="165" spans="1:13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9"/>
      <c r="M165" s="18"/>
    </row>
    <row r="166" spans="1:13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9"/>
      <c r="M166" s="18"/>
    </row>
    <row r="167" spans="1:13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9"/>
      <c r="M167" s="18"/>
    </row>
    <row r="168" spans="1:13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9"/>
      <c r="M168" s="18"/>
    </row>
    <row r="169" spans="1:13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9"/>
      <c r="M169" s="18"/>
    </row>
    <row r="170" spans="1:13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9"/>
      <c r="M170" s="18"/>
    </row>
    <row r="171" spans="1:13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9"/>
      <c r="M171" s="18"/>
    </row>
    <row r="172" spans="1:13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9"/>
      <c r="M172" s="18"/>
    </row>
    <row r="173" spans="1:13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9"/>
      <c r="M173" s="18"/>
    </row>
    <row r="174" spans="1:13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9"/>
      <c r="M174" s="18"/>
    </row>
    <row r="175" spans="1:13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9"/>
      <c r="M175" s="18"/>
    </row>
    <row r="176" spans="1:13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9"/>
      <c r="M176" s="18"/>
    </row>
    <row r="177" spans="1:13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9"/>
      <c r="M177" s="18"/>
    </row>
    <row r="178" spans="1:13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9"/>
      <c r="M178" s="18"/>
    </row>
    <row r="179" spans="1:13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9"/>
      <c r="M179" s="18"/>
    </row>
    <row r="180" spans="1:13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9"/>
      <c r="M180" s="18"/>
    </row>
    <row r="181" spans="1:13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9"/>
      <c r="M181" s="18"/>
    </row>
    <row r="182" spans="1:13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9"/>
      <c r="M182" s="18"/>
    </row>
    <row r="183" spans="1:13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9"/>
      <c r="M183" s="18"/>
    </row>
    <row r="184" spans="1:13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9"/>
      <c r="M184" s="18"/>
    </row>
    <row r="185" spans="1:13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9"/>
      <c r="M185" s="18"/>
    </row>
    <row r="186" spans="1:13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9"/>
      <c r="M186" s="18"/>
    </row>
    <row r="187" spans="1:13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9"/>
      <c r="M187" s="18"/>
    </row>
    <row r="188" spans="1:13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9"/>
      <c r="M188" s="18"/>
    </row>
    <row r="189" spans="1:13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9"/>
      <c r="M189" s="18"/>
    </row>
    <row r="190" spans="1:13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9"/>
      <c r="M190" s="18"/>
    </row>
    <row r="191" spans="1:13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9"/>
      <c r="M191" s="18"/>
    </row>
    <row r="192" spans="1:13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9"/>
      <c r="M192" s="18"/>
    </row>
    <row r="193" spans="1:13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9"/>
      <c r="M193" s="18"/>
    </row>
    <row r="194" spans="1:13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9"/>
      <c r="M194" s="18"/>
    </row>
    <row r="195" spans="1:13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9"/>
      <c r="M195" s="18"/>
    </row>
    <row r="196" spans="1:13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9"/>
      <c r="M196" s="18"/>
    </row>
    <row r="197" spans="1:13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9"/>
      <c r="M197" s="18"/>
    </row>
    <row r="198" spans="1:13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9"/>
      <c r="M198" s="18"/>
    </row>
    <row r="199" spans="1:13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9"/>
      <c r="M199" s="18"/>
    </row>
    <row r="200" spans="1:13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9"/>
      <c r="M200" s="18"/>
    </row>
    <row r="201" spans="1:13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9"/>
      <c r="M201" s="18"/>
    </row>
    <row r="202" spans="1:13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9"/>
      <c r="M202" s="18"/>
    </row>
    <row r="203" spans="1:13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9"/>
      <c r="M203" s="18"/>
    </row>
    <row r="204" spans="1:13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9"/>
      <c r="M204" s="18"/>
    </row>
    <row r="205" spans="1:13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9"/>
      <c r="M205" s="18"/>
    </row>
    <row r="206" spans="1:13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9"/>
      <c r="M206" s="18"/>
    </row>
    <row r="207" spans="1:13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9"/>
      <c r="M207" s="18"/>
    </row>
    <row r="208" spans="1:13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9"/>
      <c r="M208" s="18"/>
    </row>
    <row r="209" spans="1:13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9"/>
      <c r="M209" s="18"/>
    </row>
    <row r="210" spans="1:13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9"/>
      <c r="M210" s="18"/>
    </row>
    <row r="211" spans="1:13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9"/>
      <c r="M211" s="18"/>
    </row>
    <row r="212" spans="1:13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9"/>
      <c r="M212" s="18"/>
    </row>
    <row r="213" spans="1:13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9"/>
      <c r="M213" s="18"/>
    </row>
    <row r="214" spans="1:13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9"/>
      <c r="M214" s="18"/>
    </row>
    <row r="215" spans="1:13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9"/>
      <c r="M215" s="18"/>
    </row>
    <row r="216" spans="1:13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9"/>
      <c r="M216" s="18"/>
    </row>
    <row r="217" spans="1:13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9"/>
      <c r="M217" s="18"/>
    </row>
    <row r="218" spans="1:13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9"/>
      <c r="M218" s="18"/>
    </row>
    <row r="219" spans="1:13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9"/>
      <c r="M219" s="18"/>
    </row>
    <row r="220" spans="1:13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9"/>
      <c r="M220" s="18"/>
    </row>
    <row r="221" spans="1:13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9"/>
      <c r="M221" s="18"/>
    </row>
    <row r="222" spans="1:13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9"/>
      <c r="M222" s="18"/>
    </row>
    <row r="223" spans="1:13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9"/>
      <c r="M223" s="18"/>
    </row>
    <row r="224" spans="1:13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9"/>
      <c r="M224" s="18"/>
    </row>
    <row r="225" spans="1:13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9"/>
      <c r="M225" s="18"/>
    </row>
    <row r="226" spans="1:13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9"/>
      <c r="M226" s="18"/>
    </row>
    <row r="227" spans="1:13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9"/>
      <c r="M227" s="18"/>
    </row>
    <row r="228" spans="1:13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9"/>
      <c r="M228" s="18"/>
    </row>
    <row r="229" spans="1:13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9"/>
      <c r="M229" s="18"/>
    </row>
    <row r="230" spans="1:13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9"/>
      <c r="M230" s="18"/>
    </row>
    <row r="231" spans="1:13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9"/>
      <c r="M231" s="18"/>
    </row>
    <row r="232" spans="1:13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9"/>
      <c r="M232" s="18"/>
    </row>
    <row r="233" spans="1:13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9"/>
      <c r="M233" s="18"/>
    </row>
    <row r="234" spans="1:13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9"/>
      <c r="M234" s="18"/>
    </row>
    <row r="235" spans="1:13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9"/>
      <c r="M235" s="18"/>
    </row>
    <row r="236" spans="1:13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9"/>
      <c r="M236" s="18"/>
    </row>
    <row r="237" spans="1:13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9"/>
      <c r="M237" s="18"/>
    </row>
    <row r="238" spans="1:13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9"/>
      <c r="M238" s="18"/>
    </row>
    <row r="239" spans="1:13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9"/>
      <c r="M239" s="18"/>
    </row>
    <row r="240" spans="1:13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9"/>
      <c r="M240" s="18"/>
    </row>
    <row r="241" spans="1:13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9"/>
      <c r="M241" s="18"/>
    </row>
    <row r="242" spans="1:13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9"/>
      <c r="M242" s="18"/>
    </row>
    <row r="243" spans="1:13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9"/>
      <c r="M243" s="18"/>
    </row>
    <row r="244" spans="1:13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9"/>
      <c r="M244" s="18"/>
    </row>
    <row r="245" spans="1:13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9"/>
      <c r="M245" s="18"/>
    </row>
    <row r="246" spans="1:13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9"/>
      <c r="M246" s="18"/>
    </row>
    <row r="247" spans="1:13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9"/>
      <c r="M247" s="18"/>
    </row>
    <row r="248" spans="1:13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9"/>
      <c r="M248" s="18"/>
    </row>
    <row r="249" spans="1:13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9"/>
      <c r="M249" s="18"/>
    </row>
    <row r="250" spans="1:13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9"/>
      <c r="M250" s="18"/>
    </row>
    <row r="251" spans="1:13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9"/>
      <c r="M251" s="18"/>
    </row>
    <row r="252" spans="1:13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9"/>
      <c r="M252" s="18"/>
    </row>
    <row r="253" spans="1:13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9"/>
      <c r="M253" s="18"/>
    </row>
    <row r="254" spans="1:13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9"/>
      <c r="M254" s="18"/>
    </row>
    <row r="255" spans="1:13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9"/>
      <c r="M255" s="18"/>
    </row>
    <row r="256" spans="1:13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9"/>
      <c r="M256" s="18"/>
    </row>
    <row r="257" spans="1:13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9"/>
      <c r="M257" s="18"/>
    </row>
    <row r="258" spans="1:13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9"/>
      <c r="M258" s="18"/>
    </row>
    <row r="259" spans="1:13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9"/>
      <c r="M259" s="18"/>
    </row>
    <row r="260" spans="1:13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9"/>
      <c r="M260" s="18"/>
    </row>
    <row r="261" spans="1:13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9"/>
      <c r="M261" s="18"/>
    </row>
    <row r="262" spans="1:13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9"/>
      <c r="M262" s="18"/>
    </row>
    <row r="263" spans="1:13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9"/>
      <c r="M263" s="18"/>
    </row>
    <row r="264" spans="1:13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9"/>
      <c r="M264" s="18"/>
    </row>
    <row r="265" spans="1:13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9"/>
      <c r="M265" s="18"/>
    </row>
    <row r="266" spans="1:13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9"/>
      <c r="M266" s="18"/>
    </row>
    <row r="267" spans="1:13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9"/>
      <c r="M267" s="18"/>
    </row>
    <row r="268" spans="1:13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9"/>
      <c r="M268" s="18"/>
    </row>
    <row r="269" spans="1:13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9"/>
      <c r="M269" s="18"/>
    </row>
    <row r="270" spans="1:13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9"/>
      <c r="M270" s="18"/>
    </row>
    <row r="271" spans="1:13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9"/>
      <c r="M271" s="18"/>
    </row>
    <row r="272" spans="1:13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9"/>
      <c r="M272" s="18"/>
    </row>
    <row r="273" spans="1:13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9"/>
      <c r="M273" s="18"/>
    </row>
    <row r="274" spans="1:13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9"/>
      <c r="M274" s="18"/>
    </row>
    <row r="275" spans="1:13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9"/>
      <c r="M275" s="18"/>
    </row>
    <row r="276" spans="1:13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9"/>
      <c r="M276" s="18"/>
    </row>
    <row r="277" spans="1:13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9"/>
      <c r="M277" s="18"/>
    </row>
    <row r="278" spans="1:13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9"/>
      <c r="M278" s="18"/>
    </row>
    <row r="279" spans="1:13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9"/>
      <c r="M279" s="18"/>
    </row>
    <row r="280" spans="1:13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9"/>
      <c r="M280" s="18"/>
    </row>
    <row r="281" spans="1:13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9"/>
      <c r="M281" s="18"/>
    </row>
    <row r="282" spans="1:13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9"/>
      <c r="M282" s="18"/>
    </row>
    <row r="283" spans="1:13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9"/>
      <c r="M283" s="18"/>
    </row>
    <row r="284" spans="1:13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9"/>
      <c r="M284" s="18"/>
    </row>
    <row r="285" spans="1:13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9"/>
      <c r="M285" s="18"/>
    </row>
    <row r="286" spans="1:13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9"/>
      <c r="M286" s="18"/>
    </row>
    <row r="287" spans="1:13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9"/>
      <c r="M287" s="18"/>
    </row>
    <row r="288" spans="1:13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9"/>
      <c r="M288" s="18"/>
    </row>
    <row r="289" spans="1:13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9"/>
      <c r="M289" s="18"/>
    </row>
    <row r="290" spans="1:13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9"/>
      <c r="M290" s="18"/>
    </row>
    <row r="291" spans="1:13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9"/>
      <c r="M291" s="18"/>
    </row>
    <row r="292" spans="1:13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9"/>
      <c r="M292" s="18"/>
    </row>
    <row r="293" spans="1:13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9"/>
      <c r="M293" s="18"/>
    </row>
    <row r="294" spans="1:13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9"/>
      <c r="M294" s="18"/>
    </row>
    <row r="295" spans="1:13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9"/>
      <c r="M295" s="18"/>
    </row>
    <row r="296" spans="1:13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9"/>
      <c r="M296" s="18"/>
    </row>
    <row r="297" spans="1:13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9"/>
      <c r="M297" s="18"/>
    </row>
    <row r="298" spans="1:13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9"/>
      <c r="M298" s="18"/>
    </row>
    <row r="299" spans="1:13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9"/>
      <c r="M299" s="18"/>
    </row>
    <row r="300" spans="1:13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9"/>
      <c r="M300" s="18"/>
    </row>
    <row r="301" spans="1:13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9"/>
      <c r="M301" s="18"/>
    </row>
    <row r="302" spans="1:13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9"/>
      <c r="M302" s="18"/>
    </row>
    <row r="303" spans="1:13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9"/>
      <c r="M303" s="18"/>
    </row>
    <row r="304" spans="1:13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9"/>
      <c r="M304" s="18"/>
    </row>
    <row r="305" spans="1:13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9"/>
      <c r="M305" s="18"/>
    </row>
    <row r="306" spans="1:13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9"/>
      <c r="M306" s="18"/>
    </row>
    <row r="307" spans="1:13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9"/>
      <c r="M307" s="18"/>
    </row>
    <row r="308" spans="1:13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9"/>
      <c r="M308" s="18"/>
    </row>
    <row r="309" spans="1:13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9"/>
      <c r="M309" s="18"/>
    </row>
    <row r="310" spans="1:13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9"/>
      <c r="M310" s="18"/>
    </row>
    <row r="311" spans="1:13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9"/>
      <c r="M311" s="18"/>
    </row>
    <row r="312" spans="1:13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9"/>
      <c r="M312" s="18"/>
    </row>
    <row r="313" spans="1:13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9"/>
      <c r="M313" s="18"/>
    </row>
    <row r="314" spans="1:13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9"/>
      <c r="M314" s="18"/>
    </row>
    <row r="315" spans="1:13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9"/>
      <c r="M315" s="18"/>
    </row>
    <row r="316" spans="1:13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9"/>
      <c r="M316" s="18"/>
    </row>
    <row r="317" spans="1:13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9"/>
      <c r="M317" s="18"/>
    </row>
    <row r="318" spans="1:13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9"/>
      <c r="M318" s="18"/>
    </row>
    <row r="319" spans="1:13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9"/>
      <c r="M319" s="18"/>
    </row>
    <row r="320" spans="1:13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9"/>
      <c r="M320" s="18"/>
    </row>
    <row r="321" spans="1:13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9"/>
      <c r="M321" s="18"/>
    </row>
    <row r="322" spans="1:13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9"/>
      <c r="M322" s="18"/>
    </row>
    <row r="323" spans="1:13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9"/>
      <c r="M323" s="18"/>
    </row>
    <row r="324" spans="1:13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9"/>
      <c r="M324" s="18"/>
    </row>
    <row r="325" spans="1:13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9"/>
      <c r="M325" s="18"/>
    </row>
    <row r="326" spans="1:13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9"/>
      <c r="M326" s="18"/>
    </row>
    <row r="327" spans="1:13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9"/>
      <c r="M327" s="18"/>
    </row>
    <row r="328" spans="1:13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9"/>
      <c r="M328" s="18"/>
    </row>
    <row r="329" spans="1:13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9"/>
      <c r="M329" s="18"/>
    </row>
    <row r="330" spans="1:13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9"/>
      <c r="M330" s="18"/>
    </row>
    <row r="331" spans="1:13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9"/>
      <c r="M331" s="18"/>
    </row>
    <row r="332" spans="1:13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9"/>
      <c r="M332" s="18"/>
    </row>
    <row r="333" spans="1:13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9"/>
      <c r="M333" s="18"/>
    </row>
    <row r="334" spans="1:13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9"/>
      <c r="M334" s="18"/>
    </row>
    <row r="335" spans="1:13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9"/>
      <c r="M335" s="18"/>
    </row>
    <row r="336" spans="1:13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9"/>
      <c r="M336" s="18"/>
    </row>
    <row r="337" spans="1:13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9"/>
      <c r="M337" s="18"/>
    </row>
    <row r="338" spans="1:13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9"/>
      <c r="M338" s="18"/>
    </row>
    <row r="339" spans="1:13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9"/>
      <c r="M339" s="18"/>
    </row>
    <row r="340" spans="1:13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9"/>
      <c r="M340" s="18"/>
    </row>
    <row r="341" spans="1:13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9"/>
      <c r="M341" s="18"/>
    </row>
    <row r="342" spans="1:13">
      <c r="D342" s="18"/>
      <c r="E342" s="18"/>
      <c r="F342" s="18"/>
      <c r="G342" s="19"/>
      <c r="H342" s="18"/>
      <c r="I342" s="18"/>
      <c r="J342" s="19"/>
      <c r="K342" s="19"/>
      <c r="M342" s="18"/>
    </row>
  </sheetData>
  <mergeCells count="4">
    <mergeCell ref="H1:J1"/>
    <mergeCell ref="A1:D1"/>
    <mergeCell ref="E1:G1"/>
    <mergeCell ref="A2:B2"/>
  </mergeCells>
  <conditionalFormatting sqref="G2">
    <cfRule type="cellIs" dxfId="94" priority="15" stopIfTrue="1" operator="lessThanOrEqual">
      <formula>-0.1</formula>
    </cfRule>
    <cfRule type="expression" dxfId="93" priority="16">
      <formula>AND(ISNUMBER(G2), G2&gt;=0.1)</formula>
    </cfRule>
  </conditionalFormatting>
  <conditionalFormatting sqref="G4:G161 J4:J161">
    <cfRule type="cellIs" dxfId="92" priority="5" stopIfTrue="1" operator="lessThanOrEqual">
      <formula>-0.1</formula>
    </cfRule>
    <cfRule type="expression" dxfId="91" priority="6">
      <formula>AND(ISNUMBER(G4), G4&gt;=0.1)</formula>
    </cfRule>
  </conditionalFormatting>
  <conditionalFormatting sqref="J2:K2">
    <cfRule type="cellIs" dxfId="90" priority="3" stopIfTrue="1" operator="lessThanOrEqual">
      <formula>-0.1</formula>
    </cfRule>
    <cfRule type="expression" dxfId="89" priority="4">
      <formula>AND(ISNUMBER(J2), J2&gt;=0.1)</formula>
    </cfRule>
  </conditionalFormatting>
  <conditionalFormatting sqref="K4:K160">
    <cfRule type="expression" dxfId="88" priority="1" stopIfTrue="1">
      <formula>AND(K4&lt;&gt;"",K4&lt;0.975)</formula>
    </cfRule>
    <cfRule type="expression" dxfId="87" priority="2">
      <formula>AND(ISNUMBER(K4), K4&gt;=0.985)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42"/>
  <sheetViews>
    <sheetView tabSelected="1" zoomScale="90" zoomScaleNormal="90" workbookViewId="0">
      <pane xSplit="2" ySplit="3" topLeftCell="C11" activePane="bottomRight" state="frozen"/>
      <selection pane="bottomRight" activeCell="K3" sqref="K3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8.5703125" style="1" customWidth="1"/>
    <col min="12" max="12" width="75" customWidth="1"/>
    <col min="13" max="13" width="24.85546875" customWidth="1"/>
  </cols>
  <sheetData>
    <row r="1" spans="1:13" ht="19.5" customHeight="1">
      <c r="A1" s="111" t="str" cm="1">
        <f t="array" ref="A1">portfolio</f>
        <v>Generate Capital</v>
      </c>
      <c r="B1" s="111"/>
      <c r="C1" s="111"/>
      <c r="D1" s="111"/>
      <c r="E1" s="112" t="s">
        <v>245</v>
      </c>
      <c r="F1" s="112"/>
      <c r="G1" s="112"/>
      <c r="H1" s="110" t="s">
        <v>246</v>
      </c>
      <c r="I1" s="110"/>
      <c r="J1" s="110"/>
      <c r="K1" s="107" t="s">
        <v>247</v>
      </c>
      <c r="L1" s="5"/>
      <c r="M1" s="5"/>
    </row>
    <row r="2" spans="1:13" ht="19.5" customHeight="1">
      <c r="A2" s="113" t="s">
        <v>3</v>
      </c>
      <c r="B2" s="113"/>
      <c r="C2" s="72"/>
      <c r="D2" s="6">
        <f>SUM(D4:D138)</f>
        <v>20340170.761603374</v>
      </c>
      <c r="E2" s="6">
        <f>SUM(E4:E138)</f>
        <v>8459791.1010000017</v>
      </c>
      <c r="F2" s="6">
        <f>D2-E2</f>
        <v>11880379.660603372</v>
      </c>
      <c r="G2" s="7">
        <f>IFERROR(F2/E2, 0)</f>
        <v>1.4043348729023621</v>
      </c>
      <c r="H2" s="6">
        <f>SUM(H4:H138)</f>
        <v>19425835.563700002</v>
      </c>
      <c r="I2" s="8">
        <f>D2-H2</f>
        <v>914335.19790337235</v>
      </c>
      <c r="J2" s="7">
        <f>IFERROR(I2/H2, 0)</f>
        <v>4.7067998434617689E-2</v>
      </c>
      <c r="K2" s="108"/>
      <c r="L2" s="23" t="str">
        <f ca="1">IF(AND(TODAY()&gt;DATE(2024, 3,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4.25" customHeight="1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  <c r="L3" s="22" t="s">
        <v>30</v>
      </c>
      <c r="M3" s="22" t="s">
        <v>31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13308.369084189801</v>
      </c>
      <c r="E4" s="11"/>
      <c r="F4" s="11" t="str">
        <f>IF(AND(ISNUMBER(D4),ISNUMBER(E4)), D4-E4, "")</f>
        <v/>
      </c>
      <c r="G4" s="12" t="str">
        <f>IFERROR(F4/E4, "")</f>
        <v/>
      </c>
      <c r="H4" s="13">
        <v>12511.6</v>
      </c>
      <c r="I4" s="13">
        <f>IF(AND(ISNUMBER(D4),ISNUMBER(H4)), D4-H4, "")</f>
        <v>796.7690841898002</v>
      </c>
      <c r="J4" s="14">
        <f>IFERROR(I4/H4, "")</f>
        <v>6.3682429440663074E-2</v>
      </c>
      <c r="K4" s="14">
        <v>1</v>
      </c>
      <c r="L4" s="38"/>
      <c r="M4" s="38"/>
    </row>
    <row r="5" spans="1:13" ht="29.1">
      <c r="A5" s="27" t="str">
        <v>Fulton</v>
      </c>
      <c r="B5" s="28" t="str">
        <v>AZ</v>
      </c>
      <c r="C5" s="28" t="str">
        <f>Sites[[#This Row],[SOL'#]]</f>
        <v>SOL-10749</v>
      </c>
      <c r="D5" s="10">
        <v>47793.75</v>
      </c>
      <c r="E5" s="15"/>
      <c r="F5" s="15" t="str">
        <f t="shared" ref="F5:F13" si="0">IF(AND(ISNUMBER(D5),ISNUMBER(E5)), D5-E5, "")</f>
        <v/>
      </c>
      <c r="G5" s="16" t="str">
        <f>IFERROR(F5/E5, "")</f>
        <v/>
      </c>
      <c r="H5" s="17">
        <v>55264.49</v>
      </c>
      <c r="I5" s="17">
        <f t="shared" ref="I5:I17" si="1">IF(AND(ISNUMBER(D5),ISNUMBER(H5)), D5-H5, "")</f>
        <v>-7470.739999999998</v>
      </c>
      <c r="J5" s="16">
        <f t="shared" ref="J5:J17" si="2">IFERROR(I5/H5, "")</f>
        <v>-0.13518156052828856</v>
      </c>
      <c r="K5" s="16">
        <v>1</v>
      </c>
      <c r="L5" s="39" t="s">
        <v>248</v>
      </c>
      <c r="M5" s="39" t="s">
        <v>249</v>
      </c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-1211266.46149529</v>
      </c>
      <c r="E6" s="11">
        <v>0</v>
      </c>
      <c r="F6" s="11">
        <f t="shared" si="0"/>
        <v>-1211266.46149529</v>
      </c>
      <c r="G6" s="12" t="str">
        <f t="shared" ref="G6:G13" si="3">IFERROR(F6/E6, "")</f>
        <v/>
      </c>
      <c r="H6" s="13">
        <v>18325</v>
      </c>
      <c r="I6" s="13">
        <f t="shared" si="1"/>
        <v>-1229591.46149529</v>
      </c>
      <c r="J6" s="14">
        <f t="shared" si="2"/>
        <v>-67.099124774640657</v>
      </c>
      <c r="K6" s="14">
        <v>1</v>
      </c>
      <c r="L6" s="38"/>
      <c r="M6" s="38"/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v>12445.319678820901</v>
      </c>
      <c r="E7" s="15"/>
      <c r="F7" s="15" t="str">
        <f t="shared" si="0"/>
        <v/>
      </c>
      <c r="G7" s="16" t="str">
        <f t="shared" si="3"/>
        <v/>
      </c>
      <c r="H7" s="17">
        <v>13955.14</v>
      </c>
      <c r="I7" s="17">
        <f t="shared" si="1"/>
        <v>-1509.8203211790988</v>
      </c>
      <c r="J7" s="16">
        <f t="shared" si="2"/>
        <v>-0.10819098347842435</v>
      </c>
      <c r="K7" s="16">
        <v>1</v>
      </c>
      <c r="L7" s="39"/>
      <c r="M7" s="40"/>
    </row>
    <row r="8" spans="1:13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v>31608.757356110102</v>
      </c>
      <c r="E8" s="11"/>
      <c r="F8" s="11" t="str">
        <f t="shared" si="0"/>
        <v/>
      </c>
      <c r="G8" s="12" t="str">
        <f t="shared" si="3"/>
        <v/>
      </c>
      <c r="H8" s="13">
        <v>30323.14</v>
      </c>
      <c r="I8" s="13">
        <f t="shared" si="1"/>
        <v>1285.6173561101023</v>
      </c>
      <c r="J8" s="14">
        <f t="shared" si="2"/>
        <v>4.2397237097150965E-2</v>
      </c>
      <c r="K8" s="14">
        <v>1</v>
      </c>
      <c r="L8" s="38"/>
      <c r="M8" s="38"/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v>29990.198012616998</v>
      </c>
      <c r="E9" s="15"/>
      <c r="F9" s="15" t="str">
        <f t="shared" si="0"/>
        <v/>
      </c>
      <c r="G9" s="16" t="str">
        <f t="shared" si="3"/>
        <v/>
      </c>
      <c r="H9" s="17">
        <v>29596.080000000002</v>
      </c>
      <c r="I9" s="17">
        <f t="shared" si="1"/>
        <v>394.11801261699657</v>
      </c>
      <c r="J9" s="16">
        <f t="shared" si="2"/>
        <v>1.3316561268147557E-2</v>
      </c>
      <c r="K9" s="16">
        <v>1</v>
      </c>
      <c r="L9" s="39"/>
      <c r="M9" s="40"/>
    </row>
    <row r="10" spans="1:13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13032.212103989101</v>
      </c>
      <c r="E10" s="11"/>
      <c r="F10" s="11" t="str">
        <f t="shared" si="0"/>
        <v/>
      </c>
      <c r="G10" s="12" t="str">
        <f t="shared" si="3"/>
        <v/>
      </c>
      <c r="H10" s="13">
        <v>12103</v>
      </c>
      <c r="I10" s="13">
        <f t="shared" si="1"/>
        <v>929.2121039891008</v>
      </c>
      <c r="J10" s="14">
        <f t="shared" si="2"/>
        <v>7.6775353547806388E-2</v>
      </c>
      <c r="K10" s="14">
        <v>1</v>
      </c>
      <c r="L10" s="38"/>
      <c r="M10" s="38"/>
    </row>
    <row r="11" spans="1:13" ht="29.1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7256.7968945866496</v>
      </c>
      <c r="E11" s="15">
        <v>0</v>
      </c>
      <c r="F11" s="15">
        <f t="shared" si="0"/>
        <v>7256.7968945866496</v>
      </c>
      <c r="G11" s="16" t="str">
        <f t="shared" si="3"/>
        <v/>
      </c>
      <c r="H11" s="17">
        <v>7972</v>
      </c>
      <c r="I11" s="17">
        <f t="shared" si="1"/>
        <v>-715.20310541335039</v>
      </c>
      <c r="J11" s="16">
        <f t="shared" si="2"/>
        <v>-8.9714388536546716E-2</v>
      </c>
      <c r="K11" s="16">
        <v>1</v>
      </c>
      <c r="L11" s="39" t="s">
        <v>250</v>
      </c>
      <c r="M11" s="58" t="s">
        <v>251</v>
      </c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80803</v>
      </c>
      <c r="E12" s="11">
        <v>98396.27</v>
      </c>
      <c r="F12" s="11">
        <f t="shared" si="0"/>
        <v>-17593.270000000004</v>
      </c>
      <c r="G12" s="12">
        <f t="shared" si="3"/>
        <v>-0.17880017199838982</v>
      </c>
      <c r="H12" s="13">
        <v>84448</v>
      </c>
      <c r="I12" s="13">
        <f t="shared" si="1"/>
        <v>-3645</v>
      </c>
      <c r="J12" s="14">
        <f t="shared" si="2"/>
        <v>-4.3162656309208035E-2</v>
      </c>
      <c r="K12" s="14">
        <v>1</v>
      </c>
      <c r="L12" s="38" t="s">
        <v>252</v>
      </c>
      <c r="M12" s="38" t="s">
        <v>253</v>
      </c>
    </row>
    <row r="13" spans="1:13" ht="29.1">
      <c r="A13" s="27" t="str">
        <v>Kinsman</v>
      </c>
      <c r="B13" s="28" t="str">
        <v>OH</v>
      </c>
      <c r="C13" s="28" t="str">
        <f>Sites[[#This Row],[SOL'#]]</f>
        <v>SOL-10762</v>
      </c>
      <c r="D13" s="10">
        <v>88565.2890625</v>
      </c>
      <c r="E13" s="15">
        <v>93514.47</v>
      </c>
      <c r="F13" s="15">
        <f t="shared" si="0"/>
        <v>-4949.1809375000012</v>
      </c>
      <c r="G13" s="16">
        <f t="shared" si="3"/>
        <v>-5.2924225924608256E-2</v>
      </c>
      <c r="H13" s="17">
        <v>90856</v>
      </c>
      <c r="I13" s="17">
        <f t="shared" si="1"/>
        <v>-2290.7109375</v>
      </c>
      <c r="J13" s="16">
        <f t="shared" si="2"/>
        <v>-2.5212544438452056E-2</v>
      </c>
      <c r="K13" s="16">
        <v>0.99462360000000005</v>
      </c>
      <c r="L13" s="39" t="s">
        <v>254</v>
      </c>
      <c r="M13" s="40" t="s">
        <v>255</v>
      </c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v>18579.5</v>
      </c>
      <c r="E14" s="11">
        <v>0</v>
      </c>
      <c r="F14" s="11">
        <f t="shared" ref="F14:F77" si="4">IF(AND(ISNUMBER(D14),ISNUMBER(E14)), D14-E14, "")</f>
        <v>18579.5</v>
      </c>
      <c r="G14" s="12" t="str">
        <f t="shared" ref="G14:G77" si="5">IFERROR(F14/E14, "")</f>
        <v/>
      </c>
      <c r="H14" s="13">
        <v>21245</v>
      </c>
      <c r="I14" s="13">
        <f t="shared" si="1"/>
        <v>-2665.5</v>
      </c>
      <c r="J14" s="14">
        <f t="shared" si="2"/>
        <v>-0.1254648152506472</v>
      </c>
      <c r="K14" s="14">
        <v>1</v>
      </c>
      <c r="L14" s="38"/>
      <c r="M14" s="38"/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15507.2660237374</v>
      </c>
      <c r="E15" s="15">
        <v>9599.7340000000004</v>
      </c>
      <c r="F15" s="15">
        <f t="shared" si="4"/>
        <v>5907.5320237373999</v>
      </c>
      <c r="G15" s="16">
        <f t="shared" si="5"/>
        <v>0.61538497043120144</v>
      </c>
      <c r="H15" s="17">
        <v>16233</v>
      </c>
      <c r="I15" s="17">
        <f t="shared" si="1"/>
        <v>-725.73397626259975</v>
      </c>
      <c r="J15" s="16">
        <f t="shared" si="2"/>
        <v>-4.4707323123427574E-2</v>
      </c>
      <c r="K15" s="16">
        <v>0.99921319999999991</v>
      </c>
      <c r="L15" s="39"/>
      <c r="M15" s="40"/>
    </row>
    <row r="16" spans="1:13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10729.981907023801</v>
      </c>
      <c r="E16" s="11"/>
      <c r="F16" s="11" t="str">
        <f t="shared" si="4"/>
        <v/>
      </c>
      <c r="G16" s="12" t="str">
        <f t="shared" si="5"/>
        <v/>
      </c>
      <c r="H16" s="13">
        <v>12175</v>
      </c>
      <c r="I16" s="13">
        <f t="shared" si="1"/>
        <v>-1445.0180929761991</v>
      </c>
      <c r="J16" s="14">
        <f t="shared" si="2"/>
        <v>-0.11868731769825044</v>
      </c>
      <c r="K16" s="14">
        <v>1</v>
      </c>
      <c r="L16" s="38"/>
      <c r="M16" s="38"/>
    </row>
    <row r="17" spans="1:13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v>73238</v>
      </c>
      <c r="E17" s="15"/>
      <c r="F17" s="15" t="str">
        <f t="shared" si="4"/>
        <v/>
      </c>
      <c r="G17" s="16" t="str">
        <f t="shared" si="5"/>
        <v/>
      </c>
      <c r="H17" s="17">
        <v>79094</v>
      </c>
      <c r="I17" s="17">
        <f t="shared" si="1"/>
        <v>-5856</v>
      </c>
      <c r="J17" s="16">
        <f t="shared" si="2"/>
        <v>-7.4038485852277042E-2</v>
      </c>
      <c r="K17" s="16">
        <v>1</v>
      </c>
      <c r="L17" s="59" t="s">
        <v>143</v>
      </c>
      <c r="M17" s="60" t="s">
        <v>144</v>
      </c>
    </row>
    <row r="18" spans="1:13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35577.4399999999</v>
      </c>
      <c r="E18" s="11">
        <v>0</v>
      </c>
      <c r="F18" s="11">
        <f t="shared" si="4"/>
        <v>35577.4399999999</v>
      </c>
      <c r="G18" s="12" t="str">
        <f t="shared" si="5"/>
        <v/>
      </c>
      <c r="H18" s="13">
        <v>44257</v>
      </c>
      <c r="I18" s="13">
        <f t="shared" ref="I18:I81" si="6">IF(AND(ISNUMBER(D18),ISNUMBER(H18)), D18-H18, "")</f>
        <v>-8679.5600000000995</v>
      </c>
      <c r="J18" s="14">
        <f t="shared" ref="J18:J81" si="7">IFERROR(I18/H18, "")</f>
        <v>-0.19611722439388343</v>
      </c>
      <c r="K18" s="80">
        <v>1</v>
      </c>
      <c r="L18" s="38"/>
      <c r="M18" s="38"/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v>91724</v>
      </c>
      <c r="E19" s="15">
        <v>104793.2</v>
      </c>
      <c r="F19" s="15">
        <f t="shared" si="4"/>
        <v>-13069.199999999997</v>
      </c>
      <c r="G19" s="16">
        <f t="shared" si="5"/>
        <v>-0.12471419901291303</v>
      </c>
      <c r="H19" s="17">
        <v>95252.73</v>
      </c>
      <c r="I19" s="17">
        <f t="shared" si="6"/>
        <v>-3528.7299999999959</v>
      </c>
      <c r="J19" s="16">
        <f t="shared" si="7"/>
        <v>-3.7045972330661765E-2</v>
      </c>
      <c r="K19" s="16">
        <v>1</v>
      </c>
      <c r="L19" s="39" t="s">
        <v>256</v>
      </c>
      <c r="M19" s="40" t="s">
        <v>257</v>
      </c>
    </row>
    <row r="20" spans="1:13" ht="29.1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23580</v>
      </c>
      <c r="E20" s="11">
        <v>28965.39</v>
      </c>
      <c r="F20" s="11">
        <f t="shared" si="4"/>
        <v>-5385.3899999999994</v>
      </c>
      <c r="G20" s="12">
        <f t="shared" si="5"/>
        <v>-0.18592499531337225</v>
      </c>
      <c r="H20" s="13">
        <v>26403</v>
      </c>
      <c r="I20" s="13">
        <f t="shared" si="6"/>
        <v>-2823</v>
      </c>
      <c r="J20" s="14">
        <f t="shared" si="7"/>
        <v>-0.10691966821952051</v>
      </c>
      <c r="K20" s="80">
        <v>1</v>
      </c>
      <c r="L20" s="38" t="s">
        <v>258</v>
      </c>
      <c r="M20" s="38" t="s">
        <v>259</v>
      </c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v>28425.479066985499</v>
      </c>
      <c r="E21" s="15">
        <v>30650.36</v>
      </c>
      <c r="F21" s="15">
        <f t="shared" si="4"/>
        <v>-2224.8809330145014</v>
      </c>
      <c r="G21" s="16">
        <f t="shared" si="5"/>
        <v>-7.2589063652580305E-2</v>
      </c>
      <c r="H21" s="17">
        <v>24727.43</v>
      </c>
      <c r="I21" s="17">
        <f t="shared" si="6"/>
        <v>3698.0490669854989</v>
      </c>
      <c r="J21" s="16">
        <f t="shared" si="7"/>
        <v>0.14955250371694506</v>
      </c>
      <c r="K21" s="16">
        <v>1</v>
      </c>
      <c r="L21" s="39"/>
      <c r="M21" s="40"/>
    </row>
    <row r="22" spans="1:13" ht="15.6">
      <c r="A22" s="25" t="str">
        <v>K041</v>
      </c>
      <c r="B22" s="26" t="str">
        <v>NY</v>
      </c>
      <c r="C22" s="26" t="str">
        <f>Sites[[#This Row],[SOL'#]]</f>
        <v>SOL-10357</v>
      </c>
      <c r="D22" s="21">
        <v>21206.419921875</v>
      </c>
      <c r="E22" s="11">
        <v>24097.8</v>
      </c>
      <c r="F22" s="11">
        <f t="shared" si="4"/>
        <v>-2891.3800781249993</v>
      </c>
      <c r="G22" s="12">
        <f t="shared" si="5"/>
        <v>-0.11998523010918007</v>
      </c>
      <c r="H22" s="13">
        <v>22285</v>
      </c>
      <c r="I22" s="13">
        <f t="shared" si="6"/>
        <v>-1078.580078125</v>
      </c>
      <c r="J22" s="14">
        <f t="shared" si="7"/>
        <v>-4.8399375280457707E-2</v>
      </c>
      <c r="K22" s="80">
        <v>0.99902240000000009</v>
      </c>
      <c r="L22" s="38" t="s">
        <v>260</v>
      </c>
      <c r="M22" s="38" t="s">
        <v>261</v>
      </c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v>24755.859375</v>
      </c>
      <c r="E23" s="15">
        <v>26350.82</v>
      </c>
      <c r="F23" s="15">
        <f t="shared" si="4"/>
        <v>-1594.9606249999997</v>
      </c>
      <c r="G23" s="16">
        <f t="shared" si="5"/>
        <v>-6.0527931388852402E-2</v>
      </c>
      <c r="H23" s="17">
        <v>4961</v>
      </c>
      <c r="I23" s="17">
        <f t="shared" si="6"/>
        <v>19794.859375</v>
      </c>
      <c r="J23" s="16">
        <f t="shared" si="7"/>
        <v>3.9900946129812538</v>
      </c>
      <c r="K23" s="16">
        <v>0.97953149999999989</v>
      </c>
      <c r="L23" s="39"/>
      <c r="M23" s="40"/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v>20851.625</v>
      </c>
      <c r="E24" s="11">
        <v>21154.39</v>
      </c>
      <c r="F24" s="11">
        <f t="shared" si="4"/>
        <v>-302.76499999999942</v>
      </c>
      <c r="G24" s="12">
        <f t="shared" si="5"/>
        <v>-1.4312159320122178E-2</v>
      </c>
      <c r="H24" s="13">
        <v>18554.580000000002</v>
      </c>
      <c r="I24" s="13">
        <f t="shared" si="6"/>
        <v>2297.0449999999983</v>
      </c>
      <c r="J24" s="14">
        <f t="shared" si="7"/>
        <v>0.12379935304383058</v>
      </c>
      <c r="K24" s="80">
        <v>1</v>
      </c>
      <c r="L24" s="38"/>
      <c r="M24" s="38"/>
    </row>
    <row r="25" spans="1:13" ht="15.6">
      <c r="A25" s="27" t="str">
        <v>K115</v>
      </c>
      <c r="B25" s="28" t="str">
        <v>NY</v>
      </c>
      <c r="C25" s="28" t="str">
        <f>Sites[[#This Row],[SOL'#]]</f>
        <v>SOL-10361</v>
      </c>
      <c r="D25" s="10">
        <v>5488.1328125</v>
      </c>
      <c r="E25" s="15">
        <v>9789.2029999999995</v>
      </c>
      <c r="F25" s="15">
        <f t="shared" si="4"/>
        <v>-4301.0701874999995</v>
      </c>
      <c r="G25" s="16">
        <f t="shared" si="5"/>
        <v>-0.43936878083946157</v>
      </c>
      <c r="H25" s="17">
        <v>12341.83</v>
      </c>
      <c r="I25" s="17">
        <f t="shared" si="6"/>
        <v>-6853.6971874999999</v>
      </c>
      <c r="J25" s="16">
        <f t="shared" si="7"/>
        <v>-0.55532260511609699</v>
      </c>
      <c r="K25" s="16">
        <v>0.96570920000000005</v>
      </c>
      <c r="L25" s="39"/>
      <c r="M25" s="40"/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v>8147.359375</v>
      </c>
      <c r="E26" s="11">
        <v>8137.5910000000003</v>
      </c>
      <c r="F26" s="11">
        <f t="shared" si="4"/>
        <v>9.7683749999996508</v>
      </c>
      <c r="G26" s="12">
        <f t="shared" si="5"/>
        <v>1.2004013227009873E-3</v>
      </c>
      <c r="H26" s="13">
        <v>7172</v>
      </c>
      <c r="I26" s="13">
        <f t="shared" si="6"/>
        <v>975.359375</v>
      </c>
      <c r="J26" s="14">
        <f t="shared" si="7"/>
        <v>0.13599545105967653</v>
      </c>
      <c r="K26" s="80">
        <v>1</v>
      </c>
      <c r="L26" s="38"/>
      <c r="M26" s="38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v>28664.125</v>
      </c>
      <c r="E27" s="15">
        <v>30585.97</v>
      </c>
      <c r="F27" s="15">
        <f t="shared" si="4"/>
        <v>-1921.8450000000012</v>
      </c>
      <c r="G27" s="16">
        <f t="shared" si="5"/>
        <v>-6.2834201432879225E-2</v>
      </c>
      <c r="H27" s="17">
        <v>26063.99</v>
      </c>
      <c r="I27" s="17">
        <f t="shared" si="6"/>
        <v>2600.1349999999984</v>
      </c>
      <c r="J27" s="16">
        <f t="shared" si="7"/>
        <v>9.9759668416078973E-2</v>
      </c>
      <c r="K27" s="16">
        <v>1</v>
      </c>
      <c r="L27" s="39"/>
      <c r="M27" s="40"/>
    </row>
    <row r="28" spans="1:13" ht="29.1">
      <c r="A28" s="25" t="str">
        <v>K206</v>
      </c>
      <c r="B28" s="26" t="str">
        <v>NY</v>
      </c>
      <c r="C28" s="26" t="str">
        <f>Sites[[#This Row],[SOL'#]]</f>
        <v>SOL-10927</v>
      </c>
      <c r="D28" s="21">
        <v>12626.66015625</v>
      </c>
      <c r="E28" s="11">
        <v>17070.91</v>
      </c>
      <c r="F28" s="11">
        <f t="shared" si="4"/>
        <v>-4444.2498437499999</v>
      </c>
      <c r="G28" s="12">
        <f t="shared" si="5"/>
        <v>-0.26034053508278115</v>
      </c>
      <c r="H28" s="13">
        <v>15907</v>
      </c>
      <c r="I28" s="13">
        <f t="shared" si="6"/>
        <v>-3280.33984375</v>
      </c>
      <c r="J28" s="14">
        <f t="shared" si="7"/>
        <v>-0.20621989336455648</v>
      </c>
      <c r="K28" s="80">
        <v>0.99043750000000008</v>
      </c>
      <c r="L28" s="38" t="s">
        <v>262</v>
      </c>
      <c r="M28" s="38" t="s">
        <v>263</v>
      </c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v>14358.09375</v>
      </c>
      <c r="E29" s="15">
        <v>18723.29</v>
      </c>
      <c r="F29" s="15">
        <f t="shared" si="4"/>
        <v>-4365.1962500000009</v>
      </c>
      <c r="G29" s="16">
        <f t="shared" si="5"/>
        <v>-0.23314258605191721</v>
      </c>
      <c r="H29" s="17">
        <v>16846.13</v>
      </c>
      <c r="I29" s="17">
        <f t="shared" si="6"/>
        <v>-2488.036250000001</v>
      </c>
      <c r="J29" s="16">
        <f t="shared" si="7"/>
        <v>-0.14769185860491404</v>
      </c>
      <c r="K29" s="16">
        <v>0.9989247</v>
      </c>
      <c r="L29" s="39" t="s">
        <v>264</v>
      </c>
      <c r="M29" s="39" t="s">
        <v>265</v>
      </c>
    </row>
    <row r="30" spans="1:13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v>17329.84375</v>
      </c>
      <c r="E30" s="11"/>
      <c r="F30" s="11" t="str">
        <f t="shared" si="4"/>
        <v/>
      </c>
      <c r="G30" s="12" t="str">
        <f t="shared" si="5"/>
        <v/>
      </c>
      <c r="H30" s="13">
        <v>17359.52</v>
      </c>
      <c r="I30" s="13">
        <f t="shared" si="6"/>
        <v>-29.676250000000437</v>
      </c>
      <c r="J30" s="14">
        <f t="shared" si="7"/>
        <v>-1.7095086730508928E-3</v>
      </c>
      <c r="K30" s="80">
        <v>1</v>
      </c>
      <c r="L30" s="38"/>
      <c r="M30" s="38"/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v>19692.9375</v>
      </c>
      <c r="E31" s="15"/>
      <c r="F31" s="15" t="str">
        <f t="shared" si="4"/>
        <v/>
      </c>
      <c r="G31" s="16" t="str">
        <f t="shared" si="5"/>
        <v/>
      </c>
      <c r="H31" s="17">
        <v>19892</v>
      </c>
      <c r="I31" s="17">
        <f t="shared" si="6"/>
        <v>-199.0625</v>
      </c>
      <c r="J31" s="16">
        <f t="shared" si="7"/>
        <v>-1.0007163683893022E-2</v>
      </c>
      <c r="K31" s="16">
        <v>1</v>
      </c>
      <c r="L31" s="39"/>
      <c r="M31" s="40"/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v>15267.03125</v>
      </c>
      <c r="E32" s="11">
        <v>13387.77</v>
      </c>
      <c r="F32" s="11">
        <f t="shared" si="4"/>
        <v>1879.2612499999996</v>
      </c>
      <c r="G32" s="12">
        <f t="shared" si="5"/>
        <v>0.1403714920408701</v>
      </c>
      <c r="H32" s="13">
        <v>15141</v>
      </c>
      <c r="I32" s="13">
        <f t="shared" si="6"/>
        <v>126.03125</v>
      </c>
      <c r="J32" s="14">
        <f t="shared" si="7"/>
        <v>8.3238392444356379E-3</v>
      </c>
      <c r="K32" s="80">
        <v>1</v>
      </c>
      <c r="L32" s="38"/>
      <c r="M32" s="38"/>
    </row>
    <row r="33" spans="1:13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v>16562.984375</v>
      </c>
      <c r="E33" s="15">
        <v>17371.77</v>
      </c>
      <c r="F33" s="15">
        <f t="shared" si="4"/>
        <v>-808.78562500000044</v>
      </c>
      <c r="G33" s="16">
        <f t="shared" si="5"/>
        <v>-4.6557467949437534E-2</v>
      </c>
      <c r="H33" s="17">
        <v>16617</v>
      </c>
      <c r="I33" s="17">
        <f t="shared" si="6"/>
        <v>-54.015625</v>
      </c>
      <c r="J33" s="16">
        <f t="shared" si="7"/>
        <v>-3.2506243605945717E-3</v>
      </c>
      <c r="K33" s="16">
        <v>1</v>
      </c>
      <c r="L33" s="39"/>
      <c r="M33" s="40"/>
    </row>
    <row r="34" spans="1:13" ht="29.1">
      <c r="A34" s="25" t="str">
        <v>K335</v>
      </c>
      <c r="B34" s="26" t="str">
        <v>NY</v>
      </c>
      <c r="C34" s="26" t="str">
        <f>Sites[[#This Row],[SOL'#]]</f>
        <v>SOL-10370</v>
      </c>
      <c r="D34" s="21">
        <v>15979.40625</v>
      </c>
      <c r="E34" s="11">
        <v>18687.03</v>
      </c>
      <c r="F34" s="11">
        <f t="shared" si="4"/>
        <v>-2707.6237499999988</v>
      </c>
      <c r="G34" s="12">
        <f t="shared" si="5"/>
        <v>-0.14489320935429542</v>
      </c>
      <c r="H34" s="13">
        <v>16751</v>
      </c>
      <c r="I34" s="13">
        <f t="shared" si="6"/>
        <v>-771.59375</v>
      </c>
      <c r="J34" s="14">
        <f t="shared" si="7"/>
        <v>-4.606254850456689E-2</v>
      </c>
      <c r="K34" s="80">
        <v>1</v>
      </c>
      <c r="L34" s="38" t="s">
        <v>266</v>
      </c>
      <c r="M34" s="38" t="s">
        <v>267</v>
      </c>
    </row>
    <row r="35" spans="1:13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v>18286.34375</v>
      </c>
      <c r="E35" s="15">
        <v>12310.74</v>
      </c>
      <c r="F35" s="15">
        <f t="shared" si="4"/>
        <v>5975.6037500000002</v>
      </c>
      <c r="G35" s="16">
        <f t="shared" si="5"/>
        <v>0.4853976081047931</v>
      </c>
      <c r="H35" s="17">
        <v>19934</v>
      </c>
      <c r="I35" s="17">
        <f t="shared" si="6"/>
        <v>-1647.65625</v>
      </c>
      <c r="J35" s="16">
        <f t="shared" si="7"/>
        <v>-8.2655575900471553E-2</v>
      </c>
      <c r="K35" s="16">
        <v>0.9726418</v>
      </c>
      <c r="L35" s="39" t="s">
        <v>268</v>
      </c>
      <c r="M35" s="40" t="s">
        <v>269</v>
      </c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v>16171.78125</v>
      </c>
      <c r="E36" s="11">
        <v>17957.29</v>
      </c>
      <c r="F36" s="11">
        <f t="shared" si="4"/>
        <v>-1785.5087500000009</v>
      </c>
      <c r="G36" s="12">
        <f t="shared" si="5"/>
        <v>-9.9430857885571863E-2</v>
      </c>
      <c r="H36" s="13">
        <v>16003.82</v>
      </c>
      <c r="I36" s="13">
        <f t="shared" si="6"/>
        <v>167.96125000000029</v>
      </c>
      <c r="J36" s="14">
        <f t="shared" si="7"/>
        <v>1.0495072426458201E-2</v>
      </c>
      <c r="K36" s="80">
        <v>1</v>
      </c>
      <c r="L36" s="38"/>
      <c r="M36" s="38"/>
    </row>
    <row r="37" spans="1:13" ht="43.5">
      <c r="A37" s="27" t="str">
        <v>K495</v>
      </c>
      <c r="B37" s="28" t="str">
        <v>NY</v>
      </c>
      <c r="C37" s="28" t="str">
        <f>Sites[[#This Row],[SOL'#]]</f>
        <v>SOL-10374</v>
      </c>
      <c r="D37" s="10">
        <v>60571.119687500097</v>
      </c>
      <c r="E37" s="15">
        <v>56576.69</v>
      </c>
      <c r="F37" s="15">
        <f t="shared" si="4"/>
        <v>3994.4296875000946</v>
      </c>
      <c r="G37" s="16">
        <f t="shared" si="5"/>
        <v>7.0602039240897516E-2</v>
      </c>
      <c r="H37" s="17">
        <v>69499</v>
      </c>
      <c r="I37" s="17">
        <f t="shared" si="6"/>
        <v>-8927.8803124999031</v>
      </c>
      <c r="J37" s="16">
        <f t="shared" si="7"/>
        <v>-0.12846055788572358</v>
      </c>
      <c r="K37" s="16">
        <v>0.79752460000000003</v>
      </c>
      <c r="L37" s="61" t="s">
        <v>270</v>
      </c>
      <c r="M37" s="62" t="s">
        <v>271</v>
      </c>
    </row>
    <row r="38" spans="1:13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v>16848.046875</v>
      </c>
      <c r="E38" s="11">
        <v>15388.65</v>
      </c>
      <c r="F38" s="11">
        <f t="shared" si="4"/>
        <v>1459.3968750000004</v>
      </c>
      <c r="G38" s="12">
        <f t="shared" si="5"/>
        <v>9.4835926153366307E-2</v>
      </c>
      <c r="H38" s="13">
        <v>18985</v>
      </c>
      <c r="I38" s="13">
        <f t="shared" si="6"/>
        <v>-2136.953125</v>
      </c>
      <c r="J38" s="14">
        <f t="shared" si="7"/>
        <v>-0.11256008032657361</v>
      </c>
      <c r="K38" s="80">
        <v>0.97259879999999999</v>
      </c>
      <c r="L38" s="38"/>
      <c r="M38" s="38"/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v>16658.0625</v>
      </c>
      <c r="E39" s="15">
        <v>18158.13</v>
      </c>
      <c r="F39" s="15">
        <f t="shared" si="4"/>
        <v>-1500.067500000001</v>
      </c>
      <c r="G39" s="16">
        <f t="shared" si="5"/>
        <v>-8.2611342687820874E-2</v>
      </c>
      <c r="H39" s="17">
        <v>17655.46</v>
      </c>
      <c r="I39" s="17">
        <f t="shared" si="6"/>
        <v>-997.39749999999913</v>
      </c>
      <c r="J39" s="16">
        <f t="shared" si="7"/>
        <v>-5.6492297566871616E-2</v>
      </c>
      <c r="K39" s="16">
        <v>1</v>
      </c>
      <c r="L39" s="39"/>
      <c r="M39" s="40"/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v>20092.3125</v>
      </c>
      <c r="E40" s="11">
        <v>22283.18</v>
      </c>
      <c r="F40" s="11">
        <f t="shared" si="4"/>
        <v>-2190.8675000000003</v>
      </c>
      <c r="G40" s="12">
        <f t="shared" si="5"/>
        <v>-9.8319337724687428E-2</v>
      </c>
      <c r="H40" s="13">
        <v>20051.12</v>
      </c>
      <c r="I40" s="13">
        <f t="shared" si="6"/>
        <v>41.192500000001019</v>
      </c>
      <c r="J40" s="14">
        <f t="shared" si="7"/>
        <v>2.0543740200049186E-3</v>
      </c>
      <c r="K40" s="80">
        <v>1</v>
      </c>
      <c r="L40" s="38"/>
      <c r="M40" s="38"/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v>27745.03125</v>
      </c>
      <c r="E41" s="15">
        <v>0</v>
      </c>
      <c r="F41" s="15">
        <f t="shared" si="4"/>
        <v>27745.03125</v>
      </c>
      <c r="G41" s="16" t="str">
        <f t="shared" si="5"/>
        <v/>
      </c>
      <c r="H41" s="17">
        <v>29347</v>
      </c>
      <c r="I41" s="17">
        <f t="shared" si="6"/>
        <v>-1601.96875</v>
      </c>
      <c r="J41" s="16">
        <f t="shared" si="7"/>
        <v>-5.4587138378709918E-2</v>
      </c>
      <c r="K41" s="16">
        <v>0.97808149999999994</v>
      </c>
      <c r="L41" s="39"/>
      <c r="M41" s="39"/>
    </row>
    <row r="42" spans="1:13" ht="15.6">
      <c r="A42" s="25" t="str">
        <v>M167</v>
      </c>
      <c r="B42" s="26" t="str">
        <v>NY</v>
      </c>
      <c r="C42" s="26" t="str">
        <f>Sites[[#This Row],[SOL'#]]</f>
        <v>SOL-10386</v>
      </c>
      <c r="D42" s="21">
        <v>21029.283203125</v>
      </c>
      <c r="E42" s="11">
        <v>15675.65</v>
      </c>
      <c r="F42" s="11">
        <f t="shared" si="4"/>
        <v>5353.6332031250004</v>
      </c>
      <c r="G42" s="12">
        <f t="shared" si="5"/>
        <v>0.34152543614618852</v>
      </c>
      <c r="H42" s="13">
        <v>23692.69</v>
      </c>
      <c r="I42" s="13">
        <f t="shared" si="6"/>
        <v>-2663.4067968749987</v>
      </c>
      <c r="J42" s="14">
        <f t="shared" si="7"/>
        <v>-0.11241470668273627</v>
      </c>
      <c r="K42" s="80">
        <v>1</v>
      </c>
      <c r="L42" s="38"/>
      <c r="M42" s="38"/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v>15230.627265625</v>
      </c>
      <c r="E43" s="15">
        <v>0</v>
      </c>
      <c r="F43" s="15">
        <f t="shared" si="4"/>
        <v>15230.627265625</v>
      </c>
      <c r="G43" s="16" t="str">
        <f t="shared" si="5"/>
        <v/>
      </c>
      <c r="H43" s="17">
        <v>15347</v>
      </c>
      <c r="I43" s="17">
        <f t="shared" si="6"/>
        <v>-116.37273437499971</v>
      </c>
      <c r="J43" s="16">
        <f t="shared" si="7"/>
        <v>-7.582767601159817E-3</v>
      </c>
      <c r="K43" s="16">
        <v>0.9726418</v>
      </c>
      <c r="L43" s="39"/>
      <c r="M43" s="40"/>
    </row>
    <row r="44" spans="1:13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v>4392.89306640625</v>
      </c>
      <c r="E44" s="11">
        <v>4646.5029999999997</v>
      </c>
      <c r="F44" s="11">
        <f t="shared" si="4"/>
        <v>-253.6099335937497</v>
      </c>
      <c r="G44" s="12">
        <f t="shared" si="5"/>
        <v>-5.4580817787861044E-2</v>
      </c>
      <c r="H44" s="13">
        <v>6483.165</v>
      </c>
      <c r="I44" s="13">
        <f t="shared" si="6"/>
        <v>-2090.27193359375</v>
      </c>
      <c r="J44" s="14">
        <f t="shared" si="7"/>
        <v>-0.32241535324085535</v>
      </c>
      <c r="K44" s="80">
        <v>1</v>
      </c>
      <c r="L44" s="38"/>
      <c r="M44" s="38"/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v>24188.484375</v>
      </c>
      <c r="E45" s="15">
        <v>23582.52</v>
      </c>
      <c r="F45" s="15">
        <f t="shared" si="4"/>
        <v>605.96437499999956</v>
      </c>
      <c r="G45" s="16">
        <f t="shared" si="5"/>
        <v>2.5695488650067912E-2</v>
      </c>
      <c r="H45" s="17">
        <v>24376</v>
      </c>
      <c r="I45" s="17">
        <f t="shared" si="6"/>
        <v>-187.515625</v>
      </c>
      <c r="J45" s="16">
        <f t="shared" si="7"/>
        <v>-7.6926331227436823E-3</v>
      </c>
      <c r="K45" s="16">
        <v>0.97405810000000004</v>
      </c>
      <c r="L45" s="39"/>
      <c r="M45" s="40"/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v>16216.9375</v>
      </c>
      <c r="E46" s="11">
        <v>14933.98</v>
      </c>
      <c r="F46" s="11">
        <f t="shared" si="4"/>
        <v>1282.9575000000004</v>
      </c>
      <c r="G46" s="12">
        <f t="shared" si="5"/>
        <v>8.5908612439550641E-2</v>
      </c>
      <c r="H46" s="13">
        <v>13208.78</v>
      </c>
      <c r="I46" s="13">
        <f t="shared" si="6"/>
        <v>3008.1574999999993</v>
      </c>
      <c r="J46" s="14">
        <f t="shared" si="7"/>
        <v>0.22773923859735715</v>
      </c>
      <c r="K46" s="80">
        <v>1</v>
      </c>
      <c r="L46" s="38"/>
      <c r="M46" s="38"/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v>12773.46875</v>
      </c>
      <c r="E47" s="15">
        <v>13011.63</v>
      </c>
      <c r="F47" s="15">
        <f t="shared" si="4"/>
        <v>-238.1612499999992</v>
      </c>
      <c r="G47" s="16">
        <f t="shared" si="5"/>
        <v>-1.8303721363118933E-2</v>
      </c>
      <c r="H47" s="17">
        <v>10866.72</v>
      </c>
      <c r="I47" s="17">
        <f t="shared" si="6"/>
        <v>1906.7487500000007</v>
      </c>
      <c r="J47" s="16">
        <f t="shared" si="7"/>
        <v>0.17546681519354512</v>
      </c>
      <c r="K47" s="16">
        <v>1</v>
      </c>
      <c r="L47" s="39"/>
      <c r="M47" s="40"/>
    </row>
    <row r="48" spans="1:13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v>21273.75</v>
      </c>
      <c r="E48" s="11">
        <v>21733.1</v>
      </c>
      <c r="F48" s="11">
        <f t="shared" si="4"/>
        <v>-459.34999999999854</v>
      </c>
      <c r="G48" s="12">
        <f t="shared" si="5"/>
        <v>-2.113596311616836E-2</v>
      </c>
      <c r="H48" s="13">
        <v>12738</v>
      </c>
      <c r="I48" s="13">
        <f t="shared" si="6"/>
        <v>8535.75</v>
      </c>
      <c r="J48" s="14">
        <f t="shared" si="7"/>
        <v>0.67010127178520962</v>
      </c>
      <c r="K48" s="80">
        <v>1</v>
      </c>
      <c r="L48" s="38"/>
      <c r="M48" s="38"/>
    </row>
    <row r="49" spans="1:13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v>14048.15625</v>
      </c>
      <c r="E49" s="15">
        <v>13983.17</v>
      </c>
      <c r="F49" s="15">
        <f t="shared" si="4"/>
        <v>64.986249999999927</v>
      </c>
      <c r="G49" s="16">
        <f t="shared" si="5"/>
        <v>4.6474619131427232E-3</v>
      </c>
      <c r="H49" s="17">
        <v>12511.94</v>
      </c>
      <c r="I49" s="17">
        <f t="shared" si="6"/>
        <v>1536.2162499999995</v>
      </c>
      <c r="J49" s="16">
        <f t="shared" si="7"/>
        <v>0.12278002052439506</v>
      </c>
      <c r="K49" s="16">
        <v>1</v>
      </c>
      <c r="L49" s="39"/>
      <c r="M49" s="40"/>
    </row>
    <row r="50" spans="1:13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v>18469.8125</v>
      </c>
      <c r="E50" s="11">
        <v>19575.12</v>
      </c>
      <c r="F50" s="11">
        <f t="shared" si="4"/>
        <v>-1105.307499999999</v>
      </c>
      <c r="G50" s="12">
        <f t="shared" si="5"/>
        <v>-5.6464915668460729E-2</v>
      </c>
      <c r="H50" s="13">
        <v>16509.04</v>
      </c>
      <c r="I50" s="13">
        <f t="shared" si="6"/>
        <v>1960.7724999999991</v>
      </c>
      <c r="J50" s="14">
        <f t="shared" si="7"/>
        <v>0.11876962561118024</v>
      </c>
      <c r="K50" s="80">
        <v>1</v>
      </c>
      <c r="L50" s="38"/>
      <c r="M50" s="38"/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v>10877.15625</v>
      </c>
      <c r="E51" s="15">
        <v>10845.05</v>
      </c>
      <c r="F51" s="15">
        <f t="shared" si="4"/>
        <v>32.106250000000728</v>
      </c>
      <c r="G51" s="16">
        <f t="shared" si="5"/>
        <v>2.9604520034486452E-3</v>
      </c>
      <c r="H51" s="17">
        <v>10385</v>
      </c>
      <c r="I51" s="17">
        <f t="shared" si="6"/>
        <v>492.15625</v>
      </c>
      <c r="J51" s="16">
        <f t="shared" si="7"/>
        <v>4.739106884930188E-2</v>
      </c>
      <c r="K51" s="16">
        <v>1</v>
      </c>
      <c r="L51" s="39"/>
      <c r="M51" s="40"/>
    </row>
    <row r="52" spans="1:13" ht="15.6">
      <c r="A52" s="25" t="str">
        <v>Q157</v>
      </c>
      <c r="B52" s="26" t="str">
        <v>NY</v>
      </c>
      <c r="C52" s="26" t="str">
        <f>Sites[[#This Row],[SOL'#]]</f>
        <v>SOL-10404</v>
      </c>
      <c r="D52" s="21">
        <v>18580.875</v>
      </c>
      <c r="E52" s="11">
        <v>20964.98</v>
      </c>
      <c r="F52" s="11">
        <f t="shared" si="4"/>
        <v>-2384.1049999999996</v>
      </c>
      <c r="G52" s="12">
        <f t="shared" si="5"/>
        <v>-0.1137184485747184</v>
      </c>
      <c r="H52" s="13">
        <v>18741.7</v>
      </c>
      <c r="I52" s="13">
        <f t="shared" si="6"/>
        <v>-160.82500000000073</v>
      </c>
      <c r="J52" s="14">
        <f t="shared" si="7"/>
        <v>-8.5811319143941443E-3</v>
      </c>
      <c r="K52" s="80">
        <v>1</v>
      </c>
      <c r="L52" s="38"/>
      <c r="M52" s="38"/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v>30148.6875</v>
      </c>
      <c r="E53" s="15">
        <v>32400.26</v>
      </c>
      <c r="F53" s="15">
        <f t="shared" si="4"/>
        <v>-2251.5724999999984</v>
      </c>
      <c r="G53" s="16">
        <f t="shared" si="5"/>
        <v>-6.9492420739833527E-2</v>
      </c>
      <c r="H53" s="17">
        <v>27365.34</v>
      </c>
      <c r="I53" s="17">
        <f t="shared" si="6"/>
        <v>2783.3474999999999</v>
      </c>
      <c r="J53" s="16">
        <f t="shared" si="7"/>
        <v>0.10171068585298045</v>
      </c>
      <c r="K53" s="16">
        <v>1</v>
      </c>
      <c r="L53" s="39"/>
      <c r="M53" s="39"/>
    </row>
    <row r="54" spans="1:13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v>24844.5</v>
      </c>
      <c r="E54" s="11">
        <v>23654.31</v>
      </c>
      <c r="F54" s="11">
        <f t="shared" si="4"/>
        <v>1190.1899999999987</v>
      </c>
      <c r="G54" s="12">
        <f t="shared" si="5"/>
        <v>5.0315988925485403E-2</v>
      </c>
      <c r="H54" s="13">
        <v>22706</v>
      </c>
      <c r="I54" s="13">
        <f t="shared" si="6"/>
        <v>2138.5</v>
      </c>
      <c r="J54" s="14">
        <f t="shared" si="7"/>
        <v>9.4182154496608828E-2</v>
      </c>
      <c r="K54" s="80">
        <v>1</v>
      </c>
      <c r="L54" s="38"/>
      <c r="M54" s="38"/>
    </row>
    <row r="55" spans="1:13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v>10932.9375</v>
      </c>
      <c r="E55" s="15">
        <v>11221.02</v>
      </c>
      <c r="F55" s="15">
        <f t="shared" si="4"/>
        <v>-288.08250000000044</v>
      </c>
      <c r="G55" s="16">
        <f t="shared" si="5"/>
        <v>-2.5673468187384071E-2</v>
      </c>
      <c r="H55" s="17">
        <v>910.36969999999997</v>
      </c>
      <c r="I55" s="17">
        <f t="shared" si="6"/>
        <v>10022.567800000001</v>
      </c>
      <c r="J55" s="16">
        <f t="shared" si="7"/>
        <v>11.00933807441087</v>
      </c>
      <c r="K55" s="16">
        <v>1</v>
      </c>
      <c r="L55" s="39"/>
      <c r="M55" s="40"/>
    </row>
    <row r="56" spans="1:13" ht="29.1">
      <c r="A56" s="25" t="str">
        <v>Q231</v>
      </c>
      <c r="B56" s="26" t="str">
        <v>NY</v>
      </c>
      <c r="C56" s="26" t="str">
        <f>Sites[[#This Row],[SOL'#]]</f>
        <v>SOL-10870</v>
      </c>
      <c r="D56" s="21">
        <v>38473.0625</v>
      </c>
      <c r="E56" s="11">
        <v>40491.79</v>
      </c>
      <c r="F56" s="11">
        <f t="shared" si="4"/>
        <v>-2018.7275000000009</v>
      </c>
      <c r="G56" s="12">
        <f t="shared" si="5"/>
        <v>-4.985522991203898E-2</v>
      </c>
      <c r="H56" s="13">
        <v>40060</v>
      </c>
      <c r="I56" s="13">
        <f t="shared" si="6"/>
        <v>-1586.9375</v>
      </c>
      <c r="J56" s="14">
        <f t="shared" si="7"/>
        <v>-3.9614016475287069E-2</v>
      </c>
      <c r="K56" s="80">
        <v>1</v>
      </c>
      <c r="L56" s="38" t="s">
        <v>272</v>
      </c>
      <c r="M56" s="38" t="s">
        <v>273</v>
      </c>
    </row>
    <row r="57" spans="1:13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v>44961.625</v>
      </c>
      <c r="E57" s="15">
        <v>44943.98</v>
      </c>
      <c r="F57" s="15">
        <f t="shared" si="4"/>
        <v>17.644999999996799</v>
      </c>
      <c r="G57" s="16">
        <f t="shared" si="5"/>
        <v>3.9259985430744666E-4</v>
      </c>
      <c r="H57" s="17">
        <v>40475.65</v>
      </c>
      <c r="I57" s="17">
        <f t="shared" si="6"/>
        <v>4485.9749999999985</v>
      </c>
      <c r="J57" s="16">
        <f t="shared" si="7"/>
        <v>0.11083145051407448</v>
      </c>
      <c r="K57" s="16">
        <v>1</v>
      </c>
      <c r="L57" s="39"/>
      <c r="M57" s="40"/>
    </row>
    <row r="58" spans="1:13" ht="15.6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 t="str">
        <f t="shared" si="4"/>
        <v/>
      </c>
      <c r="G58" s="12" t="str">
        <f t="shared" si="5"/>
        <v/>
      </c>
      <c r="H58" s="13">
        <v>57626</v>
      </c>
      <c r="I58" s="13" t="str">
        <f t="shared" si="6"/>
        <v/>
      </c>
      <c r="J58" s="14" t="str">
        <f t="shared" si="7"/>
        <v/>
      </c>
      <c r="K58" s="80">
        <v>0</v>
      </c>
      <c r="L58" s="66" t="s">
        <v>274</v>
      </c>
      <c r="M58" s="66" t="s">
        <v>275</v>
      </c>
    </row>
    <row r="59" spans="1:13" ht="15.6">
      <c r="A59" s="27" t="str">
        <v>Q485</v>
      </c>
      <c r="B59" s="28" t="str">
        <v>NY</v>
      </c>
      <c r="C59" s="28" t="str">
        <f>Sites[[#This Row],[SOL'#]]</f>
        <v>SOL-10869</v>
      </c>
      <c r="D59" s="10">
        <v>53745.27734375</v>
      </c>
      <c r="E59" s="15">
        <v>40763.14</v>
      </c>
      <c r="F59" s="15">
        <f t="shared" si="4"/>
        <v>12982.137343750001</v>
      </c>
      <c r="G59" s="16">
        <f t="shared" si="5"/>
        <v>0.31847736321956555</v>
      </c>
      <c r="H59" s="17">
        <v>54257.88</v>
      </c>
      <c r="I59" s="17">
        <f t="shared" si="6"/>
        <v>-512.60265624999738</v>
      </c>
      <c r="J59" s="16">
        <f t="shared" si="7"/>
        <v>-9.4475246037994363E-3</v>
      </c>
      <c r="K59" s="16">
        <v>1</v>
      </c>
      <c r="L59" s="39"/>
      <c r="M59" s="40"/>
    </row>
    <row r="60" spans="1:13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v>38784.4356435644</v>
      </c>
      <c r="E60" s="11"/>
      <c r="F60" s="11" t="str">
        <f t="shared" si="4"/>
        <v/>
      </c>
      <c r="G60" s="12" t="str">
        <f t="shared" si="5"/>
        <v/>
      </c>
      <c r="H60" s="13">
        <v>35227.74</v>
      </c>
      <c r="I60" s="13">
        <f t="shared" si="6"/>
        <v>3556.6956435644024</v>
      </c>
      <c r="J60" s="14">
        <f t="shared" si="7"/>
        <v>0.10096292420587874</v>
      </c>
      <c r="K60" s="80">
        <v>1</v>
      </c>
      <c r="L60" s="38"/>
      <c r="M60" s="38"/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v>58156.5</v>
      </c>
      <c r="E61" s="15">
        <v>58634.66</v>
      </c>
      <c r="F61" s="15">
        <f t="shared" si="4"/>
        <v>-478.16000000000349</v>
      </c>
      <c r="G61" s="16">
        <f t="shared" si="5"/>
        <v>-8.1549036013853146E-3</v>
      </c>
      <c r="H61" s="17">
        <v>57162.21</v>
      </c>
      <c r="I61" s="17">
        <f t="shared" si="6"/>
        <v>994.29000000000087</v>
      </c>
      <c r="J61" s="16">
        <f t="shared" si="7"/>
        <v>1.739418402472544E-2</v>
      </c>
      <c r="K61" s="16">
        <v>1</v>
      </c>
      <c r="L61" s="39"/>
      <c r="M61" s="40"/>
    </row>
    <row r="62" spans="1:13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v>4986.5</v>
      </c>
      <c r="E62" s="11" t="s">
        <v>32</v>
      </c>
      <c r="F62" s="11" t="str">
        <f t="shared" si="4"/>
        <v/>
      </c>
      <c r="G62" s="12" t="str">
        <f t="shared" si="5"/>
        <v/>
      </c>
      <c r="H62" s="13">
        <v>5158.6710000000003</v>
      </c>
      <c r="I62" s="13">
        <f t="shared" si="6"/>
        <v>-172.17100000000028</v>
      </c>
      <c r="J62" s="14">
        <f t="shared" si="7"/>
        <v>-3.3375068888866974E-2</v>
      </c>
      <c r="K62" s="80">
        <v>1</v>
      </c>
      <c r="L62" s="38"/>
      <c r="M62" s="38"/>
    </row>
    <row r="63" spans="1:13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v>22463.53125</v>
      </c>
      <c r="E63" s="15">
        <v>23321.84</v>
      </c>
      <c r="F63" s="15">
        <f t="shared" si="4"/>
        <v>-858.30875000000015</v>
      </c>
      <c r="G63" s="16">
        <f t="shared" si="5"/>
        <v>-3.6802788716499217E-2</v>
      </c>
      <c r="H63" s="17">
        <v>18167</v>
      </c>
      <c r="I63" s="17">
        <f t="shared" si="6"/>
        <v>4296.53125</v>
      </c>
      <c r="J63" s="16">
        <f t="shared" si="7"/>
        <v>0.23650196785380084</v>
      </c>
      <c r="K63" s="16">
        <v>0.97949780000000009</v>
      </c>
      <c r="L63" s="39"/>
      <c r="M63" s="40"/>
    </row>
    <row r="64" spans="1:13" ht="15.6">
      <c r="A64" s="25" t="str">
        <v>X026</v>
      </c>
      <c r="B64" s="26" t="str">
        <v>NY</v>
      </c>
      <c r="C64" s="26" t="str">
        <f>Sites[[#This Row],[SOL'#]]</f>
        <v>SOL-10420</v>
      </c>
      <c r="D64" s="21">
        <v>17410.099999999999</v>
      </c>
      <c r="E64" s="11">
        <v>18695.32</v>
      </c>
      <c r="F64" s="11">
        <f t="shared" si="4"/>
        <v>-1285.2200000000012</v>
      </c>
      <c r="G64" s="12">
        <f t="shared" si="5"/>
        <v>-6.8745547013905145E-2</v>
      </c>
      <c r="H64" s="13">
        <v>22181.89</v>
      </c>
      <c r="I64" s="13">
        <f t="shared" si="6"/>
        <v>-4771.7900000000009</v>
      </c>
      <c r="J64" s="14">
        <f t="shared" si="7"/>
        <v>-0.21512098382960157</v>
      </c>
      <c r="K64" s="80"/>
      <c r="L64" s="66" t="s">
        <v>276</v>
      </c>
      <c r="M64" s="66" t="s">
        <v>277</v>
      </c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v>16916.5703125</v>
      </c>
      <c r="E65" s="15">
        <v>13225.85</v>
      </c>
      <c r="F65" s="15">
        <f t="shared" si="4"/>
        <v>3690.7203124999996</v>
      </c>
      <c r="G65" s="16">
        <f t="shared" si="5"/>
        <v>0.27905354381759961</v>
      </c>
      <c r="H65" s="17">
        <v>15094</v>
      </c>
      <c r="I65" s="17">
        <f t="shared" si="6"/>
        <v>1822.5703125</v>
      </c>
      <c r="J65" s="16">
        <f t="shared" si="7"/>
        <v>0.12074800003312575</v>
      </c>
      <c r="K65" s="16"/>
      <c r="L65" s="39"/>
      <c r="M65" s="39"/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v>13455</v>
      </c>
      <c r="E66" s="11">
        <v>15855.09</v>
      </c>
      <c r="F66" s="11">
        <f t="shared" si="4"/>
        <v>-2400.09</v>
      </c>
      <c r="G66" s="12">
        <f t="shared" si="5"/>
        <v>-0.15137662416296596</v>
      </c>
      <c r="H66" s="13">
        <v>23583</v>
      </c>
      <c r="I66" s="13">
        <f t="shared" si="6"/>
        <v>-10128</v>
      </c>
      <c r="J66" s="14">
        <f t="shared" si="7"/>
        <v>-0.42946190052156213</v>
      </c>
      <c r="K66" s="80"/>
      <c r="L66" s="38"/>
      <c r="M66" s="38"/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v>26170.4375</v>
      </c>
      <c r="E67" s="15">
        <v>27691.59</v>
      </c>
      <c r="F67" s="15">
        <f t="shared" si="4"/>
        <v>-1521.1525000000001</v>
      </c>
      <c r="G67" s="16">
        <f t="shared" si="5"/>
        <v>-5.4931930596979088E-2</v>
      </c>
      <c r="H67" s="17">
        <v>19153.71</v>
      </c>
      <c r="I67" s="17">
        <f t="shared" si="6"/>
        <v>7016.7275000000009</v>
      </c>
      <c r="J67" s="16">
        <f t="shared" si="7"/>
        <v>0.36633777477052754</v>
      </c>
      <c r="K67" s="16"/>
      <c r="L67" s="39"/>
      <c r="M67" s="40"/>
    </row>
    <row r="68" spans="1:13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v>24982.8125</v>
      </c>
      <c r="E68" s="11">
        <v>0</v>
      </c>
      <c r="F68" s="11">
        <f>IF(AND(ISNUMBER(D68),ISNUMBER(E68)), D68-E68, "")</f>
        <v>24982.8125</v>
      </c>
      <c r="G68" s="12" t="str">
        <f>IFERROR(F68/E68, "")</f>
        <v/>
      </c>
      <c r="H68" s="13">
        <v>0</v>
      </c>
      <c r="I68" s="13">
        <f>IF(AND(ISNUMBER(D68),ISNUMBER(H68)), D68-H68, "")</f>
        <v>24982.8125</v>
      </c>
      <c r="J68" s="14" t="str">
        <f>IFERROR(I68/H68, "")</f>
        <v/>
      </c>
      <c r="K68" s="80"/>
      <c r="L68" s="38"/>
      <c r="M68" s="38"/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v>19923.84375</v>
      </c>
      <c r="E69" s="15">
        <v>0</v>
      </c>
      <c r="F69" s="15">
        <f t="shared" si="4"/>
        <v>19923.84375</v>
      </c>
      <c r="G69" s="16" t="str">
        <f t="shared" si="5"/>
        <v/>
      </c>
      <c r="H69" s="17">
        <v>0</v>
      </c>
      <c r="I69" s="17">
        <f t="shared" si="6"/>
        <v>19923.84375</v>
      </c>
      <c r="J69" s="16" t="str">
        <f t="shared" si="7"/>
        <v/>
      </c>
      <c r="K69" s="16"/>
      <c r="L69" s="39"/>
      <c r="M69" s="40"/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32288.393166846399</v>
      </c>
      <c r="E70" s="11">
        <v>33629.4</v>
      </c>
      <c r="F70" s="11">
        <f t="shared" si="4"/>
        <v>-1341.0068331536022</v>
      </c>
      <c r="G70" s="12">
        <f t="shared" si="5"/>
        <v>-3.9876026130516815E-2</v>
      </c>
      <c r="H70" s="13">
        <v>30257</v>
      </c>
      <c r="I70" s="13">
        <f t="shared" si="6"/>
        <v>2031.3931668463993</v>
      </c>
      <c r="J70" s="14">
        <f t="shared" si="7"/>
        <v>6.7137957062709433E-2</v>
      </c>
      <c r="K70" s="80">
        <v>0.99641580000000007</v>
      </c>
      <c r="L70" s="38"/>
      <c r="M70" s="38"/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v>17641.396484375</v>
      </c>
      <c r="E71" s="15">
        <v>14558.62</v>
      </c>
      <c r="F71" s="15">
        <f t="shared" si="4"/>
        <v>3082.7764843749992</v>
      </c>
      <c r="G71" s="16">
        <f t="shared" si="5"/>
        <v>0.21174922378460315</v>
      </c>
      <c r="H71" s="17">
        <v>17584</v>
      </c>
      <c r="I71" s="17">
        <f t="shared" si="6"/>
        <v>57.396484375</v>
      </c>
      <c r="J71" s="16">
        <f t="shared" si="7"/>
        <v>3.2641312770131936E-3</v>
      </c>
      <c r="K71" s="16">
        <v>0</v>
      </c>
      <c r="L71" s="39"/>
      <c r="M71" s="40"/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v>18860.8</v>
      </c>
      <c r="E72" s="11">
        <v>18371.54</v>
      </c>
      <c r="F72" s="11">
        <f t="shared" si="4"/>
        <v>489.2599999999984</v>
      </c>
      <c r="G72" s="12">
        <f t="shared" si="5"/>
        <v>2.663140923406521E-2</v>
      </c>
      <c r="H72" s="13">
        <v>0</v>
      </c>
      <c r="I72" s="13">
        <f t="shared" si="6"/>
        <v>18860.8</v>
      </c>
      <c r="J72" s="14" t="str">
        <f t="shared" si="7"/>
        <v/>
      </c>
      <c r="K72" s="80"/>
      <c r="L72" s="38"/>
      <c r="M72" s="38"/>
    </row>
    <row r="73" spans="1:13" ht="53.25" customHeight="1">
      <c r="A73" s="27" t="str">
        <v>Murphy</v>
      </c>
      <c r="B73" s="28" t="str">
        <v>MN</v>
      </c>
      <c r="C73" s="28" t="str">
        <f>Sites[[#This Row],[SOL'#]]</f>
        <v>SOL-10094</v>
      </c>
      <c r="D73" s="10">
        <v>771470</v>
      </c>
      <c r="E73" s="15">
        <v>819414.3</v>
      </c>
      <c r="F73" s="15">
        <f t="shared" si="4"/>
        <v>-47944.300000000047</v>
      </c>
      <c r="G73" s="16">
        <f t="shared" si="5"/>
        <v>-5.8510450696308378E-2</v>
      </c>
      <c r="H73" s="17">
        <v>813164.5</v>
      </c>
      <c r="I73" s="17">
        <f t="shared" si="6"/>
        <v>-41694.5</v>
      </c>
      <c r="J73" s="16">
        <f t="shared" si="7"/>
        <v>-5.1274373143441458E-2</v>
      </c>
      <c r="K73" s="16">
        <v>0.99526880000000006</v>
      </c>
      <c r="L73" s="39" t="s">
        <v>278</v>
      </c>
      <c r="M73" s="40" t="s">
        <v>279</v>
      </c>
    </row>
    <row r="74" spans="1:13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872393.88500000001</v>
      </c>
      <c r="E74" s="11">
        <v>948035.2</v>
      </c>
      <c r="F74" s="11">
        <f t="shared" si="4"/>
        <v>-75641.314999999944</v>
      </c>
      <c r="G74" s="12">
        <f t="shared" si="5"/>
        <v>-7.978745409453146E-2</v>
      </c>
      <c r="H74" s="13">
        <v>796894.4</v>
      </c>
      <c r="I74" s="13">
        <f t="shared" si="6"/>
        <v>75499.484999999986</v>
      </c>
      <c r="J74" s="14">
        <f t="shared" si="7"/>
        <v>9.4742145257891111E-2</v>
      </c>
      <c r="K74" s="80">
        <v>0.99357490000000004</v>
      </c>
      <c r="L74" s="38"/>
      <c r="M74" s="38"/>
    </row>
    <row r="75" spans="1:13" ht="15.6">
      <c r="A75" s="27" t="str">
        <v>Boas Road 04</v>
      </c>
      <c r="B75" s="28" t="str">
        <v>NY</v>
      </c>
      <c r="C75" s="28" t="str">
        <f>Sites[[#This Row],[SOL'#]]</f>
        <v>SOL-10908</v>
      </c>
      <c r="D75" s="86">
        <v>268362</v>
      </c>
      <c r="E75" s="87">
        <v>320248.15999999997</v>
      </c>
      <c r="F75" s="15">
        <f t="shared" si="4"/>
        <v>-51886.159999999974</v>
      </c>
      <c r="G75" s="16">
        <f t="shared" si="5"/>
        <v>-0.16201860457215422</v>
      </c>
      <c r="H75" s="86">
        <v>302866.2</v>
      </c>
      <c r="I75" s="17">
        <f t="shared" si="6"/>
        <v>-34504.200000000012</v>
      </c>
      <c r="J75" s="16">
        <f t="shared" si="7"/>
        <v>-0.11392555524518751</v>
      </c>
      <c r="K75" s="16">
        <v>0.97670000000000001</v>
      </c>
      <c r="L75" s="39" t="s">
        <v>280</v>
      </c>
      <c r="M75" s="40" t="s">
        <v>172</v>
      </c>
    </row>
    <row r="76" spans="1:13" ht="57.9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283319</v>
      </c>
      <c r="E76" s="11">
        <v>283454.90000000002</v>
      </c>
      <c r="F76" s="11">
        <f t="shared" si="4"/>
        <v>-135.90000000002328</v>
      </c>
      <c r="G76" s="12">
        <f t="shared" si="5"/>
        <v>-4.7944135028190824E-4</v>
      </c>
      <c r="H76" s="13">
        <v>307766.94</v>
      </c>
      <c r="I76" s="13">
        <f t="shared" si="6"/>
        <v>-24447.940000000002</v>
      </c>
      <c r="J76" s="14">
        <f t="shared" si="7"/>
        <v>-7.9436537270702309E-2</v>
      </c>
      <c r="K76" s="80">
        <v>0.98980000000000001</v>
      </c>
      <c r="L76" s="38" t="s">
        <v>281</v>
      </c>
      <c r="M76" s="38" t="s">
        <v>282</v>
      </c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88">
        <v>224156</v>
      </c>
      <c r="E77" s="87">
        <v>246274.06</v>
      </c>
      <c r="F77" s="15">
        <f t="shared" si="4"/>
        <v>-22118.059999999998</v>
      </c>
      <c r="G77" s="16">
        <f t="shared" si="5"/>
        <v>-8.9810757982387579E-2</v>
      </c>
      <c r="H77" s="88">
        <v>260383.15</v>
      </c>
      <c r="I77" s="17">
        <f t="shared" si="6"/>
        <v>-36227.149999999994</v>
      </c>
      <c r="J77" s="16">
        <f t="shared" si="7"/>
        <v>-0.13913016260844835</v>
      </c>
      <c r="K77" s="16">
        <v>0.99900000000000011</v>
      </c>
      <c r="L77" s="39"/>
      <c r="M77" s="39"/>
    </row>
    <row r="78" spans="1:13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281497</v>
      </c>
      <c r="E78" s="11">
        <v>294503.09000000003</v>
      </c>
      <c r="F78" s="11">
        <f t="shared" ref="F78:F139" si="8">IF(AND(ISNUMBER(D78),ISNUMBER(E78)), D78-E78, "")</f>
        <v>-13006.090000000026</v>
      </c>
      <c r="G78" s="12">
        <f t="shared" ref="G78:G138" si="9">IFERROR(F78/E78, "")</f>
        <v>-4.4162830345854859E-2</v>
      </c>
      <c r="H78" s="13">
        <v>309885.65000000002</v>
      </c>
      <c r="I78" s="13">
        <f t="shared" si="6"/>
        <v>-28388.650000000023</v>
      </c>
      <c r="J78" s="14">
        <f t="shared" si="7"/>
        <v>-9.1610082622412561E-2</v>
      </c>
      <c r="K78" s="80">
        <v>0.9849</v>
      </c>
      <c r="L78" s="38" t="s">
        <v>283</v>
      </c>
      <c r="M78" s="38" t="s">
        <v>284</v>
      </c>
    </row>
    <row r="79" spans="1:13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287110</v>
      </c>
      <c r="E79" s="15">
        <v>309262.42</v>
      </c>
      <c r="F79" s="15">
        <f t="shared" si="8"/>
        <v>-22152.419999999984</v>
      </c>
      <c r="G79" s="16">
        <f t="shared" si="9"/>
        <v>-7.1629847557941204E-2</v>
      </c>
      <c r="H79" s="17">
        <v>263678.92</v>
      </c>
      <c r="I79" s="17">
        <f t="shared" si="6"/>
        <v>23431.080000000016</v>
      </c>
      <c r="J79" s="16">
        <f t="shared" si="7"/>
        <v>8.8862166152683039E-2</v>
      </c>
      <c r="K79" s="16">
        <v>0.9998999999999999</v>
      </c>
      <c r="L79" s="39"/>
      <c r="M79" s="40"/>
    </row>
    <row r="80" spans="1:13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247197</v>
      </c>
      <c r="E80" s="11">
        <v>187438.62</v>
      </c>
      <c r="F80" s="11">
        <f t="shared" si="8"/>
        <v>59758.380000000005</v>
      </c>
      <c r="G80" s="12">
        <f t="shared" si="9"/>
        <v>0.31881572751655984</v>
      </c>
      <c r="H80" s="13">
        <v>229667.15</v>
      </c>
      <c r="I80" s="13">
        <f t="shared" si="6"/>
        <v>17529.850000000006</v>
      </c>
      <c r="J80" s="14">
        <f t="shared" si="7"/>
        <v>7.6327197860033558E-2</v>
      </c>
      <c r="K80" s="80"/>
      <c r="L80" s="38"/>
      <c r="M80" s="38"/>
    </row>
    <row r="81" spans="1:13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239163</v>
      </c>
      <c r="E81" s="15">
        <v>255555.88</v>
      </c>
      <c r="F81" s="15">
        <f t="shared" si="8"/>
        <v>-16392.880000000005</v>
      </c>
      <c r="G81" s="16">
        <f t="shared" si="9"/>
        <v>-6.4145970736419783E-2</v>
      </c>
      <c r="H81" s="17">
        <v>222310.5</v>
      </c>
      <c r="I81" s="17">
        <f t="shared" si="6"/>
        <v>16852.5</v>
      </c>
      <c r="J81" s="16">
        <f t="shared" si="7"/>
        <v>7.580613601246905E-2</v>
      </c>
      <c r="K81" s="16"/>
      <c r="L81" s="39"/>
      <c r="M81" s="40"/>
    </row>
    <row r="82" spans="1:13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274890</v>
      </c>
      <c r="E82" s="11">
        <v>310472.96999999997</v>
      </c>
      <c r="F82" s="11">
        <f t="shared" si="8"/>
        <v>-35582.969999999972</v>
      </c>
      <c r="G82" s="12">
        <f t="shared" si="9"/>
        <v>-0.11460891426393729</v>
      </c>
      <c r="H82" s="13">
        <v>257720.66</v>
      </c>
      <c r="I82" s="13">
        <f t="shared" ref="I82:I138" si="10">IF(AND(ISNUMBER(D82),ISNUMBER(H82)), D82-H82, "")</f>
        <v>17169.339999999997</v>
      </c>
      <c r="J82" s="14">
        <f t="shared" ref="J82:J138" si="11">IFERROR(I82/H82, "")</f>
        <v>6.6619959765740144E-2</v>
      </c>
      <c r="K82" s="80"/>
      <c r="L82" s="38"/>
      <c r="M82" s="38"/>
    </row>
    <row r="83" spans="1:13" ht="43.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278384</v>
      </c>
      <c r="E83" s="15">
        <v>329460.01</v>
      </c>
      <c r="F83" s="15">
        <f t="shared" si="8"/>
        <v>-51076.010000000009</v>
      </c>
      <c r="G83" s="16">
        <f t="shared" si="9"/>
        <v>-0.15502946776453994</v>
      </c>
      <c r="H83" s="17">
        <v>314397.57</v>
      </c>
      <c r="I83" s="17">
        <f t="shared" si="10"/>
        <v>-36013.570000000007</v>
      </c>
      <c r="J83" s="16">
        <f t="shared" si="11"/>
        <v>-0.11454786371281434</v>
      </c>
      <c r="K83" s="16"/>
      <c r="L83" s="58" t="s">
        <v>285</v>
      </c>
      <c r="M83" s="58" t="s">
        <v>286</v>
      </c>
    </row>
    <row r="84" spans="1:13" ht="29.1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325139</v>
      </c>
      <c r="E84" s="11">
        <v>0</v>
      </c>
      <c r="F84" s="11">
        <f t="shared" si="8"/>
        <v>325139</v>
      </c>
      <c r="G84" s="12" t="str">
        <f>IFERROR(F84/E84, "")</f>
        <v/>
      </c>
      <c r="H84" s="13">
        <v>315271.55</v>
      </c>
      <c r="I84" s="13">
        <f t="shared" si="10"/>
        <v>9867.4500000000116</v>
      </c>
      <c r="J84" s="14">
        <f t="shared" si="11"/>
        <v>3.1298257010504156E-2</v>
      </c>
      <c r="K84" s="80"/>
      <c r="L84" s="38" t="s">
        <v>287</v>
      </c>
      <c r="M84" s="38" t="s">
        <v>288</v>
      </c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235506</v>
      </c>
      <c r="E85" s="15">
        <v>0</v>
      </c>
      <c r="F85" s="15">
        <f t="shared" si="8"/>
        <v>235506</v>
      </c>
      <c r="G85" s="16" t="str">
        <f t="shared" si="9"/>
        <v/>
      </c>
      <c r="H85" s="17">
        <v>107912</v>
      </c>
      <c r="I85" s="17">
        <f t="shared" si="10"/>
        <v>127594</v>
      </c>
      <c r="J85" s="16">
        <f t="shared" si="11"/>
        <v>1.1823893542886796</v>
      </c>
      <c r="K85" s="16"/>
      <c r="L85" s="58"/>
      <c r="M85" s="58"/>
    </row>
    <row r="86" spans="1:13" ht="29.1">
      <c r="A86" s="25" t="str">
        <v>Canoga</v>
      </c>
      <c r="B86" s="26" t="str">
        <v>NY</v>
      </c>
      <c r="C86" s="26" t="str">
        <f>Sites[[#This Row],[SOL'#]]</f>
        <v>SOL-10965</v>
      </c>
      <c r="D86" s="21">
        <v>708100</v>
      </c>
      <c r="E86" s="11">
        <v>0</v>
      </c>
      <c r="F86" s="11">
        <f t="shared" si="8"/>
        <v>708100</v>
      </c>
      <c r="G86" s="12" t="str">
        <f t="shared" si="9"/>
        <v/>
      </c>
      <c r="H86" s="13">
        <v>725537.68</v>
      </c>
      <c r="I86" s="13">
        <f t="shared" si="10"/>
        <v>-17437.680000000051</v>
      </c>
      <c r="J86" s="14">
        <f t="shared" si="11"/>
        <v>-2.403414802660566E-2</v>
      </c>
      <c r="K86" s="80">
        <v>0.99299999999999999</v>
      </c>
      <c r="L86" s="38" t="s">
        <v>289</v>
      </c>
      <c r="M86" s="38" t="s">
        <v>290</v>
      </c>
    </row>
    <row r="87" spans="1:13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661187</v>
      </c>
      <c r="E87" s="15">
        <v>0</v>
      </c>
      <c r="F87" s="15">
        <f t="shared" si="8"/>
        <v>661187</v>
      </c>
      <c r="G87" s="16" t="str">
        <f t="shared" si="9"/>
        <v/>
      </c>
      <c r="H87" s="17">
        <v>805965.4</v>
      </c>
      <c r="I87" s="17">
        <f t="shared" si="10"/>
        <v>-144778.40000000002</v>
      </c>
      <c r="J87" s="16">
        <f t="shared" si="11"/>
        <v>-0.17963351776639547</v>
      </c>
      <c r="K87" s="16">
        <v>0.99970000000000003</v>
      </c>
      <c r="L87" s="58" t="s">
        <v>291</v>
      </c>
      <c r="M87" s="58" t="s">
        <v>292</v>
      </c>
    </row>
    <row r="88" spans="1:13" ht="29.1">
      <c r="A88" s="25" t="str">
        <v>Donati</v>
      </c>
      <c r="B88" s="26" t="str">
        <v>NY</v>
      </c>
      <c r="C88" s="26" t="str">
        <f>Sites[[#This Row],[SOL'#]]</f>
        <v>SOL-10968</v>
      </c>
      <c r="D88" s="21">
        <v>310641</v>
      </c>
      <c r="E88" s="11">
        <v>0</v>
      </c>
      <c r="F88" s="11">
        <f t="shared" si="8"/>
        <v>310641</v>
      </c>
      <c r="G88" s="12" t="str">
        <f t="shared" si="9"/>
        <v/>
      </c>
      <c r="H88" s="13">
        <v>342778.08</v>
      </c>
      <c r="I88" s="13">
        <f t="shared" si="10"/>
        <v>-32137.080000000016</v>
      </c>
      <c r="J88" s="14">
        <f t="shared" si="11"/>
        <v>-9.3754769849927436E-2</v>
      </c>
      <c r="K88" s="80">
        <v>0.99849999999999994</v>
      </c>
      <c r="L88" s="38" t="s">
        <v>293</v>
      </c>
      <c r="M88" s="38" t="s">
        <v>294</v>
      </c>
    </row>
    <row r="89" spans="1:13" ht="15.6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792895</v>
      </c>
      <c r="E89" s="15">
        <v>0</v>
      </c>
      <c r="F89" s="15">
        <f t="shared" si="8"/>
        <v>792895</v>
      </c>
      <c r="G89" s="16" t="str">
        <f t="shared" si="9"/>
        <v/>
      </c>
      <c r="H89" s="17">
        <v>231835</v>
      </c>
      <c r="I89" s="17">
        <f t="shared" si="10"/>
        <v>561060</v>
      </c>
      <c r="J89" s="16">
        <f t="shared" si="11"/>
        <v>2.4200832488623374</v>
      </c>
      <c r="K89" s="16">
        <v>1</v>
      </c>
      <c r="L89" s="58"/>
      <c r="M89" s="58"/>
    </row>
    <row r="90" spans="1:13" ht="29.1">
      <c r="A90" s="25" t="str">
        <v>NY 70</v>
      </c>
      <c r="B90" s="26" t="str">
        <v>NY</v>
      </c>
      <c r="C90" s="26" t="str">
        <f>Sites[[#This Row],[SOL'#]]</f>
        <v>SOL-10970</v>
      </c>
      <c r="D90" s="21">
        <v>769779</v>
      </c>
      <c r="E90" s="11">
        <v>0</v>
      </c>
      <c r="F90" s="11">
        <f t="shared" si="8"/>
        <v>769779</v>
      </c>
      <c r="G90" s="12" t="str">
        <f t="shared" si="9"/>
        <v/>
      </c>
      <c r="H90" s="13">
        <v>390190</v>
      </c>
      <c r="I90" s="13">
        <f t="shared" si="10"/>
        <v>379589</v>
      </c>
      <c r="J90" s="14">
        <f t="shared" si="11"/>
        <v>0.97283118480740149</v>
      </c>
      <c r="K90" s="80">
        <v>0.99680000000000002</v>
      </c>
      <c r="L90" s="38" t="s">
        <v>295</v>
      </c>
      <c r="M90" s="38" t="s">
        <v>296</v>
      </c>
    </row>
    <row r="91" spans="1:13" ht="65.25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553239.90899846004</v>
      </c>
      <c r="E91" s="15">
        <v>594456.80000000005</v>
      </c>
      <c r="F91" s="15">
        <f t="shared" si="8"/>
        <v>-41216.891001540003</v>
      </c>
      <c r="G91" s="16">
        <f t="shared" si="9"/>
        <v>-6.93353848446851E-2</v>
      </c>
      <c r="H91" s="17">
        <v>657607</v>
      </c>
      <c r="I91" s="17">
        <f t="shared" si="10"/>
        <v>-104367.09100153996</v>
      </c>
      <c r="J91" s="16">
        <f t="shared" si="11"/>
        <v>-0.15870739058668773</v>
      </c>
      <c r="K91" s="16">
        <v>0.94930880000000006</v>
      </c>
      <c r="L91" s="61" t="s">
        <v>297</v>
      </c>
      <c r="M91" s="62" t="s">
        <v>298</v>
      </c>
    </row>
    <row r="92" spans="1:13" ht="43.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293074</v>
      </c>
      <c r="E92" s="11">
        <v>0</v>
      </c>
      <c r="F92" s="11">
        <f t="shared" si="8"/>
        <v>293074</v>
      </c>
      <c r="G92" s="12" t="str">
        <f t="shared" si="9"/>
        <v/>
      </c>
      <c r="H92" s="13">
        <v>334293.09999999998</v>
      </c>
      <c r="I92" s="13">
        <f t="shared" si="10"/>
        <v>-41219.099999999977</v>
      </c>
      <c r="J92" s="14">
        <f t="shared" si="11"/>
        <v>-0.12330227575741162</v>
      </c>
      <c r="K92" s="80">
        <v>0.99970000000000003</v>
      </c>
      <c r="L92" s="38" t="s">
        <v>299</v>
      </c>
      <c r="M92" s="38" t="s">
        <v>300</v>
      </c>
    </row>
    <row r="93" spans="1:13" ht="72.599999999999994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629166</v>
      </c>
      <c r="E93" s="15">
        <v>0</v>
      </c>
      <c r="F93" s="15">
        <f t="shared" si="8"/>
        <v>629166</v>
      </c>
      <c r="G93" s="16" t="str">
        <f t="shared" si="9"/>
        <v/>
      </c>
      <c r="H93" s="17">
        <v>323738.17</v>
      </c>
      <c r="I93" s="17">
        <f t="shared" si="10"/>
        <v>305427.83</v>
      </c>
      <c r="J93" s="16">
        <f t="shared" si="11"/>
        <v>0.94344089855082591</v>
      </c>
      <c r="K93" s="16"/>
      <c r="L93" s="61" t="s">
        <v>301</v>
      </c>
      <c r="M93" s="62" t="s">
        <v>302</v>
      </c>
    </row>
    <row r="94" spans="1:13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726739</v>
      </c>
      <c r="E94" s="11">
        <v>0</v>
      </c>
      <c r="F94" s="11">
        <f>IF(AND(ISNUMBER(D94),ISNUMBER(E94)), D94-E94, "")</f>
        <v>726739</v>
      </c>
      <c r="G94" s="12" t="str">
        <f>IFERROR(F94/E94, "")</f>
        <v/>
      </c>
      <c r="H94" s="13">
        <v>347576</v>
      </c>
      <c r="I94" s="13">
        <f>IF(AND(ISNUMBER(D94),ISNUMBER(H94)), D94-H94, "")</f>
        <v>379163</v>
      </c>
      <c r="J94" s="14">
        <f>IFERROR(I94/H94, "")</f>
        <v>1.0908779662577393</v>
      </c>
      <c r="K94" s="80"/>
      <c r="L94" s="38"/>
      <c r="M94" s="38"/>
    </row>
    <row r="95" spans="1:13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651414</v>
      </c>
      <c r="E95" s="15">
        <v>0</v>
      </c>
      <c r="F95" s="15">
        <f t="shared" si="8"/>
        <v>651414</v>
      </c>
      <c r="G95" s="16" t="str">
        <f t="shared" si="9"/>
        <v/>
      </c>
      <c r="H95" s="17">
        <v>298411.45</v>
      </c>
      <c r="I95" s="17">
        <f t="shared" si="10"/>
        <v>353002.55</v>
      </c>
      <c r="J95" s="16">
        <f t="shared" si="11"/>
        <v>1.1829390259656591</v>
      </c>
      <c r="K95" s="16"/>
      <c r="L95" s="61"/>
      <c r="M95" s="62"/>
    </row>
    <row r="96" spans="1:13" ht="29.1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527026</v>
      </c>
      <c r="E96" s="11">
        <v>0</v>
      </c>
      <c r="F96" s="11">
        <f t="shared" si="8"/>
        <v>527026</v>
      </c>
      <c r="G96" s="12" t="str">
        <f t="shared" si="9"/>
        <v/>
      </c>
      <c r="H96" s="13">
        <v>406900.27</v>
      </c>
      <c r="I96" s="13">
        <f t="shared" si="10"/>
        <v>120125.72999999998</v>
      </c>
      <c r="J96" s="14">
        <f t="shared" si="11"/>
        <v>0.29522155392032545</v>
      </c>
      <c r="K96" s="80"/>
      <c r="L96" s="70" t="s">
        <v>303</v>
      </c>
      <c r="M96" s="70" t="s">
        <v>304</v>
      </c>
    </row>
    <row r="97" spans="1:13" ht="57.95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607520</v>
      </c>
      <c r="E97" s="15">
        <v>0</v>
      </c>
      <c r="F97" s="15">
        <f t="shared" si="8"/>
        <v>607520</v>
      </c>
      <c r="G97" s="16" t="str">
        <f t="shared" si="9"/>
        <v/>
      </c>
      <c r="H97" s="17">
        <v>390040</v>
      </c>
      <c r="I97" s="17">
        <f t="shared" si="10"/>
        <v>217480</v>
      </c>
      <c r="J97" s="16">
        <f t="shared" si="11"/>
        <v>0.55758383755512253</v>
      </c>
      <c r="K97" s="16">
        <v>0.99890000000000001</v>
      </c>
      <c r="L97" s="58" t="s">
        <v>305</v>
      </c>
      <c r="M97" s="58" t="s">
        <v>306</v>
      </c>
    </row>
    <row r="98" spans="1:13" ht="57.95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272790</v>
      </c>
      <c r="E98" s="11">
        <v>0</v>
      </c>
      <c r="F98" s="11">
        <f t="shared" si="8"/>
        <v>272790</v>
      </c>
      <c r="G98" s="12" t="str">
        <f t="shared" si="9"/>
        <v/>
      </c>
      <c r="H98" s="13">
        <v>325892.23</v>
      </c>
      <c r="I98" s="13">
        <f t="shared" si="10"/>
        <v>-53102.229999999981</v>
      </c>
      <c r="J98" s="14">
        <f t="shared" si="11"/>
        <v>-0.16294414260812534</v>
      </c>
      <c r="K98" s="80">
        <v>0.99950000000000006</v>
      </c>
      <c r="L98" s="38" t="s">
        <v>307</v>
      </c>
      <c r="M98" s="38" t="s">
        <v>308</v>
      </c>
    </row>
    <row r="99" spans="1:13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529535</v>
      </c>
      <c r="E99" s="15">
        <v>0</v>
      </c>
      <c r="F99" s="15">
        <f t="shared" si="8"/>
        <v>529535</v>
      </c>
      <c r="G99" s="16" t="str">
        <f t="shared" si="9"/>
        <v/>
      </c>
      <c r="H99" s="17">
        <v>531609.31000000006</v>
      </c>
      <c r="I99" s="17">
        <f t="shared" si="10"/>
        <v>-2074.3100000000559</v>
      </c>
      <c r="J99" s="16">
        <f t="shared" si="11"/>
        <v>-3.9019444561647267E-3</v>
      </c>
      <c r="K99" s="16">
        <v>1</v>
      </c>
      <c r="L99" s="39"/>
      <c r="M99" s="40"/>
    </row>
    <row r="100" spans="1:13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282629</v>
      </c>
      <c r="E100" s="11">
        <v>0</v>
      </c>
      <c r="F100" s="11">
        <f t="shared" si="8"/>
        <v>282629</v>
      </c>
      <c r="G100" s="12" t="str">
        <f t="shared" si="9"/>
        <v/>
      </c>
      <c r="H100" s="13">
        <v>275917.89</v>
      </c>
      <c r="I100" s="13">
        <f t="shared" si="10"/>
        <v>6711.109999999986</v>
      </c>
      <c r="J100" s="14">
        <f t="shared" si="11"/>
        <v>2.4322851990496105E-2</v>
      </c>
      <c r="K100" s="80">
        <v>1</v>
      </c>
      <c r="L100" s="38"/>
      <c r="M100" s="38"/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665555</v>
      </c>
      <c r="E101" s="15">
        <v>0</v>
      </c>
      <c r="F101" s="15">
        <f t="shared" si="8"/>
        <v>665555</v>
      </c>
      <c r="G101" s="16" t="str">
        <f t="shared" si="9"/>
        <v/>
      </c>
      <c r="H101" s="17">
        <v>691607.41</v>
      </c>
      <c r="I101" s="17">
        <f t="shared" si="10"/>
        <v>-26052.410000000033</v>
      </c>
      <c r="J101" s="16">
        <f t="shared" si="11"/>
        <v>-3.7669362160246418E-2</v>
      </c>
      <c r="K101" s="16">
        <v>0.99909999999999999</v>
      </c>
      <c r="L101" s="39"/>
      <c r="M101" s="39"/>
    </row>
    <row r="102" spans="1:13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434847</v>
      </c>
      <c r="E102" s="11">
        <v>0</v>
      </c>
      <c r="F102" s="11">
        <f t="shared" si="8"/>
        <v>434847</v>
      </c>
      <c r="G102" s="12" t="str">
        <f t="shared" si="9"/>
        <v/>
      </c>
      <c r="H102" s="13">
        <v>884263.96</v>
      </c>
      <c r="I102" s="13">
        <f t="shared" si="10"/>
        <v>-449416.95999999996</v>
      </c>
      <c r="J102" s="14">
        <f t="shared" si="11"/>
        <v>-0.50823846761774616</v>
      </c>
      <c r="K102" s="80">
        <v>0.99840000000000007</v>
      </c>
      <c r="L102" s="38"/>
      <c r="M102" s="38"/>
    </row>
    <row r="103" spans="1:13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333346</v>
      </c>
      <c r="E103" s="15">
        <v>0</v>
      </c>
      <c r="F103" s="15">
        <f t="shared" si="8"/>
        <v>333346</v>
      </c>
      <c r="G103" s="16" t="str">
        <f t="shared" si="9"/>
        <v/>
      </c>
      <c r="H103" s="17">
        <v>351038.38</v>
      </c>
      <c r="I103" s="17">
        <f t="shared" si="10"/>
        <v>-17692.380000000005</v>
      </c>
      <c r="J103" s="16">
        <f t="shared" si="11"/>
        <v>-5.0400130037063194E-2</v>
      </c>
      <c r="K103" s="16">
        <v>1</v>
      </c>
      <c r="L103" s="39"/>
      <c r="M103" s="40"/>
    </row>
    <row r="104" spans="1:13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803848</v>
      </c>
      <c r="E104" s="11">
        <v>0</v>
      </c>
      <c r="F104" s="11">
        <f t="shared" si="8"/>
        <v>803848</v>
      </c>
      <c r="G104" s="12" t="str">
        <f t="shared" si="9"/>
        <v/>
      </c>
      <c r="H104" s="13">
        <v>878488.67</v>
      </c>
      <c r="I104" s="13">
        <f t="shared" si="10"/>
        <v>-74640.670000000042</v>
      </c>
      <c r="J104" s="14">
        <f t="shared" si="11"/>
        <v>-8.4964863576442076E-2</v>
      </c>
      <c r="K104" s="80">
        <v>0.9998999999999999</v>
      </c>
      <c r="L104" s="38"/>
      <c r="M104" s="38"/>
    </row>
    <row r="105" spans="1:13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227839</v>
      </c>
      <c r="E105" s="15">
        <v>0</v>
      </c>
      <c r="F105" s="15">
        <f t="shared" si="8"/>
        <v>227839</v>
      </c>
      <c r="G105" s="16" t="str">
        <f t="shared" si="9"/>
        <v/>
      </c>
      <c r="H105" s="17">
        <v>291685.86</v>
      </c>
      <c r="I105" s="17">
        <f t="shared" si="10"/>
        <v>-63846.859999999986</v>
      </c>
      <c r="J105" s="16">
        <f t="shared" si="11"/>
        <v>-0.2188891158453824</v>
      </c>
      <c r="K105" s="16">
        <v>1</v>
      </c>
      <c r="L105" s="58" t="s">
        <v>309</v>
      </c>
      <c r="M105" s="58" t="s">
        <v>310</v>
      </c>
    </row>
    <row r="106" spans="1:13" ht="29.1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230441</v>
      </c>
      <c r="E106" s="11">
        <v>0</v>
      </c>
      <c r="F106" s="11">
        <f t="shared" si="8"/>
        <v>230441</v>
      </c>
      <c r="G106" s="12" t="str">
        <f t="shared" si="9"/>
        <v/>
      </c>
      <c r="H106" s="13">
        <v>301837.77</v>
      </c>
      <c r="I106" s="13">
        <f t="shared" si="10"/>
        <v>-71396.770000000019</v>
      </c>
      <c r="J106" s="14">
        <f t="shared" si="11"/>
        <v>-0.23654021165078185</v>
      </c>
      <c r="K106" s="80">
        <v>1</v>
      </c>
      <c r="L106" s="38" t="s">
        <v>311</v>
      </c>
      <c r="M106" s="38" t="s">
        <v>312</v>
      </c>
    </row>
    <row r="107" spans="1:13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221170</v>
      </c>
      <c r="E107" s="15">
        <v>0</v>
      </c>
      <c r="F107" s="15">
        <f t="shared" si="8"/>
        <v>221170</v>
      </c>
      <c r="G107" s="16" t="str">
        <f t="shared" si="9"/>
        <v/>
      </c>
      <c r="H107" s="17">
        <v>279811.09000000003</v>
      </c>
      <c r="I107" s="17">
        <f t="shared" si="10"/>
        <v>-58641.090000000026</v>
      </c>
      <c r="J107" s="16">
        <f t="shared" si="11"/>
        <v>-0.20957385927770061</v>
      </c>
      <c r="K107" s="16">
        <v>1</v>
      </c>
      <c r="L107" s="58" t="s">
        <v>309</v>
      </c>
      <c r="M107" s="58" t="s">
        <v>313</v>
      </c>
    </row>
    <row r="108" spans="1:13" ht="116.1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361590.1</v>
      </c>
      <c r="E108" s="11">
        <v>0</v>
      </c>
      <c r="F108" s="11">
        <f t="shared" si="8"/>
        <v>361590.1</v>
      </c>
      <c r="G108" s="12" t="str">
        <f t="shared" si="9"/>
        <v/>
      </c>
      <c r="H108" s="13">
        <v>538783.09</v>
      </c>
      <c r="I108" s="13">
        <f t="shared" si="10"/>
        <v>-177192.99</v>
      </c>
      <c r="J108" s="14">
        <f t="shared" si="11"/>
        <v>-0.32887630159291004</v>
      </c>
      <c r="K108" s="80">
        <v>0.99900000000000011</v>
      </c>
      <c r="L108" s="70" t="s">
        <v>314</v>
      </c>
      <c r="M108" s="70" t="s">
        <v>315</v>
      </c>
    </row>
    <row r="109" spans="1:13" ht="43.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384779.6</v>
      </c>
      <c r="E109" s="15">
        <v>0</v>
      </c>
      <c r="F109" s="15">
        <f t="shared" si="8"/>
        <v>384779.6</v>
      </c>
      <c r="G109" s="16" t="str">
        <f t="shared" si="9"/>
        <v/>
      </c>
      <c r="H109" s="17">
        <v>413000</v>
      </c>
      <c r="I109" s="17">
        <f t="shared" si="10"/>
        <v>-28220.400000000023</v>
      </c>
      <c r="J109" s="16">
        <f t="shared" si="11"/>
        <v>-6.8330266343825719E-2</v>
      </c>
      <c r="K109" s="16">
        <v>0.99939999999999996</v>
      </c>
      <c r="L109" s="58" t="s">
        <v>316</v>
      </c>
      <c r="M109" s="58" t="s">
        <v>317</v>
      </c>
    </row>
    <row r="110" spans="1:13" ht="29.1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830606.5</v>
      </c>
      <c r="E110" s="11">
        <v>0</v>
      </c>
      <c r="F110" s="11">
        <f t="shared" si="8"/>
        <v>830606.5</v>
      </c>
      <c r="G110" s="12" t="str">
        <f t="shared" si="9"/>
        <v/>
      </c>
      <c r="H110" s="13">
        <v>0</v>
      </c>
      <c r="I110" s="13">
        <f t="shared" si="10"/>
        <v>830606.5</v>
      </c>
      <c r="J110" s="14" t="str">
        <f t="shared" si="11"/>
        <v/>
      </c>
      <c r="K110" s="80"/>
      <c r="L110" s="70" t="s">
        <v>318</v>
      </c>
      <c r="M110" s="70" t="s">
        <v>319</v>
      </c>
    </row>
    <row r="111" spans="1:13" ht="43.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436039</v>
      </c>
      <c r="E111" s="15">
        <v>620396.80000000005</v>
      </c>
      <c r="F111" s="15">
        <f t="shared" si="8"/>
        <v>-184357.80000000005</v>
      </c>
      <c r="G111" s="16">
        <f t="shared" si="9"/>
        <v>-0.29716110721396377</v>
      </c>
      <c r="H111" s="17">
        <v>653080.6</v>
      </c>
      <c r="I111" s="17">
        <f t="shared" si="10"/>
        <v>-217041.59999999998</v>
      </c>
      <c r="J111" s="16">
        <f t="shared" si="11"/>
        <v>-0.33233509003329753</v>
      </c>
      <c r="K111" s="16">
        <v>0.97939830000000005</v>
      </c>
      <c r="L111" s="39" t="s">
        <v>320</v>
      </c>
      <c r="M111" s="40" t="s">
        <v>321</v>
      </c>
    </row>
    <row r="112" spans="1:13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563956.40605263202</v>
      </c>
      <c r="E112" s="11">
        <v>562040.19999999995</v>
      </c>
      <c r="F112" s="11">
        <f t="shared" si="8"/>
        <v>1916.2060526320711</v>
      </c>
      <c r="G112" s="12">
        <f t="shared" si="9"/>
        <v>3.409375437258885E-3</v>
      </c>
      <c r="H112" s="13">
        <v>628229.80000000005</v>
      </c>
      <c r="I112" s="13">
        <f t="shared" si="10"/>
        <v>-64273.393947368022</v>
      </c>
      <c r="J112" s="14">
        <f t="shared" si="11"/>
        <v>-0.1023087315300357</v>
      </c>
      <c r="K112" s="80">
        <v>1</v>
      </c>
      <c r="L112" s="38"/>
      <c r="M112" s="38"/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3139</v>
      </c>
      <c r="E113" s="15">
        <v>4121.6329999999998</v>
      </c>
      <c r="F113" s="15">
        <f t="shared" si="8"/>
        <v>-982.63299999999981</v>
      </c>
      <c r="G113" s="16">
        <f t="shared" si="9"/>
        <v>-0.23840865986855206</v>
      </c>
      <c r="H113" s="17">
        <v>4023.6860000000001</v>
      </c>
      <c r="I113" s="17">
        <f t="shared" si="10"/>
        <v>-884.68600000000015</v>
      </c>
      <c r="J113" s="16">
        <f t="shared" si="11"/>
        <v>-0.21986954250406224</v>
      </c>
      <c r="K113" s="16">
        <v>1</v>
      </c>
      <c r="L113" s="39"/>
      <c r="M113" s="39"/>
    </row>
    <row r="114" spans="1:13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8441.5600000000595</v>
      </c>
      <c r="E114" s="11">
        <v>11335.63</v>
      </c>
      <c r="F114" s="11">
        <f t="shared" si="8"/>
        <v>-2894.0699999999397</v>
      </c>
      <c r="G114" s="12">
        <f t="shared" si="9"/>
        <v>-0.25530738035732814</v>
      </c>
      <c r="H114" s="13">
        <v>9383.4349999999995</v>
      </c>
      <c r="I114" s="13">
        <f t="shared" si="10"/>
        <v>-941.87499999993997</v>
      </c>
      <c r="J114" s="14">
        <f t="shared" si="11"/>
        <v>-0.1003763547144452</v>
      </c>
      <c r="K114" s="80">
        <v>1</v>
      </c>
      <c r="L114" s="38" t="s">
        <v>322</v>
      </c>
      <c r="M114" s="38" t="s">
        <v>323</v>
      </c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1321</v>
      </c>
      <c r="E115" s="15">
        <v>1356.2239999999999</v>
      </c>
      <c r="F115" s="15">
        <f t="shared" si="8"/>
        <v>-35.223999999999933</v>
      </c>
      <c r="G115" s="16">
        <f t="shared" si="9"/>
        <v>-2.5972110801755415E-2</v>
      </c>
      <c r="H115" s="17">
        <v>1482.575</v>
      </c>
      <c r="I115" s="17">
        <f t="shared" si="10"/>
        <v>-161.57500000000005</v>
      </c>
      <c r="J115" s="16">
        <f t="shared" si="11"/>
        <v>-0.10898268215773235</v>
      </c>
      <c r="K115" s="16"/>
      <c r="L115" s="39"/>
      <c r="M115" s="40"/>
    </row>
    <row r="116" spans="1:13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1284</v>
      </c>
      <c r="E116" s="11">
        <v>1325.67</v>
      </c>
      <c r="F116" s="11">
        <f t="shared" si="8"/>
        <v>-41.670000000000073</v>
      </c>
      <c r="G116" s="12">
        <f t="shared" si="9"/>
        <v>-3.1433162099165003E-2</v>
      </c>
      <c r="H116" s="13">
        <v>1523.088</v>
      </c>
      <c r="I116" s="13">
        <f t="shared" si="10"/>
        <v>-239.08799999999997</v>
      </c>
      <c r="J116" s="14">
        <f t="shared" si="11"/>
        <v>-0.15697582805458382</v>
      </c>
      <c r="K116" s="80"/>
      <c r="L116" s="38"/>
      <c r="M116" s="38"/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1520</v>
      </c>
      <c r="E117" s="15">
        <v>1400.463</v>
      </c>
      <c r="F117" s="15">
        <f t="shared" si="8"/>
        <v>119.53700000000003</v>
      </c>
      <c r="G117" s="16">
        <f t="shared" si="9"/>
        <v>8.5355343197214092E-2</v>
      </c>
      <c r="H117" s="17">
        <v>1579</v>
      </c>
      <c r="I117" s="17">
        <f t="shared" si="10"/>
        <v>-59</v>
      </c>
      <c r="J117" s="16">
        <f t="shared" si="11"/>
        <v>-3.7365421152628246E-2</v>
      </c>
      <c r="K117" s="16"/>
      <c r="L117" s="39"/>
      <c r="M117" s="40"/>
    </row>
    <row r="118" spans="1:13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13586</v>
      </c>
      <c r="E118" s="11">
        <v>17515</v>
      </c>
      <c r="F118" s="11">
        <f t="shared" si="8"/>
        <v>-3929</v>
      </c>
      <c r="G118" s="12">
        <f t="shared" si="9"/>
        <v>-0.2243220097059663</v>
      </c>
      <c r="H118" s="13">
        <v>4451</v>
      </c>
      <c r="I118" s="13">
        <f t="shared" si="10"/>
        <v>9135</v>
      </c>
      <c r="J118" s="14">
        <f t="shared" si="11"/>
        <v>2.052347787014154</v>
      </c>
      <c r="K118" s="80"/>
      <c r="L118" s="38"/>
      <c r="M118" s="38"/>
    </row>
    <row r="119" spans="1:13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47458</v>
      </c>
      <c r="E119" s="15">
        <v>0</v>
      </c>
      <c r="F119" s="15">
        <f t="shared" si="8"/>
        <v>47458</v>
      </c>
      <c r="G119" s="16" t="str">
        <f t="shared" si="9"/>
        <v/>
      </c>
      <c r="H119" s="17">
        <v>43662</v>
      </c>
      <c r="I119" s="17">
        <f t="shared" si="10"/>
        <v>3796</v>
      </c>
      <c r="J119" s="16">
        <f t="shared" si="11"/>
        <v>8.6940589070587701E-2</v>
      </c>
      <c r="K119" s="16"/>
      <c r="L119" s="39"/>
      <c r="M119" s="40"/>
    </row>
    <row r="120" spans="1:13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28485</v>
      </c>
      <c r="E120" s="11">
        <v>26789</v>
      </c>
      <c r="F120" s="11">
        <f t="shared" si="8"/>
        <v>1696</v>
      </c>
      <c r="G120" s="12">
        <f t="shared" si="9"/>
        <v>6.3309567359737209E-2</v>
      </c>
      <c r="H120" s="13">
        <v>29293</v>
      </c>
      <c r="I120" s="13">
        <f t="shared" si="10"/>
        <v>-808</v>
      </c>
      <c r="J120" s="14">
        <f t="shared" si="11"/>
        <v>-2.7583381695285562E-2</v>
      </c>
      <c r="K120" s="80"/>
      <c r="L120" s="38"/>
      <c r="M120" s="38"/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11229</v>
      </c>
      <c r="E121" s="15">
        <v>11096</v>
      </c>
      <c r="F121" s="15">
        <f t="shared" si="8"/>
        <v>133</v>
      </c>
      <c r="G121" s="16">
        <f t="shared" si="9"/>
        <v>1.1986301369863013E-2</v>
      </c>
      <c r="H121" s="17">
        <v>12854</v>
      </c>
      <c r="I121" s="17">
        <f t="shared" si="10"/>
        <v>-1625</v>
      </c>
      <c r="J121" s="16">
        <f t="shared" si="11"/>
        <v>-0.12641979150459001</v>
      </c>
      <c r="K121" s="16"/>
      <c r="L121" s="39"/>
      <c r="M121" s="40"/>
    </row>
    <row r="122" spans="1:13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12489</v>
      </c>
      <c r="E122" s="11">
        <v>10287</v>
      </c>
      <c r="F122" s="11">
        <f t="shared" si="8"/>
        <v>2202</v>
      </c>
      <c r="G122" s="12">
        <f t="shared" si="9"/>
        <v>0.21405657626130067</v>
      </c>
      <c r="H122" s="13">
        <v>12854</v>
      </c>
      <c r="I122" s="13">
        <f t="shared" si="10"/>
        <v>-365</v>
      </c>
      <c r="J122" s="14">
        <f t="shared" si="11"/>
        <v>-2.8395830091800217E-2</v>
      </c>
      <c r="K122" s="80"/>
      <c r="L122" s="38"/>
      <c r="M122" s="38"/>
    </row>
    <row r="123" spans="1:13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160503</v>
      </c>
      <c r="E123" s="15">
        <v>161280.1</v>
      </c>
      <c r="F123" s="15">
        <f t="shared" si="8"/>
        <v>-777.10000000000582</v>
      </c>
      <c r="G123" s="16">
        <f t="shared" si="9"/>
        <v>-4.8183253854629663E-3</v>
      </c>
      <c r="H123" s="17">
        <v>155732.29999999999</v>
      </c>
      <c r="I123" s="17">
        <f t="shared" si="10"/>
        <v>4770.7000000000116</v>
      </c>
      <c r="J123" s="16">
        <f t="shared" si="11"/>
        <v>3.0633978949774786E-2</v>
      </c>
      <c r="K123" s="16"/>
      <c r="L123" s="61" t="s">
        <v>324</v>
      </c>
      <c r="M123" s="62" t="s">
        <v>325</v>
      </c>
    </row>
    <row r="124" spans="1:13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165151</v>
      </c>
      <c r="E124" s="11">
        <v>140043.5</v>
      </c>
      <c r="F124" s="11">
        <f t="shared" si="8"/>
        <v>25107.5</v>
      </c>
      <c r="G124" s="12">
        <f t="shared" si="9"/>
        <v>0.179283579744865</v>
      </c>
      <c r="H124" s="13">
        <v>9459.6239999999998</v>
      </c>
      <c r="I124" s="13">
        <f t="shared" si="10"/>
        <v>155691.37599999999</v>
      </c>
      <c r="J124" s="14">
        <f t="shared" si="11"/>
        <v>16.458516321578955</v>
      </c>
      <c r="K124" s="80"/>
      <c r="L124" s="66"/>
      <c r="M124" s="66"/>
    </row>
    <row r="125" spans="1:13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20725</v>
      </c>
      <c r="E125" s="15">
        <v>18983.84</v>
      </c>
      <c r="F125" s="15">
        <f t="shared" si="8"/>
        <v>1741.1599999999999</v>
      </c>
      <c r="G125" s="16">
        <f t="shared" si="9"/>
        <v>9.1718008579929025E-2</v>
      </c>
      <c r="H125" s="17">
        <v>21992</v>
      </c>
      <c r="I125" s="17">
        <f t="shared" si="10"/>
        <v>-1267</v>
      </c>
      <c r="J125" s="16">
        <f t="shared" si="11"/>
        <v>-5.7611858857766464E-2</v>
      </c>
      <c r="K125" s="16"/>
      <c r="L125" s="61" t="s">
        <v>326</v>
      </c>
      <c r="M125" s="61" t="s">
        <v>327</v>
      </c>
    </row>
    <row r="126" spans="1:13" ht="105.75" customHeight="1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71341</v>
      </c>
      <c r="E126" s="11">
        <v>80679.929999999993</v>
      </c>
      <c r="F126" s="11">
        <f t="shared" si="8"/>
        <v>-9338.929999999993</v>
      </c>
      <c r="G126" s="12">
        <f t="shared" si="9"/>
        <v>-0.11575282725208108</v>
      </c>
      <c r="H126" s="13">
        <v>0</v>
      </c>
      <c r="I126" s="13">
        <f t="shared" si="10"/>
        <v>71341</v>
      </c>
      <c r="J126" s="14" t="str">
        <f t="shared" si="11"/>
        <v/>
      </c>
      <c r="K126" s="80"/>
      <c r="L126" s="66" t="s">
        <v>328</v>
      </c>
      <c r="M126" s="66" t="s">
        <v>329</v>
      </c>
    </row>
    <row r="127" spans="1:13" ht="63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20333.119999999901</v>
      </c>
      <c r="E127" s="15">
        <v>53729.53</v>
      </c>
      <c r="F127" s="15">
        <f t="shared" si="8"/>
        <v>-33396.410000000098</v>
      </c>
      <c r="G127" s="16">
        <f t="shared" si="9"/>
        <v>-0.62156527332362854</v>
      </c>
      <c r="H127" s="17">
        <v>31455</v>
      </c>
      <c r="I127" s="17">
        <f t="shared" si="10"/>
        <v>-11121.880000000099</v>
      </c>
      <c r="J127" s="16">
        <f t="shared" si="11"/>
        <v>-0.35358067079955807</v>
      </c>
      <c r="K127" s="16"/>
      <c r="L127" s="69" t="s">
        <v>330</v>
      </c>
      <c r="M127" s="62" t="s">
        <v>331</v>
      </c>
    </row>
    <row r="128" spans="1:13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54059</v>
      </c>
      <c r="E128" s="11">
        <v>50023.12</v>
      </c>
      <c r="F128" s="11">
        <f t="shared" si="8"/>
        <v>4035.8799999999974</v>
      </c>
      <c r="G128" s="12">
        <f t="shared" si="9"/>
        <v>8.0680293432316835E-2</v>
      </c>
      <c r="H128" s="13">
        <v>55754.61</v>
      </c>
      <c r="I128" s="13">
        <f t="shared" si="10"/>
        <v>-1695.6100000000006</v>
      </c>
      <c r="J128" s="14">
        <f t="shared" si="11"/>
        <v>-3.0412014360785604E-2</v>
      </c>
      <c r="K128" s="80"/>
      <c r="L128" s="66"/>
      <c r="M128" s="66"/>
    </row>
    <row r="129" spans="1:13" ht="49.5" customHeight="1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120666</v>
      </c>
      <c r="E129" s="15">
        <v>119643</v>
      </c>
      <c r="F129" s="15">
        <f t="shared" si="8"/>
        <v>1023</v>
      </c>
      <c r="G129" s="16">
        <f t="shared" si="9"/>
        <v>8.5504375517163559E-3</v>
      </c>
      <c r="H129" s="17">
        <v>115317</v>
      </c>
      <c r="I129" s="17">
        <f t="shared" si="10"/>
        <v>5349</v>
      </c>
      <c r="J129" s="16">
        <f t="shared" si="11"/>
        <v>4.6385181716485861E-2</v>
      </c>
      <c r="K129" s="16"/>
      <c r="L129" s="61" t="s">
        <v>332</v>
      </c>
      <c r="M129" s="61" t="s">
        <v>333</v>
      </c>
    </row>
    <row r="130" spans="1:13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255740</v>
      </c>
      <c r="E130" s="11">
        <v>253622.39999999999</v>
      </c>
      <c r="F130" s="11">
        <f t="shared" si="8"/>
        <v>2117.6000000000058</v>
      </c>
      <c r="G130" s="12">
        <f t="shared" si="9"/>
        <v>8.3494202404835131E-3</v>
      </c>
      <c r="H130" s="13">
        <v>264301</v>
      </c>
      <c r="I130" s="13">
        <f t="shared" si="10"/>
        <v>-8561</v>
      </c>
      <c r="J130" s="14">
        <f t="shared" si="11"/>
        <v>-3.2391099541810284E-2</v>
      </c>
      <c r="K130" s="80"/>
      <c r="L130" s="66" t="s">
        <v>334</v>
      </c>
      <c r="M130" s="66" t="s">
        <v>242</v>
      </c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10092.251364698999</v>
      </c>
      <c r="E131" s="15">
        <v>11331.49</v>
      </c>
      <c r="F131" s="15">
        <f t="shared" si="8"/>
        <v>-1239.2386353010006</v>
      </c>
      <c r="G131" s="16">
        <f t="shared" si="9"/>
        <v>-0.10936237293603936</v>
      </c>
      <c r="H131" s="17">
        <v>12852.65</v>
      </c>
      <c r="I131" s="17">
        <f t="shared" si="10"/>
        <v>-2760.3986353010005</v>
      </c>
      <c r="J131" s="16">
        <f t="shared" si="11"/>
        <v>-0.2147727227693122</v>
      </c>
      <c r="K131" s="16"/>
      <c r="L131" s="39"/>
      <c r="M131" s="40"/>
    </row>
    <row r="132" spans="1:13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7150</v>
      </c>
      <c r="E132" s="11">
        <v>10123</v>
      </c>
      <c r="F132" s="11">
        <f t="shared" si="8"/>
        <v>-2973</v>
      </c>
      <c r="G132" s="12">
        <f t="shared" si="9"/>
        <v>-0.29368764200335867</v>
      </c>
      <c r="H132" s="13">
        <v>9120</v>
      </c>
      <c r="I132" s="13">
        <f t="shared" si="10"/>
        <v>-1970</v>
      </c>
      <c r="J132" s="14">
        <f t="shared" si="11"/>
        <v>-0.21600877192982457</v>
      </c>
      <c r="K132" s="80"/>
      <c r="L132" s="38"/>
      <c r="M132" s="38"/>
    </row>
    <row r="133" spans="1:13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6337</v>
      </c>
      <c r="E133" s="15">
        <v>5846</v>
      </c>
      <c r="F133" s="15">
        <f t="shared" si="8"/>
        <v>491</v>
      </c>
      <c r="G133" s="16">
        <f t="shared" si="9"/>
        <v>8.3989052343482723E-2</v>
      </c>
      <c r="H133" s="17">
        <v>7754</v>
      </c>
      <c r="I133" s="17">
        <f t="shared" si="10"/>
        <v>-1417</v>
      </c>
      <c r="J133" s="16">
        <f t="shared" si="11"/>
        <v>-0.18274438999226206</v>
      </c>
      <c r="K133" s="16"/>
      <c r="L133" s="39"/>
      <c r="M133" s="40"/>
    </row>
    <row r="134" spans="1:13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27326</v>
      </c>
      <c r="E134" s="11">
        <v>26853</v>
      </c>
      <c r="F134" s="11">
        <f t="shared" si="8"/>
        <v>473</v>
      </c>
      <c r="G134" s="12">
        <f t="shared" si="9"/>
        <v>1.7614419245521915E-2</v>
      </c>
      <c r="H134" s="13">
        <v>13488</v>
      </c>
      <c r="I134" s="13">
        <f t="shared" si="10"/>
        <v>13838</v>
      </c>
      <c r="J134" s="14">
        <f t="shared" si="11"/>
        <v>1.0259489916963227</v>
      </c>
      <c r="K134" s="80"/>
      <c r="L134" s="38"/>
      <c r="M134" s="38"/>
    </row>
    <row r="135" spans="1:13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27936.5</v>
      </c>
      <c r="E135" s="15">
        <v>29638.5</v>
      </c>
      <c r="F135" s="15">
        <f t="shared" si="8"/>
        <v>-1702</v>
      </c>
      <c r="G135" s="16">
        <f t="shared" si="9"/>
        <v>-5.742530829832819E-2</v>
      </c>
      <c r="H135" s="17">
        <v>34403</v>
      </c>
      <c r="I135" s="17">
        <f t="shared" si="10"/>
        <v>-6466.5</v>
      </c>
      <c r="J135" s="16">
        <f t="shared" si="11"/>
        <v>-0.1879632590181089</v>
      </c>
      <c r="K135" s="16"/>
      <c r="L135" s="71" t="s">
        <v>335</v>
      </c>
      <c r="M135" s="71" t="s">
        <v>336</v>
      </c>
    </row>
    <row r="136" spans="1:13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22894</v>
      </c>
      <c r="E136" s="11">
        <v>28815</v>
      </c>
      <c r="F136" s="11">
        <f t="shared" si="8"/>
        <v>-5921</v>
      </c>
      <c r="G136" s="12">
        <f t="shared" si="9"/>
        <v>-0.20548325524900227</v>
      </c>
      <c r="H136" s="13">
        <v>28522</v>
      </c>
      <c r="I136" s="13">
        <f t="shared" si="10"/>
        <v>-5628</v>
      </c>
      <c r="J136" s="14">
        <f t="shared" si="11"/>
        <v>-0.1973213659631162</v>
      </c>
      <c r="K136" s="80"/>
      <c r="L136" s="38"/>
      <c r="M136" s="38"/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11418.001552994099</v>
      </c>
      <c r="E137" s="15">
        <v>12577.9</v>
      </c>
      <c r="F137" s="15">
        <f t="shared" si="8"/>
        <v>-1159.8984470059004</v>
      </c>
      <c r="G137" s="16">
        <f t="shared" si="9"/>
        <v>-9.2217178305273567E-2</v>
      </c>
      <c r="H137" s="17">
        <v>14601.64</v>
      </c>
      <c r="I137" s="17">
        <f t="shared" si="10"/>
        <v>-3183.6384470059002</v>
      </c>
      <c r="J137" s="16">
        <f t="shared" si="11"/>
        <v>-0.21803293650616645</v>
      </c>
      <c r="K137" s="16"/>
      <c r="L137" s="39"/>
      <c r="M137" s="40"/>
    </row>
    <row r="138" spans="1:13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330777</v>
      </c>
      <c r="E138" s="11">
        <v>0</v>
      </c>
      <c r="F138" s="11">
        <f t="shared" si="8"/>
        <v>330777</v>
      </c>
      <c r="G138" s="12" t="str">
        <f t="shared" si="9"/>
        <v/>
      </c>
      <c r="H138" s="13">
        <v>0</v>
      </c>
      <c r="I138" s="13">
        <f t="shared" si="10"/>
        <v>330777</v>
      </c>
      <c r="J138" s="14" t="str">
        <f t="shared" si="11"/>
        <v/>
      </c>
      <c r="K138" s="80"/>
      <c r="L138" s="38"/>
      <c r="M138" s="38"/>
    </row>
    <row r="139" spans="1:13" ht="15.6">
      <c r="A139" s="27" t="str">
        <v>Spencer</v>
      </c>
      <c r="B139" s="28" t="str">
        <v>NY</v>
      </c>
      <c r="C139" s="28" t="str">
        <f>Sites[[#This Row],[SOL'#]]</f>
        <v>SOL-11017</v>
      </c>
      <c r="D139" s="82"/>
      <c r="E139" s="15"/>
      <c r="F139" s="15" t="str">
        <f t="shared" si="8"/>
        <v/>
      </c>
      <c r="G139" s="16"/>
      <c r="H139" s="17"/>
      <c r="I139" s="17"/>
      <c r="J139" s="16"/>
      <c r="K139" s="16"/>
      <c r="L139" s="39"/>
      <c r="M139" s="40"/>
    </row>
    <row r="140" spans="1:13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80"/>
      <c r="L140" s="70"/>
      <c r="M140" s="38"/>
    </row>
    <row r="141" spans="1:13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16"/>
      <c r="L141" s="39"/>
      <c r="M141" s="18"/>
    </row>
    <row r="142" spans="1:13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v>101454</v>
      </c>
      <c r="E142" s="11">
        <v>321974.59999999998</v>
      </c>
      <c r="F142" s="11"/>
      <c r="G142" s="68"/>
      <c r="H142" s="83">
        <v>368855</v>
      </c>
      <c r="I142" s="83"/>
      <c r="J142" s="80"/>
      <c r="K142" s="80">
        <v>0.31375130000000001</v>
      </c>
      <c r="L142" s="70"/>
      <c r="M142" s="38"/>
    </row>
    <row r="143" spans="1:13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16"/>
      <c r="L143" s="39"/>
      <c r="M143" s="18"/>
    </row>
    <row r="144" spans="1:13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80"/>
      <c r="L144" s="70"/>
      <c r="M144" s="38"/>
    </row>
    <row r="145" spans="1:13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16"/>
      <c r="L145" s="39"/>
      <c r="M145" s="18"/>
    </row>
    <row r="146" spans="1:13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80"/>
      <c r="L146" s="70"/>
      <c r="M146" s="38"/>
    </row>
    <row r="147" spans="1:13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16"/>
      <c r="L147" s="39"/>
      <c r="M147" s="18"/>
    </row>
    <row r="148" spans="1:13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80"/>
      <c r="L148" s="70"/>
      <c r="M148" s="38"/>
    </row>
    <row r="149" spans="1:13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16"/>
      <c r="L149" s="39"/>
      <c r="M149" s="18"/>
    </row>
    <row r="150" spans="1:13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80"/>
      <c r="L150" s="70"/>
      <c r="M150" s="38"/>
    </row>
    <row r="151" spans="1:13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16"/>
      <c r="L151" s="39"/>
      <c r="M151" s="18"/>
    </row>
    <row r="152" spans="1:13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80"/>
      <c r="L152" s="70"/>
      <c r="M152" s="38"/>
    </row>
    <row r="153" spans="1:13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16"/>
      <c r="L153" s="59"/>
      <c r="M153" s="18"/>
    </row>
    <row r="154" spans="1:13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80"/>
      <c r="L154" s="70"/>
      <c r="M154" s="38"/>
    </row>
    <row r="155" spans="1:13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16"/>
      <c r="L155" s="39"/>
      <c r="M155" s="18"/>
    </row>
    <row r="156" spans="1:13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80"/>
      <c r="L156" s="70"/>
      <c r="M156" s="38"/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16"/>
      <c r="L157" s="39"/>
      <c r="M157" s="18"/>
    </row>
    <row r="158" spans="1:13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80"/>
      <c r="L158" s="70"/>
      <c r="M158" s="38"/>
    </row>
    <row r="159" spans="1:13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>
        <v>335331</v>
      </c>
      <c r="E159" s="15">
        <v>351085.9</v>
      </c>
      <c r="F159" s="15"/>
      <c r="G159" s="84"/>
      <c r="H159" s="85">
        <v>349576</v>
      </c>
      <c r="I159" s="85"/>
      <c r="J159" s="84"/>
      <c r="K159" s="16">
        <v>0.96646889999999996</v>
      </c>
      <c r="L159" s="39"/>
      <c r="M159" s="18"/>
    </row>
    <row r="160" spans="1:13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80"/>
      <c r="L160" s="70"/>
      <c r="M160" s="38"/>
    </row>
    <row r="161" spans="1:13" ht="15.6">
      <c r="A161" s="27" t="str">
        <v>Altamont</v>
      </c>
      <c r="B161" s="28" t="str">
        <v>NY</v>
      </c>
      <c r="C161" s="28" t="s">
        <v>13</v>
      </c>
      <c r="D161" s="82"/>
      <c r="E161" s="15"/>
      <c r="F161" s="15"/>
      <c r="G161" s="84"/>
      <c r="H161" s="85"/>
      <c r="I161" s="85"/>
      <c r="J161" s="84"/>
      <c r="K161" s="19">
        <v>0</v>
      </c>
      <c r="L161" s="39"/>
      <c r="M161" s="18"/>
    </row>
    <row r="162" spans="1:13" ht="14.4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9"/>
      <c r="L162" s="18"/>
      <c r="M162" s="18"/>
    </row>
    <row r="163" spans="1:13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9"/>
      <c r="L163" s="18"/>
      <c r="M163" s="18"/>
    </row>
    <row r="164" spans="1:13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9"/>
      <c r="L164" s="18"/>
      <c r="M164" s="18"/>
    </row>
    <row r="165" spans="1:13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9"/>
      <c r="L165" s="18"/>
      <c r="M165" s="18"/>
    </row>
    <row r="166" spans="1:13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9"/>
      <c r="L166" s="18"/>
      <c r="M166" s="18"/>
    </row>
    <row r="167" spans="1:13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9"/>
      <c r="L167" s="18"/>
      <c r="M167" s="18"/>
    </row>
    <row r="168" spans="1:13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9"/>
      <c r="L168" s="18"/>
      <c r="M168" s="18"/>
    </row>
    <row r="169" spans="1:13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9"/>
      <c r="L169" s="18"/>
      <c r="M169" s="18"/>
    </row>
    <row r="170" spans="1:13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9"/>
      <c r="L170" s="18"/>
      <c r="M170" s="18"/>
    </row>
    <row r="171" spans="1:13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9"/>
      <c r="L171" s="18"/>
      <c r="M171" s="18"/>
    </row>
    <row r="172" spans="1:13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9"/>
      <c r="L172" s="18"/>
      <c r="M172" s="18"/>
    </row>
    <row r="173" spans="1:13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9"/>
      <c r="L173" s="18"/>
      <c r="M173" s="18"/>
    </row>
    <row r="174" spans="1:13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9"/>
      <c r="L174" s="18"/>
      <c r="M174" s="18"/>
    </row>
    <row r="175" spans="1:13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9"/>
      <c r="L175" s="18"/>
      <c r="M175" s="18"/>
    </row>
    <row r="176" spans="1:13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9"/>
      <c r="L176" s="18"/>
      <c r="M176" s="18"/>
    </row>
    <row r="177" spans="1:13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9"/>
      <c r="L177" s="18"/>
      <c r="M177" s="18"/>
    </row>
    <row r="178" spans="1:13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9"/>
      <c r="L178" s="18"/>
      <c r="M178" s="18"/>
    </row>
    <row r="179" spans="1:13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9"/>
      <c r="L179" s="18"/>
      <c r="M179" s="18"/>
    </row>
    <row r="180" spans="1:13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9"/>
      <c r="L180" s="18"/>
      <c r="M180" s="18"/>
    </row>
    <row r="181" spans="1:13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9"/>
      <c r="L181" s="18"/>
      <c r="M181" s="18"/>
    </row>
    <row r="182" spans="1:13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9"/>
      <c r="L182" s="18"/>
      <c r="M182" s="18"/>
    </row>
    <row r="183" spans="1:13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9"/>
      <c r="L183" s="18"/>
      <c r="M183" s="18"/>
    </row>
    <row r="184" spans="1:13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9"/>
      <c r="L184" s="18"/>
      <c r="M184" s="18"/>
    </row>
    <row r="185" spans="1:13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9"/>
      <c r="L185" s="18"/>
      <c r="M185" s="18"/>
    </row>
    <row r="186" spans="1:13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9"/>
      <c r="L186" s="18"/>
      <c r="M186" s="18"/>
    </row>
    <row r="187" spans="1:13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9"/>
      <c r="L187" s="18"/>
      <c r="M187" s="18"/>
    </row>
    <row r="188" spans="1:13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9"/>
      <c r="L188" s="18"/>
      <c r="M188" s="18"/>
    </row>
    <row r="189" spans="1:13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9"/>
      <c r="L189" s="18"/>
      <c r="M189" s="18"/>
    </row>
    <row r="190" spans="1:13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9"/>
      <c r="L190" s="18"/>
      <c r="M190" s="18"/>
    </row>
    <row r="191" spans="1:13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9"/>
      <c r="L191" s="18"/>
      <c r="M191" s="18"/>
    </row>
    <row r="192" spans="1:13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9"/>
      <c r="L192" s="18"/>
      <c r="M192" s="18"/>
    </row>
    <row r="193" spans="1:13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9"/>
      <c r="L193" s="18"/>
      <c r="M193" s="18"/>
    </row>
    <row r="194" spans="1:13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9"/>
      <c r="L194" s="18"/>
      <c r="M194" s="18"/>
    </row>
    <row r="195" spans="1:13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9"/>
      <c r="L195" s="18"/>
      <c r="M195" s="18"/>
    </row>
    <row r="196" spans="1:13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9"/>
      <c r="L196" s="18"/>
      <c r="M196" s="18"/>
    </row>
    <row r="197" spans="1:13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9"/>
      <c r="L197" s="18"/>
      <c r="M197" s="18"/>
    </row>
    <row r="198" spans="1:13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9"/>
      <c r="L198" s="18"/>
      <c r="M198" s="18"/>
    </row>
    <row r="199" spans="1:13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9"/>
      <c r="L199" s="18"/>
      <c r="M199" s="18"/>
    </row>
    <row r="200" spans="1:13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9"/>
      <c r="L200" s="18"/>
      <c r="M200" s="18"/>
    </row>
    <row r="201" spans="1:13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9"/>
      <c r="L201" s="18"/>
      <c r="M201" s="18"/>
    </row>
    <row r="202" spans="1:13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9"/>
      <c r="L202" s="18"/>
      <c r="M202" s="18"/>
    </row>
    <row r="203" spans="1:13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9"/>
      <c r="L203" s="18"/>
      <c r="M203" s="18"/>
    </row>
    <row r="204" spans="1:13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9"/>
      <c r="L204" s="18"/>
      <c r="M204" s="18"/>
    </row>
    <row r="205" spans="1:13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9"/>
      <c r="L205" s="18"/>
      <c r="M205" s="18"/>
    </row>
    <row r="206" spans="1:13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9"/>
      <c r="L206" s="18"/>
      <c r="M206" s="18"/>
    </row>
    <row r="207" spans="1:13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9"/>
      <c r="L207" s="18"/>
      <c r="M207" s="18"/>
    </row>
    <row r="208" spans="1:13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9"/>
      <c r="L208" s="18"/>
      <c r="M208" s="18"/>
    </row>
    <row r="209" spans="1:13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9"/>
      <c r="L209" s="18"/>
      <c r="M209" s="18"/>
    </row>
    <row r="210" spans="1:13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9"/>
      <c r="L210" s="18"/>
      <c r="M210" s="18"/>
    </row>
    <row r="211" spans="1:13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9"/>
      <c r="L211" s="18"/>
      <c r="M211" s="18"/>
    </row>
    <row r="212" spans="1:13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9"/>
      <c r="L212" s="18"/>
      <c r="M212" s="18"/>
    </row>
    <row r="213" spans="1:13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9"/>
      <c r="L213" s="18"/>
      <c r="M213" s="18"/>
    </row>
    <row r="214" spans="1:13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9"/>
      <c r="L214" s="18"/>
      <c r="M214" s="18"/>
    </row>
    <row r="215" spans="1:13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9"/>
      <c r="L215" s="18"/>
      <c r="M215" s="18"/>
    </row>
    <row r="216" spans="1:13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9"/>
      <c r="L216" s="18"/>
      <c r="M216" s="18"/>
    </row>
    <row r="217" spans="1:13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9"/>
      <c r="L217" s="18"/>
      <c r="M217" s="18"/>
    </row>
    <row r="218" spans="1:13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9"/>
      <c r="L218" s="18"/>
      <c r="M218" s="18"/>
    </row>
    <row r="219" spans="1:13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9"/>
      <c r="L219" s="18"/>
      <c r="M219" s="18"/>
    </row>
    <row r="220" spans="1:13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9"/>
      <c r="L220" s="18"/>
      <c r="M220" s="18"/>
    </row>
    <row r="221" spans="1:13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9"/>
      <c r="L221" s="18"/>
      <c r="M221" s="18"/>
    </row>
    <row r="222" spans="1:13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9"/>
      <c r="L222" s="18"/>
      <c r="M222" s="18"/>
    </row>
    <row r="223" spans="1:13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9"/>
      <c r="L223" s="18"/>
      <c r="M223" s="18"/>
    </row>
    <row r="224" spans="1:13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9"/>
      <c r="L224" s="18"/>
      <c r="M224" s="18"/>
    </row>
    <row r="225" spans="1:13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9"/>
      <c r="L225" s="18"/>
      <c r="M225" s="18"/>
    </row>
    <row r="226" spans="1:13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9"/>
      <c r="L226" s="18"/>
      <c r="M226" s="18"/>
    </row>
    <row r="227" spans="1:13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9"/>
      <c r="L227" s="18"/>
      <c r="M227" s="18"/>
    </row>
    <row r="228" spans="1:13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9"/>
      <c r="L228" s="18"/>
      <c r="M228" s="18"/>
    </row>
    <row r="229" spans="1:13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9"/>
      <c r="L229" s="18"/>
      <c r="M229" s="18"/>
    </row>
    <row r="230" spans="1:13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9"/>
      <c r="L230" s="18"/>
      <c r="M230" s="18"/>
    </row>
    <row r="231" spans="1:13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9"/>
      <c r="L231" s="18"/>
      <c r="M231" s="18"/>
    </row>
    <row r="232" spans="1:13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9"/>
      <c r="L232" s="18"/>
      <c r="M232" s="18"/>
    </row>
    <row r="233" spans="1:13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9"/>
      <c r="L233" s="18"/>
      <c r="M233" s="18"/>
    </row>
    <row r="234" spans="1:13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9"/>
      <c r="L234" s="18"/>
      <c r="M234" s="18"/>
    </row>
    <row r="235" spans="1:13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9"/>
      <c r="L235" s="18"/>
      <c r="M235" s="18"/>
    </row>
    <row r="236" spans="1:13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9"/>
      <c r="L236" s="18"/>
      <c r="M236" s="18"/>
    </row>
    <row r="237" spans="1:13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9"/>
      <c r="L237" s="18"/>
      <c r="M237" s="18"/>
    </row>
    <row r="238" spans="1:13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9"/>
      <c r="L238" s="18"/>
      <c r="M238" s="18"/>
    </row>
    <row r="239" spans="1:13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9"/>
      <c r="L239" s="18"/>
      <c r="M239" s="18"/>
    </row>
    <row r="240" spans="1:13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9"/>
      <c r="L240" s="18"/>
      <c r="M240" s="18"/>
    </row>
    <row r="241" spans="1:13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9"/>
      <c r="L241" s="18"/>
      <c r="M241" s="18"/>
    </row>
    <row r="242" spans="1:13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9"/>
      <c r="L242" s="18"/>
      <c r="M242" s="18"/>
    </row>
    <row r="243" spans="1:13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9"/>
      <c r="L243" s="18"/>
      <c r="M243" s="18"/>
    </row>
    <row r="244" spans="1:13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9"/>
      <c r="L244" s="18"/>
      <c r="M244" s="18"/>
    </row>
    <row r="245" spans="1:13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9"/>
      <c r="L245" s="18"/>
      <c r="M245" s="18"/>
    </row>
    <row r="246" spans="1:13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9"/>
      <c r="L246" s="18"/>
      <c r="M246" s="18"/>
    </row>
    <row r="247" spans="1:13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9"/>
      <c r="L247" s="18"/>
      <c r="M247" s="18"/>
    </row>
    <row r="248" spans="1:13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9"/>
      <c r="L248" s="18"/>
      <c r="M248" s="18"/>
    </row>
    <row r="249" spans="1:13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9"/>
      <c r="L249" s="18"/>
      <c r="M249" s="18"/>
    </row>
    <row r="250" spans="1:13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9"/>
      <c r="L250" s="18"/>
      <c r="M250" s="18"/>
    </row>
    <row r="251" spans="1:13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9"/>
      <c r="L251" s="18"/>
      <c r="M251" s="18"/>
    </row>
    <row r="252" spans="1:13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9"/>
      <c r="L252" s="18"/>
      <c r="M252" s="18"/>
    </row>
    <row r="253" spans="1:13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9"/>
      <c r="L253" s="18"/>
      <c r="M253" s="18"/>
    </row>
    <row r="254" spans="1:13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9"/>
      <c r="L254" s="18"/>
      <c r="M254" s="18"/>
    </row>
    <row r="255" spans="1:13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9"/>
      <c r="L255" s="18"/>
      <c r="M255" s="18"/>
    </row>
    <row r="256" spans="1:13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9"/>
      <c r="L256" s="18"/>
      <c r="M256" s="18"/>
    </row>
    <row r="257" spans="1:13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9"/>
      <c r="L257" s="18"/>
      <c r="M257" s="18"/>
    </row>
    <row r="258" spans="1:13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9"/>
      <c r="L258" s="18"/>
      <c r="M258" s="18"/>
    </row>
    <row r="259" spans="1:13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9"/>
      <c r="L259" s="18"/>
      <c r="M259" s="18"/>
    </row>
    <row r="260" spans="1:13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9"/>
      <c r="L260" s="18"/>
      <c r="M260" s="18"/>
    </row>
    <row r="261" spans="1:13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9"/>
      <c r="L261" s="18"/>
      <c r="M261" s="18"/>
    </row>
    <row r="262" spans="1:13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9"/>
      <c r="L262" s="18"/>
      <c r="M262" s="18"/>
    </row>
    <row r="263" spans="1:13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9"/>
      <c r="L263" s="18"/>
      <c r="M263" s="18"/>
    </row>
    <row r="264" spans="1:13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9"/>
      <c r="L264" s="18"/>
      <c r="M264" s="18"/>
    </row>
    <row r="265" spans="1:13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9"/>
      <c r="L265" s="18"/>
      <c r="M265" s="18"/>
    </row>
    <row r="266" spans="1:13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9"/>
      <c r="L266" s="18"/>
      <c r="M266" s="18"/>
    </row>
    <row r="267" spans="1:13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9"/>
      <c r="L267" s="18"/>
      <c r="M267" s="18"/>
    </row>
    <row r="268" spans="1:13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9"/>
      <c r="L268" s="18"/>
      <c r="M268" s="18"/>
    </row>
    <row r="269" spans="1:13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9"/>
      <c r="L269" s="18"/>
      <c r="M269" s="18"/>
    </row>
    <row r="270" spans="1:13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9"/>
      <c r="L270" s="18"/>
      <c r="M270" s="18"/>
    </row>
    <row r="271" spans="1:13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9"/>
      <c r="L271" s="18"/>
      <c r="M271" s="18"/>
    </row>
    <row r="272" spans="1:13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9"/>
      <c r="L272" s="18"/>
      <c r="M272" s="18"/>
    </row>
    <row r="273" spans="1:13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9"/>
      <c r="L273" s="18"/>
      <c r="M273" s="18"/>
    </row>
    <row r="274" spans="1:13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9"/>
      <c r="L274" s="18"/>
      <c r="M274" s="18"/>
    </row>
    <row r="275" spans="1:13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9"/>
      <c r="L275" s="18"/>
      <c r="M275" s="18"/>
    </row>
    <row r="276" spans="1:13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9"/>
      <c r="L276" s="18"/>
      <c r="M276" s="18"/>
    </row>
    <row r="277" spans="1:13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9"/>
      <c r="L277" s="18"/>
      <c r="M277" s="18"/>
    </row>
    <row r="278" spans="1:13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9"/>
      <c r="L278" s="18"/>
      <c r="M278" s="18"/>
    </row>
    <row r="279" spans="1:13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9"/>
      <c r="L279" s="18"/>
      <c r="M279" s="18"/>
    </row>
    <row r="280" spans="1:13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9"/>
      <c r="L280" s="18"/>
      <c r="M280" s="18"/>
    </row>
    <row r="281" spans="1:13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9"/>
      <c r="L281" s="18"/>
      <c r="M281" s="18"/>
    </row>
    <row r="282" spans="1:13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9"/>
      <c r="L282" s="18"/>
      <c r="M282" s="18"/>
    </row>
    <row r="283" spans="1:13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9"/>
      <c r="L283" s="18"/>
      <c r="M283" s="18"/>
    </row>
    <row r="284" spans="1:13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9"/>
      <c r="L284" s="18"/>
      <c r="M284" s="18"/>
    </row>
    <row r="285" spans="1:13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9"/>
      <c r="L285" s="18"/>
      <c r="M285" s="18"/>
    </row>
    <row r="286" spans="1:13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9"/>
      <c r="L286" s="18"/>
      <c r="M286" s="18"/>
    </row>
    <row r="287" spans="1:13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9"/>
      <c r="L287" s="18"/>
      <c r="M287" s="18"/>
    </row>
    <row r="288" spans="1:13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9"/>
      <c r="L288" s="18"/>
      <c r="M288" s="18"/>
    </row>
    <row r="289" spans="1:13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9"/>
      <c r="L289" s="18"/>
      <c r="M289" s="18"/>
    </row>
    <row r="290" spans="1:13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9"/>
      <c r="L290" s="18"/>
      <c r="M290" s="18"/>
    </row>
    <row r="291" spans="1:13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9"/>
      <c r="L291" s="18"/>
      <c r="M291" s="18"/>
    </row>
    <row r="292" spans="1:13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9"/>
      <c r="L292" s="18"/>
      <c r="M292" s="18"/>
    </row>
    <row r="293" spans="1:13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9"/>
      <c r="L293" s="18"/>
      <c r="M293" s="18"/>
    </row>
    <row r="294" spans="1:13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9"/>
      <c r="L294" s="18"/>
      <c r="M294" s="18"/>
    </row>
    <row r="295" spans="1:13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9"/>
      <c r="L295" s="18"/>
      <c r="M295" s="18"/>
    </row>
    <row r="296" spans="1:13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9"/>
      <c r="L296" s="18"/>
      <c r="M296" s="18"/>
    </row>
    <row r="297" spans="1:13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9"/>
      <c r="L297" s="18"/>
      <c r="M297" s="18"/>
    </row>
    <row r="298" spans="1:13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9"/>
      <c r="L298" s="18"/>
      <c r="M298" s="18"/>
    </row>
    <row r="299" spans="1:13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9"/>
      <c r="L299" s="18"/>
      <c r="M299" s="18"/>
    </row>
    <row r="300" spans="1:13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9"/>
      <c r="L300" s="18"/>
      <c r="M300" s="18"/>
    </row>
    <row r="301" spans="1:13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9"/>
      <c r="L301" s="18"/>
      <c r="M301" s="18"/>
    </row>
    <row r="302" spans="1:13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9"/>
      <c r="L302" s="18"/>
      <c r="M302" s="18"/>
    </row>
    <row r="303" spans="1:13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9"/>
      <c r="L303" s="18"/>
      <c r="M303" s="18"/>
    </row>
    <row r="304" spans="1:13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9"/>
      <c r="L304" s="18"/>
      <c r="M304" s="18"/>
    </row>
    <row r="305" spans="1:13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9"/>
      <c r="L305" s="18"/>
      <c r="M305" s="18"/>
    </row>
    <row r="306" spans="1:13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9"/>
      <c r="L306" s="18"/>
      <c r="M306" s="18"/>
    </row>
    <row r="307" spans="1:13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9"/>
      <c r="L307" s="18"/>
      <c r="M307" s="18"/>
    </row>
    <row r="308" spans="1:13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9"/>
      <c r="L308" s="18"/>
      <c r="M308" s="18"/>
    </row>
    <row r="309" spans="1:13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9"/>
      <c r="L309" s="18"/>
      <c r="M309" s="18"/>
    </row>
    <row r="310" spans="1:13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9"/>
      <c r="L310" s="18"/>
      <c r="M310" s="18"/>
    </row>
    <row r="311" spans="1:13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9"/>
      <c r="L311" s="18"/>
      <c r="M311" s="18"/>
    </row>
    <row r="312" spans="1:13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9"/>
      <c r="L312" s="18"/>
      <c r="M312" s="18"/>
    </row>
    <row r="313" spans="1:13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9"/>
      <c r="L313" s="18"/>
      <c r="M313" s="18"/>
    </row>
    <row r="314" spans="1:13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9"/>
      <c r="L314" s="18"/>
      <c r="M314" s="18"/>
    </row>
    <row r="315" spans="1:13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9"/>
      <c r="L315" s="18"/>
      <c r="M315" s="18"/>
    </row>
    <row r="316" spans="1:13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9"/>
      <c r="L316" s="18"/>
      <c r="M316" s="18"/>
    </row>
    <row r="317" spans="1:13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9"/>
      <c r="L317" s="18"/>
      <c r="M317" s="18"/>
    </row>
    <row r="318" spans="1:13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9"/>
      <c r="L318" s="18"/>
      <c r="M318" s="18"/>
    </row>
    <row r="319" spans="1:13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9"/>
      <c r="L319" s="18"/>
      <c r="M319" s="18"/>
    </row>
    <row r="320" spans="1:13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9"/>
      <c r="L320" s="18"/>
      <c r="M320" s="18"/>
    </row>
    <row r="321" spans="1:13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9"/>
      <c r="L321" s="18"/>
      <c r="M321" s="18"/>
    </row>
    <row r="322" spans="1:13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9"/>
      <c r="L322" s="18"/>
      <c r="M322" s="18"/>
    </row>
    <row r="323" spans="1:13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9"/>
      <c r="L323" s="18"/>
      <c r="M323" s="18"/>
    </row>
    <row r="324" spans="1:13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9"/>
      <c r="L324" s="18"/>
      <c r="M324" s="18"/>
    </row>
    <row r="325" spans="1:13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9"/>
      <c r="L325" s="18"/>
      <c r="M325" s="18"/>
    </row>
    <row r="326" spans="1:13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9"/>
      <c r="L326" s="18"/>
      <c r="M326" s="18"/>
    </row>
    <row r="327" spans="1:13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9"/>
      <c r="L327" s="18"/>
      <c r="M327" s="18"/>
    </row>
    <row r="328" spans="1:13">
      <c r="D328" s="18"/>
      <c r="E328" s="18"/>
      <c r="F328" s="18"/>
      <c r="G328" s="19"/>
      <c r="H328" s="18"/>
      <c r="I328" s="18"/>
      <c r="J328" s="19"/>
      <c r="K328" s="19"/>
      <c r="L328" s="18"/>
      <c r="M328" s="18"/>
    </row>
    <row r="329" spans="1:13">
      <c r="K329" s="19"/>
    </row>
    <row r="330" spans="1:13">
      <c r="K330" s="19"/>
    </row>
    <row r="331" spans="1:13">
      <c r="K331" s="19"/>
    </row>
    <row r="332" spans="1:13">
      <c r="K332" s="19"/>
    </row>
    <row r="333" spans="1:13">
      <c r="K333" s="19"/>
    </row>
    <row r="334" spans="1:13">
      <c r="K334" s="19"/>
    </row>
    <row r="335" spans="1:13">
      <c r="K335" s="19"/>
    </row>
    <row r="336" spans="1:13">
      <c r="K336" s="19"/>
    </row>
    <row r="337" spans="11:11">
      <c r="K337" s="19"/>
    </row>
    <row r="338" spans="11:11">
      <c r="K338" s="19"/>
    </row>
    <row r="339" spans="11:11">
      <c r="K339" s="19"/>
    </row>
    <row r="340" spans="11:11">
      <c r="K340" s="19"/>
    </row>
    <row r="341" spans="11:11">
      <c r="K341" s="19"/>
    </row>
    <row r="342" spans="11:11">
      <c r="K342" s="19"/>
    </row>
  </sheetData>
  <mergeCells count="4">
    <mergeCell ref="H1:J1"/>
    <mergeCell ref="A1:D1"/>
    <mergeCell ref="E1:G1"/>
    <mergeCell ref="A2:B2"/>
  </mergeCells>
  <conditionalFormatting sqref="G2 G4:G161 J4:J161">
    <cfRule type="cellIs" dxfId="86" priority="11" stopIfTrue="1" operator="lessThanOrEqual">
      <formula>-0.1</formula>
    </cfRule>
    <cfRule type="expression" dxfId="85" priority="12">
      <formula>AND(ISNUMBER(G2), G2&gt;=0.1)</formula>
    </cfRule>
  </conditionalFormatting>
  <conditionalFormatting sqref="J2:K2">
    <cfRule type="cellIs" dxfId="84" priority="3" stopIfTrue="1" operator="lessThanOrEqual">
      <formula>-0.1</formula>
    </cfRule>
    <cfRule type="expression" dxfId="83" priority="4">
      <formula>AND(ISNUMBER(J2), J2&gt;=0.1)</formula>
    </cfRule>
  </conditionalFormatting>
  <conditionalFormatting sqref="K4:K160">
    <cfRule type="expression" dxfId="82" priority="1" stopIfTrue="1">
      <formula>AND(K4&lt;&gt;"",K4&lt;0.975)</formula>
    </cfRule>
    <cfRule type="expression" dxfId="81" priority="2">
      <formula>AND(ISNUMBER(K4), K4&gt;=0.985)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42"/>
  <sheetViews>
    <sheetView zoomScale="90" zoomScaleNormal="90" workbookViewId="0">
      <pane xSplit="2" ySplit="3" topLeftCell="C133" activePane="bottomRight" state="frozen"/>
      <selection pane="bottomRight" activeCell="K3" sqref="K3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8.5703125" style="1" customWidth="1"/>
    <col min="12" max="12" width="71.5703125" customWidth="1"/>
    <col min="13" max="13" width="20.5703125" bestFit="1" customWidth="1"/>
  </cols>
  <sheetData>
    <row r="1" spans="1:13" ht="19.5" customHeight="1">
      <c r="A1" s="111" t="str" cm="1">
        <f t="array" ref="A1">portfolio</f>
        <v>Generate Capital</v>
      </c>
      <c r="B1" s="111"/>
      <c r="C1" s="111"/>
      <c r="D1" s="111"/>
      <c r="E1" s="112" t="s">
        <v>337</v>
      </c>
      <c r="F1" s="112"/>
      <c r="G1" s="112"/>
      <c r="H1" s="110" t="s">
        <v>338</v>
      </c>
      <c r="I1" s="110"/>
      <c r="J1" s="110"/>
      <c r="K1" s="107" t="s">
        <v>339</v>
      </c>
      <c r="L1" s="5"/>
      <c r="M1" s="5"/>
    </row>
    <row r="2" spans="1:13" ht="19.5" customHeight="1">
      <c r="A2" s="113" t="s">
        <v>3</v>
      </c>
      <c r="B2" s="113"/>
      <c r="C2" s="72"/>
      <c r="D2" s="6">
        <f>SUM(D4:D160)</f>
        <v>21642873.481354911</v>
      </c>
      <c r="E2" s="6">
        <f>SUM(E4:E160)</f>
        <v>9273638.1669999994</v>
      </c>
      <c r="F2" s="6">
        <f>D2-E2</f>
        <v>12369235.314354911</v>
      </c>
      <c r="G2" s="7">
        <f>IFERROR(F2/E2, 0)</f>
        <v>1.3338061170394284</v>
      </c>
      <c r="H2" s="6">
        <f>SUM(H4:H160)</f>
        <v>23138089.636999995</v>
      </c>
      <c r="I2" s="8">
        <f>D2-H2</f>
        <v>-1495216.1556450836</v>
      </c>
      <c r="J2" s="7">
        <f>IFERROR(I2/H2, 0)</f>
        <v>-6.4621417718690635E-2</v>
      </c>
      <c r="K2" s="108"/>
      <c r="L2" s="23" t="str">
        <f ca="1">IF(AND(TODAY()&gt;DATE(2024, 4,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4.25" customHeight="1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  <c r="L3" s="22" t="s">
        <v>30</v>
      </c>
      <c r="M3" s="22" t="s">
        <v>31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15124.740627674701</v>
      </c>
      <c r="E4" s="11"/>
      <c r="F4" s="11" t="str">
        <f>IF(AND(ISNUMBER(D4),ISNUMBER(E4)), D4-E4, "")</f>
        <v/>
      </c>
      <c r="G4" s="12" t="str">
        <f>IFERROR(F4/E4, "")</f>
        <v/>
      </c>
      <c r="H4" s="13">
        <v>12723.37</v>
      </c>
      <c r="I4" s="13">
        <f>IF(AND(ISNUMBER(D4),ISNUMBER(H4)), D4-H4, "")</f>
        <v>2401.3706276746998</v>
      </c>
      <c r="J4" s="14">
        <f>IFERROR(I4/H4, "")</f>
        <v>0.1887369955974478</v>
      </c>
      <c r="K4" s="14">
        <v>1</v>
      </c>
      <c r="L4" s="38"/>
      <c r="M4" s="38"/>
    </row>
    <row r="5" spans="1:13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v>63763.5</v>
      </c>
      <c r="E5" s="15"/>
      <c r="F5" s="15" t="str">
        <f t="shared" ref="F5:F68" si="0">IF(AND(ISNUMBER(D5),ISNUMBER(E5)), D5-E5, "")</f>
        <v/>
      </c>
      <c r="G5" s="16" t="str">
        <f>IFERROR(F5/E5, "")</f>
        <v/>
      </c>
      <c r="H5" s="17">
        <v>69139.66</v>
      </c>
      <c r="I5" s="17">
        <f t="shared" ref="I5:I68" si="1">IF(AND(ISNUMBER(D5),ISNUMBER(H5)), D5-H5, "")</f>
        <v>-5376.1600000000035</v>
      </c>
      <c r="J5" s="16">
        <f t="shared" ref="J5:J68" si="2">IFERROR(I5/H5, "")</f>
        <v>-7.7757975668379095E-2</v>
      </c>
      <c r="K5" s="16">
        <v>1</v>
      </c>
      <c r="L5" s="74" t="s">
        <v>340</v>
      </c>
      <c r="M5" s="74" t="s">
        <v>341</v>
      </c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23044.298895391101</v>
      </c>
      <c r="E6" s="11">
        <v>0</v>
      </c>
      <c r="F6" s="11">
        <f t="shared" si="0"/>
        <v>23044.298895391101</v>
      </c>
      <c r="G6" s="12" t="str">
        <f t="shared" ref="G6:G69" si="3">IFERROR(F6/E6, "")</f>
        <v/>
      </c>
      <c r="H6" s="13">
        <v>19810</v>
      </c>
      <c r="I6" s="13">
        <f t="shared" si="1"/>
        <v>3234.2988953911008</v>
      </c>
      <c r="J6" s="14">
        <f t="shared" si="2"/>
        <v>0.16326597149879357</v>
      </c>
      <c r="K6" s="14">
        <v>1</v>
      </c>
      <c r="L6" s="38"/>
      <c r="M6" s="38"/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v>10664.4318608419</v>
      </c>
      <c r="E7" s="15"/>
      <c r="F7" s="15" t="str">
        <f t="shared" si="0"/>
        <v/>
      </c>
      <c r="G7" s="16" t="str">
        <f t="shared" si="3"/>
        <v/>
      </c>
      <c r="H7" s="17">
        <v>14376.84</v>
      </c>
      <c r="I7" s="17">
        <f t="shared" si="1"/>
        <v>-3712.4081391581003</v>
      </c>
      <c r="J7" s="16">
        <f t="shared" si="2"/>
        <v>-0.25822142690313726</v>
      </c>
      <c r="K7" s="16">
        <v>1</v>
      </c>
      <c r="L7" s="39"/>
      <c r="M7" s="40"/>
    </row>
    <row r="8" spans="1:13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v>35808.643751721</v>
      </c>
      <c r="E8" s="11"/>
      <c r="F8" s="11" t="str">
        <f t="shared" si="0"/>
        <v/>
      </c>
      <c r="G8" s="12" t="str">
        <f t="shared" si="3"/>
        <v/>
      </c>
      <c r="H8" s="13">
        <v>33116.11</v>
      </c>
      <c r="I8" s="13">
        <f t="shared" si="1"/>
        <v>2692.5337517209991</v>
      </c>
      <c r="J8" s="14">
        <f t="shared" si="2"/>
        <v>8.1305858439321504E-2</v>
      </c>
      <c r="K8" s="14">
        <v>1</v>
      </c>
      <c r="L8" s="38"/>
      <c r="M8" s="38"/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v>33595.7432040356</v>
      </c>
      <c r="E9" s="15"/>
      <c r="F9" s="15" t="str">
        <f t="shared" si="0"/>
        <v/>
      </c>
      <c r="G9" s="16" t="str">
        <f t="shared" si="3"/>
        <v/>
      </c>
      <c r="H9" s="17">
        <v>32395.79</v>
      </c>
      <c r="I9" s="17">
        <f t="shared" si="1"/>
        <v>1199.9532040355989</v>
      </c>
      <c r="J9" s="16">
        <f t="shared" si="2"/>
        <v>3.7040405683442162E-2</v>
      </c>
      <c r="K9" s="16">
        <v>1</v>
      </c>
      <c r="L9" s="39"/>
      <c r="M9" s="40"/>
    </row>
    <row r="10" spans="1:13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14821.0479297361</v>
      </c>
      <c r="E10" s="11"/>
      <c r="F10" s="11" t="str">
        <f t="shared" si="0"/>
        <v/>
      </c>
      <c r="G10" s="12" t="str">
        <f t="shared" si="3"/>
        <v/>
      </c>
      <c r="H10" s="13">
        <v>14102</v>
      </c>
      <c r="I10" s="13">
        <f t="shared" si="1"/>
        <v>719.04792973609983</v>
      </c>
      <c r="J10" s="14">
        <f t="shared" si="2"/>
        <v>5.0989074580633939E-2</v>
      </c>
      <c r="K10" s="14">
        <v>1</v>
      </c>
      <c r="L10" s="38"/>
      <c r="M10" s="38"/>
    </row>
    <row r="11" spans="1:13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-1009433.8922906</v>
      </c>
      <c r="E11" s="15">
        <v>0</v>
      </c>
      <c r="F11" s="15">
        <f t="shared" si="0"/>
        <v>-1009433.8922906</v>
      </c>
      <c r="G11" s="16" t="str">
        <f t="shared" si="3"/>
        <v/>
      </c>
      <c r="H11" s="17">
        <v>10285</v>
      </c>
      <c r="I11" s="17">
        <f t="shared" si="1"/>
        <v>-1019718.8922906</v>
      </c>
      <c r="J11" s="16">
        <f t="shared" si="2"/>
        <v>-99.146221904773938</v>
      </c>
      <c r="K11" s="16">
        <v>1</v>
      </c>
      <c r="L11" s="39"/>
      <c r="M11" s="40"/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87359</v>
      </c>
      <c r="E12" s="11">
        <v>101063.7</v>
      </c>
      <c r="F12" s="11">
        <f t="shared" si="0"/>
        <v>-13704.699999999997</v>
      </c>
      <c r="G12" s="12">
        <f t="shared" si="3"/>
        <v>-0.13560457414482152</v>
      </c>
      <c r="H12" s="13">
        <v>87788</v>
      </c>
      <c r="I12" s="13">
        <f t="shared" si="1"/>
        <v>-429</v>
      </c>
      <c r="J12" s="14">
        <f t="shared" si="2"/>
        <v>-4.8867726796373084E-3</v>
      </c>
      <c r="K12" s="14">
        <v>1</v>
      </c>
      <c r="L12" s="38"/>
      <c r="M12" s="38"/>
    </row>
    <row r="13" spans="1:13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v>110222.78125</v>
      </c>
      <c r="E13" s="15">
        <v>109623.5</v>
      </c>
      <c r="F13" s="15">
        <f t="shared" si="0"/>
        <v>599.28125</v>
      </c>
      <c r="G13" s="16">
        <f t="shared" si="3"/>
        <v>5.4667224637053183E-3</v>
      </c>
      <c r="H13" s="17">
        <v>110389</v>
      </c>
      <c r="I13" s="17">
        <f t="shared" si="1"/>
        <v>-166.21875</v>
      </c>
      <c r="J13" s="16">
        <f t="shared" si="2"/>
        <v>-1.5057546494668852E-3</v>
      </c>
      <c r="K13" s="16">
        <v>1</v>
      </c>
      <c r="L13" s="74" t="s">
        <v>342</v>
      </c>
      <c r="M13" s="75" t="s">
        <v>255</v>
      </c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v>21835</v>
      </c>
      <c r="E14" s="11">
        <v>0</v>
      </c>
      <c r="F14" s="11">
        <f t="shared" si="0"/>
        <v>21835</v>
      </c>
      <c r="G14" s="12" t="str">
        <f t="shared" si="3"/>
        <v/>
      </c>
      <c r="H14" s="13">
        <v>25797</v>
      </c>
      <c r="I14" s="13">
        <f t="shared" si="1"/>
        <v>-3962</v>
      </c>
      <c r="J14" s="14">
        <f t="shared" si="2"/>
        <v>-0.15358375004845526</v>
      </c>
      <c r="K14" s="14">
        <v>1</v>
      </c>
      <c r="L14" s="38"/>
      <c r="M14" s="38"/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-1493252.5769577799</v>
      </c>
      <c r="E15" s="15">
        <v>10223.4</v>
      </c>
      <c r="F15" s="15">
        <f t="shared" si="0"/>
        <v>-1503475.9769577798</v>
      </c>
      <c r="G15" s="16">
        <f t="shared" si="3"/>
        <v>-147.06222753269753</v>
      </c>
      <c r="H15" s="17">
        <v>19010</v>
      </c>
      <c r="I15" s="17">
        <f t="shared" si="1"/>
        <v>-1512262.5769577799</v>
      </c>
      <c r="J15" s="16">
        <f t="shared" si="2"/>
        <v>-79.5508983144545</v>
      </c>
      <c r="K15" s="16">
        <v>1</v>
      </c>
      <c r="L15" s="39"/>
      <c r="M15" s="40"/>
    </row>
    <row r="16" spans="1:13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15285.392403940201</v>
      </c>
      <c r="E16" s="11"/>
      <c r="F16" s="11" t="str">
        <f t="shared" si="0"/>
        <v/>
      </c>
      <c r="G16" s="12" t="str">
        <f t="shared" si="3"/>
        <v/>
      </c>
      <c r="H16" s="13">
        <v>14347</v>
      </c>
      <c r="I16" s="13">
        <f t="shared" si="1"/>
        <v>938.39240394020089</v>
      </c>
      <c r="J16" s="14">
        <f t="shared" si="2"/>
        <v>6.5406872791538367E-2</v>
      </c>
      <c r="K16" s="14">
        <v>1</v>
      </c>
      <c r="L16" s="38"/>
      <c r="M16" s="38"/>
    </row>
    <row r="17" spans="1:13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v>90170.3100000001</v>
      </c>
      <c r="E17" s="15"/>
      <c r="F17" s="15" t="str">
        <f t="shared" si="0"/>
        <v/>
      </c>
      <c r="G17" s="16" t="str">
        <f t="shared" si="3"/>
        <v/>
      </c>
      <c r="H17" s="17">
        <v>90408</v>
      </c>
      <c r="I17" s="17">
        <f t="shared" si="1"/>
        <v>-237.68999999990046</v>
      </c>
      <c r="J17" s="16">
        <f t="shared" si="2"/>
        <v>-2.6290814972115351E-3</v>
      </c>
      <c r="K17" s="16">
        <v>1</v>
      </c>
      <c r="L17" s="39"/>
      <c r="M17" s="39"/>
    </row>
    <row r="18" spans="1:13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41126.370000000097</v>
      </c>
      <c r="E18" s="11">
        <v>0</v>
      </c>
      <c r="F18" s="11">
        <f t="shared" si="0"/>
        <v>41126.370000000097</v>
      </c>
      <c r="G18" s="12" t="str">
        <f t="shared" si="3"/>
        <v/>
      </c>
      <c r="H18" s="13">
        <v>54193</v>
      </c>
      <c r="I18" s="13">
        <f t="shared" si="1"/>
        <v>-13066.629999999903</v>
      </c>
      <c r="J18" s="80">
        <f t="shared" si="2"/>
        <v>-0.24111287435646492</v>
      </c>
      <c r="K18" s="80">
        <v>1</v>
      </c>
      <c r="L18" s="38"/>
      <c r="M18" s="38"/>
    </row>
    <row r="19" spans="1:13" ht="43.5">
      <c r="A19" s="27" t="str">
        <v>RCAB</v>
      </c>
      <c r="B19" s="28" t="str">
        <v>MA</v>
      </c>
      <c r="C19" s="28" t="str">
        <f>Sites[[#This Row],[SOL'#]]</f>
        <v>SOL-10838</v>
      </c>
      <c r="D19" s="10">
        <v>117019</v>
      </c>
      <c r="E19" s="15">
        <v>132815.6</v>
      </c>
      <c r="F19" s="15">
        <f t="shared" si="0"/>
        <v>-15796.600000000006</v>
      </c>
      <c r="G19" s="16">
        <f t="shared" si="3"/>
        <v>-0.11893632976849108</v>
      </c>
      <c r="H19" s="17">
        <v>125033.4</v>
      </c>
      <c r="I19" s="17">
        <f t="shared" si="1"/>
        <v>-8014.3999999999942</v>
      </c>
      <c r="J19" s="16">
        <f t="shared" si="2"/>
        <v>-6.4098072994895713E-2</v>
      </c>
      <c r="K19" s="16">
        <v>1</v>
      </c>
      <c r="L19" s="74" t="s">
        <v>343</v>
      </c>
      <c r="M19" s="77" t="s">
        <v>344</v>
      </c>
    </row>
    <row r="20" spans="1:13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30947.625</v>
      </c>
      <c r="E20" s="11">
        <v>32366.720000000001</v>
      </c>
      <c r="F20" s="11">
        <f t="shared" si="0"/>
        <v>-1419.0950000000012</v>
      </c>
      <c r="G20" s="12">
        <f t="shared" si="3"/>
        <v>-4.3844263490400048E-2</v>
      </c>
      <c r="H20" s="13">
        <v>33513.89</v>
      </c>
      <c r="I20" s="13">
        <f t="shared" si="1"/>
        <v>-2566.2649999999994</v>
      </c>
      <c r="J20" s="80">
        <f t="shared" si="2"/>
        <v>-7.6573176077142924E-2</v>
      </c>
      <c r="K20" s="80">
        <v>0.98006320000000002</v>
      </c>
      <c r="L20" s="73" t="s">
        <v>345</v>
      </c>
      <c r="M20" s="73" t="s">
        <v>346</v>
      </c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v>32171.25</v>
      </c>
      <c r="E21" s="15">
        <v>34586.76</v>
      </c>
      <c r="F21" s="15">
        <f t="shared" si="0"/>
        <v>-2415.510000000002</v>
      </c>
      <c r="G21" s="16">
        <f t="shared" si="3"/>
        <v>-6.9839152323027717E-2</v>
      </c>
      <c r="H21" s="17">
        <v>33217.199999999997</v>
      </c>
      <c r="I21" s="17">
        <f t="shared" si="1"/>
        <v>-1045.9499999999971</v>
      </c>
      <c r="J21" s="16">
        <f t="shared" si="2"/>
        <v>-3.1488204905892041E-2</v>
      </c>
      <c r="K21" s="16">
        <v>1</v>
      </c>
      <c r="L21" s="39"/>
      <c r="M21" s="40"/>
    </row>
    <row r="22" spans="1:13" ht="29.1">
      <c r="A22" s="25" t="str">
        <v>K041</v>
      </c>
      <c r="B22" s="26" t="str">
        <v>NY</v>
      </c>
      <c r="C22" s="26" t="str">
        <f>Sites[[#This Row],[SOL'#]]</f>
        <v>SOL-10357</v>
      </c>
      <c r="D22" s="21">
        <v>20243.921875</v>
      </c>
      <c r="E22" s="11">
        <v>27632.97</v>
      </c>
      <c r="F22" s="11">
        <f t="shared" si="0"/>
        <v>-7389.0481250000012</v>
      </c>
      <c r="G22" s="12">
        <f t="shared" si="3"/>
        <v>-0.26739970857276657</v>
      </c>
      <c r="H22" s="13">
        <v>26573</v>
      </c>
      <c r="I22" s="13">
        <f t="shared" si="1"/>
        <v>-6329.078125</v>
      </c>
      <c r="J22" s="80">
        <f t="shared" si="2"/>
        <v>-0.23817702649305686</v>
      </c>
      <c r="K22" s="80">
        <v>1</v>
      </c>
      <c r="L22" s="73" t="s">
        <v>347</v>
      </c>
      <c r="M22" s="73" t="s">
        <v>348</v>
      </c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v>28735.9375</v>
      </c>
      <c r="E23" s="15">
        <v>30006.39</v>
      </c>
      <c r="F23" s="15">
        <f t="shared" si="0"/>
        <v>-1270.4524999999994</v>
      </c>
      <c r="G23" s="16">
        <f t="shared" si="3"/>
        <v>-4.2339398374812813E-2</v>
      </c>
      <c r="H23" s="17">
        <v>5845</v>
      </c>
      <c r="I23" s="17">
        <f t="shared" si="1"/>
        <v>22890.9375</v>
      </c>
      <c r="J23" s="16">
        <f t="shared" si="2"/>
        <v>3.9163280581693756</v>
      </c>
      <c r="K23" s="16">
        <v>0.96630280000000002</v>
      </c>
      <c r="L23" s="39"/>
      <c r="M23" s="40"/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v>23873.125</v>
      </c>
      <c r="E24" s="11">
        <v>24535.03</v>
      </c>
      <c r="F24" s="11">
        <f t="shared" si="0"/>
        <v>-661.90499999999884</v>
      </c>
      <c r="G24" s="12">
        <f t="shared" si="3"/>
        <v>-2.6977957638527398E-2</v>
      </c>
      <c r="H24" s="13">
        <v>24597.73</v>
      </c>
      <c r="I24" s="13">
        <f t="shared" si="1"/>
        <v>-724.60499999999956</v>
      </c>
      <c r="J24" s="80">
        <f t="shared" si="2"/>
        <v>-2.9458206102758247E-2</v>
      </c>
      <c r="K24" s="80">
        <v>1</v>
      </c>
      <c r="L24" s="38"/>
      <c r="M24" s="38"/>
    </row>
    <row r="25" spans="1:13" ht="29.1">
      <c r="A25" s="27" t="str">
        <v>K115</v>
      </c>
      <c r="B25" s="28" t="str">
        <v>NY</v>
      </c>
      <c r="C25" s="28" t="str">
        <f>Sites[[#This Row],[SOL'#]]</f>
        <v>SOL-10361</v>
      </c>
      <c r="D25" s="10">
        <v>6370.2584374999997</v>
      </c>
      <c r="E25" s="15">
        <v>10410.89</v>
      </c>
      <c r="F25" s="15">
        <f t="shared" si="0"/>
        <v>-4040.6315624999997</v>
      </c>
      <c r="G25" s="16">
        <f t="shared" si="3"/>
        <v>-0.38811586353328104</v>
      </c>
      <c r="H25" s="17">
        <v>15240.95</v>
      </c>
      <c r="I25" s="17">
        <f t="shared" si="1"/>
        <v>-8870.6915625000001</v>
      </c>
      <c r="J25" s="16">
        <f t="shared" si="2"/>
        <v>-0.58203009408862305</v>
      </c>
      <c r="K25" s="16">
        <v>0.95544780000000007</v>
      </c>
      <c r="L25" s="76" t="s">
        <v>349</v>
      </c>
      <c r="M25" s="74" t="s">
        <v>45</v>
      </c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v>9140.75</v>
      </c>
      <c r="E26" s="11">
        <v>9247.51</v>
      </c>
      <c r="F26" s="11">
        <f t="shared" si="0"/>
        <v>-106.76000000000022</v>
      </c>
      <c r="G26" s="12">
        <f t="shared" si="3"/>
        <v>-1.1544729337951537E-2</v>
      </c>
      <c r="H26" s="13">
        <v>9488</v>
      </c>
      <c r="I26" s="13">
        <f t="shared" si="1"/>
        <v>-347.25</v>
      </c>
      <c r="J26" s="80">
        <f t="shared" si="2"/>
        <v>-3.6598861720067453E-2</v>
      </c>
      <c r="K26" s="80">
        <v>1</v>
      </c>
      <c r="L26" s="38"/>
      <c r="M26" s="38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v>33466.375</v>
      </c>
      <c r="E27" s="15">
        <v>35415.769999999997</v>
      </c>
      <c r="F27" s="15">
        <f t="shared" si="0"/>
        <v>-1949.3949999999968</v>
      </c>
      <c r="G27" s="16">
        <f t="shared" si="3"/>
        <v>-5.5043134739128842E-2</v>
      </c>
      <c r="H27" s="17">
        <v>34829.68</v>
      </c>
      <c r="I27" s="17">
        <f t="shared" si="1"/>
        <v>-1363.3050000000003</v>
      </c>
      <c r="J27" s="16">
        <f t="shared" si="2"/>
        <v>-3.914204781668968E-2</v>
      </c>
      <c r="K27" s="16">
        <v>1</v>
      </c>
      <c r="L27" s="39"/>
      <c r="M27" s="40"/>
    </row>
    <row r="28" spans="1:13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v>18668.4213671875</v>
      </c>
      <c r="E28" s="11">
        <v>19083.349999999999</v>
      </c>
      <c r="F28" s="11">
        <f t="shared" si="0"/>
        <v>-414.92863281249811</v>
      </c>
      <c r="G28" s="12">
        <f t="shared" si="3"/>
        <v>-2.174296613605568E-2</v>
      </c>
      <c r="H28" s="13">
        <v>19705</v>
      </c>
      <c r="I28" s="13">
        <f t="shared" si="1"/>
        <v>-1036.5786328124996</v>
      </c>
      <c r="J28" s="80">
        <f t="shared" si="2"/>
        <v>-5.2604853225704115E-2</v>
      </c>
      <c r="K28" s="80">
        <v>0.99045130000000003</v>
      </c>
      <c r="L28" s="38"/>
      <c r="M28" s="38"/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v>20644.03125</v>
      </c>
      <c r="E29" s="15">
        <v>21406.02</v>
      </c>
      <c r="F29" s="15">
        <f t="shared" si="0"/>
        <v>-761.98875000000044</v>
      </c>
      <c r="G29" s="16">
        <f t="shared" si="3"/>
        <v>-3.5596937216726902E-2</v>
      </c>
      <c r="H29" s="17">
        <v>22013.14</v>
      </c>
      <c r="I29" s="17">
        <f t="shared" si="1"/>
        <v>-1369.1087499999994</v>
      </c>
      <c r="J29" s="16">
        <f t="shared" si="2"/>
        <v>-6.2195068490910402E-2</v>
      </c>
      <c r="K29" s="16">
        <v>1</v>
      </c>
      <c r="L29" s="74" t="s">
        <v>350</v>
      </c>
      <c r="M29" s="74" t="s">
        <v>265</v>
      </c>
    </row>
    <row r="30" spans="1:13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v>19510.0625</v>
      </c>
      <c r="E30" s="11"/>
      <c r="F30" s="11" t="str">
        <f t="shared" si="0"/>
        <v/>
      </c>
      <c r="G30" s="12" t="str">
        <f t="shared" si="3"/>
        <v/>
      </c>
      <c r="H30" s="13">
        <v>20938.82</v>
      </c>
      <c r="I30" s="13">
        <f t="shared" si="1"/>
        <v>-1428.7574999999997</v>
      </c>
      <c r="J30" s="80">
        <f t="shared" si="2"/>
        <v>-6.823486232748549E-2</v>
      </c>
      <c r="K30" s="80">
        <v>1</v>
      </c>
      <c r="L30" s="38"/>
      <c r="M30" s="38"/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v>22697.5</v>
      </c>
      <c r="E31" s="15"/>
      <c r="F31" s="15" t="str">
        <f t="shared" si="0"/>
        <v/>
      </c>
      <c r="G31" s="16" t="str">
        <f t="shared" si="3"/>
        <v/>
      </c>
      <c r="H31" s="17">
        <v>26398</v>
      </c>
      <c r="I31" s="17">
        <f t="shared" si="1"/>
        <v>-3700.5</v>
      </c>
      <c r="J31" s="16">
        <f t="shared" si="2"/>
        <v>-0.14018107432381241</v>
      </c>
      <c r="K31" s="16">
        <v>1</v>
      </c>
      <c r="L31" s="74" t="s">
        <v>351</v>
      </c>
      <c r="M31" s="75" t="s">
        <v>352</v>
      </c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v>17370.375</v>
      </c>
      <c r="E32" s="11">
        <v>15168.98</v>
      </c>
      <c r="F32" s="11">
        <f t="shared" si="0"/>
        <v>2201.3950000000004</v>
      </c>
      <c r="G32" s="12">
        <f t="shared" si="3"/>
        <v>0.14512478755987551</v>
      </c>
      <c r="H32" s="13">
        <v>18269</v>
      </c>
      <c r="I32" s="13">
        <f t="shared" si="1"/>
        <v>-898.625</v>
      </c>
      <c r="J32" s="80">
        <f t="shared" si="2"/>
        <v>-4.9188516065466092E-2</v>
      </c>
      <c r="K32" s="80">
        <v>1</v>
      </c>
      <c r="L32" s="38"/>
      <c r="M32" s="38"/>
    </row>
    <row r="33" spans="1:13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v>19067.9375</v>
      </c>
      <c r="E33" s="15">
        <v>19600.169999999998</v>
      </c>
      <c r="F33" s="15">
        <f t="shared" si="0"/>
        <v>-532.23249999999825</v>
      </c>
      <c r="G33" s="16">
        <f t="shared" si="3"/>
        <v>-2.7154483864170478E-2</v>
      </c>
      <c r="H33" s="17">
        <v>20871</v>
      </c>
      <c r="I33" s="17">
        <f t="shared" si="1"/>
        <v>-1803.0625</v>
      </c>
      <c r="J33" s="16">
        <f t="shared" si="2"/>
        <v>-8.6390805423793779E-2</v>
      </c>
      <c r="K33" s="16">
        <v>1</v>
      </c>
      <c r="L33" s="39"/>
      <c r="M33" s="40"/>
    </row>
    <row r="34" spans="1:13" ht="29.1">
      <c r="A34" s="25" t="str">
        <v>K335</v>
      </c>
      <c r="B34" s="26" t="str">
        <v>NY</v>
      </c>
      <c r="C34" s="26" t="str">
        <f>Sites[[#This Row],[SOL'#]]</f>
        <v>SOL-10370</v>
      </c>
      <c r="D34" s="21">
        <v>18871.375</v>
      </c>
      <c r="E34" s="11">
        <v>21253.01</v>
      </c>
      <c r="F34" s="11">
        <f t="shared" si="0"/>
        <v>-2381.6349999999984</v>
      </c>
      <c r="G34" s="12">
        <f t="shared" si="3"/>
        <v>-0.1120610680557718</v>
      </c>
      <c r="H34" s="13">
        <v>21969</v>
      </c>
      <c r="I34" s="13">
        <f t="shared" si="1"/>
        <v>-3097.625</v>
      </c>
      <c r="J34" s="80">
        <f t="shared" si="2"/>
        <v>-0.14099981792525831</v>
      </c>
      <c r="K34" s="80">
        <v>1</v>
      </c>
      <c r="L34" s="73" t="s">
        <v>353</v>
      </c>
      <c r="M34" s="73" t="s">
        <v>267</v>
      </c>
    </row>
    <row r="35" spans="1:13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v>20820.3359375</v>
      </c>
      <c r="E35" s="15">
        <v>13629.56</v>
      </c>
      <c r="F35" s="15">
        <f t="shared" si="0"/>
        <v>7190.7759375000005</v>
      </c>
      <c r="G35" s="16">
        <f t="shared" si="3"/>
        <v>0.52758679939044262</v>
      </c>
      <c r="H35" s="17">
        <v>24273</v>
      </c>
      <c r="I35" s="17">
        <f t="shared" si="1"/>
        <v>-3452.6640625</v>
      </c>
      <c r="J35" s="16">
        <f t="shared" si="2"/>
        <v>-0.14224298860874221</v>
      </c>
      <c r="K35" s="16">
        <v>0.96684999999999999</v>
      </c>
      <c r="L35" s="74" t="s">
        <v>354</v>
      </c>
      <c r="M35" s="75" t="s">
        <v>269</v>
      </c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v>18595.015625</v>
      </c>
      <c r="E36" s="11">
        <v>20119.12</v>
      </c>
      <c r="F36" s="11">
        <f t="shared" si="0"/>
        <v>-1524.104374999999</v>
      </c>
      <c r="G36" s="12">
        <f t="shared" si="3"/>
        <v>-7.5754027760657483E-2</v>
      </c>
      <c r="H36" s="13">
        <v>19470.669999999998</v>
      </c>
      <c r="I36" s="13">
        <f t="shared" si="1"/>
        <v>-875.65437499999825</v>
      </c>
      <c r="J36" s="80">
        <f t="shared" si="2"/>
        <v>-4.4972996563549091E-2</v>
      </c>
      <c r="K36" s="80">
        <v>1</v>
      </c>
      <c r="L36" s="38"/>
      <c r="M36" s="38"/>
    </row>
    <row r="37" spans="1:13" ht="30.95">
      <c r="A37" s="27" t="str">
        <v>K495</v>
      </c>
      <c r="B37" s="28" t="str">
        <v>NY</v>
      </c>
      <c r="C37" s="28" t="str">
        <f>Sites[[#This Row],[SOL'#]]</f>
        <v>SOL-10374</v>
      </c>
      <c r="D37" s="10">
        <v>68781.755312499896</v>
      </c>
      <c r="E37" s="15">
        <v>63511.8</v>
      </c>
      <c r="F37" s="15">
        <f t="shared" si="0"/>
        <v>5269.9553124998929</v>
      </c>
      <c r="G37" s="16">
        <f t="shared" si="3"/>
        <v>8.2976003081315489E-2</v>
      </c>
      <c r="H37" s="17">
        <v>84389</v>
      </c>
      <c r="I37" s="17">
        <f t="shared" si="1"/>
        <v>-15607.244687500104</v>
      </c>
      <c r="J37" s="16">
        <f t="shared" si="2"/>
        <v>-0.18494406483665057</v>
      </c>
      <c r="K37" s="16">
        <v>0.8098651</v>
      </c>
      <c r="L37" s="39" t="s">
        <v>355</v>
      </c>
      <c r="M37" s="40" t="s">
        <v>356</v>
      </c>
    </row>
    <row r="38" spans="1:13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v>18813.484375</v>
      </c>
      <c r="E38" s="11">
        <v>21531.99</v>
      </c>
      <c r="F38" s="11">
        <f t="shared" si="0"/>
        <v>-2718.5056250000016</v>
      </c>
      <c r="G38" s="12">
        <f t="shared" si="3"/>
        <v>-0.12625426748758481</v>
      </c>
      <c r="H38" s="13">
        <v>22928</v>
      </c>
      <c r="I38" s="13">
        <f t="shared" si="1"/>
        <v>-4114.515625</v>
      </c>
      <c r="J38" s="80">
        <f t="shared" si="2"/>
        <v>-0.17945375196266575</v>
      </c>
      <c r="K38" s="80">
        <v>0.96443470000000009</v>
      </c>
      <c r="L38" s="38"/>
      <c r="M38" s="38"/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v>19299.125</v>
      </c>
      <c r="E39" s="15">
        <v>20876.509999999998</v>
      </c>
      <c r="F39" s="15">
        <f t="shared" si="0"/>
        <v>-1577.3849999999984</v>
      </c>
      <c r="G39" s="16">
        <f t="shared" si="3"/>
        <v>-7.5557887788715569E-2</v>
      </c>
      <c r="H39" s="17">
        <v>22332.1</v>
      </c>
      <c r="I39" s="17">
        <f t="shared" si="1"/>
        <v>-3032.9749999999985</v>
      </c>
      <c r="J39" s="16">
        <f t="shared" si="2"/>
        <v>-0.13581235083131452</v>
      </c>
      <c r="K39" s="16">
        <v>1</v>
      </c>
      <c r="L39" s="39"/>
      <c r="M39" s="40"/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v>22629.53125</v>
      </c>
      <c r="E40" s="11">
        <v>26223.48</v>
      </c>
      <c r="F40" s="11">
        <f t="shared" si="0"/>
        <v>-3593.9487499999996</v>
      </c>
      <c r="G40" s="12">
        <f t="shared" si="3"/>
        <v>-0.13705079379243335</v>
      </c>
      <c r="H40" s="13">
        <v>24780.22</v>
      </c>
      <c r="I40" s="13">
        <f t="shared" si="1"/>
        <v>-2150.6887500000012</v>
      </c>
      <c r="J40" s="80">
        <f t="shared" si="2"/>
        <v>-8.679054302181341E-2</v>
      </c>
      <c r="K40" s="80">
        <v>1</v>
      </c>
      <c r="L40" s="38"/>
      <c r="M40" s="38"/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v>31957.328125</v>
      </c>
      <c r="E41" s="15">
        <v>0</v>
      </c>
      <c r="F41" s="15">
        <f t="shared" si="0"/>
        <v>31957.328125</v>
      </c>
      <c r="G41" s="16" t="str">
        <f t="shared" si="3"/>
        <v/>
      </c>
      <c r="H41" s="17">
        <v>35364</v>
      </c>
      <c r="I41" s="17">
        <f t="shared" si="1"/>
        <v>-3406.671875</v>
      </c>
      <c r="J41" s="16">
        <f t="shared" si="2"/>
        <v>-9.6331633158013796E-2</v>
      </c>
      <c r="K41" s="16">
        <v>0.97909429999999997</v>
      </c>
      <c r="L41" s="39"/>
      <c r="M41" s="39"/>
    </row>
    <row r="42" spans="1:13" ht="15.6">
      <c r="A42" s="25" t="str">
        <v>M167</v>
      </c>
      <c r="B42" s="26" t="str">
        <v>NY</v>
      </c>
      <c r="C42" s="26" t="str">
        <f>Sites[[#This Row],[SOL'#]]</f>
        <v>SOL-10386</v>
      </c>
      <c r="D42" s="21">
        <v>21756.6875</v>
      </c>
      <c r="E42" s="11">
        <v>18528.39</v>
      </c>
      <c r="F42" s="11">
        <f t="shared" si="0"/>
        <v>3228.2975000000006</v>
      </c>
      <c r="G42" s="12">
        <f t="shared" si="3"/>
        <v>0.17423518719111594</v>
      </c>
      <c r="H42" s="13">
        <v>29365.4</v>
      </c>
      <c r="I42" s="13">
        <f t="shared" si="1"/>
        <v>-7608.7125000000015</v>
      </c>
      <c r="J42" s="80">
        <f t="shared" si="2"/>
        <v>-0.25910467761379041</v>
      </c>
      <c r="K42" s="80">
        <v>1</v>
      </c>
      <c r="L42" s="73" t="s">
        <v>357</v>
      </c>
      <c r="M42" s="73" t="s">
        <v>358</v>
      </c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v>17732.078125</v>
      </c>
      <c r="E43" s="15">
        <v>0</v>
      </c>
      <c r="F43" s="15">
        <f t="shared" si="0"/>
        <v>17732.078125</v>
      </c>
      <c r="G43" s="16" t="str">
        <f t="shared" si="3"/>
        <v/>
      </c>
      <c r="H43" s="17">
        <v>18637</v>
      </c>
      <c r="I43" s="17">
        <f t="shared" si="1"/>
        <v>-904.921875</v>
      </c>
      <c r="J43" s="16">
        <f t="shared" si="2"/>
        <v>-4.8555125556688311E-2</v>
      </c>
      <c r="K43" s="16">
        <v>0.97074680000000002</v>
      </c>
      <c r="L43" s="39"/>
      <c r="M43" s="40"/>
    </row>
    <row r="44" spans="1:13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v>4030.69873046875</v>
      </c>
      <c r="E44" s="11">
        <v>5918.3639999999996</v>
      </c>
      <c r="F44" s="11">
        <f t="shared" si="0"/>
        <v>-1887.6652695312496</v>
      </c>
      <c r="G44" s="12">
        <f t="shared" si="3"/>
        <v>-0.31895051901695293</v>
      </c>
      <c r="H44" s="13">
        <v>8799.6059999999998</v>
      </c>
      <c r="I44" s="13">
        <f t="shared" si="1"/>
        <v>-4768.9072695312498</v>
      </c>
      <c r="J44" s="80">
        <f t="shared" si="2"/>
        <v>-0.54194554500863446</v>
      </c>
      <c r="K44" s="80">
        <v>1</v>
      </c>
      <c r="L44" s="38"/>
      <c r="M44" s="38"/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v>28350.0625</v>
      </c>
      <c r="E45" s="15">
        <v>27821.040000000001</v>
      </c>
      <c r="F45" s="15">
        <f t="shared" si="0"/>
        <v>529.02249999999913</v>
      </c>
      <c r="G45" s="16">
        <f t="shared" si="3"/>
        <v>1.9015194974738511E-2</v>
      </c>
      <c r="H45" s="17">
        <v>29139</v>
      </c>
      <c r="I45" s="17">
        <f t="shared" si="1"/>
        <v>-788.9375</v>
      </c>
      <c r="J45" s="16">
        <f t="shared" si="2"/>
        <v>-2.7074968255602457E-2</v>
      </c>
      <c r="K45" s="16">
        <v>0.97066090000000005</v>
      </c>
      <c r="L45" s="39"/>
      <c r="M45" s="40"/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v>18827.0625</v>
      </c>
      <c r="E46" s="11">
        <v>17172.93</v>
      </c>
      <c r="F46" s="11">
        <f t="shared" si="0"/>
        <v>1654.1324999999997</v>
      </c>
      <c r="G46" s="12">
        <f t="shared" si="3"/>
        <v>9.6322089474539269E-2</v>
      </c>
      <c r="H46" s="13">
        <v>17379.52</v>
      </c>
      <c r="I46" s="13">
        <f t="shared" si="1"/>
        <v>1447.5424999999996</v>
      </c>
      <c r="J46" s="80">
        <f t="shared" si="2"/>
        <v>8.3290131142862378E-2</v>
      </c>
      <c r="K46" s="80">
        <v>1</v>
      </c>
      <c r="L46" s="38"/>
      <c r="M46" s="38"/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v>14707.6875</v>
      </c>
      <c r="E47" s="15">
        <v>14156.51</v>
      </c>
      <c r="F47" s="15">
        <f t="shared" si="0"/>
        <v>551.17749999999978</v>
      </c>
      <c r="G47" s="16">
        <f t="shared" si="3"/>
        <v>3.8934560848683734E-2</v>
      </c>
      <c r="H47" s="17">
        <v>14458.11</v>
      </c>
      <c r="I47" s="17">
        <f t="shared" si="1"/>
        <v>249.57749999999942</v>
      </c>
      <c r="J47" s="16">
        <f t="shared" si="2"/>
        <v>1.7262111022809994E-2</v>
      </c>
      <c r="K47" s="16">
        <v>1</v>
      </c>
      <c r="L47" s="39"/>
      <c r="M47" s="40"/>
    </row>
    <row r="48" spans="1:13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v>22860.625</v>
      </c>
      <c r="E48" s="11">
        <v>24951.81</v>
      </c>
      <c r="F48" s="11">
        <f t="shared" si="0"/>
        <v>-2091.1850000000013</v>
      </c>
      <c r="G48" s="12">
        <f t="shared" si="3"/>
        <v>-8.3808950132275017E-2</v>
      </c>
      <c r="H48" s="13">
        <v>13314</v>
      </c>
      <c r="I48" s="13">
        <f t="shared" si="1"/>
        <v>9546.625</v>
      </c>
      <c r="J48" s="80">
        <f t="shared" si="2"/>
        <v>0.71703657803815535</v>
      </c>
      <c r="K48" s="80">
        <v>0.99924239999999998</v>
      </c>
      <c r="L48" s="73" t="s">
        <v>359</v>
      </c>
      <c r="M48" s="73" t="s">
        <v>360</v>
      </c>
    </row>
    <row r="49" spans="1:13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v>16561.71875</v>
      </c>
      <c r="E49" s="15">
        <v>16457.669999999998</v>
      </c>
      <c r="F49" s="15">
        <f t="shared" si="0"/>
        <v>104.04875000000175</v>
      </c>
      <c r="G49" s="16">
        <f t="shared" si="3"/>
        <v>6.3222041759253746E-3</v>
      </c>
      <c r="H49" s="17">
        <v>16526.669999999998</v>
      </c>
      <c r="I49" s="17">
        <f t="shared" si="1"/>
        <v>35.048750000001746</v>
      </c>
      <c r="J49" s="16">
        <f t="shared" si="2"/>
        <v>2.1207387816179393E-3</v>
      </c>
      <c r="K49" s="16">
        <v>1</v>
      </c>
      <c r="L49" s="39"/>
      <c r="M49" s="40"/>
    </row>
    <row r="50" spans="1:13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v>21347.125</v>
      </c>
      <c r="E50" s="11">
        <v>22358.55</v>
      </c>
      <c r="F50" s="11">
        <f t="shared" si="0"/>
        <v>-1011.4249999999993</v>
      </c>
      <c r="G50" s="12">
        <f t="shared" si="3"/>
        <v>-4.5236609708590197E-2</v>
      </c>
      <c r="H50" s="13">
        <v>21585.64</v>
      </c>
      <c r="I50" s="13">
        <f t="shared" si="1"/>
        <v>-238.51499999999942</v>
      </c>
      <c r="J50" s="80">
        <f t="shared" si="2"/>
        <v>-1.1049707120103894E-2</v>
      </c>
      <c r="K50" s="80">
        <v>1</v>
      </c>
      <c r="L50" s="38"/>
      <c r="M50" s="38"/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v>12824.5625</v>
      </c>
      <c r="E51" s="15">
        <v>13770.59</v>
      </c>
      <c r="F51" s="15">
        <f t="shared" si="0"/>
        <v>-946.02750000000015</v>
      </c>
      <c r="G51" s="16">
        <f t="shared" si="3"/>
        <v>-6.8699126181231168E-2</v>
      </c>
      <c r="H51" s="17">
        <v>13801</v>
      </c>
      <c r="I51" s="17">
        <f t="shared" si="1"/>
        <v>-976.4375</v>
      </c>
      <c r="J51" s="16">
        <f t="shared" si="2"/>
        <v>-7.075121368016811E-2</v>
      </c>
      <c r="K51" s="16">
        <v>1</v>
      </c>
      <c r="L51" s="39"/>
      <c r="M51" s="40"/>
    </row>
    <row r="52" spans="1:13" ht="43.5">
      <c r="A52" s="25" t="str">
        <v>Q157</v>
      </c>
      <c r="B52" s="26" t="str">
        <v>NY</v>
      </c>
      <c r="C52" s="26" t="str">
        <f>Sites[[#This Row],[SOL'#]]</f>
        <v>SOL-10404</v>
      </c>
      <c r="D52" s="21">
        <v>19896.4375</v>
      </c>
      <c r="E52" s="11">
        <v>24392.17</v>
      </c>
      <c r="F52" s="11">
        <f t="shared" si="0"/>
        <v>-4495.7324999999983</v>
      </c>
      <c r="G52" s="12">
        <f t="shared" si="3"/>
        <v>-0.18431047750159163</v>
      </c>
      <c r="H52" s="13">
        <v>24604.13</v>
      </c>
      <c r="I52" s="13">
        <f t="shared" si="1"/>
        <v>-4707.692500000001</v>
      </c>
      <c r="J52" s="80">
        <f t="shared" si="2"/>
        <v>-0.19133749090091789</v>
      </c>
      <c r="K52" s="80">
        <v>1</v>
      </c>
      <c r="L52" s="38" t="s">
        <v>361</v>
      </c>
      <c r="M52" s="38" t="s">
        <v>362</v>
      </c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v>35318</v>
      </c>
      <c r="E53" s="15">
        <v>38028.449999999997</v>
      </c>
      <c r="F53" s="15">
        <f t="shared" si="0"/>
        <v>-2710.4499999999971</v>
      </c>
      <c r="G53" s="16">
        <f t="shared" si="3"/>
        <v>-7.1274269658637077E-2</v>
      </c>
      <c r="H53" s="17">
        <v>35759.08</v>
      </c>
      <c r="I53" s="17">
        <f t="shared" si="1"/>
        <v>-441.08000000000175</v>
      </c>
      <c r="J53" s="16">
        <f t="shared" si="2"/>
        <v>-1.2334769239029687E-2</v>
      </c>
      <c r="K53" s="16">
        <v>1</v>
      </c>
      <c r="L53" s="39"/>
      <c r="M53" s="39"/>
    </row>
    <row r="54" spans="1:13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v>28573.125</v>
      </c>
      <c r="E54" s="11">
        <v>28335.040000000001</v>
      </c>
      <c r="F54" s="11">
        <f t="shared" si="0"/>
        <v>238.08499999999913</v>
      </c>
      <c r="G54" s="12">
        <f t="shared" si="3"/>
        <v>8.4024938733101885E-3</v>
      </c>
      <c r="H54" s="13">
        <v>29628</v>
      </c>
      <c r="I54" s="13">
        <f t="shared" si="1"/>
        <v>-1054.875</v>
      </c>
      <c r="J54" s="80">
        <f t="shared" si="2"/>
        <v>-3.5603989469420817E-2</v>
      </c>
      <c r="K54" s="80">
        <v>0.9989247</v>
      </c>
      <c r="L54" s="73" t="s">
        <v>363</v>
      </c>
      <c r="M54" s="73" t="s">
        <v>364</v>
      </c>
    </row>
    <row r="55" spans="1:13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v>12812.90625</v>
      </c>
      <c r="E55" s="15">
        <v>13781.93</v>
      </c>
      <c r="F55" s="15">
        <f t="shared" si="0"/>
        <v>-969.02375000000029</v>
      </c>
      <c r="G55" s="16">
        <f t="shared" si="3"/>
        <v>-7.0311179203493293E-2</v>
      </c>
      <c r="H55" s="17">
        <v>12639.19</v>
      </c>
      <c r="I55" s="17">
        <f t="shared" si="1"/>
        <v>173.71624999999949</v>
      </c>
      <c r="J55" s="16">
        <f t="shared" si="2"/>
        <v>1.3744254972035351E-2</v>
      </c>
      <c r="K55" s="16">
        <v>1</v>
      </c>
      <c r="L55" s="39"/>
      <c r="M55" s="40"/>
    </row>
    <row r="56" spans="1:13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v>46914.4375</v>
      </c>
      <c r="E56" s="11">
        <v>48254.57</v>
      </c>
      <c r="F56" s="11">
        <f t="shared" si="0"/>
        <v>-1340.1324999999997</v>
      </c>
      <c r="G56" s="12">
        <f t="shared" si="3"/>
        <v>-2.777213640075955E-2</v>
      </c>
      <c r="H56" s="13">
        <v>48847</v>
      </c>
      <c r="I56" s="13">
        <f t="shared" si="1"/>
        <v>-1932.5625</v>
      </c>
      <c r="J56" s="80">
        <f t="shared" si="2"/>
        <v>-3.9563586300079841E-2</v>
      </c>
      <c r="K56" s="80">
        <v>1</v>
      </c>
      <c r="L56" s="38"/>
      <c r="M56" s="38"/>
    </row>
    <row r="57" spans="1:13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v>50714.625</v>
      </c>
      <c r="E57" s="15">
        <v>53806.32</v>
      </c>
      <c r="F57" s="15">
        <f t="shared" si="0"/>
        <v>-3091.6949999999997</v>
      </c>
      <c r="G57" s="16">
        <f t="shared" si="3"/>
        <v>-5.7459699901424216E-2</v>
      </c>
      <c r="H57" s="17">
        <v>53263.99</v>
      </c>
      <c r="I57" s="17">
        <f t="shared" si="1"/>
        <v>-2549.364999999998</v>
      </c>
      <c r="J57" s="16">
        <f t="shared" si="2"/>
        <v>-4.7862824395994333E-2</v>
      </c>
      <c r="K57" s="16">
        <v>1</v>
      </c>
      <c r="L57" s="74" t="s">
        <v>365</v>
      </c>
      <c r="M57" s="75" t="s">
        <v>366</v>
      </c>
    </row>
    <row r="58" spans="1:13" ht="72.599999999999994">
      <c r="A58" s="25" t="str">
        <v>Q435</v>
      </c>
      <c r="B58" s="26" t="str">
        <v>NY</v>
      </c>
      <c r="C58" s="26" t="str">
        <f>Sites[[#This Row],[SOL'#]]</f>
        <v>SOL-10923</v>
      </c>
      <c r="D58" s="21">
        <v>11142.8125</v>
      </c>
      <c r="E58" s="11">
        <v>10856.08</v>
      </c>
      <c r="F58" s="11">
        <f t="shared" si="0"/>
        <v>286.73250000000007</v>
      </c>
      <c r="G58" s="12">
        <f t="shared" si="3"/>
        <v>2.6412157979675912E-2</v>
      </c>
      <c r="H58" s="13">
        <v>70048</v>
      </c>
      <c r="I58" s="13">
        <f t="shared" si="1"/>
        <v>-58905.1875</v>
      </c>
      <c r="J58" s="80">
        <f t="shared" si="2"/>
        <v>-0.84092604357012335</v>
      </c>
      <c r="K58" s="80">
        <v>0.99877660000000001</v>
      </c>
      <c r="L58" s="38" t="s">
        <v>367</v>
      </c>
      <c r="M58" s="38" t="s">
        <v>368</v>
      </c>
    </row>
    <row r="59" spans="1:13" ht="30.95">
      <c r="A59" s="27" t="str">
        <v>Q485</v>
      </c>
      <c r="B59" s="28" t="str">
        <v>NY</v>
      </c>
      <c r="C59" s="28" t="str">
        <f>Sites[[#This Row],[SOL'#]]</f>
        <v>SOL-10869</v>
      </c>
      <c r="D59" s="10">
        <v>63297.0546875</v>
      </c>
      <c r="E59" s="15">
        <v>48417.72</v>
      </c>
      <c r="F59" s="15">
        <f t="shared" si="0"/>
        <v>14879.334687499999</v>
      </c>
      <c r="G59" s="16">
        <f t="shared" si="3"/>
        <v>0.30731175874246036</v>
      </c>
      <c r="H59" s="17">
        <v>65922.19</v>
      </c>
      <c r="I59" s="17">
        <f t="shared" si="1"/>
        <v>-2625.1353125000023</v>
      </c>
      <c r="J59" s="16">
        <f t="shared" si="2"/>
        <v>-3.9821724862296022E-2</v>
      </c>
      <c r="K59" s="16">
        <v>1</v>
      </c>
      <c r="L59" s="74" t="s">
        <v>369</v>
      </c>
      <c r="M59" s="40" t="s">
        <v>370</v>
      </c>
    </row>
    <row r="60" spans="1:13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v>45662.1875</v>
      </c>
      <c r="E60" s="11"/>
      <c r="F60" s="11" t="str">
        <f t="shared" si="0"/>
        <v/>
      </c>
      <c r="G60" s="12" t="str">
        <f t="shared" si="3"/>
        <v/>
      </c>
      <c r="H60" s="13">
        <v>46267.71</v>
      </c>
      <c r="I60" s="13">
        <f t="shared" si="1"/>
        <v>-605.52249999999913</v>
      </c>
      <c r="J60" s="80">
        <f t="shared" si="2"/>
        <v>-1.3087366977963663E-2</v>
      </c>
      <c r="K60" s="80">
        <v>1</v>
      </c>
      <c r="L60" s="38"/>
      <c r="M60" s="38"/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v>68204.5</v>
      </c>
      <c r="E61" s="15">
        <v>68635.75</v>
      </c>
      <c r="F61" s="15">
        <f t="shared" si="0"/>
        <v>-431.25</v>
      </c>
      <c r="G61" s="16">
        <f t="shared" si="3"/>
        <v>-6.2831687568067661E-3</v>
      </c>
      <c r="H61" s="17">
        <v>69590.039999999994</v>
      </c>
      <c r="I61" s="17">
        <f t="shared" si="1"/>
        <v>-1385.5399999999936</v>
      </c>
      <c r="J61" s="16">
        <f t="shared" si="2"/>
        <v>-1.9910033102438131E-2</v>
      </c>
      <c r="K61" s="16">
        <v>1</v>
      </c>
      <c r="L61" s="39"/>
      <c r="M61" s="40"/>
    </row>
    <row r="62" spans="1:13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v>5745</v>
      </c>
      <c r="E62" s="11"/>
      <c r="F62" s="11" t="str">
        <f t="shared" si="0"/>
        <v/>
      </c>
      <c r="G62" s="12" t="str">
        <f t="shared" si="3"/>
        <v/>
      </c>
      <c r="H62" s="13">
        <v>6339.7030000000004</v>
      </c>
      <c r="I62" s="13">
        <f t="shared" si="1"/>
        <v>-594.70300000000043</v>
      </c>
      <c r="J62" s="80">
        <f t="shared" si="2"/>
        <v>-9.3806129403853841E-2</v>
      </c>
      <c r="K62" s="80">
        <v>0.99757580000000001</v>
      </c>
      <c r="L62" s="38"/>
      <c r="M62" s="38"/>
    </row>
    <row r="63" spans="1:13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v>25442.5546875</v>
      </c>
      <c r="E63" s="15">
        <v>26178.42</v>
      </c>
      <c r="F63" s="15">
        <f t="shared" si="0"/>
        <v>-735.86531249999825</v>
      </c>
      <c r="G63" s="16">
        <f t="shared" si="3"/>
        <v>-2.8109615190679893E-2</v>
      </c>
      <c r="H63" s="17">
        <v>24516</v>
      </c>
      <c r="I63" s="17">
        <f t="shared" si="1"/>
        <v>926.5546875</v>
      </c>
      <c r="J63" s="16">
        <f t="shared" si="2"/>
        <v>3.7793876957905044E-2</v>
      </c>
      <c r="K63" s="16">
        <v>0.97459580000000001</v>
      </c>
      <c r="L63" s="39"/>
      <c r="M63" s="40"/>
    </row>
    <row r="64" spans="1:13" ht="15.6">
      <c r="A64" s="25" t="str">
        <v>X026</v>
      </c>
      <c r="B64" s="26" t="str">
        <v>NY</v>
      </c>
      <c r="C64" s="26" t="str">
        <f>Sites[[#This Row],[SOL'#]]</f>
        <v>SOL-10420</v>
      </c>
      <c r="D64" s="21">
        <v>22186</v>
      </c>
      <c r="E64" s="11">
        <v>20783</v>
      </c>
      <c r="F64" s="11">
        <f t="shared" si="0"/>
        <v>1403</v>
      </c>
      <c r="G64" s="12">
        <f t="shared" si="3"/>
        <v>6.7507097146706441E-2</v>
      </c>
      <c r="H64" s="13">
        <v>23221</v>
      </c>
      <c r="I64" s="13">
        <f t="shared" si="1"/>
        <v>-1035</v>
      </c>
      <c r="J64" s="80">
        <f t="shared" si="2"/>
        <v>-4.4571723870634343E-2</v>
      </c>
      <c r="K64" s="80"/>
      <c r="L64" s="38"/>
      <c r="M64" s="38"/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v>19040</v>
      </c>
      <c r="E65" s="15">
        <v>16832</v>
      </c>
      <c r="F65" s="15">
        <f t="shared" si="0"/>
        <v>2208</v>
      </c>
      <c r="G65" s="16">
        <f t="shared" si="3"/>
        <v>0.13117870722433461</v>
      </c>
      <c r="H65" s="17">
        <v>16450</v>
      </c>
      <c r="I65" s="17">
        <f t="shared" si="1"/>
        <v>2590</v>
      </c>
      <c r="J65" s="16">
        <f t="shared" si="2"/>
        <v>0.1574468085106383</v>
      </c>
      <c r="K65" s="16"/>
      <c r="L65" s="39"/>
      <c r="M65" s="39"/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v>15809</v>
      </c>
      <c r="E66" s="11">
        <v>17762</v>
      </c>
      <c r="F66" s="11">
        <f t="shared" si="0"/>
        <v>-1953</v>
      </c>
      <c r="G66" s="12">
        <f t="shared" si="3"/>
        <v>-0.10995383402769958</v>
      </c>
      <c r="H66" s="13">
        <v>23816</v>
      </c>
      <c r="I66" s="13">
        <f t="shared" si="1"/>
        <v>-8007</v>
      </c>
      <c r="J66" s="80">
        <f t="shared" si="2"/>
        <v>-0.33620255290560969</v>
      </c>
      <c r="K66" s="80"/>
      <c r="L66" s="38"/>
      <c r="M66" s="38"/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v>26460</v>
      </c>
      <c r="E67" s="15">
        <v>27391</v>
      </c>
      <c r="F67" s="15">
        <f t="shared" si="0"/>
        <v>-931</v>
      </c>
      <c r="G67" s="16">
        <f t="shared" si="3"/>
        <v>-3.3989266547406083E-2</v>
      </c>
      <c r="H67" s="17">
        <v>21727</v>
      </c>
      <c r="I67" s="17">
        <f t="shared" si="1"/>
        <v>4733</v>
      </c>
      <c r="J67" s="16">
        <f t="shared" si="2"/>
        <v>0.21783955447139502</v>
      </c>
      <c r="K67" s="16"/>
      <c r="L67" s="74" t="s">
        <v>371</v>
      </c>
      <c r="M67" s="75" t="s">
        <v>372</v>
      </c>
    </row>
    <row r="68" spans="1:13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v>28802</v>
      </c>
      <c r="E68" s="11">
        <v>0</v>
      </c>
      <c r="F68" s="11">
        <f t="shared" si="0"/>
        <v>28802</v>
      </c>
      <c r="G68" s="12" t="str">
        <f t="shared" si="3"/>
        <v/>
      </c>
      <c r="H68" s="13">
        <v>0</v>
      </c>
      <c r="I68" s="13">
        <f t="shared" si="1"/>
        <v>28802</v>
      </c>
      <c r="J68" s="80" t="str">
        <f t="shared" si="2"/>
        <v/>
      </c>
      <c r="K68" s="80"/>
      <c r="L68" s="73" t="s">
        <v>373</v>
      </c>
      <c r="M68" s="78" t="s">
        <v>374</v>
      </c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v>20295</v>
      </c>
      <c r="E69" s="15">
        <v>0</v>
      </c>
      <c r="F69" s="15">
        <f t="shared" ref="F69:F132" si="4">IF(AND(ISNUMBER(D69),ISNUMBER(E69)), D69-E69, "")</f>
        <v>20295</v>
      </c>
      <c r="G69" s="16" t="str">
        <f t="shared" si="3"/>
        <v/>
      </c>
      <c r="H69" s="17">
        <v>0</v>
      </c>
      <c r="I69" s="17">
        <f t="shared" ref="I69:I132" si="5">IF(AND(ISNUMBER(D69),ISNUMBER(H69)), D69-H69, "")</f>
        <v>20295</v>
      </c>
      <c r="J69" s="16" t="str">
        <f t="shared" ref="J69:J132" si="6">IFERROR(I69/H69, "")</f>
        <v/>
      </c>
      <c r="K69" s="16"/>
      <c r="L69" s="39"/>
      <c r="M69" s="40"/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37109.803602350898</v>
      </c>
      <c r="E70" s="11">
        <v>39019.199999999997</v>
      </c>
      <c r="F70" s="11">
        <f t="shared" si="4"/>
        <v>-1909.3963976490995</v>
      </c>
      <c r="G70" s="12">
        <f t="shared" ref="G70:G133" si="7">IFERROR(F70/E70, "")</f>
        <v>-4.8934791016963436E-2</v>
      </c>
      <c r="H70" s="13">
        <v>38484</v>
      </c>
      <c r="I70" s="13">
        <f t="shared" si="5"/>
        <v>-1374.1963976491024</v>
      </c>
      <c r="J70" s="80">
        <f t="shared" si="6"/>
        <v>-3.5708252719288597E-2</v>
      </c>
      <c r="K70" s="80">
        <v>1</v>
      </c>
      <c r="L70" s="38"/>
      <c r="M70" s="38"/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v>20116.103515625</v>
      </c>
      <c r="E71" s="15">
        <v>16915.45</v>
      </c>
      <c r="F71" s="15">
        <f t="shared" si="4"/>
        <v>3200.6535156249993</v>
      </c>
      <c r="G71" s="16">
        <f t="shared" si="7"/>
        <v>0.18921480159410475</v>
      </c>
      <c r="H71" s="17">
        <v>20901</v>
      </c>
      <c r="I71" s="17">
        <f t="shared" si="5"/>
        <v>-784.896484375</v>
      </c>
      <c r="J71" s="16">
        <f t="shared" si="6"/>
        <v>-3.7553058914645235E-2</v>
      </c>
      <c r="K71" s="16">
        <v>0</v>
      </c>
      <c r="L71" s="39"/>
      <c r="M71" s="40"/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v>21260</v>
      </c>
      <c r="E72" s="11">
        <v>21616</v>
      </c>
      <c r="F72" s="11">
        <f t="shared" si="4"/>
        <v>-356</v>
      </c>
      <c r="G72" s="12">
        <f t="shared" si="7"/>
        <v>-1.6469282013323466E-2</v>
      </c>
      <c r="H72" s="13">
        <v>0</v>
      </c>
      <c r="I72" s="13">
        <f t="shared" si="5"/>
        <v>21260</v>
      </c>
      <c r="J72" s="80" t="str">
        <f t="shared" si="6"/>
        <v/>
      </c>
      <c r="K72" s="80"/>
      <c r="L72" s="38"/>
      <c r="M72" s="38"/>
    </row>
    <row r="73" spans="1:13" ht="43.5">
      <c r="A73" s="27" t="str">
        <v>Murphy</v>
      </c>
      <c r="B73" s="28" t="str">
        <v>MN</v>
      </c>
      <c r="C73" s="28" t="str">
        <f>Sites[[#This Row],[SOL'#]]</f>
        <v>SOL-10094</v>
      </c>
      <c r="D73" s="10">
        <v>444960</v>
      </c>
      <c r="E73" s="15">
        <v>500145.7</v>
      </c>
      <c r="F73" s="15">
        <f t="shared" si="4"/>
        <v>-55185.700000000012</v>
      </c>
      <c r="G73" s="16">
        <f t="shared" si="7"/>
        <v>-0.11033924714338243</v>
      </c>
      <c r="H73" s="17">
        <v>886546.5</v>
      </c>
      <c r="I73" s="17">
        <f t="shared" si="5"/>
        <v>-441586.5</v>
      </c>
      <c r="J73" s="16">
        <f t="shared" si="6"/>
        <v>-0.49809739252255802</v>
      </c>
      <c r="K73" s="16">
        <v>0.94283039999999996</v>
      </c>
      <c r="L73" s="39" t="s">
        <v>375</v>
      </c>
      <c r="M73" s="75" t="s">
        <v>376</v>
      </c>
    </row>
    <row r="74" spans="1:13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821786.11499999999</v>
      </c>
      <c r="E74" s="11">
        <v>846962.6</v>
      </c>
      <c r="F74" s="11">
        <f t="shared" si="4"/>
        <v>-25176.484999999986</v>
      </c>
      <c r="G74" s="12">
        <f t="shared" si="7"/>
        <v>-2.9725615983515669E-2</v>
      </c>
      <c r="H74" s="13">
        <v>887995.1</v>
      </c>
      <c r="I74" s="13">
        <f t="shared" si="5"/>
        <v>-66208.984999999986</v>
      </c>
      <c r="J74" s="80">
        <f t="shared" si="6"/>
        <v>-7.4560079216653322E-2</v>
      </c>
      <c r="K74" s="80">
        <v>1</v>
      </c>
      <c r="L74" s="38"/>
      <c r="M74" s="38"/>
    </row>
    <row r="75" spans="1:13" ht="30.95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292497</v>
      </c>
      <c r="E75" s="15">
        <v>273061.74800000002</v>
      </c>
      <c r="F75" s="15">
        <f t="shared" si="4"/>
        <v>19435.251999999979</v>
      </c>
      <c r="G75" s="16">
        <f t="shared" si="7"/>
        <v>7.117530061369115E-2</v>
      </c>
      <c r="H75" s="17">
        <v>333250.83</v>
      </c>
      <c r="I75" s="17">
        <f t="shared" si="5"/>
        <v>-40753.830000000016</v>
      </c>
      <c r="J75" s="16">
        <f t="shared" si="6"/>
        <v>-0.12229175843312982</v>
      </c>
      <c r="K75" s="16">
        <v>0.98480000000000001</v>
      </c>
      <c r="L75" s="39" t="s">
        <v>377</v>
      </c>
      <c r="M75" s="75" t="s">
        <v>378</v>
      </c>
    </row>
    <row r="76" spans="1:13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289774</v>
      </c>
      <c r="E76" s="11">
        <v>300576.22499999998</v>
      </c>
      <c r="F76" s="11">
        <f t="shared" si="4"/>
        <v>-10802.224999999977</v>
      </c>
      <c r="G76" s="12">
        <f t="shared" si="7"/>
        <v>-3.5938388007900418E-2</v>
      </c>
      <c r="H76" s="13">
        <v>344032.47</v>
      </c>
      <c r="I76" s="13">
        <f t="shared" si="5"/>
        <v>-54258.469999999972</v>
      </c>
      <c r="J76" s="80">
        <f t="shared" si="6"/>
        <v>-0.15771322398725904</v>
      </c>
      <c r="K76" s="80">
        <v>0.99879999999999991</v>
      </c>
      <c r="L76" s="38"/>
      <c r="M76" s="38"/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273008</v>
      </c>
      <c r="E77" s="15">
        <v>282340.15100000001</v>
      </c>
      <c r="F77" s="15">
        <f t="shared" si="4"/>
        <v>-9332.1510000000126</v>
      </c>
      <c r="G77" s="16">
        <f t="shared" si="7"/>
        <v>-3.305286537159928E-2</v>
      </c>
      <c r="H77" s="17">
        <v>318796.09999999998</v>
      </c>
      <c r="I77" s="17">
        <f t="shared" si="5"/>
        <v>-45788.099999999977</v>
      </c>
      <c r="J77" s="16">
        <f t="shared" si="6"/>
        <v>-0.14362816860055685</v>
      </c>
      <c r="K77" s="16">
        <v>0.99860000000000004</v>
      </c>
      <c r="L77" s="39"/>
      <c r="M77" s="39"/>
    </row>
    <row r="78" spans="1:13" ht="35.25" customHeight="1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270987</v>
      </c>
      <c r="E78" s="11">
        <v>295022.05</v>
      </c>
      <c r="F78" s="11">
        <f t="shared" si="4"/>
        <v>-24035.049999999988</v>
      </c>
      <c r="G78" s="12">
        <f t="shared" si="7"/>
        <v>-8.1468656325857647E-2</v>
      </c>
      <c r="H78" s="13">
        <v>336617</v>
      </c>
      <c r="I78" s="13">
        <f t="shared" si="5"/>
        <v>-65630</v>
      </c>
      <c r="J78" s="80">
        <f t="shared" si="6"/>
        <v>-0.19496935686551778</v>
      </c>
      <c r="K78" s="80">
        <v>0.98340000000000005</v>
      </c>
      <c r="L78" s="38" t="s">
        <v>379</v>
      </c>
      <c r="M78" s="38" t="s">
        <v>380</v>
      </c>
    </row>
    <row r="79" spans="1:13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274470</v>
      </c>
      <c r="E79" s="15">
        <v>283953.71999999997</v>
      </c>
      <c r="F79" s="15">
        <f t="shared" si="4"/>
        <v>-9483.7199999999721</v>
      </c>
      <c r="G79" s="16">
        <f t="shared" si="7"/>
        <v>-3.3398822878601388E-2</v>
      </c>
      <c r="H79" s="17">
        <v>331236.15999999997</v>
      </c>
      <c r="I79" s="17">
        <f t="shared" si="5"/>
        <v>-56766.159999999974</v>
      </c>
      <c r="J79" s="16">
        <f t="shared" si="6"/>
        <v>-0.1713766999351761</v>
      </c>
      <c r="K79" s="16">
        <v>0.9998999999999999</v>
      </c>
      <c r="L79" s="39"/>
      <c r="M79" s="40"/>
    </row>
    <row r="80" spans="1:13" ht="43.5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219228</v>
      </c>
      <c r="E80" s="11">
        <v>271396.103</v>
      </c>
      <c r="F80" s="11">
        <f t="shared" si="4"/>
        <v>-52168.103000000003</v>
      </c>
      <c r="G80" s="12">
        <f t="shared" si="7"/>
        <v>-0.19222126781975202</v>
      </c>
      <c r="H80" s="13">
        <v>297572.26</v>
      </c>
      <c r="I80" s="13">
        <f t="shared" si="5"/>
        <v>-78344.260000000009</v>
      </c>
      <c r="J80" s="80">
        <f t="shared" si="6"/>
        <v>-0.26327810260270901</v>
      </c>
      <c r="K80" s="80"/>
      <c r="L80" s="38" t="s">
        <v>381</v>
      </c>
      <c r="M80" s="38" t="s">
        <v>382</v>
      </c>
    </row>
    <row r="81" spans="1:13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249002</v>
      </c>
      <c r="E81" s="15">
        <v>266834.21000000002</v>
      </c>
      <c r="F81" s="15">
        <f t="shared" si="4"/>
        <v>-17832.210000000021</v>
      </c>
      <c r="G81" s="16">
        <f t="shared" si="7"/>
        <v>-6.6828799800445454E-2</v>
      </c>
      <c r="H81" s="17">
        <v>288971.61</v>
      </c>
      <c r="I81" s="17">
        <f t="shared" si="5"/>
        <v>-39969.609999999986</v>
      </c>
      <c r="J81" s="16">
        <f t="shared" si="6"/>
        <v>-0.13831673637420641</v>
      </c>
      <c r="K81" s="16"/>
      <c r="L81" s="79"/>
      <c r="M81" s="40"/>
    </row>
    <row r="82" spans="1:13" ht="29.1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266090</v>
      </c>
      <c r="E82" s="11">
        <v>291602.038</v>
      </c>
      <c r="F82" s="11">
        <f t="shared" si="4"/>
        <v>-25512.038</v>
      </c>
      <c r="G82" s="12">
        <f t="shared" si="7"/>
        <v>-8.7489230785142869E-2</v>
      </c>
      <c r="H82" s="13">
        <v>324993.59000000003</v>
      </c>
      <c r="I82" s="13">
        <f t="shared" si="5"/>
        <v>-58903.590000000026</v>
      </c>
      <c r="J82" s="80">
        <f t="shared" si="6"/>
        <v>-0.18124539010138638</v>
      </c>
      <c r="K82" s="80"/>
      <c r="L82" s="38" t="s">
        <v>383</v>
      </c>
      <c r="M82" s="38" t="s">
        <v>384</v>
      </c>
    </row>
    <row r="83" spans="1:13" ht="30.9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295797</v>
      </c>
      <c r="E83" s="15">
        <v>303787.723</v>
      </c>
      <c r="F83" s="15">
        <f t="shared" si="4"/>
        <v>-7990.7229999999981</v>
      </c>
      <c r="G83" s="16">
        <f t="shared" si="7"/>
        <v>-2.6303640321896742E-2</v>
      </c>
      <c r="H83" s="17">
        <v>396869.73</v>
      </c>
      <c r="I83" s="17">
        <f t="shared" si="5"/>
        <v>-101072.72999999998</v>
      </c>
      <c r="J83" s="16">
        <f t="shared" si="6"/>
        <v>-0.25467482743014941</v>
      </c>
      <c r="K83" s="16"/>
      <c r="L83" s="39" t="s">
        <v>385</v>
      </c>
      <c r="M83" s="40" t="s">
        <v>386</v>
      </c>
    </row>
    <row r="84" spans="1:13" ht="57.9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295694</v>
      </c>
      <c r="E84" s="11">
        <v>0</v>
      </c>
      <c r="F84" s="11">
        <f t="shared" si="4"/>
        <v>295694</v>
      </c>
      <c r="G84" s="12" t="str">
        <f t="shared" si="7"/>
        <v/>
      </c>
      <c r="H84" s="13">
        <v>397692.63</v>
      </c>
      <c r="I84" s="13">
        <f t="shared" si="5"/>
        <v>-101998.63</v>
      </c>
      <c r="J84" s="80">
        <f t="shared" si="6"/>
        <v>-0.25647603778827888</v>
      </c>
      <c r="K84" s="80"/>
      <c r="L84" s="38" t="s">
        <v>387</v>
      </c>
      <c r="M84" s="38" t="s">
        <v>388</v>
      </c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271297</v>
      </c>
      <c r="E85" s="15">
        <v>0</v>
      </c>
      <c r="F85" s="15">
        <f t="shared" si="4"/>
        <v>271297</v>
      </c>
      <c r="G85" s="16" t="str">
        <f t="shared" si="7"/>
        <v/>
      </c>
      <c r="H85" s="17">
        <v>104431.67</v>
      </c>
      <c r="I85" s="17">
        <f t="shared" si="5"/>
        <v>166865.33000000002</v>
      </c>
      <c r="J85" s="16">
        <f t="shared" si="6"/>
        <v>1.5978422062962319</v>
      </c>
      <c r="K85" s="16"/>
      <c r="L85" s="74" t="s">
        <v>389</v>
      </c>
      <c r="M85" s="75" t="s">
        <v>390</v>
      </c>
    </row>
    <row r="86" spans="1:13" ht="43.5">
      <c r="A86" s="25" t="str">
        <v>Canoga</v>
      </c>
      <c r="B86" s="26" t="str">
        <v>NY</v>
      </c>
      <c r="C86" s="26" t="str">
        <f>Sites[[#This Row],[SOL'#]]</f>
        <v>SOL-10965</v>
      </c>
      <c r="D86" s="21">
        <v>678060</v>
      </c>
      <c r="E86" s="11">
        <v>0</v>
      </c>
      <c r="F86" s="11">
        <f t="shared" si="4"/>
        <v>678060</v>
      </c>
      <c r="G86" s="12" t="str">
        <f t="shared" si="7"/>
        <v/>
      </c>
      <c r="H86" s="13">
        <v>864196.02</v>
      </c>
      <c r="I86" s="13">
        <f t="shared" si="5"/>
        <v>-186136.02000000002</v>
      </c>
      <c r="J86" s="80">
        <f t="shared" si="6"/>
        <v>-0.21538634255686576</v>
      </c>
      <c r="K86" s="80">
        <v>0.99470000000000003</v>
      </c>
      <c r="L86" s="38" t="s">
        <v>391</v>
      </c>
      <c r="M86" s="38" t="s">
        <v>392</v>
      </c>
    </row>
    <row r="87" spans="1:13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718680</v>
      </c>
      <c r="E87" s="15">
        <v>0</v>
      </c>
      <c r="F87" s="15">
        <f t="shared" si="4"/>
        <v>718680</v>
      </c>
      <c r="G87" s="16" t="str">
        <f t="shared" si="7"/>
        <v/>
      </c>
      <c r="H87" s="17">
        <v>861550</v>
      </c>
      <c r="I87" s="17">
        <f t="shared" si="5"/>
        <v>-142870</v>
      </c>
      <c r="J87" s="16">
        <f t="shared" si="6"/>
        <v>-0.16582902907550345</v>
      </c>
      <c r="K87" s="16">
        <v>0.99970000000000003</v>
      </c>
      <c r="L87" s="74" t="s">
        <v>393</v>
      </c>
      <c r="M87" s="75" t="s">
        <v>394</v>
      </c>
    </row>
    <row r="88" spans="1:13" ht="15.6">
      <c r="A88" s="25" t="str">
        <v>Donati</v>
      </c>
      <c r="B88" s="26" t="str">
        <v>NY</v>
      </c>
      <c r="C88" s="26" t="str">
        <f>Sites[[#This Row],[SOL'#]]</f>
        <v>SOL-10968</v>
      </c>
      <c r="D88" s="21">
        <v>260837</v>
      </c>
      <c r="E88" s="11">
        <v>0</v>
      </c>
      <c r="F88" s="11">
        <f t="shared" si="4"/>
        <v>260837</v>
      </c>
      <c r="G88" s="12" t="str">
        <f t="shared" si="7"/>
        <v/>
      </c>
      <c r="H88" s="13">
        <v>410932.79</v>
      </c>
      <c r="I88" s="13">
        <f t="shared" si="5"/>
        <v>-150095.78999999998</v>
      </c>
      <c r="J88" s="80">
        <f t="shared" si="6"/>
        <v>-0.3652562989680137</v>
      </c>
      <c r="K88" s="80">
        <v>0.998</v>
      </c>
      <c r="L88" s="73" t="s">
        <v>395</v>
      </c>
      <c r="M88" s="73" t="s">
        <v>396</v>
      </c>
    </row>
    <row r="89" spans="1:13" ht="29.1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652231</v>
      </c>
      <c r="E89" s="15">
        <v>0</v>
      </c>
      <c r="F89" s="15">
        <f t="shared" si="4"/>
        <v>652231</v>
      </c>
      <c r="G89" s="16" t="str">
        <f t="shared" si="7"/>
        <v/>
      </c>
      <c r="H89" s="17">
        <v>224356.45</v>
      </c>
      <c r="I89" s="17">
        <f t="shared" si="5"/>
        <v>427874.55</v>
      </c>
      <c r="J89" s="16">
        <f t="shared" si="6"/>
        <v>1.9071194521040067</v>
      </c>
      <c r="K89" s="16">
        <v>0.9890000000000001</v>
      </c>
      <c r="L89" s="39" t="s">
        <v>397</v>
      </c>
      <c r="M89" s="39" t="s">
        <v>398</v>
      </c>
    </row>
    <row r="90" spans="1:13" ht="101.45">
      <c r="A90" s="25" t="str">
        <v>NY 70</v>
      </c>
      <c r="B90" s="26" t="str">
        <v>NY</v>
      </c>
      <c r="C90" s="26" t="str">
        <f>Sites[[#This Row],[SOL'#]]</f>
        <v>SOL-10970</v>
      </c>
      <c r="D90" s="21">
        <v>729676</v>
      </c>
      <c r="E90" s="11">
        <v>0</v>
      </c>
      <c r="F90" s="11">
        <f t="shared" si="4"/>
        <v>729676</v>
      </c>
      <c r="G90" s="12" t="str">
        <f t="shared" si="7"/>
        <v/>
      </c>
      <c r="H90" s="13">
        <v>348570.97</v>
      </c>
      <c r="I90" s="13">
        <f t="shared" si="5"/>
        <v>381105.03</v>
      </c>
      <c r="J90" s="80">
        <f t="shared" si="6"/>
        <v>1.0933355408225764</v>
      </c>
      <c r="K90" s="80">
        <v>0.98069999999999991</v>
      </c>
      <c r="L90" s="38" t="s">
        <v>399</v>
      </c>
      <c r="M90" s="38" t="s">
        <v>400</v>
      </c>
    </row>
    <row r="91" spans="1:13" ht="101.45">
      <c r="A91" s="27" t="str">
        <v>Reid</v>
      </c>
      <c r="B91" s="28" t="str">
        <v>NY</v>
      </c>
      <c r="C91" s="28" t="str">
        <f>Sites[[#This Row],[SOL'#]]</f>
        <v>SOL-10991</v>
      </c>
      <c r="D91" s="10">
        <v>615948.978116035</v>
      </c>
      <c r="E91" s="15">
        <v>584005.4</v>
      </c>
      <c r="F91" s="15">
        <f t="shared" si="4"/>
        <v>31943.578116034972</v>
      </c>
      <c r="G91" s="16">
        <f t="shared" si="7"/>
        <v>5.4697401969288247E-2</v>
      </c>
      <c r="H91" s="17">
        <v>766909</v>
      </c>
      <c r="I91" s="17">
        <f t="shared" si="5"/>
        <v>-150960.021883965</v>
      </c>
      <c r="J91" s="16">
        <f t="shared" si="6"/>
        <v>-0.1968421571320261</v>
      </c>
      <c r="K91" s="16">
        <v>0.95476190000000005</v>
      </c>
      <c r="L91" s="39" t="s">
        <v>401</v>
      </c>
      <c r="M91" s="40" t="s">
        <v>402</v>
      </c>
    </row>
    <row r="92" spans="1:13" ht="43.5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311949</v>
      </c>
      <c r="E92" s="11">
        <v>0</v>
      </c>
      <c r="F92" s="11">
        <f t="shared" si="4"/>
        <v>311949</v>
      </c>
      <c r="G92" s="12" t="str">
        <f t="shared" si="7"/>
        <v/>
      </c>
      <c r="H92" s="13">
        <v>402077.58</v>
      </c>
      <c r="I92" s="13">
        <f t="shared" si="5"/>
        <v>-90128.580000000016</v>
      </c>
      <c r="J92" s="80">
        <f t="shared" si="6"/>
        <v>-0.22415718876939125</v>
      </c>
      <c r="K92" s="80">
        <v>0.99629999999999996</v>
      </c>
      <c r="L92" s="38" t="s">
        <v>403</v>
      </c>
      <c r="M92" s="38" t="s">
        <v>404</v>
      </c>
    </row>
    <row r="93" spans="1:13" ht="116.1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424400</v>
      </c>
      <c r="E93" s="15">
        <v>0</v>
      </c>
      <c r="F93" s="15">
        <f t="shared" si="4"/>
        <v>424400</v>
      </c>
      <c r="G93" s="16" t="str">
        <f t="shared" si="7"/>
        <v/>
      </c>
      <c r="H93" s="17">
        <v>313295</v>
      </c>
      <c r="I93" s="17">
        <f t="shared" si="5"/>
        <v>111105</v>
      </c>
      <c r="J93" s="16">
        <f t="shared" si="6"/>
        <v>0.35463381158333201</v>
      </c>
      <c r="K93" s="16"/>
      <c r="L93" s="39" t="s">
        <v>405</v>
      </c>
      <c r="M93" s="40" t="s">
        <v>406</v>
      </c>
    </row>
    <row r="94" spans="1:13" ht="29.1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704633</v>
      </c>
      <c r="E94" s="11">
        <v>0</v>
      </c>
      <c r="F94" s="11">
        <f t="shared" si="4"/>
        <v>704633</v>
      </c>
      <c r="G94" s="12" t="str">
        <f t="shared" si="7"/>
        <v/>
      </c>
      <c r="H94" s="13">
        <v>336363.9</v>
      </c>
      <c r="I94" s="13">
        <f t="shared" si="5"/>
        <v>368269.1</v>
      </c>
      <c r="J94" s="80">
        <f t="shared" si="6"/>
        <v>1.0948532229528791</v>
      </c>
      <c r="K94" s="80"/>
      <c r="L94" s="73" t="s">
        <v>407</v>
      </c>
      <c r="M94" s="73" t="s">
        <v>408</v>
      </c>
    </row>
    <row r="95" spans="1:13" ht="29.1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705698</v>
      </c>
      <c r="E95" s="15">
        <v>0</v>
      </c>
      <c r="F95" s="15">
        <f t="shared" si="4"/>
        <v>705698</v>
      </c>
      <c r="G95" s="16" t="str">
        <f t="shared" si="7"/>
        <v/>
      </c>
      <c r="H95" s="17">
        <v>288785.2</v>
      </c>
      <c r="I95" s="17">
        <f t="shared" si="5"/>
        <v>416912.8</v>
      </c>
      <c r="J95" s="16">
        <f t="shared" si="6"/>
        <v>1.4436778616078663</v>
      </c>
      <c r="K95" s="16"/>
      <c r="L95" s="76" t="s">
        <v>409</v>
      </c>
      <c r="M95" s="77" t="s">
        <v>410</v>
      </c>
    </row>
    <row r="96" spans="1:13" ht="87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657309</v>
      </c>
      <c r="E96" s="11">
        <v>0</v>
      </c>
      <c r="F96" s="11">
        <f t="shared" si="4"/>
        <v>657309</v>
      </c>
      <c r="G96" s="12" t="str">
        <f t="shared" si="7"/>
        <v/>
      </c>
      <c r="H96" s="13">
        <v>393774.4</v>
      </c>
      <c r="I96" s="13">
        <f t="shared" si="5"/>
        <v>263534.59999999998</v>
      </c>
      <c r="J96" s="80">
        <f t="shared" si="6"/>
        <v>0.66925274979785365</v>
      </c>
      <c r="K96" s="80"/>
      <c r="L96" s="38" t="s">
        <v>411</v>
      </c>
      <c r="M96" s="38" t="s">
        <v>412</v>
      </c>
    </row>
    <row r="97" spans="1:13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721316</v>
      </c>
      <c r="E97" s="15">
        <v>0</v>
      </c>
      <c r="F97" s="15">
        <f t="shared" si="4"/>
        <v>721316</v>
      </c>
      <c r="G97" s="16" t="str">
        <f t="shared" si="7"/>
        <v/>
      </c>
      <c r="H97" s="17">
        <v>377458</v>
      </c>
      <c r="I97" s="17">
        <f t="shared" si="5"/>
        <v>343858</v>
      </c>
      <c r="J97" s="16">
        <f t="shared" si="6"/>
        <v>0.91098347365799637</v>
      </c>
      <c r="K97" s="16">
        <v>1</v>
      </c>
      <c r="L97" s="39"/>
      <c r="M97" s="40"/>
    </row>
    <row r="98" spans="1:13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316463</v>
      </c>
      <c r="E98" s="11">
        <v>0</v>
      </c>
      <c r="F98" s="11">
        <f t="shared" si="4"/>
        <v>316463</v>
      </c>
      <c r="G98" s="12" t="str">
        <f t="shared" si="7"/>
        <v/>
      </c>
      <c r="H98" s="13">
        <v>368815.27</v>
      </c>
      <c r="I98" s="13">
        <f t="shared" si="5"/>
        <v>-52352.270000000019</v>
      </c>
      <c r="J98" s="80">
        <f t="shared" si="6"/>
        <v>-0.14194713250348884</v>
      </c>
      <c r="K98" s="80">
        <v>1</v>
      </c>
      <c r="L98" s="38"/>
      <c r="M98" s="38"/>
    </row>
    <row r="99" spans="1:13" ht="43.5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514538</v>
      </c>
      <c r="E99" s="15">
        <v>0</v>
      </c>
      <c r="F99" s="15">
        <f t="shared" si="4"/>
        <v>514538</v>
      </c>
      <c r="G99" s="16" t="str">
        <f t="shared" si="7"/>
        <v/>
      </c>
      <c r="H99" s="17">
        <v>602668.72</v>
      </c>
      <c r="I99" s="17">
        <f t="shared" si="5"/>
        <v>-88130.719999999972</v>
      </c>
      <c r="J99" s="16">
        <f t="shared" si="6"/>
        <v>-0.14623410353867375</v>
      </c>
      <c r="K99" s="16">
        <v>0.99650000000000005</v>
      </c>
      <c r="L99" s="39" t="s">
        <v>413</v>
      </c>
      <c r="M99" s="40" t="s">
        <v>414</v>
      </c>
    </row>
    <row r="100" spans="1:13" ht="57.95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276370</v>
      </c>
      <c r="E100" s="11">
        <v>0</v>
      </c>
      <c r="F100" s="11">
        <f t="shared" si="4"/>
        <v>276370</v>
      </c>
      <c r="G100" s="12" t="str">
        <f t="shared" si="7"/>
        <v/>
      </c>
      <c r="H100" s="13">
        <v>313546.73</v>
      </c>
      <c r="I100" s="13">
        <f t="shared" si="5"/>
        <v>-37176.729999999981</v>
      </c>
      <c r="J100" s="80">
        <f t="shared" si="6"/>
        <v>-0.11856838691955099</v>
      </c>
      <c r="K100" s="80">
        <v>0.98790000000000011</v>
      </c>
      <c r="L100" s="38" t="s">
        <v>415</v>
      </c>
      <c r="M100" s="38" t="s">
        <v>416</v>
      </c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700116</v>
      </c>
      <c r="E101" s="15">
        <v>0</v>
      </c>
      <c r="F101" s="15">
        <f t="shared" si="4"/>
        <v>700116</v>
      </c>
      <c r="G101" s="16" t="str">
        <f t="shared" si="7"/>
        <v/>
      </c>
      <c r="H101" s="17">
        <v>810395.46</v>
      </c>
      <c r="I101" s="17">
        <f t="shared" si="5"/>
        <v>-110279.45999999996</v>
      </c>
      <c r="J101" s="16">
        <f t="shared" si="6"/>
        <v>-0.13608104369192786</v>
      </c>
      <c r="K101" s="16">
        <v>0.99970000000000003</v>
      </c>
      <c r="L101" s="39"/>
      <c r="M101" s="39"/>
    </row>
    <row r="102" spans="1:13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769394</v>
      </c>
      <c r="E102" s="11">
        <v>0</v>
      </c>
      <c r="F102" s="11">
        <f t="shared" si="4"/>
        <v>769394</v>
      </c>
      <c r="G102" s="12" t="str">
        <f t="shared" si="7"/>
        <v/>
      </c>
      <c r="H102" s="13">
        <v>1014213.2</v>
      </c>
      <c r="I102" s="13">
        <f t="shared" si="5"/>
        <v>-244819.19999999995</v>
      </c>
      <c r="J102" s="80">
        <f t="shared" si="6"/>
        <v>-0.24138829981704041</v>
      </c>
      <c r="K102" s="80">
        <v>0.99849999999999994</v>
      </c>
      <c r="L102" s="73" t="s">
        <v>417</v>
      </c>
      <c r="M102" s="73" t="s">
        <v>418</v>
      </c>
    </row>
    <row r="103" spans="1:13" ht="29.1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334791</v>
      </c>
      <c r="E103" s="15">
        <v>0</v>
      </c>
      <c r="F103" s="15">
        <f t="shared" si="4"/>
        <v>334791</v>
      </c>
      <c r="G103" s="16" t="str">
        <f t="shared" si="7"/>
        <v/>
      </c>
      <c r="H103" s="17">
        <v>407527.31</v>
      </c>
      <c r="I103" s="17">
        <f t="shared" si="5"/>
        <v>-72736.31</v>
      </c>
      <c r="J103" s="16">
        <f t="shared" si="6"/>
        <v>-0.17848205068759687</v>
      </c>
      <c r="K103" s="16">
        <v>0.99970000000000003</v>
      </c>
      <c r="L103" s="76" t="s">
        <v>419</v>
      </c>
      <c r="M103" s="77" t="s">
        <v>420</v>
      </c>
    </row>
    <row r="104" spans="1:13" ht="43.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793038</v>
      </c>
      <c r="E104" s="11">
        <v>0</v>
      </c>
      <c r="F104" s="11">
        <f t="shared" si="4"/>
        <v>793038</v>
      </c>
      <c r="G104" s="12" t="str">
        <f t="shared" si="7"/>
        <v/>
      </c>
      <c r="H104" s="13">
        <v>1007345.98</v>
      </c>
      <c r="I104" s="13">
        <f t="shared" si="5"/>
        <v>-214307.97999999998</v>
      </c>
      <c r="J104" s="80">
        <f t="shared" si="6"/>
        <v>-0.21274515832187069</v>
      </c>
      <c r="K104" s="80">
        <v>1</v>
      </c>
      <c r="L104" s="38" t="s">
        <v>421</v>
      </c>
      <c r="M104" s="38" t="s">
        <v>422</v>
      </c>
    </row>
    <row r="105" spans="1:13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292754</v>
      </c>
      <c r="E105" s="15">
        <v>0</v>
      </c>
      <c r="F105" s="15">
        <f t="shared" si="4"/>
        <v>292754</v>
      </c>
      <c r="G105" s="16" t="str">
        <f t="shared" si="7"/>
        <v/>
      </c>
      <c r="H105" s="17">
        <v>355432.32</v>
      </c>
      <c r="I105" s="17">
        <f t="shared" si="5"/>
        <v>-62678.320000000007</v>
      </c>
      <c r="J105" s="16">
        <f t="shared" si="6"/>
        <v>-0.17634389579428231</v>
      </c>
      <c r="K105" s="16">
        <v>1</v>
      </c>
      <c r="L105" s="39"/>
      <c r="M105" s="40"/>
    </row>
    <row r="106" spans="1:13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295204</v>
      </c>
      <c r="E106" s="11">
        <v>0</v>
      </c>
      <c r="F106" s="11">
        <f t="shared" si="4"/>
        <v>295204</v>
      </c>
      <c r="G106" s="12" t="str">
        <f t="shared" si="7"/>
        <v/>
      </c>
      <c r="H106" s="13">
        <v>365814.26</v>
      </c>
      <c r="I106" s="13">
        <f t="shared" si="5"/>
        <v>-70610.260000000009</v>
      </c>
      <c r="J106" s="80">
        <f t="shared" si="6"/>
        <v>-0.19302216376146739</v>
      </c>
      <c r="K106" s="80">
        <v>1</v>
      </c>
      <c r="L106" s="38"/>
      <c r="M106" s="38"/>
    </row>
    <row r="107" spans="1:13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285946</v>
      </c>
      <c r="E107" s="15">
        <v>0</v>
      </c>
      <c r="F107" s="15">
        <f t="shared" si="4"/>
        <v>285946</v>
      </c>
      <c r="G107" s="16" t="str">
        <f t="shared" si="7"/>
        <v/>
      </c>
      <c r="H107" s="17">
        <v>350350.56</v>
      </c>
      <c r="I107" s="17">
        <f t="shared" si="5"/>
        <v>-64404.56</v>
      </c>
      <c r="J107" s="16">
        <f t="shared" si="6"/>
        <v>-0.18382890553964007</v>
      </c>
      <c r="K107" s="16">
        <v>1</v>
      </c>
      <c r="L107" s="39"/>
      <c r="M107" s="40"/>
    </row>
    <row r="108" spans="1:13" ht="29.1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535066</v>
      </c>
      <c r="E108" s="11">
        <v>0</v>
      </c>
      <c r="F108" s="11">
        <f t="shared" si="4"/>
        <v>535066</v>
      </c>
      <c r="G108" s="12" t="str">
        <f t="shared" si="7"/>
        <v/>
      </c>
      <c r="H108" s="13">
        <v>624257.79</v>
      </c>
      <c r="I108" s="13">
        <f t="shared" si="5"/>
        <v>-89191.790000000037</v>
      </c>
      <c r="J108" s="80">
        <f t="shared" si="6"/>
        <v>-0.14287653502890213</v>
      </c>
      <c r="K108" s="80">
        <v>0.99970000000000003</v>
      </c>
      <c r="L108" s="38" t="s">
        <v>423</v>
      </c>
      <c r="M108" s="38" t="s">
        <v>424</v>
      </c>
    </row>
    <row r="109" spans="1:13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368483</v>
      </c>
      <c r="E109" s="15">
        <v>0</v>
      </c>
      <c r="F109" s="15">
        <f t="shared" si="4"/>
        <v>368483</v>
      </c>
      <c r="G109" s="16" t="str">
        <f t="shared" si="7"/>
        <v/>
      </c>
      <c r="H109" s="17">
        <v>477000</v>
      </c>
      <c r="I109" s="17">
        <f t="shared" si="5"/>
        <v>-108517</v>
      </c>
      <c r="J109" s="16">
        <f t="shared" si="6"/>
        <v>-0.22749895178197066</v>
      </c>
      <c r="K109" s="16">
        <v>1</v>
      </c>
      <c r="L109" s="39"/>
      <c r="M109" s="40"/>
    </row>
    <row r="110" spans="1:13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829392.5</v>
      </c>
      <c r="E110" s="11">
        <v>0</v>
      </c>
      <c r="F110" s="11">
        <f t="shared" si="4"/>
        <v>829392.5</v>
      </c>
      <c r="G110" s="12" t="str">
        <f t="shared" si="7"/>
        <v/>
      </c>
      <c r="H110" s="13">
        <v>0</v>
      </c>
      <c r="I110" s="13">
        <f t="shared" si="5"/>
        <v>829392.5</v>
      </c>
      <c r="J110" s="80" t="str">
        <f t="shared" si="6"/>
        <v/>
      </c>
      <c r="K110" s="80"/>
      <c r="L110" s="38"/>
      <c r="M110" s="38"/>
    </row>
    <row r="111" spans="1:13" ht="43.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716894</v>
      </c>
      <c r="E111" s="15">
        <v>752430</v>
      </c>
      <c r="F111" s="15">
        <f t="shared" si="4"/>
        <v>-35536</v>
      </c>
      <c r="G111" s="16">
        <f t="shared" si="7"/>
        <v>-4.7228313597278151E-2</v>
      </c>
      <c r="H111" s="17">
        <v>842582.6</v>
      </c>
      <c r="I111" s="17">
        <f t="shared" si="5"/>
        <v>-125688.59999999998</v>
      </c>
      <c r="J111" s="16">
        <f t="shared" si="6"/>
        <v>-0.14917065697772536</v>
      </c>
      <c r="K111" s="16">
        <v>0.97979190000000005</v>
      </c>
      <c r="L111" s="39" t="s">
        <v>425</v>
      </c>
      <c r="M111" s="40" t="s">
        <v>426</v>
      </c>
    </row>
    <row r="112" spans="1:13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702046.11499999999</v>
      </c>
      <c r="E112" s="11">
        <v>705298.2</v>
      </c>
      <c r="F112" s="11">
        <f t="shared" si="4"/>
        <v>-3252.0849999999627</v>
      </c>
      <c r="G112" s="12">
        <f t="shared" si="7"/>
        <v>-4.6109361969163725E-3</v>
      </c>
      <c r="H112" s="13">
        <v>814761.5</v>
      </c>
      <c r="I112" s="13">
        <f t="shared" si="5"/>
        <v>-112715.38500000001</v>
      </c>
      <c r="J112" s="80">
        <f t="shared" si="6"/>
        <v>-0.13834156989499383</v>
      </c>
      <c r="K112" s="80">
        <v>0.99549549999999998</v>
      </c>
      <c r="L112" s="73" t="s">
        <v>427</v>
      </c>
      <c r="M112" s="73" t="s">
        <v>428</v>
      </c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3350</v>
      </c>
      <c r="E113" s="15">
        <v>4573.8140000000003</v>
      </c>
      <c r="F113" s="15">
        <f t="shared" si="4"/>
        <v>-1223.8140000000003</v>
      </c>
      <c r="G113" s="16">
        <f t="shared" si="7"/>
        <v>-0.26756969129046354</v>
      </c>
      <c r="H113" s="17">
        <v>5028.7160000000003</v>
      </c>
      <c r="I113" s="17">
        <f t="shared" si="5"/>
        <v>-1678.7160000000003</v>
      </c>
      <c r="J113" s="16">
        <f t="shared" si="6"/>
        <v>-0.33382597068516101</v>
      </c>
      <c r="K113" s="16">
        <v>0.99901960000000001</v>
      </c>
      <c r="L113" s="74" t="s">
        <v>429</v>
      </c>
      <c r="M113" s="74" t="s">
        <v>430</v>
      </c>
    </row>
    <row r="114" spans="1:13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9065.9399999999405</v>
      </c>
      <c r="E114" s="11">
        <v>12374.39</v>
      </c>
      <c r="F114" s="11">
        <f t="shared" si="4"/>
        <v>-3308.4500000000589</v>
      </c>
      <c r="G114" s="12">
        <f t="shared" si="7"/>
        <v>-0.26736267403888669</v>
      </c>
      <c r="H114" s="13">
        <v>11724.06</v>
      </c>
      <c r="I114" s="13">
        <f t="shared" si="5"/>
        <v>-2658.120000000059</v>
      </c>
      <c r="J114" s="80">
        <f t="shared" si="6"/>
        <v>-0.22672350704449304</v>
      </c>
      <c r="K114" s="80">
        <v>0.99920629999999999</v>
      </c>
      <c r="L114" s="73" t="s">
        <v>431</v>
      </c>
      <c r="M114" s="73" t="s">
        <v>323</v>
      </c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1447</v>
      </c>
      <c r="E115" s="15">
        <v>1517.306</v>
      </c>
      <c r="F115" s="15">
        <f t="shared" si="4"/>
        <v>-70.30600000000004</v>
      </c>
      <c r="G115" s="16">
        <f t="shared" si="7"/>
        <v>-4.6336071959117042E-2</v>
      </c>
      <c r="H115" s="17">
        <v>1827.1210000000001</v>
      </c>
      <c r="I115" s="17">
        <f t="shared" si="5"/>
        <v>-380.12100000000009</v>
      </c>
      <c r="J115" s="16">
        <f t="shared" si="6"/>
        <v>-0.20804369278225146</v>
      </c>
      <c r="K115" s="16"/>
      <c r="L115" s="39"/>
      <c r="M115" s="40"/>
    </row>
    <row r="116" spans="1:13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1298</v>
      </c>
      <c r="E116" s="11">
        <v>1392.21</v>
      </c>
      <c r="F116" s="11">
        <f t="shared" si="4"/>
        <v>-94.210000000000036</v>
      </c>
      <c r="G116" s="12">
        <f t="shared" si="7"/>
        <v>-6.7669388957125751E-2</v>
      </c>
      <c r="H116" s="13">
        <v>1857.011</v>
      </c>
      <c r="I116" s="13">
        <f t="shared" si="5"/>
        <v>-559.01099999999997</v>
      </c>
      <c r="J116" s="80">
        <f t="shared" si="6"/>
        <v>-0.3010272960149401</v>
      </c>
      <c r="K116" s="80"/>
      <c r="L116" s="38"/>
      <c r="M116" s="38"/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1636</v>
      </c>
      <c r="E117" s="15">
        <v>1601.9649999999999</v>
      </c>
      <c r="F117" s="15">
        <f t="shared" si="4"/>
        <v>34.035000000000082</v>
      </c>
      <c r="G117" s="16">
        <f t="shared" si="7"/>
        <v>2.1245782523338579E-2</v>
      </c>
      <c r="H117" s="17">
        <v>1926</v>
      </c>
      <c r="I117" s="17">
        <f t="shared" si="5"/>
        <v>-290</v>
      </c>
      <c r="J117" s="16">
        <f t="shared" si="6"/>
        <v>-0.1505711318795431</v>
      </c>
      <c r="K117" s="16"/>
      <c r="L117" s="39"/>
      <c r="M117" s="40"/>
    </row>
    <row r="118" spans="1:13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13377</v>
      </c>
      <c r="E118" s="11">
        <v>19597</v>
      </c>
      <c r="F118" s="11">
        <f t="shared" si="4"/>
        <v>-6220</v>
      </c>
      <c r="G118" s="12">
        <f t="shared" si="7"/>
        <v>-0.31739551972240648</v>
      </c>
      <c r="H118" s="13">
        <v>4704</v>
      </c>
      <c r="I118" s="13">
        <f t="shared" si="5"/>
        <v>8673</v>
      </c>
      <c r="J118" s="80">
        <f t="shared" si="6"/>
        <v>1.84375</v>
      </c>
      <c r="K118" s="80"/>
      <c r="L118" s="38"/>
      <c r="M118" s="38"/>
    </row>
    <row r="119" spans="1:13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48451</v>
      </c>
      <c r="E119" s="15">
        <v>0</v>
      </c>
      <c r="F119" s="15">
        <f t="shared" si="4"/>
        <v>48451</v>
      </c>
      <c r="G119" s="16" t="str">
        <f t="shared" si="7"/>
        <v/>
      </c>
      <c r="H119" s="17">
        <v>47464</v>
      </c>
      <c r="I119" s="17">
        <f t="shared" si="5"/>
        <v>987</v>
      </c>
      <c r="J119" s="16">
        <f t="shared" si="6"/>
        <v>2.0794707567840891E-2</v>
      </c>
      <c r="K119" s="16"/>
      <c r="L119" s="39"/>
      <c r="M119" s="40"/>
    </row>
    <row r="120" spans="1:13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67">
        <v>32245</v>
      </c>
      <c r="E120" s="11">
        <v>30396</v>
      </c>
      <c r="F120" s="11">
        <f t="shared" si="4"/>
        <v>1849</v>
      </c>
      <c r="G120" s="12">
        <f t="shared" si="7"/>
        <v>6.0830372417423346E-2</v>
      </c>
      <c r="H120" s="13">
        <v>33943</v>
      </c>
      <c r="I120" s="13">
        <f t="shared" si="5"/>
        <v>-1698</v>
      </c>
      <c r="J120" s="80">
        <f t="shared" si="6"/>
        <v>-5.0025041982146537E-2</v>
      </c>
      <c r="K120" s="80"/>
      <c r="L120" s="38"/>
      <c r="M120" s="38"/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12564</v>
      </c>
      <c r="E121" s="15">
        <v>10823</v>
      </c>
      <c r="F121" s="15">
        <f t="shared" si="4"/>
        <v>1741</v>
      </c>
      <c r="G121" s="16">
        <f t="shared" si="7"/>
        <v>0.16086112907696573</v>
      </c>
      <c r="H121" s="17">
        <v>12929</v>
      </c>
      <c r="I121" s="17">
        <f t="shared" si="5"/>
        <v>-365</v>
      </c>
      <c r="J121" s="16">
        <f t="shared" si="6"/>
        <v>-2.8231108361048807E-2</v>
      </c>
      <c r="K121" s="16"/>
      <c r="L121" s="39"/>
      <c r="M121" s="40"/>
    </row>
    <row r="122" spans="1:13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12713</v>
      </c>
      <c r="E122" s="11">
        <v>10404</v>
      </c>
      <c r="F122" s="11">
        <f t="shared" si="4"/>
        <v>2309</v>
      </c>
      <c r="G122" s="12">
        <f t="shared" si="7"/>
        <v>0.22193387158785083</v>
      </c>
      <c r="H122" s="13">
        <v>12929</v>
      </c>
      <c r="I122" s="13">
        <f t="shared" si="5"/>
        <v>-216</v>
      </c>
      <c r="J122" s="80">
        <f t="shared" si="6"/>
        <v>-1.6706628509552169E-2</v>
      </c>
      <c r="K122" s="80"/>
      <c r="L122" s="38"/>
      <c r="M122" s="38"/>
    </row>
    <row r="123" spans="1:13" ht="72.599999999999994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148198</v>
      </c>
      <c r="E123" s="15">
        <v>159331.1</v>
      </c>
      <c r="F123" s="15">
        <f t="shared" si="4"/>
        <v>-11133.100000000006</v>
      </c>
      <c r="G123" s="16">
        <f t="shared" si="7"/>
        <v>-6.987399195762789E-2</v>
      </c>
      <c r="H123" s="17">
        <v>166705.20000000001</v>
      </c>
      <c r="I123" s="17">
        <f t="shared" si="5"/>
        <v>-18507.200000000012</v>
      </c>
      <c r="J123" s="16">
        <f t="shared" si="6"/>
        <v>-0.11101753274642909</v>
      </c>
      <c r="K123" s="16"/>
      <c r="L123" s="39" t="s">
        <v>432</v>
      </c>
      <c r="M123" s="62" t="s">
        <v>433</v>
      </c>
    </row>
    <row r="124" spans="1:13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161667</v>
      </c>
      <c r="E124" s="11">
        <v>154759.79999999999</v>
      </c>
      <c r="F124" s="11">
        <f t="shared" si="4"/>
        <v>6907.2000000000116</v>
      </c>
      <c r="G124" s="12">
        <f t="shared" si="7"/>
        <v>4.4631745453276701E-2</v>
      </c>
      <c r="H124" s="13">
        <v>10312.799999999999</v>
      </c>
      <c r="I124" s="13">
        <f t="shared" si="5"/>
        <v>151354.20000000001</v>
      </c>
      <c r="J124" s="80">
        <f t="shared" si="6"/>
        <v>14.676343960902958</v>
      </c>
      <c r="K124" s="80"/>
      <c r="L124" s="38"/>
      <c r="M124" s="38"/>
    </row>
    <row r="125" spans="1:13" ht="101.45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17247</v>
      </c>
      <c r="E125" s="15">
        <v>18247.400000000001</v>
      </c>
      <c r="F125" s="15">
        <f t="shared" si="4"/>
        <v>-1000.4000000000015</v>
      </c>
      <c r="G125" s="16">
        <f t="shared" si="7"/>
        <v>-5.4824248934094794E-2</v>
      </c>
      <c r="H125" s="17">
        <v>22721</v>
      </c>
      <c r="I125" s="17">
        <f t="shared" si="5"/>
        <v>-5474</v>
      </c>
      <c r="J125" s="16">
        <f t="shared" si="6"/>
        <v>-0.24092249460851195</v>
      </c>
      <c r="K125" s="16"/>
      <c r="L125" s="39" t="s">
        <v>434</v>
      </c>
      <c r="M125" s="61" t="s">
        <v>435</v>
      </c>
    </row>
    <row r="126" spans="1:13" ht="72.599999999999994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64262</v>
      </c>
      <c r="E126" s="11">
        <v>71453.52</v>
      </c>
      <c r="F126" s="11">
        <f t="shared" si="4"/>
        <v>-7191.5200000000041</v>
      </c>
      <c r="G126" s="12">
        <f t="shared" si="7"/>
        <v>-0.10064612632099865</v>
      </c>
      <c r="H126" s="13">
        <v>0</v>
      </c>
      <c r="I126" s="13">
        <f t="shared" si="5"/>
        <v>64262</v>
      </c>
      <c r="J126" s="80" t="str">
        <f t="shared" si="6"/>
        <v/>
      </c>
      <c r="K126" s="80"/>
      <c r="L126" s="38" t="s">
        <v>436</v>
      </c>
      <c r="M126" s="38" t="s">
        <v>437</v>
      </c>
    </row>
    <row r="127" spans="1:13" ht="234.75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16654.5</v>
      </c>
      <c r="E127" s="15">
        <v>52221.36</v>
      </c>
      <c r="F127" s="15">
        <f t="shared" si="4"/>
        <v>-35566.86</v>
      </c>
      <c r="G127" s="16">
        <f t="shared" si="7"/>
        <v>-0.68107877696023233</v>
      </c>
      <c r="H127" s="17">
        <v>32364</v>
      </c>
      <c r="I127" s="17">
        <f t="shared" si="5"/>
        <v>-15709.5</v>
      </c>
      <c r="J127" s="16">
        <f t="shared" si="6"/>
        <v>-0.4854004449388209</v>
      </c>
      <c r="K127" s="16"/>
      <c r="L127" s="39" t="s">
        <v>438</v>
      </c>
      <c r="M127" s="62" t="s">
        <v>439</v>
      </c>
    </row>
    <row r="128" spans="1:13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63480</v>
      </c>
      <c r="E128" s="11">
        <v>56649.55</v>
      </c>
      <c r="F128" s="11">
        <f t="shared" si="4"/>
        <v>6830.4499999999971</v>
      </c>
      <c r="G128" s="12">
        <f t="shared" si="7"/>
        <v>0.12057377331329193</v>
      </c>
      <c r="H128" s="13">
        <v>68389.41</v>
      </c>
      <c r="I128" s="13">
        <f t="shared" si="5"/>
        <v>-4909.4100000000035</v>
      </c>
      <c r="J128" s="80">
        <f t="shared" si="6"/>
        <v>-7.1786114253654235E-2</v>
      </c>
      <c r="K128" s="80"/>
      <c r="L128" s="38"/>
      <c r="M128" s="38"/>
    </row>
    <row r="129" spans="1:13" ht="72.599999999999994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148209</v>
      </c>
      <c r="E129" s="15">
        <v>145119</v>
      </c>
      <c r="F129" s="15">
        <f t="shared" si="4"/>
        <v>3090</v>
      </c>
      <c r="G129" s="16">
        <f t="shared" si="7"/>
        <v>2.1292869989456929E-2</v>
      </c>
      <c r="H129" s="17">
        <v>150126</v>
      </c>
      <c r="I129" s="17">
        <f t="shared" si="5"/>
        <v>-1917</v>
      </c>
      <c r="J129" s="16">
        <f t="shared" si="6"/>
        <v>-1.27692738099996E-2</v>
      </c>
      <c r="K129" s="16"/>
      <c r="L129" s="39" t="s">
        <v>440</v>
      </c>
      <c r="M129" s="62" t="s">
        <v>441</v>
      </c>
    </row>
    <row r="130" spans="1:13" ht="181.5" customHeight="1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306534</v>
      </c>
      <c r="E130" s="11">
        <v>307604.09999999998</v>
      </c>
      <c r="F130" s="11">
        <f t="shared" si="4"/>
        <v>-1070.0999999999767</v>
      </c>
      <c r="G130" s="12">
        <f t="shared" si="7"/>
        <v>-3.4788222913803061E-3</v>
      </c>
      <c r="H130" s="13">
        <v>322242.5</v>
      </c>
      <c r="I130" s="13">
        <f t="shared" si="5"/>
        <v>-15708.5</v>
      </c>
      <c r="J130" s="80">
        <f t="shared" si="6"/>
        <v>-4.8747449513953003E-2</v>
      </c>
      <c r="K130" s="80"/>
      <c r="L130" s="38" t="s">
        <v>442</v>
      </c>
      <c r="M130" s="38" t="s">
        <v>443</v>
      </c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13439.8478234824</v>
      </c>
      <c r="E131" s="15">
        <v>13909.84</v>
      </c>
      <c r="F131" s="15">
        <f t="shared" si="4"/>
        <v>-469.99217651760046</v>
      </c>
      <c r="G131" s="16">
        <f t="shared" si="7"/>
        <v>-3.3788467481840223E-2</v>
      </c>
      <c r="H131" s="17">
        <v>12995.68</v>
      </c>
      <c r="I131" s="17">
        <f t="shared" si="5"/>
        <v>444.1678234823994</v>
      </c>
      <c r="J131" s="16">
        <f t="shared" si="6"/>
        <v>3.4178113302451227E-2</v>
      </c>
      <c r="K131" s="16"/>
      <c r="L131" s="39"/>
      <c r="M131" s="40"/>
    </row>
    <row r="132" spans="1:13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9930</v>
      </c>
      <c r="E132" s="11">
        <v>11533</v>
      </c>
      <c r="F132" s="11">
        <f t="shared" si="4"/>
        <v>-1603</v>
      </c>
      <c r="G132" s="12">
        <f t="shared" si="7"/>
        <v>-0.13899245642937658</v>
      </c>
      <c r="H132" s="13">
        <v>9946</v>
      </c>
      <c r="I132" s="13">
        <f t="shared" si="5"/>
        <v>-16</v>
      </c>
      <c r="J132" s="80">
        <f t="shared" si="6"/>
        <v>-1.6086869093102755E-3</v>
      </c>
      <c r="K132" s="80"/>
      <c r="L132" s="38"/>
      <c r="M132" s="38"/>
    </row>
    <row r="133" spans="1:13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8143</v>
      </c>
      <c r="E133" s="15">
        <v>6765</v>
      </c>
      <c r="F133" s="15">
        <f t="shared" ref="F133:F139" si="8">IF(AND(ISNUMBER(D133),ISNUMBER(E133)), D133-E133, "")</f>
        <v>1378</v>
      </c>
      <c r="G133" s="16">
        <f t="shared" si="7"/>
        <v>0.20369549150036956</v>
      </c>
      <c r="H133" s="17">
        <v>8514</v>
      </c>
      <c r="I133" s="17">
        <f t="shared" ref="I133:I139" si="9">IF(AND(ISNUMBER(D133),ISNUMBER(H133)), D133-H133, "")</f>
        <v>-371</v>
      </c>
      <c r="J133" s="16">
        <f t="shared" ref="J133:J139" si="10">IFERROR(I133/H133, "")</f>
        <v>-4.3575287761334271E-2</v>
      </c>
      <c r="K133" s="16"/>
      <c r="L133" s="39"/>
      <c r="M133" s="40"/>
    </row>
    <row r="134" spans="1:13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34036</v>
      </c>
      <c r="E134" s="11">
        <v>32079</v>
      </c>
      <c r="F134" s="11">
        <f t="shared" si="8"/>
        <v>1957</v>
      </c>
      <c r="G134" s="12">
        <f t="shared" ref="G134:G139" si="11">IFERROR(F134/E134, "")</f>
        <v>6.1005642320521213E-2</v>
      </c>
      <c r="H134" s="13">
        <v>15116</v>
      </c>
      <c r="I134" s="13">
        <f t="shared" si="9"/>
        <v>18920</v>
      </c>
      <c r="J134" s="80">
        <f t="shared" si="10"/>
        <v>1.2516538766869543</v>
      </c>
      <c r="K134" s="80"/>
      <c r="L134" s="38"/>
      <c r="M134" s="38"/>
    </row>
    <row r="135" spans="1:13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32939.75</v>
      </c>
      <c r="E135" s="15">
        <v>33160.29</v>
      </c>
      <c r="F135" s="15">
        <f t="shared" si="8"/>
        <v>-220.54000000000087</v>
      </c>
      <c r="G135" s="16">
        <f t="shared" si="11"/>
        <v>-6.650725913434438E-3</v>
      </c>
      <c r="H135" s="17">
        <v>32014.29</v>
      </c>
      <c r="I135" s="17">
        <f t="shared" si="9"/>
        <v>925.45999999999913</v>
      </c>
      <c r="J135" s="16">
        <f t="shared" si="10"/>
        <v>2.8907715898119218E-2</v>
      </c>
      <c r="K135" s="16"/>
      <c r="L135" s="39"/>
      <c r="M135" s="40"/>
    </row>
    <row r="136" spans="1:13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29290</v>
      </c>
      <c r="E136" s="11">
        <v>32796</v>
      </c>
      <c r="F136" s="11">
        <f t="shared" si="8"/>
        <v>-3506</v>
      </c>
      <c r="G136" s="12">
        <f t="shared" si="11"/>
        <v>-0.10690328088791316</v>
      </c>
      <c r="H136" s="13">
        <v>30791</v>
      </c>
      <c r="I136" s="13">
        <f t="shared" si="9"/>
        <v>-1501</v>
      </c>
      <c r="J136" s="80">
        <f t="shared" si="10"/>
        <v>-4.8748010782371475E-2</v>
      </c>
      <c r="K136" s="80"/>
      <c r="L136" s="38"/>
      <c r="M136" s="38"/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14662.5678373016</v>
      </c>
      <c r="E137" s="15">
        <v>14073.07</v>
      </c>
      <c r="F137" s="15">
        <f t="shared" si="8"/>
        <v>589.49783730160016</v>
      </c>
      <c r="G137" s="16">
        <f t="shared" si="11"/>
        <v>4.1888361054240486E-2</v>
      </c>
      <c r="H137" s="17">
        <v>14805.64</v>
      </c>
      <c r="I137" s="17">
        <f t="shared" si="9"/>
        <v>-143.07216269839955</v>
      </c>
      <c r="J137" s="16">
        <f t="shared" si="10"/>
        <v>-9.6633554982020059E-3</v>
      </c>
      <c r="K137" s="16"/>
      <c r="L137" s="39"/>
      <c r="M137" s="40"/>
    </row>
    <row r="138" spans="1:13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438037</v>
      </c>
      <c r="E138" s="11">
        <v>0</v>
      </c>
      <c r="F138" s="11">
        <f t="shared" si="8"/>
        <v>438037</v>
      </c>
      <c r="G138" s="12" t="str">
        <f t="shared" si="11"/>
        <v/>
      </c>
      <c r="H138" s="13">
        <v>0</v>
      </c>
      <c r="I138" s="13">
        <f t="shared" si="9"/>
        <v>438037</v>
      </c>
      <c r="J138" s="80" t="str">
        <f t="shared" si="10"/>
        <v/>
      </c>
      <c r="K138" s="80"/>
      <c r="L138" s="38"/>
      <c r="M138" s="38"/>
    </row>
    <row r="139" spans="1:13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907176</v>
      </c>
      <c r="E139" s="15">
        <v>0</v>
      </c>
      <c r="F139" s="15">
        <f t="shared" si="8"/>
        <v>907176</v>
      </c>
      <c r="G139" s="16" t="str">
        <f t="shared" si="11"/>
        <v/>
      </c>
      <c r="H139" s="17">
        <v>0</v>
      </c>
      <c r="I139" s="17">
        <f t="shared" si="9"/>
        <v>907176</v>
      </c>
      <c r="J139" s="16" t="str">
        <f t="shared" si="10"/>
        <v/>
      </c>
      <c r="K139" s="16"/>
      <c r="L139" s="39" t="s">
        <v>444</v>
      </c>
      <c r="M139" s="40" t="s">
        <v>445</v>
      </c>
    </row>
    <row r="140" spans="1:13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80"/>
      <c r="L140" s="70"/>
      <c r="M140" s="38"/>
    </row>
    <row r="141" spans="1:13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16"/>
      <c r="L141" s="39"/>
      <c r="M141" s="18"/>
    </row>
    <row r="142" spans="1:13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v>52139</v>
      </c>
      <c r="E142" s="11">
        <v>231677.9</v>
      </c>
      <c r="F142" s="11"/>
      <c r="G142" s="68"/>
      <c r="H142" s="83">
        <v>402689</v>
      </c>
      <c r="I142" s="83"/>
      <c r="J142" s="80"/>
      <c r="K142" s="80">
        <v>0.388602</v>
      </c>
      <c r="L142" s="70"/>
      <c r="M142" s="38"/>
    </row>
    <row r="143" spans="1:13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16"/>
      <c r="L143" s="39"/>
      <c r="M143" s="18"/>
    </row>
    <row r="144" spans="1:13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80"/>
      <c r="L144" s="70"/>
      <c r="M144" s="38"/>
    </row>
    <row r="145" spans="1:13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16"/>
      <c r="L145" s="39"/>
      <c r="M145" s="18"/>
    </row>
    <row r="146" spans="1:13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80"/>
      <c r="L146" s="70"/>
      <c r="M146" s="38"/>
    </row>
    <row r="147" spans="1:13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16"/>
      <c r="L147" s="39"/>
      <c r="M147" s="18"/>
    </row>
    <row r="148" spans="1:13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80"/>
      <c r="L148" s="70"/>
      <c r="M148" s="38"/>
    </row>
    <row r="149" spans="1:13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16"/>
      <c r="L149" s="39"/>
      <c r="M149" s="18"/>
    </row>
    <row r="150" spans="1:13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80"/>
      <c r="L150" s="70"/>
      <c r="M150" s="38"/>
    </row>
    <row r="151" spans="1:13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16"/>
      <c r="L151" s="39"/>
      <c r="M151" s="18"/>
    </row>
    <row r="152" spans="1:13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80"/>
      <c r="L152" s="70"/>
      <c r="M152" s="38"/>
    </row>
    <row r="153" spans="1:13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16"/>
      <c r="L153" s="59"/>
      <c r="M153" s="18"/>
    </row>
    <row r="154" spans="1:13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80"/>
      <c r="L154" s="70"/>
      <c r="M154" s="38"/>
    </row>
    <row r="155" spans="1:13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16"/>
      <c r="L155" s="39"/>
      <c r="M155" s="18"/>
    </row>
    <row r="156" spans="1:13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80"/>
      <c r="L156" s="70"/>
      <c r="M156" s="38"/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16"/>
      <c r="L157" s="39"/>
      <c r="M157" s="18"/>
    </row>
    <row r="158" spans="1:13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80"/>
      <c r="L158" s="70"/>
      <c r="M158" s="38"/>
    </row>
    <row r="159" spans="1:13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>
        <v>361229</v>
      </c>
      <c r="E159" s="15">
        <v>379689.5</v>
      </c>
      <c r="F159" s="15"/>
      <c r="G159" s="84"/>
      <c r="H159" s="85">
        <v>397088</v>
      </c>
      <c r="I159" s="85"/>
      <c r="J159" s="84"/>
      <c r="K159" s="16">
        <v>0.96043369999999995</v>
      </c>
      <c r="L159" s="39"/>
      <c r="M159" s="18"/>
    </row>
    <row r="160" spans="1:13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80"/>
      <c r="L160" s="70"/>
      <c r="M160" s="38"/>
    </row>
    <row r="161" spans="1:13" ht="15.6">
      <c r="A161" s="27" t="str">
        <v>Altamont</v>
      </c>
      <c r="B161" s="28" t="str">
        <v>NY</v>
      </c>
      <c r="C161" s="28" t="s">
        <v>13</v>
      </c>
      <c r="D161" s="82"/>
      <c r="E161" s="15">
        <v>92741.22</v>
      </c>
      <c r="F161" s="15"/>
      <c r="G161" s="84"/>
      <c r="H161" s="85">
        <v>154398.20000000001</v>
      </c>
      <c r="I161" s="85"/>
      <c r="J161" s="84"/>
      <c r="K161" s="19">
        <v>0</v>
      </c>
      <c r="L161" s="39"/>
      <c r="M161" s="18"/>
    </row>
    <row r="162" spans="1:13" ht="14.4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9"/>
      <c r="L162" s="18"/>
      <c r="M162" s="18"/>
    </row>
    <row r="163" spans="1:13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9"/>
      <c r="L163" s="18"/>
      <c r="M163" s="18"/>
    </row>
    <row r="164" spans="1:13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9"/>
      <c r="L164" s="18"/>
      <c r="M164" s="18"/>
    </row>
    <row r="165" spans="1:13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9"/>
      <c r="L165" s="18"/>
      <c r="M165" s="18"/>
    </row>
    <row r="166" spans="1:13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9"/>
      <c r="L166" s="18"/>
      <c r="M166" s="18"/>
    </row>
    <row r="167" spans="1:13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9"/>
      <c r="L167" s="18"/>
      <c r="M167" s="18"/>
    </row>
    <row r="168" spans="1:13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9"/>
      <c r="L168" s="18"/>
      <c r="M168" s="18"/>
    </row>
    <row r="169" spans="1:13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9"/>
      <c r="L169" s="18"/>
      <c r="M169" s="18"/>
    </row>
    <row r="170" spans="1:13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9"/>
      <c r="L170" s="18"/>
      <c r="M170" s="18"/>
    </row>
    <row r="171" spans="1:13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9"/>
      <c r="L171" s="18"/>
      <c r="M171" s="18"/>
    </row>
    <row r="172" spans="1:13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9"/>
      <c r="L172" s="18"/>
      <c r="M172" s="18"/>
    </row>
    <row r="173" spans="1:13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9"/>
      <c r="L173" s="18"/>
      <c r="M173" s="18"/>
    </row>
    <row r="174" spans="1:13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9"/>
      <c r="L174" s="18"/>
      <c r="M174" s="18"/>
    </row>
    <row r="175" spans="1:13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9"/>
      <c r="L175" s="18"/>
      <c r="M175" s="18"/>
    </row>
    <row r="176" spans="1:13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9"/>
      <c r="L176" s="18"/>
      <c r="M176" s="18"/>
    </row>
    <row r="177" spans="1:13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9"/>
      <c r="L177" s="18"/>
      <c r="M177" s="18"/>
    </row>
    <row r="178" spans="1:13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9"/>
      <c r="L178" s="18"/>
      <c r="M178" s="18"/>
    </row>
    <row r="179" spans="1:13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9"/>
      <c r="L179" s="18"/>
      <c r="M179" s="18"/>
    </row>
    <row r="180" spans="1:13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9"/>
      <c r="L180" s="18"/>
      <c r="M180" s="18"/>
    </row>
    <row r="181" spans="1:13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9"/>
      <c r="L181" s="18"/>
      <c r="M181" s="18"/>
    </row>
    <row r="182" spans="1:13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9"/>
      <c r="L182" s="18"/>
      <c r="M182" s="18"/>
    </row>
    <row r="183" spans="1:13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9"/>
      <c r="L183" s="18"/>
      <c r="M183" s="18"/>
    </row>
    <row r="184" spans="1:13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9"/>
      <c r="L184" s="18"/>
      <c r="M184" s="18"/>
    </row>
    <row r="185" spans="1:13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9"/>
      <c r="L185" s="18"/>
      <c r="M185" s="18"/>
    </row>
    <row r="186" spans="1:13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9"/>
      <c r="L186" s="18"/>
      <c r="M186" s="18"/>
    </row>
    <row r="187" spans="1:13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9"/>
      <c r="L187" s="18"/>
      <c r="M187" s="18"/>
    </row>
    <row r="188" spans="1:13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9"/>
      <c r="L188" s="18"/>
      <c r="M188" s="18"/>
    </row>
    <row r="189" spans="1:13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9"/>
      <c r="L189" s="18"/>
      <c r="M189" s="18"/>
    </row>
    <row r="190" spans="1:13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9"/>
      <c r="L190" s="18"/>
      <c r="M190" s="18"/>
    </row>
    <row r="191" spans="1:13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9"/>
      <c r="L191" s="18"/>
      <c r="M191" s="18"/>
    </row>
    <row r="192" spans="1:13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9"/>
      <c r="L192" s="18"/>
      <c r="M192" s="18"/>
    </row>
    <row r="193" spans="1:13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9"/>
      <c r="L193" s="18"/>
      <c r="M193" s="18"/>
    </row>
    <row r="194" spans="1:13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9"/>
      <c r="L194" s="18"/>
      <c r="M194" s="18"/>
    </row>
    <row r="195" spans="1:13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9"/>
      <c r="L195" s="18"/>
      <c r="M195" s="18"/>
    </row>
    <row r="196" spans="1:13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9"/>
      <c r="L196" s="18"/>
      <c r="M196" s="18"/>
    </row>
    <row r="197" spans="1:13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9"/>
      <c r="L197" s="18"/>
      <c r="M197" s="18"/>
    </row>
    <row r="198" spans="1:13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9"/>
      <c r="L198" s="18"/>
      <c r="M198" s="18"/>
    </row>
    <row r="199" spans="1:13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9"/>
      <c r="L199" s="18"/>
      <c r="M199" s="18"/>
    </row>
    <row r="200" spans="1:13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9"/>
      <c r="L200" s="18"/>
      <c r="M200" s="18"/>
    </row>
    <row r="201" spans="1:13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9"/>
      <c r="L201" s="18"/>
      <c r="M201" s="18"/>
    </row>
    <row r="202" spans="1:13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9"/>
      <c r="L202" s="18"/>
      <c r="M202" s="18"/>
    </row>
    <row r="203" spans="1:13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9"/>
      <c r="L203" s="18"/>
      <c r="M203" s="18"/>
    </row>
    <row r="204" spans="1:13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9"/>
      <c r="L204" s="18"/>
      <c r="M204" s="18"/>
    </row>
    <row r="205" spans="1:13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9"/>
      <c r="L205" s="18"/>
      <c r="M205" s="18"/>
    </row>
    <row r="206" spans="1:13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9"/>
      <c r="L206" s="18"/>
      <c r="M206" s="18"/>
    </row>
    <row r="207" spans="1:13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9"/>
      <c r="L207" s="18"/>
      <c r="M207" s="18"/>
    </row>
    <row r="208" spans="1:13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9"/>
      <c r="L208" s="18"/>
      <c r="M208" s="18"/>
    </row>
    <row r="209" spans="1:13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9"/>
      <c r="L209" s="18"/>
      <c r="M209" s="18"/>
    </row>
    <row r="210" spans="1:13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9"/>
      <c r="L210" s="18"/>
      <c r="M210" s="18"/>
    </row>
    <row r="211" spans="1:13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9"/>
      <c r="L211" s="18"/>
      <c r="M211" s="18"/>
    </row>
    <row r="212" spans="1:13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9"/>
      <c r="L212" s="18"/>
      <c r="M212" s="18"/>
    </row>
    <row r="213" spans="1:13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9"/>
      <c r="L213" s="18"/>
      <c r="M213" s="18"/>
    </row>
    <row r="214" spans="1:13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9"/>
      <c r="L214" s="18"/>
      <c r="M214" s="18"/>
    </row>
    <row r="215" spans="1:13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9"/>
      <c r="L215" s="18"/>
      <c r="M215" s="18"/>
    </row>
    <row r="216" spans="1:13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9"/>
      <c r="L216" s="18"/>
      <c r="M216" s="18"/>
    </row>
    <row r="217" spans="1:13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9"/>
      <c r="L217" s="18"/>
      <c r="M217" s="18"/>
    </row>
    <row r="218" spans="1:13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9"/>
      <c r="L218" s="18"/>
      <c r="M218" s="18"/>
    </row>
    <row r="219" spans="1:13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9"/>
      <c r="L219" s="18"/>
      <c r="M219" s="18"/>
    </row>
    <row r="220" spans="1:13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9"/>
      <c r="L220" s="18"/>
      <c r="M220" s="18"/>
    </row>
    <row r="221" spans="1:13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9"/>
      <c r="L221" s="18"/>
      <c r="M221" s="18"/>
    </row>
    <row r="222" spans="1:13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9"/>
      <c r="L222" s="18"/>
      <c r="M222" s="18"/>
    </row>
    <row r="223" spans="1:13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9"/>
      <c r="L223" s="18"/>
      <c r="M223" s="18"/>
    </row>
    <row r="224" spans="1:13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9"/>
      <c r="L224" s="18"/>
      <c r="M224" s="18"/>
    </row>
    <row r="225" spans="1:13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9"/>
      <c r="L225" s="18"/>
      <c r="M225" s="18"/>
    </row>
    <row r="226" spans="1:13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9"/>
      <c r="L226" s="18"/>
      <c r="M226" s="18"/>
    </row>
    <row r="227" spans="1:13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9"/>
      <c r="L227" s="18"/>
      <c r="M227" s="18"/>
    </row>
    <row r="228" spans="1:13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9"/>
      <c r="L228" s="18"/>
      <c r="M228" s="18"/>
    </row>
    <row r="229" spans="1:13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9"/>
      <c r="L229" s="18"/>
      <c r="M229" s="18"/>
    </row>
    <row r="230" spans="1:13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9"/>
      <c r="L230" s="18"/>
      <c r="M230" s="18"/>
    </row>
    <row r="231" spans="1:13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9"/>
      <c r="L231" s="18"/>
      <c r="M231" s="18"/>
    </row>
    <row r="232" spans="1:13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9"/>
      <c r="L232" s="18"/>
      <c r="M232" s="18"/>
    </row>
    <row r="233" spans="1:13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9"/>
      <c r="L233" s="18"/>
      <c r="M233" s="18"/>
    </row>
    <row r="234" spans="1:13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9"/>
      <c r="L234" s="18"/>
      <c r="M234" s="18"/>
    </row>
    <row r="235" spans="1:13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9"/>
      <c r="L235" s="18"/>
      <c r="M235" s="18"/>
    </row>
    <row r="236" spans="1:13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9"/>
      <c r="L236" s="18"/>
      <c r="M236" s="18"/>
    </row>
    <row r="237" spans="1:13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9"/>
      <c r="L237" s="18"/>
      <c r="M237" s="18"/>
    </row>
    <row r="238" spans="1:13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9"/>
      <c r="L238" s="18"/>
      <c r="M238" s="18"/>
    </row>
    <row r="239" spans="1:13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9"/>
      <c r="L239" s="18"/>
      <c r="M239" s="18"/>
    </row>
    <row r="240" spans="1:13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9"/>
      <c r="L240" s="18"/>
      <c r="M240" s="18"/>
    </row>
    <row r="241" spans="1:13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9"/>
      <c r="L241" s="18"/>
      <c r="M241" s="18"/>
    </row>
    <row r="242" spans="1:13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9"/>
      <c r="L242" s="18"/>
      <c r="M242" s="18"/>
    </row>
    <row r="243" spans="1:13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9"/>
      <c r="L243" s="18"/>
      <c r="M243" s="18"/>
    </row>
    <row r="244" spans="1:13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9"/>
      <c r="L244" s="18"/>
      <c r="M244" s="18"/>
    </row>
    <row r="245" spans="1:13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9"/>
      <c r="L245" s="18"/>
      <c r="M245" s="18"/>
    </row>
    <row r="246" spans="1:13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9"/>
      <c r="L246" s="18"/>
      <c r="M246" s="18"/>
    </row>
    <row r="247" spans="1:13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9"/>
      <c r="L247" s="18"/>
      <c r="M247" s="18"/>
    </row>
    <row r="248" spans="1:13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9"/>
      <c r="L248" s="18"/>
      <c r="M248" s="18"/>
    </row>
    <row r="249" spans="1:13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9"/>
      <c r="L249" s="18"/>
      <c r="M249" s="18"/>
    </row>
    <row r="250" spans="1:13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9"/>
      <c r="L250" s="18"/>
      <c r="M250" s="18"/>
    </row>
    <row r="251" spans="1:13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9"/>
      <c r="L251" s="18"/>
      <c r="M251" s="18"/>
    </row>
    <row r="252" spans="1:13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9"/>
      <c r="L252" s="18"/>
      <c r="M252" s="18"/>
    </row>
    <row r="253" spans="1:13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9"/>
      <c r="L253" s="18"/>
      <c r="M253" s="18"/>
    </row>
    <row r="254" spans="1:13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9"/>
      <c r="L254" s="18"/>
      <c r="M254" s="18"/>
    </row>
    <row r="255" spans="1:13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9"/>
      <c r="L255" s="18"/>
      <c r="M255" s="18"/>
    </row>
    <row r="256" spans="1:13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9"/>
      <c r="L256" s="18"/>
      <c r="M256" s="18"/>
    </row>
    <row r="257" spans="1:13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9"/>
      <c r="L257" s="18"/>
      <c r="M257" s="18"/>
    </row>
    <row r="258" spans="1:13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9"/>
      <c r="L258" s="18"/>
      <c r="M258" s="18"/>
    </row>
    <row r="259" spans="1:13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9"/>
      <c r="L259" s="18"/>
      <c r="M259" s="18"/>
    </row>
    <row r="260" spans="1:13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9"/>
      <c r="L260" s="18"/>
      <c r="M260" s="18"/>
    </row>
    <row r="261" spans="1:13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9"/>
      <c r="L261" s="18"/>
      <c r="M261" s="18"/>
    </row>
    <row r="262" spans="1:13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9"/>
      <c r="L262" s="18"/>
      <c r="M262" s="18"/>
    </row>
    <row r="263" spans="1:13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9"/>
      <c r="L263" s="18"/>
      <c r="M263" s="18"/>
    </row>
    <row r="264" spans="1:13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9"/>
      <c r="L264" s="18"/>
      <c r="M264" s="18"/>
    </row>
    <row r="265" spans="1:13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9"/>
      <c r="L265" s="18"/>
      <c r="M265" s="18"/>
    </row>
    <row r="266" spans="1:13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9"/>
      <c r="L266" s="18"/>
      <c r="M266" s="18"/>
    </row>
    <row r="267" spans="1:13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9"/>
      <c r="L267" s="18"/>
      <c r="M267" s="18"/>
    </row>
    <row r="268" spans="1:13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9"/>
      <c r="L268" s="18"/>
      <c r="M268" s="18"/>
    </row>
    <row r="269" spans="1:13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9"/>
      <c r="L269" s="18"/>
      <c r="M269" s="18"/>
    </row>
    <row r="270" spans="1:13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9"/>
      <c r="L270" s="18"/>
      <c r="M270" s="18"/>
    </row>
    <row r="271" spans="1:13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9"/>
      <c r="L271" s="18"/>
      <c r="M271" s="18"/>
    </row>
    <row r="272" spans="1:13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9"/>
      <c r="L272" s="18"/>
      <c r="M272" s="18"/>
    </row>
    <row r="273" spans="1:13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9"/>
      <c r="L273" s="18"/>
      <c r="M273" s="18"/>
    </row>
    <row r="274" spans="1:13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9"/>
      <c r="L274" s="18"/>
      <c r="M274" s="18"/>
    </row>
    <row r="275" spans="1:13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9"/>
      <c r="L275" s="18"/>
      <c r="M275" s="18"/>
    </row>
    <row r="276" spans="1:13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9"/>
      <c r="L276" s="18"/>
      <c r="M276" s="18"/>
    </row>
    <row r="277" spans="1:13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9"/>
      <c r="L277" s="18"/>
      <c r="M277" s="18"/>
    </row>
    <row r="278" spans="1:13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9"/>
      <c r="L278" s="18"/>
      <c r="M278" s="18"/>
    </row>
    <row r="279" spans="1:13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9"/>
      <c r="L279" s="18"/>
      <c r="M279" s="18"/>
    </row>
    <row r="280" spans="1:13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9"/>
      <c r="L280" s="18"/>
      <c r="M280" s="18"/>
    </row>
    <row r="281" spans="1:13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9"/>
      <c r="L281" s="18"/>
      <c r="M281" s="18"/>
    </row>
    <row r="282" spans="1:13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9"/>
      <c r="L282" s="18"/>
      <c r="M282" s="18"/>
    </row>
    <row r="283" spans="1:13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9"/>
      <c r="L283" s="18"/>
      <c r="M283" s="18"/>
    </row>
    <row r="284" spans="1:13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9"/>
      <c r="L284" s="18"/>
      <c r="M284" s="18"/>
    </row>
    <row r="285" spans="1:13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9"/>
      <c r="L285" s="18"/>
      <c r="M285" s="18"/>
    </row>
    <row r="286" spans="1:13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9"/>
      <c r="L286" s="18"/>
      <c r="M286" s="18"/>
    </row>
    <row r="287" spans="1:13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9"/>
      <c r="L287" s="18"/>
      <c r="M287" s="18"/>
    </row>
    <row r="288" spans="1:13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9"/>
      <c r="L288" s="18"/>
      <c r="M288" s="18"/>
    </row>
    <row r="289" spans="1:13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9"/>
      <c r="L289" s="18"/>
      <c r="M289" s="18"/>
    </row>
    <row r="290" spans="1:13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9"/>
      <c r="L290" s="18"/>
      <c r="M290" s="18"/>
    </row>
    <row r="291" spans="1:13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9"/>
      <c r="L291" s="18"/>
      <c r="M291" s="18"/>
    </row>
    <row r="292" spans="1:13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9"/>
      <c r="L292" s="18"/>
      <c r="M292" s="18"/>
    </row>
    <row r="293" spans="1:13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9"/>
      <c r="L293" s="18"/>
      <c r="M293" s="18"/>
    </row>
    <row r="294" spans="1:13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9"/>
      <c r="L294" s="18"/>
      <c r="M294" s="18"/>
    </row>
    <row r="295" spans="1:13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9"/>
      <c r="L295" s="18"/>
      <c r="M295" s="18"/>
    </row>
    <row r="296" spans="1:13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9"/>
      <c r="L296" s="18"/>
      <c r="M296" s="18"/>
    </row>
    <row r="297" spans="1:13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9"/>
      <c r="L297" s="18"/>
      <c r="M297" s="18"/>
    </row>
    <row r="298" spans="1:13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9"/>
      <c r="L298" s="18"/>
      <c r="M298" s="18"/>
    </row>
    <row r="299" spans="1:13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9"/>
      <c r="L299" s="18"/>
      <c r="M299" s="18"/>
    </row>
    <row r="300" spans="1:13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9"/>
      <c r="L300" s="18"/>
      <c r="M300" s="18"/>
    </row>
    <row r="301" spans="1:13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9"/>
      <c r="L301" s="18"/>
      <c r="M301" s="18"/>
    </row>
    <row r="302" spans="1:13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9"/>
      <c r="L302" s="18"/>
      <c r="M302" s="18"/>
    </row>
    <row r="303" spans="1:13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9"/>
      <c r="L303" s="18"/>
      <c r="M303" s="18"/>
    </row>
    <row r="304" spans="1:13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9"/>
      <c r="L304" s="18"/>
      <c r="M304" s="18"/>
    </row>
    <row r="305" spans="1:13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9"/>
      <c r="L305" s="18"/>
      <c r="M305" s="18"/>
    </row>
    <row r="306" spans="1:13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9"/>
      <c r="L306" s="18"/>
      <c r="M306" s="18"/>
    </row>
    <row r="307" spans="1:13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9"/>
      <c r="L307" s="18"/>
      <c r="M307" s="18"/>
    </row>
    <row r="308" spans="1:13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9"/>
      <c r="L308" s="18"/>
      <c r="M308" s="18"/>
    </row>
    <row r="309" spans="1:13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9"/>
      <c r="L309" s="18"/>
      <c r="M309" s="18"/>
    </row>
    <row r="310" spans="1:13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9"/>
      <c r="L310" s="18"/>
      <c r="M310" s="18"/>
    </row>
    <row r="311" spans="1:13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9"/>
      <c r="L311" s="18"/>
      <c r="M311" s="18"/>
    </row>
    <row r="312" spans="1:13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9"/>
      <c r="L312" s="18"/>
      <c r="M312" s="18"/>
    </row>
    <row r="313" spans="1:13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9"/>
      <c r="L313" s="18"/>
      <c r="M313" s="18"/>
    </row>
    <row r="314" spans="1:13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9"/>
      <c r="L314" s="18"/>
      <c r="M314" s="18"/>
    </row>
    <row r="315" spans="1:13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9"/>
      <c r="L315" s="18"/>
      <c r="M315" s="18"/>
    </row>
    <row r="316" spans="1:13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9"/>
      <c r="L316" s="18"/>
      <c r="M316" s="18"/>
    </row>
    <row r="317" spans="1:13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9"/>
      <c r="L317" s="18"/>
      <c r="M317" s="18"/>
    </row>
    <row r="318" spans="1:13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9"/>
      <c r="L318" s="18"/>
      <c r="M318" s="18"/>
    </row>
    <row r="319" spans="1:13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9"/>
      <c r="L319" s="18"/>
      <c r="M319" s="18"/>
    </row>
    <row r="320" spans="1:13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9"/>
      <c r="L320" s="18"/>
      <c r="M320" s="18"/>
    </row>
    <row r="321" spans="1:13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9"/>
      <c r="L321" s="18"/>
      <c r="M321" s="18"/>
    </row>
    <row r="322" spans="1:13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9"/>
      <c r="L322" s="18"/>
      <c r="M322" s="18"/>
    </row>
    <row r="323" spans="1:13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9"/>
      <c r="L323" s="18"/>
      <c r="M323" s="18"/>
    </row>
    <row r="324" spans="1:13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9"/>
      <c r="L324" s="18"/>
      <c r="M324" s="18"/>
    </row>
    <row r="325" spans="1:13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9"/>
      <c r="L325" s="18"/>
      <c r="M325" s="18"/>
    </row>
    <row r="326" spans="1:13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9"/>
      <c r="L326" s="18"/>
      <c r="M326" s="18"/>
    </row>
    <row r="327" spans="1:13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9"/>
      <c r="L327" s="18"/>
      <c r="M327" s="18"/>
    </row>
    <row r="328" spans="1:13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9"/>
      <c r="L328" s="18"/>
      <c r="M328" s="18"/>
    </row>
    <row r="329" spans="1:13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9"/>
      <c r="L329" s="18"/>
      <c r="M329" s="18"/>
    </row>
    <row r="330" spans="1:13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9"/>
      <c r="L330" s="18"/>
      <c r="M330" s="18"/>
    </row>
    <row r="331" spans="1:13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9"/>
      <c r="L331" s="18"/>
      <c r="M331" s="18"/>
    </row>
    <row r="332" spans="1:13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9"/>
      <c r="L332" s="18"/>
      <c r="M332" s="18"/>
    </row>
    <row r="333" spans="1:13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9"/>
      <c r="L333" s="18"/>
      <c r="M333" s="18"/>
    </row>
    <row r="334" spans="1:13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9"/>
      <c r="L334" s="18"/>
      <c r="M334" s="18"/>
    </row>
    <row r="335" spans="1:13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9"/>
      <c r="L335" s="18"/>
      <c r="M335" s="18"/>
    </row>
    <row r="336" spans="1:13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9"/>
      <c r="L336" s="18"/>
      <c r="M336" s="18"/>
    </row>
    <row r="337" spans="1:13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9"/>
      <c r="L337" s="18"/>
      <c r="M337" s="18"/>
    </row>
    <row r="338" spans="1:13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9"/>
      <c r="L338" s="18"/>
      <c r="M338" s="18"/>
    </row>
    <row r="339" spans="1:13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9"/>
      <c r="L339" s="18"/>
      <c r="M339" s="18"/>
    </row>
    <row r="340" spans="1:13" ht="14.4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9"/>
      <c r="L340" s="18"/>
      <c r="M340" s="18"/>
    </row>
    <row r="341" spans="1:13" ht="14.45">
      <c r="A341" s="18"/>
      <c r="B341" s="30"/>
      <c r="C341" s="30"/>
      <c r="D341" s="18"/>
      <c r="E341" s="18"/>
      <c r="F341" s="18"/>
      <c r="G341" s="19"/>
      <c r="H341" s="18"/>
      <c r="I341" s="18"/>
      <c r="J341" s="19"/>
      <c r="K341" s="19"/>
      <c r="L341" s="18"/>
      <c r="M341" s="18"/>
    </row>
    <row r="342" spans="1:13">
      <c r="D342" s="18"/>
      <c r="E342" s="18"/>
      <c r="F342" s="18"/>
      <c r="G342" s="19"/>
      <c r="H342" s="18"/>
      <c r="I342" s="18"/>
      <c r="J342" s="19"/>
      <c r="K342" s="19"/>
      <c r="L342" s="18"/>
      <c r="M342" s="18"/>
    </row>
  </sheetData>
  <mergeCells count="4">
    <mergeCell ref="H1:J1"/>
    <mergeCell ref="A1:D1"/>
    <mergeCell ref="E1:G1"/>
    <mergeCell ref="A2:B2"/>
  </mergeCells>
  <conditionalFormatting sqref="G2">
    <cfRule type="cellIs" dxfId="80" priority="13" stopIfTrue="1" operator="lessThanOrEqual">
      <formula>-0.1</formula>
    </cfRule>
    <cfRule type="expression" dxfId="79" priority="14">
      <formula>AND(ISNUMBER(G2), G2&gt;=0.1)</formula>
    </cfRule>
  </conditionalFormatting>
  <conditionalFormatting sqref="G4:G161 J4:J161">
    <cfRule type="cellIs" dxfId="78" priority="5" stopIfTrue="1" operator="lessThanOrEqual">
      <formula>-0.1</formula>
    </cfRule>
    <cfRule type="expression" dxfId="77" priority="6">
      <formula>AND(ISNUMBER(G4), G4&gt;=0.1)</formula>
    </cfRule>
  </conditionalFormatting>
  <conditionalFormatting sqref="J2:K2">
    <cfRule type="cellIs" dxfId="76" priority="3" stopIfTrue="1" operator="lessThanOrEqual">
      <formula>-0.1</formula>
    </cfRule>
    <cfRule type="expression" dxfId="75" priority="4">
      <formula>AND(ISNUMBER(J2), J2&gt;=0.1)</formula>
    </cfRule>
  </conditionalFormatting>
  <conditionalFormatting sqref="K4:K160">
    <cfRule type="expression" dxfId="74" priority="1" stopIfTrue="1">
      <formula>AND(K4&lt;&gt;"",K4&lt;0.975)</formula>
    </cfRule>
    <cfRule type="expression" dxfId="73" priority="2">
      <formula>AND(ISNUMBER(K4), K4&gt;=0.985)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2"/>
  <sheetViews>
    <sheetView zoomScale="80" zoomScaleNormal="80" workbookViewId="0">
      <pane xSplit="2" ySplit="3" topLeftCell="C136" activePane="bottomRight" state="frozen"/>
      <selection pane="bottomRight" activeCell="K3" sqref="K3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8.5703125" style="1" customWidth="1"/>
    <col min="12" max="12" width="71.5703125" customWidth="1"/>
    <col min="13" max="13" width="20.5703125" bestFit="1" customWidth="1"/>
  </cols>
  <sheetData>
    <row r="1" spans="1:13" ht="15.6">
      <c r="A1" s="111" t="str" cm="1">
        <f t="array" ref="A1">portfolio</f>
        <v>Generate Capital</v>
      </c>
      <c r="B1" s="111"/>
      <c r="C1" s="111"/>
      <c r="D1" s="111"/>
      <c r="E1" s="112" t="s">
        <v>446</v>
      </c>
      <c r="F1" s="112"/>
      <c r="G1" s="112"/>
      <c r="H1" s="110" t="s">
        <v>447</v>
      </c>
      <c r="I1" s="110"/>
      <c r="J1" s="110"/>
      <c r="K1" s="107" t="s">
        <v>448</v>
      </c>
      <c r="L1" s="5"/>
      <c r="M1" s="5"/>
    </row>
    <row r="2" spans="1:13" ht="15.6">
      <c r="A2" s="113" t="s">
        <v>3</v>
      </c>
      <c r="B2" s="113"/>
      <c r="C2" s="72"/>
      <c r="D2" s="6">
        <f>SUM(D4:D160)</f>
        <v>32485346.807717115</v>
      </c>
      <c r="E2" s="6">
        <f>SUM(E4:E160)</f>
        <v>11758138.844999997</v>
      </c>
      <c r="F2" s="6">
        <f>D2-E2</f>
        <v>20727207.962717116</v>
      </c>
      <c r="G2" s="7">
        <f>IFERROR(F2/E2, 0)</f>
        <v>1.7627966667132107</v>
      </c>
      <c r="H2" s="6">
        <f>SUM(H4:H160)</f>
        <v>26843897.225999996</v>
      </c>
      <c r="I2" s="8">
        <f>D2-H2</f>
        <v>5641449.5817171186</v>
      </c>
      <c r="J2" s="7">
        <f>IFERROR(I2/H2, 0)</f>
        <v>0.21015762108688976</v>
      </c>
      <c r="K2" s="108"/>
      <c r="L2" s="23" t="str">
        <f ca="1">IF(AND(TODAY()&gt;DATE(2024, 5,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5.6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  <c r="L3" s="22" t="s">
        <v>30</v>
      </c>
      <c r="M3" s="22" t="s">
        <v>31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14557.700241516301</v>
      </c>
      <c r="E4" s="11"/>
      <c r="F4" s="11" t="str">
        <f>IF(AND(ISNUMBER(D4),ISNUMBER(E4)), D4-E4, "")</f>
        <v/>
      </c>
      <c r="G4" s="12" t="str">
        <f>IFERROR(F4/E4, "")</f>
        <v/>
      </c>
      <c r="H4" s="13">
        <v>14242.78</v>
      </c>
      <c r="I4" s="13">
        <f>IF(AND(ISNUMBER(D4),ISNUMBER(H4)), D4-H4, "")</f>
        <v>314.92024151629994</v>
      </c>
      <c r="J4" s="14">
        <f>IFERROR(I4/H4, "")</f>
        <v>2.211086891156782E-2</v>
      </c>
      <c r="K4" s="14">
        <v>1</v>
      </c>
      <c r="L4" s="66" t="s">
        <v>449</v>
      </c>
      <c r="M4" s="66" t="s">
        <v>450</v>
      </c>
    </row>
    <row r="5" spans="1:13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v>71260</v>
      </c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>
        <v>76882.2</v>
      </c>
      <c r="I5" s="17">
        <f t="shared" ref="I5:I17" si="1">IF(AND(ISNUMBER(D5),ISNUMBER(H5)), D5-H5, "")</f>
        <v>-5622.1999999999971</v>
      </c>
      <c r="J5" s="16">
        <f t="shared" ref="J5:J17" si="2">IFERROR(I5/H5, "")</f>
        <v>-7.3127459932207942E-2</v>
      </c>
      <c r="K5" s="16">
        <v>1</v>
      </c>
      <c r="L5" s="61"/>
      <c r="M5" s="61"/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23569.985646785801</v>
      </c>
      <c r="E6" s="11">
        <v>0</v>
      </c>
      <c r="F6" s="11">
        <f t="shared" si="0"/>
        <v>23569.985646785801</v>
      </c>
      <c r="G6" s="12" t="str">
        <f t="shared" ref="G6:G17" si="3">IFERROR(F6/E6, "")</f>
        <v/>
      </c>
      <c r="H6" s="13">
        <v>19661</v>
      </c>
      <c r="I6" s="13">
        <f t="shared" si="1"/>
        <v>3908.9856467858008</v>
      </c>
      <c r="J6" s="14">
        <f t="shared" si="2"/>
        <v>0.19881926894795793</v>
      </c>
      <c r="K6" s="14">
        <v>1</v>
      </c>
      <c r="L6" s="66"/>
      <c r="M6" s="66"/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v>9853.3812981966203</v>
      </c>
      <c r="E7" s="15"/>
      <c r="F7" s="15" t="str">
        <f t="shared" si="0"/>
        <v/>
      </c>
      <c r="G7" s="16" t="str">
        <f t="shared" si="3"/>
        <v/>
      </c>
      <c r="H7" s="17">
        <v>15884.34</v>
      </c>
      <c r="I7" s="17">
        <f t="shared" si="1"/>
        <v>-6030.9587018033799</v>
      </c>
      <c r="J7" s="16">
        <f t="shared" si="2"/>
        <v>-0.37967952724528559</v>
      </c>
      <c r="K7" s="16">
        <v>1</v>
      </c>
      <c r="L7" s="61"/>
      <c r="M7" s="62"/>
    </row>
    <row r="8" spans="1:13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v>36794.761686708</v>
      </c>
      <c r="E8" s="11"/>
      <c r="F8" s="11" t="str">
        <f t="shared" si="0"/>
        <v/>
      </c>
      <c r="G8" s="12" t="str">
        <f t="shared" si="3"/>
        <v/>
      </c>
      <c r="H8" s="13">
        <v>34035.51</v>
      </c>
      <c r="I8" s="13">
        <f t="shared" si="1"/>
        <v>2759.2516867079976</v>
      </c>
      <c r="J8" s="14">
        <f t="shared" si="2"/>
        <v>8.1069791130146063E-2</v>
      </c>
      <c r="K8" s="14">
        <v>1</v>
      </c>
      <c r="L8" s="66"/>
      <c r="M8" s="66"/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v>33926.135213435402</v>
      </c>
      <c r="E9" s="15"/>
      <c r="F9" s="15" t="str">
        <f t="shared" si="0"/>
        <v/>
      </c>
      <c r="G9" s="16" t="str">
        <f t="shared" si="3"/>
        <v/>
      </c>
      <c r="H9" s="17">
        <v>33539.71</v>
      </c>
      <c r="I9" s="17">
        <f t="shared" si="1"/>
        <v>386.42521343540284</v>
      </c>
      <c r="J9" s="16">
        <f t="shared" si="2"/>
        <v>1.1521423811815989E-2</v>
      </c>
      <c r="K9" s="16">
        <v>1</v>
      </c>
      <c r="L9" s="61"/>
      <c r="M9" s="62"/>
    </row>
    <row r="10" spans="1:13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15366.2630003018</v>
      </c>
      <c r="E10" s="11"/>
      <c r="F10" s="11" t="str">
        <f t="shared" si="0"/>
        <v/>
      </c>
      <c r="G10" s="12" t="str">
        <f t="shared" si="3"/>
        <v/>
      </c>
      <c r="H10" s="13">
        <v>14096</v>
      </c>
      <c r="I10" s="13">
        <f t="shared" si="1"/>
        <v>1270.2630003018003</v>
      </c>
      <c r="J10" s="14">
        <f t="shared" si="2"/>
        <v>9.011513906794838E-2</v>
      </c>
      <c r="K10" s="14">
        <v>1</v>
      </c>
      <c r="L10" s="66"/>
      <c r="M10" s="66"/>
    </row>
    <row r="11" spans="1:13" ht="29.1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10924.195396011401</v>
      </c>
      <c r="E11" s="15">
        <v>0</v>
      </c>
      <c r="F11" s="15">
        <f t="shared" si="0"/>
        <v>10924.195396011401</v>
      </c>
      <c r="G11" s="16" t="str">
        <f t="shared" si="3"/>
        <v/>
      </c>
      <c r="H11" s="17">
        <v>12675</v>
      </c>
      <c r="I11" s="17">
        <f t="shared" si="1"/>
        <v>-1750.8046039885994</v>
      </c>
      <c r="J11" s="16">
        <f t="shared" si="2"/>
        <v>-0.13813054074860745</v>
      </c>
      <c r="K11" s="16">
        <v>1</v>
      </c>
      <c r="L11" s="61" t="s">
        <v>451</v>
      </c>
      <c r="M11" s="62" t="s">
        <v>452</v>
      </c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87310</v>
      </c>
      <c r="E12" s="11">
        <v>101966.2</v>
      </c>
      <c r="F12" s="11">
        <f t="shared" si="0"/>
        <v>-14656.199999999997</v>
      </c>
      <c r="G12" s="12">
        <f t="shared" si="3"/>
        <v>-0.14373586541422548</v>
      </c>
      <c r="H12" s="13">
        <v>88555</v>
      </c>
      <c r="I12" s="13">
        <f t="shared" si="1"/>
        <v>-1245</v>
      </c>
      <c r="J12" s="14">
        <f t="shared" si="2"/>
        <v>-1.405905934165208E-2</v>
      </c>
      <c r="K12" s="14">
        <v>1</v>
      </c>
      <c r="L12" s="66"/>
      <c r="M12" s="66"/>
    </row>
    <row r="13" spans="1:13" ht="29.1">
      <c r="A13" s="27" t="str">
        <v>Kinsman</v>
      </c>
      <c r="B13" s="28" t="str">
        <v>OH</v>
      </c>
      <c r="C13" s="28" t="str">
        <f>Sites[[#This Row],[SOL'#]]</f>
        <v>SOL-10762</v>
      </c>
      <c r="D13" s="10">
        <v>108967.6640625</v>
      </c>
      <c r="E13" s="15">
        <v>141168.6</v>
      </c>
      <c r="F13" s="15">
        <f t="shared" si="0"/>
        <v>-32200.935937500006</v>
      </c>
      <c r="G13" s="16">
        <f t="shared" si="3"/>
        <v>-0.22810267961501357</v>
      </c>
      <c r="H13" s="17">
        <v>127073</v>
      </c>
      <c r="I13" s="17">
        <f t="shared" si="1"/>
        <v>-18105.3359375</v>
      </c>
      <c r="J13" s="16">
        <f t="shared" si="2"/>
        <v>-0.14247980245606856</v>
      </c>
      <c r="K13" s="16">
        <v>1</v>
      </c>
      <c r="L13" s="61" t="s">
        <v>453</v>
      </c>
      <c r="M13" s="62" t="s">
        <v>255</v>
      </c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v>23066.75</v>
      </c>
      <c r="E14" s="11">
        <v>0</v>
      </c>
      <c r="F14" s="11">
        <f t="shared" si="0"/>
        <v>23066.75</v>
      </c>
      <c r="G14" s="12" t="str">
        <f t="shared" si="3"/>
        <v/>
      </c>
      <c r="H14" s="13">
        <v>30903</v>
      </c>
      <c r="I14" s="13">
        <f t="shared" si="1"/>
        <v>-7836.25</v>
      </c>
      <c r="J14" s="14">
        <f t="shared" si="2"/>
        <v>-0.25357570462414653</v>
      </c>
      <c r="K14" s="14">
        <v>1</v>
      </c>
      <c r="L14" s="66"/>
      <c r="M14" s="66"/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20160.982966622199</v>
      </c>
      <c r="E15" s="15">
        <v>10041.120000000001</v>
      </c>
      <c r="F15" s="15">
        <f t="shared" si="0"/>
        <v>10119.862966622199</v>
      </c>
      <c r="G15" s="16">
        <f t="shared" si="3"/>
        <v>1.0078420501519947</v>
      </c>
      <c r="H15" s="17">
        <v>20743</v>
      </c>
      <c r="I15" s="17">
        <f t="shared" si="1"/>
        <v>-582.01703337780054</v>
      </c>
      <c r="J15" s="16">
        <f t="shared" si="2"/>
        <v>-2.8058479167806034E-2</v>
      </c>
      <c r="K15" s="16">
        <v>1</v>
      </c>
      <c r="L15" s="61"/>
      <c r="M15" s="62"/>
    </row>
    <row r="16" spans="1:13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16612.9838883874</v>
      </c>
      <c r="E16" s="11"/>
      <c r="F16" s="11" t="str">
        <f t="shared" si="0"/>
        <v/>
      </c>
      <c r="G16" s="12" t="str">
        <f t="shared" si="3"/>
        <v/>
      </c>
      <c r="H16" s="13">
        <v>16067</v>
      </c>
      <c r="I16" s="13">
        <f t="shared" si="1"/>
        <v>545.98388838739993</v>
      </c>
      <c r="J16" s="14">
        <f t="shared" si="2"/>
        <v>3.3981694677749419E-2</v>
      </c>
      <c r="K16" s="14">
        <v>1</v>
      </c>
      <c r="L16" s="66"/>
      <c r="M16" s="66"/>
    </row>
    <row r="17" spans="1:13" ht="43.5">
      <c r="A17" s="27" t="str">
        <v>SCNM</v>
      </c>
      <c r="B17" s="28" t="str">
        <v>AZ</v>
      </c>
      <c r="C17" s="28" t="str">
        <f>Sites[[#This Row],[SOL'#]]</f>
        <v>SOL-10760</v>
      </c>
      <c r="D17" s="10">
        <v>94463.9399999999</v>
      </c>
      <c r="E17" s="15"/>
      <c r="F17" s="15" t="str">
        <f t="shared" si="0"/>
        <v/>
      </c>
      <c r="G17" s="16" t="str">
        <f t="shared" si="3"/>
        <v/>
      </c>
      <c r="H17" s="17">
        <v>94900</v>
      </c>
      <c r="I17" s="17">
        <f t="shared" si="1"/>
        <v>-436.06000000009954</v>
      </c>
      <c r="J17" s="16">
        <f t="shared" si="2"/>
        <v>-4.5949420442581617E-3</v>
      </c>
      <c r="K17" s="16">
        <v>1</v>
      </c>
      <c r="L17" s="61" t="s">
        <v>454</v>
      </c>
      <c r="M17" s="61" t="s">
        <v>455</v>
      </c>
    </row>
    <row r="18" spans="1:13" ht="15.6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29680.5799999997</v>
      </c>
      <c r="E18" s="11">
        <v>0</v>
      </c>
      <c r="F18" s="11">
        <f t="shared" ref="F18:F81" si="4">IF(AND(ISNUMBER(D18),ISNUMBER(E18)), D18-E18, "")</f>
        <v>29680.5799999997</v>
      </c>
      <c r="G18" s="12" t="str">
        <f t="shared" ref="G18:G81" si="5">IFERROR(F18/E18, "")</f>
        <v/>
      </c>
      <c r="H18" s="13">
        <v>57089</v>
      </c>
      <c r="I18" s="13">
        <f t="shared" ref="I18:I81" si="6">IF(AND(ISNUMBER(D18),ISNUMBER(H18)), D18-H18, "")</f>
        <v>-27408.4200000003</v>
      </c>
      <c r="J18" s="16">
        <f t="shared" ref="J18:J81" si="7">IFERROR(I18/H18, "")</f>
        <v>-0.48009984410307238</v>
      </c>
      <c r="K18" s="80">
        <v>1</v>
      </c>
      <c r="L18" s="66"/>
      <c r="M18" s="66"/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v>141113.5</v>
      </c>
      <c r="E19" s="15">
        <v>166233.4</v>
      </c>
      <c r="F19" s="15">
        <f t="shared" si="4"/>
        <v>-25119.899999999994</v>
      </c>
      <c r="G19" s="16">
        <f t="shared" si="5"/>
        <v>-0.15111223135663468</v>
      </c>
      <c r="H19" s="17">
        <v>143220</v>
      </c>
      <c r="I19" s="17">
        <f t="shared" si="6"/>
        <v>-2106.5</v>
      </c>
      <c r="J19" s="16">
        <f t="shared" si="7"/>
        <v>-1.4708141321044546E-2</v>
      </c>
      <c r="K19" s="16">
        <v>1</v>
      </c>
      <c r="L19" s="61" t="s">
        <v>456</v>
      </c>
      <c r="M19" s="62" t="s">
        <v>457</v>
      </c>
    </row>
    <row r="20" spans="1:13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36844.875</v>
      </c>
      <c r="E20" s="11">
        <v>36681.949999999997</v>
      </c>
      <c r="F20" s="11">
        <f t="shared" si="4"/>
        <v>162.92500000000291</v>
      </c>
      <c r="G20" s="12">
        <f t="shared" si="5"/>
        <v>4.4415577688755072E-3</v>
      </c>
      <c r="H20" s="13">
        <v>36582.39</v>
      </c>
      <c r="I20" s="13">
        <f t="shared" si="6"/>
        <v>262.48500000000058</v>
      </c>
      <c r="J20" s="16">
        <f t="shared" si="7"/>
        <v>7.1751736286229679E-3</v>
      </c>
      <c r="K20" s="80">
        <v>1</v>
      </c>
      <c r="L20" s="66" t="s">
        <v>458</v>
      </c>
      <c r="M20" s="66" t="s">
        <v>459</v>
      </c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v>36501.500000000102</v>
      </c>
      <c r="E21" s="15">
        <v>40166.720000000001</v>
      </c>
      <c r="F21" s="15">
        <f t="shared" si="4"/>
        <v>-3665.2199999998993</v>
      </c>
      <c r="G21" s="16">
        <f t="shared" si="5"/>
        <v>-9.1250169294378514E-2</v>
      </c>
      <c r="H21" s="17">
        <v>40723.730000000003</v>
      </c>
      <c r="I21" s="17">
        <f t="shared" si="6"/>
        <v>-4222.2299999999013</v>
      </c>
      <c r="J21" s="16">
        <f t="shared" si="7"/>
        <v>-0.10367984465076999</v>
      </c>
      <c r="K21" s="16">
        <v>1</v>
      </c>
      <c r="L21" s="61"/>
      <c r="M21" s="62"/>
    </row>
    <row r="22" spans="1:13" ht="15.6">
      <c r="A22" s="25" t="str">
        <v>K041</v>
      </c>
      <c r="B22" s="26" t="str">
        <v>NY</v>
      </c>
      <c r="C22" s="26" t="str">
        <f>Sites[[#This Row],[SOL'#]]</f>
        <v>SOL-10357</v>
      </c>
      <c r="D22" s="21">
        <v>27141.796875</v>
      </c>
      <c r="E22" s="11">
        <v>30326.83</v>
      </c>
      <c r="F22" s="11">
        <f t="shared" si="4"/>
        <v>-3185.0331250000017</v>
      </c>
      <c r="G22" s="12">
        <f t="shared" si="5"/>
        <v>-0.10502360863301577</v>
      </c>
      <c r="H22" s="13">
        <v>30517</v>
      </c>
      <c r="I22" s="13">
        <f t="shared" si="6"/>
        <v>-3375.203125</v>
      </c>
      <c r="J22" s="16">
        <f t="shared" si="7"/>
        <v>-0.11060075122063112</v>
      </c>
      <c r="K22" s="80">
        <v>1</v>
      </c>
      <c r="L22" s="66" t="s">
        <v>460</v>
      </c>
      <c r="M22" s="66" t="s">
        <v>461</v>
      </c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v>34375.8125</v>
      </c>
      <c r="E23" s="15">
        <v>35628.89</v>
      </c>
      <c r="F23" s="15">
        <f t="shared" si="4"/>
        <v>-1253.0774999999994</v>
      </c>
      <c r="G23" s="16">
        <f t="shared" si="5"/>
        <v>-3.5170264917037813E-2</v>
      </c>
      <c r="H23" s="17">
        <v>6747</v>
      </c>
      <c r="I23" s="17">
        <f t="shared" si="6"/>
        <v>27628.8125</v>
      </c>
      <c r="J23" s="16">
        <f t="shared" si="7"/>
        <v>4.0949773973617907</v>
      </c>
      <c r="K23" s="16">
        <v>0.97181359999999994</v>
      </c>
      <c r="L23" s="61" t="s">
        <v>462</v>
      </c>
      <c r="M23" s="62" t="s">
        <v>463</v>
      </c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v>27339</v>
      </c>
      <c r="E24" s="11">
        <v>28433.58</v>
      </c>
      <c r="F24" s="11">
        <f t="shared" si="4"/>
        <v>-1094.5800000000017</v>
      </c>
      <c r="G24" s="12">
        <f t="shared" si="5"/>
        <v>-3.8496031804647945E-2</v>
      </c>
      <c r="H24" s="13">
        <v>30207.3</v>
      </c>
      <c r="I24" s="13">
        <f t="shared" si="6"/>
        <v>-2868.2999999999993</v>
      </c>
      <c r="J24" s="16">
        <f t="shared" si="7"/>
        <v>-9.4953868766821242E-2</v>
      </c>
      <c r="K24" s="80">
        <v>1</v>
      </c>
      <c r="L24" s="66"/>
      <c r="M24" s="66"/>
    </row>
    <row r="25" spans="1:13" ht="29.1">
      <c r="A25" s="27" t="str">
        <v>K115</v>
      </c>
      <c r="B25" s="28" t="str">
        <v>NY</v>
      </c>
      <c r="C25" s="28" t="str">
        <f>Sites[[#This Row],[SOL'#]]</f>
        <v>SOL-10361</v>
      </c>
      <c r="D25" s="10">
        <v>7510.3029687499902</v>
      </c>
      <c r="E25" s="15">
        <v>11683.45</v>
      </c>
      <c r="F25" s="15">
        <f t="shared" si="4"/>
        <v>-4173.1470312500105</v>
      </c>
      <c r="G25" s="16">
        <f t="shared" si="5"/>
        <v>-0.35718448157436461</v>
      </c>
      <c r="H25" s="17">
        <v>17463.98</v>
      </c>
      <c r="I25" s="17">
        <f t="shared" si="6"/>
        <v>-9953.6770312500084</v>
      </c>
      <c r="J25" s="16">
        <f t="shared" si="7"/>
        <v>-0.56995467420656742</v>
      </c>
      <c r="K25" s="16">
        <v>0.96050089999999999</v>
      </c>
      <c r="L25" s="76" t="s">
        <v>349</v>
      </c>
      <c r="M25" s="76" t="s">
        <v>45</v>
      </c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v>10384.03125</v>
      </c>
      <c r="E26" s="11">
        <v>10885.33</v>
      </c>
      <c r="F26" s="11">
        <f t="shared" si="4"/>
        <v>-501.29874999999993</v>
      </c>
      <c r="G26" s="12">
        <f t="shared" si="5"/>
        <v>-4.605269201760534E-2</v>
      </c>
      <c r="H26" s="13">
        <v>11639</v>
      </c>
      <c r="I26" s="13">
        <f t="shared" si="6"/>
        <v>-1254.96875</v>
      </c>
      <c r="J26" s="16">
        <f t="shared" si="7"/>
        <v>-0.10782444797663029</v>
      </c>
      <c r="K26" s="80">
        <v>1</v>
      </c>
      <c r="L26" s="66"/>
      <c r="M26" s="66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v>38089.375</v>
      </c>
      <c r="E27" s="15">
        <v>41603.08</v>
      </c>
      <c r="F27" s="15">
        <f t="shared" si="4"/>
        <v>-3513.7050000000017</v>
      </c>
      <c r="G27" s="16">
        <f t="shared" si="5"/>
        <v>-8.4457809373729098E-2</v>
      </c>
      <c r="H27" s="17">
        <v>42814.82</v>
      </c>
      <c r="I27" s="17">
        <f t="shared" si="6"/>
        <v>-4725.4449999999997</v>
      </c>
      <c r="J27" s="16">
        <f t="shared" si="7"/>
        <v>-0.11036937677187478</v>
      </c>
      <c r="K27" s="16">
        <v>1</v>
      </c>
      <c r="L27" s="61"/>
      <c r="M27" s="62"/>
    </row>
    <row r="28" spans="1:13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v>22742.546632350699</v>
      </c>
      <c r="E28" s="11">
        <v>22054.47</v>
      </c>
      <c r="F28" s="11">
        <f t="shared" si="4"/>
        <v>688.07663235069776</v>
      </c>
      <c r="G28" s="12">
        <f t="shared" si="5"/>
        <v>3.1198964760916846E-2</v>
      </c>
      <c r="H28" s="13">
        <v>22532</v>
      </c>
      <c r="I28" s="13">
        <f t="shared" si="6"/>
        <v>210.54663235069893</v>
      </c>
      <c r="J28" s="16">
        <f t="shared" si="7"/>
        <v>9.3443383787812414E-3</v>
      </c>
      <c r="K28" s="80">
        <v>0.99209440000000004</v>
      </c>
      <c r="L28" s="66"/>
      <c r="M28" s="66"/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v>24232.84375</v>
      </c>
      <c r="E29" s="15">
        <v>25177.65</v>
      </c>
      <c r="F29" s="15">
        <f t="shared" si="4"/>
        <v>-944.80625000000146</v>
      </c>
      <c r="G29" s="16">
        <f t="shared" si="5"/>
        <v>-3.7525593135181459E-2</v>
      </c>
      <c r="H29" s="17">
        <v>26930.87</v>
      </c>
      <c r="I29" s="17">
        <f t="shared" si="6"/>
        <v>-2698.026249999999</v>
      </c>
      <c r="J29" s="16">
        <f t="shared" si="7"/>
        <v>-0.1001834047693223</v>
      </c>
      <c r="K29" s="16">
        <v>1</v>
      </c>
      <c r="L29" s="61"/>
      <c r="M29" s="61"/>
    </row>
    <row r="30" spans="1:13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v>22552.09375</v>
      </c>
      <c r="E30" s="11"/>
      <c r="F30" s="11" t="str">
        <f t="shared" si="4"/>
        <v/>
      </c>
      <c r="G30" s="12" t="str">
        <f t="shared" si="5"/>
        <v/>
      </c>
      <c r="H30" s="13">
        <v>24223.4</v>
      </c>
      <c r="I30" s="13">
        <f t="shared" si="6"/>
        <v>-1671.3062500000015</v>
      </c>
      <c r="J30" s="16">
        <f t="shared" si="7"/>
        <v>-6.8995527052354386E-2</v>
      </c>
      <c r="K30" s="80">
        <v>1</v>
      </c>
      <c r="L30" s="66" t="s">
        <v>351</v>
      </c>
      <c r="M30" s="66" t="s">
        <v>352</v>
      </c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v>25558.625</v>
      </c>
      <c r="E31" s="15"/>
      <c r="F31" s="15" t="str">
        <f t="shared" si="4"/>
        <v/>
      </c>
      <c r="G31" s="16" t="str">
        <f t="shared" si="5"/>
        <v/>
      </c>
      <c r="H31" s="17">
        <v>32475</v>
      </c>
      <c r="I31" s="17">
        <f t="shared" si="6"/>
        <v>-6916.375</v>
      </c>
      <c r="J31" s="16">
        <f t="shared" si="7"/>
        <v>-0.21297536566589684</v>
      </c>
      <c r="K31" s="16">
        <v>1</v>
      </c>
      <c r="L31" s="76"/>
      <c r="M31" s="77"/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v>20130.515625</v>
      </c>
      <c r="E32" s="11">
        <v>17304.29</v>
      </c>
      <c r="F32" s="11">
        <f t="shared" si="4"/>
        <v>2826.2256249999991</v>
      </c>
      <c r="G32" s="12">
        <f t="shared" si="5"/>
        <v>0.16332514220462088</v>
      </c>
      <c r="H32" s="13">
        <v>21348</v>
      </c>
      <c r="I32" s="13">
        <f t="shared" si="6"/>
        <v>-1217.484375</v>
      </c>
      <c r="J32" s="16">
        <f t="shared" si="7"/>
        <v>-5.7030371697582911E-2</v>
      </c>
      <c r="K32" s="80">
        <v>0.9993417</v>
      </c>
      <c r="L32" s="66"/>
      <c r="M32" s="66"/>
    </row>
    <row r="33" spans="1:13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v>22042.03125</v>
      </c>
      <c r="E33" s="15">
        <v>22742.22</v>
      </c>
      <c r="F33" s="15">
        <f t="shared" si="4"/>
        <v>-700.18875000000116</v>
      </c>
      <c r="G33" s="16">
        <f t="shared" si="5"/>
        <v>-3.0788056311125349E-2</v>
      </c>
      <c r="H33" s="17">
        <v>24419</v>
      </c>
      <c r="I33" s="17">
        <f t="shared" si="6"/>
        <v>-2376.96875</v>
      </c>
      <c r="J33" s="16">
        <f t="shared" si="7"/>
        <v>-9.7340953765510468E-2</v>
      </c>
      <c r="K33" s="16">
        <v>1</v>
      </c>
      <c r="L33" s="61" t="s">
        <v>464</v>
      </c>
      <c r="M33" s="62" t="s">
        <v>267</v>
      </c>
    </row>
    <row r="34" spans="1:13" ht="15.6">
      <c r="A34" s="25" t="str">
        <v>K335</v>
      </c>
      <c r="B34" s="26" t="str">
        <v>NY</v>
      </c>
      <c r="C34" s="26" t="str">
        <f>Sites[[#This Row],[SOL'#]]</f>
        <v>SOL-10370</v>
      </c>
      <c r="D34" s="21">
        <v>22235.0625</v>
      </c>
      <c r="E34" s="11">
        <v>25329.51</v>
      </c>
      <c r="F34" s="11">
        <f t="shared" si="4"/>
        <v>-3094.4474999999984</v>
      </c>
      <c r="G34" s="12">
        <f t="shared" si="5"/>
        <v>-0.12216768109608116</v>
      </c>
      <c r="H34" s="13">
        <v>26929</v>
      </c>
      <c r="I34" s="13">
        <f t="shared" si="6"/>
        <v>-4693.9375</v>
      </c>
      <c r="J34" s="16">
        <f t="shared" si="7"/>
        <v>-0.17430790226150247</v>
      </c>
      <c r="K34" s="80">
        <v>1</v>
      </c>
      <c r="L34" s="66"/>
      <c r="M34" s="66"/>
    </row>
    <row r="35" spans="1:13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v>24136.0390625</v>
      </c>
      <c r="E35" s="15">
        <v>15601.08</v>
      </c>
      <c r="F35" s="15">
        <f t="shared" si="4"/>
        <v>8534.9590625000001</v>
      </c>
      <c r="G35" s="16">
        <f t="shared" si="5"/>
        <v>0.54707488600148191</v>
      </c>
      <c r="H35" s="17">
        <v>28171</v>
      </c>
      <c r="I35" s="17">
        <f t="shared" si="6"/>
        <v>-4034.9609375</v>
      </c>
      <c r="J35" s="16">
        <f t="shared" si="7"/>
        <v>-0.14323101549465764</v>
      </c>
      <c r="K35" s="16">
        <v>0.97004580000000007</v>
      </c>
      <c r="L35" s="61"/>
      <c r="M35" s="62"/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v>21682.21875</v>
      </c>
      <c r="E36" s="11">
        <v>23396.34</v>
      </c>
      <c r="F36" s="11">
        <f t="shared" si="4"/>
        <v>-1714.1212500000001</v>
      </c>
      <c r="G36" s="12">
        <f t="shared" si="5"/>
        <v>-7.3264504191681262E-2</v>
      </c>
      <c r="H36" s="13">
        <v>22719.24</v>
      </c>
      <c r="I36" s="13">
        <f t="shared" si="6"/>
        <v>-1037.0212500000016</v>
      </c>
      <c r="J36" s="16">
        <f t="shared" si="7"/>
        <v>-4.5645067792760743E-2</v>
      </c>
      <c r="K36" s="80">
        <v>1</v>
      </c>
      <c r="L36" s="66"/>
      <c r="M36" s="66"/>
    </row>
    <row r="37" spans="1:13" ht="15.6">
      <c r="A37" s="27" t="str">
        <v>K495</v>
      </c>
      <c r="B37" s="28" t="str">
        <v>NY</v>
      </c>
      <c r="C37" s="28" t="str">
        <f>Sites[[#This Row],[SOL'#]]</f>
        <v>SOL-10374</v>
      </c>
      <c r="D37" s="10">
        <v>91898.0625</v>
      </c>
      <c r="E37" s="15">
        <v>73201.06</v>
      </c>
      <c r="F37" s="15">
        <f t="shared" si="4"/>
        <v>18697.002500000002</v>
      </c>
      <c r="G37" s="16">
        <f t="shared" si="5"/>
        <v>0.2554198327182694</v>
      </c>
      <c r="H37" s="17">
        <v>96814</v>
      </c>
      <c r="I37" s="17">
        <f t="shared" si="6"/>
        <v>-4915.9375</v>
      </c>
      <c r="J37" s="16">
        <f t="shared" si="7"/>
        <v>-5.0777134505340139E-2</v>
      </c>
      <c r="K37" s="16">
        <v>0.97180350000000004</v>
      </c>
      <c r="L37" s="61"/>
      <c r="M37" s="62"/>
    </row>
    <row r="38" spans="1:13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v>22695.390625</v>
      </c>
      <c r="E38" s="11">
        <v>24973.03</v>
      </c>
      <c r="F38" s="11">
        <f t="shared" si="4"/>
        <v>-2277.6393749999988</v>
      </c>
      <c r="G38" s="12">
        <f t="shared" si="5"/>
        <v>-9.1203965838346363E-2</v>
      </c>
      <c r="H38" s="13">
        <v>26418</v>
      </c>
      <c r="I38" s="13">
        <f t="shared" si="6"/>
        <v>-3722.609375</v>
      </c>
      <c r="J38" s="16">
        <f t="shared" si="7"/>
        <v>-0.14091185460670755</v>
      </c>
      <c r="K38" s="80">
        <v>0.97404799999999991</v>
      </c>
      <c r="L38" s="66"/>
      <c r="M38" s="66"/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v>23010.625</v>
      </c>
      <c r="E39" s="15">
        <v>24969.87</v>
      </c>
      <c r="F39" s="15">
        <f t="shared" si="4"/>
        <v>-1959.244999999999</v>
      </c>
      <c r="G39" s="16">
        <f t="shared" si="5"/>
        <v>-7.8464365253002877E-2</v>
      </c>
      <c r="H39" s="17">
        <v>25266.98</v>
      </c>
      <c r="I39" s="17">
        <f t="shared" si="6"/>
        <v>-2256.3549999999996</v>
      </c>
      <c r="J39" s="16">
        <f t="shared" si="7"/>
        <v>-8.9300541655552013E-2</v>
      </c>
      <c r="K39" s="16">
        <v>1</v>
      </c>
      <c r="L39" s="61"/>
      <c r="M39" s="62"/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v>26263.625</v>
      </c>
      <c r="E40" s="11">
        <v>31033.39</v>
      </c>
      <c r="F40" s="11">
        <f t="shared" si="4"/>
        <v>-4769.7649999999994</v>
      </c>
      <c r="G40" s="12">
        <f t="shared" si="5"/>
        <v>-0.15369783964948719</v>
      </c>
      <c r="H40" s="13">
        <v>28324.99</v>
      </c>
      <c r="I40" s="13">
        <f t="shared" si="6"/>
        <v>-2061.3650000000016</v>
      </c>
      <c r="J40" s="16">
        <f t="shared" si="7"/>
        <v>-7.2775489064603432E-2</v>
      </c>
      <c r="K40" s="80">
        <v>1</v>
      </c>
      <c r="L40" s="66"/>
      <c r="M40" s="66"/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v>37317.0625</v>
      </c>
      <c r="E41" s="15">
        <v>0</v>
      </c>
      <c r="F41" s="15">
        <f t="shared" si="4"/>
        <v>37317.0625</v>
      </c>
      <c r="G41" s="16" t="str">
        <f t="shared" si="5"/>
        <v/>
      </c>
      <c r="H41" s="17">
        <v>41353</v>
      </c>
      <c r="I41" s="17">
        <f t="shared" si="6"/>
        <v>-4035.9375</v>
      </c>
      <c r="J41" s="16">
        <f t="shared" si="7"/>
        <v>-9.759721181050951E-2</v>
      </c>
      <c r="K41" s="16">
        <v>0.97971860000000011</v>
      </c>
      <c r="L41" s="61"/>
      <c r="M41" s="61"/>
    </row>
    <row r="42" spans="1:13" ht="57.95">
      <c r="A42" s="25" t="str">
        <v>M167</v>
      </c>
      <c r="B42" s="26" t="str">
        <v>NY</v>
      </c>
      <c r="C42" s="26" t="str">
        <f>Sites[[#This Row],[SOL'#]]</f>
        <v>SOL-10386</v>
      </c>
      <c r="D42" s="21">
        <v>24714.5078125</v>
      </c>
      <c r="E42" s="11">
        <v>22049.8</v>
      </c>
      <c r="F42" s="11">
        <f t="shared" si="4"/>
        <v>2664.7078125000007</v>
      </c>
      <c r="G42" s="12">
        <f t="shared" si="5"/>
        <v>0.12084952301154663</v>
      </c>
      <c r="H42" s="13">
        <v>34452.019999999997</v>
      </c>
      <c r="I42" s="13">
        <f t="shared" si="6"/>
        <v>-9737.5121874999968</v>
      </c>
      <c r="J42" s="16">
        <f t="shared" si="7"/>
        <v>-0.28263980421177037</v>
      </c>
      <c r="K42" s="80">
        <v>0.99825629999999999</v>
      </c>
      <c r="L42" s="66" t="s">
        <v>465</v>
      </c>
      <c r="M42" s="66" t="s">
        <v>466</v>
      </c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v>20482.1875</v>
      </c>
      <c r="E43" s="15">
        <v>0</v>
      </c>
      <c r="F43" s="15">
        <f t="shared" si="4"/>
        <v>20482.1875</v>
      </c>
      <c r="G43" s="16" t="str">
        <f t="shared" si="5"/>
        <v/>
      </c>
      <c r="H43" s="17">
        <v>22013</v>
      </c>
      <c r="I43" s="17">
        <f t="shared" si="6"/>
        <v>-1530.8125</v>
      </c>
      <c r="J43" s="16">
        <f t="shared" si="7"/>
        <v>-6.9541293780947616E-2</v>
      </c>
      <c r="K43" s="16">
        <v>0.9751803</v>
      </c>
      <c r="L43" s="61"/>
      <c r="M43" s="62"/>
    </row>
    <row r="44" spans="1:13" ht="72.599999999999994">
      <c r="A44" s="25" t="str">
        <v>EMHC</v>
      </c>
      <c r="B44" s="26" t="str">
        <v>NY</v>
      </c>
      <c r="C44" s="26" t="str">
        <f>Sites[[#This Row],[SOL'#]]</f>
        <v>SOL-10351</v>
      </c>
      <c r="D44" s="21">
        <v>7207.59765625</v>
      </c>
      <c r="E44" s="11">
        <v>6847.4840000000004</v>
      </c>
      <c r="F44" s="11">
        <f t="shared" si="4"/>
        <v>360.11365624999962</v>
      </c>
      <c r="G44" s="12">
        <f t="shared" si="5"/>
        <v>5.2590653187360441E-2</v>
      </c>
      <c r="H44" s="13">
        <v>11596.2</v>
      </c>
      <c r="I44" s="13">
        <f t="shared" si="6"/>
        <v>-4388.6023437500007</v>
      </c>
      <c r="J44" s="16">
        <f t="shared" si="7"/>
        <v>-0.37845176383211748</v>
      </c>
      <c r="K44" s="80">
        <v>0.69339470000000003</v>
      </c>
      <c r="L44" s="66" t="s">
        <v>467</v>
      </c>
      <c r="M44" s="66" t="s">
        <v>468</v>
      </c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v>31970.546875</v>
      </c>
      <c r="E45" s="15">
        <v>32574.49</v>
      </c>
      <c r="F45" s="15">
        <f t="shared" si="4"/>
        <v>-603.9431250000016</v>
      </c>
      <c r="G45" s="16">
        <f t="shared" si="5"/>
        <v>-1.8540370854616652E-2</v>
      </c>
      <c r="H45" s="17">
        <v>34336</v>
      </c>
      <c r="I45" s="17">
        <f t="shared" si="6"/>
        <v>-2365.453125</v>
      </c>
      <c r="J45" s="16">
        <f t="shared" si="7"/>
        <v>-6.8891342177306622E-2</v>
      </c>
      <c r="K45" s="16">
        <v>0.97397900000000004</v>
      </c>
      <c r="L45" s="61"/>
      <c r="M45" s="62"/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v>20977.875</v>
      </c>
      <c r="E46" s="11">
        <v>20294.47</v>
      </c>
      <c r="F46" s="11">
        <f t="shared" si="4"/>
        <v>683.40499999999884</v>
      </c>
      <c r="G46" s="12">
        <f t="shared" si="5"/>
        <v>3.3674444319068138E-2</v>
      </c>
      <c r="H46" s="13">
        <v>21230.62</v>
      </c>
      <c r="I46" s="13">
        <f t="shared" si="6"/>
        <v>-252.74499999999898</v>
      </c>
      <c r="J46" s="16">
        <f t="shared" si="7"/>
        <v>-1.1904739475342641E-2</v>
      </c>
      <c r="K46" s="80">
        <v>1</v>
      </c>
      <c r="L46" s="66"/>
      <c r="M46" s="66"/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v>16699.90625</v>
      </c>
      <c r="E47" s="15">
        <v>16530.39</v>
      </c>
      <c r="F47" s="15">
        <f t="shared" si="4"/>
        <v>169.51625000000058</v>
      </c>
      <c r="G47" s="16">
        <f t="shared" si="5"/>
        <v>1.0254824598814704E-2</v>
      </c>
      <c r="H47" s="17">
        <v>17806.79</v>
      </c>
      <c r="I47" s="17">
        <f t="shared" si="6"/>
        <v>-1106.8837500000009</v>
      </c>
      <c r="J47" s="16">
        <f t="shared" si="7"/>
        <v>-6.2160768448440221E-2</v>
      </c>
      <c r="K47" s="16">
        <v>0.99655749999999999</v>
      </c>
      <c r="L47" s="61"/>
      <c r="M47" s="62"/>
    </row>
    <row r="48" spans="1:13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v>24369.75</v>
      </c>
      <c r="E48" s="11">
        <v>28714.66</v>
      </c>
      <c r="F48" s="11">
        <f t="shared" si="4"/>
        <v>-4344.91</v>
      </c>
      <c r="G48" s="12">
        <f t="shared" si="5"/>
        <v>-0.15131330128930656</v>
      </c>
      <c r="H48" s="13">
        <v>15072</v>
      </c>
      <c r="I48" s="13">
        <f t="shared" si="6"/>
        <v>9297.75</v>
      </c>
      <c r="J48" s="16">
        <f t="shared" si="7"/>
        <v>0.61688893312101911</v>
      </c>
      <c r="K48" s="80">
        <v>1</v>
      </c>
      <c r="L48" s="66" t="s">
        <v>469</v>
      </c>
      <c r="M48" s="66" t="s">
        <v>470</v>
      </c>
    </row>
    <row r="49" spans="1:13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v>18731.1875</v>
      </c>
      <c r="E49" s="15">
        <v>19257.63</v>
      </c>
      <c r="F49" s="15">
        <f t="shared" si="4"/>
        <v>-526.44250000000102</v>
      </c>
      <c r="G49" s="16">
        <f t="shared" si="5"/>
        <v>-2.7336827013500674E-2</v>
      </c>
      <c r="H49" s="17">
        <v>20209.169999999998</v>
      </c>
      <c r="I49" s="17">
        <f t="shared" si="6"/>
        <v>-1477.9824999999983</v>
      </c>
      <c r="J49" s="16">
        <f t="shared" si="7"/>
        <v>-7.3134250441754825E-2</v>
      </c>
      <c r="K49" s="16">
        <v>1</v>
      </c>
      <c r="L49" s="61"/>
      <c r="M49" s="62"/>
    </row>
    <row r="50" spans="1:13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v>24172.625</v>
      </c>
      <c r="E50" s="11">
        <v>25786.31</v>
      </c>
      <c r="F50" s="11">
        <f t="shared" si="4"/>
        <v>-1613.6850000000013</v>
      </c>
      <c r="G50" s="12">
        <f t="shared" si="5"/>
        <v>-6.2579135983395887E-2</v>
      </c>
      <c r="H50" s="13">
        <v>26428.29</v>
      </c>
      <c r="I50" s="13">
        <f t="shared" si="6"/>
        <v>-2255.6650000000009</v>
      </c>
      <c r="J50" s="16">
        <f t="shared" si="7"/>
        <v>-8.5350395352858655E-2</v>
      </c>
      <c r="K50" s="80">
        <v>1</v>
      </c>
      <c r="L50" s="66"/>
      <c r="M50" s="66"/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v>14846.65625</v>
      </c>
      <c r="E51" s="15">
        <v>16666.53</v>
      </c>
      <c r="F51" s="15">
        <f t="shared" si="4"/>
        <v>-1819.8737499999988</v>
      </c>
      <c r="G51" s="16">
        <f t="shared" si="5"/>
        <v>-0.1091933203852271</v>
      </c>
      <c r="H51" s="17">
        <v>17028</v>
      </c>
      <c r="I51" s="17">
        <f t="shared" si="6"/>
        <v>-2181.34375</v>
      </c>
      <c r="J51" s="16">
        <f t="shared" si="7"/>
        <v>-0.12810334449142588</v>
      </c>
      <c r="K51" s="16">
        <v>1</v>
      </c>
      <c r="L51" s="61"/>
      <c r="M51" s="62"/>
    </row>
    <row r="52" spans="1:13" ht="15.6">
      <c r="A52" s="25" t="str">
        <v>Q157</v>
      </c>
      <c r="B52" s="26" t="str">
        <v>NY</v>
      </c>
      <c r="C52" s="26" t="str">
        <f>Sites[[#This Row],[SOL'#]]</f>
        <v>SOL-10404</v>
      </c>
      <c r="D52" s="21">
        <v>24042.8125</v>
      </c>
      <c r="E52" s="11">
        <v>28236.240000000002</v>
      </c>
      <c r="F52" s="11">
        <f t="shared" si="4"/>
        <v>-4193.4275000000016</v>
      </c>
      <c r="G52" s="12">
        <f t="shared" si="5"/>
        <v>-0.14851224879799865</v>
      </c>
      <c r="H52" s="13">
        <v>30111.95</v>
      </c>
      <c r="I52" s="13">
        <f t="shared" si="6"/>
        <v>-6069.1375000000007</v>
      </c>
      <c r="J52" s="16">
        <f t="shared" si="7"/>
        <v>-0.20155245674889871</v>
      </c>
      <c r="K52" s="80">
        <v>1</v>
      </c>
      <c r="L52" s="66" t="s">
        <v>471</v>
      </c>
      <c r="M52" s="66" t="s">
        <v>472</v>
      </c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v>40202.5</v>
      </c>
      <c r="E53" s="15">
        <v>44409.02</v>
      </c>
      <c r="F53" s="15">
        <f t="shared" si="4"/>
        <v>-4206.5199999999968</v>
      </c>
      <c r="G53" s="16">
        <f t="shared" si="5"/>
        <v>-9.4722198328177409E-2</v>
      </c>
      <c r="H53" s="17">
        <v>43747.51</v>
      </c>
      <c r="I53" s="17">
        <f t="shared" si="6"/>
        <v>-3545.010000000002</v>
      </c>
      <c r="J53" s="16">
        <f t="shared" si="7"/>
        <v>-8.1033411958760668E-2</v>
      </c>
      <c r="K53" s="16">
        <v>1</v>
      </c>
      <c r="L53" s="61"/>
      <c r="M53" s="61"/>
    </row>
    <row r="54" spans="1:13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v>32066.125</v>
      </c>
      <c r="E54" s="11">
        <v>33092.01</v>
      </c>
      <c r="F54" s="11">
        <f t="shared" si="4"/>
        <v>-1025.885000000002</v>
      </c>
      <c r="G54" s="12">
        <f t="shared" si="5"/>
        <v>-3.1000987851750376E-2</v>
      </c>
      <c r="H54" s="13">
        <v>36236</v>
      </c>
      <c r="I54" s="13">
        <f t="shared" si="6"/>
        <v>-4169.875</v>
      </c>
      <c r="J54" s="16">
        <f t="shared" si="7"/>
        <v>-0.11507547742576443</v>
      </c>
      <c r="K54" s="80">
        <v>1</v>
      </c>
      <c r="L54" s="66"/>
      <c r="M54" s="66"/>
    </row>
    <row r="55" spans="1:13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v>14718.09375</v>
      </c>
      <c r="E55" s="15">
        <v>16352.9</v>
      </c>
      <c r="F55" s="15">
        <f t="shared" si="4"/>
        <v>-1634.8062499999996</v>
      </c>
      <c r="G55" s="16">
        <f t="shared" si="5"/>
        <v>-9.9970418090980784E-2</v>
      </c>
      <c r="H55" s="17">
        <v>15792.49</v>
      </c>
      <c r="I55" s="17">
        <f t="shared" si="6"/>
        <v>-1074.3962499999998</v>
      </c>
      <c r="J55" s="16">
        <f t="shared" si="7"/>
        <v>-6.8032099434604656E-2</v>
      </c>
      <c r="K55" s="16">
        <v>1</v>
      </c>
      <c r="L55" s="61"/>
      <c r="M55" s="62"/>
    </row>
    <row r="56" spans="1:13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v>54035.875</v>
      </c>
      <c r="E56" s="11">
        <v>56972.36</v>
      </c>
      <c r="F56" s="11">
        <f t="shared" si="4"/>
        <v>-2936.4850000000006</v>
      </c>
      <c r="G56" s="12">
        <f t="shared" si="5"/>
        <v>-5.1542274183481264E-2</v>
      </c>
      <c r="H56" s="13">
        <v>56670</v>
      </c>
      <c r="I56" s="13">
        <f t="shared" si="6"/>
        <v>-2634.125</v>
      </c>
      <c r="J56" s="16">
        <f t="shared" si="7"/>
        <v>-4.6481824598553025E-2</v>
      </c>
      <c r="K56" s="80">
        <v>1</v>
      </c>
      <c r="L56" s="66"/>
      <c r="M56" s="66"/>
    </row>
    <row r="57" spans="1:13" ht="29.1">
      <c r="A57" s="27" t="str">
        <v>Q405</v>
      </c>
      <c r="B57" s="28" t="str">
        <v>NY</v>
      </c>
      <c r="C57" s="28" t="str">
        <f>Sites[[#This Row],[SOL'#]]</f>
        <v>SOL-10409</v>
      </c>
      <c r="D57" s="10">
        <v>60094.75</v>
      </c>
      <c r="E57" s="15">
        <v>62190.46</v>
      </c>
      <c r="F57" s="15">
        <f t="shared" si="4"/>
        <v>-2095.7099999999991</v>
      </c>
      <c r="G57" s="16">
        <f t="shared" si="5"/>
        <v>-3.3698255327264004E-2</v>
      </c>
      <c r="H57" s="17">
        <v>65243.55</v>
      </c>
      <c r="I57" s="17">
        <f t="shared" si="6"/>
        <v>-5148.8000000000029</v>
      </c>
      <c r="J57" s="16">
        <f t="shared" si="7"/>
        <v>-7.8916613213106931E-2</v>
      </c>
      <c r="K57" s="16">
        <v>1</v>
      </c>
      <c r="L57" s="61" t="s">
        <v>473</v>
      </c>
      <c r="M57" s="62" t="s">
        <v>474</v>
      </c>
    </row>
    <row r="58" spans="1:13" ht="29.1">
      <c r="A58" s="25" t="str">
        <v>Q435</v>
      </c>
      <c r="B58" s="26" t="str">
        <v>NY</v>
      </c>
      <c r="C58" s="26" t="str">
        <f>Sites[[#This Row],[SOL'#]]</f>
        <v>SOL-10923</v>
      </c>
      <c r="D58" s="21">
        <v>71093.265625000102</v>
      </c>
      <c r="E58" s="11">
        <v>57936.14</v>
      </c>
      <c r="F58" s="11">
        <f t="shared" si="4"/>
        <v>13157.125625000102</v>
      </c>
      <c r="G58" s="12">
        <f t="shared" si="5"/>
        <v>0.22709703520117328</v>
      </c>
      <c r="H58" s="13">
        <v>80887</v>
      </c>
      <c r="I58" s="13">
        <f t="shared" si="6"/>
        <v>-9793.7343749998981</v>
      </c>
      <c r="J58" s="16">
        <f t="shared" si="7"/>
        <v>-0.12107921390334539</v>
      </c>
      <c r="K58" s="80">
        <v>0.97666629999999999</v>
      </c>
      <c r="L58" s="66" t="s">
        <v>475</v>
      </c>
      <c r="M58" s="66" t="s">
        <v>476</v>
      </c>
    </row>
    <row r="59" spans="1:13" ht="72.599999999999994">
      <c r="A59" s="27" t="str">
        <v>Q485</v>
      </c>
      <c r="B59" s="28" t="str">
        <v>NY</v>
      </c>
      <c r="C59" s="28" t="str">
        <f>Sites[[#This Row],[SOL'#]]</f>
        <v>SOL-10869</v>
      </c>
      <c r="D59" s="10">
        <v>42622.765625</v>
      </c>
      <c r="E59" s="15">
        <v>33709.18</v>
      </c>
      <c r="F59" s="15">
        <f t="shared" si="4"/>
        <v>8913.5856249999997</v>
      </c>
      <c r="G59" s="16">
        <f t="shared" si="5"/>
        <v>0.26442605916251893</v>
      </c>
      <c r="H59" s="17">
        <v>76998.95</v>
      </c>
      <c r="I59" s="17">
        <f t="shared" si="6"/>
        <v>-34376.184374999997</v>
      </c>
      <c r="J59" s="16">
        <f t="shared" si="7"/>
        <v>-0.44645004087718076</v>
      </c>
      <c r="K59" s="16">
        <v>1</v>
      </c>
      <c r="L59" s="61" t="s">
        <v>477</v>
      </c>
      <c r="M59" s="62" t="s">
        <v>478</v>
      </c>
    </row>
    <row r="60" spans="1:13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v>51552.8632425744</v>
      </c>
      <c r="E60" s="11"/>
      <c r="F60" s="11" t="str">
        <f t="shared" si="4"/>
        <v/>
      </c>
      <c r="G60" s="12" t="str">
        <f t="shared" si="5"/>
        <v/>
      </c>
      <c r="H60" s="13">
        <v>56557.96</v>
      </c>
      <c r="I60" s="13">
        <f t="shared" si="6"/>
        <v>-5005.0967574255992</v>
      </c>
      <c r="J60" s="80">
        <f t="shared" si="7"/>
        <v>-8.8495001542233831E-2</v>
      </c>
      <c r="K60" s="80">
        <v>1</v>
      </c>
      <c r="L60" s="66"/>
      <c r="M60" s="66"/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v>77398.75</v>
      </c>
      <c r="E61" s="15">
        <v>80027.13</v>
      </c>
      <c r="F61" s="15">
        <f t="shared" si="4"/>
        <v>-2628.3800000000047</v>
      </c>
      <c r="G61" s="16">
        <f t="shared" si="5"/>
        <v>-3.2843611910111037E-2</v>
      </c>
      <c r="H61" s="17">
        <v>80536.03</v>
      </c>
      <c r="I61" s="17">
        <f t="shared" si="6"/>
        <v>-3137.2799999999988</v>
      </c>
      <c r="J61" s="16">
        <f t="shared" si="7"/>
        <v>-3.8954986979119768E-2</v>
      </c>
      <c r="K61" s="16">
        <v>1</v>
      </c>
      <c r="L61" s="61"/>
      <c r="M61" s="62"/>
    </row>
    <row r="62" spans="1:13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v>6670.7</v>
      </c>
      <c r="E62" s="11">
        <v>0</v>
      </c>
      <c r="F62" s="11">
        <f t="shared" si="4"/>
        <v>6670.7</v>
      </c>
      <c r="G62" s="12" t="str">
        <f t="shared" si="5"/>
        <v/>
      </c>
      <c r="H62" s="13">
        <v>7032.8220000000001</v>
      </c>
      <c r="I62" s="13">
        <f t="shared" si="6"/>
        <v>-362.1220000000003</v>
      </c>
      <c r="J62" s="80">
        <f t="shared" si="7"/>
        <v>-5.1490283701194239E-2</v>
      </c>
      <c r="K62" s="80">
        <v>1</v>
      </c>
      <c r="L62" s="66"/>
      <c r="M62" s="66"/>
    </row>
    <row r="63" spans="1:13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v>29825.9140625</v>
      </c>
      <c r="E63" s="15">
        <v>30567.54</v>
      </c>
      <c r="F63" s="15">
        <f t="shared" si="4"/>
        <v>-741.62593750000087</v>
      </c>
      <c r="G63" s="16">
        <f t="shared" si="5"/>
        <v>-2.4261878368360714E-2</v>
      </c>
      <c r="H63" s="17">
        <v>30453</v>
      </c>
      <c r="I63" s="17">
        <f t="shared" si="6"/>
        <v>-627.0859375</v>
      </c>
      <c r="J63" s="16">
        <f t="shared" si="7"/>
        <v>-2.0591926493284732E-2</v>
      </c>
      <c r="K63" s="16">
        <v>0.97912260000000007</v>
      </c>
      <c r="L63" s="61"/>
      <c r="M63" s="62"/>
    </row>
    <row r="64" spans="1:13" ht="15.6">
      <c r="A64" s="25" t="str">
        <v>X026</v>
      </c>
      <c r="B64" s="26" t="str">
        <v>NY</v>
      </c>
      <c r="C64" s="26" t="str">
        <f>Sites[[#This Row],[SOL'#]]</f>
        <v>SOL-10420</v>
      </c>
      <c r="D64" s="21">
        <v>26509.377</v>
      </c>
      <c r="E64" s="11">
        <v>24343.08</v>
      </c>
      <c r="F64" s="11">
        <f t="shared" si="4"/>
        <v>2166.2969999999987</v>
      </c>
      <c r="G64" s="12">
        <f t="shared" si="5"/>
        <v>8.8990259244105446E-2</v>
      </c>
      <c r="H64" s="13">
        <v>23975.381000000001</v>
      </c>
      <c r="I64" s="13">
        <f t="shared" si="6"/>
        <v>2533.9959999999992</v>
      </c>
      <c r="J64" s="80">
        <f t="shared" si="7"/>
        <v>0.1056915842129891</v>
      </c>
      <c r="K64" s="80"/>
      <c r="L64" s="66"/>
      <c r="M64" s="66"/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v>22518.713</v>
      </c>
      <c r="E65" s="15">
        <v>20074.326000000001</v>
      </c>
      <c r="F65" s="15">
        <f t="shared" si="4"/>
        <v>2444.3869999999988</v>
      </c>
      <c r="G65" s="16">
        <f t="shared" si="5"/>
        <v>0.12176682793733641</v>
      </c>
      <c r="H65" s="17">
        <v>17525.5</v>
      </c>
      <c r="I65" s="17">
        <f t="shared" si="6"/>
        <v>4993.2129999999997</v>
      </c>
      <c r="J65" s="16">
        <f t="shared" si="7"/>
        <v>0.28491130067615761</v>
      </c>
      <c r="K65" s="16"/>
      <c r="L65" s="61"/>
      <c r="M65" s="61"/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v>28266.866999999998</v>
      </c>
      <c r="E66" s="11">
        <v>20905.937000000002</v>
      </c>
      <c r="F66" s="11">
        <f t="shared" si="4"/>
        <v>7360.9299999999967</v>
      </c>
      <c r="G66" s="12">
        <f t="shared" si="5"/>
        <v>0.352097588354925</v>
      </c>
      <c r="H66" s="13">
        <v>23956.351999999999</v>
      </c>
      <c r="I66" s="13">
        <f t="shared" si="6"/>
        <v>4310.5149999999994</v>
      </c>
      <c r="J66" s="80">
        <f t="shared" si="7"/>
        <v>0.17993202804834391</v>
      </c>
      <c r="K66" s="80"/>
      <c r="L66" s="66"/>
      <c r="M66" s="66"/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v>35606.754999999997</v>
      </c>
      <c r="E67" s="15">
        <v>36764.752999999997</v>
      </c>
      <c r="F67" s="15">
        <f>IF(AND(ISNUMBER(D67),ISNUMBER(E67)), D67-E67, "")</f>
        <v>-1157.9979999999996</v>
      </c>
      <c r="G67" s="16">
        <f>IFERROR(F67/E67, "")</f>
        <v>-3.1497505232797283E-2</v>
      </c>
      <c r="H67" s="17">
        <v>24280.710999999999</v>
      </c>
      <c r="I67" s="17">
        <f>IF(AND(ISNUMBER(D67),ISNUMBER(H67)), D67-H67, "")</f>
        <v>11326.043999999998</v>
      </c>
      <c r="J67" s="16">
        <f t="shared" si="7"/>
        <v>0.46646261717789067</v>
      </c>
      <c r="K67" s="16"/>
      <c r="L67" s="61"/>
      <c r="M67" s="62"/>
    </row>
    <row r="68" spans="1:13" ht="29.1">
      <c r="A68" s="25" t="str">
        <v>X134</v>
      </c>
      <c r="B68" s="26" t="str">
        <v>NY</v>
      </c>
      <c r="C68" s="26" t="str">
        <f>Sites[[#This Row],[SOL'#]]</f>
        <v>SOL-10424</v>
      </c>
      <c r="D68" s="21">
        <v>32142.093000000001</v>
      </c>
      <c r="E68" s="11">
        <v>0</v>
      </c>
      <c r="F68" s="11">
        <f t="shared" si="4"/>
        <v>32142.093000000001</v>
      </c>
      <c r="G68" s="12" t="str">
        <f t="shared" si="5"/>
        <v/>
      </c>
      <c r="H68" s="13">
        <v>0</v>
      </c>
      <c r="I68" s="13">
        <f t="shared" si="6"/>
        <v>32142.093000000001</v>
      </c>
      <c r="J68" s="80" t="str">
        <f t="shared" si="7"/>
        <v/>
      </c>
      <c r="K68" s="80"/>
      <c r="L68" s="66" t="s">
        <v>479</v>
      </c>
      <c r="M68" s="66" t="s">
        <v>480</v>
      </c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v>23922.99</v>
      </c>
      <c r="E69" s="15">
        <v>0</v>
      </c>
      <c r="F69" s="15">
        <f t="shared" si="4"/>
        <v>23922.99</v>
      </c>
      <c r="G69" s="16" t="str">
        <f t="shared" si="5"/>
        <v/>
      </c>
      <c r="H69" s="17">
        <v>0</v>
      </c>
      <c r="I69" s="17">
        <f t="shared" si="6"/>
        <v>23922.99</v>
      </c>
      <c r="J69" s="16" t="str">
        <f t="shared" si="7"/>
        <v/>
      </c>
      <c r="K69" s="16"/>
      <c r="L69" s="61"/>
      <c r="M69" s="62"/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40385.799045902</v>
      </c>
      <c r="E70" s="11">
        <v>45193.71</v>
      </c>
      <c r="F70" s="11">
        <f t="shared" si="4"/>
        <v>-4807.9109540979989</v>
      </c>
      <c r="G70" s="12">
        <f t="shared" si="5"/>
        <v>-0.10638451576774731</v>
      </c>
      <c r="H70" s="13">
        <v>45309</v>
      </c>
      <c r="I70" s="13">
        <f t="shared" si="6"/>
        <v>-4923.2009540979998</v>
      </c>
      <c r="J70" s="80">
        <f t="shared" si="7"/>
        <v>-0.10865834501088084</v>
      </c>
      <c r="K70" s="80">
        <v>1</v>
      </c>
      <c r="L70" s="66" t="s">
        <v>481</v>
      </c>
      <c r="M70" s="66" t="s">
        <v>482</v>
      </c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v>23885.3915772699</v>
      </c>
      <c r="E71" s="15">
        <v>20173.580000000002</v>
      </c>
      <c r="F71" s="15">
        <f t="shared" si="4"/>
        <v>3711.8115772698984</v>
      </c>
      <c r="G71" s="16">
        <f t="shared" si="5"/>
        <v>0.18399369756235126</v>
      </c>
      <c r="H71" s="17">
        <v>24233</v>
      </c>
      <c r="I71" s="17">
        <f t="shared" si="6"/>
        <v>-347.60842273009985</v>
      </c>
      <c r="J71" s="16">
        <f t="shared" si="7"/>
        <v>-1.4344423832381457E-2</v>
      </c>
      <c r="K71" s="16">
        <v>0</v>
      </c>
      <c r="L71" s="61"/>
      <c r="M71" s="62"/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v>25007</v>
      </c>
      <c r="E72" s="11">
        <v>25773</v>
      </c>
      <c r="F72" s="11">
        <f t="shared" si="4"/>
        <v>-766</v>
      </c>
      <c r="G72" s="12">
        <f t="shared" si="5"/>
        <v>-2.9721025879796685E-2</v>
      </c>
      <c r="H72" s="13"/>
      <c r="I72" s="13" t="str">
        <f t="shared" si="6"/>
        <v/>
      </c>
      <c r="J72" s="80" t="str">
        <f t="shared" si="7"/>
        <v/>
      </c>
      <c r="K72" s="80"/>
      <c r="L72" s="66"/>
      <c r="M72" s="66"/>
    </row>
    <row r="73" spans="1:13" ht="30.95">
      <c r="A73" s="27" t="str">
        <v>Murphy</v>
      </c>
      <c r="B73" s="28" t="str">
        <v>MN</v>
      </c>
      <c r="C73" s="28" t="str">
        <f>Sites[[#This Row],[SOL'#]]</f>
        <v>SOL-10094</v>
      </c>
      <c r="D73" s="10">
        <v>1017210</v>
      </c>
      <c r="E73" s="15">
        <v>1040578</v>
      </c>
      <c r="F73" s="15">
        <f t="shared" si="4"/>
        <v>-23368</v>
      </c>
      <c r="G73" s="16">
        <f t="shared" si="5"/>
        <v>-2.2456749998558494E-2</v>
      </c>
      <c r="H73" s="17">
        <v>946810.4</v>
      </c>
      <c r="I73" s="17">
        <f t="shared" si="6"/>
        <v>70399.599999999977</v>
      </c>
      <c r="J73" s="16">
        <f t="shared" si="7"/>
        <v>7.4354485333071943E-2</v>
      </c>
      <c r="K73" s="16">
        <v>0.96160579999999996</v>
      </c>
      <c r="L73" s="61" t="s">
        <v>483</v>
      </c>
      <c r="M73" s="62" t="s">
        <v>484</v>
      </c>
    </row>
    <row r="74" spans="1:13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v>999312.42</v>
      </c>
      <c r="E74" s="11">
        <v>1055778</v>
      </c>
      <c r="F74" s="11">
        <f t="shared" si="4"/>
        <v>-56465.579999999958</v>
      </c>
      <c r="G74" s="12">
        <f t="shared" si="5"/>
        <v>-5.3482436648613588E-2</v>
      </c>
      <c r="H74" s="13">
        <v>948511.6</v>
      </c>
      <c r="I74" s="13">
        <f t="shared" si="6"/>
        <v>50800.820000000065</v>
      </c>
      <c r="J74" s="80">
        <f t="shared" si="7"/>
        <v>5.355845937993807E-2</v>
      </c>
      <c r="K74" s="80">
        <v>0.96793139999999989</v>
      </c>
      <c r="L74" s="66" t="s">
        <v>485</v>
      </c>
      <c r="M74" s="66" t="s">
        <v>486</v>
      </c>
    </row>
    <row r="75" spans="1:13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369982</v>
      </c>
      <c r="E75" s="15">
        <v>0</v>
      </c>
      <c r="F75" s="15">
        <f t="shared" si="4"/>
        <v>369982</v>
      </c>
      <c r="G75" s="16" t="str">
        <f t="shared" si="5"/>
        <v/>
      </c>
      <c r="H75" s="17">
        <v>382258.31</v>
      </c>
      <c r="I75" s="17">
        <f t="shared" si="6"/>
        <v>-12276.309999999998</v>
      </c>
      <c r="J75" s="16">
        <f t="shared" si="7"/>
        <v>-3.2115220726005922E-2</v>
      </c>
      <c r="K75" s="16">
        <v>1</v>
      </c>
      <c r="L75" s="61" t="s">
        <v>487</v>
      </c>
      <c r="M75" s="62" t="s">
        <v>488</v>
      </c>
    </row>
    <row r="76" spans="1:13" ht="43.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361303</v>
      </c>
      <c r="E76" s="11">
        <v>373532.57</v>
      </c>
      <c r="F76" s="11">
        <f t="shared" si="4"/>
        <v>-12229.570000000007</v>
      </c>
      <c r="G76" s="12">
        <f t="shared" si="5"/>
        <v>-3.2740304279222573E-2</v>
      </c>
      <c r="H76" s="13">
        <v>380298.01</v>
      </c>
      <c r="I76" s="13">
        <f t="shared" si="6"/>
        <v>-18995.010000000009</v>
      </c>
      <c r="J76" s="80">
        <f t="shared" si="7"/>
        <v>-4.9947697596419212E-2</v>
      </c>
      <c r="K76" s="80">
        <v>0.99959999999999993</v>
      </c>
      <c r="L76" s="66" t="s">
        <v>489</v>
      </c>
      <c r="M76" s="66" t="s">
        <v>490</v>
      </c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358748</v>
      </c>
      <c r="E77" s="15">
        <v>348311.96500000003</v>
      </c>
      <c r="F77" s="15">
        <f t="shared" si="4"/>
        <v>10436.034999999974</v>
      </c>
      <c r="G77" s="16">
        <f t="shared" si="5"/>
        <v>2.9961747079231039E-2</v>
      </c>
      <c r="H77" s="17">
        <v>376219</v>
      </c>
      <c r="I77" s="17">
        <f t="shared" si="6"/>
        <v>-17471</v>
      </c>
      <c r="J77" s="16">
        <f t="shared" si="7"/>
        <v>-4.6438377647061949E-2</v>
      </c>
      <c r="K77" s="16">
        <v>0.99870000000000003</v>
      </c>
      <c r="L77" s="61"/>
      <c r="M77" s="61"/>
    </row>
    <row r="78" spans="1:13" ht="61.35" customHeight="1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263169</v>
      </c>
      <c r="E78" s="11">
        <v>272103.114</v>
      </c>
      <c r="F78" s="11">
        <f t="shared" si="4"/>
        <v>-8934.1140000000014</v>
      </c>
      <c r="G78" s="12">
        <f t="shared" si="5"/>
        <v>-3.2833560295087258E-2</v>
      </c>
      <c r="H78" s="13">
        <v>377209.05</v>
      </c>
      <c r="I78" s="13">
        <f t="shared" si="6"/>
        <v>-114040.04999999999</v>
      </c>
      <c r="J78" s="80">
        <f t="shared" si="7"/>
        <v>-0.30232585883079949</v>
      </c>
      <c r="K78" s="80">
        <v>0.95650000000000002</v>
      </c>
      <c r="L78" s="66" t="s">
        <v>491</v>
      </c>
      <c r="M78" s="66" t="s">
        <v>492</v>
      </c>
    </row>
    <row r="79" spans="1:13" ht="47.85" customHeight="1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408000</v>
      </c>
      <c r="E79" s="15">
        <v>110555.55</v>
      </c>
      <c r="F79" s="15">
        <f t="shared" si="4"/>
        <v>297444.45</v>
      </c>
      <c r="G79" s="16">
        <f t="shared" si="5"/>
        <v>2.6904524467564044</v>
      </c>
      <c r="H79" s="17">
        <v>389514.57</v>
      </c>
      <c r="I79" s="17">
        <f t="shared" si="6"/>
        <v>18485.429999999993</v>
      </c>
      <c r="J79" s="16">
        <f t="shared" si="7"/>
        <v>4.7457608581881784E-2</v>
      </c>
      <c r="K79" s="16">
        <v>1</v>
      </c>
      <c r="L79" s="61" t="s">
        <v>493</v>
      </c>
      <c r="M79" s="62" t="s">
        <v>494</v>
      </c>
    </row>
    <row r="80" spans="1:13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177799</v>
      </c>
      <c r="E80" s="11">
        <v>424760.09700000001</v>
      </c>
      <c r="F80" s="11">
        <f t="shared" si="4"/>
        <v>-246961.09700000001</v>
      </c>
      <c r="G80" s="12">
        <f t="shared" si="5"/>
        <v>-0.58141312883257956</v>
      </c>
      <c r="H80" s="13">
        <v>359705.31</v>
      </c>
      <c r="I80" s="13">
        <f t="shared" si="6"/>
        <v>-181906.31</v>
      </c>
      <c r="J80" s="80">
        <f t="shared" si="7"/>
        <v>-0.50570927073609229</v>
      </c>
      <c r="K80" s="80"/>
      <c r="L80" s="66" t="s">
        <v>495</v>
      </c>
      <c r="M80" s="66" t="s">
        <v>496</v>
      </c>
    </row>
    <row r="81" spans="1:13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312788</v>
      </c>
      <c r="E81" s="15">
        <v>336170.15100000001</v>
      </c>
      <c r="F81" s="15">
        <f t="shared" si="4"/>
        <v>-23382.151000000013</v>
      </c>
      <c r="G81" s="16">
        <f t="shared" si="5"/>
        <v>-6.9554512589667758E-2</v>
      </c>
      <c r="H81" s="17">
        <v>349137.57</v>
      </c>
      <c r="I81" s="17">
        <f t="shared" si="6"/>
        <v>-36349.570000000007</v>
      </c>
      <c r="J81" s="16">
        <f t="shared" si="7"/>
        <v>-0.10411245630196718</v>
      </c>
      <c r="K81" s="16"/>
      <c r="L81" s="61"/>
      <c r="M81" s="62"/>
    </row>
    <row r="82" spans="1:13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404640</v>
      </c>
      <c r="E82" s="11">
        <v>429074.98800000001</v>
      </c>
      <c r="F82" s="11">
        <f t="shared" ref="F82:F145" si="8">IF(AND(ISNUMBER(D82),ISNUMBER(E82)), D82-E82, "")</f>
        <v>-24434.988000000012</v>
      </c>
      <c r="G82" s="12">
        <f t="shared" ref="G82:G145" si="9">IFERROR(F82/E82, "")</f>
        <v>-5.6948059624486923E-2</v>
      </c>
      <c r="H82" s="13">
        <v>382495.26</v>
      </c>
      <c r="I82" s="13">
        <f t="shared" ref="I82:I145" si="10">IF(AND(ISNUMBER(D82),ISNUMBER(H82)), D82-H82, "")</f>
        <v>22144.739999999991</v>
      </c>
      <c r="J82" s="80">
        <f t="shared" ref="J82:J145" si="11">IFERROR(I82/H82, "")</f>
        <v>5.7895462547692719E-2</v>
      </c>
      <c r="K82" s="80"/>
      <c r="L82" s="66"/>
      <c r="M82" s="66"/>
    </row>
    <row r="83" spans="1:13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495581</v>
      </c>
      <c r="E83" s="15">
        <v>504525.57900000003</v>
      </c>
      <c r="F83" s="15">
        <f t="shared" si="8"/>
        <v>-8944.579000000027</v>
      </c>
      <c r="G83" s="16">
        <f t="shared" si="9"/>
        <v>-1.7728692800330795E-2</v>
      </c>
      <c r="H83" s="17">
        <v>467103.12</v>
      </c>
      <c r="I83" s="17">
        <f t="shared" si="10"/>
        <v>28477.880000000005</v>
      </c>
      <c r="J83" s="16">
        <f t="shared" si="11"/>
        <v>6.0967008741024904E-2</v>
      </c>
      <c r="K83" s="16"/>
      <c r="L83" s="61"/>
      <c r="M83" s="62"/>
    </row>
    <row r="84" spans="1:13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497994</v>
      </c>
      <c r="E84" s="11">
        <v>0</v>
      </c>
      <c r="F84" s="11">
        <f t="shared" si="8"/>
        <v>497994</v>
      </c>
      <c r="G84" s="11" t="str">
        <f t="shared" si="9"/>
        <v/>
      </c>
      <c r="H84" s="13">
        <v>468088.59</v>
      </c>
      <c r="I84" s="13">
        <f t="shared" si="10"/>
        <v>29905.409999999974</v>
      </c>
      <c r="J84" s="80">
        <f t="shared" si="11"/>
        <v>6.3888354979983533E-2</v>
      </c>
      <c r="K84" s="80"/>
      <c r="L84" s="66"/>
      <c r="M84" s="66"/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404497</v>
      </c>
      <c r="E85" s="15">
        <v>0</v>
      </c>
      <c r="F85" s="15">
        <f t="shared" si="8"/>
        <v>404497</v>
      </c>
      <c r="G85" s="47" t="str">
        <f t="shared" si="9"/>
        <v/>
      </c>
      <c r="H85" s="47">
        <v>107913</v>
      </c>
      <c r="I85" s="47">
        <f t="shared" si="10"/>
        <v>296584</v>
      </c>
      <c r="J85" s="16">
        <f t="shared" si="11"/>
        <v>2.7483621065117272</v>
      </c>
      <c r="K85" s="16"/>
      <c r="L85" s="61"/>
      <c r="M85" s="62"/>
    </row>
    <row r="86" spans="1:13" ht="15.6">
      <c r="A86" s="25" t="str">
        <v>Canoga</v>
      </c>
      <c r="B86" s="26" t="str">
        <v>NY</v>
      </c>
      <c r="C86" s="26" t="str">
        <f>Sites[[#This Row],[SOL'#]]</f>
        <v>SOL-10965</v>
      </c>
      <c r="D86" s="21">
        <v>1042806</v>
      </c>
      <c r="E86" s="11">
        <v>0</v>
      </c>
      <c r="F86" s="11">
        <f t="shared" si="8"/>
        <v>1042806</v>
      </c>
      <c r="G86" s="11" t="str">
        <f t="shared" si="9"/>
        <v/>
      </c>
      <c r="H86" s="13">
        <v>1002946.5</v>
      </c>
      <c r="I86" s="13">
        <f t="shared" si="10"/>
        <v>39859.5</v>
      </c>
      <c r="J86" s="80">
        <f t="shared" si="11"/>
        <v>3.9742399021283785E-2</v>
      </c>
      <c r="K86" s="80">
        <v>0.99950000000000006</v>
      </c>
      <c r="L86" s="66"/>
      <c r="M86" s="66"/>
    </row>
    <row r="87" spans="1:13" ht="29.1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911018</v>
      </c>
      <c r="E87" s="15">
        <v>0</v>
      </c>
      <c r="F87" s="47">
        <f t="shared" si="8"/>
        <v>911018</v>
      </c>
      <c r="G87" s="47" t="str">
        <f t="shared" si="9"/>
        <v/>
      </c>
      <c r="H87" s="17">
        <v>959268.56</v>
      </c>
      <c r="I87" s="17">
        <f t="shared" si="10"/>
        <v>-48250.560000000056</v>
      </c>
      <c r="J87" s="16">
        <f t="shared" si="11"/>
        <v>-5.0299323893196343E-2</v>
      </c>
      <c r="K87" s="16">
        <v>0.99370000000000003</v>
      </c>
      <c r="L87" s="61" t="s">
        <v>497</v>
      </c>
      <c r="M87" s="62" t="s">
        <v>498</v>
      </c>
    </row>
    <row r="88" spans="1:13" ht="15.6">
      <c r="A88" s="25" t="str">
        <v>Donati</v>
      </c>
      <c r="B88" s="26" t="str">
        <v>NY</v>
      </c>
      <c r="C88" s="26" t="str">
        <f>Sites[[#This Row],[SOL'#]]</f>
        <v>SOL-10968</v>
      </c>
      <c r="D88" s="21">
        <v>454874</v>
      </c>
      <c r="E88" s="11">
        <v>0</v>
      </c>
      <c r="F88" s="11">
        <f t="shared" si="8"/>
        <v>454874</v>
      </c>
      <c r="G88" s="11" t="str">
        <f t="shared" si="9"/>
        <v/>
      </c>
      <c r="H88" s="13">
        <v>499132.99</v>
      </c>
      <c r="I88" s="13">
        <f t="shared" si="10"/>
        <v>-44258.989999999991</v>
      </c>
      <c r="J88" s="80">
        <f t="shared" si="11"/>
        <v>-8.8671738568111863E-2</v>
      </c>
      <c r="K88" s="80">
        <v>1</v>
      </c>
      <c r="L88" s="66"/>
      <c r="M88" s="66"/>
    </row>
    <row r="89" spans="1:13" ht="72.599999999999994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958338</v>
      </c>
      <c r="E89" s="15">
        <v>0</v>
      </c>
      <c r="F89" s="15">
        <f t="shared" si="8"/>
        <v>958338</v>
      </c>
      <c r="G89" s="15" t="str">
        <f t="shared" si="9"/>
        <v/>
      </c>
      <c r="H89" s="15">
        <v>231835</v>
      </c>
      <c r="I89" s="15">
        <f t="shared" si="10"/>
        <v>726503</v>
      </c>
      <c r="J89" s="16">
        <f t="shared" si="11"/>
        <v>3.1337071624215498</v>
      </c>
      <c r="K89" s="16">
        <v>0.99459999999999993</v>
      </c>
      <c r="L89" s="61" t="s">
        <v>499</v>
      </c>
      <c r="M89" s="61" t="s">
        <v>500</v>
      </c>
    </row>
    <row r="90" spans="1:13" ht="15.6">
      <c r="A90" s="25" t="str">
        <v>NY 70</v>
      </c>
      <c r="B90" s="26" t="str">
        <v>NY</v>
      </c>
      <c r="C90" s="26" t="str">
        <f>Sites[[#This Row],[SOL'#]]</f>
        <v>SOL-10970</v>
      </c>
      <c r="D90" s="21">
        <v>1102872</v>
      </c>
      <c r="E90" s="11">
        <v>0</v>
      </c>
      <c r="F90" s="11">
        <f t="shared" si="8"/>
        <v>1102872</v>
      </c>
      <c r="G90" s="12" t="str">
        <f t="shared" si="9"/>
        <v/>
      </c>
      <c r="H90" s="13">
        <v>360190</v>
      </c>
      <c r="I90" s="13">
        <f t="shared" si="10"/>
        <v>742682</v>
      </c>
      <c r="J90" s="80">
        <f t="shared" si="11"/>
        <v>2.0619173214136985</v>
      </c>
      <c r="K90" s="80">
        <v>0.9998999999999999</v>
      </c>
      <c r="L90" s="66"/>
      <c r="M90" s="66"/>
    </row>
    <row r="91" spans="1:13" ht="161.85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870047.13422661298</v>
      </c>
      <c r="E91" s="15">
        <v>827216.7</v>
      </c>
      <c r="F91" s="15">
        <f t="shared" si="8"/>
        <v>42830.434226613026</v>
      </c>
      <c r="G91" s="16">
        <f t="shared" si="9"/>
        <v>5.1776558943518701E-2</v>
      </c>
      <c r="H91" s="17">
        <v>970735</v>
      </c>
      <c r="I91" s="17">
        <f t="shared" si="10"/>
        <v>-100687.86577338702</v>
      </c>
      <c r="J91" s="16">
        <f t="shared" si="11"/>
        <v>-0.10372332899646867</v>
      </c>
      <c r="K91" s="16">
        <v>0.99450930000000004</v>
      </c>
      <c r="L91" s="61" t="s">
        <v>501</v>
      </c>
      <c r="M91" s="62" t="s">
        <v>502</v>
      </c>
    </row>
    <row r="92" spans="1:13" ht="29.1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468022</v>
      </c>
      <c r="E92" s="11">
        <v>0</v>
      </c>
      <c r="F92" s="11">
        <f t="shared" si="8"/>
        <v>468022</v>
      </c>
      <c r="G92" s="12" t="str">
        <f t="shared" si="9"/>
        <v/>
      </c>
      <c r="H92" s="13">
        <v>488535.55</v>
      </c>
      <c r="I92" s="13">
        <f t="shared" si="10"/>
        <v>-20513.549999999988</v>
      </c>
      <c r="J92" s="80">
        <f t="shared" si="11"/>
        <v>-4.1989881800822866E-2</v>
      </c>
      <c r="K92" s="80">
        <v>0.99569999999999992</v>
      </c>
      <c r="L92" s="66" t="s">
        <v>503</v>
      </c>
      <c r="M92" s="66" t="s">
        <v>504</v>
      </c>
    </row>
    <row r="93" spans="1:13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827270</v>
      </c>
      <c r="E93" s="15">
        <v>0</v>
      </c>
      <c r="F93" s="15">
        <f t="shared" si="8"/>
        <v>827270</v>
      </c>
      <c r="G93" s="16" t="str">
        <f t="shared" si="9"/>
        <v/>
      </c>
      <c r="H93" s="17">
        <v>323738</v>
      </c>
      <c r="I93" s="17">
        <f t="shared" si="10"/>
        <v>503532</v>
      </c>
      <c r="J93" s="16">
        <f t="shared" si="11"/>
        <v>1.5553688476484071</v>
      </c>
      <c r="K93" s="16"/>
      <c r="L93" s="61"/>
      <c r="M93" s="62"/>
    </row>
    <row r="94" spans="1:13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994535</v>
      </c>
      <c r="E94" s="11">
        <v>0</v>
      </c>
      <c r="F94" s="11">
        <f t="shared" si="8"/>
        <v>994535</v>
      </c>
      <c r="G94" s="12" t="str">
        <f t="shared" si="9"/>
        <v/>
      </c>
      <c r="H94" s="13">
        <v>347576</v>
      </c>
      <c r="I94" s="13">
        <f t="shared" si="10"/>
        <v>646959</v>
      </c>
      <c r="J94" s="80">
        <f t="shared" si="11"/>
        <v>1.8613454323658711</v>
      </c>
      <c r="K94" s="80"/>
      <c r="L94" s="66"/>
      <c r="M94" s="66"/>
    </row>
    <row r="95" spans="1:13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967569</v>
      </c>
      <c r="E95" s="15">
        <v>0</v>
      </c>
      <c r="F95" s="15">
        <f t="shared" si="8"/>
        <v>967569</v>
      </c>
      <c r="G95" s="16" t="str">
        <f t="shared" si="9"/>
        <v/>
      </c>
      <c r="H95" s="17">
        <v>298411</v>
      </c>
      <c r="I95" s="17">
        <f t="shared" si="10"/>
        <v>669158</v>
      </c>
      <c r="J95" s="16">
        <f t="shared" si="11"/>
        <v>2.2424039328308942</v>
      </c>
      <c r="K95" s="16"/>
      <c r="L95" s="61"/>
      <c r="M95" s="62"/>
    </row>
    <row r="96" spans="1:13" ht="72.599999999999994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958915</v>
      </c>
      <c r="E96" s="11">
        <v>0</v>
      </c>
      <c r="F96" s="11">
        <f t="shared" si="8"/>
        <v>958915</v>
      </c>
      <c r="G96" s="12" t="str">
        <f t="shared" si="9"/>
        <v/>
      </c>
      <c r="H96" s="13">
        <v>406900</v>
      </c>
      <c r="I96" s="13">
        <f t="shared" si="10"/>
        <v>552015</v>
      </c>
      <c r="J96" s="80">
        <f t="shared" si="11"/>
        <v>1.3566355369869747</v>
      </c>
      <c r="K96" s="80"/>
      <c r="L96" s="66" t="s">
        <v>505</v>
      </c>
      <c r="M96" s="66" t="s">
        <v>506</v>
      </c>
    </row>
    <row r="97" spans="1:13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943327</v>
      </c>
      <c r="E97" s="15">
        <v>0</v>
      </c>
      <c r="F97" s="15">
        <f t="shared" si="8"/>
        <v>943327</v>
      </c>
      <c r="G97" s="16" t="str">
        <f t="shared" si="9"/>
        <v/>
      </c>
      <c r="H97" s="17">
        <v>390040</v>
      </c>
      <c r="I97" s="17">
        <f t="shared" si="10"/>
        <v>553287</v>
      </c>
      <c r="J97" s="16">
        <f t="shared" si="11"/>
        <v>1.4185391241923906</v>
      </c>
      <c r="K97" s="16">
        <v>1</v>
      </c>
      <c r="L97" s="61"/>
      <c r="M97" s="62"/>
    </row>
    <row r="98" spans="1:13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410828</v>
      </c>
      <c r="E98" s="11">
        <v>0</v>
      </c>
      <c r="F98" s="11">
        <f t="shared" si="8"/>
        <v>410828</v>
      </c>
      <c r="G98" s="12" t="str">
        <f t="shared" si="9"/>
        <v/>
      </c>
      <c r="H98" s="13">
        <v>434376.05</v>
      </c>
      <c r="I98" s="13">
        <f t="shared" si="10"/>
        <v>-23548.049999999988</v>
      </c>
      <c r="J98" s="80">
        <f t="shared" si="11"/>
        <v>-5.4211207086578526E-2</v>
      </c>
      <c r="K98" s="80">
        <v>1</v>
      </c>
      <c r="L98" s="66"/>
      <c r="M98" s="66"/>
    </row>
    <row r="99" spans="1:13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731731</v>
      </c>
      <c r="E99" s="15">
        <v>0</v>
      </c>
      <c r="F99" s="15">
        <f t="shared" si="8"/>
        <v>731731</v>
      </c>
      <c r="G99" s="16" t="str">
        <f t="shared" si="9"/>
        <v/>
      </c>
      <c r="H99" s="17">
        <v>726485.69</v>
      </c>
      <c r="I99" s="17">
        <f t="shared" si="10"/>
        <v>5245.3100000000559</v>
      </c>
      <c r="J99" s="16">
        <f t="shared" si="11"/>
        <v>7.2201146866362311E-3</v>
      </c>
      <c r="K99" s="16">
        <v>1</v>
      </c>
      <c r="L99" s="61" t="s">
        <v>507</v>
      </c>
      <c r="M99" s="62" t="s">
        <v>508</v>
      </c>
    </row>
    <row r="100" spans="1:13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390254</v>
      </c>
      <c r="E100" s="11">
        <v>0</v>
      </c>
      <c r="F100" s="11">
        <f t="shared" si="8"/>
        <v>390254</v>
      </c>
      <c r="G100" s="12" t="str">
        <f t="shared" si="9"/>
        <v/>
      </c>
      <c r="H100" s="13">
        <v>378096.34</v>
      </c>
      <c r="I100" s="13">
        <f t="shared" si="10"/>
        <v>12157.659999999974</v>
      </c>
      <c r="J100" s="80">
        <f t="shared" si="11"/>
        <v>3.2154926440176528E-2</v>
      </c>
      <c r="K100" s="80">
        <v>0.998</v>
      </c>
      <c r="L100" s="89" t="s">
        <v>509</v>
      </c>
      <c r="M100" s="90" t="s">
        <v>510</v>
      </c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907122</v>
      </c>
      <c r="E101" s="15">
        <v>0</v>
      </c>
      <c r="F101" s="15">
        <f t="shared" si="8"/>
        <v>907122</v>
      </c>
      <c r="G101" s="16" t="str">
        <f t="shared" si="9"/>
        <v/>
      </c>
      <c r="H101" s="17">
        <v>930467.5</v>
      </c>
      <c r="I101" s="17">
        <f t="shared" si="10"/>
        <v>-23345.5</v>
      </c>
      <c r="J101" s="16">
        <f t="shared" si="11"/>
        <v>-2.509007568775911E-2</v>
      </c>
      <c r="K101" s="16">
        <v>1</v>
      </c>
      <c r="L101" s="61"/>
      <c r="M101" s="61"/>
    </row>
    <row r="102" spans="1:13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464580</v>
      </c>
      <c r="E102" s="11">
        <v>0</v>
      </c>
      <c r="F102" s="11">
        <f t="shared" si="8"/>
        <v>464580</v>
      </c>
      <c r="G102" s="12" t="str">
        <f t="shared" si="9"/>
        <v/>
      </c>
      <c r="H102" s="13">
        <v>1228426.3999999999</v>
      </c>
      <c r="I102" s="13">
        <f t="shared" si="10"/>
        <v>-763846.39999999991</v>
      </c>
      <c r="J102" s="80">
        <f t="shared" si="11"/>
        <v>-0.62180884422542526</v>
      </c>
      <c r="K102" s="80">
        <v>0.99909999999999999</v>
      </c>
      <c r="L102" s="66" t="s">
        <v>511</v>
      </c>
      <c r="M102" s="66" t="s">
        <v>512</v>
      </c>
    </row>
    <row r="103" spans="1:13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487673</v>
      </c>
      <c r="E103" s="15">
        <v>0</v>
      </c>
      <c r="F103" s="15">
        <f t="shared" si="8"/>
        <v>487673</v>
      </c>
      <c r="G103" s="16" t="str">
        <f t="shared" si="9"/>
        <v/>
      </c>
      <c r="H103" s="17">
        <v>495123.89</v>
      </c>
      <c r="I103" s="17">
        <f t="shared" si="10"/>
        <v>-7450.890000000014</v>
      </c>
      <c r="J103" s="16">
        <f t="shared" si="11"/>
        <v>-1.5048536639991283E-2</v>
      </c>
      <c r="K103" s="16">
        <v>1</v>
      </c>
      <c r="L103" s="61"/>
      <c r="M103" s="62"/>
    </row>
    <row r="104" spans="1:13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1171633</v>
      </c>
      <c r="E104" s="11">
        <v>0</v>
      </c>
      <c r="F104" s="11">
        <f t="shared" si="8"/>
        <v>1171633</v>
      </c>
      <c r="G104" s="12" t="str">
        <f t="shared" si="9"/>
        <v/>
      </c>
      <c r="H104" s="13">
        <v>1232512.71</v>
      </c>
      <c r="I104" s="13">
        <f t="shared" si="10"/>
        <v>-60879.709999999963</v>
      </c>
      <c r="J104" s="80">
        <f t="shared" si="11"/>
        <v>-4.9394792853698008E-2</v>
      </c>
      <c r="K104" s="80">
        <v>0.9998999999999999</v>
      </c>
      <c r="L104" s="66"/>
      <c r="M104" s="66"/>
    </row>
    <row r="105" spans="1:13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410943</v>
      </c>
      <c r="E105" s="15">
        <v>0</v>
      </c>
      <c r="F105" s="15">
        <f t="shared" si="8"/>
        <v>410943</v>
      </c>
      <c r="G105" s="16" t="str">
        <f t="shared" si="9"/>
        <v/>
      </c>
      <c r="H105" s="17">
        <v>418283.84</v>
      </c>
      <c r="I105" s="17">
        <f t="shared" si="10"/>
        <v>-7340.8400000000256</v>
      </c>
      <c r="J105" s="16">
        <f t="shared" si="11"/>
        <v>-1.7549901043272493E-2</v>
      </c>
      <c r="K105" s="16">
        <v>0.99970000000000003</v>
      </c>
      <c r="L105" s="61" t="s">
        <v>513</v>
      </c>
      <c r="M105" s="61" t="s">
        <v>514</v>
      </c>
    </row>
    <row r="106" spans="1:13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412467</v>
      </c>
      <c r="E106" s="11">
        <v>0</v>
      </c>
      <c r="F106" s="11">
        <f t="shared" si="8"/>
        <v>412467</v>
      </c>
      <c r="G106" s="12" t="str">
        <f t="shared" si="9"/>
        <v/>
      </c>
      <c r="H106" s="13">
        <v>431455.12</v>
      </c>
      <c r="I106" s="13">
        <f t="shared" si="10"/>
        <v>-18988.119999999995</v>
      </c>
      <c r="J106" s="80">
        <f t="shared" si="11"/>
        <v>-4.4009490488836928E-2</v>
      </c>
      <c r="K106" s="80">
        <v>1</v>
      </c>
      <c r="L106" s="66" t="s">
        <v>513</v>
      </c>
      <c r="M106" s="66" t="s">
        <v>515</v>
      </c>
    </row>
    <row r="107" spans="1:13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397786</v>
      </c>
      <c r="E107" s="15">
        <v>0</v>
      </c>
      <c r="F107" s="15">
        <f t="shared" si="8"/>
        <v>397786</v>
      </c>
      <c r="G107" s="16" t="str">
        <f t="shared" si="9"/>
        <v/>
      </c>
      <c r="H107" s="17">
        <v>413244.61</v>
      </c>
      <c r="I107" s="17">
        <f t="shared" si="10"/>
        <v>-15458.609999999986</v>
      </c>
      <c r="J107" s="16">
        <f t="shared" si="11"/>
        <v>-3.7407892628049007E-2</v>
      </c>
      <c r="K107" s="16">
        <v>1</v>
      </c>
      <c r="L107" s="61" t="s">
        <v>513</v>
      </c>
      <c r="M107" s="61" t="s">
        <v>516</v>
      </c>
    </row>
    <row r="108" spans="1:13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720542</v>
      </c>
      <c r="E108" s="11">
        <v>0</v>
      </c>
      <c r="F108" s="11">
        <f t="shared" si="8"/>
        <v>720542</v>
      </c>
      <c r="G108" s="12" t="str">
        <f t="shared" si="9"/>
        <v/>
      </c>
      <c r="H108" s="13">
        <v>723908.41</v>
      </c>
      <c r="I108" s="13">
        <f t="shared" si="10"/>
        <v>-3366.4100000000326</v>
      </c>
      <c r="J108" s="80">
        <f t="shared" si="11"/>
        <v>-4.65032586097464E-3</v>
      </c>
      <c r="K108" s="80">
        <v>1</v>
      </c>
      <c r="L108" s="66" t="s">
        <v>517</v>
      </c>
      <c r="M108" s="66" t="s">
        <v>518</v>
      </c>
    </row>
    <row r="109" spans="1:13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558701</v>
      </c>
      <c r="E109" s="15">
        <v>0</v>
      </c>
      <c r="F109" s="15">
        <f t="shared" si="8"/>
        <v>558701</v>
      </c>
      <c r="G109" s="16" t="str">
        <f t="shared" si="9"/>
        <v/>
      </c>
      <c r="H109" s="17">
        <v>592000</v>
      </c>
      <c r="I109" s="17">
        <f t="shared" si="10"/>
        <v>-33299</v>
      </c>
      <c r="J109" s="16">
        <f t="shared" si="11"/>
        <v>-5.624831081081081E-2</v>
      </c>
      <c r="K109" s="16">
        <v>1</v>
      </c>
      <c r="L109" s="61"/>
      <c r="M109" s="62"/>
    </row>
    <row r="110" spans="1:13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1252209</v>
      </c>
      <c r="E110" s="11">
        <v>0</v>
      </c>
      <c r="F110" s="11">
        <f t="shared" si="8"/>
        <v>1252209</v>
      </c>
      <c r="G110" s="12" t="str">
        <f t="shared" si="9"/>
        <v/>
      </c>
      <c r="H110" s="13">
        <v>0</v>
      </c>
      <c r="I110" s="13">
        <f t="shared" si="10"/>
        <v>1252209</v>
      </c>
      <c r="J110" s="80" t="str">
        <f t="shared" si="11"/>
        <v/>
      </c>
      <c r="K110" s="80"/>
      <c r="L110" s="66"/>
      <c r="M110" s="66"/>
    </row>
    <row r="111" spans="1:13" ht="57.9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681740</v>
      </c>
      <c r="E111" s="15">
        <v>1092688</v>
      </c>
      <c r="F111" s="15">
        <f t="shared" si="8"/>
        <v>-410948</v>
      </c>
      <c r="G111" s="16">
        <f t="shared" si="9"/>
        <v>-0.37608905744366189</v>
      </c>
      <c r="H111" s="17">
        <v>1042863</v>
      </c>
      <c r="I111" s="17">
        <f t="shared" si="10"/>
        <v>-361123</v>
      </c>
      <c r="J111" s="16">
        <f t="shared" si="11"/>
        <v>-0.34628038390469312</v>
      </c>
      <c r="K111" s="16">
        <v>0.98719499999999993</v>
      </c>
      <c r="L111" s="61" t="s">
        <v>519</v>
      </c>
      <c r="M111" s="62" t="s">
        <v>520</v>
      </c>
    </row>
    <row r="112" spans="1:13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986307</v>
      </c>
      <c r="E112" s="11">
        <v>963929.4</v>
      </c>
      <c r="F112" s="11">
        <f t="shared" si="8"/>
        <v>22377.599999999977</v>
      </c>
      <c r="G112" s="12">
        <f t="shared" si="9"/>
        <v>2.3214978192386264E-2</v>
      </c>
      <c r="H112" s="13">
        <v>1013067</v>
      </c>
      <c r="I112" s="13">
        <f t="shared" si="10"/>
        <v>-26760</v>
      </c>
      <c r="J112" s="80">
        <f t="shared" si="11"/>
        <v>-2.6414837320730022E-2</v>
      </c>
      <c r="K112" s="80">
        <v>1</v>
      </c>
      <c r="L112" s="66"/>
      <c r="M112" s="66"/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3802</v>
      </c>
      <c r="E113" s="15">
        <v>5305.6030000000001</v>
      </c>
      <c r="F113" s="15">
        <f t="shared" si="8"/>
        <v>-1503.6030000000001</v>
      </c>
      <c r="G113" s="16">
        <f t="shared" si="9"/>
        <v>-0.28339907829515326</v>
      </c>
      <c r="H113" s="17">
        <v>4774.0659999999998</v>
      </c>
      <c r="I113" s="17">
        <f t="shared" si="10"/>
        <v>-972.0659999999998</v>
      </c>
      <c r="J113" s="16">
        <f t="shared" si="11"/>
        <v>-0.20361385871079282</v>
      </c>
      <c r="K113" s="16">
        <v>1</v>
      </c>
      <c r="L113" s="61"/>
      <c r="M113" s="61"/>
    </row>
    <row r="114" spans="1:13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9352.0600000000595</v>
      </c>
      <c r="E114" s="11">
        <v>12952.48</v>
      </c>
      <c r="F114" s="11">
        <f t="shared" si="8"/>
        <v>-3600.41999999994</v>
      </c>
      <c r="G114" s="12">
        <f t="shared" si="9"/>
        <v>-0.27797147727693383</v>
      </c>
      <c r="H114" s="13">
        <v>11122.74</v>
      </c>
      <c r="I114" s="13">
        <f t="shared" si="10"/>
        <v>-1770.6799999999403</v>
      </c>
      <c r="J114" s="80">
        <f t="shared" si="11"/>
        <v>-0.15919458694529767</v>
      </c>
      <c r="K114" s="80">
        <v>1</v>
      </c>
      <c r="L114" s="66"/>
      <c r="M114" s="66"/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1520</v>
      </c>
      <c r="E115" s="15">
        <v>1635.847</v>
      </c>
      <c r="F115" s="15">
        <f t="shared" si="8"/>
        <v>-115.84699999999998</v>
      </c>
      <c r="G115" s="16">
        <f t="shared" si="9"/>
        <v>-7.081774762554198E-2</v>
      </c>
      <c r="H115" s="17">
        <v>1728.0630000000001</v>
      </c>
      <c r="I115" s="17">
        <f t="shared" si="10"/>
        <v>-208.0630000000001</v>
      </c>
      <c r="J115" s="16">
        <f t="shared" si="11"/>
        <v>-0.1204024390314474</v>
      </c>
      <c r="K115" s="16"/>
      <c r="L115" s="61"/>
      <c r="M115" s="62"/>
    </row>
    <row r="116" spans="1:13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1352</v>
      </c>
      <c r="E116" s="11">
        <v>1425.348</v>
      </c>
      <c r="F116" s="11">
        <f t="shared" si="8"/>
        <v>-73.347999999999956</v>
      </c>
      <c r="G116" s="12">
        <f t="shared" si="9"/>
        <v>-5.1459713697988109E-2</v>
      </c>
      <c r="H116" s="13">
        <v>1737.701</v>
      </c>
      <c r="I116" s="13">
        <f t="shared" si="10"/>
        <v>-385.70100000000002</v>
      </c>
      <c r="J116" s="80">
        <f t="shared" si="11"/>
        <v>-0.22196050989209307</v>
      </c>
      <c r="K116" s="80"/>
      <c r="L116" s="66"/>
      <c r="M116" s="66"/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1699</v>
      </c>
      <c r="E117" s="15">
        <v>1665.962</v>
      </c>
      <c r="F117" s="15">
        <f t="shared" si="8"/>
        <v>33.038000000000011</v>
      </c>
      <c r="G117" s="16">
        <f t="shared" si="9"/>
        <v>1.9831184624859399E-2</v>
      </c>
      <c r="H117" s="17">
        <v>1803</v>
      </c>
      <c r="I117" s="17">
        <f t="shared" si="10"/>
        <v>-104</v>
      </c>
      <c r="J117" s="16">
        <f t="shared" si="11"/>
        <v>-5.7681641708264002E-2</v>
      </c>
      <c r="K117" s="16"/>
      <c r="L117" s="61"/>
      <c r="M117" s="62"/>
    </row>
    <row r="118" spans="1:13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17076</v>
      </c>
      <c r="E118" s="11">
        <v>20989.873</v>
      </c>
      <c r="F118" s="11">
        <f t="shared" si="8"/>
        <v>-3913.8729999999996</v>
      </c>
      <c r="G118" s="12">
        <f t="shared" si="9"/>
        <v>-0.18646482520404004</v>
      </c>
      <c r="H118" s="13">
        <v>4958.8710000000001</v>
      </c>
      <c r="I118" s="13">
        <f t="shared" si="10"/>
        <v>12117.129000000001</v>
      </c>
      <c r="J118" s="80">
        <f t="shared" si="11"/>
        <v>2.4435257541484745</v>
      </c>
      <c r="K118" s="80"/>
      <c r="L118" s="66"/>
      <c r="M118" s="66"/>
    </row>
    <row r="119" spans="1:13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48426</v>
      </c>
      <c r="E119" s="15">
        <v>0</v>
      </c>
      <c r="F119" s="15">
        <f t="shared" si="8"/>
        <v>48426</v>
      </c>
      <c r="G119" s="16" t="str">
        <f t="shared" si="9"/>
        <v/>
      </c>
      <c r="H119" s="17">
        <v>51900.112000000001</v>
      </c>
      <c r="I119" s="17">
        <f t="shared" si="10"/>
        <v>-3474.112000000001</v>
      </c>
      <c r="J119" s="16">
        <f t="shared" si="11"/>
        <v>-6.6938429728244153E-2</v>
      </c>
      <c r="K119" s="16"/>
      <c r="L119" s="61"/>
      <c r="M119" s="62"/>
    </row>
    <row r="120" spans="1:13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31870</v>
      </c>
      <c r="E120" s="11">
        <v>32578.915000000001</v>
      </c>
      <c r="F120" s="11">
        <f t="shared" si="8"/>
        <v>-708.91500000000087</v>
      </c>
      <c r="G120" s="12">
        <f t="shared" si="9"/>
        <v>-2.175993276633064E-2</v>
      </c>
      <c r="H120" s="13">
        <v>38931.466</v>
      </c>
      <c r="I120" s="13">
        <f t="shared" si="10"/>
        <v>-7061.4660000000003</v>
      </c>
      <c r="J120" s="80">
        <f t="shared" si="11"/>
        <v>-0.18138197004962517</v>
      </c>
      <c r="K120" s="80"/>
      <c r="L120" s="66"/>
      <c r="M120" s="66"/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12666</v>
      </c>
      <c r="E121" s="15">
        <v>11161.191999999999</v>
      </c>
      <c r="F121" s="15">
        <f>IF(AND(ISNUMBER(D121),ISNUMBER(E121)), D121-E121, "")</f>
        <v>1504.8080000000009</v>
      </c>
      <c r="G121" s="16">
        <f>IFERROR(F121/E121, "")</f>
        <v>0.13482502585745332</v>
      </c>
      <c r="H121" s="17">
        <v>14146.605</v>
      </c>
      <c r="I121" s="17">
        <f>IF(AND(ISNUMBER(D121),ISNUMBER(H121)), D121-H121, "")</f>
        <v>-1480.6049999999996</v>
      </c>
      <c r="J121" s="16">
        <f t="shared" si="11"/>
        <v>-0.10466150712485431</v>
      </c>
      <c r="K121" s="16"/>
      <c r="L121" s="61"/>
      <c r="M121" s="62"/>
    </row>
    <row r="122" spans="1:13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12751</v>
      </c>
      <c r="E122" s="11">
        <v>10348.629999999999</v>
      </c>
      <c r="F122" s="11">
        <f t="shared" si="8"/>
        <v>2402.3700000000008</v>
      </c>
      <c r="G122" s="12">
        <f t="shared" si="9"/>
        <v>0.23214377168765343</v>
      </c>
      <c r="H122" s="13">
        <v>14146.605</v>
      </c>
      <c r="I122" s="13">
        <f t="shared" si="10"/>
        <v>-1395.6049999999996</v>
      </c>
      <c r="J122" s="80">
        <f t="shared" si="11"/>
        <v>-9.8652998369573447E-2</v>
      </c>
      <c r="K122" s="80"/>
      <c r="L122" s="66"/>
      <c r="M122" s="66"/>
    </row>
    <row r="123" spans="1:13" ht="43.5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137569</v>
      </c>
      <c r="E123" s="15">
        <v>155394.70000000001</v>
      </c>
      <c r="F123" s="15">
        <f t="shared" si="8"/>
        <v>-17825.700000000012</v>
      </c>
      <c r="G123" s="16">
        <f t="shared" si="9"/>
        <v>-0.11471240653638773</v>
      </c>
      <c r="H123" s="17">
        <v>188275.4</v>
      </c>
      <c r="I123" s="17">
        <f t="shared" si="10"/>
        <v>-50706.399999999994</v>
      </c>
      <c r="J123" s="16">
        <f t="shared" si="11"/>
        <v>-0.26932036792910807</v>
      </c>
      <c r="K123" s="16"/>
      <c r="L123" s="61" t="s">
        <v>521</v>
      </c>
      <c r="M123" s="62" t="s">
        <v>522</v>
      </c>
    </row>
    <row r="124" spans="1:13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158036</v>
      </c>
      <c r="E124" s="11">
        <v>160520.4</v>
      </c>
      <c r="F124" s="11">
        <f t="shared" si="8"/>
        <v>-2484.3999999999942</v>
      </c>
      <c r="G124" s="12">
        <f t="shared" si="9"/>
        <v>-1.5477160535358711E-2</v>
      </c>
      <c r="H124" s="13">
        <v>11204.52</v>
      </c>
      <c r="I124" s="13">
        <f t="shared" si="10"/>
        <v>146831.48000000001</v>
      </c>
      <c r="J124" s="80">
        <f t="shared" si="11"/>
        <v>13.104664903092681</v>
      </c>
      <c r="K124" s="80"/>
      <c r="L124" s="66"/>
      <c r="M124" s="66"/>
    </row>
    <row r="125" spans="1:13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19972</v>
      </c>
      <c r="E125" s="15">
        <v>17604.080000000002</v>
      </c>
      <c r="F125" s="15">
        <f t="shared" si="8"/>
        <v>2367.9199999999983</v>
      </c>
      <c r="G125" s="16">
        <f t="shared" si="9"/>
        <v>0.13450972729049163</v>
      </c>
      <c r="H125" s="17">
        <v>20678</v>
      </c>
      <c r="I125" s="17">
        <f t="shared" si="10"/>
        <v>-706</v>
      </c>
      <c r="J125" s="16">
        <f t="shared" si="11"/>
        <v>-3.4142566979398395E-2</v>
      </c>
      <c r="K125" s="16"/>
      <c r="L125" s="61" t="s">
        <v>523</v>
      </c>
      <c r="M125" s="61" t="s">
        <v>524</v>
      </c>
    </row>
    <row r="126" spans="1:13" ht="106.5" customHeight="1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69466</v>
      </c>
      <c r="E126" s="11">
        <v>76549.8</v>
      </c>
      <c r="F126" s="11">
        <f t="shared" si="8"/>
        <v>-7083.8000000000029</v>
      </c>
      <c r="G126" s="12">
        <f t="shared" si="9"/>
        <v>-9.2538452092624707E-2</v>
      </c>
      <c r="H126" s="13">
        <v>0</v>
      </c>
      <c r="I126" s="13">
        <f t="shared" si="10"/>
        <v>69466</v>
      </c>
      <c r="J126" s="80" t="str">
        <f t="shared" si="11"/>
        <v/>
      </c>
      <c r="K126" s="80"/>
      <c r="L126" s="66" t="s">
        <v>525</v>
      </c>
      <c r="M126" s="66" t="s">
        <v>526</v>
      </c>
    </row>
    <row r="127" spans="1:13" ht="122.25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21740.25</v>
      </c>
      <c r="E127" s="15">
        <v>42330.31</v>
      </c>
      <c r="F127" s="15">
        <f t="shared" si="8"/>
        <v>-20590.059999999998</v>
      </c>
      <c r="G127" s="16">
        <f t="shared" si="9"/>
        <v>-0.48641410847215621</v>
      </c>
      <c r="H127" s="17">
        <v>32568</v>
      </c>
      <c r="I127" s="17">
        <f t="shared" si="10"/>
        <v>-10827.75</v>
      </c>
      <c r="J127" s="16">
        <f t="shared" si="11"/>
        <v>-0.33246591746499632</v>
      </c>
      <c r="K127" s="16"/>
      <c r="L127" s="61" t="s">
        <v>527</v>
      </c>
      <c r="M127" s="61" t="s">
        <v>528</v>
      </c>
    </row>
    <row r="128" spans="1:13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77608</v>
      </c>
      <c r="E128" s="11">
        <v>71581.52</v>
      </c>
      <c r="F128" s="11">
        <f t="shared" si="8"/>
        <v>6026.4799999999959</v>
      </c>
      <c r="G128" s="12">
        <f t="shared" si="9"/>
        <v>8.4190444684605681E-2</v>
      </c>
      <c r="H128" s="13">
        <v>86121.88</v>
      </c>
      <c r="I128" s="13">
        <f t="shared" si="10"/>
        <v>-8513.8800000000047</v>
      </c>
      <c r="J128" s="80">
        <f t="shared" si="11"/>
        <v>-9.8858501463275114E-2</v>
      </c>
      <c r="K128" s="80"/>
      <c r="L128" s="66"/>
      <c r="M128" s="66"/>
    </row>
    <row r="129" spans="1:13" ht="57.95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177501</v>
      </c>
      <c r="E129" s="15">
        <v>175264.239</v>
      </c>
      <c r="F129" s="15">
        <f t="shared" si="8"/>
        <v>2236.7609999999986</v>
      </c>
      <c r="G129" s="16">
        <f t="shared" si="9"/>
        <v>1.2762221276640459E-2</v>
      </c>
      <c r="H129" s="17">
        <v>188331.30900000001</v>
      </c>
      <c r="I129" s="17">
        <f t="shared" si="10"/>
        <v>-10830.309000000008</v>
      </c>
      <c r="J129" s="16">
        <f t="shared" si="11"/>
        <v>-5.7506683607238179E-2</v>
      </c>
      <c r="K129" s="16"/>
      <c r="L129" s="61" t="s">
        <v>529</v>
      </c>
      <c r="M129" s="76" t="s">
        <v>530</v>
      </c>
    </row>
    <row r="130" spans="1:13" ht="78" customHeight="1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354654</v>
      </c>
      <c r="E130" s="11">
        <v>373857.1</v>
      </c>
      <c r="F130" s="11">
        <f t="shared" si="8"/>
        <v>-19203.099999999977</v>
      </c>
      <c r="G130" s="12">
        <f t="shared" si="9"/>
        <v>-5.1364812919160764E-2</v>
      </c>
      <c r="H130" s="13">
        <v>404085.6</v>
      </c>
      <c r="I130" s="13">
        <f t="shared" si="10"/>
        <v>-49431.599999999977</v>
      </c>
      <c r="J130" s="80">
        <f t="shared" si="11"/>
        <v>-0.12232952621919707</v>
      </c>
      <c r="K130" s="80"/>
      <c r="L130" s="66" t="s">
        <v>531</v>
      </c>
      <c r="M130" s="66" t="s">
        <v>532</v>
      </c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15995.6246027913</v>
      </c>
      <c r="E131" s="15">
        <v>15437.52</v>
      </c>
      <c r="F131" s="15">
        <f t="shared" si="8"/>
        <v>558.10460279129984</v>
      </c>
      <c r="G131" s="16">
        <f t="shared" si="9"/>
        <v>3.6152478039950704E-2</v>
      </c>
      <c r="H131" s="17">
        <v>16026.58</v>
      </c>
      <c r="I131" s="17">
        <f t="shared" si="10"/>
        <v>-30.955397208699651</v>
      </c>
      <c r="J131" s="16">
        <f t="shared" si="11"/>
        <v>-1.9315036151630386E-3</v>
      </c>
      <c r="K131" s="16"/>
      <c r="L131" s="61"/>
      <c r="M131" s="62"/>
    </row>
    <row r="132" spans="1:13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11630.623</v>
      </c>
      <c r="E132" s="11">
        <v>12158</v>
      </c>
      <c r="F132" s="11">
        <f t="shared" si="8"/>
        <v>-527.37700000000041</v>
      </c>
      <c r="G132" s="12">
        <f t="shared" si="9"/>
        <v>-4.3376953446290542E-2</v>
      </c>
      <c r="H132" s="13">
        <v>11615.5</v>
      </c>
      <c r="I132" s="13">
        <f t="shared" si="10"/>
        <v>15.122999999999593</v>
      </c>
      <c r="J132" s="80">
        <f t="shared" si="11"/>
        <v>1.3019671990012994E-3</v>
      </c>
      <c r="K132" s="80"/>
      <c r="L132" s="66"/>
      <c r="M132" s="66"/>
    </row>
    <row r="133" spans="1:13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10241</v>
      </c>
      <c r="E133" s="15">
        <v>7336</v>
      </c>
      <c r="F133" s="15">
        <f t="shared" si="8"/>
        <v>2905</v>
      </c>
      <c r="G133" s="16">
        <f t="shared" si="9"/>
        <v>0.39599236641221375</v>
      </c>
      <c r="H133" s="17">
        <v>9329</v>
      </c>
      <c r="I133" s="17">
        <f t="shared" si="10"/>
        <v>912</v>
      </c>
      <c r="J133" s="16">
        <f t="shared" si="11"/>
        <v>9.775967413441955E-2</v>
      </c>
      <c r="K133" s="16"/>
      <c r="L133" s="61"/>
      <c r="M133" s="62"/>
    </row>
    <row r="134" spans="1:13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39866.625</v>
      </c>
      <c r="E134" s="11">
        <v>32276.432000000001</v>
      </c>
      <c r="F134" s="11">
        <f t="shared" si="8"/>
        <v>7590.1929999999993</v>
      </c>
      <c r="G134" s="12">
        <f t="shared" si="9"/>
        <v>0.23516208359089999</v>
      </c>
      <c r="H134" s="13">
        <v>17085.452000000001</v>
      </c>
      <c r="I134" s="13">
        <f t="shared" si="10"/>
        <v>22781.172999999999</v>
      </c>
      <c r="J134" s="80">
        <f t="shared" si="11"/>
        <v>1.3333667145592636</v>
      </c>
      <c r="K134" s="80"/>
      <c r="L134" s="66"/>
      <c r="M134" s="66"/>
    </row>
    <row r="135" spans="1:13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31903.25</v>
      </c>
      <c r="E135" s="15">
        <v>32056.91</v>
      </c>
      <c r="F135" s="15">
        <f t="shared" si="8"/>
        <v>-153.65999999999985</v>
      </c>
      <c r="G135" s="16">
        <f t="shared" si="9"/>
        <v>-4.7933503260295472E-3</v>
      </c>
      <c r="H135" s="17">
        <v>36748</v>
      </c>
      <c r="I135" s="17">
        <f t="shared" si="10"/>
        <v>-4844.75</v>
      </c>
      <c r="J135" s="16">
        <f t="shared" si="11"/>
        <v>-0.13183710678132143</v>
      </c>
      <c r="K135" s="16"/>
      <c r="L135" s="61"/>
      <c r="M135" s="62"/>
    </row>
    <row r="136" spans="1:13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33812</v>
      </c>
      <c r="E136" s="11">
        <v>34962</v>
      </c>
      <c r="F136" s="11">
        <f t="shared" si="8"/>
        <v>-1150</v>
      </c>
      <c r="G136" s="12">
        <f t="shared" si="9"/>
        <v>-3.2892855099822663E-2</v>
      </c>
      <c r="H136" s="13">
        <v>35880</v>
      </c>
      <c r="I136" s="13">
        <f t="shared" si="10"/>
        <v>-2068</v>
      </c>
      <c r="J136" s="80">
        <f t="shared" si="11"/>
        <v>-5.7636566332218503E-2</v>
      </c>
      <c r="K136" s="80"/>
      <c r="L136" s="66"/>
      <c r="M136" s="66"/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17266.2505655397</v>
      </c>
      <c r="E137" s="15">
        <v>14858.98</v>
      </c>
      <c r="F137" s="15">
        <f t="shared" si="8"/>
        <v>2407.2705655397003</v>
      </c>
      <c r="G137" s="16">
        <f t="shared" si="9"/>
        <v>0.16200779363992013</v>
      </c>
      <c r="H137" s="17">
        <v>18250.27</v>
      </c>
      <c r="I137" s="17">
        <f t="shared" si="10"/>
        <v>-984.01943446030054</v>
      </c>
      <c r="J137" s="16">
        <f t="shared" si="11"/>
        <v>-5.3918075429037517E-2</v>
      </c>
      <c r="K137" s="16"/>
      <c r="L137" s="61"/>
      <c r="M137" s="62"/>
    </row>
    <row r="138" spans="1:13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640777.4</v>
      </c>
      <c r="E138" s="11">
        <v>0</v>
      </c>
      <c r="F138" s="11">
        <f t="shared" si="8"/>
        <v>640777.4</v>
      </c>
      <c r="G138" s="12" t="str">
        <f t="shared" si="9"/>
        <v/>
      </c>
      <c r="H138" s="13">
        <v>0</v>
      </c>
      <c r="I138" s="13">
        <f t="shared" si="10"/>
        <v>640777.4</v>
      </c>
      <c r="J138" s="80" t="str">
        <f t="shared" si="11"/>
        <v/>
      </c>
      <c r="K138" s="80"/>
      <c r="L138" s="66"/>
      <c r="M138" s="66"/>
    </row>
    <row r="139" spans="1:13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1193229.3999999999</v>
      </c>
      <c r="E139" s="15">
        <v>0</v>
      </c>
      <c r="F139" s="15">
        <f t="shared" si="8"/>
        <v>1193229.3999999999</v>
      </c>
      <c r="G139" s="16" t="str">
        <f t="shared" si="9"/>
        <v/>
      </c>
      <c r="H139" s="17">
        <v>0</v>
      </c>
      <c r="I139" s="17">
        <f t="shared" si="10"/>
        <v>1193229.3999999999</v>
      </c>
      <c r="J139" s="16" t="str">
        <f t="shared" si="11"/>
        <v/>
      </c>
      <c r="K139" s="16"/>
      <c r="L139" s="61" t="s">
        <v>533</v>
      </c>
      <c r="M139" s="62" t="s">
        <v>534</v>
      </c>
    </row>
    <row r="140" spans="1:13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 t="str">
        <f t="shared" si="8"/>
        <v/>
      </c>
      <c r="G140" s="68" t="str">
        <f t="shared" si="9"/>
        <v/>
      </c>
      <c r="H140" s="83"/>
      <c r="I140" s="83" t="str">
        <f t="shared" si="10"/>
        <v/>
      </c>
      <c r="J140" s="80" t="str">
        <f t="shared" si="11"/>
        <v/>
      </c>
      <c r="K140" s="80"/>
      <c r="L140" s="89"/>
      <c r="M140" s="66"/>
    </row>
    <row r="141" spans="1:13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 t="str">
        <f t="shared" si="8"/>
        <v/>
      </c>
      <c r="G141" s="84" t="str">
        <f t="shared" si="9"/>
        <v/>
      </c>
      <c r="H141" s="85"/>
      <c r="I141" s="85" t="str">
        <f t="shared" si="10"/>
        <v/>
      </c>
      <c r="J141" s="84" t="str">
        <f t="shared" si="11"/>
        <v/>
      </c>
      <c r="K141" s="16"/>
      <c r="L141" s="61"/>
      <c r="M141" s="91"/>
    </row>
    <row r="142" spans="1:13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v>-4907</v>
      </c>
      <c r="E142" s="11">
        <v>402976.7</v>
      </c>
      <c r="F142" s="11">
        <f t="shared" si="8"/>
        <v>-407883.7</v>
      </c>
      <c r="G142" s="68">
        <f t="shared" si="9"/>
        <v>-1.0121768826832915</v>
      </c>
      <c r="H142" s="83">
        <v>450157</v>
      </c>
      <c r="I142" s="83">
        <f t="shared" si="10"/>
        <v>-455064</v>
      </c>
      <c r="J142" s="80">
        <f t="shared" si="11"/>
        <v>-1.010900641331802</v>
      </c>
      <c r="K142" s="80">
        <v>0</v>
      </c>
      <c r="L142" s="89"/>
      <c r="M142" s="66"/>
    </row>
    <row r="143" spans="1:13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 t="str">
        <f t="shared" si="8"/>
        <v/>
      </c>
      <c r="G143" s="84" t="str">
        <f t="shared" si="9"/>
        <v/>
      </c>
      <c r="H143" s="85"/>
      <c r="I143" s="85" t="str">
        <f t="shared" si="10"/>
        <v/>
      </c>
      <c r="J143" s="84" t="str">
        <f t="shared" si="11"/>
        <v/>
      </c>
      <c r="K143" s="16"/>
      <c r="L143" s="39"/>
      <c r="M143" s="18"/>
    </row>
    <row r="144" spans="1:13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 t="str">
        <f t="shared" si="8"/>
        <v/>
      </c>
      <c r="G144" s="68" t="str">
        <f t="shared" si="9"/>
        <v/>
      </c>
      <c r="H144" s="83"/>
      <c r="I144" s="83" t="str">
        <f t="shared" si="10"/>
        <v/>
      </c>
      <c r="J144" s="80" t="str">
        <f t="shared" si="11"/>
        <v/>
      </c>
      <c r="K144" s="80"/>
      <c r="L144" s="70"/>
      <c r="M144" s="38"/>
    </row>
    <row r="145" spans="1:13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 t="str">
        <f t="shared" si="8"/>
        <v/>
      </c>
      <c r="G145" s="84" t="str">
        <f t="shared" si="9"/>
        <v/>
      </c>
      <c r="H145" s="85"/>
      <c r="I145" s="85" t="str">
        <f t="shared" si="10"/>
        <v/>
      </c>
      <c r="J145" s="84" t="str">
        <f t="shared" si="11"/>
        <v/>
      </c>
      <c r="K145" s="16"/>
      <c r="L145" s="39"/>
      <c r="M145" s="18"/>
    </row>
    <row r="146" spans="1:13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 t="str">
        <f t="shared" ref="F146:F160" si="12">IF(AND(ISNUMBER(D146),ISNUMBER(E146)), D146-E146, "")</f>
        <v/>
      </c>
      <c r="G146" s="68" t="str">
        <f t="shared" ref="G146:G160" si="13">IFERROR(F146/E146, "")</f>
        <v/>
      </c>
      <c r="H146" s="83"/>
      <c r="I146" s="83" t="str">
        <f t="shared" ref="I146:I160" si="14">IF(AND(ISNUMBER(D146),ISNUMBER(H146)), D146-H146, "")</f>
        <v/>
      </c>
      <c r="J146" s="80" t="str">
        <f t="shared" ref="J146:J160" si="15">IFERROR(I146/H146, "")</f>
        <v/>
      </c>
      <c r="K146" s="80"/>
      <c r="L146" s="70"/>
      <c r="M146" s="38"/>
    </row>
    <row r="147" spans="1:13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 t="str">
        <f t="shared" si="12"/>
        <v/>
      </c>
      <c r="G147" s="84" t="str">
        <f t="shared" si="13"/>
        <v/>
      </c>
      <c r="H147" s="85"/>
      <c r="I147" s="85" t="str">
        <f t="shared" si="14"/>
        <v/>
      </c>
      <c r="J147" s="84" t="str">
        <f t="shared" si="15"/>
        <v/>
      </c>
      <c r="K147" s="16"/>
      <c r="L147" s="39"/>
      <c r="M147" s="18"/>
    </row>
    <row r="148" spans="1:13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 t="str">
        <f t="shared" si="12"/>
        <v/>
      </c>
      <c r="G148" s="68" t="str">
        <f t="shared" si="13"/>
        <v/>
      </c>
      <c r="H148" s="83"/>
      <c r="I148" s="83" t="str">
        <f t="shared" si="14"/>
        <v/>
      </c>
      <c r="J148" s="80" t="str">
        <f t="shared" si="15"/>
        <v/>
      </c>
      <c r="K148" s="80"/>
      <c r="L148" s="70"/>
      <c r="M148" s="38"/>
    </row>
    <row r="149" spans="1:13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 t="str">
        <f t="shared" si="12"/>
        <v/>
      </c>
      <c r="G149" s="84" t="str">
        <f t="shared" si="13"/>
        <v/>
      </c>
      <c r="H149" s="85"/>
      <c r="I149" s="85" t="str">
        <f t="shared" si="14"/>
        <v/>
      </c>
      <c r="J149" s="84" t="str">
        <f t="shared" si="15"/>
        <v/>
      </c>
      <c r="K149" s="16"/>
      <c r="L149" s="39"/>
      <c r="M149" s="18"/>
    </row>
    <row r="150" spans="1:13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 t="str">
        <f t="shared" si="12"/>
        <v/>
      </c>
      <c r="G150" s="68" t="str">
        <f t="shared" si="13"/>
        <v/>
      </c>
      <c r="H150" s="83"/>
      <c r="I150" s="83" t="str">
        <f t="shared" si="14"/>
        <v/>
      </c>
      <c r="J150" s="80" t="str">
        <f t="shared" si="15"/>
        <v/>
      </c>
      <c r="K150" s="80"/>
      <c r="L150" s="70"/>
      <c r="M150" s="38"/>
    </row>
    <row r="151" spans="1:13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 t="str">
        <f t="shared" si="12"/>
        <v/>
      </c>
      <c r="G151" s="84" t="str">
        <f t="shared" si="13"/>
        <v/>
      </c>
      <c r="H151" s="85"/>
      <c r="I151" s="85" t="str">
        <f t="shared" si="14"/>
        <v/>
      </c>
      <c r="J151" s="84" t="str">
        <f t="shared" si="15"/>
        <v/>
      </c>
      <c r="K151" s="16"/>
      <c r="L151" s="39"/>
      <c r="M151" s="18"/>
    </row>
    <row r="152" spans="1:13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 t="str">
        <f t="shared" si="12"/>
        <v/>
      </c>
      <c r="G152" s="68" t="str">
        <f t="shared" si="13"/>
        <v/>
      </c>
      <c r="H152" s="83"/>
      <c r="I152" s="83" t="str">
        <f t="shared" si="14"/>
        <v/>
      </c>
      <c r="J152" s="80" t="str">
        <f t="shared" si="15"/>
        <v/>
      </c>
      <c r="K152" s="80"/>
      <c r="L152" s="70"/>
      <c r="M152" s="38"/>
    </row>
    <row r="153" spans="1:13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 t="str">
        <f t="shared" si="12"/>
        <v/>
      </c>
      <c r="G153" s="84" t="str">
        <f t="shared" si="13"/>
        <v/>
      </c>
      <c r="H153" s="85"/>
      <c r="I153" s="85" t="str">
        <f t="shared" si="14"/>
        <v/>
      </c>
      <c r="J153" s="84" t="str">
        <f t="shared" si="15"/>
        <v/>
      </c>
      <c r="K153" s="16"/>
      <c r="L153" s="59"/>
      <c r="M153" s="18"/>
    </row>
    <row r="154" spans="1:13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 t="str">
        <f t="shared" si="12"/>
        <v/>
      </c>
      <c r="G154" s="68" t="str">
        <f t="shared" si="13"/>
        <v/>
      </c>
      <c r="H154" s="83"/>
      <c r="I154" s="83" t="str">
        <f t="shared" si="14"/>
        <v/>
      </c>
      <c r="J154" s="80" t="str">
        <f t="shared" si="15"/>
        <v/>
      </c>
      <c r="K154" s="80"/>
      <c r="L154" s="70"/>
      <c r="M154" s="38"/>
    </row>
    <row r="155" spans="1:13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 t="str">
        <f t="shared" si="12"/>
        <v/>
      </c>
      <c r="G155" s="84" t="str">
        <f t="shared" si="13"/>
        <v/>
      </c>
      <c r="H155" s="85"/>
      <c r="I155" s="85" t="str">
        <f t="shared" si="14"/>
        <v/>
      </c>
      <c r="J155" s="84" t="str">
        <f t="shared" si="15"/>
        <v/>
      </c>
      <c r="K155" s="16"/>
      <c r="L155" s="39"/>
      <c r="M155" s="18"/>
    </row>
    <row r="156" spans="1:13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 t="str">
        <f t="shared" si="12"/>
        <v/>
      </c>
      <c r="G156" s="68" t="str">
        <f t="shared" si="13"/>
        <v/>
      </c>
      <c r="H156" s="83"/>
      <c r="I156" s="83" t="str">
        <f t="shared" si="14"/>
        <v/>
      </c>
      <c r="J156" s="80" t="str">
        <f t="shared" si="15"/>
        <v/>
      </c>
      <c r="K156" s="80"/>
      <c r="L156" s="70"/>
      <c r="M156" s="38"/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 t="str">
        <f t="shared" si="12"/>
        <v/>
      </c>
      <c r="G157" s="84" t="str">
        <f t="shared" si="13"/>
        <v/>
      </c>
      <c r="H157" s="85"/>
      <c r="I157" s="85" t="str">
        <f t="shared" si="14"/>
        <v/>
      </c>
      <c r="J157" s="84" t="str">
        <f t="shared" si="15"/>
        <v/>
      </c>
      <c r="K157" s="16"/>
      <c r="L157" s="39"/>
      <c r="M157" s="18"/>
    </row>
    <row r="158" spans="1:13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 t="str">
        <f t="shared" si="12"/>
        <v/>
      </c>
      <c r="G158" s="68" t="str">
        <f t="shared" si="13"/>
        <v/>
      </c>
      <c r="H158" s="83"/>
      <c r="I158" s="83" t="str">
        <f t="shared" si="14"/>
        <v/>
      </c>
      <c r="J158" s="80" t="str">
        <f t="shared" si="15"/>
        <v/>
      </c>
      <c r="K158" s="80"/>
      <c r="L158" s="70"/>
      <c r="M158" s="38"/>
    </row>
    <row r="159" spans="1:13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>
        <v>454284.27111111098</v>
      </c>
      <c r="E159" s="15">
        <v>469641</v>
      </c>
      <c r="F159" s="15">
        <f t="shared" si="12"/>
        <v>-15356.728888889018</v>
      </c>
      <c r="G159" s="84">
        <f t="shared" si="13"/>
        <v>-3.2698867622053908E-2</v>
      </c>
      <c r="H159" s="85">
        <v>473503</v>
      </c>
      <c r="I159" s="85">
        <f t="shared" si="14"/>
        <v>-19218.728888889018</v>
      </c>
      <c r="J159" s="84">
        <f t="shared" si="15"/>
        <v>-4.0588399416453577E-2</v>
      </c>
      <c r="K159" s="16">
        <v>0.96282990000000002</v>
      </c>
      <c r="L159" s="39"/>
      <c r="M159" s="18"/>
    </row>
    <row r="160" spans="1:13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 t="str">
        <f t="shared" si="12"/>
        <v/>
      </c>
      <c r="G160" s="68" t="str">
        <f t="shared" si="13"/>
        <v/>
      </c>
      <c r="H160" s="83"/>
      <c r="I160" s="83" t="str">
        <f t="shared" si="14"/>
        <v/>
      </c>
      <c r="J160" s="80" t="str">
        <f t="shared" si="15"/>
        <v/>
      </c>
      <c r="K160" s="80"/>
      <c r="L160" s="70"/>
      <c r="M160" s="38"/>
    </row>
    <row r="161" spans="1:13" ht="15.6">
      <c r="A161" s="27" t="str">
        <v>Altamont</v>
      </c>
      <c r="B161" s="28" t="str">
        <v>NY</v>
      </c>
      <c r="C161" s="28" t="s">
        <v>13</v>
      </c>
      <c r="D161" s="82">
        <v>81356</v>
      </c>
      <c r="E161" s="15">
        <v>129513.8</v>
      </c>
      <c r="F161" s="15"/>
      <c r="G161" s="84"/>
      <c r="H161" s="85">
        <v>713476.2</v>
      </c>
      <c r="I161" s="85"/>
      <c r="J161" s="84"/>
      <c r="K161" s="19">
        <v>0.92518879999999992</v>
      </c>
      <c r="L161" s="39"/>
      <c r="M161" s="18"/>
    </row>
    <row r="162" spans="1:13" ht="14.4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9"/>
      <c r="L162" s="18"/>
      <c r="M162" s="18"/>
    </row>
    <row r="163" spans="1:13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9"/>
      <c r="L163" s="18"/>
      <c r="M163" s="18"/>
    </row>
    <row r="164" spans="1:13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9"/>
      <c r="L164" s="18"/>
      <c r="M164" s="18"/>
    </row>
    <row r="165" spans="1:13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9"/>
      <c r="L165" s="18"/>
      <c r="M165" s="18"/>
    </row>
    <row r="166" spans="1:13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9"/>
      <c r="L166" s="18"/>
      <c r="M166" s="18"/>
    </row>
    <row r="167" spans="1:13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9"/>
      <c r="L167" s="18"/>
      <c r="M167" s="18"/>
    </row>
    <row r="168" spans="1:13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9"/>
      <c r="L168" s="18"/>
      <c r="M168" s="18"/>
    </row>
    <row r="169" spans="1:13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9"/>
      <c r="L169" s="18"/>
      <c r="M169" s="18"/>
    </row>
    <row r="170" spans="1:13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9"/>
      <c r="L170" s="18"/>
      <c r="M170" s="18"/>
    </row>
    <row r="171" spans="1:13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9"/>
      <c r="L171" s="18"/>
      <c r="M171" s="18"/>
    </row>
    <row r="172" spans="1:13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9"/>
      <c r="L172" s="18"/>
      <c r="M172" s="18"/>
    </row>
    <row r="173" spans="1:13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9"/>
      <c r="L173" s="18"/>
      <c r="M173" s="18"/>
    </row>
    <row r="174" spans="1:13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9"/>
      <c r="L174" s="18"/>
      <c r="M174" s="18"/>
    </row>
    <row r="175" spans="1:13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9"/>
      <c r="L175" s="18"/>
      <c r="M175" s="18"/>
    </row>
    <row r="176" spans="1:13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9"/>
      <c r="L176" s="18"/>
      <c r="M176" s="18"/>
    </row>
    <row r="177" spans="1:13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9"/>
      <c r="L177" s="18"/>
      <c r="M177" s="18"/>
    </row>
    <row r="178" spans="1:13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9"/>
      <c r="L178" s="18"/>
      <c r="M178" s="18"/>
    </row>
    <row r="179" spans="1:13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9"/>
      <c r="L179" s="18"/>
      <c r="M179" s="18"/>
    </row>
    <row r="180" spans="1:13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9"/>
      <c r="L180" s="18"/>
      <c r="M180" s="18"/>
    </row>
    <row r="181" spans="1:13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9"/>
      <c r="L181" s="18"/>
      <c r="M181" s="18"/>
    </row>
    <row r="182" spans="1:13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9"/>
      <c r="L182" s="18"/>
      <c r="M182" s="18"/>
    </row>
    <row r="183" spans="1:13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9"/>
      <c r="L183" s="18"/>
      <c r="M183" s="18"/>
    </row>
    <row r="184" spans="1:13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9"/>
      <c r="L184" s="18"/>
      <c r="M184" s="18"/>
    </row>
    <row r="185" spans="1:13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9"/>
      <c r="L185" s="18"/>
      <c r="M185" s="18"/>
    </row>
    <row r="186" spans="1:13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9"/>
      <c r="L186" s="18"/>
      <c r="M186" s="18"/>
    </row>
    <row r="187" spans="1:13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9"/>
      <c r="L187" s="18"/>
      <c r="M187" s="18"/>
    </row>
    <row r="188" spans="1:13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9"/>
      <c r="L188" s="18"/>
      <c r="M188" s="18"/>
    </row>
    <row r="189" spans="1:13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9"/>
      <c r="L189" s="18"/>
      <c r="M189" s="18"/>
    </row>
    <row r="190" spans="1:13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9"/>
      <c r="L190" s="18"/>
      <c r="M190" s="18"/>
    </row>
    <row r="191" spans="1:13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9"/>
      <c r="L191" s="18"/>
      <c r="M191" s="18"/>
    </row>
    <row r="192" spans="1:13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9"/>
      <c r="L192" s="18"/>
      <c r="M192" s="18"/>
    </row>
    <row r="193" spans="1:13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9"/>
      <c r="L193" s="18"/>
      <c r="M193" s="18"/>
    </row>
    <row r="194" spans="1:13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9"/>
      <c r="L194" s="18"/>
      <c r="M194" s="18"/>
    </row>
    <row r="195" spans="1:13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9"/>
      <c r="L195" s="18"/>
      <c r="M195" s="18"/>
    </row>
    <row r="196" spans="1:13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9"/>
      <c r="L196" s="18"/>
      <c r="M196" s="18"/>
    </row>
    <row r="197" spans="1:13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9"/>
      <c r="L197" s="18"/>
      <c r="M197" s="18"/>
    </row>
    <row r="198" spans="1:13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9"/>
      <c r="L198" s="18"/>
      <c r="M198" s="18"/>
    </row>
    <row r="199" spans="1:13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9"/>
      <c r="L199" s="18"/>
      <c r="M199" s="18"/>
    </row>
    <row r="200" spans="1:13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9"/>
      <c r="L200" s="18"/>
      <c r="M200" s="18"/>
    </row>
    <row r="201" spans="1:13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9"/>
      <c r="L201" s="18"/>
      <c r="M201" s="18"/>
    </row>
    <row r="202" spans="1:13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9"/>
      <c r="L202" s="18"/>
      <c r="M202" s="18"/>
    </row>
    <row r="203" spans="1:13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9"/>
      <c r="L203" s="18"/>
      <c r="M203" s="18"/>
    </row>
    <row r="204" spans="1:13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9"/>
      <c r="L204" s="18"/>
      <c r="M204" s="18"/>
    </row>
    <row r="205" spans="1:13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9"/>
      <c r="L205" s="18"/>
      <c r="M205" s="18"/>
    </row>
    <row r="206" spans="1:13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9"/>
      <c r="L206" s="18"/>
      <c r="M206" s="18"/>
    </row>
    <row r="207" spans="1:13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9"/>
      <c r="L207" s="18"/>
      <c r="M207" s="18"/>
    </row>
    <row r="208" spans="1:13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9"/>
      <c r="L208" s="18"/>
      <c r="M208" s="18"/>
    </row>
    <row r="209" spans="1:13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9"/>
      <c r="L209" s="18"/>
      <c r="M209" s="18"/>
    </row>
    <row r="210" spans="1:13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9"/>
      <c r="L210" s="18"/>
      <c r="M210" s="18"/>
    </row>
    <row r="211" spans="1:13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9"/>
      <c r="L211" s="18"/>
      <c r="M211" s="18"/>
    </row>
    <row r="212" spans="1:13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9"/>
      <c r="L212" s="18"/>
      <c r="M212" s="18"/>
    </row>
    <row r="213" spans="1:13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9"/>
      <c r="L213" s="18"/>
      <c r="M213" s="18"/>
    </row>
    <row r="214" spans="1:13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9"/>
      <c r="L214" s="18"/>
      <c r="M214" s="18"/>
    </row>
    <row r="215" spans="1:13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9"/>
      <c r="L215" s="18"/>
      <c r="M215" s="18"/>
    </row>
    <row r="216" spans="1:13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9"/>
      <c r="L216" s="18"/>
      <c r="M216" s="18"/>
    </row>
    <row r="217" spans="1:13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9"/>
      <c r="L217" s="18"/>
      <c r="M217" s="18"/>
    </row>
    <row r="218" spans="1:13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9"/>
      <c r="L218" s="18"/>
      <c r="M218" s="18"/>
    </row>
    <row r="219" spans="1:13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9"/>
      <c r="L219" s="18"/>
      <c r="M219" s="18"/>
    </row>
    <row r="220" spans="1:13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9"/>
      <c r="L220" s="18"/>
      <c r="M220" s="18"/>
    </row>
    <row r="221" spans="1:13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9"/>
      <c r="L221" s="18"/>
      <c r="M221" s="18"/>
    </row>
    <row r="222" spans="1:13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9"/>
      <c r="L222" s="18"/>
      <c r="M222" s="18"/>
    </row>
    <row r="223" spans="1:13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9"/>
      <c r="L223" s="18"/>
      <c r="M223" s="18"/>
    </row>
    <row r="224" spans="1:13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9"/>
      <c r="L224" s="18"/>
      <c r="M224" s="18"/>
    </row>
    <row r="225" spans="1:13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9"/>
      <c r="L225" s="18"/>
      <c r="M225" s="18"/>
    </row>
    <row r="226" spans="1:13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9"/>
      <c r="L226" s="18"/>
      <c r="M226" s="18"/>
    </row>
    <row r="227" spans="1:13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9"/>
      <c r="L227" s="18"/>
      <c r="M227" s="18"/>
    </row>
    <row r="228" spans="1:13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9"/>
      <c r="L228" s="18"/>
      <c r="M228" s="18"/>
    </row>
    <row r="229" spans="1:13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9"/>
      <c r="L229" s="18"/>
      <c r="M229" s="18"/>
    </row>
    <row r="230" spans="1:13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9"/>
      <c r="L230" s="18"/>
      <c r="M230" s="18"/>
    </row>
    <row r="231" spans="1:13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9"/>
      <c r="L231" s="18"/>
      <c r="M231" s="18"/>
    </row>
    <row r="232" spans="1:13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9"/>
      <c r="L232" s="18"/>
      <c r="M232" s="18"/>
    </row>
    <row r="233" spans="1:13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9"/>
      <c r="L233" s="18"/>
      <c r="M233" s="18"/>
    </row>
    <row r="234" spans="1:13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9"/>
      <c r="L234" s="18"/>
      <c r="M234" s="18"/>
    </row>
    <row r="235" spans="1:13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9"/>
      <c r="L235" s="18"/>
      <c r="M235" s="18"/>
    </row>
    <row r="236" spans="1:13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9"/>
      <c r="L236" s="18"/>
      <c r="M236" s="18"/>
    </row>
    <row r="237" spans="1:13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9"/>
      <c r="L237" s="18"/>
      <c r="M237" s="18"/>
    </row>
    <row r="238" spans="1:13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9"/>
      <c r="L238" s="18"/>
      <c r="M238" s="18"/>
    </row>
    <row r="239" spans="1:13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9"/>
      <c r="L239" s="18"/>
      <c r="M239" s="18"/>
    </row>
    <row r="240" spans="1:13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9"/>
      <c r="L240" s="18"/>
      <c r="M240" s="18"/>
    </row>
    <row r="241" spans="1:13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9"/>
      <c r="L241" s="18"/>
      <c r="M241" s="18"/>
    </row>
    <row r="242" spans="1:13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9"/>
      <c r="L242" s="18"/>
      <c r="M242" s="18"/>
    </row>
    <row r="243" spans="1:13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9"/>
      <c r="L243" s="18"/>
      <c r="M243" s="18"/>
    </row>
    <row r="244" spans="1:13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9"/>
      <c r="L244" s="18"/>
      <c r="M244" s="18"/>
    </row>
    <row r="245" spans="1:13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9"/>
      <c r="L245" s="18"/>
      <c r="M245" s="18"/>
    </row>
    <row r="246" spans="1:13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9"/>
      <c r="L246" s="18"/>
      <c r="M246" s="18"/>
    </row>
    <row r="247" spans="1:13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9"/>
      <c r="L247" s="18"/>
      <c r="M247" s="18"/>
    </row>
    <row r="248" spans="1:13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9"/>
      <c r="L248" s="18"/>
      <c r="M248" s="18"/>
    </row>
    <row r="249" spans="1:13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9"/>
      <c r="L249" s="18"/>
      <c r="M249" s="18"/>
    </row>
    <row r="250" spans="1:13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9"/>
      <c r="L250" s="18"/>
      <c r="M250" s="18"/>
    </row>
    <row r="251" spans="1:13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9"/>
      <c r="L251" s="18"/>
      <c r="M251" s="18"/>
    </row>
    <row r="252" spans="1:13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9"/>
      <c r="L252" s="18"/>
      <c r="M252" s="18"/>
    </row>
    <row r="253" spans="1:13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9"/>
      <c r="L253" s="18"/>
      <c r="M253" s="18"/>
    </row>
    <row r="254" spans="1:13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9"/>
      <c r="L254" s="18"/>
      <c r="M254" s="18"/>
    </row>
    <row r="255" spans="1:13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9"/>
      <c r="L255" s="18"/>
      <c r="M255" s="18"/>
    </row>
    <row r="256" spans="1:13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9"/>
      <c r="L256" s="18"/>
      <c r="M256" s="18"/>
    </row>
    <row r="257" spans="1:13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9"/>
      <c r="L257" s="18"/>
      <c r="M257" s="18"/>
    </row>
    <row r="258" spans="1:13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9"/>
      <c r="L258" s="18"/>
      <c r="M258" s="18"/>
    </row>
    <row r="259" spans="1:13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9"/>
      <c r="L259" s="18"/>
      <c r="M259" s="18"/>
    </row>
    <row r="260" spans="1:13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9"/>
      <c r="L260" s="18"/>
      <c r="M260" s="18"/>
    </row>
    <row r="261" spans="1:13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9"/>
      <c r="L261" s="18"/>
      <c r="M261" s="18"/>
    </row>
    <row r="262" spans="1:13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9"/>
      <c r="L262" s="18"/>
      <c r="M262" s="18"/>
    </row>
    <row r="263" spans="1:13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9"/>
      <c r="L263" s="18"/>
      <c r="M263" s="18"/>
    </row>
    <row r="264" spans="1:13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9"/>
      <c r="L264" s="18"/>
      <c r="M264" s="18"/>
    </row>
    <row r="265" spans="1:13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9"/>
      <c r="L265" s="18"/>
      <c r="M265" s="18"/>
    </row>
    <row r="266" spans="1:13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9"/>
      <c r="L266" s="18"/>
      <c r="M266" s="18"/>
    </row>
    <row r="267" spans="1:13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9"/>
      <c r="L267" s="18"/>
      <c r="M267" s="18"/>
    </row>
    <row r="268" spans="1:13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9"/>
      <c r="L268" s="18"/>
      <c r="M268" s="18"/>
    </row>
    <row r="269" spans="1:13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9"/>
      <c r="L269" s="18"/>
      <c r="M269" s="18"/>
    </row>
    <row r="270" spans="1:13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9"/>
      <c r="L270" s="18"/>
      <c r="M270" s="18"/>
    </row>
    <row r="271" spans="1:13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9"/>
      <c r="L271" s="18"/>
      <c r="M271" s="18"/>
    </row>
    <row r="272" spans="1:13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9"/>
      <c r="L272" s="18"/>
      <c r="M272" s="18"/>
    </row>
    <row r="273" spans="1:13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9"/>
      <c r="L273" s="18"/>
      <c r="M273" s="18"/>
    </row>
    <row r="274" spans="1:13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9"/>
      <c r="L274" s="18"/>
      <c r="M274" s="18"/>
    </row>
    <row r="275" spans="1:13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9"/>
      <c r="L275" s="18"/>
      <c r="M275" s="18"/>
    </row>
    <row r="276" spans="1:13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9"/>
      <c r="L276" s="18"/>
      <c r="M276" s="18"/>
    </row>
    <row r="277" spans="1:13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9"/>
      <c r="L277" s="18"/>
      <c r="M277" s="18"/>
    </row>
    <row r="278" spans="1:13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9"/>
      <c r="L278" s="18"/>
      <c r="M278" s="18"/>
    </row>
    <row r="279" spans="1:13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9"/>
      <c r="L279" s="18"/>
      <c r="M279" s="18"/>
    </row>
    <row r="280" spans="1:13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9"/>
      <c r="L280" s="18"/>
      <c r="M280" s="18"/>
    </row>
    <row r="281" spans="1:13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9"/>
      <c r="L281" s="18"/>
      <c r="M281" s="18"/>
    </row>
    <row r="282" spans="1:13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9"/>
      <c r="L282" s="18"/>
      <c r="M282" s="18"/>
    </row>
    <row r="283" spans="1:13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9"/>
      <c r="L283" s="18"/>
      <c r="M283" s="18"/>
    </row>
    <row r="284" spans="1:13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9"/>
      <c r="L284" s="18"/>
      <c r="M284" s="18"/>
    </row>
    <row r="285" spans="1:13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9"/>
      <c r="L285" s="18"/>
      <c r="M285" s="18"/>
    </row>
    <row r="286" spans="1:13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9"/>
      <c r="L286" s="18"/>
      <c r="M286" s="18"/>
    </row>
    <row r="287" spans="1:13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9"/>
      <c r="L287" s="18"/>
      <c r="M287" s="18"/>
    </row>
    <row r="288" spans="1:13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9"/>
      <c r="L288" s="18"/>
      <c r="M288" s="18"/>
    </row>
    <row r="289" spans="1:13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9"/>
      <c r="L289" s="18"/>
      <c r="M289" s="18"/>
    </row>
    <row r="290" spans="1:13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9"/>
      <c r="L290" s="18"/>
      <c r="M290" s="18"/>
    </row>
    <row r="291" spans="1:13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9"/>
      <c r="L291" s="18"/>
      <c r="M291" s="18"/>
    </row>
    <row r="292" spans="1:13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9"/>
      <c r="L292" s="18"/>
      <c r="M292" s="18"/>
    </row>
    <row r="293" spans="1:13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9"/>
      <c r="L293" s="18"/>
      <c r="M293" s="18"/>
    </row>
    <row r="294" spans="1:13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9"/>
      <c r="L294" s="18"/>
      <c r="M294" s="18"/>
    </row>
    <row r="295" spans="1:13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9"/>
      <c r="L295" s="18"/>
      <c r="M295" s="18"/>
    </row>
    <row r="296" spans="1:13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9"/>
      <c r="L296" s="18"/>
      <c r="M296" s="18"/>
    </row>
    <row r="297" spans="1:13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9"/>
      <c r="L297" s="18"/>
      <c r="M297" s="18"/>
    </row>
    <row r="298" spans="1:13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9"/>
      <c r="L298" s="18"/>
      <c r="M298" s="18"/>
    </row>
    <row r="299" spans="1:13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9"/>
      <c r="L299" s="18"/>
      <c r="M299" s="18"/>
    </row>
    <row r="300" spans="1:13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9"/>
      <c r="L300" s="18"/>
      <c r="M300" s="18"/>
    </row>
    <row r="301" spans="1:13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9"/>
      <c r="L301" s="18"/>
      <c r="M301" s="18"/>
    </row>
    <row r="302" spans="1:13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9"/>
      <c r="L302" s="18"/>
      <c r="M302" s="18"/>
    </row>
    <row r="303" spans="1:13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9"/>
      <c r="L303" s="18"/>
      <c r="M303" s="18"/>
    </row>
    <row r="304" spans="1:13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9"/>
      <c r="L304" s="18"/>
      <c r="M304" s="18"/>
    </row>
    <row r="305" spans="1:13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9"/>
      <c r="L305" s="18"/>
      <c r="M305" s="18"/>
    </row>
    <row r="306" spans="1:13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9"/>
      <c r="L306" s="18"/>
      <c r="M306" s="18"/>
    </row>
    <row r="307" spans="1:13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9"/>
      <c r="L307" s="18"/>
      <c r="M307" s="18"/>
    </row>
    <row r="308" spans="1:13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9"/>
      <c r="L308" s="18"/>
      <c r="M308" s="18"/>
    </row>
    <row r="309" spans="1:13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9"/>
      <c r="L309" s="18"/>
      <c r="M309" s="18"/>
    </row>
    <row r="310" spans="1:13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9"/>
      <c r="L310" s="18"/>
      <c r="M310" s="18"/>
    </row>
    <row r="311" spans="1:13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9"/>
      <c r="L311" s="18"/>
      <c r="M311" s="18"/>
    </row>
    <row r="312" spans="1:13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9"/>
      <c r="L312" s="18"/>
      <c r="M312" s="18"/>
    </row>
    <row r="313" spans="1:13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9"/>
      <c r="L313" s="18"/>
      <c r="M313" s="18"/>
    </row>
    <row r="314" spans="1:13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9"/>
      <c r="L314" s="18"/>
      <c r="M314" s="18"/>
    </row>
    <row r="315" spans="1:13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9"/>
      <c r="L315" s="18"/>
      <c r="M315" s="18"/>
    </row>
    <row r="316" spans="1:13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9"/>
      <c r="L316" s="18"/>
      <c r="M316" s="18"/>
    </row>
    <row r="317" spans="1:13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9"/>
      <c r="L317" s="18"/>
      <c r="M317" s="18"/>
    </row>
    <row r="318" spans="1:13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9"/>
      <c r="L318" s="18"/>
      <c r="M318" s="18"/>
    </row>
    <row r="319" spans="1:13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9"/>
      <c r="L319" s="18"/>
      <c r="M319" s="18"/>
    </row>
    <row r="320" spans="1:13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9"/>
      <c r="L320" s="18"/>
      <c r="M320" s="18"/>
    </row>
    <row r="321" spans="1:13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9"/>
      <c r="L321" s="18"/>
      <c r="M321" s="18"/>
    </row>
    <row r="322" spans="1:13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9"/>
      <c r="L322" s="18"/>
      <c r="M322" s="18"/>
    </row>
    <row r="323" spans="1:13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9"/>
      <c r="L323" s="18"/>
      <c r="M323" s="18"/>
    </row>
    <row r="324" spans="1:13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9"/>
      <c r="L324" s="18"/>
      <c r="M324" s="18"/>
    </row>
    <row r="325" spans="1:13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9"/>
      <c r="L325" s="18"/>
      <c r="M325" s="18"/>
    </row>
    <row r="326" spans="1:13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9"/>
      <c r="L326" s="18"/>
      <c r="M326" s="18"/>
    </row>
    <row r="327" spans="1:13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9"/>
      <c r="L327" s="18"/>
      <c r="M327" s="18"/>
    </row>
    <row r="328" spans="1:13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9"/>
      <c r="L328" s="18"/>
      <c r="M328" s="18"/>
    </row>
    <row r="329" spans="1:13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9"/>
      <c r="L329" s="18"/>
      <c r="M329" s="18"/>
    </row>
    <row r="330" spans="1:13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9"/>
      <c r="L330" s="18"/>
      <c r="M330" s="18"/>
    </row>
    <row r="331" spans="1:13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9"/>
      <c r="L331" s="18"/>
      <c r="M331" s="18"/>
    </row>
    <row r="332" spans="1:13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9"/>
      <c r="L332" s="18"/>
      <c r="M332" s="18"/>
    </row>
    <row r="333" spans="1:13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9"/>
      <c r="L333" s="18"/>
      <c r="M333" s="18"/>
    </row>
    <row r="334" spans="1:13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9"/>
      <c r="L334" s="18"/>
      <c r="M334" s="18"/>
    </row>
    <row r="335" spans="1:13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9"/>
      <c r="L335" s="18"/>
      <c r="M335" s="18"/>
    </row>
    <row r="336" spans="1:13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9"/>
      <c r="L336" s="18"/>
      <c r="M336" s="18"/>
    </row>
    <row r="337" spans="1:13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9"/>
      <c r="L337" s="18"/>
      <c r="M337" s="18"/>
    </row>
    <row r="338" spans="1:13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9"/>
      <c r="L338" s="18"/>
      <c r="M338" s="18"/>
    </row>
    <row r="339" spans="1:13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9"/>
      <c r="L339" s="18"/>
      <c r="M339" s="18"/>
    </row>
    <row r="340" spans="1:13">
      <c r="D340" s="18"/>
      <c r="E340" s="18"/>
      <c r="F340" s="18"/>
      <c r="G340" s="19"/>
      <c r="H340" s="18"/>
      <c r="I340" s="18"/>
      <c r="J340" s="19"/>
      <c r="K340" s="19"/>
      <c r="L340" s="18"/>
      <c r="M340" s="18"/>
    </row>
    <row r="341" spans="1:13">
      <c r="K341" s="19"/>
    </row>
    <row r="342" spans="1:13">
      <c r="K342" s="19"/>
    </row>
  </sheetData>
  <mergeCells count="4">
    <mergeCell ref="H1:J1"/>
    <mergeCell ref="A1:D1"/>
    <mergeCell ref="E1:G1"/>
    <mergeCell ref="A2:B2"/>
  </mergeCells>
  <conditionalFormatting sqref="G2">
    <cfRule type="cellIs" dxfId="72" priority="19" stopIfTrue="1" operator="lessThanOrEqual">
      <formula>-0.1</formula>
    </cfRule>
    <cfRule type="expression" dxfId="71" priority="20">
      <formula>AND(ISNUMBER(G2), G2&gt;=0.1)</formula>
    </cfRule>
  </conditionalFormatting>
  <conditionalFormatting sqref="G4:G83 G90:G161">
    <cfRule type="cellIs" dxfId="70" priority="7" stopIfTrue="1" operator="lessThanOrEqual">
      <formula>-0.1</formula>
    </cfRule>
    <cfRule type="expression" dxfId="69" priority="8">
      <formula>AND(ISNUMBER(G4), G4&gt;=0.1)</formula>
    </cfRule>
  </conditionalFormatting>
  <conditionalFormatting sqref="J4:J161">
    <cfRule type="cellIs" dxfId="68" priority="5" stopIfTrue="1" operator="lessThanOrEqual">
      <formula>-0.1</formula>
    </cfRule>
    <cfRule type="expression" dxfId="67" priority="6">
      <formula>AND(ISNUMBER(J4), J4&gt;=0.1)</formula>
    </cfRule>
  </conditionalFormatting>
  <conditionalFormatting sqref="J2:K2">
    <cfRule type="cellIs" dxfId="66" priority="3" stopIfTrue="1" operator="lessThanOrEqual">
      <formula>-0.1</formula>
    </cfRule>
    <cfRule type="expression" dxfId="65" priority="4">
      <formula>AND(ISNUMBER(J2), J2&gt;=0.1)</formula>
    </cfRule>
  </conditionalFormatting>
  <conditionalFormatting sqref="K4:K160">
    <cfRule type="expression" dxfId="64" priority="1" stopIfTrue="1">
      <formula>AND(K4&lt;&gt;"",K4&lt;0.975)</formula>
    </cfRule>
    <cfRule type="expression" dxfId="63" priority="2">
      <formula>AND(ISNUMBER(K4), K4&gt;=0.985)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42"/>
  <sheetViews>
    <sheetView zoomScale="80" zoomScaleNormal="80" workbookViewId="0">
      <pane xSplit="2" ySplit="3" topLeftCell="C141" activePane="bottomRight" state="frozen"/>
      <selection pane="bottomRight" activeCell="K3" sqref="K3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6.85546875" style="1" customWidth="1"/>
    <col min="12" max="12" width="64.28515625" customWidth="1"/>
    <col min="13" max="13" width="20.5703125" bestFit="1" customWidth="1"/>
  </cols>
  <sheetData>
    <row r="1" spans="1:13" ht="19.5" customHeight="1">
      <c r="A1" s="111" t="str" cm="1">
        <f t="array" ref="A1">portfolio</f>
        <v>Generate Capital</v>
      </c>
      <c r="B1" s="111"/>
      <c r="C1" s="111"/>
      <c r="D1" s="111"/>
      <c r="E1" s="112" t="s">
        <v>535</v>
      </c>
      <c r="F1" s="112"/>
      <c r="G1" s="112"/>
      <c r="H1" s="110" t="s">
        <v>536</v>
      </c>
      <c r="I1" s="110"/>
      <c r="J1" s="110"/>
      <c r="K1" s="107" t="s">
        <v>537</v>
      </c>
      <c r="L1" s="5"/>
      <c r="M1" s="5"/>
    </row>
    <row r="2" spans="1:13" ht="19.5" customHeight="1">
      <c r="A2" s="113" t="s">
        <v>3</v>
      </c>
      <c r="B2" s="113"/>
      <c r="C2" s="72"/>
      <c r="D2" s="6">
        <f>SUM(D4:D200)</f>
        <v>41972108.156669892</v>
      </c>
      <c r="E2" s="6">
        <f>SUM(E4:E200)</f>
        <v>17836122.927999999</v>
      </c>
      <c r="F2" s="6">
        <f>D2-E2</f>
        <v>24135985.228669893</v>
      </c>
      <c r="G2" s="7">
        <f>IFERROR(F2/E2, 0)</f>
        <v>1.353208055702513</v>
      </c>
      <c r="H2" s="6">
        <f>SUM(H4:H200)</f>
        <v>30400876.340999998</v>
      </c>
      <c r="I2" s="8">
        <f>D2-H2</f>
        <v>11571231.815669894</v>
      </c>
      <c r="J2" s="7">
        <f>IFERROR(I2/H2, 0)</f>
        <v>0.38062165333255238</v>
      </c>
      <c r="K2" s="108"/>
      <c r="L2" s="23" t="str">
        <f ca="1">IF(AND(TODAY()&gt;DATE(2024, 6, 1), COUNTA(Sites[Site])&lt;&gt;(COUNT(D:D)-1)),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  <c r="L3" s="22" t="s">
        <v>30</v>
      </c>
      <c r="M3" s="22" t="s">
        <v>31</v>
      </c>
    </row>
    <row r="4" spans="1:13" ht="29.1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13333.1202866945</v>
      </c>
      <c r="E4" s="11">
        <v>4619.6629999999996</v>
      </c>
      <c r="F4" s="11">
        <f>IF(AND(ISNUMBER(D4),ISNUMBER(E4)), D4-E4, "")</f>
        <v>8713.4572866945018</v>
      </c>
      <c r="G4" s="12">
        <f>IFERROR(F4/E4, "")</f>
        <v>1.886167299799683</v>
      </c>
      <c r="H4" s="13">
        <v>13690.7</v>
      </c>
      <c r="I4" s="13">
        <f>IF(AND(ISNUMBER(D4),ISNUMBER(H4)), D4-H4, "")</f>
        <v>-357.57971330550026</v>
      </c>
      <c r="J4" s="14">
        <f>IFERROR(I4/H4, "")</f>
        <v>-2.6118439035659261E-2</v>
      </c>
      <c r="K4" s="14">
        <v>1</v>
      </c>
      <c r="L4" s="66" t="s">
        <v>538</v>
      </c>
      <c r="M4" s="66" t="s">
        <v>539</v>
      </c>
    </row>
    <row r="5" spans="1:13" ht="29.1">
      <c r="A5" s="27" t="str">
        <v>Fulton</v>
      </c>
      <c r="B5" s="28" t="str">
        <v>AZ</v>
      </c>
      <c r="C5" s="28" t="str">
        <f>Sites[[#This Row],[SOL'#]]</f>
        <v>SOL-10749</v>
      </c>
      <c r="D5" s="10">
        <v>60760.75</v>
      </c>
      <c r="E5" s="15">
        <v>32871.56</v>
      </c>
      <c r="F5" s="15">
        <f t="shared" ref="F5:F68" si="0">IF(AND(ISNUMBER(D5),ISNUMBER(E5)), D5-E5, "")</f>
        <v>27889.190000000002</v>
      </c>
      <c r="G5" s="16">
        <f>IFERROR(F5/E5, "")</f>
        <v>0.84842915882300696</v>
      </c>
      <c r="H5" s="17">
        <v>75295.58</v>
      </c>
      <c r="I5" s="17">
        <f t="shared" ref="I5:I17" si="1">IF(AND(ISNUMBER(D5),ISNUMBER(H5)), D5-H5, "")</f>
        <v>-14534.830000000002</v>
      </c>
      <c r="J5" s="16">
        <f t="shared" ref="J5:J17" si="2">IFERROR(I5/H5, "")</f>
        <v>-0.19303696179775759</v>
      </c>
      <c r="K5" s="16">
        <v>1</v>
      </c>
      <c r="L5" s="61" t="s">
        <v>538</v>
      </c>
      <c r="M5" s="61" t="s">
        <v>540</v>
      </c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20023.919036003801</v>
      </c>
      <c r="E6" s="11">
        <v>0</v>
      </c>
      <c r="F6" s="11">
        <f t="shared" si="0"/>
        <v>20023.919036003801</v>
      </c>
      <c r="G6" s="12" t="str">
        <f t="shared" ref="G6:G69" si="3">IFERROR(F6/E6, "")</f>
        <v/>
      </c>
      <c r="H6" s="13">
        <v>18608</v>
      </c>
      <c r="I6" s="13">
        <f t="shared" si="1"/>
        <v>1415.919036003801</v>
      </c>
      <c r="J6" s="14">
        <f t="shared" si="2"/>
        <v>7.6091951633910207E-2</v>
      </c>
      <c r="K6" s="14">
        <v>0.5</v>
      </c>
      <c r="L6" s="66"/>
      <c r="M6" s="66"/>
    </row>
    <row r="7" spans="1:13" ht="29.1">
      <c r="A7" s="27" t="str">
        <v>Noble</v>
      </c>
      <c r="B7" s="28" t="str">
        <v>AZ</v>
      </c>
      <c r="C7" s="28" t="str">
        <f>Sites[[#This Row],[SOL'#]]</f>
        <v>SOL-10750</v>
      </c>
      <c r="D7" s="10">
        <v>8266.2481765341909</v>
      </c>
      <c r="E7" s="15">
        <v>7863.5940000000001</v>
      </c>
      <c r="F7" s="15">
        <f t="shared" si="0"/>
        <v>402.65417653419081</v>
      </c>
      <c r="G7" s="16">
        <f t="shared" si="3"/>
        <v>5.1204853217776861E-2</v>
      </c>
      <c r="H7" s="17">
        <v>15387.66</v>
      </c>
      <c r="I7" s="17">
        <f t="shared" si="1"/>
        <v>-7121.411823465809</v>
      </c>
      <c r="J7" s="16">
        <f t="shared" si="2"/>
        <v>-0.46280018036958243</v>
      </c>
      <c r="K7" s="16">
        <v>0.97551019999999999</v>
      </c>
      <c r="L7" s="61" t="s">
        <v>541</v>
      </c>
      <c r="M7" s="61" t="s">
        <v>542</v>
      </c>
    </row>
    <row r="8" spans="1:13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v>18705.832344813301</v>
      </c>
      <c r="E8" s="11">
        <v>19878.29</v>
      </c>
      <c r="F8" s="11">
        <f t="shared" si="0"/>
        <v>-1172.4576551866994</v>
      </c>
      <c r="G8" s="12">
        <f t="shared" si="3"/>
        <v>-5.8981816604280313E-2</v>
      </c>
      <c r="H8" s="13">
        <v>31601.98</v>
      </c>
      <c r="I8" s="13">
        <f t="shared" si="1"/>
        <v>-12896.147655186698</v>
      </c>
      <c r="J8" s="14">
        <f t="shared" si="2"/>
        <v>-0.40808036886254273</v>
      </c>
      <c r="K8" s="14">
        <v>0.7</v>
      </c>
      <c r="L8" s="66" t="s">
        <v>543</v>
      </c>
      <c r="M8" s="66" t="s">
        <v>544</v>
      </c>
    </row>
    <row r="9" spans="1:13" ht="29.1">
      <c r="A9" s="27" t="str">
        <v>PE East</v>
      </c>
      <c r="B9" s="28" t="str">
        <v>AZ</v>
      </c>
      <c r="C9" s="28" t="str">
        <f>Sites[[#This Row],[SOL'#]]</f>
        <v>SOL-10752</v>
      </c>
      <c r="D9" s="10">
        <v>29501.742351507299</v>
      </c>
      <c r="E9" s="15">
        <v>13998.62</v>
      </c>
      <c r="F9" s="15">
        <f t="shared" si="0"/>
        <v>15503.122351507298</v>
      </c>
      <c r="G9" s="16">
        <f t="shared" si="3"/>
        <v>1.107475047648075</v>
      </c>
      <c r="H9" s="17">
        <v>32224.44</v>
      </c>
      <c r="I9" s="17">
        <f t="shared" si="1"/>
        <v>-2722.6976484927</v>
      </c>
      <c r="J9" s="16">
        <f t="shared" si="2"/>
        <v>-8.4491697869464921E-2</v>
      </c>
      <c r="K9" s="16">
        <v>0.99301980000000001</v>
      </c>
      <c r="L9" s="61" t="s">
        <v>545</v>
      </c>
      <c r="M9" s="61" t="s">
        <v>546</v>
      </c>
    </row>
    <row r="10" spans="1:13" ht="29.1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13521.178192043801</v>
      </c>
      <c r="E10" s="11">
        <v>5763.3410000000003</v>
      </c>
      <c r="F10" s="11">
        <f t="shared" si="0"/>
        <v>7757.8371920438003</v>
      </c>
      <c r="G10" s="12">
        <f t="shared" si="3"/>
        <v>1.3460659697289818</v>
      </c>
      <c r="H10" s="13">
        <v>13911</v>
      </c>
      <c r="I10" s="13">
        <f t="shared" si="1"/>
        <v>-389.82180795619934</v>
      </c>
      <c r="J10" s="14">
        <f t="shared" si="2"/>
        <v>-2.8022558260096277E-2</v>
      </c>
      <c r="K10" s="14">
        <v>1</v>
      </c>
      <c r="L10" s="66" t="s">
        <v>545</v>
      </c>
      <c r="M10" s="66" t="s">
        <v>547</v>
      </c>
    </row>
    <row r="11" spans="1:13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9630.3999999999905</v>
      </c>
      <c r="E11" s="15">
        <v>0</v>
      </c>
      <c r="F11" s="15">
        <f t="shared" si="0"/>
        <v>9630.3999999999905</v>
      </c>
      <c r="G11" s="16" t="str">
        <f t="shared" si="3"/>
        <v/>
      </c>
      <c r="H11" s="17">
        <v>12274</v>
      </c>
      <c r="I11" s="17">
        <f t="shared" si="1"/>
        <v>-2643.6000000000095</v>
      </c>
      <c r="J11" s="16">
        <f t="shared" si="2"/>
        <v>-0.21538210852207995</v>
      </c>
      <c r="K11" s="16">
        <v>0.33219959999999998</v>
      </c>
      <c r="L11" s="61"/>
      <c r="M11" s="61"/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78146</v>
      </c>
      <c r="E12" s="11">
        <v>92632.09</v>
      </c>
      <c r="F12" s="11">
        <f t="shared" si="0"/>
        <v>-14486.089999999997</v>
      </c>
      <c r="G12" s="12">
        <f t="shared" si="3"/>
        <v>-0.15638306336389471</v>
      </c>
      <c r="H12" s="13">
        <v>75946</v>
      </c>
      <c r="I12" s="13">
        <f t="shared" si="1"/>
        <v>2200</v>
      </c>
      <c r="J12" s="14">
        <f t="shared" si="2"/>
        <v>2.8967950912490454E-2</v>
      </c>
      <c r="K12" s="14">
        <v>1</v>
      </c>
      <c r="L12" s="66"/>
      <c r="M12" s="66"/>
    </row>
    <row r="13" spans="1:13" ht="29.1">
      <c r="A13" s="27" t="str">
        <v>Kinsman</v>
      </c>
      <c r="B13" s="28" t="str">
        <v>OH</v>
      </c>
      <c r="C13" s="28" t="str">
        <f>Sites[[#This Row],[SOL'#]]</f>
        <v>SOL-10762</v>
      </c>
      <c r="D13" s="10">
        <v>90055.5234375</v>
      </c>
      <c r="E13" s="15">
        <v>128646.2</v>
      </c>
      <c r="F13" s="15">
        <f t="shared" si="0"/>
        <v>-38590.676562499997</v>
      </c>
      <c r="G13" s="16">
        <f t="shared" si="3"/>
        <v>-0.29997525432154232</v>
      </c>
      <c r="H13" s="17">
        <v>134720</v>
      </c>
      <c r="I13" s="17">
        <f t="shared" si="1"/>
        <v>-44664.4765625</v>
      </c>
      <c r="J13" s="16">
        <f t="shared" si="2"/>
        <v>-0.33153560393779691</v>
      </c>
      <c r="K13" s="16">
        <v>1</v>
      </c>
      <c r="L13" s="61" t="s">
        <v>453</v>
      </c>
      <c r="M13" s="61" t="s">
        <v>255</v>
      </c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v>22929.75</v>
      </c>
      <c r="E14" s="11">
        <v>0</v>
      </c>
      <c r="F14" s="11">
        <f t="shared" si="0"/>
        <v>22929.75</v>
      </c>
      <c r="G14" s="12" t="str">
        <f t="shared" si="3"/>
        <v/>
      </c>
      <c r="H14" s="13">
        <v>32422</v>
      </c>
      <c r="I14" s="13">
        <f t="shared" si="1"/>
        <v>-9492.25</v>
      </c>
      <c r="J14" s="14">
        <f t="shared" si="2"/>
        <v>-0.29277188328912468</v>
      </c>
      <c r="K14" s="14">
        <v>1</v>
      </c>
      <c r="L14" s="66" t="s">
        <v>548</v>
      </c>
      <c r="M14" s="66"/>
    </row>
    <row r="15" spans="1:13" ht="29.1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17271.421590914699</v>
      </c>
      <c r="E15" s="15">
        <v>3495.732</v>
      </c>
      <c r="F15" s="15">
        <f t="shared" si="0"/>
        <v>13775.689590914699</v>
      </c>
      <c r="G15" s="16">
        <f t="shared" si="3"/>
        <v>3.9407167342675864</v>
      </c>
      <c r="H15" s="17">
        <v>20459</v>
      </c>
      <c r="I15" s="17">
        <f t="shared" si="1"/>
        <v>-3187.5784090853012</v>
      </c>
      <c r="J15" s="16">
        <f t="shared" si="2"/>
        <v>-0.15580323618384581</v>
      </c>
      <c r="K15" s="16">
        <v>1</v>
      </c>
      <c r="L15" s="61" t="s">
        <v>545</v>
      </c>
      <c r="M15" s="61" t="s">
        <v>549</v>
      </c>
    </row>
    <row r="16" spans="1:13" ht="43.5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9774.1951008613705</v>
      </c>
      <c r="E16" s="11">
        <v>3463.3490000000002</v>
      </c>
      <c r="F16" s="11">
        <f t="shared" si="0"/>
        <v>6310.8461008613704</v>
      </c>
      <c r="G16" s="12">
        <f t="shared" si="3"/>
        <v>1.8221802367769953</v>
      </c>
      <c r="H16" s="13">
        <v>16247</v>
      </c>
      <c r="I16" s="13">
        <f t="shared" si="1"/>
        <v>-6472.8048991386295</v>
      </c>
      <c r="J16" s="14">
        <f t="shared" si="2"/>
        <v>-0.39840000610196524</v>
      </c>
      <c r="K16" s="14">
        <v>1</v>
      </c>
      <c r="L16" s="66" t="s">
        <v>550</v>
      </c>
      <c r="M16" s="66" t="s">
        <v>551</v>
      </c>
    </row>
    <row r="17" spans="1:13" ht="43.5">
      <c r="A17" s="27" t="str">
        <v>SCNM</v>
      </c>
      <c r="B17" s="28" t="str">
        <v>AZ</v>
      </c>
      <c r="C17" s="28" t="str">
        <f>Sites[[#This Row],[SOL'#]]</f>
        <v>SOL-10760</v>
      </c>
      <c r="D17" s="10">
        <v>76783.680000000197</v>
      </c>
      <c r="E17" s="15">
        <v>26087.13</v>
      </c>
      <c r="F17" s="15">
        <f t="shared" si="0"/>
        <v>50696.550000000192</v>
      </c>
      <c r="G17" s="16">
        <f t="shared" si="3"/>
        <v>1.9433548266904097</v>
      </c>
      <c r="H17" s="17">
        <v>97978</v>
      </c>
      <c r="I17" s="17">
        <f t="shared" si="1"/>
        <v>-21194.319999999803</v>
      </c>
      <c r="J17" s="16">
        <f t="shared" si="2"/>
        <v>-0.21631713241747946</v>
      </c>
      <c r="K17" s="16">
        <v>0.99761909999999998</v>
      </c>
      <c r="L17" s="61" t="s">
        <v>552</v>
      </c>
      <c r="M17" s="61" t="s">
        <v>553</v>
      </c>
    </row>
    <row r="18" spans="1:13" ht="4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25344.145225114102</v>
      </c>
      <c r="E18" s="11">
        <v>0</v>
      </c>
      <c r="F18" s="11">
        <f t="shared" si="0"/>
        <v>25344.145225114102</v>
      </c>
      <c r="G18" s="12" t="str">
        <f t="shared" si="3"/>
        <v/>
      </c>
      <c r="H18" s="13">
        <v>54702</v>
      </c>
      <c r="I18" s="13">
        <f t="shared" ref="I18:I81" si="4">IF(AND(ISNUMBER(D18),ISNUMBER(H18)), D18-H18, "")</f>
        <v>-29357.854774885898</v>
      </c>
      <c r="J18" s="14">
        <f t="shared" ref="J18:J81" si="5">IFERROR(I18/H18, "")</f>
        <v>-0.53668704571836312</v>
      </c>
      <c r="K18" s="80">
        <v>0.99933329999999998</v>
      </c>
      <c r="L18" s="66" t="s">
        <v>554</v>
      </c>
      <c r="M18" s="66" t="s">
        <v>555</v>
      </c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v>152901</v>
      </c>
      <c r="E19" s="15">
        <v>188278.39999999999</v>
      </c>
      <c r="F19" s="15">
        <f t="shared" si="0"/>
        <v>-35377.399999999994</v>
      </c>
      <c r="G19" s="16">
        <f t="shared" si="3"/>
        <v>-0.18789940853544534</v>
      </c>
      <c r="H19" s="17">
        <v>138277.79999999999</v>
      </c>
      <c r="I19" s="17">
        <f t="shared" si="4"/>
        <v>14623.200000000012</v>
      </c>
      <c r="J19" s="16">
        <f t="shared" si="5"/>
        <v>0.1057523333463507</v>
      </c>
      <c r="K19" s="16">
        <v>1</v>
      </c>
      <c r="L19" s="61"/>
      <c r="M19" s="62"/>
    </row>
    <row r="20" spans="1:13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41643.625</v>
      </c>
      <c r="E20" s="11">
        <v>40963.07</v>
      </c>
      <c r="F20" s="11">
        <f t="shared" si="0"/>
        <v>680.55500000000029</v>
      </c>
      <c r="G20" s="12">
        <f t="shared" si="3"/>
        <v>1.6613867075880796E-2</v>
      </c>
      <c r="H20" s="13">
        <v>36569.730000000003</v>
      </c>
      <c r="I20" s="13">
        <f t="shared" si="4"/>
        <v>5073.8949999999968</v>
      </c>
      <c r="J20" s="14">
        <f t="shared" si="5"/>
        <v>0.13874576049645421</v>
      </c>
      <c r="K20" s="80">
        <v>1</v>
      </c>
      <c r="L20" s="66"/>
      <c r="M20" s="66"/>
    </row>
    <row r="21" spans="1:13" ht="24" customHeight="1">
      <c r="A21" s="27" t="str">
        <v>K026</v>
      </c>
      <c r="B21" s="28" t="str">
        <v>NY</v>
      </c>
      <c r="C21" s="28" t="str">
        <f>Sites[[#This Row],[SOL'#]]</f>
        <v>SOL-10356</v>
      </c>
      <c r="D21" s="10">
        <v>40660.937499999898</v>
      </c>
      <c r="E21" s="15">
        <v>45858.74</v>
      </c>
      <c r="F21" s="15">
        <f t="shared" si="0"/>
        <v>-5197.8025000000998</v>
      </c>
      <c r="G21" s="16">
        <f t="shared" si="3"/>
        <v>-0.11334377045684421</v>
      </c>
      <c r="H21" s="17">
        <v>38285.699999999997</v>
      </c>
      <c r="I21" s="17">
        <f t="shared" si="4"/>
        <v>2375.237499999901</v>
      </c>
      <c r="J21" s="16">
        <f t="shared" si="5"/>
        <v>6.2039808596940929E-2</v>
      </c>
      <c r="K21" s="16">
        <v>1</v>
      </c>
      <c r="L21" s="61" t="s">
        <v>556</v>
      </c>
      <c r="M21" s="61" t="s">
        <v>557</v>
      </c>
    </row>
    <row r="22" spans="1:13" ht="29.1">
      <c r="A22" s="25" t="str">
        <v>K041</v>
      </c>
      <c r="B22" s="26" t="str">
        <v>NY</v>
      </c>
      <c r="C22" s="26" t="str">
        <f>Sites[[#This Row],[SOL'#]]</f>
        <v>SOL-10357</v>
      </c>
      <c r="D22" s="21">
        <v>28750.328125</v>
      </c>
      <c r="E22" s="11">
        <v>36847.5</v>
      </c>
      <c r="F22" s="11">
        <f t="shared" si="0"/>
        <v>-8097.171875</v>
      </c>
      <c r="G22" s="12">
        <f t="shared" si="3"/>
        <v>-0.21974820204898568</v>
      </c>
      <c r="H22" s="13">
        <v>31695</v>
      </c>
      <c r="I22" s="13">
        <f t="shared" si="4"/>
        <v>-2944.671875</v>
      </c>
      <c r="J22" s="14">
        <f t="shared" si="5"/>
        <v>-9.2906511279381612E-2</v>
      </c>
      <c r="K22" s="80">
        <v>1</v>
      </c>
      <c r="L22" s="66" t="s">
        <v>558</v>
      </c>
      <c r="M22" s="66" t="s">
        <v>559</v>
      </c>
    </row>
    <row r="23" spans="1:13" ht="29.1">
      <c r="A23" s="27" t="str">
        <v>K043</v>
      </c>
      <c r="B23" s="28" t="str">
        <v>NY</v>
      </c>
      <c r="C23" s="28" t="str">
        <f>Sites[[#This Row],[SOL'#]]</f>
        <v>SOL-10358</v>
      </c>
      <c r="D23" s="10">
        <v>39799.78125</v>
      </c>
      <c r="E23" s="15">
        <v>41524.660000000003</v>
      </c>
      <c r="F23" s="15">
        <f t="shared" si="0"/>
        <v>-1724.8787500000035</v>
      </c>
      <c r="G23" s="16">
        <f t="shared" si="3"/>
        <v>-4.1538660400831783E-2</v>
      </c>
      <c r="H23" s="17">
        <v>6951</v>
      </c>
      <c r="I23" s="17">
        <f t="shared" si="4"/>
        <v>32848.78125</v>
      </c>
      <c r="J23" s="16">
        <f t="shared" si="5"/>
        <v>4.7257633793698748</v>
      </c>
      <c r="K23" s="16">
        <v>0.97378780000000009</v>
      </c>
      <c r="L23" s="61" t="s">
        <v>560</v>
      </c>
      <c r="M23" s="61" t="s">
        <v>561</v>
      </c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v>31398.1875</v>
      </c>
      <c r="E24" s="11">
        <v>32750.91</v>
      </c>
      <c r="F24" s="11">
        <f t="shared" si="0"/>
        <v>-1352.7224999999999</v>
      </c>
      <c r="G24" s="12">
        <f t="shared" si="3"/>
        <v>-4.1303356151019918E-2</v>
      </c>
      <c r="H24" s="13">
        <v>28504.33</v>
      </c>
      <c r="I24" s="13">
        <f t="shared" si="4"/>
        <v>2893.8574999999983</v>
      </c>
      <c r="J24" s="14">
        <f t="shared" si="5"/>
        <v>0.10152343521142219</v>
      </c>
      <c r="K24" s="80">
        <v>0.99924239999999998</v>
      </c>
      <c r="L24" s="66"/>
      <c r="M24" s="66"/>
    </row>
    <row r="25" spans="1:13" ht="29.1">
      <c r="A25" s="27" t="str">
        <v>K115</v>
      </c>
      <c r="B25" s="28" t="str">
        <v>NY</v>
      </c>
      <c r="C25" s="28" t="str">
        <f>Sites[[#This Row],[SOL'#]]</f>
        <v>SOL-10361</v>
      </c>
      <c r="D25" s="10">
        <v>8760.1260937499992</v>
      </c>
      <c r="E25" s="15">
        <v>13173.12</v>
      </c>
      <c r="F25" s="15">
        <f t="shared" si="0"/>
        <v>-4412.9939062500016</v>
      </c>
      <c r="G25" s="16">
        <f t="shared" si="3"/>
        <v>-0.33499990178864242</v>
      </c>
      <c r="H25" s="17">
        <v>18400.580000000002</v>
      </c>
      <c r="I25" s="17">
        <f t="shared" si="4"/>
        <v>-9640.4539062500025</v>
      </c>
      <c r="J25" s="16">
        <f t="shared" si="5"/>
        <v>-0.52392119738888676</v>
      </c>
      <c r="K25" s="16">
        <v>0.9663276999999999</v>
      </c>
      <c r="L25" s="76" t="s">
        <v>349</v>
      </c>
      <c r="M25" s="76" t="s">
        <v>45</v>
      </c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v>12088.46875</v>
      </c>
      <c r="E26" s="11">
        <v>12583.36</v>
      </c>
      <c r="F26" s="11">
        <f t="shared" si="0"/>
        <v>-494.89125000000058</v>
      </c>
      <c r="G26" s="12">
        <f t="shared" si="3"/>
        <v>-3.9329022613991856E-2</v>
      </c>
      <c r="H26" s="13">
        <v>10940</v>
      </c>
      <c r="I26" s="13">
        <f t="shared" si="4"/>
        <v>1148.46875</v>
      </c>
      <c r="J26" s="14">
        <f t="shared" si="5"/>
        <v>0.10497886197440585</v>
      </c>
      <c r="K26" s="80">
        <v>1</v>
      </c>
      <c r="L26" s="66"/>
      <c r="M26" s="66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v>43540.625</v>
      </c>
      <c r="E27" s="15">
        <v>47509.45</v>
      </c>
      <c r="F27" s="15">
        <f t="shared" si="0"/>
        <v>-3968.8249999999971</v>
      </c>
      <c r="G27" s="16">
        <f t="shared" si="3"/>
        <v>-8.3537590942433501E-2</v>
      </c>
      <c r="H27" s="17">
        <v>40516.949999999997</v>
      </c>
      <c r="I27" s="17">
        <f t="shared" si="4"/>
        <v>3023.6750000000029</v>
      </c>
      <c r="J27" s="16">
        <f t="shared" si="5"/>
        <v>7.4627409022643684E-2</v>
      </c>
      <c r="K27" s="16">
        <v>1</v>
      </c>
      <c r="L27" s="61"/>
      <c r="M27" s="62"/>
    </row>
    <row r="28" spans="1:13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v>26787.535906711801</v>
      </c>
      <c r="E28" s="11">
        <v>25504.49</v>
      </c>
      <c r="F28" s="11">
        <f t="shared" si="0"/>
        <v>1283.045906711799</v>
      </c>
      <c r="G28" s="12">
        <f t="shared" si="3"/>
        <v>5.0306667834244048E-2</v>
      </c>
      <c r="H28" s="13">
        <v>23702</v>
      </c>
      <c r="I28" s="13">
        <f t="shared" si="4"/>
        <v>3085.5359067118006</v>
      </c>
      <c r="J28" s="14">
        <f t="shared" si="5"/>
        <v>0.13018040278085397</v>
      </c>
      <c r="K28" s="80">
        <v>0.99267420000000006</v>
      </c>
      <c r="L28" s="66"/>
      <c r="M28" s="66"/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v>27935</v>
      </c>
      <c r="E29" s="15">
        <v>29436.04</v>
      </c>
      <c r="F29" s="15">
        <f t="shared" si="0"/>
        <v>-1501.0400000000009</v>
      </c>
      <c r="G29" s="16">
        <f t="shared" si="3"/>
        <v>-5.0993272192862926E-2</v>
      </c>
      <c r="H29" s="17">
        <v>25590.28</v>
      </c>
      <c r="I29" s="17">
        <f t="shared" si="4"/>
        <v>2344.7200000000012</v>
      </c>
      <c r="J29" s="16">
        <f t="shared" si="5"/>
        <v>9.1625414024387439E-2</v>
      </c>
      <c r="K29" s="16">
        <v>1</v>
      </c>
      <c r="L29" s="61"/>
      <c r="M29" s="61"/>
    </row>
    <row r="30" spans="1:13" ht="46.5" customHeight="1">
      <c r="A30" s="25" t="str">
        <v>K269</v>
      </c>
      <c r="B30" s="26" t="str">
        <v>NY</v>
      </c>
      <c r="C30" s="26" t="str">
        <f>Sites[[#This Row],[SOL'#]]</f>
        <v>SOL-10366</v>
      </c>
      <c r="D30" s="21">
        <v>25941.78125</v>
      </c>
      <c r="E30" s="11">
        <v>6230.46</v>
      </c>
      <c r="F30" s="11">
        <f t="shared" si="0"/>
        <v>19711.321250000001</v>
      </c>
      <c r="G30" s="12">
        <f t="shared" si="3"/>
        <v>3.1637023991807989</v>
      </c>
      <c r="H30" s="13">
        <v>25177.79</v>
      </c>
      <c r="I30" s="13">
        <f t="shared" si="4"/>
        <v>763.99124999999913</v>
      </c>
      <c r="J30" s="14">
        <f t="shared" si="5"/>
        <v>3.0343856629195774E-2</v>
      </c>
      <c r="K30" s="80">
        <v>1</v>
      </c>
      <c r="L30" s="66" t="s">
        <v>562</v>
      </c>
      <c r="M30" s="66" t="s">
        <v>563</v>
      </c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v>28977.0625</v>
      </c>
      <c r="E31" s="15"/>
      <c r="F31" s="15" t="str">
        <f t="shared" si="0"/>
        <v/>
      </c>
      <c r="G31" s="16" t="str">
        <f t="shared" si="3"/>
        <v/>
      </c>
      <c r="H31" s="17">
        <v>30934</v>
      </c>
      <c r="I31" s="17">
        <f t="shared" si="4"/>
        <v>-1956.9375</v>
      </c>
      <c r="J31" s="16">
        <f t="shared" si="5"/>
        <v>-6.3261702334001427E-2</v>
      </c>
      <c r="K31" s="16">
        <v>1</v>
      </c>
      <c r="L31" s="61" t="s">
        <v>564</v>
      </c>
      <c r="M31" s="61" t="s">
        <v>565</v>
      </c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v>23313.46875</v>
      </c>
      <c r="E32" s="11">
        <v>19841.04</v>
      </c>
      <c r="F32" s="11">
        <f t="shared" si="0"/>
        <v>3472.4287499999991</v>
      </c>
      <c r="G32" s="12">
        <f t="shared" si="3"/>
        <v>0.17501243634406255</v>
      </c>
      <c r="H32" s="13">
        <v>21718</v>
      </c>
      <c r="I32" s="13">
        <f t="shared" si="4"/>
        <v>1595.46875</v>
      </c>
      <c r="J32" s="14">
        <f t="shared" si="5"/>
        <v>7.3462968505387236E-2</v>
      </c>
      <c r="K32" s="80">
        <v>1</v>
      </c>
      <c r="L32" s="66"/>
      <c r="M32" s="66"/>
    </row>
    <row r="33" spans="1:13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v>25362.65625</v>
      </c>
      <c r="E33" s="15">
        <v>25833.74</v>
      </c>
      <c r="F33" s="15">
        <f t="shared" si="0"/>
        <v>-471.0837500000016</v>
      </c>
      <c r="G33" s="16">
        <f t="shared" si="3"/>
        <v>-1.8235212942454386E-2</v>
      </c>
      <c r="H33" s="17">
        <v>25175</v>
      </c>
      <c r="I33" s="17">
        <f t="shared" si="4"/>
        <v>187.65625</v>
      </c>
      <c r="J33" s="16">
        <f t="shared" si="5"/>
        <v>7.4540714995034755E-3</v>
      </c>
      <c r="K33" s="16">
        <v>1</v>
      </c>
      <c r="L33" s="61"/>
      <c r="M33" s="62"/>
    </row>
    <row r="34" spans="1:13" ht="15.6">
      <c r="A34" s="25" t="str">
        <v>K335</v>
      </c>
      <c r="B34" s="26" t="str">
        <v>NY</v>
      </c>
      <c r="C34" s="26" t="str">
        <f>Sites[[#This Row],[SOL'#]]</f>
        <v>SOL-10370</v>
      </c>
      <c r="D34" s="21">
        <v>25783.625</v>
      </c>
      <c r="E34" s="11">
        <v>29127.03</v>
      </c>
      <c r="F34" s="11">
        <f t="shared" si="0"/>
        <v>-3343.4049999999988</v>
      </c>
      <c r="G34" s="12">
        <f t="shared" si="3"/>
        <v>-0.11478702085313879</v>
      </c>
      <c r="H34" s="13">
        <v>25592</v>
      </c>
      <c r="I34" s="13">
        <f t="shared" si="4"/>
        <v>191.625</v>
      </c>
      <c r="J34" s="14">
        <f t="shared" si="5"/>
        <v>7.4876914660831507E-3</v>
      </c>
      <c r="K34" s="80">
        <v>1</v>
      </c>
      <c r="L34" s="66"/>
      <c r="M34" s="66"/>
    </row>
    <row r="35" spans="1:13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v>30008.5625</v>
      </c>
      <c r="E35" s="15">
        <v>17659.22</v>
      </c>
      <c r="F35" s="15">
        <f t="shared" si="0"/>
        <v>12349.342499999999</v>
      </c>
      <c r="G35" s="16">
        <f t="shared" si="3"/>
        <v>0.69931415430579591</v>
      </c>
      <c r="H35" s="17">
        <v>29326</v>
      </c>
      <c r="I35" s="17">
        <f t="shared" si="4"/>
        <v>682.5625</v>
      </c>
      <c r="J35" s="16">
        <f t="shared" si="5"/>
        <v>2.3274994885084908E-2</v>
      </c>
      <c r="K35" s="16">
        <v>0.97308850000000002</v>
      </c>
      <c r="L35" s="61"/>
      <c r="M35" s="62"/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v>24850.1730410448</v>
      </c>
      <c r="E36" s="11">
        <v>27092.32</v>
      </c>
      <c r="F36" s="11">
        <f t="shared" si="0"/>
        <v>-2242.1469589551998</v>
      </c>
      <c r="G36" s="12">
        <f t="shared" si="3"/>
        <v>-8.2759503761774544E-2</v>
      </c>
      <c r="H36" s="13">
        <v>23802.3</v>
      </c>
      <c r="I36" s="13">
        <f t="shared" si="4"/>
        <v>1047.8730410448006</v>
      </c>
      <c r="J36" s="14">
        <f t="shared" si="5"/>
        <v>4.4024024612949193E-2</v>
      </c>
      <c r="K36" s="80">
        <v>1</v>
      </c>
      <c r="L36" s="66" t="s">
        <v>566</v>
      </c>
      <c r="M36" s="66" t="s">
        <v>567</v>
      </c>
    </row>
    <row r="37" spans="1:13" ht="15.6">
      <c r="A37" s="27" t="str">
        <v>K495</v>
      </c>
      <c r="B37" s="28" t="str">
        <v>NY</v>
      </c>
      <c r="C37" s="28" t="str">
        <f>Sites[[#This Row],[SOL'#]]</f>
        <v>SOL-10374</v>
      </c>
      <c r="D37" s="10">
        <v>106862.875</v>
      </c>
      <c r="E37" s="15">
        <v>85483.59</v>
      </c>
      <c r="F37" s="15">
        <f t="shared" si="0"/>
        <v>21379.285000000003</v>
      </c>
      <c r="G37" s="16">
        <f t="shared" si="3"/>
        <v>0.25009811824702266</v>
      </c>
      <c r="H37" s="17">
        <v>101327</v>
      </c>
      <c r="I37" s="17">
        <f t="shared" si="4"/>
        <v>5535.875</v>
      </c>
      <c r="J37" s="16">
        <f t="shared" si="5"/>
        <v>5.4633760004737138E-2</v>
      </c>
      <c r="K37" s="16">
        <v>0.98087570000000002</v>
      </c>
      <c r="L37" s="61"/>
      <c r="M37" s="62"/>
    </row>
    <row r="38" spans="1:13" ht="72.599999999999994">
      <c r="A38" s="25" t="str">
        <v>M020</v>
      </c>
      <c r="B38" s="26" t="str">
        <v>NY</v>
      </c>
      <c r="C38" s="26" t="str">
        <f>Sites[[#This Row],[SOL'#]]</f>
        <v>SOL-10380</v>
      </c>
      <c r="D38" s="21">
        <v>25577.28125</v>
      </c>
      <c r="E38" s="11">
        <v>28021.63</v>
      </c>
      <c r="F38" s="11">
        <f t="shared" si="0"/>
        <v>-2444.348750000001</v>
      </c>
      <c r="G38" s="12">
        <f t="shared" si="3"/>
        <v>-8.7230783862323524E-2</v>
      </c>
      <c r="H38" s="13">
        <v>27263</v>
      </c>
      <c r="I38" s="13">
        <f t="shared" si="4"/>
        <v>-1685.71875</v>
      </c>
      <c r="J38" s="14">
        <f t="shared" si="5"/>
        <v>-6.1831740820892787E-2</v>
      </c>
      <c r="K38" s="80">
        <v>0.98207149999999999</v>
      </c>
      <c r="L38" s="66" t="s">
        <v>568</v>
      </c>
      <c r="M38" s="66" t="s">
        <v>569</v>
      </c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v>27131.15625</v>
      </c>
      <c r="E39" s="15">
        <v>29054.83</v>
      </c>
      <c r="F39" s="15">
        <f t="shared" si="0"/>
        <v>-1923.6737500000017</v>
      </c>
      <c r="G39" s="16">
        <f t="shared" si="3"/>
        <v>-6.6208398052922751E-2</v>
      </c>
      <c r="H39" s="17">
        <v>26244.09</v>
      </c>
      <c r="I39" s="17">
        <f t="shared" si="4"/>
        <v>887.06624999999985</v>
      </c>
      <c r="J39" s="16">
        <f t="shared" si="5"/>
        <v>3.3800609965900889E-2</v>
      </c>
      <c r="K39" s="16">
        <v>1</v>
      </c>
      <c r="L39" s="61"/>
      <c r="M39" s="62"/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v>30922.59375</v>
      </c>
      <c r="E40" s="11">
        <v>36496.75</v>
      </c>
      <c r="F40" s="11">
        <f t="shared" si="0"/>
        <v>-5574.15625</v>
      </c>
      <c r="G40" s="12">
        <f t="shared" si="3"/>
        <v>-0.15273020885421304</v>
      </c>
      <c r="H40" s="13">
        <v>28924.31</v>
      </c>
      <c r="I40" s="13">
        <f t="shared" si="4"/>
        <v>1998.2837499999987</v>
      </c>
      <c r="J40" s="14">
        <f t="shared" si="5"/>
        <v>6.9086652369581114E-2</v>
      </c>
      <c r="K40" s="80">
        <v>1</v>
      </c>
      <c r="L40" s="66"/>
      <c r="M40" s="66"/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v>43575.25</v>
      </c>
      <c r="E41" s="15">
        <v>0</v>
      </c>
      <c r="F41" s="15">
        <f t="shared" si="0"/>
        <v>43575.25</v>
      </c>
      <c r="G41" s="16" t="str">
        <f t="shared" si="3"/>
        <v/>
      </c>
      <c r="H41" s="17">
        <v>42444</v>
      </c>
      <c r="I41" s="17">
        <f t="shared" si="4"/>
        <v>1131.25</v>
      </c>
      <c r="J41" s="16">
        <f t="shared" si="5"/>
        <v>2.6652765997549711E-2</v>
      </c>
      <c r="K41" s="16">
        <v>0.98711860000000007</v>
      </c>
      <c r="L41" s="61"/>
      <c r="M41" s="61"/>
    </row>
    <row r="42" spans="1:13" ht="29.1">
      <c r="A42" s="25" t="str">
        <v>M167</v>
      </c>
      <c r="B42" s="26" t="str">
        <v>NY</v>
      </c>
      <c r="C42" s="26" t="str">
        <f>Sites[[#This Row],[SOL'#]]</f>
        <v>SOL-10386</v>
      </c>
      <c r="D42" s="21">
        <v>29949.5234375</v>
      </c>
      <c r="E42" s="11">
        <v>25602.52</v>
      </c>
      <c r="F42" s="11">
        <f t="shared" si="0"/>
        <v>4347.0034374999996</v>
      </c>
      <c r="G42" s="12">
        <f t="shared" si="3"/>
        <v>0.16978810826043683</v>
      </c>
      <c r="H42" s="13">
        <v>35646.01</v>
      </c>
      <c r="I42" s="13">
        <f t="shared" si="4"/>
        <v>-5696.486562500002</v>
      </c>
      <c r="J42" s="14">
        <f t="shared" si="5"/>
        <v>-0.15980713023701676</v>
      </c>
      <c r="K42" s="80">
        <v>0.99924239999999998</v>
      </c>
      <c r="L42" s="66" t="s">
        <v>570</v>
      </c>
      <c r="M42" s="66" t="s">
        <v>571</v>
      </c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v>23572.984375</v>
      </c>
      <c r="E43" s="15">
        <v>0</v>
      </c>
      <c r="F43" s="15">
        <f t="shared" si="0"/>
        <v>23572.984375</v>
      </c>
      <c r="G43" s="16" t="str">
        <f t="shared" si="3"/>
        <v/>
      </c>
      <c r="H43" s="17">
        <v>22705</v>
      </c>
      <c r="I43" s="17">
        <f t="shared" si="4"/>
        <v>867.984375</v>
      </c>
      <c r="J43" s="16">
        <f t="shared" si="5"/>
        <v>3.8228776701167144E-2</v>
      </c>
      <c r="K43" s="16">
        <v>0.98370059999999993</v>
      </c>
      <c r="L43" s="61"/>
      <c r="M43" s="62"/>
    </row>
    <row r="44" spans="1:13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v>11311.96875</v>
      </c>
      <c r="E44" s="11">
        <v>8094.866</v>
      </c>
      <c r="F44" s="11">
        <f t="shared" si="0"/>
        <v>3217.10275</v>
      </c>
      <c r="G44" s="12">
        <f t="shared" si="3"/>
        <v>0.39742507782092995</v>
      </c>
      <c r="H44" s="13">
        <v>12300.98</v>
      </c>
      <c r="I44" s="13">
        <f t="shared" si="4"/>
        <v>-989.01124999999956</v>
      </c>
      <c r="J44" s="14">
        <f t="shared" si="5"/>
        <v>-8.0401012764836591E-2</v>
      </c>
      <c r="K44" s="80">
        <v>1</v>
      </c>
      <c r="L44" s="66"/>
      <c r="M44" s="66"/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v>35588.796875</v>
      </c>
      <c r="E45" s="15">
        <v>36137.85</v>
      </c>
      <c r="F45" s="15">
        <f t="shared" si="0"/>
        <v>-549.05312499999854</v>
      </c>
      <c r="G45" s="16">
        <f t="shared" si="3"/>
        <v>-1.5193298024093813E-2</v>
      </c>
      <c r="H45" s="17">
        <v>35176</v>
      </c>
      <c r="I45" s="17">
        <f t="shared" si="4"/>
        <v>412.796875</v>
      </c>
      <c r="J45" s="16">
        <f t="shared" si="5"/>
        <v>1.1735185211507846E-2</v>
      </c>
      <c r="K45" s="16">
        <v>0.97454099999999999</v>
      </c>
      <c r="L45" s="61"/>
      <c r="M45" s="62"/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v>23666.6875</v>
      </c>
      <c r="E46" s="11">
        <v>25467</v>
      </c>
      <c r="F46" s="11">
        <f t="shared" si="0"/>
        <v>-1800.3125</v>
      </c>
      <c r="G46" s="12">
        <f t="shared" si="3"/>
        <v>-7.0691973927042837E-2</v>
      </c>
      <c r="H46" s="13">
        <v>20076.61</v>
      </c>
      <c r="I46" s="13">
        <f t="shared" si="4"/>
        <v>3590.0774999999994</v>
      </c>
      <c r="J46" s="14">
        <f t="shared" si="5"/>
        <v>0.1788189091684303</v>
      </c>
      <c r="K46" s="80">
        <v>1</v>
      </c>
      <c r="L46" s="66" t="s">
        <v>548</v>
      </c>
      <c r="M46" s="66"/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v>19145.28125</v>
      </c>
      <c r="E47" s="15">
        <v>18553.77</v>
      </c>
      <c r="F47" s="15">
        <f t="shared" si="0"/>
        <v>591.51124999999956</v>
      </c>
      <c r="G47" s="16">
        <f t="shared" si="3"/>
        <v>3.1880919619031577E-2</v>
      </c>
      <c r="H47" s="17">
        <v>16842.990000000002</v>
      </c>
      <c r="I47" s="17">
        <f t="shared" si="4"/>
        <v>2302.2912499999984</v>
      </c>
      <c r="J47" s="16">
        <f t="shared" si="5"/>
        <v>0.13669136240061877</v>
      </c>
      <c r="K47" s="16">
        <v>1</v>
      </c>
      <c r="L47" s="61"/>
      <c r="M47" s="62"/>
    </row>
    <row r="48" spans="1:13" ht="57.95">
      <c r="A48" s="25" t="str">
        <v>Q025</v>
      </c>
      <c r="B48" s="26" t="str">
        <v>NY</v>
      </c>
      <c r="C48" s="26" t="str">
        <f>Sites[[#This Row],[SOL'#]]</f>
        <v>SOL-10400</v>
      </c>
      <c r="D48" s="21">
        <v>32502.1875</v>
      </c>
      <c r="E48" s="11">
        <v>32818.18</v>
      </c>
      <c r="F48" s="11">
        <f t="shared" si="0"/>
        <v>-315.99250000000029</v>
      </c>
      <c r="G48" s="12">
        <f t="shared" si="3"/>
        <v>-9.6285808658493639E-3</v>
      </c>
      <c r="H48" s="13">
        <v>15102</v>
      </c>
      <c r="I48" s="13">
        <f t="shared" si="4"/>
        <v>17400.1875</v>
      </c>
      <c r="J48" s="14">
        <f t="shared" si="5"/>
        <v>1.1521776916964641</v>
      </c>
      <c r="K48" s="80">
        <v>1</v>
      </c>
      <c r="L48" s="66" t="s">
        <v>572</v>
      </c>
      <c r="M48" s="66" t="s">
        <v>360</v>
      </c>
    </row>
    <row r="49" spans="1:13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v>21355.84375</v>
      </c>
      <c r="E49" s="15">
        <v>21996.48</v>
      </c>
      <c r="F49" s="15">
        <f t="shared" si="0"/>
        <v>-640.63624999999956</v>
      </c>
      <c r="G49" s="16">
        <f t="shared" si="3"/>
        <v>-2.9124489463768728E-2</v>
      </c>
      <c r="H49" s="17">
        <v>19066.34</v>
      </c>
      <c r="I49" s="17">
        <f t="shared" si="4"/>
        <v>2289.5037499999999</v>
      </c>
      <c r="J49" s="16">
        <f t="shared" si="5"/>
        <v>0.12008092533753199</v>
      </c>
      <c r="K49" s="16">
        <v>1</v>
      </c>
      <c r="L49" s="61"/>
      <c r="M49" s="62"/>
    </row>
    <row r="50" spans="1:13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v>27330.15625</v>
      </c>
      <c r="E50" s="11">
        <v>29550.51</v>
      </c>
      <c r="F50" s="11">
        <f t="shared" si="0"/>
        <v>-2220.3537499999984</v>
      </c>
      <c r="G50" s="12">
        <f t="shared" si="3"/>
        <v>-7.5137577997807778E-2</v>
      </c>
      <c r="H50" s="13">
        <v>25163.98</v>
      </c>
      <c r="I50" s="13">
        <f t="shared" si="4"/>
        <v>2166.1762500000004</v>
      </c>
      <c r="J50" s="14">
        <f t="shared" si="5"/>
        <v>8.6082418202526004E-2</v>
      </c>
      <c r="K50" s="80">
        <v>1</v>
      </c>
      <c r="L50" s="66"/>
      <c r="M50" s="66"/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v>16844.96875</v>
      </c>
      <c r="E51" s="15">
        <v>18865.3</v>
      </c>
      <c r="F51" s="15">
        <f t="shared" si="0"/>
        <v>-2020.3312499999993</v>
      </c>
      <c r="G51" s="16">
        <f t="shared" si="3"/>
        <v>-0.10709245281018587</v>
      </c>
      <c r="H51" s="17">
        <v>16017</v>
      </c>
      <c r="I51" s="17">
        <f t="shared" si="4"/>
        <v>827.96875</v>
      </c>
      <c r="J51" s="16">
        <f t="shared" si="5"/>
        <v>5.1693122931884869E-2</v>
      </c>
      <c r="K51" s="16">
        <v>1</v>
      </c>
      <c r="L51" s="61"/>
      <c r="M51" s="62"/>
    </row>
    <row r="52" spans="1:13" ht="15.6">
      <c r="A52" s="25" t="str">
        <v>Q157</v>
      </c>
      <c r="B52" s="26" t="str">
        <v>NY</v>
      </c>
      <c r="C52" s="26" t="str">
        <f>Sites[[#This Row],[SOL'#]]</f>
        <v>SOL-10404</v>
      </c>
      <c r="D52" s="21">
        <v>22624.625</v>
      </c>
      <c r="E52" s="11">
        <v>27603.95</v>
      </c>
      <c r="F52" s="11">
        <f t="shared" si="0"/>
        <v>-4979.3250000000007</v>
      </c>
      <c r="G52" s="12">
        <f t="shared" si="3"/>
        <v>-0.18038451018785356</v>
      </c>
      <c r="H52" s="13">
        <v>27442.9</v>
      </c>
      <c r="I52" s="13">
        <f t="shared" si="4"/>
        <v>-4818.2750000000015</v>
      </c>
      <c r="J52" s="14">
        <f t="shared" si="5"/>
        <v>-0.17557455662484656</v>
      </c>
      <c r="K52" s="80">
        <v>1</v>
      </c>
      <c r="L52" s="66" t="s">
        <v>573</v>
      </c>
      <c r="M52" s="66" t="s">
        <v>574</v>
      </c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v>45171.625</v>
      </c>
      <c r="E53" s="15">
        <v>50176.26</v>
      </c>
      <c r="F53" s="15">
        <f t="shared" si="0"/>
        <v>-5004.635000000002</v>
      </c>
      <c r="G53" s="16">
        <f t="shared" si="3"/>
        <v>-9.9741092700013953E-2</v>
      </c>
      <c r="H53" s="17">
        <v>4133.7250000000004</v>
      </c>
      <c r="I53" s="17">
        <f t="shared" si="4"/>
        <v>41037.9</v>
      </c>
      <c r="J53" s="16">
        <f t="shared" si="5"/>
        <v>9.9275834749529785</v>
      </c>
      <c r="K53" s="16">
        <v>1</v>
      </c>
      <c r="L53" s="61"/>
      <c r="M53" s="61"/>
    </row>
    <row r="54" spans="1:13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v>37245.75</v>
      </c>
      <c r="E54" s="11">
        <v>38179.64</v>
      </c>
      <c r="F54" s="11">
        <f t="shared" si="0"/>
        <v>-933.88999999999942</v>
      </c>
      <c r="G54" s="12">
        <f t="shared" si="3"/>
        <v>-2.44604192182011E-2</v>
      </c>
      <c r="H54" s="13">
        <v>34306</v>
      </c>
      <c r="I54" s="13">
        <f t="shared" si="4"/>
        <v>2939.75</v>
      </c>
      <c r="J54" s="14">
        <f t="shared" si="5"/>
        <v>8.5692007229056136E-2</v>
      </c>
      <c r="K54" s="80">
        <v>1</v>
      </c>
      <c r="L54" s="66"/>
      <c r="M54" s="66"/>
    </row>
    <row r="55" spans="1:13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v>16502.031250000098</v>
      </c>
      <c r="E55" s="15">
        <v>18617.330000000002</v>
      </c>
      <c r="F55" s="15">
        <f t="shared" si="0"/>
        <v>-2115.2987499999035</v>
      </c>
      <c r="G55" s="16">
        <f t="shared" si="3"/>
        <v>-0.1136198772863726</v>
      </c>
      <c r="H55" s="17">
        <v>14907.09</v>
      </c>
      <c r="I55" s="17">
        <f t="shared" si="4"/>
        <v>1594.9412500000981</v>
      </c>
      <c r="J55" s="16">
        <f t="shared" si="5"/>
        <v>0.10699212589446351</v>
      </c>
      <c r="K55" s="16">
        <v>1</v>
      </c>
      <c r="L55" s="61" t="s">
        <v>575</v>
      </c>
      <c r="M55" s="61" t="s">
        <v>576</v>
      </c>
    </row>
    <row r="56" spans="1:13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v>61176.687500000102</v>
      </c>
      <c r="E56" s="11">
        <v>63398.89</v>
      </c>
      <c r="F56" s="11">
        <f t="shared" si="0"/>
        <v>-2222.2024999998976</v>
      </c>
      <c r="G56" s="12">
        <f t="shared" si="3"/>
        <v>-3.5051126289433424E-2</v>
      </c>
      <c r="H56" s="13">
        <v>58879</v>
      </c>
      <c r="I56" s="13">
        <f t="shared" si="4"/>
        <v>2297.6875000001019</v>
      </c>
      <c r="J56" s="14">
        <f t="shared" si="5"/>
        <v>3.9023887973642583E-2</v>
      </c>
      <c r="K56" s="80">
        <v>1</v>
      </c>
      <c r="L56" s="66"/>
      <c r="M56" s="66"/>
    </row>
    <row r="57" spans="1:13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v>64818.5</v>
      </c>
      <c r="E57" s="15">
        <v>71040.899999999994</v>
      </c>
      <c r="F57" s="15">
        <f t="shared" si="0"/>
        <v>-6222.3999999999942</v>
      </c>
      <c r="G57" s="16">
        <f t="shared" si="3"/>
        <v>-8.7588980432398725E-2</v>
      </c>
      <c r="H57" s="17">
        <v>61655.93</v>
      </c>
      <c r="I57" s="17">
        <f t="shared" si="4"/>
        <v>3162.5699999999997</v>
      </c>
      <c r="J57" s="16">
        <f t="shared" si="5"/>
        <v>5.1293849594029314E-2</v>
      </c>
      <c r="K57" s="16">
        <v>1</v>
      </c>
      <c r="L57" s="61" t="s">
        <v>577</v>
      </c>
      <c r="M57" s="62" t="s">
        <v>578</v>
      </c>
    </row>
    <row r="58" spans="1:13" ht="48" customHeight="1">
      <c r="A58" s="25" t="str">
        <v>Q435</v>
      </c>
      <c r="B58" s="26" t="str">
        <v>NY</v>
      </c>
      <c r="C58" s="26" t="str">
        <f>Sites[[#This Row],[SOL'#]]</f>
        <v>SOL-10923</v>
      </c>
      <c r="D58" s="21">
        <v>76971.718749999898</v>
      </c>
      <c r="E58" s="11">
        <v>63697.53</v>
      </c>
      <c r="F58" s="11">
        <f t="shared" si="0"/>
        <v>13274.188749999899</v>
      </c>
      <c r="G58" s="12">
        <f t="shared" si="3"/>
        <v>0.20839408922135441</v>
      </c>
      <c r="H58" s="13">
        <v>83541</v>
      </c>
      <c r="I58" s="13">
        <f t="shared" si="4"/>
        <v>-6569.2812500001019</v>
      </c>
      <c r="J58" s="14">
        <f t="shared" si="5"/>
        <v>-7.8635415544464418E-2</v>
      </c>
      <c r="K58" s="80">
        <v>0.98092179999999995</v>
      </c>
      <c r="L58" s="66" t="s">
        <v>579</v>
      </c>
      <c r="M58" s="66" t="s">
        <v>580</v>
      </c>
    </row>
    <row r="59" spans="1:13" ht="63" customHeight="1">
      <c r="A59" s="27" t="str">
        <v>Q485</v>
      </c>
      <c r="B59" s="28" t="str">
        <v>NY</v>
      </c>
      <c r="C59" s="28" t="str">
        <f>Sites[[#This Row],[SOL'#]]</f>
        <v>SOL-10869</v>
      </c>
      <c r="D59" s="10">
        <v>82338.109375</v>
      </c>
      <c r="E59" s="15">
        <v>64894.35</v>
      </c>
      <c r="F59" s="15">
        <f t="shared" si="0"/>
        <v>17443.759375000001</v>
      </c>
      <c r="G59" s="16">
        <f t="shared" si="3"/>
        <v>0.26880243619051586</v>
      </c>
      <c r="H59" s="17">
        <v>79545.37</v>
      </c>
      <c r="I59" s="17">
        <f t="shared" si="4"/>
        <v>2792.7393750000047</v>
      </c>
      <c r="J59" s="16">
        <f t="shared" si="5"/>
        <v>3.5108760887025921E-2</v>
      </c>
      <c r="K59" s="16">
        <v>1</v>
      </c>
      <c r="L59" s="61" t="s">
        <v>581</v>
      </c>
      <c r="M59" s="62" t="s">
        <v>582</v>
      </c>
    </row>
    <row r="60" spans="1:13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v>55696.2617574256</v>
      </c>
      <c r="E60" s="11"/>
      <c r="F60" s="11" t="str">
        <f t="shared" si="0"/>
        <v/>
      </c>
      <c r="G60" s="12" t="str">
        <f t="shared" si="3"/>
        <v/>
      </c>
      <c r="H60" s="13">
        <v>53382.86</v>
      </c>
      <c r="I60" s="13">
        <f t="shared" si="4"/>
        <v>2313.4017574255995</v>
      </c>
      <c r="J60" s="14">
        <f t="shared" si="5"/>
        <v>4.3336040021564964E-2</v>
      </c>
      <c r="K60" s="80">
        <v>1</v>
      </c>
      <c r="L60" s="66" t="s">
        <v>583</v>
      </c>
      <c r="M60" s="66" t="s">
        <v>584</v>
      </c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v>88049.875</v>
      </c>
      <c r="E61" s="15">
        <v>89949.47</v>
      </c>
      <c r="F61" s="15">
        <f t="shared" si="0"/>
        <v>-1899.5950000000012</v>
      </c>
      <c r="G61" s="16">
        <f t="shared" si="3"/>
        <v>-2.1118467957621109E-2</v>
      </c>
      <c r="H61" s="17">
        <v>83531.210000000006</v>
      </c>
      <c r="I61" s="17">
        <f t="shared" si="4"/>
        <v>4518.6649999999936</v>
      </c>
      <c r="J61" s="16">
        <f t="shared" si="5"/>
        <v>5.4095529084278719E-2</v>
      </c>
      <c r="K61" s="16">
        <v>1</v>
      </c>
      <c r="L61" s="61"/>
      <c r="M61" s="62"/>
    </row>
    <row r="62" spans="1:13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v>7543.2</v>
      </c>
      <c r="E62" s="11">
        <v>0</v>
      </c>
      <c r="F62" s="11">
        <f t="shared" si="0"/>
        <v>7543.2</v>
      </c>
      <c r="G62" s="12" t="str">
        <f t="shared" si="3"/>
        <v/>
      </c>
      <c r="H62" s="13">
        <v>7466.96</v>
      </c>
      <c r="I62" s="13">
        <f t="shared" si="4"/>
        <v>76.239999999999782</v>
      </c>
      <c r="J62" s="14">
        <f t="shared" si="5"/>
        <v>1.0210313166268439E-2</v>
      </c>
      <c r="K62" s="80">
        <v>1</v>
      </c>
      <c r="L62" s="66"/>
      <c r="M62" s="66"/>
    </row>
    <row r="63" spans="1:13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v>34336.6796875</v>
      </c>
      <c r="E63" s="15">
        <v>35121.120000000003</v>
      </c>
      <c r="F63" s="15">
        <f t="shared" si="0"/>
        <v>-784.44031250000262</v>
      </c>
      <c r="G63" s="16">
        <f t="shared" si="3"/>
        <v>-2.233528749937367E-2</v>
      </c>
      <c r="H63" s="17">
        <v>28806</v>
      </c>
      <c r="I63" s="17">
        <f t="shared" si="4"/>
        <v>5530.6796875</v>
      </c>
      <c r="J63" s="16">
        <f t="shared" si="5"/>
        <v>0.19199748967229049</v>
      </c>
      <c r="K63" s="16">
        <v>0.98379470000000002</v>
      </c>
      <c r="L63" s="61"/>
      <c r="M63" s="62"/>
    </row>
    <row r="64" spans="1:13" ht="15.6">
      <c r="A64" s="25" t="str">
        <v>X026</v>
      </c>
      <c r="B64" s="26" t="str">
        <v>NY</v>
      </c>
      <c r="C64" s="26" t="str">
        <f>Sites[[#This Row],[SOL'#]]</f>
        <v>SOL-10420</v>
      </c>
      <c r="D64" s="21">
        <v>31165.7</v>
      </c>
      <c r="E64" s="11">
        <v>28464.58</v>
      </c>
      <c r="F64" s="11">
        <f t="shared" si="0"/>
        <v>2701.119999999999</v>
      </c>
      <c r="G64" s="12">
        <f t="shared" si="3"/>
        <v>9.4894075373674891E-2</v>
      </c>
      <c r="H64" s="13">
        <v>24102.57</v>
      </c>
      <c r="I64" s="13">
        <f t="shared" si="4"/>
        <v>7063.130000000001</v>
      </c>
      <c r="J64" s="14">
        <f t="shared" si="5"/>
        <v>0.29304468361672642</v>
      </c>
      <c r="K64" s="80"/>
      <c r="L64" s="66"/>
      <c r="M64" s="66"/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v>26005.35758</v>
      </c>
      <c r="E65" s="15">
        <v>23140.49</v>
      </c>
      <c r="F65" s="15">
        <f t="shared" si="0"/>
        <v>2864.8675799999983</v>
      </c>
      <c r="G65" s="16">
        <f t="shared" si="3"/>
        <v>0.123803237528678</v>
      </c>
      <c r="H65" s="17">
        <v>18531.669999999998</v>
      </c>
      <c r="I65" s="17">
        <f t="shared" si="4"/>
        <v>7473.6875800000016</v>
      </c>
      <c r="J65" s="16">
        <f t="shared" si="5"/>
        <v>0.40329271889689394</v>
      </c>
      <c r="K65" s="16"/>
      <c r="L65" s="61"/>
      <c r="M65" s="61"/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v>21901.3</v>
      </c>
      <c r="E66" s="11">
        <v>24439.89</v>
      </c>
      <c r="F66" s="11">
        <f t="shared" si="0"/>
        <v>-2538.59</v>
      </c>
      <c r="G66" s="12">
        <f t="shared" si="3"/>
        <v>-0.1038707621024481</v>
      </c>
      <c r="H66" s="13">
        <v>23775.01</v>
      </c>
      <c r="I66" s="13">
        <f t="shared" si="4"/>
        <v>-1873.7099999999991</v>
      </c>
      <c r="J66" s="14">
        <f t="shared" si="5"/>
        <v>-7.8810061488933103E-2</v>
      </c>
      <c r="K66" s="80"/>
      <c r="L66" s="66"/>
      <c r="M66" s="66"/>
    </row>
    <row r="67" spans="1:13" ht="60" customHeight="1">
      <c r="A67" s="27" t="str">
        <v>X125</v>
      </c>
      <c r="B67" s="28" t="str">
        <v>NY</v>
      </c>
      <c r="C67" s="28" t="str">
        <f>Sites[[#This Row],[SOL'#]]</f>
        <v>SOL-10423</v>
      </c>
      <c r="D67" s="10">
        <v>38071.15625</v>
      </c>
      <c r="E67" s="15">
        <v>41240.080000000002</v>
      </c>
      <c r="F67" s="15">
        <f t="shared" si="0"/>
        <v>-3168.9237500000017</v>
      </c>
      <c r="G67" s="16">
        <f t="shared" si="3"/>
        <v>-7.6840873005096053E-2</v>
      </c>
      <c r="H67" s="17">
        <v>25574.57</v>
      </c>
      <c r="I67" s="17">
        <f t="shared" si="4"/>
        <v>12496.58625</v>
      </c>
      <c r="J67" s="16">
        <f t="shared" si="5"/>
        <v>0.48863328884904028</v>
      </c>
      <c r="K67" s="16"/>
      <c r="L67" s="61" t="s">
        <v>585</v>
      </c>
      <c r="M67" s="61" t="s">
        <v>586</v>
      </c>
    </row>
    <row r="68" spans="1:13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v>39346.734380000002</v>
      </c>
      <c r="E68" s="11">
        <v>0</v>
      </c>
      <c r="F68" s="11">
        <f t="shared" si="0"/>
        <v>39346.734380000002</v>
      </c>
      <c r="G68" s="12" t="str">
        <f t="shared" si="3"/>
        <v/>
      </c>
      <c r="H68" s="13">
        <v>0</v>
      </c>
      <c r="I68" s="13">
        <f t="shared" si="4"/>
        <v>39346.734380000002</v>
      </c>
      <c r="J68" s="14" t="str">
        <f t="shared" si="5"/>
        <v/>
      </c>
      <c r="K68" s="80"/>
      <c r="L68" s="66"/>
      <c r="M68" s="66"/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v>27383.765630000002</v>
      </c>
      <c r="E69" s="15">
        <v>0</v>
      </c>
      <c r="F69" s="15">
        <f t="shared" ref="F69:F132" si="6">IF(AND(ISNUMBER(D69),ISNUMBER(E69)), D69-E69, "")</f>
        <v>27383.765630000002</v>
      </c>
      <c r="G69" s="16" t="str">
        <f t="shared" si="3"/>
        <v/>
      </c>
      <c r="H69" s="17">
        <v>0</v>
      </c>
      <c r="I69" s="17">
        <f t="shared" si="4"/>
        <v>27383.765630000002</v>
      </c>
      <c r="J69" s="16" t="str">
        <f t="shared" si="5"/>
        <v/>
      </c>
      <c r="K69" s="16"/>
      <c r="L69" s="61"/>
      <c r="M69" s="62"/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50018.6042352152</v>
      </c>
      <c r="E70" s="11">
        <v>52350.9</v>
      </c>
      <c r="F70" s="11">
        <f t="shared" si="6"/>
        <v>-2332.2957647848016</v>
      </c>
      <c r="G70" s="12">
        <f t="shared" ref="G70:G133" si="7">IFERROR(F70/E70, "")</f>
        <v>-4.4551206660913216E-2</v>
      </c>
      <c r="H70" s="13">
        <v>47267</v>
      </c>
      <c r="I70" s="13">
        <f t="shared" si="4"/>
        <v>2751.6042352151999</v>
      </c>
      <c r="J70" s="14">
        <f t="shared" si="5"/>
        <v>5.8214065525952562E-2</v>
      </c>
      <c r="K70" s="80">
        <v>1</v>
      </c>
      <c r="L70" s="66" t="s">
        <v>587</v>
      </c>
      <c r="M70" s="66" t="s">
        <v>482</v>
      </c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v>27657.5107664801</v>
      </c>
      <c r="E71" s="15">
        <v>23443.42</v>
      </c>
      <c r="F71" s="15">
        <f t="shared" si="6"/>
        <v>4214.0907664801016</v>
      </c>
      <c r="G71" s="16">
        <f t="shared" si="7"/>
        <v>0.17975580211761347</v>
      </c>
      <c r="H71" s="17">
        <v>25042</v>
      </c>
      <c r="I71" s="17">
        <f t="shared" si="4"/>
        <v>2615.5107664800998</v>
      </c>
      <c r="J71" s="16">
        <f t="shared" si="5"/>
        <v>0.10444496312116044</v>
      </c>
      <c r="K71" s="16">
        <v>0</v>
      </c>
      <c r="L71" s="61"/>
      <c r="M71" s="62"/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v>28346.5</v>
      </c>
      <c r="E72" s="11">
        <v>29181</v>
      </c>
      <c r="F72" s="11">
        <f t="shared" si="6"/>
        <v>-834.5</v>
      </c>
      <c r="G72" s="12">
        <f t="shared" si="7"/>
        <v>-2.8597375004283609E-2</v>
      </c>
      <c r="H72" s="13">
        <v>0</v>
      </c>
      <c r="I72" s="13">
        <f t="shared" si="4"/>
        <v>28346.5</v>
      </c>
      <c r="J72" s="14" t="str">
        <f t="shared" si="5"/>
        <v/>
      </c>
      <c r="K72" s="80"/>
      <c r="L72" s="89" t="s">
        <v>588</v>
      </c>
      <c r="M72" s="66" t="s">
        <v>589</v>
      </c>
    </row>
    <row r="73" spans="1:13" ht="72.599999999999994">
      <c r="A73" s="27" t="str">
        <v>Murphy</v>
      </c>
      <c r="B73" s="28" t="str">
        <v>MN</v>
      </c>
      <c r="C73" s="28" t="str">
        <f>Sites[[#This Row],[SOL'#]]</f>
        <v>SOL-10094</v>
      </c>
      <c r="D73" s="10">
        <v>779480</v>
      </c>
      <c r="E73" s="15">
        <v>602918.6</v>
      </c>
      <c r="F73" s="15">
        <f t="shared" si="6"/>
        <v>176561.40000000002</v>
      </c>
      <c r="G73" s="16">
        <f t="shared" si="7"/>
        <v>0.29284450670455353</v>
      </c>
      <c r="H73" s="17">
        <v>947849.4</v>
      </c>
      <c r="I73" s="17">
        <f t="shared" si="4"/>
        <v>-168369.40000000002</v>
      </c>
      <c r="J73" s="16">
        <f t="shared" si="5"/>
        <v>-0.17763307124528435</v>
      </c>
      <c r="K73" s="16">
        <v>0.9131265999999999</v>
      </c>
      <c r="L73" s="61" t="s">
        <v>590</v>
      </c>
      <c r="M73" s="61" t="s">
        <v>591</v>
      </c>
    </row>
    <row r="74" spans="1:13" ht="43.5">
      <c r="A74" s="25" t="str">
        <v>Terning</v>
      </c>
      <c r="B74" s="26" t="str">
        <v>MN</v>
      </c>
      <c r="C74" s="26" t="str">
        <f>Sites[[#This Row],[SOL'#]]</f>
        <v>SOL-10093</v>
      </c>
      <c r="D74" s="21">
        <v>810874.58</v>
      </c>
      <c r="E74" s="11">
        <v>963785.2</v>
      </c>
      <c r="F74" s="11">
        <f t="shared" si="6"/>
        <v>-152910.62</v>
      </c>
      <c r="G74" s="12">
        <f t="shared" si="7"/>
        <v>-0.15865632715671502</v>
      </c>
      <c r="H74" s="13">
        <v>967126.4</v>
      </c>
      <c r="I74" s="13">
        <f t="shared" si="4"/>
        <v>-156251.82000000007</v>
      </c>
      <c r="J74" s="14">
        <f t="shared" si="5"/>
        <v>-0.16156297666985417</v>
      </c>
      <c r="K74" s="80">
        <v>0.90216379999999996</v>
      </c>
      <c r="L74" s="66" t="s">
        <v>592</v>
      </c>
      <c r="M74" s="66" t="s">
        <v>593</v>
      </c>
    </row>
    <row r="75" spans="1:13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355248</v>
      </c>
      <c r="E75" s="15">
        <v>0</v>
      </c>
      <c r="F75" s="15">
        <f t="shared" si="6"/>
        <v>355248</v>
      </c>
      <c r="G75" s="16" t="str">
        <f t="shared" si="7"/>
        <v/>
      </c>
      <c r="H75" s="17">
        <v>383238.45</v>
      </c>
      <c r="I75" s="17">
        <f t="shared" si="4"/>
        <v>-27990.450000000012</v>
      </c>
      <c r="J75" s="16">
        <f t="shared" si="5"/>
        <v>-7.3036643374379609E-2</v>
      </c>
      <c r="K75" s="16">
        <v>1</v>
      </c>
      <c r="L75" s="61" t="s">
        <v>594</v>
      </c>
      <c r="M75" s="61" t="s">
        <v>595</v>
      </c>
    </row>
    <row r="76" spans="1:13" ht="29.1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375683</v>
      </c>
      <c r="E76" s="11">
        <v>390001</v>
      </c>
      <c r="F76" s="11">
        <f t="shared" si="6"/>
        <v>-14318</v>
      </c>
      <c r="G76" s="12">
        <f t="shared" si="7"/>
        <v>-3.6712726377624676E-2</v>
      </c>
      <c r="H76" s="13">
        <v>375397.26</v>
      </c>
      <c r="I76" s="13">
        <f t="shared" si="4"/>
        <v>285.73999999999069</v>
      </c>
      <c r="J76" s="14">
        <f t="shared" si="5"/>
        <v>7.6116698347769151E-4</v>
      </c>
      <c r="K76" s="80">
        <v>0.99909999999999999</v>
      </c>
      <c r="L76" s="66" t="s">
        <v>596</v>
      </c>
      <c r="M76" s="66" t="s">
        <v>597</v>
      </c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350736</v>
      </c>
      <c r="E77" s="15">
        <v>356175</v>
      </c>
      <c r="F77" s="15">
        <f t="shared" si="6"/>
        <v>-5439</v>
      </c>
      <c r="G77" s="16">
        <f t="shared" si="7"/>
        <v>-1.5270583280690671E-2</v>
      </c>
      <c r="H77" s="17">
        <v>363348.35</v>
      </c>
      <c r="I77" s="17">
        <f t="shared" si="4"/>
        <v>-12612.349999999977</v>
      </c>
      <c r="J77" s="16">
        <f t="shared" si="5"/>
        <v>-3.4711455274256724E-2</v>
      </c>
      <c r="K77" s="16">
        <v>1</v>
      </c>
      <c r="L77" s="61"/>
      <c r="M77" s="61"/>
    </row>
    <row r="78" spans="1:13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373931</v>
      </c>
      <c r="E78" s="11">
        <v>380184</v>
      </c>
      <c r="F78" s="11">
        <f t="shared" si="6"/>
        <v>-6253</v>
      </c>
      <c r="G78" s="12">
        <f t="shared" si="7"/>
        <v>-1.6447299202491425E-2</v>
      </c>
      <c r="H78" s="13">
        <v>366318.5</v>
      </c>
      <c r="I78" s="13">
        <f t="shared" si="4"/>
        <v>7612.5</v>
      </c>
      <c r="J78" s="14">
        <f t="shared" si="5"/>
        <v>2.0781096231831043E-2</v>
      </c>
      <c r="K78" s="80">
        <v>0.99959999999999993</v>
      </c>
      <c r="L78" s="66"/>
      <c r="M78" s="66"/>
    </row>
    <row r="79" spans="1:13" ht="43.5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375340</v>
      </c>
      <c r="E79" s="15">
        <v>0</v>
      </c>
      <c r="F79" s="15">
        <f t="shared" si="6"/>
        <v>375340</v>
      </c>
      <c r="G79" s="16" t="str">
        <f t="shared" si="7"/>
        <v/>
      </c>
      <c r="H79" s="17">
        <v>415128.63</v>
      </c>
      <c r="I79" s="17">
        <f t="shared" si="4"/>
        <v>-39788.630000000005</v>
      </c>
      <c r="J79" s="16">
        <f t="shared" si="5"/>
        <v>-9.5846509068767446E-2</v>
      </c>
      <c r="K79" s="16">
        <v>1</v>
      </c>
      <c r="L79" s="61" t="s">
        <v>598</v>
      </c>
      <c r="M79" s="61" t="s">
        <v>599</v>
      </c>
    </row>
    <row r="80" spans="1:13" ht="29.1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484829</v>
      </c>
      <c r="E80" s="11">
        <v>538921</v>
      </c>
      <c r="F80" s="11">
        <f t="shared" si="6"/>
        <v>-54092</v>
      </c>
      <c r="G80" s="12">
        <f t="shared" si="7"/>
        <v>-0.1003709263509865</v>
      </c>
      <c r="H80" s="13">
        <v>346009</v>
      </c>
      <c r="I80" s="13">
        <f t="shared" si="4"/>
        <v>138820</v>
      </c>
      <c r="J80" s="14">
        <f t="shared" si="5"/>
        <v>0.40120343690482041</v>
      </c>
      <c r="K80" s="80"/>
      <c r="L80" s="66" t="s">
        <v>600</v>
      </c>
      <c r="M80" s="66" t="s">
        <v>601</v>
      </c>
    </row>
    <row r="81" spans="1:13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325199</v>
      </c>
      <c r="E81" s="15">
        <v>346956</v>
      </c>
      <c r="F81" s="15">
        <f t="shared" si="6"/>
        <v>-21757</v>
      </c>
      <c r="G81" s="16">
        <f t="shared" si="7"/>
        <v>-6.2708239661513274E-2</v>
      </c>
      <c r="H81" s="17">
        <v>335498</v>
      </c>
      <c r="I81" s="17">
        <f t="shared" si="4"/>
        <v>-10299</v>
      </c>
      <c r="J81" s="16">
        <f t="shared" si="5"/>
        <v>-3.0697649464378328E-2</v>
      </c>
      <c r="K81" s="16"/>
      <c r="L81" s="61"/>
      <c r="M81" s="61"/>
    </row>
    <row r="82" spans="1:13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>
        <v>376060</v>
      </c>
      <c r="E82" s="11">
        <v>393970</v>
      </c>
      <c r="F82" s="11">
        <f t="shared" si="6"/>
        <v>-17910</v>
      </c>
      <c r="G82" s="12">
        <f t="shared" si="7"/>
        <v>-4.5460314237124655E-2</v>
      </c>
      <c r="H82" s="13">
        <v>407543</v>
      </c>
      <c r="I82" s="13">
        <f t="shared" ref="I82:I145" si="8">IF(AND(ISNUMBER(D82),ISNUMBER(H82)), D82-H82, "")</f>
        <v>-31483</v>
      </c>
      <c r="J82" s="14">
        <f t="shared" ref="J82:J145" si="9">IFERROR(I82/H82, "")</f>
        <v>-7.7250744093261325E-2</v>
      </c>
      <c r="K82" s="80"/>
      <c r="L82" s="66"/>
      <c r="M82" s="66"/>
    </row>
    <row r="83" spans="1:13" ht="57.95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380301</v>
      </c>
      <c r="E83" s="15">
        <v>130582</v>
      </c>
      <c r="F83" s="15">
        <f t="shared" si="6"/>
        <v>249719</v>
      </c>
      <c r="G83" s="16">
        <f t="shared" si="7"/>
        <v>1.9123539232053421</v>
      </c>
      <c r="H83" s="17">
        <v>496815</v>
      </c>
      <c r="I83" s="17">
        <f t="shared" si="8"/>
        <v>-116514</v>
      </c>
      <c r="J83" s="16">
        <f t="shared" si="9"/>
        <v>-0.234521904531868</v>
      </c>
      <c r="K83" s="16"/>
      <c r="L83" s="61" t="s">
        <v>602</v>
      </c>
      <c r="M83" s="61" t="s">
        <v>603</v>
      </c>
    </row>
    <row r="84" spans="1:13" ht="57.95">
      <c r="A84" s="25" t="str">
        <v>Washington 4</v>
      </c>
      <c r="B84" s="26" t="str">
        <v>NY</v>
      </c>
      <c r="C84" s="26" t="str">
        <f>Sites[[#This Row],[SOL'#]]</f>
        <v>SOL-10829</v>
      </c>
      <c r="D84" s="21">
        <v>245232</v>
      </c>
      <c r="E84" s="11">
        <v>0</v>
      </c>
      <c r="F84" s="11">
        <f t="shared" si="6"/>
        <v>245232</v>
      </c>
      <c r="G84" s="12" t="str">
        <f t="shared" si="7"/>
        <v/>
      </c>
      <c r="H84" s="13">
        <v>497937</v>
      </c>
      <c r="I84" s="13">
        <f t="shared" si="8"/>
        <v>-252705</v>
      </c>
      <c r="J84" s="14">
        <f t="shared" si="9"/>
        <v>-0.50750396134450748</v>
      </c>
      <c r="K84" s="80"/>
      <c r="L84" s="66" t="s">
        <v>604</v>
      </c>
      <c r="M84" s="66" t="s">
        <v>605</v>
      </c>
    </row>
    <row r="85" spans="1:13" ht="29.1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346327</v>
      </c>
      <c r="E85" s="15">
        <v>400672</v>
      </c>
      <c r="F85" s="15">
        <f t="shared" si="6"/>
        <v>-54345</v>
      </c>
      <c r="G85" s="16">
        <f t="shared" si="7"/>
        <v>-0.13563463381519048</v>
      </c>
      <c r="H85" s="17">
        <v>104431</v>
      </c>
      <c r="I85" s="17">
        <f t="shared" si="8"/>
        <v>241896</v>
      </c>
      <c r="J85" s="16">
        <f t="shared" si="9"/>
        <v>2.3163236969865268</v>
      </c>
      <c r="K85" s="16"/>
      <c r="L85" s="61" t="s">
        <v>606</v>
      </c>
      <c r="M85" s="61" t="s">
        <v>607</v>
      </c>
    </row>
    <row r="86" spans="1:13" ht="43.5">
      <c r="A86" s="25" t="str">
        <v>Canoga</v>
      </c>
      <c r="B86" s="26" t="str">
        <v>NY</v>
      </c>
      <c r="C86" s="26" t="str">
        <f>Sites[[#This Row],[SOL'#]]</f>
        <v>SOL-10965</v>
      </c>
      <c r="D86" s="21">
        <v>914656</v>
      </c>
      <c r="E86" s="11">
        <v>0</v>
      </c>
      <c r="F86" s="11">
        <f t="shared" si="6"/>
        <v>914656</v>
      </c>
      <c r="G86" s="12" t="str">
        <f t="shared" si="7"/>
        <v/>
      </c>
      <c r="H86" s="13">
        <v>1073590.33</v>
      </c>
      <c r="I86" s="13">
        <f t="shared" si="8"/>
        <v>-158934.33000000007</v>
      </c>
      <c r="J86" s="14">
        <f t="shared" si="9"/>
        <v>-0.14804001634403699</v>
      </c>
      <c r="K86" s="80">
        <v>1</v>
      </c>
      <c r="L86" s="66" t="s">
        <v>608</v>
      </c>
      <c r="M86" s="66" t="s">
        <v>609</v>
      </c>
    </row>
    <row r="87" spans="1:13" ht="172.5" customHeight="1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736049</v>
      </c>
      <c r="E87" s="15">
        <v>0</v>
      </c>
      <c r="F87" s="15">
        <f t="shared" si="6"/>
        <v>736049</v>
      </c>
      <c r="G87" s="16" t="str">
        <f t="shared" si="7"/>
        <v/>
      </c>
      <c r="H87" s="17">
        <v>976980.45</v>
      </c>
      <c r="I87" s="17">
        <f t="shared" si="8"/>
        <v>-240931.44999999995</v>
      </c>
      <c r="J87" s="16">
        <f t="shared" si="9"/>
        <v>-0.24660826119908538</v>
      </c>
      <c r="K87" s="16">
        <v>0.99439999999999995</v>
      </c>
      <c r="L87" s="61" t="s">
        <v>610</v>
      </c>
      <c r="M87" s="61" t="s">
        <v>611</v>
      </c>
    </row>
    <row r="88" spans="1:13" ht="15.6">
      <c r="A88" s="25" t="str">
        <v>Donati</v>
      </c>
      <c r="B88" s="26" t="str">
        <v>NY</v>
      </c>
      <c r="C88" s="26" t="str">
        <f>Sites[[#This Row],[SOL'#]]</f>
        <v>SOL-10968</v>
      </c>
      <c r="D88" s="21">
        <v>456332</v>
      </c>
      <c r="E88" s="11">
        <v>0</v>
      </c>
      <c r="F88" s="11">
        <f t="shared" si="6"/>
        <v>456332</v>
      </c>
      <c r="G88" s="12" t="str">
        <f t="shared" si="7"/>
        <v/>
      </c>
      <c r="H88" s="13">
        <v>553255.85</v>
      </c>
      <c r="I88" s="13">
        <f t="shared" si="8"/>
        <v>-96923.849999999977</v>
      </c>
      <c r="J88" s="14">
        <f t="shared" si="9"/>
        <v>-0.1751881159503329</v>
      </c>
      <c r="K88" s="80">
        <v>1</v>
      </c>
      <c r="L88" s="66"/>
      <c r="M88" s="66"/>
    </row>
    <row r="89" spans="1:13" ht="15.6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950768</v>
      </c>
      <c r="E89" s="15">
        <v>923077</v>
      </c>
      <c r="F89" s="15">
        <f t="shared" si="6"/>
        <v>27691</v>
      </c>
      <c r="G89" s="16">
        <f t="shared" si="7"/>
        <v>2.9998580833451596E-2</v>
      </c>
      <c r="H89" s="17">
        <v>224356</v>
      </c>
      <c r="I89" s="17">
        <f t="shared" si="8"/>
        <v>726412</v>
      </c>
      <c r="J89" s="16">
        <f t="shared" si="9"/>
        <v>3.2377649806557436</v>
      </c>
      <c r="K89" s="16">
        <v>1</v>
      </c>
      <c r="L89" s="61" t="s">
        <v>612</v>
      </c>
      <c r="M89" s="61" t="s">
        <v>613</v>
      </c>
    </row>
    <row r="90" spans="1:13" ht="119.25" customHeight="1">
      <c r="A90" s="25" t="str">
        <v>NY 70</v>
      </c>
      <c r="B90" s="26" t="str">
        <v>NY</v>
      </c>
      <c r="C90" s="26" t="str">
        <f>Sites[[#This Row],[SOL'#]]</f>
        <v>SOL-10970</v>
      </c>
      <c r="D90" s="21">
        <v>949573</v>
      </c>
      <c r="E90" s="11">
        <v>0</v>
      </c>
      <c r="F90" s="11">
        <f t="shared" si="6"/>
        <v>949573</v>
      </c>
      <c r="G90" s="12" t="str">
        <f t="shared" si="7"/>
        <v/>
      </c>
      <c r="H90" s="13">
        <v>348970</v>
      </c>
      <c r="I90" s="13">
        <f t="shared" si="8"/>
        <v>600603</v>
      </c>
      <c r="J90" s="14">
        <f t="shared" si="9"/>
        <v>1.7210734447087142</v>
      </c>
      <c r="K90" s="80">
        <v>0.99480000000000002</v>
      </c>
      <c r="L90" s="66" t="s">
        <v>614</v>
      </c>
      <c r="M90" s="66" t="s">
        <v>615</v>
      </c>
    </row>
    <row r="91" spans="1:13" ht="156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799850.86577338004</v>
      </c>
      <c r="E91" s="15">
        <v>766025.4</v>
      </c>
      <c r="F91" s="15">
        <f t="shared" si="6"/>
        <v>33825.465773380012</v>
      </c>
      <c r="G91" s="16">
        <f t="shared" si="7"/>
        <v>4.4157107288322305E-2</v>
      </c>
      <c r="H91" s="17">
        <v>917075</v>
      </c>
      <c r="I91" s="17">
        <f t="shared" si="8"/>
        <v>-117224.13422661996</v>
      </c>
      <c r="J91" s="16">
        <f t="shared" si="9"/>
        <v>-0.12782393394937161</v>
      </c>
      <c r="K91" s="16">
        <v>0.99379509999999993</v>
      </c>
      <c r="L91" s="61" t="s">
        <v>616</v>
      </c>
      <c r="M91" s="61" t="s">
        <v>617</v>
      </c>
    </row>
    <row r="92" spans="1:13" ht="15.6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470381</v>
      </c>
      <c r="E92" s="11">
        <v>482020</v>
      </c>
      <c r="F92" s="11">
        <f t="shared" si="6"/>
        <v>-11639</v>
      </c>
      <c r="G92" s="12">
        <f t="shared" si="7"/>
        <v>-2.4146300983361686E-2</v>
      </c>
      <c r="H92" s="13">
        <v>541194.13</v>
      </c>
      <c r="I92" s="13">
        <f t="shared" si="8"/>
        <v>-70813.13</v>
      </c>
      <c r="J92" s="14">
        <f t="shared" si="9"/>
        <v>-0.13084607920636537</v>
      </c>
      <c r="K92" s="80">
        <v>1</v>
      </c>
      <c r="L92" s="66"/>
      <c r="M92" s="66"/>
    </row>
    <row r="93" spans="1:13" ht="43.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799270</v>
      </c>
      <c r="E93" s="15">
        <v>849596</v>
      </c>
      <c r="F93" s="15">
        <f t="shared" si="6"/>
        <v>-50326</v>
      </c>
      <c r="G93" s="16">
        <f t="shared" si="7"/>
        <v>-5.9235212971812487E-2</v>
      </c>
      <c r="H93" s="17">
        <v>313294</v>
      </c>
      <c r="I93" s="17">
        <f t="shared" si="8"/>
        <v>485976</v>
      </c>
      <c r="J93" s="16">
        <f t="shared" si="9"/>
        <v>1.5511819568839493</v>
      </c>
      <c r="K93" s="16"/>
      <c r="L93" s="61" t="s">
        <v>618</v>
      </c>
      <c r="M93" s="61" t="s">
        <v>619</v>
      </c>
    </row>
    <row r="94" spans="1:13" ht="31.5" customHeight="1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873459</v>
      </c>
      <c r="E94" s="11">
        <v>0</v>
      </c>
      <c r="F94" s="11">
        <f t="shared" si="6"/>
        <v>873459</v>
      </c>
      <c r="G94" s="12" t="str">
        <f t="shared" si="7"/>
        <v/>
      </c>
      <c r="H94" s="13">
        <v>336363</v>
      </c>
      <c r="I94" s="13">
        <f t="shared" si="8"/>
        <v>537096</v>
      </c>
      <c r="J94" s="14">
        <f t="shared" si="9"/>
        <v>1.5967749128174027</v>
      </c>
      <c r="K94" s="80"/>
      <c r="L94" s="66" t="s">
        <v>620</v>
      </c>
      <c r="M94" s="66" t="s">
        <v>621</v>
      </c>
    </row>
    <row r="95" spans="1:13" ht="30" customHeight="1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993910</v>
      </c>
      <c r="E95" s="15">
        <v>0</v>
      </c>
      <c r="F95" s="15">
        <f t="shared" si="6"/>
        <v>993910</v>
      </c>
      <c r="G95" s="16" t="str">
        <f t="shared" si="7"/>
        <v/>
      </c>
      <c r="H95" s="17">
        <v>288785</v>
      </c>
      <c r="I95" s="17">
        <f t="shared" si="8"/>
        <v>705125</v>
      </c>
      <c r="J95" s="16">
        <f t="shared" si="9"/>
        <v>2.4416953789151097</v>
      </c>
      <c r="K95" s="16"/>
      <c r="L95" s="61" t="s">
        <v>622</v>
      </c>
      <c r="M95" s="61" t="s">
        <v>623</v>
      </c>
    </row>
    <row r="96" spans="1:13" ht="72.599999999999994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169186</v>
      </c>
      <c r="E96" s="11">
        <v>0</v>
      </c>
      <c r="F96" s="11">
        <f t="shared" si="6"/>
        <v>169186</v>
      </c>
      <c r="G96" s="12" t="str">
        <f t="shared" si="7"/>
        <v/>
      </c>
      <c r="H96" s="13">
        <v>393774</v>
      </c>
      <c r="I96" s="13">
        <f t="shared" si="8"/>
        <v>-224588</v>
      </c>
      <c r="J96" s="14">
        <f t="shared" si="9"/>
        <v>-0.57034745818667565</v>
      </c>
      <c r="K96" s="80"/>
      <c r="L96" s="66" t="s">
        <v>624</v>
      </c>
      <c r="M96" s="66" t="s">
        <v>625</v>
      </c>
    </row>
    <row r="97" spans="1:13" ht="33.6" customHeight="1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940474</v>
      </c>
      <c r="E97" s="15">
        <v>0</v>
      </c>
      <c r="F97" s="15">
        <f t="shared" si="6"/>
        <v>940474</v>
      </c>
      <c r="G97" s="16" t="str">
        <f t="shared" si="7"/>
        <v/>
      </c>
      <c r="H97" s="17">
        <v>377458</v>
      </c>
      <c r="I97" s="17">
        <f t="shared" si="8"/>
        <v>563016</v>
      </c>
      <c r="J97" s="16">
        <f t="shared" si="9"/>
        <v>1.4915990653264735</v>
      </c>
      <c r="K97" s="16">
        <v>0.9998999999999999</v>
      </c>
      <c r="L97" s="61" t="s">
        <v>626</v>
      </c>
      <c r="M97" s="61" t="s">
        <v>627</v>
      </c>
    </row>
    <row r="98" spans="1:13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426930</v>
      </c>
      <c r="E98" s="11">
        <v>0</v>
      </c>
      <c r="F98" s="11">
        <f t="shared" si="6"/>
        <v>426930</v>
      </c>
      <c r="G98" s="12" t="str">
        <f t="shared" si="7"/>
        <v/>
      </c>
      <c r="H98" s="13">
        <v>431345.52</v>
      </c>
      <c r="I98" s="13">
        <f t="shared" si="8"/>
        <v>-4415.5200000000186</v>
      </c>
      <c r="J98" s="14">
        <f t="shared" si="9"/>
        <v>-1.0236619589789685E-2</v>
      </c>
      <c r="K98" s="80">
        <v>0.99970000000000003</v>
      </c>
      <c r="L98" s="66"/>
      <c r="M98" s="66"/>
    </row>
    <row r="99" spans="1:13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561736</v>
      </c>
      <c r="E99" s="15">
        <v>0</v>
      </c>
      <c r="F99" s="15">
        <f t="shared" si="6"/>
        <v>561736</v>
      </c>
      <c r="G99" s="16" t="str">
        <f t="shared" si="7"/>
        <v/>
      </c>
      <c r="H99" s="17">
        <v>762032.35</v>
      </c>
      <c r="I99" s="17">
        <f t="shared" si="8"/>
        <v>-200296.34999999998</v>
      </c>
      <c r="J99" s="16">
        <f t="shared" si="9"/>
        <v>-0.26284494352503535</v>
      </c>
      <c r="K99" s="16">
        <v>0.79099999999999993</v>
      </c>
      <c r="L99" s="61" t="s">
        <v>628</v>
      </c>
      <c r="M99" s="61" t="s">
        <v>629</v>
      </c>
    </row>
    <row r="100" spans="1:13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373108</v>
      </c>
      <c r="E100" s="11">
        <v>0</v>
      </c>
      <c r="F100" s="11">
        <f t="shared" si="6"/>
        <v>373108</v>
      </c>
      <c r="G100" s="12" t="str">
        <f t="shared" si="7"/>
        <v/>
      </c>
      <c r="H100" s="13">
        <v>397809.24</v>
      </c>
      <c r="I100" s="13">
        <f t="shared" si="8"/>
        <v>-24701.239999999991</v>
      </c>
      <c r="J100" s="14">
        <f t="shared" si="9"/>
        <v>-6.2093178127285306E-2</v>
      </c>
      <c r="K100" s="80">
        <v>1</v>
      </c>
      <c r="L100" s="66"/>
      <c r="M100" s="66"/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976672</v>
      </c>
      <c r="E101" s="15">
        <v>0</v>
      </c>
      <c r="F101" s="15">
        <f t="shared" si="6"/>
        <v>976672</v>
      </c>
      <c r="G101" s="16" t="str">
        <f t="shared" si="7"/>
        <v/>
      </c>
      <c r="H101" s="17">
        <v>950618</v>
      </c>
      <c r="I101" s="17">
        <f t="shared" si="8"/>
        <v>26054</v>
      </c>
      <c r="J101" s="16">
        <f t="shared" si="9"/>
        <v>2.7407433900893945E-2</v>
      </c>
      <c r="K101" s="16">
        <v>1</v>
      </c>
      <c r="L101" s="61"/>
      <c r="M101" s="61"/>
    </row>
    <row r="102" spans="1:13" ht="29.1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1109320</v>
      </c>
      <c r="E102" s="11">
        <v>0</v>
      </c>
      <c r="F102" s="11">
        <f t="shared" si="6"/>
        <v>1109320</v>
      </c>
      <c r="G102" s="12" t="str">
        <f t="shared" si="7"/>
        <v/>
      </c>
      <c r="H102" s="13">
        <v>1309644.67</v>
      </c>
      <c r="I102" s="13">
        <f t="shared" si="8"/>
        <v>-200324.66999999993</v>
      </c>
      <c r="J102" s="14">
        <f t="shared" si="9"/>
        <v>-0.15296108523848681</v>
      </c>
      <c r="K102" s="80">
        <v>0.99739999999999995</v>
      </c>
      <c r="L102" s="66" t="s">
        <v>630</v>
      </c>
      <c r="M102" s="66" t="s">
        <v>631</v>
      </c>
    </row>
    <row r="103" spans="1:13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468180</v>
      </c>
      <c r="E103" s="15">
        <v>0</v>
      </c>
      <c r="F103" s="15">
        <f t="shared" si="6"/>
        <v>468180</v>
      </c>
      <c r="G103" s="16" t="str">
        <f t="shared" si="7"/>
        <v/>
      </c>
      <c r="H103" s="17">
        <v>543233.1</v>
      </c>
      <c r="I103" s="17">
        <f t="shared" si="8"/>
        <v>-75053.099999999977</v>
      </c>
      <c r="J103" s="16">
        <f t="shared" si="9"/>
        <v>-0.1381600274357361</v>
      </c>
      <c r="K103" s="16">
        <v>1</v>
      </c>
      <c r="L103" s="61"/>
      <c r="M103" s="62"/>
    </row>
    <row r="104" spans="1:13" ht="43.5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1074921</v>
      </c>
      <c r="E104" s="11">
        <v>0</v>
      </c>
      <c r="F104" s="11">
        <f t="shared" si="6"/>
        <v>1074921</v>
      </c>
      <c r="G104" s="12" t="str">
        <f t="shared" si="7"/>
        <v/>
      </c>
      <c r="H104" s="13">
        <v>1335568.6399999999</v>
      </c>
      <c r="I104" s="13">
        <f t="shared" si="8"/>
        <v>-260647.6399999999</v>
      </c>
      <c r="J104" s="14">
        <f t="shared" si="9"/>
        <v>-0.19515855059310161</v>
      </c>
      <c r="K104" s="80">
        <v>1</v>
      </c>
      <c r="L104" s="66" t="s">
        <v>632</v>
      </c>
      <c r="M104" s="66" t="s">
        <v>633</v>
      </c>
    </row>
    <row r="105" spans="1:13" ht="29.1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402626</v>
      </c>
      <c r="E105" s="15">
        <v>0</v>
      </c>
      <c r="F105" s="15">
        <f t="shared" si="6"/>
        <v>402626</v>
      </c>
      <c r="G105" s="16" t="str">
        <f t="shared" si="7"/>
        <v/>
      </c>
      <c r="H105" s="17">
        <v>406388.89</v>
      </c>
      <c r="I105" s="17">
        <f t="shared" si="8"/>
        <v>-3762.890000000014</v>
      </c>
      <c r="J105" s="16">
        <f t="shared" si="9"/>
        <v>-9.2593328523326857E-3</v>
      </c>
      <c r="K105" s="16">
        <v>1</v>
      </c>
      <c r="L105" s="61" t="s">
        <v>634</v>
      </c>
      <c r="M105" s="61" t="s">
        <v>635</v>
      </c>
    </row>
    <row r="106" spans="1:13" ht="29.1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405471</v>
      </c>
      <c r="E106" s="11">
        <v>0</v>
      </c>
      <c r="F106" s="11">
        <f t="shared" si="6"/>
        <v>405471</v>
      </c>
      <c r="G106" s="12" t="str">
        <f t="shared" si="7"/>
        <v/>
      </c>
      <c r="H106" s="13">
        <v>420580.47</v>
      </c>
      <c r="I106" s="13">
        <f t="shared" si="8"/>
        <v>-15109.469999999972</v>
      </c>
      <c r="J106" s="14">
        <f t="shared" si="9"/>
        <v>-3.5925277272147164E-2</v>
      </c>
      <c r="K106" s="80">
        <v>1</v>
      </c>
      <c r="L106" s="66" t="s">
        <v>634</v>
      </c>
      <c r="M106" s="66" t="s">
        <v>636</v>
      </c>
    </row>
    <row r="107" spans="1:13" ht="29.1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387659</v>
      </c>
      <c r="E107" s="15">
        <v>0</v>
      </c>
      <c r="F107" s="15">
        <f t="shared" si="6"/>
        <v>387659</v>
      </c>
      <c r="G107" s="16" t="str">
        <f t="shared" si="7"/>
        <v/>
      </c>
      <c r="H107" s="17">
        <v>400514.64</v>
      </c>
      <c r="I107" s="17">
        <f t="shared" si="8"/>
        <v>-12855.640000000014</v>
      </c>
      <c r="J107" s="16">
        <f t="shared" si="9"/>
        <v>-3.2097802966703073E-2</v>
      </c>
      <c r="K107" s="16">
        <v>1</v>
      </c>
      <c r="L107" s="61" t="s">
        <v>637</v>
      </c>
      <c r="M107" s="61" t="s">
        <v>638</v>
      </c>
    </row>
    <row r="108" spans="1:13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749944</v>
      </c>
      <c r="E108" s="11">
        <v>0</v>
      </c>
      <c r="F108" s="11">
        <f t="shared" si="6"/>
        <v>749944</v>
      </c>
      <c r="G108" s="12" t="str">
        <f t="shared" si="7"/>
        <v/>
      </c>
      <c r="H108" s="13">
        <v>726188.37</v>
      </c>
      <c r="I108" s="13">
        <f t="shared" si="8"/>
        <v>23755.630000000005</v>
      </c>
      <c r="J108" s="14">
        <f t="shared" si="9"/>
        <v>3.2712765697418156E-2</v>
      </c>
      <c r="K108" s="80">
        <v>0.99950000000000006</v>
      </c>
      <c r="L108" s="66" t="s">
        <v>639</v>
      </c>
      <c r="M108" s="66" t="s">
        <v>640</v>
      </c>
    </row>
    <row r="109" spans="1:13" ht="57.95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493435</v>
      </c>
      <c r="E109" s="15">
        <v>0</v>
      </c>
      <c r="F109" s="15">
        <f t="shared" si="6"/>
        <v>493435</v>
      </c>
      <c r="G109" s="16" t="str">
        <f t="shared" si="7"/>
        <v/>
      </c>
      <c r="H109" s="17">
        <v>630000</v>
      </c>
      <c r="I109" s="17">
        <f t="shared" si="8"/>
        <v>-136565</v>
      </c>
      <c r="J109" s="16">
        <f t="shared" si="9"/>
        <v>-0.21676984126984128</v>
      </c>
      <c r="K109" s="16">
        <v>0.99950000000000006</v>
      </c>
      <c r="L109" s="61" t="s">
        <v>641</v>
      </c>
      <c r="M109" s="61" t="s">
        <v>642</v>
      </c>
    </row>
    <row r="110" spans="1:13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1228031</v>
      </c>
      <c r="E110" s="11">
        <v>0</v>
      </c>
      <c r="F110" s="11">
        <f t="shared" si="6"/>
        <v>1228031</v>
      </c>
      <c r="G110" s="12" t="str">
        <f t="shared" si="7"/>
        <v/>
      </c>
      <c r="H110" s="13">
        <v>0</v>
      </c>
      <c r="I110" s="13">
        <f t="shared" si="8"/>
        <v>1228031</v>
      </c>
      <c r="J110" s="14" t="str">
        <f t="shared" si="9"/>
        <v/>
      </c>
      <c r="K110" s="80"/>
      <c r="L110" s="66"/>
      <c r="M110" s="66"/>
    </row>
    <row r="111" spans="1:13" ht="67.5" customHeight="1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799869</v>
      </c>
      <c r="E111" s="15">
        <v>1047812</v>
      </c>
      <c r="F111" s="15">
        <f t="shared" si="6"/>
        <v>-247943</v>
      </c>
      <c r="G111" s="16">
        <f t="shared" si="7"/>
        <v>-0.23662928082518619</v>
      </c>
      <c r="H111" s="17">
        <v>138989.20000000001</v>
      </c>
      <c r="I111" s="17">
        <f t="shared" si="8"/>
        <v>660879.80000000005</v>
      </c>
      <c r="J111" s="16">
        <f t="shared" si="9"/>
        <v>4.7549003807490076</v>
      </c>
      <c r="K111" s="16">
        <v>0.98560019999999993</v>
      </c>
      <c r="L111" s="61" t="s">
        <v>643</v>
      </c>
      <c r="M111" s="61" t="s">
        <v>644</v>
      </c>
    </row>
    <row r="112" spans="1:13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958119.69499999995</v>
      </c>
      <c r="E112" s="11">
        <v>931607.7</v>
      </c>
      <c r="F112" s="11">
        <f t="shared" si="6"/>
        <v>26511.994999999995</v>
      </c>
      <c r="G112" s="12">
        <f t="shared" si="7"/>
        <v>2.8458325322987345E-2</v>
      </c>
      <c r="H112" s="13">
        <v>1092058</v>
      </c>
      <c r="I112" s="13">
        <f t="shared" si="8"/>
        <v>-133938.30500000005</v>
      </c>
      <c r="J112" s="14">
        <f t="shared" si="9"/>
        <v>-0.12264761120746338</v>
      </c>
      <c r="K112" s="80">
        <v>1</v>
      </c>
      <c r="L112" s="66"/>
      <c r="M112" s="66"/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4859</v>
      </c>
      <c r="E113" s="15">
        <v>6971.5929999999998</v>
      </c>
      <c r="F113" s="15">
        <f t="shared" si="6"/>
        <v>-2112.5929999999998</v>
      </c>
      <c r="G113" s="16">
        <f t="shared" si="7"/>
        <v>-0.30302873389195267</v>
      </c>
      <c r="H113" s="17">
        <v>5446.6260000000002</v>
      </c>
      <c r="I113" s="17">
        <f t="shared" si="8"/>
        <v>-587.6260000000002</v>
      </c>
      <c r="J113" s="16">
        <f t="shared" si="9"/>
        <v>-0.10788807603092267</v>
      </c>
      <c r="K113" s="16">
        <v>1</v>
      </c>
      <c r="L113" s="61"/>
      <c r="M113" s="61"/>
    </row>
    <row r="114" spans="1:13" ht="72.599999999999994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11991.1899999999</v>
      </c>
      <c r="E114" s="11">
        <v>16505.740000000002</v>
      </c>
      <c r="F114" s="11">
        <f t="shared" si="6"/>
        <v>-4514.5500000001011</v>
      </c>
      <c r="G114" s="12">
        <f t="shared" si="7"/>
        <v>-0.27351394121076067</v>
      </c>
      <c r="H114" s="13">
        <v>12687.48</v>
      </c>
      <c r="I114" s="13">
        <f t="shared" si="8"/>
        <v>-696.2900000000991</v>
      </c>
      <c r="J114" s="14">
        <f t="shared" si="9"/>
        <v>-5.4880086510489014E-2</v>
      </c>
      <c r="K114" s="80">
        <v>1</v>
      </c>
      <c r="L114" s="66" t="s">
        <v>645</v>
      </c>
      <c r="M114" s="66" t="s">
        <v>646</v>
      </c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1962</v>
      </c>
      <c r="E115" s="15">
        <v>2113</v>
      </c>
      <c r="F115" s="15">
        <f t="shared" si="6"/>
        <v>-151</v>
      </c>
      <c r="G115" s="16">
        <f t="shared" si="7"/>
        <v>-7.146237576904875E-2</v>
      </c>
      <c r="H115" s="17">
        <v>1890</v>
      </c>
      <c r="I115" s="17">
        <f t="shared" si="8"/>
        <v>72</v>
      </c>
      <c r="J115" s="16">
        <f t="shared" si="9"/>
        <v>3.8095238095238099E-2</v>
      </c>
      <c r="K115" s="16"/>
      <c r="L115" s="61"/>
      <c r="M115" s="62"/>
    </row>
    <row r="116" spans="1:13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1730</v>
      </c>
      <c r="E116" s="11">
        <v>1833</v>
      </c>
      <c r="F116" s="11">
        <f t="shared" si="6"/>
        <v>-103</v>
      </c>
      <c r="G116" s="12">
        <f t="shared" si="7"/>
        <v>-5.6192034915439171E-2</v>
      </c>
      <c r="H116" s="13">
        <v>1977</v>
      </c>
      <c r="I116" s="13">
        <f t="shared" si="8"/>
        <v>-247</v>
      </c>
      <c r="J116" s="14">
        <f t="shared" si="9"/>
        <v>-0.12493677288821446</v>
      </c>
      <c r="K116" s="80"/>
      <c r="L116" s="66"/>
      <c r="M116" s="66"/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2171</v>
      </c>
      <c r="E117" s="15">
        <v>2135</v>
      </c>
      <c r="F117" s="15">
        <f t="shared" si="6"/>
        <v>36</v>
      </c>
      <c r="G117" s="16">
        <f t="shared" si="7"/>
        <v>1.6861826697892272E-2</v>
      </c>
      <c r="H117" s="17">
        <v>2048</v>
      </c>
      <c r="I117" s="17">
        <f t="shared" si="8"/>
        <v>123</v>
      </c>
      <c r="J117" s="16">
        <f t="shared" si="9"/>
        <v>6.005859375E-2</v>
      </c>
      <c r="K117" s="16"/>
      <c r="L117" s="61"/>
      <c r="M117" s="62"/>
    </row>
    <row r="118" spans="1:13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25048</v>
      </c>
      <c r="E118" s="11">
        <v>28122</v>
      </c>
      <c r="F118" s="11">
        <f t="shared" si="6"/>
        <v>-3074</v>
      </c>
      <c r="G118" s="12">
        <f t="shared" si="7"/>
        <v>-0.1093094374511059</v>
      </c>
      <c r="H118" s="13">
        <v>5434</v>
      </c>
      <c r="I118" s="13">
        <f t="shared" si="8"/>
        <v>19614</v>
      </c>
      <c r="J118" s="14">
        <f t="shared" si="9"/>
        <v>3.6094957673905044</v>
      </c>
      <c r="K118" s="80"/>
      <c r="L118" s="66"/>
      <c r="M118" s="66"/>
    </row>
    <row r="119" spans="1:13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61661</v>
      </c>
      <c r="E119" s="15">
        <v>0</v>
      </c>
      <c r="F119" s="15">
        <f t="shared" si="6"/>
        <v>61661</v>
      </c>
      <c r="G119" s="16" t="str">
        <f t="shared" si="7"/>
        <v/>
      </c>
      <c r="H119" s="17">
        <v>54215</v>
      </c>
      <c r="I119" s="17">
        <f t="shared" si="8"/>
        <v>7446</v>
      </c>
      <c r="J119" s="16">
        <f t="shared" si="9"/>
        <v>0.13734206400442681</v>
      </c>
      <c r="K119" s="16"/>
      <c r="L119" s="61"/>
      <c r="M119" s="62"/>
    </row>
    <row r="120" spans="1:13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>
        <v>41971</v>
      </c>
      <c r="E120" s="11">
        <v>42978</v>
      </c>
      <c r="F120" s="11">
        <f t="shared" si="6"/>
        <v>-1007</v>
      </c>
      <c r="G120" s="12">
        <f t="shared" si="7"/>
        <v>-2.3430592396109638E-2</v>
      </c>
      <c r="H120" s="13">
        <v>40771</v>
      </c>
      <c r="I120" s="13">
        <f t="shared" si="8"/>
        <v>1200</v>
      </c>
      <c r="J120" s="14">
        <f t="shared" si="9"/>
        <v>2.9432684996688822E-2</v>
      </c>
      <c r="K120" s="80"/>
      <c r="L120" s="66"/>
      <c r="M120" s="66"/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14293</v>
      </c>
      <c r="E121" s="15">
        <v>12852</v>
      </c>
      <c r="F121" s="15">
        <f t="shared" si="6"/>
        <v>1441</v>
      </c>
      <c r="G121" s="16">
        <f t="shared" si="7"/>
        <v>0.11212262682850918</v>
      </c>
      <c r="H121" s="17">
        <v>13841</v>
      </c>
      <c r="I121" s="17">
        <f t="shared" si="8"/>
        <v>452</v>
      </c>
      <c r="J121" s="16">
        <f t="shared" si="9"/>
        <v>3.2656599956650531E-2</v>
      </c>
      <c r="K121" s="16"/>
      <c r="L121" s="61"/>
      <c r="M121" s="62"/>
    </row>
    <row r="122" spans="1:13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14424</v>
      </c>
      <c r="E122" s="11">
        <v>11621</v>
      </c>
      <c r="F122" s="11">
        <f t="shared" si="6"/>
        <v>2803</v>
      </c>
      <c r="G122" s="12">
        <f t="shared" si="7"/>
        <v>0.24120127355649257</v>
      </c>
      <c r="H122" s="13">
        <v>13833</v>
      </c>
      <c r="I122" s="13">
        <f t="shared" si="8"/>
        <v>591</v>
      </c>
      <c r="J122" s="14">
        <f t="shared" si="9"/>
        <v>4.2723921058338755E-2</v>
      </c>
      <c r="K122" s="80"/>
      <c r="L122" s="66"/>
      <c r="M122" s="66"/>
    </row>
    <row r="123" spans="1:13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189719</v>
      </c>
      <c r="E123" s="15">
        <v>202837</v>
      </c>
      <c r="F123" s="15">
        <f t="shared" si="6"/>
        <v>-13118</v>
      </c>
      <c r="G123" s="16">
        <f t="shared" si="7"/>
        <v>-6.4672618900890863E-2</v>
      </c>
      <c r="H123" s="17">
        <v>191756</v>
      </c>
      <c r="I123" s="17">
        <f t="shared" si="8"/>
        <v>-2037</v>
      </c>
      <c r="J123" s="16">
        <f t="shared" si="9"/>
        <v>-1.0622874903523228E-2</v>
      </c>
      <c r="K123" s="16"/>
      <c r="L123" s="61" t="s">
        <v>647</v>
      </c>
      <c r="M123" s="61" t="s">
        <v>522</v>
      </c>
    </row>
    <row r="124" spans="1:13" ht="43.5">
      <c r="A124" s="25" t="str">
        <v>Shortal</v>
      </c>
      <c r="B124" s="26" t="str">
        <v>MD</v>
      </c>
      <c r="C124" s="26" t="str">
        <f>Sites[[#This Row],[SOL'#]]</f>
        <v>SOL-10091</v>
      </c>
      <c r="D124" s="21">
        <v>207079</v>
      </c>
      <c r="E124" s="11">
        <v>218810</v>
      </c>
      <c r="F124" s="11">
        <f t="shared" si="6"/>
        <v>-11731</v>
      </c>
      <c r="G124" s="12">
        <f t="shared" si="7"/>
        <v>-5.3612723367304965E-2</v>
      </c>
      <c r="H124" s="13">
        <v>11617</v>
      </c>
      <c r="I124" s="13">
        <f t="shared" si="8"/>
        <v>195462</v>
      </c>
      <c r="J124" s="14">
        <f t="shared" si="9"/>
        <v>16.825514332443831</v>
      </c>
      <c r="K124" s="80"/>
      <c r="L124" s="66" t="s">
        <v>648</v>
      </c>
      <c r="M124" s="66" t="s">
        <v>649</v>
      </c>
    </row>
    <row r="125" spans="1:13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21224</v>
      </c>
      <c r="E125" s="15">
        <v>18087</v>
      </c>
      <c r="F125" s="15">
        <f t="shared" si="6"/>
        <v>3137</v>
      </c>
      <c r="G125" s="16">
        <f t="shared" si="7"/>
        <v>0.17343948692431027</v>
      </c>
      <c r="H125" s="17">
        <v>22987</v>
      </c>
      <c r="I125" s="17">
        <f t="shared" si="8"/>
        <v>-1763</v>
      </c>
      <c r="J125" s="16">
        <f t="shared" si="9"/>
        <v>-7.6695523556792974E-2</v>
      </c>
      <c r="K125" s="16"/>
      <c r="L125" s="61" t="s">
        <v>650</v>
      </c>
      <c r="M125" s="61" t="s">
        <v>524</v>
      </c>
    </row>
    <row r="126" spans="1:13" ht="29.1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72559</v>
      </c>
      <c r="E126" s="11">
        <v>75049</v>
      </c>
      <c r="F126" s="11">
        <f t="shared" si="6"/>
        <v>-2490</v>
      </c>
      <c r="G126" s="12">
        <f t="shared" si="7"/>
        <v>-3.3178323495316395E-2</v>
      </c>
      <c r="H126" s="13">
        <v>0</v>
      </c>
      <c r="I126" s="13">
        <f t="shared" si="8"/>
        <v>72559</v>
      </c>
      <c r="J126" s="14" t="str">
        <f t="shared" si="9"/>
        <v/>
      </c>
      <c r="K126" s="80"/>
      <c r="L126" s="66" t="s">
        <v>651</v>
      </c>
      <c r="M126" s="76" t="s">
        <v>652</v>
      </c>
    </row>
    <row r="127" spans="1:13" ht="137.25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26624</v>
      </c>
      <c r="E127" s="15">
        <v>45660</v>
      </c>
      <c r="F127" s="15">
        <f t="shared" si="6"/>
        <v>-19036</v>
      </c>
      <c r="G127" s="16">
        <f t="shared" si="7"/>
        <v>-0.41690757774857645</v>
      </c>
      <c r="H127" s="17">
        <v>33362</v>
      </c>
      <c r="I127" s="17">
        <f t="shared" si="8"/>
        <v>-6738</v>
      </c>
      <c r="J127" s="16">
        <f t="shared" si="9"/>
        <v>-0.20196630897428211</v>
      </c>
      <c r="K127" s="16"/>
      <c r="L127" s="61" t="s">
        <v>653</v>
      </c>
      <c r="M127" s="61" t="s">
        <v>654</v>
      </c>
    </row>
    <row r="128" spans="1:13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85022</v>
      </c>
      <c r="E128" s="11">
        <v>82198</v>
      </c>
      <c r="F128" s="11">
        <f t="shared" si="6"/>
        <v>2824</v>
      </c>
      <c r="G128" s="12">
        <f t="shared" si="7"/>
        <v>3.4356067057592643E-2</v>
      </c>
      <c r="H128" s="13">
        <v>85076</v>
      </c>
      <c r="I128" s="13">
        <f t="shared" si="8"/>
        <v>-54</v>
      </c>
      <c r="J128" s="14">
        <f t="shared" si="9"/>
        <v>-6.3472659739527014E-4</v>
      </c>
      <c r="K128" s="80"/>
      <c r="L128" s="66"/>
      <c r="M128" s="66"/>
    </row>
    <row r="129" spans="1:13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194147</v>
      </c>
      <c r="E129" s="15">
        <v>194047</v>
      </c>
      <c r="F129" s="15">
        <f t="shared" si="6"/>
        <v>100</v>
      </c>
      <c r="G129" s="16">
        <f t="shared" si="7"/>
        <v>5.1533906733935595E-4</v>
      </c>
      <c r="H129" s="17">
        <v>187743</v>
      </c>
      <c r="I129" s="17">
        <f t="shared" si="8"/>
        <v>6404</v>
      </c>
      <c r="J129" s="16">
        <f t="shared" si="9"/>
        <v>3.411045951114023E-2</v>
      </c>
      <c r="K129" s="16"/>
      <c r="L129" s="61"/>
      <c r="M129" s="62"/>
    </row>
    <row r="130" spans="1:13" ht="72" customHeight="1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384176</v>
      </c>
      <c r="E130" s="11">
        <v>413957</v>
      </c>
      <c r="F130" s="11">
        <f t="shared" si="6"/>
        <v>-29781</v>
      </c>
      <c r="G130" s="12">
        <f t="shared" si="7"/>
        <v>-7.1942254871882827E-2</v>
      </c>
      <c r="H130" s="13">
        <v>397254</v>
      </c>
      <c r="I130" s="13">
        <f t="shared" si="8"/>
        <v>-13078</v>
      </c>
      <c r="J130" s="14">
        <f t="shared" si="9"/>
        <v>-3.2921002683421692E-2</v>
      </c>
      <c r="K130" s="80"/>
      <c r="L130" s="66" t="s">
        <v>655</v>
      </c>
      <c r="M130" s="66" t="s">
        <v>656</v>
      </c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17472</v>
      </c>
      <c r="E131" s="15">
        <v>16999</v>
      </c>
      <c r="F131" s="15">
        <f t="shared" si="6"/>
        <v>473</v>
      </c>
      <c r="G131" s="16">
        <f t="shared" si="7"/>
        <v>2.7825166186246249E-2</v>
      </c>
      <c r="H131" s="17">
        <v>13793</v>
      </c>
      <c r="I131" s="17">
        <f t="shared" si="8"/>
        <v>3679</v>
      </c>
      <c r="J131" s="16">
        <f t="shared" si="9"/>
        <v>0.26672950047125354</v>
      </c>
      <c r="K131" s="16"/>
      <c r="L131" s="61"/>
      <c r="M131" s="62"/>
    </row>
    <row r="132" spans="1:13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12402</v>
      </c>
      <c r="E132" s="11">
        <v>13119</v>
      </c>
      <c r="F132" s="11">
        <f t="shared" si="6"/>
        <v>-717</v>
      </c>
      <c r="G132" s="12">
        <f t="shared" si="7"/>
        <v>-5.4653555911273723E-2</v>
      </c>
      <c r="H132" s="13">
        <v>10719</v>
      </c>
      <c r="I132" s="13">
        <f t="shared" si="8"/>
        <v>1683</v>
      </c>
      <c r="J132" s="14">
        <f t="shared" si="9"/>
        <v>0.15701091519731319</v>
      </c>
      <c r="K132" s="80"/>
      <c r="L132" s="66"/>
      <c r="M132" s="66"/>
    </row>
    <row r="133" spans="1:13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11063</v>
      </c>
      <c r="E133" s="15">
        <v>7829</v>
      </c>
      <c r="F133" s="15">
        <f t="shared" ref="F133:F160" si="10">IF(AND(ISNUMBER(D133),ISNUMBER(E133)), D133-E133, "")</f>
        <v>3234</v>
      </c>
      <c r="G133" s="16">
        <f t="shared" si="7"/>
        <v>0.41307957593562394</v>
      </c>
      <c r="H133" s="17">
        <v>9339</v>
      </c>
      <c r="I133" s="17">
        <f t="shared" si="8"/>
        <v>1724</v>
      </c>
      <c r="J133" s="16">
        <f t="shared" si="9"/>
        <v>0.18460220580361922</v>
      </c>
      <c r="K133" s="16"/>
      <c r="L133" s="61"/>
      <c r="M133" s="62"/>
    </row>
    <row r="134" spans="1:13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41395</v>
      </c>
      <c r="E134" s="11">
        <v>39141</v>
      </c>
      <c r="F134" s="11">
        <f t="shared" si="10"/>
        <v>2254</v>
      </c>
      <c r="G134" s="12">
        <f t="shared" ref="G134:G160" si="11">IFERROR(F134/E134, "")</f>
        <v>5.7586673820290743E-2</v>
      </c>
      <c r="H134" s="13">
        <v>16994</v>
      </c>
      <c r="I134" s="13">
        <f t="shared" si="8"/>
        <v>24401</v>
      </c>
      <c r="J134" s="14">
        <f t="shared" si="9"/>
        <v>1.4358597151935977</v>
      </c>
      <c r="K134" s="80"/>
      <c r="L134" s="66"/>
      <c r="M134" s="66"/>
    </row>
    <row r="135" spans="1:13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36468</v>
      </c>
      <c r="E135" s="15">
        <v>38600</v>
      </c>
      <c r="F135" s="15">
        <f t="shared" si="10"/>
        <v>-2132</v>
      </c>
      <c r="G135" s="16">
        <f t="shared" si="11"/>
        <v>-5.5233160621761659E-2</v>
      </c>
      <c r="H135" s="17">
        <v>33042</v>
      </c>
      <c r="I135" s="17">
        <f t="shared" si="8"/>
        <v>3426</v>
      </c>
      <c r="J135" s="16">
        <f t="shared" si="9"/>
        <v>0.10368621754131106</v>
      </c>
      <c r="K135" s="16"/>
      <c r="L135" s="61" t="s">
        <v>657</v>
      </c>
      <c r="M135" s="61" t="s">
        <v>658</v>
      </c>
    </row>
    <row r="136" spans="1:13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36667</v>
      </c>
      <c r="E136" s="11">
        <v>37534</v>
      </c>
      <c r="F136" s="11">
        <f t="shared" si="10"/>
        <v>-867</v>
      </c>
      <c r="G136" s="12">
        <f t="shared" si="11"/>
        <v>-2.3099056855118025E-2</v>
      </c>
      <c r="H136" s="13">
        <v>33050</v>
      </c>
      <c r="I136" s="13">
        <f t="shared" si="8"/>
        <v>3617</v>
      </c>
      <c r="J136" s="14">
        <f t="shared" si="9"/>
        <v>0.10944024205748866</v>
      </c>
      <c r="K136" s="80"/>
      <c r="L136" s="66"/>
      <c r="M136" s="66"/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19095</v>
      </c>
      <c r="E137" s="15">
        <v>15755</v>
      </c>
      <c r="F137" s="15">
        <f t="shared" si="10"/>
        <v>3340</v>
      </c>
      <c r="G137" s="16">
        <f t="shared" si="11"/>
        <v>0.2119961916851793</v>
      </c>
      <c r="H137" s="17">
        <v>16293</v>
      </c>
      <c r="I137" s="17">
        <f t="shared" si="8"/>
        <v>2802</v>
      </c>
      <c r="J137" s="16">
        <f t="shared" si="9"/>
        <v>0.1719756950837783</v>
      </c>
      <c r="K137" s="16"/>
      <c r="L137" s="61"/>
      <c r="M137" s="62"/>
    </row>
    <row r="138" spans="1:13" ht="29.1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597276</v>
      </c>
      <c r="E138" s="11">
        <v>0</v>
      </c>
      <c r="F138" s="11">
        <f t="shared" si="10"/>
        <v>597276</v>
      </c>
      <c r="G138" s="12" t="str">
        <f t="shared" si="11"/>
        <v/>
      </c>
      <c r="H138" s="13">
        <v>0</v>
      </c>
      <c r="I138" s="13">
        <f t="shared" si="8"/>
        <v>597276</v>
      </c>
      <c r="J138" s="14" t="str">
        <f t="shared" si="9"/>
        <v/>
      </c>
      <c r="K138" s="80"/>
      <c r="L138" s="66" t="s">
        <v>659</v>
      </c>
      <c r="M138" s="66" t="s">
        <v>660</v>
      </c>
    </row>
    <row r="139" spans="1:13" ht="147.75" customHeight="1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921238</v>
      </c>
      <c r="E139" s="15">
        <v>0</v>
      </c>
      <c r="F139" s="15">
        <f t="shared" si="10"/>
        <v>921238</v>
      </c>
      <c r="G139" s="16" t="str">
        <f t="shared" si="11"/>
        <v/>
      </c>
      <c r="H139" s="17">
        <v>0</v>
      </c>
      <c r="I139" s="17">
        <f t="shared" si="8"/>
        <v>921238</v>
      </c>
      <c r="J139" s="16" t="str">
        <f t="shared" si="9"/>
        <v/>
      </c>
      <c r="K139" s="16"/>
      <c r="L139" s="61" t="s">
        <v>661</v>
      </c>
      <c r="M139" s="61" t="s">
        <v>662</v>
      </c>
    </row>
    <row r="140" spans="1:13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>
        <v>391080</v>
      </c>
      <c r="E140" s="11">
        <v>392206</v>
      </c>
      <c r="F140" s="11">
        <f t="shared" si="10"/>
        <v>-1126</v>
      </c>
      <c r="G140" s="68">
        <f t="shared" si="11"/>
        <v>-2.8709402711840208E-3</v>
      </c>
      <c r="H140" s="83">
        <v>381489</v>
      </c>
      <c r="I140" s="83">
        <f t="shared" si="8"/>
        <v>9591</v>
      </c>
      <c r="J140" s="80">
        <f t="shared" si="9"/>
        <v>2.5140960814073274E-2</v>
      </c>
      <c r="K140" s="80"/>
      <c r="L140" s="89"/>
      <c r="M140" s="66"/>
    </row>
    <row r="141" spans="1:13" ht="43.5">
      <c r="A141" s="27" t="str">
        <v>Finney</v>
      </c>
      <c r="B141" s="28" t="str">
        <v>NY</v>
      </c>
      <c r="C141" s="28" t="str">
        <f>Sites[[#This Row],[SOL'#]]</f>
        <v>SOL-10999</v>
      </c>
      <c r="D141" s="82">
        <v>316580</v>
      </c>
      <c r="E141" s="15"/>
      <c r="F141" s="15" t="str">
        <f t="shared" si="10"/>
        <v/>
      </c>
      <c r="G141" s="84" t="str">
        <f t="shared" si="11"/>
        <v/>
      </c>
      <c r="H141" s="85"/>
      <c r="I141" s="85" t="str">
        <f t="shared" si="8"/>
        <v/>
      </c>
      <c r="J141" s="84" t="str">
        <f t="shared" si="9"/>
        <v/>
      </c>
      <c r="K141" s="16"/>
      <c r="L141" s="61" t="s">
        <v>663</v>
      </c>
      <c r="M141" s="91" t="s">
        <v>664</v>
      </c>
    </row>
    <row r="142" spans="1:13" ht="99.75" customHeight="1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v>379098</v>
      </c>
      <c r="E142" s="11">
        <v>415825.2</v>
      </c>
      <c r="F142" s="11">
        <f t="shared" si="10"/>
        <v>-36727.200000000012</v>
      </c>
      <c r="G142" s="68">
        <f t="shared" si="11"/>
        <v>-8.8323651380435839E-2</v>
      </c>
      <c r="H142" s="83">
        <v>452578</v>
      </c>
      <c r="I142" s="83">
        <f t="shared" si="8"/>
        <v>-73480</v>
      </c>
      <c r="J142" s="80">
        <f t="shared" si="9"/>
        <v>-0.16235875362920868</v>
      </c>
      <c r="K142" s="80">
        <v>0.86788309999999991</v>
      </c>
      <c r="L142" s="89" t="s">
        <v>665</v>
      </c>
      <c r="M142" s="66" t="s">
        <v>666</v>
      </c>
    </row>
    <row r="143" spans="1:13" ht="47.25" customHeight="1">
      <c r="A143" s="27" t="str">
        <v>Genesee</v>
      </c>
      <c r="B143" s="28" t="str">
        <v>NY</v>
      </c>
      <c r="C143" s="28" t="str">
        <f>Sites[[#This Row],[SOL'#]]</f>
        <v>SOL-10951</v>
      </c>
      <c r="D143" s="82">
        <v>881988</v>
      </c>
      <c r="E143" s="15">
        <v>0</v>
      </c>
      <c r="F143" s="15">
        <f t="shared" si="10"/>
        <v>881988</v>
      </c>
      <c r="G143" s="84" t="str">
        <f t="shared" si="11"/>
        <v/>
      </c>
      <c r="H143" s="85">
        <v>0</v>
      </c>
      <c r="I143" s="85">
        <f t="shared" si="8"/>
        <v>881988</v>
      </c>
      <c r="J143" s="84" t="str">
        <f t="shared" si="9"/>
        <v/>
      </c>
      <c r="K143" s="16"/>
      <c r="L143" s="61" t="s">
        <v>667</v>
      </c>
      <c r="M143" s="91" t="s">
        <v>668</v>
      </c>
    </row>
    <row r="144" spans="1:13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>
        <v>404690</v>
      </c>
      <c r="E144" s="11">
        <v>0</v>
      </c>
      <c r="F144" s="11">
        <f t="shared" si="10"/>
        <v>404690</v>
      </c>
      <c r="G144" s="68" t="str">
        <f t="shared" si="11"/>
        <v/>
      </c>
      <c r="H144" s="83">
        <v>0</v>
      </c>
      <c r="I144" s="83">
        <f t="shared" si="8"/>
        <v>404690</v>
      </c>
      <c r="J144" s="80" t="str">
        <f t="shared" si="9"/>
        <v/>
      </c>
      <c r="K144" s="80"/>
      <c r="L144" s="89"/>
      <c r="M144" s="66"/>
    </row>
    <row r="145" spans="1:13" ht="92.25" customHeight="1">
      <c r="A145" s="27" t="str">
        <v>Landau II</v>
      </c>
      <c r="B145" s="28" t="str">
        <v>NY</v>
      </c>
      <c r="C145" s="28" t="str">
        <f>Sites[[#This Row],[SOL'#]]</f>
        <v>SOL-10895</v>
      </c>
      <c r="D145" s="82">
        <v>334690</v>
      </c>
      <c r="E145" s="15">
        <v>0</v>
      </c>
      <c r="F145" s="15">
        <f t="shared" si="10"/>
        <v>334690</v>
      </c>
      <c r="G145" s="84" t="str">
        <f t="shared" si="11"/>
        <v/>
      </c>
      <c r="H145" s="85">
        <v>0</v>
      </c>
      <c r="I145" s="85">
        <f t="shared" si="8"/>
        <v>334690</v>
      </c>
      <c r="J145" s="84" t="str">
        <f t="shared" si="9"/>
        <v/>
      </c>
      <c r="K145" s="16"/>
      <c r="L145" s="61" t="s">
        <v>669</v>
      </c>
      <c r="M145" s="92" t="s">
        <v>670</v>
      </c>
    </row>
    <row r="146" spans="1:13" ht="39.75" customHeight="1">
      <c r="A146" s="25" t="str">
        <v>New Beginnings</v>
      </c>
      <c r="B146" s="26" t="str">
        <v>NY</v>
      </c>
      <c r="C146" s="26" t="str">
        <f>Sites[[#This Row],[SOL'#]]</f>
        <v>SOL-10890</v>
      </c>
      <c r="D146" s="67">
        <v>401940</v>
      </c>
      <c r="E146" s="11">
        <v>401968</v>
      </c>
      <c r="F146" s="11">
        <f t="shared" si="10"/>
        <v>-28</v>
      </c>
      <c r="G146" s="68">
        <f t="shared" si="11"/>
        <v>-6.9657286152131518E-5</v>
      </c>
      <c r="H146" s="83">
        <v>398278</v>
      </c>
      <c r="I146" s="83">
        <f t="shared" ref="I146:I160" si="12">IF(AND(ISNUMBER(D146),ISNUMBER(H146)), D146-H146, "")</f>
        <v>3662</v>
      </c>
      <c r="J146" s="80">
        <f t="shared" ref="J146:J160" si="13">IFERROR(I146/H146, "")</f>
        <v>9.1945826784306448E-3</v>
      </c>
      <c r="K146" s="80"/>
      <c r="L146" s="89" t="s">
        <v>671</v>
      </c>
      <c r="M146" s="66" t="s">
        <v>672</v>
      </c>
    </row>
    <row r="147" spans="1:13" ht="29.1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>
        <v>673297</v>
      </c>
      <c r="E147" s="15">
        <v>683546</v>
      </c>
      <c r="F147" s="15">
        <f t="shared" si="10"/>
        <v>-10249</v>
      </c>
      <c r="G147" s="84">
        <f t="shared" si="11"/>
        <v>-1.499387020039617E-2</v>
      </c>
      <c r="H147" s="85">
        <v>1048743</v>
      </c>
      <c r="I147" s="85">
        <f t="shared" si="12"/>
        <v>-375446</v>
      </c>
      <c r="J147" s="84">
        <f t="shared" si="13"/>
        <v>-0.3579961916313148</v>
      </c>
      <c r="K147" s="16"/>
      <c r="L147" s="61" t="s">
        <v>673</v>
      </c>
      <c r="M147" s="91" t="s">
        <v>674</v>
      </c>
    </row>
    <row r="148" spans="1:13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>
        <v>486584</v>
      </c>
      <c r="E148" s="11">
        <v>509888</v>
      </c>
      <c r="F148" s="11">
        <f t="shared" si="10"/>
        <v>-23304</v>
      </c>
      <c r="G148" s="68">
        <f t="shared" si="11"/>
        <v>-4.5704154637881259E-2</v>
      </c>
      <c r="H148" s="83">
        <v>522919</v>
      </c>
      <c r="I148" s="83">
        <f t="shared" si="12"/>
        <v>-36335</v>
      </c>
      <c r="J148" s="80">
        <f t="shared" si="13"/>
        <v>-6.9484948911781752E-2</v>
      </c>
      <c r="K148" s="80"/>
      <c r="L148" s="89"/>
      <c r="M148" s="66"/>
    </row>
    <row r="149" spans="1:13" ht="159.6" customHeight="1">
      <c r="A149" s="27" t="str">
        <v>Svenski</v>
      </c>
      <c r="B149" s="28" t="str">
        <v>NY</v>
      </c>
      <c r="C149" s="28" t="str">
        <f>Sites[[#This Row],[SOL'#]]</f>
        <v>SOL-10894</v>
      </c>
      <c r="D149" s="82">
        <v>304918</v>
      </c>
      <c r="E149" s="15">
        <v>0</v>
      </c>
      <c r="F149" s="15">
        <f t="shared" si="10"/>
        <v>304918</v>
      </c>
      <c r="G149" s="84" t="str">
        <f t="shared" si="11"/>
        <v/>
      </c>
      <c r="H149" s="85">
        <v>0</v>
      </c>
      <c r="I149" s="85">
        <f t="shared" si="12"/>
        <v>304918</v>
      </c>
      <c r="J149" s="84" t="str">
        <f t="shared" si="13"/>
        <v/>
      </c>
      <c r="K149" s="16"/>
      <c r="L149" s="61" t="s">
        <v>675</v>
      </c>
      <c r="M149" s="92" t="s">
        <v>676</v>
      </c>
    </row>
    <row r="150" spans="1:13" ht="15.6">
      <c r="A150" s="25" t="str">
        <v>Bantam</v>
      </c>
      <c r="B150" s="26" t="str">
        <v>NY</v>
      </c>
      <c r="C150" s="26" t="str">
        <f>Sites[[#This Row],[SOL'#]]</f>
        <v>SOL-10986</v>
      </c>
      <c r="D150" s="67">
        <v>1133220</v>
      </c>
      <c r="E150" s="11">
        <v>0</v>
      </c>
      <c r="F150" s="11">
        <f t="shared" si="10"/>
        <v>1133220</v>
      </c>
      <c r="G150" s="68" t="str">
        <f t="shared" si="11"/>
        <v/>
      </c>
      <c r="H150" s="83">
        <v>0</v>
      </c>
      <c r="I150" s="83">
        <f t="shared" si="12"/>
        <v>1133220</v>
      </c>
      <c r="J150" s="80" t="str">
        <f t="shared" si="13"/>
        <v/>
      </c>
      <c r="K150" s="80"/>
      <c r="L150" s="89"/>
      <c r="M150" s="66"/>
    </row>
    <row r="151" spans="1:13" ht="29.1">
      <c r="A151" s="27" t="str">
        <v>Bogart</v>
      </c>
      <c r="B151" s="28" t="str">
        <v>NY</v>
      </c>
      <c r="C151" s="28" t="str">
        <f>Sites[[#This Row],[SOL'#]]</f>
        <v>SOL-10887</v>
      </c>
      <c r="D151" s="82">
        <v>358420</v>
      </c>
      <c r="E151" s="15">
        <v>382168</v>
      </c>
      <c r="F151" s="15">
        <f t="shared" si="10"/>
        <v>-23748</v>
      </c>
      <c r="G151" s="84">
        <f t="shared" si="11"/>
        <v>-6.2140210588013646E-2</v>
      </c>
      <c r="H151" s="85">
        <v>391479</v>
      </c>
      <c r="I151" s="85">
        <f t="shared" si="12"/>
        <v>-33059</v>
      </c>
      <c r="J151" s="84">
        <f t="shared" si="13"/>
        <v>-8.4446419859047356E-2</v>
      </c>
      <c r="K151" s="16"/>
      <c r="L151" s="61" t="s">
        <v>677</v>
      </c>
      <c r="M151" s="91" t="s">
        <v>678</v>
      </c>
    </row>
    <row r="152" spans="1:13" ht="29.1">
      <c r="A152" s="25" t="str">
        <v>Dubois</v>
      </c>
      <c r="B152" s="26" t="str">
        <v>NY</v>
      </c>
      <c r="C152" s="26" t="str">
        <f>Sites[[#This Row],[SOL'#]]</f>
        <v>SOL-10892</v>
      </c>
      <c r="D152" s="67">
        <v>359955</v>
      </c>
      <c r="E152" s="11">
        <v>0</v>
      </c>
      <c r="F152" s="11">
        <f t="shared" si="10"/>
        <v>359955</v>
      </c>
      <c r="G152" s="68" t="str">
        <f t="shared" si="11"/>
        <v/>
      </c>
      <c r="H152" s="83">
        <v>0</v>
      </c>
      <c r="I152" s="83">
        <f t="shared" si="12"/>
        <v>359955</v>
      </c>
      <c r="J152" s="80" t="str">
        <f t="shared" si="13"/>
        <v/>
      </c>
      <c r="K152" s="80"/>
      <c r="L152" s="89" t="s">
        <v>679</v>
      </c>
      <c r="M152" s="66" t="s">
        <v>680</v>
      </c>
    </row>
    <row r="153" spans="1:13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>
        <v>418107</v>
      </c>
      <c r="E153" s="15">
        <v>0</v>
      </c>
      <c r="F153" s="15">
        <f t="shared" si="10"/>
        <v>418107</v>
      </c>
      <c r="G153" s="84" t="str">
        <f t="shared" si="11"/>
        <v/>
      </c>
      <c r="H153" s="85">
        <v>0</v>
      </c>
      <c r="I153" s="85">
        <f t="shared" si="12"/>
        <v>418107</v>
      </c>
      <c r="J153" s="84" t="str">
        <f t="shared" si="13"/>
        <v/>
      </c>
      <c r="K153" s="16"/>
      <c r="L153" s="59" t="s">
        <v>681</v>
      </c>
      <c r="M153" s="93" t="s">
        <v>682</v>
      </c>
    </row>
    <row r="154" spans="1:13" ht="29.1">
      <c r="A154" s="25" t="str">
        <v>Wheatland 2A</v>
      </c>
      <c r="B154" s="26" t="str">
        <v>NY</v>
      </c>
      <c r="C154" s="26" t="str">
        <f>Sites[[#This Row],[SOL'#]]</f>
        <v>SOL-10971</v>
      </c>
      <c r="D154" s="67">
        <v>941330</v>
      </c>
      <c r="E154" s="11">
        <v>0</v>
      </c>
      <c r="F154" s="11">
        <f t="shared" si="10"/>
        <v>941330</v>
      </c>
      <c r="G154" s="68" t="str">
        <f t="shared" si="11"/>
        <v/>
      </c>
      <c r="H154" s="83">
        <v>0</v>
      </c>
      <c r="I154" s="83">
        <f t="shared" si="12"/>
        <v>941330</v>
      </c>
      <c r="J154" s="80" t="str">
        <f t="shared" si="13"/>
        <v/>
      </c>
      <c r="K154" s="80"/>
      <c r="L154" s="89" t="s">
        <v>683</v>
      </c>
      <c r="M154" s="66" t="s">
        <v>684</v>
      </c>
    </row>
    <row r="155" spans="1:13" ht="29.1">
      <c r="A155" s="27" t="str">
        <v>Wheatland 2B</v>
      </c>
      <c r="B155" s="28" t="str">
        <v>NY</v>
      </c>
      <c r="C155" s="28" t="str">
        <f>Sites[[#This Row],[SOL'#]]</f>
        <v>SOL-10961</v>
      </c>
      <c r="D155" s="82">
        <v>949970</v>
      </c>
      <c r="E155" s="15">
        <v>0</v>
      </c>
      <c r="F155" s="15">
        <f t="shared" si="10"/>
        <v>949970</v>
      </c>
      <c r="G155" s="84" t="str">
        <f t="shared" si="11"/>
        <v/>
      </c>
      <c r="H155" s="85">
        <v>0</v>
      </c>
      <c r="I155" s="85">
        <f t="shared" si="12"/>
        <v>949970</v>
      </c>
      <c r="J155" s="84" t="str">
        <f t="shared" si="13"/>
        <v/>
      </c>
      <c r="K155" s="16"/>
      <c r="L155" s="61" t="s">
        <v>683</v>
      </c>
      <c r="M155" s="93" t="s">
        <v>685</v>
      </c>
    </row>
    <row r="156" spans="1:13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>
        <v>450560</v>
      </c>
      <c r="E156" s="11">
        <v>486732</v>
      </c>
      <c r="F156" s="11">
        <f t="shared" si="10"/>
        <v>-36172</v>
      </c>
      <c r="G156" s="68">
        <f t="shared" si="11"/>
        <v>-7.4316050721957877E-2</v>
      </c>
      <c r="H156" s="83">
        <v>496313</v>
      </c>
      <c r="I156" s="83">
        <f t="shared" si="12"/>
        <v>-45753</v>
      </c>
      <c r="J156" s="80">
        <f t="shared" si="13"/>
        <v>-9.2185777926429485E-2</v>
      </c>
      <c r="K156" s="80"/>
      <c r="L156" s="89"/>
      <c r="M156" s="66"/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>
        <v>429624</v>
      </c>
      <c r="E157" s="15">
        <v>0</v>
      </c>
      <c r="F157" s="15">
        <f t="shared" si="10"/>
        <v>429624</v>
      </c>
      <c r="G157" s="84" t="str">
        <f t="shared" si="11"/>
        <v/>
      </c>
      <c r="H157" s="85">
        <v>0</v>
      </c>
      <c r="I157" s="85">
        <f t="shared" si="12"/>
        <v>429624</v>
      </c>
      <c r="J157" s="84" t="str">
        <f t="shared" si="13"/>
        <v/>
      </c>
      <c r="K157" s="16"/>
      <c r="L157" s="61"/>
      <c r="M157" s="91"/>
    </row>
    <row r="158" spans="1:13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>
        <v>17824</v>
      </c>
      <c r="E158" s="11">
        <v>0</v>
      </c>
      <c r="F158" s="11">
        <f t="shared" si="10"/>
        <v>17824</v>
      </c>
      <c r="G158" s="68" t="str">
        <f t="shared" si="11"/>
        <v/>
      </c>
      <c r="H158" s="83">
        <v>0</v>
      </c>
      <c r="I158" s="83">
        <f t="shared" si="12"/>
        <v>17824</v>
      </c>
      <c r="J158" s="80" t="str">
        <f t="shared" si="13"/>
        <v/>
      </c>
      <c r="K158" s="80"/>
      <c r="L158" s="89"/>
      <c r="M158" s="66"/>
    </row>
    <row r="159" spans="1:13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>
        <v>523420.72888888902</v>
      </c>
      <c r="E159" s="15">
        <v>553634.1</v>
      </c>
      <c r="F159" s="15">
        <f t="shared" si="10"/>
        <v>-30213.371111110959</v>
      </c>
      <c r="G159" s="84">
        <f t="shared" si="11"/>
        <v>-5.4572814628128866E-2</v>
      </c>
      <c r="H159" s="85">
        <v>498681</v>
      </c>
      <c r="I159" s="85">
        <f t="shared" si="12"/>
        <v>24739.728888889018</v>
      </c>
      <c r="J159" s="84">
        <f t="shared" si="13"/>
        <v>4.9610329827863939E-2</v>
      </c>
      <c r="K159" s="16">
        <v>0.97970519999999994</v>
      </c>
      <c r="L159" s="61"/>
      <c r="M159" s="91"/>
    </row>
    <row r="160" spans="1:13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>
        <v>410647</v>
      </c>
      <c r="E160" s="11">
        <v>0</v>
      </c>
      <c r="F160" s="11">
        <f t="shared" si="10"/>
        <v>410647</v>
      </c>
      <c r="G160" s="68" t="str">
        <f t="shared" si="11"/>
        <v/>
      </c>
      <c r="H160" s="83">
        <v>0</v>
      </c>
      <c r="I160" s="83">
        <f t="shared" si="12"/>
        <v>410647</v>
      </c>
      <c r="J160" s="80" t="str">
        <f t="shared" si="13"/>
        <v/>
      </c>
      <c r="K160" s="80"/>
      <c r="L160" s="89"/>
      <c r="M160" s="66"/>
    </row>
    <row r="161" spans="1:13" ht="15.6">
      <c r="A161" s="27" t="str">
        <v>Altamont</v>
      </c>
      <c r="B161" s="28" t="str">
        <v>NY</v>
      </c>
      <c r="C161" s="28" t="s">
        <v>13</v>
      </c>
      <c r="D161" s="82">
        <v>810998</v>
      </c>
      <c r="E161" s="15">
        <v>840483.2</v>
      </c>
      <c r="F161" s="15"/>
      <c r="G161" s="84"/>
      <c r="H161" s="85">
        <v>725705.4</v>
      </c>
      <c r="I161" s="85"/>
      <c r="J161" s="84"/>
      <c r="K161" s="19">
        <v>1</v>
      </c>
      <c r="L161" s="61"/>
      <c r="M161" s="91"/>
    </row>
    <row r="162" spans="1:13" ht="14.4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9"/>
      <c r="L162" s="18"/>
      <c r="M162" s="18"/>
    </row>
    <row r="163" spans="1:13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9"/>
      <c r="L163" s="18"/>
      <c r="M163" s="18"/>
    </row>
    <row r="164" spans="1:13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9"/>
      <c r="L164" s="18"/>
      <c r="M164" s="18"/>
    </row>
    <row r="165" spans="1:13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9"/>
      <c r="L165" s="18"/>
      <c r="M165" s="18"/>
    </row>
    <row r="166" spans="1:13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9"/>
      <c r="L166" s="18"/>
      <c r="M166" s="18"/>
    </row>
    <row r="167" spans="1:13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9"/>
      <c r="L167" s="18"/>
      <c r="M167" s="18"/>
    </row>
    <row r="168" spans="1:13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9"/>
      <c r="L168" s="18"/>
      <c r="M168" s="18"/>
    </row>
    <row r="169" spans="1:13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9"/>
      <c r="L169" s="18"/>
      <c r="M169" s="18"/>
    </row>
    <row r="170" spans="1:13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9"/>
      <c r="L170" s="18"/>
      <c r="M170" s="18"/>
    </row>
    <row r="171" spans="1:13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9"/>
      <c r="L171" s="18"/>
      <c r="M171" s="18"/>
    </row>
    <row r="172" spans="1:13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9"/>
      <c r="L172" s="18"/>
      <c r="M172" s="18"/>
    </row>
    <row r="173" spans="1:13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9"/>
      <c r="L173" s="18"/>
      <c r="M173" s="18"/>
    </row>
    <row r="174" spans="1:13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9"/>
      <c r="L174" s="18"/>
      <c r="M174" s="18"/>
    </row>
    <row r="175" spans="1:13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9"/>
      <c r="L175" s="18"/>
      <c r="M175" s="18"/>
    </row>
    <row r="176" spans="1:13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9"/>
      <c r="L176" s="18"/>
      <c r="M176" s="18"/>
    </row>
    <row r="177" spans="1:13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9"/>
      <c r="L177" s="18"/>
      <c r="M177" s="18"/>
    </row>
    <row r="178" spans="1:13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9"/>
      <c r="L178" s="18"/>
      <c r="M178" s="18"/>
    </row>
    <row r="179" spans="1:13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9"/>
      <c r="L179" s="18"/>
      <c r="M179" s="18"/>
    </row>
    <row r="180" spans="1:13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9"/>
      <c r="L180" s="18"/>
      <c r="M180" s="18"/>
    </row>
    <row r="181" spans="1:13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9"/>
      <c r="L181" s="18"/>
      <c r="M181" s="18"/>
    </row>
    <row r="182" spans="1:13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9"/>
      <c r="L182" s="18"/>
      <c r="M182" s="18"/>
    </row>
    <row r="183" spans="1:13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9"/>
      <c r="L183" s="18"/>
      <c r="M183" s="18"/>
    </row>
    <row r="184" spans="1:13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9"/>
      <c r="L184" s="18"/>
      <c r="M184" s="18"/>
    </row>
    <row r="185" spans="1:13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9"/>
      <c r="L185" s="18"/>
      <c r="M185" s="18"/>
    </row>
    <row r="186" spans="1:13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9"/>
      <c r="L186" s="18"/>
      <c r="M186" s="18"/>
    </row>
    <row r="187" spans="1:13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9"/>
      <c r="L187" s="18"/>
      <c r="M187" s="18"/>
    </row>
    <row r="188" spans="1:13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9"/>
      <c r="L188" s="18"/>
      <c r="M188" s="18"/>
    </row>
    <row r="189" spans="1:13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9"/>
      <c r="L189" s="18"/>
      <c r="M189" s="18"/>
    </row>
    <row r="190" spans="1:13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9"/>
      <c r="L190" s="18"/>
      <c r="M190" s="18"/>
    </row>
    <row r="191" spans="1:13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9"/>
      <c r="L191" s="18"/>
      <c r="M191" s="18"/>
    </row>
    <row r="192" spans="1:13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9"/>
      <c r="L192" s="18"/>
      <c r="M192" s="18"/>
    </row>
    <row r="193" spans="1:13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9"/>
      <c r="L193" s="18"/>
      <c r="M193" s="18"/>
    </row>
    <row r="194" spans="1:13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9"/>
      <c r="L194" s="18"/>
      <c r="M194" s="18"/>
    </row>
    <row r="195" spans="1:13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9"/>
      <c r="L195" s="18"/>
      <c r="M195" s="18"/>
    </row>
    <row r="196" spans="1:13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9"/>
      <c r="L196" s="18"/>
      <c r="M196" s="18"/>
    </row>
    <row r="197" spans="1:13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9"/>
      <c r="L197" s="18"/>
      <c r="M197" s="18"/>
    </row>
    <row r="198" spans="1:13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9"/>
      <c r="L198" s="18"/>
      <c r="M198" s="18"/>
    </row>
    <row r="199" spans="1:13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9"/>
      <c r="L199" s="18"/>
      <c r="M199" s="18"/>
    </row>
    <row r="200" spans="1:13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9"/>
      <c r="L200" s="18"/>
      <c r="M200" s="18"/>
    </row>
    <row r="201" spans="1:13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9"/>
      <c r="L201" s="18"/>
      <c r="M201" s="18"/>
    </row>
    <row r="202" spans="1:13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9"/>
      <c r="L202" s="18"/>
      <c r="M202" s="18"/>
    </row>
    <row r="203" spans="1:13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9"/>
      <c r="L203" s="18"/>
      <c r="M203" s="18"/>
    </row>
    <row r="204" spans="1:13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9"/>
      <c r="L204" s="18"/>
      <c r="M204" s="18"/>
    </row>
    <row r="205" spans="1:13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9"/>
      <c r="L205" s="18"/>
      <c r="M205" s="18"/>
    </row>
    <row r="206" spans="1:13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9"/>
      <c r="L206" s="18"/>
      <c r="M206" s="18"/>
    </row>
    <row r="207" spans="1:13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9"/>
      <c r="L207" s="18"/>
      <c r="M207" s="18"/>
    </row>
    <row r="208" spans="1:13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9"/>
      <c r="L208" s="18"/>
      <c r="M208" s="18"/>
    </row>
    <row r="209" spans="1:13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9"/>
      <c r="L209" s="18"/>
      <c r="M209" s="18"/>
    </row>
    <row r="210" spans="1:13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9"/>
      <c r="L210" s="18"/>
      <c r="M210" s="18"/>
    </row>
    <row r="211" spans="1:13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9"/>
      <c r="L211" s="18"/>
      <c r="M211" s="18"/>
    </row>
    <row r="212" spans="1:13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9"/>
      <c r="L212" s="18"/>
      <c r="M212" s="18"/>
    </row>
    <row r="213" spans="1:13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9"/>
      <c r="L213" s="18"/>
      <c r="M213" s="18"/>
    </row>
    <row r="214" spans="1:13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9"/>
      <c r="L214" s="18"/>
      <c r="M214" s="18"/>
    </row>
    <row r="215" spans="1:13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9"/>
      <c r="L215" s="18"/>
      <c r="M215" s="18"/>
    </row>
    <row r="216" spans="1:13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9"/>
      <c r="L216" s="18"/>
      <c r="M216" s="18"/>
    </row>
    <row r="217" spans="1:13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9"/>
      <c r="L217" s="18"/>
      <c r="M217" s="18"/>
    </row>
    <row r="218" spans="1:13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9"/>
      <c r="L218" s="18"/>
      <c r="M218" s="18"/>
    </row>
    <row r="219" spans="1:13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9"/>
      <c r="L219" s="18"/>
      <c r="M219" s="18"/>
    </row>
    <row r="220" spans="1:13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9"/>
      <c r="L220" s="18"/>
      <c r="M220" s="18"/>
    </row>
    <row r="221" spans="1:13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9"/>
      <c r="L221" s="18"/>
      <c r="M221" s="18"/>
    </row>
    <row r="222" spans="1:13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9"/>
      <c r="L222" s="18"/>
      <c r="M222" s="18"/>
    </row>
    <row r="223" spans="1:13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9"/>
      <c r="L223" s="18"/>
      <c r="M223" s="18"/>
    </row>
    <row r="224" spans="1:13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9"/>
      <c r="L224" s="18"/>
      <c r="M224" s="18"/>
    </row>
    <row r="225" spans="1:13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9"/>
      <c r="L225" s="18"/>
      <c r="M225" s="18"/>
    </row>
    <row r="226" spans="1:13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9"/>
      <c r="L226" s="18"/>
      <c r="M226" s="18"/>
    </row>
    <row r="227" spans="1:13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9"/>
      <c r="L227" s="18"/>
      <c r="M227" s="18"/>
    </row>
    <row r="228" spans="1:13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9"/>
      <c r="L228" s="18"/>
      <c r="M228" s="18"/>
    </row>
    <row r="229" spans="1:13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9"/>
      <c r="L229" s="18"/>
      <c r="M229" s="18"/>
    </row>
    <row r="230" spans="1:13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9"/>
      <c r="L230" s="18"/>
      <c r="M230" s="18"/>
    </row>
    <row r="231" spans="1:13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9"/>
      <c r="L231" s="18"/>
      <c r="M231" s="18"/>
    </row>
    <row r="232" spans="1:13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9"/>
      <c r="L232" s="18"/>
      <c r="M232" s="18"/>
    </row>
    <row r="233" spans="1:13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9"/>
      <c r="L233" s="18"/>
      <c r="M233" s="18"/>
    </row>
    <row r="234" spans="1:13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9"/>
      <c r="L234" s="18"/>
      <c r="M234" s="18"/>
    </row>
    <row r="235" spans="1:13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9"/>
      <c r="L235" s="18"/>
      <c r="M235" s="18"/>
    </row>
    <row r="236" spans="1:13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9"/>
      <c r="L236" s="18"/>
      <c r="M236" s="18"/>
    </row>
    <row r="237" spans="1:13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9"/>
      <c r="L237" s="18"/>
      <c r="M237" s="18"/>
    </row>
    <row r="238" spans="1:13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9"/>
      <c r="L238" s="18"/>
      <c r="M238" s="18"/>
    </row>
    <row r="239" spans="1:13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9"/>
      <c r="L239" s="18"/>
      <c r="M239" s="18"/>
    </row>
    <row r="240" spans="1:13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9"/>
      <c r="L240" s="18"/>
      <c r="M240" s="18"/>
    </row>
    <row r="241" spans="1:13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9"/>
      <c r="L241" s="18"/>
      <c r="M241" s="18"/>
    </row>
    <row r="242" spans="1:13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9"/>
      <c r="L242" s="18"/>
      <c r="M242" s="18"/>
    </row>
    <row r="243" spans="1:13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9"/>
      <c r="L243" s="18"/>
      <c r="M243" s="18"/>
    </row>
    <row r="244" spans="1:13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9"/>
      <c r="L244" s="18"/>
      <c r="M244" s="18"/>
    </row>
    <row r="245" spans="1:13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9"/>
      <c r="L245" s="18"/>
      <c r="M245" s="18"/>
    </row>
    <row r="246" spans="1:13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9"/>
      <c r="L246" s="18"/>
      <c r="M246" s="18"/>
    </row>
    <row r="247" spans="1:13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9"/>
      <c r="L247" s="18"/>
      <c r="M247" s="18"/>
    </row>
    <row r="248" spans="1:13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9"/>
      <c r="L248" s="18"/>
      <c r="M248" s="18"/>
    </row>
    <row r="249" spans="1:13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9"/>
      <c r="L249" s="18"/>
      <c r="M249" s="18"/>
    </row>
    <row r="250" spans="1:13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9"/>
      <c r="L250" s="18"/>
      <c r="M250" s="18"/>
    </row>
    <row r="251" spans="1:13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9"/>
      <c r="L251" s="18"/>
      <c r="M251" s="18"/>
    </row>
    <row r="252" spans="1:13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9"/>
      <c r="L252" s="18"/>
      <c r="M252" s="18"/>
    </row>
    <row r="253" spans="1:13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9"/>
      <c r="L253" s="18"/>
      <c r="M253" s="18"/>
    </row>
    <row r="254" spans="1:13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9"/>
      <c r="L254" s="18"/>
      <c r="M254" s="18"/>
    </row>
    <row r="255" spans="1:13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9"/>
      <c r="L255" s="18"/>
      <c r="M255" s="18"/>
    </row>
    <row r="256" spans="1:13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9"/>
      <c r="L256" s="18"/>
      <c r="M256" s="18"/>
    </row>
    <row r="257" spans="1:13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9"/>
      <c r="L257" s="18"/>
      <c r="M257" s="18"/>
    </row>
    <row r="258" spans="1:13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9"/>
      <c r="L258" s="18"/>
      <c r="M258" s="18"/>
    </row>
    <row r="259" spans="1:13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9"/>
      <c r="L259" s="18"/>
      <c r="M259" s="18"/>
    </row>
    <row r="260" spans="1:13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9"/>
      <c r="L260" s="18"/>
      <c r="M260" s="18"/>
    </row>
    <row r="261" spans="1:13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9"/>
      <c r="L261" s="18"/>
      <c r="M261" s="18"/>
    </row>
    <row r="262" spans="1:13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9"/>
      <c r="L262" s="18"/>
      <c r="M262" s="18"/>
    </row>
    <row r="263" spans="1:13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9"/>
      <c r="L263" s="18"/>
      <c r="M263" s="18"/>
    </row>
    <row r="264" spans="1:13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9"/>
      <c r="L264" s="18"/>
      <c r="M264" s="18"/>
    </row>
    <row r="265" spans="1:13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9"/>
      <c r="L265" s="18"/>
      <c r="M265" s="18"/>
    </row>
    <row r="266" spans="1:13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9"/>
      <c r="L266" s="18"/>
      <c r="M266" s="18"/>
    </row>
    <row r="267" spans="1:13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9"/>
      <c r="L267" s="18"/>
      <c r="M267" s="18"/>
    </row>
    <row r="268" spans="1:13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9"/>
      <c r="L268" s="18"/>
      <c r="M268" s="18"/>
    </row>
    <row r="269" spans="1:13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9"/>
      <c r="L269" s="18"/>
      <c r="M269" s="18"/>
    </row>
    <row r="270" spans="1:13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9"/>
      <c r="L270" s="18"/>
      <c r="M270" s="18"/>
    </row>
    <row r="271" spans="1:13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9"/>
      <c r="L271" s="18"/>
      <c r="M271" s="18"/>
    </row>
    <row r="272" spans="1:13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9"/>
      <c r="L272" s="18"/>
      <c r="M272" s="18"/>
    </row>
    <row r="273" spans="1:13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9"/>
      <c r="L273" s="18"/>
      <c r="M273" s="18"/>
    </row>
    <row r="274" spans="1:13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9"/>
      <c r="L274" s="18"/>
      <c r="M274" s="18"/>
    </row>
    <row r="275" spans="1:13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9"/>
      <c r="L275" s="18"/>
      <c r="M275" s="18"/>
    </row>
    <row r="276" spans="1:13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9"/>
      <c r="L276" s="18"/>
      <c r="M276" s="18"/>
    </row>
    <row r="277" spans="1:13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9"/>
      <c r="L277" s="18"/>
      <c r="M277" s="18"/>
    </row>
    <row r="278" spans="1:13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9"/>
      <c r="L278" s="18"/>
      <c r="M278" s="18"/>
    </row>
    <row r="279" spans="1:13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9"/>
      <c r="L279" s="18"/>
      <c r="M279" s="18"/>
    </row>
    <row r="280" spans="1:13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9"/>
      <c r="L280" s="18"/>
      <c r="M280" s="18"/>
    </row>
    <row r="281" spans="1:13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9"/>
      <c r="L281" s="18"/>
      <c r="M281" s="18"/>
    </row>
    <row r="282" spans="1:13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9"/>
      <c r="L282" s="18"/>
      <c r="M282" s="18"/>
    </row>
    <row r="283" spans="1:13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9"/>
      <c r="L283" s="18"/>
      <c r="M283" s="18"/>
    </row>
    <row r="284" spans="1:13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9"/>
      <c r="L284" s="18"/>
      <c r="M284" s="18"/>
    </row>
    <row r="285" spans="1:13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9"/>
      <c r="L285" s="18"/>
      <c r="M285" s="18"/>
    </row>
    <row r="286" spans="1:13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9"/>
      <c r="L286" s="18"/>
      <c r="M286" s="18"/>
    </row>
    <row r="287" spans="1:13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9"/>
      <c r="L287" s="18"/>
      <c r="M287" s="18"/>
    </row>
    <row r="288" spans="1:13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9"/>
      <c r="L288" s="18"/>
      <c r="M288" s="18"/>
    </row>
    <row r="289" spans="1:13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9"/>
      <c r="L289" s="18"/>
      <c r="M289" s="18"/>
    </row>
    <row r="290" spans="1:13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9"/>
      <c r="L290" s="18"/>
      <c r="M290" s="18"/>
    </row>
    <row r="291" spans="1:13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9"/>
      <c r="L291" s="18"/>
      <c r="M291" s="18"/>
    </row>
    <row r="292" spans="1:13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9"/>
      <c r="L292" s="18"/>
      <c r="M292" s="18"/>
    </row>
    <row r="293" spans="1:13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9"/>
      <c r="L293" s="18"/>
      <c r="M293" s="18"/>
    </row>
    <row r="294" spans="1:13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9"/>
      <c r="L294" s="18"/>
      <c r="M294" s="18"/>
    </row>
    <row r="295" spans="1:13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9"/>
      <c r="L295" s="18"/>
      <c r="M295" s="18"/>
    </row>
    <row r="296" spans="1:13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9"/>
      <c r="L296" s="18"/>
      <c r="M296" s="18"/>
    </row>
    <row r="297" spans="1:13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9"/>
      <c r="L297" s="18"/>
      <c r="M297" s="18"/>
    </row>
    <row r="298" spans="1:13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9"/>
      <c r="L298" s="18"/>
      <c r="M298" s="18"/>
    </row>
    <row r="299" spans="1:13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9"/>
      <c r="L299" s="18"/>
      <c r="M299" s="18"/>
    </row>
    <row r="300" spans="1:13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9"/>
      <c r="L300" s="18"/>
      <c r="M300" s="18"/>
    </row>
    <row r="301" spans="1:13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9"/>
      <c r="L301" s="18"/>
      <c r="M301" s="18"/>
    </row>
    <row r="302" spans="1:13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9"/>
      <c r="L302" s="18"/>
      <c r="M302" s="18"/>
    </row>
    <row r="303" spans="1:13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9"/>
      <c r="L303" s="18"/>
      <c r="M303" s="18"/>
    </row>
    <row r="304" spans="1:13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9"/>
      <c r="L304" s="18"/>
      <c r="M304" s="18"/>
    </row>
    <row r="305" spans="1:13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9"/>
      <c r="L305" s="18"/>
      <c r="M305" s="18"/>
    </row>
    <row r="306" spans="1:13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9"/>
      <c r="L306" s="18"/>
      <c r="M306" s="18"/>
    </row>
    <row r="307" spans="1:13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9"/>
      <c r="L307" s="18"/>
      <c r="M307" s="18"/>
    </row>
    <row r="308" spans="1:13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9"/>
      <c r="L308" s="18"/>
      <c r="M308" s="18"/>
    </row>
    <row r="309" spans="1:13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9"/>
      <c r="L309" s="18"/>
      <c r="M309" s="18"/>
    </row>
    <row r="310" spans="1:13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9"/>
      <c r="L310" s="18"/>
      <c r="M310" s="18"/>
    </row>
    <row r="311" spans="1:13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9"/>
      <c r="L311" s="18"/>
      <c r="M311" s="18"/>
    </row>
    <row r="312" spans="1:13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9"/>
      <c r="L312" s="18"/>
      <c r="M312" s="18"/>
    </row>
    <row r="313" spans="1:13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9"/>
      <c r="L313" s="18"/>
      <c r="M313" s="18"/>
    </row>
    <row r="314" spans="1:13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9"/>
      <c r="L314" s="18"/>
      <c r="M314" s="18"/>
    </row>
    <row r="315" spans="1:13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9"/>
      <c r="L315" s="18"/>
      <c r="M315" s="18"/>
    </row>
    <row r="316" spans="1:13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9"/>
      <c r="L316" s="18"/>
      <c r="M316" s="18"/>
    </row>
    <row r="317" spans="1:13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9"/>
      <c r="L317" s="18"/>
      <c r="M317" s="18"/>
    </row>
    <row r="318" spans="1:13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9"/>
      <c r="L318" s="18"/>
      <c r="M318" s="18"/>
    </row>
    <row r="319" spans="1:13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9"/>
      <c r="L319" s="18"/>
      <c r="M319" s="18"/>
    </row>
    <row r="320" spans="1:13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9"/>
      <c r="L320" s="18"/>
      <c r="M320" s="18"/>
    </row>
    <row r="321" spans="1:13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9"/>
      <c r="L321" s="18"/>
      <c r="M321" s="18"/>
    </row>
    <row r="322" spans="1:13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9"/>
      <c r="L322" s="18"/>
      <c r="M322" s="18"/>
    </row>
    <row r="323" spans="1:13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9"/>
      <c r="L323" s="18"/>
      <c r="M323" s="18"/>
    </row>
    <row r="324" spans="1:13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9"/>
      <c r="L324" s="18"/>
      <c r="M324" s="18"/>
    </row>
    <row r="325" spans="1:13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9"/>
      <c r="L325" s="18"/>
      <c r="M325" s="18"/>
    </row>
    <row r="326" spans="1:13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9"/>
      <c r="L326" s="18"/>
      <c r="M326" s="18"/>
    </row>
    <row r="327" spans="1:13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9"/>
      <c r="L327" s="18"/>
      <c r="M327" s="18"/>
    </row>
    <row r="328" spans="1:13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9"/>
      <c r="L328" s="18"/>
      <c r="M328" s="18"/>
    </row>
    <row r="329" spans="1:13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9"/>
      <c r="L329" s="18"/>
      <c r="M329" s="18"/>
    </row>
    <row r="330" spans="1:13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9"/>
      <c r="L330" s="18"/>
      <c r="M330" s="18"/>
    </row>
    <row r="331" spans="1:13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9"/>
      <c r="L331" s="18"/>
      <c r="M331" s="18"/>
    </row>
    <row r="332" spans="1:13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9"/>
      <c r="L332" s="18"/>
      <c r="M332" s="18"/>
    </row>
    <row r="333" spans="1:13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9"/>
      <c r="L333" s="18"/>
      <c r="M333" s="18"/>
    </row>
    <row r="334" spans="1:13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9"/>
      <c r="L334" s="18"/>
      <c r="M334" s="18"/>
    </row>
    <row r="335" spans="1:13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9"/>
      <c r="L335" s="18"/>
      <c r="M335" s="18"/>
    </row>
    <row r="336" spans="1:13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9"/>
      <c r="L336" s="18"/>
      <c r="M336" s="18"/>
    </row>
    <row r="337" spans="1:13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9"/>
      <c r="L337" s="18"/>
      <c r="M337" s="18"/>
    </row>
    <row r="338" spans="1:13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9"/>
      <c r="L338" s="18"/>
      <c r="M338" s="18"/>
    </row>
    <row r="339" spans="1:13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9"/>
      <c r="L339" s="18"/>
      <c r="M339" s="18"/>
    </row>
    <row r="340" spans="1:13">
      <c r="D340" s="18"/>
      <c r="E340" s="18"/>
      <c r="F340" s="18"/>
      <c r="G340" s="19"/>
      <c r="H340" s="18"/>
      <c r="I340" s="18"/>
      <c r="J340" s="19"/>
      <c r="K340" s="19"/>
      <c r="L340" s="18"/>
      <c r="M340" s="18"/>
    </row>
    <row r="341" spans="1:13">
      <c r="K341" s="19"/>
    </row>
    <row r="342" spans="1:13">
      <c r="K342" s="19"/>
    </row>
  </sheetData>
  <mergeCells count="4">
    <mergeCell ref="H1:J1"/>
    <mergeCell ref="A1:D1"/>
    <mergeCell ref="E1:G1"/>
    <mergeCell ref="A2:B2"/>
  </mergeCells>
  <conditionalFormatting sqref="G2">
    <cfRule type="cellIs" dxfId="62" priority="15" stopIfTrue="1" operator="lessThanOrEqual">
      <formula>-0.1</formula>
    </cfRule>
    <cfRule type="expression" dxfId="61" priority="16">
      <formula>AND(ISNUMBER(G2), G2&gt;=0.1)</formula>
    </cfRule>
  </conditionalFormatting>
  <conditionalFormatting sqref="G4:G161 J4:J161">
    <cfRule type="cellIs" dxfId="60" priority="5" stopIfTrue="1" operator="lessThanOrEqual">
      <formula>-0.1</formula>
    </cfRule>
    <cfRule type="expression" dxfId="59" priority="6">
      <formula>AND(ISNUMBER(G4), G4&gt;=0.1)</formula>
    </cfRule>
  </conditionalFormatting>
  <conditionalFormatting sqref="J2:K2">
    <cfRule type="cellIs" dxfId="58" priority="3" stopIfTrue="1" operator="lessThanOrEqual">
      <formula>-0.1</formula>
    </cfRule>
    <cfRule type="expression" dxfId="57" priority="4">
      <formula>AND(ISNUMBER(J2), J2&gt;=0.1)</formula>
    </cfRule>
  </conditionalFormatting>
  <conditionalFormatting sqref="K4:K160">
    <cfRule type="expression" dxfId="56" priority="1" stopIfTrue="1">
      <formula>AND(K4&lt;&gt;"",K4&lt;0.975)</formula>
    </cfRule>
    <cfRule type="expression" dxfId="55" priority="2">
      <formula>AND(ISNUMBER(K4), K4&gt;=0.985)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M342"/>
  <sheetViews>
    <sheetView zoomScale="80" zoomScaleNormal="80" workbookViewId="0">
      <pane xSplit="2" ySplit="3" topLeftCell="C4" activePane="bottomRight" state="frozen"/>
      <selection pane="bottomRight" activeCell="K3" sqref="K3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17.7109375" style="3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8.5703125" style="1" customWidth="1"/>
    <col min="12" max="12" width="71.5703125" customWidth="1"/>
    <col min="13" max="13" width="20.5703125" bestFit="1" customWidth="1"/>
  </cols>
  <sheetData>
    <row r="1" spans="1:13" ht="19.5" customHeight="1">
      <c r="A1" s="111" t="str" cm="1">
        <f t="array" ref="A1">portfolio</f>
        <v>Generate Capital</v>
      </c>
      <c r="B1" s="111"/>
      <c r="C1" s="111"/>
      <c r="D1" s="111"/>
      <c r="E1" s="112" t="s">
        <v>686</v>
      </c>
      <c r="F1" s="112"/>
      <c r="G1" s="112"/>
      <c r="H1" s="110" t="s">
        <v>687</v>
      </c>
      <c r="I1" s="110"/>
      <c r="J1" s="110"/>
      <c r="K1" s="107" t="s">
        <v>688</v>
      </c>
      <c r="L1" s="5"/>
      <c r="M1" s="5"/>
    </row>
    <row r="2" spans="1:13" ht="19.5" customHeight="1">
      <c r="A2" s="113" t="s">
        <v>3</v>
      </c>
      <c r="B2" s="113"/>
      <c r="C2" s="72"/>
      <c r="D2" s="6">
        <f>SUM(D4:D101)</f>
        <v>20696648.200870022</v>
      </c>
      <c r="E2" s="6">
        <f>SUM(E4:E101)</f>
        <v>7031129.8750000009</v>
      </c>
      <c r="F2" s="6">
        <f>D2-E2</f>
        <v>13665518.325870022</v>
      </c>
      <c r="G2" s="7">
        <f>IFERROR(F2/E2, 0)</f>
        <v>1.9435735889987411</v>
      </c>
      <c r="H2" s="6">
        <f>SUM(H4:H101)</f>
        <v>22546101.660600003</v>
      </c>
      <c r="I2" s="8">
        <f>D2-H2</f>
        <v>-1849453.4597299807</v>
      </c>
      <c r="J2" s="7">
        <f>IFERROR(I2/H2, 0)</f>
        <v>-8.2029855430039003E-2</v>
      </c>
      <c r="K2" s="108"/>
      <c r="L2" s="23" t="str">
        <f ca="1">IF(AND(TODAY()&gt;DATE(2024, 7, 1), COUNTA(Sites[Site])&lt;&gt;(COUNT(D:D)-1)),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  <c r="L3" s="22" t="s">
        <v>30</v>
      </c>
      <c r="M3" s="22" t="s">
        <v>31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14276.437608919799</v>
      </c>
      <c r="E4" s="11">
        <v>8494.0370000000003</v>
      </c>
      <c r="F4" s="11">
        <f>IF(AND(ISNUMBER(D4),ISNUMBER(E4)), D4-E4, "")</f>
        <v>5782.4006089197992</v>
      </c>
      <c r="G4" s="12">
        <f>IFERROR(F4/E4, "")</f>
        <v>0.68075999773956708</v>
      </c>
      <c r="H4" s="13">
        <v>13632.73</v>
      </c>
      <c r="I4" s="13">
        <f>IF(AND(ISNUMBER(D4),ISNUMBER(H4)), D4-H4, "")</f>
        <v>643.7076089197999</v>
      </c>
      <c r="J4" s="14">
        <f>IFERROR(I4/H4, "")</f>
        <v>4.7217806625657513E-2</v>
      </c>
      <c r="K4" s="14">
        <v>1</v>
      </c>
      <c r="L4" s="66"/>
      <c r="M4" s="66"/>
    </row>
    <row r="5" spans="1:13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v>59135</v>
      </c>
      <c r="E5" s="15">
        <v>59187.16</v>
      </c>
      <c r="F5" s="15">
        <f t="shared" ref="F5:F69" si="0">IF(AND(ISNUMBER(D5),ISNUMBER(E5)), D5-E5, "")</f>
        <v>-52.160000000003492</v>
      </c>
      <c r="G5" s="16">
        <f>IFERROR(F5/E5, "")</f>
        <v>-8.8127222188061544E-4</v>
      </c>
      <c r="H5" s="17">
        <v>69101.02</v>
      </c>
      <c r="I5" s="17">
        <f t="shared" ref="I5:I17" si="1">IF(AND(ISNUMBER(D5),ISNUMBER(H5)), D5-H5, "")</f>
        <v>-9966.0200000000041</v>
      </c>
      <c r="J5" s="16">
        <f t="shared" ref="J5:J17" si="2">IFERROR(I5/H5, "")</f>
        <v>-0.1442239202836659</v>
      </c>
      <c r="K5" s="16">
        <v>1</v>
      </c>
      <c r="L5" s="61"/>
      <c r="M5" s="61"/>
    </row>
    <row r="6" spans="1:13" ht="15.6">
      <c r="A6" s="29" t="str">
        <v>JFK Elementary</v>
      </c>
      <c r="B6" s="26" t="str">
        <v>AZ</v>
      </c>
      <c r="C6" s="26" t="str">
        <f>Sites[[#This Row],[SOL'#]]</f>
        <v>SOL-10758</v>
      </c>
      <c r="D6" s="21">
        <v>21247.381401230999</v>
      </c>
      <c r="E6" s="11">
        <v>0</v>
      </c>
      <c r="F6" s="11">
        <f t="shared" si="0"/>
        <v>21247.381401230999</v>
      </c>
      <c r="G6" s="12" t="str">
        <f t="shared" ref="G6:G70" si="3">IFERROR(F6/E6, "")</f>
        <v/>
      </c>
      <c r="H6" s="13">
        <v>18696</v>
      </c>
      <c r="I6" s="13">
        <f t="shared" si="1"/>
        <v>2551.3814012309995</v>
      </c>
      <c r="J6" s="14">
        <f t="shared" si="2"/>
        <v>0.13646669882493578</v>
      </c>
      <c r="K6" s="14">
        <v>0.5</v>
      </c>
      <c r="L6" s="66"/>
      <c r="M6" s="66"/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v>6557.7510399217699</v>
      </c>
      <c r="E7" s="15">
        <v>14415.52</v>
      </c>
      <c r="F7" s="15">
        <f t="shared" si="0"/>
        <v>-7857.7689600782305</v>
      </c>
      <c r="G7" s="16">
        <f t="shared" si="3"/>
        <v>-0.54509091313239</v>
      </c>
      <c r="H7" s="17">
        <v>15330.86</v>
      </c>
      <c r="I7" s="17">
        <f t="shared" si="1"/>
        <v>-8773.1089600782307</v>
      </c>
      <c r="J7" s="16">
        <f t="shared" si="2"/>
        <v>-0.57225158667408293</v>
      </c>
      <c r="K7" s="16">
        <v>0.71280699999999997</v>
      </c>
      <c r="L7" s="61" t="s">
        <v>689</v>
      </c>
      <c r="M7" s="61" t="s">
        <v>690</v>
      </c>
    </row>
    <row r="8" spans="1:13" ht="29.1">
      <c r="A8" s="29" t="str">
        <v>Parking 3</v>
      </c>
      <c r="B8" s="26" t="str">
        <v>AZ</v>
      </c>
      <c r="C8" s="26" t="str">
        <f>Sites[[#This Row],[SOL'#]]</f>
        <v>SOL-10751</v>
      </c>
      <c r="D8" s="21">
        <v>11109.886166652501</v>
      </c>
      <c r="E8" s="11">
        <v>35313.040000000001</v>
      </c>
      <c r="F8" s="11">
        <f t="shared" si="0"/>
        <v>-24203.1538333475</v>
      </c>
      <c r="G8" s="12">
        <f t="shared" si="3"/>
        <v>-0.68538856562186379</v>
      </c>
      <c r="H8" s="13">
        <v>31777.86</v>
      </c>
      <c r="I8" s="13">
        <f t="shared" si="1"/>
        <v>-20667.9738333475</v>
      </c>
      <c r="J8" s="14">
        <f t="shared" si="2"/>
        <v>-0.65038910214053114</v>
      </c>
      <c r="K8" s="14">
        <v>0.3290322</v>
      </c>
      <c r="L8" s="66" t="s">
        <v>691</v>
      </c>
      <c r="M8" s="66" t="s">
        <v>692</v>
      </c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v>31004.1249948728</v>
      </c>
      <c r="E9" s="15">
        <v>25428.86</v>
      </c>
      <c r="F9" s="15">
        <f t="shared" si="0"/>
        <v>5575.2649948727994</v>
      </c>
      <c r="G9" s="16">
        <f t="shared" si="3"/>
        <v>0.21924950606801874</v>
      </c>
      <c r="H9" s="17">
        <v>32095.07</v>
      </c>
      <c r="I9" s="17">
        <f t="shared" si="1"/>
        <v>-1090.9450051271997</v>
      </c>
      <c r="J9" s="16">
        <f t="shared" si="2"/>
        <v>-3.3991046136593553E-2</v>
      </c>
      <c r="K9" s="16">
        <v>1</v>
      </c>
      <c r="L9" s="61"/>
      <c r="M9" s="61"/>
    </row>
    <row r="10" spans="1:13" ht="15.6">
      <c r="A10" s="29" t="str">
        <v>Schwada</v>
      </c>
      <c r="B10" s="26" t="str">
        <v>AZ</v>
      </c>
      <c r="C10" s="26" t="str">
        <f>Sites[[#This Row],[SOL'#]]</f>
        <v>SOL-10753</v>
      </c>
      <c r="D10" s="21">
        <v>14076.130483016799</v>
      </c>
      <c r="E10" s="11">
        <v>10469.26</v>
      </c>
      <c r="F10" s="11">
        <f t="shared" si="0"/>
        <v>3606.870483016799</v>
      </c>
      <c r="G10" s="12">
        <f t="shared" si="3"/>
        <v>0.34452009817473239</v>
      </c>
      <c r="H10" s="13">
        <v>13894</v>
      </c>
      <c r="I10" s="13">
        <f t="shared" si="1"/>
        <v>182.13048301679919</v>
      </c>
      <c r="J10" s="14">
        <f t="shared" si="2"/>
        <v>1.3108570823146624E-2</v>
      </c>
      <c r="K10" s="14">
        <v>1</v>
      </c>
      <c r="L10" s="66"/>
      <c r="M10" s="66"/>
    </row>
    <row r="11" spans="1:13" ht="29.1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9608.2039881481596</v>
      </c>
      <c r="E11" s="15">
        <v>0</v>
      </c>
      <c r="F11" s="15">
        <f t="shared" si="0"/>
        <v>9608.2039881481596</v>
      </c>
      <c r="G11" s="16" t="str">
        <f t="shared" si="3"/>
        <v/>
      </c>
      <c r="H11" s="17">
        <v>11002</v>
      </c>
      <c r="I11" s="17">
        <f t="shared" si="1"/>
        <v>-1393.7960118518404</v>
      </c>
      <c r="J11" s="16">
        <f t="shared" si="2"/>
        <v>-0.12668569458751502</v>
      </c>
      <c r="K11" s="16">
        <v>0.31806380000000001</v>
      </c>
      <c r="L11" s="61" t="s">
        <v>693</v>
      </c>
      <c r="M11" s="61" t="s">
        <v>694</v>
      </c>
    </row>
    <row r="12" spans="1:13" ht="15.6">
      <c r="A12" s="29" t="str">
        <v>Yuma Airport</v>
      </c>
      <c r="B12" s="26" t="str">
        <v>AZ</v>
      </c>
      <c r="C12" s="26" t="str">
        <f>Sites[[#This Row],[SOL'#]]</f>
        <v>SOL-10754</v>
      </c>
      <c r="D12" s="21">
        <v>77989</v>
      </c>
      <c r="E12" s="11">
        <v>89947.46</v>
      </c>
      <c r="F12" s="11">
        <f t="shared" si="0"/>
        <v>-11958.460000000006</v>
      </c>
      <c r="G12" s="12">
        <f t="shared" si="3"/>
        <v>-0.13294939067762454</v>
      </c>
      <c r="H12" s="13">
        <v>82137</v>
      </c>
      <c r="I12" s="13">
        <f t="shared" si="1"/>
        <v>-4148</v>
      </c>
      <c r="J12" s="14">
        <f t="shared" si="2"/>
        <v>-5.0500992244664401E-2</v>
      </c>
      <c r="K12" s="14">
        <v>1</v>
      </c>
      <c r="L12" s="66"/>
      <c r="M12" s="66"/>
    </row>
    <row r="13" spans="1:13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v>96227.7265625</v>
      </c>
      <c r="E13" s="15">
        <v>138282.9</v>
      </c>
      <c r="F13" s="15">
        <f t="shared" si="0"/>
        <v>-42055.173437499994</v>
      </c>
      <c r="G13" s="16">
        <f t="shared" si="3"/>
        <v>-0.30412417903804445</v>
      </c>
      <c r="H13" s="17">
        <v>133750</v>
      </c>
      <c r="I13" s="17">
        <f t="shared" si="1"/>
        <v>-37522.2734375</v>
      </c>
      <c r="J13" s="16">
        <f t="shared" si="2"/>
        <v>-0.28054036214953271</v>
      </c>
      <c r="K13" s="16">
        <v>1</v>
      </c>
      <c r="L13" s="61" t="s">
        <v>695</v>
      </c>
      <c r="M13" s="61" t="s">
        <v>255</v>
      </c>
    </row>
    <row r="14" spans="1:13" ht="15.6">
      <c r="A14" s="29" t="str">
        <v>Wooster</v>
      </c>
      <c r="B14" s="26" t="str">
        <v>OH</v>
      </c>
      <c r="C14" s="26" t="str">
        <f>Sites[[#This Row],[SOL'#]]</f>
        <v>SOL-10763</v>
      </c>
      <c r="D14" s="21">
        <v>22468.75</v>
      </c>
      <c r="E14" s="11">
        <v>0</v>
      </c>
      <c r="F14" s="11">
        <f t="shared" si="0"/>
        <v>22468.75</v>
      </c>
      <c r="G14" s="12" t="str">
        <f t="shared" si="3"/>
        <v/>
      </c>
      <c r="H14" s="13">
        <v>32092</v>
      </c>
      <c r="I14" s="13">
        <f t="shared" si="1"/>
        <v>-9623.25</v>
      </c>
      <c r="J14" s="14">
        <f t="shared" si="2"/>
        <v>-0.29986445219992519</v>
      </c>
      <c r="K14" s="14">
        <v>1</v>
      </c>
      <c r="L14" s="66"/>
      <c r="M14" s="66"/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17931.588985490402</v>
      </c>
      <c r="E15" s="15"/>
      <c r="F15" s="15" t="str">
        <f t="shared" si="0"/>
        <v/>
      </c>
      <c r="G15" s="16" t="str">
        <f t="shared" si="3"/>
        <v/>
      </c>
      <c r="H15" s="17">
        <v>18652</v>
      </c>
      <c r="I15" s="17">
        <f t="shared" si="1"/>
        <v>-720.41101450959832</v>
      </c>
      <c r="J15" s="16">
        <f t="shared" si="2"/>
        <v>-3.8623794472957232E-2</v>
      </c>
      <c r="K15" s="16">
        <v>1</v>
      </c>
      <c r="L15" s="61" t="s">
        <v>696</v>
      </c>
      <c r="M15" s="61"/>
    </row>
    <row r="16" spans="1:13" ht="15.6">
      <c r="A16" s="29" t="str">
        <v>Payson Gila CC</v>
      </c>
      <c r="B16" s="26" t="str">
        <v>AZ</v>
      </c>
      <c r="C16" s="26" t="str">
        <f>Sites[[#This Row],[SOL'#]]</f>
        <v>SOL-10756</v>
      </c>
      <c r="D16" s="21">
        <v>8437.7082586095203</v>
      </c>
      <c r="E16" s="11">
        <v>6237.3860000000004</v>
      </c>
      <c r="F16" s="11">
        <f t="shared" si="0"/>
        <v>2200.3222586095198</v>
      </c>
      <c r="G16" s="12">
        <f t="shared" si="3"/>
        <v>0.35276352282983925</v>
      </c>
      <c r="H16" s="13">
        <v>15449</v>
      </c>
      <c r="I16" s="13">
        <f t="shared" si="1"/>
        <v>-7011.2917413904797</v>
      </c>
      <c r="J16" s="14">
        <f t="shared" si="2"/>
        <v>-0.4538346651168671</v>
      </c>
      <c r="K16" s="14">
        <v>1</v>
      </c>
      <c r="L16" s="66" t="s">
        <v>697</v>
      </c>
      <c r="M16" s="66" t="s">
        <v>698</v>
      </c>
    </row>
    <row r="17" spans="1:13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v>77476.6899999999</v>
      </c>
      <c r="E17" s="15">
        <v>46671.34</v>
      </c>
      <c r="F17" s="15">
        <f t="shared" si="0"/>
        <v>30805.349999999904</v>
      </c>
      <c r="G17" s="16">
        <f t="shared" si="3"/>
        <v>0.66004854371012078</v>
      </c>
      <c r="H17" s="17">
        <v>91007</v>
      </c>
      <c r="I17" s="17">
        <f t="shared" si="1"/>
        <v>-13530.3100000001</v>
      </c>
      <c r="J17" s="16">
        <f t="shared" si="2"/>
        <v>-0.14867328886789039</v>
      </c>
      <c r="K17" s="16">
        <v>0.99896829999999992</v>
      </c>
      <c r="L17" s="61" t="s">
        <v>699</v>
      </c>
      <c r="M17" s="61" t="s">
        <v>700</v>
      </c>
    </row>
    <row r="18" spans="1:13" ht="12.75" customHeight="1">
      <c r="A18" s="29" t="str">
        <v>Sequoia Charter School</v>
      </c>
      <c r="B18" s="26" t="str">
        <v>AZ</v>
      </c>
      <c r="C18" s="26" t="str">
        <f>Sites[[#This Row],[SOL'#]]</f>
        <v>SOL-10759</v>
      </c>
      <c r="D18" s="21">
        <v>26691.464774886099</v>
      </c>
      <c r="E18" s="11"/>
      <c r="F18" s="11" t="str">
        <f t="shared" si="0"/>
        <v/>
      </c>
      <c r="G18" s="12" t="str">
        <f t="shared" si="3"/>
        <v/>
      </c>
      <c r="H18" s="13">
        <v>52037</v>
      </c>
      <c r="I18" s="13">
        <f t="shared" ref="I18:I74" si="4">IF(AND(ISNUMBER(D18),ISNUMBER(H18)), D18-H18, "")</f>
        <v>-25345.535225113901</v>
      </c>
      <c r="J18" s="14">
        <f t="shared" ref="J18:J74" si="5">IFERROR(I18/H18, "")</f>
        <v>-0.48706757163391246</v>
      </c>
      <c r="K18" s="80">
        <v>0.99932799999999999</v>
      </c>
      <c r="L18" s="66" t="s">
        <v>701</v>
      </c>
      <c r="M18" s="66" t="s">
        <v>702</v>
      </c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v>138421</v>
      </c>
      <c r="E19" s="15">
        <v>172889.3</v>
      </c>
      <c r="F19" s="15">
        <f t="shared" si="0"/>
        <v>-34468.299999999988</v>
      </c>
      <c r="G19" s="16">
        <f t="shared" si="3"/>
        <v>-0.19936629970738495</v>
      </c>
      <c r="H19" s="17">
        <v>146849.70000000001</v>
      </c>
      <c r="I19" s="17">
        <f t="shared" si="4"/>
        <v>-8428.7000000000116</v>
      </c>
      <c r="J19" s="16">
        <f t="shared" si="5"/>
        <v>-5.7396780517767559E-2</v>
      </c>
      <c r="K19" s="16">
        <v>1</v>
      </c>
      <c r="L19" s="61" t="s">
        <v>703</v>
      </c>
      <c r="M19" s="61" t="s">
        <v>457</v>
      </c>
    </row>
    <row r="20" spans="1:13" ht="29.1">
      <c r="A20" s="29" t="str">
        <v>Spectro Coatings</v>
      </c>
      <c r="B20" s="26" t="str">
        <v>MA</v>
      </c>
      <c r="C20" s="26" t="str">
        <f>Sites[[#This Row],[SOL'#]]</f>
        <v>SOL-10074</v>
      </c>
      <c r="D20" s="21">
        <v>25773.375</v>
      </c>
      <c r="E20" s="11">
        <v>40168.51</v>
      </c>
      <c r="F20" s="11">
        <f t="shared" si="0"/>
        <v>-14395.135000000002</v>
      </c>
      <c r="G20" s="12">
        <f t="shared" si="3"/>
        <v>-0.35836865743837654</v>
      </c>
      <c r="H20" s="13">
        <v>38977.29</v>
      </c>
      <c r="I20" s="13">
        <f t="shared" si="4"/>
        <v>-13203.915000000001</v>
      </c>
      <c r="J20" s="14">
        <f t="shared" si="5"/>
        <v>-0.33875918515627945</v>
      </c>
      <c r="K20" s="80">
        <v>0.99677419999999994</v>
      </c>
      <c r="L20" s="66" t="s">
        <v>704</v>
      </c>
      <c r="M20" s="66" t="s">
        <v>705</v>
      </c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v>39963.9375</v>
      </c>
      <c r="E21" s="15">
        <v>43357.99</v>
      </c>
      <c r="F21" s="15">
        <f t="shared" si="0"/>
        <v>-3394.052499999998</v>
      </c>
      <c r="G21" s="16">
        <f t="shared" si="3"/>
        <v>-7.8279747285333059E-2</v>
      </c>
      <c r="H21" s="17">
        <v>37823.370000000003</v>
      </c>
      <c r="I21" s="17">
        <f t="shared" si="4"/>
        <v>2140.5674999999974</v>
      </c>
      <c r="J21" s="16">
        <f t="shared" si="5"/>
        <v>5.6593780511889798E-2</v>
      </c>
      <c r="K21" s="16">
        <v>1</v>
      </c>
      <c r="L21" s="61"/>
      <c r="M21" s="61"/>
    </row>
    <row r="22" spans="1:13" ht="15.6">
      <c r="A22" s="29" t="str">
        <v>K041</v>
      </c>
      <c r="B22" s="26" t="str">
        <v>NY</v>
      </c>
      <c r="C22" s="26" t="str">
        <f>Sites[[#This Row],[SOL'#]]</f>
        <v>SOL-10357</v>
      </c>
      <c r="D22" s="21">
        <v>31648.4375</v>
      </c>
      <c r="E22" s="11">
        <v>35491.57</v>
      </c>
      <c r="F22" s="11">
        <f t="shared" si="0"/>
        <v>-3843.1324999999997</v>
      </c>
      <c r="G22" s="12">
        <f t="shared" si="3"/>
        <v>-0.10828296691298807</v>
      </c>
      <c r="H22" s="13">
        <v>32538</v>
      </c>
      <c r="I22" s="13">
        <f t="shared" si="4"/>
        <v>-889.5625</v>
      </c>
      <c r="J22" s="14">
        <f t="shared" si="5"/>
        <v>-2.7339188026307703E-2</v>
      </c>
      <c r="K22" s="80">
        <v>1</v>
      </c>
      <c r="L22" s="66"/>
      <c r="M22" s="66"/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v>38983.21875</v>
      </c>
      <c r="E23" s="15">
        <v>39338.800000000003</v>
      </c>
      <c r="F23" s="15">
        <f t="shared" si="0"/>
        <v>-355.58125000000291</v>
      </c>
      <c r="G23" s="16">
        <f t="shared" si="3"/>
        <v>-9.0389450110324385E-3</v>
      </c>
      <c r="H23" s="17">
        <v>7115</v>
      </c>
      <c r="I23" s="17">
        <f t="shared" si="4"/>
        <v>31868.21875</v>
      </c>
      <c r="J23" s="16">
        <f t="shared" si="5"/>
        <v>4.4790187983134224</v>
      </c>
      <c r="K23" s="16">
        <v>0.97565639999999998</v>
      </c>
      <c r="L23" s="61" t="s">
        <v>706</v>
      </c>
      <c r="M23" s="61" t="s">
        <v>707</v>
      </c>
    </row>
    <row r="24" spans="1:13" ht="15.6">
      <c r="A24" s="29" t="str">
        <v>K058</v>
      </c>
      <c r="B24" s="26" t="str">
        <v>NY</v>
      </c>
      <c r="C24" s="26" t="str">
        <f>Sites[[#This Row],[SOL'#]]</f>
        <v>SOL-10360</v>
      </c>
      <c r="D24" s="21">
        <v>30639.6875</v>
      </c>
      <c r="E24" s="11">
        <v>31359.74</v>
      </c>
      <c r="F24" s="11">
        <f t="shared" si="0"/>
        <v>-720.0525000000016</v>
      </c>
      <c r="G24" s="12">
        <f t="shared" si="3"/>
        <v>-2.2961048146445142E-2</v>
      </c>
      <c r="H24" s="13">
        <v>28280.81</v>
      </c>
      <c r="I24" s="13">
        <f t="shared" si="4"/>
        <v>2358.8774999999987</v>
      </c>
      <c r="J24" s="14">
        <f t="shared" si="5"/>
        <v>8.3409120884444202E-2</v>
      </c>
      <c r="K24" s="80">
        <v>1</v>
      </c>
      <c r="L24" s="66"/>
      <c r="M24" s="66"/>
    </row>
    <row r="25" spans="1:13" ht="29.1">
      <c r="A25" s="27" t="str">
        <v>K115</v>
      </c>
      <c r="B25" s="28" t="str">
        <v>NY</v>
      </c>
      <c r="C25" s="28" t="str">
        <f>Sites[[#This Row],[SOL'#]]</f>
        <v>SOL-10361</v>
      </c>
      <c r="D25" s="10">
        <v>8295.4140625</v>
      </c>
      <c r="E25" s="15">
        <v>13322.04</v>
      </c>
      <c r="F25" s="15">
        <f t="shared" si="0"/>
        <v>-5026.6259375000009</v>
      </c>
      <c r="G25" s="16">
        <f t="shared" si="3"/>
        <v>-0.37731653241545593</v>
      </c>
      <c r="H25" s="17">
        <v>18874.8</v>
      </c>
      <c r="I25" s="17">
        <f t="shared" si="4"/>
        <v>-10579.385937499999</v>
      </c>
      <c r="J25" s="16">
        <f t="shared" si="5"/>
        <v>-0.56050320731875303</v>
      </c>
      <c r="K25" s="16">
        <v>0.96457769999999998</v>
      </c>
      <c r="L25" s="61" t="s">
        <v>349</v>
      </c>
      <c r="M25" s="61" t="s">
        <v>45</v>
      </c>
    </row>
    <row r="26" spans="1:13" ht="15.6">
      <c r="A26" s="29" t="str">
        <v>K152</v>
      </c>
      <c r="B26" s="26" t="str">
        <v>NY</v>
      </c>
      <c r="C26" s="26" t="str">
        <f>Sites[[#This Row],[SOL'#]]</f>
        <v>SOL-10362</v>
      </c>
      <c r="D26" s="21">
        <v>11355.09375</v>
      </c>
      <c r="E26" s="11">
        <v>11736.41</v>
      </c>
      <c r="F26" s="11">
        <f t="shared" si="0"/>
        <v>-381.31624999999985</v>
      </c>
      <c r="G26" s="12">
        <f t="shared" si="3"/>
        <v>-3.2490024632745439E-2</v>
      </c>
      <c r="H26" s="13">
        <v>10840</v>
      </c>
      <c r="I26" s="13">
        <f t="shared" si="4"/>
        <v>515.09375</v>
      </c>
      <c r="J26" s="14">
        <f t="shared" si="5"/>
        <v>4.7517873616236161E-2</v>
      </c>
      <c r="K26" s="80">
        <v>1</v>
      </c>
      <c r="L26" s="66"/>
      <c r="M26" s="66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v>41588.5625</v>
      </c>
      <c r="E27" s="15">
        <v>45003.66</v>
      </c>
      <c r="F27" s="15">
        <f t="shared" si="0"/>
        <v>-3415.0975000000035</v>
      </c>
      <c r="G27" s="16">
        <f t="shared" si="3"/>
        <v>-7.5884883585024043E-2</v>
      </c>
      <c r="H27" s="17">
        <v>40153.19</v>
      </c>
      <c r="I27" s="17">
        <f t="shared" si="4"/>
        <v>1435.3724999999977</v>
      </c>
      <c r="J27" s="16">
        <f t="shared" si="5"/>
        <v>3.5747408860914848E-2</v>
      </c>
      <c r="K27" s="16">
        <v>1</v>
      </c>
      <c r="L27" s="61"/>
      <c r="M27" s="61"/>
    </row>
    <row r="28" spans="1:13" ht="15.6">
      <c r="A28" s="29" t="str">
        <v>K206</v>
      </c>
      <c r="B28" s="26" t="str">
        <v>NY</v>
      </c>
      <c r="C28" s="26" t="str">
        <f>Sites[[#This Row],[SOL'#]]</f>
        <v>SOL-10927</v>
      </c>
      <c r="D28" s="21">
        <v>4179.1020833101102</v>
      </c>
      <c r="E28" s="11">
        <v>3969.2469999999998</v>
      </c>
      <c r="F28" s="11">
        <f t="shared" si="0"/>
        <v>209.85508331011033</v>
      </c>
      <c r="G28" s="12">
        <f t="shared" si="3"/>
        <v>5.2870250531173883E-2</v>
      </c>
      <c r="H28" s="13">
        <v>24570</v>
      </c>
      <c r="I28" s="13">
        <f t="shared" si="4"/>
        <v>-20390.89791668989</v>
      </c>
      <c r="J28" s="14">
        <f t="shared" si="5"/>
        <v>-0.8299103751196536</v>
      </c>
      <c r="K28" s="80">
        <v>0.99945329999999999</v>
      </c>
      <c r="L28" s="66" t="s">
        <v>708</v>
      </c>
      <c r="M28" s="66" t="s">
        <v>709</v>
      </c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v>26873.90625</v>
      </c>
      <c r="E29" s="15">
        <v>27772.41</v>
      </c>
      <c r="F29" s="15">
        <f t="shared" si="0"/>
        <v>-898.50374999999985</v>
      </c>
      <c r="G29" s="16">
        <f t="shared" si="3"/>
        <v>-3.235238677522044E-2</v>
      </c>
      <c r="H29" s="17">
        <v>25451.81</v>
      </c>
      <c r="I29" s="17">
        <f t="shared" si="4"/>
        <v>1422.0962499999987</v>
      </c>
      <c r="J29" s="16">
        <f t="shared" si="5"/>
        <v>5.5874071431461989E-2</v>
      </c>
      <c r="K29" s="16">
        <v>1</v>
      </c>
      <c r="L29" s="61"/>
      <c r="M29" s="61"/>
    </row>
    <row r="30" spans="1:13" ht="15.6">
      <c r="A30" s="29" t="str">
        <v>K269</v>
      </c>
      <c r="B30" s="26" t="str">
        <v>NY</v>
      </c>
      <c r="C30" s="26" t="str">
        <f>Sites[[#This Row],[SOL'#]]</f>
        <v>SOL-10366</v>
      </c>
      <c r="D30" s="21">
        <v>24836.6875</v>
      </c>
      <c r="E30" s="11">
        <v>28840.06</v>
      </c>
      <c r="F30" s="11">
        <f t="shared" si="0"/>
        <v>-4003.3725000000013</v>
      </c>
      <c r="G30" s="12">
        <f t="shared" si="3"/>
        <v>-0.13881290468882523</v>
      </c>
      <c r="H30" s="13">
        <v>25913.14</v>
      </c>
      <c r="I30" s="13">
        <f t="shared" si="4"/>
        <v>-1076.4524999999994</v>
      </c>
      <c r="J30" s="14">
        <f t="shared" si="5"/>
        <v>-4.1540797448707471E-2</v>
      </c>
      <c r="K30" s="80">
        <v>1</v>
      </c>
      <c r="L30" s="66"/>
      <c r="M30" s="66"/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v>28021.125</v>
      </c>
      <c r="E31" s="15"/>
      <c r="F31" s="15" t="str">
        <f t="shared" si="0"/>
        <v/>
      </c>
      <c r="G31" s="16" t="str">
        <f t="shared" si="3"/>
        <v/>
      </c>
      <c r="H31" s="17">
        <v>30662</v>
      </c>
      <c r="I31" s="17">
        <f t="shared" si="4"/>
        <v>-2640.875</v>
      </c>
      <c r="J31" s="16">
        <f t="shared" si="5"/>
        <v>-8.6128595655860674E-2</v>
      </c>
      <c r="K31" s="16">
        <v>1</v>
      </c>
      <c r="L31" s="61" t="s">
        <v>710</v>
      </c>
      <c r="M31" s="61" t="s">
        <v>565</v>
      </c>
    </row>
    <row r="32" spans="1:13" ht="15.6">
      <c r="A32" s="29" t="str">
        <v>K287</v>
      </c>
      <c r="B32" s="26" t="str">
        <v>NY</v>
      </c>
      <c r="C32" s="26" t="str">
        <f>Sites[[#This Row],[SOL'#]]</f>
        <v>SOL-10919</v>
      </c>
      <c r="D32" s="21">
        <v>22421.1875</v>
      </c>
      <c r="E32" s="11">
        <v>18896.98</v>
      </c>
      <c r="F32" s="11">
        <f t="shared" si="0"/>
        <v>3524.2075000000004</v>
      </c>
      <c r="G32" s="12">
        <f t="shared" si="3"/>
        <v>0.18649580514981762</v>
      </c>
      <c r="H32" s="13">
        <v>22153</v>
      </c>
      <c r="I32" s="13">
        <f t="shared" si="4"/>
        <v>268.1875</v>
      </c>
      <c r="J32" s="14">
        <f t="shared" si="5"/>
        <v>1.2106148151491898E-2</v>
      </c>
      <c r="K32" s="80">
        <v>1</v>
      </c>
      <c r="L32" s="66"/>
      <c r="M32" s="66"/>
    </row>
    <row r="33" spans="1:13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v>24436.65625</v>
      </c>
      <c r="E33" s="15">
        <v>25018.04</v>
      </c>
      <c r="F33" s="15">
        <f t="shared" si="0"/>
        <v>-581.38375000000087</v>
      </c>
      <c r="G33" s="16">
        <f t="shared" si="3"/>
        <v>-2.3238581039921626E-2</v>
      </c>
      <c r="H33" s="17">
        <v>26042</v>
      </c>
      <c r="I33" s="17">
        <f t="shared" si="4"/>
        <v>-1605.34375</v>
      </c>
      <c r="J33" s="16">
        <f t="shared" si="5"/>
        <v>-6.1644410951539823E-2</v>
      </c>
      <c r="K33" s="16">
        <v>1</v>
      </c>
      <c r="L33" s="61"/>
      <c r="M33" s="61"/>
    </row>
    <row r="34" spans="1:13" ht="15.6">
      <c r="A34" s="29" t="str">
        <v>K335</v>
      </c>
      <c r="B34" s="26" t="str">
        <v>NY</v>
      </c>
      <c r="C34" s="26"/>
      <c r="D34" s="21">
        <v>24961.1875</v>
      </c>
      <c r="E34" s="11">
        <v>27719.82</v>
      </c>
      <c r="F34" s="11"/>
      <c r="G34" s="11">
        <f t="shared" si="3"/>
        <v>0</v>
      </c>
      <c r="H34" s="13">
        <v>253</v>
      </c>
      <c r="I34" s="13"/>
      <c r="J34" s="14"/>
      <c r="K34" s="80">
        <v>1</v>
      </c>
      <c r="L34" s="66"/>
      <c r="M34" s="66"/>
    </row>
    <row r="35" spans="1:13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v>28261.5</v>
      </c>
      <c r="E35" s="15">
        <v>16617.61</v>
      </c>
      <c r="F35" s="15">
        <f t="shared" si="0"/>
        <v>11643.89</v>
      </c>
      <c r="G35" s="16">
        <f t="shared" si="3"/>
        <v>0.70069582810043074</v>
      </c>
      <c r="H35" s="17">
        <v>29496</v>
      </c>
      <c r="I35" s="17">
        <f t="shared" si="4"/>
        <v>-1234.5</v>
      </c>
      <c r="J35" s="16">
        <f t="shared" si="5"/>
        <v>-4.1853132628152968E-2</v>
      </c>
      <c r="K35" s="16">
        <v>0.97345020000000004</v>
      </c>
      <c r="L35" s="61" t="s">
        <v>711</v>
      </c>
      <c r="M35" s="61" t="s">
        <v>712</v>
      </c>
    </row>
    <row r="36" spans="1:13" ht="15.6">
      <c r="A36" s="29" t="str">
        <v>K445</v>
      </c>
      <c r="B36" s="26" t="str">
        <v>NY</v>
      </c>
      <c r="C36" s="26" t="str">
        <f>Sites[[#This Row],[SOL'#]]</f>
        <v>SOL-10373</v>
      </c>
      <c r="D36" s="21">
        <v>24496.0613339552</v>
      </c>
      <c r="E36" s="11">
        <v>26171.3</v>
      </c>
      <c r="F36" s="11">
        <f t="shared" si="0"/>
        <v>-1675.2386660447992</v>
      </c>
      <c r="G36" s="12">
        <f t="shared" si="3"/>
        <v>-6.4010525501018267E-2</v>
      </c>
      <c r="H36" s="13">
        <v>24314.2</v>
      </c>
      <c r="I36" s="13">
        <f t="shared" si="4"/>
        <v>181.86133395519937</v>
      </c>
      <c r="J36" s="14">
        <f t="shared" si="5"/>
        <v>7.479634697222173E-3</v>
      </c>
      <c r="K36" s="80">
        <v>1</v>
      </c>
      <c r="L36" s="66"/>
      <c r="M36" s="66"/>
    </row>
    <row r="37" spans="1:13" ht="57.95">
      <c r="A37" s="27" t="str">
        <v>K495</v>
      </c>
      <c r="B37" s="28" t="str">
        <v>NY</v>
      </c>
      <c r="C37" s="28" t="str">
        <f>Sites[[#This Row],[SOL'#]]</f>
        <v>SOL-10374</v>
      </c>
      <c r="D37" s="10">
        <v>91756.0625</v>
      </c>
      <c r="E37" s="15">
        <v>79110.570000000007</v>
      </c>
      <c r="F37" s="15">
        <f t="shared" si="0"/>
        <v>12645.492499999993</v>
      </c>
      <c r="G37" s="16">
        <f t="shared" si="3"/>
        <v>0.15984580189474037</v>
      </c>
      <c r="H37" s="17">
        <v>103391</v>
      </c>
      <c r="I37" s="17">
        <f t="shared" si="4"/>
        <v>-11634.9375</v>
      </c>
      <c r="J37" s="16">
        <f t="shared" si="5"/>
        <v>-0.11253336847501233</v>
      </c>
      <c r="K37" s="16">
        <v>0.87758579999999997</v>
      </c>
      <c r="L37" s="61" t="s">
        <v>713</v>
      </c>
      <c r="M37" s="61" t="s">
        <v>714</v>
      </c>
    </row>
    <row r="38" spans="1:13" ht="43.5">
      <c r="A38" s="29" t="str">
        <v>M020</v>
      </c>
      <c r="B38" s="26" t="str">
        <v>NY</v>
      </c>
      <c r="C38" s="26" t="str">
        <f>Sites[[#This Row],[SOL'#]]</f>
        <v>SOL-10380</v>
      </c>
      <c r="D38" s="21">
        <v>25585.84375</v>
      </c>
      <c r="E38" s="11">
        <v>27059.46</v>
      </c>
      <c r="F38" s="11">
        <f t="shared" si="0"/>
        <v>-1473.6162499999991</v>
      </c>
      <c r="G38" s="12">
        <f t="shared" si="3"/>
        <v>-5.4458450020806001E-2</v>
      </c>
      <c r="H38" s="13">
        <v>27263</v>
      </c>
      <c r="I38" s="13">
        <f t="shared" si="4"/>
        <v>-1677.15625</v>
      </c>
      <c r="J38" s="14">
        <f t="shared" si="5"/>
        <v>-6.1517670469133992E-2</v>
      </c>
      <c r="K38" s="80">
        <v>0.97735450000000001</v>
      </c>
      <c r="L38" s="66" t="s">
        <v>715</v>
      </c>
      <c r="M38" s="66" t="s">
        <v>716</v>
      </c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v>25976.406250000098</v>
      </c>
      <c r="E39" s="15">
        <v>27333.09</v>
      </c>
      <c r="F39" s="15">
        <f t="shared" si="0"/>
        <v>-1356.6837499999019</v>
      </c>
      <c r="G39" s="16">
        <f t="shared" si="3"/>
        <v>-4.9635213215918947E-2</v>
      </c>
      <c r="H39" s="17">
        <v>27098.18</v>
      </c>
      <c r="I39" s="17">
        <f t="shared" si="4"/>
        <v>-1121.7737499999021</v>
      </c>
      <c r="J39" s="16">
        <f t="shared" si="5"/>
        <v>-4.1396645457366585E-2</v>
      </c>
      <c r="K39" s="16">
        <v>1</v>
      </c>
      <c r="L39" s="61"/>
      <c r="M39" s="61"/>
    </row>
    <row r="40" spans="1:13" ht="15.6">
      <c r="A40" s="29" t="str">
        <v>M143</v>
      </c>
      <c r="B40" s="26" t="str">
        <v>NY</v>
      </c>
      <c r="C40" s="26" t="str">
        <f>Sites[[#This Row],[SOL'#]]</f>
        <v>SOL-10384</v>
      </c>
      <c r="D40" s="21">
        <v>29796.46875</v>
      </c>
      <c r="E40" s="11">
        <v>34725.46</v>
      </c>
      <c r="F40" s="11">
        <f t="shared" si="0"/>
        <v>-4928.9912499999991</v>
      </c>
      <c r="G40" s="12">
        <f t="shared" si="3"/>
        <v>-0.14194171221921897</v>
      </c>
      <c r="H40" s="13">
        <v>29086.45</v>
      </c>
      <c r="I40" s="13">
        <f t="shared" si="4"/>
        <v>710.01874999999927</v>
      </c>
      <c r="J40" s="14">
        <f t="shared" si="5"/>
        <v>2.4410636224083695E-2</v>
      </c>
      <c r="K40" s="80">
        <v>1</v>
      </c>
      <c r="L40" s="66"/>
      <c r="M40" s="66"/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v>33225.09375</v>
      </c>
      <c r="E41" s="15">
        <v>0</v>
      </c>
      <c r="F41" s="15">
        <f t="shared" si="0"/>
        <v>33225.09375</v>
      </c>
      <c r="G41" s="16" t="str">
        <f t="shared" si="3"/>
        <v/>
      </c>
      <c r="H41" s="17">
        <v>42642</v>
      </c>
      <c r="I41" s="17">
        <f t="shared" si="4"/>
        <v>-9416.90625</v>
      </c>
      <c r="J41" s="16">
        <f t="shared" si="5"/>
        <v>-0.22083641128464893</v>
      </c>
      <c r="K41" s="16">
        <v>0.9795701</v>
      </c>
      <c r="L41" s="61" t="s">
        <v>717</v>
      </c>
      <c r="M41" s="61" t="s">
        <v>718</v>
      </c>
    </row>
    <row r="42" spans="1:13" ht="15.6">
      <c r="A42" s="29" t="str">
        <v>M167</v>
      </c>
      <c r="B42" s="26" t="str">
        <v>NY</v>
      </c>
      <c r="C42" s="26" t="str">
        <f>Sites[[#This Row],[SOL'#]]</f>
        <v>SOL-10386</v>
      </c>
      <c r="D42" s="21">
        <v>34407.453125</v>
      </c>
      <c r="E42" s="11">
        <v>24514.54</v>
      </c>
      <c r="F42" s="11">
        <f t="shared" si="0"/>
        <v>9892.9131249999991</v>
      </c>
      <c r="G42" s="12">
        <f t="shared" si="3"/>
        <v>0.40355287617063174</v>
      </c>
      <c r="H42" s="13">
        <v>36036.04</v>
      </c>
      <c r="I42" s="13">
        <f t="shared" si="4"/>
        <v>-1628.5868750000009</v>
      </c>
      <c r="J42" s="14">
        <f t="shared" si="5"/>
        <v>-4.5193280809989134E-2</v>
      </c>
      <c r="K42" s="80">
        <v>1</v>
      </c>
      <c r="L42" s="66"/>
      <c r="M42" s="66"/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v>22942.484375</v>
      </c>
      <c r="E43" s="15">
        <v>0</v>
      </c>
      <c r="F43" s="15">
        <f t="shared" si="0"/>
        <v>22942.484375</v>
      </c>
      <c r="G43" s="16" t="str">
        <f t="shared" si="3"/>
        <v/>
      </c>
      <c r="H43" s="17">
        <v>23216</v>
      </c>
      <c r="I43" s="17">
        <f t="shared" si="4"/>
        <v>-273.515625</v>
      </c>
      <c r="J43" s="16">
        <f t="shared" si="5"/>
        <v>-1.1781341531702275E-2</v>
      </c>
      <c r="K43" s="16">
        <v>0.97845740000000003</v>
      </c>
      <c r="L43" s="61"/>
      <c r="M43" s="61"/>
    </row>
    <row r="44" spans="1:13" ht="15.6">
      <c r="A44" s="29" t="str">
        <v>EMHC</v>
      </c>
      <c r="B44" s="26" t="str">
        <v>NY</v>
      </c>
      <c r="C44" s="26" t="str">
        <f>Sites[[#This Row],[SOL'#]]</f>
        <v>SOL-10351</v>
      </c>
      <c r="D44" s="21">
        <v>10862.078125</v>
      </c>
      <c r="E44" s="11">
        <v>7700.8850000000002</v>
      </c>
      <c r="F44" s="11">
        <f t="shared" si="0"/>
        <v>3161.1931249999998</v>
      </c>
      <c r="G44" s="12">
        <f t="shared" si="3"/>
        <v>0.41049738114515405</v>
      </c>
      <c r="H44" s="13">
        <v>12253.13</v>
      </c>
      <c r="I44" s="13">
        <f t="shared" si="4"/>
        <v>-1391.0518749999992</v>
      </c>
      <c r="J44" s="14">
        <f t="shared" si="5"/>
        <v>-0.11352624798724892</v>
      </c>
      <c r="K44" s="80">
        <v>1</v>
      </c>
      <c r="L44" s="66"/>
      <c r="M44" s="66"/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v>31941.875</v>
      </c>
      <c r="E45" s="15">
        <v>35262.879999999997</v>
      </c>
      <c r="F45" s="15">
        <f t="shared" si="0"/>
        <v>-3321.0049999999974</v>
      </c>
      <c r="G45" s="16">
        <f t="shared" si="3"/>
        <v>-9.4178495914116991E-2</v>
      </c>
      <c r="H45" s="17">
        <v>36312</v>
      </c>
      <c r="I45" s="17">
        <f t="shared" si="4"/>
        <v>-4370.125</v>
      </c>
      <c r="J45" s="16">
        <f t="shared" si="5"/>
        <v>-0.12034933355364617</v>
      </c>
      <c r="K45" s="16">
        <v>0.97624109999999997</v>
      </c>
      <c r="L45" s="61"/>
      <c r="M45" s="61"/>
    </row>
    <row r="46" spans="1:13" ht="15.6">
      <c r="A46" s="29" t="str">
        <v>Q018</v>
      </c>
      <c r="B46" s="26" t="str">
        <v>NY</v>
      </c>
      <c r="C46" s="26" t="str">
        <f>Sites[[#This Row],[SOL'#]]</f>
        <v>SOL-10398</v>
      </c>
      <c r="D46" s="21">
        <v>23012.25</v>
      </c>
      <c r="E46" s="11">
        <v>24723.61</v>
      </c>
      <c r="F46" s="11">
        <f t="shared" si="0"/>
        <v>-1711.3600000000006</v>
      </c>
      <c r="G46" s="12">
        <f t="shared" si="3"/>
        <v>-6.9219664927573296E-2</v>
      </c>
      <c r="H46" s="13">
        <v>19770.759999999998</v>
      </c>
      <c r="I46" s="13">
        <f t="shared" si="4"/>
        <v>3241.4900000000016</v>
      </c>
      <c r="J46" s="14">
        <f t="shared" si="5"/>
        <v>0.1639537377419989</v>
      </c>
      <c r="K46" s="80">
        <v>1</v>
      </c>
      <c r="L46" s="66"/>
      <c r="M46" s="66"/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v>18691.1875</v>
      </c>
      <c r="E47" s="15">
        <v>18284.5</v>
      </c>
      <c r="F47" s="15">
        <f t="shared" si="0"/>
        <v>406.6875</v>
      </c>
      <c r="G47" s="16">
        <f t="shared" si="3"/>
        <v>2.224219967732232E-2</v>
      </c>
      <c r="H47" s="17">
        <v>16769.97</v>
      </c>
      <c r="I47" s="17">
        <f t="shared" si="4"/>
        <v>1921.2174999999988</v>
      </c>
      <c r="J47" s="16">
        <f t="shared" si="5"/>
        <v>0.11456296582522203</v>
      </c>
      <c r="K47" s="16">
        <v>0.99738450000000001</v>
      </c>
      <c r="L47" s="61"/>
      <c r="M47" s="61"/>
    </row>
    <row r="48" spans="1:13" ht="15.6">
      <c r="A48" s="29" t="str">
        <v>Q025</v>
      </c>
      <c r="B48" s="26" t="str">
        <v>NY</v>
      </c>
      <c r="C48" s="26" t="str">
        <f>Sites[[#This Row],[SOL'#]]</f>
        <v>SOL-10400</v>
      </c>
      <c r="D48" s="21">
        <v>32436.125</v>
      </c>
      <c r="E48" s="11">
        <v>31811.360000000001</v>
      </c>
      <c r="F48" s="11">
        <f t="shared" si="0"/>
        <v>624.76499999999942</v>
      </c>
      <c r="G48" s="12">
        <f t="shared" si="3"/>
        <v>1.9639682176430036E-2</v>
      </c>
      <c r="H48" s="13">
        <v>15399</v>
      </c>
      <c r="I48" s="13">
        <f t="shared" si="4"/>
        <v>17037.125</v>
      </c>
      <c r="J48" s="14">
        <f t="shared" si="5"/>
        <v>1.1063786609520099</v>
      </c>
      <c r="K48" s="80">
        <v>1</v>
      </c>
      <c r="L48" s="66"/>
      <c r="M48" s="66"/>
    </row>
    <row r="49" spans="1:13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v>21215.1875</v>
      </c>
      <c r="E49" s="15">
        <v>21426.57</v>
      </c>
      <c r="F49" s="15">
        <f t="shared" si="0"/>
        <v>-211.38249999999971</v>
      </c>
      <c r="G49" s="16">
        <f t="shared" si="3"/>
        <v>-9.8654380985850609E-3</v>
      </c>
      <c r="H49" s="17">
        <v>18864.32</v>
      </c>
      <c r="I49" s="17">
        <f t="shared" si="4"/>
        <v>2350.8675000000003</v>
      </c>
      <c r="J49" s="16">
        <f t="shared" si="5"/>
        <v>0.12461978486370037</v>
      </c>
      <c r="K49" s="16">
        <v>1</v>
      </c>
      <c r="L49" s="61"/>
      <c r="M49" s="61"/>
    </row>
    <row r="50" spans="1:13" ht="15.6">
      <c r="A50" s="29" t="str">
        <v>Q115</v>
      </c>
      <c r="B50" s="26" t="str">
        <v>NY</v>
      </c>
      <c r="C50" s="26" t="str">
        <f>Sites[[#This Row],[SOL'#]]</f>
        <v>SOL-10872</v>
      </c>
      <c r="D50" s="21">
        <v>26781.5</v>
      </c>
      <c r="E50" s="11">
        <v>28199.65</v>
      </c>
      <c r="F50" s="11">
        <f t="shared" si="0"/>
        <v>-1418.1500000000015</v>
      </c>
      <c r="G50" s="12">
        <f t="shared" si="3"/>
        <v>-5.0289631254288668E-2</v>
      </c>
      <c r="H50" s="13">
        <v>25051.05</v>
      </c>
      <c r="I50" s="13">
        <f t="shared" si="4"/>
        <v>1730.4500000000007</v>
      </c>
      <c r="J50" s="14">
        <f t="shared" si="5"/>
        <v>6.9076944878558019E-2</v>
      </c>
      <c r="K50" s="80">
        <v>1</v>
      </c>
      <c r="L50" s="66"/>
      <c r="M50" s="66"/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v>16320.625</v>
      </c>
      <c r="E51" s="15">
        <v>17677.45</v>
      </c>
      <c r="F51" s="15">
        <f t="shared" si="0"/>
        <v>-1356.8250000000007</v>
      </c>
      <c r="G51" s="16">
        <f t="shared" si="3"/>
        <v>-7.6754565845186987E-2</v>
      </c>
      <c r="H51" s="17">
        <v>15860</v>
      </c>
      <c r="I51" s="17">
        <f t="shared" si="4"/>
        <v>460.625</v>
      </c>
      <c r="J51" s="16">
        <f t="shared" si="5"/>
        <v>2.9043190416141236E-2</v>
      </c>
      <c r="K51" s="16">
        <v>1</v>
      </c>
      <c r="L51" s="61"/>
      <c r="M51" s="61"/>
    </row>
    <row r="52" spans="1:13" ht="15.6">
      <c r="A52" s="29" t="str">
        <v>Q157</v>
      </c>
      <c r="B52" s="26" t="str">
        <v>NY</v>
      </c>
      <c r="C52" s="26" t="str">
        <f>Sites[[#This Row],[SOL'#]]</f>
        <v>SOL-10404</v>
      </c>
      <c r="D52" s="21">
        <v>28381.0625</v>
      </c>
      <c r="E52" s="11">
        <v>31115.86</v>
      </c>
      <c r="F52" s="11">
        <f t="shared" si="0"/>
        <v>-2734.7975000000006</v>
      </c>
      <c r="G52" s="12">
        <f t="shared" si="3"/>
        <v>-8.7890789455923782E-2</v>
      </c>
      <c r="H52" s="13">
        <v>28106.81</v>
      </c>
      <c r="I52" s="13">
        <f t="shared" si="4"/>
        <v>274.25249999999869</v>
      </c>
      <c r="J52" s="14">
        <f t="shared" si="5"/>
        <v>9.7575107242692666E-3</v>
      </c>
      <c r="K52" s="80">
        <v>1</v>
      </c>
      <c r="L52" s="66"/>
      <c r="M52" s="66"/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v>43902.5</v>
      </c>
      <c r="E53" s="15">
        <v>47654.86</v>
      </c>
      <c r="F53" s="15">
        <f t="shared" si="0"/>
        <v>-3752.3600000000006</v>
      </c>
      <c r="G53" s="16">
        <f t="shared" si="3"/>
        <v>-7.8740342537990893E-2</v>
      </c>
      <c r="H53" s="17">
        <v>481.0856</v>
      </c>
      <c r="I53" s="17">
        <f t="shared" si="4"/>
        <v>43421.414400000001</v>
      </c>
      <c r="J53" s="16">
        <f t="shared" si="5"/>
        <v>90.257148415999154</v>
      </c>
      <c r="K53" s="16">
        <v>1</v>
      </c>
      <c r="L53" s="61"/>
      <c r="M53" s="61"/>
    </row>
    <row r="54" spans="1:13" ht="15.6">
      <c r="A54" s="29" t="str">
        <v>Q210</v>
      </c>
      <c r="B54" s="26" t="str">
        <v>NY</v>
      </c>
      <c r="C54" s="26" t="str">
        <f>Sites[[#This Row],[SOL'#]]</f>
        <v>SOL-10407</v>
      </c>
      <c r="D54" s="21">
        <v>35837.5</v>
      </c>
      <c r="E54" s="11">
        <v>36130.18</v>
      </c>
      <c r="F54" s="11">
        <f t="shared" si="0"/>
        <v>-292.68000000000029</v>
      </c>
      <c r="G54" s="12">
        <f t="shared" si="3"/>
        <v>-8.1007069436133533E-3</v>
      </c>
      <c r="H54" s="13">
        <v>33897</v>
      </c>
      <c r="I54" s="13">
        <f t="shared" si="4"/>
        <v>1940.5</v>
      </c>
      <c r="J54" s="14">
        <f t="shared" si="5"/>
        <v>5.7246954007729299E-2</v>
      </c>
      <c r="K54" s="80">
        <v>1</v>
      </c>
      <c r="L54" s="66"/>
      <c r="M54" s="66"/>
    </row>
    <row r="55" spans="1:13" ht="29.1">
      <c r="A55" s="27" t="str">
        <v>Q229</v>
      </c>
      <c r="B55" s="28" t="str">
        <v>NY</v>
      </c>
      <c r="C55" s="28" t="str">
        <f>Sites[[#This Row],[SOL'#]]</f>
        <v>SOL-10408</v>
      </c>
      <c r="D55" s="10">
        <v>14989.2812499999</v>
      </c>
      <c r="E55" s="15">
        <v>17687.509999999998</v>
      </c>
      <c r="F55" s="15">
        <f t="shared" si="0"/>
        <v>-2698.2287500000984</v>
      </c>
      <c r="G55" s="16">
        <f t="shared" si="3"/>
        <v>-0.15254994908837358</v>
      </c>
      <c r="H55" s="17">
        <v>14710.91</v>
      </c>
      <c r="I55" s="17">
        <f t="shared" si="4"/>
        <v>278.3712499999001</v>
      </c>
      <c r="J55" s="16">
        <f t="shared" si="5"/>
        <v>1.8922775681443234E-2</v>
      </c>
      <c r="K55" s="16">
        <v>1</v>
      </c>
      <c r="L55" s="61" t="s">
        <v>719</v>
      </c>
      <c r="M55" s="61" t="s">
        <v>720</v>
      </c>
    </row>
    <row r="56" spans="1:13" ht="29.1">
      <c r="A56" s="29" t="str">
        <v>Q231</v>
      </c>
      <c r="B56" s="26" t="str">
        <v>NY</v>
      </c>
      <c r="C56" s="26" t="str">
        <f>Sites[[#This Row],[SOL'#]]</f>
        <v>SOL-10870</v>
      </c>
      <c r="D56" s="21">
        <v>57474.937499999898</v>
      </c>
      <c r="E56" s="11">
        <v>60051.03</v>
      </c>
      <c r="F56" s="11">
        <f t="shared" si="0"/>
        <v>-2576.0925000001007</v>
      </c>
      <c r="G56" s="12">
        <f t="shared" si="3"/>
        <v>-4.2898389919375252E-2</v>
      </c>
      <c r="H56" s="13">
        <v>61540</v>
      </c>
      <c r="I56" s="13">
        <f t="shared" si="4"/>
        <v>-4065.0625000001019</v>
      </c>
      <c r="J56" s="14">
        <f t="shared" si="5"/>
        <v>-6.6055614234645788E-2</v>
      </c>
      <c r="K56" s="80">
        <v>1</v>
      </c>
      <c r="L56" s="66" t="s">
        <v>721</v>
      </c>
      <c r="M56" s="66" t="s">
        <v>722</v>
      </c>
    </row>
    <row r="57" spans="1:13" ht="57.95">
      <c r="A57" s="27" t="str">
        <v>Q405</v>
      </c>
      <c r="B57" s="28" t="str">
        <v>NY</v>
      </c>
      <c r="C57" s="28" t="str">
        <f>Sites[[#This Row],[SOL'#]]</f>
        <v>SOL-10409</v>
      </c>
      <c r="D57" s="10">
        <v>62093.875</v>
      </c>
      <c r="E57" s="15">
        <v>68517.8</v>
      </c>
      <c r="F57" s="15">
        <f t="shared" si="0"/>
        <v>-6423.9250000000029</v>
      </c>
      <c r="G57" s="16">
        <f t="shared" si="3"/>
        <v>-9.3755564247538628E-2</v>
      </c>
      <c r="H57" s="17">
        <v>60938.77</v>
      </c>
      <c r="I57" s="17">
        <f t="shared" si="4"/>
        <v>1155.1050000000032</v>
      </c>
      <c r="J57" s="16">
        <f t="shared" si="5"/>
        <v>1.8955174185498053E-2</v>
      </c>
      <c r="K57" s="16">
        <v>1</v>
      </c>
      <c r="L57" s="61" t="s">
        <v>723</v>
      </c>
      <c r="M57" s="61" t="s">
        <v>724</v>
      </c>
    </row>
    <row r="58" spans="1:13" ht="43.5">
      <c r="A58" s="29" t="str">
        <v>Q435</v>
      </c>
      <c r="B58" s="26" t="str">
        <v>NY</v>
      </c>
      <c r="C58" s="26" t="str">
        <f>Sites[[#This Row],[SOL'#]]</f>
        <v>SOL-10923</v>
      </c>
      <c r="D58" s="21">
        <v>80286.03125</v>
      </c>
      <c r="E58" s="11">
        <v>63822.879999999997</v>
      </c>
      <c r="F58" s="11">
        <f t="shared" si="0"/>
        <v>16463.151250000003</v>
      </c>
      <c r="G58" s="12">
        <f t="shared" si="3"/>
        <v>0.25795061661272578</v>
      </c>
      <c r="H58" s="13">
        <v>84298</v>
      </c>
      <c r="I58" s="13">
        <f t="shared" si="4"/>
        <v>-4011.96875</v>
      </c>
      <c r="J58" s="14">
        <f t="shared" si="5"/>
        <v>-4.759269199743766E-2</v>
      </c>
      <c r="K58" s="80">
        <v>0.98173759999999999</v>
      </c>
      <c r="L58" s="66" t="s">
        <v>725</v>
      </c>
      <c r="M58" s="66" t="s">
        <v>726</v>
      </c>
    </row>
    <row r="59" spans="1:13" ht="43.5">
      <c r="A59" s="27" t="str">
        <v>Q485</v>
      </c>
      <c r="B59" s="28" t="str">
        <v>NY</v>
      </c>
      <c r="C59" s="28" t="str">
        <f>Sites[[#This Row],[SOL'#]]</f>
        <v>SOL-10869</v>
      </c>
      <c r="D59" s="10">
        <v>78566.53125</v>
      </c>
      <c r="E59" s="15">
        <v>62490.51</v>
      </c>
      <c r="F59" s="15">
        <f t="shared" si="0"/>
        <v>16076.021249999998</v>
      </c>
      <c r="G59" s="16">
        <f t="shared" si="3"/>
        <v>0.25725540166018807</v>
      </c>
      <c r="H59" s="17">
        <v>80604.66</v>
      </c>
      <c r="I59" s="17">
        <f t="shared" si="4"/>
        <v>-2038.1287500000035</v>
      </c>
      <c r="J59" s="16">
        <f t="shared" si="5"/>
        <v>-2.5285495280297731E-2</v>
      </c>
      <c r="K59" s="16">
        <v>1</v>
      </c>
      <c r="L59" s="61" t="s">
        <v>727</v>
      </c>
      <c r="M59" s="61" t="s">
        <v>728</v>
      </c>
    </row>
    <row r="60" spans="1:13" ht="15.6">
      <c r="A60" s="29" t="str">
        <v>Q490</v>
      </c>
      <c r="B60" s="26" t="str">
        <v>NY</v>
      </c>
      <c r="C60" s="26" t="str">
        <f>Sites[[#This Row],[SOL'#]]</f>
        <v>SOL-10411</v>
      </c>
      <c r="D60" s="21">
        <v>49857.125</v>
      </c>
      <c r="E60" s="11"/>
      <c r="F60" s="11" t="str">
        <f t="shared" si="0"/>
        <v/>
      </c>
      <c r="G60" s="12" t="str">
        <f t="shared" si="3"/>
        <v/>
      </c>
      <c r="H60" s="13">
        <v>52769.27</v>
      </c>
      <c r="I60" s="13">
        <f t="shared" si="4"/>
        <v>-2912.1449999999968</v>
      </c>
      <c r="J60" s="14">
        <f t="shared" si="5"/>
        <v>-5.5186380255023371E-2</v>
      </c>
      <c r="K60" s="80">
        <v>1</v>
      </c>
      <c r="L60" s="66" t="s">
        <v>729</v>
      </c>
      <c r="M60" s="66" t="s">
        <v>584</v>
      </c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v>85685.624999999796</v>
      </c>
      <c r="E61" s="15">
        <v>87479.78</v>
      </c>
      <c r="F61" s="15">
        <f t="shared" si="0"/>
        <v>-1794.1550000002026</v>
      </c>
      <c r="G61" s="16">
        <f t="shared" si="3"/>
        <v>-2.0509367993383185E-2</v>
      </c>
      <c r="H61" s="17">
        <v>84545.39</v>
      </c>
      <c r="I61" s="17">
        <f t="shared" si="4"/>
        <v>1140.2349999997969</v>
      </c>
      <c r="J61" s="16">
        <f t="shared" si="5"/>
        <v>1.3486660833899954E-2</v>
      </c>
      <c r="K61" s="16">
        <v>1</v>
      </c>
      <c r="L61" s="61"/>
      <c r="M61" s="61"/>
    </row>
    <row r="62" spans="1:13" ht="15.6">
      <c r="A62" s="29" t="str">
        <v>QMOA</v>
      </c>
      <c r="B62" s="26" t="str">
        <v>NY</v>
      </c>
      <c r="C62" s="26" t="str">
        <f>Sites[[#This Row],[SOL'#]]</f>
        <v>SOL-10415</v>
      </c>
      <c r="D62" s="21">
        <v>7367.5</v>
      </c>
      <c r="E62" s="11">
        <v>0</v>
      </c>
      <c r="F62" s="11">
        <f t="shared" si="0"/>
        <v>7367.5</v>
      </c>
      <c r="G62" s="12" t="str">
        <f t="shared" si="3"/>
        <v/>
      </c>
      <c r="H62" s="13">
        <v>7592.9849999999997</v>
      </c>
      <c r="I62" s="13">
        <f>IF(AND(ISNUMBER(D62),ISNUMBER(H62)), D62-H62, "")</f>
        <v>-225.48499999999967</v>
      </c>
      <c r="J62" s="14">
        <f t="shared" si="5"/>
        <v>-2.9696489588745361E-2</v>
      </c>
      <c r="K62" s="80">
        <v>1</v>
      </c>
      <c r="L62" s="66"/>
      <c r="M62" s="66"/>
    </row>
    <row r="63" spans="1:13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v>32982.46875</v>
      </c>
      <c r="E63" s="15">
        <v>33387.160000000003</v>
      </c>
      <c r="F63" s="15">
        <f t="shared" si="0"/>
        <v>-404.69125000000349</v>
      </c>
      <c r="G63" s="16">
        <f t="shared" si="3"/>
        <v>-1.2121164243978926E-2</v>
      </c>
      <c r="H63" s="17">
        <v>28524</v>
      </c>
      <c r="I63" s="17">
        <f>IF(AND(ISNUMBER(D63),ISNUMBER(H63)), D63-H63, "")</f>
        <v>4458.46875</v>
      </c>
      <c r="J63" s="16">
        <f t="shared" si="5"/>
        <v>0.15630587400084139</v>
      </c>
      <c r="K63" s="16">
        <v>0.97631820000000002</v>
      </c>
      <c r="L63" s="61"/>
      <c r="M63" s="61"/>
    </row>
    <row r="64" spans="1:13" ht="15.6">
      <c r="A64" s="29" t="str">
        <v>X026</v>
      </c>
      <c r="B64" s="26" t="str">
        <v>NY</v>
      </c>
      <c r="C64" s="26" t="str">
        <f>Sites[[#This Row],[SOL'#]]</f>
        <v>SOL-10420</v>
      </c>
      <c r="D64" s="21">
        <v>29903.9</v>
      </c>
      <c r="E64" s="11">
        <v>26850.28</v>
      </c>
      <c r="F64" s="11">
        <f t="shared" si="0"/>
        <v>3053.6200000000026</v>
      </c>
      <c r="G64" s="12">
        <f t="shared" si="3"/>
        <v>0.113727678072631</v>
      </c>
      <c r="H64" s="13">
        <v>28524</v>
      </c>
      <c r="I64" s="13">
        <f t="shared" si="4"/>
        <v>1379.9000000000015</v>
      </c>
      <c r="J64" s="14">
        <f t="shared" si="5"/>
        <v>4.837680549712528E-2</v>
      </c>
      <c r="K64" s="80"/>
      <c r="L64" s="66"/>
      <c r="M64" s="66"/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v>24697.79867</v>
      </c>
      <c r="E65" s="15">
        <v>21546.42</v>
      </c>
      <c r="F65" s="15">
        <f t="shared" si="0"/>
        <v>3151.3786700000019</v>
      </c>
      <c r="G65" s="16">
        <f t="shared" si="3"/>
        <v>0.1462599666209051</v>
      </c>
      <c r="H65" s="17">
        <v>24800</v>
      </c>
      <c r="I65" s="17">
        <f t="shared" si="4"/>
        <v>-102.20132999999987</v>
      </c>
      <c r="J65" s="16">
        <f t="shared" si="5"/>
        <v>-4.1210213709677364E-3</v>
      </c>
      <c r="K65" s="16"/>
      <c r="L65" s="61"/>
      <c r="M65" s="61"/>
    </row>
    <row r="66" spans="1:13" ht="15.6">
      <c r="A66" s="29" t="str">
        <v>X117</v>
      </c>
      <c r="B66" s="26" t="str">
        <v>NY</v>
      </c>
      <c r="C66" s="26" t="str">
        <f>Sites[[#This Row],[SOL'#]]</f>
        <v>SOL-10422</v>
      </c>
      <c r="D66" s="21">
        <v>21094.1</v>
      </c>
      <c r="E66" s="11">
        <v>22675</v>
      </c>
      <c r="F66" s="11">
        <f t="shared" si="0"/>
        <v>-1580.9000000000015</v>
      </c>
      <c r="G66" s="12">
        <f t="shared" si="3"/>
        <v>-6.9719955898566763E-2</v>
      </c>
      <c r="H66" s="13">
        <v>20744</v>
      </c>
      <c r="I66" s="13">
        <f t="shared" si="4"/>
        <v>350.09999999999854</v>
      </c>
      <c r="J66" s="14">
        <f t="shared" si="5"/>
        <v>1.6877169301966765E-2</v>
      </c>
      <c r="K66" s="80"/>
      <c r="L66" s="66"/>
      <c r="M66" s="66"/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v>39341.46875</v>
      </c>
      <c r="E67" s="15">
        <v>39626.519999999997</v>
      </c>
      <c r="F67" s="15">
        <f t="shared" si="0"/>
        <v>-285.0512499999968</v>
      </c>
      <c r="G67" s="16">
        <f t="shared" si="3"/>
        <v>-7.1934464595931414E-3</v>
      </c>
      <c r="H67" s="17">
        <v>37986</v>
      </c>
      <c r="I67" s="17">
        <f t="shared" si="4"/>
        <v>1355.46875</v>
      </c>
      <c r="J67" s="16">
        <f t="shared" si="5"/>
        <v>3.5683376770389089E-2</v>
      </c>
      <c r="K67" s="16"/>
      <c r="L67" s="61"/>
      <c r="M67" s="61"/>
    </row>
    <row r="68" spans="1:13" ht="15.6">
      <c r="A68" s="29" t="str">
        <v>X134</v>
      </c>
      <c r="B68" s="26" t="str">
        <v>NY</v>
      </c>
      <c r="C68" s="26" t="str">
        <f>Sites[[#This Row],[SOL'#]]</f>
        <v>SOL-10424</v>
      </c>
      <c r="D68" s="21">
        <v>37133.90625</v>
      </c>
      <c r="E68" s="11">
        <v>0</v>
      </c>
      <c r="F68" s="11">
        <f t="shared" si="0"/>
        <v>37133.90625</v>
      </c>
      <c r="G68" s="12" t="str">
        <f t="shared" si="3"/>
        <v/>
      </c>
      <c r="H68" s="13">
        <v>37970</v>
      </c>
      <c r="I68" s="13">
        <f t="shared" si="4"/>
        <v>-836.09375</v>
      </c>
      <c r="J68" s="14">
        <f t="shared" si="5"/>
        <v>-2.2019851198314459E-2</v>
      </c>
      <c r="K68" s="80"/>
      <c r="L68" s="66"/>
      <c r="M68" s="66"/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v>26367.84375</v>
      </c>
      <c r="E69" s="15">
        <v>0</v>
      </c>
      <c r="F69" s="15">
        <f t="shared" si="0"/>
        <v>26367.84375</v>
      </c>
      <c r="G69" s="16" t="str">
        <f t="shared" si="3"/>
        <v/>
      </c>
      <c r="H69" s="17">
        <v>30069</v>
      </c>
      <c r="I69" s="17">
        <f t="shared" si="4"/>
        <v>-3701.15625</v>
      </c>
      <c r="J69" s="16">
        <f t="shared" si="5"/>
        <v>-0.12308877082709768</v>
      </c>
      <c r="K69" s="16"/>
      <c r="L69" s="61"/>
      <c r="M69" s="61"/>
    </row>
    <row r="70" spans="1:13" ht="15.6">
      <c r="A70" s="29" t="str">
        <v>X139 JHS 222</v>
      </c>
      <c r="B70" s="26" t="str">
        <v>NY</v>
      </c>
      <c r="C70" s="26" t="str">
        <f>Sites[[#This Row],[SOL'#]]</f>
        <v>SOL-10426</v>
      </c>
      <c r="D70" s="21">
        <v>48905.607272030698</v>
      </c>
      <c r="E70" s="11">
        <v>48538.78</v>
      </c>
      <c r="F70" s="11">
        <f t="shared" ref="F70:F109" si="6">IF(AND(ISNUMBER(D70),ISNUMBER(E70)), D70-E70, "")</f>
        <v>366.82727203069953</v>
      </c>
      <c r="G70" s="12">
        <f t="shared" si="3"/>
        <v>7.5574060994260577E-3</v>
      </c>
      <c r="H70" s="13">
        <v>48383</v>
      </c>
      <c r="I70" s="13">
        <f t="shared" si="4"/>
        <v>522.60727203069837</v>
      </c>
      <c r="J70" s="14">
        <f t="shared" si="5"/>
        <v>1.0801464812655238E-2</v>
      </c>
      <c r="K70" s="80">
        <v>1</v>
      </c>
      <c r="L70" s="66"/>
      <c r="M70" s="66"/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v>25805.2578125</v>
      </c>
      <c r="E71" s="15">
        <v>21724.73</v>
      </c>
      <c r="F71" s="15">
        <f t="shared" si="6"/>
        <v>4080.5278125000004</v>
      </c>
      <c r="G71" s="16">
        <f t="shared" ref="G71:G110" si="7">IFERROR(F71/E71, "")</f>
        <v>0.18782870086302572</v>
      </c>
      <c r="H71" s="17">
        <v>25647</v>
      </c>
      <c r="I71" s="17">
        <f t="shared" si="4"/>
        <v>158.2578125</v>
      </c>
      <c r="J71" s="16">
        <f t="shared" si="5"/>
        <v>6.1706169337544352E-3</v>
      </c>
      <c r="K71" s="16">
        <v>0</v>
      </c>
      <c r="L71" s="61"/>
      <c r="M71" s="61"/>
    </row>
    <row r="72" spans="1:13" ht="29.1">
      <c r="A72" s="29" t="str">
        <v>X166</v>
      </c>
      <c r="B72" s="26" t="str">
        <v>NY</v>
      </c>
      <c r="C72" s="26" t="str">
        <f>Sites[[#This Row],[SOL'#]]</f>
        <v>SOL-10427</v>
      </c>
      <c r="D72" s="21">
        <v>25663.200000000001</v>
      </c>
      <c r="E72" s="11">
        <v>27157</v>
      </c>
      <c r="F72" s="11">
        <f t="shared" si="6"/>
        <v>-1493.7999999999993</v>
      </c>
      <c r="G72" s="12">
        <f t="shared" si="7"/>
        <v>-5.5006075781566417E-2</v>
      </c>
      <c r="H72" s="13">
        <v>28572</v>
      </c>
      <c r="I72" s="13">
        <f t="shared" si="4"/>
        <v>-2908.7999999999993</v>
      </c>
      <c r="J72" s="14">
        <f t="shared" si="5"/>
        <v>-0.10180596388072236</v>
      </c>
      <c r="K72" s="80"/>
      <c r="L72" s="66" t="s">
        <v>730</v>
      </c>
      <c r="M72" s="66" t="s">
        <v>731</v>
      </c>
    </row>
    <row r="73" spans="1:13" ht="29.1">
      <c r="A73" s="27" t="str">
        <v>Murphy</v>
      </c>
      <c r="B73" s="28" t="str">
        <v>MN</v>
      </c>
      <c r="C73" s="28" t="str">
        <f>Sites[[#This Row],[SOL'#]]</f>
        <v>SOL-10094</v>
      </c>
      <c r="D73" s="10">
        <v>767050</v>
      </c>
      <c r="E73" s="15"/>
      <c r="F73" s="15" t="str">
        <f t="shared" si="6"/>
        <v/>
      </c>
      <c r="G73" s="16" t="str">
        <f t="shared" si="7"/>
        <v/>
      </c>
      <c r="H73" s="17">
        <v>1085423</v>
      </c>
      <c r="I73" s="17">
        <f t="shared" si="4"/>
        <v>-318373</v>
      </c>
      <c r="J73" s="16">
        <f t="shared" si="5"/>
        <v>-0.29331698333276518</v>
      </c>
      <c r="K73" s="16">
        <v>0</v>
      </c>
      <c r="L73" s="61" t="s">
        <v>732</v>
      </c>
      <c r="M73" s="61" t="s">
        <v>733</v>
      </c>
    </row>
    <row r="74" spans="1:13" ht="15.6">
      <c r="A74" s="29" t="str">
        <v>Terning</v>
      </c>
      <c r="B74" s="26" t="str">
        <v>MN</v>
      </c>
      <c r="C74" s="26" t="str">
        <f>Sites[[#This Row],[SOL'#]]</f>
        <v>SOL-10093</v>
      </c>
      <c r="D74" s="21">
        <v>1025075</v>
      </c>
      <c r="E74" s="11">
        <v>1116460</v>
      </c>
      <c r="F74" s="11">
        <f t="shared" si="6"/>
        <v>-91385</v>
      </c>
      <c r="G74" s="12">
        <f t="shared" si="7"/>
        <v>-8.1852462246744168E-2</v>
      </c>
      <c r="H74" s="13">
        <v>1082740</v>
      </c>
      <c r="I74" s="13">
        <f t="shared" si="4"/>
        <v>-57665</v>
      </c>
      <c r="J74" s="14">
        <f t="shared" si="5"/>
        <v>-5.3258399985222679E-2</v>
      </c>
      <c r="K74" s="80">
        <v>0.99677419999999994</v>
      </c>
      <c r="L74" s="66"/>
      <c r="M74" s="66"/>
    </row>
    <row r="75" spans="1:13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407467</v>
      </c>
      <c r="E75" s="15">
        <v>0</v>
      </c>
      <c r="F75" s="15">
        <v>407467</v>
      </c>
      <c r="G75" s="15" t="str">
        <f t="shared" si="7"/>
        <v/>
      </c>
      <c r="H75" s="17">
        <v>423424.58</v>
      </c>
      <c r="I75" s="17">
        <v>-11413.400000000023</v>
      </c>
      <c r="J75" s="16">
        <v>-2.7247395676665755E-2</v>
      </c>
      <c r="K75" s="16">
        <v>1</v>
      </c>
      <c r="L75" s="61" t="s">
        <v>594</v>
      </c>
      <c r="M75" s="61" t="s">
        <v>734</v>
      </c>
    </row>
    <row r="76" spans="1:13" ht="15.6">
      <c r="A76" s="29" t="str">
        <v>Kelly Bridge Farm</v>
      </c>
      <c r="B76" s="26" t="str">
        <v>NY</v>
      </c>
      <c r="C76" s="26" t="str">
        <f>Sites[[#This Row],[SOL'#]]</f>
        <v>SOL-10911</v>
      </c>
      <c r="D76" s="21">
        <v>393894</v>
      </c>
      <c r="E76" s="11">
        <v>409545.82</v>
      </c>
      <c r="F76" s="11">
        <v>-15651.820000000007</v>
      </c>
      <c r="G76" s="12">
        <f t="shared" si="7"/>
        <v>-3.8217506407463776E-2</v>
      </c>
      <c r="H76" s="13">
        <v>411662.79</v>
      </c>
      <c r="I76" s="13">
        <v>-15763.390000000014</v>
      </c>
      <c r="J76" s="14">
        <v>-3.8479447423125979E-2</v>
      </c>
      <c r="K76" s="80">
        <v>0.99909999999999999</v>
      </c>
      <c r="L76" s="66" t="s">
        <v>39</v>
      </c>
      <c r="M76" s="66"/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390015</v>
      </c>
      <c r="E77" s="15">
        <v>398660.84</v>
      </c>
      <c r="F77" s="15">
        <v>-8645.8400000000256</v>
      </c>
      <c r="G77" s="16">
        <f t="shared" si="7"/>
        <v>-2.1687206598972764E-2</v>
      </c>
      <c r="H77" s="17">
        <v>390079.7</v>
      </c>
      <c r="I77" s="17">
        <v>6123.3699999999953</v>
      </c>
      <c r="J77" s="16">
        <v>1.5950777567096203E-2</v>
      </c>
      <c r="K77" s="16">
        <v>0.99919999999999998</v>
      </c>
      <c r="L77" s="61"/>
      <c r="M77" s="61"/>
    </row>
    <row r="78" spans="1:13" ht="15.6">
      <c r="A78" s="29" t="str">
        <v>Sackett Lake</v>
      </c>
      <c r="B78" s="26" t="str">
        <v>NY</v>
      </c>
      <c r="C78" s="26" t="str">
        <f>Sites[[#This Row],[SOL'#]]</f>
        <v>SOL-10910</v>
      </c>
      <c r="D78" s="21">
        <v>396701</v>
      </c>
      <c r="E78" s="11">
        <v>401120.63</v>
      </c>
      <c r="F78" s="11">
        <v>-4419.6300000000047</v>
      </c>
      <c r="G78" s="12">
        <f t="shared" si="7"/>
        <v>-1.1018206667655076E-2</v>
      </c>
      <c r="H78" s="13">
        <v>403940.4</v>
      </c>
      <c r="I78" s="13">
        <v>-5394.820000000007</v>
      </c>
      <c r="J78" s="14">
        <v>-1.3416752255718567E-2</v>
      </c>
      <c r="K78" s="80">
        <v>1</v>
      </c>
      <c r="L78" s="66"/>
      <c r="M78" s="66"/>
    </row>
    <row r="79" spans="1:13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426730</v>
      </c>
      <c r="E79" s="15">
        <v>0</v>
      </c>
      <c r="F79" s="15">
        <v>426730</v>
      </c>
      <c r="G79" s="16" t="str">
        <f t="shared" si="7"/>
        <v/>
      </c>
      <c r="H79" s="17">
        <v>413769.21</v>
      </c>
      <c r="I79" s="17">
        <v>16279.219999999972</v>
      </c>
      <c r="J79" s="16">
        <v>3.9661807927371881E-2</v>
      </c>
      <c r="K79" s="16">
        <v>1</v>
      </c>
      <c r="L79" s="61" t="s">
        <v>735</v>
      </c>
      <c r="M79" s="61" t="s">
        <v>736</v>
      </c>
    </row>
    <row r="80" spans="1:13" ht="43.5">
      <c r="A80" s="29" t="str">
        <v>Villa Roma 1</v>
      </c>
      <c r="B80" s="26" t="str">
        <v>NY</v>
      </c>
      <c r="C80" s="26" t="str">
        <f>Sites[[#This Row],[SOL'#]]</f>
        <v>SOL-10914</v>
      </c>
      <c r="D80" s="21">
        <v>199412</v>
      </c>
      <c r="E80" s="11">
        <v>542322.34</v>
      </c>
      <c r="F80" s="11">
        <v>-342910.33999999997</v>
      </c>
      <c r="G80" s="12">
        <f t="shared" si="7"/>
        <v>-0.63229986063270049</v>
      </c>
      <c r="H80" s="13">
        <v>362358</v>
      </c>
      <c r="I80" s="13">
        <v>-159433.04999999999</v>
      </c>
      <c r="J80" s="14">
        <v>-0.44429496798130558</v>
      </c>
      <c r="K80" s="80"/>
      <c r="L80" s="66" t="s">
        <v>737</v>
      </c>
      <c r="M80" s="66" t="s">
        <v>738</v>
      </c>
    </row>
    <row r="81" spans="1:13" ht="57.95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134090</v>
      </c>
      <c r="E81" s="15">
        <v>350810.07</v>
      </c>
      <c r="F81" s="15">
        <v>-216720.07</v>
      </c>
      <c r="G81" s="16">
        <f t="shared" si="7"/>
        <v>-0.61777037928244194</v>
      </c>
      <c r="H81" s="17">
        <v>351468</v>
      </c>
      <c r="I81" s="17">
        <v>-213947.62</v>
      </c>
      <c r="J81" s="16">
        <v>-0.6147255575417393</v>
      </c>
      <c r="K81" s="16"/>
      <c r="L81" s="61" t="s">
        <v>739</v>
      </c>
      <c r="M81" s="61" t="s">
        <v>740</v>
      </c>
    </row>
    <row r="82" spans="1:13" ht="15.6">
      <c r="A82" s="29" t="str">
        <v>Washington 1</v>
      </c>
      <c r="B82" s="26" t="str">
        <v>NY</v>
      </c>
      <c r="C82" s="26" t="str">
        <f>Sites[[#This Row],[SOL'#]]</f>
        <v>SOL-10912</v>
      </c>
      <c r="D82" s="21">
        <v>421470</v>
      </c>
      <c r="E82" s="11">
        <v>451364.43</v>
      </c>
      <c r="F82" s="11">
        <v>-29894.429999999993</v>
      </c>
      <c r="G82" s="12">
        <f t="shared" si="7"/>
        <v>-6.6231249103966813E-2</v>
      </c>
      <c r="H82" s="13">
        <v>408891</v>
      </c>
      <c r="I82" s="13">
        <v>15429.299999999988</v>
      </c>
      <c r="J82" s="14">
        <v>3.7999392671719825E-2</v>
      </c>
      <c r="K82" s="80"/>
      <c r="L82" s="66"/>
      <c r="M82" s="66"/>
    </row>
    <row r="83" spans="1:13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573970</v>
      </c>
      <c r="E83" s="15">
        <v>344067.07</v>
      </c>
      <c r="F83" s="15">
        <v>229902.93</v>
      </c>
      <c r="G83" s="16">
        <f t="shared" si="7"/>
        <v>0.6681921928768132</v>
      </c>
      <c r="H83" s="17">
        <v>499583</v>
      </c>
      <c r="I83" s="17">
        <v>79382.710000000021</v>
      </c>
      <c r="J83" s="16">
        <v>0.16050293164630255</v>
      </c>
      <c r="K83" s="16"/>
      <c r="L83" s="61" t="s">
        <v>741</v>
      </c>
      <c r="M83" s="61" t="s">
        <v>742</v>
      </c>
    </row>
    <row r="84" spans="1:13" ht="15.6">
      <c r="A84" s="29" t="str">
        <v>Washington 4</v>
      </c>
      <c r="B84" s="26" t="str">
        <v>NY</v>
      </c>
      <c r="C84" s="26" t="str">
        <f>Sites[[#This Row],[SOL'#]]</f>
        <v>SOL-10829</v>
      </c>
      <c r="D84" s="21">
        <v>0</v>
      </c>
      <c r="E84" s="11">
        <v>0</v>
      </c>
      <c r="F84" s="11"/>
      <c r="G84" s="12" t="str">
        <f t="shared" si="7"/>
        <v/>
      </c>
      <c r="H84" s="13">
        <v>500745</v>
      </c>
      <c r="I84" s="13"/>
      <c r="J84" s="14"/>
      <c r="K84" s="80"/>
      <c r="L84" s="66" t="s">
        <v>743</v>
      </c>
      <c r="M84" s="66" t="s">
        <v>744</v>
      </c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442461</v>
      </c>
      <c r="E85" s="15">
        <v>0</v>
      </c>
      <c r="F85" s="15">
        <f t="shared" si="6"/>
        <v>442461</v>
      </c>
      <c r="G85" s="16" t="str">
        <f t="shared" si="7"/>
        <v/>
      </c>
      <c r="H85" s="17">
        <v>418906</v>
      </c>
      <c r="I85" s="17">
        <f t="shared" ref="I85:I110" si="8">IF(AND(ISNUMBER(D85),ISNUMBER(H85)), D85-H85, "")</f>
        <v>23555</v>
      </c>
      <c r="J85" s="16">
        <f t="shared" ref="J85:J110" si="9">IFERROR(I85/H85, "")</f>
        <v>5.6229798570562373E-2</v>
      </c>
      <c r="K85" s="16"/>
      <c r="L85" s="94" t="s">
        <v>745</v>
      </c>
      <c r="M85" s="61" t="s">
        <v>746</v>
      </c>
    </row>
    <row r="86" spans="1:13" ht="57.95">
      <c r="A86" s="29" t="str">
        <v>Canoga</v>
      </c>
      <c r="B86" s="26" t="str">
        <v>NY</v>
      </c>
      <c r="C86" s="26" t="str">
        <f>Sites[[#This Row],[SOL'#]]</f>
        <v>SOL-10965</v>
      </c>
      <c r="D86" s="21">
        <v>996386</v>
      </c>
      <c r="E86" s="11">
        <v>0</v>
      </c>
      <c r="F86" s="11">
        <f t="shared" si="6"/>
        <v>996386</v>
      </c>
      <c r="G86" s="12" t="str">
        <f t="shared" si="7"/>
        <v/>
      </c>
      <c r="H86" s="13">
        <v>1068138.0900000001</v>
      </c>
      <c r="I86" s="13">
        <f t="shared" si="8"/>
        <v>-71752.090000000084</v>
      </c>
      <c r="J86" s="14">
        <f t="shared" si="9"/>
        <v>-6.7174919302802949E-2</v>
      </c>
      <c r="K86" s="80">
        <v>1</v>
      </c>
      <c r="L86" s="66" t="s">
        <v>747</v>
      </c>
      <c r="M86" s="66" t="s">
        <v>748</v>
      </c>
    </row>
    <row r="87" spans="1:13" ht="43.5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1041279</v>
      </c>
      <c r="E87" s="15">
        <v>0</v>
      </c>
      <c r="F87" s="15">
        <f t="shared" si="6"/>
        <v>1041279</v>
      </c>
      <c r="G87" s="16" t="str">
        <f t="shared" si="7"/>
        <v/>
      </c>
      <c r="H87" s="17">
        <v>1057154.2</v>
      </c>
      <c r="I87" s="17">
        <f t="shared" si="8"/>
        <v>-15875.199999999953</v>
      </c>
      <c r="J87" s="16">
        <f t="shared" si="9"/>
        <v>-1.5016919953588562E-2</v>
      </c>
      <c r="K87" s="16">
        <v>0.99970000000000003</v>
      </c>
      <c r="L87" s="61" t="s">
        <v>749</v>
      </c>
      <c r="M87" s="61" t="s">
        <v>750</v>
      </c>
    </row>
    <row r="88" spans="1:13" ht="15.6">
      <c r="A88" s="29" t="str">
        <v>Donati</v>
      </c>
      <c r="B88" s="26" t="str">
        <v>NY</v>
      </c>
      <c r="C88" s="26" t="str">
        <f>Sites[[#This Row],[SOL'#]]</f>
        <v>SOL-10968</v>
      </c>
      <c r="D88" s="21">
        <v>530222</v>
      </c>
      <c r="E88" s="11">
        <v>0</v>
      </c>
      <c r="F88" s="11">
        <f t="shared" si="6"/>
        <v>530222</v>
      </c>
      <c r="G88" s="12" t="str">
        <f t="shared" si="7"/>
        <v/>
      </c>
      <c r="H88" s="13">
        <v>548244.47</v>
      </c>
      <c r="I88" s="13">
        <f t="shared" si="8"/>
        <v>-18022.469999999972</v>
      </c>
      <c r="J88" s="14">
        <f t="shared" si="9"/>
        <v>-3.2873053876858939E-2</v>
      </c>
      <c r="K88" s="80">
        <v>1</v>
      </c>
      <c r="L88" s="66"/>
      <c r="M88" s="66"/>
    </row>
    <row r="89" spans="1:13" ht="57.95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1073244</v>
      </c>
      <c r="E89" s="15">
        <v>0</v>
      </c>
      <c r="F89" s="15">
        <f t="shared" si="6"/>
        <v>1073244</v>
      </c>
      <c r="G89" s="16" t="str">
        <f t="shared" si="7"/>
        <v/>
      </c>
      <c r="H89" s="17">
        <v>1158329</v>
      </c>
      <c r="I89" s="17">
        <f t="shared" si="8"/>
        <v>-85085</v>
      </c>
      <c r="J89" s="16">
        <f t="shared" si="9"/>
        <v>-7.3454951054493151E-2</v>
      </c>
      <c r="K89" s="16">
        <v>0.99819999999999998</v>
      </c>
      <c r="L89" s="61" t="s">
        <v>751</v>
      </c>
      <c r="M89" s="61" t="s">
        <v>752</v>
      </c>
    </row>
    <row r="90" spans="1:13" ht="79.5" customHeight="1">
      <c r="A90" s="29" t="str">
        <v>NY 70</v>
      </c>
      <c r="B90" s="26" t="str">
        <v>NY</v>
      </c>
      <c r="C90" s="26" t="str">
        <f>Sites[[#This Row],[SOL'#]]</f>
        <v>SOL-10970</v>
      </c>
      <c r="D90" s="21">
        <v>912454</v>
      </c>
      <c r="E90" s="11">
        <v>0</v>
      </c>
      <c r="F90" s="11">
        <f t="shared" si="6"/>
        <v>912454</v>
      </c>
      <c r="G90" s="12" t="str">
        <f t="shared" si="7"/>
        <v/>
      </c>
      <c r="H90" s="13">
        <v>1276262</v>
      </c>
      <c r="I90" s="13">
        <f t="shared" si="8"/>
        <v>-363808</v>
      </c>
      <c r="J90" s="14">
        <f t="shared" si="9"/>
        <v>-0.28505745685447031</v>
      </c>
      <c r="K90" s="80">
        <v>0.87749999999999995</v>
      </c>
      <c r="L90" s="66" t="s">
        <v>753</v>
      </c>
      <c r="M90" s="66" t="s">
        <v>754</v>
      </c>
    </row>
    <row r="91" spans="1:13" ht="409.5">
      <c r="A91" s="27" t="str">
        <v>Reid</v>
      </c>
      <c r="B91" s="28" t="str">
        <v>NY</v>
      </c>
      <c r="C91" s="28" t="str">
        <f>Sites[[#This Row],[SOL'#]]</f>
        <v>SOL-10991</v>
      </c>
      <c r="D91" s="10">
        <v>915086.05599647795</v>
      </c>
      <c r="E91" s="15">
        <v>880371.9</v>
      </c>
      <c r="F91" s="15">
        <f>IF(AND(ISNUMBER(D91),ISNUMBER(E91)), D91-E91, "")</f>
        <v>34714.15599647793</v>
      </c>
      <c r="G91" s="16">
        <f t="shared" si="7"/>
        <v>3.9431240361576657E-2</v>
      </c>
      <c r="H91" s="17">
        <v>94887</v>
      </c>
      <c r="I91" s="85">
        <f>IF(AND(ISNUMBER(D91),ISNUMBER(H91)), D91-H91, "")</f>
        <v>820199.05599647795</v>
      </c>
      <c r="J91" s="16">
        <v>8.6439560318745237</v>
      </c>
      <c r="K91" s="16">
        <v>0.98401700000000003</v>
      </c>
      <c r="L91" s="61" t="s">
        <v>755</v>
      </c>
      <c r="M91" s="61" t="s">
        <v>756</v>
      </c>
    </row>
    <row r="92" spans="1:13" ht="15.6">
      <c r="A92" s="29" t="str">
        <v>Sangolqui</v>
      </c>
      <c r="B92" s="26" t="str">
        <v>NY</v>
      </c>
      <c r="C92" s="26" t="str">
        <f>Sites[[#This Row],[SOL'#]]</f>
        <v>SOL-10975</v>
      </c>
      <c r="D92" s="21">
        <v>549237</v>
      </c>
      <c r="E92" s="11">
        <v>0</v>
      </c>
      <c r="F92" s="11">
        <f t="shared" si="6"/>
        <v>549237</v>
      </c>
      <c r="G92" s="12" t="str">
        <f t="shared" si="7"/>
        <v/>
      </c>
      <c r="H92" s="13">
        <v>537522.27</v>
      </c>
      <c r="I92" s="13">
        <f t="shared" si="8"/>
        <v>11714.729999999981</v>
      </c>
      <c r="J92" s="14">
        <f t="shared" si="9"/>
        <v>2.179394353279536E-2</v>
      </c>
      <c r="K92" s="80">
        <v>1</v>
      </c>
      <c r="L92" s="66"/>
      <c r="M92" s="66"/>
    </row>
    <row r="93" spans="1:13" ht="43.5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896440</v>
      </c>
      <c r="E93" s="15">
        <v>0</v>
      </c>
      <c r="F93" s="15">
        <f t="shared" si="6"/>
        <v>896440</v>
      </c>
      <c r="G93" s="16" t="str">
        <f t="shared" si="7"/>
        <v/>
      </c>
      <c r="H93" s="17">
        <v>902647</v>
      </c>
      <c r="I93" s="17">
        <f t="shared" si="8"/>
        <v>-6207</v>
      </c>
      <c r="J93" s="16">
        <f t="shared" si="9"/>
        <v>-6.876442285854825E-3</v>
      </c>
      <c r="K93" s="16"/>
      <c r="L93" s="61" t="s">
        <v>757</v>
      </c>
      <c r="M93" s="61" t="s">
        <v>758</v>
      </c>
    </row>
    <row r="94" spans="1:13" ht="43.5">
      <c r="A94" s="29" t="str">
        <v>State Route 14A</v>
      </c>
      <c r="B94" s="26" t="str">
        <v>NY</v>
      </c>
      <c r="C94" s="26" t="str">
        <f>Sites[[#This Row],[SOL'#]]</f>
        <v>SOL-10997</v>
      </c>
      <c r="D94" s="21">
        <v>1038968</v>
      </c>
      <c r="E94" s="11">
        <v>0</v>
      </c>
      <c r="F94" s="11">
        <f t="shared" si="6"/>
        <v>1038968</v>
      </c>
      <c r="G94" s="12" t="str">
        <f t="shared" si="7"/>
        <v/>
      </c>
      <c r="H94" s="13">
        <v>1029017</v>
      </c>
      <c r="I94" s="13">
        <f t="shared" si="8"/>
        <v>9951</v>
      </c>
      <c r="J94" s="14">
        <f t="shared" si="9"/>
        <v>9.6703941723023032E-3</v>
      </c>
      <c r="K94" s="80"/>
      <c r="L94" s="66" t="s">
        <v>759</v>
      </c>
      <c r="M94" s="66" t="s">
        <v>760</v>
      </c>
    </row>
    <row r="95" spans="1:13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1094560</v>
      </c>
      <c r="E95" s="15">
        <v>0</v>
      </c>
      <c r="F95" s="15">
        <f t="shared" si="6"/>
        <v>1094560</v>
      </c>
      <c r="G95" s="16" t="str">
        <f t="shared" si="7"/>
        <v/>
      </c>
      <c r="H95" s="17">
        <v>1061473</v>
      </c>
      <c r="I95" s="17">
        <f t="shared" si="8"/>
        <v>33087</v>
      </c>
      <c r="J95" s="16">
        <f t="shared" si="9"/>
        <v>3.1170835244985037E-2</v>
      </c>
      <c r="K95" s="16"/>
      <c r="L95" s="61"/>
      <c r="M95" s="61"/>
    </row>
    <row r="96" spans="1:13" ht="57.95">
      <c r="A96" s="29" t="str">
        <v>Wildflower</v>
      </c>
      <c r="B96" s="26" t="str">
        <v>NY</v>
      </c>
      <c r="C96" s="26" t="str">
        <f>Sites[[#This Row],[SOL'#]]</f>
        <v>SOL-10982</v>
      </c>
      <c r="D96" s="21">
        <v>1103072</v>
      </c>
      <c r="E96" s="11">
        <v>0</v>
      </c>
      <c r="F96" s="11">
        <f t="shared" si="6"/>
        <v>1103072</v>
      </c>
      <c r="G96" s="12" t="str">
        <f t="shared" si="7"/>
        <v/>
      </c>
      <c r="H96" s="13">
        <v>997213</v>
      </c>
      <c r="I96" s="13">
        <f t="shared" si="8"/>
        <v>105859</v>
      </c>
      <c r="J96" s="14">
        <f t="shared" si="9"/>
        <v>0.10615485357691887</v>
      </c>
      <c r="K96" s="80"/>
      <c r="L96" s="66" t="s">
        <v>761</v>
      </c>
      <c r="M96" s="66" t="s">
        <v>762</v>
      </c>
    </row>
    <row r="97" spans="1:13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1062910</v>
      </c>
      <c r="E97" s="15">
        <v>0</v>
      </c>
      <c r="F97" s="15">
        <f t="shared" si="6"/>
        <v>1062910</v>
      </c>
      <c r="G97" s="16" t="str">
        <f t="shared" si="7"/>
        <v/>
      </c>
      <c r="H97" s="17">
        <v>1003832</v>
      </c>
      <c r="I97" s="17">
        <f t="shared" si="8"/>
        <v>59078</v>
      </c>
      <c r="J97" s="16">
        <f t="shared" si="9"/>
        <v>5.8852477306959729E-2</v>
      </c>
      <c r="K97" s="16">
        <v>0.99919999999999998</v>
      </c>
      <c r="L97" s="61" t="s">
        <v>763</v>
      </c>
      <c r="M97" s="61" t="s">
        <v>764</v>
      </c>
    </row>
    <row r="98" spans="1:13" ht="15.6">
      <c r="A98" s="29" t="str">
        <v>Glen Mary 2</v>
      </c>
      <c r="B98" s="26" t="str">
        <v>NY</v>
      </c>
      <c r="C98" s="26" t="str">
        <f>Sites[[#This Row],[SOL'#]]</f>
        <v>SOL-10994</v>
      </c>
      <c r="D98" s="21">
        <v>469824</v>
      </c>
      <c r="E98" s="11">
        <v>0</v>
      </c>
      <c r="F98" s="11">
        <f t="shared" si="6"/>
        <v>469824</v>
      </c>
      <c r="G98" s="12" t="str">
        <f t="shared" si="7"/>
        <v/>
      </c>
      <c r="H98" s="13">
        <v>427757.55</v>
      </c>
      <c r="I98" s="13">
        <f t="shared" si="8"/>
        <v>42066.450000000012</v>
      </c>
      <c r="J98" s="14">
        <f t="shared" si="9"/>
        <v>9.834180600669705E-2</v>
      </c>
      <c r="K98" s="80">
        <v>1</v>
      </c>
      <c r="L98" s="66" t="s">
        <v>765</v>
      </c>
      <c r="M98" s="66" t="s">
        <v>766</v>
      </c>
    </row>
    <row r="99" spans="1:13" ht="29.1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420287</v>
      </c>
      <c r="E99" s="15">
        <v>0</v>
      </c>
      <c r="F99" s="15">
        <f t="shared" si="6"/>
        <v>420287</v>
      </c>
      <c r="G99" s="16" t="str">
        <f t="shared" si="7"/>
        <v/>
      </c>
      <c r="H99" s="17">
        <v>751810.92</v>
      </c>
      <c r="I99" s="17">
        <f t="shared" si="8"/>
        <v>-331523.92000000004</v>
      </c>
      <c r="J99" s="16">
        <f t="shared" si="9"/>
        <v>-0.44096715168755468</v>
      </c>
      <c r="K99" s="16">
        <v>0.59020000000000006</v>
      </c>
      <c r="L99" s="86" t="s">
        <v>767</v>
      </c>
      <c r="M99" s="61" t="s">
        <v>768</v>
      </c>
    </row>
    <row r="100" spans="1:13" ht="15.6">
      <c r="A100" s="29" t="str">
        <v>Telegraph 2</v>
      </c>
      <c r="B100" s="26" t="str">
        <v>NY</v>
      </c>
      <c r="C100" s="26" t="str">
        <f>Sites[[#This Row],[SOL'#]]</f>
        <v>SOL-11004</v>
      </c>
      <c r="D100" s="21">
        <v>430072</v>
      </c>
      <c r="E100" s="11">
        <v>0</v>
      </c>
      <c r="F100" s="11">
        <f t="shared" si="6"/>
        <v>430072</v>
      </c>
      <c r="G100" s="12" t="str">
        <f t="shared" si="7"/>
        <v/>
      </c>
      <c r="H100" s="13">
        <v>392102.19</v>
      </c>
      <c r="I100" s="13">
        <f t="shared" si="8"/>
        <v>37969.81</v>
      </c>
      <c r="J100" s="14">
        <f t="shared" si="9"/>
        <v>9.683651601129796E-2</v>
      </c>
      <c r="K100" s="80">
        <v>1</v>
      </c>
      <c r="L100" s="66" t="s">
        <v>769</v>
      </c>
      <c r="M100" s="66" t="s">
        <v>770</v>
      </c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213590</v>
      </c>
      <c r="E101" s="15">
        <v>0</v>
      </c>
      <c r="F101" s="15">
        <f t="shared" si="6"/>
        <v>213590</v>
      </c>
      <c r="G101" s="16" t="str">
        <f t="shared" si="7"/>
        <v/>
      </c>
      <c r="H101" s="17">
        <v>1016043.66</v>
      </c>
      <c r="I101" s="17">
        <f t="shared" si="8"/>
        <v>-802453.66</v>
      </c>
      <c r="J101" s="16">
        <f t="shared" si="9"/>
        <v>-0.78978265559966199</v>
      </c>
      <c r="K101" s="16">
        <v>1</v>
      </c>
      <c r="L101" s="61" t="s">
        <v>771</v>
      </c>
      <c r="M101" s="61" t="s">
        <v>772</v>
      </c>
    </row>
    <row r="102" spans="1:13" ht="43.5">
      <c r="A102" s="29" t="str">
        <v>Dunkleman</v>
      </c>
      <c r="B102" s="26" t="str">
        <v>NY</v>
      </c>
      <c r="C102" s="26" t="str">
        <f>Sites[[#This Row],[SOL'#]]</f>
        <v>SOL-11008</v>
      </c>
      <c r="D102" s="21">
        <v>418740</v>
      </c>
      <c r="E102" s="11">
        <v>0</v>
      </c>
      <c r="F102" s="11">
        <f t="shared" si="6"/>
        <v>418740</v>
      </c>
      <c r="G102" s="12" t="str">
        <f t="shared" si="7"/>
        <v/>
      </c>
      <c r="H102" s="13">
        <v>1309644.67</v>
      </c>
      <c r="I102" s="13">
        <f t="shared" si="8"/>
        <v>-890904.66999999993</v>
      </c>
      <c r="J102" s="14">
        <f t="shared" si="9"/>
        <v>-0.68026441859225828</v>
      </c>
      <c r="K102" s="80">
        <v>0.99650000000000005</v>
      </c>
      <c r="L102" s="66" t="s">
        <v>773</v>
      </c>
      <c r="M102" s="66" t="s">
        <v>774</v>
      </c>
    </row>
    <row r="103" spans="1:13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550197</v>
      </c>
      <c r="E103" s="15">
        <v>0</v>
      </c>
      <c r="F103" s="15">
        <f t="shared" si="6"/>
        <v>550197</v>
      </c>
      <c r="G103" s="16" t="str">
        <f t="shared" si="7"/>
        <v/>
      </c>
      <c r="H103" s="17">
        <v>530203.52</v>
      </c>
      <c r="I103" s="17">
        <f t="shared" si="8"/>
        <v>19993.479999999981</v>
      </c>
      <c r="J103" s="16">
        <f t="shared" si="9"/>
        <v>3.7709066888126246E-2</v>
      </c>
      <c r="K103" s="16">
        <v>0.99950000000000006</v>
      </c>
      <c r="L103" s="115" t="s">
        <v>775</v>
      </c>
      <c r="M103" s="61" t="s">
        <v>776</v>
      </c>
    </row>
    <row r="104" spans="1:13" ht="29.1">
      <c r="A104" s="29" t="str">
        <v>Route 19 2</v>
      </c>
      <c r="B104" s="26" t="str">
        <v>NY</v>
      </c>
      <c r="C104" s="26" t="str">
        <f>Sites[[#This Row],[SOL'#]]</f>
        <v>SOL-11002</v>
      </c>
      <c r="D104" s="21">
        <v>1302922</v>
      </c>
      <c r="E104" s="11">
        <v>0</v>
      </c>
      <c r="F104" s="11">
        <f t="shared" si="6"/>
        <v>1302922</v>
      </c>
      <c r="G104" s="12" t="str">
        <f t="shared" si="7"/>
        <v/>
      </c>
      <c r="H104" s="13">
        <v>1312551.3899999999</v>
      </c>
      <c r="I104" s="13">
        <f t="shared" si="8"/>
        <v>-9629.3899999998976</v>
      </c>
      <c r="J104" s="14">
        <f t="shared" si="9"/>
        <v>-7.3363908440947966E-3</v>
      </c>
      <c r="K104" s="80">
        <v>0.99970000000000003</v>
      </c>
      <c r="L104" s="66" t="s">
        <v>777</v>
      </c>
      <c r="M104" s="66" t="s">
        <v>778</v>
      </c>
    </row>
    <row r="105" spans="1:13" ht="57.95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171287</v>
      </c>
      <c r="E105" s="15">
        <v>0</v>
      </c>
      <c r="F105" s="15">
        <f t="shared" si="6"/>
        <v>171287</v>
      </c>
      <c r="G105" s="16" t="str">
        <f t="shared" si="7"/>
        <v/>
      </c>
      <c r="H105" s="17">
        <v>436721.21</v>
      </c>
      <c r="I105" s="17">
        <f t="shared" si="8"/>
        <v>-265434.21000000002</v>
      </c>
      <c r="J105" s="16">
        <f t="shared" si="9"/>
        <v>-0.6077886851430917</v>
      </c>
      <c r="K105" s="16">
        <v>0.88790000000000002</v>
      </c>
      <c r="L105" s="61" t="s">
        <v>779</v>
      </c>
      <c r="M105" s="61" t="s">
        <v>780</v>
      </c>
    </row>
    <row r="106" spans="1:13" ht="43.5">
      <c r="A106" s="29" t="str">
        <v>Yellow Mills 2</v>
      </c>
      <c r="B106" s="26" t="str">
        <v>NY</v>
      </c>
      <c r="C106" s="26" t="str">
        <f>Sites[[#This Row],[SOL'#]]</f>
        <v>SOL-11005</v>
      </c>
      <c r="D106" s="21">
        <v>453983</v>
      </c>
      <c r="E106" s="11">
        <v>0</v>
      </c>
      <c r="F106" s="11">
        <f t="shared" si="6"/>
        <v>453983</v>
      </c>
      <c r="G106" s="12" t="str">
        <f t="shared" si="7"/>
        <v/>
      </c>
      <c r="H106" s="13">
        <v>452783.29</v>
      </c>
      <c r="I106" s="13">
        <f t="shared" si="8"/>
        <v>1199.710000000021</v>
      </c>
      <c r="J106" s="14">
        <f t="shared" si="9"/>
        <v>2.6496340004067312E-3</v>
      </c>
      <c r="K106" s="80">
        <v>1</v>
      </c>
      <c r="L106" s="66" t="s">
        <v>781</v>
      </c>
      <c r="M106" s="66" t="s">
        <v>782</v>
      </c>
    </row>
    <row r="107" spans="1:13" ht="43.5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427641</v>
      </c>
      <c r="E107" s="15">
        <v>0</v>
      </c>
      <c r="F107" s="15">
        <f t="shared" si="6"/>
        <v>427641</v>
      </c>
      <c r="G107" s="16" t="str">
        <f t="shared" si="7"/>
        <v/>
      </c>
      <c r="H107" s="17">
        <v>430801.83</v>
      </c>
      <c r="I107" s="17">
        <f t="shared" si="8"/>
        <v>-3160.8300000000163</v>
      </c>
      <c r="J107" s="16">
        <f t="shared" si="9"/>
        <v>-7.3370858243569119E-3</v>
      </c>
      <c r="K107" s="16">
        <v>1</v>
      </c>
      <c r="L107" s="61" t="s">
        <v>783</v>
      </c>
      <c r="M107" s="61" t="s">
        <v>784</v>
      </c>
    </row>
    <row r="108" spans="1:13" ht="15.6">
      <c r="A108" s="29" t="str">
        <v>Catskill</v>
      </c>
      <c r="B108" s="26" t="str">
        <v>NY</v>
      </c>
      <c r="C108" s="26" t="str">
        <f>Sites[[#This Row],[SOL'#]]</f>
        <v>SOL-11021</v>
      </c>
      <c r="D108" s="21">
        <v>835400</v>
      </c>
      <c r="E108" s="11">
        <v>0</v>
      </c>
      <c r="F108" s="11">
        <f t="shared" si="6"/>
        <v>835400</v>
      </c>
      <c r="G108" s="12" t="str">
        <f t="shared" si="7"/>
        <v/>
      </c>
      <c r="H108" s="13">
        <v>787764.07</v>
      </c>
      <c r="I108" s="13">
        <f t="shared" si="8"/>
        <v>47635.930000000051</v>
      </c>
      <c r="J108" s="14">
        <f t="shared" si="9"/>
        <v>6.0469792688057043E-2</v>
      </c>
      <c r="K108" s="80">
        <v>1</v>
      </c>
      <c r="L108" s="66" t="s">
        <v>785</v>
      </c>
      <c r="M108" s="66" t="s">
        <v>786</v>
      </c>
    </row>
    <row r="109" spans="1:13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658512</v>
      </c>
      <c r="E109" s="15">
        <v>0</v>
      </c>
      <c r="F109" s="15">
        <f t="shared" si="6"/>
        <v>658512</v>
      </c>
      <c r="G109" s="16" t="str">
        <f t="shared" si="7"/>
        <v/>
      </c>
      <c r="H109" s="17">
        <v>652000</v>
      </c>
      <c r="I109" s="17">
        <f t="shared" si="8"/>
        <v>6512</v>
      </c>
      <c r="J109" s="16">
        <f t="shared" si="9"/>
        <v>9.9877300613496929E-3</v>
      </c>
      <c r="K109" s="16">
        <v>1</v>
      </c>
      <c r="L109" s="61"/>
      <c r="M109" s="61"/>
    </row>
    <row r="110" spans="1:13" ht="29.1">
      <c r="A110" s="29" t="str">
        <v>Ridgeway #1</v>
      </c>
      <c r="B110" s="26" t="str">
        <v>NY</v>
      </c>
      <c r="C110" s="26" t="str">
        <f>Sites[[#This Row],[SOL'#]]</f>
        <v>SOL-11018</v>
      </c>
      <c r="D110" s="21">
        <v>1145292</v>
      </c>
      <c r="E110" s="11">
        <v>0</v>
      </c>
      <c r="F110" s="11">
        <f t="shared" ref="F110:F138" si="10">IF(AND(ISNUMBER(D110),ISNUMBER(E110)), D110-E110, "")</f>
        <v>1145292</v>
      </c>
      <c r="G110" s="12" t="str">
        <f t="shared" si="7"/>
        <v/>
      </c>
      <c r="H110" s="13">
        <v>1348829</v>
      </c>
      <c r="I110" s="13">
        <f t="shared" si="8"/>
        <v>-203537</v>
      </c>
      <c r="J110" s="14">
        <f t="shared" si="9"/>
        <v>-0.15089903909242758</v>
      </c>
      <c r="K110" s="80"/>
      <c r="L110" s="66" t="s">
        <v>787</v>
      </c>
      <c r="M110" s="66" t="s">
        <v>788</v>
      </c>
    </row>
    <row r="111" spans="1:13" ht="101.45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681855.86069651705</v>
      </c>
      <c r="E111" s="15">
        <v>1212691</v>
      </c>
      <c r="F111" s="15">
        <f t="shared" si="10"/>
        <v>-530835.13930348295</v>
      </c>
      <c r="G111" s="16">
        <f t="shared" ref="G111:G138" si="11">IFERROR(F111/E111, "")</f>
        <v>-0.43773322248081575</v>
      </c>
      <c r="H111" s="17">
        <v>1121380</v>
      </c>
      <c r="I111" s="17">
        <f t="shared" ref="I111:I144" si="12">IF(AND(ISNUMBER(D111),ISNUMBER(H111)), D111-H111, "")</f>
        <v>-439524.13930348295</v>
      </c>
      <c r="J111" s="16">
        <f t="shared" ref="J111:J144" si="13">IFERROR(I111/H111, "")</f>
        <v>-0.39194932966833984</v>
      </c>
      <c r="K111" s="16">
        <v>0.94285359999999996</v>
      </c>
      <c r="L111" s="61" t="s">
        <v>789</v>
      </c>
      <c r="M111" s="61" t="s">
        <v>790</v>
      </c>
    </row>
    <row r="112" spans="1:13" ht="15.6">
      <c r="A112" s="29" t="str">
        <v>Rivard 2</v>
      </c>
      <c r="B112" s="26" t="str">
        <v>NY</v>
      </c>
      <c r="C112" s="26" t="str">
        <f>Sites[[#This Row],[SOL'#]]</f>
        <v>SOL-11012</v>
      </c>
      <c r="D112" s="21">
        <v>1147854.1850000001</v>
      </c>
      <c r="E112" s="11">
        <v>1135557</v>
      </c>
      <c r="F112" s="11">
        <f t="shared" si="10"/>
        <v>12297.185000000056</v>
      </c>
      <c r="G112" s="12">
        <f t="shared" si="11"/>
        <v>1.0829209806288945E-2</v>
      </c>
      <c r="H112" s="13">
        <v>1081685</v>
      </c>
      <c r="I112" s="13">
        <f t="shared" si="12"/>
        <v>66169.185000000056</v>
      </c>
      <c r="J112" s="14">
        <f t="shared" si="13"/>
        <v>6.117232373565322E-2</v>
      </c>
      <c r="K112" s="80">
        <v>0.98222509999999996</v>
      </c>
      <c r="L112" s="66" t="s">
        <v>791</v>
      </c>
      <c r="M112" s="66" t="s">
        <v>792</v>
      </c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4433</v>
      </c>
      <c r="E113" s="15">
        <v>6188.817</v>
      </c>
      <c r="F113" s="15">
        <f t="shared" si="10"/>
        <v>-1755.817</v>
      </c>
      <c r="G113" s="16">
        <f t="shared" si="11"/>
        <v>-0.28370801721879968</v>
      </c>
      <c r="H113" s="17">
        <v>5340.6440000000002</v>
      </c>
      <c r="I113" s="17">
        <f t="shared" si="12"/>
        <v>-907.64400000000023</v>
      </c>
      <c r="J113" s="16">
        <f t="shared" si="13"/>
        <v>-0.16995029063910649</v>
      </c>
      <c r="K113" s="16">
        <v>1</v>
      </c>
      <c r="L113" s="61"/>
      <c r="M113" s="61"/>
    </row>
    <row r="114" spans="1:13" ht="29.1">
      <c r="A114" s="29" t="str">
        <v>Temple Sinai</v>
      </c>
      <c r="B114" s="26" t="str">
        <v>DC</v>
      </c>
      <c r="C114" s="26" t="str">
        <f>Sites[[#This Row],[SOL'#]]</f>
        <v>SOL-10028</v>
      </c>
      <c r="D114" s="21">
        <v>10852.5600000001</v>
      </c>
      <c r="E114" s="11">
        <v>14678.02</v>
      </c>
      <c r="F114" s="11">
        <f t="shared" si="10"/>
        <v>-3825.4599999999009</v>
      </c>
      <c r="G114" s="12">
        <f t="shared" si="11"/>
        <v>-0.26062507068391383</v>
      </c>
      <c r="H114" s="13">
        <v>12433.28</v>
      </c>
      <c r="I114" s="13">
        <f t="shared" si="12"/>
        <v>-1580.7199999999011</v>
      </c>
      <c r="J114" s="14">
        <f t="shared" si="13"/>
        <v>-0.12713620219281646</v>
      </c>
      <c r="K114" s="80">
        <v>1</v>
      </c>
      <c r="L114" s="66" t="s">
        <v>793</v>
      </c>
      <c r="M114" s="66" t="s">
        <v>646</v>
      </c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1771</v>
      </c>
      <c r="E115" s="15">
        <v>1869</v>
      </c>
      <c r="F115" s="15">
        <f t="shared" si="10"/>
        <v>-98</v>
      </c>
      <c r="G115" s="16">
        <f t="shared" si="11"/>
        <v>-5.2434456928838954E-2</v>
      </c>
      <c r="H115" s="17">
        <v>1924</v>
      </c>
      <c r="I115" s="17">
        <f t="shared" si="12"/>
        <v>-153</v>
      </c>
      <c r="J115" s="16">
        <f t="shared" si="13"/>
        <v>-7.9521829521829526E-2</v>
      </c>
      <c r="K115" s="16"/>
      <c r="L115" s="61"/>
      <c r="M115" s="61"/>
    </row>
    <row r="116" spans="1:13" ht="15.6">
      <c r="A116" s="29" t="str">
        <v>Weinberg 2</v>
      </c>
      <c r="B116" s="26" t="str">
        <v>DC</v>
      </c>
      <c r="C116" s="26" t="str">
        <f>Sites[[#This Row],[SOL'#]]</f>
        <v>SOL-10045</v>
      </c>
      <c r="D116" s="21">
        <v>1575</v>
      </c>
      <c r="E116" s="11">
        <v>1627</v>
      </c>
      <c r="F116" s="11">
        <f t="shared" si="10"/>
        <v>-52</v>
      </c>
      <c r="G116" s="12">
        <f t="shared" si="11"/>
        <v>-3.196066379840197E-2</v>
      </c>
      <c r="H116" s="13">
        <v>1942</v>
      </c>
      <c r="I116" s="13">
        <f t="shared" si="12"/>
        <v>-367</v>
      </c>
      <c r="J116" s="14">
        <f t="shared" si="13"/>
        <v>-0.18898043254376931</v>
      </c>
      <c r="K116" s="80"/>
      <c r="L116" s="66"/>
      <c r="M116" s="66"/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1961</v>
      </c>
      <c r="E117" s="15">
        <v>1896</v>
      </c>
      <c r="F117" s="15">
        <f t="shared" si="10"/>
        <v>65</v>
      </c>
      <c r="G117" s="16">
        <f t="shared" si="11"/>
        <v>3.4282700421940926E-2</v>
      </c>
      <c r="H117" s="17">
        <v>1942</v>
      </c>
      <c r="I117" s="17">
        <f t="shared" si="12"/>
        <v>19</v>
      </c>
      <c r="J117" s="16">
        <f t="shared" si="13"/>
        <v>9.7837281153450046E-3</v>
      </c>
      <c r="K117" s="16"/>
      <c r="L117" s="61"/>
      <c r="M117" s="61"/>
    </row>
    <row r="118" spans="1:13" ht="15.6">
      <c r="A118" s="29" t="str">
        <v>Clayton Hall</v>
      </c>
      <c r="B118" s="26" t="str">
        <v>DE</v>
      </c>
      <c r="C118" s="26" t="str">
        <f>Sites[[#This Row],[SOL'#]]</f>
        <v>SOL-10820</v>
      </c>
      <c r="D118" s="21">
        <v>22981</v>
      </c>
      <c r="E118" s="11">
        <v>25723</v>
      </c>
      <c r="F118" s="11">
        <f t="shared" si="10"/>
        <v>-2742</v>
      </c>
      <c r="G118" s="12">
        <f t="shared" si="11"/>
        <v>-0.1065972087237103</v>
      </c>
      <c r="H118" s="13">
        <v>20255</v>
      </c>
      <c r="I118" s="13">
        <f t="shared" si="12"/>
        <v>2726</v>
      </c>
      <c r="J118" s="14">
        <f t="shared" si="13"/>
        <v>0.13458405332016787</v>
      </c>
      <c r="K118" s="80"/>
      <c r="L118" s="66"/>
      <c r="M118" s="66"/>
    </row>
    <row r="119" spans="1:13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57449</v>
      </c>
      <c r="E119" s="15">
        <v>0</v>
      </c>
      <c r="F119" s="15">
        <f t="shared" si="10"/>
        <v>57449</v>
      </c>
      <c r="G119" s="16" t="str">
        <f t="shared" si="11"/>
        <v/>
      </c>
      <c r="H119" s="17">
        <v>49697</v>
      </c>
      <c r="I119" s="17">
        <f t="shared" si="12"/>
        <v>7752</v>
      </c>
      <c r="J119" s="16">
        <f t="shared" si="13"/>
        <v>0.15598527074068858</v>
      </c>
      <c r="K119" s="16"/>
      <c r="L119" s="61"/>
      <c r="M119" s="61"/>
    </row>
    <row r="120" spans="1:13" ht="15.6">
      <c r="A120" s="29" t="str">
        <v>Wyoming Road</v>
      </c>
      <c r="B120" s="26" t="str">
        <v>DE</v>
      </c>
      <c r="C120" s="26" t="str">
        <f>Sites[[#This Row],[SOL'#]]</f>
        <v>SOL-10819</v>
      </c>
      <c r="D120" s="21">
        <v>16769</v>
      </c>
      <c r="E120" s="11">
        <v>39289</v>
      </c>
      <c r="F120" s="11">
        <f t="shared" si="10"/>
        <v>-22520</v>
      </c>
      <c r="G120" s="12">
        <f t="shared" si="11"/>
        <v>-0.57318842424088168</v>
      </c>
      <c r="H120" s="13">
        <v>39229</v>
      </c>
      <c r="I120" s="13">
        <f t="shared" si="12"/>
        <v>-22460</v>
      </c>
      <c r="J120" s="14">
        <f t="shared" si="13"/>
        <v>-0.57253562415559922</v>
      </c>
      <c r="K120" s="80"/>
      <c r="L120" s="66" t="s">
        <v>794</v>
      </c>
      <c r="M120" s="66" t="s">
        <v>795</v>
      </c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13697</v>
      </c>
      <c r="E121" s="15">
        <v>12360</v>
      </c>
      <c r="F121" s="15">
        <f t="shared" si="10"/>
        <v>1337</v>
      </c>
      <c r="G121" s="16">
        <f t="shared" si="11"/>
        <v>0.10817152103559871</v>
      </c>
      <c r="H121" s="17">
        <v>14384</v>
      </c>
      <c r="I121" s="17">
        <f t="shared" si="12"/>
        <v>-687</v>
      </c>
      <c r="J121" s="16">
        <f t="shared" si="13"/>
        <v>-4.7761401557285872E-2</v>
      </c>
      <c r="K121" s="16"/>
      <c r="L121" s="61"/>
      <c r="M121" s="61"/>
    </row>
    <row r="122" spans="1:13" ht="15.6">
      <c r="A122" s="29" t="str">
        <v>Waipahu</v>
      </c>
      <c r="B122" s="26" t="str">
        <v>HI</v>
      </c>
      <c r="C122" s="26" t="str">
        <f>Sites[[#This Row],[SOL'#]]</f>
        <v>SOL-10068</v>
      </c>
      <c r="D122" s="21">
        <v>13835</v>
      </c>
      <c r="E122" s="11">
        <v>11159</v>
      </c>
      <c r="F122" s="11">
        <f t="shared" si="10"/>
        <v>2676</v>
      </c>
      <c r="G122" s="12">
        <f t="shared" si="11"/>
        <v>0.23980643426830361</v>
      </c>
      <c r="H122" s="13">
        <v>14384</v>
      </c>
      <c r="I122" s="13">
        <f t="shared" si="12"/>
        <v>-549</v>
      </c>
      <c r="J122" s="14">
        <f t="shared" si="13"/>
        <v>-3.8167408231368188E-2</v>
      </c>
      <c r="K122" s="80"/>
      <c r="L122" s="66"/>
      <c r="M122" s="66"/>
    </row>
    <row r="123" spans="1:13" ht="29.1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171210</v>
      </c>
      <c r="E123" s="15">
        <v>182750</v>
      </c>
      <c r="F123" s="15">
        <f t="shared" si="10"/>
        <v>-11540</v>
      </c>
      <c r="G123" s="16">
        <f t="shared" si="11"/>
        <v>-6.3146374829001373E-2</v>
      </c>
      <c r="H123" s="17">
        <v>186484</v>
      </c>
      <c r="I123" s="17">
        <f t="shared" si="12"/>
        <v>-15274</v>
      </c>
      <c r="J123" s="16">
        <f t="shared" si="13"/>
        <v>-8.1905150039681685E-2</v>
      </c>
      <c r="K123" s="16"/>
      <c r="L123" s="61" t="s">
        <v>796</v>
      </c>
      <c r="M123" s="61" t="s">
        <v>797</v>
      </c>
    </row>
    <row r="124" spans="1:13" ht="15.6">
      <c r="A124" s="29" t="str">
        <v>Shortal</v>
      </c>
      <c r="B124" s="26" t="str">
        <v>MD</v>
      </c>
      <c r="C124" s="26" t="str">
        <f>Sites[[#This Row],[SOL'#]]</f>
        <v>SOL-10091</v>
      </c>
      <c r="D124" s="21">
        <v>188633</v>
      </c>
      <c r="E124" s="11">
        <v>196020.05499999999</v>
      </c>
      <c r="F124" s="11">
        <f t="shared" si="10"/>
        <v>-7387.054999999993</v>
      </c>
      <c r="G124" s="12">
        <f t="shared" si="11"/>
        <v>-3.7685200118936772E-2</v>
      </c>
      <c r="H124" s="13">
        <v>160073</v>
      </c>
      <c r="I124" s="13">
        <f t="shared" si="12"/>
        <v>28560</v>
      </c>
      <c r="J124" s="14">
        <f t="shared" si="13"/>
        <v>0.17841859651533987</v>
      </c>
      <c r="K124" s="80"/>
      <c r="L124" s="66"/>
      <c r="M124" s="66"/>
    </row>
    <row r="125" spans="1:13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22184</v>
      </c>
      <c r="E125" s="15">
        <v>19035.078000000001</v>
      </c>
      <c r="F125" s="15">
        <f t="shared" si="10"/>
        <v>3148.9219999999987</v>
      </c>
      <c r="G125" s="16">
        <f t="shared" si="11"/>
        <v>0.16542732317671607</v>
      </c>
      <c r="H125" s="17">
        <v>23213</v>
      </c>
      <c r="I125" s="17">
        <f t="shared" si="12"/>
        <v>-1029</v>
      </c>
      <c r="J125" s="16">
        <f t="shared" si="13"/>
        <v>-4.4328608969112136E-2</v>
      </c>
      <c r="K125" s="16"/>
      <c r="L125" s="61"/>
      <c r="M125" s="61"/>
    </row>
    <row r="126" spans="1:13" ht="15.6">
      <c r="A126" s="29" t="str">
        <v>Bayamon</v>
      </c>
      <c r="B126" s="26" t="str">
        <v>PR</v>
      </c>
      <c r="C126" s="26" t="str">
        <f>Sites[[#This Row],[SOL'#]]</f>
        <v>SOL-10073</v>
      </c>
      <c r="D126" s="21">
        <v>74219</v>
      </c>
      <c r="E126" s="11">
        <v>73608.009999999995</v>
      </c>
      <c r="F126" s="11">
        <f t="shared" si="10"/>
        <v>610.99000000000524</v>
      </c>
      <c r="G126" s="12">
        <f t="shared" si="11"/>
        <v>8.3005911992459144E-3</v>
      </c>
      <c r="H126" s="13">
        <v>86974</v>
      </c>
      <c r="I126" s="13">
        <f t="shared" si="12"/>
        <v>-12755</v>
      </c>
      <c r="J126" s="14">
        <f t="shared" si="13"/>
        <v>-0.14665302274242878</v>
      </c>
      <c r="K126" s="80"/>
      <c r="L126" s="66" t="s">
        <v>798</v>
      </c>
      <c r="M126" s="66" t="s">
        <v>799</v>
      </c>
    </row>
    <row r="127" spans="1:13" ht="198.75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27397</v>
      </c>
      <c r="E127" s="15">
        <v>59876.385000000002</v>
      </c>
      <c r="F127" s="15">
        <f t="shared" si="10"/>
        <v>-32479.385000000002</v>
      </c>
      <c r="G127" s="16">
        <f t="shared" si="11"/>
        <v>-0.54244064667564684</v>
      </c>
      <c r="H127" s="17">
        <v>44155</v>
      </c>
      <c r="I127" s="17">
        <f t="shared" si="12"/>
        <v>-16758</v>
      </c>
      <c r="J127" s="16">
        <f t="shared" si="13"/>
        <v>-0.37952666742158309</v>
      </c>
      <c r="K127" s="16"/>
      <c r="L127" s="61" t="s">
        <v>800</v>
      </c>
      <c r="M127" s="61" t="s">
        <v>801</v>
      </c>
    </row>
    <row r="128" spans="1:13" ht="15.6">
      <c r="A128" s="29" t="str">
        <v>Seaport</v>
      </c>
      <c r="B128" s="26" t="str">
        <v>MA</v>
      </c>
      <c r="C128" s="26" t="str">
        <f>Sites[[#This Row],[SOL'#]]</f>
        <v>SOL-10772</v>
      </c>
      <c r="D128" s="21">
        <v>77897</v>
      </c>
      <c r="E128" s="11">
        <v>74970.854999999996</v>
      </c>
      <c r="F128" s="11">
        <f t="shared" si="10"/>
        <v>2926.1450000000041</v>
      </c>
      <c r="G128" s="12">
        <f t="shared" si="11"/>
        <v>3.903043389327765E-2</v>
      </c>
      <c r="H128" s="13">
        <v>89506</v>
      </c>
      <c r="I128" s="13">
        <f t="shared" si="12"/>
        <v>-11609</v>
      </c>
      <c r="J128" s="14">
        <f t="shared" si="13"/>
        <v>-0.12970080218085939</v>
      </c>
      <c r="K128" s="80"/>
      <c r="L128" s="66"/>
      <c r="M128" s="66"/>
    </row>
    <row r="129" spans="1:13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175135</v>
      </c>
      <c r="E129" s="15">
        <v>177357.96</v>
      </c>
      <c r="F129" s="15">
        <f t="shared" si="10"/>
        <v>-2222.9599999999919</v>
      </c>
      <c r="G129" s="16">
        <f t="shared" si="11"/>
        <v>-1.2533748132872028E-2</v>
      </c>
      <c r="H129" s="17">
        <v>200777</v>
      </c>
      <c r="I129" s="17">
        <f t="shared" si="12"/>
        <v>-25642</v>
      </c>
      <c r="J129" s="16">
        <f t="shared" si="13"/>
        <v>-0.12771383176359841</v>
      </c>
      <c r="K129" s="16"/>
      <c r="L129" s="61" t="s">
        <v>802</v>
      </c>
      <c r="M129" s="61" t="s">
        <v>803</v>
      </c>
    </row>
    <row r="130" spans="1:13" ht="57.95">
      <c r="A130" s="29" t="str">
        <v>Summer St</v>
      </c>
      <c r="B130" s="26" t="str">
        <v>MA</v>
      </c>
      <c r="C130" s="26" t="str">
        <f>Sites[[#This Row],[SOL'#]]</f>
        <v>SOL-10764</v>
      </c>
      <c r="D130" s="21">
        <v>355272</v>
      </c>
      <c r="E130" s="11">
        <v>376260.12300000002</v>
      </c>
      <c r="F130" s="11">
        <f t="shared" si="10"/>
        <v>-20988.123000000021</v>
      </c>
      <c r="G130" s="12">
        <f t="shared" si="11"/>
        <v>-5.5780885927154231E-2</v>
      </c>
      <c r="H130" s="13">
        <v>426307</v>
      </c>
      <c r="I130" s="13">
        <f t="shared" si="12"/>
        <v>-71035</v>
      </c>
      <c r="J130" s="14">
        <f t="shared" si="13"/>
        <v>-0.16662874407410622</v>
      </c>
      <c r="K130" s="80"/>
      <c r="L130" s="66" t="s">
        <v>804</v>
      </c>
      <c r="M130" s="66" t="s">
        <v>805</v>
      </c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18170.121999999999</v>
      </c>
      <c r="E131" s="15">
        <v>17596.841</v>
      </c>
      <c r="F131" s="15">
        <f t="shared" si="10"/>
        <v>573.28099999999904</v>
      </c>
      <c r="G131" s="16">
        <f t="shared" si="11"/>
        <v>3.2578631585066832E-2</v>
      </c>
      <c r="H131" s="17">
        <v>13796</v>
      </c>
      <c r="I131" s="17">
        <f t="shared" si="12"/>
        <v>4374.1219999999994</v>
      </c>
      <c r="J131" s="16">
        <f t="shared" si="13"/>
        <v>0.31705726297477527</v>
      </c>
      <c r="K131" s="16"/>
      <c r="M131" s="61"/>
    </row>
    <row r="132" spans="1:13" ht="15.6">
      <c r="A132" s="29" t="str">
        <v>McClelland ES</v>
      </c>
      <c r="B132" s="26" t="str">
        <v>NH</v>
      </c>
      <c r="C132" s="26" t="str">
        <f>Sites[[#This Row],[SOL'#]]</f>
        <v>SOL-10766</v>
      </c>
      <c r="D132" s="21">
        <v>13283.218999999999</v>
      </c>
      <c r="E132" s="11">
        <v>14125.928</v>
      </c>
      <c r="F132" s="11">
        <f t="shared" si="10"/>
        <v>-842.70900000000074</v>
      </c>
      <c r="G132" s="12">
        <f t="shared" si="11"/>
        <v>-5.9656894754100458E-2</v>
      </c>
      <c r="H132" s="13">
        <v>10078</v>
      </c>
      <c r="I132" s="13">
        <f t="shared" si="12"/>
        <v>3205.2189999999991</v>
      </c>
      <c r="J132" s="14">
        <f t="shared" si="13"/>
        <v>0.3180411788053184</v>
      </c>
      <c r="K132" s="80"/>
      <c r="L132" s="89"/>
      <c r="M132" s="66"/>
    </row>
    <row r="133" spans="1:13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11698.188</v>
      </c>
      <c r="E133" s="15">
        <v>8345.1129999999994</v>
      </c>
      <c r="F133" s="15">
        <f t="shared" si="10"/>
        <v>3353.0750000000007</v>
      </c>
      <c r="G133" s="16">
        <f t="shared" si="11"/>
        <v>0.40180103013584129</v>
      </c>
      <c r="H133" s="17">
        <v>9993</v>
      </c>
      <c r="I133" s="17">
        <f t="shared" si="12"/>
        <v>1705.1880000000001</v>
      </c>
      <c r="J133" s="16">
        <f t="shared" si="13"/>
        <v>0.17063824677274092</v>
      </c>
      <c r="K133" s="16"/>
      <c r="L133" s="61"/>
      <c r="M133" s="61"/>
    </row>
    <row r="134" spans="1:13" ht="15.6">
      <c r="A134" s="29" t="str">
        <v>Portsmouth HS</v>
      </c>
      <c r="B134" s="26" t="str">
        <v>NH</v>
      </c>
      <c r="C134" s="26" t="str">
        <f>Sites[[#This Row],[SOL'#]]</f>
        <v>SOL-10769</v>
      </c>
      <c r="D134" s="21">
        <v>42001</v>
      </c>
      <c r="E134" s="11">
        <v>39078.904000000002</v>
      </c>
      <c r="F134" s="11">
        <f t="shared" si="10"/>
        <v>2922.0959999999977</v>
      </c>
      <c r="G134" s="12">
        <f t="shared" si="11"/>
        <v>7.4774256719175078E-2</v>
      </c>
      <c r="H134" s="13">
        <v>37065</v>
      </c>
      <c r="I134" s="13">
        <f t="shared" si="12"/>
        <v>4936</v>
      </c>
      <c r="J134" s="14">
        <f t="shared" si="13"/>
        <v>0.13317145555105894</v>
      </c>
      <c r="K134" s="80"/>
      <c r="L134" s="66"/>
      <c r="M134" s="66"/>
    </row>
    <row r="135" spans="1:13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30680</v>
      </c>
      <c r="E135" s="15">
        <v>39020.446000000004</v>
      </c>
      <c r="F135" s="15">
        <f t="shared" si="10"/>
        <v>-8340.4460000000036</v>
      </c>
      <c r="G135" s="16">
        <f t="shared" si="11"/>
        <v>-0.21374553227812934</v>
      </c>
      <c r="H135" s="17">
        <v>32008</v>
      </c>
      <c r="I135" s="17">
        <f t="shared" si="12"/>
        <v>-1328</v>
      </c>
      <c r="J135" s="84">
        <f t="shared" si="13"/>
        <v>-4.1489627593101722E-2</v>
      </c>
      <c r="K135" s="16"/>
      <c r="L135" s="61" t="s">
        <v>657</v>
      </c>
      <c r="M135" s="61" t="s">
        <v>658</v>
      </c>
    </row>
    <row r="136" spans="1:13" ht="15.6">
      <c r="A136" s="29" t="str">
        <v>Rochester St</v>
      </c>
      <c r="B136" s="26" t="str">
        <v>NH</v>
      </c>
      <c r="C136" s="26" t="str">
        <f>Sites[[#This Row],[SOL'#]]</f>
        <v>SOL-10765</v>
      </c>
      <c r="D136" s="21">
        <v>38847.379000000001</v>
      </c>
      <c r="E136" s="11">
        <v>40587.976000000002</v>
      </c>
      <c r="F136" s="11">
        <f t="shared" si="10"/>
        <v>-1740.5970000000016</v>
      </c>
      <c r="G136" s="12">
        <f t="shared" si="11"/>
        <v>-4.2884547876937774E-2</v>
      </c>
      <c r="H136" s="13">
        <v>31677</v>
      </c>
      <c r="I136" s="13">
        <f t="shared" si="12"/>
        <v>7170.3790000000008</v>
      </c>
      <c r="J136" s="14">
        <f t="shared" si="13"/>
        <v>0.22635915648577834</v>
      </c>
      <c r="K136" s="80"/>
      <c r="L136" s="66"/>
      <c r="M136" s="66"/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19902.743999999999</v>
      </c>
      <c r="E137" s="15">
        <v>16581.517</v>
      </c>
      <c r="F137" s="15">
        <f t="shared" si="10"/>
        <v>3321.226999999999</v>
      </c>
      <c r="G137" s="16">
        <f t="shared" si="11"/>
        <v>0.20029693302488541</v>
      </c>
      <c r="H137" s="17">
        <v>15688</v>
      </c>
      <c r="I137" s="17">
        <f t="shared" si="12"/>
        <v>4214.7439999999988</v>
      </c>
      <c r="J137" s="16">
        <f t="shared" si="13"/>
        <v>0.26866037735849047</v>
      </c>
      <c r="K137" s="16"/>
      <c r="L137" s="61"/>
      <c r="M137" s="61"/>
    </row>
    <row r="138" spans="1:13" ht="15.6">
      <c r="A138" s="29" t="str">
        <v>Ridgeway #2</v>
      </c>
      <c r="B138" s="26" t="str">
        <v>NY</v>
      </c>
      <c r="C138" s="26" t="str">
        <f>Sites[[#This Row],[SOL'#]]</f>
        <v>SOL-11027</v>
      </c>
      <c r="D138" s="21">
        <v>676648</v>
      </c>
      <c r="E138" s="11">
        <v>0</v>
      </c>
      <c r="F138" s="11">
        <f t="shared" si="10"/>
        <v>676648</v>
      </c>
      <c r="G138" s="12" t="str">
        <f t="shared" si="11"/>
        <v/>
      </c>
      <c r="H138" s="13">
        <v>685679</v>
      </c>
      <c r="I138" s="13">
        <f t="shared" si="12"/>
        <v>-9031</v>
      </c>
      <c r="J138" s="14">
        <f t="shared" si="13"/>
        <v>-1.31708860851798E-2</v>
      </c>
      <c r="K138" s="80"/>
      <c r="L138" s="66" t="s">
        <v>806</v>
      </c>
      <c r="M138" s="66" t="s">
        <v>807</v>
      </c>
    </row>
    <row r="139" spans="1:13" ht="43.5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1303360.3999999999</v>
      </c>
      <c r="E139" s="15">
        <v>0</v>
      </c>
      <c r="F139" s="15">
        <f t="shared" ref="F139:F159" si="14">IF(AND(ISNUMBER(D139),ISNUMBER(E139)), D139-E139, "")</f>
        <v>1303360.3999999999</v>
      </c>
      <c r="G139" s="16" t="str">
        <f t="shared" ref="G139:G159" si="15">IFERROR(F139/E139, "")</f>
        <v/>
      </c>
      <c r="H139" s="17">
        <v>1310000</v>
      </c>
      <c r="I139" s="17">
        <f t="shared" si="12"/>
        <v>-6639.6000000000931</v>
      </c>
      <c r="J139" s="16">
        <f t="shared" si="13"/>
        <v>-5.0683969465649568E-3</v>
      </c>
      <c r="K139" s="16"/>
      <c r="L139" s="61" t="s">
        <v>808</v>
      </c>
      <c r="M139" s="61" t="s">
        <v>809</v>
      </c>
    </row>
    <row r="140" spans="1:13" ht="15.6">
      <c r="A140" s="29" t="str">
        <v>Reisender</v>
      </c>
      <c r="B140" s="26" t="str">
        <v>NY</v>
      </c>
      <c r="C140" s="26" t="str">
        <f>Sites[[#This Row],[SOL'#]]</f>
        <v>SOL-10886</v>
      </c>
      <c r="D140" s="21">
        <v>393490</v>
      </c>
      <c r="E140" s="11">
        <v>393626.34</v>
      </c>
      <c r="F140" s="11">
        <f t="shared" si="14"/>
        <v>-136.34000000002561</v>
      </c>
      <c r="G140" s="12">
        <f t="shared" si="15"/>
        <v>-3.4636909714940724E-4</v>
      </c>
      <c r="H140" s="13">
        <v>417219</v>
      </c>
      <c r="I140" s="13">
        <f t="shared" si="12"/>
        <v>-23729</v>
      </c>
      <c r="J140" s="14">
        <f t="shared" si="13"/>
        <v>-5.6874207550471095E-2</v>
      </c>
      <c r="K140" s="80"/>
      <c r="L140" s="66"/>
      <c r="M140" s="66"/>
    </row>
    <row r="141" spans="1:13" ht="29.1">
      <c r="A141" s="27" t="str">
        <v>Finney</v>
      </c>
      <c r="B141" s="28" t="str">
        <v>NY</v>
      </c>
      <c r="C141" s="28" t="str">
        <f>Sites[[#This Row],[SOL'#]]</f>
        <v>SOL-10999</v>
      </c>
      <c r="D141" s="10">
        <v>960330</v>
      </c>
      <c r="E141" s="15">
        <v>0</v>
      </c>
      <c r="F141" s="15">
        <f t="shared" si="14"/>
        <v>960330</v>
      </c>
      <c r="G141" s="16" t="str">
        <f t="shared" si="15"/>
        <v/>
      </c>
      <c r="H141" s="17">
        <v>1320303</v>
      </c>
      <c r="I141" s="17">
        <f t="shared" si="12"/>
        <v>-359973</v>
      </c>
      <c r="J141" s="16">
        <f t="shared" si="13"/>
        <v>-0.27264423393720988</v>
      </c>
      <c r="K141" s="16"/>
      <c r="L141" s="61" t="s">
        <v>810</v>
      </c>
      <c r="M141" s="61" t="s">
        <v>811</v>
      </c>
    </row>
    <row r="142" spans="1:13" ht="188.45">
      <c r="A142" s="29" t="str">
        <v>Davis Solar</v>
      </c>
      <c r="B142" s="26" t="str">
        <v>NY</v>
      </c>
      <c r="C142" s="26" t="str">
        <f>Sites[[#This Row],[SOL'#]]</f>
        <v>SOL-10958</v>
      </c>
      <c r="D142" s="21">
        <v>367020</v>
      </c>
      <c r="E142" s="11">
        <v>443010</v>
      </c>
      <c r="F142" s="11">
        <f t="shared" si="14"/>
        <v>-75990</v>
      </c>
      <c r="G142" s="12">
        <f t="shared" si="15"/>
        <v>-0.17153111667908175</v>
      </c>
      <c r="H142" s="13">
        <v>479574</v>
      </c>
      <c r="I142" s="13">
        <f t="shared" si="12"/>
        <v>-112554</v>
      </c>
      <c r="J142" s="14">
        <f t="shared" si="13"/>
        <v>-0.23469579251585782</v>
      </c>
      <c r="K142" s="80">
        <v>0.81201400000000001</v>
      </c>
      <c r="L142" s="89" t="s">
        <v>812</v>
      </c>
      <c r="M142" s="66" t="s">
        <v>813</v>
      </c>
    </row>
    <row r="143" spans="1:13" ht="43.5">
      <c r="A143" s="27" t="str">
        <v>Genesee</v>
      </c>
      <c r="B143" s="28" t="str">
        <v>NY</v>
      </c>
      <c r="C143" s="28" t="str">
        <f>Sites[[#This Row],[SOL'#]]</f>
        <v>SOL-10951</v>
      </c>
      <c r="D143" s="10">
        <v>968228.9</v>
      </c>
      <c r="E143" s="15">
        <v>0</v>
      </c>
      <c r="F143" s="15">
        <f t="shared" si="14"/>
        <v>968228.9</v>
      </c>
      <c r="G143" s="16" t="str">
        <f t="shared" si="15"/>
        <v/>
      </c>
      <c r="H143" s="17">
        <v>1018453</v>
      </c>
      <c r="I143" s="17">
        <f t="shared" si="12"/>
        <v>-50224.099999999977</v>
      </c>
      <c r="J143" s="16">
        <f t="shared" si="13"/>
        <v>-4.9314106787451142E-2</v>
      </c>
      <c r="K143" s="16"/>
      <c r="L143" s="61" t="s">
        <v>814</v>
      </c>
      <c r="M143" s="61" t="s">
        <v>815</v>
      </c>
    </row>
    <row r="144" spans="1:13" ht="15.6">
      <c r="A144" s="29" t="str">
        <v>Landau I</v>
      </c>
      <c r="B144" s="26" t="str">
        <v>NY</v>
      </c>
      <c r="C144" s="26" t="str">
        <f>Sites[[#This Row],[SOL'#]]</f>
        <v>SOL-10891</v>
      </c>
      <c r="D144" s="21">
        <v>385068</v>
      </c>
      <c r="E144" s="11">
        <v>0</v>
      </c>
      <c r="F144" s="11">
        <f t="shared" si="14"/>
        <v>385068</v>
      </c>
      <c r="G144" s="12" t="str">
        <f t="shared" si="15"/>
        <v/>
      </c>
      <c r="H144" s="13">
        <v>451185</v>
      </c>
      <c r="I144" s="13">
        <f t="shared" si="12"/>
        <v>-66117</v>
      </c>
      <c r="J144" s="14">
        <f t="shared" si="13"/>
        <v>-0.1465407759566475</v>
      </c>
      <c r="K144" s="80"/>
      <c r="L144" s="66" t="s">
        <v>816</v>
      </c>
      <c r="M144" s="66" t="s">
        <v>817</v>
      </c>
    </row>
    <row r="145" spans="1:13" ht="188.45">
      <c r="A145" s="27" t="str">
        <v>Landau II</v>
      </c>
      <c r="B145" s="28" t="str">
        <v>NY</v>
      </c>
      <c r="C145" s="28" t="str">
        <f>Sites[[#This Row],[SOL'#]]</f>
        <v>SOL-10895</v>
      </c>
      <c r="D145" s="10">
        <v>299660</v>
      </c>
      <c r="E145" s="15">
        <v>0</v>
      </c>
      <c r="F145" s="15"/>
      <c r="G145" s="16"/>
      <c r="H145" s="17">
        <v>945841</v>
      </c>
      <c r="I145" s="85">
        <f>IF(AND(ISNUMBER(D145),ISNUMBER(H145)), D145-H145, "")</f>
        <v>-646181</v>
      </c>
      <c r="J145" s="80">
        <f>IFERROR(I145/H145, "")</f>
        <v>-0.6831814226704066</v>
      </c>
      <c r="K145" s="16"/>
      <c r="L145" s="61" t="s">
        <v>818</v>
      </c>
      <c r="M145" s="61" t="s">
        <v>819</v>
      </c>
    </row>
    <row r="146" spans="1:13" ht="15.6">
      <c r="A146" s="29" t="str">
        <v>New Beginnings</v>
      </c>
      <c r="B146" s="26" t="str">
        <v>NY</v>
      </c>
      <c r="C146" s="26" t="str">
        <f>Sites[[#This Row],[SOL'#]]</f>
        <v>SOL-10890</v>
      </c>
      <c r="D146" s="21">
        <v>394510</v>
      </c>
      <c r="E146" s="11">
        <v>401137.41</v>
      </c>
      <c r="F146" s="11">
        <v>-6627.4099999999744</v>
      </c>
      <c r="G146" s="12">
        <v>-1.6521545572126956E-2</v>
      </c>
      <c r="H146" s="13">
        <v>432175</v>
      </c>
      <c r="I146" s="13">
        <v>-30598.210000000021</v>
      </c>
      <c r="J146" s="14">
        <v>-7.1977461926693964E-2</v>
      </c>
      <c r="K146" s="80"/>
      <c r="L146" s="66" t="s">
        <v>820</v>
      </c>
      <c r="M146" s="66" t="s">
        <v>821</v>
      </c>
    </row>
    <row r="147" spans="1:13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10">
        <v>1274210</v>
      </c>
      <c r="E147" s="15">
        <v>1299987</v>
      </c>
      <c r="F147" s="15">
        <f t="shared" si="14"/>
        <v>-25777</v>
      </c>
      <c r="G147" s="16">
        <f t="shared" si="15"/>
        <v>-1.982865982505979E-2</v>
      </c>
      <c r="H147" s="17">
        <v>1271770</v>
      </c>
      <c r="I147" s="17">
        <f t="shared" ref="I147:I159" si="16">IF(AND(ISNUMBER(D147),ISNUMBER(H147)), D147-H147, "")</f>
        <v>2440</v>
      </c>
      <c r="J147" s="16">
        <f t="shared" ref="J147:J158" si="17">IFERROR(I147/H147, "")</f>
        <v>1.9185859078292458E-3</v>
      </c>
      <c r="K147" s="16"/>
      <c r="L147" s="61"/>
      <c r="M147" s="61"/>
    </row>
    <row r="148" spans="1:13" ht="15.6">
      <c r="A148" s="29" t="str">
        <v>Brodhead Solar</v>
      </c>
      <c r="B148" s="26" t="str">
        <v>NY</v>
      </c>
      <c r="C148" s="26" t="str">
        <f>Sites[[#This Row],[SOL'#]]</f>
        <v>SOL-10899</v>
      </c>
      <c r="D148" s="21">
        <v>511889</v>
      </c>
      <c r="E148" s="11">
        <v>536240</v>
      </c>
      <c r="F148" s="11">
        <f t="shared" si="14"/>
        <v>-24351</v>
      </c>
      <c r="G148" s="12">
        <f t="shared" si="15"/>
        <v>-4.5410637028196331E-2</v>
      </c>
      <c r="H148" s="13">
        <v>538931</v>
      </c>
      <c r="I148" s="13">
        <f t="shared" si="16"/>
        <v>-27042</v>
      </c>
      <c r="J148" s="14">
        <f t="shared" si="17"/>
        <v>-5.0177109871207999E-2</v>
      </c>
      <c r="K148" s="80"/>
      <c r="L148" s="66"/>
      <c r="M148" s="66"/>
    </row>
    <row r="149" spans="1:13" ht="116.1">
      <c r="A149" s="27" t="str">
        <v>Svenski</v>
      </c>
      <c r="B149" s="28" t="str">
        <v>NY</v>
      </c>
      <c r="C149" s="28" t="str">
        <f>Sites[[#This Row],[SOL'#]]</f>
        <v>SOL-10894</v>
      </c>
      <c r="D149" s="10">
        <v>349558</v>
      </c>
      <c r="E149" s="15">
        <v>0</v>
      </c>
      <c r="F149" s="15">
        <f t="shared" si="14"/>
        <v>349558</v>
      </c>
      <c r="G149" s="16" t="str">
        <f t="shared" si="15"/>
        <v/>
      </c>
      <c r="H149" s="17">
        <v>457772</v>
      </c>
      <c r="I149" s="17">
        <f t="shared" si="16"/>
        <v>-108214</v>
      </c>
      <c r="J149" s="16">
        <f t="shared" si="17"/>
        <v>-0.23639278942355582</v>
      </c>
      <c r="K149" s="16"/>
      <c r="L149" s="61" t="s">
        <v>822</v>
      </c>
      <c r="M149" s="61" t="s">
        <v>823</v>
      </c>
    </row>
    <row r="150" spans="1:13" ht="15.6">
      <c r="A150" s="29" t="str">
        <v>Bantam</v>
      </c>
      <c r="B150" s="26" t="str">
        <v>NY</v>
      </c>
      <c r="C150" s="26" t="str">
        <f>Sites[[#This Row],[SOL'#]]</f>
        <v>SOL-10986</v>
      </c>
      <c r="D150" s="21">
        <v>1299910</v>
      </c>
      <c r="E150" s="11">
        <v>0</v>
      </c>
      <c r="F150" s="11">
        <f t="shared" si="14"/>
        <v>1299910</v>
      </c>
      <c r="G150" s="12" t="str">
        <f t="shared" si="15"/>
        <v/>
      </c>
      <c r="H150" s="13">
        <v>1302191</v>
      </c>
      <c r="I150" s="13">
        <f t="shared" si="16"/>
        <v>-2281</v>
      </c>
      <c r="J150" s="14">
        <f t="shared" si="17"/>
        <v>-1.7516631584767518E-3</v>
      </c>
      <c r="K150" s="80"/>
      <c r="L150" s="66"/>
      <c r="M150" s="66"/>
    </row>
    <row r="151" spans="1:13" ht="15.6">
      <c r="A151" s="27" t="str">
        <v>Bogart</v>
      </c>
      <c r="B151" s="28" t="str">
        <v>NY</v>
      </c>
      <c r="C151" s="28" t="str">
        <f>Sites[[#This Row],[SOL'#]]</f>
        <v>SOL-10887</v>
      </c>
      <c r="D151" s="10">
        <v>369420</v>
      </c>
      <c r="E151" s="15">
        <v>400685.88</v>
      </c>
      <c r="F151" s="15">
        <f t="shared" si="14"/>
        <v>-31265.880000000005</v>
      </c>
      <c r="G151" s="16">
        <f t="shared" si="15"/>
        <v>-7.8030900415058307E-2</v>
      </c>
      <c r="H151" s="17">
        <v>421461</v>
      </c>
      <c r="I151" s="17">
        <f t="shared" si="16"/>
        <v>-52041</v>
      </c>
      <c r="J151" s="16">
        <f t="shared" si="17"/>
        <v>-0.12347761714607046</v>
      </c>
      <c r="K151" s="16"/>
      <c r="L151" s="61"/>
      <c r="M151" s="61"/>
    </row>
    <row r="152" spans="1:13" ht="43.5">
      <c r="A152" s="29" t="str">
        <v>Dubois</v>
      </c>
      <c r="B152" s="26" t="str">
        <v>NY</v>
      </c>
      <c r="C152" s="26" t="str">
        <f>Sites[[#This Row],[SOL'#]]</f>
        <v>SOL-10892</v>
      </c>
      <c r="D152" s="21">
        <v>395655</v>
      </c>
      <c r="E152" s="11">
        <v>0</v>
      </c>
      <c r="F152" s="11">
        <f t="shared" si="14"/>
        <v>395655</v>
      </c>
      <c r="G152" s="12" t="str">
        <f t="shared" si="15"/>
        <v/>
      </c>
      <c r="H152" s="13">
        <v>438467</v>
      </c>
      <c r="I152" s="13">
        <f t="shared" si="16"/>
        <v>-42812</v>
      </c>
      <c r="J152" s="14">
        <f t="shared" si="17"/>
        <v>-9.7640187288895175E-2</v>
      </c>
      <c r="K152" s="80"/>
      <c r="L152" s="66" t="s">
        <v>824</v>
      </c>
      <c r="M152" s="66" t="s">
        <v>825</v>
      </c>
    </row>
    <row r="153" spans="1:13" ht="43.5">
      <c r="A153" s="27" t="str">
        <v>Salt Point</v>
      </c>
      <c r="B153" s="28" t="str">
        <v>NY</v>
      </c>
      <c r="C153" s="28" t="str">
        <f>Sites[[#This Row],[SOL'#]]</f>
        <v>SOL-10888</v>
      </c>
      <c r="D153" s="10">
        <v>420440</v>
      </c>
      <c r="E153" s="15">
        <v>0</v>
      </c>
      <c r="F153" s="15">
        <f t="shared" si="14"/>
        <v>420440</v>
      </c>
      <c r="G153" s="16" t="str">
        <f t="shared" si="15"/>
        <v/>
      </c>
      <c r="H153" s="17">
        <v>517492</v>
      </c>
      <c r="I153" s="17">
        <f t="shared" si="16"/>
        <v>-97052</v>
      </c>
      <c r="J153" s="16">
        <f t="shared" si="17"/>
        <v>-0.18754299583375203</v>
      </c>
      <c r="K153" s="16"/>
      <c r="L153" s="61" t="s">
        <v>826</v>
      </c>
      <c r="M153" s="61" t="s">
        <v>827</v>
      </c>
    </row>
    <row r="154" spans="1:13" ht="15.6">
      <c r="A154" s="29" t="str">
        <v>Wheatland 2A</v>
      </c>
      <c r="B154" s="26" t="str">
        <v>NY</v>
      </c>
      <c r="C154" s="26" t="str">
        <f>Sites[[#This Row],[SOL'#]]</f>
        <v>SOL-10971</v>
      </c>
      <c r="D154" s="21">
        <v>1158780</v>
      </c>
      <c r="E154" s="11">
        <v>0</v>
      </c>
      <c r="F154" s="11">
        <f t="shared" si="14"/>
        <v>1158780</v>
      </c>
      <c r="G154" s="12" t="str">
        <f t="shared" si="15"/>
        <v/>
      </c>
      <c r="H154" s="13">
        <v>1183271</v>
      </c>
      <c r="I154" s="13">
        <f t="shared" si="16"/>
        <v>-24491</v>
      </c>
      <c r="J154" s="14">
        <f t="shared" si="17"/>
        <v>-2.069770999204747E-2</v>
      </c>
      <c r="K154" s="80"/>
      <c r="L154" s="66" t="s">
        <v>828</v>
      </c>
      <c r="M154" s="66" t="s">
        <v>829</v>
      </c>
    </row>
    <row r="155" spans="1:13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10">
        <v>1173510</v>
      </c>
      <c r="E155" s="15">
        <v>0</v>
      </c>
      <c r="F155" s="15">
        <f t="shared" si="14"/>
        <v>1173510</v>
      </c>
      <c r="G155" s="16" t="str">
        <f t="shared" si="15"/>
        <v/>
      </c>
      <c r="H155" s="17">
        <v>1173921</v>
      </c>
      <c r="I155" s="17">
        <f t="shared" si="16"/>
        <v>-411</v>
      </c>
      <c r="J155" s="16">
        <f t="shared" si="17"/>
        <v>-3.5010873815188588E-4</v>
      </c>
      <c r="K155" s="16"/>
      <c r="L155" s="61" t="s">
        <v>830</v>
      </c>
      <c r="M155" s="61" t="s">
        <v>831</v>
      </c>
    </row>
    <row r="156" spans="1:13" ht="15.6">
      <c r="A156" s="29" t="str">
        <v>Brickchurch</v>
      </c>
      <c r="B156" s="26" t="str">
        <v>NY</v>
      </c>
      <c r="C156" s="26" t="str">
        <f>Sites[[#This Row],[SOL'#]]</f>
        <v>SOL-10889</v>
      </c>
      <c r="D156" s="21">
        <v>514280</v>
      </c>
      <c r="E156" s="11">
        <v>565408.27</v>
      </c>
      <c r="F156" s="11">
        <f t="shared" si="14"/>
        <v>-51128.270000000019</v>
      </c>
      <c r="G156" s="12">
        <f t="shared" si="15"/>
        <v>-9.0427170440927615E-2</v>
      </c>
      <c r="H156" s="13">
        <v>534720</v>
      </c>
      <c r="I156" s="13">
        <f t="shared" si="16"/>
        <v>-20440</v>
      </c>
      <c r="J156" s="14">
        <f t="shared" si="17"/>
        <v>-3.8225613405146616E-2</v>
      </c>
      <c r="K156" s="80"/>
      <c r="L156" s="66"/>
      <c r="M156" s="66"/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10">
        <v>440247</v>
      </c>
      <c r="E157" s="15">
        <v>0</v>
      </c>
      <c r="F157" s="15">
        <f t="shared" si="14"/>
        <v>440247</v>
      </c>
      <c r="G157" s="16" t="str">
        <f t="shared" si="15"/>
        <v/>
      </c>
      <c r="H157" s="17">
        <v>450707</v>
      </c>
      <c r="I157" s="17">
        <f t="shared" si="16"/>
        <v>-10460</v>
      </c>
      <c r="J157" s="16">
        <f t="shared" si="17"/>
        <v>-2.3207982125860036E-2</v>
      </c>
      <c r="K157" s="16"/>
      <c r="L157" s="61"/>
      <c r="M157" s="61"/>
    </row>
    <row r="158" spans="1:13" ht="15.6">
      <c r="A158" s="29" t="str">
        <v>Costanza</v>
      </c>
      <c r="B158" s="26" t="str">
        <v>NY</v>
      </c>
      <c r="C158" s="26" t="str">
        <f>Sites[[#This Row],[SOL'#]]</f>
        <v>SOL-10907</v>
      </c>
      <c r="D158" s="21">
        <v>438430</v>
      </c>
      <c r="E158" s="11">
        <v>0</v>
      </c>
      <c r="F158" s="11">
        <f t="shared" si="14"/>
        <v>438430</v>
      </c>
      <c r="G158" s="12" t="str">
        <f t="shared" si="15"/>
        <v/>
      </c>
      <c r="H158" s="13">
        <v>451333</v>
      </c>
      <c r="I158" s="13">
        <f t="shared" si="16"/>
        <v>-12903</v>
      </c>
      <c r="J158" s="14">
        <f t="shared" si="17"/>
        <v>-2.8588647406681985E-2</v>
      </c>
      <c r="K158" s="80"/>
      <c r="L158" s="66"/>
      <c r="M158" s="66"/>
    </row>
    <row r="159" spans="1:13" ht="43.5">
      <c r="A159" s="27" t="str">
        <v>Lockenhurst Pond</v>
      </c>
      <c r="B159" s="28" t="str">
        <v>NY</v>
      </c>
      <c r="C159" s="28" t="str">
        <f>Sites[[#This Row],[SOL'#]]</f>
        <v>SOL-11000</v>
      </c>
      <c r="D159" s="10">
        <v>487057</v>
      </c>
      <c r="E159" s="15">
        <v>521671.7</v>
      </c>
      <c r="F159" s="15">
        <f t="shared" si="14"/>
        <v>-34614.700000000012</v>
      </c>
      <c r="G159" s="16">
        <f t="shared" si="15"/>
        <v>-6.6353417292906655E-2</v>
      </c>
      <c r="H159" s="17">
        <v>531355</v>
      </c>
      <c r="I159" s="17">
        <f t="shared" si="16"/>
        <v>-44298</v>
      </c>
      <c r="J159" s="84">
        <f>IFERROR(I159/H159, "")</f>
        <v>-8.3367993149589259E-2</v>
      </c>
      <c r="K159" s="16">
        <v>0.95689599999999997</v>
      </c>
      <c r="L159" s="61" t="s">
        <v>832</v>
      </c>
      <c r="M159" s="61" t="s">
        <v>833</v>
      </c>
    </row>
    <row r="160" spans="1:13" ht="15.6">
      <c r="A160" s="29" t="str">
        <v>Drinkwater</v>
      </c>
      <c r="B160" s="26" t="str">
        <v>NY</v>
      </c>
      <c r="C160" s="26" t="str">
        <f>Sites[[#This Row],[SOL'#]]</f>
        <v>SOL-10896</v>
      </c>
      <c r="D160" s="21">
        <v>465034</v>
      </c>
      <c r="E160" s="11">
        <v>0</v>
      </c>
      <c r="F160" s="11"/>
      <c r="G160" s="12"/>
      <c r="H160" s="13">
        <v>462938</v>
      </c>
      <c r="I160" s="83">
        <f>IF(AND(ISNUMBER(D160),ISNUMBER(H160)), D160-H160, "")</f>
        <v>2096</v>
      </c>
      <c r="J160" s="80">
        <f>IFERROR(I160/H160, "")</f>
        <v>4.5276041284146038E-3</v>
      </c>
      <c r="K160" s="80"/>
      <c r="L160" s="66"/>
      <c r="M160" s="66"/>
    </row>
    <row r="161" spans="1:13" ht="15.6">
      <c r="A161" s="27" t="str">
        <v>Altamont</v>
      </c>
      <c r="B161" s="28" t="str">
        <v>NY</v>
      </c>
      <c r="C161" s="28" t="s">
        <v>13</v>
      </c>
      <c r="D161" s="10">
        <v>850615</v>
      </c>
      <c r="E161" s="15">
        <v>891779.5</v>
      </c>
      <c r="F161" s="15"/>
      <c r="G161" s="16"/>
      <c r="H161" s="17">
        <v>758773.9</v>
      </c>
      <c r="I161" s="17"/>
      <c r="J161" s="84"/>
      <c r="K161" s="19">
        <v>0.9989247</v>
      </c>
      <c r="L161" s="61"/>
      <c r="M161" s="61"/>
    </row>
    <row r="162" spans="1:13" ht="14.4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9"/>
      <c r="L162" s="18"/>
      <c r="M162" s="18"/>
    </row>
    <row r="163" spans="1:13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9"/>
      <c r="L163" s="18"/>
      <c r="M163" s="18"/>
    </row>
    <row r="164" spans="1:13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9"/>
      <c r="L164" s="18"/>
      <c r="M164" s="18"/>
    </row>
    <row r="165" spans="1:13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9"/>
      <c r="L165" s="18"/>
      <c r="M165" s="18"/>
    </row>
    <row r="166" spans="1:13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9"/>
      <c r="L166" s="18"/>
      <c r="M166" s="18"/>
    </row>
    <row r="167" spans="1:13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9"/>
      <c r="L167" s="18"/>
      <c r="M167" s="18"/>
    </row>
    <row r="168" spans="1:13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9"/>
      <c r="L168" s="18"/>
      <c r="M168" s="18"/>
    </row>
    <row r="169" spans="1:13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9"/>
      <c r="L169" s="18"/>
      <c r="M169" s="18"/>
    </row>
    <row r="170" spans="1:13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9"/>
      <c r="L170" s="18"/>
      <c r="M170" s="18"/>
    </row>
    <row r="171" spans="1:13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9"/>
      <c r="L171" s="18"/>
      <c r="M171" s="18"/>
    </row>
    <row r="172" spans="1:13" ht="14.45">
      <c r="A172" s="18"/>
      <c r="B172" s="30"/>
      <c r="C172" s="30"/>
      <c r="D172" s="18"/>
      <c r="E172" s="18"/>
      <c r="G172"/>
      <c r="J172"/>
      <c r="K172" s="19"/>
    </row>
    <row r="173" spans="1:13" ht="14.45">
      <c r="A173" s="18"/>
      <c r="B173" s="30"/>
      <c r="C173" s="30"/>
      <c r="D173" s="18"/>
      <c r="E173" s="18"/>
      <c r="G173"/>
      <c r="J173"/>
      <c r="K173" s="19"/>
    </row>
    <row r="174" spans="1:13" ht="14.45">
      <c r="A174" s="18"/>
      <c r="B174" s="30"/>
      <c r="C174" s="30"/>
      <c r="D174" s="18"/>
      <c r="E174" s="18"/>
      <c r="G174"/>
      <c r="J174"/>
      <c r="K174" s="19"/>
    </row>
    <row r="175" spans="1:13" ht="14.45">
      <c r="A175" s="18"/>
      <c r="B175" s="30"/>
      <c r="C175" s="30"/>
      <c r="D175" s="18"/>
      <c r="E175" s="18"/>
      <c r="G175"/>
      <c r="J175"/>
      <c r="K175" s="19"/>
    </row>
    <row r="176" spans="1:13" ht="14.45">
      <c r="A176" s="18"/>
      <c r="B176" s="30"/>
      <c r="C176" s="30"/>
      <c r="D176" s="18"/>
      <c r="E176" s="18"/>
      <c r="G176"/>
      <c r="J176"/>
      <c r="K176" s="19"/>
    </row>
    <row r="177" spans="1:13" ht="14.45">
      <c r="A177" s="18"/>
      <c r="B177" s="30"/>
      <c r="C177" s="30"/>
      <c r="D177" s="18"/>
      <c r="E177" s="18"/>
      <c r="G177"/>
      <c r="J177"/>
      <c r="K177" s="19"/>
    </row>
    <row r="178" spans="1:13" ht="14.45">
      <c r="A178" s="18"/>
      <c r="B178" s="30"/>
      <c r="C178" s="30"/>
      <c r="D178" s="18"/>
      <c r="E178" s="18"/>
      <c r="G178"/>
      <c r="J178"/>
      <c r="K178" s="19"/>
    </row>
    <row r="179" spans="1:13" ht="14.45">
      <c r="A179" s="18"/>
      <c r="B179" s="30"/>
      <c r="C179" s="30"/>
      <c r="D179" s="18"/>
      <c r="E179" s="18"/>
      <c r="G179"/>
      <c r="J179"/>
      <c r="K179" s="19"/>
    </row>
    <row r="180" spans="1:13" ht="14.45">
      <c r="A180" s="18"/>
      <c r="B180" s="30"/>
      <c r="C180" s="30"/>
      <c r="D180" s="18"/>
      <c r="E180" s="18"/>
      <c r="G180"/>
      <c r="J180"/>
      <c r="K180" s="19"/>
    </row>
    <row r="181" spans="1:13" ht="14.45">
      <c r="A181" s="18"/>
      <c r="B181" s="30"/>
      <c r="C181" s="30"/>
      <c r="D181" s="18"/>
      <c r="E181" s="18"/>
      <c r="G181"/>
      <c r="J181"/>
      <c r="K181" s="19"/>
    </row>
    <row r="182" spans="1:13" ht="14.45">
      <c r="A182" s="18"/>
      <c r="B182" s="30"/>
      <c r="C182" s="30"/>
      <c r="D182" s="18"/>
      <c r="E182" s="18"/>
      <c r="G182"/>
      <c r="J182"/>
      <c r="K182" s="19"/>
    </row>
    <row r="183" spans="1:13" ht="14.45">
      <c r="A183" s="18"/>
      <c r="B183" s="30"/>
      <c r="C183" s="30"/>
      <c r="D183" s="18"/>
      <c r="E183" s="18"/>
      <c r="G183"/>
      <c r="J183"/>
      <c r="K183" s="19"/>
    </row>
    <row r="184" spans="1:13" ht="14.45">
      <c r="A184" s="18"/>
      <c r="B184" s="30"/>
      <c r="C184" s="30"/>
      <c r="D184" s="18"/>
      <c r="E184" s="18"/>
      <c r="G184"/>
      <c r="J184"/>
      <c r="K184" s="19"/>
    </row>
    <row r="185" spans="1:13" ht="14.45">
      <c r="A185" s="18"/>
      <c r="B185" s="30"/>
      <c r="C185" s="30"/>
      <c r="D185" s="18"/>
      <c r="E185" s="18"/>
      <c r="G185"/>
      <c r="J185"/>
      <c r="K185" s="19"/>
    </row>
    <row r="186" spans="1:13" ht="14.45">
      <c r="A186" s="18"/>
      <c r="B186" s="30"/>
      <c r="C186" s="30"/>
      <c r="D186" s="18"/>
      <c r="E186" s="18"/>
      <c r="G186"/>
      <c r="J186"/>
      <c r="K186" s="19"/>
    </row>
    <row r="187" spans="1:13" ht="14.45">
      <c r="A187" s="18"/>
      <c r="B187" s="30"/>
      <c r="C187" s="30"/>
      <c r="D187" s="18"/>
      <c r="E187" s="18"/>
      <c r="G187"/>
      <c r="J187"/>
      <c r="K187" s="19"/>
    </row>
    <row r="188" spans="1:13" ht="14.45">
      <c r="A188" s="18"/>
      <c r="B188" s="30"/>
      <c r="C188" s="30"/>
      <c r="D188" s="18"/>
      <c r="E188" s="18"/>
      <c r="G188"/>
      <c r="J188"/>
      <c r="K188" s="19"/>
    </row>
    <row r="189" spans="1:13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9"/>
      <c r="L189" s="18"/>
      <c r="M189" s="18"/>
    </row>
    <row r="190" spans="1:13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9"/>
      <c r="L190" s="18"/>
      <c r="M190" s="18"/>
    </row>
    <row r="191" spans="1:13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9"/>
      <c r="L191" s="18"/>
      <c r="M191" s="18"/>
    </row>
    <row r="192" spans="1:13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9"/>
      <c r="L192" s="18"/>
      <c r="M192" s="18"/>
    </row>
    <row r="193" spans="1:13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9"/>
      <c r="L193" s="18"/>
      <c r="M193" s="18"/>
    </row>
    <row r="194" spans="1:13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9"/>
      <c r="L194" s="18"/>
      <c r="M194" s="18"/>
    </row>
    <row r="195" spans="1:13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9"/>
      <c r="L195" s="18"/>
      <c r="M195" s="18"/>
    </row>
    <row r="196" spans="1:13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9"/>
      <c r="L196" s="18"/>
      <c r="M196" s="18"/>
    </row>
    <row r="197" spans="1:13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9"/>
      <c r="L197" s="18"/>
      <c r="M197" s="18"/>
    </row>
    <row r="198" spans="1:13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9"/>
      <c r="L198" s="18"/>
      <c r="M198" s="18"/>
    </row>
    <row r="199" spans="1:13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9"/>
      <c r="L199" s="18"/>
      <c r="M199" s="18"/>
    </row>
    <row r="200" spans="1:13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9"/>
      <c r="L200" s="18"/>
      <c r="M200" s="18"/>
    </row>
    <row r="201" spans="1:13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9"/>
      <c r="L201" s="18"/>
      <c r="M201" s="18"/>
    </row>
    <row r="202" spans="1:13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9"/>
      <c r="L202" s="18"/>
      <c r="M202" s="18"/>
    </row>
    <row r="203" spans="1:13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9"/>
      <c r="L203" s="18"/>
      <c r="M203" s="18"/>
    </row>
    <row r="204" spans="1:13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9"/>
      <c r="L204" s="18"/>
      <c r="M204" s="18"/>
    </row>
    <row r="205" spans="1:13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9"/>
      <c r="L205" s="18"/>
      <c r="M205" s="18"/>
    </row>
    <row r="206" spans="1:13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9"/>
      <c r="L206" s="18"/>
      <c r="M206" s="18"/>
    </row>
    <row r="207" spans="1:13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9"/>
      <c r="L207" s="18"/>
      <c r="M207" s="18"/>
    </row>
    <row r="208" spans="1:13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9"/>
      <c r="L208" s="18"/>
      <c r="M208" s="18"/>
    </row>
    <row r="209" spans="1:13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9"/>
      <c r="L209" s="18"/>
      <c r="M209" s="18"/>
    </row>
    <row r="210" spans="1:13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9"/>
      <c r="L210" s="18"/>
      <c r="M210" s="18"/>
    </row>
    <row r="211" spans="1:13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9"/>
      <c r="L211" s="18"/>
      <c r="M211" s="18"/>
    </row>
    <row r="212" spans="1:13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9"/>
      <c r="L212" s="18"/>
      <c r="M212" s="18"/>
    </row>
    <row r="213" spans="1:13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9"/>
      <c r="L213" s="18"/>
      <c r="M213" s="18"/>
    </row>
    <row r="214" spans="1:13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9"/>
      <c r="L214" s="18"/>
      <c r="M214" s="18"/>
    </row>
    <row r="215" spans="1:13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9"/>
      <c r="L215" s="18"/>
      <c r="M215" s="18"/>
    </row>
    <row r="216" spans="1:13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9"/>
      <c r="L216" s="18"/>
      <c r="M216" s="18"/>
    </row>
    <row r="217" spans="1:13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9"/>
      <c r="L217" s="18"/>
      <c r="M217" s="18"/>
    </row>
    <row r="218" spans="1:13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9"/>
      <c r="L218" s="18"/>
      <c r="M218" s="18"/>
    </row>
    <row r="219" spans="1:13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9"/>
      <c r="L219" s="18"/>
      <c r="M219" s="18"/>
    </row>
    <row r="220" spans="1:13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9"/>
      <c r="L220" s="18"/>
      <c r="M220" s="18"/>
    </row>
    <row r="221" spans="1:13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9"/>
      <c r="L221" s="18"/>
      <c r="M221" s="18"/>
    </row>
    <row r="222" spans="1:13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9"/>
      <c r="L222" s="18"/>
      <c r="M222" s="18"/>
    </row>
    <row r="223" spans="1:13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9"/>
      <c r="L223" s="18"/>
      <c r="M223" s="18"/>
    </row>
    <row r="224" spans="1:13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9"/>
      <c r="L224" s="18"/>
      <c r="M224" s="18"/>
    </row>
    <row r="225" spans="1:13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9"/>
      <c r="L225" s="18"/>
      <c r="M225" s="18"/>
    </row>
    <row r="226" spans="1:13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9"/>
      <c r="L226" s="18"/>
      <c r="M226" s="18"/>
    </row>
    <row r="227" spans="1:13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9"/>
      <c r="L227" s="18"/>
      <c r="M227" s="18"/>
    </row>
    <row r="228" spans="1:13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9"/>
      <c r="L228" s="18"/>
      <c r="M228" s="18"/>
    </row>
    <row r="229" spans="1:13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9"/>
      <c r="L229" s="18"/>
      <c r="M229" s="18"/>
    </row>
    <row r="230" spans="1:13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9"/>
      <c r="L230" s="18"/>
      <c r="M230" s="18"/>
    </row>
    <row r="231" spans="1:13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9"/>
      <c r="L231" s="18"/>
      <c r="M231" s="18"/>
    </row>
    <row r="232" spans="1:13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9"/>
      <c r="L232" s="18"/>
      <c r="M232" s="18"/>
    </row>
    <row r="233" spans="1:13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9"/>
      <c r="L233" s="18"/>
      <c r="M233" s="18"/>
    </row>
    <row r="234" spans="1:13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9"/>
      <c r="L234" s="18"/>
      <c r="M234" s="18"/>
    </row>
    <row r="235" spans="1:13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9"/>
      <c r="L235" s="18"/>
      <c r="M235" s="18"/>
    </row>
    <row r="236" spans="1:13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9"/>
      <c r="L236" s="18"/>
      <c r="M236" s="18"/>
    </row>
    <row r="237" spans="1:13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9"/>
      <c r="L237" s="18"/>
      <c r="M237" s="18"/>
    </row>
    <row r="238" spans="1:13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9"/>
      <c r="L238" s="18"/>
      <c r="M238" s="18"/>
    </row>
    <row r="239" spans="1:13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9"/>
      <c r="L239" s="18"/>
      <c r="M239" s="18"/>
    </row>
    <row r="240" spans="1:13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9"/>
      <c r="L240" s="18"/>
      <c r="M240" s="18"/>
    </row>
    <row r="241" spans="1:13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9"/>
      <c r="L241" s="18"/>
      <c r="M241" s="18"/>
    </row>
    <row r="242" spans="1:13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9"/>
      <c r="L242" s="18"/>
      <c r="M242" s="18"/>
    </row>
    <row r="243" spans="1:13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9"/>
      <c r="L243" s="18"/>
      <c r="M243" s="18"/>
    </row>
    <row r="244" spans="1:13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9"/>
      <c r="L244" s="18"/>
      <c r="M244" s="18"/>
    </row>
    <row r="245" spans="1:13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9"/>
      <c r="L245" s="18"/>
      <c r="M245" s="18"/>
    </row>
    <row r="246" spans="1:13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9"/>
      <c r="L246" s="18"/>
      <c r="M246" s="18"/>
    </row>
    <row r="247" spans="1:13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9"/>
      <c r="L247" s="18"/>
      <c r="M247" s="18"/>
    </row>
    <row r="248" spans="1:13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9"/>
      <c r="L248" s="18"/>
      <c r="M248" s="18"/>
    </row>
    <row r="249" spans="1:13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9"/>
      <c r="L249" s="18"/>
      <c r="M249" s="18"/>
    </row>
    <row r="250" spans="1:13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9"/>
      <c r="L250" s="18"/>
      <c r="M250" s="18"/>
    </row>
    <row r="251" spans="1:13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9"/>
      <c r="L251" s="18"/>
      <c r="M251" s="18"/>
    </row>
    <row r="252" spans="1:13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9"/>
      <c r="L252" s="18"/>
      <c r="M252" s="18"/>
    </row>
    <row r="253" spans="1:13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9"/>
      <c r="L253" s="18"/>
      <c r="M253" s="18"/>
    </row>
    <row r="254" spans="1:13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9"/>
      <c r="L254" s="18"/>
      <c r="M254" s="18"/>
    </row>
    <row r="255" spans="1:13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9"/>
      <c r="L255" s="18"/>
      <c r="M255" s="18"/>
    </row>
    <row r="256" spans="1:13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9"/>
      <c r="L256" s="18"/>
      <c r="M256" s="18"/>
    </row>
    <row r="257" spans="1:13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9"/>
      <c r="L257" s="18"/>
      <c r="M257" s="18"/>
    </row>
    <row r="258" spans="1:13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9"/>
      <c r="L258" s="18"/>
      <c r="M258" s="18"/>
    </row>
    <row r="259" spans="1:13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9"/>
      <c r="L259" s="18"/>
      <c r="M259" s="18"/>
    </row>
    <row r="260" spans="1:13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9"/>
      <c r="L260" s="18"/>
      <c r="M260" s="18"/>
    </row>
    <row r="261" spans="1:13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9"/>
      <c r="L261" s="18"/>
      <c r="M261" s="18"/>
    </row>
    <row r="262" spans="1:13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9"/>
      <c r="L262" s="18"/>
      <c r="M262" s="18"/>
    </row>
    <row r="263" spans="1:13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9"/>
      <c r="L263" s="18"/>
      <c r="M263" s="18"/>
    </row>
    <row r="264" spans="1:13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9"/>
      <c r="L264" s="18"/>
      <c r="M264" s="18"/>
    </row>
    <row r="265" spans="1:13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9"/>
      <c r="L265" s="18"/>
      <c r="M265" s="18"/>
    </row>
    <row r="266" spans="1:13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9"/>
      <c r="L266" s="18"/>
      <c r="M266" s="18"/>
    </row>
    <row r="267" spans="1:13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9"/>
      <c r="L267" s="18"/>
      <c r="M267" s="18"/>
    </row>
    <row r="268" spans="1:13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9"/>
      <c r="L268" s="18"/>
      <c r="M268" s="18"/>
    </row>
    <row r="269" spans="1:13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9"/>
      <c r="L269" s="18"/>
      <c r="M269" s="18"/>
    </row>
    <row r="270" spans="1:13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9"/>
      <c r="L270" s="18"/>
      <c r="M270" s="18"/>
    </row>
    <row r="271" spans="1:13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9"/>
      <c r="L271" s="18"/>
      <c r="M271" s="18"/>
    </row>
    <row r="272" spans="1:13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9"/>
      <c r="L272" s="18"/>
      <c r="M272" s="18"/>
    </row>
    <row r="273" spans="1:13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9"/>
      <c r="L273" s="18"/>
      <c r="M273" s="18"/>
    </row>
    <row r="274" spans="1:13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9"/>
      <c r="L274" s="18"/>
      <c r="M274" s="18"/>
    </row>
    <row r="275" spans="1:13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9"/>
      <c r="L275" s="18"/>
      <c r="M275" s="18"/>
    </row>
    <row r="276" spans="1:13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9"/>
      <c r="L276" s="18"/>
      <c r="M276" s="18"/>
    </row>
    <row r="277" spans="1:13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9"/>
      <c r="L277" s="18"/>
      <c r="M277" s="18"/>
    </row>
    <row r="278" spans="1:13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9"/>
      <c r="L278" s="18"/>
      <c r="M278" s="18"/>
    </row>
    <row r="279" spans="1:13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9"/>
      <c r="L279" s="18"/>
      <c r="M279" s="18"/>
    </row>
    <row r="280" spans="1:13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9"/>
      <c r="L280" s="18"/>
      <c r="M280" s="18"/>
    </row>
    <row r="281" spans="1:13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9"/>
      <c r="L281" s="18"/>
      <c r="M281" s="18"/>
    </row>
    <row r="282" spans="1:13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9"/>
      <c r="L282" s="18"/>
      <c r="M282" s="18"/>
    </row>
    <row r="283" spans="1:13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9"/>
      <c r="L283" s="18"/>
      <c r="M283" s="18"/>
    </row>
    <row r="284" spans="1:13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9"/>
      <c r="L284" s="18"/>
      <c r="M284" s="18"/>
    </row>
    <row r="285" spans="1:13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9"/>
      <c r="L285" s="18"/>
      <c r="M285" s="18"/>
    </row>
    <row r="286" spans="1:13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9"/>
      <c r="L286" s="18"/>
      <c r="M286" s="18"/>
    </row>
    <row r="287" spans="1:13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9"/>
      <c r="L287" s="18"/>
      <c r="M287" s="18"/>
    </row>
    <row r="288" spans="1:13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9"/>
      <c r="L288" s="18"/>
      <c r="M288" s="18"/>
    </row>
    <row r="289" spans="1:13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9"/>
      <c r="L289" s="18"/>
      <c r="M289" s="18"/>
    </row>
    <row r="290" spans="1:13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9"/>
      <c r="L290" s="18"/>
      <c r="M290" s="18"/>
    </row>
    <row r="291" spans="1:13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9"/>
      <c r="L291" s="18"/>
      <c r="M291" s="18"/>
    </row>
    <row r="292" spans="1:13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9"/>
      <c r="L292" s="18"/>
      <c r="M292" s="18"/>
    </row>
    <row r="293" spans="1:13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9"/>
      <c r="L293" s="18"/>
      <c r="M293" s="18"/>
    </row>
    <row r="294" spans="1:13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9"/>
      <c r="L294" s="18"/>
      <c r="M294" s="18"/>
    </row>
    <row r="295" spans="1:13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9"/>
      <c r="L295" s="18"/>
      <c r="M295" s="18"/>
    </row>
    <row r="296" spans="1:13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9"/>
      <c r="L296" s="18"/>
      <c r="M296" s="18"/>
    </row>
    <row r="297" spans="1:13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9"/>
      <c r="L297" s="18"/>
      <c r="M297" s="18"/>
    </row>
    <row r="298" spans="1:13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9"/>
      <c r="L298" s="18"/>
      <c r="M298" s="18"/>
    </row>
    <row r="299" spans="1:13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9"/>
      <c r="L299" s="18"/>
      <c r="M299" s="18"/>
    </row>
    <row r="300" spans="1:13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9"/>
      <c r="L300" s="18"/>
      <c r="M300" s="18"/>
    </row>
    <row r="301" spans="1:13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9"/>
      <c r="L301" s="18"/>
      <c r="M301" s="18"/>
    </row>
    <row r="302" spans="1:13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9"/>
      <c r="L302" s="18"/>
      <c r="M302" s="18"/>
    </row>
    <row r="303" spans="1:13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9"/>
      <c r="L303" s="18"/>
      <c r="M303" s="18"/>
    </row>
    <row r="304" spans="1:13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9"/>
      <c r="L304" s="18"/>
      <c r="M304" s="18"/>
    </row>
    <row r="305" spans="1:13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9"/>
      <c r="L305" s="18"/>
      <c r="M305" s="18"/>
    </row>
    <row r="306" spans="1:13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9"/>
      <c r="L306" s="18"/>
      <c r="M306" s="18"/>
    </row>
    <row r="307" spans="1:13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9"/>
      <c r="L307" s="18"/>
      <c r="M307" s="18"/>
    </row>
    <row r="308" spans="1:13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9"/>
      <c r="L308" s="18"/>
      <c r="M308" s="18"/>
    </row>
    <row r="309" spans="1:13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9"/>
      <c r="L309" s="18"/>
      <c r="M309" s="18"/>
    </row>
    <row r="310" spans="1:13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9"/>
      <c r="L310" s="18"/>
      <c r="M310" s="18"/>
    </row>
    <row r="311" spans="1:13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9"/>
      <c r="L311" s="18"/>
      <c r="M311" s="18"/>
    </row>
    <row r="312" spans="1:13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9"/>
      <c r="L312" s="18"/>
      <c r="M312" s="18"/>
    </row>
    <row r="313" spans="1:13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9"/>
      <c r="L313" s="18"/>
      <c r="M313" s="18"/>
    </row>
    <row r="314" spans="1:13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9"/>
      <c r="L314" s="18"/>
      <c r="M314" s="18"/>
    </row>
    <row r="315" spans="1:13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9"/>
      <c r="L315" s="18"/>
      <c r="M315" s="18"/>
    </row>
    <row r="316" spans="1:13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9"/>
      <c r="L316" s="18"/>
      <c r="M316" s="18"/>
    </row>
    <row r="317" spans="1:13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9"/>
      <c r="L317" s="18"/>
      <c r="M317" s="18"/>
    </row>
    <row r="318" spans="1:13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9"/>
      <c r="L318" s="18"/>
      <c r="M318" s="18"/>
    </row>
    <row r="319" spans="1:13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9"/>
      <c r="L319" s="18"/>
      <c r="M319" s="18"/>
    </row>
    <row r="320" spans="1:13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9"/>
      <c r="L320" s="18"/>
      <c r="M320" s="18"/>
    </row>
    <row r="321" spans="1:13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9"/>
      <c r="L321" s="18"/>
      <c r="M321" s="18"/>
    </row>
    <row r="322" spans="1:13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9"/>
      <c r="L322" s="18"/>
      <c r="M322" s="18"/>
    </row>
    <row r="323" spans="1:13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9"/>
      <c r="L323" s="18"/>
      <c r="M323" s="18"/>
    </row>
    <row r="324" spans="1:13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9"/>
      <c r="L324" s="18"/>
      <c r="M324" s="18"/>
    </row>
    <row r="325" spans="1:13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9"/>
      <c r="L325" s="18"/>
      <c r="M325" s="18"/>
    </row>
    <row r="326" spans="1:13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9"/>
      <c r="L326" s="18"/>
      <c r="M326" s="18"/>
    </row>
    <row r="327" spans="1:13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9"/>
      <c r="L327" s="18"/>
      <c r="M327" s="18"/>
    </row>
    <row r="328" spans="1:13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9"/>
      <c r="L328" s="18"/>
      <c r="M328" s="18"/>
    </row>
    <row r="329" spans="1:13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9"/>
      <c r="L329" s="18"/>
      <c r="M329" s="18"/>
    </row>
    <row r="330" spans="1:13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9"/>
      <c r="L330" s="18"/>
      <c r="M330" s="18"/>
    </row>
    <row r="331" spans="1:13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9"/>
      <c r="L331" s="18"/>
      <c r="M331" s="18"/>
    </row>
    <row r="332" spans="1:13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9"/>
      <c r="L332" s="18"/>
      <c r="M332" s="18"/>
    </row>
    <row r="333" spans="1:13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9"/>
      <c r="L333" s="18"/>
      <c r="M333" s="18"/>
    </row>
    <row r="334" spans="1:13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9"/>
      <c r="L334" s="18"/>
      <c r="M334" s="18"/>
    </row>
    <row r="335" spans="1:13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9"/>
      <c r="L335" s="18"/>
      <c r="M335" s="18"/>
    </row>
    <row r="336" spans="1:13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9"/>
      <c r="L336" s="18"/>
      <c r="M336" s="18"/>
    </row>
    <row r="337" spans="1:13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9"/>
      <c r="L337" s="18"/>
      <c r="M337" s="18"/>
    </row>
    <row r="338" spans="1:13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9"/>
      <c r="L338" s="18"/>
      <c r="M338" s="18"/>
    </row>
    <row r="339" spans="1:13">
      <c r="D339" s="18"/>
      <c r="E339" s="18"/>
      <c r="F339" s="18"/>
      <c r="G339" s="19"/>
      <c r="H339" s="18"/>
      <c r="I339" s="18"/>
      <c r="J339" s="19"/>
      <c r="K339" s="19"/>
      <c r="L339" s="18"/>
      <c r="M339" s="18"/>
    </row>
    <row r="340" spans="1:13">
      <c r="K340" s="19"/>
    </row>
    <row r="341" spans="1:13">
      <c r="K341" s="19"/>
    </row>
    <row r="342" spans="1:13">
      <c r="K342" s="19"/>
    </row>
  </sheetData>
  <sortState xmlns:xlrd2="http://schemas.microsoft.com/office/spreadsheetml/2017/richdata2" ref="A3:M15">
    <sortCondition ref="A3:A15"/>
  </sortState>
  <mergeCells count="4">
    <mergeCell ref="H1:J1"/>
    <mergeCell ref="A1:D1"/>
    <mergeCell ref="E1:G1"/>
    <mergeCell ref="A2:B2"/>
  </mergeCells>
  <phoneticPr fontId="40" type="noConversion"/>
  <conditionalFormatting sqref="G2">
    <cfRule type="cellIs" dxfId="54" priority="35" stopIfTrue="1" operator="lessThanOrEqual">
      <formula>-0.1</formula>
    </cfRule>
    <cfRule type="expression" dxfId="53" priority="36">
      <formula>AND(ISNUMBER(G2), G2&gt;=0.1)</formula>
    </cfRule>
  </conditionalFormatting>
  <conditionalFormatting sqref="G4:G33 G35:G74 G76:G161">
    <cfRule type="cellIs" dxfId="52" priority="15" stopIfTrue="1" operator="lessThanOrEqual">
      <formula>-0.1</formula>
    </cfRule>
    <cfRule type="expression" dxfId="51" priority="16">
      <formula>AND(ISNUMBER(G4), G4&gt;=0.1)</formula>
    </cfRule>
  </conditionalFormatting>
  <conditionalFormatting sqref="J4:J161">
    <cfRule type="cellIs" dxfId="50" priority="5" stopIfTrue="1" operator="lessThanOrEqual">
      <formula>-0.1</formula>
    </cfRule>
    <cfRule type="expression" dxfId="49" priority="6">
      <formula>AND(ISNUMBER(J4), J4&gt;=0.1)</formula>
    </cfRule>
  </conditionalFormatting>
  <conditionalFormatting sqref="J2:K2">
    <cfRule type="cellIs" dxfId="48" priority="3" stopIfTrue="1" operator="lessThanOrEqual">
      <formula>-0.1</formula>
    </cfRule>
    <cfRule type="expression" dxfId="47" priority="4">
      <formula>AND(ISNUMBER(J2), J2&gt;=0.1)</formula>
    </cfRule>
  </conditionalFormatting>
  <conditionalFormatting sqref="K4:K160">
    <cfRule type="expression" dxfId="46" priority="1" stopIfTrue="1">
      <formula>AND(K4&lt;&gt;"",K4&lt;0.975)</formula>
    </cfRule>
    <cfRule type="expression" dxfId="45" priority="2">
      <formula>AND(ISNUMBER(K4), K4&gt;=0.985)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N342"/>
  <sheetViews>
    <sheetView zoomScale="70" zoomScaleNormal="70" workbookViewId="0">
      <pane xSplit="2" ySplit="3" topLeftCell="C14" activePane="bottomRight" state="frozen"/>
      <selection pane="bottomRight" activeCell="K3" sqref="K3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18" style="3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8.5703125" style="1" customWidth="1"/>
    <col min="12" max="12" width="71.5703125" customWidth="1"/>
    <col min="13" max="13" width="20.5703125" bestFit="1" customWidth="1"/>
  </cols>
  <sheetData>
    <row r="1" spans="1:13" ht="19.5" customHeight="1">
      <c r="A1" s="111" t="str" cm="1">
        <f t="array" ref="A1">portfolio</f>
        <v>Generate Capital</v>
      </c>
      <c r="B1" s="111"/>
      <c r="C1" s="111"/>
      <c r="D1" s="111"/>
      <c r="E1" s="112" t="s">
        <v>834</v>
      </c>
      <c r="F1" s="112"/>
      <c r="G1" s="112"/>
      <c r="H1" s="110" t="s">
        <v>835</v>
      </c>
      <c r="I1" s="110"/>
      <c r="J1" s="110"/>
      <c r="K1" s="107" t="s">
        <v>836</v>
      </c>
      <c r="L1" s="5"/>
      <c r="M1" s="5"/>
    </row>
    <row r="2" spans="1:13" ht="19.5" customHeight="1">
      <c r="A2" s="113" t="s">
        <v>3</v>
      </c>
      <c r="B2" s="113"/>
      <c r="C2" s="72"/>
      <c r="D2" s="6">
        <f>SUM(D4:D100)</f>
        <v>17050039.798216917</v>
      </c>
      <c r="E2" s="6">
        <f>SUM(E4:E100)</f>
        <v>7120398.5560000008</v>
      </c>
      <c r="F2" s="6">
        <f>D2-E2</f>
        <v>9929641.2422169149</v>
      </c>
      <c r="G2" s="7">
        <f>IFERROR(F2/E2, 0)</f>
        <v>1.3945344722100854</v>
      </c>
      <c r="H2" s="6">
        <f>SUM(H4:H100)</f>
        <v>20634421.533999998</v>
      </c>
      <c r="I2" s="8">
        <f>D2-H2</f>
        <v>-3584381.7357830815</v>
      </c>
      <c r="J2" s="7">
        <f>IFERROR(I2/H2, 0)</f>
        <v>-0.17370885488003532</v>
      </c>
      <c r="K2" s="108"/>
      <c r="L2" s="23" t="str">
        <f ca="1">IF(AND(TODAY()&gt;DATE(2024, 8,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4.25" customHeight="1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  <c r="L3" s="22" t="s">
        <v>30</v>
      </c>
      <c r="M3" s="22" t="s">
        <v>31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95">
        <v>13471.182537382399</v>
      </c>
      <c r="E4" s="96">
        <v>8210.5529999999999</v>
      </c>
      <c r="F4" s="11">
        <f>IF(AND(ISNUMBER(D4),ISNUMBER(E4)), D4-E4, "")</f>
        <v>5260.6295373823996</v>
      </c>
      <c r="G4" s="12">
        <f>IFERROR(F4/E4, "")</f>
        <v>0.64071561774004748</v>
      </c>
      <c r="H4" s="83">
        <v>13577.42</v>
      </c>
      <c r="I4" s="13">
        <f>IF(AND(ISNUMBER(D4),ISNUMBER(H4)), D4-H4, "")</f>
        <v>-106.23746261760061</v>
      </c>
      <c r="J4" s="14">
        <f>IFERROR(I4/H4, "")</f>
        <v>-7.8245692198960198E-3</v>
      </c>
      <c r="K4" s="14">
        <v>1</v>
      </c>
      <c r="L4" s="66"/>
      <c r="M4" s="66"/>
    </row>
    <row r="5" spans="1:13" ht="15.6">
      <c r="A5" s="27" t="str">
        <v>Fulton</v>
      </c>
      <c r="B5" s="28" t="str">
        <v>AZ</v>
      </c>
      <c r="C5" s="28" t="str">
        <f>Sites[[#This Row],[SOL'#]]</f>
        <v>SOL-10749</v>
      </c>
      <c r="D5" s="88">
        <v>53215</v>
      </c>
      <c r="E5" s="97">
        <v>53905.99</v>
      </c>
      <c r="F5" s="15">
        <f t="shared" ref="F5:F17" si="0">IF(AND(ISNUMBER(D5),ISNUMBER(E5)), D5-E5, "")</f>
        <v>-690.98999999999796</v>
      </c>
      <c r="G5" s="16">
        <f>IFERROR(F5/E5, "")</f>
        <v>-1.2818427043079962E-2</v>
      </c>
      <c r="H5" s="85">
        <v>65525.48</v>
      </c>
      <c r="I5" s="17">
        <f t="shared" ref="I5:I17" si="1">IF(AND(ISNUMBER(D5),ISNUMBER(H5)), D5-H5, "")</f>
        <v>-12310.480000000003</v>
      </c>
      <c r="J5" s="16">
        <f t="shared" ref="J5:J17" si="2">IFERROR(I5/H5, "")</f>
        <v>-0.18787317544259122</v>
      </c>
      <c r="K5" s="16">
        <v>1</v>
      </c>
      <c r="L5" s="61"/>
      <c r="M5" s="61"/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95">
        <v>20252.219846640699</v>
      </c>
      <c r="E6" s="96">
        <v>0</v>
      </c>
      <c r="F6" s="11">
        <f t="shared" si="0"/>
        <v>20252.219846640699</v>
      </c>
      <c r="G6" s="12" t="str">
        <f t="shared" ref="G6:G17" si="3">IFERROR(F6/E6, "")</f>
        <v/>
      </c>
      <c r="H6" s="83">
        <v>19123</v>
      </c>
      <c r="I6" s="13">
        <f t="shared" si="1"/>
        <v>1129.219846640699</v>
      </c>
      <c r="J6" s="14">
        <f t="shared" si="2"/>
        <v>5.9050350187768601E-2</v>
      </c>
      <c r="K6" s="14">
        <v>0.49973770000000001</v>
      </c>
      <c r="L6" s="66"/>
      <c r="M6" s="66"/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88">
        <v>8962.4306757706199</v>
      </c>
      <c r="E7" s="97">
        <v>13899.03</v>
      </c>
      <c r="F7" s="15">
        <f t="shared" si="0"/>
        <v>-4936.5993242293807</v>
      </c>
      <c r="G7" s="16">
        <f t="shared" si="3"/>
        <v>-0.35517581617058031</v>
      </c>
      <c r="H7" s="85">
        <v>15252.41</v>
      </c>
      <c r="I7" s="17">
        <f t="shared" si="1"/>
        <v>-6289.9793242293799</v>
      </c>
      <c r="J7" s="16">
        <f t="shared" si="2"/>
        <v>-0.41239248907086684</v>
      </c>
      <c r="K7" s="16">
        <v>0.98676590000000008</v>
      </c>
      <c r="L7" s="61" t="s">
        <v>837</v>
      </c>
      <c r="M7" s="61" t="s">
        <v>838</v>
      </c>
    </row>
    <row r="8" spans="1:13" ht="15.6">
      <c r="A8" s="25" t="str">
        <v>Parking 3</v>
      </c>
      <c r="B8" s="26" t="str">
        <v>AZ</v>
      </c>
      <c r="C8" s="26" t="str">
        <f>Sites[[#This Row],[SOL'#]]</f>
        <v>SOL-10751</v>
      </c>
      <c r="D8" s="95">
        <v>32144.5571313982</v>
      </c>
      <c r="E8" s="96">
        <v>31718.49</v>
      </c>
      <c r="F8" s="11">
        <f t="shared" si="0"/>
        <v>426.0671313981984</v>
      </c>
      <c r="G8" s="12">
        <f t="shared" si="3"/>
        <v>1.3432768438793851E-2</v>
      </c>
      <c r="H8" s="83">
        <v>32717.69</v>
      </c>
      <c r="I8" s="13">
        <f t="shared" si="1"/>
        <v>-573.13286860179869</v>
      </c>
      <c r="J8" s="14">
        <f t="shared" si="2"/>
        <v>-1.7517522435165769E-2</v>
      </c>
      <c r="K8" s="14">
        <v>0.9966240999999999</v>
      </c>
      <c r="L8" s="66"/>
      <c r="M8" s="66"/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88">
        <v>29299.243029642901</v>
      </c>
      <c r="E9" s="97">
        <v>22936</v>
      </c>
      <c r="F9" s="15">
        <f t="shared" si="0"/>
        <v>6363.2430296429011</v>
      </c>
      <c r="G9" s="16">
        <f t="shared" si="3"/>
        <v>0.27743473271899638</v>
      </c>
      <c r="H9" s="85">
        <v>30081.48</v>
      </c>
      <c r="I9" s="17">
        <f t="shared" si="1"/>
        <v>-782.23697035709847</v>
      </c>
      <c r="J9" s="16">
        <f t="shared" si="2"/>
        <v>-2.6003938980299457E-2</v>
      </c>
      <c r="K9" s="16">
        <v>1</v>
      </c>
      <c r="L9" s="61"/>
      <c r="M9" s="61"/>
    </row>
    <row r="10" spans="1:13" ht="15.6">
      <c r="A10" s="25" t="str">
        <v>Schwada</v>
      </c>
      <c r="B10" s="26" t="str">
        <v>AZ</v>
      </c>
      <c r="C10" s="26" t="str">
        <f>Sites[[#This Row],[SOL'#]]</f>
        <v>SOL-10753</v>
      </c>
      <c r="D10" s="95">
        <v>13276.1158635555</v>
      </c>
      <c r="E10" s="96">
        <v>9442.9290000000001</v>
      </c>
      <c r="F10" s="11">
        <f t="shared" si="0"/>
        <v>3833.1868635555002</v>
      </c>
      <c r="G10" s="12">
        <f t="shared" si="3"/>
        <v>0.40593197974436745</v>
      </c>
      <c r="H10" s="83">
        <v>13115</v>
      </c>
      <c r="I10" s="13">
        <f t="shared" si="1"/>
        <v>161.11586355550025</v>
      </c>
      <c r="J10" s="14">
        <f t="shared" si="2"/>
        <v>1.2284854255089612E-2</v>
      </c>
      <c r="K10" s="14">
        <v>1</v>
      </c>
      <c r="L10" s="66"/>
      <c r="M10" s="66"/>
    </row>
    <row r="11" spans="1:13" ht="29.1">
      <c r="A11" s="27" t="str">
        <v>Starshine</v>
      </c>
      <c r="B11" s="28" t="str">
        <v>AZ</v>
      </c>
      <c r="C11" s="28" t="str">
        <f>Sites[[#This Row],[SOL'#]]</f>
        <v>SOL-10757</v>
      </c>
      <c r="D11" s="88">
        <v>8891.9005152199807</v>
      </c>
      <c r="E11" s="97">
        <v>0</v>
      </c>
      <c r="F11" s="15">
        <f t="shared" si="0"/>
        <v>8891.9005152199807</v>
      </c>
      <c r="G11" s="16" t="str">
        <f t="shared" si="3"/>
        <v/>
      </c>
      <c r="H11" s="85">
        <v>9502</v>
      </c>
      <c r="I11" s="17">
        <f t="shared" si="1"/>
        <v>-610.09948478001934</v>
      </c>
      <c r="J11" s="16">
        <f t="shared" si="2"/>
        <v>-6.4207481033468669E-2</v>
      </c>
      <c r="K11" s="16">
        <v>0.32691749999999997</v>
      </c>
      <c r="L11" s="61" t="s">
        <v>839</v>
      </c>
      <c r="M11" s="61" t="s">
        <v>840</v>
      </c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95">
        <v>80192</v>
      </c>
      <c r="E12" s="96">
        <v>92167.56</v>
      </c>
      <c r="F12" s="11">
        <f t="shared" si="0"/>
        <v>-11975.559999999998</v>
      </c>
      <c r="G12" s="12">
        <f t="shared" si="3"/>
        <v>-0.12993248383704634</v>
      </c>
      <c r="H12" s="83">
        <v>74541</v>
      </c>
      <c r="I12" s="13">
        <f t="shared" si="1"/>
        <v>5651</v>
      </c>
      <c r="J12" s="14">
        <f t="shared" si="2"/>
        <v>7.5810627708241096E-2</v>
      </c>
      <c r="K12" s="14">
        <v>1</v>
      </c>
      <c r="L12" s="66"/>
      <c r="M12" s="66"/>
    </row>
    <row r="13" spans="1:13" ht="15.6">
      <c r="A13" s="27" t="str">
        <v>Kinsman</v>
      </c>
      <c r="B13" s="28" t="str">
        <v>OH</v>
      </c>
      <c r="C13" s="28" t="str">
        <f>Sites[[#This Row],[SOL'#]]</f>
        <v>SOL-10762</v>
      </c>
      <c r="D13" s="88">
        <v>90248.9296875</v>
      </c>
      <c r="E13" s="97">
        <v>129541.6</v>
      </c>
      <c r="F13" s="15">
        <f t="shared" si="0"/>
        <v>-39292.670312500006</v>
      </c>
      <c r="G13" s="16">
        <f t="shared" si="3"/>
        <v>-0.30332086613489417</v>
      </c>
      <c r="H13" s="85">
        <v>128225</v>
      </c>
      <c r="I13" s="17">
        <f t="shared" si="1"/>
        <v>-37976.0703125</v>
      </c>
      <c r="J13" s="16">
        <f t="shared" si="2"/>
        <v>-0.29616744248391497</v>
      </c>
      <c r="K13" s="16">
        <v>1</v>
      </c>
      <c r="L13" s="61" t="s">
        <v>841</v>
      </c>
      <c r="M13" s="61" t="s">
        <v>842</v>
      </c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95">
        <v>21358</v>
      </c>
      <c r="E14" s="96"/>
      <c r="F14" s="11" t="str">
        <f t="shared" si="0"/>
        <v/>
      </c>
      <c r="G14" s="12" t="str">
        <f t="shared" si="3"/>
        <v/>
      </c>
      <c r="H14" s="83">
        <v>30332</v>
      </c>
      <c r="I14" s="13">
        <f t="shared" si="1"/>
        <v>-8974</v>
      </c>
      <c r="J14" s="14">
        <f t="shared" si="2"/>
        <v>-0.29585915864433604</v>
      </c>
      <c r="K14" s="14">
        <v>1</v>
      </c>
      <c r="L14" s="66"/>
      <c r="M14" s="66"/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88">
        <v>15961.6035261902</v>
      </c>
      <c r="E15" s="97"/>
      <c r="F15" s="15" t="str">
        <f t="shared" si="0"/>
        <v/>
      </c>
      <c r="G15" s="16" t="str">
        <f t="shared" si="3"/>
        <v/>
      </c>
      <c r="H15" s="85">
        <v>18272</v>
      </c>
      <c r="I15" s="17">
        <f t="shared" si="1"/>
        <v>-2310.3964738098002</v>
      </c>
      <c r="J15" s="16">
        <f t="shared" si="2"/>
        <v>-0.1264446406419549</v>
      </c>
      <c r="K15" s="16">
        <v>1</v>
      </c>
      <c r="L15" s="61" t="s">
        <v>696</v>
      </c>
      <c r="M15" s="61"/>
    </row>
    <row r="16" spans="1:13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95">
        <v>7316.2105737144602</v>
      </c>
      <c r="E16" s="96">
        <v>5716.317</v>
      </c>
      <c r="F16" s="11">
        <f t="shared" si="0"/>
        <v>1599.8935737144602</v>
      </c>
      <c r="G16" s="12">
        <f t="shared" si="3"/>
        <v>0.27988188438717798</v>
      </c>
      <c r="H16" s="83">
        <v>13721</v>
      </c>
      <c r="I16" s="13">
        <f t="shared" si="1"/>
        <v>-6404.7894262855398</v>
      </c>
      <c r="J16" s="14">
        <f t="shared" si="2"/>
        <v>-0.46678736435285617</v>
      </c>
      <c r="K16" s="14">
        <v>1</v>
      </c>
      <c r="L16" s="66" t="s">
        <v>697</v>
      </c>
      <c r="M16" s="66" t="s">
        <v>843</v>
      </c>
    </row>
    <row r="17" spans="1:13" ht="15.6">
      <c r="A17" s="27" t="str">
        <v>SCNM</v>
      </c>
      <c r="B17" s="28" t="str">
        <v>AZ</v>
      </c>
      <c r="C17" s="28" t="str">
        <f>Sites[[#This Row],[SOL'#]]</f>
        <v>SOL-10760</v>
      </c>
      <c r="D17" s="88">
        <v>78819</v>
      </c>
      <c r="E17" s="97">
        <v>42128.45</v>
      </c>
      <c r="F17" s="15">
        <f t="shared" si="0"/>
        <v>36690.550000000003</v>
      </c>
      <c r="G17" s="16">
        <f t="shared" si="3"/>
        <v>0.87092095721537355</v>
      </c>
      <c r="H17" s="85">
        <v>83780</v>
      </c>
      <c r="I17" s="17">
        <f t="shared" si="1"/>
        <v>-4961</v>
      </c>
      <c r="J17" s="16">
        <f t="shared" si="2"/>
        <v>-5.9214609692050606E-2</v>
      </c>
      <c r="K17" s="16">
        <v>0.99812290000000004</v>
      </c>
      <c r="L17" s="61" t="s">
        <v>844</v>
      </c>
      <c r="M17" s="61" t="s">
        <v>845</v>
      </c>
    </row>
    <row r="18" spans="1:13" ht="70.150000000000006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95">
        <v>24619.5099999999</v>
      </c>
      <c r="E18" s="96">
        <v>0</v>
      </c>
      <c r="F18" s="11">
        <f t="shared" ref="F18:F81" si="4">IF(AND(ISNUMBER(D18),ISNUMBER(E18)), D18-E18, "")</f>
        <v>24619.5099999999</v>
      </c>
      <c r="G18" s="84" t="str">
        <f>IFERROR(F18/E18, "")</f>
        <v/>
      </c>
      <c r="H18" s="83">
        <v>50610</v>
      </c>
      <c r="I18" s="13">
        <f t="shared" ref="I18:I81" si="5">IF(AND(ISNUMBER(D18),ISNUMBER(H18)), D18-H18, "")</f>
        <v>-25990.4900000001</v>
      </c>
      <c r="J18" s="14">
        <f t="shared" ref="J18:J81" si="6">IFERROR(I18/H18, "")</f>
        <v>-0.51354455641177832</v>
      </c>
      <c r="K18" s="80">
        <v>0.99858189999999991</v>
      </c>
      <c r="L18" s="66" t="s">
        <v>846</v>
      </c>
      <c r="M18" s="66" t="s">
        <v>847</v>
      </c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88">
        <v>127398.5</v>
      </c>
      <c r="E19" s="97">
        <v>160132.20000000001</v>
      </c>
      <c r="F19" s="15">
        <f t="shared" si="4"/>
        <v>-32733.700000000012</v>
      </c>
      <c r="G19" s="16">
        <f t="shared" ref="G19:G81" si="7">IFERROR(F19/E19, "")</f>
        <v>-0.20441672568040661</v>
      </c>
      <c r="H19" s="85">
        <v>129451</v>
      </c>
      <c r="I19" s="17">
        <f t="shared" si="5"/>
        <v>-2052.5</v>
      </c>
      <c r="J19" s="16">
        <f t="shared" si="6"/>
        <v>-1.5855420197603727E-2</v>
      </c>
      <c r="K19" s="16">
        <v>1</v>
      </c>
      <c r="L19" s="61" t="s">
        <v>848</v>
      </c>
      <c r="M19" s="61" t="s">
        <v>849</v>
      </c>
    </row>
    <row r="20" spans="1:13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95">
        <v>31785.375</v>
      </c>
      <c r="E20" s="96">
        <v>33993.599999999999</v>
      </c>
      <c r="F20" s="11">
        <f t="shared" si="4"/>
        <v>-2208.2249999999985</v>
      </c>
      <c r="G20" s="12">
        <f t="shared" si="7"/>
        <v>-6.4960021886472707E-2</v>
      </c>
      <c r="H20" s="83">
        <v>35827.24</v>
      </c>
      <c r="I20" s="13">
        <f t="shared" si="5"/>
        <v>-4041.864999999998</v>
      </c>
      <c r="J20" s="14">
        <f t="shared" si="6"/>
        <v>-0.11281541642616061</v>
      </c>
      <c r="K20" s="80">
        <v>1</v>
      </c>
      <c r="L20" s="66" t="s">
        <v>850</v>
      </c>
      <c r="M20" s="66" t="s">
        <v>851</v>
      </c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88">
        <v>33774</v>
      </c>
      <c r="E21" s="97">
        <v>36878.870000000003</v>
      </c>
      <c r="F21" s="15">
        <f t="shared" si="4"/>
        <v>-3104.8700000000026</v>
      </c>
      <c r="G21" s="16">
        <f t="shared" si="7"/>
        <v>-8.419102862967337E-2</v>
      </c>
      <c r="H21" s="85">
        <v>38489.629999999997</v>
      </c>
      <c r="I21" s="17">
        <f t="shared" si="5"/>
        <v>-4715.6299999999974</v>
      </c>
      <c r="J21" s="16">
        <f t="shared" si="6"/>
        <v>-0.12251689610941954</v>
      </c>
      <c r="K21" s="16">
        <v>1</v>
      </c>
      <c r="L21" s="61"/>
      <c r="M21" s="61"/>
    </row>
    <row r="22" spans="1:13" ht="15.6">
      <c r="A22" s="25" t="str">
        <v>K041</v>
      </c>
      <c r="B22" s="26" t="str">
        <v>NY</v>
      </c>
      <c r="C22" s="26" t="str">
        <f>Sites[[#This Row],[SOL'#]]</f>
        <v>SOL-10357</v>
      </c>
      <c r="D22" s="95">
        <v>26806.265625</v>
      </c>
      <c r="E22" s="96">
        <v>30303.58</v>
      </c>
      <c r="F22" s="11">
        <f t="shared" si="4"/>
        <v>-3497.3143750000017</v>
      </c>
      <c r="G22" s="12">
        <f t="shared" si="7"/>
        <v>-0.11540928085064542</v>
      </c>
      <c r="H22" s="83">
        <v>28973</v>
      </c>
      <c r="I22" s="13">
        <f t="shared" si="5"/>
        <v>-2166.734375</v>
      </c>
      <c r="J22" s="14">
        <f t="shared" si="6"/>
        <v>-7.4784605494770992E-2</v>
      </c>
      <c r="K22" s="80">
        <v>1</v>
      </c>
      <c r="L22" s="66"/>
      <c r="M22" s="66"/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88">
        <v>33588.875</v>
      </c>
      <c r="E23" s="97">
        <v>33540.76</v>
      </c>
      <c r="F23" s="15">
        <f t="shared" si="4"/>
        <v>48.114999999997963</v>
      </c>
      <c r="G23" s="16">
        <f t="shared" si="7"/>
        <v>1.4345232487277557E-3</v>
      </c>
      <c r="H23" s="85">
        <v>6325</v>
      </c>
      <c r="I23" s="17">
        <f t="shared" si="5"/>
        <v>27263.875</v>
      </c>
      <c r="J23" s="16">
        <f t="shared" si="6"/>
        <v>4.3104940711462447</v>
      </c>
      <c r="K23" s="16">
        <v>0.96551229999999999</v>
      </c>
      <c r="L23" s="61"/>
      <c r="M23" s="61"/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95">
        <v>26257.4375</v>
      </c>
      <c r="E24" s="96">
        <v>27057.88</v>
      </c>
      <c r="F24" s="11">
        <f t="shared" si="4"/>
        <v>-800.44250000000102</v>
      </c>
      <c r="G24" s="12">
        <f t="shared" si="7"/>
        <v>-2.9582602184650128E-2</v>
      </c>
      <c r="H24" s="83">
        <v>28609.47</v>
      </c>
      <c r="I24" s="13">
        <f t="shared" si="5"/>
        <v>-2352.0325000000012</v>
      </c>
      <c r="J24" s="14">
        <f t="shared" si="6"/>
        <v>-8.2211676762973973E-2</v>
      </c>
      <c r="K24" s="80">
        <v>1</v>
      </c>
      <c r="L24" s="66"/>
      <c r="M24" s="66"/>
    </row>
    <row r="25" spans="1:13" ht="15.6">
      <c r="A25" s="27" t="str">
        <v>K115</v>
      </c>
      <c r="B25" s="28" t="str">
        <v>NY</v>
      </c>
      <c r="C25" s="28" t="str">
        <f>Sites[[#This Row],[SOL'#]]</f>
        <v>SOL-10361</v>
      </c>
      <c r="D25" s="88">
        <v>7037.984375</v>
      </c>
      <c r="E25" s="97">
        <v>11628.22</v>
      </c>
      <c r="F25" s="15">
        <f t="shared" si="4"/>
        <v>-4590.2356249999993</v>
      </c>
      <c r="G25" s="16">
        <f t="shared" si="7"/>
        <v>-0.39474963708976951</v>
      </c>
      <c r="H25" s="85">
        <v>16463.8</v>
      </c>
      <c r="I25" s="17">
        <f t="shared" si="5"/>
        <v>-9425.8156249999993</v>
      </c>
      <c r="J25" s="16">
        <f t="shared" si="6"/>
        <v>-0.57251762199492218</v>
      </c>
      <c r="K25" s="16">
        <v>0.9608584</v>
      </c>
      <c r="L25" s="61"/>
      <c r="M25" s="61"/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95">
        <v>9869.71875</v>
      </c>
      <c r="E26" s="96">
        <v>10169.01</v>
      </c>
      <c r="F26" s="11">
        <f t="shared" si="4"/>
        <v>-299.29125000000022</v>
      </c>
      <c r="G26" s="12">
        <f t="shared" si="7"/>
        <v>-2.943169984098749E-2</v>
      </c>
      <c r="H26" s="83">
        <v>11000</v>
      </c>
      <c r="I26" s="13">
        <f t="shared" si="5"/>
        <v>-1130.28125</v>
      </c>
      <c r="J26" s="14">
        <f t="shared" si="6"/>
        <v>-0.10275284090909091</v>
      </c>
      <c r="K26" s="80">
        <v>1</v>
      </c>
      <c r="L26" s="66"/>
      <c r="M26" s="66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88">
        <v>35323.25</v>
      </c>
      <c r="E27" s="97">
        <v>38510.620000000003</v>
      </c>
      <c r="F27" s="15">
        <f t="shared" si="4"/>
        <v>-3187.3700000000026</v>
      </c>
      <c r="G27" s="16">
        <f t="shared" si="7"/>
        <v>-8.2766000651248992E-2</v>
      </c>
      <c r="H27" s="85">
        <v>40647.64</v>
      </c>
      <c r="I27" s="17">
        <f t="shared" si="5"/>
        <v>-5324.3899999999994</v>
      </c>
      <c r="J27" s="16">
        <f t="shared" si="6"/>
        <v>-0.13098890858116238</v>
      </c>
      <c r="K27" s="16">
        <v>1</v>
      </c>
      <c r="L27" s="61"/>
      <c r="M27" s="61"/>
    </row>
    <row r="28" spans="1:13" ht="15.6">
      <c r="A28" s="25" t="str">
        <v>K206</v>
      </c>
      <c r="B28" s="26" t="str">
        <v>NY</v>
      </c>
      <c r="C28" s="26" t="str">
        <f>Sites[[#This Row],[SOL'#]]</f>
        <v>SOL-10927</v>
      </c>
      <c r="D28" s="95"/>
      <c r="E28" s="96">
        <v>0</v>
      </c>
      <c r="F28" s="11" t="str">
        <f t="shared" si="4"/>
        <v/>
      </c>
      <c r="G28" s="12" t="str">
        <f t="shared" si="7"/>
        <v/>
      </c>
      <c r="H28" s="83">
        <v>21657</v>
      </c>
      <c r="I28" s="13" t="str">
        <f t="shared" si="5"/>
        <v/>
      </c>
      <c r="J28" s="14" t="str">
        <f t="shared" si="6"/>
        <v/>
      </c>
      <c r="K28" s="80">
        <v>0</v>
      </c>
      <c r="L28" s="66" t="s">
        <v>852</v>
      </c>
      <c r="M28" s="66" t="s">
        <v>853</v>
      </c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88">
        <v>22920.4375</v>
      </c>
      <c r="E29" s="97">
        <v>23863.14</v>
      </c>
      <c r="F29" s="15">
        <f t="shared" si="4"/>
        <v>-942.70249999999942</v>
      </c>
      <c r="G29" s="16">
        <f t="shared" si="7"/>
        <v>-3.9504545504070274E-2</v>
      </c>
      <c r="H29" s="85">
        <v>25845.29</v>
      </c>
      <c r="I29" s="17">
        <f t="shared" si="5"/>
        <v>-2924.8525000000009</v>
      </c>
      <c r="J29" s="16">
        <f t="shared" si="6"/>
        <v>-0.11316771837344447</v>
      </c>
      <c r="K29" s="16">
        <v>0.99846389999999996</v>
      </c>
      <c r="L29" s="61" t="s">
        <v>854</v>
      </c>
      <c r="M29" s="61" t="s">
        <v>855</v>
      </c>
    </row>
    <row r="30" spans="1:13" ht="15.6">
      <c r="A30" s="25" t="str">
        <v>K269</v>
      </c>
      <c r="B30" s="26" t="str">
        <v>NY</v>
      </c>
      <c r="C30" s="26" t="str">
        <f>Sites[[#This Row],[SOL'#]]</f>
        <v>SOL-10366</v>
      </c>
      <c r="D30" s="95">
        <v>21081.34375</v>
      </c>
      <c r="E30" s="96">
        <v>24779.54</v>
      </c>
      <c r="F30" s="11">
        <f t="shared" si="4"/>
        <v>-3698.1962500000009</v>
      </c>
      <c r="G30" s="12">
        <f t="shared" si="7"/>
        <v>-0.14924394278505576</v>
      </c>
      <c r="H30" s="83">
        <v>23149.87</v>
      </c>
      <c r="I30" s="13">
        <f t="shared" si="5"/>
        <v>-2068.526249999999</v>
      </c>
      <c r="J30" s="14">
        <f t="shared" si="6"/>
        <v>-8.9353687515307825E-2</v>
      </c>
      <c r="K30" s="80">
        <v>1</v>
      </c>
      <c r="L30" s="66"/>
      <c r="M30" s="66"/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88">
        <v>23487.5</v>
      </c>
      <c r="E31" s="97"/>
      <c r="F31" s="15" t="str">
        <f t="shared" si="4"/>
        <v/>
      </c>
      <c r="G31" s="16" t="str">
        <f t="shared" si="7"/>
        <v/>
      </c>
      <c r="H31" s="85">
        <v>31080</v>
      </c>
      <c r="I31" s="17">
        <f t="shared" si="5"/>
        <v>-7592.5</v>
      </c>
      <c r="J31" s="16">
        <f t="shared" si="6"/>
        <v>-0.2442889317889318</v>
      </c>
      <c r="K31" s="16">
        <v>1</v>
      </c>
      <c r="L31" s="61"/>
      <c r="M31" s="61"/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95">
        <v>18378.9375</v>
      </c>
      <c r="E32" s="96">
        <v>16003.99</v>
      </c>
      <c r="F32" s="11">
        <f t="shared" si="4"/>
        <v>2374.9475000000002</v>
      </c>
      <c r="G32" s="12">
        <f t="shared" si="7"/>
        <v>0.14839721219520882</v>
      </c>
      <c r="H32" s="83">
        <v>19892</v>
      </c>
      <c r="I32" s="13">
        <f t="shared" si="5"/>
        <v>-1513.0625</v>
      </c>
      <c r="J32" s="14">
        <f t="shared" si="6"/>
        <v>-7.6063869897446207E-2</v>
      </c>
      <c r="K32" s="80">
        <v>1</v>
      </c>
      <c r="L32" s="66"/>
      <c r="M32" s="66"/>
    </row>
    <row r="33" spans="1:13" ht="15.6">
      <c r="A33" s="27" t="str">
        <v>K298</v>
      </c>
      <c r="B33" s="28" t="str">
        <v>NY</v>
      </c>
      <c r="C33" s="28" t="str">
        <f>Sites[[#This Row],[SOL'#]]</f>
        <v>SOL-10368</v>
      </c>
      <c r="D33" s="88">
        <v>20486.1875</v>
      </c>
      <c r="E33" s="97">
        <v>21250</v>
      </c>
      <c r="F33" s="15">
        <f t="shared" si="4"/>
        <v>-763.8125</v>
      </c>
      <c r="G33" s="16">
        <f t="shared" si="7"/>
        <v>-3.5944117647058821E-2</v>
      </c>
      <c r="H33" s="85">
        <v>22900</v>
      </c>
      <c r="I33" s="17">
        <f t="shared" si="5"/>
        <v>-2413.8125</v>
      </c>
      <c r="J33" s="16">
        <f t="shared" si="6"/>
        <v>-0.10540665938864628</v>
      </c>
      <c r="K33" s="16">
        <v>1</v>
      </c>
      <c r="L33" s="61"/>
      <c r="M33" s="61"/>
    </row>
    <row r="34" spans="1:13" ht="15.6">
      <c r="A34" s="25" t="str">
        <v>K335</v>
      </c>
      <c r="B34" s="26" t="str">
        <v>NY</v>
      </c>
      <c r="C34" s="26" t="str">
        <f>Sites[[#This Row],[SOL'#]]</f>
        <v>SOL-10370</v>
      </c>
      <c r="D34" s="95">
        <v>21036.75</v>
      </c>
      <c r="E34" s="96">
        <v>23364.06</v>
      </c>
      <c r="F34" s="11">
        <f t="shared" si="4"/>
        <v>-2327.3100000000013</v>
      </c>
      <c r="G34" s="12">
        <f t="shared" si="7"/>
        <v>-9.96106841019926E-2</v>
      </c>
      <c r="H34" s="83">
        <v>25730</v>
      </c>
      <c r="I34" s="13">
        <f t="shared" si="5"/>
        <v>-4693.25</v>
      </c>
      <c r="J34" s="14">
        <f t="shared" si="6"/>
        <v>-0.18240380878352119</v>
      </c>
      <c r="K34" s="80">
        <v>1</v>
      </c>
      <c r="L34" s="66"/>
      <c r="M34" s="66"/>
    </row>
    <row r="35" spans="1:13" ht="15.6">
      <c r="A35" s="27" t="str">
        <v>K345</v>
      </c>
      <c r="B35" s="28" t="str">
        <v>NY</v>
      </c>
      <c r="C35" s="28" t="str">
        <f>Sites[[#This Row],[SOL'#]]</f>
        <v>SOL-10920</v>
      </c>
      <c r="D35" s="88">
        <v>24065.15625</v>
      </c>
      <c r="E35" s="97">
        <v>14303.47</v>
      </c>
      <c r="F35" s="15">
        <f t="shared" si="4"/>
        <v>9761.6862500000007</v>
      </c>
      <c r="G35" s="16">
        <f t="shared" si="7"/>
        <v>0.68246979579081168</v>
      </c>
      <c r="H35" s="85">
        <v>26340</v>
      </c>
      <c r="I35" s="17">
        <f t="shared" si="5"/>
        <v>-2274.84375</v>
      </c>
      <c r="J35" s="16">
        <f t="shared" si="6"/>
        <v>-8.6364607061503423E-2</v>
      </c>
      <c r="K35" s="16">
        <v>0.96737309999999999</v>
      </c>
      <c r="L35" s="61"/>
      <c r="M35" s="61"/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95">
        <v>20688.78125</v>
      </c>
      <c r="E36" s="96">
        <v>22184.76</v>
      </c>
      <c r="F36" s="11">
        <f t="shared" si="4"/>
        <v>-1495.9787499999984</v>
      </c>
      <c r="G36" s="12">
        <f t="shared" si="7"/>
        <v>-6.7432721832465098E-2</v>
      </c>
      <c r="H36" s="83">
        <v>21940.77</v>
      </c>
      <c r="I36" s="13">
        <f t="shared" si="5"/>
        <v>-1251.9887500000004</v>
      </c>
      <c r="J36" s="14">
        <f t="shared" si="6"/>
        <v>-5.7062206567955472E-2</v>
      </c>
      <c r="K36" s="80">
        <v>1</v>
      </c>
      <c r="L36" s="66"/>
      <c r="M36" s="66"/>
    </row>
    <row r="37" spans="1:13" ht="153.75" customHeight="1">
      <c r="A37" s="27" t="str">
        <v>K495</v>
      </c>
      <c r="B37" s="28" t="str">
        <v>NY</v>
      </c>
      <c r="C37" s="28" t="str">
        <f>Sites[[#This Row],[SOL'#]]</f>
        <v>SOL-10374</v>
      </c>
      <c r="D37" s="88">
        <v>39472.375</v>
      </c>
      <c r="E37" s="97">
        <v>68654.48</v>
      </c>
      <c r="F37" s="15">
        <f t="shared" si="4"/>
        <v>-29182.104999999996</v>
      </c>
      <c r="G37" s="16">
        <f t="shared" si="7"/>
        <v>-0.42505754904851073</v>
      </c>
      <c r="H37" s="85">
        <v>91593</v>
      </c>
      <c r="I37" s="17">
        <f t="shared" si="5"/>
        <v>-52120.625</v>
      </c>
      <c r="J37" s="16">
        <f t="shared" si="6"/>
        <v>-0.5690459423755091</v>
      </c>
      <c r="K37" s="16">
        <v>0.41808000000000001</v>
      </c>
      <c r="L37" s="61" t="s">
        <v>856</v>
      </c>
      <c r="M37" s="61" t="s">
        <v>857</v>
      </c>
    </row>
    <row r="38" spans="1:13" ht="15.6">
      <c r="A38" s="25" t="str">
        <v>M020</v>
      </c>
      <c r="B38" s="26" t="str">
        <v>NY</v>
      </c>
      <c r="C38" s="26" t="str">
        <f>Sites[[#This Row],[SOL'#]]</f>
        <v>SOL-10380</v>
      </c>
      <c r="D38" s="95">
        <v>21684.84375</v>
      </c>
      <c r="E38" s="96">
        <v>22899.24</v>
      </c>
      <c r="F38" s="11">
        <f t="shared" si="4"/>
        <v>-1214.3962500000016</v>
      </c>
      <c r="G38" s="12">
        <f t="shared" si="7"/>
        <v>-5.3032163949545991E-2</v>
      </c>
      <c r="H38" s="83">
        <v>25211</v>
      </c>
      <c r="I38" s="13">
        <f t="shared" si="5"/>
        <v>-3526.15625</v>
      </c>
      <c r="J38" s="14">
        <f t="shared" si="6"/>
        <v>-0.13986578279322517</v>
      </c>
      <c r="K38" s="80">
        <v>0.96336060000000001</v>
      </c>
      <c r="L38" s="66"/>
      <c r="M38" s="66"/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88">
        <v>22005.062499999902</v>
      </c>
      <c r="E39" s="97">
        <v>23579.58</v>
      </c>
      <c r="F39" s="15">
        <f t="shared" si="4"/>
        <v>-1574.5175000001</v>
      </c>
      <c r="G39" s="16">
        <f t="shared" si="7"/>
        <v>-6.6774620243452168E-2</v>
      </c>
      <c r="H39" s="85">
        <v>23869.65</v>
      </c>
      <c r="I39" s="17">
        <f t="shared" si="5"/>
        <v>-1864.5875000000997</v>
      </c>
      <c r="J39" s="16">
        <f t="shared" si="6"/>
        <v>-7.8115410154740411E-2</v>
      </c>
      <c r="K39" s="16">
        <v>1</v>
      </c>
      <c r="L39" s="61"/>
      <c r="M39" s="61"/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95">
        <v>25066.0625</v>
      </c>
      <c r="E40" s="96">
        <v>28440.57</v>
      </c>
      <c r="F40" s="11">
        <f t="shared" si="4"/>
        <v>-3374.5074999999997</v>
      </c>
      <c r="G40" s="12">
        <f t="shared" si="7"/>
        <v>-0.11865119088682118</v>
      </c>
      <c r="H40" s="83">
        <v>26049.439999999999</v>
      </c>
      <c r="I40" s="13">
        <f t="shared" si="5"/>
        <v>-983.37749999999869</v>
      </c>
      <c r="J40" s="14">
        <f t="shared" si="6"/>
        <v>-3.7750427648348628E-2</v>
      </c>
      <c r="K40" s="80">
        <v>1</v>
      </c>
      <c r="L40" s="66"/>
      <c r="M40" s="66"/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88">
        <v>17917.3125</v>
      </c>
      <c r="E41" s="97"/>
      <c r="F41" s="15" t="str">
        <f t="shared" si="4"/>
        <v/>
      </c>
      <c r="G41" s="16" t="str">
        <f t="shared" si="7"/>
        <v/>
      </c>
      <c r="H41" s="85">
        <v>37780</v>
      </c>
      <c r="I41" s="17">
        <f t="shared" si="5"/>
        <v>-19862.6875</v>
      </c>
      <c r="J41" s="16">
        <f t="shared" si="6"/>
        <v>-0.52574609581789311</v>
      </c>
      <c r="K41" s="16">
        <v>0.96758460000000002</v>
      </c>
      <c r="L41" s="61" t="s">
        <v>858</v>
      </c>
      <c r="M41" s="61" t="s">
        <v>859</v>
      </c>
    </row>
    <row r="42" spans="1:13" ht="15.6">
      <c r="A42" s="25" t="str">
        <v>M167</v>
      </c>
      <c r="B42" s="26" t="str">
        <v>NY</v>
      </c>
      <c r="C42" s="26" t="str">
        <f>Sites[[#This Row],[SOL'#]]</f>
        <v>SOL-10386</v>
      </c>
      <c r="D42" s="95">
        <v>26355</v>
      </c>
      <c r="E42" s="96">
        <v>20155.39</v>
      </c>
      <c r="F42" s="11">
        <f t="shared" si="4"/>
        <v>6199.6100000000006</v>
      </c>
      <c r="G42" s="12">
        <f t="shared" si="7"/>
        <v>0.30759067425636522</v>
      </c>
      <c r="H42" s="83">
        <v>31954.62</v>
      </c>
      <c r="I42" s="13">
        <f t="shared" si="5"/>
        <v>-5599.619999999999</v>
      </c>
      <c r="J42" s="14">
        <f t="shared" si="6"/>
        <v>-0.17523663244939228</v>
      </c>
      <c r="K42" s="80">
        <v>1</v>
      </c>
      <c r="L42" s="66"/>
      <c r="M42" s="66"/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88">
        <v>19082.671875</v>
      </c>
      <c r="E43" s="97"/>
      <c r="F43" s="15" t="str">
        <f t="shared" si="4"/>
        <v/>
      </c>
      <c r="G43" s="16" t="str">
        <f t="shared" si="7"/>
        <v/>
      </c>
      <c r="H43" s="85">
        <v>20546</v>
      </c>
      <c r="I43" s="17">
        <f t="shared" si="5"/>
        <v>-1463.328125</v>
      </c>
      <c r="J43" s="16">
        <f t="shared" si="6"/>
        <v>-7.1222044436873355E-2</v>
      </c>
      <c r="K43" s="16">
        <v>0.96691509999999992</v>
      </c>
      <c r="L43" s="61"/>
      <c r="M43" s="61"/>
    </row>
    <row r="44" spans="1:13" ht="15.6">
      <c r="A44" s="25" t="str">
        <v>EMHC</v>
      </c>
      <c r="B44" s="26" t="str">
        <v>NY</v>
      </c>
      <c r="C44" s="26" t="str">
        <f>Sites[[#This Row],[SOL'#]]</f>
        <v>SOL-10351</v>
      </c>
      <c r="D44" s="95">
        <v>8861.45703125</v>
      </c>
      <c r="E44" s="96">
        <v>6351.4870000000001</v>
      </c>
      <c r="F44" s="11">
        <f t="shared" si="4"/>
        <v>2509.9700312499999</v>
      </c>
      <c r="G44" s="12">
        <f t="shared" si="7"/>
        <v>0.39517833087747795</v>
      </c>
      <c r="H44" s="83">
        <v>10456.73</v>
      </c>
      <c r="I44" s="13">
        <f t="shared" si="5"/>
        <v>-1595.2729687499996</v>
      </c>
      <c r="J44" s="14">
        <f t="shared" si="6"/>
        <v>-0.15255944915379852</v>
      </c>
      <c r="K44" s="80">
        <v>1</v>
      </c>
      <c r="L44" s="66"/>
      <c r="M44" s="66"/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88">
        <v>29500.3125</v>
      </c>
      <c r="E45" s="97">
        <v>29747.94</v>
      </c>
      <c r="F45" s="15">
        <f t="shared" si="4"/>
        <v>-247.62749999999869</v>
      </c>
      <c r="G45" s="16">
        <f t="shared" si="7"/>
        <v>-8.3241898430613578E-3</v>
      </c>
      <c r="H45" s="85">
        <v>31495</v>
      </c>
      <c r="I45" s="17">
        <f t="shared" si="5"/>
        <v>-1994.6875</v>
      </c>
      <c r="J45" s="16">
        <f t="shared" si="6"/>
        <v>-6.3333465629464999E-2</v>
      </c>
      <c r="K45" s="16">
        <v>0.97097960000000005</v>
      </c>
      <c r="L45" s="61"/>
      <c r="M45" s="61"/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95">
        <v>18731.3125</v>
      </c>
      <c r="E46" s="96">
        <v>20424.91</v>
      </c>
      <c r="F46" s="11">
        <f t="shared" si="4"/>
        <v>-1693.5974999999999</v>
      </c>
      <c r="G46" s="12">
        <f t="shared" si="7"/>
        <v>-8.2918235625028452E-2</v>
      </c>
      <c r="H46" s="83">
        <v>20146.61</v>
      </c>
      <c r="I46" s="13">
        <f t="shared" si="5"/>
        <v>-1415.2975000000006</v>
      </c>
      <c r="J46" s="14">
        <f t="shared" si="6"/>
        <v>-7.0249908049046489E-2</v>
      </c>
      <c r="K46" s="80">
        <v>1</v>
      </c>
      <c r="L46" s="66" t="s">
        <v>860</v>
      </c>
      <c r="M46" s="66" t="s">
        <v>861</v>
      </c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88">
        <v>15297.5</v>
      </c>
      <c r="E47" s="97">
        <v>15297.89</v>
      </c>
      <c r="F47" s="15">
        <f t="shared" si="4"/>
        <v>-0.38999999999941792</v>
      </c>
      <c r="G47" s="16">
        <f t="shared" si="7"/>
        <v>-2.5493711877874528E-5</v>
      </c>
      <c r="H47" s="85">
        <v>16954.12</v>
      </c>
      <c r="I47" s="17">
        <f t="shared" si="5"/>
        <v>-1656.619999999999</v>
      </c>
      <c r="J47" s="16">
        <f t="shared" si="6"/>
        <v>-9.7711942583867464E-2</v>
      </c>
      <c r="K47" s="16">
        <v>0.99921319999999991</v>
      </c>
      <c r="L47" s="61"/>
      <c r="M47" s="61"/>
    </row>
    <row r="48" spans="1:13" ht="15.6">
      <c r="A48" s="25" t="str">
        <v>Q025</v>
      </c>
      <c r="B48" s="26" t="str">
        <v>NY</v>
      </c>
      <c r="C48" s="26" t="str">
        <f>Sites[[#This Row],[SOL'#]]</f>
        <v>SOL-10400</v>
      </c>
      <c r="D48" s="95">
        <v>22712.625</v>
      </c>
      <c r="E48" s="96">
        <v>26166.97</v>
      </c>
      <c r="F48" s="11">
        <f t="shared" si="4"/>
        <v>-3454.3450000000012</v>
      </c>
      <c r="G48" s="12">
        <f t="shared" si="7"/>
        <v>-0.13201165438719123</v>
      </c>
      <c r="H48" s="83">
        <v>14697</v>
      </c>
      <c r="I48" s="13">
        <f t="shared" si="5"/>
        <v>8015.625</v>
      </c>
      <c r="J48" s="14">
        <f t="shared" si="6"/>
        <v>0.54539191671769749</v>
      </c>
      <c r="K48" s="80">
        <v>1</v>
      </c>
      <c r="L48" s="66" t="s">
        <v>862</v>
      </c>
      <c r="M48" s="66" t="s">
        <v>863</v>
      </c>
    </row>
    <row r="49" spans="1:13" ht="15.6">
      <c r="A49" s="27" t="str">
        <v>Q074</v>
      </c>
      <c r="B49" s="28" t="str">
        <v>NY</v>
      </c>
      <c r="C49" s="28" t="str">
        <f>Sites[[#This Row],[SOL'#]]</f>
        <v>SOL-10402</v>
      </c>
      <c r="D49" s="88">
        <v>17130.375</v>
      </c>
      <c r="E49" s="97">
        <v>17203.009999999998</v>
      </c>
      <c r="F49" s="15">
        <f t="shared" si="4"/>
        <v>-72.634999999998399</v>
      </c>
      <c r="G49" s="16">
        <f t="shared" si="7"/>
        <v>-4.2222262266893061E-3</v>
      </c>
      <c r="H49" s="85">
        <v>19122.55</v>
      </c>
      <c r="I49" s="17">
        <f t="shared" si="5"/>
        <v>-1992.1749999999993</v>
      </c>
      <c r="J49" s="16">
        <f t="shared" si="6"/>
        <v>-0.1041793589244112</v>
      </c>
      <c r="K49" s="16">
        <v>1</v>
      </c>
      <c r="L49" s="61"/>
      <c r="M49" s="61"/>
    </row>
    <row r="50" spans="1:13" ht="15.6">
      <c r="A50" s="25" t="str">
        <v>Q115</v>
      </c>
      <c r="B50" s="26" t="str">
        <v>NY</v>
      </c>
      <c r="C50" s="26" t="str">
        <f>Sites[[#This Row],[SOL'#]]</f>
        <v>SOL-10872</v>
      </c>
      <c r="D50" s="95">
        <v>22706</v>
      </c>
      <c r="E50" s="96">
        <v>24142.12</v>
      </c>
      <c r="F50" s="11">
        <f t="shared" si="4"/>
        <v>-1436.119999999999</v>
      </c>
      <c r="G50" s="12">
        <f t="shared" si="7"/>
        <v>-5.948607661630375E-2</v>
      </c>
      <c r="H50" s="83">
        <v>25431.78</v>
      </c>
      <c r="I50" s="13">
        <f t="shared" si="5"/>
        <v>-2725.7799999999988</v>
      </c>
      <c r="J50" s="14">
        <f t="shared" si="6"/>
        <v>-0.10718007154827539</v>
      </c>
      <c r="K50" s="80">
        <v>1</v>
      </c>
      <c r="L50" s="66"/>
      <c r="M50" s="66"/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88">
        <v>13423.71875</v>
      </c>
      <c r="E51" s="97">
        <v>14685.45</v>
      </c>
      <c r="F51" s="15">
        <f t="shared" si="4"/>
        <v>-1261.7312500000007</v>
      </c>
      <c r="G51" s="16">
        <f t="shared" si="7"/>
        <v>-8.5917098216261714E-2</v>
      </c>
      <c r="H51" s="85">
        <v>15998</v>
      </c>
      <c r="I51" s="17">
        <f t="shared" si="5"/>
        <v>-2574.28125</v>
      </c>
      <c r="J51" s="16">
        <f t="shared" si="6"/>
        <v>-0.16091269221152643</v>
      </c>
      <c r="K51" s="16">
        <v>0.99932789999999994</v>
      </c>
      <c r="L51" s="61"/>
      <c r="M51" s="61"/>
    </row>
    <row r="52" spans="1:13" ht="15.6">
      <c r="A52" s="25" t="str">
        <v>Q157</v>
      </c>
      <c r="B52" s="26" t="str">
        <v>NY</v>
      </c>
      <c r="C52" s="26" t="str">
        <f>Sites[[#This Row],[SOL'#]]</f>
        <v>SOL-10404</v>
      </c>
      <c r="D52" s="95">
        <v>22910.5</v>
      </c>
      <c r="E52" s="96">
        <v>25894.73</v>
      </c>
      <c r="F52" s="11">
        <f t="shared" si="4"/>
        <v>-2984.2299999999996</v>
      </c>
      <c r="G52" s="12">
        <f t="shared" si="7"/>
        <v>-0.11524468492237608</v>
      </c>
      <c r="H52" s="83">
        <v>28497.86</v>
      </c>
      <c r="I52" s="13">
        <f t="shared" si="5"/>
        <v>-5587.3600000000006</v>
      </c>
      <c r="J52" s="14">
        <f t="shared" si="6"/>
        <v>-0.19606244117979388</v>
      </c>
      <c r="K52" s="80">
        <v>1</v>
      </c>
      <c r="L52" s="66" t="s">
        <v>864</v>
      </c>
      <c r="M52" s="66" t="s">
        <v>865</v>
      </c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88">
        <v>37827.5</v>
      </c>
      <c r="E53" s="97">
        <v>41309.78</v>
      </c>
      <c r="F53" s="15">
        <f t="shared" si="4"/>
        <v>-3482.2799999999988</v>
      </c>
      <c r="G53" s="16">
        <f t="shared" si="7"/>
        <v>-8.4296745225948891E-2</v>
      </c>
      <c r="H53" s="85">
        <v>41398.050000000003</v>
      </c>
      <c r="I53" s="17">
        <f t="shared" si="5"/>
        <v>-3570.5500000000029</v>
      </c>
      <c r="J53" s="16">
        <f t="shared" si="6"/>
        <v>-8.6249231545930366E-2</v>
      </c>
      <c r="K53" s="16">
        <v>1</v>
      </c>
      <c r="L53" s="61"/>
      <c r="M53" s="61"/>
    </row>
    <row r="54" spans="1:13" ht="15.6">
      <c r="A54" s="25" t="str">
        <v>Q210</v>
      </c>
      <c r="B54" s="26" t="str">
        <v>NY</v>
      </c>
      <c r="C54" s="26" t="str">
        <f>Sites[[#This Row],[SOL'#]]</f>
        <v>SOL-10407</v>
      </c>
      <c r="D54" s="95">
        <v>29802.75</v>
      </c>
      <c r="E54" s="96">
        <v>30624.55</v>
      </c>
      <c r="F54" s="11">
        <f t="shared" si="4"/>
        <v>-821.79999999999927</v>
      </c>
      <c r="G54" s="12">
        <f t="shared" si="7"/>
        <v>-2.6834680019788022E-2</v>
      </c>
      <c r="H54" s="83">
        <v>34388</v>
      </c>
      <c r="I54" s="13">
        <f t="shared" si="5"/>
        <v>-4585.25</v>
      </c>
      <c r="J54" s="14">
        <f t="shared" si="6"/>
        <v>-0.13333866465045946</v>
      </c>
      <c r="K54" s="80">
        <v>1</v>
      </c>
      <c r="L54" s="66" t="s">
        <v>866</v>
      </c>
      <c r="M54" s="66" t="s">
        <v>867</v>
      </c>
    </row>
    <row r="55" spans="1:13" ht="86.25" customHeight="1">
      <c r="A55" s="27" t="str">
        <v>Q229</v>
      </c>
      <c r="B55" s="28" t="str">
        <v>NY</v>
      </c>
      <c r="C55" s="28" t="str">
        <f>Sites[[#This Row],[SOL'#]]</f>
        <v>SOL-10408</v>
      </c>
      <c r="D55" s="88">
        <v>9891.0625</v>
      </c>
      <c r="E55" s="97">
        <v>14757.22</v>
      </c>
      <c r="F55" s="15">
        <f t="shared" si="4"/>
        <v>-4866.1574999999993</v>
      </c>
      <c r="G55" s="16">
        <f t="shared" si="7"/>
        <v>-0.32974757440764585</v>
      </c>
      <c r="H55" s="85">
        <v>14762.72</v>
      </c>
      <c r="I55" s="17">
        <f t="shared" si="5"/>
        <v>-4871.6574999999993</v>
      </c>
      <c r="J55" s="16">
        <f t="shared" si="6"/>
        <v>-0.32999728369839704</v>
      </c>
      <c r="K55" s="16">
        <v>1</v>
      </c>
      <c r="L55" s="61" t="s">
        <v>868</v>
      </c>
      <c r="M55" s="61" t="s">
        <v>869</v>
      </c>
    </row>
    <row r="56" spans="1:13" ht="15.6">
      <c r="A56" s="25" t="str">
        <v>Q231</v>
      </c>
      <c r="B56" s="26" t="str">
        <v>NY</v>
      </c>
      <c r="C56" s="26" t="str">
        <f>Sites[[#This Row],[SOL'#]]</f>
        <v>SOL-10870</v>
      </c>
      <c r="D56" s="95">
        <v>51380.062499999898</v>
      </c>
      <c r="E56" s="96">
        <v>52343.22</v>
      </c>
      <c r="F56" s="11">
        <f t="shared" si="4"/>
        <v>-963.15750000010303</v>
      </c>
      <c r="G56" s="12">
        <f t="shared" si="7"/>
        <v>-1.8400807210563336E-2</v>
      </c>
      <c r="H56" s="83">
        <v>53954</v>
      </c>
      <c r="I56" s="13">
        <f t="shared" si="5"/>
        <v>-2573.9375000001019</v>
      </c>
      <c r="J56" s="14">
        <f t="shared" si="6"/>
        <v>-4.7706147829634539E-2</v>
      </c>
      <c r="K56" s="80">
        <v>1</v>
      </c>
      <c r="L56" s="66"/>
      <c r="M56" s="66"/>
    </row>
    <row r="57" spans="1:13" ht="15.6">
      <c r="A57" s="27" t="str">
        <v>Q405</v>
      </c>
      <c r="B57" s="28" t="str">
        <v>NY</v>
      </c>
      <c r="C57" s="28" t="str">
        <f>Sites[[#This Row],[SOL'#]]</f>
        <v>SOL-10409</v>
      </c>
      <c r="D57" s="88">
        <v>56053.75</v>
      </c>
      <c r="E57" s="97">
        <v>57004.36</v>
      </c>
      <c r="F57" s="15">
        <f t="shared" si="4"/>
        <v>-950.61000000000058</v>
      </c>
      <c r="G57" s="16">
        <f t="shared" si="7"/>
        <v>-1.6676092846231422E-2</v>
      </c>
      <c r="H57" s="85">
        <v>61712.59</v>
      </c>
      <c r="I57" s="17">
        <f t="shared" si="5"/>
        <v>-5658.8399999999965</v>
      </c>
      <c r="J57" s="16">
        <f t="shared" si="6"/>
        <v>-9.1696686202928715E-2</v>
      </c>
      <c r="K57" s="16">
        <v>1</v>
      </c>
      <c r="L57" s="61" t="s">
        <v>870</v>
      </c>
      <c r="M57" s="61" t="s">
        <v>871</v>
      </c>
    </row>
    <row r="58" spans="1:13" ht="15.6">
      <c r="A58" s="25" t="str">
        <v>Q435</v>
      </c>
      <c r="B58" s="26" t="str">
        <v>NY</v>
      </c>
      <c r="C58" s="26" t="str">
        <f>Sites[[#This Row],[SOL'#]]</f>
        <v>SOL-10923</v>
      </c>
      <c r="D58" s="95">
        <v>71767.78125</v>
      </c>
      <c r="E58" s="96">
        <v>50959.51</v>
      </c>
      <c r="F58" s="11">
        <f t="shared" si="4"/>
        <v>20808.271249999998</v>
      </c>
      <c r="G58" s="12">
        <f t="shared" si="7"/>
        <v>0.40832950022478626</v>
      </c>
      <c r="H58" s="83">
        <v>75413</v>
      </c>
      <c r="I58" s="13">
        <f t="shared" si="5"/>
        <v>-3645.21875</v>
      </c>
      <c r="J58" s="14">
        <f t="shared" si="6"/>
        <v>-4.8336742338854044E-2</v>
      </c>
      <c r="K58" s="80">
        <v>0.97804489999999999</v>
      </c>
      <c r="L58" s="66" t="s">
        <v>872</v>
      </c>
      <c r="M58" s="66" t="s">
        <v>873</v>
      </c>
    </row>
    <row r="59" spans="1:13" ht="15.6">
      <c r="A59" s="27" t="str">
        <v>Q485</v>
      </c>
      <c r="B59" s="28" t="str">
        <v>NY</v>
      </c>
      <c r="C59" s="28" t="str">
        <f>Sites[[#This Row],[SOL'#]]</f>
        <v>SOL-10869</v>
      </c>
      <c r="D59" s="88">
        <v>62070.4375</v>
      </c>
      <c r="E59" s="97">
        <v>52698.65</v>
      </c>
      <c r="F59" s="15">
        <f t="shared" si="4"/>
        <v>9371.7874999999985</v>
      </c>
      <c r="G59" s="16">
        <f t="shared" si="7"/>
        <v>0.17783733549151634</v>
      </c>
      <c r="H59" s="85">
        <v>71545.87</v>
      </c>
      <c r="I59" s="17">
        <f t="shared" si="5"/>
        <v>-9475.4324999999953</v>
      </c>
      <c r="J59" s="16">
        <f t="shared" si="6"/>
        <v>-0.13243856703398807</v>
      </c>
      <c r="K59" s="16">
        <v>1</v>
      </c>
      <c r="L59" s="61" t="s">
        <v>874</v>
      </c>
      <c r="M59" s="61" t="s">
        <v>875</v>
      </c>
    </row>
    <row r="60" spans="1:13" ht="15.6">
      <c r="A60" s="25" t="str">
        <v>Q490</v>
      </c>
      <c r="B60" s="26" t="str">
        <v>NY</v>
      </c>
      <c r="C60" s="26" t="str">
        <f>Sites[[#This Row],[SOL'#]]</f>
        <v>SOL-10411</v>
      </c>
      <c r="D60" s="95">
        <v>46255.125</v>
      </c>
      <c r="E60" s="96"/>
      <c r="F60" s="11" t="str">
        <f t="shared" si="4"/>
        <v/>
      </c>
      <c r="G60" s="12" t="str">
        <f t="shared" si="7"/>
        <v/>
      </c>
      <c r="H60" s="83">
        <v>53578.43</v>
      </c>
      <c r="I60" s="13">
        <f t="shared" si="5"/>
        <v>-7323.3050000000003</v>
      </c>
      <c r="J60" s="14">
        <f t="shared" si="6"/>
        <v>-0.13668382966802126</v>
      </c>
      <c r="K60" s="80">
        <v>1</v>
      </c>
      <c r="L60" s="66" t="s">
        <v>876</v>
      </c>
      <c r="M60" s="66" t="s">
        <v>877</v>
      </c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88">
        <v>71845.125000000204</v>
      </c>
      <c r="E61" s="97">
        <v>73628.100000000006</v>
      </c>
      <c r="F61" s="15">
        <f t="shared" si="4"/>
        <v>-1782.9749999998021</v>
      </c>
      <c r="G61" s="16">
        <f t="shared" si="7"/>
        <v>-2.4215958309392771E-2</v>
      </c>
      <c r="H61" s="85">
        <v>75953.77</v>
      </c>
      <c r="I61" s="17">
        <f t="shared" si="5"/>
        <v>-4108.6449999998003</v>
      </c>
      <c r="J61" s="16">
        <f t="shared" si="6"/>
        <v>-5.4094023245979762E-2</v>
      </c>
      <c r="K61" s="16">
        <v>1</v>
      </c>
      <c r="L61" s="61"/>
      <c r="M61" s="61"/>
    </row>
    <row r="62" spans="1:13" ht="15.6">
      <c r="A62" s="25" t="str">
        <v>QMOA</v>
      </c>
      <c r="B62" s="26" t="str">
        <v>NY</v>
      </c>
      <c r="C62" s="26" t="str">
        <f>Sites[[#This Row],[SOL'#]]</f>
        <v>SOL-10415</v>
      </c>
      <c r="D62" s="95">
        <v>6208.9</v>
      </c>
      <c r="E62" s="96"/>
      <c r="F62" s="11" t="str">
        <f t="shared" si="4"/>
        <v/>
      </c>
      <c r="G62" s="12" t="str">
        <f t="shared" si="7"/>
        <v/>
      </c>
      <c r="H62" s="83">
        <v>6894.9040000000005</v>
      </c>
      <c r="I62" s="13">
        <f t="shared" si="5"/>
        <v>-686.00400000000081</v>
      </c>
      <c r="J62" s="14">
        <f t="shared" si="6"/>
        <v>-9.9494351190386521E-2</v>
      </c>
      <c r="K62" s="80">
        <v>0.99563219999999997</v>
      </c>
      <c r="L62" s="66"/>
      <c r="M62" s="66"/>
    </row>
    <row r="63" spans="1:13" ht="29.1">
      <c r="A63" s="27" t="str">
        <v>X024</v>
      </c>
      <c r="B63" s="28" t="str">
        <v>NY</v>
      </c>
      <c r="C63" s="28" t="str">
        <f>Sites[[#This Row],[SOL'#]]</f>
        <v>SOL-10419</v>
      </c>
      <c r="D63" s="88">
        <v>27698.890625</v>
      </c>
      <c r="E63" s="97">
        <v>28666.49</v>
      </c>
      <c r="F63" s="15">
        <f t="shared" si="4"/>
        <v>-967.5993750000016</v>
      </c>
      <c r="G63" s="16">
        <f t="shared" si="7"/>
        <v>-3.3753674586599253E-2</v>
      </c>
      <c r="H63" s="85">
        <v>28668</v>
      </c>
      <c r="I63" s="17">
        <f t="shared" si="5"/>
        <v>-969.109375</v>
      </c>
      <c r="J63" s="16">
        <f t="shared" si="6"/>
        <v>-3.3804568682851963E-2</v>
      </c>
      <c r="K63" s="16">
        <v>0.97056929999999997</v>
      </c>
      <c r="L63" s="61" t="s">
        <v>878</v>
      </c>
      <c r="M63" s="61" t="s">
        <v>879</v>
      </c>
    </row>
    <row r="64" spans="1:13" ht="15.6">
      <c r="A64" s="25" t="str">
        <v>X026</v>
      </c>
      <c r="B64" s="26" t="str">
        <v>NY</v>
      </c>
      <c r="C64" s="26" t="str">
        <f>Sites[[#This Row],[SOL'#]]</f>
        <v>SOL-10420</v>
      </c>
      <c r="D64" s="95">
        <v>24569.7</v>
      </c>
      <c r="E64" s="96">
        <v>22754.36</v>
      </c>
      <c r="F64" s="11">
        <f t="shared" si="4"/>
        <v>1815.3400000000001</v>
      </c>
      <c r="G64" s="12">
        <f t="shared" si="7"/>
        <v>7.9779875153596941E-2</v>
      </c>
      <c r="H64" s="83">
        <v>38545.129999999997</v>
      </c>
      <c r="I64" s="13">
        <f t="shared" si="5"/>
        <v>-13975.429999999997</v>
      </c>
      <c r="J64" s="14">
        <f t="shared" si="6"/>
        <v>-0.36257317072221568</v>
      </c>
      <c r="K64" s="80"/>
      <c r="L64" s="66"/>
      <c r="M64" s="66"/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88">
        <v>21161.859380000002</v>
      </c>
      <c r="E65" s="97">
        <v>18502.400000000001</v>
      </c>
      <c r="F65" s="15">
        <f t="shared" si="4"/>
        <v>2659.4593800000002</v>
      </c>
      <c r="G65" s="16">
        <f t="shared" si="7"/>
        <v>0.1437359142597717</v>
      </c>
      <c r="H65" s="85">
        <v>22204</v>
      </c>
      <c r="I65" s="17">
        <f t="shared" si="5"/>
        <v>-1042.1406199999983</v>
      </c>
      <c r="J65" s="16">
        <f t="shared" si="6"/>
        <v>-4.693481444784716E-2</v>
      </c>
      <c r="K65" s="16"/>
      <c r="L65" s="61"/>
      <c r="M65" s="61"/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95">
        <v>17820.599999999999</v>
      </c>
      <c r="E66" s="96">
        <v>19275.82</v>
      </c>
      <c r="F66" s="11">
        <f t="shared" si="4"/>
        <v>-1455.2200000000012</v>
      </c>
      <c r="G66" s="12">
        <f t="shared" si="7"/>
        <v>-7.5494583369215995E-2</v>
      </c>
      <c r="H66" s="83">
        <v>20658.43</v>
      </c>
      <c r="I66" s="13">
        <f t="shared" si="5"/>
        <v>-2837.8300000000017</v>
      </c>
      <c r="J66" s="14">
        <f t="shared" si="6"/>
        <v>-0.13736910307317651</v>
      </c>
      <c r="K66" s="80"/>
      <c r="L66" s="66"/>
      <c r="M66" s="66"/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88">
        <v>32608.375</v>
      </c>
      <c r="E67" s="97">
        <v>33256.050000000003</v>
      </c>
      <c r="F67" s="15">
        <f t="shared" si="4"/>
        <v>-647.67500000000291</v>
      </c>
      <c r="G67" s="16">
        <f t="shared" si="7"/>
        <v>-1.9475403723533097E-2</v>
      </c>
      <c r="H67" s="85">
        <v>33778.74</v>
      </c>
      <c r="I67" s="17">
        <f t="shared" si="5"/>
        <v>-1170.364999999998</v>
      </c>
      <c r="J67" s="16">
        <f t="shared" si="6"/>
        <v>-3.4647976804344921E-2</v>
      </c>
      <c r="K67" s="16"/>
      <c r="L67" s="61"/>
      <c r="M67" s="61"/>
    </row>
    <row r="68" spans="1:13" ht="15.6">
      <c r="A68" s="25" t="str">
        <v>X134</v>
      </c>
      <c r="B68" s="26" t="str">
        <v>NY</v>
      </c>
      <c r="C68" s="26" t="str">
        <f>Sites[[#This Row],[SOL'#]]</f>
        <v>SOL-10424</v>
      </c>
      <c r="D68" s="95">
        <v>31739.375</v>
      </c>
      <c r="E68" s="96">
        <v>0</v>
      </c>
      <c r="F68" s="11">
        <f t="shared" si="4"/>
        <v>31739.375</v>
      </c>
      <c r="G68" s="12" t="str">
        <f t="shared" si="7"/>
        <v/>
      </c>
      <c r="H68" s="83">
        <v>33773</v>
      </c>
      <c r="I68" s="13">
        <f t="shared" si="5"/>
        <v>-2033.625</v>
      </c>
      <c r="J68" s="14">
        <f t="shared" si="6"/>
        <v>-6.0214520474935598E-2</v>
      </c>
      <c r="K68" s="80"/>
      <c r="L68" s="66"/>
      <c r="M68" s="66"/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88">
        <v>22276.53125</v>
      </c>
      <c r="E69" s="97">
        <v>0</v>
      </c>
      <c r="F69" s="15">
        <f t="shared" si="4"/>
        <v>22276.53125</v>
      </c>
      <c r="G69" s="16" t="str">
        <f t="shared" si="7"/>
        <v/>
      </c>
      <c r="H69" s="85">
        <v>26680</v>
      </c>
      <c r="I69" s="17">
        <f t="shared" si="5"/>
        <v>-4403.46875</v>
      </c>
      <c r="J69" s="16">
        <f t="shared" si="6"/>
        <v>-0.16504755434782609</v>
      </c>
      <c r="K69" s="16"/>
      <c r="L69" s="61"/>
      <c r="M69" s="61"/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95">
        <v>41773.7962361842</v>
      </c>
      <c r="E70" s="96">
        <v>42758.89</v>
      </c>
      <c r="F70" s="11">
        <f t="shared" si="4"/>
        <v>-985.09376381579932</v>
      </c>
      <c r="G70" s="12">
        <f t="shared" si="7"/>
        <v>-2.3038338081643357E-2</v>
      </c>
      <c r="H70" s="83">
        <v>43069</v>
      </c>
      <c r="I70" s="13">
        <f t="shared" si="5"/>
        <v>-1295.2037638157999</v>
      </c>
      <c r="J70" s="14">
        <f t="shared" si="6"/>
        <v>-3.0072761471494576E-2</v>
      </c>
      <c r="K70" s="80">
        <v>1</v>
      </c>
      <c r="L70" s="66"/>
      <c r="M70" s="66"/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88">
        <v>21982.0859375</v>
      </c>
      <c r="E71" s="97">
        <v>18344.830000000002</v>
      </c>
      <c r="F71" s="15">
        <f t="shared" si="4"/>
        <v>3637.2559374999983</v>
      </c>
      <c r="G71" s="16">
        <f t="shared" si="7"/>
        <v>0.1982714441889076</v>
      </c>
      <c r="H71" s="85">
        <v>22757</v>
      </c>
      <c r="I71" s="17">
        <f t="shared" si="5"/>
        <v>-774.9140625</v>
      </c>
      <c r="J71" s="16">
        <f t="shared" si="6"/>
        <v>-3.4051679153667004E-2</v>
      </c>
      <c r="K71" s="16">
        <v>0</v>
      </c>
      <c r="L71" s="61"/>
      <c r="M71" s="61"/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95">
        <v>23528.5</v>
      </c>
      <c r="E72" s="96">
        <v>23410.62</v>
      </c>
      <c r="F72" s="11">
        <f t="shared" si="4"/>
        <v>117.88000000000102</v>
      </c>
      <c r="G72" s="12">
        <f t="shared" si="7"/>
        <v>5.0353215762761099E-3</v>
      </c>
      <c r="H72" s="83">
        <v>25236</v>
      </c>
      <c r="I72" s="13">
        <f t="shared" si="5"/>
        <v>-1707.5</v>
      </c>
      <c r="J72" s="14">
        <f t="shared" si="6"/>
        <v>-6.7661277540022186E-2</v>
      </c>
      <c r="K72" s="80"/>
      <c r="L72" s="66"/>
      <c r="M72" s="66"/>
    </row>
    <row r="73" spans="1:13" ht="29.1">
      <c r="A73" s="27" t="str">
        <v>Murphy</v>
      </c>
      <c r="B73" s="28" t="str">
        <v>MN</v>
      </c>
      <c r="C73" s="28" t="str">
        <f>Sites[[#This Row],[SOL'#]]</f>
        <v>SOL-10094</v>
      </c>
      <c r="D73" s="88">
        <v>737830</v>
      </c>
      <c r="E73" s="97">
        <v>939168.8</v>
      </c>
      <c r="F73" s="15">
        <f t="shared" si="4"/>
        <v>-201338.80000000005</v>
      </c>
      <c r="G73" s="16">
        <f t="shared" si="7"/>
        <v>-0.21437977922605611</v>
      </c>
      <c r="H73" s="85">
        <v>996337</v>
      </c>
      <c r="I73" s="17">
        <f t="shared" si="5"/>
        <v>-258507</v>
      </c>
      <c r="J73" s="16">
        <f t="shared" si="6"/>
        <v>-0.25945739242846549</v>
      </c>
      <c r="K73" s="16">
        <v>0.79212230000000006</v>
      </c>
      <c r="L73" s="61" t="s">
        <v>880</v>
      </c>
      <c r="M73" s="61" t="s">
        <v>881</v>
      </c>
    </row>
    <row r="74" spans="1:13" ht="29.1">
      <c r="A74" s="25" t="str">
        <v>Terning</v>
      </c>
      <c r="B74" s="26" t="str">
        <v>MN</v>
      </c>
      <c r="C74" s="26" t="str">
        <f>Sites[[#This Row],[SOL'#]]</f>
        <v>SOL-10093</v>
      </c>
      <c r="D74" s="95">
        <v>885300.00000000198</v>
      </c>
      <c r="E74" s="96">
        <v>1004252</v>
      </c>
      <c r="F74" s="11">
        <f t="shared" si="4"/>
        <v>-118951.99999999802</v>
      </c>
      <c r="G74" s="12">
        <f t="shared" si="7"/>
        <v>-0.11844835758355275</v>
      </c>
      <c r="H74" s="83">
        <v>978433.4</v>
      </c>
      <c r="I74" s="13">
        <f t="shared" si="5"/>
        <v>-93133.399999998044</v>
      </c>
      <c r="J74" s="14">
        <f t="shared" si="6"/>
        <v>-9.5186243642130408E-2</v>
      </c>
      <c r="K74" s="80">
        <v>1</v>
      </c>
      <c r="L74" s="66" t="s">
        <v>882</v>
      </c>
      <c r="M74" s="66" t="s">
        <v>883</v>
      </c>
    </row>
    <row r="75" spans="1:13" ht="24.75" customHeight="1">
      <c r="A75" s="27" t="str">
        <v>Boas Road 04</v>
      </c>
      <c r="B75" s="28" t="str">
        <v>NY</v>
      </c>
      <c r="C75" s="28" t="str">
        <f>Sites[[#This Row],[SOL'#]]</f>
        <v>SOL-10908</v>
      </c>
      <c r="D75" s="88">
        <v>332861</v>
      </c>
      <c r="E75" s="97">
        <v>0</v>
      </c>
      <c r="F75" s="15">
        <f t="shared" si="4"/>
        <v>332861</v>
      </c>
      <c r="G75" s="16" t="str">
        <f t="shared" si="7"/>
        <v/>
      </c>
      <c r="H75" s="85">
        <v>368536.21</v>
      </c>
      <c r="I75" s="17">
        <f t="shared" si="5"/>
        <v>-35675.210000000021</v>
      </c>
      <c r="J75" s="16">
        <f t="shared" si="6"/>
        <v>-9.6802455313685504E-2</v>
      </c>
      <c r="K75" s="16">
        <v>1</v>
      </c>
      <c r="L75" s="61" t="s">
        <v>884</v>
      </c>
      <c r="M75" s="61" t="s">
        <v>734</v>
      </c>
    </row>
    <row r="76" spans="1:13" ht="43.5">
      <c r="A76" s="25" t="str">
        <v>Kelly Bridge Farm</v>
      </c>
      <c r="B76" s="26" t="str">
        <v>NY</v>
      </c>
      <c r="C76" s="26" t="str">
        <f>Sites[[#This Row],[SOL'#]]</f>
        <v>SOL-10911</v>
      </c>
      <c r="D76" s="95">
        <v>328978</v>
      </c>
      <c r="E76" s="96">
        <v>342445</v>
      </c>
      <c r="F76" s="11">
        <f t="shared" si="4"/>
        <v>-13467</v>
      </c>
      <c r="G76" s="12">
        <f t="shared" si="7"/>
        <v>-3.9326023157003315E-2</v>
      </c>
      <c r="H76" s="83">
        <v>369516.36</v>
      </c>
      <c r="I76" s="13">
        <f t="shared" si="5"/>
        <v>-40538.359999999986</v>
      </c>
      <c r="J76" s="14">
        <f t="shared" si="6"/>
        <v>-0.109706536403422</v>
      </c>
      <c r="K76" s="80">
        <v>0.99760000000000004</v>
      </c>
      <c r="L76" s="66" t="s">
        <v>885</v>
      </c>
      <c r="M76" s="66" t="s">
        <v>886</v>
      </c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88">
        <v>281898</v>
      </c>
      <c r="E77" s="97">
        <v>290552</v>
      </c>
      <c r="F77" s="15">
        <f t="shared" si="4"/>
        <v>-8654</v>
      </c>
      <c r="G77" s="16">
        <f t="shared" si="7"/>
        <v>-2.9784685701698836E-2</v>
      </c>
      <c r="H77" s="85">
        <v>369288.65</v>
      </c>
      <c r="I77" s="17">
        <f t="shared" si="5"/>
        <v>-87390.650000000023</v>
      </c>
      <c r="J77" s="16">
        <f t="shared" si="6"/>
        <v>-0.23664591370463192</v>
      </c>
      <c r="K77" s="16">
        <v>0.99680000000000002</v>
      </c>
      <c r="L77" s="61"/>
      <c r="M77" s="61"/>
    </row>
    <row r="78" spans="1:13" ht="43.5">
      <c r="A78" s="25" t="str">
        <v>Sackett Lake</v>
      </c>
      <c r="B78" s="26" t="str">
        <v>NY</v>
      </c>
      <c r="C78" s="26" t="str">
        <f>Sites[[#This Row],[SOL'#]]</f>
        <v>SOL-10910</v>
      </c>
      <c r="D78" s="95">
        <v>304373</v>
      </c>
      <c r="E78" s="96">
        <v>338608</v>
      </c>
      <c r="F78" s="11">
        <f t="shared" si="4"/>
        <v>-34235</v>
      </c>
      <c r="G78" s="12">
        <f t="shared" si="7"/>
        <v>-0.10110511269668762</v>
      </c>
      <c r="H78" s="83">
        <v>370278.7</v>
      </c>
      <c r="I78" s="13">
        <f t="shared" si="5"/>
        <v>-65905.700000000012</v>
      </c>
      <c r="J78" s="14">
        <f t="shared" si="6"/>
        <v>-0.17798944416732587</v>
      </c>
      <c r="K78" s="80">
        <v>0.92540000000000011</v>
      </c>
      <c r="L78" s="66" t="s">
        <v>887</v>
      </c>
      <c r="M78" s="66" t="s">
        <v>888</v>
      </c>
    </row>
    <row r="79" spans="1:13" ht="79.5" customHeight="1">
      <c r="A79" s="27" t="str">
        <v>Burritt Road</v>
      </c>
      <c r="B79" s="28" t="str">
        <v>NY</v>
      </c>
      <c r="C79" s="28" t="str">
        <f>Sites[[#This Row],[SOL'#]]</f>
        <v>SOL-10913</v>
      </c>
      <c r="D79" s="88">
        <v>353540</v>
      </c>
      <c r="E79" s="97">
        <v>22903.32</v>
      </c>
      <c r="F79" s="15">
        <f t="shared" si="4"/>
        <v>330636.68</v>
      </c>
      <c r="G79" s="16">
        <f t="shared" si="7"/>
        <v>14.436190037077594</v>
      </c>
      <c r="H79" s="85">
        <v>380559.14</v>
      </c>
      <c r="I79" s="17">
        <f t="shared" si="5"/>
        <v>-27019.140000000014</v>
      </c>
      <c r="J79" s="16">
        <f t="shared" si="6"/>
        <v>-7.0998531266388748E-2</v>
      </c>
      <c r="K79" s="16">
        <v>1</v>
      </c>
      <c r="L79" s="61" t="s">
        <v>889</v>
      </c>
      <c r="M79" s="61" t="s">
        <v>890</v>
      </c>
    </row>
    <row r="80" spans="1:13" ht="15.6">
      <c r="A80" s="25" t="str">
        <v>Villa Roma 1</v>
      </c>
      <c r="B80" s="26" t="str">
        <v>NY</v>
      </c>
      <c r="C80" s="26" t="str">
        <f>Sites[[#This Row],[SOL'#]]</f>
        <v>SOL-10914</v>
      </c>
      <c r="D80" s="95">
        <v>264506</v>
      </c>
      <c r="E80" s="96">
        <v>458536</v>
      </c>
      <c r="F80" s="11">
        <f t="shared" si="4"/>
        <v>-194030</v>
      </c>
      <c r="G80" s="12">
        <f t="shared" si="7"/>
        <v>-0.4231510721077516</v>
      </c>
      <c r="H80" s="83">
        <v>332070</v>
      </c>
      <c r="I80" s="13">
        <f t="shared" si="5"/>
        <v>-67564</v>
      </c>
      <c r="J80" s="14">
        <f t="shared" si="6"/>
        <v>-0.20346312524467733</v>
      </c>
      <c r="K80" s="80"/>
      <c r="L80" s="66" t="s">
        <v>891</v>
      </c>
      <c r="M80" s="66" t="s">
        <v>892</v>
      </c>
    </row>
    <row r="81" spans="1:13" ht="72.599999999999994">
      <c r="A81" s="27" t="str">
        <v>Villa Roma 2</v>
      </c>
      <c r="B81" s="28" t="str">
        <v>NY</v>
      </c>
      <c r="C81" s="28" t="str">
        <f>Sites[[#This Row],[SOL'#]]</f>
        <v>SOL-10915</v>
      </c>
      <c r="D81" s="88">
        <v>198759</v>
      </c>
      <c r="E81" s="97">
        <v>293722</v>
      </c>
      <c r="F81" s="15">
        <f t="shared" si="4"/>
        <v>-94963</v>
      </c>
      <c r="G81" s="16">
        <f t="shared" si="7"/>
        <v>-0.32330911542206575</v>
      </c>
      <c r="H81" s="85">
        <v>321550</v>
      </c>
      <c r="I81" s="17">
        <f t="shared" si="5"/>
        <v>-122791</v>
      </c>
      <c r="J81" s="16">
        <f t="shared" si="6"/>
        <v>-0.38187218162027681</v>
      </c>
      <c r="K81" s="16"/>
      <c r="L81" s="61" t="s">
        <v>893</v>
      </c>
      <c r="M81" s="61" t="s">
        <v>894</v>
      </c>
    </row>
    <row r="82" spans="1:13" ht="15.6">
      <c r="A82" s="25" t="str">
        <v>Washington 1</v>
      </c>
      <c r="B82" s="26" t="str">
        <v>NY</v>
      </c>
      <c r="C82" s="26" t="str">
        <f>Sites[[#This Row],[SOL'#]]</f>
        <v>SOL-10912</v>
      </c>
      <c r="D82" s="95">
        <v>360210</v>
      </c>
      <c r="E82" s="96">
        <v>384850</v>
      </c>
      <c r="F82" s="11">
        <f t="shared" ref="F82:F145" si="8">IF(AND(ISNUMBER(D82),ISNUMBER(E82)), D82-E82, "")</f>
        <v>-24640</v>
      </c>
      <c r="G82" s="12">
        <f t="shared" ref="G82:G145" si="9">IFERROR(F82/E82, "")</f>
        <v>-6.4024944783681953E-2</v>
      </c>
      <c r="H82" s="83">
        <v>373094</v>
      </c>
      <c r="I82" s="13">
        <f t="shared" ref="I82:I145" si="10">IF(AND(ISNUMBER(D82),ISNUMBER(H82)), D82-H82, "")</f>
        <v>-12884</v>
      </c>
      <c r="J82" s="14">
        <f t="shared" ref="J82:J145" si="11">IFERROR(I82/H82, "")</f>
        <v>-3.4532852310677736E-2</v>
      </c>
      <c r="K82" s="80"/>
      <c r="L82" s="66"/>
      <c r="M82" s="66"/>
    </row>
    <row r="83" spans="1:13" ht="59.45" customHeight="1">
      <c r="A83" s="27" t="str">
        <v>Washington 3</v>
      </c>
      <c r="B83" s="28" t="str">
        <v>NY</v>
      </c>
      <c r="C83" s="28" t="str">
        <f>Sites[[#This Row],[SOL'#]]</f>
        <v>SOL-10828</v>
      </c>
      <c r="D83" s="88">
        <v>408612</v>
      </c>
      <c r="E83" s="97">
        <v>480296</v>
      </c>
      <c r="F83" s="15">
        <f t="shared" si="8"/>
        <v>-71684</v>
      </c>
      <c r="G83" s="16">
        <f t="shared" si="9"/>
        <v>-0.14924962939520628</v>
      </c>
      <c r="H83" s="85">
        <v>454868</v>
      </c>
      <c r="I83" s="17">
        <f t="shared" si="10"/>
        <v>-46256</v>
      </c>
      <c r="J83" s="16">
        <f t="shared" si="11"/>
        <v>-0.10169104003798904</v>
      </c>
      <c r="K83" s="16"/>
      <c r="L83" s="61" t="s">
        <v>895</v>
      </c>
      <c r="M83" s="61" t="s">
        <v>896</v>
      </c>
    </row>
    <row r="84" spans="1:13" ht="15.6">
      <c r="A84" s="25" t="str">
        <v>Washington 4</v>
      </c>
      <c r="B84" s="26" t="str">
        <v>NY</v>
      </c>
      <c r="C84" s="26" t="str">
        <f>Sites[[#This Row],[SOL'#]]</f>
        <v>SOL-10829</v>
      </c>
      <c r="D84" s="95" t="s">
        <v>897</v>
      </c>
      <c r="E84" s="96">
        <v>0</v>
      </c>
      <c r="F84" s="11" t="str">
        <f t="shared" si="8"/>
        <v/>
      </c>
      <c r="G84" s="12" t="str">
        <f t="shared" si="9"/>
        <v/>
      </c>
      <c r="H84" s="83">
        <v>455885</v>
      </c>
      <c r="I84" s="13" t="str">
        <f t="shared" si="10"/>
        <v/>
      </c>
      <c r="J84" s="14" t="str">
        <f t="shared" si="11"/>
        <v/>
      </c>
      <c r="K84" s="80"/>
      <c r="L84" s="66"/>
      <c r="M84" s="66"/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88">
        <v>358700</v>
      </c>
      <c r="E85" s="97">
        <v>0</v>
      </c>
      <c r="F85" s="15">
        <f t="shared" si="8"/>
        <v>358700</v>
      </c>
      <c r="G85" s="16" t="str">
        <f t="shared" si="9"/>
        <v/>
      </c>
      <c r="H85" s="85">
        <v>380100</v>
      </c>
      <c r="I85" s="17">
        <f t="shared" si="10"/>
        <v>-21400</v>
      </c>
      <c r="J85" s="16">
        <f t="shared" si="11"/>
        <v>-5.6300973428045249E-2</v>
      </c>
      <c r="K85" s="16"/>
      <c r="L85" s="61"/>
      <c r="M85" s="61"/>
    </row>
    <row r="86" spans="1:13" ht="15.6">
      <c r="A86" s="25" t="str">
        <v>Canoga</v>
      </c>
      <c r="B86" s="26" t="str">
        <v>NY</v>
      </c>
      <c r="C86" s="26" t="str">
        <f>Sites[[#This Row],[SOL'#]]</f>
        <v>SOL-10965</v>
      </c>
      <c r="D86" s="95">
        <v>920598</v>
      </c>
      <c r="E86" s="96">
        <v>0</v>
      </c>
      <c r="F86" s="11">
        <f t="shared" si="8"/>
        <v>920598</v>
      </c>
      <c r="G86" s="12" t="str">
        <f t="shared" si="9"/>
        <v/>
      </c>
      <c r="H86" s="83">
        <v>972868.12</v>
      </c>
      <c r="I86" s="13">
        <f t="shared" si="10"/>
        <v>-52270.119999999995</v>
      </c>
      <c r="J86" s="14">
        <f t="shared" si="11"/>
        <v>-5.3727857790221344E-2</v>
      </c>
      <c r="K86" s="80">
        <v>1</v>
      </c>
      <c r="L86" s="66" t="s">
        <v>898</v>
      </c>
      <c r="M86" s="66" t="s">
        <v>899</v>
      </c>
    </row>
    <row r="87" spans="1:13" ht="43.5">
      <c r="A87" s="27" t="str">
        <v>County Route 84</v>
      </c>
      <c r="B87" s="28" t="str">
        <v>NY</v>
      </c>
      <c r="C87" s="28" t="str">
        <f>Sites[[#This Row],[SOL'#]]</f>
        <v>SOL-10967</v>
      </c>
      <c r="D87" s="88">
        <v>844090</v>
      </c>
      <c r="E87" s="97">
        <v>0</v>
      </c>
      <c r="F87" s="15">
        <f t="shared" si="8"/>
        <v>844090</v>
      </c>
      <c r="G87" s="16" t="str">
        <f t="shared" si="9"/>
        <v/>
      </c>
      <c r="H87" s="85">
        <v>970745.61</v>
      </c>
      <c r="I87" s="17">
        <f t="shared" si="10"/>
        <v>-126655.60999999999</v>
      </c>
      <c r="J87" s="16">
        <f t="shared" si="11"/>
        <v>-0.13047250350171555</v>
      </c>
      <c r="K87" s="16">
        <v>0.99950000000000006</v>
      </c>
      <c r="L87" s="61" t="s">
        <v>900</v>
      </c>
      <c r="M87" s="61" t="s">
        <v>901</v>
      </c>
    </row>
    <row r="88" spans="1:13" ht="29.1">
      <c r="A88" s="25" t="str">
        <v>Donati</v>
      </c>
      <c r="B88" s="26" t="str">
        <v>NY</v>
      </c>
      <c r="C88" s="26" t="str">
        <f>Sites[[#This Row],[SOL'#]]</f>
        <v>SOL-10968</v>
      </c>
      <c r="D88" s="95">
        <v>424017</v>
      </c>
      <c r="E88" s="96">
        <v>0</v>
      </c>
      <c r="F88" s="11">
        <f t="shared" si="8"/>
        <v>424017</v>
      </c>
      <c r="G88" s="12" t="str">
        <f t="shared" si="9"/>
        <v/>
      </c>
      <c r="H88" s="83">
        <v>489110.24</v>
      </c>
      <c r="I88" s="13">
        <f t="shared" si="10"/>
        <v>-65093.239999999991</v>
      </c>
      <c r="J88" s="14">
        <f t="shared" si="11"/>
        <v>-0.13308500758438424</v>
      </c>
      <c r="K88" s="80">
        <v>1</v>
      </c>
      <c r="L88" s="66" t="s">
        <v>902</v>
      </c>
      <c r="M88" s="66" t="s">
        <v>903</v>
      </c>
    </row>
    <row r="89" spans="1:13" ht="15.6">
      <c r="A89" s="27" t="str">
        <v>Henrietta</v>
      </c>
      <c r="B89" s="28" t="str">
        <v>NY</v>
      </c>
      <c r="C89" s="28" t="str">
        <f>Sites[[#This Row],[SOL'#]]</f>
        <v>SOL-10972</v>
      </c>
      <c r="D89" s="88">
        <v>844216</v>
      </c>
      <c r="E89" s="97">
        <v>0</v>
      </c>
      <c r="F89" s="15">
        <f t="shared" si="8"/>
        <v>844216</v>
      </c>
      <c r="G89" s="16" t="str">
        <f t="shared" si="9"/>
        <v/>
      </c>
      <c r="H89" s="85">
        <v>1009826</v>
      </c>
      <c r="I89" s="17">
        <f t="shared" si="10"/>
        <v>-165610</v>
      </c>
      <c r="J89" s="16">
        <f t="shared" si="11"/>
        <v>-0.16399855024528978</v>
      </c>
      <c r="K89" s="16">
        <v>1</v>
      </c>
      <c r="L89" s="61" t="s">
        <v>904</v>
      </c>
      <c r="M89" s="61" t="s">
        <v>905</v>
      </c>
    </row>
    <row r="90" spans="1:13" ht="29.1">
      <c r="A90" s="25" t="str">
        <v>NY 70</v>
      </c>
      <c r="B90" s="26" t="str">
        <v>NY</v>
      </c>
      <c r="C90" s="26" t="str">
        <f>Sites[[#This Row],[SOL'#]]</f>
        <v>SOL-10970</v>
      </c>
      <c r="D90" s="95">
        <v>719001</v>
      </c>
      <c r="E90" s="96">
        <v>0</v>
      </c>
      <c r="F90" s="11">
        <f t="shared" si="8"/>
        <v>719001</v>
      </c>
      <c r="G90" s="12" t="str">
        <f t="shared" si="9"/>
        <v/>
      </c>
      <c r="H90" s="83">
        <v>1096926</v>
      </c>
      <c r="I90" s="13">
        <f t="shared" si="10"/>
        <v>-377925</v>
      </c>
      <c r="J90" s="14">
        <f t="shared" si="11"/>
        <v>-0.34453098932835946</v>
      </c>
      <c r="K90" s="80">
        <v>0.83889999999999998</v>
      </c>
      <c r="L90" s="66" t="s">
        <v>906</v>
      </c>
      <c r="M90" s="66" t="s">
        <v>907</v>
      </c>
    </row>
    <row r="91" spans="1:13" ht="246.6">
      <c r="A91" s="27" t="str">
        <v>Reid</v>
      </c>
      <c r="B91" s="28" t="str">
        <v>NY</v>
      </c>
      <c r="C91" s="28" t="str">
        <f>Sites[[#This Row],[SOL'#]]</f>
        <v>SOL-10991</v>
      </c>
      <c r="D91" s="88">
        <v>708870.05874496698</v>
      </c>
      <c r="E91" s="97">
        <v>703496.2</v>
      </c>
      <c r="F91" s="15">
        <f t="shared" si="8"/>
        <v>5373.8587449670304</v>
      </c>
      <c r="G91" s="16">
        <f t="shared" si="9"/>
        <v>7.6387885890030829E-3</v>
      </c>
      <c r="H91" s="85">
        <v>880052</v>
      </c>
      <c r="I91" s="17">
        <f t="shared" si="10"/>
        <v>-171181.94125503302</v>
      </c>
      <c r="J91" s="16">
        <f t="shared" si="11"/>
        <v>-0.19451343926839892</v>
      </c>
      <c r="K91" s="16">
        <v>0.99928309999999998</v>
      </c>
      <c r="L91" s="61" t="s">
        <v>908</v>
      </c>
      <c r="M91" s="61" t="s">
        <v>909</v>
      </c>
    </row>
    <row r="92" spans="1:13" ht="15.6">
      <c r="A92" s="25" t="str">
        <v>Sangolqui</v>
      </c>
      <c r="B92" s="26" t="str">
        <v>NY</v>
      </c>
      <c r="C92" s="26" t="str">
        <f>Sites[[#This Row],[SOL'#]]</f>
        <v>SOL-10975</v>
      </c>
      <c r="D92" s="95">
        <v>439311</v>
      </c>
      <c r="E92" s="96">
        <v>0</v>
      </c>
      <c r="F92" s="11">
        <f t="shared" si="8"/>
        <v>439311</v>
      </c>
      <c r="G92" s="12" t="str">
        <f t="shared" si="9"/>
        <v/>
      </c>
      <c r="H92" s="83">
        <v>476788.36</v>
      </c>
      <c r="I92" s="13">
        <f t="shared" si="10"/>
        <v>-37477.359999999986</v>
      </c>
      <c r="J92" s="14">
        <f t="shared" si="11"/>
        <v>-7.8603764571769305E-2</v>
      </c>
      <c r="K92" s="80">
        <v>0.99980000000000002</v>
      </c>
      <c r="L92" s="66"/>
      <c r="M92" s="66"/>
    </row>
    <row r="93" spans="1:13" ht="43.5">
      <c r="A93" s="27" t="str">
        <v>State Highway 17B</v>
      </c>
      <c r="B93" s="28" t="str">
        <v>NY</v>
      </c>
      <c r="C93" s="28" t="str">
        <f>Sites[[#This Row],[SOL'#]]</f>
        <v>SOL-10988</v>
      </c>
      <c r="D93" s="88">
        <v>664340</v>
      </c>
      <c r="E93" s="97">
        <v>0</v>
      </c>
      <c r="F93" s="15">
        <f t="shared" si="8"/>
        <v>664340</v>
      </c>
      <c r="G93" s="16" t="str">
        <f t="shared" si="9"/>
        <v/>
      </c>
      <c r="H93" s="85">
        <v>847160</v>
      </c>
      <c r="I93" s="17">
        <f t="shared" si="10"/>
        <v>-182820</v>
      </c>
      <c r="J93" s="16">
        <f t="shared" si="11"/>
        <v>-0.21580339015062089</v>
      </c>
      <c r="K93" s="16"/>
      <c r="L93" s="61" t="s">
        <v>910</v>
      </c>
      <c r="M93" s="61" t="s">
        <v>911</v>
      </c>
    </row>
    <row r="94" spans="1:13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95">
        <v>902121</v>
      </c>
      <c r="E94" s="96">
        <v>0</v>
      </c>
      <c r="F94" s="11">
        <f t="shared" si="8"/>
        <v>902121</v>
      </c>
      <c r="G94" s="12" t="str">
        <f t="shared" si="9"/>
        <v/>
      </c>
      <c r="H94" s="83">
        <v>988504</v>
      </c>
      <c r="I94" s="13">
        <f t="shared" si="10"/>
        <v>-86383</v>
      </c>
      <c r="J94" s="14">
        <f t="shared" si="11"/>
        <v>-8.7387607940888457E-2</v>
      </c>
      <c r="K94" s="80"/>
      <c r="L94" s="66"/>
      <c r="M94" s="66"/>
    </row>
    <row r="95" spans="1:13" ht="15.6">
      <c r="A95" s="27" t="str">
        <v>West Creek</v>
      </c>
      <c r="B95" s="28" t="str">
        <v>NY</v>
      </c>
      <c r="C95" s="28" t="str">
        <f>Sites[[#This Row],[SOL'#]]</f>
        <v>SOL-10995</v>
      </c>
      <c r="D95" s="88">
        <v>803420</v>
      </c>
      <c r="E95" s="97">
        <v>0</v>
      </c>
      <c r="F95" s="15">
        <f t="shared" si="8"/>
        <v>803420</v>
      </c>
      <c r="G95" s="16" t="str">
        <f t="shared" si="9"/>
        <v/>
      </c>
      <c r="H95" s="85">
        <v>980931</v>
      </c>
      <c r="I95" s="17">
        <f t="shared" si="10"/>
        <v>-177511</v>
      </c>
      <c r="J95" s="16">
        <f t="shared" si="11"/>
        <v>-0.18096175979758006</v>
      </c>
      <c r="K95" s="16"/>
      <c r="L95" s="61"/>
      <c r="M95" s="61"/>
    </row>
    <row r="96" spans="1:13" ht="15.6">
      <c r="A96" s="25" t="str">
        <v>Wildflower</v>
      </c>
      <c r="B96" s="26" t="str">
        <v>NY</v>
      </c>
      <c r="C96" s="26" t="str">
        <f>Sites[[#This Row],[SOL'#]]</f>
        <v>SOL-10982</v>
      </c>
      <c r="D96" s="95">
        <v>856997</v>
      </c>
      <c r="E96" s="96">
        <v>0</v>
      </c>
      <c r="F96" s="11">
        <f t="shared" si="8"/>
        <v>856997</v>
      </c>
      <c r="G96" s="12" t="str">
        <f t="shared" si="9"/>
        <v/>
      </c>
      <c r="H96" s="83">
        <v>944262</v>
      </c>
      <c r="I96" s="13">
        <f t="shared" si="10"/>
        <v>-87265</v>
      </c>
      <c r="J96" s="14">
        <f t="shared" si="11"/>
        <v>-9.2416087907805256E-2</v>
      </c>
      <c r="K96" s="80"/>
      <c r="L96" s="66" t="s">
        <v>912</v>
      </c>
      <c r="M96" s="66" t="s">
        <v>913</v>
      </c>
    </row>
    <row r="97" spans="1:13" ht="43.5">
      <c r="A97" s="27" t="str">
        <v>Glen Mary 1</v>
      </c>
      <c r="B97" s="28" t="str">
        <v>NY</v>
      </c>
      <c r="C97" s="28" t="str">
        <f>Sites[[#This Row],[SOL'#]]</f>
        <v>SOL-10993</v>
      </c>
      <c r="D97" s="88">
        <v>779720</v>
      </c>
      <c r="E97" s="97">
        <v>0</v>
      </c>
      <c r="F97" s="15">
        <f t="shared" si="8"/>
        <v>779720</v>
      </c>
      <c r="G97" s="16" t="str">
        <f t="shared" si="9"/>
        <v/>
      </c>
      <c r="H97" s="85">
        <v>982397</v>
      </c>
      <c r="I97" s="17">
        <f t="shared" si="10"/>
        <v>-202677</v>
      </c>
      <c r="J97" s="16">
        <f t="shared" si="11"/>
        <v>-0.20630865118684197</v>
      </c>
      <c r="K97" s="16">
        <v>1</v>
      </c>
      <c r="L97" s="61" t="s">
        <v>914</v>
      </c>
      <c r="M97" s="61" t="s">
        <v>915</v>
      </c>
    </row>
    <row r="98" spans="1:13" ht="15.6">
      <c r="A98" s="25" t="str">
        <v>Glen Mary 2</v>
      </c>
      <c r="B98" s="26" t="str">
        <v>NY</v>
      </c>
      <c r="C98" s="26" t="str">
        <f>Sites[[#This Row],[SOL'#]]</f>
        <v>SOL-10994</v>
      </c>
      <c r="D98" s="95">
        <v>343589</v>
      </c>
      <c r="E98" s="96">
        <v>0</v>
      </c>
      <c r="F98" s="11">
        <f t="shared" si="8"/>
        <v>343589</v>
      </c>
      <c r="G98" s="12" t="str">
        <f t="shared" si="9"/>
        <v/>
      </c>
      <c r="H98" s="83">
        <v>418546.29</v>
      </c>
      <c r="I98" s="13">
        <f t="shared" si="10"/>
        <v>-74957.289999999979</v>
      </c>
      <c r="J98" s="14">
        <f t="shared" si="11"/>
        <v>-0.17908960559655177</v>
      </c>
      <c r="K98" s="80">
        <v>1</v>
      </c>
      <c r="L98" s="66" t="s">
        <v>916</v>
      </c>
      <c r="M98" s="66" t="s">
        <v>917</v>
      </c>
    </row>
    <row r="99" spans="1:13" ht="15.6">
      <c r="A99" s="27" t="str">
        <v>Telegraph 1</v>
      </c>
      <c r="B99" s="28" t="str">
        <v>NY</v>
      </c>
      <c r="C99" s="28" t="str">
        <f>Sites[[#This Row],[SOL'#]]</f>
        <v>SOL-11003</v>
      </c>
      <c r="D99" s="88">
        <v>557728</v>
      </c>
      <c r="E99" s="97">
        <v>0</v>
      </c>
      <c r="F99" s="15">
        <f t="shared" si="8"/>
        <v>557728</v>
      </c>
      <c r="G99" s="16" t="str">
        <f t="shared" si="9"/>
        <v/>
      </c>
      <c r="H99" s="85">
        <v>689447.2</v>
      </c>
      <c r="I99" s="17">
        <f t="shared" si="10"/>
        <v>-131719.19999999995</v>
      </c>
      <c r="J99" s="16">
        <f t="shared" si="11"/>
        <v>-0.1910504531746593</v>
      </c>
      <c r="K99" s="16">
        <v>1</v>
      </c>
      <c r="L99" s="61" t="s">
        <v>918</v>
      </c>
      <c r="M99" s="61" t="s">
        <v>919</v>
      </c>
    </row>
    <row r="100" spans="1:13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95">
        <v>373321</v>
      </c>
      <c r="E100" s="96">
        <v>0</v>
      </c>
      <c r="F100" s="11">
        <f t="shared" si="8"/>
        <v>373321</v>
      </c>
      <c r="G100" s="12" t="str">
        <f t="shared" si="9"/>
        <v/>
      </c>
      <c r="H100" s="83">
        <v>358870.07</v>
      </c>
      <c r="I100" s="13">
        <f t="shared" si="10"/>
        <v>14450.929999999993</v>
      </c>
      <c r="J100" s="14">
        <f t="shared" si="11"/>
        <v>4.0267860732994515E-2</v>
      </c>
      <c r="K100" s="80">
        <v>0.98919999999999997</v>
      </c>
      <c r="L100" s="66"/>
      <c r="M100" s="66"/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88">
        <v>0</v>
      </c>
      <c r="E101" s="97">
        <v>0</v>
      </c>
      <c r="F101" s="15">
        <f t="shared" si="8"/>
        <v>0</v>
      </c>
      <c r="G101" s="16" t="str">
        <f t="shared" si="9"/>
        <v/>
      </c>
      <c r="H101" s="85">
        <v>942733.81</v>
      </c>
      <c r="I101" s="17">
        <f t="shared" si="10"/>
        <v>-942733.81</v>
      </c>
      <c r="J101" s="16">
        <f t="shared" si="11"/>
        <v>-1</v>
      </c>
      <c r="K101" s="16">
        <v>1</v>
      </c>
      <c r="L101" s="61" t="s">
        <v>771</v>
      </c>
      <c r="M101" s="61" t="s">
        <v>772</v>
      </c>
    </row>
    <row r="102" spans="1:13" ht="15.6">
      <c r="A102" s="25" t="str">
        <v>Dunkleman</v>
      </c>
      <c r="B102" s="26" t="str">
        <v>NY</v>
      </c>
      <c r="C102" s="26" t="str">
        <f>Sites[[#This Row],[SOL'#]]</f>
        <v>SOL-11008</v>
      </c>
      <c r="D102" s="95">
        <v>1044440</v>
      </c>
      <c r="E102" s="96">
        <v>0</v>
      </c>
      <c r="F102" s="11">
        <f t="shared" si="8"/>
        <v>1044440</v>
      </c>
      <c r="G102" s="12" t="str">
        <f t="shared" si="9"/>
        <v/>
      </c>
      <c r="H102" s="83">
        <v>1157360.4099999999</v>
      </c>
      <c r="I102" s="13">
        <f t="shared" si="10"/>
        <v>-112920.40999999992</v>
      </c>
      <c r="J102" s="14">
        <f t="shared" si="11"/>
        <v>-9.7567196030145811E-2</v>
      </c>
      <c r="K102" s="80">
        <v>1</v>
      </c>
      <c r="L102" s="66"/>
      <c r="M102" s="66"/>
    </row>
    <row r="103" spans="1:13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88">
        <v>440579</v>
      </c>
      <c r="E103" s="97">
        <v>0</v>
      </c>
      <c r="F103" s="15">
        <f t="shared" si="8"/>
        <v>440579</v>
      </c>
      <c r="G103" s="16" t="str">
        <f t="shared" si="9"/>
        <v/>
      </c>
      <c r="H103" s="85">
        <v>473073.84</v>
      </c>
      <c r="I103" s="17">
        <f t="shared" si="10"/>
        <v>-32494.840000000026</v>
      </c>
      <c r="J103" s="16">
        <f t="shared" si="11"/>
        <v>-6.8688727324258778E-2</v>
      </c>
      <c r="K103" s="16">
        <v>1</v>
      </c>
      <c r="L103" s="61"/>
      <c r="M103" s="61"/>
    </row>
    <row r="104" spans="1:13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95">
        <v>1015690</v>
      </c>
      <c r="E104" s="96">
        <v>0</v>
      </c>
      <c r="F104" s="11">
        <f t="shared" si="8"/>
        <v>1015690</v>
      </c>
      <c r="G104" s="12" t="str">
        <f t="shared" si="9"/>
        <v/>
      </c>
      <c r="H104" s="83">
        <v>1163393.81</v>
      </c>
      <c r="I104" s="13">
        <f t="shared" si="10"/>
        <v>-147703.81000000006</v>
      </c>
      <c r="J104" s="14">
        <f t="shared" si="11"/>
        <v>-0.12695942571673133</v>
      </c>
      <c r="K104" s="80">
        <v>0.9998999999999999</v>
      </c>
      <c r="L104" s="66"/>
      <c r="M104" s="66"/>
    </row>
    <row r="105" spans="1:13" ht="29.1">
      <c r="A105" s="27" t="str">
        <v>Yellow Mills 1</v>
      </c>
      <c r="B105" s="28" t="str">
        <v>NY</v>
      </c>
      <c r="C105" s="28" t="str">
        <f>Sites[[#This Row],[SOL'#]]</f>
        <v>SOL-11006</v>
      </c>
      <c r="D105" s="88">
        <v>290603</v>
      </c>
      <c r="E105" s="97">
        <v>0</v>
      </c>
      <c r="F105" s="15">
        <f t="shared" si="8"/>
        <v>290603</v>
      </c>
      <c r="G105" s="16" t="str">
        <f t="shared" si="9"/>
        <v/>
      </c>
      <c r="H105" s="85">
        <v>400353.54</v>
      </c>
      <c r="I105" s="17">
        <f t="shared" si="10"/>
        <v>-109750.53999999998</v>
      </c>
      <c r="J105" s="16">
        <f t="shared" si="11"/>
        <v>-0.27413405661406165</v>
      </c>
      <c r="K105" s="16">
        <v>0.97310000000000008</v>
      </c>
      <c r="L105" s="61" t="s">
        <v>920</v>
      </c>
      <c r="M105" s="61" t="s">
        <v>921</v>
      </c>
    </row>
    <row r="106" spans="1:13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95">
        <v>391673</v>
      </c>
      <c r="E106" s="96">
        <v>0</v>
      </c>
      <c r="F106" s="11">
        <f t="shared" si="8"/>
        <v>391673</v>
      </c>
      <c r="G106" s="12" t="str">
        <f t="shared" si="9"/>
        <v/>
      </c>
      <c r="H106" s="83">
        <v>415631.6</v>
      </c>
      <c r="I106" s="13">
        <f t="shared" si="10"/>
        <v>-23958.599999999977</v>
      </c>
      <c r="J106" s="14">
        <f t="shared" si="11"/>
        <v>-5.7643836512911863E-2</v>
      </c>
      <c r="K106" s="80">
        <v>1</v>
      </c>
      <c r="L106" s="66"/>
      <c r="M106" s="66"/>
    </row>
    <row r="107" spans="1:13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88">
        <v>377192</v>
      </c>
      <c r="E107" s="97">
        <v>0</v>
      </c>
      <c r="F107" s="15">
        <f t="shared" si="8"/>
        <v>377192</v>
      </c>
      <c r="G107" s="16" t="str">
        <f t="shared" si="9"/>
        <v/>
      </c>
      <c r="H107" s="85">
        <v>395337.62</v>
      </c>
      <c r="I107" s="17">
        <f t="shared" si="10"/>
        <v>-18145.619999999995</v>
      </c>
      <c r="J107" s="16">
        <f t="shared" si="11"/>
        <v>-4.5899046996842836E-2</v>
      </c>
      <c r="K107" s="16">
        <v>1</v>
      </c>
      <c r="L107" s="61"/>
      <c r="M107" s="61"/>
    </row>
    <row r="108" spans="1:13" ht="15.6">
      <c r="A108" s="25" t="str">
        <v>Catskill</v>
      </c>
      <c r="B108" s="26" t="str">
        <v>NY</v>
      </c>
      <c r="C108" s="26" t="str">
        <f>Sites[[#This Row],[SOL'#]]</f>
        <v>SOL-11021</v>
      </c>
      <c r="D108" s="95">
        <v>621666</v>
      </c>
      <c r="E108" s="96">
        <v>0</v>
      </c>
      <c r="F108" s="11">
        <f t="shared" si="8"/>
        <v>621666</v>
      </c>
      <c r="G108" s="12" t="str">
        <f t="shared" si="9"/>
        <v/>
      </c>
      <c r="H108" s="83">
        <v>727392.72</v>
      </c>
      <c r="I108" s="13">
        <f t="shared" si="10"/>
        <v>-105726.71999999997</v>
      </c>
      <c r="J108" s="14">
        <f t="shared" si="11"/>
        <v>-0.14535025866082352</v>
      </c>
      <c r="K108" s="80">
        <v>0.99959999999999993</v>
      </c>
      <c r="L108" s="66" t="s">
        <v>922</v>
      </c>
      <c r="M108" s="66" t="s">
        <v>923</v>
      </c>
    </row>
    <row r="109" spans="1:13" ht="29.1">
      <c r="A109" s="27" t="str">
        <v>Eddy Ridge</v>
      </c>
      <c r="B109" s="28" t="str">
        <v>NY</v>
      </c>
      <c r="C109" s="28" t="str">
        <f>Sites[[#This Row],[SOL'#]]</f>
        <v>SOL-11054</v>
      </c>
      <c r="D109" s="88">
        <v>434956</v>
      </c>
      <c r="E109" s="97">
        <v>0</v>
      </c>
      <c r="F109" s="15">
        <f t="shared" si="8"/>
        <v>434956</v>
      </c>
      <c r="G109" s="16" t="str">
        <f t="shared" si="9"/>
        <v/>
      </c>
      <c r="H109" s="85">
        <v>572000</v>
      </c>
      <c r="I109" s="17">
        <f t="shared" si="10"/>
        <v>-137044</v>
      </c>
      <c r="J109" s="16">
        <f t="shared" si="11"/>
        <v>-0.23958741258741259</v>
      </c>
      <c r="K109" s="16">
        <v>0.99849999999999994</v>
      </c>
      <c r="L109" s="61" t="s">
        <v>924</v>
      </c>
      <c r="M109" s="61" t="s">
        <v>925</v>
      </c>
    </row>
    <row r="110" spans="1:13" ht="15.6">
      <c r="A110" s="27" t="str">
        <v>Ridgeway #1</v>
      </c>
      <c r="B110" s="26" t="str">
        <v>NY</v>
      </c>
      <c r="C110" s="26" t="str">
        <f>Sites[[#This Row],[SOL'#]]</f>
        <v>SOL-11018</v>
      </c>
      <c r="D110" s="95">
        <v>440562</v>
      </c>
      <c r="E110" s="96">
        <v>0</v>
      </c>
      <c r="F110" s="11">
        <f t="shared" si="8"/>
        <v>440562</v>
      </c>
      <c r="G110" s="12" t="str">
        <f t="shared" si="9"/>
        <v/>
      </c>
      <c r="H110" s="83">
        <v>1213298</v>
      </c>
      <c r="I110" s="13">
        <f t="shared" si="10"/>
        <v>-772736</v>
      </c>
      <c r="J110" s="14">
        <f t="shared" si="11"/>
        <v>-0.6368888764343138</v>
      </c>
      <c r="K110" s="80"/>
      <c r="L110" s="66"/>
      <c r="M110" s="66"/>
    </row>
    <row r="111" spans="1:13" ht="64.5" customHeight="1">
      <c r="A111" s="27" t="str">
        <v>Rivard 1</v>
      </c>
      <c r="B111" s="28" t="str">
        <v>NY</v>
      </c>
      <c r="C111" s="28" t="str">
        <f>Sites[[#This Row],[SOL'#]]</f>
        <v>SOL-11011</v>
      </c>
      <c r="D111" s="88">
        <v>792227.13930348295</v>
      </c>
      <c r="E111" s="97">
        <v>969112.6</v>
      </c>
      <c r="F111" s="15">
        <f t="shared" si="8"/>
        <v>-176885.46069651702</v>
      </c>
      <c r="G111" s="16">
        <f t="shared" si="9"/>
        <v>-0.18252312548254665</v>
      </c>
      <c r="H111" s="85">
        <v>940368</v>
      </c>
      <c r="I111" s="17">
        <f t="shared" si="10"/>
        <v>-148140.86069651705</v>
      </c>
      <c r="J111" s="16">
        <f t="shared" si="11"/>
        <v>-0.15753498704392008</v>
      </c>
      <c r="K111" s="16">
        <v>0.99344739999999998</v>
      </c>
      <c r="L111" s="61" t="s">
        <v>926</v>
      </c>
      <c r="M111" s="61" t="s">
        <v>927</v>
      </c>
    </row>
    <row r="112" spans="1:13" ht="15.6">
      <c r="A112" s="25" t="str">
        <v>Rivard 2</v>
      </c>
      <c r="B112" s="26" t="str">
        <v>NY</v>
      </c>
      <c r="C112" s="26" t="str">
        <f>Sites[[#This Row],[SOL'#]]</f>
        <v>SOL-11012</v>
      </c>
      <c r="D112" s="95">
        <v>888259.11999999895</v>
      </c>
      <c r="E112" s="96">
        <v>887131.1</v>
      </c>
      <c r="F112" s="11">
        <f t="shared" si="8"/>
        <v>1128.0199999989709</v>
      </c>
      <c r="G112" s="12">
        <f t="shared" si="9"/>
        <v>1.2715369802715414E-3</v>
      </c>
      <c r="H112" s="83">
        <v>903665.9</v>
      </c>
      <c r="I112" s="13">
        <f t="shared" si="10"/>
        <v>-15406.780000001076</v>
      </c>
      <c r="J112" s="14">
        <f t="shared" si="11"/>
        <v>-1.7049199267119713E-2</v>
      </c>
      <c r="K112" s="80">
        <v>0.99692780000000003</v>
      </c>
      <c r="L112" s="66" t="s">
        <v>928</v>
      </c>
      <c r="M112" s="66" t="s">
        <v>929</v>
      </c>
    </row>
    <row r="113" spans="1:14" ht="15.6">
      <c r="A113" s="27" t="str">
        <v>Essex</v>
      </c>
      <c r="B113" s="28" t="str">
        <v>DC</v>
      </c>
      <c r="C113" s="28" t="str">
        <f>Sites[[#This Row],[SOL'#]]</f>
        <v>SOL-10036</v>
      </c>
      <c r="D113" s="88">
        <v>4104</v>
      </c>
      <c r="E113" s="97">
        <v>5520.94</v>
      </c>
      <c r="F113" s="15">
        <f t="shared" si="8"/>
        <v>-1416.9399999999996</v>
      </c>
      <c r="G113" s="16">
        <f t="shared" si="9"/>
        <v>-0.25664832437954399</v>
      </c>
      <c r="H113" s="85">
        <v>4971.4470000000001</v>
      </c>
      <c r="I113" s="17">
        <f t="shared" si="10"/>
        <v>-867.44700000000012</v>
      </c>
      <c r="J113" s="16">
        <f t="shared" si="11"/>
        <v>-0.17448581871636168</v>
      </c>
      <c r="K113" s="16">
        <v>1</v>
      </c>
      <c r="L113" s="61"/>
      <c r="M113" s="61"/>
    </row>
    <row r="114" spans="1:14" ht="87">
      <c r="A114" s="25" t="str">
        <v>Temple Sinai</v>
      </c>
      <c r="B114" s="26" t="str">
        <v>DC</v>
      </c>
      <c r="C114" s="26" t="str">
        <f>Sites[[#This Row],[SOL'#]]</f>
        <v>SOL-10028</v>
      </c>
      <c r="D114" s="95">
        <v>9827.75</v>
      </c>
      <c r="E114" s="96">
        <v>11383.8</v>
      </c>
      <c r="F114" s="11">
        <f t="shared" si="8"/>
        <v>-1556.0499999999993</v>
      </c>
      <c r="G114" s="12">
        <f t="shared" si="9"/>
        <v>-0.13668985751682208</v>
      </c>
      <c r="H114" s="83">
        <v>11568.97</v>
      </c>
      <c r="I114" s="13">
        <f t="shared" si="10"/>
        <v>-1741.2199999999993</v>
      </c>
      <c r="J114" s="14">
        <f t="shared" si="11"/>
        <v>-0.15050778072723842</v>
      </c>
      <c r="K114" s="80">
        <v>0.96951710000000002</v>
      </c>
      <c r="L114" s="66" t="s">
        <v>930</v>
      </c>
      <c r="M114" s="66" t="s">
        <v>931</v>
      </c>
    </row>
    <row r="115" spans="1:14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88">
        <v>1636</v>
      </c>
      <c r="E115" s="97">
        <v>1686.29</v>
      </c>
      <c r="F115" s="15">
        <f t="shared" si="8"/>
        <v>-50.289999999999964</v>
      </c>
      <c r="G115" s="16">
        <f t="shared" si="9"/>
        <v>-2.9822865580653366E-2</v>
      </c>
      <c r="H115" s="85">
        <v>1749.9469999999999</v>
      </c>
      <c r="I115" s="17">
        <f t="shared" si="10"/>
        <v>-113.94699999999989</v>
      </c>
      <c r="J115" s="16">
        <f t="shared" si="11"/>
        <v>-6.5114543469030714E-2</v>
      </c>
      <c r="K115" s="16"/>
      <c r="L115" s="61"/>
      <c r="M115" s="61"/>
    </row>
    <row r="116" spans="1:14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95">
        <v>1489</v>
      </c>
      <c r="E116" s="96">
        <v>1487</v>
      </c>
      <c r="F116" s="11">
        <f t="shared" si="8"/>
        <v>2</v>
      </c>
      <c r="G116" s="12">
        <f t="shared" si="9"/>
        <v>1.3449899125756557E-3</v>
      </c>
      <c r="H116" s="83">
        <v>1758</v>
      </c>
      <c r="I116" s="13">
        <f t="shared" si="10"/>
        <v>-269</v>
      </c>
      <c r="J116" s="14">
        <f t="shared" si="11"/>
        <v>-0.15301478953356087</v>
      </c>
      <c r="K116" s="80"/>
      <c r="L116" s="66"/>
      <c r="M116" s="66"/>
    </row>
    <row r="117" spans="1:14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88">
        <v>1833</v>
      </c>
      <c r="E117" s="97">
        <v>1763</v>
      </c>
      <c r="F117" s="15">
        <f t="shared" si="8"/>
        <v>70</v>
      </c>
      <c r="G117" s="16">
        <f t="shared" si="9"/>
        <v>3.970504821327283E-2</v>
      </c>
      <c r="H117" s="85">
        <v>1827</v>
      </c>
      <c r="I117" s="17">
        <f t="shared" si="10"/>
        <v>6</v>
      </c>
      <c r="J117" s="16">
        <f t="shared" si="11"/>
        <v>3.2840722495894909E-3</v>
      </c>
      <c r="K117" s="16"/>
      <c r="L117" s="61"/>
      <c r="M117" s="61"/>
    </row>
    <row r="118" spans="1:14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95">
        <v>19914</v>
      </c>
      <c r="E118" s="96">
        <v>22019.236000000001</v>
      </c>
      <c r="F118" s="11">
        <f t="shared" si="8"/>
        <v>-2105.2360000000008</v>
      </c>
      <c r="G118" s="12">
        <f t="shared" si="9"/>
        <v>-9.5608948466695237E-2</v>
      </c>
      <c r="H118" s="83">
        <v>18905</v>
      </c>
      <c r="I118" s="13">
        <f t="shared" si="10"/>
        <v>1009</v>
      </c>
      <c r="J118" s="14">
        <f t="shared" si="11"/>
        <v>5.3372123776778628E-2</v>
      </c>
      <c r="K118" s="80"/>
      <c r="L118" s="66"/>
      <c r="M118" s="66"/>
    </row>
    <row r="119" spans="1:14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88">
        <v>52566</v>
      </c>
      <c r="E119" s="97">
        <v>0</v>
      </c>
      <c r="F119" s="15">
        <f t="shared" si="8"/>
        <v>52566</v>
      </c>
      <c r="G119" s="16" t="str">
        <f t="shared" si="9"/>
        <v/>
      </c>
      <c r="H119" s="85">
        <v>48292</v>
      </c>
      <c r="I119" s="17">
        <f t="shared" si="10"/>
        <v>4274</v>
      </c>
      <c r="J119" s="16">
        <f t="shared" si="11"/>
        <v>8.8503271763439084E-2</v>
      </c>
      <c r="K119" s="16"/>
      <c r="L119" s="61"/>
      <c r="M119" s="61"/>
    </row>
    <row r="120" spans="1:14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95"/>
      <c r="E120" s="96"/>
      <c r="F120" s="11" t="str">
        <f t="shared" si="8"/>
        <v/>
      </c>
      <c r="G120" s="12" t="str">
        <f t="shared" si="9"/>
        <v/>
      </c>
      <c r="H120" s="83">
        <v>36430</v>
      </c>
      <c r="I120" s="13" t="str">
        <f t="shared" si="10"/>
        <v/>
      </c>
      <c r="J120" s="14" t="str">
        <f t="shared" si="11"/>
        <v/>
      </c>
      <c r="K120" s="80"/>
      <c r="L120" s="66" t="s">
        <v>932</v>
      </c>
      <c r="M120" s="66"/>
    </row>
    <row r="121" spans="1:14" ht="15.6">
      <c r="A121" s="27" t="str">
        <v>Leoku</v>
      </c>
      <c r="B121" s="28" t="str">
        <v>HI</v>
      </c>
      <c r="C121" s="28" t="str">
        <f>Sites[[#This Row],[SOL'#]]</f>
        <v>SOL-10071</v>
      </c>
      <c r="D121" s="88">
        <v>13292</v>
      </c>
      <c r="E121" s="97">
        <v>11507.05</v>
      </c>
      <c r="F121" s="15">
        <f t="shared" si="8"/>
        <v>1784.9500000000007</v>
      </c>
      <c r="G121" s="16">
        <f t="shared" si="9"/>
        <v>0.15511794943100107</v>
      </c>
      <c r="H121" s="85">
        <v>13770.9</v>
      </c>
      <c r="I121" s="17">
        <f t="shared" si="10"/>
        <v>-478.89999999999964</v>
      </c>
      <c r="J121" s="16">
        <f t="shared" si="11"/>
        <v>-3.4776231037913254E-2</v>
      </c>
      <c r="K121" s="16"/>
      <c r="L121" s="61"/>
      <c r="M121" s="61"/>
    </row>
    <row r="122" spans="1:14" ht="15.6">
      <c r="A122" s="25" t="str">
        <v>Waipahu</v>
      </c>
      <c r="B122" s="26" t="str">
        <v>HI</v>
      </c>
      <c r="C122" s="26" t="str">
        <f>Sites[[#This Row],[SOL'#]]</f>
        <v>SOL-10068</v>
      </c>
      <c r="D122" s="95">
        <v>13507</v>
      </c>
      <c r="E122" s="96">
        <v>10804.81</v>
      </c>
      <c r="F122" s="11">
        <f t="shared" si="8"/>
        <v>2702.1900000000005</v>
      </c>
      <c r="G122" s="12">
        <f t="shared" si="9"/>
        <v>0.25009139448079148</v>
      </c>
      <c r="H122" s="83">
        <v>13763.53</v>
      </c>
      <c r="I122" s="13">
        <f t="shared" si="10"/>
        <v>-256.53000000000065</v>
      </c>
      <c r="J122" s="14">
        <f t="shared" si="11"/>
        <v>-1.8638387099821095E-2</v>
      </c>
      <c r="K122" s="80"/>
      <c r="L122" s="66"/>
      <c r="M122" s="66"/>
    </row>
    <row r="123" spans="1:14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88">
        <v>177727</v>
      </c>
      <c r="E123" s="97">
        <v>179462.7</v>
      </c>
      <c r="F123" s="15">
        <f t="shared" si="8"/>
        <v>-1735.7000000000116</v>
      </c>
      <c r="G123" s="16">
        <f t="shared" si="9"/>
        <v>-9.6716476460011556E-3</v>
      </c>
      <c r="H123" s="85">
        <v>169532.1</v>
      </c>
      <c r="I123" s="17">
        <f t="shared" si="10"/>
        <v>8194.8999999999942</v>
      </c>
      <c r="J123" s="16">
        <f t="shared" si="11"/>
        <v>4.8338338285197874E-2</v>
      </c>
      <c r="K123" s="16"/>
      <c r="L123" s="61"/>
      <c r="M123" s="61"/>
    </row>
    <row r="124" spans="1:14" ht="15.6">
      <c r="A124" s="25" t="str">
        <v>Shortal</v>
      </c>
      <c r="B124" s="26" t="str">
        <v>MD</v>
      </c>
      <c r="C124" s="26" t="str">
        <f>Sites[[#This Row],[SOL'#]]</f>
        <v>SOL-10091</v>
      </c>
      <c r="D124" s="95">
        <v>185282</v>
      </c>
      <c r="E124" s="96">
        <v>173944.1</v>
      </c>
      <c r="F124" s="11">
        <f t="shared" si="8"/>
        <v>11337.899999999994</v>
      </c>
      <c r="G124" s="12">
        <f t="shared" si="9"/>
        <v>6.518128525198609E-2</v>
      </c>
      <c r="H124" s="83">
        <v>181207.5</v>
      </c>
      <c r="I124" s="13">
        <f t="shared" si="10"/>
        <v>4074.5</v>
      </c>
      <c r="J124" s="14">
        <f t="shared" si="11"/>
        <v>2.2485272408702732E-2</v>
      </c>
      <c r="K124" s="80"/>
      <c r="L124" s="66"/>
      <c r="M124" s="66"/>
    </row>
    <row r="125" spans="1:14" ht="15.6">
      <c r="A125" s="27" t="str">
        <v>Aguadilla</v>
      </c>
      <c r="B125" s="28" t="str">
        <v>PR</v>
      </c>
      <c r="C125" s="28" t="str">
        <f>Sites[[#This Row],[SOL'#]]</f>
        <v>SOL-10072</v>
      </c>
      <c r="D125" s="88">
        <v>20623</v>
      </c>
      <c r="E125" s="97">
        <v>18798.080000000002</v>
      </c>
      <c r="F125" s="15">
        <f>IF(AND(ISNUMBER(D125),ISNUMBER(E125)), D125-E125, "")</f>
        <v>1824.9199999999983</v>
      </c>
      <c r="G125" s="16">
        <f t="shared" si="9"/>
        <v>9.7080127332152974E-2</v>
      </c>
      <c r="H125" s="85">
        <v>23367</v>
      </c>
      <c r="I125" s="17">
        <f>IF(AND(ISNUMBER(D125),ISNUMBER(H125)), D125-H125, "")</f>
        <v>-2744</v>
      </c>
      <c r="J125" s="16">
        <f t="shared" si="11"/>
        <v>-0.11743056447126289</v>
      </c>
      <c r="K125" s="16"/>
      <c r="L125" s="61" t="s">
        <v>933</v>
      </c>
      <c r="M125" s="61" t="s">
        <v>934</v>
      </c>
    </row>
    <row r="126" spans="1:14" ht="129" customHeight="1">
      <c r="A126" s="25" t="str">
        <v>Bayamon</v>
      </c>
      <c r="B126" s="26" t="str">
        <v>PR</v>
      </c>
      <c r="C126" s="26" t="str">
        <f>Sites[[#This Row],[SOL'#]]</f>
        <v>SOL-10073</v>
      </c>
      <c r="D126" s="95">
        <v>72065</v>
      </c>
      <c r="E126" s="96">
        <v>75775.19</v>
      </c>
      <c r="F126" s="11">
        <f t="shared" si="8"/>
        <v>-3710.1900000000023</v>
      </c>
      <c r="G126" s="12">
        <f t="shared" si="9"/>
        <v>-4.8963123682038964E-2</v>
      </c>
      <c r="H126" s="83">
        <v>90656</v>
      </c>
      <c r="I126" s="13">
        <f t="shared" si="10"/>
        <v>-18591</v>
      </c>
      <c r="J126" s="14">
        <f t="shared" si="11"/>
        <v>-0.20507192022590892</v>
      </c>
      <c r="K126" s="80"/>
      <c r="L126" s="66" t="s">
        <v>935</v>
      </c>
      <c r="M126" s="66" t="s">
        <v>936</v>
      </c>
    </row>
    <row r="127" spans="1:14" ht="261">
      <c r="A127" s="27" t="str">
        <v>St Francis</v>
      </c>
      <c r="B127" s="28" t="str">
        <v>PR</v>
      </c>
      <c r="C127" s="28" t="str">
        <f>Sites[[#This Row],[SOL'#]]</f>
        <v>SOL-10034</v>
      </c>
      <c r="D127" s="88">
        <v>28020</v>
      </c>
      <c r="E127" s="97">
        <v>53415.65</v>
      </c>
      <c r="F127" s="15">
        <f t="shared" si="8"/>
        <v>-25395.65</v>
      </c>
      <c r="G127" s="16">
        <f t="shared" si="9"/>
        <v>-0.47543463385730589</v>
      </c>
      <c r="H127" s="85">
        <v>43380</v>
      </c>
      <c r="I127" s="17">
        <f t="shared" si="10"/>
        <v>-15360</v>
      </c>
      <c r="J127" s="16">
        <f t="shared" si="11"/>
        <v>-0.35408022130013833</v>
      </c>
      <c r="K127" s="16"/>
      <c r="L127" s="61" t="s">
        <v>937</v>
      </c>
      <c r="M127" s="61" t="s">
        <v>938</v>
      </c>
      <c r="N127" s="98"/>
    </row>
    <row r="128" spans="1:14" ht="15.6">
      <c r="A128" s="25" t="str">
        <v>Seaport</v>
      </c>
      <c r="B128" s="26" t="str">
        <v>MA</v>
      </c>
      <c r="C128" s="26" t="str">
        <f>Sites[[#This Row],[SOL'#]]</f>
        <v>SOL-10772</v>
      </c>
      <c r="D128" s="95">
        <v>73468.5</v>
      </c>
      <c r="E128" s="96">
        <v>69441.179999999993</v>
      </c>
      <c r="F128" s="11">
        <f t="shared" si="8"/>
        <v>4027.320000000007</v>
      </c>
      <c r="G128" s="12">
        <f t="shared" si="9"/>
        <v>5.7996134282280447E-2</v>
      </c>
      <c r="H128" s="83">
        <v>79847.55</v>
      </c>
      <c r="I128" s="13">
        <f t="shared" si="10"/>
        <v>-6379.0500000000029</v>
      </c>
      <c r="J128" s="14">
        <f t="shared" si="11"/>
        <v>-7.9890366078859062E-2</v>
      </c>
      <c r="K128" s="80"/>
      <c r="L128" s="66"/>
      <c r="M128" s="66"/>
    </row>
    <row r="129" spans="1:14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88">
        <v>164429</v>
      </c>
      <c r="E129" s="97">
        <v>166812</v>
      </c>
      <c r="F129" s="15">
        <f t="shared" si="8"/>
        <v>-2383</v>
      </c>
      <c r="G129" s="16">
        <f t="shared" si="9"/>
        <v>-1.4285543006498333E-2</v>
      </c>
      <c r="H129" s="85">
        <v>173399.7</v>
      </c>
      <c r="I129" s="17">
        <f t="shared" si="10"/>
        <v>-8970.7000000000116</v>
      </c>
      <c r="J129" s="16">
        <f t="shared" si="11"/>
        <v>-5.1734230220698257E-2</v>
      </c>
      <c r="K129" s="16"/>
      <c r="L129" s="61"/>
      <c r="M129" s="61"/>
    </row>
    <row r="130" spans="1:14" ht="43.5">
      <c r="A130" s="25" t="str">
        <v>Summer St</v>
      </c>
      <c r="B130" s="26" t="str">
        <v>MA</v>
      </c>
      <c r="C130" s="26" t="str">
        <f>Sites[[#This Row],[SOL'#]]</f>
        <v>SOL-10764</v>
      </c>
      <c r="D130" s="95">
        <v>338944</v>
      </c>
      <c r="E130" s="96">
        <v>352843.4</v>
      </c>
      <c r="F130" s="11">
        <f t="shared" si="8"/>
        <v>-13899.400000000023</v>
      </c>
      <c r="G130" s="12">
        <f t="shared" si="9"/>
        <v>-3.9392546381766022E-2</v>
      </c>
      <c r="H130" s="83">
        <v>373085.3</v>
      </c>
      <c r="I130" s="13">
        <f t="shared" si="10"/>
        <v>-34141.299999999988</v>
      </c>
      <c r="J130" s="14">
        <f t="shared" si="11"/>
        <v>-9.1510708141006869E-2</v>
      </c>
      <c r="K130" s="80"/>
      <c r="L130" s="66" t="s">
        <v>939</v>
      </c>
      <c r="M130" s="66" t="s">
        <v>940</v>
      </c>
    </row>
    <row r="131" spans="1:14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88">
        <v>15335.561750000001</v>
      </c>
      <c r="E131" s="97">
        <v>14673.71</v>
      </c>
      <c r="F131" s="15">
        <f t="shared" si="8"/>
        <v>661.85175000000163</v>
      </c>
      <c r="G131" s="16">
        <f t="shared" si="9"/>
        <v>4.5104595225065894E-2</v>
      </c>
      <c r="H131" s="85">
        <v>12246.16</v>
      </c>
      <c r="I131" s="17">
        <f t="shared" si="10"/>
        <v>3089.4017500000009</v>
      </c>
      <c r="J131" s="16">
        <f t="shared" si="11"/>
        <v>0.25227514175872279</v>
      </c>
      <c r="K131" s="16"/>
      <c r="L131" s="61"/>
      <c r="M131" s="61"/>
      <c r="N131" s="98"/>
    </row>
    <row r="132" spans="1:14" ht="29.1">
      <c r="A132" s="25" t="str">
        <v>McClelland ES</v>
      </c>
      <c r="B132" s="26" t="str">
        <v>NH</v>
      </c>
      <c r="C132" s="26" t="str">
        <f>Sites[[#This Row],[SOL'#]]</f>
        <v>SOL-10766</v>
      </c>
      <c r="D132" s="95">
        <v>10999.404979999999</v>
      </c>
      <c r="E132" s="96">
        <v>11946.75</v>
      </c>
      <c r="F132" s="11">
        <f t="shared" si="8"/>
        <v>-947.34502000000066</v>
      </c>
      <c r="G132" s="12">
        <f t="shared" si="9"/>
        <v>-7.9297300102538396E-2</v>
      </c>
      <c r="H132" s="83">
        <v>9111.8629999999994</v>
      </c>
      <c r="I132" s="13">
        <f t="shared" si="10"/>
        <v>1887.54198</v>
      </c>
      <c r="J132" s="14">
        <f t="shared" si="11"/>
        <v>0.20715214660273099</v>
      </c>
      <c r="K132" s="80"/>
      <c r="L132" s="66" t="s">
        <v>941</v>
      </c>
      <c r="M132" s="66" t="s">
        <v>942</v>
      </c>
    </row>
    <row r="133" spans="1:14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88">
        <v>9533.25</v>
      </c>
      <c r="E133" s="97">
        <v>7008.933</v>
      </c>
      <c r="F133" s="15">
        <f t="shared" si="8"/>
        <v>2524.317</v>
      </c>
      <c r="G133" s="16">
        <f t="shared" si="9"/>
        <v>0.36015710237207288</v>
      </c>
      <c r="H133" s="85">
        <v>9248</v>
      </c>
      <c r="I133" s="17">
        <f t="shared" si="10"/>
        <v>285.25</v>
      </c>
      <c r="J133" s="16">
        <f t="shared" si="11"/>
        <v>3.0844506920415224E-2</v>
      </c>
      <c r="K133" s="16"/>
      <c r="L133" s="61"/>
      <c r="M133" s="61"/>
      <c r="N133" s="98"/>
    </row>
    <row r="134" spans="1:14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95">
        <v>39126.25</v>
      </c>
      <c r="E134" s="96">
        <v>33959.43</v>
      </c>
      <c r="F134" s="11">
        <f t="shared" si="8"/>
        <v>5166.82</v>
      </c>
      <c r="G134" s="12">
        <f t="shared" si="9"/>
        <v>0.1521468410983341</v>
      </c>
      <c r="H134" s="83">
        <v>32389.119999999999</v>
      </c>
      <c r="I134" s="13">
        <f t="shared" si="10"/>
        <v>6737.130000000001</v>
      </c>
      <c r="J134" s="14">
        <f t="shared" si="11"/>
        <v>0.20800596002608288</v>
      </c>
      <c r="K134" s="80"/>
      <c r="L134" s="66"/>
      <c r="M134" s="66"/>
    </row>
    <row r="135" spans="1:14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88">
        <v>28989.25</v>
      </c>
      <c r="E135" s="97">
        <v>35424</v>
      </c>
      <c r="F135" s="15">
        <f t="shared" si="8"/>
        <v>-6434.75</v>
      </c>
      <c r="G135" s="16">
        <f t="shared" si="9"/>
        <v>-0.18164944670280037</v>
      </c>
      <c r="H135" s="85">
        <v>29560.79</v>
      </c>
      <c r="I135" s="17">
        <f t="shared" si="10"/>
        <v>-571.54000000000087</v>
      </c>
      <c r="J135" s="16">
        <f t="shared" si="11"/>
        <v>-1.9334395325700051E-2</v>
      </c>
      <c r="K135" s="16"/>
      <c r="L135" s="61" t="s">
        <v>943</v>
      </c>
      <c r="M135" s="61" t="s">
        <v>944</v>
      </c>
    </row>
    <row r="136" spans="1:14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95">
        <v>33133.619859999999</v>
      </c>
      <c r="E136" s="96">
        <v>35461.760000000002</v>
      </c>
      <c r="F136" s="11">
        <f t="shared" si="8"/>
        <v>-2328.1401400000032</v>
      </c>
      <c r="G136" s="12">
        <f t="shared" si="9"/>
        <v>-6.5652131761085836E-2</v>
      </c>
      <c r="H136" s="83">
        <v>28311.24</v>
      </c>
      <c r="I136" s="13">
        <f t="shared" si="10"/>
        <v>4822.3798599999973</v>
      </c>
      <c r="J136" s="14">
        <f t="shared" si="11"/>
        <v>0.17033446292002741</v>
      </c>
      <c r="K136" s="80"/>
      <c r="L136" s="66"/>
      <c r="M136" s="66"/>
    </row>
    <row r="137" spans="1:14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88">
        <v>16797.499970000001</v>
      </c>
      <c r="E137" s="97">
        <v>14141.58</v>
      </c>
      <c r="F137" s="15">
        <f t="shared" si="8"/>
        <v>2655.9199700000008</v>
      </c>
      <c r="G137" s="16">
        <f t="shared" si="9"/>
        <v>0.18780928085829171</v>
      </c>
      <c r="H137" s="85">
        <v>13920.25</v>
      </c>
      <c r="I137" s="17">
        <f t="shared" si="10"/>
        <v>2877.2499700000008</v>
      </c>
      <c r="J137" s="16">
        <f t="shared" si="11"/>
        <v>0.20669527989799039</v>
      </c>
      <c r="K137" s="16"/>
      <c r="L137" s="61"/>
      <c r="M137" s="61"/>
    </row>
    <row r="138" spans="1:14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95">
        <v>536888</v>
      </c>
      <c r="E138" s="96">
        <v>0</v>
      </c>
      <c r="F138" s="11">
        <f t="shared" si="8"/>
        <v>536888</v>
      </c>
      <c r="G138" s="12" t="str">
        <f t="shared" si="9"/>
        <v/>
      </c>
      <c r="H138" s="83">
        <v>618215</v>
      </c>
      <c r="I138" s="13">
        <f t="shared" si="10"/>
        <v>-81327</v>
      </c>
      <c r="J138" s="14">
        <f t="shared" si="11"/>
        <v>-0.13155132114232104</v>
      </c>
      <c r="K138" s="80"/>
      <c r="L138" s="66"/>
      <c r="M138" s="66"/>
    </row>
    <row r="139" spans="1:14" ht="15.6">
      <c r="A139" s="27" t="str">
        <v>Spencer</v>
      </c>
      <c r="B139" s="28" t="str">
        <v>NY</v>
      </c>
      <c r="C139" s="28" t="str">
        <f>Sites[[#This Row],[SOL'#]]</f>
        <v>SOL-11017</v>
      </c>
      <c r="D139" s="88">
        <v>960106</v>
      </c>
      <c r="E139" s="97">
        <v>0</v>
      </c>
      <c r="F139" s="15">
        <f t="shared" si="8"/>
        <v>960106</v>
      </c>
      <c r="G139" s="16" t="str">
        <f t="shared" si="9"/>
        <v/>
      </c>
      <c r="H139" s="85">
        <v>1200000</v>
      </c>
      <c r="I139" s="17">
        <f t="shared" si="10"/>
        <v>-239894</v>
      </c>
      <c r="J139" s="16">
        <f t="shared" si="11"/>
        <v>-0.19991166666666665</v>
      </c>
      <c r="K139" s="16"/>
      <c r="L139" s="61" t="s">
        <v>945</v>
      </c>
      <c r="M139" s="61" t="s">
        <v>946</v>
      </c>
    </row>
    <row r="140" spans="1:14" ht="15.6">
      <c r="A140" s="29" t="str">
        <v>Reisender</v>
      </c>
      <c r="B140" s="26" t="str">
        <v>NY</v>
      </c>
      <c r="C140" s="26" t="str">
        <f>Sites[[#This Row],[SOL'#]]</f>
        <v>SOL-10886</v>
      </c>
      <c r="D140" s="95">
        <v>332500</v>
      </c>
      <c r="E140" s="96">
        <v>337661</v>
      </c>
      <c r="F140" s="11">
        <f t="shared" si="8"/>
        <v>-5161</v>
      </c>
      <c r="G140" s="12">
        <f t="shared" si="9"/>
        <v>-1.5284560550374488E-2</v>
      </c>
      <c r="H140" s="83">
        <v>373889</v>
      </c>
      <c r="I140" s="13">
        <f t="shared" si="10"/>
        <v>-41389</v>
      </c>
      <c r="J140" s="14">
        <f t="shared" si="11"/>
        <v>-0.11069862980724225</v>
      </c>
      <c r="K140" s="80"/>
      <c r="L140" s="66"/>
      <c r="M140" s="66"/>
    </row>
    <row r="141" spans="1:14" ht="15.6">
      <c r="A141" s="27" t="str">
        <v>Finney</v>
      </c>
      <c r="B141" s="28" t="str">
        <v>NY</v>
      </c>
      <c r="C141" s="28" t="str">
        <f>Sites[[#This Row],[SOL'#]]</f>
        <v>SOL-10999</v>
      </c>
      <c r="D141" s="88">
        <v>977400</v>
      </c>
      <c r="E141" s="97">
        <v>0</v>
      </c>
      <c r="F141" s="15">
        <f t="shared" si="8"/>
        <v>977400</v>
      </c>
      <c r="G141" s="16" t="str">
        <f t="shared" si="9"/>
        <v/>
      </c>
      <c r="H141" s="85">
        <v>1219684</v>
      </c>
      <c r="I141" s="17">
        <f t="shared" si="10"/>
        <v>-242284</v>
      </c>
      <c r="J141" s="16">
        <f t="shared" si="11"/>
        <v>-0.19864489490720547</v>
      </c>
      <c r="K141" s="16"/>
      <c r="L141" s="61" t="s">
        <v>947</v>
      </c>
      <c r="M141" s="61" t="s">
        <v>948</v>
      </c>
    </row>
    <row r="142" spans="1:14" ht="72.599999999999994">
      <c r="A142" s="29" t="str">
        <v>Davis Solar</v>
      </c>
      <c r="B142" s="26" t="str">
        <v>NY</v>
      </c>
      <c r="C142" s="26" t="str">
        <f>Sites[[#This Row],[SOL'#]]</f>
        <v>SOL-10958</v>
      </c>
      <c r="D142" s="95">
        <v>302823</v>
      </c>
      <c r="E142" s="96">
        <v>374121.1</v>
      </c>
      <c r="F142" s="11">
        <f t="shared" si="8"/>
        <v>-71298.099999999977</v>
      </c>
      <c r="G142" s="12">
        <f t="shared" si="9"/>
        <v>-0.19057492346729435</v>
      </c>
      <c r="H142" s="83">
        <v>433878</v>
      </c>
      <c r="I142" s="13">
        <f t="shared" si="10"/>
        <v>-131055</v>
      </c>
      <c r="J142" s="14">
        <f t="shared" si="11"/>
        <v>-0.30205495554049755</v>
      </c>
      <c r="K142" s="80">
        <v>0.76280130000000002</v>
      </c>
      <c r="L142" s="66" t="s">
        <v>949</v>
      </c>
      <c r="M142" s="66" t="s">
        <v>950</v>
      </c>
      <c r="N142" s="98"/>
    </row>
    <row r="143" spans="1:14" ht="15.6">
      <c r="A143" s="27" t="str">
        <v>Genesee</v>
      </c>
      <c r="B143" s="28" t="str">
        <v>NY</v>
      </c>
      <c r="C143" s="28" t="str">
        <f>Sites[[#This Row],[SOL'#]]</f>
        <v>SOL-10951</v>
      </c>
      <c r="D143" s="88">
        <v>822347</v>
      </c>
      <c r="E143" s="97">
        <v>0</v>
      </c>
      <c r="F143" s="15">
        <f t="shared" si="8"/>
        <v>822347</v>
      </c>
      <c r="G143" s="16" t="str">
        <f t="shared" si="9"/>
        <v/>
      </c>
      <c r="H143" s="85">
        <v>929894</v>
      </c>
      <c r="I143" s="17">
        <f t="shared" si="10"/>
        <v>-107547</v>
      </c>
      <c r="J143" s="16">
        <f t="shared" si="11"/>
        <v>-0.11565511768007966</v>
      </c>
      <c r="K143" s="16"/>
      <c r="L143" s="61"/>
      <c r="M143" s="61"/>
    </row>
    <row r="144" spans="1:14" ht="15.6">
      <c r="A144" s="25" t="str">
        <v>Landau I</v>
      </c>
      <c r="B144" s="26" t="str">
        <v>NY</v>
      </c>
      <c r="C144" s="26" t="str">
        <f>Sites[[#This Row],[SOL'#]]</f>
        <v>SOL-10891</v>
      </c>
      <c r="D144" s="95">
        <v>219376</v>
      </c>
      <c r="E144" s="96">
        <v>0</v>
      </c>
      <c r="F144" s="11">
        <f t="shared" si="8"/>
        <v>219376</v>
      </c>
      <c r="G144" s="12" t="str">
        <f t="shared" si="9"/>
        <v/>
      </c>
      <c r="H144" s="83">
        <v>410264</v>
      </c>
      <c r="I144" s="13">
        <f t="shared" si="10"/>
        <v>-190888</v>
      </c>
      <c r="J144" s="14">
        <f t="shared" si="11"/>
        <v>-0.4652808923034924</v>
      </c>
      <c r="K144" s="80"/>
      <c r="L144" s="66" t="s">
        <v>951</v>
      </c>
      <c r="M144" s="66" t="s">
        <v>952</v>
      </c>
    </row>
    <row r="145" spans="1:13" ht="87">
      <c r="A145" s="27" t="str">
        <v>Landau II</v>
      </c>
      <c r="B145" s="28" t="str">
        <v>NY</v>
      </c>
      <c r="C145" s="28" t="str">
        <f>Sites[[#This Row],[SOL'#]]</f>
        <v>SOL-10895</v>
      </c>
      <c r="D145" s="88">
        <v>44710</v>
      </c>
      <c r="E145" s="97">
        <v>0</v>
      </c>
      <c r="F145" s="15">
        <f t="shared" si="8"/>
        <v>44710</v>
      </c>
      <c r="G145" s="16" t="str">
        <f t="shared" si="9"/>
        <v/>
      </c>
      <c r="H145" s="85">
        <v>858044</v>
      </c>
      <c r="I145" s="17">
        <f t="shared" si="10"/>
        <v>-813334</v>
      </c>
      <c r="J145" s="16">
        <f t="shared" si="11"/>
        <v>-0.94789311503838969</v>
      </c>
      <c r="K145" s="16"/>
      <c r="L145" s="61" t="s">
        <v>953</v>
      </c>
      <c r="M145" s="61" t="s">
        <v>954</v>
      </c>
    </row>
    <row r="146" spans="1:13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95">
        <v>251030</v>
      </c>
      <c r="E146" s="96">
        <v>256265</v>
      </c>
      <c r="F146" s="11">
        <f t="shared" ref="F146:F161" si="12">IF(AND(ISNUMBER(D146),ISNUMBER(E146)), D146-E146, "")</f>
        <v>-5235</v>
      </c>
      <c r="G146" s="12">
        <f t="shared" ref="G146:G161" si="13">IFERROR(F146/E146, "")</f>
        <v>-2.0428072503072991E-2</v>
      </c>
      <c r="H146" s="83">
        <v>392149</v>
      </c>
      <c r="I146" s="13">
        <f t="shared" ref="I146:I161" si="14">IF(AND(ISNUMBER(D146),ISNUMBER(H146)), D146-H146, "")</f>
        <v>-141119</v>
      </c>
      <c r="J146" s="14">
        <f t="shared" ref="J146:J161" si="15">IFERROR(I146/H146, "")</f>
        <v>-0.35986066520633736</v>
      </c>
      <c r="K146" s="80"/>
      <c r="L146" s="66" t="s">
        <v>955</v>
      </c>
      <c r="M146" s="66" t="s">
        <v>956</v>
      </c>
    </row>
    <row r="147" spans="1:13" ht="43.5">
      <c r="A147" s="27" t="str">
        <v>Guilin Farm Solar</v>
      </c>
      <c r="B147" s="28" t="str">
        <v>NY</v>
      </c>
      <c r="C147" s="28" t="str">
        <f>Sites[[#This Row],[SOL'#]]</f>
        <v>SOL-10998</v>
      </c>
      <c r="D147" s="100">
        <v>901515</v>
      </c>
      <c r="E147" s="97">
        <v>965149</v>
      </c>
      <c r="F147" s="15">
        <f t="shared" si="12"/>
        <v>-63634</v>
      </c>
      <c r="G147" s="16">
        <f t="shared" si="13"/>
        <v>-6.5931788770438551E-2</v>
      </c>
      <c r="H147" s="85">
        <v>1128731</v>
      </c>
      <c r="I147" s="17">
        <f t="shared" si="14"/>
        <v>-227216</v>
      </c>
      <c r="J147" s="16">
        <f t="shared" si="15"/>
        <v>-0.20130217031338735</v>
      </c>
      <c r="K147" s="16"/>
      <c r="L147" s="61" t="s">
        <v>957</v>
      </c>
      <c r="M147" s="61" t="s">
        <v>958</v>
      </c>
    </row>
    <row r="148" spans="1:13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95">
        <v>433057</v>
      </c>
      <c r="E148" s="96">
        <v>459483.2</v>
      </c>
      <c r="F148" s="11">
        <f t="shared" si="12"/>
        <v>-26426.200000000012</v>
      </c>
      <c r="G148" s="12">
        <f t="shared" si="13"/>
        <v>-5.7512875334723906E-2</v>
      </c>
      <c r="H148" s="83">
        <v>495674.8</v>
      </c>
      <c r="I148" s="13">
        <f t="shared" si="14"/>
        <v>-62617.799999999988</v>
      </c>
      <c r="J148" s="14">
        <f t="shared" si="15"/>
        <v>-0.12632839111449681</v>
      </c>
      <c r="K148" s="80"/>
      <c r="L148" s="66"/>
      <c r="M148" s="66"/>
    </row>
    <row r="149" spans="1:13" ht="57.95">
      <c r="A149" s="27" t="str">
        <v>Svenski</v>
      </c>
      <c r="B149" s="28" t="str">
        <v>NY</v>
      </c>
      <c r="C149" s="28" t="str">
        <f>Sites[[#This Row],[SOL'#]]</f>
        <v>SOL-10894</v>
      </c>
      <c r="D149" s="88">
        <v>361718</v>
      </c>
      <c r="E149" s="97">
        <v>0</v>
      </c>
      <c r="F149" s="15">
        <f t="shared" si="12"/>
        <v>361718</v>
      </c>
      <c r="G149" s="16" t="str">
        <f t="shared" si="13"/>
        <v/>
      </c>
      <c r="H149" s="85">
        <v>415162</v>
      </c>
      <c r="I149" s="17">
        <f t="shared" si="14"/>
        <v>-53444</v>
      </c>
      <c r="J149" s="16">
        <f t="shared" si="15"/>
        <v>-0.12873047147860353</v>
      </c>
      <c r="K149" s="16"/>
      <c r="L149" s="61" t="s">
        <v>959</v>
      </c>
      <c r="M149" s="61" t="s">
        <v>960</v>
      </c>
    </row>
    <row r="150" spans="1:13" ht="57.95">
      <c r="A150" s="25" t="str">
        <v>Bantam</v>
      </c>
      <c r="B150" s="26" t="str">
        <v>NY</v>
      </c>
      <c r="C150" s="26" t="str">
        <f>Sites[[#This Row],[SOL'#]]</f>
        <v>SOL-10986</v>
      </c>
      <c r="D150" s="95">
        <v>945570</v>
      </c>
      <c r="E150" s="96">
        <v>0</v>
      </c>
      <c r="F150" s="11">
        <f t="shared" si="12"/>
        <v>945570</v>
      </c>
      <c r="G150" s="12" t="str">
        <f t="shared" si="13"/>
        <v/>
      </c>
      <c r="H150" s="83">
        <v>1176088</v>
      </c>
      <c r="I150" s="13">
        <f t="shared" si="14"/>
        <v>-230518</v>
      </c>
      <c r="J150" s="14">
        <f t="shared" si="15"/>
        <v>-0.19600404051397516</v>
      </c>
      <c r="K150" s="80"/>
      <c r="L150" s="66" t="s">
        <v>961</v>
      </c>
      <c r="M150" s="66" t="s">
        <v>962</v>
      </c>
    </row>
    <row r="151" spans="1:13" ht="63" customHeight="1">
      <c r="A151" s="27" t="str">
        <v>Bogart</v>
      </c>
      <c r="B151" s="28" t="str">
        <v>NY</v>
      </c>
      <c r="C151" s="28" t="str">
        <f>Sites[[#This Row],[SOL'#]]</f>
        <v>SOL-10887</v>
      </c>
      <c r="D151" s="88">
        <v>311360</v>
      </c>
      <c r="E151" s="97">
        <v>338082</v>
      </c>
      <c r="F151" s="15">
        <f t="shared" si="12"/>
        <v>-26722</v>
      </c>
      <c r="G151" s="16">
        <f t="shared" si="13"/>
        <v>-7.9039996213936259E-2</v>
      </c>
      <c r="H151" s="85">
        <v>385631</v>
      </c>
      <c r="I151" s="17">
        <f t="shared" si="14"/>
        <v>-74271</v>
      </c>
      <c r="J151" s="16">
        <f t="shared" si="15"/>
        <v>-0.19259603092075067</v>
      </c>
      <c r="K151" s="16"/>
      <c r="L151" s="61" t="s">
        <v>963</v>
      </c>
      <c r="M151" s="61" t="s">
        <v>964</v>
      </c>
    </row>
    <row r="152" spans="1:13" ht="57.95">
      <c r="A152" s="25" t="str">
        <v>Dubois</v>
      </c>
      <c r="B152" s="26" t="str">
        <v>NY</v>
      </c>
      <c r="C152" s="26" t="str">
        <f>Sites[[#This Row],[SOL'#]]</f>
        <v>SOL-10892</v>
      </c>
      <c r="D152" s="95">
        <v>327940</v>
      </c>
      <c r="E152" s="96">
        <v>0</v>
      </c>
      <c r="F152" s="11">
        <f t="shared" si="12"/>
        <v>327940</v>
      </c>
      <c r="G152" s="12" t="str">
        <f t="shared" si="13"/>
        <v/>
      </c>
      <c r="H152" s="83">
        <v>409885</v>
      </c>
      <c r="I152" s="13">
        <f t="shared" si="14"/>
        <v>-81945</v>
      </c>
      <c r="J152" s="14">
        <f t="shared" si="15"/>
        <v>-0.19992192932163899</v>
      </c>
      <c r="K152" s="80"/>
      <c r="L152" s="66" t="s">
        <v>965</v>
      </c>
      <c r="M152" s="66" t="s">
        <v>966</v>
      </c>
    </row>
    <row r="153" spans="1:13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8">
        <v>376430</v>
      </c>
      <c r="E153" s="97">
        <v>0</v>
      </c>
      <c r="F153" s="15">
        <f t="shared" si="12"/>
        <v>376430</v>
      </c>
      <c r="G153" s="16" t="str">
        <f t="shared" si="13"/>
        <v/>
      </c>
      <c r="H153" s="85">
        <v>455693</v>
      </c>
      <c r="I153" s="17">
        <f t="shared" si="14"/>
        <v>-79263</v>
      </c>
      <c r="J153" s="16">
        <f t="shared" si="15"/>
        <v>-0.17393947240795887</v>
      </c>
      <c r="K153" s="16"/>
      <c r="L153" s="61" t="s">
        <v>967</v>
      </c>
      <c r="M153" s="61" t="s">
        <v>968</v>
      </c>
    </row>
    <row r="154" spans="1:13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95">
        <v>907010</v>
      </c>
      <c r="E154" s="96">
        <v>0</v>
      </c>
      <c r="F154" s="11">
        <f t="shared" si="12"/>
        <v>907010</v>
      </c>
      <c r="G154" s="12" t="str">
        <f t="shared" si="13"/>
        <v/>
      </c>
      <c r="H154" s="83">
        <v>1035671</v>
      </c>
      <c r="I154" s="13">
        <f t="shared" si="14"/>
        <v>-128661</v>
      </c>
      <c r="J154" s="14">
        <f t="shared" si="15"/>
        <v>-0.12422960573386722</v>
      </c>
      <c r="K154" s="80"/>
      <c r="L154" s="66"/>
      <c r="M154" s="66"/>
    </row>
    <row r="155" spans="1:13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8">
        <v>922880</v>
      </c>
      <c r="E155" s="97">
        <v>0</v>
      </c>
      <c r="F155" s="15">
        <f t="shared" si="12"/>
        <v>922880</v>
      </c>
      <c r="G155" s="16" t="str">
        <f t="shared" si="13"/>
        <v/>
      </c>
      <c r="H155" s="85">
        <v>1024832</v>
      </c>
      <c r="I155" s="17">
        <f t="shared" si="14"/>
        <v>-101952</v>
      </c>
      <c r="J155" s="16">
        <f t="shared" si="15"/>
        <v>-9.948167114219697E-2</v>
      </c>
      <c r="K155" s="16"/>
      <c r="L155" s="61"/>
      <c r="M155" s="61"/>
    </row>
    <row r="156" spans="1:13" ht="29.1">
      <c r="A156" s="25" t="str">
        <v>Brickchurch</v>
      </c>
      <c r="B156" s="26" t="str">
        <v>NY</v>
      </c>
      <c r="C156" s="26" t="str">
        <f>Sites[[#This Row],[SOL'#]]</f>
        <v>SOL-10889</v>
      </c>
      <c r="D156" s="95">
        <v>405570</v>
      </c>
      <c r="E156" s="96">
        <v>438940</v>
      </c>
      <c r="F156" s="11">
        <f t="shared" si="12"/>
        <v>-33370</v>
      </c>
      <c r="G156" s="12">
        <f t="shared" si="13"/>
        <v>-7.602405795780745E-2</v>
      </c>
      <c r="H156" s="83">
        <v>468855</v>
      </c>
      <c r="I156" s="13">
        <f t="shared" si="14"/>
        <v>-63285</v>
      </c>
      <c r="J156" s="14">
        <f t="shared" si="15"/>
        <v>-0.13497776498064434</v>
      </c>
      <c r="K156" s="80"/>
      <c r="L156" s="66" t="s">
        <v>969</v>
      </c>
      <c r="M156" s="66" t="s">
        <v>970</v>
      </c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8">
        <v>370764</v>
      </c>
      <c r="E157" s="97">
        <v>0</v>
      </c>
      <c r="F157" s="15">
        <f t="shared" si="12"/>
        <v>370764</v>
      </c>
      <c r="G157" s="16" t="str">
        <f t="shared" si="13"/>
        <v/>
      </c>
      <c r="H157" s="85">
        <v>413294</v>
      </c>
      <c r="I157" s="17">
        <f t="shared" si="14"/>
        <v>-42530</v>
      </c>
      <c r="J157" s="16">
        <f t="shared" si="15"/>
        <v>-0.10290495385851234</v>
      </c>
      <c r="K157" s="16"/>
      <c r="L157" s="61"/>
      <c r="M157" s="61"/>
    </row>
    <row r="158" spans="1:13" ht="15.6">
      <c r="A158" s="25" t="str">
        <v>Costanza</v>
      </c>
      <c r="B158" s="26" t="str">
        <v>NY</v>
      </c>
      <c r="C158" s="26" t="str">
        <f>Sites[[#This Row],[SOL'#]]</f>
        <v>SOL-10907</v>
      </c>
      <c r="D158" s="95">
        <v>104210</v>
      </c>
      <c r="E158" s="96">
        <v>0</v>
      </c>
      <c r="F158" s="11">
        <f t="shared" si="12"/>
        <v>104210</v>
      </c>
      <c r="G158" s="12" t="str">
        <f t="shared" si="13"/>
        <v/>
      </c>
      <c r="H158" s="83">
        <v>406406</v>
      </c>
      <c r="I158" s="13">
        <f t="shared" si="14"/>
        <v>-302196</v>
      </c>
      <c r="J158" s="14">
        <f t="shared" si="15"/>
        <v>-0.74358154161109824</v>
      </c>
      <c r="K158" s="80"/>
      <c r="L158" s="66" t="s">
        <v>971</v>
      </c>
      <c r="M158" s="66" t="s">
        <v>972</v>
      </c>
    </row>
    <row r="159" spans="1:13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8">
        <v>426108</v>
      </c>
      <c r="E159" s="97">
        <v>447900.7</v>
      </c>
      <c r="F159" s="15">
        <f t="shared" si="12"/>
        <v>-21792.700000000012</v>
      </c>
      <c r="G159" s="16">
        <f t="shared" si="13"/>
        <v>-4.8655204155742579E-2</v>
      </c>
      <c r="H159" s="85">
        <v>491418</v>
      </c>
      <c r="I159" s="17">
        <f t="shared" si="14"/>
        <v>-65310</v>
      </c>
      <c r="J159" s="16">
        <f t="shared" si="15"/>
        <v>-0.13290111473328206</v>
      </c>
      <c r="K159" s="16">
        <v>0.95327580000000001</v>
      </c>
      <c r="L159" s="61" t="s">
        <v>973</v>
      </c>
      <c r="M159" s="61" t="s">
        <v>974</v>
      </c>
    </row>
    <row r="160" spans="1:13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95">
        <v>372732</v>
      </c>
      <c r="E160" s="96">
        <v>0</v>
      </c>
      <c r="F160" s="11">
        <f t="shared" si="12"/>
        <v>372732</v>
      </c>
      <c r="G160" s="12" t="str">
        <f t="shared" si="13"/>
        <v/>
      </c>
      <c r="H160" s="83">
        <v>427378</v>
      </c>
      <c r="I160" s="13">
        <f t="shared" si="14"/>
        <v>-54646</v>
      </c>
      <c r="J160" s="14">
        <f t="shared" si="15"/>
        <v>-0.12786339025406082</v>
      </c>
      <c r="K160" s="80"/>
      <c r="L160" s="66"/>
      <c r="M160" s="66"/>
    </row>
    <row r="161" spans="1:13" ht="15.6">
      <c r="A161" s="27" t="str">
        <v>Altamont</v>
      </c>
      <c r="B161" s="28" t="str">
        <v>NY</v>
      </c>
      <c r="C161" s="28" t="s">
        <v>13</v>
      </c>
      <c r="D161" s="88">
        <v>681488.14060187503</v>
      </c>
      <c r="E161" s="97">
        <v>709861</v>
      </c>
      <c r="F161" s="15">
        <f t="shared" si="12"/>
        <v>-28372.859398124972</v>
      </c>
      <c r="G161" s="16">
        <f t="shared" si="13"/>
        <v>-3.9969598834314002E-2</v>
      </c>
      <c r="H161" s="85">
        <v>678626.8</v>
      </c>
      <c r="I161" s="17">
        <f t="shared" si="14"/>
        <v>2861.3406018749811</v>
      </c>
      <c r="J161" s="16">
        <f t="shared" si="15"/>
        <v>4.216368410258747E-3</v>
      </c>
      <c r="K161" s="16">
        <v>1</v>
      </c>
      <c r="L161" s="61" t="s">
        <v>975</v>
      </c>
      <c r="M161" s="61" t="s">
        <v>976</v>
      </c>
    </row>
    <row r="162" spans="1:13" ht="14.45">
      <c r="A162" s="18"/>
      <c r="B162" s="30"/>
      <c r="C162" s="28"/>
      <c r="D162" s="18"/>
      <c r="E162" s="18"/>
      <c r="F162" s="18"/>
      <c r="G162" s="19"/>
      <c r="H162" s="18"/>
      <c r="I162" s="18"/>
      <c r="J162" s="19"/>
      <c r="K162" s="19"/>
      <c r="L162" s="18"/>
      <c r="M162" s="18"/>
    </row>
    <row r="163" spans="1:13" ht="14.45">
      <c r="A163" s="18"/>
      <c r="B163" s="30"/>
      <c r="C163" s="28"/>
      <c r="D163" s="18"/>
      <c r="E163" s="18"/>
      <c r="F163" s="18"/>
      <c r="G163" s="19"/>
      <c r="H163" s="18"/>
      <c r="I163" s="18"/>
      <c r="J163" s="19"/>
      <c r="K163" s="19"/>
      <c r="L163" s="18"/>
      <c r="M163" s="18"/>
    </row>
    <row r="164" spans="1:13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9"/>
      <c r="L164" s="18"/>
      <c r="M164" s="18"/>
    </row>
    <row r="165" spans="1:13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9"/>
      <c r="L165" s="18"/>
      <c r="M165" s="18"/>
    </row>
    <row r="166" spans="1:13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9"/>
      <c r="L166" s="18"/>
      <c r="M166" s="18"/>
    </row>
    <row r="167" spans="1:13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9"/>
      <c r="L167" s="18"/>
      <c r="M167" s="18"/>
    </row>
    <row r="168" spans="1:13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9"/>
      <c r="L168" s="18"/>
      <c r="M168" s="18"/>
    </row>
    <row r="169" spans="1:13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9"/>
      <c r="L169" s="18"/>
      <c r="M169" s="18"/>
    </row>
    <row r="170" spans="1:13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9"/>
      <c r="L170" s="18"/>
      <c r="M170" s="18"/>
    </row>
    <row r="171" spans="1:13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9"/>
      <c r="L171" s="18"/>
      <c r="M171" s="18"/>
    </row>
    <row r="172" spans="1:13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9"/>
      <c r="L172" s="18"/>
      <c r="M172" s="18"/>
    </row>
    <row r="173" spans="1:13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9"/>
      <c r="L173" s="18"/>
      <c r="M173" s="18"/>
    </row>
    <row r="174" spans="1:13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9"/>
      <c r="L174" s="18"/>
      <c r="M174" s="18"/>
    </row>
    <row r="175" spans="1:13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9"/>
      <c r="L175" s="18"/>
      <c r="M175" s="18"/>
    </row>
    <row r="176" spans="1:13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9"/>
      <c r="L176" s="18"/>
      <c r="M176" s="18"/>
    </row>
    <row r="177" spans="1:13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9"/>
      <c r="L177" s="18"/>
      <c r="M177" s="18"/>
    </row>
    <row r="178" spans="1:13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9"/>
      <c r="L178" s="18"/>
      <c r="M178" s="18"/>
    </row>
    <row r="179" spans="1:13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9"/>
      <c r="L179" s="18"/>
      <c r="M179" s="18"/>
    </row>
    <row r="180" spans="1:13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9"/>
      <c r="L180" s="18"/>
      <c r="M180" s="18"/>
    </row>
    <row r="181" spans="1:13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9"/>
      <c r="L181" s="18"/>
      <c r="M181" s="18"/>
    </row>
    <row r="182" spans="1:13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9"/>
      <c r="L182" s="18"/>
      <c r="M182" s="18"/>
    </row>
    <row r="183" spans="1:13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9"/>
      <c r="L183" s="18"/>
      <c r="M183" s="18"/>
    </row>
    <row r="184" spans="1:13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9"/>
      <c r="L184" s="18"/>
      <c r="M184" s="18"/>
    </row>
    <row r="185" spans="1:13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9"/>
      <c r="L185" s="18"/>
      <c r="M185" s="18"/>
    </row>
    <row r="186" spans="1:13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9"/>
      <c r="L186" s="18"/>
      <c r="M186" s="18"/>
    </row>
    <row r="187" spans="1:13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9"/>
      <c r="L187" s="18"/>
      <c r="M187" s="18"/>
    </row>
    <row r="188" spans="1:13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9"/>
      <c r="L188" s="18"/>
      <c r="M188" s="18"/>
    </row>
    <row r="189" spans="1:13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9"/>
      <c r="L189" s="18"/>
      <c r="M189" s="18"/>
    </row>
    <row r="190" spans="1:13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9"/>
      <c r="L190" s="18"/>
      <c r="M190" s="18"/>
    </row>
    <row r="191" spans="1:13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9"/>
      <c r="L191" s="18"/>
      <c r="M191" s="18"/>
    </row>
    <row r="192" spans="1:13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9"/>
      <c r="L192" s="18"/>
      <c r="M192" s="18"/>
    </row>
    <row r="193" spans="1:13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9"/>
      <c r="L193" s="18"/>
      <c r="M193" s="18"/>
    </row>
    <row r="194" spans="1:13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9"/>
      <c r="L194" s="18"/>
      <c r="M194" s="18"/>
    </row>
    <row r="195" spans="1:13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9"/>
      <c r="L195" s="18"/>
      <c r="M195" s="18"/>
    </row>
    <row r="196" spans="1:13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9"/>
      <c r="L196" s="18"/>
      <c r="M196" s="18"/>
    </row>
    <row r="197" spans="1:13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9"/>
      <c r="L197" s="18"/>
      <c r="M197" s="18"/>
    </row>
    <row r="198" spans="1:13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9"/>
      <c r="L198" s="18"/>
      <c r="M198" s="18"/>
    </row>
    <row r="199" spans="1:13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9"/>
      <c r="L199" s="18"/>
      <c r="M199" s="18"/>
    </row>
    <row r="200" spans="1:13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9"/>
      <c r="L200" s="18"/>
      <c r="M200" s="18"/>
    </row>
    <row r="201" spans="1:13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9"/>
      <c r="L201" s="18"/>
      <c r="M201" s="18"/>
    </row>
    <row r="202" spans="1:13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9"/>
      <c r="L202" s="18"/>
      <c r="M202" s="18"/>
    </row>
    <row r="203" spans="1:13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9"/>
      <c r="L203" s="18"/>
      <c r="M203" s="18"/>
    </row>
    <row r="204" spans="1:13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9"/>
      <c r="L204" s="18"/>
      <c r="M204" s="18"/>
    </row>
    <row r="205" spans="1:13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9"/>
      <c r="L205" s="18"/>
      <c r="M205" s="18"/>
    </row>
    <row r="206" spans="1:13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9"/>
      <c r="L206" s="18"/>
      <c r="M206" s="18"/>
    </row>
    <row r="207" spans="1:13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9"/>
      <c r="L207" s="18"/>
      <c r="M207" s="18"/>
    </row>
    <row r="208" spans="1:13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9"/>
      <c r="L208" s="18"/>
      <c r="M208" s="18"/>
    </row>
    <row r="209" spans="1:13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9"/>
      <c r="L209" s="18"/>
      <c r="M209" s="18"/>
    </row>
    <row r="210" spans="1:13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9"/>
      <c r="L210" s="18"/>
      <c r="M210" s="18"/>
    </row>
    <row r="211" spans="1:13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9"/>
      <c r="L211" s="18"/>
      <c r="M211" s="18"/>
    </row>
    <row r="212" spans="1:13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9"/>
      <c r="L212" s="18"/>
      <c r="M212" s="18"/>
    </row>
    <row r="213" spans="1:13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9"/>
      <c r="L213" s="18"/>
      <c r="M213" s="18"/>
    </row>
    <row r="214" spans="1:13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9"/>
      <c r="L214" s="18"/>
      <c r="M214" s="18"/>
    </row>
    <row r="215" spans="1:13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9"/>
      <c r="L215" s="18"/>
      <c r="M215" s="18"/>
    </row>
    <row r="216" spans="1:13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9"/>
      <c r="L216" s="18"/>
      <c r="M216" s="18"/>
    </row>
    <row r="217" spans="1:13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9"/>
      <c r="L217" s="18"/>
      <c r="M217" s="18"/>
    </row>
    <row r="218" spans="1:13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9"/>
      <c r="L218" s="18"/>
      <c r="M218" s="18"/>
    </row>
    <row r="219" spans="1:13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9"/>
      <c r="L219" s="18"/>
      <c r="M219" s="18"/>
    </row>
    <row r="220" spans="1:13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9"/>
      <c r="L220" s="18"/>
      <c r="M220" s="18"/>
    </row>
    <row r="221" spans="1:13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9"/>
      <c r="L221" s="18"/>
      <c r="M221" s="18"/>
    </row>
    <row r="222" spans="1:13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9"/>
      <c r="L222" s="18"/>
      <c r="M222" s="18"/>
    </row>
    <row r="223" spans="1:13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9"/>
      <c r="L223" s="18"/>
      <c r="M223" s="18"/>
    </row>
    <row r="224" spans="1:13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9"/>
      <c r="L224" s="18"/>
      <c r="M224" s="18"/>
    </row>
    <row r="225" spans="1:13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9"/>
      <c r="L225" s="18"/>
      <c r="M225" s="18"/>
    </row>
    <row r="226" spans="1:13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9"/>
      <c r="L226" s="18"/>
      <c r="M226" s="18"/>
    </row>
    <row r="227" spans="1:13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9"/>
      <c r="L227" s="18"/>
      <c r="M227" s="18"/>
    </row>
    <row r="228" spans="1:13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9"/>
      <c r="L228" s="18"/>
      <c r="M228" s="18"/>
    </row>
    <row r="229" spans="1:13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9"/>
      <c r="L229" s="18"/>
      <c r="M229" s="18"/>
    </row>
    <row r="230" spans="1:13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9"/>
      <c r="L230" s="18"/>
      <c r="M230" s="18"/>
    </row>
    <row r="231" spans="1:13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9"/>
      <c r="L231" s="18"/>
      <c r="M231" s="18"/>
    </row>
    <row r="232" spans="1:13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9"/>
      <c r="L232" s="18"/>
      <c r="M232" s="18"/>
    </row>
    <row r="233" spans="1:13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9"/>
      <c r="L233" s="18"/>
      <c r="M233" s="18"/>
    </row>
    <row r="234" spans="1:13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9"/>
      <c r="L234" s="18"/>
      <c r="M234" s="18"/>
    </row>
    <row r="235" spans="1:13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9"/>
      <c r="L235" s="18"/>
      <c r="M235" s="18"/>
    </row>
    <row r="236" spans="1:13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9"/>
      <c r="L236" s="18"/>
      <c r="M236" s="18"/>
    </row>
    <row r="237" spans="1:13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9"/>
      <c r="L237" s="18"/>
      <c r="M237" s="18"/>
    </row>
    <row r="238" spans="1:13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9"/>
      <c r="L238" s="18"/>
      <c r="M238" s="18"/>
    </row>
    <row r="239" spans="1:13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9"/>
      <c r="L239" s="18"/>
      <c r="M239" s="18"/>
    </row>
    <row r="240" spans="1:13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9"/>
      <c r="L240" s="18"/>
      <c r="M240" s="18"/>
    </row>
    <row r="241" spans="1:13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9"/>
      <c r="L241" s="18"/>
      <c r="M241" s="18"/>
    </row>
    <row r="242" spans="1:13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9"/>
      <c r="L242" s="18"/>
      <c r="M242" s="18"/>
    </row>
    <row r="243" spans="1:13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9"/>
      <c r="L243" s="18"/>
      <c r="M243" s="18"/>
    </row>
    <row r="244" spans="1:13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9"/>
      <c r="L244" s="18"/>
      <c r="M244" s="18"/>
    </row>
    <row r="245" spans="1:13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9"/>
      <c r="L245" s="18"/>
      <c r="M245" s="18"/>
    </row>
    <row r="246" spans="1:13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9"/>
      <c r="L246" s="18"/>
      <c r="M246" s="18"/>
    </row>
    <row r="247" spans="1:13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9"/>
      <c r="L247" s="18"/>
      <c r="M247" s="18"/>
    </row>
    <row r="248" spans="1:13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9"/>
      <c r="L248" s="18"/>
      <c r="M248" s="18"/>
    </row>
    <row r="249" spans="1:13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9"/>
      <c r="L249" s="18"/>
      <c r="M249" s="18"/>
    </row>
    <row r="250" spans="1:13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9"/>
      <c r="L250" s="18"/>
      <c r="M250" s="18"/>
    </row>
    <row r="251" spans="1:13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9"/>
      <c r="L251" s="18"/>
      <c r="M251" s="18"/>
    </row>
    <row r="252" spans="1:13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9"/>
      <c r="L252" s="18"/>
      <c r="M252" s="18"/>
    </row>
    <row r="253" spans="1:13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9"/>
      <c r="L253" s="18"/>
      <c r="M253" s="18"/>
    </row>
    <row r="254" spans="1:13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9"/>
      <c r="L254" s="18"/>
      <c r="M254" s="18"/>
    </row>
    <row r="255" spans="1:13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9"/>
      <c r="L255" s="18"/>
      <c r="M255" s="18"/>
    </row>
    <row r="256" spans="1:13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9"/>
      <c r="L256" s="18"/>
      <c r="M256" s="18"/>
    </row>
    <row r="257" spans="1:13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9"/>
      <c r="L257" s="18"/>
      <c r="M257" s="18"/>
    </row>
    <row r="258" spans="1:13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9"/>
      <c r="L258" s="18"/>
      <c r="M258" s="18"/>
    </row>
    <row r="259" spans="1:13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9"/>
      <c r="L259" s="18"/>
      <c r="M259" s="18"/>
    </row>
    <row r="260" spans="1:13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9"/>
      <c r="L260" s="18"/>
      <c r="M260" s="18"/>
    </row>
    <row r="261" spans="1:13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9"/>
      <c r="L261" s="18"/>
      <c r="M261" s="18"/>
    </row>
    <row r="262" spans="1:13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9"/>
      <c r="L262" s="18"/>
      <c r="M262" s="18"/>
    </row>
    <row r="263" spans="1:13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9"/>
      <c r="L263" s="18"/>
      <c r="M263" s="18"/>
    </row>
    <row r="264" spans="1:13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9"/>
      <c r="L264" s="18"/>
      <c r="M264" s="18"/>
    </row>
    <row r="265" spans="1:13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9"/>
      <c r="L265" s="18"/>
      <c r="M265" s="18"/>
    </row>
    <row r="266" spans="1:13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9"/>
      <c r="L266" s="18"/>
      <c r="M266" s="18"/>
    </row>
    <row r="267" spans="1:13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9"/>
      <c r="L267" s="18"/>
      <c r="M267" s="18"/>
    </row>
    <row r="268" spans="1:13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9"/>
      <c r="L268" s="18"/>
      <c r="M268" s="18"/>
    </row>
    <row r="269" spans="1:13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9"/>
      <c r="L269" s="18"/>
      <c r="M269" s="18"/>
    </row>
    <row r="270" spans="1:13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9"/>
      <c r="L270" s="18"/>
      <c r="M270" s="18"/>
    </row>
    <row r="271" spans="1:13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9"/>
      <c r="L271" s="18"/>
      <c r="M271" s="18"/>
    </row>
    <row r="272" spans="1:13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9"/>
      <c r="L272" s="18"/>
      <c r="M272" s="18"/>
    </row>
    <row r="273" spans="1:13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9"/>
      <c r="L273" s="18"/>
      <c r="M273" s="18"/>
    </row>
    <row r="274" spans="1:13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9"/>
      <c r="L274" s="18"/>
      <c r="M274" s="18"/>
    </row>
    <row r="275" spans="1:13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9"/>
      <c r="L275" s="18"/>
      <c r="M275" s="18"/>
    </row>
    <row r="276" spans="1:13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9"/>
      <c r="L276" s="18"/>
      <c r="M276" s="18"/>
    </row>
    <row r="277" spans="1:13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9"/>
      <c r="L277" s="18"/>
      <c r="M277" s="18"/>
    </row>
    <row r="278" spans="1:13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9"/>
      <c r="L278" s="18"/>
      <c r="M278" s="18"/>
    </row>
    <row r="279" spans="1:13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9"/>
      <c r="L279" s="18"/>
      <c r="M279" s="18"/>
    </row>
    <row r="280" spans="1:13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9"/>
      <c r="L280" s="18"/>
      <c r="M280" s="18"/>
    </row>
    <row r="281" spans="1:13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9"/>
      <c r="L281" s="18"/>
      <c r="M281" s="18"/>
    </row>
    <row r="282" spans="1:13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9"/>
      <c r="L282" s="18"/>
      <c r="M282" s="18"/>
    </row>
    <row r="283" spans="1:13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9"/>
      <c r="L283" s="18"/>
      <c r="M283" s="18"/>
    </row>
    <row r="284" spans="1:13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9"/>
      <c r="L284" s="18"/>
      <c r="M284" s="18"/>
    </row>
    <row r="285" spans="1:13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9"/>
      <c r="L285" s="18"/>
      <c r="M285" s="18"/>
    </row>
    <row r="286" spans="1:13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9"/>
      <c r="L286" s="18"/>
      <c r="M286" s="18"/>
    </row>
    <row r="287" spans="1:13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9"/>
      <c r="L287" s="18"/>
      <c r="M287" s="18"/>
    </row>
    <row r="288" spans="1:13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9"/>
      <c r="L288" s="18"/>
      <c r="M288" s="18"/>
    </row>
    <row r="289" spans="1:13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9"/>
      <c r="L289" s="18"/>
      <c r="M289" s="18"/>
    </row>
    <row r="290" spans="1:13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9"/>
      <c r="L290" s="18"/>
      <c r="M290" s="18"/>
    </row>
    <row r="291" spans="1:13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9"/>
      <c r="L291" s="18"/>
      <c r="M291" s="18"/>
    </row>
    <row r="292" spans="1:13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9"/>
      <c r="L292" s="18"/>
      <c r="M292" s="18"/>
    </row>
    <row r="293" spans="1:13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9"/>
      <c r="L293" s="18"/>
      <c r="M293" s="18"/>
    </row>
    <row r="294" spans="1:13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9"/>
      <c r="L294" s="18"/>
      <c r="M294" s="18"/>
    </row>
    <row r="295" spans="1:13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9"/>
      <c r="L295" s="18"/>
      <c r="M295" s="18"/>
    </row>
    <row r="296" spans="1:13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9"/>
      <c r="L296" s="18"/>
      <c r="M296" s="18"/>
    </row>
    <row r="297" spans="1:13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9"/>
      <c r="L297" s="18"/>
      <c r="M297" s="18"/>
    </row>
    <row r="298" spans="1:13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9"/>
      <c r="L298" s="18"/>
      <c r="M298" s="18"/>
    </row>
    <row r="299" spans="1:13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9"/>
      <c r="L299" s="18"/>
      <c r="M299" s="18"/>
    </row>
    <row r="300" spans="1:13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9"/>
      <c r="L300" s="18"/>
      <c r="M300" s="18"/>
    </row>
    <row r="301" spans="1:13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9"/>
      <c r="L301" s="18"/>
      <c r="M301" s="18"/>
    </row>
    <row r="302" spans="1:13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9"/>
      <c r="L302" s="18"/>
      <c r="M302" s="18"/>
    </row>
    <row r="303" spans="1:13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9"/>
      <c r="L303" s="18"/>
      <c r="M303" s="18"/>
    </row>
    <row r="304" spans="1:13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9"/>
      <c r="L304" s="18"/>
      <c r="M304" s="18"/>
    </row>
    <row r="305" spans="1:13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9"/>
      <c r="L305" s="18"/>
      <c r="M305" s="18"/>
    </row>
    <row r="306" spans="1:13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9"/>
      <c r="L306" s="18"/>
      <c r="M306" s="18"/>
    </row>
    <row r="307" spans="1:13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9"/>
      <c r="L307" s="18"/>
      <c r="M307" s="18"/>
    </row>
    <row r="308" spans="1:13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9"/>
      <c r="L308" s="18"/>
      <c r="M308" s="18"/>
    </row>
    <row r="309" spans="1:13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9"/>
      <c r="L309" s="18"/>
      <c r="M309" s="18"/>
    </row>
    <row r="310" spans="1:13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9"/>
      <c r="L310" s="18"/>
      <c r="M310" s="18"/>
    </row>
    <row r="311" spans="1:13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9"/>
      <c r="L311" s="18"/>
      <c r="M311" s="18"/>
    </row>
    <row r="312" spans="1:13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9"/>
      <c r="L312" s="18"/>
      <c r="M312" s="18"/>
    </row>
    <row r="313" spans="1:13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9"/>
      <c r="L313" s="18"/>
      <c r="M313" s="18"/>
    </row>
    <row r="314" spans="1:13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9"/>
      <c r="L314" s="18"/>
      <c r="M314" s="18"/>
    </row>
    <row r="315" spans="1:13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9"/>
      <c r="L315" s="18"/>
      <c r="M315" s="18"/>
    </row>
    <row r="316" spans="1:13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9"/>
      <c r="L316" s="18"/>
      <c r="M316" s="18"/>
    </row>
    <row r="317" spans="1:13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9"/>
      <c r="L317" s="18"/>
      <c r="M317" s="18"/>
    </row>
    <row r="318" spans="1:13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9"/>
      <c r="L318" s="18"/>
      <c r="M318" s="18"/>
    </row>
    <row r="319" spans="1:13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9"/>
      <c r="L319" s="18"/>
      <c r="M319" s="18"/>
    </row>
    <row r="320" spans="1:13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9"/>
      <c r="L320" s="18"/>
      <c r="M320" s="18"/>
    </row>
    <row r="321" spans="1:13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9"/>
      <c r="L321" s="18"/>
      <c r="M321" s="18"/>
    </row>
    <row r="322" spans="1:13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9"/>
      <c r="L322" s="18"/>
      <c r="M322" s="18"/>
    </row>
    <row r="323" spans="1:13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9"/>
      <c r="L323" s="18"/>
      <c r="M323" s="18"/>
    </row>
    <row r="324" spans="1:13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9"/>
      <c r="L324" s="18"/>
      <c r="M324" s="18"/>
    </row>
    <row r="325" spans="1:13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9"/>
      <c r="L325" s="18"/>
      <c r="M325" s="18"/>
    </row>
    <row r="326" spans="1:13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9"/>
      <c r="L326" s="18"/>
      <c r="M326" s="18"/>
    </row>
    <row r="327" spans="1:13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9"/>
      <c r="L327" s="18"/>
      <c r="M327" s="18"/>
    </row>
    <row r="328" spans="1:13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9"/>
      <c r="L328" s="18"/>
      <c r="M328" s="18"/>
    </row>
    <row r="329" spans="1:13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9"/>
      <c r="L329" s="18"/>
      <c r="M329" s="18"/>
    </row>
    <row r="330" spans="1:13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9"/>
      <c r="L330" s="18"/>
      <c r="M330" s="18"/>
    </row>
    <row r="331" spans="1:13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9"/>
      <c r="L331" s="18"/>
      <c r="M331" s="18"/>
    </row>
    <row r="332" spans="1:13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9"/>
      <c r="L332" s="18"/>
      <c r="M332" s="18"/>
    </row>
    <row r="333" spans="1:13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9"/>
      <c r="L333" s="18"/>
      <c r="M333" s="18"/>
    </row>
    <row r="334" spans="1:13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9"/>
      <c r="L334" s="18"/>
      <c r="M334" s="18"/>
    </row>
    <row r="335" spans="1:13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9"/>
      <c r="L335" s="18"/>
      <c r="M335" s="18"/>
    </row>
    <row r="336" spans="1:13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9"/>
      <c r="L336" s="18"/>
      <c r="M336" s="18"/>
    </row>
    <row r="337" spans="1:13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9"/>
      <c r="L337" s="18"/>
      <c r="M337" s="18"/>
    </row>
    <row r="338" spans="1:13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9"/>
      <c r="L338" s="18"/>
      <c r="M338" s="18"/>
    </row>
    <row r="339" spans="1:13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9"/>
      <c r="L339" s="18"/>
      <c r="M339" s="18"/>
    </row>
    <row r="340" spans="1:13" ht="14.4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9"/>
      <c r="L340" s="18"/>
      <c r="M340" s="18"/>
    </row>
    <row r="341" spans="1:13">
      <c r="D341" s="18"/>
      <c r="E341" s="18"/>
      <c r="F341" s="18"/>
      <c r="G341" s="19"/>
      <c r="H341" s="18"/>
      <c r="I341" s="18"/>
      <c r="J341" s="19"/>
      <c r="K341" s="19"/>
      <c r="L341" s="18"/>
      <c r="M341" s="18"/>
    </row>
    <row r="342" spans="1:13">
      <c r="K342" s="19"/>
    </row>
  </sheetData>
  <mergeCells count="4">
    <mergeCell ref="H1:J1"/>
    <mergeCell ref="A1:D1"/>
    <mergeCell ref="E1:G1"/>
    <mergeCell ref="A2:B2"/>
  </mergeCells>
  <conditionalFormatting sqref="G2">
    <cfRule type="cellIs" dxfId="44" priority="19" stopIfTrue="1" operator="lessThanOrEqual">
      <formula>-0.1</formula>
    </cfRule>
    <cfRule type="expression" dxfId="43" priority="20">
      <formula>AND(ISNUMBER(G2), G2&gt;=0.1)</formula>
    </cfRule>
  </conditionalFormatting>
  <conditionalFormatting sqref="G4:G161">
    <cfRule type="cellIs" dxfId="42" priority="7" stopIfTrue="1" operator="lessThanOrEqual">
      <formula>-0.1</formula>
    </cfRule>
    <cfRule type="expression" dxfId="41" priority="8">
      <formula>AND(ISNUMBER(G4), G4&gt;=0.1)</formula>
    </cfRule>
  </conditionalFormatting>
  <conditionalFormatting sqref="J4:J161">
    <cfRule type="cellIs" dxfId="40" priority="5" stopIfTrue="1" operator="lessThanOrEqual">
      <formula>-0.1</formula>
    </cfRule>
    <cfRule type="expression" dxfId="39" priority="6">
      <formula>AND(ISNUMBER(J4), J4&gt;=0.1)</formula>
    </cfRule>
  </conditionalFormatting>
  <conditionalFormatting sqref="J2:K2">
    <cfRule type="cellIs" dxfId="38" priority="3" stopIfTrue="1" operator="lessThanOrEqual">
      <formula>-0.1</formula>
    </cfRule>
    <cfRule type="expression" dxfId="37" priority="4">
      <formula>AND(ISNUMBER(J2), J2&gt;=0.1)</formula>
    </cfRule>
  </conditionalFormatting>
  <conditionalFormatting sqref="K4:K161">
    <cfRule type="expression" dxfId="36" priority="1" stopIfTrue="1">
      <formula>AND(K4&lt;&gt;"",K4&lt;0.975)</formula>
    </cfRule>
    <cfRule type="expression" dxfId="35" priority="2">
      <formula>AND(ISNUMBER(K4), K4&gt;=0.985)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342"/>
  <sheetViews>
    <sheetView zoomScale="90" zoomScaleNormal="90" workbookViewId="0">
      <pane xSplit="2" ySplit="3" topLeftCell="C48" activePane="bottomRight" state="frozen"/>
      <selection pane="bottomRight" activeCell="K3" sqref="K3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5.42578125" style="1" customWidth="1"/>
    <col min="11" max="11" width="20.85546875" style="1" customWidth="1"/>
    <col min="12" max="12" width="78.42578125" customWidth="1"/>
    <col min="13" max="13" width="20.5703125" bestFit="1" customWidth="1"/>
  </cols>
  <sheetData>
    <row r="1" spans="1:13" ht="19.5" customHeight="1">
      <c r="A1" s="111" t="str" cm="1">
        <f t="array" ref="A1">portfolio</f>
        <v>Generate Capital</v>
      </c>
      <c r="B1" s="111"/>
      <c r="C1" s="111"/>
      <c r="D1" s="111"/>
      <c r="E1" s="112" t="s">
        <v>977</v>
      </c>
      <c r="F1" s="112"/>
      <c r="G1" s="112"/>
      <c r="H1" s="110" t="s">
        <v>978</v>
      </c>
      <c r="I1" s="110"/>
      <c r="J1" s="110"/>
      <c r="K1" s="107" t="s">
        <v>979</v>
      </c>
      <c r="L1" s="5"/>
      <c r="M1" s="5"/>
    </row>
    <row r="2" spans="1:13" ht="19.5" customHeight="1">
      <c r="A2" s="113" t="s">
        <v>3</v>
      </c>
      <c r="B2" s="113"/>
      <c r="C2" s="72"/>
      <c r="D2" s="6">
        <f>SUM(D4:D100)</f>
        <v>16302927.117898419</v>
      </c>
      <c r="E2" s="6">
        <f>SUM(E4:E100)</f>
        <v>7611374.5339999991</v>
      </c>
      <c r="F2" s="6">
        <f>D2-E2</f>
        <v>8691552.5838984214</v>
      </c>
      <c r="G2" s="7">
        <f>IFERROR(F2/E2, 0)</f>
        <v>1.1419162918699204</v>
      </c>
      <c r="H2" s="6">
        <f>SUM(H4:H100)</f>
        <v>17103100.927000005</v>
      </c>
      <c r="I2" s="8">
        <f>D2-H2</f>
        <v>-800173.8091015853</v>
      </c>
      <c r="J2" s="7">
        <f>IFERROR(I2/H2, 0)</f>
        <v>-4.6785305922996796E-2</v>
      </c>
      <c r="K2" s="108"/>
      <c r="L2" s="23" t="str">
        <f ca="1">IF(AND(TODAY()&gt;DATE(2024, 9,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4.25" customHeight="1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  <c r="L3" s="22" t="s">
        <v>30</v>
      </c>
      <c r="M3" s="22" t="s">
        <v>31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13347.4999328621</v>
      </c>
      <c r="E4" s="11">
        <v>8165.4650000000001</v>
      </c>
      <c r="F4" s="11">
        <f>IF(AND(ISNUMBER(D4),ISNUMBER(E4)), D4-E4, "")</f>
        <v>5182.0349328620996</v>
      </c>
      <c r="G4" s="12">
        <f>IFERROR(F4/E4, "")</f>
        <v>0.63462827075519879</v>
      </c>
      <c r="H4" s="13">
        <v>11855.34</v>
      </c>
      <c r="I4" s="13">
        <f>IF(AND(ISNUMBER(D4),ISNUMBER(H4)), D4-H4, "")</f>
        <v>1492.1599328620996</v>
      </c>
      <c r="J4" s="14">
        <f>IFERROR(I4/H4, "")</f>
        <v>0.12586395100116063</v>
      </c>
      <c r="K4" s="14">
        <v>0.9961239999999999</v>
      </c>
      <c r="L4" s="38"/>
      <c r="M4" s="38"/>
    </row>
    <row r="5" spans="1:13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v>47585.75</v>
      </c>
      <c r="E5" s="15">
        <v>51719.25</v>
      </c>
      <c r="F5" s="15">
        <f t="shared" ref="F5:F68" si="0">IF(AND(ISNUMBER(D5),ISNUMBER(E5)), D5-E5, "")</f>
        <v>-4133.5</v>
      </c>
      <c r="G5" s="16">
        <f>IFERROR(F5/E5, "")</f>
        <v>-7.9921885951555749E-2</v>
      </c>
      <c r="H5" s="17">
        <v>60349.64</v>
      </c>
      <c r="I5" s="17">
        <f t="shared" ref="I5:I68" si="1">IF(AND(ISNUMBER(D5),ISNUMBER(H5)), D5-H5, "")</f>
        <v>-12763.89</v>
      </c>
      <c r="J5" s="16">
        <f t="shared" ref="J5:J68" si="2">IFERROR(I5/H5, "")</f>
        <v>-0.21149902468349438</v>
      </c>
      <c r="K5" s="16">
        <v>1</v>
      </c>
      <c r="L5" s="39"/>
      <c r="M5" s="39"/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21249.3878047201</v>
      </c>
      <c r="E6" s="11">
        <v>0</v>
      </c>
      <c r="F6" s="11">
        <f t="shared" si="0"/>
        <v>21249.3878047201</v>
      </c>
      <c r="G6" s="12" t="str">
        <f t="shared" ref="G6:G17" si="3">IFERROR(F6/E6, "")</f>
        <v/>
      </c>
      <c r="H6" s="13">
        <v>18324</v>
      </c>
      <c r="I6" s="13">
        <f t="shared" si="1"/>
        <v>2925.3878047200997</v>
      </c>
      <c r="J6" s="14">
        <f t="shared" si="2"/>
        <v>0.15964788281598449</v>
      </c>
      <c r="K6" s="14">
        <v>0.5</v>
      </c>
      <c r="L6" s="38"/>
      <c r="M6" s="38"/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v>12490.6919633867</v>
      </c>
      <c r="E7" s="15">
        <v>13742.68</v>
      </c>
      <c r="F7" s="15">
        <f t="shared" si="0"/>
        <v>-1251.9880366133002</v>
      </c>
      <c r="G7" s="16">
        <f t="shared" si="3"/>
        <v>-9.1102174875155373E-2</v>
      </c>
      <c r="H7" s="17">
        <v>14308.4</v>
      </c>
      <c r="I7" s="17">
        <f t="shared" si="1"/>
        <v>-1817.7080366132996</v>
      </c>
      <c r="J7" s="16">
        <f t="shared" si="2"/>
        <v>-0.12703782649445777</v>
      </c>
      <c r="K7" s="16">
        <v>1</v>
      </c>
      <c r="L7" s="39"/>
      <c r="M7" s="40"/>
    </row>
    <row r="8" spans="1:13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v>32464.014541238099</v>
      </c>
      <c r="E8" s="11">
        <v>28687.74</v>
      </c>
      <c r="F8" s="11">
        <f t="shared" si="0"/>
        <v>3776.2745412380973</v>
      </c>
      <c r="G8" s="12">
        <f t="shared" si="3"/>
        <v>0.13163374114650012</v>
      </c>
      <c r="H8" s="13">
        <v>31134.22</v>
      </c>
      <c r="I8" s="13">
        <f t="shared" si="1"/>
        <v>1329.7945412380977</v>
      </c>
      <c r="J8" s="14">
        <f t="shared" si="2"/>
        <v>4.2711670349798316E-2</v>
      </c>
      <c r="K8" s="14">
        <v>1</v>
      </c>
      <c r="L8" s="38"/>
      <c r="M8" s="38"/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v>28979.8849361709</v>
      </c>
      <c r="E9" s="15">
        <v>20718.2</v>
      </c>
      <c r="F9" s="15">
        <f t="shared" si="0"/>
        <v>8261.6849361708992</v>
      </c>
      <c r="G9" s="16">
        <f t="shared" si="3"/>
        <v>0.39876460967511168</v>
      </c>
      <c r="H9" s="17">
        <v>28371.75</v>
      </c>
      <c r="I9" s="17">
        <f t="shared" si="1"/>
        <v>608.13493617089989</v>
      </c>
      <c r="J9" s="16">
        <f t="shared" si="2"/>
        <v>2.1434523290628879E-2</v>
      </c>
      <c r="K9" s="16">
        <v>1</v>
      </c>
      <c r="L9" s="39"/>
      <c r="M9" s="40"/>
    </row>
    <row r="10" spans="1:13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13141.749010678101</v>
      </c>
      <c r="E10" s="11">
        <v>8529.8459999999995</v>
      </c>
      <c r="F10" s="11">
        <f t="shared" si="0"/>
        <v>4611.9030106781011</v>
      </c>
      <c r="G10" s="12">
        <f t="shared" si="3"/>
        <v>0.54067834409649385</v>
      </c>
      <c r="H10" s="13">
        <v>13247</v>
      </c>
      <c r="I10" s="13">
        <f t="shared" si="1"/>
        <v>-105.2509893218994</v>
      </c>
      <c r="J10" s="14">
        <f t="shared" si="2"/>
        <v>-7.9452698212349512E-3</v>
      </c>
      <c r="K10" s="14">
        <v>1</v>
      </c>
      <c r="L10" s="38"/>
      <c r="M10" s="38"/>
    </row>
    <row r="11" spans="1:13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8872.1020851652993</v>
      </c>
      <c r="E11" s="15">
        <v>0</v>
      </c>
      <c r="F11" s="15">
        <f t="shared" si="0"/>
        <v>8872.1020851652993</v>
      </c>
      <c r="G11" s="16" t="str">
        <f t="shared" si="3"/>
        <v/>
      </c>
      <c r="H11" s="17">
        <v>9616</v>
      </c>
      <c r="I11" s="17">
        <f t="shared" si="1"/>
        <v>-743.89791483470071</v>
      </c>
      <c r="J11" s="16">
        <f t="shared" si="2"/>
        <v>-7.7360432075156069E-2</v>
      </c>
      <c r="K11" s="16">
        <v>0.32972220000000002</v>
      </c>
      <c r="L11" s="39" t="s">
        <v>980</v>
      </c>
      <c r="M11" s="39" t="s">
        <v>981</v>
      </c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77494</v>
      </c>
      <c r="E12" s="11">
        <v>91269.65</v>
      </c>
      <c r="F12" s="11">
        <f t="shared" si="0"/>
        <v>-13775.649999999994</v>
      </c>
      <c r="G12" s="12">
        <f t="shared" si="3"/>
        <v>-0.15093352499982191</v>
      </c>
      <c r="H12" s="13">
        <v>73998</v>
      </c>
      <c r="I12" s="13">
        <f t="shared" si="1"/>
        <v>3496</v>
      </c>
      <c r="J12" s="14">
        <f t="shared" si="2"/>
        <v>4.7244520122165463E-2</v>
      </c>
      <c r="K12" s="14">
        <v>1</v>
      </c>
      <c r="L12" s="38"/>
      <c r="M12" s="38"/>
    </row>
    <row r="13" spans="1:13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v>78755.96875</v>
      </c>
      <c r="E13" s="15">
        <v>115210.2</v>
      </c>
      <c r="F13" s="15">
        <f t="shared" si="0"/>
        <v>-36454.231249999997</v>
      </c>
      <c r="G13" s="16">
        <f t="shared" si="3"/>
        <v>-0.31641496369245081</v>
      </c>
      <c r="H13" s="17">
        <v>112530</v>
      </c>
      <c r="I13" s="17">
        <f t="shared" si="1"/>
        <v>-33774.03125</v>
      </c>
      <c r="J13" s="16">
        <f t="shared" si="2"/>
        <v>-0.30013357549098019</v>
      </c>
      <c r="K13" s="16">
        <v>1</v>
      </c>
      <c r="L13" s="39"/>
      <c r="M13" s="40"/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v>16197.25</v>
      </c>
      <c r="E14" s="11">
        <v>0</v>
      </c>
      <c r="F14" s="11">
        <f t="shared" si="0"/>
        <v>16197.25</v>
      </c>
      <c r="G14" s="12" t="str">
        <f t="shared" si="3"/>
        <v/>
      </c>
      <c r="H14" s="13">
        <v>24994</v>
      </c>
      <c r="I14" s="13">
        <f t="shared" si="1"/>
        <v>-8796.75</v>
      </c>
      <c r="J14" s="14">
        <f t="shared" si="2"/>
        <v>-0.35195446907257744</v>
      </c>
      <c r="K14" s="14">
        <v>1</v>
      </c>
      <c r="L14" s="38" t="s">
        <v>982</v>
      </c>
      <c r="M14" s="38" t="s">
        <v>983</v>
      </c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14169.7029272251</v>
      </c>
      <c r="E15" s="15"/>
      <c r="F15" s="15" t="str">
        <f t="shared" si="0"/>
        <v/>
      </c>
      <c r="G15" s="16" t="str">
        <f t="shared" si="3"/>
        <v/>
      </c>
      <c r="H15" s="17">
        <v>16233</v>
      </c>
      <c r="I15" s="17">
        <f t="shared" si="1"/>
        <v>-2063.2970727748998</v>
      </c>
      <c r="J15" s="16">
        <f t="shared" si="2"/>
        <v>-0.1271050990436087</v>
      </c>
      <c r="K15" s="16">
        <v>1</v>
      </c>
      <c r="L15" s="39"/>
      <c r="M15" s="40"/>
    </row>
    <row r="16" spans="1:13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6712.2071147218803</v>
      </c>
      <c r="E16" s="11">
        <v>5216.8</v>
      </c>
      <c r="F16" s="11">
        <f t="shared" si="0"/>
        <v>1495.4071147218801</v>
      </c>
      <c r="G16" s="12">
        <f t="shared" si="3"/>
        <v>0.2866521842359071</v>
      </c>
      <c r="H16" s="13">
        <v>12563</v>
      </c>
      <c r="I16" s="13">
        <f t="shared" si="1"/>
        <v>-5850.7928852781197</v>
      </c>
      <c r="J16" s="14">
        <f t="shared" si="2"/>
        <v>-0.46571622106806654</v>
      </c>
      <c r="K16" s="14">
        <v>0.9825758</v>
      </c>
      <c r="L16" s="38"/>
      <c r="M16" s="38"/>
    </row>
    <row r="17" spans="1:13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v>77979.379999999903</v>
      </c>
      <c r="E17" s="15">
        <v>37557.03</v>
      </c>
      <c r="F17" s="15">
        <f t="shared" si="0"/>
        <v>40422.349999999904</v>
      </c>
      <c r="G17" s="16">
        <f t="shared" si="3"/>
        <v>1.0762925076876395</v>
      </c>
      <c r="H17" s="17">
        <v>81633</v>
      </c>
      <c r="I17" s="17">
        <f t="shared" si="1"/>
        <v>-3653.6200000000972</v>
      </c>
      <c r="J17" s="16">
        <f t="shared" si="2"/>
        <v>-4.4756654784218357E-2</v>
      </c>
      <c r="K17" s="16">
        <v>0.99699550000000003</v>
      </c>
      <c r="L17" s="39"/>
      <c r="M17" s="39"/>
    </row>
    <row r="18" spans="1:13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26359.930000000099</v>
      </c>
      <c r="E18" s="11">
        <v>0</v>
      </c>
      <c r="F18" s="11">
        <f t="shared" si="0"/>
        <v>26359.930000000099</v>
      </c>
      <c r="G18" s="12" t="str">
        <f t="shared" ref="G18:G49" si="4">IFERROR(F18/E18, "")</f>
        <v/>
      </c>
      <c r="H18" s="13">
        <v>48783</v>
      </c>
      <c r="I18" s="13">
        <f t="shared" si="1"/>
        <v>-22423.069999999901</v>
      </c>
      <c r="J18" s="14">
        <f t="shared" si="2"/>
        <v>-0.45964926306295023</v>
      </c>
      <c r="K18" s="80">
        <v>0.99816040000000006</v>
      </c>
      <c r="L18" s="38"/>
      <c r="M18" s="38"/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v>96697.5</v>
      </c>
      <c r="E19" s="15">
        <v>122951.9</v>
      </c>
      <c r="F19" s="15">
        <f t="shared" si="0"/>
        <v>-26254.399999999994</v>
      </c>
      <c r="G19" s="16">
        <f t="shared" si="4"/>
        <v>-0.21353391041537378</v>
      </c>
      <c r="H19" s="17">
        <v>102504.6</v>
      </c>
      <c r="I19" s="17">
        <f t="shared" si="1"/>
        <v>-5807.1000000000058</v>
      </c>
      <c r="J19" s="16">
        <f t="shared" si="2"/>
        <v>-5.6652091711006193E-2</v>
      </c>
      <c r="K19" s="16">
        <v>1</v>
      </c>
      <c r="L19" s="39"/>
      <c r="M19" s="40"/>
    </row>
    <row r="20" spans="1:13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30217.75</v>
      </c>
      <c r="E20" s="11">
        <v>30586.73</v>
      </c>
      <c r="F20" s="11">
        <f t="shared" si="0"/>
        <v>-368.97999999999956</v>
      </c>
      <c r="G20" s="12">
        <f t="shared" si="4"/>
        <v>-1.2063401350847233E-2</v>
      </c>
      <c r="H20" s="13">
        <v>29113.24</v>
      </c>
      <c r="I20" s="13">
        <f t="shared" si="1"/>
        <v>1104.5099999999984</v>
      </c>
      <c r="J20" s="14">
        <f t="shared" si="2"/>
        <v>3.7938408778960993E-2</v>
      </c>
      <c r="K20" s="80">
        <v>1</v>
      </c>
      <c r="L20" s="38"/>
      <c r="M20" s="38"/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v>26225.75</v>
      </c>
      <c r="E21" s="15">
        <v>30704.7</v>
      </c>
      <c r="F21" s="15">
        <f t="shared" si="0"/>
        <v>-4478.9500000000007</v>
      </c>
      <c r="G21" s="16">
        <f t="shared" si="4"/>
        <v>-0.14587180464228605</v>
      </c>
      <c r="H21" s="17">
        <v>29016.86</v>
      </c>
      <c r="I21" s="17">
        <f t="shared" si="1"/>
        <v>-2791.1100000000006</v>
      </c>
      <c r="J21" s="16">
        <f t="shared" si="2"/>
        <v>-9.6189249973980664E-2</v>
      </c>
      <c r="K21" s="16">
        <v>1</v>
      </c>
      <c r="L21" s="39" t="s">
        <v>984</v>
      </c>
      <c r="M21" s="39" t="s">
        <v>985</v>
      </c>
    </row>
    <row r="22" spans="1:13" ht="29.1">
      <c r="A22" s="25" t="str">
        <v>K041</v>
      </c>
      <c r="B22" s="26" t="str">
        <v>NY</v>
      </c>
      <c r="C22" s="26" t="str">
        <f>Sites[[#This Row],[SOL'#]]</f>
        <v>SOL-10357</v>
      </c>
      <c r="D22" s="21">
        <v>21751.21875</v>
      </c>
      <c r="E22" s="11">
        <v>24454.95</v>
      </c>
      <c r="F22" s="11">
        <f t="shared" si="0"/>
        <v>-2703.7312500000007</v>
      </c>
      <c r="G22" s="12">
        <f t="shared" si="4"/>
        <v>-0.11055967196825185</v>
      </c>
      <c r="H22" s="13">
        <v>23486</v>
      </c>
      <c r="I22" s="13">
        <f t="shared" si="1"/>
        <v>-1734.78125</v>
      </c>
      <c r="J22" s="14">
        <f t="shared" si="2"/>
        <v>-7.3864483096312702E-2</v>
      </c>
      <c r="K22" s="80">
        <v>1</v>
      </c>
      <c r="L22" s="38" t="s">
        <v>986</v>
      </c>
      <c r="M22" s="38" t="s">
        <v>987</v>
      </c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v>26390.875</v>
      </c>
      <c r="E23" s="15">
        <v>27055.58</v>
      </c>
      <c r="F23" s="15">
        <f t="shared" si="0"/>
        <v>-664.70500000000175</v>
      </c>
      <c r="G23" s="16">
        <f t="shared" si="4"/>
        <v>-2.4568129753640533E-2</v>
      </c>
      <c r="H23" s="17">
        <v>5235</v>
      </c>
      <c r="I23" s="17">
        <f t="shared" si="1"/>
        <v>21155.875</v>
      </c>
      <c r="J23" s="16">
        <f t="shared" si="2"/>
        <v>4.041236867239733</v>
      </c>
      <c r="K23" s="16">
        <v>0.97451739999999998</v>
      </c>
      <c r="L23" s="39"/>
      <c r="M23" s="40"/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v>4168.5625</v>
      </c>
      <c r="E24" s="11">
        <v>13123.49</v>
      </c>
      <c r="F24" s="11">
        <f t="shared" si="0"/>
        <v>-8954.9274999999998</v>
      </c>
      <c r="G24" s="12">
        <f t="shared" si="4"/>
        <v>-0.68235869421929685</v>
      </c>
      <c r="H24" s="13">
        <v>21732.18</v>
      </c>
      <c r="I24" s="13">
        <f t="shared" si="1"/>
        <v>-17563.6175</v>
      </c>
      <c r="J24" s="14">
        <f t="shared" si="2"/>
        <v>-0.80818479784356656</v>
      </c>
      <c r="K24" s="80">
        <v>0.84095439999999999</v>
      </c>
      <c r="L24" s="38" t="s">
        <v>988</v>
      </c>
      <c r="M24" s="38" t="s">
        <v>989</v>
      </c>
    </row>
    <row r="25" spans="1:13" ht="29.1">
      <c r="A25" s="27" t="str">
        <v>K115</v>
      </c>
      <c r="B25" s="28" t="str">
        <v>NY</v>
      </c>
      <c r="C25" s="28" t="str">
        <f>Sites[[#This Row],[SOL'#]]</f>
        <v>SOL-10361</v>
      </c>
      <c r="D25" s="10">
        <v>5631.7421875</v>
      </c>
      <c r="E25" s="15">
        <v>9972.6569999999992</v>
      </c>
      <c r="F25" s="15">
        <f t="shared" si="0"/>
        <v>-4340.9148124999992</v>
      </c>
      <c r="G25" s="16">
        <f t="shared" si="4"/>
        <v>-0.43528167192554595</v>
      </c>
      <c r="H25" s="17">
        <v>13420.98</v>
      </c>
      <c r="I25" s="17">
        <f t="shared" si="1"/>
        <v>-7789.2378124999996</v>
      </c>
      <c r="J25" s="16">
        <f t="shared" si="2"/>
        <v>-0.58037772297552037</v>
      </c>
      <c r="K25" s="16">
        <v>0.96838840000000004</v>
      </c>
      <c r="L25" s="39" t="s">
        <v>990</v>
      </c>
      <c r="M25" s="61" t="s">
        <v>45</v>
      </c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v>7887.875</v>
      </c>
      <c r="E26" s="11">
        <v>8149.4340000000002</v>
      </c>
      <c r="F26" s="11">
        <f t="shared" si="0"/>
        <v>-261.5590000000002</v>
      </c>
      <c r="G26" s="12">
        <f t="shared" si="4"/>
        <v>-3.209535778803782E-2</v>
      </c>
      <c r="H26" s="13">
        <v>8361</v>
      </c>
      <c r="I26" s="13">
        <f t="shared" si="1"/>
        <v>-473.125</v>
      </c>
      <c r="J26" s="14">
        <f t="shared" si="2"/>
        <v>-5.6587130725989712E-2</v>
      </c>
      <c r="K26" s="80">
        <v>1</v>
      </c>
      <c r="L26" s="38"/>
      <c r="M26" s="38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v>28452.4375</v>
      </c>
      <c r="E27" s="15">
        <v>31205.9</v>
      </c>
      <c r="F27" s="15">
        <f t="shared" si="0"/>
        <v>-2753.4625000000015</v>
      </c>
      <c r="G27" s="16">
        <f t="shared" si="4"/>
        <v>-8.8235317680310496E-2</v>
      </c>
      <c r="H27" s="17">
        <v>30697.63</v>
      </c>
      <c r="I27" s="17">
        <f t="shared" si="1"/>
        <v>-2245.192500000001</v>
      </c>
      <c r="J27" s="16">
        <f t="shared" si="2"/>
        <v>-7.3138952420756936E-2</v>
      </c>
      <c r="K27" s="16">
        <v>1</v>
      </c>
      <c r="L27" s="39"/>
      <c r="M27" s="40"/>
    </row>
    <row r="28" spans="1:13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v>8630.8138541899007</v>
      </c>
      <c r="E28" s="11">
        <v>8835.3580000000002</v>
      </c>
      <c r="F28" s="11">
        <f t="shared" si="0"/>
        <v>-204.54414581009951</v>
      </c>
      <c r="G28" s="12">
        <f t="shared" si="4"/>
        <v>-2.3150634734902593E-2</v>
      </c>
      <c r="H28" s="13">
        <v>17349</v>
      </c>
      <c r="I28" s="13">
        <f t="shared" si="1"/>
        <v>-8718.1861458100993</v>
      </c>
      <c r="J28" s="14">
        <f t="shared" si="2"/>
        <v>-0.50251807861030029</v>
      </c>
      <c r="K28" s="80">
        <v>0.99477509999999991</v>
      </c>
      <c r="L28" s="38" t="s">
        <v>991</v>
      </c>
      <c r="M28" s="38" t="s">
        <v>853</v>
      </c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v>18828.6875</v>
      </c>
      <c r="E29" s="15">
        <v>19392.849999999999</v>
      </c>
      <c r="F29" s="15">
        <f t="shared" si="0"/>
        <v>-564.16249999999854</v>
      </c>
      <c r="G29" s="16">
        <f t="shared" si="4"/>
        <v>-2.9091263017039713E-2</v>
      </c>
      <c r="H29" s="17">
        <v>19693.57</v>
      </c>
      <c r="I29" s="17">
        <f t="shared" si="1"/>
        <v>-864.88249999999971</v>
      </c>
      <c r="J29" s="16">
        <f t="shared" si="2"/>
        <v>-4.3916999304849234E-2</v>
      </c>
      <c r="K29" s="16">
        <v>1</v>
      </c>
      <c r="L29" s="39"/>
      <c r="M29" s="39"/>
    </row>
    <row r="30" spans="1:13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v>17206.75</v>
      </c>
      <c r="E30" s="11">
        <v>20504.669999999998</v>
      </c>
      <c r="F30" s="11">
        <f t="shared" si="0"/>
        <v>-3297.9199999999983</v>
      </c>
      <c r="G30" s="12">
        <f t="shared" si="4"/>
        <v>-0.16083750677284728</v>
      </c>
      <c r="H30" s="13">
        <v>18750.57</v>
      </c>
      <c r="I30" s="13">
        <f t="shared" si="1"/>
        <v>-1543.8199999999997</v>
      </c>
      <c r="J30" s="14">
        <f t="shared" si="2"/>
        <v>-8.2334563695930299E-2</v>
      </c>
      <c r="K30" s="80">
        <v>1</v>
      </c>
      <c r="L30" s="38"/>
      <c r="M30" s="38"/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v>18865.5</v>
      </c>
      <c r="E31" s="15"/>
      <c r="F31" s="15" t="str">
        <f t="shared" si="0"/>
        <v/>
      </c>
      <c r="G31" s="16" t="str">
        <f t="shared" si="4"/>
        <v/>
      </c>
      <c r="H31" s="17">
        <v>23376</v>
      </c>
      <c r="I31" s="17">
        <f t="shared" si="1"/>
        <v>-4510.5</v>
      </c>
      <c r="J31" s="16">
        <f t="shared" si="2"/>
        <v>-0.19295431211498973</v>
      </c>
      <c r="K31" s="16">
        <v>1</v>
      </c>
      <c r="L31" s="39"/>
      <c r="M31" s="40"/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v>15564.90625</v>
      </c>
      <c r="E32" s="11">
        <v>13533.13</v>
      </c>
      <c r="F32" s="11">
        <f t="shared" si="0"/>
        <v>2031.7762500000008</v>
      </c>
      <c r="G32" s="12">
        <f t="shared" si="4"/>
        <v>0.15013350570045517</v>
      </c>
      <c r="H32" s="13">
        <v>16073</v>
      </c>
      <c r="I32" s="13">
        <f t="shared" si="1"/>
        <v>-508.09375</v>
      </c>
      <c r="J32" s="14">
        <f t="shared" si="2"/>
        <v>-3.1611631307161075E-2</v>
      </c>
      <c r="K32" s="80">
        <v>1</v>
      </c>
      <c r="L32" s="38"/>
      <c r="M32" s="38"/>
    </row>
    <row r="33" spans="1:13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v>16360.9375</v>
      </c>
      <c r="E33" s="15">
        <v>17486.77</v>
      </c>
      <c r="F33" s="15">
        <f t="shared" si="0"/>
        <v>-1125.8325000000004</v>
      </c>
      <c r="G33" s="16">
        <f t="shared" si="4"/>
        <v>-6.4381958474892753E-2</v>
      </c>
      <c r="H33" s="17">
        <v>17902</v>
      </c>
      <c r="I33" s="17">
        <f t="shared" si="1"/>
        <v>-1541.0625</v>
      </c>
      <c r="J33" s="16">
        <f t="shared" si="2"/>
        <v>-8.6083258853759351E-2</v>
      </c>
      <c r="K33" s="16">
        <v>1</v>
      </c>
      <c r="L33" s="39"/>
      <c r="M33" s="40"/>
    </row>
    <row r="34" spans="1:13" ht="15.6">
      <c r="A34" s="25" t="str">
        <v>K335</v>
      </c>
      <c r="B34" s="26" t="str">
        <v>NY</v>
      </c>
      <c r="C34" s="26" t="str">
        <f>Sites[[#This Row],[SOL'#]]</f>
        <v>SOL-10370</v>
      </c>
      <c r="D34" s="21">
        <v>17250.875</v>
      </c>
      <c r="E34" s="11">
        <v>18990.32</v>
      </c>
      <c r="F34" s="11">
        <f t="shared" si="0"/>
        <v>-1739.4449999999997</v>
      </c>
      <c r="G34" s="12">
        <f t="shared" si="4"/>
        <v>-9.1596402798899634E-2</v>
      </c>
      <c r="H34" s="13">
        <v>19554</v>
      </c>
      <c r="I34" s="13">
        <f t="shared" si="1"/>
        <v>-2303.125</v>
      </c>
      <c r="J34" s="14">
        <f t="shared" si="2"/>
        <v>-0.1177828065868876</v>
      </c>
      <c r="K34" s="80">
        <v>1</v>
      </c>
      <c r="L34" s="38"/>
      <c r="M34" s="38"/>
    </row>
    <row r="35" spans="1:13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v>19700.9375</v>
      </c>
      <c r="E35" s="15">
        <v>12074.72</v>
      </c>
      <c r="F35" s="15">
        <f t="shared" si="0"/>
        <v>7626.2175000000007</v>
      </c>
      <c r="G35" s="16">
        <f t="shared" si="4"/>
        <v>0.6315854529131939</v>
      </c>
      <c r="H35" s="17">
        <v>21258</v>
      </c>
      <c r="I35" s="17">
        <f t="shared" si="1"/>
        <v>-1557.0625</v>
      </c>
      <c r="J35" s="16">
        <f t="shared" si="2"/>
        <v>-7.3245954464201707E-2</v>
      </c>
      <c r="K35" s="16">
        <v>0.97458730000000005</v>
      </c>
      <c r="L35" s="39"/>
      <c r="M35" s="40"/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67">
        <v>16481.671875</v>
      </c>
      <c r="E36" s="11">
        <v>18022.96</v>
      </c>
      <c r="F36" s="11">
        <f t="shared" si="0"/>
        <v>-1541.2881249999991</v>
      </c>
      <c r="G36" s="68">
        <f t="shared" si="4"/>
        <v>-8.5518035050846208E-2</v>
      </c>
      <c r="H36" s="83">
        <v>17346.82</v>
      </c>
      <c r="I36" s="83">
        <f t="shared" si="1"/>
        <v>-865.14812499999971</v>
      </c>
      <c r="J36" s="80">
        <f t="shared" si="2"/>
        <v>-4.9873586340320575E-2</v>
      </c>
      <c r="K36" s="80">
        <v>1</v>
      </c>
      <c r="L36" s="70"/>
      <c r="M36" s="70"/>
    </row>
    <row r="37" spans="1:13" ht="178.5" customHeight="1">
      <c r="A37" s="27" t="str">
        <v>K495</v>
      </c>
      <c r="B37" s="28" t="str">
        <v>NY</v>
      </c>
      <c r="C37" s="28" t="str">
        <f>Sites[[#This Row],[SOL'#]]</f>
        <v>SOL-10374</v>
      </c>
      <c r="D37" s="10">
        <v>34970.125</v>
      </c>
      <c r="E37" s="15">
        <v>57081.41</v>
      </c>
      <c r="F37" s="15">
        <f t="shared" si="0"/>
        <v>-22111.285000000003</v>
      </c>
      <c r="G37" s="16">
        <f t="shared" si="4"/>
        <v>-0.38736402972526435</v>
      </c>
      <c r="H37" s="17">
        <v>74001</v>
      </c>
      <c r="I37" s="17">
        <f t="shared" si="1"/>
        <v>-39030.875</v>
      </c>
      <c r="J37" s="16">
        <f t="shared" si="2"/>
        <v>-0.52743712922798336</v>
      </c>
      <c r="K37" s="16">
        <v>0.54512680000000002</v>
      </c>
      <c r="L37" s="39" t="s">
        <v>992</v>
      </c>
      <c r="M37" s="58" t="s">
        <v>993</v>
      </c>
    </row>
    <row r="38" spans="1:13" ht="15.6">
      <c r="A38" s="25" t="str">
        <v>M020</v>
      </c>
      <c r="B38" s="26" t="str">
        <v>NY</v>
      </c>
      <c r="C38" s="26" t="str">
        <f>Sites[[#This Row],[SOL'#]]</f>
        <v>SOL-10380</v>
      </c>
      <c r="D38" s="67">
        <v>17915.9375</v>
      </c>
      <c r="E38" s="11">
        <v>19025.38</v>
      </c>
      <c r="F38" s="11">
        <f t="shared" si="0"/>
        <v>-1109.442500000001</v>
      </c>
      <c r="G38" s="68">
        <f t="shared" si="4"/>
        <v>-5.8313815545340014E-2</v>
      </c>
      <c r="H38" s="83">
        <v>20188</v>
      </c>
      <c r="I38" s="83">
        <f t="shared" si="1"/>
        <v>-2272.0625</v>
      </c>
      <c r="J38" s="80">
        <f t="shared" si="2"/>
        <v>-0.1125452001188825</v>
      </c>
      <c r="K38" s="80">
        <v>0.97663309999999992</v>
      </c>
      <c r="L38" s="70"/>
      <c r="M38" s="70"/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v>17858.375</v>
      </c>
      <c r="E39" s="15">
        <v>19150.509999999998</v>
      </c>
      <c r="F39" s="15">
        <f t="shared" si="0"/>
        <v>-1292.1349999999984</v>
      </c>
      <c r="G39" s="16">
        <f t="shared" si="4"/>
        <v>-6.7472615611803469E-2</v>
      </c>
      <c r="H39" s="17">
        <v>18867.16</v>
      </c>
      <c r="I39" s="17">
        <f t="shared" si="1"/>
        <v>-1008.7849999999999</v>
      </c>
      <c r="J39" s="16">
        <f t="shared" si="2"/>
        <v>-5.3467771514101745E-2</v>
      </c>
      <c r="K39" s="16">
        <v>1</v>
      </c>
      <c r="L39" s="39"/>
      <c r="M39" s="40"/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67">
        <v>20936.5</v>
      </c>
      <c r="E40" s="11">
        <v>23648.32</v>
      </c>
      <c r="F40" s="11">
        <f t="shared" si="0"/>
        <v>-2711.8199999999997</v>
      </c>
      <c r="G40" s="68">
        <f t="shared" si="4"/>
        <v>-0.11467283933911583</v>
      </c>
      <c r="H40" s="83">
        <v>20994.5</v>
      </c>
      <c r="I40" s="83">
        <f t="shared" si="1"/>
        <v>-58</v>
      </c>
      <c r="J40" s="80">
        <f t="shared" si="2"/>
        <v>-2.7626283074138466E-3</v>
      </c>
      <c r="K40" s="80">
        <v>1</v>
      </c>
      <c r="L40" s="70"/>
      <c r="M40" s="70"/>
    </row>
    <row r="41" spans="1:13" ht="29.1">
      <c r="A41" s="27" t="str">
        <v>M144</v>
      </c>
      <c r="B41" s="28" t="str">
        <v>NY</v>
      </c>
      <c r="C41" s="28" t="str">
        <f>Sites[[#This Row],[SOL'#]]</f>
        <v>SOL-10385</v>
      </c>
      <c r="D41" s="10">
        <v>17955.6875</v>
      </c>
      <c r="E41" s="15">
        <v>0</v>
      </c>
      <c r="F41" s="15">
        <f t="shared" si="0"/>
        <v>17955.6875</v>
      </c>
      <c r="G41" s="16" t="str">
        <f t="shared" si="4"/>
        <v/>
      </c>
      <c r="H41" s="17">
        <v>31121</v>
      </c>
      <c r="I41" s="17">
        <f t="shared" si="1"/>
        <v>-13165.3125</v>
      </c>
      <c r="J41" s="16">
        <f t="shared" si="2"/>
        <v>-0.42303629382089264</v>
      </c>
      <c r="K41" s="16">
        <v>0.98209460000000004</v>
      </c>
      <c r="L41" s="39" t="s">
        <v>994</v>
      </c>
      <c r="M41" s="39" t="s">
        <v>995</v>
      </c>
    </row>
    <row r="42" spans="1:13" ht="15.6">
      <c r="A42" s="25" t="str">
        <v>M167</v>
      </c>
      <c r="B42" s="26" t="str">
        <v>NY</v>
      </c>
      <c r="C42" s="26" t="str">
        <f>Sites[[#This Row],[SOL'#]]</f>
        <v>SOL-10386</v>
      </c>
      <c r="D42" s="67">
        <v>21539.1875</v>
      </c>
      <c r="E42" s="11">
        <v>16407.52</v>
      </c>
      <c r="F42" s="11">
        <f t="shared" si="0"/>
        <v>5131.6674999999996</v>
      </c>
      <c r="G42" s="68">
        <f t="shared" si="4"/>
        <v>0.31276314153510093</v>
      </c>
      <c r="H42" s="83">
        <v>26008.52</v>
      </c>
      <c r="I42" s="83">
        <f t="shared" si="1"/>
        <v>-4469.3325000000004</v>
      </c>
      <c r="J42" s="80">
        <f t="shared" si="2"/>
        <v>-0.17184109284188415</v>
      </c>
      <c r="K42" s="80">
        <v>1</v>
      </c>
      <c r="L42" s="70"/>
      <c r="M42" s="70"/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v>15438.34375</v>
      </c>
      <c r="E43" s="15">
        <v>0</v>
      </c>
      <c r="F43" s="15">
        <f t="shared" si="0"/>
        <v>15438.34375</v>
      </c>
      <c r="G43" s="16" t="str">
        <f t="shared" si="4"/>
        <v/>
      </c>
      <c r="H43" s="17">
        <v>16708</v>
      </c>
      <c r="I43" s="17">
        <f t="shared" si="1"/>
        <v>-1269.65625</v>
      </c>
      <c r="J43" s="16">
        <f t="shared" si="2"/>
        <v>-7.5990917524539139E-2</v>
      </c>
      <c r="K43" s="16">
        <v>0.97860760000000002</v>
      </c>
      <c r="L43" s="39"/>
      <c r="M43" s="40"/>
    </row>
    <row r="44" spans="1:13" ht="15.6">
      <c r="A44" s="25" t="str">
        <v>EMHC</v>
      </c>
      <c r="B44" s="26" t="str">
        <v>NY</v>
      </c>
      <c r="C44" s="26" t="str">
        <f>Sites[[#This Row],[SOL'#]]</f>
        <v>SOL-10351</v>
      </c>
      <c r="D44" s="67">
        <v>7082.86328125</v>
      </c>
      <c r="E44" s="11">
        <v>4940.2939999999999</v>
      </c>
      <c r="F44" s="11">
        <f t="shared" si="0"/>
        <v>2142.5692812500001</v>
      </c>
      <c r="G44" s="68">
        <f t="shared" si="4"/>
        <v>0.4336926671266933</v>
      </c>
      <c r="H44" s="83">
        <v>7763.16</v>
      </c>
      <c r="I44" s="83">
        <f t="shared" si="1"/>
        <v>-680.29671874999985</v>
      </c>
      <c r="J44" s="80">
        <f t="shared" si="2"/>
        <v>-8.7631417972835787E-2</v>
      </c>
      <c r="K44" s="80">
        <v>1</v>
      </c>
      <c r="L44" s="70"/>
      <c r="M44" s="70"/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v>23640.53125</v>
      </c>
      <c r="E45" s="15">
        <v>24819.86</v>
      </c>
      <c r="F45" s="15">
        <f t="shared" si="0"/>
        <v>-1179.3287500000006</v>
      </c>
      <c r="G45" s="16">
        <f t="shared" si="4"/>
        <v>-4.7515527887747981E-2</v>
      </c>
      <c r="H45" s="17">
        <v>25538</v>
      </c>
      <c r="I45" s="17">
        <f t="shared" si="1"/>
        <v>-1897.46875</v>
      </c>
      <c r="J45" s="16">
        <f t="shared" si="2"/>
        <v>-7.4299817918396113E-2</v>
      </c>
      <c r="K45" s="16">
        <v>0.97388890000000006</v>
      </c>
      <c r="L45" s="39"/>
      <c r="M45" s="40"/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67">
        <v>15642.5</v>
      </c>
      <c r="E46" s="11">
        <v>16331.09</v>
      </c>
      <c r="F46" s="11">
        <f t="shared" si="0"/>
        <v>-688.59000000000015</v>
      </c>
      <c r="G46" s="68">
        <f t="shared" si="4"/>
        <v>-4.2164362574696496E-2</v>
      </c>
      <c r="H46" s="83">
        <v>1523.7329999999999</v>
      </c>
      <c r="I46" s="83">
        <f t="shared" si="1"/>
        <v>14118.767</v>
      </c>
      <c r="J46" s="80">
        <f t="shared" si="2"/>
        <v>9.2659061659752719</v>
      </c>
      <c r="K46" s="80">
        <v>1</v>
      </c>
      <c r="L46" s="70"/>
      <c r="M46" s="70"/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v>13029.8125</v>
      </c>
      <c r="E47" s="15">
        <v>13480.39</v>
      </c>
      <c r="F47" s="15">
        <f t="shared" si="0"/>
        <v>-450.57749999999942</v>
      </c>
      <c r="G47" s="16">
        <f t="shared" si="4"/>
        <v>-3.3424663529764302E-2</v>
      </c>
      <c r="H47" s="17">
        <v>12815.39</v>
      </c>
      <c r="I47" s="17">
        <f t="shared" si="1"/>
        <v>214.42250000000058</v>
      </c>
      <c r="J47" s="16">
        <f t="shared" si="2"/>
        <v>1.6731640628962569E-2</v>
      </c>
      <c r="K47" s="16">
        <v>1</v>
      </c>
      <c r="L47" s="39"/>
      <c r="M47" s="40"/>
    </row>
    <row r="48" spans="1:13" ht="43.5">
      <c r="A48" s="25" t="str">
        <v>Q025</v>
      </c>
      <c r="B48" s="26" t="str">
        <v>NY</v>
      </c>
      <c r="C48" s="26" t="str">
        <f>Sites[[#This Row],[SOL'#]]</f>
        <v>SOL-10400</v>
      </c>
      <c r="D48" s="67">
        <v>15873.125</v>
      </c>
      <c r="E48" s="11">
        <v>22163.05</v>
      </c>
      <c r="F48" s="11">
        <f t="shared" si="0"/>
        <v>-6289.9249999999993</v>
      </c>
      <c r="G48" s="68">
        <f t="shared" si="4"/>
        <v>-0.28380231962658564</v>
      </c>
      <c r="H48" s="83">
        <v>12231</v>
      </c>
      <c r="I48" s="83">
        <f t="shared" si="1"/>
        <v>3642.125</v>
      </c>
      <c r="J48" s="80">
        <f t="shared" si="2"/>
        <v>0.29777818657509608</v>
      </c>
      <c r="K48" s="80">
        <v>1</v>
      </c>
      <c r="L48" s="70" t="s">
        <v>996</v>
      </c>
      <c r="M48" s="70" t="s">
        <v>997</v>
      </c>
    </row>
    <row r="49" spans="1:13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v>14211.6875</v>
      </c>
      <c r="E49" s="15">
        <v>14170.16</v>
      </c>
      <c r="F49" s="15">
        <f t="shared" si="0"/>
        <v>41.527500000000146</v>
      </c>
      <c r="G49" s="16">
        <f t="shared" si="4"/>
        <v>2.9306302822268869E-3</v>
      </c>
      <c r="H49" s="17">
        <v>14545.17</v>
      </c>
      <c r="I49" s="17">
        <f t="shared" si="1"/>
        <v>-333.48250000000007</v>
      </c>
      <c r="J49" s="16">
        <f t="shared" si="2"/>
        <v>-2.2927370391683292E-2</v>
      </c>
      <c r="K49" s="16">
        <v>1</v>
      </c>
      <c r="L49" s="39"/>
      <c r="M49" s="40"/>
    </row>
    <row r="50" spans="1:13" ht="15.6">
      <c r="A50" s="25" t="str">
        <v>Q115</v>
      </c>
      <c r="B50" s="26" t="str">
        <v>NY</v>
      </c>
      <c r="C50" s="26" t="str">
        <f>Sites[[#This Row],[SOL'#]]</f>
        <v>SOL-10872</v>
      </c>
      <c r="D50" s="67">
        <v>18537.5</v>
      </c>
      <c r="E50" s="11">
        <v>19820.21</v>
      </c>
      <c r="F50" s="11">
        <f t="shared" si="0"/>
        <v>-1282.7099999999991</v>
      </c>
      <c r="G50" s="68">
        <f t="shared" ref="G50:G81" si="5">IFERROR(F50/E50, "")</f>
        <v>-6.4717275952172013E-2</v>
      </c>
      <c r="H50" s="83">
        <v>19347.8</v>
      </c>
      <c r="I50" s="83">
        <f t="shared" si="1"/>
        <v>-810.29999999999927</v>
      </c>
      <c r="J50" s="80">
        <f t="shared" si="2"/>
        <v>-4.1880730625704181E-2</v>
      </c>
      <c r="K50" s="80">
        <v>1</v>
      </c>
      <c r="L50" s="70"/>
      <c r="M50" s="70"/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v>10964.59375</v>
      </c>
      <c r="E51" s="15">
        <v>11492.72</v>
      </c>
      <c r="F51" s="15">
        <f t="shared" si="0"/>
        <v>-528.12624999999935</v>
      </c>
      <c r="G51" s="16">
        <f t="shared" si="5"/>
        <v>-4.5953112057023869E-2</v>
      </c>
      <c r="H51" s="17">
        <v>12077</v>
      </c>
      <c r="I51" s="17">
        <f t="shared" si="1"/>
        <v>-1112.40625</v>
      </c>
      <c r="J51" s="16">
        <f t="shared" si="2"/>
        <v>-9.21094849714333E-2</v>
      </c>
      <c r="K51" s="16">
        <v>1</v>
      </c>
      <c r="L51" s="39"/>
      <c r="M51" s="40"/>
    </row>
    <row r="52" spans="1:13" ht="15.6">
      <c r="A52" s="25" t="str">
        <v>Q157</v>
      </c>
      <c r="B52" s="26" t="str">
        <v>NY</v>
      </c>
      <c r="C52" s="26" t="str">
        <f>Sites[[#This Row],[SOL'#]]</f>
        <v>SOL-10404</v>
      </c>
      <c r="D52" s="67">
        <v>18868.75</v>
      </c>
      <c r="E52" s="11">
        <v>21265.02</v>
      </c>
      <c r="F52" s="11">
        <f t="shared" si="0"/>
        <v>-2396.2700000000004</v>
      </c>
      <c r="G52" s="68">
        <f t="shared" si="5"/>
        <v>-0.11268599794404145</v>
      </c>
      <c r="H52" s="83">
        <v>20692.099999999999</v>
      </c>
      <c r="I52" s="83">
        <f t="shared" si="1"/>
        <v>-1823.3499999999985</v>
      </c>
      <c r="J52" s="80">
        <f t="shared" si="2"/>
        <v>-8.8118170702828555E-2</v>
      </c>
      <c r="K52" s="80">
        <v>1</v>
      </c>
      <c r="L52" s="70" t="s">
        <v>998</v>
      </c>
      <c r="M52" s="70" t="s">
        <v>999</v>
      </c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v>30244.375</v>
      </c>
      <c r="E53" s="15">
        <v>33268.82</v>
      </c>
      <c r="F53" s="15">
        <f t="shared" si="0"/>
        <v>-3024.4449999999997</v>
      </c>
      <c r="G53" s="16">
        <f t="shared" si="5"/>
        <v>-9.0909295851190383E-2</v>
      </c>
      <c r="H53" s="17">
        <v>31523.13</v>
      </c>
      <c r="I53" s="17">
        <f t="shared" si="1"/>
        <v>-1278.755000000001</v>
      </c>
      <c r="J53" s="16">
        <f t="shared" si="2"/>
        <v>-4.0565610077425721E-2</v>
      </c>
      <c r="K53" s="16">
        <v>1</v>
      </c>
      <c r="L53" s="39"/>
      <c r="M53" s="39"/>
    </row>
    <row r="54" spans="1:13" ht="29.1">
      <c r="A54" s="25" t="str">
        <v>Q210</v>
      </c>
      <c r="B54" s="26" t="str">
        <v>NY</v>
      </c>
      <c r="C54" s="26" t="str">
        <f>Sites[[#This Row],[SOL'#]]</f>
        <v>SOL-10407</v>
      </c>
      <c r="D54" s="67">
        <v>20447.125</v>
      </c>
      <c r="E54" s="11">
        <v>24673.23</v>
      </c>
      <c r="F54" s="11">
        <f t="shared" si="0"/>
        <v>-4226.1049999999996</v>
      </c>
      <c r="G54" s="68">
        <f t="shared" si="5"/>
        <v>-0.17128300591369675</v>
      </c>
      <c r="H54" s="83">
        <v>26205</v>
      </c>
      <c r="I54" s="83">
        <f t="shared" si="1"/>
        <v>-5757.875</v>
      </c>
      <c r="J54" s="80">
        <f t="shared" si="2"/>
        <v>-0.21972428925777523</v>
      </c>
      <c r="K54" s="80">
        <v>1</v>
      </c>
      <c r="L54" s="70" t="s">
        <v>1000</v>
      </c>
      <c r="M54" s="70" t="s">
        <v>867</v>
      </c>
    </row>
    <row r="55" spans="1:13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v>10594.59375</v>
      </c>
      <c r="E55" s="15">
        <v>12325.17</v>
      </c>
      <c r="F55" s="15">
        <f t="shared" si="0"/>
        <v>-1730.5762500000001</v>
      </c>
      <c r="G55" s="16">
        <f t="shared" si="5"/>
        <v>-0.14040992943707875</v>
      </c>
      <c r="H55" s="17">
        <v>10831.95</v>
      </c>
      <c r="I55" s="17">
        <f t="shared" si="1"/>
        <v>-237.35625000000073</v>
      </c>
      <c r="J55" s="16">
        <f t="shared" si="2"/>
        <v>-2.191260576350525E-2</v>
      </c>
      <c r="K55" s="16">
        <v>1</v>
      </c>
      <c r="L55" s="39" t="s">
        <v>1001</v>
      </c>
      <c r="M55" s="104" t="s">
        <v>1002</v>
      </c>
    </row>
    <row r="56" spans="1:13" ht="15.6">
      <c r="A56" s="25" t="str">
        <v>Q231</v>
      </c>
      <c r="B56" s="26" t="str">
        <v>NY</v>
      </c>
      <c r="C56" s="26" t="str">
        <f>Sites[[#This Row],[SOL'#]]</f>
        <v>SOL-10870</v>
      </c>
      <c r="D56" s="67">
        <v>40707.500000000102</v>
      </c>
      <c r="E56" s="11">
        <v>41622.36</v>
      </c>
      <c r="F56" s="11">
        <f t="shared" si="0"/>
        <v>-914.85999999989872</v>
      </c>
      <c r="G56" s="68">
        <f t="shared" si="5"/>
        <v>-2.1980012666266369E-2</v>
      </c>
      <c r="H56" s="83">
        <v>43484</v>
      </c>
      <c r="I56" s="83">
        <f t="shared" si="1"/>
        <v>-2776.4999999998981</v>
      </c>
      <c r="J56" s="80">
        <f t="shared" si="2"/>
        <v>-6.3851071658538733E-2</v>
      </c>
      <c r="K56" s="80">
        <v>1</v>
      </c>
      <c r="L56" s="70"/>
      <c r="M56" s="70"/>
    </row>
    <row r="57" spans="1:13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v>43892.375</v>
      </c>
      <c r="E57" s="15">
        <v>47064.5</v>
      </c>
      <c r="F57" s="15">
        <f t="shared" si="0"/>
        <v>-3172.125</v>
      </c>
      <c r="G57" s="16">
        <f t="shared" si="5"/>
        <v>-6.7399526182154279E-2</v>
      </c>
      <c r="H57" s="17">
        <v>46892.58</v>
      </c>
      <c r="I57" s="17">
        <f t="shared" si="1"/>
        <v>-3000.2050000000017</v>
      </c>
      <c r="J57" s="16">
        <f t="shared" si="2"/>
        <v>-6.3980378132318619E-2</v>
      </c>
      <c r="K57" s="16">
        <v>1</v>
      </c>
      <c r="L57" s="39"/>
      <c r="M57" s="40"/>
    </row>
    <row r="58" spans="1:13" ht="15.6">
      <c r="A58" s="25" t="str">
        <v>Q435</v>
      </c>
      <c r="B58" s="26" t="str">
        <v>NY</v>
      </c>
      <c r="C58" s="26" t="str">
        <f>Sites[[#This Row],[SOL'#]]</f>
        <v>SOL-10923</v>
      </c>
      <c r="D58" s="67">
        <v>60468.625</v>
      </c>
      <c r="E58" s="11">
        <v>44567.05</v>
      </c>
      <c r="F58" s="11">
        <f t="shared" si="0"/>
        <v>15901.574999999997</v>
      </c>
      <c r="G58" s="68">
        <f t="shared" si="5"/>
        <v>0.35680115690852315</v>
      </c>
      <c r="H58" s="83">
        <v>61672</v>
      </c>
      <c r="I58" s="83">
        <f t="shared" si="1"/>
        <v>-1203.375</v>
      </c>
      <c r="J58" s="80">
        <f t="shared" si="2"/>
        <v>-1.9512501621481385E-2</v>
      </c>
      <c r="K58" s="80">
        <v>0.98541190000000001</v>
      </c>
      <c r="L58" s="70"/>
      <c r="M58" s="70"/>
    </row>
    <row r="59" spans="1:13" ht="15.6">
      <c r="A59" s="27" t="str">
        <v>Q485</v>
      </c>
      <c r="B59" s="28" t="str">
        <v>NY</v>
      </c>
      <c r="C59" s="28" t="str">
        <f>Sites[[#This Row],[SOL'#]]</f>
        <v>SOL-10869</v>
      </c>
      <c r="D59" s="10">
        <v>54545.968749999898</v>
      </c>
      <c r="E59" s="15">
        <v>45116.08</v>
      </c>
      <c r="F59" s="15">
        <f t="shared" si="0"/>
        <v>9429.8887499998964</v>
      </c>
      <c r="G59" s="16">
        <f t="shared" si="5"/>
        <v>0.2090139203139966</v>
      </c>
      <c r="H59" s="17">
        <v>58712.99</v>
      </c>
      <c r="I59" s="17">
        <f t="shared" si="1"/>
        <v>-4167.0212500000998</v>
      </c>
      <c r="J59" s="16">
        <f t="shared" si="2"/>
        <v>-7.0972731077059772E-2</v>
      </c>
      <c r="K59" s="16">
        <v>1</v>
      </c>
      <c r="L59" s="39"/>
      <c r="M59" s="40"/>
    </row>
    <row r="60" spans="1:13" ht="15.6">
      <c r="A60" s="25" t="str">
        <v>Q490</v>
      </c>
      <c r="B60" s="26" t="str">
        <v>NY</v>
      </c>
      <c r="C60" s="26" t="str">
        <f>Sites[[#This Row],[SOL'#]]</f>
        <v>SOL-10411</v>
      </c>
      <c r="D60" s="67">
        <v>38796.75</v>
      </c>
      <c r="E60" s="11"/>
      <c r="F60" s="11" t="str">
        <f>IF(AND(ISNUMBER(D60),ISNUMBER(E60)), D60-E60, "")</f>
        <v/>
      </c>
      <c r="G60" s="68" t="str">
        <f t="shared" si="5"/>
        <v/>
      </c>
      <c r="H60" s="83">
        <v>40891.519999999997</v>
      </c>
      <c r="I60" s="83">
        <f t="shared" si="1"/>
        <v>-2094.7699999999968</v>
      </c>
      <c r="J60" s="80">
        <f t="shared" si="2"/>
        <v>-5.1227491665753605E-2</v>
      </c>
      <c r="K60" s="80">
        <v>1</v>
      </c>
      <c r="L60" s="70"/>
      <c r="M60" s="70"/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v>56244.375</v>
      </c>
      <c r="E61" s="15">
        <v>60491.64</v>
      </c>
      <c r="F61" s="15">
        <f t="shared" si="0"/>
        <v>-4247.2649999999994</v>
      </c>
      <c r="G61" s="16">
        <f t="shared" si="5"/>
        <v>-7.0212429353874339E-2</v>
      </c>
      <c r="H61" s="17">
        <v>62145.9</v>
      </c>
      <c r="I61" s="17">
        <f t="shared" si="1"/>
        <v>-5901.5250000000015</v>
      </c>
      <c r="J61" s="16">
        <f t="shared" si="2"/>
        <v>-9.4962419081548441E-2</v>
      </c>
      <c r="K61" s="16">
        <v>1</v>
      </c>
      <c r="L61" s="39"/>
      <c r="M61" s="40"/>
    </row>
    <row r="62" spans="1:13" ht="15.6">
      <c r="A62" s="25" t="str">
        <v>QMOA</v>
      </c>
      <c r="B62" s="26" t="str">
        <v>NY</v>
      </c>
      <c r="C62" s="26" t="str">
        <f>Sites[[#This Row],[SOL'#]]</f>
        <v>SOL-10415</v>
      </c>
      <c r="D62" s="67">
        <v>5206.8999999999896</v>
      </c>
      <c r="E62" s="11">
        <v>0</v>
      </c>
      <c r="F62" s="11">
        <f t="shared" si="0"/>
        <v>5206.8999999999896</v>
      </c>
      <c r="G62" s="68" t="str">
        <f t="shared" si="5"/>
        <v/>
      </c>
      <c r="H62" s="83">
        <v>5691.384</v>
      </c>
      <c r="I62" s="83">
        <f t="shared" si="1"/>
        <v>-484.48400000001038</v>
      </c>
      <c r="J62" s="80">
        <f t="shared" si="2"/>
        <v>-8.512586745157423E-2</v>
      </c>
      <c r="K62" s="80">
        <v>1</v>
      </c>
      <c r="L62" s="70"/>
      <c r="M62" s="70"/>
    </row>
    <row r="63" spans="1:13" ht="15.6">
      <c r="A63" s="27" t="str">
        <v>X024</v>
      </c>
      <c r="B63" s="28" t="str">
        <v>NY</v>
      </c>
      <c r="C63" s="28" t="str">
        <f>Sites[[#This Row],[SOL'#]]</f>
        <v>SOL-10419</v>
      </c>
      <c r="D63" s="82">
        <v>23709.765625</v>
      </c>
      <c r="E63" s="15">
        <v>23958.68</v>
      </c>
      <c r="F63" s="15">
        <f t="shared" si="0"/>
        <v>-248.91437500000029</v>
      </c>
      <c r="G63" s="84">
        <f t="shared" si="5"/>
        <v>-1.038931923628515E-2</v>
      </c>
      <c r="H63" s="85">
        <v>21447</v>
      </c>
      <c r="I63" s="85">
        <f t="shared" si="1"/>
        <v>2262.765625</v>
      </c>
      <c r="J63" s="84">
        <f t="shared" si="2"/>
        <v>0.10550499487107753</v>
      </c>
      <c r="K63" s="16">
        <v>0.97590860000000001</v>
      </c>
      <c r="L63" s="39"/>
      <c r="M63" s="40"/>
    </row>
    <row r="64" spans="1:13" ht="15.6">
      <c r="A64" s="25" t="str">
        <v>X026</v>
      </c>
      <c r="B64" s="26" t="str">
        <v>NY</v>
      </c>
      <c r="C64" s="26" t="str">
        <f>Sites[[#This Row],[SOL'#]]</f>
        <v>SOL-10420</v>
      </c>
      <c r="D64" s="67">
        <v>20034.3</v>
      </c>
      <c r="E64" s="11">
        <v>19365.73</v>
      </c>
      <c r="F64" s="11">
        <f t="shared" si="0"/>
        <v>668.56999999999971</v>
      </c>
      <c r="G64" s="68">
        <f t="shared" si="5"/>
        <v>3.4523356465261043E-2</v>
      </c>
      <c r="H64" s="83">
        <v>21447</v>
      </c>
      <c r="I64" s="83">
        <f t="shared" si="1"/>
        <v>-1412.7000000000007</v>
      </c>
      <c r="J64" s="80">
        <f t="shared" si="2"/>
        <v>-6.586935235697304E-2</v>
      </c>
      <c r="K64" s="80"/>
      <c r="L64" s="70"/>
      <c r="M64" s="70"/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>
        <v>17879.40625</v>
      </c>
      <c r="E65" s="15">
        <v>14502.35</v>
      </c>
      <c r="F65" s="15">
        <f t="shared" si="0"/>
        <v>3377.0562499999996</v>
      </c>
      <c r="G65" s="16">
        <f t="shared" si="5"/>
        <v>0.23286269121900929</v>
      </c>
      <c r="H65" s="17">
        <v>18263</v>
      </c>
      <c r="I65" s="17">
        <f t="shared" si="1"/>
        <v>-383.59375</v>
      </c>
      <c r="J65" s="16">
        <f t="shared" si="2"/>
        <v>-2.1003873952800744E-2</v>
      </c>
      <c r="K65" s="16"/>
      <c r="L65" s="39"/>
      <c r="M65" s="39"/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21">
        <v>14641.3</v>
      </c>
      <c r="E66" s="11">
        <v>16481.78</v>
      </c>
      <c r="F66" s="11">
        <f t="shared" si="0"/>
        <v>-1840.4799999999996</v>
      </c>
      <c r="G66" s="68">
        <f t="shared" si="5"/>
        <v>-0.11166755047088359</v>
      </c>
      <c r="H66" s="13">
        <v>15921</v>
      </c>
      <c r="I66" s="83">
        <f t="shared" si="1"/>
        <v>-1279.7000000000007</v>
      </c>
      <c r="J66" s="80">
        <f t="shared" si="2"/>
        <v>-8.0378116952452783E-2</v>
      </c>
      <c r="K66" s="80"/>
      <c r="L66" s="38"/>
      <c r="M66" s="38"/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10">
        <v>27006.5625</v>
      </c>
      <c r="E67" s="15">
        <v>28375.15</v>
      </c>
      <c r="F67" s="15">
        <f t="shared" si="0"/>
        <v>-1368.5875000000015</v>
      </c>
      <c r="G67" s="16">
        <f t="shared" si="5"/>
        <v>-4.823190361989281E-2</v>
      </c>
      <c r="H67" s="17">
        <v>27722</v>
      </c>
      <c r="I67" s="17">
        <f t="shared" si="1"/>
        <v>-715.4375</v>
      </c>
      <c r="J67" s="16">
        <f t="shared" si="2"/>
        <v>-2.5807571603780392E-2</v>
      </c>
      <c r="K67" s="16"/>
      <c r="L67" s="39"/>
      <c r="M67" s="40"/>
    </row>
    <row r="68" spans="1:13" ht="15.6">
      <c r="A68" s="25" t="str">
        <v>X134</v>
      </c>
      <c r="B68" s="26" t="str">
        <v>NY</v>
      </c>
      <c r="C68" s="26" t="str">
        <f>Sites[[#This Row],[SOL'#]]</f>
        <v>SOL-10424</v>
      </c>
      <c r="D68" s="21">
        <v>26160.59375</v>
      </c>
      <c r="E68" s="11">
        <v>26914</v>
      </c>
      <c r="F68" s="11">
        <f t="shared" si="0"/>
        <v>-753.40625</v>
      </c>
      <c r="G68" s="68">
        <f t="shared" si="5"/>
        <v>-2.7993098387456342E-2</v>
      </c>
      <c r="H68" s="13">
        <v>26914</v>
      </c>
      <c r="I68" s="83">
        <f t="shared" si="1"/>
        <v>-753.40625</v>
      </c>
      <c r="J68" s="80">
        <f t="shared" si="2"/>
        <v>-2.7993098387456342E-2</v>
      </c>
      <c r="K68" s="80"/>
      <c r="L68" s="38"/>
      <c r="M68" s="38"/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>
        <v>18057.96875</v>
      </c>
      <c r="E69" s="15">
        <v>20954.990000000002</v>
      </c>
      <c r="F69" s="15">
        <f t="shared" ref="F69:F132" si="6">IF(AND(ISNUMBER(D69),ISNUMBER(E69)), D69-E69, "")</f>
        <v>-2897.0212500000016</v>
      </c>
      <c r="G69" s="16">
        <f t="shared" si="5"/>
        <v>-0.13824970806476172</v>
      </c>
      <c r="H69" s="17">
        <v>22142</v>
      </c>
      <c r="I69" s="17">
        <f t="shared" ref="I69:I132" si="7">IF(AND(ISNUMBER(D69),ISNUMBER(H69)), D69-H69, "")</f>
        <v>-4084.03125</v>
      </c>
      <c r="J69" s="16">
        <f t="shared" ref="J69:J132" si="8">IFERROR(I69/H69, "")</f>
        <v>-0.18444726086171079</v>
      </c>
      <c r="K69" s="16"/>
      <c r="L69" s="39" t="s">
        <v>1003</v>
      </c>
      <c r="M69" s="39" t="s">
        <v>1004</v>
      </c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33491.791866436601</v>
      </c>
      <c r="E70" s="11">
        <v>34719.730000000003</v>
      </c>
      <c r="F70" s="11">
        <f t="shared" si="6"/>
        <v>-1227.9381335634025</v>
      </c>
      <c r="G70" s="68">
        <f t="shared" si="5"/>
        <v>-3.5367156759669574E-2</v>
      </c>
      <c r="H70" s="13">
        <v>33435</v>
      </c>
      <c r="I70" s="83">
        <f t="shared" si="7"/>
        <v>56.791866436600685</v>
      </c>
      <c r="J70" s="80">
        <f t="shared" si="8"/>
        <v>1.6985753383161563E-3</v>
      </c>
      <c r="K70" s="80">
        <v>1</v>
      </c>
      <c r="L70" s="38"/>
      <c r="M70" s="38"/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v>18424.5</v>
      </c>
      <c r="E71" s="15">
        <v>15351.93</v>
      </c>
      <c r="F71" s="15">
        <f t="shared" si="6"/>
        <v>3072.5699999999997</v>
      </c>
      <c r="G71" s="16">
        <f t="shared" si="5"/>
        <v>0.20014226224324888</v>
      </c>
      <c r="H71" s="17">
        <v>18626</v>
      </c>
      <c r="I71" s="17">
        <f t="shared" si="7"/>
        <v>-201.5</v>
      </c>
      <c r="J71" s="16">
        <f t="shared" si="8"/>
        <v>-1.0818211102759583E-2</v>
      </c>
      <c r="K71" s="16">
        <v>0</v>
      </c>
      <c r="L71" s="39"/>
      <c r="M71" s="40"/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21">
        <v>19718.099999999999</v>
      </c>
      <c r="E72" s="11">
        <v>20323.16</v>
      </c>
      <c r="F72" s="11">
        <f t="shared" si="6"/>
        <v>-605.06000000000131</v>
      </c>
      <c r="G72" s="68">
        <f t="shared" si="5"/>
        <v>-2.9771944914078387E-2</v>
      </c>
      <c r="H72" s="13">
        <v>20529</v>
      </c>
      <c r="I72" s="83">
        <f t="shared" si="7"/>
        <v>-810.90000000000146</v>
      </c>
      <c r="J72" s="80">
        <f t="shared" si="8"/>
        <v>-3.9500219202104413E-2</v>
      </c>
      <c r="K72" s="80"/>
      <c r="L72" s="38"/>
      <c r="M72" s="38"/>
    </row>
    <row r="73" spans="1:13" ht="29.1">
      <c r="A73" s="27" t="str">
        <v>Murphy</v>
      </c>
      <c r="B73" s="28" t="str">
        <v>MN</v>
      </c>
      <c r="C73" s="28" t="str">
        <f>Sites[[#This Row],[SOL'#]]</f>
        <v>SOL-10094</v>
      </c>
      <c r="D73" s="10">
        <v>950310</v>
      </c>
      <c r="E73" s="15">
        <v>1037697</v>
      </c>
      <c r="F73" s="15">
        <f t="shared" si="6"/>
        <v>-87387</v>
      </c>
      <c r="G73" s="16">
        <f t="shared" si="5"/>
        <v>-8.4212443516749114E-2</v>
      </c>
      <c r="H73" s="17">
        <v>823127.4</v>
      </c>
      <c r="I73" s="17">
        <f t="shared" si="7"/>
        <v>127182.59999999998</v>
      </c>
      <c r="J73" s="16">
        <f t="shared" si="8"/>
        <v>0.15451144014887608</v>
      </c>
      <c r="K73" s="16">
        <v>0.9874563999999999</v>
      </c>
      <c r="L73" s="39" t="s">
        <v>1005</v>
      </c>
      <c r="M73" s="39" t="s">
        <v>1006</v>
      </c>
    </row>
    <row r="74" spans="1:13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v>1006401.475</v>
      </c>
      <c r="E74" s="11">
        <v>1059052</v>
      </c>
      <c r="F74" s="11">
        <f t="shared" si="6"/>
        <v>-52650.525000000023</v>
      </c>
      <c r="G74" s="68">
        <f t="shared" si="5"/>
        <v>-4.9714768491065618E-2</v>
      </c>
      <c r="H74" s="13">
        <v>807835.6</v>
      </c>
      <c r="I74" s="83">
        <f t="shared" si="7"/>
        <v>198565.875</v>
      </c>
      <c r="J74" s="16">
        <f t="shared" si="8"/>
        <v>0.24579985705012258</v>
      </c>
      <c r="K74" s="80">
        <v>0.97404700000000011</v>
      </c>
      <c r="L74" s="38"/>
      <c r="M74" s="38"/>
    </row>
    <row r="75" spans="1:13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>
        <v>347907</v>
      </c>
      <c r="E75" s="15">
        <v>241197</v>
      </c>
      <c r="F75" s="15">
        <f t="shared" si="6"/>
        <v>106710</v>
      </c>
      <c r="G75" s="16">
        <f t="shared" si="5"/>
        <v>0.44241843804027414</v>
      </c>
      <c r="H75" s="17">
        <v>320508.89</v>
      </c>
      <c r="I75" s="17">
        <f t="shared" si="7"/>
        <v>27398.109999999986</v>
      </c>
      <c r="J75" s="16">
        <f t="shared" si="8"/>
        <v>8.5483151496983392E-2</v>
      </c>
      <c r="K75" s="16">
        <v>0.98250000000000004</v>
      </c>
      <c r="L75" s="39"/>
      <c r="M75" s="40"/>
    </row>
    <row r="76" spans="1:13" ht="43.5">
      <c r="A76" s="25" t="str">
        <v>Kelly Bridge Farm</v>
      </c>
      <c r="B76" s="26" t="str">
        <v>NY</v>
      </c>
      <c r="C76" s="26" t="str">
        <f>Sites[[#This Row],[SOL'#]]</f>
        <v>SOL-10911</v>
      </c>
      <c r="D76" s="21">
        <v>327916</v>
      </c>
      <c r="E76" s="11">
        <v>339060.37</v>
      </c>
      <c r="F76" s="11">
        <f t="shared" si="6"/>
        <v>-11144.369999999995</v>
      </c>
      <c r="G76" s="68">
        <f t="shared" si="5"/>
        <v>-3.2868394498596208E-2</v>
      </c>
      <c r="H76" s="13">
        <v>323449.34000000003</v>
      </c>
      <c r="I76" s="83">
        <f t="shared" si="7"/>
        <v>4466.6599999999744</v>
      </c>
      <c r="J76" s="80">
        <f t="shared" si="8"/>
        <v>1.3809457765472559E-2</v>
      </c>
      <c r="K76" s="80">
        <v>0.99329999999999996</v>
      </c>
      <c r="L76" s="38" t="s">
        <v>1007</v>
      </c>
      <c r="M76" s="38" t="s">
        <v>1008</v>
      </c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>
        <v>314367</v>
      </c>
      <c r="E77" s="15">
        <v>326289.90999999997</v>
      </c>
      <c r="F77" s="15">
        <f t="shared" si="6"/>
        <v>-11922.909999999974</v>
      </c>
      <c r="G77" s="16">
        <f t="shared" si="5"/>
        <v>-3.6540847983929307E-2</v>
      </c>
      <c r="H77" s="17">
        <v>307905.55</v>
      </c>
      <c r="I77" s="17">
        <f t="shared" si="7"/>
        <v>6461.4500000000116</v>
      </c>
      <c r="J77" s="16">
        <f t="shared" si="8"/>
        <v>2.0985168990945477E-2</v>
      </c>
      <c r="K77" s="16">
        <v>0.9998999999999999</v>
      </c>
      <c r="L77" s="39"/>
      <c r="M77" s="39"/>
    </row>
    <row r="78" spans="1:13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>
        <v>332099</v>
      </c>
      <c r="E78" s="11">
        <v>335757.47</v>
      </c>
      <c r="F78" s="11">
        <f t="shared" si="6"/>
        <v>-3658.4699999999721</v>
      </c>
      <c r="G78" s="68">
        <f t="shared" si="5"/>
        <v>-1.0896168594551217E-2</v>
      </c>
      <c r="H78" s="13">
        <v>319786.15000000002</v>
      </c>
      <c r="I78" s="83">
        <f t="shared" si="7"/>
        <v>12312.849999999977</v>
      </c>
      <c r="J78" s="80">
        <f t="shared" si="8"/>
        <v>3.8503387341821953E-2</v>
      </c>
      <c r="K78" s="80">
        <v>0.99970000000000003</v>
      </c>
      <c r="L78" s="38"/>
      <c r="M78" s="38"/>
    </row>
    <row r="79" spans="1:13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>
        <v>349180</v>
      </c>
      <c r="E79" s="15">
        <v>359014.39</v>
      </c>
      <c r="F79" s="15">
        <f t="shared" si="6"/>
        <v>-9834.390000000014</v>
      </c>
      <c r="G79" s="16">
        <f t="shared" si="5"/>
        <v>-2.7392746012214201E-2</v>
      </c>
      <c r="H79" s="17">
        <v>332869.11</v>
      </c>
      <c r="I79" s="17">
        <f t="shared" si="7"/>
        <v>16310.890000000014</v>
      </c>
      <c r="J79" s="16">
        <f t="shared" si="8"/>
        <v>4.9000912100254708E-2</v>
      </c>
      <c r="K79" s="16">
        <v>1</v>
      </c>
      <c r="L79" s="39"/>
      <c r="M79" s="40"/>
    </row>
    <row r="80" spans="1:13" ht="44.25" customHeight="1">
      <c r="A80" s="25" t="str">
        <v>Villa Roma 1</v>
      </c>
      <c r="B80" s="26" t="str">
        <v>NY</v>
      </c>
      <c r="C80" s="26" t="str">
        <f>Sites[[#This Row],[SOL'#]]</f>
        <v>SOL-10914</v>
      </c>
      <c r="D80" s="21">
        <v>290238</v>
      </c>
      <c r="E80" s="11">
        <v>441520.47</v>
      </c>
      <c r="F80" s="11">
        <f t="shared" si="6"/>
        <v>-151282.46999999997</v>
      </c>
      <c r="G80" s="68">
        <f t="shared" si="5"/>
        <v>-0.34263976481090441</v>
      </c>
      <c r="H80" s="13">
        <v>280184</v>
      </c>
      <c r="I80" s="83">
        <f t="shared" si="7"/>
        <v>10054</v>
      </c>
      <c r="J80" s="80">
        <f t="shared" si="8"/>
        <v>3.5883562230534218E-2</v>
      </c>
      <c r="K80" s="80"/>
      <c r="L80" s="38" t="s">
        <v>1009</v>
      </c>
      <c r="M80" s="38" t="s">
        <v>1010</v>
      </c>
    </row>
    <row r="81" spans="1:13" ht="47.25" customHeight="1">
      <c r="A81" s="27" t="str">
        <v>Villa Roma 2</v>
      </c>
      <c r="B81" s="28" t="str">
        <v>NY</v>
      </c>
      <c r="C81" s="28" t="str">
        <f>Sites[[#This Row],[SOL'#]]</f>
        <v>SOL-10915</v>
      </c>
      <c r="D81" s="10">
        <v>279223</v>
      </c>
      <c r="E81" s="15">
        <v>296671.02</v>
      </c>
      <c r="F81" s="15">
        <f t="shared" si="6"/>
        <v>-17448.020000000019</v>
      </c>
      <c r="G81" s="16">
        <f t="shared" si="5"/>
        <v>-5.8812687535169487E-2</v>
      </c>
      <c r="H81" s="17">
        <v>271274</v>
      </c>
      <c r="I81" s="17">
        <f t="shared" si="7"/>
        <v>7949</v>
      </c>
      <c r="J81" s="16">
        <f t="shared" si="8"/>
        <v>2.9302476462912036E-2</v>
      </c>
      <c r="K81" s="16"/>
      <c r="L81" s="39" t="s">
        <v>1011</v>
      </c>
      <c r="M81" s="105" t="s">
        <v>1012</v>
      </c>
    </row>
    <row r="82" spans="1:13" ht="15.6">
      <c r="A82" s="25" t="str">
        <v>Washington 1</v>
      </c>
      <c r="B82" s="26" t="str">
        <v>NY</v>
      </c>
      <c r="C82" s="26" t="str">
        <f>Sites[[#This Row],[SOL'#]]</f>
        <v>SOL-10912</v>
      </c>
      <c r="D82" s="67">
        <v>333260</v>
      </c>
      <c r="E82" s="11">
        <v>352117.95</v>
      </c>
      <c r="F82" s="11">
        <f t="shared" si="6"/>
        <v>-18857.950000000012</v>
      </c>
      <c r="G82" s="68">
        <f t="shared" ref="G82:G113" si="9">IFERROR(F82/E82, "")</f>
        <v>-5.3555775841589479E-2</v>
      </c>
      <c r="H82" s="83">
        <v>327707</v>
      </c>
      <c r="I82" s="83">
        <f t="shared" si="7"/>
        <v>5553</v>
      </c>
      <c r="J82" s="80">
        <f t="shared" si="8"/>
        <v>1.6945014906608647E-2</v>
      </c>
      <c r="K82" s="80"/>
      <c r="L82" s="70"/>
      <c r="M82" s="70"/>
    </row>
    <row r="83" spans="1:13" ht="60.75" customHeight="1">
      <c r="A83" s="27" t="str">
        <v>Washington 3</v>
      </c>
      <c r="B83" s="28" t="str">
        <v>NY</v>
      </c>
      <c r="C83" s="28" t="str">
        <f>Sites[[#This Row],[SOL'#]]</f>
        <v>SOL-10828</v>
      </c>
      <c r="D83" s="10">
        <v>373299</v>
      </c>
      <c r="E83" s="15">
        <v>436262.89</v>
      </c>
      <c r="F83" s="15">
        <f t="shared" si="6"/>
        <v>-62963.890000000014</v>
      </c>
      <c r="G83" s="16">
        <f t="shared" si="9"/>
        <v>-0.14432556938317631</v>
      </c>
      <c r="H83" s="17">
        <v>400748</v>
      </c>
      <c r="I83" s="17">
        <f t="shared" si="7"/>
        <v>-27449</v>
      </c>
      <c r="J83" s="16">
        <f t="shared" si="8"/>
        <v>-6.8494415443121362E-2</v>
      </c>
      <c r="K83" s="16"/>
      <c r="L83" s="58" t="s">
        <v>1013</v>
      </c>
      <c r="M83" s="105" t="s">
        <v>1014</v>
      </c>
    </row>
    <row r="84" spans="1:13" ht="29.1">
      <c r="A84" s="25" t="str">
        <v>Washington 4</v>
      </c>
      <c r="B84" s="26" t="str">
        <v>NY</v>
      </c>
      <c r="C84" s="26" t="str">
        <f>Sites[[#This Row],[SOL'#]]</f>
        <v>SOL-10829</v>
      </c>
      <c r="D84" s="67">
        <v>0</v>
      </c>
      <c r="E84" s="11">
        <v>0</v>
      </c>
      <c r="F84" s="11">
        <f t="shared" si="6"/>
        <v>0</v>
      </c>
      <c r="G84" s="68" t="str">
        <f t="shared" si="9"/>
        <v/>
      </c>
      <c r="H84" s="83">
        <v>401619</v>
      </c>
      <c r="I84" s="83">
        <f t="shared" si="7"/>
        <v>-401619</v>
      </c>
      <c r="J84" s="80">
        <f t="shared" si="8"/>
        <v>-1</v>
      </c>
      <c r="K84" s="80"/>
      <c r="L84" s="70" t="s">
        <v>1015</v>
      </c>
      <c r="M84" s="70" t="s">
        <v>1016</v>
      </c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10">
        <v>347975</v>
      </c>
      <c r="E85" s="15">
        <v>0</v>
      </c>
      <c r="F85" s="15">
        <f t="shared" si="6"/>
        <v>347975</v>
      </c>
      <c r="G85" s="16" t="str">
        <f t="shared" si="9"/>
        <v/>
      </c>
      <c r="H85" s="17">
        <v>310448</v>
      </c>
      <c r="I85" s="17">
        <f t="shared" si="7"/>
        <v>37527</v>
      </c>
      <c r="J85" s="16">
        <f t="shared" si="8"/>
        <v>0.12088014739988662</v>
      </c>
      <c r="K85" s="16"/>
      <c r="L85" s="39"/>
      <c r="M85" s="40"/>
    </row>
    <row r="86" spans="1:13" ht="57.95">
      <c r="A86" s="25" t="str">
        <v>Canoga</v>
      </c>
      <c r="B86" s="26" t="str">
        <v>NY</v>
      </c>
      <c r="C86" s="26" t="str">
        <f>Sites[[#This Row],[SOL'#]]</f>
        <v>SOL-10965</v>
      </c>
      <c r="D86" s="67">
        <v>828380</v>
      </c>
      <c r="E86" s="11">
        <v>0</v>
      </c>
      <c r="F86" s="11">
        <f t="shared" si="6"/>
        <v>828380</v>
      </c>
      <c r="G86" s="68" t="str">
        <f t="shared" si="9"/>
        <v/>
      </c>
      <c r="H86" s="83">
        <v>845418.45</v>
      </c>
      <c r="I86" s="83">
        <f t="shared" si="7"/>
        <v>-17038.449999999953</v>
      </c>
      <c r="J86" s="80">
        <f t="shared" si="8"/>
        <v>-2.0153865816389453E-2</v>
      </c>
      <c r="K86" s="80">
        <v>1</v>
      </c>
      <c r="L86" s="70" t="s">
        <v>1017</v>
      </c>
      <c r="M86" s="70" t="s">
        <v>1018</v>
      </c>
    </row>
    <row r="87" spans="1:13" ht="39" customHeight="1">
      <c r="A87" s="27" t="str">
        <v>County Route 84</v>
      </c>
      <c r="B87" s="28" t="str">
        <v>NY</v>
      </c>
      <c r="C87" s="28" t="str">
        <f>Sites[[#This Row],[SOL'#]]</f>
        <v>SOL-10967</v>
      </c>
      <c r="D87" s="10">
        <v>792090</v>
      </c>
      <c r="E87" s="15">
        <v>0</v>
      </c>
      <c r="F87" s="15">
        <f t="shared" si="6"/>
        <v>792090</v>
      </c>
      <c r="G87" s="16" t="str">
        <f t="shared" si="9"/>
        <v/>
      </c>
      <c r="H87" s="17">
        <v>810658.98</v>
      </c>
      <c r="I87" s="17">
        <f t="shared" si="7"/>
        <v>-18568.979999999981</v>
      </c>
      <c r="J87" s="16">
        <f t="shared" si="8"/>
        <v>-2.2906031337616196E-2</v>
      </c>
      <c r="K87" s="16">
        <v>0.99970000000000003</v>
      </c>
      <c r="L87" s="39" t="s">
        <v>1019</v>
      </c>
      <c r="M87" s="104" t="s">
        <v>1020</v>
      </c>
    </row>
    <row r="88" spans="1:13" ht="15.6">
      <c r="A88" s="25" t="str">
        <v>Donati</v>
      </c>
      <c r="B88" s="26" t="str">
        <v>NY</v>
      </c>
      <c r="C88" s="26" t="str">
        <f>Sites[[#This Row],[SOL'#]]</f>
        <v>SOL-10968</v>
      </c>
      <c r="D88" s="21">
        <v>261036</v>
      </c>
      <c r="E88" s="11">
        <v>0</v>
      </c>
      <c r="F88" s="11">
        <f t="shared" si="6"/>
        <v>261036</v>
      </c>
      <c r="G88" s="68" t="str">
        <f t="shared" si="9"/>
        <v/>
      </c>
      <c r="H88" s="13">
        <v>395356.63</v>
      </c>
      <c r="I88" s="83">
        <f t="shared" si="7"/>
        <v>-134320.63</v>
      </c>
      <c r="J88" s="80">
        <f t="shared" si="8"/>
        <v>-0.33974548498149632</v>
      </c>
      <c r="K88" s="80">
        <v>1</v>
      </c>
      <c r="L88" s="38" t="s">
        <v>1021</v>
      </c>
      <c r="M88" s="38" t="s">
        <v>1022</v>
      </c>
    </row>
    <row r="89" spans="1:13" ht="15.6">
      <c r="A89" s="27" t="str">
        <v>Henrietta</v>
      </c>
      <c r="B89" s="28" t="str">
        <v>NY</v>
      </c>
      <c r="C89" s="28" t="str">
        <f>Sites[[#This Row],[SOL'#]]</f>
        <v>SOL-10972</v>
      </c>
      <c r="D89" s="10">
        <v>871999</v>
      </c>
      <c r="E89" s="15">
        <v>0</v>
      </c>
      <c r="F89" s="15">
        <f t="shared" si="6"/>
        <v>871999</v>
      </c>
      <c r="G89" s="16" t="str">
        <f t="shared" si="9"/>
        <v/>
      </c>
      <c r="H89" s="17">
        <v>797960</v>
      </c>
      <c r="I89" s="17">
        <f t="shared" si="7"/>
        <v>74039</v>
      </c>
      <c r="J89" s="16">
        <f t="shared" si="8"/>
        <v>9.2785352649255595E-2</v>
      </c>
      <c r="K89" s="16">
        <v>1</v>
      </c>
      <c r="L89" s="39"/>
      <c r="M89" s="39"/>
    </row>
    <row r="90" spans="1:13" ht="15.6">
      <c r="A90" s="25" t="str">
        <v>NY 70</v>
      </c>
      <c r="B90" s="26" t="str">
        <v>NY</v>
      </c>
      <c r="C90" s="26" t="str">
        <f>Sites[[#This Row],[SOL'#]]</f>
        <v>SOL-10970</v>
      </c>
      <c r="D90" s="67">
        <v>942528</v>
      </c>
      <c r="E90" s="11">
        <v>0</v>
      </c>
      <c r="F90" s="11">
        <f t="shared" si="6"/>
        <v>942528</v>
      </c>
      <c r="G90" s="68" t="str">
        <f t="shared" si="9"/>
        <v/>
      </c>
      <c r="H90" s="83">
        <v>824344</v>
      </c>
      <c r="I90" s="83">
        <f t="shared" si="7"/>
        <v>118184</v>
      </c>
      <c r="J90" s="80">
        <f t="shared" si="8"/>
        <v>0.14336733208466368</v>
      </c>
      <c r="K90" s="80">
        <v>0.99970000000000003</v>
      </c>
      <c r="L90" s="70"/>
      <c r="M90" s="70"/>
    </row>
    <row r="91" spans="1:13" ht="282.75" customHeight="1">
      <c r="A91" s="27" t="str">
        <v>Reid</v>
      </c>
      <c r="B91" s="28" t="str">
        <v>NY</v>
      </c>
      <c r="C91" s="28" t="str">
        <f>Sites[[#This Row],[SOL'#]]</f>
        <v>SOL-10991</v>
      </c>
      <c r="D91" s="10">
        <v>779031.96764287399</v>
      </c>
      <c r="E91" s="15">
        <v>764998.8</v>
      </c>
      <c r="F91" s="15">
        <f t="shared" si="6"/>
        <v>14033.167642873945</v>
      </c>
      <c r="G91" s="16">
        <f t="shared" si="9"/>
        <v>1.8344038765647663E-2</v>
      </c>
      <c r="H91" s="17">
        <v>708702</v>
      </c>
      <c r="I91" s="17">
        <f t="shared" si="7"/>
        <v>70329.967642873991</v>
      </c>
      <c r="J91" s="16">
        <f t="shared" si="8"/>
        <v>9.9237715771754553E-2</v>
      </c>
      <c r="K91" s="16">
        <v>1</v>
      </c>
      <c r="L91" s="58" t="s">
        <v>1023</v>
      </c>
      <c r="M91" s="105" t="s">
        <v>1024</v>
      </c>
    </row>
    <row r="92" spans="1:13" ht="15.6">
      <c r="A92" s="25" t="str">
        <v>Sangolqui</v>
      </c>
      <c r="B92" s="26" t="str">
        <v>NY</v>
      </c>
      <c r="C92" s="26" t="str">
        <f>Sites[[#This Row],[SOL'#]]</f>
        <v>SOL-10975</v>
      </c>
      <c r="D92" s="21">
        <v>374569</v>
      </c>
      <c r="E92" s="11">
        <v>0</v>
      </c>
      <c r="F92" s="11">
        <f t="shared" si="6"/>
        <v>374569</v>
      </c>
      <c r="G92" s="68" t="str">
        <f t="shared" si="9"/>
        <v/>
      </c>
      <c r="H92" s="13">
        <v>385467.07</v>
      </c>
      <c r="I92" s="83">
        <f t="shared" si="7"/>
        <v>-10898.070000000007</v>
      </c>
      <c r="J92" s="80">
        <f t="shared" si="8"/>
        <v>-2.8272376159135998E-2</v>
      </c>
      <c r="K92" s="80">
        <v>1</v>
      </c>
      <c r="L92" s="38" t="s">
        <v>1025</v>
      </c>
      <c r="M92" s="38" t="s">
        <v>1026</v>
      </c>
    </row>
    <row r="93" spans="1:13" ht="45" customHeight="1">
      <c r="A93" s="27" t="str">
        <v>State Highway 17B</v>
      </c>
      <c r="B93" s="28" t="str">
        <v>NY</v>
      </c>
      <c r="C93" s="28" t="str">
        <f>Sites[[#This Row],[SOL'#]]</f>
        <v>SOL-10988</v>
      </c>
      <c r="D93" s="10">
        <v>588810</v>
      </c>
      <c r="E93" s="15">
        <v>0</v>
      </c>
      <c r="F93" s="15">
        <f t="shared" si="6"/>
        <v>588810</v>
      </c>
      <c r="G93" s="16" t="str">
        <f t="shared" si="9"/>
        <v/>
      </c>
      <c r="H93" s="17">
        <v>711417</v>
      </c>
      <c r="I93" s="17">
        <f t="shared" si="7"/>
        <v>-122607</v>
      </c>
      <c r="J93" s="16">
        <f t="shared" si="8"/>
        <v>-0.17234195977886388</v>
      </c>
      <c r="K93" s="16"/>
      <c r="L93" s="58" t="s">
        <v>1027</v>
      </c>
      <c r="M93" s="105" t="s">
        <v>1028</v>
      </c>
    </row>
    <row r="94" spans="1:13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>
        <v>871378</v>
      </c>
      <c r="E94" s="11">
        <v>0</v>
      </c>
      <c r="F94" s="11">
        <f t="shared" si="6"/>
        <v>871378</v>
      </c>
      <c r="G94" s="68" t="str">
        <f t="shared" si="9"/>
        <v/>
      </c>
      <c r="H94" s="13">
        <v>835765</v>
      </c>
      <c r="I94" s="83">
        <f t="shared" si="7"/>
        <v>35613</v>
      </c>
      <c r="J94" s="80">
        <f t="shared" si="8"/>
        <v>4.2611260342321107E-2</v>
      </c>
      <c r="K94" s="80"/>
      <c r="L94" s="38"/>
      <c r="M94" s="38"/>
    </row>
    <row r="95" spans="1:13" ht="15.6">
      <c r="A95" s="27" t="str">
        <v>West Creek</v>
      </c>
      <c r="B95" s="28" t="str">
        <v>NY</v>
      </c>
      <c r="C95" s="28" t="str">
        <f>Sites[[#This Row],[SOL'#]]</f>
        <v>SOL-10995</v>
      </c>
      <c r="D95" s="10">
        <v>863940</v>
      </c>
      <c r="E95" s="15">
        <v>0</v>
      </c>
      <c r="F95" s="15">
        <f t="shared" si="6"/>
        <v>863940</v>
      </c>
      <c r="G95" s="16" t="str">
        <f t="shared" si="9"/>
        <v/>
      </c>
      <c r="H95" s="17">
        <v>807453</v>
      </c>
      <c r="I95" s="17">
        <f t="shared" si="7"/>
        <v>56487</v>
      </c>
      <c r="J95" s="16">
        <f t="shared" si="8"/>
        <v>6.9957012977845151E-2</v>
      </c>
      <c r="K95" s="16"/>
      <c r="L95" s="39"/>
      <c r="M95" s="40"/>
    </row>
    <row r="96" spans="1:13" ht="15.6">
      <c r="A96" s="25" t="str">
        <v>Wildflower</v>
      </c>
      <c r="B96" s="26" t="str">
        <v>NY</v>
      </c>
      <c r="C96" s="26" t="str">
        <f>Sites[[#This Row],[SOL'#]]</f>
        <v>SOL-10982</v>
      </c>
      <c r="D96" s="21">
        <v>1474.97</v>
      </c>
      <c r="E96" s="11">
        <v>0</v>
      </c>
      <c r="F96" s="11">
        <f t="shared" si="6"/>
        <v>1474.97</v>
      </c>
      <c r="G96" s="68" t="str">
        <f t="shared" si="9"/>
        <v/>
      </c>
      <c r="H96" s="13">
        <v>783747</v>
      </c>
      <c r="I96" s="83">
        <f t="shared" si="7"/>
        <v>-782272.03</v>
      </c>
      <c r="J96" s="80">
        <f t="shared" si="8"/>
        <v>-0.99811805340243731</v>
      </c>
      <c r="K96" s="80"/>
      <c r="L96" s="38"/>
      <c r="M96" s="38"/>
    </row>
    <row r="97" spans="1:13" ht="29.1">
      <c r="A97" s="27" t="str">
        <v>Glen Mary 1</v>
      </c>
      <c r="B97" s="28" t="str">
        <v>NY</v>
      </c>
      <c r="C97" s="28" t="str">
        <f>Sites[[#This Row],[SOL'#]]</f>
        <v>SOL-10993</v>
      </c>
      <c r="D97" s="10">
        <v>783450</v>
      </c>
      <c r="E97" s="15">
        <v>0</v>
      </c>
      <c r="F97" s="15">
        <f t="shared" si="6"/>
        <v>783450</v>
      </c>
      <c r="G97" s="16" t="str">
        <f t="shared" si="9"/>
        <v/>
      </c>
      <c r="H97" s="17">
        <v>821758</v>
      </c>
      <c r="I97" s="17">
        <f t="shared" si="7"/>
        <v>-38308</v>
      </c>
      <c r="J97" s="16">
        <f t="shared" si="8"/>
        <v>-4.6617130590757866E-2</v>
      </c>
      <c r="K97" s="16">
        <v>0.99900000000000011</v>
      </c>
      <c r="L97" s="39" t="s">
        <v>1029</v>
      </c>
      <c r="M97" s="105" t="s">
        <v>1030</v>
      </c>
    </row>
    <row r="98" spans="1:13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>
        <v>353190</v>
      </c>
      <c r="E98" s="11">
        <v>0</v>
      </c>
      <c r="F98" s="11">
        <f t="shared" si="6"/>
        <v>353190</v>
      </c>
      <c r="G98" s="68" t="str">
        <f t="shared" si="9"/>
        <v/>
      </c>
      <c r="H98" s="13">
        <v>347994.46</v>
      </c>
      <c r="I98" s="83">
        <f t="shared" si="7"/>
        <v>5195.539999999979</v>
      </c>
      <c r="J98" s="80">
        <f t="shared" si="8"/>
        <v>1.4929950321622875E-2</v>
      </c>
      <c r="K98" s="80">
        <v>0.99930000000000008</v>
      </c>
      <c r="L98" s="38"/>
      <c r="M98" s="38"/>
    </row>
    <row r="99" spans="1:13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>
        <v>655770</v>
      </c>
      <c r="E99" s="15">
        <v>0</v>
      </c>
      <c r="F99" s="15">
        <f t="shared" si="6"/>
        <v>655770</v>
      </c>
      <c r="G99" s="16" t="str">
        <f t="shared" si="9"/>
        <v/>
      </c>
      <c r="H99" s="17">
        <v>564557.23</v>
      </c>
      <c r="I99" s="17">
        <f t="shared" si="7"/>
        <v>91212.770000000019</v>
      </c>
      <c r="J99" s="16">
        <f t="shared" si="8"/>
        <v>0.16156514371448227</v>
      </c>
      <c r="K99" s="16">
        <v>1</v>
      </c>
      <c r="L99" s="39"/>
      <c r="M99" s="40"/>
    </row>
    <row r="100" spans="1:13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>
        <v>346252</v>
      </c>
      <c r="E100" s="11">
        <v>0</v>
      </c>
      <c r="F100" s="11">
        <f t="shared" si="6"/>
        <v>346252</v>
      </c>
      <c r="G100" s="68" t="str">
        <f t="shared" si="9"/>
        <v/>
      </c>
      <c r="H100" s="13">
        <v>293311.28000000003</v>
      </c>
      <c r="I100" s="83">
        <f t="shared" si="7"/>
        <v>52940.719999999972</v>
      </c>
      <c r="J100" s="80">
        <f t="shared" si="8"/>
        <v>0.18049329708697179</v>
      </c>
      <c r="K100" s="80">
        <v>1</v>
      </c>
      <c r="L100" s="38"/>
      <c r="M100" s="38"/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>
        <v>652240</v>
      </c>
      <c r="E101" s="15">
        <v>0</v>
      </c>
      <c r="F101" s="15">
        <f t="shared" si="6"/>
        <v>652240</v>
      </c>
      <c r="G101" s="16" t="str">
        <f t="shared" si="9"/>
        <v/>
      </c>
      <c r="H101" s="17">
        <v>797221.13</v>
      </c>
      <c r="I101" s="17">
        <f t="shared" si="7"/>
        <v>-144981.13</v>
      </c>
      <c r="J101" s="16">
        <f t="shared" si="8"/>
        <v>-0.18185811256658488</v>
      </c>
      <c r="K101" s="16">
        <v>1</v>
      </c>
      <c r="L101" s="39"/>
      <c r="M101" s="39"/>
    </row>
    <row r="102" spans="1:13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>
        <v>975870</v>
      </c>
      <c r="E102" s="11">
        <v>0</v>
      </c>
      <c r="F102" s="11">
        <f t="shared" si="6"/>
        <v>975870</v>
      </c>
      <c r="G102" s="68" t="str">
        <f t="shared" si="9"/>
        <v/>
      </c>
      <c r="H102" s="13">
        <v>888324.87</v>
      </c>
      <c r="I102" s="83">
        <f t="shared" si="7"/>
        <v>87545.13</v>
      </c>
      <c r="J102" s="80">
        <f t="shared" si="8"/>
        <v>9.8550803829234243E-2</v>
      </c>
      <c r="K102" s="80">
        <v>1</v>
      </c>
      <c r="L102" s="38"/>
      <c r="M102" s="38"/>
    </row>
    <row r="103" spans="1:13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>
        <v>408542</v>
      </c>
      <c r="E103" s="15">
        <v>0</v>
      </c>
      <c r="F103" s="15">
        <f t="shared" si="6"/>
        <v>408542</v>
      </c>
      <c r="G103" s="16" t="str">
        <f t="shared" si="9"/>
        <v/>
      </c>
      <c r="H103" s="17">
        <v>359816.76</v>
      </c>
      <c r="I103" s="17">
        <f t="shared" si="7"/>
        <v>48725.239999999991</v>
      </c>
      <c r="J103" s="16">
        <f t="shared" si="8"/>
        <v>0.13541681604825742</v>
      </c>
      <c r="K103" s="16">
        <v>1</v>
      </c>
      <c r="L103" s="39"/>
      <c r="M103" s="40"/>
    </row>
    <row r="104" spans="1:13" ht="29.1">
      <c r="A104" s="25" t="str">
        <v>Route 19 2</v>
      </c>
      <c r="B104" s="26" t="str">
        <v>NY</v>
      </c>
      <c r="C104" s="26" t="str">
        <f>Sites[[#This Row],[SOL'#]]</f>
        <v>SOL-11002</v>
      </c>
      <c r="D104" s="21">
        <v>926140</v>
      </c>
      <c r="E104" s="11">
        <v>0</v>
      </c>
      <c r="F104" s="11">
        <f t="shared" si="6"/>
        <v>926140</v>
      </c>
      <c r="G104" s="68" t="str">
        <f t="shared" si="9"/>
        <v/>
      </c>
      <c r="H104" s="13">
        <v>893174.44</v>
      </c>
      <c r="I104" s="83">
        <f t="shared" si="7"/>
        <v>32965.560000000056</v>
      </c>
      <c r="J104" s="80">
        <f t="shared" si="8"/>
        <v>3.6908310990180215E-2</v>
      </c>
      <c r="K104" s="80">
        <v>0.99970000000000003</v>
      </c>
      <c r="L104" s="38" t="s">
        <v>1031</v>
      </c>
      <c r="M104" s="38" t="s">
        <v>1032</v>
      </c>
    </row>
    <row r="105" spans="1:13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>
        <v>368984</v>
      </c>
      <c r="E105" s="15">
        <v>0</v>
      </c>
      <c r="F105" s="15">
        <f t="shared" si="6"/>
        <v>368984</v>
      </c>
      <c r="G105" s="16" t="str">
        <f t="shared" si="9"/>
        <v/>
      </c>
      <c r="H105" s="17">
        <v>331359.59999999998</v>
      </c>
      <c r="I105" s="17">
        <f t="shared" si="7"/>
        <v>37624.400000000023</v>
      </c>
      <c r="J105" s="16">
        <f t="shared" si="8"/>
        <v>0.11354552576717267</v>
      </c>
      <c r="K105" s="16">
        <v>0.99970000000000003</v>
      </c>
      <c r="L105" s="39"/>
      <c r="M105" s="40"/>
    </row>
    <row r="106" spans="1:13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>
        <v>367934</v>
      </c>
      <c r="E106" s="11">
        <v>0</v>
      </c>
      <c r="F106" s="11">
        <f t="shared" si="6"/>
        <v>367934</v>
      </c>
      <c r="G106" s="68" t="str">
        <f t="shared" si="9"/>
        <v/>
      </c>
      <c r="H106" s="13">
        <v>343987.58</v>
      </c>
      <c r="I106" s="83">
        <f t="shared" si="7"/>
        <v>23946.419999999984</v>
      </c>
      <c r="J106" s="80">
        <f t="shared" si="8"/>
        <v>6.9614199442898442E-2</v>
      </c>
      <c r="K106" s="80">
        <v>1</v>
      </c>
      <c r="L106" s="38"/>
      <c r="M106" s="38"/>
    </row>
    <row r="107" spans="1:13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>
        <v>342592</v>
      </c>
      <c r="E107" s="15">
        <v>0</v>
      </c>
      <c r="F107" s="15">
        <f t="shared" si="6"/>
        <v>342592</v>
      </c>
      <c r="G107" s="16" t="str">
        <f t="shared" si="9"/>
        <v/>
      </c>
      <c r="H107" s="17">
        <v>327889.69</v>
      </c>
      <c r="I107" s="17">
        <f t="shared" si="7"/>
        <v>14702.309999999998</v>
      </c>
      <c r="J107" s="16">
        <f t="shared" si="8"/>
        <v>4.4839195767332599E-2</v>
      </c>
      <c r="K107" s="16">
        <v>1</v>
      </c>
      <c r="L107" s="39" t="s">
        <v>1033</v>
      </c>
      <c r="M107" s="104" t="s">
        <v>1034</v>
      </c>
    </row>
    <row r="108" spans="1:13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>
        <v>683716</v>
      </c>
      <c r="E108" s="11">
        <v>0</v>
      </c>
      <c r="F108" s="11">
        <f t="shared" si="6"/>
        <v>683716</v>
      </c>
      <c r="G108" s="68" t="str">
        <f t="shared" si="9"/>
        <v/>
      </c>
      <c r="H108" s="13">
        <v>630478.19999999995</v>
      </c>
      <c r="I108" s="83">
        <f t="shared" si="7"/>
        <v>53237.800000000047</v>
      </c>
      <c r="J108" s="80">
        <f t="shared" si="8"/>
        <v>8.4440350197675429E-2</v>
      </c>
      <c r="K108" s="80">
        <v>1</v>
      </c>
      <c r="L108" s="38"/>
      <c r="M108" s="38"/>
    </row>
    <row r="109" spans="1:13" ht="89.25" customHeight="1">
      <c r="A109" s="27" t="str">
        <v>Eddy Ridge</v>
      </c>
      <c r="B109" s="28" t="str">
        <v>NY</v>
      </c>
      <c r="C109" s="28" t="str">
        <f>Sites[[#This Row],[SOL'#]]</f>
        <v>SOL-11054</v>
      </c>
      <c r="D109" s="10">
        <v>60385</v>
      </c>
      <c r="E109" s="15">
        <v>0</v>
      </c>
      <c r="F109" s="15">
        <f t="shared" si="6"/>
        <v>60385</v>
      </c>
      <c r="G109" s="16" t="str">
        <f t="shared" si="9"/>
        <v/>
      </c>
      <c r="H109" s="17">
        <v>450000</v>
      </c>
      <c r="I109" s="17">
        <f t="shared" si="7"/>
        <v>-389615</v>
      </c>
      <c r="J109" s="16">
        <f t="shared" si="8"/>
        <v>-0.86581111111111109</v>
      </c>
      <c r="K109" s="16">
        <v>0.99930000000000008</v>
      </c>
      <c r="L109" s="58" t="s">
        <v>1035</v>
      </c>
      <c r="M109" s="105" t="s">
        <v>1036</v>
      </c>
    </row>
    <row r="110" spans="1:13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>
        <v>1058081</v>
      </c>
      <c r="E110" s="11">
        <v>0</v>
      </c>
      <c r="F110" s="11">
        <f t="shared" si="6"/>
        <v>1058081</v>
      </c>
      <c r="G110" s="68" t="str">
        <f t="shared" si="9"/>
        <v/>
      </c>
      <c r="H110" s="13">
        <v>693891</v>
      </c>
      <c r="I110" s="83">
        <f t="shared" si="7"/>
        <v>364190</v>
      </c>
      <c r="J110" s="80">
        <f t="shared" si="8"/>
        <v>0.52485188595903387</v>
      </c>
      <c r="K110" s="80"/>
      <c r="L110" s="38"/>
      <c r="M110" s="38"/>
    </row>
    <row r="111" spans="1:13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789980</v>
      </c>
      <c r="E111" s="15">
        <v>828357.8</v>
      </c>
      <c r="F111" s="15">
        <f t="shared" si="6"/>
        <v>-38377.800000000047</v>
      </c>
      <c r="G111" s="16">
        <f t="shared" si="9"/>
        <v>-4.6329979629575579E-2</v>
      </c>
      <c r="H111" s="17">
        <v>741662.6</v>
      </c>
      <c r="I111" s="17">
        <f t="shared" si="7"/>
        <v>48317.400000000023</v>
      </c>
      <c r="J111" s="16">
        <f t="shared" si="8"/>
        <v>6.5147413392558862E-2</v>
      </c>
      <c r="K111" s="16">
        <v>0.98204740000000001</v>
      </c>
      <c r="L111" s="39" t="s">
        <v>1037</v>
      </c>
      <c r="M111" s="104" t="s">
        <v>1038</v>
      </c>
    </row>
    <row r="112" spans="1:13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715261.53499999898</v>
      </c>
      <c r="E112" s="11">
        <v>747136.4</v>
      </c>
      <c r="F112" s="11">
        <f t="shared" si="6"/>
        <v>-31874.865000001038</v>
      </c>
      <c r="G112" s="68">
        <f t="shared" si="9"/>
        <v>-4.2662711922483013E-2</v>
      </c>
      <c r="H112" s="13">
        <v>709933.7</v>
      </c>
      <c r="I112" s="83">
        <f t="shared" si="7"/>
        <v>5327.8349999990314</v>
      </c>
      <c r="J112" s="80">
        <f t="shared" si="8"/>
        <v>7.5046937481613165E-3</v>
      </c>
      <c r="K112" s="80">
        <v>0.9894309</v>
      </c>
      <c r="L112" s="38" t="s">
        <v>1037</v>
      </c>
      <c r="M112" s="38" t="s">
        <v>1038</v>
      </c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2854</v>
      </c>
      <c r="E113" s="15">
        <v>3720.174</v>
      </c>
      <c r="F113" s="15">
        <f t="shared" si="6"/>
        <v>-866.17399999999998</v>
      </c>
      <c r="G113" s="16">
        <f t="shared" si="9"/>
        <v>-0.23283158260877043</v>
      </c>
      <c r="H113" s="17">
        <v>4048.4209999999998</v>
      </c>
      <c r="I113" s="17">
        <f t="shared" si="7"/>
        <v>-1194.4209999999998</v>
      </c>
      <c r="J113" s="16">
        <f t="shared" si="8"/>
        <v>-0.29503379218712678</v>
      </c>
      <c r="K113" s="16">
        <v>1</v>
      </c>
      <c r="L113" s="39"/>
      <c r="M113" s="39"/>
    </row>
    <row r="114" spans="1:13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7148.8199999999497</v>
      </c>
      <c r="E114" s="11">
        <v>10072.94</v>
      </c>
      <c r="F114" s="11">
        <f t="shared" si="6"/>
        <v>-2924.1200000000508</v>
      </c>
      <c r="G114" s="68">
        <f t="shared" ref="G114:G145" si="10">IFERROR(F114/E114, "")</f>
        <v>-0.29029459125141721</v>
      </c>
      <c r="H114" s="13">
        <v>9415.4770000000008</v>
      </c>
      <c r="I114" s="83">
        <f t="shared" si="7"/>
        <v>-2266.6570000000511</v>
      </c>
      <c r="J114" s="80">
        <f t="shared" si="8"/>
        <v>-0.24073735191536774</v>
      </c>
      <c r="K114" s="80">
        <v>1</v>
      </c>
      <c r="L114" s="38" t="s">
        <v>1039</v>
      </c>
      <c r="M114" s="38" t="s">
        <v>1040</v>
      </c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>
        <v>1153</v>
      </c>
      <c r="E115" s="15">
        <v>1177.9059999999999</v>
      </c>
      <c r="F115" s="15">
        <f t="shared" si="6"/>
        <v>-24.905999999999949</v>
      </c>
      <c r="G115" s="16">
        <f t="shared" si="10"/>
        <v>-2.1144301837328232E-2</v>
      </c>
      <c r="H115" s="17">
        <v>1483</v>
      </c>
      <c r="I115" s="17">
        <f t="shared" si="7"/>
        <v>-330</v>
      </c>
      <c r="J115" s="16">
        <f t="shared" si="8"/>
        <v>-0.22252191503708699</v>
      </c>
      <c r="K115" s="16"/>
      <c r="L115" s="39"/>
      <c r="M115" s="40"/>
    </row>
    <row r="116" spans="1:13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>
        <v>1052</v>
      </c>
      <c r="E116" s="11">
        <v>1052.502</v>
      </c>
      <c r="F116" s="11">
        <f t="shared" si="6"/>
        <v>-0.50199999999995271</v>
      </c>
      <c r="G116" s="68">
        <f t="shared" si="10"/>
        <v>-4.7695871361760141E-4</v>
      </c>
      <c r="H116" s="13">
        <v>1521</v>
      </c>
      <c r="I116" s="83">
        <f t="shared" si="7"/>
        <v>-469</v>
      </c>
      <c r="J116" s="80">
        <f t="shared" si="8"/>
        <v>-0.30834976988823143</v>
      </c>
      <c r="K116" s="80"/>
      <c r="L116" s="38"/>
      <c r="M116" s="38"/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>
        <v>1324</v>
      </c>
      <c r="E117" s="15">
        <v>1279.9570000000001</v>
      </c>
      <c r="F117" s="15">
        <f t="shared" si="6"/>
        <v>44.042999999999893</v>
      </c>
      <c r="G117" s="16">
        <f t="shared" si="10"/>
        <v>3.4409749702528983E-2</v>
      </c>
      <c r="H117" s="17">
        <v>1521</v>
      </c>
      <c r="I117" s="17">
        <f t="shared" si="7"/>
        <v>-197</v>
      </c>
      <c r="J117" s="16">
        <f t="shared" si="8"/>
        <v>-0.12952005259697569</v>
      </c>
      <c r="K117" s="16"/>
      <c r="L117" s="39"/>
      <c r="M117" s="40"/>
    </row>
    <row r="118" spans="1:13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>
        <v>15081</v>
      </c>
      <c r="E118" s="11">
        <v>16404.341</v>
      </c>
      <c r="F118" s="11">
        <f t="shared" si="6"/>
        <v>-1323.3410000000003</v>
      </c>
      <c r="G118" s="68">
        <f t="shared" si="10"/>
        <v>-8.0670171389390186E-2</v>
      </c>
      <c r="H118" s="13">
        <v>14837.001</v>
      </c>
      <c r="I118" s="83">
        <f t="shared" si="7"/>
        <v>243.9989999999998</v>
      </c>
      <c r="J118" s="80">
        <f t="shared" si="8"/>
        <v>1.644530454638372E-2</v>
      </c>
      <c r="K118" s="80"/>
      <c r="L118" s="38"/>
      <c r="M118" s="38"/>
    </row>
    <row r="119" spans="1:13" ht="29.1">
      <c r="A119" s="27" t="str">
        <v>Field House</v>
      </c>
      <c r="B119" s="28" t="str">
        <v>DE</v>
      </c>
      <c r="C119" s="28" t="str">
        <f>Sites[[#This Row],[SOL'#]]</f>
        <v>SOL-10821</v>
      </c>
      <c r="D119" s="10">
        <v>40306</v>
      </c>
      <c r="E119" s="15">
        <v>0</v>
      </c>
      <c r="F119" s="15">
        <f t="shared" si="6"/>
        <v>40306</v>
      </c>
      <c r="G119" s="16" t="str">
        <f t="shared" si="10"/>
        <v/>
      </c>
      <c r="H119" s="17">
        <v>39772</v>
      </c>
      <c r="I119" s="17">
        <f t="shared" si="7"/>
        <v>534</v>
      </c>
      <c r="J119" s="16">
        <f t="shared" si="8"/>
        <v>1.3426531227999597E-2</v>
      </c>
      <c r="K119" s="16"/>
      <c r="L119" s="39" t="s">
        <v>1041</v>
      </c>
      <c r="M119" s="105" t="s">
        <v>1042</v>
      </c>
    </row>
    <row r="120" spans="1:13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 t="str">
        <f t="shared" si="6"/>
        <v/>
      </c>
      <c r="G120" s="68" t="str">
        <f t="shared" si="10"/>
        <v/>
      </c>
      <c r="H120" s="13">
        <v>28397</v>
      </c>
      <c r="I120" s="83" t="str">
        <f t="shared" si="7"/>
        <v/>
      </c>
      <c r="J120" s="80" t="str">
        <f t="shared" si="8"/>
        <v/>
      </c>
      <c r="K120" s="80"/>
      <c r="L120" s="38" t="s">
        <v>932</v>
      </c>
      <c r="M120" s="38" t="s">
        <v>1043</v>
      </c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>
        <v>8533</v>
      </c>
      <c r="E121" s="15">
        <v>11392.54</v>
      </c>
      <c r="F121" s="15">
        <f t="shared" si="6"/>
        <v>-2859.5400000000009</v>
      </c>
      <c r="G121" s="16">
        <f t="shared" si="10"/>
        <v>-0.25100109369815693</v>
      </c>
      <c r="H121" s="17">
        <v>13652</v>
      </c>
      <c r="I121" s="17">
        <f t="shared" si="7"/>
        <v>-5119</v>
      </c>
      <c r="J121" s="16">
        <f t="shared" si="8"/>
        <v>-0.37496337532962204</v>
      </c>
      <c r="K121" s="16"/>
      <c r="L121" s="39" t="s">
        <v>1044</v>
      </c>
      <c r="M121" s="40"/>
    </row>
    <row r="122" spans="1:13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>
        <v>13601</v>
      </c>
      <c r="E122" s="11">
        <v>10859.46</v>
      </c>
      <c r="F122" s="11">
        <f t="shared" si="6"/>
        <v>2741.5400000000009</v>
      </c>
      <c r="G122" s="68">
        <f t="shared" si="10"/>
        <v>0.25245638365075251</v>
      </c>
      <c r="H122" s="13">
        <v>13652</v>
      </c>
      <c r="I122" s="83">
        <f t="shared" si="7"/>
        <v>-51</v>
      </c>
      <c r="J122" s="80">
        <f t="shared" si="8"/>
        <v>-3.735716378552593E-3</v>
      </c>
      <c r="K122" s="80"/>
      <c r="L122" s="38"/>
      <c r="M122" s="38"/>
    </row>
    <row r="123" spans="1:13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>
        <v>140632</v>
      </c>
      <c r="E123" s="15">
        <v>142924.79999999999</v>
      </c>
      <c r="F123" s="15">
        <f t="shared" si="6"/>
        <v>-2292.7999999999884</v>
      </c>
      <c r="G123" s="16">
        <f t="shared" si="10"/>
        <v>-1.6042002507612313E-2</v>
      </c>
      <c r="H123" s="17">
        <v>149206</v>
      </c>
      <c r="I123" s="17">
        <f t="shared" si="7"/>
        <v>-8574</v>
      </c>
      <c r="J123" s="16">
        <f t="shared" si="8"/>
        <v>-5.7464177043818614E-2</v>
      </c>
      <c r="K123" s="16"/>
      <c r="L123" s="39"/>
      <c r="M123" s="40"/>
    </row>
    <row r="124" spans="1:13" ht="15.6">
      <c r="A124" s="25" t="str">
        <v>Shortal</v>
      </c>
      <c r="B124" s="26" t="str">
        <v>MD</v>
      </c>
      <c r="C124" s="26" t="str">
        <f>Sites[[#This Row],[SOL'#]]</f>
        <v>SOL-10091</v>
      </c>
      <c r="D124" s="67">
        <v>146089</v>
      </c>
      <c r="E124" s="11">
        <v>122657.4</v>
      </c>
      <c r="F124" s="11">
        <f t="shared" si="6"/>
        <v>23431.600000000006</v>
      </c>
      <c r="G124" s="68">
        <f t="shared" si="10"/>
        <v>0.19103290955131944</v>
      </c>
      <c r="H124" s="83">
        <v>134896</v>
      </c>
      <c r="I124" s="83">
        <f t="shared" si="7"/>
        <v>11193</v>
      </c>
      <c r="J124" s="80">
        <f t="shared" si="8"/>
        <v>8.2975032617720323E-2</v>
      </c>
      <c r="K124" s="80"/>
      <c r="L124" s="70"/>
      <c r="M124" s="70"/>
    </row>
    <row r="125" spans="1:13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>
        <v>19148</v>
      </c>
      <c r="E125" s="15">
        <v>16789.68</v>
      </c>
      <c r="F125" s="15">
        <f t="shared" si="6"/>
        <v>2358.3199999999997</v>
      </c>
      <c r="G125" s="16">
        <f t="shared" si="10"/>
        <v>0.14046247456771063</v>
      </c>
      <c r="H125" s="17">
        <v>19773</v>
      </c>
      <c r="I125" s="17">
        <f t="shared" si="7"/>
        <v>-625</v>
      </c>
      <c r="J125" s="16">
        <f t="shared" si="8"/>
        <v>-3.1608759419410305E-2</v>
      </c>
      <c r="K125" s="16"/>
      <c r="L125" s="39"/>
      <c r="M125" s="39"/>
    </row>
    <row r="126" spans="1:13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>
        <v>61425</v>
      </c>
      <c r="E126" s="11">
        <v>71732.92</v>
      </c>
      <c r="F126" s="11">
        <f t="shared" si="6"/>
        <v>-10307.919999999998</v>
      </c>
      <c r="G126" s="68">
        <f t="shared" si="10"/>
        <v>-0.14369859751979983</v>
      </c>
      <c r="H126" s="13">
        <v>88100</v>
      </c>
      <c r="I126" s="83">
        <f t="shared" si="7"/>
        <v>-26675</v>
      </c>
      <c r="J126" s="80">
        <f t="shared" si="8"/>
        <v>-0.30278093076049944</v>
      </c>
      <c r="K126" s="80"/>
      <c r="L126" s="38" t="s">
        <v>1045</v>
      </c>
      <c r="M126" s="38" t="s">
        <v>1046</v>
      </c>
    </row>
    <row r="127" spans="1:13" ht="75" customHeight="1">
      <c r="A127" s="27" t="str">
        <v>St Francis</v>
      </c>
      <c r="B127" s="28" t="str">
        <v>PR</v>
      </c>
      <c r="C127" s="28" t="str">
        <f>Sites[[#This Row],[SOL'#]]</f>
        <v>SOL-10034</v>
      </c>
      <c r="D127" s="10">
        <v>23244.25</v>
      </c>
      <c r="E127" s="15">
        <v>48335.14</v>
      </c>
      <c r="F127" s="15">
        <f t="shared" si="6"/>
        <v>-25090.89</v>
      </c>
      <c r="G127" s="16">
        <f t="shared" si="10"/>
        <v>-0.51910245837707303</v>
      </c>
      <c r="H127" s="17">
        <v>41955</v>
      </c>
      <c r="I127" s="17">
        <f t="shared" si="7"/>
        <v>-18710.75</v>
      </c>
      <c r="J127" s="16">
        <f t="shared" si="8"/>
        <v>-0.44597187462757715</v>
      </c>
      <c r="K127" s="16"/>
      <c r="L127" s="58" t="s">
        <v>1047</v>
      </c>
      <c r="M127" s="105" t="s">
        <v>1048</v>
      </c>
    </row>
    <row r="128" spans="1:13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>
        <v>59180.5</v>
      </c>
      <c r="E128" s="11">
        <v>54856.41</v>
      </c>
      <c r="F128" s="11">
        <f t="shared" si="6"/>
        <v>4324.0899999999965</v>
      </c>
      <c r="G128" s="68">
        <f t="shared" si="10"/>
        <v>7.8825610352554906E-2</v>
      </c>
      <c r="H128" s="13">
        <v>65629</v>
      </c>
      <c r="I128" s="83">
        <f t="shared" si="7"/>
        <v>-6448.5</v>
      </c>
      <c r="J128" s="80">
        <f t="shared" si="8"/>
        <v>-9.8256868152798299E-2</v>
      </c>
      <c r="K128" s="80"/>
      <c r="L128" s="38"/>
      <c r="M128" s="38"/>
    </row>
    <row r="129" spans="1:13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>
        <v>132476</v>
      </c>
      <c r="E129" s="15">
        <v>135763.6</v>
      </c>
      <c r="F129" s="15">
        <f t="shared" si="6"/>
        <v>-3287.6000000000058</v>
      </c>
      <c r="G129" s="16">
        <f t="shared" si="10"/>
        <v>-2.4215621860351418E-2</v>
      </c>
      <c r="H129" s="17">
        <v>144466</v>
      </c>
      <c r="I129" s="17">
        <f t="shared" si="7"/>
        <v>-11990</v>
      </c>
      <c r="J129" s="16">
        <f t="shared" si="8"/>
        <v>-8.2995306854207904E-2</v>
      </c>
      <c r="K129" s="16"/>
      <c r="L129" s="39"/>
      <c r="M129" s="40"/>
    </row>
    <row r="130" spans="1:13" ht="29.1">
      <c r="A130" s="25" t="str">
        <v>Summer St</v>
      </c>
      <c r="B130" s="26" t="str">
        <v>MA</v>
      </c>
      <c r="C130" s="26" t="str">
        <f>Sites[[#This Row],[SOL'#]]</f>
        <v>SOL-10764</v>
      </c>
      <c r="D130" s="21">
        <v>277680</v>
      </c>
      <c r="E130" s="11">
        <v>286119.5</v>
      </c>
      <c r="F130" s="11">
        <f t="shared" si="6"/>
        <v>-8439.5</v>
      </c>
      <c r="G130" s="68">
        <f t="shared" si="10"/>
        <v>-2.9496416707005289E-2</v>
      </c>
      <c r="H130" s="13">
        <v>308644</v>
      </c>
      <c r="I130" s="83">
        <f t="shared" si="7"/>
        <v>-30964</v>
      </c>
      <c r="J130" s="80">
        <f t="shared" si="8"/>
        <v>-0.10032270188307564</v>
      </c>
      <c r="K130" s="80"/>
      <c r="L130" s="38" t="s">
        <v>1049</v>
      </c>
      <c r="M130" s="38" t="s">
        <v>1050</v>
      </c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>
        <v>13838.565000000001</v>
      </c>
      <c r="E131" s="15">
        <v>13253.995000000001</v>
      </c>
      <c r="F131" s="15">
        <f t="shared" si="6"/>
        <v>584.56999999999971</v>
      </c>
      <c r="G131" s="16">
        <f t="shared" si="10"/>
        <v>4.4105192434432006E-2</v>
      </c>
      <c r="H131" s="17">
        <v>11527</v>
      </c>
      <c r="I131" s="17">
        <f t="shared" si="7"/>
        <v>2311.5650000000005</v>
      </c>
      <c r="J131" s="16">
        <f t="shared" si="8"/>
        <v>0.200534831265724</v>
      </c>
      <c r="K131" s="16"/>
      <c r="L131" s="39"/>
      <c r="M131" s="40"/>
    </row>
    <row r="132" spans="1:13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>
        <v>10397.12522</v>
      </c>
      <c r="E132" s="11">
        <v>11282.63</v>
      </c>
      <c r="F132" s="11">
        <f t="shared" si="6"/>
        <v>-885.5047799999993</v>
      </c>
      <c r="G132" s="68">
        <f t="shared" si="10"/>
        <v>-7.8483897814605227E-2</v>
      </c>
      <c r="H132" s="13">
        <v>352374</v>
      </c>
      <c r="I132" s="83">
        <f t="shared" si="7"/>
        <v>-341976.87478000001</v>
      </c>
      <c r="J132" s="80">
        <f t="shared" si="8"/>
        <v>-0.97049406250177372</v>
      </c>
      <c r="K132" s="80"/>
      <c r="L132" s="38"/>
      <c r="M132" s="38"/>
    </row>
    <row r="133" spans="1:13" ht="29.1">
      <c r="A133" s="27" t="str">
        <v>Portland St</v>
      </c>
      <c r="B133" s="28" t="str">
        <v>NH</v>
      </c>
      <c r="C133" s="28" t="str">
        <f>Sites[[#This Row],[SOL'#]]</f>
        <v>SOL-10771</v>
      </c>
      <c r="D133" s="10">
        <v>8333.1270000000004</v>
      </c>
      <c r="E133" s="15">
        <v>6644.0410000000002</v>
      </c>
      <c r="F133" s="15">
        <f t="shared" ref="F133:F161" si="11">IF(AND(ISNUMBER(D133),ISNUMBER(E133)), D133-E133, "")</f>
        <v>1689.0860000000002</v>
      </c>
      <c r="G133" s="16">
        <f t="shared" si="10"/>
        <v>0.25422570390519866</v>
      </c>
      <c r="H133" s="17">
        <v>7495</v>
      </c>
      <c r="I133" s="17"/>
      <c r="J133" s="16">
        <f t="shared" ref="J133:J161" si="12">IFERROR(I133/H133, "")</f>
        <v>0</v>
      </c>
      <c r="K133" s="16"/>
      <c r="L133" s="39" t="s">
        <v>1051</v>
      </c>
      <c r="M133" s="40" t="s">
        <v>1052</v>
      </c>
    </row>
    <row r="134" spans="1:13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>
        <v>34975.375</v>
      </c>
      <c r="E134" s="11">
        <v>32495.919999999998</v>
      </c>
      <c r="F134" s="11">
        <f t="shared" si="11"/>
        <v>2479.4550000000017</v>
      </c>
      <c r="G134" s="68">
        <f t="shared" si="10"/>
        <v>7.6300501724524239E-2</v>
      </c>
      <c r="H134" s="13">
        <v>26724</v>
      </c>
      <c r="I134" s="83">
        <f t="shared" ref="I134:I161" si="13">IF(AND(ISNUMBER(D134),ISNUMBER(H134)), D134-H134, "")</f>
        <v>8251.375</v>
      </c>
      <c r="J134" s="80">
        <f t="shared" si="12"/>
        <v>0.30876272264631044</v>
      </c>
      <c r="K134" s="80"/>
      <c r="L134" s="38"/>
      <c r="M134" s="38"/>
    </row>
    <row r="135" spans="1:13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>
        <v>35272</v>
      </c>
      <c r="E135" s="15">
        <v>35927.160000000003</v>
      </c>
      <c r="F135" s="15">
        <f t="shared" si="11"/>
        <v>-655.16000000000349</v>
      </c>
      <c r="G135" s="16">
        <f t="shared" si="10"/>
        <v>-1.8235785962486414E-2</v>
      </c>
      <c r="H135" s="17">
        <v>30013</v>
      </c>
      <c r="I135" s="17">
        <f t="shared" si="13"/>
        <v>5259</v>
      </c>
      <c r="J135" s="16">
        <f t="shared" si="12"/>
        <v>0.17522406956985306</v>
      </c>
      <c r="K135" s="16"/>
      <c r="L135" s="39"/>
      <c r="M135" s="40"/>
    </row>
    <row r="136" spans="1:13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>
        <v>31093.008999999998</v>
      </c>
      <c r="E136" s="11">
        <v>34156.1</v>
      </c>
      <c r="F136" s="11">
        <f>IF(AND(ISNUMBER(D136),ISNUMBER(E136)), D136-E136, "")</f>
        <v>-3063.0910000000003</v>
      </c>
      <c r="G136" s="68">
        <f t="shared" si="10"/>
        <v>-8.9679178828964673E-2</v>
      </c>
      <c r="H136" s="13">
        <v>27016</v>
      </c>
      <c r="I136" s="83">
        <f>IF(AND(ISNUMBER(D136),ISNUMBER(H136)), D136-H136, "")</f>
        <v>4077.0089999999982</v>
      </c>
      <c r="J136" s="80">
        <f t="shared" si="12"/>
        <v>0.15091090464909676</v>
      </c>
      <c r="K136" s="80"/>
      <c r="L136" s="38"/>
      <c r="M136" s="38" t="s">
        <v>1052</v>
      </c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>
        <v>15405.003710000001</v>
      </c>
      <c r="E137" s="15">
        <v>13034.43</v>
      </c>
      <c r="F137" s="15">
        <f t="shared" si="11"/>
        <v>2370.5737100000006</v>
      </c>
      <c r="G137" s="16">
        <f t="shared" si="10"/>
        <v>0.1818701477548309</v>
      </c>
      <c r="H137" s="17">
        <v>13097</v>
      </c>
      <c r="I137" s="17">
        <f t="shared" si="13"/>
        <v>2308.0037100000009</v>
      </c>
      <c r="J137" s="16">
        <f t="shared" si="12"/>
        <v>0.1762238459189128</v>
      </c>
      <c r="K137" s="16"/>
      <c r="L137" s="39"/>
      <c r="M137" s="40"/>
    </row>
    <row r="138" spans="1:13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>
        <v>527526</v>
      </c>
      <c r="E138" s="11">
        <v>0</v>
      </c>
      <c r="F138" s="11">
        <f t="shared" si="11"/>
        <v>527526</v>
      </c>
      <c r="G138" s="68" t="str">
        <f t="shared" si="10"/>
        <v/>
      </c>
      <c r="H138" s="13">
        <v>494486</v>
      </c>
      <c r="I138" s="83">
        <f t="shared" si="13"/>
        <v>33040</v>
      </c>
      <c r="J138" s="80">
        <f t="shared" si="12"/>
        <v>6.681685629117913E-2</v>
      </c>
      <c r="K138" s="80"/>
      <c r="L138" s="38"/>
      <c r="M138" s="38"/>
    </row>
    <row r="139" spans="1:13" ht="29.1">
      <c r="A139" s="27" t="str">
        <v>Spencer</v>
      </c>
      <c r="B139" s="28" t="str">
        <v>NY</v>
      </c>
      <c r="C139" s="28" t="str">
        <f>Sites[[#This Row],[SOL'#]]</f>
        <v>SOL-11017</v>
      </c>
      <c r="D139" s="10">
        <v>953486</v>
      </c>
      <c r="E139" s="15">
        <v>0</v>
      </c>
      <c r="F139" s="15">
        <f t="shared" si="11"/>
        <v>953486</v>
      </c>
      <c r="G139" s="16" t="str">
        <f t="shared" si="10"/>
        <v/>
      </c>
      <c r="H139" s="17">
        <v>941000</v>
      </c>
      <c r="I139" s="17">
        <f t="shared" si="13"/>
        <v>12486</v>
      </c>
      <c r="J139" s="16">
        <f t="shared" si="12"/>
        <v>1.3268862911795961E-2</v>
      </c>
      <c r="K139" s="16"/>
      <c r="L139" s="99" t="s">
        <v>1053</v>
      </c>
      <c r="M139" s="106" t="s">
        <v>1054</v>
      </c>
    </row>
    <row r="140" spans="1:13" ht="15.6">
      <c r="A140" s="25" t="str">
        <v>Reisender</v>
      </c>
      <c r="B140" s="26" t="str">
        <v>NY</v>
      </c>
      <c r="C140" s="26" t="str">
        <f>Sites[[#This Row],[SOL'#]]</f>
        <v>SOL-10886</v>
      </c>
      <c r="D140" s="67">
        <v>330570</v>
      </c>
      <c r="E140" s="11">
        <v>345660.94</v>
      </c>
      <c r="F140" s="11">
        <f t="shared" si="11"/>
        <v>-15090.940000000002</v>
      </c>
      <c r="G140" s="68">
        <f t="shared" si="10"/>
        <v>-4.3658216054148331E-2</v>
      </c>
      <c r="H140" s="83">
        <v>327478</v>
      </c>
      <c r="I140" s="83">
        <f t="shared" si="13"/>
        <v>3092</v>
      </c>
      <c r="J140" s="80">
        <f t="shared" si="12"/>
        <v>9.4418556361037988E-3</v>
      </c>
      <c r="K140" s="80"/>
      <c r="L140" s="70"/>
      <c r="M140" s="38"/>
    </row>
    <row r="141" spans="1:13" ht="15.6">
      <c r="A141" s="27" t="str">
        <v>Finney</v>
      </c>
      <c r="B141" s="28" t="str">
        <v>NY</v>
      </c>
      <c r="C141" s="28" t="str">
        <f>Sites[[#This Row],[SOL'#]]</f>
        <v>SOL-10999</v>
      </c>
      <c r="D141" s="82">
        <v>1034760</v>
      </c>
      <c r="E141" s="15">
        <v>0</v>
      </c>
      <c r="F141" s="15">
        <f t="shared" si="11"/>
        <v>1034760</v>
      </c>
      <c r="G141" s="84" t="str">
        <f t="shared" si="10"/>
        <v/>
      </c>
      <c r="H141" s="85">
        <v>767451</v>
      </c>
      <c r="I141" s="17">
        <f t="shared" si="13"/>
        <v>267309</v>
      </c>
      <c r="J141" s="16">
        <f t="shared" si="12"/>
        <v>0.34830757924610173</v>
      </c>
      <c r="K141" s="16"/>
      <c r="L141" s="39"/>
      <c r="M141" s="18"/>
    </row>
    <row r="142" spans="1:13" ht="57.95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v>232974</v>
      </c>
      <c r="E142" s="11">
        <v>350297.9</v>
      </c>
      <c r="F142" s="11">
        <f t="shared" si="11"/>
        <v>-117323.90000000002</v>
      </c>
      <c r="G142" s="68">
        <f t="shared" si="10"/>
        <v>-0.33492607292250398</v>
      </c>
      <c r="H142" s="83">
        <v>375926</v>
      </c>
      <c r="I142" s="83">
        <f t="shared" si="13"/>
        <v>-142952</v>
      </c>
      <c r="J142" s="80">
        <f t="shared" si="12"/>
        <v>-0.38026632901156077</v>
      </c>
      <c r="K142" s="80">
        <v>0.62273250000000002</v>
      </c>
      <c r="L142" s="70" t="s">
        <v>1055</v>
      </c>
      <c r="M142" s="38" t="s">
        <v>1056</v>
      </c>
    </row>
    <row r="143" spans="1:13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>
        <v>785301</v>
      </c>
      <c r="E143" s="15">
        <v>0</v>
      </c>
      <c r="F143" s="15">
        <f t="shared" si="11"/>
        <v>785301</v>
      </c>
      <c r="G143" s="84" t="str">
        <f t="shared" si="10"/>
        <v/>
      </c>
      <c r="H143" s="85">
        <v>729021</v>
      </c>
      <c r="I143" s="17">
        <f t="shared" si="13"/>
        <v>56280</v>
      </c>
      <c r="J143" s="16">
        <f t="shared" si="12"/>
        <v>7.7199422238865542E-2</v>
      </c>
      <c r="K143" s="16"/>
      <c r="L143" s="39"/>
      <c r="M143" s="18"/>
    </row>
    <row r="144" spans="1:13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>
        <v>334622</v>
      </c>
      <c r="E144" s="11">
        <v>0</v>
      </c>
      <c r="F144" s="11">
        <f t="shared" si="11"/>
        <v>334622</v>
      </c>
      <c r="G144" s="68" t="str">
        <f t="shared" si="10"/>
        <v/>
      </c>
      <c r="H144" s="83">
        <v>353152</v>
      </c>
      <c r="I144" s="83">
        <f t="shared" si="13"/>
        <v>-18530</v>
      </c>
      <c r="J144" s="80">
        <f t="shared" si="12"/>
        <v>-5.2470324392895978E-2</v>
      </c>
      <c r="K144" s="80"/>
      <c r="L144" s="70"/>
      <c r="M144" s="38"/>
    </row>
    <row r="145" spans="1:13" ht="72.599999999999994">
      <c r="A145" s="27" t="str">
        <v>Landau II</v>
      </c>
      <c r="B145" s="28" t="str">
        <v>NY</v>
      </c>
      <c r="C145" s="28" t="str">
        <f>Sites[[#This Row],[SOL'#]]</f>
        <v>SOL-10895</v>
      </c>
      <c r="D145" s="82">
        <v>469010</v>
      </c>
      <c r="E145" s="15">
        <v>0</v>
      </c>
      <c r="F145" s="15">
        <f t="shared" si="11"/>
        <v>469010</v>
      </c>
      <c r="G145" s="84" t="str">
        <f t="shared" si="10"/>
        <v/>
      </c>
      <c r="H145" s="85">
        <v>749399</v>
      </c>
      <c r="I145" s="17">
        <f t="shared" si="13"/>
        <v>-280389</v>
      </c>
      <c r="J145" s="16">
        <f t="shared" si="12"/>
        <v>-0.37415182032535405</v>
      </c>
      <c r="K145" s="16"/>
      <c r="L145" s="58" t="s">
        <v>1057</v>
      </c>
      <c r="M145" s="103" t="s">
        <v>1058</v>
      </c>
    </row>
    <row r="146" spans="1:13" ht="87">
      <c r="A146" s="25" t="str">
        <v>New Beginnings</v>
      </c>
      <c r="B146" s="26" t="str">
        <v>NY</v>
      </c>
      <c r="C146" s="26" t="str">
        <f>Sites[[#This Row],[SOL'#]]</f>
        <v>SOL-10890</v>
      </c>
      <c r="D146" s="67">
        <v>318600</v>
      </c>
      <c r="E146" s="11">
        <v>359755.96</v>
      </c>
      <c r="F146" s="11">
        <f t="shared" si="11"/>
        <v>-41155.960000000021</v>
      </c>
      <c r="G146" s="68">
        <f t="shared" ref="G146:G161" si="14">IFERROR(F146/E146, "")</f>
        <v>-0.11439966137044684</v>
      </c>
      <c r="H146" s="83">
        <v>344725</v>
      </c>
      <c r="I146" s="83">
        <f t="shared" si="13"/>
        <v>-26125</v>
      </c>
      <c r="J146" s="80">
        <f t="shared" si="12"/>
        <v>-7.5785046051200233E-2</v>
      </c>
      <c r="K146" s="80"/>
      <c r="L146" s="70" t="s">
        <v>1059</v>
      </c>
      <c r="M146" s="38" t="s">
        <v>1060</v>
      </c>
    </row>
    <row r="147" spans="1:13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>
        <v>983449</v>
      </c>
      <c r="E147" s="15">
        <v>1007732</v>
      </c>
      <c r="F147" s="15">
        <f t="shared" si="11"/>
        <v>-24283</v>
      </c>
      <c r="G147" s="84">
        <f t="shared" si="14"/>
        <v>-2.4096684435941301E-2</v>
      </c>
      <c r="H147" s="85">
        <v>902730.9</v>
      </c>
      <c r="I147" s="17">
        <f t="shared" si="13"/>
        <v>80718.099999999977</v>
      </c>
      <c r="J147" s="16">
        <f t="shared" si="12"/>
        <v>8.9415461462546558E-2</v>
      </c>
      <c r="K147" s="16"/>
      <c r="L147" s="39"/>
      <c r="M147" s="18"/>
    </row>
    <row r="148" spans="1:13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>
        <v>399988</v>
      </c>
      <c r="E148" s="11">
        <v>422903.3</v>
      </c>
      <c r="F148" s="11">
        <f t="shared" si="11"/>
        <v>-22915.299999999988</v>
      </c>
      <c r="G148" s="68">
        <f t="shared" si="14"/>
        <v>-5.4185673178714824E-2</v>
      </c>
      <c r="H148" s="83">
        <v>413571.1</v>
      </c>
      <c r="I148" s="83">
        <f t="shared" si="13"/>
        <v>-13583.099999999977</v>
      </c>
      <c r="J148" s="80">
        <f t="shared" si="12"/>
        <v>-3.284344578235756E-2</v>
      </c>
      <c r="K148" s="80"/>
      <c r="L148" s="70"/>
      <c r="M148" s="38"/>
    </row>
    <row r="149" spans="1:13" ht="57.95">
      <c r="A149" s="27" t="str">
        <v>Svenski</v>
      </c>
      <c r="B149" s="28" t="str">
        <v>NY</v>
      </c>
      <c r="C149" s="28" t="str">
        <f>Sites[[#This Row],[SOL'#]]</f>
        <v>SOL-10894</v>
      </c>
      <c r="D149" s="82">
        <v>314398</v>
      </c>
      <c r="E149" s="15">
        <v>0</v>
      </c>
      <c r="F149" s="15">
        <f t="shared" si="11"/>
        <v>314398</v>
      </c>
      <c r="G149" s="84" t="str">
        <f t="shared" si="14"/>
        <v/>
      </c>
      <c r="H149" s="85">
        <v>352868</v>
      </c>
      <c r="I149" s="17">
        <f t="shared" si="13"/>
        <v>-38470</v>
      </c>
      <c r="J149" s="16">
        <f t="shared" si="12"/>
        <v>-0.10902093700760625</v>
      </c>
      <c r="K149" s="16"/>
      <c r="L149" s="39" t="s">
        <v>1061</v>
      </c>
      <c r="M149" s="102" t="s">
        <v>1062</v>
      </c>
    </row>
    <row r="150" spans="1:13" ht="15.6">
      <c r="A150" s="25" t="str">
        <v>Bantam</v>
      </c>
      <c r="B150" s="26" t="str">
        <v>NY</v>
      </c>
      <c r="C150" s="26" t="str">
        <f>Sites[[#This Row],[SOL'#]]</f>
        <v>SOL-10986</v>
      </c>
      <c r="D150" s="67">
        <v>28180</v>
      </c>
      <c r="E150" s="11">
        <v>0</v>
      </c>
      <c r="F150" s="11">
        <f t="shared" si="11"/>
        <v>28180</v>
      </c>
      <c r="G150" s="68" t="str">
        <f t="shared" si="14"/>
        <v/>
      </c>
      <c r="H150" s="83">
        <v>930990</v>
      </c>
      <c r="I150" s="83">
        <f t="shared" si="13"/>
        <v>-902810</v>
      </c>
      <c r="J150" s="80">
        <f t="shared" si="12"/>
        <v>-0.96973114641403235</v>
      </c>
      <c r="K150" s="80"/>
      <c r="L150" s="70" t="s">
        <v>1063</v>
      </c>
      <c r="M150" s="38"/>
    </row>
    <row r="151" spans="1:13" ht="15.6">
      <c r="A151" s="27" t="str">
        <v>Bogart</v>
      </c>
      <c r="B151" s="28" t="str">
        <v>NY</v>
      </c>
      <c r="C151" s="28" t="str">
        <f>Sites[[#This Row],[SOL'#]]</f>
        <v>SOL-10887</v>
      </c>
      <c r="D151" s="82">
        <v>92250</v>
      </c>
      <c r="E151" s="15">
        <v>357156.97</v>
      </c>
      <c r="F151" s="15">
        <f t="shared" si="11"/>
        <v>-264906.96999999997</v>
      </c>
      <c r="G151" s="84">
        <f t="shared" si="14"/>
        <v>-0.74171020657947684</v>
      </c>
      <c r="H151" s="85">
        <v>342302</v>
      </c>
      <c r="I151" s="17">
        <f t="shared" si="13"/>
        <v>-250052</v>
      </c>
      <c r="J151" s="16">
        <f t="shared" si="12"/>
        <v>-0.73050113642339221</v>
      </c>
      <c r="K151" s="16"/>
      <c r="L151" s="39" t="s">
        <v>1064</v>
      </c>
      <c r="M151" s="18" t="s">
        <v>1065</v>
      </c>
    </row>
    <row r="152" spans="1:13" ht="15.6">
      <c r="A152" s="25" t="str">
        <v>Dubois</v>
      </c>
      <c r="B152" s="26" t="str">
        <v>NY</v>
      </c>
      <c r="C152" s="26" t="str">
        <f>Sites[[#This Row],[SOL'#]]</f>
        <v>SOL-10892</v>
      </c>
      <c r="D152" s="67">
        <v>340655</v>
      </c>
      <c r="E152" s="11">
        <v>0</v>
      </c>
      <c r="F152" s="11">
        <f t="shared" si="11"/>
        <v>340655</v>
      </c>
      <c r="G152" s="68" t="str">
        <f t="shared" si="14"/>
        <v/>
      </c>
      <c r="H152" s="83"/>
      <c r="I152" s="83" t="str">
        <f t="shared" si="13"/>
        <v/>
      </c>
      <c r="J152" s="80" t="str">
        <f t="shared" si="12"/>
        <v/>
      </c>
      <c r="K152" s="80"/>
      <c r="L152" s="70" t="s">
        <v>1066</v>
      </c>
      <c r="M152" s="70" t="s">
        <v>1067</v>
      </c>
    </row>
    <row r="153" spans="1:13" ht="29.1">
      <c r="A153" s="27" t="str">
        <v>Salt Point</v>
      </c>
      <c r="B153" s="28" t="str">
        <v>NY</v>
      </c>
      <c r="C153" s="28" t="str">
        <f>Sites[[#This Row],[SOL'#]]</f>
        <v>SOL-10888</v>
      </c>
      <c r="D153" s="82">
        <v>330980</v>
      </c>
      <c r="E153" s="15">
        <v>0</v>
      </c>
      <c r="F153" s="15">
        <f t="shared" si="11"/>
        <v>330980</v>
      </c>
      <c r="G153" s="84" t="str">
        <f t="shared" si="14"/>
        <v/>
      </c>
      <c r="H153" s="85">
        <v>375242</v>
      </c>
      <c r="I153" s="17">
        <f t="shared" si="13"/>
        <v>-44262</v>
      </c>
      <c r="J153" s="16">
        <f t="shared" si="12"/>
        <v>-0.11795587913932876</v>
      </c>
      <c r="K153" s="16"/>
      <c r="L153" s="59" t="s">
        <v>1068</v>
      </c>
      <c r="M153" s="101" t="s">
        <v>1069</v>
      </c>
    </row>
    <row r="154" spans="1:13" ht="29.1">
      <c r="A154" s="25" t="str">
        <v>Wheatland 2A</v>
      </c>
      <c r="B154" s="26" t="str">
        <v>NY</v>
      </c>
      <c r="C154" s="26" t="str">
        <f>Sites[[#This Row],[SOL'#]]</f>
        <v>SOL-10971</v>
      </c>
      <c r="D154" s="67">
        <v>782570</v>
      </c>
      <c r="E154" s="11">
        <v>0</v>
      </c>
      <c r="F154" s="11">
        <f t="shared" si="11"/>
        <v>782570</v>
      </c>
      <c r="G154" s="68" t="str">
        <f t="shared" si="14"/>
        <v/>
      </c>
      <c r="H154" s="83">
        <v>818945</v>
      </c>
      <c r="I154" s="83">
        <f t="shared" si="13"/>
        <v>-36375</v>
      </c>
      <c r="J154" s="80">
        <f t="shared" si="12"/>
        <v>-4.441690223397176E-2</v>
      </c>
      <c r="K154" s="80"/>
      <c r="L154" s="70" t="s">
        <v>1070</v>
      </c>
      <c r="M154" s="66" t="s">
        <v>1071</v>
      </c>
    </row>
    <row r="155" spans="1:13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>
        <v>808780</v>
      </c>
      <c r="E155" s="15">
        <v>0</v>
      </c>
      <c r="F155" s="15">
        <f t="shared" si="11"/>
        <v>808780</v>
      </c>
      <c r="G155" s="84" t="str">
        <f t="shared" si="14"/>
        <v/>
      </c>
      <c r="H155" s="85">
        <v>808220</v>
      </c>
      <c r="I155" s="17">
        <f t="shared" si="13"/>
        <v>560</v>
      </c>
      <c r="J155" s="16">
        <f t="shared" si="12"/>
        <v>6.9288065130781226E-4</v>
      </c>
      <c r="K155" s="16"/>
      <c r="L155" s="39" t="s">
        <v>1072</v>
      </c>
      <c r="M155" s="18" t="s">
        <v>1073</v>
      </c>
    </row>
    <row r="156" spans="1:13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>
        <v>342290</v>
      </c>
      <c r="E156" s="11">
        <v>350855.46</v>
      </c>
      <c r="F156" s="11">
        <f t="shared" si="11"/>
        <v>-8565.460000000021</v>
      </c>
      <c r="G156" s="68">
        <f t="shared" si="14"/>
        <v>-2.4413073121336122E-2</v>
      </c>
      <c r="H156" s="83">
        <v>376443</v>
      </c>
      <c r="I156" s="83">
        <f t="shared" si="13"/>
        <v>-34153</v>
      </c>
      <c r="J156" s="80">
        <f t="shared" si="12"/>
        <v>-9.0725554732057706E-2</v>
      </c>
      <c r="K156" s="80"/>
      <c r="L156" s="70"/>
      <c r="M156" s="38"/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>
        <v>335307</v>
      </c>
      <c r="E157" s="15">
        <v>0</v>
      </c>
      <c r="F157" s="15">
        <f t="shared" si="11"/>
        <v>335307</v>
      </c>
      <c r="G157" s="84" t="str">
        <f t="shared" si="14"/>
        <v/>
      </c>
      <c r="H157" s="85"/>
      <c r="I157" s="17" t="str">
        <f t="shared" si="13"/>
        <v/>
      </c>
      <c r="J157" s="16" t="str">
        <f t="shared" si="12"/>
        <v/>
      </c>
      <c r="K157" s="16"/>
      <c r="M157" s="18"/>
    </row>
    <row r="158" spans="1:13" ht="29.1">
      <c r="A158" s="25" t="str">
        <v>Costanza</v>
      </c>
      <c r="B158" s="26" t="str">
        <v>NY</v>
      </c>
      <c r="C158" s="26" t="str">
        <f>Sites[[#This Row],[SOL'#]]</f>
        <v>SOL-10907</v>
      </c>
      <c r="D158" s="67">
        <v>610</v>
      </c>
      <c r="E158" s="11">
        <v>0</v>
      </c>
      <c r="F158" s="11">
        <f t="shared" si="11"/>
        <v>610</v>
      </c>
      <c r="G158" s="68" t="str">
        <f t="shared" si="14"/>
        <v/>
      </c>
      <c r="H158" s="83">
        <v>352254</v>
      </c>
      <c r="I158" s="83">
        <f t="shared" si="13"/>
        <v>-351644</v>
      </c>
      <c r="J158" s="80">
        <f t="shared" si="12"/>
        <v>-0.9982682950371039</v>
      </c>
      <c r="K158" s="80"/>
      <c r="L158" s="70" t="s">
        <v>1074</v>
      </c>
      <c r="M158" s="38" t="s">
        <v>1075</v>
      </c>
    </row>
    <row r="159" spans="1:13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>
        <v>387680</v>
      </c>
      <c r="E159" s="15">
        <v>388684.2</v>
      </c>
      <c r="F159" s="15">
        <f t="shared" si="11"/>
        <v>-1004.2000000000116</v>
      </c>
      <c r="G159" s="84">
        <f t="shared" si="14"/>
        <v>-2.5835884247417612E-3</v>
      </c>
      <c r="H159" s="85">
        <v>386599</v>
      </c>
      <c r="I159" s="17">
        <f t="shared" si="13"/>
        <v>1081</v>
      </c>
      <c r="J159" s="16">
        <f t="shared" si="12"/>
        <v>2.7961789864950504E-3</v>
      </c>
      <c r="K159" s="16">
        <v>0.96863140000000003</v>
      </c>
      <c r="L159" s="39"/>
      <c r="M159" s="18"/>
    </row>
    <row r="160" spans="1:13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>
        <v>393248</v>
      </c>
      <c r="E160" s="11">
        <v>0</v>
      </c>
      <c r="F160" s="11">
        <f t="shared" si="11"/>
        <v>393248</v>
      </c>
      <c r="G160" s="68" t="str">
        <f t="shared" si="14"/>
        <v/>
      </c>
      <c r="H160" s="83">
        <v>354886</v>
      </c>
      <c r="I160" s="83">
        <f t="shared" si="13"/>
        <v>38362</v>
      </c>
      <c r="J160" s="80">
        <f t="shared" si="12"/>
        <v>0.10809668456912924</v>
      </c>
      <c r="K160" s="80"/>
      <c r="L160" s="70"/>
      <c r="M160" s="38"/>
    </row>
    <row r="161" spans="1:13" ht="57.95">
      <c r="A161" s="27" t="str">
        <v>Altamont</v>
      </c>
      <c r="B161" s="28" t="str">
        <v>NY</v>
      </c>
      <c r="C161" s="28" t="s">
        <v>13</v>
      </c>
      <c r="D161" s="82">
        <v>526842.85939812497</v>
      </c>
      <c r="E161" s="15">
        <v>558159.9</v>
      </c>
      <c r="F161" s="15">
        <f t="shared" si="11"/>
        <v>-31317.040601875051</v>
      </c>
      <c r="G161" s="84">
        <f t="shared" si="14"/>
        <v>-5.6107650517127884E-2</v>
      </c>
      <c r="H161" s="85">
        <v>582692.9</v>
      </c>
      <c r="I161" s="17">
        <f t="shared" si="13"/>
        <v>-55850.040601875051</v>
      </c>
      <c r="J161" s="16">
        <f t="shared" si="12"/>
        <v>-9.584815706845759E-2</v>
      </c>
      <c r="K161" s="16">
        <v>0.98761900000000002</v>
      </c>
      <c r="L161" s="39" t="s">
        <v>1076</v>
      </c>
      <c r="M161" s="92" t="s">
        <v>1077</v>
      </c>
    </row>
    <row r="162" spans="1:13" ht="14.4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9"/>
      <c r="L162" s="18"/>
      <c r="M162" s="18"/>
    </row>
    <row r="163" spans="1:13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9"/>
      <c r="L163" s="18"/>
      <c r="M163" s="18"/>
    </row>
    <row r="164" spans="1:13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9"/>
      <c r="L164" s="18"/>
      <c r="M164" s="18"/>
    </row>
    <row r="165" spans="1:13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9"/>
      <c r="L165" s="18"/>
      <c r="M165" s="18"/>
    </row>
    <row r="166" spans="1:13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9"/>
      <c r="L166" s="18"/>
      <c r="M166" s="18"/>
    </row>
    <row r="167" spans="1:13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9"/>
      <c r="L167" s="18"/>
      <c r="M167" s="18"/>
    </row>
    <row r="168" spans="1:13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9"/>
      <c r="L168" s="18"/>
      <c r="M168" s="18"/>
    </row>
    <row r="169" spans="1:13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9"/>
      <c r="L169" s="18"/>
      <c r="M169" s="18"/>
    </row>
    <row r="170" spans="1:13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9"/>
      <c r="L170" s="18"/>
      <c r="M170" s="18"/>
    </row>
    <row r="171" spans="1:13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9"/>
      <c r="L171" s="18"/>
      <c r="M171" s="18"/>
    </row>
    <row r="172" spans="1:13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9"/>
      <c r="L172" s="18"/>
      <c r="M172" s="18"/>
    </row>
    <row r="173" spans="1:13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9"/>
      <c r="L173" s="18"/>
      <c r="M173" s="18"/>
    </row>
    <row r="174" spans="1:13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9"/>
      <c r="L174" s="18"/>
      <c r="M174" s="18"/>
    </row>
    <row r="175" spans="1:13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9"/>
      <c r="L175" s="18"/>
      <c r="M175" s="18"/>
    </row>
    <row r="176" spans="1:13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9"/>
      <c r="L176" s="18"/>
      <c r="M176" s="18"/>
    </row>
    <row r="177" spans="1:13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9"/>
      <c r="L177" s="18"/>
      <c r="M177" s="18"/>
    </row>
    <row r="178" spans="1:13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9"/>
      <c r="L178" s="18"/>
      <c r="M178" s="18"/>
    </row>
    <row r="179" spans="1:13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9"/>
      <c r="L179" s="18"/>
      <c r="M179" s="18"/>
    </row>
    <row r="180" spans="1:13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9"/>
      <c r="L180" s="18"/>
      <c r="M180" s="18"/>
    </row>
    <row r="181" spans="1:13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9"/>
      <c r="L181" s="18"/>
      <c r="M181" s="18"/>
    </row>
    <row r="182" spans="1:13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9"/>
      <c r="L182" s="18"/>
      <c r="M182" s="18"/>
    </row>
    <row r="183" spans="1:13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9"/>
      <c r="L183" s="18"/>
      <c r="M183" s="18"/>
    </row>
    <row r="184" spans="1:13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9"/>
      <c r="L184" s="18"/>
      <c r="M184" s="18"/>
    </row>
    <row r="185" spans="1:13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9"/>
      <c r="L185" s="18"/>
      <c r="M185" s="18"/>
    </row>
    <row r="186" spans="1:13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9"/>
      <c r="L186" s="18"/>
      <c r="M186" s="18"/>
    </row>
    <row r="187" spans="1:13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9"/>
      <c r="L187" s="18"/>
      <c r="M187" s="18"/>
    </row>
    <row r="188" spans="1:13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9"/>
      <c r="L188" s="18"/>
      <c r="M188" s="18"/>
    </row>
    <row r="189" spans="1:13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9"/>
      <c r="L189" s="18"/>
      <c r="M189" s="18"/>
    </row>
    <row r="190" spans="1:13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9"/>
      <c r="L190" s="18"/>
      <c r="M190" s="18"/>
    </row>
    <row r="191" spans="1:13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9"/>
      <c r="L191" s="18"/>
      <c r="M191" s="18"/>
    </row>
    <row r="192" spans="1:13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9"/>
      <c r="L192" s="18"/>
      <c r="M192" s="18"/>
    </row>
    <row r="193" spans="1:13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9"/>
      <c r="L193" s="18"/>
      <c r="M193" s="18"/>
    </row>
    <row r="194" spans="1:13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9"/>
      <c r="L194" s="18"/>
      <c r="M194" s="18"/>
    </row>
    <row r="195" spans="1:13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9"/>
      <c r="L195" s="18"/>
      <c r="M195" s="18"/>
    </row>
    <row r="196" spans="1:13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9"/>
      <c r="L196" s="18"/>
      <c r="M196" s="18"/>
    </row>
    <row r="197" spans="1:13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9"/>
      <c r="L197" s="18"/>
      <c r="M197" s="18"/>
    </row>
    <row r="198" spans="1:13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9"/>
      <c r="L198" s="18"/>
      <c r="M198" s="18"/>
    </row>
    <row r="199" spans="1:13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9"/>
      <c r="L199" s="18"/>
      <c r="M199" s="18"/>
    </row>
    <row r="200" spans="1:13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9"/>
      <c r="L200" s="18"/>
      <c r="M200" s="18"/>
    </row>
    <row r="201" spans="1:13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9"/>
      <c r="L201" s="18"/>
      <c r="M201" s="18"/>
    </row>
    <row r="202" spans="1:13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9"/>
      <c r="L202" s="18"/>
      <c r="M202" s="18"/>
    </row>
    <row r="203" spans="1:13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9"/>
      <c r="L203" s="18"/>
      <c r="M203" s="18"/>
    </row>
    <row r="204" spans="1:13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9"/>
      <c r="L204" s="18"/>
      <c r="M204" s="18"/>
    </row>
    <row r="205" spans="1:13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9"/>
      <c r="L205" s="18"/>
      <c r="M205" s="18"/>
    </row>
    <row r="206" spans="1:13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9"/>
      <c r="L206" s="18"/>
      <c r="M206" s="18"/>
    </row>
    <row r="207" spans="1:13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9"/>
      <c r="L207" s="18"/>
      <c r="M207" s="18"/>
    </row>
    <row r="208" spans="1:13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9"/>
      <c r="L208" s="18"/>
      <c r="M208" s="18"/>
    </row>
    <row r="209" spans="1:13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9"/>
      <c r="L209" s="18"/>
      <c r="M209" s="18"/>
    </row>
    <row r="210" spans="1:13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9"/>
      <c r="L210" s="18"/>
      <c r="M210" s="18"/>
    </row>
    <row r="211" spans="1:13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9"/>
      <c r="L211" s="18"/>
      <c r="M211" s="18"/>
    </row>
    <row r="212" spans="1:13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9"/>
      <c r="L212" s="18"/>
      <c r="M212" s="18"/>
    </row>
    <row r="213" spans="1:13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9"/>
      <c r="L213" s="18"/>
      <c r="M213" s="18"/>
    </row>
    <row r="214" spans="1:13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9"/>
      <c r="L214" s="18"/>
      <c r="M214" s="18"/>
    </row>
    <row r="215" spans="1:13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9"/>
      <c r="L215" s="18"/>
      <c r="M215" s="18"/>
    </row>
    <row r="216" spans="1:13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9"/>
      <c r="L216" s="18"/>
      <c r="M216" s="18"/>
    </row>
    <row r="217" spans="1:13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9"/>
      <c r="L217" s="18"/>
      <c r="M217" s="18"/>
    </row>
    <row r="218" spans="1:13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9"/>
      <c r="L218" s="18"/>
      <c r="M218" s="18"/>
    </row>
    <row r="219" spans="1:13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9"/>
      <c r="L219" s="18"/>
      <c r="M219" s="18"/>
    </row>
    <row r="220" spans="1:13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9"/>
      <c r="L220" s="18"/>
      <c r="M220" s="18"/>
    </row>
    <row r="221" spans="1:13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9"/>
      <c r="L221" s="18"/>
      <c r="M221" s="18"/>
    </row>
    <row r="222" spans="1:13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9"/>
      <c r="L222" s="18"/>
      <c r="M222" s="18"/>
    </row>
    <row r="223" spans="1:13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9"/>
      <c r="L223" s="18"/>
      <c r="M223" s="18"/>
    </row>
    <row r="224" spans="1:13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9"/>
      <c r="L224" s="18"/>
      <c r="M224" s="18"/>
    </row>
    <row r="225" spans="1:13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9"/>
      <c r="L225" s="18"/>
      <c r="M225" s="18"/>
    </row>
    <row r="226" spans="1:13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9"/>
      <c r="L226" s="18"/>
      <c r="M226" s="18"/>
    </row>
    <row r="227" spans="1:13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9"/>
      <c r="L227" s="18"/>
      <c r="M227" s="18"/>
    </row>
    <row r="228" spans="1:13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9"/>
      <c r="L228" s="18"/>
      <c r="M228" s="18"/>
    </row>
    <row r="229" spans="1:13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9"/>
      <c r="L229" s="18"/>
      <c r="M229" s="18"/>
    </row>
    <row r="230" spans="1:13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9"/>
      <c r="L230" s="18"/>
      <c r="M230" s="18"/>
    </row>
    <row r="231" spans="1:13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9"/>
      <c r="L231" s="18"/>
      <c r="M231" s="18"/>
    </row>
    <row r="232" spans="1:13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9"/>
      <c r="L232" s="18"/>
      <c r="M232" s="18"/>
    </row>
    <row r="233" spans="1:13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9"/>
      <c r="L233" s="18"/>
      <c r="M233" s="18"/>
    </row>
    <row r="234" spans="1:13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9"/>
      <c r="L234" s="18"/>
      <c r="M234" s="18"/>
    </row>
    <row r="235" spans="1:13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9"/>
      <c r="L235" s="18"/>
      <c r="M235" s="18"/>
    </row>
    <row r="236" spans="1:13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9"/>
      <c r="L236" s="18"/>
      <c r="M236" s="18"/>
    </row>
    <row r="237" spans="1:13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9"/>
      <c r="L237" s="18"/>
      <c r="M237" s="18"/>
    </row>
    <row r="238" spans="1:13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9"/>
      <c r="L238" s="18"/>
      <c r="M238" s="18"/>
    </row>
    <row r="239" spans="1:13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9"/>
      <c r="L239" s="18"/>
      <c r="M239" s="18"/>
    </row>
    <row r="240" spans="1:13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9"/>
      <c r="L240" s="18"/>
      <c r="M240" s="18"/>
    </row>
    <row r="241" spans="1:13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9"/>
      <c r="L241" s="18"/>
      <c r="M241" s="18"/>
    </row>
    <row r="242" spans="1:13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9"/>
      <c r="L242" s="18"/>
      <c r="M242" s="18"/>
    </row>
    <row r="243" spans="1:13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9"/>
      <c r="L243" s="18"/>
      <c r="M243" s="18"/>
    </row>
    <row r="244" spans="1:13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9"/>
      <c r="L244" s="18"/>
      <c r="M244" s="18"/>
    </row>
    <row r="245" spans="1:13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9"/>
      <c r="L245" s="18"/>
      <c r="M245" s="18"/>
    </row>
    <row r="246" spans="1:13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9"/>
      <c r="L246" s="18"/>
      <c r="M246" s="18"/>
    </row>
    <row r="247" spans="1:13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9"/>
      <c r="L247" s="18"/>
      <c r="M247" s="18"/>
    </row>
    <row r="248" spans="1:13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9"/>
      <c r="L248" s="18"/>
      <c r="M248" s="18"/>
    </row>
    <row r="249" spans="1:13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9"/>
      <c r="L249" s="18"/>
      <c r="M249" s="18"/>
    </row>
    <row r="250" spans="1:13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9"/>
      <c r="L250" s="18"/>
      <c r="M250" s="18"/>
    </row>
    <row r="251" spans="1:13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9"/>
      <c r="L251" s="18"/>
      <c r="M251" s="18"/>
    </row>
    <row r="252" spans="1:13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9"/>
      <c r="L252" s="18"/>
      <c r="M252" s="18"/>
    </row>
    <row r="253" spans="1:13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9"/>
      <c r="L253" s="18"/>
      <c r="M253" s="18"/>
    </row>
    <row r="254" spans="1:13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9"/>
      <c r="L254" s="18"/>
      <c r="M254" s="18"/>
    </row>
    <row r="255" spans="1:13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9"/>
      <c r="L255" s="18"/>
      <c r="M255" s="18"/>
    </row>
    <row r="256" spans="1:13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9"/>
      <c r="L256" s="18"/>
      <c r="M256" s="18"/>
    </row>
    <row r="257" spans="1:13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9"/>
      <c r="L257" s="18"/>
      <c r="M257" s="18"/>
    </row>
    <row r="258" spans="1:13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9"/>
      <c r="L258" s="18"/>
      <c r="M258" s="18"/>
    </row>
    <row r="259" spans="1:13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9"/>
      <c r="L259" s="18"/>
      <c r="M259" s="18"/>
    </row>
    <row r="260" spans="1:13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9"/>
      <c r="L260" s="18"/>
      <c r="M260" s="18"/>
    </row>
    <row r="261" spans="1:13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9"/>
      <c r="L261" s="18"/>
      <c r="M261" s="18"/>
    </row>
    <row r="262" spans="1:13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9"/>
      <c r="L262" s="18"/>
      <c r="M262" s="18"/>
    </row>
    <row r="263" spans="1:13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9"/>
      <c r="L263" s="18"/>
      <c r="M263" s="18"/>
    </row>
    <row r="264" spans="1:13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9"/>
      <c r="L264" s="18"/>
      <c r="M264" s="18"/>
    </row>
    <row r="265" spans="1:13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9"/>
      <c r="L265" s="18"/>
      <c r="M265" s="18"/>
    </row>
    <row r="266" spans="1:13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9"/>
      <c r="L266" s="18"/>
      <c r="M266" s="18"/>
    </row>
    <row r="267" spans="1:13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9"/>
      <c r="L267" s="18"/>
      <c r="M267" s="18"/>
    </row>
    <row r="268" spans="1:13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9"/>
      <c r="L268" s="18"/>
      <c r="M268" s="18"/>
    </row>
    <row r="269" spans="1:13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9"/>
      <c r="L269" s="18"/>
      <c r="M269" s="18"/>
    </row>
    <row r="270" spans="1:13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9"/>
      <c r="L270" s="18"/>
      <c r="M270" s="18"/>
    </row>
    <row r="271" spans="1:13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9"/>
      <c r="L271" s="18"/>
      <c r="M271" s="18"/>
    </row>
    <row r="272" spans="1:13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9"/>
      <c r="L272" s="18"/>
      <c r="M272" s="18"/>
    </row>
    <row r="273" spans="1:13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9"/>
      <c r="L273" s="18"/>
      <c r="M273" s="18"/>
    </row>
    <row r="274" spans="1:13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9"/>
      <c r="L274" s="18"/>
      <c r="M274" s="18"/>
    </row>
    <row r="275" spans="1:13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9"/>
      <c r="L275" s="18"/>
      <c r="M275" s="18"/>
    </row>
    <row r="276" spans="1:13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9"/>
      <c r="L276" s="18"/>
      <c r="M276" s="18"/>
    </row>
    <row r="277" spans="1:13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9"/>
      <c r="L277" s="18"/>
      <c r="M277" s="18"/>
    </row>
    <row r="278" spans="1:13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9"/>
      <c r="L278" s="18"/>
      <c r="M278" s="18"/>
    </row>
    <row r="279" spans="1:13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9"/>
      <c r="L279" s="18"/>
      <c r="M279" s="18"/>
    </row>
    <row r="280" spans="1:13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9"/>
      <c r="L280" s="18"/>
      <c r="M280" s="18"/>
    </row>
    <row r="281" spans="1:13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9"/>
      <c r="L281" s="18"/>
      <c r="M281" s="18"/>
    </row>
    <row r="282" spans="1:13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9"/>
      <c r="L282" s="18"/>
      <c r="M282" s="18"/>
    </row>
    <row r="283" spans="1:13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9"/>
      <c r="L283" s="18"/>
      <c r="M283" s="18"/>
    </row>
    <row r="284" spans="1:13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9"/>
      <c r="L284" s="18"/>
      <c r="M284" s="18"/>
    </row>
    <row r="285" spans="1:13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9"/>
      <c r="L285" s="18"/>
      <c r="M285" s="18"/>
    </row>
    <row r="286" spans="1:13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9"/>
      <c r="L286" s="18"/>
      <c r="M286" s="18"/>
    </row>
    <row r="287" spans="1:13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9"/>
      <c r="L287" s="18"/>
      <c r="M287" s="18"/>
    </row>
    <row r="288" spans="1:13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9"/>
      <c r="L288" s="18"/>
      <c r="M288" s="18"/>
    </row>
    <row r="289" spans="1:13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9"/>
      <c r="L289" s="18"/>
      <c r="M289" s="18"/>
    </row>
    <row r="290" spans="1:13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9"/>
      <c r="L290" s="18"/>
      <c r="M290" s="18"/>
    </row>
    <row r="291" spans="1:13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9"/>
      <c r="L291" s="18"/>
      <c r="M291" s="18"/>
    </row>
    <row r="292" spans="1:13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9"/>
      <c r="L292" s="18"/>
      <c r="M292" s="18"/>
    </row>
    <row r="293" spans="1:13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9"/>
      <c r="L293" s="18"/>
      <c r="M293" s="18"/>
    </row>
    <row r="294" spans="1:13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9"/>
      <c r="L294" s="18"/>
      <c r="M294" s="18"/>
    </row>
    <row r="295" spans="1:13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9"/>
      <c r="L295" s="18"/>
      <c r="M295" s="18"/>
    </row>
    <row r="296" spans="1:13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9"/>
      <c r="L296" s="18"/>
      <c r="M296" s="18"/>
    </row>
    <row r="297" spans="1:13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9"/>
      <c r="L297" s="18"/>
      <c r="M297" s="18"/>
    </row>
    <row r="298" spans="1:13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9"/>
      <c r="L298" s="18"/>
      <c r="M298" s="18"/>
    </row>
    <row r="299" spans="1:13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9"/>
      <c r="L299" s="18"/>
      <c r="M299" s="18"/>
    </row>
    <row r="300" spans="1:13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9"/>
      <c r="L300" s="18"/>
      <c r="M300" s="18"/>
    </row>
    <row r="301" spans="1:13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9"/>
      <c r="L301" s="18"/>
      <c r="M301" s="18"/>
    </row>
    <row r="302" spans="1:13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9"/>
      <c r="L302" s="18"/>
      <c r="M302" s="18"/>
    </row>
    <row r="303" spans="1:13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9"/>
      <c r="L303" s="18"/>
      <c r="M303" s="18"/>
    </row>
    <row r="304" spans="1:13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9"/>
      <c r="L304" s="18"/>
      <c r="M304" s="18"/>
    </row>
    <row r="305" spans="1:13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9"/>
      <c r="L305" s="18"/>
      <c r="M305" s="18"/>
    </row>
    <row r="306" spans="1:13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9"/>
      <c r="L306" s="18"/>
      <c r="M306" s="18"/>
    </row>
    <row r="307" spans="1:13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9"/>
      <c r="L307" s="18"/>
      <c r="M307" s="18"/>
    </row>
    <row r="308" spans="1:13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9"/>
      <c r="L308" s="18"/>
      <c r="M308" s="18"/>
    </row>
    <row r="309" spans="1:13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9"/>
      <c r="L309" s="18"/>
      <c r="M309" s="18"/>
    </row>
    <row r="310" spans="1:13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9"/>
      <c r="L310" s="18"/>
      <c r="M310" s="18"/>
    </row>
    <row r="311" spans="1:13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9"/>
      <c r="L311" s="18"/>
      <c r="M311" s="18"/>
    </row>
    <row r="312" spans="1:13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9"/>
      <c r="L312" s="18"/>
      <c r="M312" s="18"/>
    </row>
    <row r="313" spans="1:13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9"/>
      <c r="L313" s="18"/>
      <c r="M313" s="18"/>
    </row>
    <row r="314" spans="1:13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9"/>
      <c r="L314" s="18"/>
      <c r="M314" s="18"/>
    </row>
    <row r="315" spans="1:13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9"/>
      <c r="L315" s="18"/>
      <c r="M315" s="18"/>
    </row>
    <row r="316" spans="1:13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9"/>
      <c r="L316" s="18"/>
      <c r="M316" s="18"/>
    </row>
    <row r="317" spans="1:13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9"/>
      <c r="L317" s="18"/>
      <c r="M317" s="18"/>
    </row>
    <row r="318" spans="1:13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9"/>
      <c r="L318" s="18"/>
      <c r="M318" s="18"/>
    </row>
    <row r="319" spans="1:13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9"/>
      <c r="L319" s="18"/>
      <c r="M319" s="18"/>
    </row>
    <row r="320" spans="1:13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9"/>
      <c r="L320" s="18"/>
      <c r="M320" s="18"/>
    </row>
    <row r="321" spans="1:13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9"/>
      <c r="L321" s="18"/>
      <c r="M321" s="18"/>
    </row>
    <row r="322" spans="1:13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9"/>
      <c r="L322" s="18"/>
      <c r="M322" s="18"/>
    </row>
    <row r="323" spans="1:13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9"/>
      <c r="L323" s="18"/>
      <c r="M323" s="18"/>
    </row>
    <row r="324" spans="1:13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9"/>
      <c r="L324" s="18"/>
      <c r="M324" s="18"/>
    </row>
    <row r="325" spans="1:13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9"/>
      <c r="L325" s="18"/>
      <c r="M325" s="18"/>
    </row>
    <row r="326" spans="1:13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9"/>
      <c r="L326" s="18"/>
      <c r="M326" s="18"/>
    </row>
    <row r="327" spans="1:13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9"/>
      <c r="L327" s="18"/>
      <c r="M327" s="18"/>
    </row>
    <row r="328" spans="1:13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9"/>
      <c r="L328" s="18"/>
      <c r="M328" s="18"/>
    </row>
    <row r="329" spans="1:13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9"/>
      <c r="L329" s="18"/>
      <c r="M329" s="18"/>
    </row>
    <row r="330" spans="1:13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9"/>
      <c r="L330" s="18"/>
      <c r="M330" s="18"/>
    </row>
    <row r="331" spans="1:13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9"/>
      <c r="L331" s="18"/>
      <c r="M331" s="18"/>
    </row>
    <row r="332" spans="1:13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9"/>
      <c r="L332" s="18"/>
      <c r="M332" s="18"/>
    </row>
    <row r="333" spans="1:13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9"/>
      <c r="L333" s="18"/>
      <c r="M333" s="18"/>
    </row>
    <row r="334" spans="1:13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9"/>
      <c r="L334" s="18"/>
      <c r="M334" s="18"/>
    </row>
    <row r="335" spans="1:13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9"/>
      <c r="L335" s="18"/>
      <c r="M335" s="18"/>
    </row>
    <row r="336" spans="1:13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9"/>
      <c r="L336" s="18"/>
      <c r="M336" s="18"/>
    </row>
    <row r="337" spans="1:13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9"/>
      <c r="L337" s="18"/>
      <c r="M337" s="18"/>
    </row>
    <row r="338" spans="1:13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9"/>
      <c r="L338" s="18"/>
      <c r="M338" s="18"/>
    </row>
    <row r="339" spans="1:13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9"/>
      <c r="L339" s="18"/>
      <c r="M339" s="18"/>
    </row>
    <row r="340" spans="1:13" ht="14.4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9"/>
      <c r="L340" s="18"/>
      <c r="M340" s="18"/>
    </row>
    <row r="341" spans="1:13">
      <c r="D341" s="18"/>
      <c r="E341" s="18"/>
      <c r="F341" s="18"/>
      <c r="G341" s="19"/>
      <c r="H341" s="18"/>
      <c r="I341" s="18"/>
      <c r="J341" s="19"/>
      <c r="K341" s="19"/>
      <c r="L341" s="18"/>
      <c r="M341" s="18"/>
    </row>
    <row r="342" spans="1:13">
      <c r="K342" s="19"/>
    </row>
  </sheetData>
  <mergeCells count="4">
    <mergeCell ref="H1:J1"/>
    <mergeCell ref="A1:D1"/>
    <mergeCell ref="E1:G1"/>
    <mergeCell ref="A2:B2"/>
  </mergeCells>
  <conditionalFormatting sqref="G2">
    <cfRule type="cellIs" dxfId="34" priority="15" stopIfTrue="1" operator="lessThanOrEqual">
      <formula>-0.1</formula>
    </cfRule>
    <cfRule type="expression" dxfId="33" priority="16">
      <formula>AND(ISNUMBER(G2), G2&gt;=0.1)</formula>
    </cfRule>
  </conditionalFormatting>
  <conditionalFormatting sqref="G4:G161 J4:J161">
    <cfRule type="cellIs" dxfId="32" priority="5" stopIfTrue="1" operator="lessThanOrEqual">
      <formula>-0.1</formula>
    </cfRule>
    <cfRule type="expression" dxfId="31" priority="6">
      <formula>AND(ISNUMBER(G4), G4&gt;=0.1)</formula>
    </cfRule>
  </conditionalFormatting>
  <conditionalFormatting sqref="J2:K2">
    <cfRule type="cellIs" dxfId="30" priority="3" stopIfTrue="1" operator="lessThanOrEqual">
      <formula>-0.1</formula>
    </cfRule>
    <cfRule type="expression" dxfId="29" priority="4">
      <formula>AND(ISNUMBER(J2), J2&gt;=0.1)</formula>
    </cfRule>
  </conditionalFormatting>
  <conditionalFormatting sqref="K4:K161">
    <cfRule type="expression" dxfId="28" priority="1" stopIfTrue="1">
      <formula>AND(K4&lt;&gt;"",K4&lt;0.975)</formula>
    </cfRule>
    <cfRule type="expression" dxfId="27" priority="2">
      <formula>AND(ISNUMBER(K4), K4&gt;=0.985)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42"/>
  <sheetViews>
    <sheetView workbookViewId="0">
      <pane xSplit="2" ySplit="3" topLeftCell="C41" activePane="bottomRight" state="frozen"/>
      <selection pane="bottomRight" activeCell="K3" sqref="K3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8.5703125" style="1" customWidth="1"/>
    <col min="12" max="12" width="71.5703125" customWidth="1"/>
    <col min="13" max="13" width="20.5703125" bestFit="1" customWidth="1"/>
  </cols>
  <sheetData>
    <row r="1" spans="1:13" ht="19.5" customHeight="1">
      <c r="A1" s="111" t="str" cm="1">
        <f t="array" ref="A1">portfolio</f>
        <v>Generate Capital</v>
      </c>
      <c r="B1" s="111"/>
      <c r="C1" s="111"/>
      <c r="D1" s="111"/>
      <c r="E1" s="112" t="s">
        <v>1078</v>
      </c>
      <c r="F1" s="112"/>
      <c r="G1" s="112"/>
      <c r="H1" s="110" t="s">
        <v>1079</v>
      </c>
      <c r="I1" s="110"/>
      <c r="J1" s="110"/>
      <c r="K1" s="107" t="s">
        <v>1080</v>
      </c>
      <c r="L1" s="5"/>
      <c r="M1" s="5"/>
    </row>
    <row r="2" spans="1:13" ht="19.5" customHeight="1">
      <c r="A2" s="113" t="s">
        <v>3</v>
      </c>
      <c r="B2" s="113"/>
      <c r="C2" s="72"/>
      <c r="D2" s="6">
        <f>SUM(D4:D100)</f>
        <v>3619914.08877709</v>
      </c>
      <c r="E2" s="6">
        <f>SUM(E4:E100)</f>
        <v>3732929.8430000003</v>
      </c>
      <c r="F2" s="6">
        <f>D2-E2</f>
        <v>-113015.75422291039</v>
      </c>
      <c r="G2" s="7">
        <f>IFERROR(F2/E2, 0)</f>
        <v>-3.0275349116147418E-2</v>
      </c>
      <c r="H2" s="6">
        <f>SUM(H4:H100)</f>
        <v>3268905.6843999997</v>
      </c>
      <c r="I2" s="8">
        <f>D2-H2</f>
        <v>351008.40437709028</v>
      </c>
      <c r="J2" s="7">
        <f>IFERROR(I2/H2, 0)</f>
        <v>0.10737795405116349</v>
      </c>
      <c r="K2" s="108"/>
      <c r="L2" s="23" t="str">
        <f ca="1">IF(AND(TODAY()&gt;DATE(2024, 10,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4.25" customHeight="1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  <c r="L3" s="22" t="s">
        <v>30</v>
      </c>
      <c r="M3" s="22" t="s">
        <v>31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>
        <v>12351.9945522076</v>
      </c>
      <c r="E4" s="11">
        <v>7795.5559999999996</v>
      </c>
      <c r="F4" s="11">
        <f>IF(AND(ISNUMBER(D4),ISNUMBER(E4)), D4-E4, "")</f>
        <v>4556.4385522076</v>
      </c>
      <c r="G4" s="12">
        <f>IFERROR(F4/E4, "")</f>
        <v>0.58449179920041627</v>
      </c>
      <c r="H4" s="13">
        <v>11404.3</v>
      </c>
      <c r="I4" s="13">
        <f>IF(AND(ISNUMBER(D4),ISNUMBER(H4)), D4-H4, "")</f>
        <v>947.69455220760028</v>
      </c>
      <c r="J4" s="14">
        <f>IFERROR(I4/H4, "")</f>
        <v>8.3099756425874485E-2</v>
      </c>
      <c r="K4" s="14">
        <v>1</v>
      </c>
      <c r="L4" s="38"/>
      <c r="M4" s="38"/>
    </row>
    <row r="5" spans="1:13" ht="15.6">
      <c r="A5" s="27" t="str">
        <v>Fulton</v>
      </c>
      <c r="B5" s="28" t="str">
        <v>AZ</v>
      </c>
      <c r="C5" s="28" t="str">
        <f>Sites[[#This Row],[SOL'#]]</f>
        <v>SOL-10749</v>
      </c>
      <c r="D5" s="10">
        <v>36511</v>
      </c>
      <c r="E5" s="15">
        <v>44132.79</v>
      </c>
      <c r="F5" s="15">
        <f t="shared" ref="F5:F17" si="0">IF(AND(ISNUMBER(D5),ISNUMBER(E5)), D5-E5, "")</f>
        <v>-7621.7900000000009</v>
      </c>
      <c r="G5" s="16">
        <f>IFERROR(F5/E5, "")</f>
        <v>-0.1727012953407206</v>
      </c>
      <c r="H5" s="17">
        <v>49048.38</v>
      </c>
      <c r="I5" s="17">
        <f t="shared" ref="I5:I17" si="1">IF(AND(ISNUMBER(D5),ISNUMBER(H5)), D5-H5, "")</f>
        <v>-12537.379999999997</v>
      </c>
      <c r="J5" s="16">
        <f t="shared" ref="J5:J17" si="2">IFERROR(I5/H5, "")</f>
        <v>-0.25561251972032506</v>
      </c>
      <c r="K5" s="16">
        <v>0.966893</v>
      </c>
      <c r="L5" s="39"/>
      <c r="M5" s="39"/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21">
        <v>20557.6878803281</v>
      </c>
      <c r="E6" s="11"/>
      <c r="F6" s="11" t="str">
        <f t="shared" si="0"/>
        <v/>
      </c>
      <c r="G6" s="12" t="str">
        <f t="shared" ref="G6:G17" si="3">IFERROR(F6/E6, "")</f>
        <v/>
      </c>
      <c r="H6" s="13">
        <v>17712</v>
      </c>
      <c r="I6" s="13">
        <f t="shared" si="1"/>
        <v>2845.6878803280997</v>
      </c>
      <c r="J6" s="14">
        <f t="shared" si="2"/>
        <v>0.16066440155420617</v>
      </c>
      <c r="K6" s="14">
        <v>0.5</v>
      </c>
      <c r="L6" s="38"/>
      <c r="M6" s="38"/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10">
        <v>10837.6804682654</v>
      </c>
      <c r="E7" s="15">
        <v>13076.94</v>
      </c>
      <c r="F7" s="15">
        <f t="shared" si="0"/>
        <v>-2239.2595317346004</v>
      </c>
      <c r="G7" s="16">
        <f t="shared" si="3"/>
        <v>-0.1712372720020586</v>
      </c>
      <c r="H7" s="17">
        <v>12737.2</v>
      </c>
      <c r="I7" s="17">
        <f t="shared" si="1"/>
        <v>-1899.5195317346006</v>
      </c>
      <c r="J7" s="16">
        <f t="shared" si="2"/>
        <v>-0.14913164052810668</v>
      </c>
      <c r="K7" s="16">
        <v>0.93548389999999992</v>
      </c>
      <c r="L7" s="39"/>
      <c r="M7" s="40"/>
    </row>
    <row r="8" spans="1:13" ht="15.6">
      <c r="A8" s="25" t="str">
        <v>Parking 3</v>
      </c>
      <c r="B8" s="26" t="str">
        <v>AZ</v>
      </c>
      <c r="C8" s="26" t="str">
        <f>Sites[[#This Row],[SOL'#]]</f>
        <v>SOL-10751</v>
      </c>
      <c r="D8" s="21">
        <v>30411.606964904098</v>
      </c>
      <c r="E8" s="11">
        <v>23393.97</v>
      </c>
      <c r="F8" s="11">
        <f t="shared" si="0"/>
        <v>7017.6369649040971</v>
      </c>
      <c r="G8" s="12">
        <f t="shared" si="3"/>
        <v>0.29997631718362028</v>
      </c>
      <c r="H8" s="13">
        <v>26091.55</v>
      </c>
      <c r="I8" s="13">
        <f t="shared" si="1"/>
        <v>4320.056964904099</v>
      </c>
      <c r="J8" s="14">
        <f t="shared" si="2"/>
        <v>0.16557302900380005</v>
      </c>
      <c r="K8" s="14">
        <v>0.99563059999999992</v>
      </c>
      <c r="L8" s="38"/>
      <c r="M8" s="38"/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10">
        <v>27137.3811507022</v>
      </c>
      <c r="E9" s="15">
        <v>17170.78</v>
      </c>
      <c r="F9" s="15">
        <f t="shared" si="0"/>
        <v>9966.6011507022013</v>
      </c>
      <c r="G9" s="16">
        <f t="shared" si="3"/>
        <v>0.58043962771069235</v>
      </c>
      <c r="H9" s="17">
        <v>27166.91</v>
      </c>
      <c r="I9" s="17">
        <f t="shared" si="1"/>
        <v>-29.528849297799752</v>
      </c>
      <c r="J9" s="16">
        <f t="shared" si="2"/>
        <v>-1.0869417720970015E-3</v>
      </c>
      <c r="K9" s="16">
        <v>1</v>
      </c>
      <c r="L9" s="39"/>
      <c r="M9" s="40"/>
    </row>
    <row r="10" spans="1:13" ht="15.6">
      <c r="A10" s="25" t="str">
        <v>Schwada</v>
      </c>
      <c r="B10" s="26" t="str">
        <v>AZ</v>
      </c>
      <c r="C10" s="26" t="str">
        <f>Sites[[#This Row],[SOL'#]]</f>
        <v>SOL-10753</v>
      </c>
      <c r="D10" s="21">
        <v>10499.2429555116</v>
      </c>
      <c r="E10" s="11">
        <v>7069.3389999999999</v>
      </c>
      <c r="F10" s="11">
        <f t="shared" si="0"/>
        <v>3429.9039555115996</v>
      </c>
      <c r="G10" s="12">
        <f t="shared" si="3"/>
        <v>0.48518029132732204</v>
      </c>
      <c r="H10" s="13">
        <v>11116</v>
      </c>
      <c r="I10" s="13">
        <f t="shared" si="1"/>
        <v>-616.75704448840042</v>
      </c>
      <c r="J10" s="14">
        <f t="shared" si="2"/>
        <v>-5.5483721166642713E-2</v>
      </c>
      <c r="K10" s="14">
        <v>0.93548389999999992</v>
      </c>
      <c r="L10" s="38"/>
      <c r="M10" s="38"/>
    </row>
    <row r="11" spans="1:13" ht="15.6">
      <c r="A11" s="27" t="str">
        <v>Starshine</v>
      </c>
      <c r="B11" s="28" t="str">
        <v>AZ</v>
      </c>
      <c r="C11" s="28" t="str">
        <f>Sites[[#This Row],[SOL'#]]</f>
        <v>SOL-10757</v>
      </c>
      <c r="D11" s="10">
        <v>7069.2121648334096</v>
      </c>
      <c r="E11" s="15"/>
      <c r="F11" s="15" t="str">
        <f t="shared" si="0"/>
        <v/>
      </c>
      <c r="G11" s="16" t="str">
        <f t="shared" si="3"/>
        <v/>
      </c>
      <c r="H11" s="17">
        <v>8221</v>
      </c>
      <c r="I11" s="17">
        <f t="shared" si="1"/>
        <v>-1151.7878351665904</v>
      </c>
      <c r="J11" s="16">
        <f t="shared" si="2"/>
        <v>-0.14010313041802583</v>
      </c>
      <c r="K11" s="16">
        <v>0.31651599999999996</v>
      </c>
      <c r="L11" s="39"/>
      <c r="M11" s="40"/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>
        <v>62048</v>
      </c>
      <c r="E12" s="11">
        <v>89930.77</v>
      </c>
      <c r="F12" s="11">
        <f t="shared" si="0"/>
        <v>-27882.770000000004</v>
      </c>
      <c r="G12" s="12">
        <f t="shared" si="3"/>
        <v>-0.3100470506368399</v>
      </c>
      <c r="H12" s="13">
        <v>69476</v>
      </c>
      <c r="I12" s="13">
        <f t="shared" si="1"/>
        <v>-7428</v>
      </c>
      <c r="J12" s="14">
        <f t="shared" si="2"/>
        <v>-0.1069146179975819</v>
      </c>
      <c r="K12" s="14">
        <v>1</v>
      </c>
      <c r="L12" s="38"/>
      <c r="M12" s="38"/>
    </row>
    <row r="13" spans="1:13" ht="15.6">
      <c r="A13" s="27" t="str">
        <v>Kinsman</v>
      </c>
      <c r="B13" s="28" t="str">
        <v>OH</v>
      </c>
      <c r="C13" s="28" t="str">
        <f>Sites[[#This Row],[SOL'#]]</f>
        <v>SOL-10762</v>
      </c>
      <c r="D13" s="10">
        <v>76897.546875</v>
      </c>
      <c r="E13" s="15">
        <v>111691.2</v>
      </c>
      <c r="F13" s="15">
        <f t="shared" si="0"/>
        <v>-34793.653124999997</v>
      </c>
      <c r="G13" s="16">
        <f t="shared" si="3"/>
        <v>-0.31151651271541536</v>
      </c>
      <c r="H13" s="17">
        <v>87435</v>
      </c>
      <c r="I13" s="17">
        <f t="shared" si="1"/>
        <v>-10537.453125</v>
      </c>
      <c r="J13" s="16">
        <f t="shared" si="2"/>
        <v>-0.12051756304683479</v>
      </c>
      <c r="K13" s="16">
        <v>0.99660439999999995</v>
      </c>
      <c r="L13" s="39"/>
      <c r="M13" s="40"/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21">
        <v>9074.75</v>
      </c>
      <c r="E14" s="11"/>
      <c r="F14" s="11" t="str">
        <f t="shared" si="0"/>
        <v/>
      </c>
      <c r="G14" s="12" t="str">
        <f t="shared" si="3"/>
        <v/>
      </c>
      <c r="H14" s="13">
        <v>19620</v>
      </c>
      <c r="I14" s="13">
        <f t="shared" si="1"/>
        <v>-10545.25</v>
      </c>
      <c r="J14" s="14">
        <f t="shared" si="2"/>
        <v>-0.53747451580020389</v>
      </c>
      <c r="K14" s="14">
        <v>1</v>
      </c>
      <c r="L14" s="38"/>
      <c r="M14" s="38"/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>
        <v>11509.2745582467</v>
      </c>
      <c r="E15" s="15"/>
      <c r="F15" s="15" t="str">
        <f t="shared" si="0"/>
        <v/>
      </c>
      <c r="G15" s="16" t="str">
        <f t="shared" si="3"/>
        <v/>
      </c>
      <c r="H15" s="17">
        <v>14748</v>
      </c>
      <c r="I15" s="17">
        <f t="shared" si="1"/>
        <v>-3238.7254417533004</v>
      </c>
      <c r="J15" s="16">
        <f t="shared" si="2"/>
        <v>-0.21960438308606595</v>
      </c>
      <c r="K15" s="16">
        <v>1</v>
      </c>
      <c r="L15" s="39"/>
      <c r="M15" s="40"/>
    </row>
    <row r="16" spans="1:13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>
        <v>9544.9763293543401</v>
      </c>
      <c r="E16" s="11">
        <v>4480.8549999999996</v>
      </c>
      <c r="F16" s="11">
        <f t="shared" si="0"/>
        <v>5064.1213293543406</v>
      </c>
      <c r="G16" s="12">
        <f t="shared" si="3"/>
        <v>1.1301685346556274</v>
      </c>
      <c r="H16" s="13">
        <v>11244</v>
      </c>
      <c r="I16" s="13">
        <f t="shared" si="1"/>
        <v>-1699.0236706456599</v>
      </c>
      <c r="J16" s="14">
        <f t="shared" si="2"/>
        <v>-0.15110491556791711</v>
      </c>
      <c r="K16" s="14">
        <v>0.99651259999999997</v>
      </c>
      <c r="L16" s="38"/>
      <c r="M16" s="38"/>
    </row>
    <row r="17" spans="1:13" ht="15.6">
      <c r="A17" s="27" t="str">
        <v>SCNM</v>
      </c>
      <c r="B17" s="28" t="str">
        <v>AZ</v>
      </c>
      <c r="C17" s="28" t="str">
        <f>Sites[[#This Row],[SOL'#]]</f>
        <v>SOL-10760</v>
      </c>
      <c r="D17" s="10">
        <v>70818.25</v>
      </c>
      <c r="E17" s="15">
        <v>31585.37</v>
      </c>
      <c r="F17" s="15">
        <f t="shared" si="0"/>
        <v>39232.880000000005</v>
      </c>
      <c r="G17" s="16">
        <f t="shared" si="3"/>
        <v>1.2421219064395954</v>
      </c>
      <c r="H17" s="17">
        <v>67875</v>
      </c>
      <c r="I17" s="17">
        <f t="shared" si="1"/>
        <v>2943.25</v>
      </c>
      <c r="J17" s="16">
        <f t="shared" si="2"/>
        <v>4.3362799263351751E-2</v>
      </c>
      <c r="K17" s="16">
        <v>0.99447010000000002</v>
      </c>
      <c r="L17" s="39"/>
      <c r="M17" s="39"/>
    </row>
    <row r="18" spans="1:13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>
        <v>26077.9399999999</v>
      </c>
      <c r="E18" s="11"/>
      <c r="F18" s="11"/>
      <c r="G18" s="12"/>
      <c r="H18" s="13">
        <v>42342</v>
      </c>
      <c r="I18" s="13"/>
      <c r="J18" s="14"/>
      <c r="K18" s="80">
        <v>0.98935239999999991</v>
      </c>
      <c r="L18" s="38"/>
      <c r="M18" s="38"/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10">
        <v>79660.5</v>
      </c>
      <c r="E19" s="15">
        <v>99913.57</v>
      </c>
      <c r="F19" s="15"/>
      <c r="G19" s="16"/>
      <c r="H19" s="17">
        <v>73748.27</v>
      </c>
      <c r="I19" s="17"/>
      <c r="J19" s="16"/>
      <c r="K19" s="16">
        <v>1</v>
      </c>
      <c r="L19" s="39"/>
      <c r="M19" s="40"/>
    </row>
    <row r="20" spans="1:13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>
        <v>21522.75</v>
      </c>
      <c r="E20" s="11">
        <v>27288.57</v>
      </c>
      <c r="F20" s="11"/>
      <c r="G20" s="12"/>
      <c r="H20" s="13">
        <v>21227.81</v>
      </c>
      <c r="I20" s="13"/>
      <c r="J20" s="14"/>
      <c r="K20" s="80">
        <v>1</v>
      </c>
      <c r="L20" s="38"/>
      <c r="M20" s="38"/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10">
        <v>24068.875</v>
      </c>
      <c r="E21" s="15">
        <v>29903.11</v>
      </c>
      <c r="F21" s="15"/>
      <c r="G21" s="16"/>
      <c r="H21" s="17">
        <v>24747.26</v>
      </c>
      <c r="I21" s="17"/>
      <c r="J21" s="16"/>
      <c r="K21" s="16">
        <v>1</v>
      </c>
      <c r="L21" s="39"/>
      <c r="M21" s="40"/>
    </row>
    <row r="22" spans="1:13" ht="15.6">
      <c r="A22" s="25" t="str">
        <v>K041</v>
      </c>
      <c r="B22" s="26" t="str">
        <v>NY</v>
      </c>
      <c r="C22" s="26" t="str">
        <f>Sites[[#This Row],[SOL'#]]</f>
        <v>SOL-10357</v>
      </c>
      <c r="D22" s="21">
        <v>20364.84375</v>
      </c>
      <c r="E22" s="11">
        <v>23407.8</v>
      </c>
      <c r="F22" s="11"/>
      <c r="G22" s="12"/>
      <c r="H22" s="13">
        <v>17613</v>
      </c>
      <c r="I22" s="13"/>
      <c r="J22" s="14"/>
      <c r="K22" s="80">
        <v>1</v>
      </c>
      <c r="L22" s="38"/>
      <c r="M22" s="38"/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10">
        <v>22770.15625</v>
      </c>
      <c r="E23" s="15">
        <v>25907.06</v>
      </c>
      <c r="F23" s="15"/>
      <c r="G23" s="16"/>
      <c r="H23" s="17">
        <v>3897</v>
      </c>
      <c r="I23" s="17"/>
      <c r="J23" s="16"/>
      <c r="K23" s="16">
        <v>0.98680080000000003</v>
      </c>
      <c r="L23" s="39"/>
      <c r="M23" s="40"/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21">
        <v>19497.5</v>
      </c>
      <c r="E24" s="11">
        <v>20776.21</v>
      </c>
      <c r="F24" s="11"/>
      <c r="G24" s="12"/>
      <c r="H24" s="13">
        <v>19194.759999999998</v>
      </c>
      <c r="I24" s="13"/>
      <c r="J24" s="14"/>
      <c r="K24" s="80">
        <v>1</v>
      </c>
      <c r="L24" s="38"/>
      <c r="M24" s="38"/>
    </row>
    <row r="25" spans="1:13" ht="15.6">
      <c r="A25" s="27" t="str">
        <v>K115</v>
      </c>
      <c r="B25" s="28" t="str">
        <v>NY</v>
      </c>
      <c r="C25" s="28" t="str">
        <f>Sites[[#This Row],[SOL'#]]</f>
        <v>SOL-10361</v>
      </c>
      <c r="D25" s="10">
        <v>5181.1875</v>
      </c>
      <c r="E25" s="15">
        <v>11426.48</v>
      </c>
      <c r="F25" s="15"/>
      <c r="G25" s="16"/>
      <c r="H25" s="17">
        <v>9850.8889999999992</v>
      </c>
      <c r="I25" s="17"/>
      <c r="J25" s="16"/>
      <c r="K25" s="16">
        <v>0.97652240000000001</v>
      </c>
      <c r="L25" s="39"/>
      <c r="M25" s="40"/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21">
        <v>7479.8125</v>
      </c>
      <c r="E26" s="11">
        <v>7995.7510000000002</v>
      </c>
      <c r="F26" s="11"/>
      <c r="G26" s="12"/>
      <c r="H26" s="13">
        <v>7441</v>
      </c>
      <c r="I26" s="13"/>
      <c r="J26" s="14"/>
      <c r="K26" s="80">
        <v>1</v>
      </c>
      <c r="L26" s="38"/>
      <c r="M26" s="38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>
        <v>25110.875</v>
      </c>
      <c r="E27" s="15">
        <v>29610.43</v>
      </c>
      <c r="F27" s="15"/>
      <c r="G27" s="16"/>
      <c r="H27" s="17">
        <v>26544.95</v>
      </c>
      <c r="I27" s="17"/>
      <c r="J27" s="16"/>
      <c r="K27" s="16">
        <v>1</v>
      </c>
      <c r="L27" s="39"/>
      <c r="M27" s="40"/>
    </row>
    <row r="28" spans="1:13" ht="15.6">
      <c r="A28" s="25" t="str">
        <v>K206</v>
      </c>
      <c r="B28" s="26" t="str">
        <v>NY</v>
      </c>
      <c r="C28" s="26" t="str">
        <f>Sites[[#This Row],[SOL'#]]</f>
        <v>SOL-10927</v>
      </c>
      <c r="D28" s="21">
        <v>15872.3496875</v>
      </c>
      <c r="E28" s="11">
        <v>17737.77</v>
      </c>
      <c r="F28" s="11"/>
      <c r="G28" s="12"/>
      <c r="H28" s="13">
        <v>12467</v>
      </c>
      <c r="I28" s="13"/>
      <c r="J28" s="14"/>
      <c r="K28" s="80">
        <v>0.99552379999999996</v>
      </c>
      <c r="L28" s="38"/>
      <c r="M28" s="38"/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>
        <v>17588.375</v>
      </c>
      <c r="E29" s="15">
        <v>18628.310000000001</v>
      </c>
      <c r="F29" s="15"/>
      <c r="G29" s="16"/>
      <c r="H29" s="17">
        <v>17515.23</v>
      </c>
      <c r="I29" s="17"/>
      <c r="J29" s="16"/>
      <c r="K29" s="16">
        <v>1</v>
      </c>
      <c r="L29" s="39"/>
      <c r="M29" s="39"/>
    </row>
    <row r="30" spans="1:13" ht="15.6">
      <c r="A30" s="25" t="str">
        <v>K269</v>
      </c>
      <c r="B30" s="26" t="str">
        <v>NY</v>
      </c>
      <c r="C30" s="26" t="str">
        <f>Sites[[#This Row],[SOL'#]]</f>
        <v>SOL-10366</v>
      </c>
      <c r="D30" s="21">
        <v>16055.6875</v>
      </c>
      <c r="E30" s="11">
        <v>20172.21</v>
      </c>
      <c r="F30" s="11"/>
      <c r="G30" s="12"/>
      <c r="H30" s="13">
        <v>13656.84</v>
      </c>
      <c r="I30" s="13"/>
      <c r="J30" s="14"/>
      <c r="K30" s="80">
        <v>1</v>
      </c>
      <c r="L30" s="38"/>
      <c r="M30" s="38"/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>
        <v>16644.1875</v>
      </c>
      <c r="E31" s="15"/>
      <c r="F31" s="15"/>
      <c r="G31" s="16"/>
      <c r="H31" s="17">
        <v>20518</v>
      </c>
      <c r="I31" s="17"/>
      <c r="J31" s="16"/>
      <c r="K31" s="16">
        <v>1</v>
      </c>
      <c r="L31" s="39"/>
      <c r="M31" s="40"/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21">
        <v>14279.65625</v>
      </c>
      <c r="E32" s="11">
        <v>13075.75</v>
      </c>
      <c r="F32" s="11"/>
      <c r="G32" s="12"/>
      <c r="H32" s="13">
        <v>11897</v>
      </c>
      <c r="I32" s="13"/>
      <c r="J32" s="14"/>
      <c r="K32" s="80">
        <v>1</v>
      </c>
      <c r="L32" s="38"/>
      <c r="M32" s="38"/>
    </row>
    <row r="33" spans="1:13" ht="15.6">
      <c r="A33" s="27" t="str">
        <v>K298</v>
      </c>
      <c r="B33" s="28" t="str">
        <v>NY</v>
      </c>
      <c r="C33" s="28" t="str">
        <f>Sites[[#This Row],[SOL'#]]</f>
        <v>SOL-10368</v>
      </c>
      <c r="D33" s="10">
        <v>14730.75</v>
      </c>
      <c r="E33" s="15">
        <v>17329.82</v>
      </c>
      <c r="F33" s="15"/>
      <c r="G33" s="16"/>
      <c r="H33" s="17">
        <v>12316</v>
      </c>
      <c r="I33" s="17"/>
      <c r="J33" s="16"/>
      <c r="K33" s="16">
        <v>1</v>
      </c>
      <c r="L33" s="39"/>
      <c r="M33" s="40"/>
    </row>
    <row r="34" spans="1:13" ht="15.6">
      <c r="A34" s="25" t="str">
        <v>K335</v>
      </c>
      <c r="B34" s="26" t="str">
        <v>NY</v>
      </c>
      <c r="C34" s="26" t="str">
        <f>Sites[[#This Row],[SOL'#]]</f>
        <v>SOL-10370</v>
      </c>
      <c r="D34" s="21">
        <v>15242.8125</v>
      </c>
      <c r="E34" s="11">
        <v>18399.8</v>
      </c>
      <c r="F34" s="11"/>
      <c r="G34" s="12"/>
      <c r="H34" s="13">
        <v>17347</v>
      </c>
      <c r="I34" s="13"/>
      <c r="J34" s="14"/>
      <c r="K34" s="80">
        <v>1</v>
      </c>
      <c r="L34" s="38"/>
      <c r="M34" s="38"/>
    </row>
    <row r="35" spans="1:13" ht="15.6">
      <c r="A35" s="27" t="str">
        <v>K345</v>
      </c>
      <c r="B35" s="28" t="str">
        <v>NY</v>
      </c>
      <c r="C35" s="28" t="str">
        <f>Sites[[#This Row],[SOL'#]]</f>
        <v>SOL-10920</v>
      </c>
      <c r="D35" s="10">
        <v>18156.03125</v>
      </c>
      <c r="E35" s="15">
        <v>12416.03</v>
      </c>
      <c r="F35" s="15"/>
      <c r="G35" s="16"/>
      <c r="H35" s="17">
        <v>15094</v>
      </c>
      <c r="I35" s="17"/>
      <c r="J35" s="16"/>
      <c r="K35" s="16">
        <v>0.98750139999999997</v>
      </c>
      <c r="L35" s="39"/>
      <c r="M35" s="40"/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21">
        <v>15557.5</v>
      </c>
      <c r="E36" s="11">
        <v>18612.240000000002</v>
      </c>
      <c r="F36" s="11"/>
      <c r="G36" s="12"/>
      <c r="H36" s="13">
        <v>12336.52</v>
      </c>
      <c r="I36" s="13"/>
      <c r="J36" s="14"/>
      <c r="K36" s="80">
        <v>1</v>
      </c>
      <c r="L36" s="38"/>
      <c r="M36" s="38"/>
    </row>
    <row r="37" spans="1:13" ht="15.6">
      <c r="A37" s="27" t="str">
        <v>K495</v>
      </c>
      <c r="B37" s="28" t="str">
        <v>NY</v>
      </c>
      <c r="C37" s="28" t="str">
        <f>Sites[[#This Row],[SOL'#]]</f>
        <v>SOL-10374</v>
      </c>
      <c r="D37" s="10">
        <v>21885.375</v>
      </c>
      <c r="E37" s="15">
        <v>57407.03</v>
      </c>
      <c r="F37" s="15"/>
      <c r="G37" s="16"/>
      <c r="H37" s="17">
        <v>55117</v>
      </c>
      <c r="I37" s="17"/>
      <c r="J37" s="16"/>
      <c r="K37" s="16">
        <v>0.28854079999999999</v>
      </c>
      <c r="L37" s="39"/>
      <c r="M37" s="40"/>
    </row>
    <row r="38" spans="1:13" ht="15.6">
      <c r="A38" s="25" t="str">
        <v>M020</v>
      </c>
      <c r="B38" s="26" t="str">
        <v>NY</v>
      </c>
      <c r="C38" s="26" t="str">
        <f>Sites[[#This Row],[SOL'#]]</f>
        <v>SOL-10380</v>
      </c>
      <c r="D38" s="21">
        <v>16399.8125</v>
      </c>
      <c r="E38" s="11">
        <v>18431.62</v>
      </c>
      <c r="F38" s="11"/>
      <c r="G38" s="12"/>
      <c r="H38" s="13">
        <v>15061</v>
      </c>
      <c r="I38" s="13"/>
      <c r="J38" s="14"/>
      <c r="K38" s="80">
        <v>0.98393140000000001</v>
      </c>
      <c r="L38" s="38"/>
      <c r="M38" s="38"/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>
        <v>15734.9375</v>
      </c>
      <c r="E39" s="15">
        <v>18409.38</v>
      </c>
      <c r="F39" s="15"/>
      <c r="G39" s="16"/>
      <c r="H39" s="17">
        <v>13435.74</v>
      </c>
      <c r="I39" s="17"/>
      <c r="J39" s="16"/>
      <c r="K39" s="16">
        <v>1</v>
      </c>
      <c r="L39" s="39"/>
      <c r="M39" s="40"/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21">
        <v>18270.843749999902</v>
      </c>
      <c r="E40" s="11">
        <v>20784.91</v>
      </c>
      <c r="F40" s="11"/>
      <c r="G40" s="12"/>
      <c r="H40" s="13">
        <v>15222.13</v>
      </c>
      <c r="I40" s="13"/>
      <c r="J40" s="14"/>
      <c r="K40" s="80">
        <v>1</v>
      </c>
      <c r="L40" s="38"/>
      <c r="M40" s="38"/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10">
        <v>25363.4375</v>
      </c>
      <c r="E41" s="15"/>
      <c r="F41" s="15"/>
      <c r="G41" s="16"/>
      <c r="H41" s="17">
        <v>22643</v>
      </c>
      <c r="I41" s="17"/>
      <c r="J41" s="16"/>
      <c r="K41" s="16">
        <v>0.99120189999999997</v>
      </c>
      <c r="L41" s="39"/>
      <c r="M41" s="39"/>
    </row>
    <row r="42" spans="1:13" ht="15.6">
      <c r="A42" s="25" t="str">
        <v>M167</v>
      </c>
      <c r="B42" s="26" t="str">
        <v>NY</v>
      </c>
      <c r="C42" s="26" t="str">
        <f>Sites[[#This Row],[SOL'#]]</f>
        <v>SOL-10386</v>
      </c>
      <c r="D42" s="21">
        <v>19322.390625</v>
      </c>
      <c r="E42" s="11">
        <v>16649.55</v>
      </c>
      <c r="F42" s="11"/>
      <c r="G42" s="12"/>
      <c r="H42" s="13">
        <v>17738.7</v>
      </c>
      <c r="I42" s="13"/>
      <c r="J42" s="14"/>
      <c r="K42" s="80">
        <v>1</v>
      </c>
      <c r="L42" s="38"/>
      <c r="M42" s="38"/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>
        <v>13935.75</v>
      </c>
      <c r="E43" s="15"/>
      <c r="F43" s="15"/>
      <c r="G43" s="16"/>
      <c r="H43" s="17">
        <v>12157</v>
      </c>
      <c r="I43" s="17"/>
      <c r="J43" s="16"/>
      <c r="K43" s="16">
        <v>0.98904859999999994</v>
      </c>
      <c r="L43" s="39"/>
      <c r="M43" s="40"/>
    </row>
    <row r="44" spans="1:13" ht="15.6">
      <c r="A44" s="25" t="str">
        <v>EMHC</v>
      </c>
      <c r="B44" s="26" t="str">
        <v>NY</v>
      </c>
      <c r="C44" s="26" t="str">
        <f>Sites[[#This Row],[SOL'#]]</f>
        <v>SOL-10351</v>
      </c>
      <c r="D44" s="21">
        <v>6119.5685742187497</v>
      </c>
      <c r="E44" s="11">
        <v>4248.9219999999996</v>
      </c>
      <c r="F44" s="11"/>
      <c r="G44" s="12"/>
      <c r="H44" s="13">
        <v>4963.6350000000002</v>
      </c>
      <c r="I44" s="13"/>
      <c r="J44" s="14"/>
      <c r="K44" s="80">
        <v>1</v>
      </c>
      <c r="L44" s="38"/>
      <c r="M44" s="38"/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>
        <v>21632.71875</v>
      </c>
      <c r="E45" s="15">
        <v>24555.360000000001</v>
      </c>
      <c r="F45" s="15"/>
      <c r="G45" s="16"/>
      <c r="H45" s="17">
        <v>18843</v>
      </c>
      <c r="I45" s="17"/>
      <c r="J45" s="16"/>
      <c r="K45" s="16">
        <v>0.98825540000000001</v>
      </c>
      <c r="L45" s="39"/>
      <c r="M45" s="40"/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21">
        <v>14483.25</v>
      </c>
      <c r="E46" s="11">
        <v>15073.28</v>
      </c>
      <c r="F46" s="11"/>
      <c r="G46" s="12"/>
      <c r="H46" s="13">
        <v>13698.21</v>
      </c>
      <c r="I46" s="13"/>
      <c r="J46" s="14"/>
      <c r="K46" s="80">
        <v>1</v>
      </c>
      <c r="L46" s="38"/>
      <c r="M46" s="38"/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>
        <v>11977.03125</v>
      </c>
      <c r="E47" s="15">
        <v>14001.15</v>
      </c>
      <c r="F47" s="15"/>
      <c r="G47" s="16"/>
      <c r="H47" s="17">
        <v>11336.31</v>
      </c>
      <c r="I47" s="17"/>
      <c r="J47" s="16"/>
      <c r="K47" s="16">
        <v>1</v>
      </c>
      <c r="L47" s="39"/>
      <c r="M47" s="40"/>
    </row>
    <row r="48" spans="1:13" ht="15.6">
      <c r="A48" s="25" t="str">
        <v>Q025</v>
      </c>
      <c r="B48" s="26" t="str">
        <v>NY</v>
      </c>
      <c r="C48" s="26" t="str">
        <f>Sites[[#This Row],[SOL'#]]</f>
        <v>SOL-10400</v>
      </c>
      <c r="D48" s="21">
        <v>19222.375</v>
      </c>
      <c r="E48" s="11">
        <v>21481.17</v>
      </c>
      <c r="F48" s="11"/>
      <c r="G48" s="12"/>
      <c r="H48" s="13">
        <v>9900</v>
      </c>
      <c r="I48" s="13"/>
      <c r="J48" s="14"/>
      <c r="K48" s="80">
        <v>1</v>
      </c>
      <c r="L48" s="38"/>
      <c r="M48" s="38"/>
    </row>
    <row r="49" spans="1:13" ht="15.6">
      <c r="A49" s="27" t="str">
        <v>Q074</v>
      </c>
      <c r="B49" s="28" t="str">
        <v>NY</v>
      </c>
      <c r="C49" s="28" t="str">
        <f>Sites[[#This Row],[SOL'#]]</f>
        <v>SOL-10402</v>
      </c>
      <c r="D49" s="10">
        <v>12866.375</v>
      </c>
      <c r="E49" s="15">
        <v>13257.12</v>
      </c>
      <c r="F49" s="15"/>
      <c r="G49" s="16"/>
      <c r="H49" s="17">
        <v>12729.58</v>
      </c>
      <c r="I49" s="17"/>
      <c r="J49" s="16"/>
      <c r="K49" s="16">
        <v>1</v>
      </c>
      <c r="L49" s="39"/>
      <c r="M49" s="40"/>
    </row>
    <row r="50" spans="1:13" ht="15.6">
      <c r="A50" s="25" t="str">
        <v>Q115</v>
      </c>
      <c r="B50" s="26" t="str">
        <v>NY</v>
      </c>
      <c r="C50" s="26" t="str">
        <f>Sites[[#This Row],[SOL'#]]</f>
        <v>SOL-10872</v>
      </c>
      <c r="D50" s="21">
        <v>17235</v>
      </c>
      <c r="E50" s="11">
        <v>19678.18</v>
      </c>
      <c r="F50" s="11"/>
      <c r="G50" s="12"/>
      <c r="H50" s="13">
        <v>17141.27</v>
      </c>
      <c r="I50" s="13"/>
      <c r="J50" s="14"/>
      <c r="K50" s="80">
        <v>1</v>
      </c>
      <c r="L50" s="38"/>
      <c r="M50" s="38"/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10">
        <v>10101.53125</v>
      </c>
      <c r="E51" s="15">
        <v>10801.6</v>
      </c>
      <c r="F51" s="15"/>
      <c r="G51" s="16"/>
      <c r="H51" s="17">
        <v>10659</v>
      </c>
      <c r="I51" s="17"/>
      <c r="J51" s="16"/>
      <c r="K51" s="16">
        <v>1</v>
      </c>
      <c r="L51" s="39"/>
      <c r="M51" s="40"/>
    </row>
    <row r="52" spans="1:13" ht="15.6">
      <c r="A52" s="25" t="str">
        <v>Q157</v>
      </c>
      <c r="B52" s="26" t="str">
        <v>NY</v>
      </c>
      <c r="C52" s="26" t="str">
        <f>Sites[[#This Row],[SOL'#]]</f>
        <v>SOL-10404</v>
      </c>
      <c r="D52" s="21">
        <v>17830.125</v>
      </c>
      <c r="E52" s="11">
        <v>21015.41</v>
      </c>
      <c r="F52" s="11"/>
      <c r="G52" s="12"/>
      <c r="H52" s="13">
        <v>1937.6610000000001</v>
      </c>
      <c r="I52" s="13"/>
      <c r="J52" s="14"/>
      <c r="K52" s="80">
        <v>1</v>
      </c>
      <c r="L52" s="38"/>
      <c r="M52" s="38"/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10">
        <v>27681.75</v>
      </c>
      <c r="E53" s="15">
        <v>31619</v>
      </c>
      <c r="F53" s="15"/>
      <c r="G53" s="16"/>
      <c r="H53" s="17">
        <v>28127.15</v>
      </c>
      <c r="I53" s="17"/>
      <c r="J53" s="16"/>
      <c r="K53" s="16">
        <v>1</v>
      </c>
      <c r="L53" s="39"/>
      <c r="M53" s="39"/>
    </row>
    <row r="54" spans="1:13" ht="15.6">
      <c r="A54" s="25" t="str">
        <v>Q210</v>
      </c>
      <c r="B54" s="26" t="str">
        <v>NY</v>
      </c>
      <c r="C54" s="26" t="str">
        <f>Sites[[#This Row],[SOL'#]]</f>
        <v>SOL-10407</v>
      </c>
      <c r="D54" s="21">
        <v>23266.375</v>
      </c>
      <c r="E54" s="11">
        <v>23801.37</v>
      </c>
      <c r="F54" s="11"/>
      <c r="G54" s="12"/>
      <c r="H54" s="13">
        <v>23419</v>
      </c>
      <c r="I54" s="13"/>
      <c r="J54" s="14"/>
      <c r="K54" s="80">
        <v>1</v>
      </c>
      <c r="L54" s="38"/>
      <c r="M54" s="38"/>
    </row>
    <row r="55" spans="1:13" ht="15.6">
      <c r="A55" s="27" t="str">
        <v>Q229</v>
      </c>
      <c r="B55" s="28" t="str">
        <v>NY</v>
      </c>
      <c r="C55" s="28" t="str">
        <f>Sites[[#This Row],[SOL'#]]</f>
        <v>SOL-10408</v>
      </c>
      <c r="D55" s="10">
        <v>9246.96875</v>
      </c>
      <c r="E55" s="15">
        <v>11755.71</v>
      </c>
      <c r="F55" s="15"/>
      <c r="G55" s="16"/>
      <c r="H55" s="17">
        <v>869.34640000000002</v>
      </c>
      <c r="I55" s="17"/>
      <c r="J55" s="16"/>
      <c r="K55" s="16">
        <v>1</v>
      </c>
      <c r="L55" s="39"/>
      <c r="M55" s="40"/>
    </row>
    <row r="56" spans="1:13" ht="15.6">
      <c r="A56" s="25" t="str">
        <v>Q231</v>
      </c>
      <c r="B56" s="26" t="str">
        <v>NY</v>
      </c>
      <c r="C56" s="26" t="str">
        <f>Sites[[#This Row],[SOL'#]]</f>
        <v>SOL-10870</v>
      </c>
      <c r="D56" s="21">
        <v>37608.0625</v>
      </c>
      <c r="E56" s="11">
        <v>43696.83</v>
      </c>
      <c r="F56" s="11"/>
      <c r="G56" s="12"/>
      <c r="H56" s="13">
        <v>30569</v>
      </c>
      <c r="I56" s="13"/>
      <c r="J56" s="14"/>
      <c r="K56" s="80">
        <v>1</v>
      </c>
      <c r="L56" s="38"/>
      <c r="M56" s="38"/>
    </row>
    <row r="57" spans="1:13" ht="15.6">
      <c r="A57" s="27" t="str">
        <v>Q405</v>
      </c>
      <c r="B57" s="28" t="str">
        <v>NY</v>
      </c>
      <c r="C57" s="28" t="str">
        <f>Sites[[#This Row],[SOL'#]]</f>
        <v>SOL-10409</v>
      </c>
      <c r="D57" s="10">
        <v>44087.25</v>
      </c>
      <c r="E57" s="15">
        <v>46222.31</v>
      </c>
      <c r="F57" s="15"/>
      <c r="G57" s="16"/>
      <c r="H57" s="17">
        <v>41872.269999999997</v>
      </c>
      <c r="I57" s="17"/>
      <c r="J57" s="16"/>
      <c r="K57" s="16">
        <v>1</v>
      </c>
      <c r="L57" s="39"/>
      <c r="M57" s="40"/>
    </row>
    <row r="58" spans="1:13" ht="15.6">
      <c r="A58" s="25" t="str">
        <v>Q435</v>
      </c>
      <c r="B58" s="26" t="str">
        <v>NY</v>
      </c>
      <c r="C58" s="26" t="str">
        <f>Sites[[#This Row],[SOL'#]]</f>
        <v>SOL-10923</v>
      </c>
      <c r="D58" s="21">
        <v>55753.625</v>
      </c>
      <c r="E58" s="11">
        <v>43537.14</v>
      </c>
      <c r="F58" s="11"/>
      <c r="G58" s="12"/>
      <c r="H58" s="13">
        <v>44849</v>
      </c>
      <c r="I58" s="13"/>
      <c r="J58" s="14"/>
      <c r="K58" s="80">
        <v>0.99417840000000002</v>
      </c>
      <c r="L58" s="38"/>
      <c r="M58" s="38"/>
    </row>
    <row r="59" spans="1:13" ht="15.6">
      <c r="A59" s="27" t="str">
        <v>Q485</v>
      </c>
      <c r="B59" s="28" t="str">
        <v>NY</v>
      </c>
      <c r="C59" s="28" t="str">
        <f>Sites[[#This Row],[SOL'#]]</f>
        <v>SOL-10869</v>
      </c>
      <c r="D59" s="10">
        <v>48781.218750000102</v>
      </c>
      <c r="E59" s="15">
        <v>44153.98</v>
      </c>
      <c r="F59" s="15"/>
      <c r="G59" s="16"/>
      <c r="H59" s="17">
        <v>42597.919999999998</v>
      </c>
      <c r="I59" s="17"/>
      <c r="J59" s="16"/>
      <c r="K59" s="16">
        <v>1</v>
      </c>
      <c r="L59" s="39"/>
      <c r="M59" s="40"/>
    </row>
    <row r="60" spans="1:13" ht="15.6">
      <c r="A60" s="25" t="str">
        <v>Q490</v>
      </c>
      <c r="B60" s="26" t="str">
        <v>NY</v>
      </c>
      <c r="C60" s="26" t="str">
        <f>Sites[[#This Row],[SOL'#]]</f>
        <v>SOL-10411</v>
      </c>
      <c r="D60" s="21">
        <v>35353.625</v>
      </c>
      <c r="E60" s="11"/>
      <c r="F60" s="11"/>
      <c r="G60" s="12"/>
      <c r="H60" s="13">
        <v>36194.410000000003</v>
      </c>
      <c r="I60" s="13"/>
      <c r="J60" s="14"/>
      <c r="K60" s="80">
        <v>1</v>
      </c>
      <c r="L60" s="38"/>
      <c r="M60" s="38"/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10">
        <v>54496.875</v>
      </c>
      <c r="E61" s="15">
        <v>58023.38</v>
      </c>
      <c r="F61" s="15"/>
      <c r="G61" s="16"/>
      <c r="H61" s="17">
        <v>46322.02</v>
      </c>
      <c r="I61" s="17"/>
      <c r="J61" s="16"/>
      <c r="K61" s="16">
        <v>1</v>
      </c>
      <c r="L61" s="39"/>
      <c r="M61" s="40"/>
    </row>
    <row r="62" spans="1:13" ht="15.6">
      <c r="A62" s="25" t="str">
        <v>QMOA</v>
      </c>
      <c r="B62" s="26" t="str">
        <v>NY</v>
      </c>
      <c r="C62" s="26" t="str">
        <f>Sites[[#This Row],[SOL'#]]</f>
        <v>SOL-10415</v>
      </c>
      <c r="D62" s="21">
        <v>4948.6000000000104</v>
      </c>
      <c r="E62" s="11"/>
      <c r="F62" s="11"/>
      <c r="G62" s="12"/>
      <c r="H62" s="13">
        <v>4147.7629999999999</v>
      </c>
      <c r="I62" s="13"/>
      <c r="J62" s="14"/>
      <c r="K62" s="80">
        <v>1</v>
      </c>
      <c r="L62" s="38"/>
      <c r="M62" s="38"/>
    </row>
    <row r="63" spans="1:13" ht="15.6">
      <c r="A63" s="27" t="str">
        <v>X024</v>
      </c>
      <c r="B63" s="28" t="str">
        <v>NY</v>
      </c>
      <c r="C63" s="28" t="str">
        <f>Sites[[#This Row],[SOL'#]]</f>
        <v>SOL-10419</v>
      </c>
      <c r="D63" s="10">
        <v>22064.046875</v>
      </c>
      <c r="E63" s="15">
        <v>24432.59</v>
      </c>
      <c r="F63" s="15"/>
      <c r="G63" s="16"/>
      <c r="H63" s="17">
        <v>18573</v>
      </c>
      <c r="I63" s="17"/>
      <c r="J63" s="16"/>
      <c r="K63" s="16">
        <v>0.98457840000000008</v>
      </c>
      <c r="L63" s="39"/>
      <c r="M63" s="40"/>
    </row>
    <row r="64" spans="1:13" ht="15.6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80"/>
      <c r="L64" s="38"/>
      <c r="M64" s="38"/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16"/>
      <c r="L65" s="39"/>
      <c r="M65" s="39"/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80"/>
      <c r="L66" s="38"/>
      <c r="M66" s="38"/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16"/>
      <c r="L67" s="39"/>
      <c r="M67" s="40"/>
    </row>
    <row r="68" spans="1:13" ht="15.6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80"/>
      <c r="L68" s="38"/>
      <c r="M68" s="38"/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16"/>
      <c r="L69" s="39"/>
      <c r="M69" s="40"/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>
        <v>29797.599625336199</v>
      </c>
      <c r="E70" s="11">
        <v>30796.46</v>
      </c>
      <c r="F70" s="11"/>
      <c r="G70" s="12"/>
      <c r="H70" s="13">
        <v>23270</v>
      </c>
      <c r="I70" s="13"/>
      <c r="J70" s="14"/>
      <c r="K70" s="80">
        <v>1</v>
      </c>
      <c r="L70" s="38"/>
      <c r="M70" s="38"/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10">
        <v>16861.734375</v>
      </c>
      <c r="E71" s="15">
        <v>14643.91</v>
      </c>
      <c r="F71" s="15"/>
      <c r="G71" s="16"/>
      <c r="H71" s="17">
        <v>13726</v>
      </c>
      <c r="I71" s="17"/>
      <c r="J71" s="16"/>
      <c r="K71" s="16">
        <v>0</v>
      </c>
      <c r="L71" s="39"/>
      <c r="M71" s="40"/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80"/>
      <c r="L72" s="38"/>
      <c r="M72" s="38"/>
    </row>
    <row r="73" spans="1:13" ht="15.6">
      <c r="A73" s="27" t="str">
        <v>Murphy</v>
      </c>
      <c r="B73" s="28" t="str">
        <v>MN</v>
      </c>
      <c r="C73" s="28" t="str">
        <f>Sites[[#This Row],[SOL'#]]</f>
        <v>SOL-10094</v>
      </c>
      <c r="D73" s="10">
        <v>720390</v>
      </c>
      <c r="E73" s="15">
        <v>840926</v>
      </c>
      <c r="F73" s="15"/>
      <c r="G73" s="16"/>
      <c r="H73" s="17">
        <v>666932.80000000005</v>
      </c>
      <c r="I73" s="17"/>
      <c r="J73" s="16"/>
      <c r="K73" s="16">
        <v>0.92110510000000001</v>
      </c>
      <c r="L73" s="39"/>
      <c r="M73" s="40"/>
    </row>
    <row r="74" spans="1:13" ht="15.6">
      <c r="A74" s="25" t="str">
        <v>Terning</v>
      </c>
      <c r="B74" s="26" t="str">
        <v>MN</v>
      </c>
      <c r="C74" s="26" t="str">
        <f>Sites[[#This Row],[SOL'#]]</f>
        <v>SOL-10093</v>
      </c>
      <c r="D74" s="21">
        <v>794928.52500000002</v>
      </c>
      <c r="E74" s="11">
        <v>840389.1</v>
      </c>
      <c r="F74" s="11"/>
      <c r="G74" s="12"/>
      <c r="H74" s="13">
        <v>641083.9</v>
      </c>
      <c r="I74" s="13"/>
      <c r="J74" s="14"/>
      <c r="K74" s="80">
        <v>1</v>
      </c>
      <c r="L74" s="38"/>
      <c r="M74" s="38"/>
    </row>
    <row r="75" spans="1:13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16"/>
      <c r="L75" s="39"/>
      <c r="M75" s="40"/>
    </row>
    <row r="76" spans="1:13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80"/>
      <c r="L76" s="38"/>
      <c r="M76" s="38"/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16"/>
      <c r="L77" s="39"/>
      <c r="M77" s="39"/>
    </row>
    <row r="78" spans="1:13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80"/>
      <c r="L78" s="38"/>
      <c r="M78" s="38"/>
    </row>
    <row r="79" spans="1:13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16"/>
      <c r="L79" s="39"/>
      <c r="M79" s="40"/>
    </row>
    <row r="80" spans="1:13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80"/>
      <c r="L80" s="38"/>
      <c r="M80" s="38"/>
    </row>
    <row r="81" spans="1:13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16"/>
      <c r="L81" s="39"/>
      <c r="M81" s="40"/>
    </row>
    <row r="82" spans="1:13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80"/>
      <c r="L82" s="38"/>
      <c r="M82" s="38"/>
    </row>
    <row r="83" spans="1:13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16"/>
      <c r="L83" s="39"/>
      <c r="M83" s="40"/>
    </row>
    <row r="84" spans="1:13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80"/>
      <c r="L84" s="38"/>
      <c r="M84" s="38"/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16"/>
      <c r="L85" s="39"/>
      <c r="M85" s="40"/>
    </row>
    <row r="86" spans="1:13" ht="15.6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80"/>
      <c r="L86" s="38"/>
      <c r="M86" s="38"/>
    </row>
    <row r="87" spans="1:13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16"/>
      <c r="L87" s="39"/>
      <c r="M87" s="40"/>
    </row>
    <row r="88" spans="1:13" ht="15.6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80"/>
      <c r="L88" s="38"/>
      <c r="M88" s="38"/>
    </row>
    <row r="89" spans="1:13" ht="15.6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16"/>
      <c r="L89" s="39"/>
      <c r="M89" s="39"/>
    </row>
    <row r="90" spans="1:13" ht="15.6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80"/>
      <c r="L90" s="38"/>
      <c r="M90" s="38"/>
    </row>
    <row r="91" spans="1:13" ht="15.6">
      <c r="A91" s="27" t="str">
        <v>Reid</v>
      </c>
      <c r="B91" s="28" t="str">
        <v>NY</v>
      </c>
      <c r="C91" s="28" t="str">
        <f>Sites[[#This Row],[SOL'#]]</f>
        <v>SOL-10991</v>
      </c>
      <c r="D91" s="10">
        <v>641136.917615682</v>
      </c>
      <c r="E91" s="15">
        <v>640208.9</v>
      </c>
      <c r="F91" s="15"/>
      <c r="G91" s="16"/>
      <c r="H91" s="17">
        <v>540119</v>
      </c>
      <c r="I91" s="17"/>
      <c r="J91" s="16"/>
      <c r="K91" s="16">
        <v>1</v>
      </c>
      <c r="L91" s="39"/>
      <c r="M91" s="40"/>
    </row>
    <row r="92" spans="1:13" ht="15.6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80"/>
      <c r="L92" s="38"/>
      <c r="M92" s="38"/>
    </row>
    <row r="93" spans="1:13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16"/>
      <c r="L93" s="39"/>
      <c r="M93" s="40"/>
    </row>
    <row r="94" spans="1:13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80"/>
      <c r="L94" s="38"/>
      <c r="M94" s="38"/>
    </row>
    <row r="95" spans="1:13" ht="15.6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16"/>
      <c r="L95" s="39"/>
      <c r="M95" s="40"/>
    </row>
    <row r="96" spans="1:13" ht="15.6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80"/>
      <c r="L96" s="38"/>
      <c r="M96" s="38"/>
    </row>
    <row r="97" spans="1:13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16"/>
      <c r="L97" s="39"/>
      <c r="M97" s="40"/>
    </row>
    <row r="98" spans="1:13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80"/>
      <c r="L98" s="38"/>
      <c r="M98" s="38"/>
    </row>
    <row r="99" spans="1:13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16"/>
      <c r="L99" s="39"/>
      <c r="M99" s="40"/>
    </row>
    <row r="100" spans="1:13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80"/>
      <c r="L100" s="38"/>
      <c r="M100" s="38"/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16"/>
      <c r="L101" s="39"/>
      <c r="M101" s="39"/>
    </row>
    <row r="102" spans="1:13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80"/>
      <c r="L102" s="38"/>
      <c r="M102" s="38"/>
    </row>
    <row r="103" spans="1:13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16"/>
      <c r="L103" s="39"/>
      <c r="M103" s="40"/>
    </row>
    <row r="104" spans="1:13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80"/>
      <c r="L104" s="38"/>
      <c r="M104" s="38"/>
    </row>
    <row r="105" spans="1:13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16"/>
      <c r="L105" s="39"/>
      <c r="M105" s="40"/>
    </row>
    <row r="106" spans="1:13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80"/>
      <c r="L106" s="38"/>
      <c r="M106" s="38"/>
    </row>
    <row r="107" spans="1:13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16"/>
      <c r="L107" s="39"/>
      <c r="M107" s="40"/>
    </row>
    <row r="108" spans="1:13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80"/>
      <c r="L108" s="38"/>
      <c r="M108" s="38"/>
    </row>
    <row r="109" spans="1:13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16"/>
      <c r="L109" s="39"/>
      <c r="M109" s="40"/>
    </row>
    <row r="110" spans="1:13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80"/>
      <c r="L110" s="38"/>
      <c r="M110" s="38"/>
    </row>
    <row r="111" spans="1:13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>
        <v>541866</v>
      </c>
      <c r="E111" s="15">
        <v>611859.30000000005</v>
      </c>
      <c r="F111" s="15"/>
      <c r="G111" s="16"/>
      <c r="H111" s="17">
        <v>510426.5</v>
      </c>
      <c r="I111" s="17"/>
      <c r="J111" s="16"/>
      <c r="K111" s="16">
        <v>0.92334879999999997</v>
      </c>
      <c r="L111" s="39"/>
      <c r="M111" s="40"/>
    </row>
    <row r="112" spans="1:13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>
        <v>497420.12831658398</v>
      </c>
      <c r="E112" s="11">
        <v>562441.5</v>
      </c>
      <c r="F112" s="11"/>
      <c r="G112" s="12"/>
      <c r="H112" s="13">
        <v>486639.6</v>
      </c>
      <c r="I112" s="13"/>
      <c r="J112" s="14"/>
      <c r="K112" s="80">
        <v>0.93743639999999995</v>
      </c>
      <c r="L112" s="38"/>
      <c r="M112" s="38"/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>
        <v>2948</v>
      </c>
      <c r="E113" s="15">
        <v>3889.1889999999999</v>
      </c>
      <c r="F113" s="15"/>
      <c r="G113" s="16"/>
      <c r="H113" s="17">
        <v>3725.9630000000002</v>
      </c>
      <c r="I113" s="17"/>
      <c r="J113" s="16"/>
      <c r="K113" s="16">
        <v>1</v>
      </c>
      <c r="L113" s="39"/>
      <c r="M113" s="39"/>
    </row>
    <row r="114" spans="1:13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>
        <v>7881.8100000000604</v>
      </c>
      <c r="E114" s="11">
        <v>11515.52</v>
      </c>
      <c r="F114" s="11"/>
      <c r="G114" s="12"/>
      <c r="H114" s="13">
        <v>8663.7039999999997</v>
      </c>
      <c r="I114" s="13"/>
      <c r="J114" s="14"/>
      <c r="K114" s="80">
        <v>1</v>
      </c>
      <c r="L114" s="38"/>
      <c r="M114" s="38"/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16"/>
      <c r="L115" s="39"/>
      <c r="M115" s="40"/>
    </row>
    <row r="116" spans="1:13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80"/>
      <c r="L116" s="38"/>
      <c r="M116" s="38"/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16"/>
      <c r="L117" s="39"/>
      <c r="M117" s="40"/>
    </row>
    <row r="118" spans="1:13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80"/>
      <c r="L118" s="38"/>
      <c r="M118" s="38"/>
    </row>
    <row r="119" spans="1:13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16"/>
      <c r="L119" s="39"/>
      <c r="M119" s="40"/>
    </row>
    <row r="120" spans="1:13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80"/>
      <c r="L120" s="38"/>
      <c r="M120" s="38"/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16"/>
      <c r="L121" s="39"/>
      <c r="M121" s="40"/>
    </row>
    <row r="122" spans="1:13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80"/>
      <c r="L122" s="38"/>
      <c r="M122" s="38"/>
    </row>
    <row r="123" spans="1:13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16"/>
      <c r="L123" s="39"/>
      <c r="M123" s="40"/>
    </row>
    <row r="124" spans="1:13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80"/>
      <c r="L124" s="38"/>
      <c r="M124" s="38"/>
    </row>
    <row r="125" spans="1:13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16"/>
      <c r="L125" s="39"/>
      <c r="M125" s="39"/>
    </row>
    <row r="126" spans="1:13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80"/>
      <c r="L126" s="38"/>
      <c r="M126" s="38"/>
    </row>
    <row r="127" spans="1:13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16"/>
      <c r="L127" s="39"/>
      <c r="M127" s="40"/>
    </row>
    <row r="128" spans="1:13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80"/>
      <c r="L128" s="38"/>
      <c r="M128" s="38"/>
    </row>
    <row r="129" spans="1:13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16"/>
      <c r="L129" s="39"/>
      <c r="M129" s="40"/>
    </row>
    <row r="130" spans="1:13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80"/>
      <c r="L130" s="38"/>
      <c r="M130" s="38"/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16"/>
      <c r="L131" s="39"/>
      <c r="M131" s="40"/>
    </row>
    <row r="132" spans="1:13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80"/>
      <c r="L132" s="38"/>
      <c r="M132" s="38"/>
    </row>
    <row r="133" spans="1:13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16"/>
      <c r="L133" s="39"/>
      <c r="M133" s="40"/>
    </row>
    <row r="134" spans="1:13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80"/>
      <c r="L134" s="38"/>
      <c r="M134" s="38"/>
    </row>
    <row r="135" spans="1:13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16"/>
      <c r="L135" s="39"/>
      <c r="M135" s="40"/>
    </row>
    <row r="136" spans="1:13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80"/>
      <c r="L136" s="38"/>
      <c r="M136" s="38"/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16"/>
      <c r="L137" s="39"/>
      <c r="M137" s="40"/>
    </row>
    <row r="138" spans="1:13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80"/>
      <c r="L138" s="38"/>
      <c r="M138" s="38"/>
    </row>
    <row r="139" spans="1:13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16"/>
      <c r="L139" s="39"/>
      <c r="M139" s="40"/>
    </row>
    <row r="140" spans="1:13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80"/>
      <c r="L140" s="70"/>
      <c r="M140" s="38"/>
    </row>
    <row r="141" spans="1:13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16"/>
      <c r="L141" s="39"/>
      <c r="M141" s="18"/>
    </row>
    <row r="142" spans="1:13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>
        <v>297542</v>
      </c>
      <c r="E142" s="11">
        <v>373357.1</v>
      </c>
      <c r="F142" s="11"/>
      <c r="G142" s="68"/>
      <c r="H142" s="83">
        <v>292669</v>
      </c>
      <c r="I142" s="83"/>
      <c r="J142" s="80"/>
      <c r="K142" s="80">
        <v>0.79965419999999998</v>
      </c>
      <c r="L142" s="70"/>
      <c r="M142" s="38"/>
    </row>
    <row r="143" spans="1:13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16"/>
      <c r="L143" s="39"/>
      <c r="M143" s="18"/>
    </row>
    <row r="144" spans="1:13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80"/>
      <c r="L144" s="70"/>
      <c r="M144" s="38"/>
    </row>
    <row r="145" spans="1:13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16"/>
      <c r="L145" s="39"/>
      <c r="M145" s="18"/>
    </row>
    <row r="146" spans="1:13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80"/>
      <c r="L146" s="70"/>
      <c r="M146" s="38"/>
    </row>
    <row r="147" spans="1:13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16"/>
      <c r="L147" s="39"/>
      <c r="M147" s="18"/>
    </row>
    <row r="148" spans="1:13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80"/>
      <c r="L148" s="70"/>
      <c r="M148" s="38"/>
    </row>
    <row r="149" spans="1:13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16"/>
      <c r="L149" s="39"/>
      <c r="M149" s="18"/>
    </row>
    <row r="150" spans="1:13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80"/>
      <c r="L150" s="70"/>
      <c r="M150" s="38"/>
    </row>
    <row r="151" spans="1:13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16"/>
      <c r="L151" s="39"/>
      <c r="M151" s="18"/>
    </row>
    <row r="152" spans="1:13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80"/>
      <c r="L152" s="70"/>
      <c r="M152" s="38"/>
    </row>
    <row r="153" spans="1:13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16"/>
      <c r="L153" s="59"/>
      <c r="M153" s="18"/>
    </row>
    <row r="154" spans="1:13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80"/>
      <c r="L154" s="70"/>
      <c r="M154" s="38"/>
    </row>
    <row r="155" spans="1:13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16"/>
      <c r="L155" s="39"/>
      <c r="M155" s="18"/>
    </row>
    <row r="156" spans="1:13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80"/>
      <c r="L156" s="70"/>
      <c r="M156" s="38"/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16"/>
      <c r="L157" s="39"/>
      <c r="M157" s="18"/>
    </row>
    <row r="158" spans="1:13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80"/>
      <c r="L158" s="70"/>
      <c r="M158" s="38"/>
    </row>
    <row r="159" spans="1:13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>
        <v>370436.01990049798</v>
      </c>
      <c r="E159" s="15">
        <v>392861.5</v>
      </c>
      <c r="F159" s="15"/>
      <c r="G159" s="84"/>
      <c r="H159" s="85">
        <v>287759</v>
      </c>
      <c r="I159" s="85"/>
      <c r="J159" s="84"/>
      <c r="K159" s="16">
        <v>0.97638480000000005</v>
      </c>
      <c r="L159" s="39"/>
      <c r="M159" s="18"/>
    </row>
    <row r="160" spans="1:13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80"/>
      <c r="L160" s="70"/>
      <c r="M160" s="38"/>
    </row>
    <row r="161" spans="1:13" ht="15.6">
      <c r="A161" s="27" t="str">
        <v>Altamont</v>
      </c>
      <c r="B161" s="28" t="str">
        <v>NY</v>
      </c>
      <c r="C161" s="28" t="s">
        <v>13</v>
      </c>
      <c r="D161" s="82">
        <v>695857</v>
      </c>
      <c r="E161" s="15">
        <v>755716.4</v>
      </c>
      <c r="F161" s="15"/>
      <c r="G161" s="84"/>
      <c r="H161" s="85">
        <v>423096.7</v>
      </c>
      <c r="I161" s="85"/>
      <c r="J161" s="84"/>
      <c r="K161" s="19">
        <v>1</v>
      </c>
      <c r="L161" s="39"/>
      <c r="M161" s="18"/>
    </row>
    <row r="162" spans="1:13" ht="14.4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9"/>
      <c r="L162" s="18"/>
      <c r="M162" s="18"/>
    </row>
    <row r="163" spans="1:13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9"/>
      <c r="L163" s="18"/>
      <c r="M163" s="18"/>
    </row>
    <row r="164" spans="1:13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9"/>
      <c r="L164" s="18"/>
      <c r="M164" s="18"/>
    </row>
    <row r="165" spans="1:13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9"/>
      <c r="L165" s="18"/>
      <c r="M165" s="18"/>
    </row>
    <row r="166" spans="1:13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9"/>
      <c r="L166" s="18"/>
      <c r="M166" s="18"/>
    </row>
    <row r="167" spans="1:13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9"/>
      <c r="L167" s="18"/>
      <c r="M167" s="18"/>
    </row>
    <row r="168" spans="1:13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9"/>
      <c r="L168" s="18"/>
      <c r="M168" s="18"/>
    </row>
    <row r="169" spans="1:13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9"/>
      <c r="L169" s="18"/>
      <c r="M169" s="18"/>
    </row>
    <row r="170" spans="1:13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9"/>
      <c r="L170" s="18"/>
      <c r="M170" s="18"/>
    </row>
    <row r="171" spans="1:13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9"/>
      <c r="L171" s="18"/>
      <c r="M171" s="18"/>
    </row>
    <row r="172" spans="1:13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9"/>
      <c r="L172" s="18"/>
      <c r="M172" s="18"/>
    </row>
    <row r="173" spans="1:13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9"/>
      <c r="L173" s="18"/>
      <c r="M173" s="18"/>
    </row>
    <row r="174" spans="1:13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9"/>
      <c r="L174" s="18"/>
      <c r="M174" s="18"/>
    </row>
    <row r="175" spans="1:13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9"/>
      <c r="L175" s="18"/>
      <c r="M175" s="18"/>
    </row>
    <row r="176" spans="1:13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9"/>
      <c r="L176" s="18"/>
      <c r="M176" s="18"/>
    </row>
    <row r="177" spans="1:13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9"/>
      <c r="L177" s="18"/>
      <c r="M177" s="18"/>
    </row>
    <row r="178" spans="1:13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9"/>
      <c r="L178" s="18"/>
      <c r="M178" s="18"/>
    </row>
    <row r="179" spans="1:13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9"/>
      <c r="L179" s="18"/>
      <c r="M179" s="18"/>
    </row>
    <row r="180" spans="1:13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9"/>
      <c r="L180" s="18"/>
      <c r="M180" s="18"/>
    </row>
    <row r="181" spans="1:13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9"/>
      <c r="L181" s="18"/>
      <c r="M181" s="18"/>
    </row>
    <row r="182" spans="1:13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9"/>
      <c r="L182" s="18"/>
      <c r="M182" s="18"/>
    </row>
    <row r="183" spans="1:13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9"/>
      <c r="L183" s="18"/>
      <c r="M183" s="18"/>
    </row>
    <row r="184" spans="1:13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9"/>
      <c r="L184" s="18"/>
      <c r="M184" s="18"/>
    </row>
    <row r="185" spans="1:13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9"/>
      <c r="L185" s="18"/>
      <c r="M185" s="18"/>
    </row>
    <row r="186" spans="1:13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9"/>
      <c r="L186" s="18"/>
      <c r="M186" s="18"/>
    </row>
    <row r="187" spans="1:13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9"/>
      <c r="L187" s="18"/>
      <c r="M187" s="18"/>
    </row>
    <row r="188" spans="1:13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9"/>
      <c r="L188" s="18"/>
      <c r="M188" s="18"/>
    </row>
    <row r="189" spans="1:13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9"/>
      <c r="L189" s="18"/>
      <c r="M189" s="18"/>
    </row>
    <row r="190" spans="1:13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9"/>
      <c r="L190" s="18"/>
      <c r="M190" s="18"/>
    </row>
    <row r="191" spans="1:13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9"/>
      <c r="L191" s="18"/>
      <c r="M191" s="18"/>
    </row>
    <row r="192" spans="1:13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9"/>
      <c r="L192" s="18"/>
      <c r="M192" s="18"/>
    </row>
    <row r="193" spans="1:13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9"/>
      <c r="L193" s="18"/>
      <c r="M193" s="18"/>
    </row>
    <row r="194" spans="1:13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9"/>
      <c r="L194" s="18"/>
      <c r="M194" s="18"/>
    </row>
    <row r="195" spans="1:13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9"/>
      <c r="L195" s="18"/>
      <c r="M195" s="18"/>
    </row>
    <row r="196" spans="1:13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9"/>
      <c r="L196" s="18"/>
      <c r="M196" s="18"/>
    </row>
    <row r="197" spans="1:13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9"/>
      <c r="L197" s="18"/>
      <c r="M197" s="18"/>
    </row>
    <row r="198" spans="1:13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9"/>
      <c r="L198" s="18"/>
      <c r="M198" s="18"/>
    </row>
    <row r="199" spans="1:13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9"/>
      <c r="L199" s="18"/>
      <c r="M199" s="18"/>
    </row>
    <row r="200" spans="1:13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9"/>
      <c r="L200" s="18"/>
      <c r="M200" s="18"/>
    </row>
    <row r="201" spans="1:13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9"/>
      <c r="L201" s="18"/>
      <c r="M201" s="18"/>
    </row>
    <row r="202" spans="1:13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9"/>
      <c r="L202" s="18"/>
      <c r="M202" s="18"/>
    </row>
    <row r="203" spans="1:13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9"/>
      <c r="L203" s="18"/>
      <c r="M203" s="18"/>
    </row>
    <row r="204" spans="1:13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9"/>
      <c r="L204" s="18"/>
      <c r="M204" s="18"/>
    </row>
    <row r="205" spans="1:13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9"/>
      <c r="L205" s="18"/>
      <c r="M205" s="18"/>
    </row>
    <row r="206" spans="1:13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9"/>
      <c r="L206" s="18"/>
      <c r="M206" s="18"/>
    </row>
    <row r="207" spans="1:13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9"/>
      <c r="L207" s="18"/>
      <c r="M207" s="18"/>
    </row>
    <row r="208" spans="1:13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9"/>
      <c r="L208" s="18"/>
      <c r="M208" s="18"/>
    </row>
    <row r="209" spans="1:13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9"/>
      <c r="L209" s="18"/>
      <c r="M209" s="18"/>
    </row>
    <row r="210" spans="1:13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9"/>
      <c r="L210" s="18"/>
      <c r="M210" s="18"/>
    </row>
    <row r="211" spans="1:13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9"/>
      <c r="L211" s="18"/>
      <c r="M211" s="18"/>
    </row>
    <row r="212" spans="1:13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9"/>
      <c r="L212" s="18"/>
      <c r="M212" s="18"/>
    </row>
    <row r="213" spans="1:13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9"/>
      <c r="L213" s="18"/>
      <c r="M213" s="18"/>
    </row>
    <row r="214" spans="1:13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9"/>
      <c r="L214" s="18"/>
      <c r="M214" s="18"/>
    </row>
    <row r="215" spans="1:13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9"/>
      <c r="L215" s="18"/>
      <c r="M215" s="18"/>
    </row>
    <row r="216" spans="1:13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9"/>
      <c r="L216" s="18"/>
      <c r="M216" s="18"/>
    </row>
    <row r="217" spans="1:13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9"/>
      <c r="L217" s="18"/>
      <c r="M217" s="18"/>
    </row>
    <row r="218" spans="1:13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9"/>
      <c r="L218" s="18"/>
      <c r="M218" s="18"/>
    </row>
    <row r="219" spans="1:13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9"/>
      <c r="L219" s="18"/>
      <c r="M219" s="18"/>
    </row>
    <row r="220" spans="1:13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9"/>
      <c r="L220" s="18"/>
      <c r="M220" s="18"/>
    </row>
    <row r="221" spans="1:13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9"/>
      <c r="L221" s="18"/>
      <c r="M221" s="18"/>
    </row>
    <row r="222" spans="1:13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9"/>
      <c r="L222" s="18"/>
      <c r="M222" s="18"/>
    </row>
    <row r="223" spans="1:13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9"/>
      <c r="L223" s="18"/>
      <c r="M223" s="18"/>
    </row>
    <row r="224" spans="1:13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9"/>
      <c r="L224" s="18"/>
      <c r="M224" s="18"/>
    </row>
    <row r="225" spans="1:13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9"/>
      <c r="L225" s="18"/>
      <c r="M225" s="18"/>
    </row>
    <row r="226" spans="1:13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9"/>
      <c r="L226" s="18"/>
      <c r="M226" s="18"/>
    </row>
    <row r="227" spans="1:13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9"/>
      <c r="L227" s="18"/>
      <c r="M227" s="18"/>
    </row>
    <row r="228" spans="1:13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9"/>
      <c r="L228" s="18"/>
      <c r="M228" s="18"/>
    </row>
    <row r="229" spans="1:13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9"/>
      <c r="L229" s="18"/>
      <c r="M229" s="18"/>
    </row>
    <row r="230" spans="1:13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9"/>
      <c r="L230" s="18"/>
      <c r="M230" s="18"/>
    </row>
    <row r="231" spans="1:13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9"/>
      <c r="L231" s="18"/>
      <c r="M231" s="18"/>
    </row>
    <row r="232" spans="1:13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9"/>
      <c r="L232" s="18"/>
      <c r="M232" s="18"/>
    </row>
    <row r="233" spans="1:13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9"/>
      <c r="L233" s="18"/>
      <c r="M233" s="18"/>
    </row>
    <row r="234" spans="1:13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9"/>
      <c r="L234" s="18"/>
      <c r="M234" s="18"/>
    </row>
    <row r="235" spans="1:13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9"/>
      <c r="L235" s="18"/>
      <c r="M235" s="18"/>
    </row>
    <row r="236" spans="1:13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9"/>
      <c r="L236" s="18"/>
      <c r="M236" s="18"/>
    </row>
    <row r="237" spans="1:13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9"/>
      <c r="L237" s="18"/>
      <c r="M237" s="18"/>
    </row>
    <row r="238" spans="1:13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9"/>
      <c r="L238" s="18"/>
      <c r="M238" s="18"/>
    </row>
    <row r="239" spans="1:13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9"/>
      <c r="L239" s="18"/>
      <c r="M239" s="18"/>
    </row>
    <row r="240" spans="1:13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9"/>
      <c r="L240" s="18"/>
      <c r="M240" s="18"/>
    </row>
    <row r="241" spans="1:13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9"/>
      <c r="L241" s="18"/>
      <c r="M241" s="18"/>
    </row>
    <row r="242" spans="1:13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9"/>
      <c r="L242" s="18"/>
      <c r="M242" s="18"/>
    </row>
    <row r="243" spans="1:13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9"/>
      <c r="L243" s="18"/>
      <c r="M243" s="18"/>
    </row>
    <row r="244" spans="1:13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9"/>
      <c r="L244" s="18"/>
      <c r="M244" s="18"/>
    </row>
    <row r="245" spans="1:13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9"/>
      <c r="L245" s="18"/>
      <c r="M245" s="18"/>
    </row>
    <row r="246" spans="1:13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9"/>
      <c r="L246" s="18"/>
      <c r="M246" s="18"/>
    </row>
    <row r="247" spans="1:13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9"/>
      <c r="L247" s="18"/>
      <c r="M247" s="18"/>
    </row>
    <row r="248" spans="1:13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9"/>
      <c r="L248" s="18"/>
      <c r="M248" s="18"/>
    </row>
    <row r="249" spans="1:13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9"/>
      <c r="L249" s="18"/>
      <c r="M249" s="18"/>
    </row>
    <row r="250" spans="1:13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9"/>
      <c r="L250" s="18"/>
      <c r="M250" s="18"/>
    </row>
    <row r="251" spans="1:13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9"/>
      <c r="L251" s="18"/>
      <c r="M251" s="18"/>
    </row>
    <row r="252" spans="1:13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9"/>
      <c r="L252" s="18"/>
      <c r="M252" s="18"/>
    </row>
    <row r="253" spans="1:13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9"/>
      <c r="L253" s="18"/>
      <c r="M253" s="18"/>
    </row>
    <row r="254" spans="1:13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9"/>
      <c r="L254" s="18"/>
      <c r="M254" s="18"/>
    </row>
    <row r="255" spans="1:13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9"/>
      <c r="L255" s="18"/>
      <c r="M255" s="18"/>
    </row>
    <row r="256" spans="1:13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9"/>
      <c r="L256" s="18"/>
      <c r="M256" s="18"/>
    </row>
    <row r="257" spans="1:13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9"/>
      <c r="L257" s="18"/>
      <c r="M257" s="18"/>
    </row>
    <row r="258" spans="1:13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9"/>
      <c r="L258" s="18"/>
      <c r="M258" s="18"/>
    </row>
    <row r="259" spans="1:13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9"/>
      <c r="L259" s="18"/>
      <c r="M259" s="18"/>
    </row>
    <row r="260" spans="1:13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9"/>
      <c r="L260" s="18"/>
      <c r="M260" s="18"/>
    </row>
    <row r="261" spans="1:13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9"/>
      <c r="L261" s="18"/>
      <c r="M261" s="18"/>
    </row>
    <row r="262" spans="1:13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9"/>
      <c r="L262" s="18"/>
      <c r="M262" s="18"/>
    </row>
    <row r="263" spans="1:13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9"/>
      <c r="L263" s="18"/>
      <c r="M263" s="18"/>
    </row>
    <row r="264" spans="1:13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9"/>
      <c r="L264" s="18"/>
      <c r="M264" s="18"/>
    </row>
    <row r="265" spans="1:13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9"/>
      <c r="L265" s="18"/>
      <c r="M265" s="18"/>
    </row>
    <row r="266" spans="1:13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9"/>
      <c r="L266" s="18"/>
      <c r="M266" s="18"/>
    </row>
    <row r="267" spans="1:13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9"/>
      <c r="L267" s="18"/>
      <c r="M267" s="18"/>
    </row>
    <row r="268" spans="1:13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9"/>
      <c r="L268" s="18"/>
      <c r="M268" s="18"/>
    </row>
    <row r="269" spans="1:13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9"/>
      <c r="L269" s="18"/>
      <c r="M269" s="18"/>
    </row>
    <row r="270" spans="1:13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9"/>
      <c r="L270" s="18"/>
      <c r="M270" s="18"/>
    </row>
    <row r="271" spans="1:13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9"/>
      <c r="L271" s="18"/>
      <c r="M271" s="18"/>
    </row>
    <row r="272" spans="1:13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9"/>
      <c r="L272" s="18"/>
      <c r="M272" s="18"/>
    </row>
    <row r="273" spans="1:13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9"/>
      <c r="L273" s="18"/>
      <c r="M273" s="18"/>
    </row>
    <row r="274" spans="1:13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9"/>
      <c r="L274" s="18"/>
      <c r="M274" s="18"/>
    </row>
    <row r="275" spans="1:13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9"/>
      <c r="L275" s="18"/>
      <c r="M275" s="18"/>
    </row>
    <row r="276" spans="1:13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9"/>
      <c r="L276" s="18"/>
      <c r="M276" s="18"/>
    </row>
    <row r="277" spans="1:13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9"/>
      <c r="L277" s="18"/>
      <c r="M277" s="18"/>
    </row>
    <row r="278" spans="1:13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9"/>
      <c r="L278" s="18"/>
      <c r="M278" s="18"/>
    </row>
    <row r="279" spans="1:13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9"/>
      <c r="L279" s="18"/>
      <c r="M279" s="18"/>
    </row>
    <row r="280" spans="1:13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9"/>
      <c r="L280" s="18"/>
      <c r="M280" s="18"/>
    </row>
    <row r="281" spans="1:13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9"/>
      <c r="L281" s="18"/>
      <c r="M281" s="18"/>
    </row>
    <row r="282" spans="1:13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9"/>
      <c r="L282" s="18"/>
      <c r="M282" s="18"/>
    </row>
    <row r="283" spans="1:13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9"/>
      <c r="L283" s="18"/>
      <c r="M283" s="18"/>
    </row>
    <row r="284" spans="1:13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9"/>
      <c r="L284" s="18"/>
      <c r="M284" s="18"/>
    </row>
    <row r="285" spans="1:13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9"/>
      <c r="L285" s="18"/>
      <c r="M285" s="18"/>
    </row>
    <row r="286" spans="1:13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9"/>
      <c r="L286" s="18"/>
      <c r="M286" s="18"/>
    </row>
    <row r="287" spans="1:13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9"/>
      <c r="L287" s="18"/>
      <c r="M287" s="18"/>
    </row>
    <row r="288" spans="1:13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9"/>
      <c r="L288" s="18"/>
      <c r="M288" s="18"/>
    </row>
    <row r="289" spans="1:13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9"/>
      <c r="L289" s="18"/>
      <c r="M289" s="18"/>
    </row>
    <row r="290" spans="1:13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9"/>
      <c r="L290" s="18"/>
      <c r="M290" s="18"/>
    </row>
    <row r="291" spans="1:13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9"/>
      <c r="L291" s="18"/>
      <c r="M291" s="18"/>
    </row>
    <row r="292" spans="1:13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9"/>
      <c r="L292" s="18"/>
      <c r="M292" s="18"/>
    </row>
    <row r="293" spans="1:13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9"/>
      <c r="L293" s="18"/>
      <c r="M293" s="18"/>
    </row>
    <row r="294" spans="1:13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9"/>
      <c r="L294" s="18"/>
      <c r="M294" s="18"/>
    </row>
    <row r="295" spans="1:13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9"/>
      <c r="L295" s="18"/>
      <c r="M295" s="18"/>
    </row>
    <row r="296" spans="1:13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9"/>
      <c r="L296" s="18"/>
      <c r="M296" s="18"/>
    </row>
    <row r="297" spans="1:13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9"/>
      <c r="L297" s="18"/>
      <c r="M297" s="18"/>
    </row>
    <row r="298" spans="1:13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9"/>
      <c r="L298" s="18"/>
      <c r="M298" s="18"/>
    </row>
    <row r="299" spans="1:13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9"/>
      <c r="L299" s="18"/>
      <c r="M299" s="18"/>
    </row>
    <row r="300" spans="1:13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9"/>
      <c r="L300" s="18"/>
      <c r="M300" s="18"/>
    </row>
    <row r="301" spans="1:13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9"/>
      <c r="L301" s="18"/>
      <c r="M301" s="18"/>
    </row>
    <row r="302" spans="1:13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9"/>
      <c r="L302" s="18"/>
      <c r="M302" s="18"/>
    </row>
    <row r="303" spans="1:13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9"/>
      <c r="L303" s="18"/>
      <c r="M303" s="18"/>
    </row>
    <row r="304" spans="1:13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9"/>
      <c r="L304" s="18"/>
      <c r="M304" s="18"/>
    </row>
    <row r="305" spans="1:13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9"/>
      <c r="L305" s="18"/>
      <c r="M305" s="18"/>
    </row>
    <row r="306" spans="1:13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9"/>
      <c r="L306" s="18"/>
      <c r="M306" s="18"/>
    </row>
    <row r="307" spans="1:13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9"/>
      <c r="L307" s="18"/>
      <c r="M307" s="18"/>
    </row>
    <row r="308" spans="1:13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9"/>
      <c r="L308" s="18"/>
      <c r="M308" s="18"/>
    </row>
    <row r="309" spans="1:13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9"/>
      <c r="L309" s="18"/>
      <c r="M309" s="18"/>
    </row>
    <row r="310" spans="1:13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9"/>
      <c r="L310" s="18"/>
      <c r="M310" s="18"/>
    </row>
    <row r="311" spans="1:13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9"/>
      <c r="L311" s="18"/>
      <c r="M311" s="18"/>
    </row>
    <row r="312" spans="1:13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9"/>
      <c r="L312" s="18"/>
      <c r="M312" s="18"/>
    </row>
    <row r="313" spans="1:13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9"/>
      <c r="L313" s="18"/>
      <c r="M313" s="18"/>
    </row>
    <row r="314" spans="1:13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9"/>
      <c r="L314" s="18"/>
      <c r="M314" s="18"/>
    </row>
    <row r="315" spans="1:13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9"/>
      <c r="L315" s="18"/>
      <c r="M315" s="18"/>
    </row>
    <row r="316" spans="1:13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9"/>
      <c r="L316" s="18"/>
      <c r="M316" s="18"/>
    </row>
    <row r="317" spans="1:13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9"/>
      <c r="L317" s="18"/>
      <c r="M317" s="18"/>
    </row>
    <row r="318" spans="1:13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9"/>
      <c r="L318" s="18"/>
      <c r="M318" s="18"/>
    </row>
    <row r="319" spans="1:13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9"/>
      <c r="L319" s="18"/>
      <c r="M319" s="18"/>
    </row>
    <row r="320" spans="1:13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9"/>
      <c r="L320" s="18"/>
      <c r="M320" s="18"/>
    </row>
    <row r="321" spans="1:13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9"/>
      <c r="L321" s="18"/>
      <c r="M321" s="18"/>
    </row>
    <row r="322" spans="1:13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9"/>
      <c r="L322" s="18"/>
      <c r="M322" s="18"/>
    </row>
    <row r="323" spans="1:13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9"/>
      <c r="L323" s="18"/>
      <c r="M323" s="18"/>
    </row>
    <row r="324" spans="1:13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9"/>
      <c r="L324" s="18"/>
      <c r="M324" s="18"/>
    </row>
    <row r="325" spans="1:13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9"/>
      <c r="L325" s="18"/>
      <c r="M325" s="18"/>
    </row>
    <row r="326" spans="1:13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9"/>
      <c r="L326" s="18"/>
      <c r="M326" s="18"/>
    </row>
    <row r="327" spans="1:13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9"/>
      <c r="L327" s="18"/>
      <c r="M327" s="18"/>
    </row>
    <row r="328" spans="1:13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9"/>
      <c r="L328" s="18"/>
      <c r="M328" s="18"/>
    </row>
    <row r="329" spans="1:13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9"/>
      <c r="L329" s="18"/>
      <c r="M329" s="18"/>
    </row>
    <row r="330" spans="1:13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9"/>
      <c r="L330" s="18"/>
      <c r="M330" s="18"/>
    </row>
    <row r="331" spans="1:13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9"/>
      <c r="L331" s="18"/>
      <c r="M331" s="18"/>
    </row>
    <row r="332" spans="1:13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9"/>
      <c r="L332" s="18"/>
      <c r="M332" s="18"/>
    </row>
    <row r="333" spans="1:13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9"/>
      <c r="L333" s="18"/>
      <c r="M333" s="18"/>
    </row>
    <row r="334" spans="1:13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9"/>
      <c r="L334" s="18"/>
      <c r="M334" s="18"/>
    </row>
    <row r="335" spans="1:13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9"/>
      <c r="L335" s="18"/>
      <c r="M335" s="18"/>
    </row>
    <row r="336" spans="1:13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9"/>
      <c r="L336" s="18"/>
      <c r="M336" s="18"/>
    </row>
    <row r="337" spans="1:13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9"/>
      <c r="L337" s="18"/>
      <c r="M337" s="18"/>
    </row>
    <row r="338" spans="1:13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9"/>
      <c r="L338" s="18"/>
      <c r="M338" s="18"/>
    </row>
    <row r="339" spans="1:13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9"/>
      <c r="L339" s="18"/>
      <c r="M339" s="18"/>
    </row>
    <row r="340" spans="1:13" ht="14.4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9"/>
      <c r="L340" s="18"/>
      <c r="M340" s="18"/>
    </row>
    <row r="341" spans="1:13">
      <c r="D341" s="18"/>
      <c r="E341" s="18"/>
      <c r="F341" s="18"/>
      <c r="G341" s="19"/>
      <c r="H341" s="18"/>
      <c r="I341" s="18"/>
      <c r="J341" s="19"/>
      <c r="K341" s="19"/>
      <c r="L341" s="18"/>
      <c r="M341" s="18"/>
    </row>
    <row r="342" spans="1:13">
      <c r="K342" s="19"/>
    </row>
  </sheetData>
  <mergeCells count="4">
    <mergeCell ref="H1:J1"/>
    <mergeCell ref="A1:D1"/>
    <mergeCell ref="E1:G1"/>
    <mergeCell ref="A2:B2"/>
  </mergeCells>
  <conditionalFormatting sqref="G2">
    <cfRule type="cellIs" dxfId="26" priority="15" stopIfTrue="1" operator="lessThanOrEqual">
      <formula>-0.1</formula>
    </cfRule>
    <cfRule type="expression" dxfId="25" priority="16">
      <formula>AND(ISNUMBER(G2), G2&gt;=0.1)</formula>
    </cfRule>
  </conditionalFormatting>
  <conditionalFormatting sqref="G4:G161 J4:J161">
    <cfRule type="cellIs" dxfId="24" priority="5" stopIfTrue="1" operator="lessThanOrEqual">
      <formula>-0.1</formula>
    </cfRule>
    <cfRule type="expression" dxfId="23" priority="6">
      <formula>AND(ISNUMBER(G4), G4&gt;=0.1)</formula>
    </cfRule>
  </conditionalFormatting>
  <conditionalFormatting sqref="J2:K2">
    <cfRule type="cellIs" dxfId="22" priority="3" stopIfTrue="1" operator="lessThanOrEqual">
      <formula>-0.1</formula>
    </cfRule>
    <cfRule type="expression" dxfId="21" priority="4">
      <formula>AND(ISNUMBER(J2), J2&gt;=0.1)</formula>
    </cfRule>
  </conditionalFormatting>
  <conditionalFormatting sqref="K4:K160">
    <cfRule type="expression" dxfId="20" priority="1" stopIfTrue="1">
      <formula>AND(K4&lt;&gt;"",K4&lt;0.975)</formula>
    </cfRule>
    <cfRule type="expression" dxfId="19" priority="2">
      <formula>AND(ISNUMBER(K4), K4&gt;=0.985)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342"/>
  <sheetViews>
    <sheetView workbookViewId="0">
      <pane xSplit="2" ySplit="3" topLeftCell="C123" activePane="bottomRight" state="frozen"/>
      <selection pane="bottomRight" activeCell="K3" sqref="K3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8.5703125" style="1" customWidth="1"/>
    <col min="12" max="12" width="71.5703125" customWidth="1"/>
    <col min="13" max="13" width="20.5703125" bestFit="1" customWidth="1"/>
  </cols>
  <sheetData>
    <row r="1" spans="1:13" ht="19.5" customHeight="1">
      <c r="A1" s="111" t="str" cm="1">
        <f t="array" ref="A1">portfolio</f>
        <v>Generate Capital</v>
      </c>
      <c r="B1" s="111"/>
      <c r="C1" s="111"/>
      <c r="D1" s="111"/>
      <c r="E1" s="112" t="s">
        <v>1081</v>
      </c>
      <c r="F1" s="112"/>
      <c r="G1" s="112"/>
      <c r="H1" s="110" t="s">
        <v>1082</v>
      </c>
      <c r="I1" s="110"/>
      <c r="J1" s="110"/>
      <c r="K1" s="107" t="s">
        <v>1083</v>
      </c>
      <c r="L1" s="5"/>
      <c r="M1" s="5"/>
    </row>
    <row r="2" spans="1:13" ht="19.5" customHeight="1">
      <c r="A2" s="113" t="s">
        <v>3</v>
      </c>
      <c r="B2" s="113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108"/>
      <c r="L2" s="23" t="str">
        <f ca="1">IF(AND(TODAY()&gt;DATE(2024, 11,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M2" s="5"/>
    </row>
    <row r="3" spans="1:13" ht="14.25" customHeight="1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  <c r="L3" s="22" t="s">
        <v>30</v>
      </c>
      <c r="M3" s="22" t="s">
        <v>31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14"/>
      <c r="L4" s="38"/>
      <c r="M4" s="38"/>
    </row>
    <row r="5" spans="1:13" ht="15.6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16"/>
      <c r="L5" s="39"/>
      <c r="M5" s="39"/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14"/>
      <c r="L6" s="38"/>
      <c r="M6" s="38"/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16"/>
      <c r="L7" s="39"/>
      <c r="M7" s="40"/>
    </row>
    <row r="8" spans="1:13" ht="15.6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14"/>
      <c r="L8" s="38"/>
      <c r="M8" s="38"/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16"/>
      <c r="L9" s="39"/>
      <c r="M9" s="40"/>
    </row>
    <row r="10" spans="1:13" ht="15.6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14"/>
      <c r="L10" s="38"/>
      <c r="M10" s="38"/>
    </row>
    <row r="11" spans="1:13" ht="15.6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16"/>
      <c r="L11" s="39"/>
      <c r="M11" s="40"/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14"/>
      <c r="L12" s="38"/>
      <c r="M12" s="38"/>
    </row>
    <row r="13" spans="1:13" ht="15.6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16"/>
      <c r="L13" s="39"/>
      <c r="M13" s="40"/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14"/>
      <c r="L14" s="38"/>
      <c r="M14" s="38"/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16"/>
      <c r="L15" s="39"/>
      <c r="M15" s="40"/>
    </row>
    <row r="16" spans="1:13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14"/>
      <c r="L16" s="38"/>
      <c r="M16" s="38"/>
    </row>
    <row r="17" spans="1:13" ht="15.6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16"/>
      <c r="L17" s="39"/>
      <c r="M17" s="39"/>
    </row>
    <row r="18" spans="1:13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80"/>
      <c r="L18" s="38"/>
      <c r="M18" s="38"/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16"/>
      <c r="L19" s="39"/>
      <c r="M19" s="40"/>
    </row>
    <row r="20" spans="1:13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80"/>
      <c r="L20" s="38"/>
      <c r="M20" s="38"/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16"/>
      <c r="L21" s="39"/>
      <c r="M21" s="40"/>
    </row>
    <row r="22" spans="1:13" ht="15.6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80"/>
      <c r="L22" s="38"/>
      <c r="M22" s="38"/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16"/>
      <c r="L23" s="39"/>
      <c r="M23" s="40"/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80"/>
      <c r="L24" s="38"/>
      <c r="M24" s="38"/>
    </row>
    <row r="25" spans="1:13" ht="15.6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16"/>
      <c r="L25" s="39"/>
      <c r="M25" s="40"/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80"/>
      <c r="L26" s="38"/>
      <c r="M26" s="38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16"/>
      <c r="L27" s="39"/>
      <c r="M27" s="40"/>
    </row>
    <row r="28" spans="1:13" ht="15.6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80"/>
      <c r="L28" s="38"/>
      <c r="M28" s="38"/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16"/>
      <c r="L29" s="39"/>
      <c r="M29" s="39"/>
    </row>
    <row r="30" spans="1:13" ht="15.6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80"/>
      <c r="L30" s="38"/>
      <c r="M30" s="38"/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16"/>
      <c r="L31" s="39"/>
      <c r="M31" s="40"/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80"/>
      <c r="L32" s="38"/>
      <c r="M32" s="38"/>
    </row>
    <row r="33" spans="1:13" ht="15.6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16"/>
      <c r="L33" s="39"/>
      <c r="M33" s="40"/>
    </row>
    <row r="34" spans="1:13" ht="15.6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80"/>
      <c r="L34" s="38"/>
      <c r="M34" s="38"/>
    </row>
    <row r="35" spans="1:13" ht="15.6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16"/>
      <c r="L35" s="39"/>
      <c r="M35" s="40"/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80"/>
      <c r="L36" s="38"/>
      <c r="M36" s="38"/>
    </row>
    <row r="37" spans="1:13" ht="15.6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16"/>
      <c r="L37" s="39"/>
      <c r="M37" s="40"/>
    </row>
    <row r="38" spans="1:13" ht="15.6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80"/>
      <c r="L38" s="38"/>
      <c r="M38" s="38"/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16"/>
      <c r="L39" s="39"/>
      <c r="M39" s="40"/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80"/>
      <c r="L40" s="38"/>
      <c r="M40" s="38"/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16"/>
      <c r="L41" s="39"/>
      <c r="M41" s="39"/>
    </row>
    <row r="42" spans="1:13" ht="15.6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80"/>
      <c r="L42" s="38"/>
      <c r="M42" s="38"/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16"/>
      <c r="L43" s="39"/>
      <c r="M43" s="40"/>
    </row>
    <row r="44" spans="1:13" ht="15.6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80"/>
      <c r="L44" s="38"/>
      <c r="M44" s="38"/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16"/>
      <c r="L45" s="39"/>
      <c r="M45" s="40"/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80"/>
      <c r="L46" s="38"/>
      <c r="M46" s="38"/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16"/>
      <c r="L47" s="39"/>
      <c r="M47" s="40"/>
    </row>
    <row r="48" spans="1:13" ht="15.6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80"/>
      <c r="L48" s="38"/>
      <c r="M48" s="38"/>
    </row>
    <row r="49" spans="1:13" ht="15.6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16"/>
      <c r="L49" s="39"/>
      <c r="M49" s="40"/>
    </row>
    <row r="50" spans="1:13" ht="15.6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80"/>
      <c r="L50" s="38"/>
      <c r="M50" s="38"/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16"/>
      <c r="L51" s="39"/>
      <c r="M51" s="40"/>
    </row>
    <row r="52" spans="1:13" ht="15.6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80"/>
      <c r="L52" s="38"/>
      <c r="M52" s="38"/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16"/>
      <c r="L53" s="39"/>
      <c r="M53" s="39"/>
    </row>
    <row r="54" spans="1:13" ht="15.6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80"/>
      <c r="L54" s="38"/>
      <c r="M54" s="38"/>
    </row>
    <row r="55" spans="1:13" ht="15.6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16"/>
      <c r="L55" s="39"/>
      <c r="M55" s="40"/>
    </row>
    <row r="56" spans="1:13" ht="15.6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80"/>
      <c r="L56" s="38"/>
      <c r="M56" s="38"/>
    </row>
    <row r="57" spans="1:13" ht="15.6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16"/>
      <c r="L57" s="39"/>
      <c r="M57" s="40"/>
    </row>
    <row r="58" spans="1:13" ht="15.6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80"/>
      <c r="L58" s="38"/>
      <c r="M58" s="38"/>
    </row>
    <row r="59" spans="1:13" ht="15.6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16"/>
      <c r="L59" s="39"/>
      <c r="M59" s="40"/>
    </row>
    <row r="60" spans="1:13" ht="15.6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80"/>
      <c r="L60" s="38"/>
      <c r="M60" s="38"/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16"/>
      <c r="L61" s="39"/>
      <c r="M61" s="40"/>
    </row>
    <row r="62" spans="1:13" ht="15.6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80"/>
      <c r="L62" s="38"/>
      <c r="M62" s="38"/>
    </row>
    <row r="63" spans="1:13" ht="15.6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16"/>
      <c r="L63" s="39"/>
      <c r="M63" s="40"/>
    </row>
    <row r="64" spans="1:13" ht="15.6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80"/>
      <c r="L64" s="38"/>
      <c r="M64" s="38"/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16"/>
      <c r="L65" s="39"/>
      <c r="M65" s="39"/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80"/>
      <c r="L66" s="38"/>
      <c r="M66" s="38"/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16"/>
      <c r="L67" s="39"/>
      <c r="M67" s="40"/>
    </row>
    <row r="68" spans="1:13" ht="15.6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80"/>
      <c r="L68" s="38"/>
      <c r="M68" s="38"/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16"/>
      <c r="L69" s="39"/>
      <c r="M69" s="40"/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80"/>
      <c r="L70" s="38"/>
      <c r="M70" s="38"/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16"/>
      <c r="L71" s="39"/>
      <c r="M71" s="40"/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80"/>
      <c r="L72" s="38"/>
      <c r="M72" s="38"/>
    </row>
    <row r="73" spans="1:13" ht="15.6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16"/>
      <c r="L73" s="39"/>
      <c r="M73" s="40"/>
    </row>
    <row r="74" spans="1:13" ht="15.6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80"/>
      <c r="L74" s="38"/>
      <c r="M74" s="38"/>
    </row>
    <row r="75" spans="1:13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16"/>
      <c r="L75" s="39"/>
      <c r="M75" s="40"/>
    </row>
    <row r="76" spans="1:13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80"/>
      <c r="L76" s="38"/>
      <c r="M76" s="38"/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16"/>
      <c r="L77" s="39"/>
      <c r="M77" s="39"/>
    </row>
    <row r="78" spans="1:13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80"/>
      <c r="L78" s="38"/>
      <c r="M78" s="38"/>
    </row>
    <row r="79" spans="1:13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16"/>
      <c r="L79" s="39"/>
      <c r="M79" s="40"/>
    </row>
    <row r="80" spans="1:13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80"/>
      <c r="L80" s="38"/>
      <c r="M80" s="38"/>
    </row>
    <row r="81" spans="1:13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16"/>
      <c r="L81" s="39"/>
      <c r="M81" s="40"/>
    </row>
    <row r="82" spans="1:13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80"/>
      <c r="L82" s="38"/>
      <c r="M82" s="38"/>
    </row>
    <row r="83" spans="1:13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16"/>
      <c r="L83" s="39"/>
      <c r="M83" s="40"/>
    </row>
    <row r="84" spans="1:13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80"/>
      <c r="L84" s="38"/>
      <c r="M84" s="38"/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16"/>
      <c r="L85" s="39"/>
      <c r="M85" s="40"/>
    </row>
    <row r="86" spans="1:13" ht="15.6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80"/>
      <c r="L86" s="38"/>
      <c r="M86" s="38"/>
    </row>
    <row r="87" spans="1:13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16"/>
      <c r="L87" s="39"/>
      <c r="M87" s="40"/>
    </row>
    <row r="88" spans="1:13" ht="15.6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80"/>
      <c r="L88" s="38"/>
      <c r="M88" s="38"/>
    </row>
    <row r="89" spans="1:13" ht="15.6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16"/>
      <c r="L89" s="39"/>
      <c r="M89" s="39"/>
    </row>
    <row r="90" spans="1:13" ht="15.6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80"/>
      <c r="L90" s="38"/>
      <c r="M90" s="38"/>
    </row>
    <row r="91" spans="1:13" ht="15.6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16"/>
      <c r="L91" s="39"/>
      <c r="M91" s="40"/>
    </row>
    <row r="92" spans="1:13" ht="15.6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80"/>
      <c r="L92" s="38"/>
      <c r="M92" s="38"/>
    </row>
    <row r="93" spans="1:13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16"/>
      <c r="L93" s="39"/>
      <c r="M93" s="40"/>
    </row>
    <row r="94" spans="1:13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80"/>
      <c r="L94" s="38"/>
      <c r="M94" s="38"/>
    </row>
    <row r="95" spans="1:13" ht="15.6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16"/>
      <c r="L95" s="39"/>
      <c r="M95" s="40"/>
    </row>
    <row r="96" spans="1:13" ht="15.6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80"/>
      <c r="L96" s="38"/>
      <c r="M96" s="38"/>
    </row>
    <row r="97" spans="1:13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16"/>
      <c r="L97" s="39"/>
      <c r="M97" s="40"/>
    </row>
    <row r="98" spans="1:13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80"/>
      <c r="L98" s="38"/>
      <c r="M98" s="38"/>
    </row>
    <row r="99" spans="1:13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16"/>
      <c r="L99" s="39"/>
      <c r="M99" s="40"/>
    </row>
    <row r="100" spans="1:13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80"/>
      <c r="L100" s="38"/>
      <c r="M100" s="38"/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16"/>
      <c r="L101" s="39"/>
      <c r="M101" s="39"/>
    </row>
    <row r="102" spans="1:13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80"/>
      <c r="L102" s="38"/>
      <c r="M102" s="38"/>
    </row>
    <row r="103" spans="1:13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16"/>
      <c r="L103" s="39"/>
      <c r="M103" s="40"/>
    </row>
    <row r="104" spans="1:13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80"/>
      <c r="L104" s="38"/>
      <c r="M104" s="38"/>
    </row>
    <row r="105" spans="1:13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16"/>
      <c r="L105" s="39"/>
      <c r="M105" s="40"/>
    </row>
    <row r="106" spans="1:13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80"/>
      <c r="L106" s="38"/>
      <c r="M106" s="38"/>
    </row>
    <row r="107" spans="1:13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16"/>
      <c r="L107" s="39"/>
      <c r="M107" s="40"/>
    </row>
    <row r="108" spans="1:13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80"/>
      <c r="L108" s="38"/>
      <c r="M108" s="38"/>
    </row>
    <row r="109" spans="1:13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16"/>
      <c r="L109" s="39"/>
      <c r="M109" s="40"/>
    </row>
    <row r="110" spans="1:13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80"/>
      <c r="L110" s="38"/>
      <c r="M110" s="38"/>
    </row>
    <row r="111" spans="1:13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16"/>
      <c r="L111" s="39"/>
      <c r="M111" s="40"/>
    </row>
    <row r="112" spans="1:13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80"/>
      <c r="L112" s="38"/>
      <c r="M112" s="38"/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16"/>
      <c r="L113" s="39"/>
      <c r="M113" s="39"/>
    </row>
    <row r="114" spans="1:13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80"/>
      <c r="L114" s="38"/>
      <c r="M114" s="38"/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16"/>
      <c r="L115" s="39"/>
      <c r="M115" s="40"/>
    </row>
    <row r="116" spans="1:13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80"/>
      <c r="L116" s="38"/>
      <c r="M116" s="38"/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16"/>
      <c r="L117" s="39"/>
      <c r="M117" s="40"/>
    </row>
    <row r="118" spans="1:13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80"/>
      <c r="L118" s="38"/>
      <c r="M118" s="38"/>
    </row>
    <row r="119" spans="1:13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16"/>
      <c r="L119" s="39"/>
      <c r="M119" s="40"/>
    </row>
    <row r="120" spans="1:13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80"/>
      <c r="L120" s="38"/>
      <c r="M120" s="38"/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16"/>
      <c r="L121" s="39"/>
      <c r="M121" s="40"/>
    </row>
    <row r="122" spans="1:13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80"/>
      <c r="L122" s="38"/>
      <c r="M122" s="38"/>
    </row>
    <row r="123" spans="1:13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16"/>
      <c r="L123" s="39"/>
      <c r="M123" s="40"/>
    </row>
    <row r="124" spans="1:13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80"/>
      <c r="L124" s="38"/>
      <c r="M124" s="38"/>
    </row>
    <row r="125" spans="1:13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16"/>
      <c r="L125" s="39"/>
      <c r="M125" s="39"/>
    </row>
    <row r="126" spans="1:13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80"/>
      <c r="L126" s="38"/>
      <c r="M126" s="38"/>
    </row>
    <row r="127" spans="1:13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16"/>
      <c r="L127" s="39"/>
      <c r="M127" s="40"/>
    </row>
    <row r="128" spans="1:13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80"/>
      <c r="L128" s="38"/>
      <c r="M128" s="38"/>
    </row>
    <row r="129" spans="1:13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16"/>
      <c r="L129" s="39"/>
      <c r="M129" s="40"/>
    </row>
    <row r="130" spans="1:13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80"/>
      <c r="L130" s="38"/>
      <c r="M130" s="38"/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16"/>
      <c r="L131" s="39"/>
      <c r="M131" s="40"/>
    </row>
    <row r="132" spans="1:13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80"/>
      <c r="L132" s="38"/>
      <c r="M132" s="38"/>
    </row>
    <row r="133" spans="1:13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16"/>
      <c r="L133" s="39"/>
      <c r="M133" s="40"/>
    </row>
    <row r="134" spans="1:13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80"/>
      <c r="L134" s="38"/>
      <c r="M134" s="38"/>
    </row>
    <row r="135" spans="1:13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16"/>
      <c r="L135" s="39"/>
      <c r="M135" s="40"/>
    </row>
    <row r="136" spans="1:13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80"/>
      <c r="L136" s="38"/>
      <c r="M136" s="38"/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16"/>
      <c r="L137" s="39"/>
      <c r="M137" s="40"/>
    </row>
    <row r="138" spans="1:13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80"/>
      <c r="L138" s="38"/>
      <c r="M138" s="38"/>
    </row>
    <row r="139" spans="1:13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16"/>
      <c r="L139" s="39"/>
      <c r="M139" s="40"/>
    </row>
    <row r="140" spans="1:13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80"/>
      <c r="L140" s="70"/>
      <c r="M140" s="38"/>
    </row>
    <row r="141" spans="1:13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16"/>
      <c r="L141" s="39"/>
      <c r="M141" s="18"/>
    </row>
    <row r="142" spans="1:13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80"/>
      <c r="L142" s="70"/>
      <c r="M142" s="38"/>
    </row>
    <row r="143" spans="1:13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16"/>
      <c r="L143" s="39"/>
      <c r="M143" s="18"/>
    </row>
    <row r="144" spans="1:13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80"/>
      <c r="L144" s="70"/>
      <c r="M144" s="38"/>
    </row>
    <row r="145" spans="1:13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16"/>
      <c r="L145" s="39"/>
      <c r="M145" s="18"/>
    </row>
    <row r="146" spans="1:13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80"/>
      <c r="L146" s="70"/>
      <c r="M146" s="38"/>
    </row>
    <row r="147" spans="1:13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16"/>
      <c r="L147" s="39"/>
      <c r="M147" s="18"/>
    </row>
    <row r="148" spans="1:13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80"/>
      <c r="L148" s="70"/>
      <c r="M148" s="38"/>
    </row>
    <row r="149" spans="1:13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16"/>
      <c r="L149" s="39"/>
      <c r="M149" s="18"/>
    </row>
    <row r="150" spans="1:13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80"/>
      <c r="L150" s="70"/>
      <c r="M150" s="38"/>
    </row>
    <row r="151" spans="1:13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16"/>
      <c r="L151" s="39"/>
      <c r="M151" s="18"/>
    </row>
    <row r="152" spans="1:13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80"/>
      <c r="L152" s="70"/>
      <c r="M152" s="38"/>
    </row>
    <row r="153" spans="1:13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16"/>
      <c r="L153" s="59"/>
      <c r="M153" s="18"/>
    </row>
    <row r="154" spans="1:13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80"/>
      <c r="L154" s="70"/>
      <c r="M154" s="38"/>
    </row>
    <row r="155" spans="1:13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16"/>
      <c r="L155" s="39"/>
      <c r="M155" s="18"/>
    </row>
    <row r="156" spans="1:13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80"/>
      <c r="L156" s="70"/>
      <c r="M156" s="38"/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16"/>
      <c r="L157" s="39"/>
      <c r="M157" s="18"/>
    </row>
    <row r="158" spans="1:13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80"/>
      <c r="L158" s="70"/>
      <c r="M158" s="38"/>
    </row>
    <row r="159" spans="1:13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16"/>
      <c r="L159" s="39"/>
      <c r="M159" s="18"/>
    </row>
    <row r="160" spans="1:13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80"/>
      <c r="L160" s="70"/>
      <c r="M160" s="38"/>
    </row>
    <row r="161" spans="1:13" ht="15.6">
      <c r="A161" s="27" t="str">
        <v>Altamont</v>
      </c>
      <c r="B161" s="28" t="str">
        <v>NY</v>
      </c>
      <c r="C161" s="28" t="s">
        <v>13</v>
      </c>
      <c r="D161" s="82"/>
      <c r="E161" s="15"/>
      <c r="F161" s="15"/>
      <c r="G161" s="84"/>
      <c r="H161" s="85"/>
      <c r="I161" s="85"/>
      <c r="J161" s="84"/>
      <c r="K161" s="19"/>
      <c r="L161" s="39"/>
      <c r="M161" s="18"/>
    </row>
    <row r="162" spans="1:13" ht="14.4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9"/>
      <c r="L162" s="18"/>
      <c r="M162" s="18"/>
    </row>
    <row r="163" spans="1:13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9"/>
      <c r="L163" s="18"/>
      <c r="M163" s="18"/>
    </row>
    <row r="164" spans="1:13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9"/>
      <c r="L164" s="18"/>
      <c r="M164" s="18"/>
    </row>
    <row r="165" spans="1:13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9"/>
      <c r="L165" s="18"/>
      <c r="M165" s="18"/>
    </row>
    <row r="166" spans="1:13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9"/>
      <c r="L166" s="18"/>
      <c r="M166" s="18"/>
    </row>
    <row r="167" spans="1:13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9"/>
      <c r="L167" s="18"/>
      <c r="M167" s="18"/>
    </row>
    <row r="168" spans="1:13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9"/>
      <c r="L168" s="18"/>
      <c r="M168" s="18"/>
    </row>
    <row r="169" spans="1:13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9"/>
      <c r="L169" s="18"/>
      <c r="M169" s="18"/>
    </row>
    <row r="170" spans="1:13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9"/>
      <c r="L170" s="18"/>
      <c r="M170" s="18"/>
    </row>
    <row r="171" spans="1:13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9"/>
      <c r="L171" s="18"/>
      <c r="M171" s="18"/>
    </row>
    <row r="172" spans="1:13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9"/>
      <c r="L172" s="18"/>
      <c r="M172" s="18"/>
    </row>
    <row r="173" spans="1:13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9"/>
      <c r="L173" s="18"/>
      <c r="M173" s="18"/>
    </row>
    <row r="174" spans="1:13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9"/>
      <c r="L174" s="18"/>
      <c r="M174" s="18"/>
    </row>
    <row r="175" spans="1:13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9"/>
      <c r="L175" s="18"/>
      <c r="M175" s="18"/>
    </row>
    <row r="176" spans="1:13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9"/>
      <c r="L176" s="18"/>
      <c r="M176" s="18"/>
    </row>
    <row r="177" spans="1:13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9"/>
      <c r="L177" s="18"/>
      <c r="M177" s="18"/>
    </row>
    <row r="178" spans="1:13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9"/>
      <c r="L178" s="18"/>
      <c r="M178" s="18"/>
    </row>
    <row r="179" spans="1:13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9"/>
      <c r="L179" s="18"/>
      <c r="M179" s="18"/>
    </row>
    <row r="180" spans="1:13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9"/>
      <c r="L180" s="18"/>
      <c r="M180" s="18"/>
    </row>
    <row r="181" spans="1:13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9"/>
      <c r="L181" s="18"/>
      <c r="M181" s="18"/>
    </row>
    <row r="182" spans="1:13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9"/>
      <c r="L182" s="18"/>
      <c r="M182" s="18"/>
    </row>
    <row r="183" spans="1:13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9"/>
      <c r="L183" s="18"/>
      <c r="M183" s="18"/>
    </row>
    <row r="184" spans="1:13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9"/>
      <c r="L184" s="18"/>
      <c r="M184" s="18"/>
    </row>
    <row r="185" spans="1:13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9"/>
      <c r="L185" s="18"/>
      <c r="M185" s="18"/>
    </row>
    <row r="186" spans="1:13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9"/>
      <c r="L186" s="18"/>
      <c r="M186" s="18"/>
    </row>
    <row r="187" spans="1:13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9"/>
      <c r="L187" s="18"/>
      <c r="M187" s="18"/>
    </row>
    <row r="188" spans="1:13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9"/>
      <c r="L188" s="18"/>
      <c r="M188" s="18"/>
    </row>
    <row r="189" spans="1:13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9"/>
      <c r="L189" s="18"/>
      <c r="M189" s="18"/>
    </row>
    <row r="190" spans="1:13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9"/>
      <c r="L190" s="18"/>
      <c r="M190" s="18"/>
    </row>
    <row r="191" spans="1:13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9"/>
      <c r="L191" s="18"/>
      <c r="M191" s="18"/>
    </row>
    <row r="192" spans="1:13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9"/>
      <c r="L192" s="18"/>
      <c r="M192" s="18"/>
    </row>
    <row r="193" spans="1:13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9"/>
      <c r="L193" s="18"/>
      <c r="M193" s="18"/>
    </row>
    <row r="194" spans="1:13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9"/>
      <c r="L194" s="18"/>
      <c r="M194" s="18"/>
    </row>
    <row r="195" spans="1:13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9"/>
      <c r="L195" s="18"/>
      <c r="M195" s="18"/>
    </row>
    <row r="196" spans="1:13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9"/>
      <c r="L196" s="18"/>
      <c r="M196" s="18"/>
    </row>
    <row r="197" spans="1:13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9"/>
      <c r="L197" s="18"/>
      <c r="M197" s="18"/>
    </row>
    <row r="198" spans="1:13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9"/>
      <c r="L198" s="18"/>
      <c r="M198" s="18"/>
    </row>
    <row r="199" spans="1:13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9"/>
      <c r="L199" s="18"/>
      <c r="M199" s="18"/>
    </row>
    <row r="200" spans="1:13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9"/>
      <c r="L200" s="18"/>
      <c r="M200" s="18"/>
    </row>
    <row r="201" spans="1:13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9"/>
      <c r="L201" s="18"/>
      <c r="M201" s="18"/>
    </row>
    <row r="202" spans="1:13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9"/>
      <c r="L202" s="18"/>
      <c r="M202" s="18"/>
    </row>
    <row r="203" spans="1:13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9"/>
      <c r="L203" s="18"/>
      <c r="M203" s="18"/>
    </row>
    <row r="204" spans="1:13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9"/>
      <c r="L204" s="18"/>
      <c r="M204" s="18"/>
    </row>
    <row r="205" spans="1:13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9"/>
      <c r="L205" s="18"/>
      <c r="M205" s="18"/>
    </row>
    <row r="206" spans="1:13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9"/>
      <c r="L206" s="18"/>
      <c r="M206" s="18"/>
    </row>
    <row r="207" spans="1:13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9"/>
      <c r="L207" s="18"/>
      <c r="M207" s="18"/>
    </row>
    <row r="208" spans="1:13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9"/>
      <c r="L208" s="18"/>
      <c r="M208" s="18"/>
    </row>
    <row r="209" spans="1:13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9"/>
      <c r="L209" s="18"/>
      <c r="M209" s="18"/>
    </row>
    <row r="210" spans="1:13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9"/>
      <c r="L210" s="18"/>
      <c r="M210" s="18"/>
    </row>
    <row r="211" spans="1:13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9"/>
      <c r="L211" s="18"/>
      <c r="M211" s="18"/>
    </row>
    <row r="212" spans="1:13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9"/>
      <c r="L212" s="18"/>
      <c r="M212" s="18"/>
    </row>
    <row r="213" spans="1:13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9"/>
      <c r="L213" s="18"/>
      <c r="M213" s="18"/>
    </row>
    <row r="214" spans="1:13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9"/>
      <c r="L214" s="18"/>
      <c r="M214" s="18"/>
    </row>
    <row r="215" spans="1:13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9"/>
      <c r="L215" s="18"/>
      <c r="M215" s="18"/>
    </row>
    <row r="216" spans="1:13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9"/>
      <c r="L216" s="18"/>
      <c r="M216" s="18"/>
    </row>
    <row r="217" spans="1:13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9"/>
      <c r="L217" s="18"/>
      <c r="M217" s="18"/>
    </row>
    <row r="218" spans="1:13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9"/>
      <c r="L218" s="18"/>
      <c r="M218" s="18"/>
    </row>
    <row r="219" spans="1:13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9"/>
      <c r="L219" s="18"/>
      <c r="M219" s="18"/>
    </row>
    <row r="220" spans="1:13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9"/>
      <c r="L220" s="18"/>
      <c r="M220" s="18"/>
    </row>
    <row r="221" spans="1:13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9"/>
      <c r="L221" s="18"/>
      <c r="M221" s="18"/>
    </row>
    <row r="222" spans="1:13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9"/>
      <c r="L222" s="18"/>
      <c r="M222" s="18"/>
    </row>
    <row r="223" spans="1:13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9"/>
      <c r="L223" s="18"/>
      <c r="M223" s="18"/>
    </row>
    <row r="224" spans="1:13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9"/>
      <c r="L224" s="18"/>
      <c r="M224" s="18"/>
    </row>
    <row r="225" spans="1:13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9"/>
      <c r="L225" s="18"/>
      <c r="M225" s="18"/>
    </row>
    <row r="226" spans="1:13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9"/>
      <c r="L226" s="18"/>
      <c r="M226" s="18"/>
    </row>
    <row r="227" spans="1:13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9"/>
      <c r="L227" s="18"/>
      <c r="M227" s="18"/>
    </row>
    <row r="228" spans="1:13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9"/>
      <c r="L228" s="18"/>
      <c r="M228" s="18"/>
    </row>
    <row r="229" spans="1:13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9"/>
      <c r="L229" s="18"/>
      <c r="M229" s="18"/>
    </row>
    <row r="230" spans="1:13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9"/>
      <c r="L230" s="18"/>
      <c r="M230" s="18"/>
    </row>
    <row r="231" spans="1:13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9"/>
      <c r="L231" s="18"/>
      <c r="M231" s="18"/>
    </row>
    <row r="232" spans="1:13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9"/>
      <c r="L232" s="18"/>
      <c r="M232" s="18"/>
    </row>
    <row r="233" spans="1:13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9"/>
      <c r="L233" s="18"/>
      <c r="M233" s="18"/>
    </row>
    <row r="234" spans="1:13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9"/>
      <c r="L234" s="18"/>
      <c r="M234" s="18"/>
    </row>
    <row r="235" spans="1:13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9"/>
      <c r="L235" s="18"/>
      <c r="M235" s="18"/>
    </row>
    <row r="236" spans="1:13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9"/>
      <c r="L236" s="18"/>
      <c r="M236" s="18"/>
    </row>
    <row r="237" spans="1:13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9"/>
      <c r="L237" s="18"/>
      <c r="M237" s="18"/>
    </row>
    <row r="238" spans="1:13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9"/>
      <c r="L238" s="18"/>
      <c r="M238" s="18"/>
    </row>
    <row r="239" spans="1:13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9"/>
      <c r="L239" s="18"/>
      <c r="M239" s="18"/>
    </row>
    <row r="240" spans="1:13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9"/>
      <c r="L240" s="18"/>
      <c r="M240" s="18"/>
    </row>
    <row r="241" spans="1:13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9"/>
      <c r="L241" s="18"/>
      <c r="M241" s="18"/>
    </row>
    <row r="242" spans="1:13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9"/>
      <c r="L242" s="18"/>
      <c r="M242" s="18"/>
    </row>
    <row r="243" spans="1:13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9"/>
      <c r="L243" s="18"/>
      <c r="M243" s="18"/>
    </row>
    <row r="244" spans="1:13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9"/>
      <c r="L244" s="18"/>
      <c r="M244" s="18"/>
    </row>
    <row r="245" spans="1:13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9"/>
      <c r="L245" s="18"/>
      <c r="M245" s="18"/>
    </row>
    <row r="246" spans="1:13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9"/>
      <c r="L246" s="18"/>
      <c r="M246" s="18"/>
    </row>
    <row r="247" spans="1:13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9"/>
      <c r="L247" s="18"/>
      <c r="M247" s="18"/>
    </row>
    <row r="248" spans="1:13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9"/>
      <c r="L248" s="18"/>
      <c r="M248" s="18"/>
    </row>
    <row r="249" spans="1:13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9"/>
      <c r="L249" s="18"/>
      <c r="M249" s="18"/>
    </row>
    <row r="250" spans="1:13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9"/>
      <c r="L250" s="18"/>
      <c r="M250" s="18"/>
    </row>
    <row r="251" spans="1:13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9"/>
      <c r="L251" s="18"/>
      <c r="M251" s="18"/>
    </row>
    <row r="252" spans="1:13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9"/>
      <c r="L252" s="18"/>
      <c r="M252" s="18"/>
    </row>
    <row r="253" spans="1:13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9"/>
      <c r="L253" s="18"/>
      <c r="M253" s="18"/>
    </row>
    <row r="254" spans="1:13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9"/>
      <c r="L254" s="18"/>
      <c r="M254" s="18"/>
    </row>
    <row r="255" spans="1:13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9"/>
      <c r="L255" s="18"/>
      <c r="M255" s="18"/>
    </row>
    <row r="256" spans="1:13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9"/>
      <c r="L256" s="18"/>
      <c r="M256" s="18"/>
    </row>
    <row r="257" spans="1:13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9"/>
      <c r="L257" s="18"/>
      <c r="M257" s="18"/>
    </row>
    <row r="258" spans="1:13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9"/>
      <c r="L258" s="18"/>
      <c r="M258" s="18"/>
    </row>
    <row r="259" spans="1:13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9"/>
      <c r="L259" s="18"/>
      <c r="M259" s="18"/>
    </row>
    <row r="260" spans="1:13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9"/>
      <c r="L260" s="18"/>
      <c r="M260" s="18"/>
    </row>
    <row r="261" spans="1:13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9"/>
      <c r="L261" s="18"/>
      <c r="M261" s="18"/>
    </row>
    <row r="262" spans="1:13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9"/>
      <c r="L262" s="18"/>
      <c r="M262" s="18"/>
    </row>
    <row r="263" spans="1:13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9"/>
      <c r="L263" s="18"/>
      <c r="M263" s="18"/>
    </row>
    <row r="264" spans="1:13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9"/>
      <c r="L264" s="18"/>
      <c r="M264" s="18"/>
    </row>
    <row r="265" spans="1:13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9"/>
      <c r="L265" s="18"/>
      <c r="M265" s="18"/>
    </row>
    <row r="266" spans="1:13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9"/>
      <c r="L266" s="18"/>
      <c r="M266" s="18"/>
    </row>
    <row r="267" spans="1:13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9"/>
      <c r="L267" s="18"/>
      <c r="M267" s="18"/>
    </row>
    <row r="268" spans="1:13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9"/>
      <c r="L268" s="18"/>
      <c r="M268" s="18"/>
    </row>
    <row r="269" spans="1:13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9"/>
      <c r="L269" s="18"/>
      <c r="M269" s="18"/>
    </row>
    <row r="270" spans="1:13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9"/>
      <c r="L270" s="18"/>
      <c r="M270" s="18"/>
    </row>
    <row r="271" spans="1:13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9"/>
      <c r="L271" s="18"/>
      <c r="M271" s="18"/>
    </row>
    <row r="272" spans="1:13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9"/>
      <c r="L272" s="18"/>
      <c r="M272" s="18"/>
    </row>
    <row r="273" spans="1:13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9"/>
      <c r="L273" s="18"/>
      <c r="M273" s="18"/>
    </row>
    <row r="274" spans="1:13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9"/>
      <c r="L274" s="18"/>
      <c r="M274" s="18"/>
    </row>
    <row r="275" spans="1:13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9"/>
      <c r="L275" s="18"/>
      <c r="M275" s="18"/>
    </row>
    <row r="276" spans="1:13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9"/>
      <c r="L276" s="18"/>
      <c r="M276" s="18"/>
    </row>
    <row r="277" spans="1:13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9"/>
      <c r="L277" s="18"/>
      <c r="M277" s="18"/>
    </row>
    <row r="278" spans="1:13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9"/>
      <c r="L278" s="18"/>
      <c r="M278" s="18"/>
    </row>
    <row r="279" spans="1:13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9"/>
      <c r="L279" s="18"/>
      <c r="M279" s="18"/>
    </row>
    <row r="280" spans="1:13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9"/>
      <c r="L280" s="18"/>
      <c r="M280" s="18"/>
    </row>
    <row r="281" spans="1:13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9"/>
      <c r="L281" s="18"/>
      <c r="M281" s="18"/>
    </row>
    <row r="282" spans="1:13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9"/>
      <c r="L282" s="18"/>
      <c r="M282" s="18"/>
    </row>
    <row r="283" spans="1:13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9"/>
      <c r="L283" s="18"/>
      <c r="M283" s="18"/>
    </row>
    <row r="284" spans="1:13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9"/>
      <c r="L284" s="18"/>
      <c r="M284" s="18"/>
    </row>
    <row r="285" spans="1:13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9"/>
      <c r="L285" s="18"/>
      <c r="M285" s="18"/>
    </row>
    <row r="286" spans="1:13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9"/>
      <c r="L286" s="18"/>
      <c r="M286" s="18"/>
    </row>
    <row r="287" spans="1:13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9"/>
      <c r="L287" s="18"/>
      <c r="M287" s="18"/>
    </row>
    <row r="288" spans="1:13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9"/>
      <c r="L288" s="18"/>
      <c r="M288" s="18"/>
    </row>
    <row r="289" spans="1:13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9"/>
      <c r="L289" s="18"/>
      <c r="M289" s="18"/>
    </row>
    <row r="290" spans="1:13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9"/>
      <c r="L290" s="18"/>
      <c r="M290" s="18"/>
    </row>
    <row r="291" spans="1:13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9"/>
      <c r="L291" s="18"/>
      <c r="M291" s="18"/>
    </row>
    <row r="292" spans="1:13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9"/>
      <c r="L292" s="18"/>
      <c r="M292" s="18"/>
    </row>
    <row r="293" spans="1:13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9"/>
      <c r="L293" s="18"/>
      <c r="M293" s="18"/>
    </row>
    <row r="294" spans="1:13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9"/>
      <c r="L294" s="18"/>
      <c r="M294" s="18"/>
    </row>
    <row r="295" spans="1:13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9"/>
      <c r="L295" s="18"/>
      <c r="M295" s="18"/>
    </row>
    <row r="296" spans="1:13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9"/>
      <c r="L296" s="18"/>
      <c r="M296" s="18"/>
    </row>
    <row r="297" spans="1:13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9"/>
      <c r="L297" s="18"/>
      <c r="M297" s="18"/>
    </row>
    <row r="298" spans="1:13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9"/>
      <c r="L298" s="18"/>
      <c r="M298" s="18"/>
    </row>
    <row r="299" spans="1:13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9"/>
      <c r="L299" s="18"/>
      <c r="M299" s="18"/>
    </row>
    <row r="300" spans="1:13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9"/>
      <c r="L300" s="18"/>
      <c r="M300" s="18"/>
    </row>
    <row r="301" spans="1:13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9"/>
      <c r="L301" s="18"/>
      <c r="M301" s="18"/>
    </row>
    <row r="302" spans="1:13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9"/>
      <c r="L302" s="18"/>
      <c r="M302" s="18"/>
    </row>
    <row r="303" spans="1:13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9"/>
      <c r="L303" s="18"/>
      <c r="M303" s="18"/>
    </row>
    <row r="304" spans="1:13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9"/>
      <c r="L304" s="18"/>
      <c r="M304" s="18"/>
    </row>
    <row r="305" spans="1:13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9"/>
      <c r="L305" s="18"/>
      <c r="M305" s="18"/>
    </row>
    <row r="306" spans="1:13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9"/>
      <c r="L306" s="18"/>
      <c r="M306" s="18"/>
    </row>
    <row r="307" spans="1:13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9"/>
      <c r="L307" s="18"/>
      <c r="M307" s="18"/>
    </row>
    <row r="308" spans="1:13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9"/>
      <c r="L308" s="18"/>
      <c r="M308" s="18"/>
    </row>
    <row r="309" spans="1:13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9"/>
      <c r="L309" s="18"/>
      <c r="M309" s="18"/>
    </row>
    <row r="310" spans="1:13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9"/>
      <c r="L310" s="18"/>
      <c r="M310" s="18"/>
    </row>
    <row r="311" spans="1:13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9"/>
      <c r="L311" s="18"/>
      <c r="M311" s="18"/>
    </row>
    <row r="312" spans="1:13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9"/>
      <c r="L312" s="18"/>
      <c r="M312" s="18"/>
    </row>
    <row r="313" spans="1:13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9"/>
      <c r="L313" s="18"/>
      <c r="M313" s="18"/>
    </row>
    <row r="314" spans="1:13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9"/>
      <c r="L314" s="18"/>
      <c r="M314" s="18"/>
    </row>
    <row r="315" spans="1:13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9"/>
      <c r="L315" s="18"/>
      <c r="M315" s="18"/>
    </row>
    <row r="316" spans="1:13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9"/>
      <c r="L316" s="18"/>
      <c r="M316" s="18"/>
    </row>
    <row r="317" spans="1:13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9"/>
      <c r="L317" s="18"/>
      <c r="M317" s="18"/>
    </row>
    <row r="318" spans="1:13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9"/>
      <c r="L318" s="18"/>
      <c r="M318" s="18"/>
    </row>
    <row r="319" spans="1:13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9"/>
      <c r="L319" s="18"/>
      <c r="M319" s="18"/>
    </row>
    <row r="320" spans="1:13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9"/>
      <c r="L320" s="18"/>
      <c r="M320" s="18"/>
    </row>
    <row r="321" spans="1:13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9"/>
      <c r="L321" s="18"/>
      <c r="M321" s="18"/>
    </row>
    <row r="322" spans="1:13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9"/>
      <c r="L322" s="18"/>
      <c r="M322" s="18"/>
    </row>
    <row r="323" spans="1:13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9"/>
      <c r="L323" s="18"/>
      <c r="M323" s="18"/>
    </row>
    <row r="324" spans="1:13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9"/>
      <c r="L324" s="18"/>
      <c r="M324" s="18"/>
    </row>
    <row r="325" spans="1:13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9"/>
      <c r="L325" s="18"/>
      <c r="M325" s="18"/>
    </row>
    <row r="326" spans="1:13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9"/>
      <c r="L326" s="18"/>
      <c r="M326" s="18"/>
    </row>
    <row r="327" spans="1:13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9"/>
      <c r="L327" s="18"/>
      <c r="M327" s="18"/>
    </row>
    <row r="328" spans="1:13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9"/>
      <c r="L328" s="18"/>
      <c r="M328" s="18"/>
    </row>
    <row r="329" spans="1:13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9"/>
      <c r="L329" s="18"/>
      <c r="M329" s="18"/>
    </row>
    <row r="330" spans="1:13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9"/>
      <c r="L330" s="18"/>
      <c r="M330" s="18"/>
    </row>
    <row r="331" spans="1:13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9"/>
      <c r="L331" s="18"/>
      <c r="M331" s="18"/>
    </row>
    <row r="332" spans="1:13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9"/>
      <c r="L332" s="18"/>
      <c r="M332" s="18"/>
    </row>
    <row r="333" spans="1:13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9"/>
      <c r="L333" s="18"/>
      <c r="M333" s="18"/>
    </row>
    <row r="334" spans="1:13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9"/>
      <c r="L334" s="18"/>
      <c r="M334" s="18"/>
    </row>
    <row r="335" spans="1:13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9"/>
      <c r="L335" s="18"/>
      <c r="M335" s="18"/>
    </row>
    <row r="336" spans="1:13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9"/>
      <c r="L336" s="18"/>
      <c r="M336" s="18"/>
    </row>
    <row r="337" spans="1:13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9"/>
      <c r="L337" s="18"/>
      <c r="M337" s="18"/>
    </row>
    <row r="338" spans="1:13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9"/>
      <c r="L338" s="18"/>
      <c r="M338" s="18"/>
    </row>
    <row r="339" spans="1:13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9"/>
      <c r="L339" s="18"/>
      <c r="M339" s="18"/>
    </row>
    <row r="340" spans="1:13" ht="14.4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9"/>
      <c r="L340" s="18"/>
      <c r="M340" s="18"/>
    </row>
    <row r="341" spans="1:13">
      <c r="D341" s="18"/>
      <c r="E341" s="18"/>
      <c r="F341" s="18"/>
      <c r="G341" s="19"/>
      <c r="H341" s="18"/>
      <c r="I341" s="18"/>
      <c r="J341" s="19"/>
      <c r="K341" s="19"/>
      <c r="L341" s="18"/>
      <c r="M341" s="18"/>
    </row>
    <row r="342" spans="1:13">
      <c r="K342" s="19"/>
    </row>
  </sheetData>
  <mergeCells count="4">
    <mergeCell ref="H1:J1"/>
    <mergeCell ref="A1:D1"/>
    <mergeCell ref="E1:G1"/>
    <mergeCell ref="A2:B2"/>
  </mergeCells>
  <conditionalFormatting sqref="G2">
    <cfRule type="cellIs" dxfId="18" priority="15" stopIfTrue="1" operator="lessThanOrEqual">
      <formula>-0.1</formula>
    </cfRule>
    <cfRule type="expression" dxfId="17" priority="16">
      <formula>AND(ISNUMBER(G2), G2&gt;=0.1)</formula>
    </cfRule>
  </conditionalFormatting>
  <conditionalFormatting sqref="G4:G161 J4:J161">
    <cfRule type="cellIs" dxfId="16" priority="5" stopIfTrue="1" operator="lessThanOrEqual">
      <formula>-0.1</formula>
    </cfRule>
    <cfRule type="expression" dxfId="15" priority="6">
      <formula>AND(ISNUMBER(G4), G4&gt;=0.1)</formula>
    </cfRule>
  </conditionalFormatting>
  <conditionalFormatting sqref="J2:K2">
    <cfRule type="cellIs" dxfId="14" priority="3" stopIfTrue="1" operator="lessThanOrEqual">
      <formula>-0.1</formula>
    </cfRule>
    <cfRule type="expression" dxfId="13" priority="4">
      <formula>AND(ISNUMBER(J2), J2&gt;=0.1)</formula>
    </cfRule>
  </conditionalFormatting>
  <conditionalFormatting sqref="K4:K160">
    <cfRule type="expression" dxfId="12" priority="1" stopIfTrue="1">
      <formula>AND(K4&lt;&gt;"",K4&lt;0.975)</formula>
    </cfRule>
    <cfRule type="expression" dxfId="11" priority="2">
      <formula>AND(ISNUMBER(K4), K4&gt;=0.985)</formula>
    </cfRule>
  </conditionalFormatting>
  <pageMargins left="0.4" right="0.7" top="0.25" bottom="0.25" header="0.3" footer="0.3"/>
  <pageSetup fitToHeight="99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M342"/>
  <sheetViews>
    <sheetView workbookViewId="0">
      <pane xSplit="2" ySplit="3" topLeftCell="C115" activePane="bottomRight" state="frozen"/>
      <selection pane="bottomRight" activeCell="K3" sqref="K3"/>
      <selection pane="bottomLeft" activeCell="K49" sqref="K49"/>
      <selection pane="topRight" activeCell="K49" sqref="K49"/>
    </sheetView>
  </sheetViews>
  <sheetFormatPr defaultRowHeight="14.1"/>
  <cols>
    <col min="1" max="1" width="35.85546875" bestFit="1" customWidth="1"/>
    <col min="2" max="2" width="8.42578125" style="31" customWidth="1"/>
    <col min="3" max="3" width="9.28515625" style="31" bestFit="1" customWidth="1"/>
    <col min="4" max="4" width="11.7109375" customWidth="1"/>
    <col min="5" max="6" width="13.28515625" customWidth="1"/>
    <col min="7" max="7" width="13.28515625" style="1" customWidth="1"/>
    <col min="8" max="9" width="13.28515625" customWidth="1"/>
    <col min="10" max="10" width="13.28515625" style="1" customWidth="1"/>
    <col min="11" max="11" width="18.5703125" style="1" customWidth="1"/>
    <col min="12" max="12" width="71.5703125" customWidth="1"/>
    <col min="13" max="13" width="20.5703125" bestFit="1" customWidth="1"/>
  </cols>
  <sheetData>
    <row r="1" spans="1:13" ht="19.5" customHeight="1">
      <c r="A1" s="111" t="str" cm="1">
        <f t="array" ref="A1">portfolio</f>
        <v>Generate Capital</v>
      </c>
      <c r="B1" s="111"/>
      <c r="C1" s="111"/>
      <c r="D1" s="111"/>
      <c r="E1" s="112" t="s">
        <v>1084</v>
      </c>
      <c r="F1" s="112"/>
      <c r="G1" s="112"/>
      <c r="H1" s="110" t="s">
        <v>1085</v>
      </c>
      <c r="I1" s="110"/>
      <c r="J1" s="110"/>
      <c r="K1" s="107" t="s">
        <v>1086</v>
      </c>
      <c r="L1" s="5"/>
      <c r="M1" s="5"/>
    </row>
    <row r="2" spans="1:13" ht="19.5" customHeight="1">
      <c r="A2" s="113" t="s">
        <v>3</v>
      </c>
      <c r="B2" s="113"/>
      <c r="C2" s="72"/>
      <c r="D2" s="6">
        <f>SUM(D4:D100)</f>
        <v>0</v>
      </c>
      <c r="E2" s="6">
        <f>SUM(E4:E100)</f>
        <v>0</v>
      </c>
      <c r="F2" s="6">
        <f>D2-E2</f>
        <v>0</v>
      </c>
      <c r="G2" s="7">
        <f>IFERROR(F2/E2, 0)</f>
        <v>0</v>
      </c>
      <c r="H2" s="6">
        <f>SUM(H4:H100)</f>
        <v>0</v>
      </c>
      <c r="I2" s="8">
        <f>D2-H2</f>
        <v>0</v>
      </c>
      <c r="J2" s="7">
        <f>IFERROR(I2/H2, 0)</f>
        <v>0</v>
      </c>
      <c r="K2" s="108"/>
      <c r="L2" s="23" t="str">
        <f ca="1">IF(AND(TODAY()&gt;DATE(2024, 12, 1), COUNTA(Sites[Site])&lt;&gt;(COUNT(D:D)-1)),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4</v>
      </c>
      <c r="B3" s="9" t="s">
        <v>5</v>
      </c>
      <c r="C3" s="9" t="s">
        <v>6</v>
      </c>
      <c r="D3" s="20" t="s">
        <v>7</v>
      </c>
      <c r="E3" s="32" t="s">
        <v>8</v>
      </c>
      <c r="F3" s="32" t="s">
        <v>9</v>
      </c>
      <c r="G3" s="33" t="s">
        <v>10</v>
      </c>
      <c r="H3" s="34" t="s">
        <v>11</v>
      </c>
      <c r="I3" s="35" t="s">
        <v>9</v>
      </c>
      <c r="J3" s="36" t="s">
        <v>10</v>
      </c>
      <c r="K3" s="109" t="s">
        <v>12</v>
      </c>
      <c r="L3" s="22" t="s">
        <v>30</v>
      </c>
      <c r="M3" s="22" t="s">
        <v>31</v>
      </c>
    </row>
    <row r="4" spans="1:13" ht="15.6">
      <c r="A4" s="29" t="str" cm="1">
        <f t="array" ref="A4:A161">Sites[Site]</f>
        <v>Farmer</v>
      </c>
      <c r="B4" s="26" t="str" cm="1">
        <f t="array" ref="B4:B161">Sites[State]</f>
        <v>AZ</v>
      </c>
      <c r="C4" s="26" t="str">
        <f>Sites[[#This Row],[SOL'#]]</f>
        <v>SOL-10748</v>
      </c>
      <c r="D4" s="21"/>
      <c r="E4" s="11"/>
      <c r="F4" s="11" t="str">
        <f>IF(AND(ISNUMBER(D4),ISNUMBER(E4)), D4-E4, "")</f>
        <v/>
      </c>
      <c r="G4" s="12" t="str">
        <f>IFERROR(F4/E4, "")</f>
        <v/>
      </c>
      <c r="H4" s="13"/>
      <c r="I4" s="13" t="str">
        <f>IF(AND(ISNUMBER(D4),ISNUMBER(H4)), D4-H4, "")</f>
        <v/>
      </c>
      <c r="J4" s="14" t="str">
        <f>IFERROR(I4/H4, "")</f>
        <v/>
      </c>
      <c r="K4" s="14"/>
      <c r="L4" s="38"/>
      <c r="M4" s="38"/>
    </row>
    <row r="5" spans="1:13" ht="15.6">
      <c r="A5" s="27" t="str">
        <v>Fulton</v>
      </c>
      <c r="B5" s="28" t="str">
        <v>AZ</v>
      </c>
      <c r="C5" s="28" t="str">
        <f>Sites[[#This Row],[SOL'#]]</f>
        <v>SOL-10749</v>
      </c>
      <c r="D5" s="10"/>
      <c r="E5" s="15"/>
      <c r="F5" s="15" t="str">
        <f t="shared" ref="F5:F17" si="0">IF(AND(ISNUMBER(D5),ISNUMBER(E5)), D5-E5, "")</f>
        <v/>
      </c>
      <c r="G5" s="16" t="str">
        <f>IFERROR(F5/E5, "")</f>
        <v/>
      </c>
      <c r="H5" s="17"/>
      <c r="I5" s="17" t="str">
        <f t="shared" ref="I5:I17" si="1">IF(AND(ISNUMBER(D5),ISNUMBER(H5)), D5-H5, "")</f>
        <v/>
      </c>
      <c r="J5" s="16" t="str">
        <f t="shared" ref="J5:J17" si="2">IFERROR(I5/H5, "")</f>
        <v/>
      </c>
      <c r="K5" s="16"/>
      <c r="L5" s="39"/>
      <c r="M5" s="39"/>
    </row>
    <row r="6" spans="1:13" ht="15.6">
      <c r="A6" s="25" t="str">
        <v>JFK Elementary</v>
      </c>
      <c r="B6" s="26" t="str">
        <v>AZ</v>
      </c>
      <c r="C6" s="26" t="str">
        <f>Sites[[#This Row],[SOL'#]]</f>
        <v>SOL-10758</v>
      </c>
      <c r="D6" s="21"/>
      <c r="E6" s="11"/>
      <c r="F6" s="11" t="str">
        <f t="shared" si="0"/>
        <v/>
      </c>
      <c r="G6" s="12" t="str">
        <f t="shared" ref="G6:G17" si="3">IFERROR(F6/E6, "")</f>
        <v/>
      </c>
      <c r="H6" s="13"/>
      <c r="I6" s="13" t="str">
        <f t="shared" si="1"/>
        <v/>
      </c>
      <c r="J6" s="14" t="str">
        <f t="shared" si="2"/>
        <v/>
      </c>
      <c r="K6" s="14"/>
      <c r="L6" s="38"/>
      <c r="M6" s="38"/>
    </row>
    <row r="7" spans="1:13" ht="15.6">
      <c r="A7" s="27" t="str">
        <v>Noble</v>
      </c>
      <c r="B7" s="28" t="str">
        <v>AZ</v>
      </c>
      <c r="C7" s="28" t="str">
        <f>Sites[[#This Row],[SOL'#]]</f>
        <v>SOL-10750</v>
      </c>
      <c r="D7" s="10"/>
      <c r="E7" s="15"/>
      <c r="F7" s="15" t="str">
        <f t="shared" si="0"/>
        <v/>
      </c>
      <c r="G7" s="16" t="str">
        <f t="shared" si="3"/>
        <v/>
      </c>
      <c r="H7" s="17"/>
      <c r="I7" s="17" t="str">
        <f t="shared" si="1"/>
        <v/>
      </c>
      <c r="J7" s="16" t="str">
        <f t="shared" si="2"/>
        <v/>
      </c>
      <c r="K7" s="16"/>
      <c r="L7" s="39"/>
      <c r="M7" s="40"/>
    </row>
    <row r="8" spans="1:13" ht="15.6">
      <c r="A8" s="25" t="str">
        <v>Parking 3</v>
      </c>
      <c r="B8" s="26" t="str">
        <v>AZ</v>
      </c>
      <c r="C8" s="26" t="str">
        <f>Sites[[#This Row],[SOL'#]]</f>
        <v>SOL-10751</v>
      </c>
      <c r="D8" s="21"/>
      <c r="E8" s="11"/>
      <c r="F8" s="11" t="str">
        <f t="shared" si="0"/>
        <v/>
      </c>
      <c r="G8" s="12" t="str">
        <f t="shared" si="3"/>
        <v/>
      </c>
      <c r="H8" s="13"/>
      <c r="I8" s="13" t="str">
        <f t="shared" si="1"/>
        <v/>
      </c>
      <c r="J8" s="14" t="str">
        <f t="shared" si="2"/>
        <v/>
      </c>
      <c r="K8" s="14"/>
      <c r="L8" s="38"/>
      <c r="M8" s="38"/>
    </row>
    <row r="9" spans="1:13" ht="15.6">
      <c r="A9" s="27" t="str">
        <v>PE East</v>
      </c>
      <c r="B9" s="28" t="str">
        <v>AZ</v>
      </c>
      <c r="C9" s="28" t="str">
        <f>Sites[[#This Row],[SOL'#]]</f>
        <v>SOL-10752</v>
      </c>
      <c r="D9" s="10"/>
      <c r="E9" s="15"/>
      <c r="F9" s="15" t="str">
        <f t="shared" si="0"/>
        <v/>
      </c>
      <c r="G9" s="16" t="str">
        <f t="shared" si="3"/>
        <v/>
      </c>
      <c r="H9" s="17"/>
      <c r="I9" s="17" t="str">
        <f t="shared" si="1"/>
        <v/>
      </c>
      <c r="J9" s="16" t="str">
        <f t="shared" si="2"/>
        <v/>
      </c>
      <c r="K9" s="16"/>
      <c r="L9" s="39"/>
      <c r="M9" s="40"/>
    </row>
    <row r="10" spans="1:13" ht="15.6">
      <c r="A10" s="25" t="str">
        <v>Schwada</v>
      </c>
      <c r="B10" s="26" t="str">
        <v>AZ</v>
      </c>
      <c r="C10" s="26" t="str">
        <f>Sites[[#This Row],[SOL'#]]</f>
        <v>SOL-10753</v>
      </c>
      <c r="D10" s="21"/>
      <c r="E10" s="11"/>
      <c r="F10" s="11" t="str">
        <f t="shared" si="0"/>
        <v/>
      </c>
      <c r="G10" s="12" t="str">
        <f t="shared" si="3"/>
        <v/>
      </c>
      <c r="H10" s="13"/>
      <c r="I10" s="13" t="str">
        <f t="shared" si="1"/>
        <v/>
      </c>
      <c r="J10" s="14" t="str">
        <f t="shared" si="2"/>
        <v/>
      </c>
      <c r="K10" s="14"/>
      <c r="L10" s="38"/>
      <c r="M10" s="38"/>
    </row>
    <row r="11" spans="1:13" ht="15.6">
      <c r="A11" s="27" t="str">
        <v>Starshine</v>
      </c>
      <c r="B11" s="28" t="str">
        <v>AZ</v>
      </c>
      <c r="C11" s="28" t="str">
        <f>Sites[[#This Row],[SOL'#]]</f>
        <v>SOL-10757</v>
      </c>
      <c r="D11" s="10"/>
      <c r="E11" s="15"/>
      <c r="F11" s="15" t="str">
        <f t="shared" si="0"/>
        <v/>
      </c>
      <c r="G11" s="16" t="str">
        <f t="shared" si="3"/>
        <v/>
      </c>
      <c r="H11" s="17"/>
      <c r="I11" s="17" t="str">
        <f t="shared" si="1"/>
        <v/>
      </c>
      <c r="J11" s="16" t="str">
        <f t="shared" si="2"/>
        <v/>
      </c>
      <c r="K11" s="16"/>
      <c r="L11" s="39"/>
      <c r="M11" s="40"/>
    </row>
    <row r="12" spans="1:13" ht="15.6">
      <c r="A12" s="25" t="str">
        <v>Yuma Airport</v>
      </c>
      <c r="B12" s="26" t="str">
        <v>AZ</v>
      </c>
      <c r="C12" s="26" t="str">
        <f>Sites[[#This Row],[SOL'#]]</f>
        <v>SOL-10754</v>
      </c>
      <c r="D12" s="21"/>
      <c r="E12" s="11"/>
      <c r="F12" s="11" t="str">
        <f t="shared" si="0"/>
        <v/>
      </c>
      <c r="G12" s="12" t="str">
        <f t="shared" si="3"/>
        <v/>
      </c>
      <c r="H12" s="13"/>
      <c r="I12" s="13" t="str">
        <f t="shared" si="1"/>
        <v/>
      </c>
      <c r="J12" s="14" t="str">
        <f t="shared" si="2"/>
        <v/>
      </c>
      <c r="K12" s="14"/>
      <c r="L12" s="38"/>
      <c r="M12" s="38"/>
    </row>
    <row r="13" spans="1:13" ht="15.6">
      <c r="A13" s="27" t="str">
        <v>Kinsman</v>
      </c>
      <c r="B13" s="28" t="str">
        <v>OH</v>
      </c>
      <c r="C13" s="28" t="str">
        <f>Sites[[#This Row],[SOL'#]]</f>
        <v>SOL-10762</v>
      </c>
      <c r="D13" s="10"/>
      <c r="E13" s="15"/>
      <c r="F13" s="15" t="str">
        <f t="shared" si="0"/>
        <v/>
      </c>
      <c r="G13" s="16" t="str">
        <f t="shared" si="3"/>
        <v/>
      </c>
      <c r="H13" s="17"/>
      <c r="I13" s="17" t="str">
        <f t="shared" si="1"/>
        <v/>
      </c>
      <c r="J13" s="16" t="str">
        <f t="shared" si="2"/>
        <v/>
      </c>
      <c r="K13" s="16"/>
      <c r="L13" s="39"/>
      <c r="M13" s="40"/>
    </row>
    <row r="14" spans="1:13" ht="15.6">
      <c r="A14" s="25" t="str">
        <v>Wooster</v>
      </c>
      <c r="B14" s="26" t="str">
        <v>OH</v>
      </c>
      <c r="C14" s="26" t="str">
        <f>Sites[[#This Row],[SOL'#]]</f>
        <v>SOL-10763</v>
      </c>
      <c r="D14" s="21"/>
      <c r="E14" s="11"/>
      <c r="F14" s="11" t="str">
        <f t="shared" si="0"/>
        <v/>
      </c>
      <c r="G14" s="12" t="str">
        <f t="shared" si="3"/>
        <v/>
      </c>
      <c r="H14" s="13"/>
      <c r="I14" s="13" t="str">
        <f t="shared" si="1"/>
        <v/>
      </c>
      <c r="J14" s="14" t="str">
        <f t="shared" si="2"/>
        <v/>
      </c>
      <c r="K14" s="14"/>
      <c r="L14" s="38"/>
      <c r="M14" s="38"/>
    </row>
    <row r="15" spans="1:13" ht="15.6">
      <c r="A15" s="27" t="str">
        <v>Globe Gila CC</v>
      </c>
      <c r="B15" s="28" t="str">
        <v>AZ</v>
      </c>
      <c r="C15" s="28" t="str">
        <f>Sites[[#This Row],[SOL'#]]</f>
        <v>SOL-10755</v>
      </c>
      <c r="D15" s="10"/>
      <c r="E15" s="15"/>
      <c r="F15" s="15" t="str">
        <f t="shared" si="0"/>
        <v/>
      </c>
      <c r="G15" s="16" t="str">
        <f t="shared" si="3"/>
        <v/>
      </c>
      <c r="H15" s="17"/>
      <c r="I15" s="17" t="str">
        <f t="shared" si="1"/>
        <v/>
      </c>
      <c r="J15" s="16" t="str">
        <f t="shared" si="2"/>
        <v/>
      </c>
      <c r="K15" s="16"/>
      <c r="L15" s="39"/>
      <c r="M15" s="40"/>
    </row>
    <row r="16" spans="1:13" ht="15.6">
      <c r="A16" s="25" t="str">
        <v>Payson Gila CC</v>
      </c>
      <c r="B16" s="26" t="str">
        <v>AZ</v>
      </c>
      <c r="C16" s="26" t="str">
        <f>Sites[[#This Row],[SOL'#]]</f>
        <v>SOL-10756</v>
      </c>
      <c r="D16" s="21"/>
      <c r="E16" s="11"/>
      <c r="F16" s="11" t="str">
        <f t="shared" si="0"/>
        <v/>
      </c>
      <c r="G16" s="12" t="str">
        <f t="shared" si="3"/>
        <v/>
      </c>
      <c r="H16" s="13"/>
      <c r="I16" s="13" t="str">
        <f t="shared" si="1"/>
        <v/>
      </c>
      <c r="J16" s="14" t="str">
        <f t="shared" si="2"/>
        <v/>
      </c>
      <c r="K16" s="14"/>
      <c r="L16" s="38"/>
      <c r="M16" s="38"/>
    </row>
    <row r="17" spans="1:13" ht="15.6">
      <c r="A17" s="27" t="str">
        <v>SCNM</v>
      </c>
      <c r="B17" s="28" t="str">
        <v>AZ</v>
      </c>
      <c r="C17" s="28" t="str">
        <f>Sites[[#This Row],[SOL'#]]</f>
        <v>SOL-10760</v>
      </c>
      <c r="D17" s="10"/>
      <c r="E17" s="15"/>
      <c r="F17" s="15" t="str">
        <f t="shared" si="0"/>
        <v/>
      </c>
      <c r="G17" s="16" t="str">
        <f t="shared" si="3"/>
        <v/>
      </c>
      <c r="H17" s="17"/>
      <c r="I17" s="17" t="str">
        <f t="shared" si="1"/>
        <v/>
      </c>
      <c r="J17" s="16" t="str">
        <f t="shared" si="2"/>
        <v/>
      </c>
      <c r="K17" s="16"/>
      <c r="L17" s="39"/>
      <c r="M17" s="39"/>
    </row>
    <row r="18" spans="1:13" ht="12.75" customHeight="1">
      <c r="A18" s="25" t="str">
        <v>Sequoia Charter School</v>
      </c>
      <c r="B18" s="26" t="str">
        <v>AZ</v>
      </c>
      <c r="C18" s="26" t="str">
        <f>Sites[[#This Row],[SOL'#]]</f>
        <v>SOL-10759</v>
      </c>
      <c r="D18" s="21"/>
      <c r="E18" s="11"/>
      <c r="F18" s="11"/>
      <c r="G18" s="12"/>
      <c r="H18" s="13"/>
      <c r="I18" s="13"/>
      <c r="J18" s="14"/>
      <c r="K18" s="80"/>
      <c r="L18" s="38"/>
      <c r="M18" s="38"/>
    </row>
    <row r="19" spans="1:13" ht="15.6">
      <c r="A19" s="27" t="str">
        <v>RCAB</v>
      </c>
      <c r="B19" s="28" t="str">
        <v>MA</v>
      </c>
      <c r="C19" s="28" t="str">
        <f>Sites[[#This Row],[SOL'#]]</f>
        <v>SOL-10838</v>
      </c>
      <c r="D19" s="10"/>
      <c r="E19" s="15"/>
      <c r="F19" s="15"/>
      <c r="G19" s="16"/>
      <c r="H19" s="17"/>
      <c r="I19" s="17"/>
      <c r="J19" s="16"/>
      <c r="K19" s="16"/>
      <c r="L19" s="39"/>
      <c r="M19" s="40"/>
    </row>
    <row r="20" spans="1:13" ht="15.6">
      <c r="A20" s="25" t="str">
        <v>Spectro Coatings</v>
      </c>
      <c r="B20" s="26" t="str">
        <v>MA</v>
      </c>
      <c r="C20" s="26" t="str">
        <f>Sites[[#This Row],[SOL'#]]</f>
        <v>SOL-10074</v>
      </c>
      <c r="D20" s="21"/>
      <c r="E20" s="11"/>
      <c r="F20" s="11"/>
      <c r="G20" s="12"/>
      <c r="H20" s="13"/>
      <c r="I20" s="13"/>
      <c r="J20" s="14"/>
      <c r="K20" s="80"/>
      <c r="L20" s="38"/>
      <c r="M20" s="38"/>
    </row>
    <row r="21" spans="1:13" ht="15.6">
      <c r="A21" s="27" t="str">
        <v>K026</v>
      </c>
      <c r="B21" s="28" t="str">
        <v>NY</v>
      </c>
      <c r="C21" s="28" t="str">
        <f>Sites[[#This Row],[SOL'#]]</f>
        <v>SOL-10356</v>
      </c>
      <c r="D21" s="10"/>
      <c r="E21" s="15"/>
      <c r="F21" s="15"/>
      <c r="G21" s="16"/>
      <c r="H21" s="17"/>
      <c r="I21" s="17"/>
      <c r="J21" s="16"/>
      <c r="K21" s="16"/>
      <c r="L21" s="39"/>
      <c r="M21" s="40"/>
    </row>
    <row r="22" spans="1:13" ht="15.6">
      <c r="A22" s="25" t="str">
        <v>K041</v>
      </c>
      <c r="B22" s="26" t="str">
        <v>NY</v>
      </c>
      <c r="C22" s="26" t="str">
        <f>Sites[[#This Row],[SOL'#]]</f>
        <v>SOL-10357</v>
      </c>
      <c r="D22" s="21"/>
      <c r="E22" s="11"/>
      <c r="F22" s="11"/>
      <c r="G22" s="12"/>
      <c r="H22" s="13"/>
      <c r="I22" s="13"/>
      <c r="J22" s="14"/>
      <c r="K22" s="80"/>
      <c r="L22" s="38"/>
      <c r="M22" s="38"/>
    </row>
    <row r="23" spans="1:13" ht="15.6">
      <c r="A23" s="27" t="str">
        <v>K043</v>
      </c>
      <c r="B23" s="28" t="str">
        <v>NY</v>
      </c>
      <c r="C23" s="28" t="str">
        <f>Sites[[#This Row],[SOL'#]]</f>
        <v>SOL-10358</v>
      </c>
      <c r="D23" s="10"/>
      <c r="E23" s="15"/>
      <c r="F23" s="15"/>
      <c r="G23" s="16"/>
      <c r="H23" s="17"/>
      <c r="I23" s="17"/>
      <c r="J23" s="16"/>
      <c r="K23" s="16"/>
      <c r="L23" s="39"/>
      <c r="M23" s="40"/>
    </row>
    <row r="24" spans="1:13" ht="15.6">
      <c r="A24" s="25" t="str">
        <v>K058</v>
      </c>
      <c r="B24" s="26" t="str">
        <v>NY</v>
      </c>
      <c r="C24" s="26" t="str">
        <f>Sites[[#This Row],[SOL'#]]</f>
        <v>SOL-10360</v>
      </c>
      <c r="D24" s="21"/>
      <c r="E24" s="11"/>
      <c r="F24" s="11"/>
      <c r="G24" s="12"/>
      <c r="H24" s="13"/>
      <c r="I24" s="13"/>
      <c r="J24" s="14"/>
      <c r="K24" s="80"/>
      <c r="L24" s="38"/>
      <c r="M24" s="38"/>
    </row>
    <row r="25" spans="1:13" ht="15.6">
      <c r="A25" s="27" t="str">
        <v>K115</v>
      </c>
      <c r="B25" s="28" t="str">
        <v>NY</v>
      </c>
      <c r="C25" s="28" t="str">
        <f>Sites[[#This Row],[SOL'#]]</f>
        <v>SOL-10361</v>
      </c>
      <c r="D25" s="10"/>
      <c r="E25" s="15"/>
      <c r="F25" s="15"/>
      <c r="G25" s="16"/>
      <c r="H25" s="17"/>
      <c r="I25" s="17"/>
      <c r="J25" s="16"/>
      <c r="K25" s="16"/>
      <c r="L25" s="39"/>
      <c r="M25" s="40"/>
    </row>
    <row r="26" spans="1:13" ht="15.6">
      <c r="A26" s="25" t="str">
        <v>K152</v>
      </c>
      <c r="B26" s="26" t="str">
        <v>NY</v>
      </c>
      <c r="C26" s="26" t="str">
        <f>Sites[[#This Row],[SOL'#]]</f>
        <v>SOL-10362</v>
      </c>
      <c r="D26" s="21"/>
      <c r="E26" s="11"/>
      <c r="F26" s="11"/>
      <c r="G26" s="12"/>
      <c r="H26" s="13"/>
      <c r="I26" s="13"/>
      <c r="J26" s="14"/>
      <c r="K26" s="80"/>
      <c r="L26" s="38"/>
      <c r="M26" s="38"/>
    </row>
    <row r="27" spans="1:13" ht="15.6">
      <c r="A27" s="27" t="str">
        <v>K166</v>
      </c>
      <c r="B27" s="28" t="str">
        <v>NY</v>
      </c>
      <c r="C27" s="28" t="str">
        <f>Sites[[#This Row],[SOL'#]]</f>
        <v>SOL-10363</v>
      </c>
      <c r="D27" s="10"/>
      <c r="E27" s="15"/>
      <c r="F27" s="15"/>
      <c r="G27" s="16"/>
      <c r="H27" s="17"/>
      <c r="I27" s="17"/>
      <c r="J27" s="16"/>
      <c r="K27" s="16"/>
      <c r="L27" s="39"/>
      <c r="M27" s="40"/>
    </row>
    <row r="28" spans="1:13" ht="15.6">
      <c r="A28" s="25" t="str">
        <v>K206</v>
      </c>
      <c r="B28" s="26" t="str">
        <v>NY</v>
      </c>
      <c r="C28" s="26" t="str">
        <f>Sites[[#This Row],[SOL'#]]</f>
        <v>SOL-10927</v>
      </c>
      <c r="D28" s="21"/>
      <c r="E28" s="11"/>
      <c r="F28" s="11"/>
      <c r="G28" s="12"/>
      <c r="H28" s="13"/>
      <c r="I28" s="13"/>
      <c r="J28" s="14"/>
      <c r="K28" s="80"/>
      <c r="L28" s="38"/>
      <c r="M28" s="38"/>
    </row>
    <row r="29" spans="1:13" ht="15.6">
      <c r="A29" s="27" t="str">
        <v>K251</v>
      </c>
      <c r="B29" s="28" t="str">
        <v>NY</v>
      </c>
      <c r="C29" s="28" t="str">
        <f>Sites[[#This Row],[SOL'#]]</f>
        <v>SOL-10365</v>
      </c>
      <c r="D29" s="10"/>
      <c r="E29" s="15"/>
      <c r="F29" s="15"/>
      <c r="G29" s="16"/>
      <c r="H29" s="17"/>
      <c r="I29" s="17"/>
      <c r="J29" s="16"/>
      <c r="K29" s="16"/>
      <c r="L29" s="39"/>
      <c r="M29" s="39"/>
    </row>
    <row r="30" spans="1:13" ht="15.6">
      <c r="A30" s="25" t="str">
        <v>K269</v>
      </c>
      <c r="B30" s="26" t="str">
        <v>NY</v>
      </c>
      <c r="C30" s="26" t="str">
        <f>Sites[[#This Row],[SOL'#]]</f>
        <v>SOL-10366</v>
      </c>
      <c r="D30" s="21"/>
      <c r="E30" s="11"/>
      <c r="F30" s="11"/>
      <c r="G30" s="12"/>
      <c r="H30" s="13"/>
      <c r="I30" s="13"/>
      <c r="J30" s="14"/>
      <c r="K30" s="80"/>
      <c r="L30" s="38"/>
      <c r="M30" s="38"/>
    </row>
    <row r="31" spans="1:13" ht="15.6">
      <c r="A31" s="27" t="str">
        <v>K273</v>
      </c>
      <c r="B31" s="28" t="str">
        <v>NY</v>
      </c>
      <c r="C31" s="28" t="str">
        <f>Sites[[#This Row],[SOL'#]]</f>
        <v>SOL-10367</v>
      </c>
      <c r="D31" s="10"/>
      <c r="E31" s="15"/>
      <c r="F31" s="15"/>
      <c r="G31" s="16"/>
      <c r="H31" s="17"/>
      <c r="I31" s="17"/>
      <c r="J31" s="16"/>
      <c r="K31" s="16"/>
      <c r="L31" s="39"/>
      <c r="M31" s="40"/>
    </row>
    <row r="32" spans="1:13" ht="15.6">
      <c r="A32" s="25" t="str">
        <v>K287</v>
      </c>
      <c r="B32" s="26" t="str">
        <v>NY</v>
      </c>
      <c r="C32" s="26" t="str">
        <f>Sites[[#This Row],[SOL'#]]</f>
        <v>SOL-10919</v>
      </c>
      <c r="D32" s="21"/>
      <c r="E32" s="11"/>
      <c r="F32" s="11"/>
      <c r="G32" s="12"/>
      <c r="H32" s="13"/>
      <c r="I32" s="13"/>
      <c r="J32" s="14"/>
      <c r="K32" s="80"/>
      <c r="L32" s="38"/>
      <c r="M32" s="38"/>
    </row>
    <row r="33" spans="1:13" ht="15.6">
      <c r="A33" s="27" t="str">
        <v>K298</v>
      </c>
      <c r="B33" s="28" t="str">
        <v>NY</v>
      </c>
      <c r="C33" s="28" t="str">
        <f>Sites[[#This Row],[SOL'#]]</f>
        <v>SOL-10368</v>
      </c>
      <c r="D33" s="10"/>
      <c r="E33" s="15"/>
      <c r="F33" s="15"/>
      <c r="G33" s="16"/>
      <c r="H33" s="17"/>
      <c r="I33" s="17"/>
      <c r="J33" s="16"/>
      <c r="K33" s="16"/>
      <c r="L33" s="39"/>
      <c r="M33" s="40"/>
    </row>
    <row r="34" spans="1:13" ht="15.6">
      <c r="A34" s="25" t="str">
        <v>K335</v>
      </c>
      <c r="B34" s="26" t="str">
        <v>NY</v>
      </c>
      <c r="C34" s="26" t="str">
        <f>Sites[[#This Row],[SOL'#]]</f>
        <v>SOL-10370</v>
      </c>
      <c r="D34" s="21"/>
      <c r="E34" s="11"/>
      <c r="F34" s="11"/>
      <c r="G34" s="12"/>
      <c r="H34" s="13"/>
      <c r="I34" s="13"/>
      <c r="J34" s="14"/>
      <c r="K34" s="80"/>
      <c r="L34" s="38"/>
      <c r="M34" s="38"/>
    </row>
    <row r="35" spans="1:13" ht="15.6">
      <c r="A35" s="27" t="str">
        <v>K345</v>
      </c>
      <c r="B35" s="28" t="str">
        <v>NY</v>
      </c>
      <c r="C35" s="28" t="str">
        <f>Sites[[#This Row],[SOL'#]]</f>
        <v>SOL-10920</v>
      </c>
      <c r="D35" s="10"/>
      <c r="E35" s="15"/>
      <c r="F35" s="15"/>
      <c r="G35" s="16"/>
      <c r="H35" s="17"/>
      <c r="I35" s="17"/>
      <c r="J35" s="16"/>
      <c r="K35" s="16"/>
      <c r="L35" s="39"/>
      <c r="M35" s="40"/>
    </row>
    <row r="36" spans="1:13" ht="15.6">
      <c r="A36" s="25" t="str">
        <v>K445</v>
      </c>
      <c r="B36" s="26" t="str">
        <v>NY</v>
      </c>
      <c r="C36" s="26" t="str">
        <f>Sites[[#This Row],[SOL'#]]</f>
        <v>SOL-10373</v>
      </c>
      <c r="D36" s="21"/>
      <c r="E36" s="11"/>
      <c r="F36" s="11"/>
      <c r="G36" s="12"/>
      <c r="H36" s="13"/>
      <c r="I36" s="13"/>
      <c r="J36" s="14"/>
      <c r="K36" s="80"/>
      <c r="L36" s="38"/>
      <c r="M36" s="38"/>
    </row>
    <row r="37" spans="1:13" ht="15.6">
      <c r="A37" s="27" t="str">
        <v>K495</v>
      </c>
      <c r="B37" s="28" t="str">
        <v>NY</v>
      </c>
      <c r="C37" s="28" t="str">
        <f>Sites[[#This Row],[SOL'#]]</f>
        <v>SOL-10374</v>
      </c>
      <c r="D37" s="10"/>
      <c r="E37" s="15"/>
      <c r="F37" s="15"/>
      <c r="G37" s="16"/>
      <c r="H37" s="17"/>
      <c r="I37" s="17"/>
      <c r="J37" s="16"/>
      <c r="K37" s="16"/>
      <c r="L37" s="39"/>
      <c r="M37" s="40"/>
    </row>
    <row r="38" spans="1:13" ht="15.6">
      <c r="A38" s="25" t="str">
        <v>M020</v>
      </c>
      <c r="B38" s="26" t="str">
        <v>NY</v>
      </c>
      <c r="C38" s="26" t="str">
        <f>Sites[[#This Row],[SOL'#]]</f>
        <v>SOL-10380</v>
      </c>
      <c r="D38" s="21"/>
      <c r="E38" s="11"/>
      <c r="F38" s="11"/>
      <c r="G38" s="12"/>
      <c r="H38" s="13"/>
      <c r="I38" s="13"/>
      <c r="J38" s="14"/>
      <c r="K38" s="80"/>
      <c r="L38" s="38"/>
      <c r="M38" s="38"/>
    </row>
    <row r="39" spans="1:13" ht="15.6">
      <c r="A39" s="27" t="str">
        <v>M092</v>
      </c>
      <c r="B39" s="28" t="str">
        <v>NY</v>
      </c>
      <c r="C39" s="28" t="str">
        <f>Sites[[#This Row],[SOL'#]]</f>
        <v>SOL-10383</v>
      </c>
      <c r="D39" s="10"/>
      <c r="E39" s="15"/>
      <c r="F39" s="15"/>
      <c r="G39" s="16"/>
      <c r="H39" s="17"/>
      <c r="I39" s="17"/>
      <c r="J39" s="16"/>
      <c r="K39" s="16"/>
      <c r="L39" s="39"/>
      <c r="M39" s="40"/>
    </row>
    <row r="40" spans="1:13" ht="15.6">
      <c r="A40" s="25" t="str">
        <v>M143</v>
      </c>
      <c r="B40" s="26" t="str">
        <v>NY</v>
      </c>
      <c r="C40" s="26" t="str">
        <f>Sites[[#This Row],[SOL'#]]</f>
        <v>SOL-10384</v>
      </c>
      <c r="D40" s="21"/>
      <c r="E40" s="11"/>
      <c r="F40" s="11"/>
      <c r="G40" s="12"/>
      <c r="H40" s="13"/>
      <c r="I40" s="13"/>
      <c r="J40" s="14"/>
      <c r="K40" s="80"/>
      <c r="L40" s="38"/>
      <c r="M40" s="38"/>
    </row>
    <row r="41" spans="1:13" ht="15.6">
      <c r="A41" s="27" t="str">
        <v>M144</v>
      </c>
      <c r="B41" s="28" t="str">
        <v>NY</v>
      </c>
      <c r="C41" s="28" t="str">
        <f>Sites[[#This Row],[SOL'#]]</f>
        <v>SOL-10385</v>
      </c>
      <c r="D41" s="10"/>
      <c r="E41" s="15"/>
      <c r="F41" s="15"/>
      <c r="G41" s="16"/>
      <c r="H41" s="17"/>
      <c r="I41" s="17"/>
      <c r="J41" s="16"/>
      <c r="K41" s="16"/>
      <c r="L41" s="39"/>
      <c r="M41" s="39"/>
    </row>
    <row r="42" spans="1:13" ht="15.6">
      <c r="A42" s="25" t="str">
        <v>M167</v>
      </c>
      <c r="B42" s="26" t="str">
        <v>NY</v>
      </c>
      <c r="C42" s="26" t="str">
        <f>Sites[[#This Row],[SOL'#]]</f>
        <v>SOL-10386</v>
      </c>
      <c r="D42" s="21"/>
      <c r="E42" s="11"/>
      <c r="F42" s="11"/>
      <c r="G42" s="12"/>
      <c r="H42" s="13"/>
      <c r="I42" s="13"/>
      <c r="J42" s="14"/>
      <c r="K42" s="80"/>
      <c r="L42" s="38"/>
      <c r="M42" s="38"/>
    </row>
    <row r="43" spans="1:13" ht="15.6">
      <c r="A43" s="27" t="str">
        <v>M188</v>
      </c>
      <c r="B43" s="28" t="str">
        <v>NY</v>
      </c>
      <c r="C43" s="28" t="str">
        <f>Sites[[#This Row],[SOL'#]]</f>
        <v>SOL-10387</v>
      </c>
      <c r="D43" s="10"/>
      <c r="E43" s="15"/>
      <c r="F43" s="15"/>
      <c r="G43" s="16"/>
      <c r="H43" s="17"/>
      <c r="I43" s="17"/>
      <c r="J43" s="16"/>
      <c r="K43" s="16"/>
      <c r="L43" s="39"/>
      <c r="M43" s="40"/>
    </row>
    <row r="44" spans="1:13" ht="15.6">
      <c r="A44" s="25" t="str">
        <v>EMHC</v>
      </c>
      <c r="B44" s="26" t="str">
        <v>NY</v>
      </c>
      <c r="C44" s="26" t="str">
        <f>Sites[[#This Row],[SOL'#]]</f>
        <v>SOL-10351</v>
      </c>
      <c r="D44" s="21"/>
      <c r="E44" s="11"/>
      <c r="F44" s="11"/>
      <c r="G44" s="12"/>
      <c r="H44" s="13"/>
      <c r="I44" s="13"/>
      <c r="J44" s="14"/>
      <c r="K44" s="80"/>
      <c r="L44" s="38"/>
      <c r="M44" s="38"/>
    </row>
    <row r="45" spans="1:13" ht="15.6">
      <c r="A45" s="27" t="str">
        <v>Q008</v>
      </c>
      <c r="B45" s="28" t="str">
        <v>NY</v>
      </c>
      <c r="C45" s="28" t="str">
        <f>Sites[[#This Row],[SOL'#]]</f>
        <v>SOL-10397</v>
      </c>
      <c r="D45" s="10"/>
      <c r="E45" s="15"/>
      <c r="F45" s="15"/>
      <c r="G45" s="16"/>
      <c r="H45" s="17"/>
      <c r="I45" s="17"/>
      <c r="J45" s="16"/>
      <c r="K45" s="16"/>
      <c r="L45" s="39"/>
      <c r="M45" s="40"/>
    </row>
    <row r="46" spans="1:13" ht="15.6">
      <c r="A46" s="25" t="str">
        <v>Q018</v>
      </c>
      <c r="B46" s="26" t="str">
        <v>NY</v>
      </c>
      <c r="C46" s="26" t="str">
        <f>Sites[[#This Row],[SOL'#]]</f>
        <v>SOL-10398</v>
      </c>
      <c r="D46" s="21"/>
      <c r="E46" s="11"/>
      <c r="F46" s="11"/>
      <c r="G46" s="12"/>
      <c r="H46" s="13"/>
      <c r="I46" s="13"/>
      <c r="J46" s="14"/>
      <c r="K46" s="80"/>
      <c r="L46" s="38"/>
      <c r="M46" s="38"/>
    </row>
    <row r="47" spans="1:13" ht="15.6">
      <c r="A47" s="27" t="str">
        <v>Q021</v>
      </c>
      <c r="B47" s="28" t="str">
        <v>NY</v>
      </c>
      <c r="C47" s="28" t="str">
        <f>Sites[[#This Row],[SOL'#]]</f>
        <v>SOL-10399</v>
      </c>
      <c r="D47" s="10"/>
      <c r="E47" s="15"/>
      <c r="F47" s="15"/>
      <c r="G47" s="16"/>
      <c r="H47" s="17"/>
      <c r="I47" s="17"/>
      <c r="J47" s="16"/>
      <c r="K47" s="16"/>
      <c r="L47" s="39"/>
      <c r="M47" s="40"/>
    </row>
    <row r="48" spans="1:13" ht="15.6">
      <c r="A48" s="25" t="str">
        <v>Q025</v>
      </c>
      <c r="B48" s="26" t="str">
        <v>NY</v>
      </c>
      <c r="C48" s="26" t="str">
        <f>Sites[[#This Row],[SOL'#]]</f>
        <v>SOL-10400</v>
      </c>
      <c r="D48" s="21"/>
      <c r="E48" s="11"/>
      <c r="F48" s="11"/>
      <c r="G48" s="12"/>
      <c r="H48" s="13"/>
      <c r="I48" s="13"/>
      <c r="J48" s="14"/>
      <c r="K48" s="80"/>
      <c r="L48" s="38"/>
      <c r="M48" s="38"/>
    </row>
    <row r="49" spans="1:13" ht="15.6">
      <c r="A49" s="27" t="str">
        <v>Q074</v>
      </c>
      <c r="B49" s="28" t="str">
        <v>NY</v>
      </c>
      <c r="C49" s="28" t="str">
        <f>Sites[[#This Row],[SOL'#]]</f>
        <v>SOL-10402</v>
      </c>
      <c r="D49" s="10"/>
      <c r="E49" s="15"/>
      <c r="F49" s="15"/>
      <c r="G49" s="16"/>
      <c r="H49" s="17"/>
      <c r="I49" s="17"/>
      <c r="J49" s="16"/>
      <c r="K49" s="16"/>
      <c r="L49" s="39"/>
      <c r="M49" s="40"/>
    </row>
    <row r="50" spans="1:13" ht="15.6">
      <c r="A50" s="25" t="str">
        <v>Q115</v>
      </c>
      <c r="B50" s="26" t="str">
        <v>NY</v>
      </c>
      <c r="C50" s="26" t="str">
        <f>Sites[[#This Row],[SOL'#]]</f>
        <v>SOL-10872</v>
      </c>
      <c r="D50" s="21"/>
      <c r="E50" s="11"/>
      <c r="F50" s="11"/>
      <c r="G50" s="12"/>
      <c r="H50" s="13"/>
      <c r="I50" s="13"/>
      <c r="J50" s="14"/>
      <c r="K50" s="80"/>
      <c r="L50" s="38"/>
      <c r="M50" s="38"/>
    </row>
    <row r="51" spans="1:13" ht="15.6">
      <c r="A51" s="27" t="str">
        <v>Q139</v>
      </c>
      <c r="B51" s="28" t="str">
        <v>NY</v>
      </c>
      <c r="C51" s="28" t="str">
        <f>Sites[[#This Row],[SOL'#]]</f>
        <v>SOL-10403</v>
      </c>
      <c r="D51" s="10"/>
      <c r="E51" s="15"/>
      <c r="F51" s="15"/>
      <c r="G51" s="16"/>
      <c r="H51" s="17"/>
      <c r="I51" s="17"/>
      <c r="J51" s="16"/>
      <c r="K51" s="16"/>
      <c r="L51" s="39"/>
      <c r="M51" s="40"/>
    </row>
    <row r="52" spans="1:13" ht="15.6">
      <c r="A52" s="25" t="str">
        <v>Q157</v>
      </c>
      <c r="B52" s="26" t="str">
        <v>NY</v>
      </c>
      <c r="C52" s="26" t="str">
        <f>Sites[[#This Row],[SOL'#]]</f>
        <v>SOL-10404</v>
      </c>
      <c r="D52" s="21"/>
      <c r="E52" s="11"/>
      <c r="F52" s="11"/>
      <c r="G52" s="12"/>
      <c r="H52" s="13"/>
      <c r="I52" s="13"/>
      <c r="J52" s="14"/>
      <c r="K52" s="80"/>
      <c r="L52" s="38"/>
      <c r="M52" s="38"/>
    </row>
    <row r="53" spans="1:13" ht="15.6">
      <c r="A53" s="27" t="str">
        <v>Q192</v>
      </c>
      <c r="B53" s="28" t="str">
        <v>NY</v>
      </c>
      <c r="C53" s="28" t="str">
        <f>Sites[[#This Row],[SOL'#]]</f>
        <v>SOL-10406</v>
      </c>
      <c r="D53" s="10"/>
      <c r="E53" s="15"/>
      <c r="F53" s="15"/>
      <c r="G53" s="16"/>
      <c r="H53" s="17"/>
      <c r="I53" s="17"/>
      <c r="J53" s="16"/>
      <c r="K53" s="16"/>
      <c r="L53" s="39"/>
      <c r="M53" s="39"/>
    </row>
    <row r="54" spans="1:13" ht="15.6">
      <c r="A54" s="25" t="str">
        <v>Q210</v>
      </c>
      <c r="B54" s="26" t="str">
        <v>NY</v>
      </c>
      <c r="C54" s="26" t="str">
        <f>Sites[[#This Row],[SOL'#]]</f>
        <v>SOL-10407</v>
      </c>
      <c r="D54" s="21"/>
      <c r="E54" s="11"/>
      <c r="F54" s="11"/>
      <c r="G54" s="12"/>
      <c r="H54" s="13"/>
      <c r="I54" s="13"/>
      <c r="J54" s="14"/>
      <c r="K54" s="80"/>
      <c r="L54" s="38"/>
      <c r="M54" s="38"/>
    </row>
    <row r="55" spans="1:13" ht="15.6">
      <c r="A55" s="27" t="str">
        <v>Q229</v>
      </c>
      <c r="B55" s="28" t="str">
        <v>NY</v>
      </c>
      <c r="C55" s="28" t="str">
        <f>Sites[[#This Row],[SOL'#]]</f>
        <v>SOL-10408</v>
      </c>
      <c r="D55" s="10"/>
      <c r="E55" s="15"/>
      <c r="F55" s="15"/>
      <c r="G55" s="16"/>
      <c r="H55" s="17"/>
      <c r="I55" s="17"/>
      <c r="J55" s="16"/>
      <c r="K55" s="16"/>
      <c r="L55" s="39"/>
      <c r="M55" s="40"/>
    </row>
    <row r="56" spans="1:13" ht="15.6">
      <c r="A56" s="25" t="str">
        <v>Q231</v>
      </c>
      <c r="B56" s="26" t="str">
        <v>NY</v>
      </c>
      <c r="C56" s="26" t="str">
        <f>Sites[[#This Row],[SOL'#]]</f>
        <v>SOL-10870</v>
      </c>
      <c r="D56" s="21"/>
      <c r="E56" s="11"/>
      <c r="F56" s="11"/>
      <c r="G56" s="12"/>
      <c r="H56" s="13"/>
      <c r="I56" s="13"/>
      <c r="J56" s="14"/>
      <c r="K56" s="80"/>
      <c r="L56" s="38"/>
      <c r="M56" s="38"/>
    </row>
    <row r="57" spans="1:13" ht="15.6">
      <c r="A57" s="27" t="str">
        <v>Q405</v>
      </c>
      <c r="B57" s="28" t="str">
        <v>NY</v>
      </c>
      <c r="C57" s="28" t="str">
        <f>Sites[[#This Row],[SOL'#]]</f>
        <v>SOL-10409</v>
      </c>
      <c r="D57" s="10"/>
      <c r="E57" s="15"/>
      <c r="F57" s="15"/>
      <c r="G57" s="16"/>
      <c r="H57" s="17"/>
      <c r="I57" s="17"/>
      <c r="J57" s="16"/>
      <c r="K57" s="16"/>
      <c r="L57" s="39"/>
      <c r="M57" s="40"/>
    </row>
    <row r="58" spans="1:13" ht="15.6">
      <c r="A58" s="25" t="str">
        <v>Q435</v>
      </c>
      <c r="B58" s="26" t="str">
        <v>NY</v>
      </c>
      <c r="C58" s="26" t="str">
        <f>Sites[[#This Row],[SOL'#]]</f>
        <v>SOL-10923</v>
      </c>
      <c r="D58" s="21"/>
      <c r="E58" s="11"/>
      <c r="F58" s="11"/>
      <c r="G58" s="12"/>
      <c r="H58" s="13"/>
      <c r="I58" s="13"/>
      <c r="J58" s="14"/>
      <c r="K58" s="80"/>
      <c r="L58" s="38"/>
      <c r="M58" s="38"/>
    </row>
    <row r="59" spans="1:13" ht="15.6">
      <c r="A59" s="27" t="str">
        <v>Q485</v>
      </c>
      <c r="B59" s="28" t="str">
        <v>NY</v>
      </c>
      <c r="C59" s="28" t="str">
        <f>Sites[[#This Row],[SOL'#]]</f>
        <v>SOL-10869</v>
      </c>
      <c r="D59" s="10"/>
      <c r="E59" s="15"/>
      <c r="F59" s="15"/>
      <c r="G59" s="16"/>
      <c r="H59" s="17"/>
      <c r="I59" s="17"/>
      <c r="J59" s="16"/>
      <c r="K59" s="16"/>
      <c r="L59" s="39"/>
      <c r="M59" s="40"/>
    </row>
    <row r="60" spans="1:13" ht="15.6">
      <c r="A60" s="25" t="str">
        <v>Q490</v>
      </c>
      <c r="B60" s="26" t="str">
        <v>NY</v>
      </c>
      <c r="C60" s="26" t="str">
        <f>Sites[[#This Row],[SOL'#]]</f>
        <v>SOL-10411</v>
      </c>
      <c r="D60" s="21"/>
      <c r="E60" s="11"/>
      <c r="F60" s="11"/>
      <c r="G60" s="12"/>
      <c r="H60" s="13"/>
      <c r="I60" s="13"/>
      <c r="J60" s="14"/>
      <c r="K60" s="80"/>
      <c r="L60" s="38"/>
      <c r="M60" s="38"/>
    </row>
    <row r="61" spans="1:13" ht="15.6">
      <c r="A61" s="27" t="str">
        <v>Q620</v>
      </c>
      <c r="B61" s="28" t="str">
        <v>NY</v>
      </c>
      <c r="C61" s="28" t="str">
        <f>Sites[[#This Row],[SOL'#]]</f>
        <v>SOL-10867</v>
      </c>
      <c r="D61" s="10"/>
      <c r="E61" s="15"/>
      <c r="F61" s="15"/>
      <c r="G61" s="16"/>
      <c r="H61" s="17"/>
      <c r="I61" s="17"/>
      <c r="J61" s="16"/>
      <c r="K61" s="16"/>
      <c r="L61" s="39"/>
      <c r="M61" s="40"/>
    </row>
    <row r="62" spans="1:13" ht="15.6">
      <c r="A62" s="25" t="str">
        <v>QMOA</v>
      </c>
      <c r="B62" s="26" t="str">
        <v>NY</v>
      </c>
      <c r="C62" s="26" t="str">
        <f>Sites[[#This Row],[SOL'#]]</f>
        <v>SOL-10415</v>
      </c>
      <c r="D62" s="21"/>
      <c r="E62" s="11"/>
      <c r="F62" s="11"/>
      <c r="G62" s="12"/>
      <c r="H62" s="13"/>
      <c r="I62" s="13"/>
      <c r="J62" s="14"/>
      <c r="K62" s="80"/>
      <c r="L62" s="38"/>
      <c r="M62" s="38"/>
    </row>
    <row r="63" spans="1:13" ht="15.6">
      <c r="A63" s="27" t="str">
        <v>X024</v>
      </c>
      <c r="B63" s="28" t="str">
        <v>NY</v>
      </c>
      <c r="C63" s="28" t="str">
        <f>Sites[[#This Row],[SOL'#]]</f>
        <v>SOL-10419</v>
      </c>
      <c r="D63" s="10"/>
      <c r="E63" s="15"/>
      <c r="F63" s="15"/>
      <c r="G63" s="16"/>
      <c r="H63" s="17"/>
      <c r="I63" s="17"/>
      <c r="J63" s="16"/>
      <c r="K63" s="16"/>
      <c r="L63" s="39"/>
      <c r="M63" s="40"/>
    </row>
    <row r="64" spans="1:13" ht="15.6">
      <c r="A64" s="25" t="str">
        <v>X026</v>
      </c>
      <c r="B64" s="26" t="str">
        <v>NY</v>
      </c>
      <c r="C64" s="26" t="str">
        <f>Sites[[#This Row],[SOL'#]]</f>
        <v>SOL-10420</v>
      </c>
      <c r="D64" s="21"/>
      <c r="E64" s="11"/>
      <c r="F64" s="11"/>
      <c r="G64" s="12"/>
      <c r="H64" s="13"/>
      <c r="I64" s="13"/>
      <c r="J64" s="14"/>
      <c r="K64" s="80"/>
      <c r="L64" s="38"/>
      <c r="M64" s="38"/>
    </row>
    <row r="65" spans="1:13" ht="15.6">
      <c r="A65" s="27" t="str">
        <v>X090</v>
      </c>
      <c r="B65" s="28" t="str">
        <v>NY</v>
      </c>
      <c r="C65" s="28" t="str">
        <f>Sites[[#This Row],[SOL'#]]</f>
        <v>SOL-10925</v>
      </c>
      <c r="D65" s="10"/>
      <c r="E65" s="15"/>
      <c r="F65" s="15"/>
      <c r="G65" s="16"/>
      <c r="H65" s="17"/>
      <c r="I65" s="17"/>
      <c r="J65" s="16"/>
      <c r="K65" s="16"/>
      <c r="L65" s="39"/>
      <c r="M65" s="39"/>
    </row>
    <row r="66" spans="1:13" ht="15.6">
      <c r="A66" s="25" t="str">
        <v>X117</v>
      </c>
      <c r="B66" s="26" t="str">
        <v>NY</v>
      </c>
      <c r="C66" s="26" t="str">
        <f>Sites[[#This Row],[SOL'#]]</f>
        <v>SOL-10422</v>
      </c>
      <c r="D66" s="21"/>
      <c r="E66" s="11"/>
      <c r="F66" s="11"/>
      <c r="G66" s="12"/>
      <c r="H66" s="13"/>
      <c r="I66" s="13"/>
      <c r="J66" s="14"/>
      <c r="K66" s="80"/>
      <c r="L66" s="38"/>
      <c r="M66" s="38"/>
    </row>
    <row r="67" spans="1:13" ht="15.6">
      <c r="A67" s="27" t="str">
        <v>X125</v>
      </c>
      <c r="B67" s="28" t="str">
        <v>NY</v>
      </c>
      <c r="C67" s="28" t="str">
        <f>Sites[[#This Row],[SOL'#]]</f>
        <v>SOL-10423</v>
      </c>
      <c r="D67" s="10"/>
      <c r="E67" s="15"/>
      <c r="F67" s="15"/>
      <c r="G67" s="16"/>
      <c r="H67" s="17"/>
      <c r="I67" s="17"/>
      <c r="J67" s="16"/>
      <c r="K67" s="16"/>
      <c r="L67" s="39"/>
      <c r="M67" s="40"/>
    </row>
    <row r="68" spans="1:13" ht="15.6">
      <c r="A68" s="25" t="str">
        <v>X134</v>
      </c>
      <c r="B68" s="26" t="str">
        <v>NY</v>
      </c>
      <c r="C68" s="26" t="str">
        <f>Sites[[#This Row],[SOL'#]]</f>
        <v>SOL-10424</v>
      </c>
      <c r="D68" s="21"/>
      <c r="E68" s="11"/>
      <c r="F68" s="11"/>
      <c r="G68" s="12"/>
      <c r="H68" s="13"/>
      <c r="I68" s="13"/>
      <c r="J68" s="14"/>
      <c r="K68" s="80"/>
      <c r="L68" s="38"/>
      <c r="M68" s="38"/>
    </row>
    <row r="69" spans="1:13" ht="15.6">
      <c r="A69" s="27" t="str">
        <v>X135</v>
      </c>
      <c r="B69" s="28" t="str">
        <v>NY</v>
      </c>
      <c r="C69" s="28" t="str">
        <f>Sites[[#This Row],[SOL'#]]</f>
        <v>SOL-10425</v>
      </c>
      <c r="D69" s="10"/>
      <c r="E69" s="15"/>
      <c r="F69" s="15"/>
      <c r="G69" s="16"/>
      <c r="H69" s="17"/>
      <c r="I69" s="17"/>
      <c r="J69" s="16"/>
      <c r="K69" s="16"/>
      <c r="L69" s="39"/>
      <c r="M69" s="40"/>
    </row>
    <row r="70" spans="1:13" ht="15.6">
      <c r="A70" s="25" t="str">
        <v>X139 JHS 222</v>
      </c>
      <c r="B70" s="26" t="str">
        <v>NY</v>
      </c>
      <c r="C70" s="26" t="str">
        <f>Sites[[#This Row],[SOL'#]]</f>
        <v>SOL-10426</v>
      </c>
      <c r="D70" s="21"/>
      <c r="E70" s="11"/>
      <c r="F70" s="11"/>
      <c r="G70" s="12"/>
      <c r="H70" s="13"/>
      <c r="I70" s="13"/>
      <c r="J70" s="14"/>
      <c r="K70" s="80"/>
      <c r="L70" s="38"/>
      <c r="M70" s="38"/>
    </row>
    <row r="71" spans="1:13" ht="15.6">
      <c r="A71" s="27" t="str">
        <v>X140</v>
      </c>
      <c r="B71" s="28" t="str">
        <v>NY</v>
      </c>
      <c r="C71" s="28" t="str">
        <f>Sites[[#This Row],[SOL'#]]</f>
        <v>SOL-10926</v>
      </c>
      <c r="D71" s="10"/>
      <c r="E71" s="15"/>
      <c r="F71" s="15"/>
      <c r="G71" s="16"/>
      <c r="H71" s="17"/>
      <c r="I71" s="17"/>
      <c r="J71" s="16"/>
      <c r="K71" s="16"/>
      <c r="L71" s="39"/>
      <c r="M71" s="40"/>
    </row>
    <row r="72" spans="1:13" ht="15.6">
      <c r="A72" s="25" t="str">
        <v>X166</v>
      </c>
      <c r="B72" s="26" t="str">
        <v>NY</v>
      </c>
      <c r="C72" s="26" t="str">
        <f>Sites[[#This Row],[SOL'#]]</f>
        <v>SOL-10427</v>
      </c>
      <c r="D72" s="21"/>
      <c r="E72" s="11"/>
      <c r="F72" s="11"/>
      <c r="G72" s="12"/>
      <c r="H72" s="13"/>
      <c r="I72" s="13"/>
      <c r="J72" s="14"/>
      <c r="K72" s="80"/>
      <c r="L72" s="38"/>
      <c r="M72" s="38"/>
    </row>
    <row r="73" spans="1:13" ht="15.6">
      <c r="A73" s="27" t="str">
        <v>Murphy</v>
      </c>
      <c r="B73" s="28" t="str">
        <v>MN</v>
      </c>
      <c r="C73" s="28" t="str">
        <f>Sites[[#This Row],[SOL'#]]</f>
        <v>SOL-10094</v>
      </c>
      <c r="D73" s="10"/>
      <c r="E73" s="15"/>
      <c r="F73" s="15"/>
      <c r="G73" s="16"/>
      <c r="H73" s="17"/>
      <c r="I73" s="17"/>
      <c r="J73" s="16"/>
      <c r="K73" s="16"/>
      <c r="L73" s="39"/>
      <c r="M73" s="40"/>
    </row>
    <row r="74" spans="1:13" ht="15.6">
      <c r="A74" s="25" t="str">
        <v>Terning</v>
      </c>
      <c r="B74" s="26" t="str">
        <v>MN</v>
      </c>
      <c r="C74" s="26" t="str">
        <f>Sites[[#This Row],[SOL'#]]</f>
        <v>SOL-10093</v>
      </c>
      <c r="D74" s="21"/>
      <c r="E74" s="11"/>
      <c r="F74" s="11"/>
      <c r="G74" s="12"/>
      <c r="H74" s="13"/>
      <c r="I74" s="13"/>
      <c r="J74" s="14"/>
      <c r="K74" s="80"/>
      <c r="L74" s="38"/>
      <c r="M74" s="38"/>
    </row>
    <row r="75" spans="1:13" ht="15.6">
      <c r="A75" s="27" t="str">
        <v>Boas Road 04</v>
      </c>
      <c r="B75" s="28" t="str">
        <v>NY</v>
      </c>
      <c r="C75" s="28" t="str">
        <f>Sites[[#This Row],[SOL'#]]</f>
        <v>SOL-10908</v>
      </c>
      <c r="D75" s="10"/>
      <c r="E75" s="15"/>
      <c r="F75" s="15"/>
      <c r="G75" s="16"/>
      <c r="H75" s="17"/>
      <c r="I75" s="17"/>
      <c r="J75" s="16"/>
      <c r="K75" s="16"/>
      <c r="L75" s="39"/>
      <c r="M75" s="40"/>
    </row>
    <row r="76" spans="1:13" ht="15.6">
      <c r="A76" s="25" t="str">
        <v>Kelly Bridge Farm</v>
      </c>
      <c r="B76" s="26" t="str">
        <v>NY</v>
      </c>
      <c r="C76" s="26" t="str">
        <f>Sites[[#This Row],[SOL'#]]</f>
        <v>SOL-10911</v>
      </c>
      <c r="D76" s="21"/>
      <c r="E76" s="11"/>
      <c r="F76" s="11"/>
      <c r="G76" s="12"/>
      <c r="H76" s="13"/>
      <c r="I76" s="13"/>
      <c r="J76" s="14"/>
      <c r="K76" s="80"/>
      <c r="L76" s="38"/>
      <c r="M76" s="38"/>
    </row>
    <row r="77" spans="1:13" ht="15.6">
      <c r="A77" s="27" t="str">
        <v>Pool Brook Road</v>
      </c>
      <c r="B77" s="28" t="str">
        <v>NY</v>
      </c>
      <c r="C77" s="28" t="str">
        <f>Sites[[#This Row],[SOL'#]]</f>
        <v>SOL-10909</v>
      </c>
      <c r="D77" s="10"/>
      <c r="E77" s="15"/>
      <c r="F77" s="15"/>
      <c r="G77" s="16"/>
      <c r="H77" s="17"/>
      <c r="I77" s="17"/>
      <c r="J77" s="16"/>
      <c r="K77" s="16"/>
      <c r="L77" s="39"/>
      <c r="M77" s="39"/>
    </row>
    <row r="78" spans="1:13" ht="15.6">
      <c r="A78" s="25" t="str">
        <v>Sackett Lake</v>
      </c>
      <c r="B78" s="26" t="str">
        <v>NY</v>
      </c>
      <c r="C78" s="26" t="str">
        <f>Sites[[#This Row],[SOL'#]]</f>
        <v>SOL-10910</v>
      </c>
      <c r="D78" s="21"/>
      <c r="E78" s="11"/>
      <c r="F78" s="11"/>
      <c r="G78" s="12"/>
      <c r="H78" s="13"/>
      <c r="I78" s="13"/>
      <c r="J78" s="14"/>
      <c r="K78" s="80"/>
      <c r="L78" s="38"/>
      <c r="M78" s="38"/>
    </row>
    <row r="79" spans="1:13" ht="15.6">
      <c r="A79" s="27" t="str">
        <v>Burritt Road</v>
      </c>
      <c r="B79" s="28" t="str">
        <v>NY</v>
      </c>
      <c r="C79" s="28" t="str">
        <f>Sites[[#This Row],[SOL'#]]</f>
        <v>SOL-10913</v>
      </c>
      <c r="D79" s="10"/>
      <c r="E79" s="15"/>
      <c r="F79" s="15"/>
      <c r="G79" s="16"/>
      <c r="H79" s="17"/>
      <c r="I79" s="17"/>
      <c r="J79" s="16"/>
      <c r="K79" s="16"/>
      <c r="L79" s="39"/>
      <c r="M79" s="40"/>
    </row>
    <row r="80" spans="1:13" ht="15.6">
      <c r="A80" s="25" t="str">
        <v>Villa Roma 1</v>
      </c>
      <c r="B80" s="26" t="str">
        <v>NY</v>
      </c>
      <c r="C80" s="26" t="str">
        <f>Sites[[#This Row],[SOL'#]]</f>
        <v>SOL-10914</v>
      </c>
      <c r="D80" s="21"/>
      <c r="E80" s="11"/>
      <c r="F80" s="11"/>
      <c r="G80" s="12"/>
      <c r="H80" s="13"/>
      <c r="I80" s="13"/>
      <c r="J80" s="14"/>
      <c r="K80" s="80"/>
      <c r="L80" s="38"/>
      <c r="M80" s="38"/>
    </row>
    <row r="81" spans="1:13" ht="15.6">
      <c r="A81" s="27" t="str">
        <v>Villa Roma 2</v>
      </c>
      <c r="B81" s="28" t="str">
        <v>NY</v>
      </c>
      <c r="C81" s="28" t="str">
        <f>Sites[[#This Row],[SOL'#]]</f>
        <v>SOL-10915</v>
      </c>
      <c r="D81" s="10"/>
      <c r="E81" s="15"/>
      <c r="F81" s="15"/>
      <c r="G81" s="16"/>
      <c r="H81" s="17"/>
      <c r="I81" s="17"/>
      <c r="J81" s="16"/>
      <c r="K81" s="16"/>
      <c r="L81" s="39"/>
      <c r="M81" s="40"/>
    </row>
    <row r="82" spans="1:13" ht="15.6">
      <c r="A82" s="25" t="str">
        <v>Washington 1</v>
      </c>
      <c r="B82" s="26" t="str">
        <v>NY</v>
      </c>
      <c r="C82" s="26" t="str">
        <f>Sites[[#This Row],[SOL'#]]</f>
        <v>SOL-10912</v>
      </c>
      <c r="D82" s="21"/>
      <c r="E82" s="11"/>
      <c r="F82" s="11"/>
      <c r="G82" s="12"/>
      <c r="H82" s="13"/>
      <c r="I82" s="13"/>
      <c r="J82" s="14"/>
      <c r="K82" s="80"/>
      <c r="L82" s="38"/>
      <c r="M82" s="38"/>
    </row>
    <row r="83" spans="1:13" ht="15.6">
      <c r="A83" s="27" t="str">
        <v>Washington 3</v>
      </c>
      <c r="B83" s="28" t="str">
        <v>NY</v>
      </c>
      <c r="C83" s="28" t="str">
        <f>Sites[[#This Row],[SOL'#]]</f>
        <v>SOL-10828</v>
      </c>
      <c r="D83" s="10"/>
      <c r="E83" s="15"/>
      <c r="F83" s="15"/>
      <c r="G83" s="16"/>
      <c r="H83" s="17"/>
      <c r="I83" s="17"/>
      <c r="J83" s="16"/>
      <c r="K83" s="16"/>
      <c r="L83" s="39"/>
      <c r="M83" s="40"/>
    </row>
    <row r="84" spans="1:13" ht="15.6">
      <c r="A84" s="25" t="str">
        <v>Washington 4</v>
      </c>
      <c r="B84" s="26" t="str">
        <v>NY</v>
      </c>
      <c r="C84" s="26" t="str">
        <f>Sites[[#This Row],[SOL'#]]</f>
        <v>SOL-10829</v>
      </c>
      <c r="D84" s="21"/>
      <c r="E84" s="11"/>
      <c r="F84" s="11"/>
      <c r="G84" s="12"/>
      <c r="H84" s="13"/>
      <c r="I84" s="13"/>
      <c r="J84" s="14"/>
      <c r="K84" s="80"/>
      <c r="L84" s="38"/>
      <c r="M84" s="38"/>
    </row>
    <row r="85" spans="1:13" ht="15.6">
      <c r="A85" s="27" t="str">
        <v>Big Tree</v>
      </c>
      <c r="B85" s="28" t="str">
        <v>NY</v>
      </c>
      <c r="C85" s="28" t="str">
        <f>Sites[[#This Row],[SOL'#]]</f>
        <v>SOL-10966</v>
      </c>
      <c r="D85" s="10"/>
      <c r="E85" s="15"/>
      <c r="F85" s="15"/>
      <c r="G85" s="16"/>
      <c r="H85" s="17"/>
      <c r="I85" s="17"/>
      <c r="J85" s="16"/>
      <c r="K85" s="16"/>
      <c r="L85" s="39"/>
      <c r="M85" s="40"/>
    </row>
    <row r="86" spans="1:13" ht="15.6">
      <c r="A86" s="25" t="str">
        <v>Canoga</v>
      </c>
      <c r="B86" s="26" t="str">
        <v>NY</v>
      </c>
      <c r="C86" s="26" t="str">
        <f>Sites[[#This Row],[SOL'#]]</f>
        <v>SOL-10965</v>
      </c>
      <c r="D86" s="21"/>
      <c r="E86" s="11"/>
      <c r="F86" s="11"/>
      <c r="G86" s="12"/>
      <c r="H86" s="13"/>
      <c r="I86" s="13"/>
      <c r="J86" s="14"/>
      <c r="K86" s="80"/>
      <c r="L86" s="38"/>
      <c r="M86" s="38"/>
    </row>
    <row r="87" spans="1:13" ht="15.6">
      <c r="A87" s="27" t="str">
        <v>County Route 84</v>
      </c>
      <c r="B87" s="28" t="str">
        <v>NY</v>
      </c>
      <c r="C87" s="28" t="str">
        <f>Sites[[#This Row],[SOL'#]]</f>
        <v>SOL-10967</v>
      </c>
      <c r="D87" s="10"/>
      <c r="E87" s="15"/>
      <c r="F87" s="15"/>
      <c r="G87" s="16"/>
      <c r="H87" s="17"/>
      <c r="I87" s="17"/>
      <c r="J87" s="16"/>
      <c r="K87" s="16"/>
      <c r="L87" s="39"/>
      <c r="M87" s="40"/>
    </row>
    <row r="88" spans="1:13" ht="15.6">
      <c r="A88" s="25" t="str">
        <v>Donati</v>
      </c>
      <c r="B88" s="26" t="str">
        <v>NY</v>
      </c>
      <c r="C88" s="26" t="str">
        <f>Sites[[#This Row],[SOL'#]]</f>
        <v>SOL-10968</v>
      </c>
      <c r="D88" s="21"/>
      <c r="E88" s="11"/>
      <c r="F88" s="11"/>
      <c r="G88" s="12"/>
      <c r="H88" s="13"/>
      <c r="I88" s="13"/>
      <c r="J88" s="14"/>
      <c r="K88" s="80"/>
      <c r="L88" s="38"/>
      <c r="M88" s="38"/>
    </row>
    <row r="89" spans="1:13" ht="15.6">
      <c r="A89" s="27" t="str">
        <v>Henrietta</v>
      </c>
      <c r="B89" s="28" t="str">
        <v>NY</v>
      </c>
      <c r="C89" s="28" t="str">
        <f>Sites[[#This Row],[SOL'#]]</f>
        <v>SOL-10972</v>
      </c>
      <c r="D89" s="10"/>
      <c r="E89" s="15"/>
      <c r="F89" s="15"/>
      <c r="G89" s="16"/>
      <c r="H89" s="17"/>
      <c r="I89" s="17"/>
      <c r="J89" s="16"/>
      <c r="K89" s="16"/>
      <c r="L89" s="39"/>
      <c r="M89" s="39"/>
    </row>
    <row r="90" spans="1:13" ht="15.6">
      <c r="A90" s="25" t="str">
        <v>NY 70</v>
      </c>
      <c r="B90" s="26" t="str">
        <v>NY</v>
      </c>
      <c r="C90" s="26" t="str">
        <f>Sites[[#This Row],[SOL'#]]</f>
        <v>SOL-10970</v>
      </c>
      <c r="D90" s="21"/>
      <c r="E90" s="11"/>
      <c r="F90" s="11"/>
      <c r="G90" s="12"/>
      <c r="H90" s="13"/>
      <c r="I90" s="13"/>
      <c r="J90" s="14"/>
      <c r="K90" s="80"/>
      <c r="L90" s="38"/>
      <c r="M90" s="38"/>
    </row>
    <row r="91" spans="1:13" ht="15.6">
      <c r="A91" s="27" t="str">
        <v>Reid</v>
      </c>
      <c r="B91" s="28" t="str">
        <v>NY</v>
      </c>
      <c r="C91" s="28" t="str">
        <f>Sites[[#This Row],[SOL'#]]</f>
        <v>SOL-10991</v>
      </c>
      <c r="D91" s="10"/>
      <c r="E91" s="15"/>
      <c r="F91" s="15"/>
      <c r="G91" s="16"/>
      <c r="H91" s="17"/>
      <c r="I91" s="17"/>
      <c r="J91" s="16"/>
      <c r="K91" s="16"/>
      <c r="L91" s="39"/>
      <c r="M91" s="40"/>
    </row>
    <row r="92" spans="1:13" ht="15.6">
      <c r="A92" s="25" t="str">
        <v>Sangolqui</v>
      </c>
      <c r="B92" s="26" t="str">
        <v>NY</v>
      </c>
      <c r="C92" s="26" t="str">
        <f>Sites[[#This Row],[SOL'#]]</f>
        <v>SOL-10975</v>
      </c>
      <c r="D92" s="21"/>
      <c r="E92" s="11"/>
      <c r="F92" s="11"/>
      <c r="G92" s="12"/>
      <c r="H92" s="13"/>
      <c r="I92" s="13"/>
      <c r="J92" s="14"/>
      <c r="K92" s="80"/>
      <c r="L92" s="38"/>
      <c r="M92" s="38"/>
    </row>
    <row r="93" spans="1:13" ht="15.6">
      <c r="A93" s="27" t="str">
        <v>State Highway 17B</v>
      </c>
      <c r="B93" s="28" t="str">
        <v>NY</v>
      </c>
      <c r="C93" s="28" t="str">
        <f>Sites[[#This Row],[SOL'#]]</f>
        <v>SOL-10988</v>
      </c>
      <c r="D93" s="10"/>
      <c r="E93" s="15"/>
      <c r="F93" s="15"/>
      <c r="G93" s="16"/>
      <c r="H93" s="17"/>
      <c r="I93" s="17"/>
      <c r="J93" s="16"/>
      <c r="K93" s="16"/>
      <c r="L93" s="39"/>
      <c r="M93" s="40"/>
    </row>
    <row r="94" spans="1:13" ht="15.6">
      <c r="A94" s="25" t="str">
        <v>State Route 14A</v>
      </c>
      <c r="B94" s="26" t="str">
        <v>NY</v>
      </c>
      <c r="C94" s="26" t="str">
        <f>Sites[[#This Row],[SOL'#]]</f>
        <v>SOL-10997</v>
      </c>
      <c r="D94" s="21"/>
      <c r="E94" s="11"/>
      <c r="F94" s="11"/>
      <c r="G94" s="12"/>
      <c r="H94" s="13"/>
      <c r="I94" s="13"/>
      <c r="J94" s="14"/>
      <c r="K94" s="80"/>
      <c r="L94" s="38"/>
      <c r="M94" s="38"/>
    </row>
    <row r="95" spans="1:13" ht="15.6">
      <c r="A95" s="27" t="str">
        <v>West Creek</v>
      </c>
      <c r="B95" s="28" t="str">
        <v>NY</v>
      </c>
      <c r="C95" s="28" t="str">
        <f>Sites[[#This Row],[SOL'#]]</f>
        <v>SOL-10995</v>
      </c>
      <c r="D95" s="10"/>
      <c r="E95" s="15"/>
      <c r="F95" s="15"/>
      <c r="G95" s="16"/>
      <c r="H95" s="17"/>
      <c r="I95" s="17"/>
      <c r="J95" s="16"/>
      <c r="K95" s="16"/>
      <c r="L95" s="39"/>
      <c r="M95" s="40"/>
    </row>
    <row r="96" spans="1:13" ht="15.6">
      <c r="A96" s="25" t="str">
        <v>Wildflower</v>
      </c>
      <c r="B96" s="26" t="str">
        <v>NY</v>
      </c>
      <c r="C96" s="26" t="str">
        <f>Sites[[#This Row],[SOL'#]]</f>
        <v>SOL-10982</v>
      </c>
      <c r="D96" s="21"/>
      <c r="E96" s="11"/>
      <c r="F96" s="11"/>
      <c r="G96" s="12"/>
      <c r="H96" s="13"/>
      <c r="I96" s="13"/>
      <c r="J96" s="14"/>
      <c r="K96" s="80"/>
      <c r="L96" s="38"/>
      <c r="M96" s="38"/>
    </row>
    <row r="97" spans="1:13" ht="15.6">
      <c r="A97" s="27" t="str">
        <v>Glen Mary 1</v>
      </c>
      <c r="B97" s="28" t="str">
        <v>NY</v>
      </c>
      <c r="C97" s="28" t="str">
        <f>Sites[[#This Row],[SOL'#]]</f>
        <v>SOL-10993</v>
      </c>
      <c r="D97" s="10"/>
      <c r="E97" s="15"/>
      <c r="F97" s="15"/>
      <c r="G97" s="16"/>
      <c r="H97" s="17"/>
      <c r="I97" s="17"/>
      <c r="J97" s="16"/>
      <c r="K97" s="16"/>
      <c r="L97" s="39"/>
      <c r="M97" s="40"/>
    </row>
    <row r="98" spans="1:13" ht="15.6">
      <c r="A98" s="25" t="str">
        <v>Glen Mary 2</v>
      </c>
      <c r="B98" s="26" t="str">
        <v>NY</v>
      </c>
      <c r="C98" s="26" t="str">
        <f>Sites[[#This Row],[SOL'#]]</f>
        <v>SOL-10994</v>
      </c>
      <c r="D98" s="21"/>
      <c r="E98" s="11"/>
      <c r="F98" s="11"/>
      <c r="G98" s="12"/>
      <c r="H98" s="13"/>
      <c r="I98" s="13"/>
      <c r="J98" s="14"/>
      <c r="K98" s="80"/>
      <c r="L98" s="38"/>
      <c r="M98" s="38"/>
    </row>
    <row r="99" spans="1:13" ht="15.6">
      <c r="A99" s="27" t="str">
        <v>Telegraph 1</v>
      </c>
      <c r="B99" s="28" t="str">
        <v>NY</v>
      </c>
      <c r="C99" s="28" t="str">
        <f>Sites[[#This Row],[SOL'#]]</f>
        <v>SOL-11003</v>
      </c>
      <c r="D99" s="10"/>
      <c r="E99" s="15"/>
      <c r="F99" s="15"/>
      <c r="G99" s="16"/>
      <c r="H99" s="17"/>
      <c r="I99" s="17"/>
      <c r="J99" s="16"/>
      <c r="K99" s="16"/>
      <c r="L99" s="39"/>
      <c r="M99" s="40"/>
    </row>
    <row r="100" spans="1:13" ht="15.6">
      <c r="A100" s="25" t="str">
        <v>Telegraph 2</v>
      </c>
      <c r="B100" s="26" t="str">
        <v>NY</v>
      </c>
      <c r="C100" s="26" t="str">
        <f>Sites[[#This Row],[SOL'#]]</f>
        <v>SOL-11004</v>
      </c>
      <c r="D100" s="21"/>
      <c r="E100" s="11"/>
      <c r="F100" s="11"/>
      <c r="G100" s="12"/>
      <c r="H100" s="13"/>
      <c r="I100" s="13"/>
      <c r="J100" s="14"/>
      <c r="K100" s="80"/>
      <c r="L100" s="38"/>
      <c r="M100" s="38"/>
    </row>
    <row r="101" spans="1:13" ht="15.6">
      <c r="A101" s="27" t="str">
        <v>Cafferty Hill</v>
      </c>
      <c r="B101" s="28" t="str">
        <v>NY</v>
      </c>
      <c r="C101" s="28" t="str">
        <f>Sites[[#This Row],[SOL'#]]</f>
        <v>SOL-10996</v>
      </c>
      <c r="D101" s="10"/>
      <c r="E101" s="15"/>
      <c r="F101" s="15"/>
      <c r="G101" s="16"/>
      <c r="H101" s="17"/>
      <c r="I101" s="17"/>
      <c r="J101" s="16"/>
      <c r="K101" s="16"/>
      <c r="L101" s="39"/>
      <c r="M101" s="39"/>
    </row>
    <row r="102" spans="1:13" ht="15.6">
      <c r="A102" s="25" t="str">
        <v>Dunkleman</v>
      </c>
      <c r="B102" s="26" t="str">
        <v>NY</v>
      </c>
      <c r="C102" s="26" t="str">
        <f>Sites[[#This Row],[SOL'#]]</f>
        <v>SOL-11008</v>
      </c>
      <c r="D102" s="21"/>
      <c r="E102" s="11"/>
      <c r="F102" s="11"/>
      <c r="G102" s="12"/>
      <c r="H102" s="13"/>
      <c r="I102" s="13"/>
      <c r="J102" s="14"/>
      <c r="K102" s="80"/>
      <c r="L102" s="38"/>
      <c r="M102" s="38"/>
    </row>
    <row r="103" spans="1:13" ht="15.6">
      <c r="A103" s="27" t="str">
        <v>Route 19 1</v>
      </c>
      <c r="B103" s="28" t="str">
        <v>NY</v>
      </c>
      <c r="C103" s="28" t="str">
        <f>Sites[[#This Row],[SOL'#]]</f>
        <v>SOL-11001</v>
      </c>
      <c r="D103" s="10"/>
      <c r="E103" s="15"/>
      <c r="F103" s="15"/>
      <c r="G103" s="16"/>
      <c r="H103" s="17"/>
      <c r="I103" s="17"/>
      <c r="J103" s="16"/>
      <c r="K103" s="16"/>
      <c r="L103" s="39"/>
      <c r="M103" s="40"/>
    </row>
    <row r="104" spans="1:13" ht="15.6">
      <c r="A104" s="25" t="str">
        <v>Route 19 2</v>
      </c>
      <c r="B104" s="26" t="str">
        <v>NY</v>
      </c>
      <c r="C104" s="26" t="str">
        <f>Sites[[#This Row],[SOL'#]]</f>
        <v>SOL-11002</v>
      </c>
      <c r="D104" s="21"/>
      <c r="E104" s="11"/>
      <c r="F104" s="11"/>
      <c r="G104" s="12"/>
      <c r="H104" s="13"/>
      <c r="I104" s="13"/>
      <c r="J104" s="14"/>
      <c r="K104" s="80"/>
      <c r="L104" s="38"/>
      <c r="M104" s="38"/>
    </row>
    <row r="105" spans="1:13" ht="15.6">
      <c r="A105" s="27" t="str">
        <v>Yellow Mills 1</v>
      </c>
      <c r="B105" s="28" t="str">
        <v>NY</v>
      </c>
      <c r="C105" s="28" t="str">
        <f>Sites[[#This Row],[SOL'#]]</f>
        <v>SOL-11006</v>
      </c>
      <c r="D105" s="10"/>
      <c r="E105" s="15"/>
      <c r="F105" s="15"/>
      <c r="G105" s="16"/>
      <c r="H105" s="17"/>
      <c r="I105" s="17"/>
      <c r="J105" s="16"/>
      <c r="K105" s="16"/>
      <c r="L105" s="39"/>
      <c r="M105" s="40"/>
    </row>
    <row r="106" spans="1:13" ht="15.6">
      <c r="A106" s="25" t="str">
        <v>Yellow Mills 2</v>
      </c>
      <c r="B106" s="26" t="str">
        <v>NY</v>
      </c>
      <c r="C106" s="26" t="str">
        <f>Sites[[#This Row],[SOL'#]]</f>
        <v>SOL-11005</v>
      </c>
      <c r="D106" s="21"/>
      <c r="E106" s="11"/>
      <c r="F106" s="11"/>
      <c r="G106" s="12"/>
      <c r="H106" s="13"/>
      <c r="I106" s="13"/>
      <c r="J106" s="14"/>
      <c r="K106" s="80"/>
      <c r="L106" s="38"/>
      <c r="M106" s="38"/>
    </row>
    <row r="107" spans="1:13" ht="15.6">
      <c r="A107" s="27" t="str">
        <v>Yellow Mills 3</v>
      </c>
      <c r="B107" s="28" t="str">
        <v>NY</v>
      </c>
      <c r="C107" s="28" t="str">
        <f>Sites[[#This Row],[SOL'#]]</f>
        <v>SOL-11007</v>
      </c>
      <c r="D107" s="10"/>
      <c r="E107" s="15"/>
      <c r="F107" s="15"/>
      <c r="G107" s="16"/>
      <c r="H107" s="17"/>
      <c r="I107" s="17"/>
      <c r="J107" s="16"/>
      <c r="K107" s="16"/>
      <c r="L107" s="39"/>
      <c r="M107" s="40"/>
    </row>
    <row r="108" spans="1:13" ht="15.6">
      <c r="A108" s="25" t="str">
        <v>Catskill</v>
      </c>
      <c r="B108" s="26" t="str">
        <v>NY</v>
      </c>
      <c r="C108" s="26" t="str">
        <f>Sites[[#This Row],[SOL'#]]</f>
        <v>SOL-11021</v>
      </c>
      <c r="D108" s="21"/>
      <c r="E108" s="11"/>
      <c r="F108" s="11"/>
      <c r="G108" s="12"/>
      <c r="H108" s="13"/>
      <c r="I108" s="13"/>
      <c r="J108" s="14"/>
      <c r="K108" s="80"/>
      <c r="L108" s="38"/>
      <c r="M108" s="38"/>
    </row>
    <row r="109" spans="1:13" ht="15.6">
      <c r="A109" s="27" t="str">
        <v>Eddy Ridge</v>
      </c>
      <c r="B109" s="28" t="str">
        <v>NY</v>
      </c>
      <c r="C109" s="28" t="str">
        <f>Sites[[#This Row],[SOL'#]]</f>
        <v>SOL-11054</v>
      </c>
      <c r="D109" s="10"/>
      <c r="E109" s="15"/>
      <c r="F109" s="15"/>
      <c r="G109" s="16"/>
      <c r="H109" s="17"/>
      <c r="I109" s="17"/>
      <c r="J109" s="16"/>
      <c r="K109" s="16"/>
      <c r="L109" s="39"/>
      <c r="M109" s="40"/>
    </row>
    <row r="110" spans="1:13" ht="15.6">
      <c r="A110" s="25" t="str">
        <v>Ridgeway #1</v>
      </c>
      <c r="B110" s="26" t="str">
        <v>NY</v>
      </c>
      <c r="C110" s="26" t="str">
        <f>Sites[[#This Row],[SOL'#]]</f>
        <v>SOL-11018</v>
      </c>
      <c r="D110" s="21"/>
      <c r="E110" s="11"/>
      <c r="F110" s="11"/>
      <c r="G110" s="12"/>
      <c r="H110" s="13"/>
      <c r="I110" s="13"/>
      <c r="J110" s="14"/>
      <c r="K110" s="80"/>
      <c r="L110" s="38"/>
      <c r="M110" s="38"/>
    </row>
    <row r="111" spans="1:13" ht="15.6">
      <c r="A111" s="27" t="str">
        <v>Rivard 1</v>
      </c>
      <c r="B111" s="28" t="str">
        <v>NY</v>
      </c>
      <c r="C111" s="28" t="str">
        <f>Sites[[#This Row],[SOL'#]]</f>
        <v>SOL-11011</v>
      </c>
      <c r="D111" s="10"/>
      <c r="E111" s="15"/>
      <c r="F111" s="15"/>
      <c r="G111" s="16"/>
      <c r="H111" s="17"/>
      <c r="I111" s="17"/>
      <c r="J111" s="16"/>
      <c r="K111" s="16"/>
      <c r="L111" s="39"/>
      <c r="M111" s="40"/>
    </row>
    <row r="112" spans="1:13" ht="15.6">
      <c r="A112" s="25" t="str">
        <v>Rivard 2</v>
      </c>
      <c r="B112" s="26" t="str">
        <v>NY</v>
      </c>
      <c r="C112" s="26" t="str">
        <f>Sites[[#This Row],[SOL'#]]</f>
        <v>SOL-11012</v>
      </c>
      <c r="D112" s="21"/>
      <c r="E112" s="11"/>
      <c r="F112" s="11"/>
      <c r="G112" s="12"/>
      <c r="H112" s="13"/>
      <c r="I112" s="13"/>
      <c r="J112" s="14"/>
      <c r="K112" s="80"/>
      <c r="L112" s="38"/>
      <c r="M112" s="38"/>
    </row>
    <row r="113" spans="1:13" ht="15.6">
      <c r="A113" s="27" t="str">
        <v>Essex</v>
      </c>
      <c r="B113" s="28" t="str">
        <v>DC</v>
      </c>
      <c r="C113" s="28" t="str">
        <f>Sites[[#This Row],[SOL'#]]</f>
        <v>SOL-10036</v>
      </c>
      <c r="D113" s="10"/>
      <c r="E113" s="15"/>
      <c r="F113" s="15"/>
      <c r="G113" s="16"/>
      <c r="H113" s="17"/>
      <c r="I113" s="17"/>
      <c r="J113" s="16"/>
      <c r="K113" s="16"/>
      <c r="L113" s="39"/>
      <c r="M113" s="39"/>
    </row>
    <row r="114" spans="1:13" ht="15.6">
      <c r="A114" s="25" t="str">
        <v>Temple Sinai</v>
      </c>
      <c r="B114" s="26" t="str">
        <v>DC</v>
      </c>
      <c r="C114" s="26" t="str">
        <f>Sites[[#This Row],[SOL'#]]</f>
        <v>SOL-10028</v>
      </c>
      <c r="D114" s="21"/>
      <c r="E114" s="11"/>
      <c r="F114" s="11"/>
      <c r="G114" s="12"/>
      <c r="H114" s="13"/>
      <c r="I114" s="13"/>
      <c r="J114" s="14"/>
      <c r="K114" s="80"/>
      <c r="L114" s="38"/>
      <c r="M114" s="38"/>
    </row>
    <row r="115" spans="1:13" ht="15.6">
      <c r="A115" s="27" t="str">
        <v>Weinberg 1</v>
      </c>
      <c r="B115" s="28" t="str">
        <v>DC</v>
      </c>
      <c r="C115" s="28" t="str">
        <f>Sites[[#This Row],[SOL'#]]</f>
        <v>SOL-10039</v>
      </c>
      <c r="D115" s="10"/>
      <c r="E115" s="15"/>
      <c r="F115" s="15"/>
      <c r="G115" s="16"/>
      <c r="H115" s="17"/>
      <c r="I115" s="17"/>
      <c r="J115" s="16"/>
      <c r="K115" s="16"/>
      <c r="L115" s="39"/>
      <c r="M115" s="40"/>
    </row>
    <row r="116" spans="1:13" ht="15.6">
      <c r="A116" s="25" t="str">
        <v>Weinberg 2</v>
      </c>
      <c r="B116" s="26" t="str">
        <v>DC</v>
      </c>
      <c r="C116" s="26" t="str">
        <f>Sites[[#This Row],[SOL'#]]</f>
        <v>SOL-10045</v>
      </c>
      <c r="D116" s="21"/>
      <c r="E116" s="11"/>
      <c r="F116" s="11"/>
      <c r="G116" s="12"/>
      <c r="H116" s="13"/>
      <c r="I116" s="13"/>
      <c r="J116" s="14"/>
      <c r="K116" s="80"/>
      <c r="L116" s="38"/>
      <c r="M116" s="38"/>
    </row>
    <row r="117" spans="1:13" ht="15.6">
      <c r="A117" s="27" t="str">
        <v>Weinberg 3</v>
      </c>
      <c r="B117" s="28" t="str">
        <v>DC</v>
      </c>
      <c r="C117" s="28" t="str">
        <f>Sites[[#This Row],[SOL'#]]</f>
        <v>SOL-10042</v>
      </c>
      <c r="D117" s="10"/>
      <c r="E117" s="15"/>
      <c r="F117" s="15"/>
      <c r="G117" s="16"/>
      <c r="H117" s="17"/>
      <c r="I117" s="17"/>
      <c r="J117" s="16"/>
      <c r="K117" s="16"/>
      <c r="L117" s="39"/>
      <c r="M117" s="40"/>
    </row>
    <row r="118" spans="1:13" ht="15.6">
      <c r="A118" s="25" t="str">
        <v>Clayton Hall</v>
      </c>
      <c r="B118" s="26" t="str">
        <v>DE</v>
      </c>
      <c r="C118" s="26" t="str">
        <f>Sites[[#This Row],[SOL'#]]</f>
        <v>SOL-10820</v>
      </c>
      <c r="D118" s="21"/>
      <c r="E118" s="11"/>
      <c r="F118" s="11"/>
      <c r="G118" s="12"/>
      <c r="H118" s="13"/>
      <c r="I118" s="13"/>
      <c r="J118" s="14"/>
      <c r="K118" s="80"/>
      <c r="L118" s="38"/>
      <c r="M118" s="38"/>
    </row>
    <row r="119" spans="1:13" ht="15.6">
      <c r="A119" s="27" t="str">
        <v>Field House</v>
      </c>
      <c r="B119" s="28" t="str">
        <v>DE</v>
      </c>
      <c r="C119" s="28" t="str">
        <f>Sites[[#This Row],[SOL'#]]</f>
        <v>SOL-10821</v>
      </c>
      <c r="D119" s="10"/>
      <c r="E119" s="15"/>
      <c r="F119" s="15"/>
      <c r="G119" s="16"/>
      <c r="H119" s="17"/>
      <c r="I119" s="17"/>
      <c r="J119" s="16"/>
      <c r="K119" s="16"/>
      <c r="L119" s="39"/>
      <c r="M119" s="40"/>
    </row>
    <row r="120" spans="1:13" ht="15.6">
      <c r="A120" s="25" t="str">
        <v>Wyoming Road</v>
      </c>
      <c r="B120" s="26" t="str">
        <v>DE</v>
      </c>
      <c r="C120" s="26" t="str">
        <f>Sites[[#This Row],[SOL'#]]</f>
        <v>SOL-10819</v>
      </c>
      <c r="D120" s="21"/>
      <c r="E120" s="11"/>
      <c r="F120" s="11"/>
      <c r="G120" s="12"/>
      <c r="H120" s="13"/>
      <c r="I120" s="13"/>
      <c r="J120" s="14"/>
      <c r="K120" s="80"/>
      <c r="L120" s="38"/>
      <c r="M120" s="38"/>
    </row>
    <row r="121" spans="1:13" ht="15.6">
      <c r="A121" s="27" t="str">
        <v>Leoku</v>
      </c>
      <c r="B121" s="28" t="str">
        <v>HI</v>
      </c>
      <c r="C121" s="28" t="str">
        <f>Sites[[#This Row],[SOL'#]]</f>
        <v>SOL-10071</v>
      </c>
      <c r="D121" s="10"/>
      <c r="E121" s="15"/>
      <c r="F121" s="15"/>
      <c r="G121" s="16"/>
      <c r="H121" s="17"/>
      <c r="I121" s="17"/>
      <c r="J121" s="16"/>
      <c r="K121" s="16"/>
      <c r="L121" s="39"/>
      <c r="M121" s="40"/>
    </row>
    <row r="122" spans="1:13" ht="15.6">
      <c r="A122" s="25" t="str">
        <v>Waipahu</v>
      </c>
      <c r="B122" s="26" t="str">
        <v>HI</v>
      </c>
      <c r="C122" s="26" t="str">
        <f>Sites[[#This Row],[SOL'#]]</f>
        <v>SOL-10068</v>
      </c>
      <c r="D122" s="21"/>
      <c r="E122" s="11"/>
      <c r="F122" s="11"/>
      <c r="G122" s="12"/>
      <c r="H122" s="13"/>
      <c r="I122" s="13"/>
      <c r="J122" s="14"/>
      <c r="K122" s="80"/>
      <c r="L122" s="38"/>
      <c r="M122" s="38"/>
    </row>
    <row r="123" spans="1:13" ht="15.6">
      <c r="A123" s="27" t="str">
        <v>Bird in Hand</v>
      </c>
      <c r="B123" s="28" t="str">
        <v>MD</v>
      </c>
      <c r="C123" s="28" t="str">
        <f>Sites[[#This Row],[SOL'#]]</f>
        <v>SOL-10092</v>
      </c>
      <c r="D123" s="10"/>
      <c r="E123" s="15"/>
      <c r="F123" s="15"/>
      <c r="G123" s="16"/>
      <c r="H123" s="17"/>
      <c r="I123" s="17"/>
      <c r="J123" s="16"/>
      <c r="K123" s="16"/>
      <c r="L123" s="39"/>
      <c r="M123" s="40"/>
    </row>
    <row r="124" spans="1:13" ht="15.6">
      <c r="A124" s="25" t="str">
        <v>Shortal</v>
      </c>
      <c r="B124" s="26" t="str">
        <v>MD</v>
      </c>
      <c r="C124" s="26" t="str">
        <f>Sites[[#This Row],[SOL'#]]</f>
        <v>SOL-10091</v>
      </c>
      <c r="D124" s="21"/>
      <c r="E124" s="11"/>
      <c r="F124" s="11"/>
      <c r="G124" s="12"/>
      <c r="H124" s="13"/>
      <c r="I124" s="13"/>
      <c r="J124" s="14"/>
      <c r="K124" s="80"/>
      <c r="L124" s="38"/>
      <c r="M124" s="38"/>
    </row>
    <row r="125" spans="1:13" ht="15.6">
      <c r="A125" s="27" t="str">
        <v>Aguadilla</v>
      </c>
      <c r="B125" s="28" t="str">
        <v>PR</v>
      </c>
      <c r="C125" s="28" t="str">
        <f>Sites[[#This Row],[SOL'#]]</f>
        <v>SOL-10072</v>
      </c>
      <c r="D125" s="10"/>
      <c r="E125" s="15"/>
      <c r="F125" s="15"/>
      <c r="G125" s="16"/>
      <c r="H125" s="17"/>
      <c r="I125" s="17"/>
      <c r="J125" s="16"/>
      <c r="K125" s="16"/>
      <c r="L125" s="39"/>
      <c r="M125" s="39"/>
    </row>
    <row r="126" spans="1:13" ht="15.6">
      <c r="A126" s="25" t="str">
        <v>Bayamon</v>
      </c>
      <c r="B126" s="26" t="str">
        <v>PR</v>
      </c>
      <c r="C126" s="26" t="str">
        <f>Sites[[#This Row],[SOL'#]]</f>
        <v>SOL-10073</v>
      </c>
      <c r="D126" s="21"/>
      <c r="E126" s="11"/>
      <c r="F126" s="11"/>
      <c r="G126" s="12"/>
      <c r="H126" s="13"/>
      <c r="I126" s="13"/>
      <c r="J126" s="14"/>
      <c r="K126" s="80"/>
      <c r="L126" s="38"/>
      <c r="M126" s="38"/>
    </row>
    <row r="127" spans="1:13" ht="15.6">
      <c r="A127" s="27" t="str">
        <v>St Francis</v>
      </c>
      <c r="B127" s="28" t="str">
        <v>PR</v>
      </c>
      <c r="C127" s="28" t="str">
        <f>Sites[[#This Row],[SOL'#]]</f>
        <v>SOL-10034</v>
      </c>
      <c r="D127" s="10"/>
      <c r="E127" s="15"/>
      <c r="F127" s="15"/>
      <c r="G127" s="16"/>
      <c r="H127" s="17"/>
      <c r="I127" s="17"/>
      <c r="J127" s="16"/>
      <c r="K127" s="16"/>
      <c r="L127" s="39"/>
      <c r="M127" s="40"/>
    </row>
    <row r="128" spans="1:13" ht="15.6">
      <c r="A128" s="25" t="str">
        <v>Seaport</v>
      </c>
      <c r="B128" s="26" t="str">
        <v>MA</v>
      </c>
      <c r="C128" s="26" t="str">
        <f>Sites[[#This Row],[SOL'#]]</f>
        <v>SOL-10772</v>
      </c>
      <c r="D128" s="21"/>
      <c r="E128" s="11"/>
      <c r="F128" s="11"/>
      <c r="G128" s="12"/>
      <c r="H128" s="13"/>
      <c r="I128" s="13"/>
      <c r="J128" s="14"/>
      <c r="K128" s="80"/>
      <c r="L128" s="38"/>
      <c r="M128" s="38"/>
    </row>
    <row r="129" spans="1:13" ht="15.6">
      <c r="A129" s="27" t="str">
        <v>Sprague St</v>
      </c>
      <c r="B129" s="28" t="str">
        <v>MA</v>
      </c>
      <c r="C129" s="28" t="str">
        <f>Sites[[#This Row],[SOL'#]]</f>
        <v>SOL-10773</v>
      </c>
      <c r="D129" s="10"/>
      <c r="E129" s="15"/>
      <c r="F129" s="15"/>
      <c r="G129" s="16"/>
      <c r="H129" s="17"/>
      <c r="I129" s="17"/>
      <c r="J129" s="16"/>
      <c r="K129" s="16"/>
      <c r="L129" s="39"/>
      <c r="M129" s="40"/>
    </row>
    <row r="130" spans="1:13" ht="15.6">
      <c r="A130" s="25" t="str">
        <v>Summer St</v>
      </c>
      <c r="B130" s="26" t="str">
        <v>MA</v>
      </c>
      <c r="C130" s="26" t="str">
        <f>Sites[[#This Row],[SOL'#]]</f>
        <v>SOL-10764</v>
      </c>
      <c r="D130" s="21"/>
      <c r="E130" s="11"/>
      <c r="F130" s="11"/>
      <c r="G130" s="12"/>
      <c r="H130" s="13"/>
      <c r="I130" s="13"/>
      <c r="J130" s="14"/>
      <c r="K130" s="80"/>
      <c r="L130" s="38"/>
      <c r="M130" s="38"/>
    </row>
    <row r="131" spans="1:13" ht="15.6">
      <c r="A131" s="27" t="str">
        <v>Brock St Vocational</v>
      </c>
      <c r="B131" s="28" t="str">
        <v>NH</v>
      </c>
      <c r="C131" s="28" t="str">
        <f>Sites[[#This Row],[SOL'#]]</f>
        <v>SOL-10768</v>
      </c>
      <c r="D131" s="10"/>
      <c r="E131" s="15"/>
      <c r="F131" s="15"/>
      <c r="G131" s="16"/>
      <c r="H131" s="17"/>
      <c r="I131" s="17"/>
      <c r="J131" s="16"/>
      <c r="K131" s="16"/>
      <c r="L131" s="39"/>
      <c r="M131" s="40"/>
    </row>
    <row r="132" spans="1:13" ht="15.6">
      <c r="A132" s="25" t="str">
        <v>McClelland ES</v>
      </c>
      <c r="B132" s="26" t="str">
        <v>NH</v>
      </c>
      <c r="C132" s="26" t="str">
        <f>Sites[[#This Row],[SOL'#]]</f>
        <v>SOL-10766</v>
      </c>
      <c r="D132" s="21"/>
      <c r="E132" s="11"/>
      <c r="F132" s="11"/>
      <c r="G132" s="12"/>
      <c r="H132" s="13"/>
      <c r="I132" s="13"/>
      <c r="J132" s="14"/>
      <c r="K132" s="80"/>
      <c r="L132" s="38"/>
      <c r="M132" s="38"/>
    </row>
    <row r="133" spans="1:13" ht="15.6">
      <c r="A133" s="27" t="str">
        <v>Portland St</v>
      </c>
      <c r="B133" s="28" t="str">
        <v>NH</v>
      </c>
      <c r="C133" s="28" t="str">
        <f>Sites[[#This Row],[SOL'#]]</f>
        <v>SOL-10771</v>
      </c>
      <c r="D133" s="10"/>
      <c r="E133" s="15"/>
      <c r="F133" s="15"/>
      <c r="G133" s="16"/>
      <c r="H133" s="17"/>
      <c r="I133" s="17"/>
      <c r="J133" s="16"/>
      <c r="K133" s="16"/>
      <c r="L133" s="39"/>
      <c r="M133" s="40"/>
    </row>
    <row r="134" spans="1:13" ht="15.6">
      <c r="A134" s="25" t="str">
        <v>Portsmouth HS</v>
      </c>
      <c r="B134" s="26" t="str">
        <v>NH</v>
      </c>
      <c r="C134" s="26" t="str">
        <f>Sites[[#This Row],[SOL'#]]</f>
        <v>SOL-10769</v>
      </c>
      <c r="D134" s="21"/>
      <c r="E134" s="11"/>
      <c r="F134" s="11"/>
      <c r="G134" s="12"/>
      <c r="H134" s="13"/>
      <c r="I134" s="13"/>
      <c r="J134" s="14"/>
      <c r="K134" s="80"/>
      <c r="L134" s="38"/>
      <c r="M134" s="38"/>
    </row>
    <row r="135" spans="1:13" ht="15.6">
      <c r="A135" s="27" t="str">
        <v>Portsmouth WTP</v>
      </c>
      <c r="B135" s="28" t="str">
        <v>NH</v>
      </c>
      <c r="C135" s="28" t="str">
        <f>Sites[[#This Row],[SOL'#]]</f>
        <v>SOL-10770</v>
      </c>
      <c r="D135" s="10"/>
      <c r="E135" s="15"/>
      <c r="F135" s="15"/>
      <c r="G135" s="16"/>
      <c r="H135" s="17"/>
      <c r="I135" s="17"/>
      <c r="J135" s="16"/>
      <c r="K135" s="16"/>
      <c r="L135" s="39"/>
      <c r="M135" s="40"/>
    </row>
    <row r="136" spans="1:13" ht="15.6">
      <c r="A136" s="25" t="str">
        <v>Rochester St</v>
      </c>
      <c r="B136" s="26" t="str">
        <v>NH</v>
      </c>
      <c r="C136" s="26" t="str">
        <f>Sites[[#This Row],[SOL'#]]</f>
        <v>SOL-10765</v>
      </c>
      <c r="D136" s="21"/>
      <c r="E136" s="11"/>
      <c r="F136" s="11"/>
      <c r="G136" s="12"/>
      <c r="H136" s="13"/>
      <c r="I136" s="13"/>
      <c r="J136" s="14"/>
      <c r="K136" s="80"/>
      <c r="L136" s="38"/>
      <c r="M136" s="38"/>
    </row>
    <row r="137" spans="1:13" ht="15.6">
      <c r="A137" s="27" t="str">
        <v>Spaulding HS</v>
      </c>
      <c r="B137" s="28" t="str">
        <v>NH</v>
      </c>
      <c r="C137" s="28" t="str">
        <f>Sites[[#This Row],[SOL'#]]</f>
        <v>SOL-10767</v>
      </c>
      <c r="D137" s="10"/>
      <c r="E137" s="15"/>
      <c r="F137" s="15"/>
      <c r="G137" s="16"/>
      <c r="H137" s="17"/>
      <c r="I137" s="17"/>
      <c r="J137" s="16"/>
      <c r="K137" s="16"/>
      <c r="L137" s="39"/>
      <c r="M137" s="40"/>
    </row>
    <row r="138" spans="1:13" ht="15.6">
      <c r="A138" s="25" t="str">
        <v>Ridgeway #2</v>
      </c>
      <c r="B138" s="26" t="str">
        <v>NY</v>
      </c>
      <c r="C138" s="26" t="str">
        <f>Sites[[#This Row],[SOL'#]]</f>
        <v>SOL-11027</v>
      </c>
      <c r="D138" s="21"/>
      <c r="E138" s="11"/>
      <c r="F138" s="11"/>
      <c r="G138" s="12"/>
      <c r="H138" s="13"/>
      <c r="I138" s="13"/>
      <c r="J138" s="14"/>
      <c r="K138" s="80"/>
      <c r="L138" s="38"/>
      <c r="M138" s="38"/>
    </row>
    <row r="139" spans="1:13" ht="15.6">
      <c r="A139" s="27" t="str">
        <v>Spencer</v>
      </c>
      <c r="B139" s="28" t="str">
        <v>NY</v>
      </c>
      <c r="C139" s="28" t="str">
        <f>Sites[[#This Row],[SOL'#]]</f>
        <v>SOL-11017</v>
      </c>
      <c r="D139" s="10"/>
      <c r="E139" s="15"/>
      <c r="F139" s="15"/>
      <c r="G139" s="16"/>
      <c r="H139" s="17"/>
      <c r="I139" s="17"/>
      <c r="J139" s="16"/>
      <c r="K139" s="16"/>
      <c r="L139" s="39"/>
      <c r="M139" s="40"/>
    </row>
    <row r="140" spans="1:13" ht="15.6">
      <c r="A140" s="29" t="str">
        <v>Reisender</v>
      </c>
      <c r="B140" s="26" t="str">
        <v>NY</v>
      </c>
      <c r="C140" s="26" t="str">
        <f>Sites[[#This Row],[SOL'#]]</f>
        <v>SOL-10886</v>
      </c>
      <c r="D140" s="67"/>
      <c r="E140" s="11"/>
      <c r="F140" s="11"/>
      <c r="G140" s="68"/>
      <c r="H140" s="83"/>
      <c r="I140" s="83"/>
      <c r="J140" s="80"/>
      <c r="K140" s="80"/>
      <c r="L140" s="70"/>
      <c r="M140" s="38"/>
    </row>
    <row r="141" spans="1:13" ht="15.6">
      <c r="A141" s="27" t="str">
        <v>Finney</v>
      </c>
      <c r="B141" s="28" t="str">
        <v>NY</v>
      </c>
      <c r="C141" s="28" t="str">
        <f>Sites[[#This Row],[SOL'#]]</f>
        <v>SOL-10999</v>
      </c>
      <c r="D141" s="82"/>
      <c r="E141" s="15"/>
      <c r="F141" s="15"/>
      <c r="G141" s="84"/>
      <c r="H141" s="85"/>
      <c r="I141" s="85"/>
      <c r="J141" s="84"/>
      <c r="K141" s="84"/>
      <c r="L141" s="39"/>
      <c r="M141" s="18"/>
    </row>
    <row r="142" spans="1:13" ht="15.6">
      <c r="A142" s="25" t="str">
        <v>Davis Solar</v>
      </c>
      <c r="B142" s="26" t="str">
        <v>NY</v>
      </c>
      <c r="C142" s="26" t="str">
        <f>Sites[[#This Row],[SOL'#]]</f>
        <v>SOL-10958</v>
      </c>
      <c r="D142" s="67"/>
      <c r="E142" s="11"/>
      <c r="F142" s="11"/>
      <c r="G142" s="68"/>
      <c r="H142" s="83"/>
      <c r="I142" s="83"/>
      <c r="J142" s="80"/>
      <c r="K142" s="80"/>
      <c r="L142" s="70"/>
      <c r="M142" s="38"/>
    </row>
    <row r="143" spans="1:13" ht="15.6">
      <c r="A143" s="27" t="str">
        <v>Genesee</v>
      </c>
      <c r="B143" s="28" t="str">
        <v>NY</v>
      </c>
      <c r="C143" s="28" t="str">
        <f>Sites[[#This Row],[SOL'#]]</f>
        <v>SOL-10951</v>
      </c>
      <c r="D143" s="82"/>
      <c r="E143" s="15"/>
      <c r="F143" s="15"/>
      <c r="G143" s="84"/>
      <c r="H143" s="85"/>
      <c r="I143" s="85"/>
      <c r="J143" s="84"/>
      <c r="K143" s="84"/>
      <c r="L143" s="39"/>
      <c r="M143" s="18"/>
    </row>
    <row r="144" spans="1:13" ht="15.6">
      <c r="A144" s="25" t="str">
        <v>Landau I</v>
      </c>
      <c r="B144" s="26" t="str">
        <v>NY</v>
      </c>
      <c r="C144" s="26" t="str">
        <f>Sites[[#This Row],[SOL'#]]</f>
        <v>SOL-10891</v>
      </c>
      <c r="D144" s="67"/>
      <c r="E144" s="11"/>
      <c r="F144" s="11"/>
      <c r="G144" s="68"/>
      <c r="H144" s="83"/>
      <c r="I144" s="83"/>
      <c r="J144" s="80"/>
      <c r="K144" s="80"/>
      <c r="L144" s="70"/>
      <c r="M144" s="38"/>
    </row>
    <row r="145" spans="1:13" ht="15.6">
      <c r="A145" s="27" t="str">
        <v>Landau II</v>
      </c>
      <c r="B145" s="28" t="str">
        <v>NY</v>
      </c>
      <c r="C145" s="28" t="str">
        <f>Sites[[#This Row],[SOL'#]]</f>
        <v>SOL-10895</v>
      </c>
      <c r="D145" s="82"/>
      <c r="E145" s="15"/>
      <c r="F145" s="15"/>
      <c r="G145" s="84"/>
      <c r="H145" s="85"/>
      <c r="I145" s="85"/>
      <c r="J145" s="84"/>
      <c r="K145" s="84"/>
      <c r="L145" s="39"/>
      <c r="M145" s="18"/>
    </row>
    <row r="146" spans="1:13" ht="15.6">
      <c r="A146" s="25" t="str">
        <v>New Beginnings</v>
      </c>
      <c r="B146" s="26" t="str">
        <v>NY</v>
      </c>
      <c r="C146" s="26" t="str">
        <f>Sites[[#This Row],[SOL'#]]</f>
        <v>SOL-10890</v>
      </c>
      <c r="D146" s="67"/>
      <c r="E146" s="11"/>
      <c r="F146" s="11"/>
      <c r="G146" s="68"/>
      <c r="H146" s="83"/>
      <c r="I146" s="83"/>
      <c r="J146" s="80"/>
      <c r="K146" s="80"/>
      <c r="L146" s="70"/>
      <c r="M146" s="38"/>
    </row>
    <row r="147" spans="1:13" ht="15.6">
      <c r="A147" s="27" t="str">
        <v>Guilin Farm Solar</v>
      </c>
      <c r="B147" s="28" t="str">
        <v>NY</v>
      </c>
      <c r="C147" s="28" t="str">
        <f>Sites[[#This Row],[SOL'#]]</f>
        <v>SOL-10998</v>
      </c>
      <c r="D147" s="82"/>
      <c r="E147" s="15"/>
      <c r="F147" s="15"/>
      <c r="G147" s="84"/>
      <c r="H147" s="85"/>
      <c r="I147" s="85"/>
      <c r="J147" s="84"/>
      <c r="K147" s="84"/>
      <c r="L147" s="39"/>
      <c r="M147" s="18"/>
    </row>
    <row r="148" spans="1:13" ht="15.6">
      <c r="A148" s="25" t="str">
        <v>Brodhead Solar</v>
      </c>
      <c r="B148" s="26" t="str">
        <v>NY</v>
      </c>
      <c r="C148" s="26" t="str">
        <f>Sites[[#This Row],[SOL'#]]</f>
        <v>SOL-10899</v>
      </c>
      <c r="D148" s="67"/>
      <c r="E148" s="11"/>
      <c r="F148" s="11"/>
      <c r="G148" s="68"/>
      <c r="H148" s="83"/>
      <c r="I148" s="83"/>
      <c r="J148" s="80"/>
      <c r="K148" s="80"/>
      <c r="L148" s="70"/>
      <c r="M148" s="38"/>
    </row>
    <row r="149" spans="1:13" ht="15.6">
      <c r="A149" s="27" t="str">
        <v>Svenski</v>
      </c>
      <c r="B149" s="28" t="str">
        <v>NY</v>
      </c>
      <c r="C149" s="28" t="str">
        <f>Sites[[#This Row],[SOL'#]]</f>
        <v>SOL-10894</v>
      </c>
      <c r="D149" s="82"/>
      <c r="E149" s="15"/>
      <c r="F149" s="15"/>
      <c r="G149" s="84"/>
      <c r="H149" s="85"/>
      <c r="I149" s="85"/>
      <c r="J149" s="84"/>
      <c r="K149" s="84"/>
      <c r="L149" s="39"/>
      <c r="M149" s="18"/>
    </row>
    <row r="150" spans="1:13" ht="15.6">
      <c r="A150" s="25" t="str">
        <v>Bantam</v>
      </c>
      <c r="B150" s="26" t="str">
        <v>NY</v>
      </c>
      <c r="C150" s="26" t="str">
        <f>Sites[[#This Row],[SOL'#]]</f>
        <v>SOL-10986</v>
      </c>
      <c r="D150" s="67"/>
      <c r="E150" s="11"/>
      <c r="F150" s="11"/>
      <c r="G150" s="68"/>
      <c r="H150" s="83"/>
      <c r="I150" s="83"/>
      <c r="J150" s="80"/>
      <c r="K150" s="80"/>
      <c r="L150" s="70"/>
      <c r="M150" s="38"/>
    </row>
    <row r="151" spans="1:13" ht="15.6">
      <c r="A151" s="27" t="str">
        <v>Bogart</v>
      </c>
      <c r="B151" s="28" t="str">
        <v>NY</v>
      </c>
      <c r="C151" s="28" t="str">
        <f>Sites[[#This Row],[SOL'#]]</f>
        <v>SOL-10887</v>
      </c>
      <c r="D151" s="82"/>
      <c r="E151" s="15"/>
      <c r="F151" s="15"/>
      <c r="G151" s="84"/>
      <c r="H151" s="85"/>
      <c r="I151" s="85"/>
      <c r="J151" s="84"/>
      <c r="K151" s="84"/>
      <c r="L151" s="39"/>
      <c r="M151" s="18"/>
    </row>
    <row r="152" spans="1:13" ht="15.6">
      <c r="A152" s="25" t="str">
        <v>Dubois</v>
      </c>
      <c r="B152" s="26" t="str">
        <v>NY</v>
      </c>
      <c r="C152" s="26" t="str">
        <f>Sites[[#This Row],[SOL'#]]</f>
        <v>SOL-10892</v>
      </c>
      <c r="D152" s="67"/>
      <c r="E152" s="11"/>
      <c r="F152" s="11"/>
      <c r="G152" s="68"/>
      <c r="H152" s="83"/>
      <c r="I152" s="83"/>
      <c r="J152" s="80"/>
      <c r="K152" s="80"/>
      <c r="L152" s="70"/>
      <c r="M152" s="38"/>
    </row>
    <row r="153" spans="1:13" ht="15.6">
      <c r="A153" s="27" t="str">
        <v>Salt Point</v>
      </c>
      <c r="B153" s="28" t="str">
        <v>NY</v>
      </c>
      <c r="C153" s="28" t="str">
        <f>Sites[[#This Row],[SOL'#]]</f>
        <v>SOL-10888</v>
      </c>
      <c r="D153" s="82"/>
      <c r="E153" s="15"/>
      <c r="F153" s="15"/>
      <c r="G153" s="84"/>
      <c r="H153" s="85"/>
      <c r="I153" s="85"/>
      <c r="J153" s="84"/>
      <c r="K153" s="84"/>
      <c r="L153" s="59"/>
      <c r="M153" s="18"/>
    </row>
    <row r="154" spans="1:13" ht="15.6">
      <c r="A154" s="25" t="str">
        <v>Wheatland 2A</v>
      </c>
      <c r="B154" s="26" t="str">
        <v>NY</v>
      </c>
      <c r="C154" s="26" t="str">
        <f>Sites[[#This Row],[SOL'#]]</f>
        <v>SOL-10971</v>
      </c>
      <c r="D154" s="67"/>
      <c r="E154" s="11"/>
      <c r="F154" s="11"/>
      <c r="G154" s="68"/>
      <c r="H154" s="83"/>
      <c r="I154" s="83"/>
      <c r="J154" s="80"/>
      <c r="K154" s="80"/>
      <c r="L154" s="70"/>
      <c r="M154" s="38"/>
    </row>
    <row r="155" spans="1:13" ht="15.6">
      <c r="A155" s="27" t="str">
        <v>Wheatland 2B</v>
      </c>
      <c r="B155" s="28" t="str">
        <v>NY</v>
      </c>
      <c r="C155" s="28" t="str">
        <f>Sites[[#This Row],[SOL'#]]</f>
        <v>SOL-10961</v>
      </c>
      <c r="D155" s="82"/>
      <c r="E155" s="15"/>
      <c r="F155" s="15"/>
      <c r="G155" s="84"/>
      <c r="H155" s="85"/>
      <c r="I155" s="85"/>
      <c r="J155" s="84"/>
      <c r="K155" s="84"/>
      <c r="L155" s="39"/>
      <c r="M155" s="18"/>
    </row>
    <row r="156" spans="1:13" ht="15.6">
      <c r="A156" s="25" t="str">
        <v>Brickchurch</v>
      </c>
      <c r="B156" s="26" t="str">
        <v>NY</v>
      </c>
      <c r="C156" s="26" t="str">
        <f>Sites[[#This Row],[SOL'#]]</f>
        <v>SOL-10889</v>
      </c>
      <c r="D156" s="67"/>
      <c r="E156" s="11"/>
      <c r="F156" s="11"/>
      <c r="G156" s="68"/>
      <c r="H156" s="83"/>
      <c r="I156" s="83"/>
      <c r="J156" s="80"/>
      <c r="K156" s="80"/>
      <c r="L156" s="70"/>
      <c r="M156" s="38"/>
    </row>
    <row r="157" spans="1:13" ht="15.6">
      <c r="A157" s="27" t="str">
        <v>McCarthy Solar</v>
      </c>
      <c r="B157" s="28" t="str">
        <v>NY</v>
      </c>
      <c r="C157" s="28" t="str">
        <f>Sites[[#This Row],[SOL'#]]</f>
        <v>SOL-10992</v>
      </c>
      <c r="D157" s="82"/>
      <c r="E157" s="15"/>
      <c r="F157" s="15"/>
      <c r="G157" s="84"/>
      <c r="H157" s="85"/>
      <c r="I157" s="85"/>
      <c r="J157" s="84"/>
      <c r="K157" s="84"/>
      <c r="L157" s="39"/>
      <c r="M157" s="18"/>
    </row>
    <row r="158" spans="1:13" ht="15.6">
      <c r="A158" s="25" t="str">
        <v>Costanza</v>
      </c>
      <c r="B158" s="26" t="str">
        <v>NY</v>
      </c>
      <c r="C158" s="26" t="str">
        <f>Sites[[#This Row],[SOL'#]]</f>
        <v>SOL-10907</v>
      </c>
      <c r="D158" s="67"/>
      <c r="E158" s="11"/>
      <c r="F158" s="11"/>
      <c r="G158" s="68"/>
      <c r="H158" s="83"/>
      <c r="I158" s="83"/>
      <c r="J158" s="80"/>
      <c r="K158" s="80"/>
      <c r="L158" s="70"/>
      <c r="M158" s="38"/>
    </row>
    <row r="159" spans="1:13" ht="15.6">
      <c r="A159" s="27" t="str">
        <v>Lockenhurst Pond</v>
      </c>
      <c r="B159" s="28" t="str">
        <v>NY</v>
      </c>
      <c r="C159" s="28" t="str">
        <f>Sites[[#This Row],[SOL'#]]</f>
        <v>SOL-11000</v>
      </c>
      <c r="D159" s="82"/>
      <c r="E159" s="15"/>
      <c r="F159" s="15"/>
      <c r="G159" s="84"/>
      <c r="H159" s="85"/>
      <c r="I159" s="85"/>
      <c r="J159" s="84"/>
      <c r="K159" s="84"/>
      <c r="L159" s="39"/>
      <c r="M159" s="18"/>
    </row>
    <row r="160" spans="1:13" ht="15.6">
      <c r="A160" s="25" t="str">
        <v>Drinkwater</v>
      </c>
      <c r="B160" s="26" t="str">
        <v>NY</v>
      </c>
      <c r="C160" s="26" t="str">
        <f>Sites[[#This Row],[SOL'#]]</f>
        <v>SOL-10896</v>
      </c>
      <c r="D160" s="67"/>
      <c r="E160" s="11"/>
      <c r="F160" s="11"/>
      <c r="G160" s="68"/>
      <c r="H160" s="83"/>
      <c r="I160" s="83"/>
      <c r="J160" s="80"/>
      <c r="K160" s="80"/>
      <c r="L160" s="70"/>
      <c r="M160" s="38"/>
    </row>
    <row r="161" spans="1:13" ht="15.6">
      <c r="A161" s="27" t="str">
        <v>Altamont</v>
      </c>
      <c r="B161" s="28" t="str">
        <v>NY</v>
      </c>
      <c r="C161" s="28" t="s">
        <v>13</v>
      </c>
      <c r="D161" s="82"/>
      <c r="E161" s="15"/>
      <c r="F161" s="15"/>
      <c r="G161" s="84"/>
      <c r="H161" s="85"/>
      <c r="I161" s="85"/>
      <c r="J161" s="84"/>
      <c r="K161" s="19"/>
      <c r="L161" s="39"/>
      <c r="M161" s="18"/>
    </row>
    <row r="162" spans="1:13" ht="14.45">
      <c r="A162" s="18"/>
      <c r="B162" s="30"/>
      <c r="C162" s="30"/>
      <c r="D162" s="18"/>
      <c r="E162" s="18"/>
      <c r="F162" s="18"/>
      <c r="G162" s="19"/>
      <c r="H162" s="18"/>
      <c r="I162" s="18"/>
      <c r="J162" s="19"/>
      <c r="K162" s="19"/>
      <c r="L162" s="18"/>
      <c r="M162" s="18"/>
    </row>
    <row r="163" spans="1:13" ht="14.45">
      <c r="A163" s="18"/>
      <c r="B163" s="30"/>
      <c r="C163" s="30"/>
      <c r="D163" s="18"/>
      <c r="E163" s="18"/>
      <c r="F163" s="18"/>
      <c r="G163" s="19"/>
      <c r="H163" s="18"/>
      <c r="I163" s="18"/>
      <c r="J163" s="19"/>
      <c r="K163" s="19"/>
      <c r="L163" s="18"/>
      <c r="M163" s="18"/>
    </row>
    <row r="164" spans="1:13" ht="14.45">
      <c r="A164" s="18"/>
      <c r="B164" s="30"/>
      <c r="C164" s="30"/>
      <c r="D164" s="18"/>
      <c r="E164" s="18"/>
      <c r="F164" s="18"/>
      <c r="G164" s="19"/>
      <c r="H164" s="18"/>
      <c r="I164" s="18"/>
      <c r="J164" s="19"/>
      <c r="K164" s="19"/>
      <c r="L164" s="18"/>
      <c r="M164" s="18"/>
    </row>
    <row r="165" spans="1:13" ht="14.45">
      <c r="A165" s="18"/>
      <c r="B165" s="30"/>
      <c r="C165" s="30"/>
      <c r="D165" s="18"/>
      <c r="E165" s="18"/>
      <c r="F165" s="18"/>
      <c r="G165" s="19"/>
      <c r="H165" s="18"/>
      <c r="I165" s="18"/>
      <c r="J165" s="19"/>
      <c r="K165" s="19"/>
      <c r="L165" s="18"/>
      <c r="M165" s="18"/>
    </row>
    <row r="166" spans="1:13" ht="14.45">
      <c r="A166" s="18"/>
      <c r="B166" s="30"/>
      <c r="C166" s="30"/>
      <c r="D166" s="18"/>
      <c r="E166" s="18"/>
      <c r="F166" s="18"/>
      <c r="G166" s="19"/>
      <c r="H166" s="18"/>
      <c r="I166" s="18"/>
      <c r="J166" s="19"/>
      <c r="K166" s="19"/>
      <c r="L166" s="18"/>
      <c r="M166" s="18"/>
    </row>
    <row r="167" spans="1:13" ht="14.45">
      <c r="A167" s="18"/>
      <c r="B167" s="30"/>
      <c r="C167" s="30"/>
      <c r="D167" s="18"/>
      <c r="E167" s="18"/>
      <c r="F167" s="18"/>
      <c r="G167" s="19"/>
      <c r="H167" s="18"/>
      <c r="I167" s="18"/>
      <c r="J167" s="19"/>
      <c r="K167" s="19"/>
      <c r="L167" s="18"/>
      <c r="M167" s="18"/>
    </row>
    <row r="168" spans="1:13" ht="14.45">
      <c r="A168" s="18"/>
      <c r="B168" s="30"/>
      <c r="C168" s="30"/>
      <c r="D168" s="18"/>
      <c r="E168" s="18"/>
      <c r="F168" s="18"/>
      <c r="G168" s="19"/>
      <c r="H168" s="18"/>
      <c r="I168" s="18"/>
      <c r="J168" s="19"/>
      <c r="K168" s="19"/>
      <c r="L168" s="18"/>
      <c r="M168" s="18"/>
    </row>
    <row r="169" spans="1:13" ht="14.45">
      <c r="A169" s="18"/>
      <c r="B169" s="30"/>
      <c r="C169" s="30"/>
      <c r="D169" s="18"/>
      <c r="E169" s="18"/>
      <c r="F169" s="18"/>
      <c r="G169" s="19"/>
      <c r="H169" s="18"/>
      <c r="I169" s="18"/>
      <c r="J169" s="19"/>
      <c r="K169" s="19"/>
      <c r="L169" s="18"/>
      <c r="M169" s="18"/>
    </row>
    <row r="170" spans="1:13" ht="14.45">
      <c r="A170" s="18"/>
      <c r="B170" s="30"/>
      <c r="C170" s="30"/>
      <c r="D170" s="18"/>
      <c r="E170" s="18"/>
      <c r="F170" s="18"/>
      <c r="G170" s="19"/>
      <c r="H170" s="18"/>
      <c r="I170" s="18"/>
      <c r="J170" s="19"/>
      <c r="K170" s="19"/>
      <c r="L170" s="18"/>
      <c r="M170" s="18"/>
    </row>
    <row r="171" spans="1:13" ht="14.45">
      <c r="A171" s="18"/>
      <c r="B171" s="30"/>
      <c r="C171" s="30"/>
      <c r="D171" s="18"/>
      <c r="E171" s="18"/>
      <c r="F171" s="18"/>
      <c r="G171" s="19"/>
      <c r="H171" s="18"/>
      <c r="I171" s="18"/>
      <c r="J171" s="19"/>
      <c r="K171" s="19"/>
      <c r="L171" s="18"/>
      <c r="M171" s="18"/>
    </row>
    <row r="172" spans="1:13" ht="14.45">
      <c r="A172" s="18"/>
      <c r="B172" s="30"/>
      <c r="C172" s="30"/>
      <c r="D172" s="18"/>
      <c r="E172" s="18"/>
      <c r="F172" s="18"/>
      <c r="G172" s="19"/>
      <c r="H172" s="18"/>
      <c r="I172" s="18"/>
      <c r="J172" s="19"/>
      <c r="K172" s="19"/>
      <c r="L172" s="18"/>
      <c r="M172" s="18"/>
    </row>
    <row r="173" spans="1:13" ht="14.45">
      <c r="A173" s="18"/>
      <c r="B173" s="30"/>
      <c r="C173" s="30"/>
      <c r="D173" s="18"/>
      <c r="E173" s="18"/>
      <c r="F173" s="18"/>
      <c r="G173" s="19"/>
      <c r="H173" s="18"/>
      <c r="I173" s="18"/>
      <c r="J173" s="19"/>
      <c r="K173" s="19"/>
      <c r="L173" s="18"/>
      <c r="M173" s="18"/>
    </row>
    <row r="174" spans="1:13" ht="14.45">
      <c r="A174" s="18"/>
      <c r="B174" s="30"/>
      <c r="C174" s="30"/>
      <c r="D174" s="18"/>
      <c r="E174" s="18"/>
      <c r="F174" s="18"/>
      <c r="G174" s="19"/>
      <c r="H174" s="18"/>
      <c r="I174" s="18"/>
      <c r="J174" s="19"/>
      <c r="K174" s="19"/>
      <c r="L174" s="18"/>
      <c r="M174" s="18"/>
    </row>
    <row r="175" spans="1:13" ht="14.45">
      <c r="A175" s="18"/>
      <c r="B175" s="30"/>
      <c r="C175" s="30"/>
      <c r="D175" s="18"/>
      <c r="E175" s="18"/>
      <c r="F175" s="18"/>
      <c r="G175" s="19"/>
      <c r="H175" s="18"/>
      <c r="I175" s="18"/>
      <c r="J175" s="19"/>
      <c r="K175" s="19"/>
      <c r="L175" s="18"/>
      <c r="M175" s="18"/>
    </row>
    <row r="176" spans="1:13" ht="14.45">
      <c r="A176" s="18"/>
      <c r="B176" s="30"/>
      <c r="C176" s="30"/>
      <c r="D176" s="18"/>
      <c r="E176" s="18"/>
      <c r="F176" s="18"/>
      <c r="G176" s="19"/>
      <c r="H176" s="18"/>
      <c r="I176" s="18"/>
      <c r="J176" s="19"/>
      <c r="K176" s="19"/>
      <c r="L176" s="18"/>
      <c r="M176" s="18"/>
    </row>
    <row r="177" spans="1:13" ht="14.45">
      <c r="A177" s="18"/>
      <c r="B177" s="30"/>
      <c r="C177" s="30"/>
      <c r="D177" s="18"/>
      <c r="E177" s="18"/>
      <c r="F177" s="18"/>
      <c r="G177" s="19"/>
      <c r="H177" s="18"/>
      <c r="I177" s="18"/>
      <c r="J177" s="19"/>
      <c r="K177" s="19"/>
      <c r="L177" s="18"/>
      <c r="M177" s="18"/>
    </row>
    <row r="178" spans="1:13" ht="14.45">
      <c r="A178" s="18"/>
      <c r="B178" s="30"/>
      <c r="C178" s="30"/>
      <c r="D178" s="18"/>
      <c r="E178" s="18"/>
      <c r="F178" s="18"/>
      <c r="G178" s="19"/>
      <c r="H178" s="18"/>
      <c r="I178" s="18"/>
      <c r="J178" s="19"/>
      <c r="K178" s="19"/>
      <c r="L178" s="18"/>
      <c r="M178" s="18"/>
    </row>
    <row r="179" spans="1:13" ht="14.45">
      <c r="A179" s="18"/>
      <c r="B179" s="30"/>
      <c r="C179" s="30"/>
      <c r="D179" s="18"/>
      <c r="E179" s="18"/>
      <c r="F179" s="18"/>
      <c r="G179" s="19"/>
      <c r="H179" s="18"/>
      <c r="I179" s="18"/>
      <c r="J179" s="19"/>
      <c r="K179" s="19"/>
      <c r="L179" s="18"/>
      <c r="M179" s="18"/>
    </row>
    <row r="180" spans="1:13" ht="14.45">
      <c r="A180" s="18"/>
      <c r="B180" s="30"/>
      <c r="C180" s="30"/>
      <c r="D180" s="18"/>
      <c r="E180" s="18"/>
      <c r="F180" s="18"/>
      <c r="G180" s="19"/>
      <c r="H180" s="18"/>
      <c r="I180" s="18"/>
      <c r="J180" s="19"/>
      <c r="K180" s="19"/>
      <c r="L180" s="18"/>
      <c r="M180" s="18"/>
    </row>
    <row r="181" spans="1:13" ht="14.45">
      <c r="A181" s="18"/>
      <c r="B181" s="30"/>
      <c r="C181" s="30"/>
      <c r="D181" s="18"/>
      <c r="E181" s="18"/>
      <c r="F181" s="18"/>
      <c r="G181" s="19"/>
      <c r="H181" s="18"/>
      <c r="I181" s="18"/>
      <c r="J181" s="19"/>
      <c r="K181" s="19"/>
      <c r="L181" s="18"/>
      <c r="M181" s="18"/>
    </row>
    <row r="182" spans="1:13" ht="14.45">
      <c r="A182" s="18"/>
      <c r="B182" s="30"/>
      <c r="C182" s="30"/>
      <c r="D182" s="18"/>
      <c r="E182" s="18"/>
      <c r="F182" s="18"/>
      <c r="G182" s="19"/>
      <c r="H182" s="18"/>
      <c r="I182" s="18"/>
      <c r="J182" s="19"/>
      <c r="K182" s="19"/>
      <c r="L182" s="18"/>
      <c r="M182" s="18"/>
    </row>
    <row r="183" spans="1:13" ht="14.45">
      <c r="A183" s="18"/>
      <c r="B183" s="30"/>
      <c r="C183" s="30"/>
      <c r="D183" s="18"/>
      <c r="E183" s="18"/>
      <c r="F183" s="18"/>
      <c r="G183" s="19"/>
      <c r="H183" s="18"/>
      <c r="I183" s="18"/>
      <c r="J183" s="19"/>
      <c r="K183" s="19"/>
      <c r="L183" s="18"/>
      <c r="M183" s="18"/>
    </row>
    <row r="184" spans="1:13" ht="14.45">
      <c r="A184" s="18"/>
      <c r="B184" s="30"/>
      <c r="C184" s="30"/>
      <c r="D184" s="18"/>
      <c r="E184" s="18"/>
      <c r="F184" s="18"/>
      <c r="G184" s="19"/>
      <c r="H184" s="18"/>
      <c r="I184" s="18"/>
      <c r="J184" s="19"/>
      <c r="K184" s="19"/>
      <c r="L184" s="18"/>
      <c r="M184" s="18"/>
    </row>
    <row r="185" spans="1:13" ht="14.45">
      <c r="A185" s="18"/>
      <c r="B185" s="30"/>
      <c r="C185" s="30"/>
      <c r="D185" s="18"/>
      <c r="E185" s="18"/>
      <c r="F185" s="18"/>
      <c r="G185" s="19"/>
      <c r="H185" s="18"/>
      <c r="I185" s="18"/>
      <c r="J185" s="19"/>
      <c r="K185" s="19"/>
      <c r="L185" s="18"/>
      <c r="M185" s="18"/>
    </row>
    <row r="186" spans="1:13" ht="14.45">
      <c r="A186" s="18"/>
      <c r="B186" s="30"/>
      <c r="C186" s="30"/>
      <c r="D186" s="18"/>
      <c r="E186" s="18"/>
      <c r="F186" s="18"/>
      <c r="G186" s="19"/>
      <c r="H186" s="18"/>
      <c r="I186" s="18"/>
      <c r="J186" s="19"/>
      <c r="K186" s="19"/>
      <c r="L186" s="18"/>
      <c r="M186" s="18"/>
    </row>
    <row r="187" spans="1:13" ht="14.45">
      <c r="A187" s="18"/>
      <c r="B187" s="30"/>
      <c r="C187" s="30"/>
      <c r="D187" s="18"/>
      <c r="E187" s="18"/>
      <c r="F187" s="18"/>
      <c r="G187" s="19"/>
      <c r="H187" s="18"/>
      <c r="I187" s="18"/>
      <c r="J187" s="19"/>
      <c r="K187" s="19"/>
      <c r="L187" s="18"/>
      <c r="M187" s="18"/>
    </row>
    <row r="188" spans="1:13" ht="14.45">
      <c r="A188" s="18"/>
      <c r="B188" s="30"/>
      <c r="C188" s="30"/>
      <c r="D188" s="18"/>
      <c r="E188" s="18"/>
      <c r="F188" s="18"/>
      <c r="G188" s="19"/>
      <c r="H188" s="18"/>
      <c r="I188" s="18"/>
      <c r="J188" s="19"/>
      <c r="K188" s="19"/>
      <c r="L188" s="18"/>
      <c r="M188" s="18"/>
    </row>
    <row r="189" spans="1:13" ht="14.45">
      <c r="A189" s="18"/>
      <c r="B189" s="30"/>
      <c r="C189" s="30"/>
      <c r="D189" s="18"/>
      <c r="E189" s="18"/>
      <c r="F189" s="18"/>
      <c r="G189" s="19"/>
      <c r="H189" s="18"/>
      <c r="I189" s="18"/>
      <c r="J189" s="19"/>
      <c r="K189" s="19"/>
      <c r="L189" s="18"/>
      <c r="M189" s="18"/>
    </row>
    <row r="190" spans="1:13" ht="14.45">
      <c r="A190" s="18"/>
      <c r="B190" s="30"/>
      <c r="C190" s="30"/>
      <c r="D190" s="18"/>
      <c r="E190" s="18"/>
      <c r="F190" s="18"/>
      <c r="G190" s="19"/>
      <c r="H190" s="18"/>
      <c r="I190" s="18"/>
      <c r="J190" s="19"/>
      <c r="K190" s="19"/>
      <c r="L190" s="18"/>
      <c r="M190" s="18"/>
    </row>
    <row r="191" spans="1:13" ht="14.45">
      <c r="A191" s="18"/>
      <c r="B191" s="30"/>
      <c r="C191" s="30"/>
      <c r="D191" s="18"/>
      <c r="E191" s="18"/>
      <c r="F191" s="18"/>
      <c r="G191" s="19"/>
      <c r="H191" s="18"/>
      <c r="I191" s="18"/>
      <c r="J191" s="19"/>
      <c r="K191" s="19"/>
      <c r="L191" s="18"/>
      <c r="M191" s="18"/>
    </row>
    <row r="192" spans="1:13" ht="14.45">
      <c r="A192" s="18"/>
      <c r="B192" s="30"/>
      <c r="C192" s="30"/>
      <c r="D192" s="18"/>
      <c r="E192" s="18"/>
      <c r="F192" s="18"/>
      <c r="G192" s="19"/>
      <c r="H192" s="18"/>
      <c r="I192" s="18"/>
      <c r="J192" s="19"/>
      <c r="K192" s="19"/>
      <c r="L192" s="18"/>
      <c r="M192" s="18"/>
    </row>
    <row r="193" spans="1:13" ht="14.45">
      <c r="A193" s="18"/>
      <c r="B193" s="30"/>
      <c r="C193" s="30"/>
      <c r="D193" s="18"/>
      <c r="E193" s="18"/>
      <c r="F193" s="18"/>
      <c r="G193" s="19"/>
      <c r="H193" s="18"/>
      <c r="I193" s="18"/>
      <c r="J193" s="19"/>
      <c r="K193" s="19"/>
      <c r="L193" s="18"/>
      <c r="M193" s="18"/>
    </row>
    <row r="194" spans="1:13" ht="14.45">
      <c r="A194" s="18"/>
      <c r="B194" s="30"/>
      <c r="C194" s="30"/>
      <c r="D194" s="18"/>
      <c r="E194" s="18"/>
      <c r="F194" s="18"/>
      <c r="G194" s="19"/>
      <c r="H194" s="18"/>
      <c r="I194" s="18"/>
      <c r="J194" s="19"/>
      <c r="K194" s="19"/>
      <c r="L194" s="18"/>
      <c r="M194" s="18"/>
    </row>
    <row r="195" spans="1:13" ht="14.45">
      <c r="A195" s="18"/>
      <c r="B195" s="30"/>
      <c r="C195" s="30"/>
      <c r="D195" s="18"/>
      <c r="E195" s="18"/>
      <c r="F195" s="18"/>
      <c r="G195" s="19"/>
      <c r="H195" s="18"/>
      <c r="I195" s="18"/>
      <c r="J195" s="19"/>
      <c r="K195" s="19"/>
      <c r="L195" s="18"/>
      <c r="M195" s="18"/>
    </row>
    <row r="196" spans="1:13" ht="14.45">
      <c r="A196" s="18"/>
      <c r="B196" s="30"/>
      <c r="C196" s="30"/>
      <c r="D196" s="18"/>
      <c r="E196" s="18"/>
      <c r="F196" s="18"/>
      <c r="G196" s="19"/>
      <c r="H196" s="18"/>
      <c r="I196" s="18"/>
      <c r="J196" s="19"/>
      <c r="K196" s="19"/>
      <c r="L196" s="18"/>
      <c r="M196" s="18"/>
    </row>
    <row r="197" spans="1:13" ht="14.45">
      <c r="A197" s="18"/>
      <c r="B197" s="30"/>
      <c r="C197" s="30"/>
      <c r="D197" s="18"/>
      <c r="E197" s="18"/>
      <c r="F197" s="18"/>
      <c r="G197" s="19"/>
      <c r="H197" s="18"/>
      <c r="I197" s="18"/>
      <c r="J197" s="19"/>
      <c r="K197" s="19"/>
      <c r="L197" s="18"/>
      <c r="M197" s="18"/>
    </row>
    <row r="198" spans="1:13" ht="14.45">
      <c r="A198" s="18"/>
      <c r="B198" s="30"/>
      <c r="C198" s="30"/>
      <c r="D198" s="18"/>
      <c r="E198" s="18"/>
      <c r="F198" s="18"/>
      <c r="G198" s="19"/>
      <c r="H198" s="18"/>
      <c r="I198" s="18"/>
      <c r="J198" s="19"/>
      <c r="K198" s="19"/>
      <c r="L198" s="18"/>
      <c r="M198" s="18"/>
    </row>
    <row r="199" spans="1:13" ht="14.45">
      <c r="A199" s="18"/>
      <c r="B199" s="30"/>
      <c r="C199" s="30"/>
      <c r="D199" s="18"/>
      <c r="E199" s="18"/>
      <c r="F199" s="18"/>
      <c r="G199" s="19"/>
      <c r="H199" s="18"/>
      <c r="I199" s="18"/>
      <c r="J199" s="19"/>
      <c r="K199" s="19"/>
      <c r="L199" s="18"/>
      <c r="M199" s="18"/>
    </row>
    <row r="200" spans="1:13" ht="14.45">
      <c r="A200" s="18"/>
      <c r="B200" s="30"/>
      <c r="C200" s="30"/>
      <c r="D200" s="18"/>
      <c r="E200" s="18"/>
      <c r="F200" s="18"/>
      <c r="G200" s="19"/>
      <c r="H200" s="18"/>
      <c r="I200" s="18"/>
      <c r="J200" s="19"/>
      <c r="K200" s="19"/>
      <c r="L200" s="18"/>
      <c r="M200" s="18"/>
    </row>
    <row r="201" spans="1:13" ht="14.45">
      <c r="A201" s="18"/>
      <c r="B201" s="30"/>
      <c r="C201" s="30"/>
      <c r="D201" s="18"/>
      <c r="E201" s="18"/>
      <c r="F201" s="18"/>
      <c r="G201" s="19"/>
      <c r="H201" s="18"/>
      <c r="I201" s="18"/>
      <c r="J201" s="19"/>
      <c r="K201" s="19"/>
      <c r="L201" s="18"/>
      <c r="M201" s="18"/>
    </row>
    <row r="202" spans="1:13" ht="14.45">
      <c r="A202" s="18"/>
      <c r="B202" s="30"/>
      <c r="C202" s="30"/>
      <c r="D202" s="18"/>
      <c r="E202" s="18"/>
      <c r="F202" s="18"/>
      <c r="G202" s="19"/>
      <c r="H202" s="18"/>
      <c r="I202" s="18"/>
      <c r="J202" s="19"/>
      <c r="K202" s="19"/>
      <c r="L202" s="18"/>
      <c r="M202" s="18"/>
    </row>
    <row r="203" spans="1:13" ht="14.45">
      <c r="A203" s="18"/>
      <c r="B203" s="30"/>
      <c r="C203" s="30"/>
      <c r="D203" s="18"/>
      <c r="E203" s="18"/>
      <c r="F203" s="18"/>
      <c r="G203" s="19"/>
      <c r="H203" s="18"/>
      <c r="I203" s="18"/>
      <c r="J203" s="19"/>
      <c r="K203" s="19"/>
      <c r="L203" s="18"/>
      <c r="M203" s="18"/>
    </row>
    <row r="204" spans="1:13" ht="14.45">
      <c r="A204" s="18"/>
      <c r="B204" s="30"/>
      <c r="C204" s="30"/>
      <c r="D204" s="18"/>
      <c r="E204" s="18"/>
      <c r="F204" s="18"/>
      <c r="G204" s="19"/>
      <c r="H204" s="18"/>
      <c r="I204" s="18"/>
      <c r="J204" s="19"/>
      <c r="K204" s="19"/>
      <c r="L204" s="18"/>
      <c r="M204" s="18"/>
    </row>
    <row r="205" spans="1:13" ht="14.45">
      <c r="A205" s="18"/>
      <c r="B205" s="30"/>
      <c r="C205" s="30"/>
      <c r="D205" s="18"/>
      <c r="E205" s="18"/>
      <c r="F205" s="18"/>
      <c r="G205" s="19"/>
      <c r="H205" s="18"/>
      <c r="I205" s="18"/>
      <c r="J205" s="19"/>
      <c r="K205" s="19"/>
      <c r="L205" s="18"/>
      <c r="M205" s="18"/>
    </row>
    <row r="206" spans="1:13" ht="14.45">
      <c r="A206" s="18"/>
      <c r="B206" s="30"/>
      <c r="C206" s="30"/>
      <c r="D206" s="18"/>
      <c r="E206" s="18"/>
      <c r="F206" s="18"/>
      <c r="G206" s="19"/>
      <c r="H206" s="18"/>
      <c r="I206" s="18"/>
      <c r="J206" s="19"/>
      <c r="K206" s="19"/>
      <c r="L206" s="18"/>
      <c r="M206" s="18"/>
    </row>
    <row r="207" spans="1:13" ht="14.45">
      <c r="A207" s="18"/>
      <c r="B207" s="30"/>
      <c r="C207" s="30"/>
      <c r="D207" s="18"/>
      <c r="E207" s="18"/>
      <c r="F207" s="18"/>
      <c r="G207" s="19"/>
      <c r="H207" s="18"/>
      <c r="I207" s="18"/>
      <c r="J207" s="19"/>
      <c r="K207" s="19"/>
      <c r="L207" s="18"/>
      <c r="M207" s="18"/>
    </row>
    <row r="208" spans="1:13" ht="14.45">
      <c r="A208" s="18"/>
      <c r="B208" s="30"/>
      <c r="C208" s="30"/>
      <c r="D208" s="18"/>
      <c r="E208" s="18"/>
      <c r="F208" s="18"/>
      <c r="G208" s="19"/>
      <c r="H208" s="18"/>
      <c r="I208" s="18"/>
      <c r="J208" s="19"/>
      <c r="K208" s="19"/>
      <c r="L208" s="18"/>
      <c r="M208" s="18"/>
    </row>
    <row r="209" spans="1:13" ht="14.45">
      <c r="A209" s="18"/>
      <c r="B209" s="30"/>
      <c r="C209" s="30"/>
      <c r="D209" s="18"/>
      <c r="E209" s="18"/>
      <c r="F209" s="18"/>
      <c r="G209" s="19"/>
      <c r="H209" s="18"/>
      <c r="I209" s="18"/>
      <c r="J209" s="19"/>
      <c r="K209" s="19"/>
      <c r="L209" s="18"/>
      <c r="M209" s="18"/>
    </row>
    <row r="210" spans="1:13" ht="14.45">
      <c r="A210" s="18"/>
      <c r="B210" s="30"/>
      <c r="C210" s="30"/>
      <c r="D210" s="18"/>
      <c r="E210" s="18"/>
      <c r="F210" s="18"/>
      <c r="G210" s="19"/>
      <c r="H210" s="18"/>
      <c r="I210" s="18"/>
      <c r="J210" s="19"/>
      <c r="K210" s="19"/>
      <c r="L210" s="18"/>
      <c r="M210" s="18"/>
    </row>
    <row r="211" spans="1:13" ht="14.45">
      <c r="A211" s="18"/>
      <c r="B211" s="30"/>
      <c r="C211" s="30"/>
      <c r="D211" s="18"/>
      <c r="E211" s="18"/>
      <c r="F211" s="18"/>
      <c r="G211" s="19"/>
      <c r="H211" s="18"/>
      <c r="I211" s="18"/>
      <c r="J211" s="19"/>
      <c r="K211" s="19"/>
      <c r="L211" s="18"/>
      <c r="M211" s="18"/>
    </row>
    <row r="212" spans="1:13" ht="14.45">
      <c r="A212" s="18"/>
      <c r="B212" s="30"/>
      <c r="C212" s="30"/>
      <c r="D212" s="18"/>
      <c r="E212" s="18"/>
      <c r="F212" s="18"/>
      <c r="G212" s="19"/>
      <c r="H212" s="18"/>
      <c r="I212" s="18"/>
      <c r="J212" s="19"/>
      <c r="K212" s="19"/>
      <c r="L212" s="18"/>
      <c r="M212" s="18"/>
    </row>
    <row r="213" spans="1:13" ht="14.45">
      <c r="A213" s="18"/>
      <c r="B213" s="30"/>
      <c r="C213" s="30"/>
      <c r="D213" s="18"/>
      <c r="E213" s="18"/>
      <c r="F213" s="18"/>
      <c r="G213" s="19"/>
      <c r="H213" s="18"/>
      <c r="I213" s="18"/>
      <c r="J213" s="19"/>
      <c r="K213" s="19"/>
      <c r="L213" s="18"/>
      <c r="M213" s="18"/>
    </row>
    <row r="214" spans="1:13" ht="14.45">
      <c r="A214" s="18"/>
      <c r="B214" s="30"/>
      <c r="C214" s="30"/>
      <c r="D214" s="18"/>
      <c r="E214" s="18"/>
      <c r="F214" s="18"/>
      <c r="G214" s="19"/>
      <c r="H214" s="18"/>
      <c r="I214" s="18"/>
      <c r="J214" s="19"/>
      <c r="K214" s="19"/>
      <c r="L214" s="18"/>
      <c r="M214" s="18"/>
    </row>
    <row r="215" spans="1:13" ht="14.45">
      <c r="A215" s="18"/>
      <c r="B215" s="30"/>
      <c r="C215" s="30"/>
      <c r="D215" s="18"/>
      <c r="E215" s="18"/>
      <c r="F215" s="18"/>
      <c r="G215" s="19"/>
      <c r="H215" s="18"/>
      <c r="I215" s="18"/>
      <c r="J215" s="19"/>
      <c r="K215" s="19"/>
      <c r="L215" s="18"/>
      <c r="M215" s="18"/>
    </row>
    <row r="216" spans="1:13" ht="14.45">
      <c r="A216" s="18"/>
      <c r="B216" s="30"/>
      <c r="C216" s="30"/>
      <c r="D216" s="18"/>
      <c r="E216" s="18"/>
      <c r="F216" s="18"/>
      <c r="G216" s="19"/>
      <c r="H216" s="18"/>
      <c r="I216" s="18"/>
      <c r="J216" s="19"/>
      <c r="K216" s="19"/>
      <c r="L216" s="18"/>
      <c r="M216" s="18"/>
    </row>
    <row r="217" spans="1:13" ht="14.45">
      <c r="A217" s="18"/>
      <c r="B217" s="30"/>
      <c r="C217" s="30"/>
      <c r="D217" s="18"/>
      <c r="E217" s="18"/>
      <c r="F217" s="18"/>
      <c r="G217" s="19"/>
      <c r="H217" s="18"/>
      <c r="I217" s="18"/>
      <c r="J217" s="19"/>
      <c r="K217" s="19"/>
      <c r="L217" s="18"/>
      <c r="M217" s="18"/>
    </row>
    <row r="218" spans="1:13" ht="14.45">
      <c r="A218" s="18"/>
      <c r="B218" s="30"/>
      <c r="C218" s="30"/>
      <c r="D218" s="18"/>
      <c r="E218" s="18"/>
      <c r="F218" s="18"/>
      <c r="G218" s="19"/>
      <c r="H218" s="18"/>
      <c r="I218" s="18"/>
      <c r="J218" s="19"/>
      <c r="K218" s="19"/>
      <c r="L218" s="18"/>
      <c r="M218" s="18"/>
    </row>
    <row r="219" spans="1:13" ht="14.45">
      <c r="A219" s="18"/>
      <c r="B219" s="30"/>
      <c r="C219" s="30"/>
      <c r="D219" s="18"/>
      <c r="E219" s="18"/>
      <c r="F219" s="18"/>
      <c r="G219" s="19"/>
      <c r="H219" s="18"/>
      <c r="I219" s="18"/>
      <c r="J219" s="19"/>
      <c r="K219" s="19"/>
      <c r="L219" s="18"/>
      <c r="M219" s="18"/>
    </row>
    <row r="220" spans="1:13" ht="14.45">
      <c r="A220" s="18"/>
      <c r="B220" s="30"/>
      <c r="C220" s="30"/>
      <c r="D220" s="18"/>
      <c r="E220" s="18"/>
      <c r="F220" s="18"/>
      <c r="G220" s="19"/>
      <c r="H220" s="18"/>
      <c r="I220" s="18"/>
      <c r="J220" s="19"/>
      <c r="K220" s="19"/>
      <c r="L220" s="18"/>
      <c r="M220" s="18"/>
    </row>
    <row r="221" spans="1:13" ht="14.45">
      <c r="A221" s="18"/>
      <c r="B221" s="30"/>
      <c r="C221" s="30"/>
      <c r="D221" s="18"/>
      <c r="E221" s="18"/>
      <c r="F221" s="18"/>
      <c r="G221" s="19"/>
      <c r="H221" s="18"/>
      <c r="I221" s="18"/>
      <c r="J221" s="19"/>
      <c r="K221" s="19"/>
      <c r="L221" s="18"/>
      <c r="M221" s="18"/>
    </row>
    <row r="222" spans="1:13" ht="14.45">
      <c r="A222" s="18"/>
      <c r="B222" s="30"/>
      <c r="C222" s="30"/>
      <c r="D222" s="18"/>
      <c r="E222" s="18"/>
      <c r="F222" s="18"/>
      <c r="G222" s="19"/>
      <c r="H222" s="18"/>
      <c r="I222" s="18"/>
      <c r="J222" s="19"/>
      <c r="K222" s="19"/>
      <c r="L222" s="18"/>
      <c r="M222" s="18"/>
    </row>
    <row r="223" spans="1:13" ht="14.45">
      <c r="A223" s="18"/>
      <c r="B223" s="30"/>
      <c r="C223" s="30"/>
      <c r="D223" s="18"/>
      <c r="E223" s="18"/>
      <c r="F223" s="18"/>
      <c r="G223" s="19"/>
      <c r="H223" s="18"/>
      <c r="I223" s="18"/>
      <c r="J223" s="19"/>
      <c r="K223" s="19"/>
      <c r="L223" s="18"/>
      <c r="M223" s="18"/>
    </row>
    <row r="224" spans="1:13" ht="14.45">
      <c r="A224" s="18"/>
      <c r="B224" s="30"/>
      <c r="C224" s="30"/>
      <c r="D224" s="18"/>
      <c r="E224" s="18"/>
      <c r="F224" s="18"/>
      <c r="G224" s="19"/>
      <c r="H224" s="18"/>
      <c r="I224" s="18"/>
      <c r="J224" s="19"/>
      <c r="K224" s="19"/>
      <c r="L224" s="18"/>
      <c r="M224" s="18"/>
    </row>
    <row r="225" spans="1:13" ht="14.45">
      <c r="A225" s="18"/>
      <c r="B225" s="30"/>
      <c r="C225" s="30"/>
      <c r="D225" s="18"/>
      <c r="E225" s="18"/>
      <c r="F225" s="18"/>
      <c r="G225" s="19"/>
      <c r="H225" s="18"/>
      <c r="I225" s="18"/>
      <c r="J225" s="19"/>
      <c r="K225" s="19"/>
      <c r="L225" s="18"/>
      <c r="M225" s="18"/>
    </row>
    <row r="226" spans="1:13" ht="14.45">
      <c r="A226" s="18"/>
      <c r="B226" s="30"/>
      <c r="C226" s="30"/>
      <c r="D226" s="18"/>
      <c r="E226" s="18"/>
      <c r="F226" s="18"/>
      <c r="G226" s="19"/>
      <c r="H226" s="18"/>
      <c r="I226" s="18"/>
      <c r="J226" s="19"/>
      <c r="K226" s="19"/>
      <c r="L226" s="18"/>
      <c r="M226" s="18"/>
    </row>
    <row r="227" spans="1:13" ht="14.45">
      <c r="A227" s="18"/>
      <c r="B227" s="30"/>
      <c r="C227" s="30"/>
      <c r="D227" s="18"/>
      <c r="E227" s="18"/>
      <c r="F227" s="18"/>
      <c r="G227" s="19"/>
      <c r="H227" s="18"/>
      <c r="I227" s="18"/>
      <c r="J227" s="19"/>
      <c r="K227" s="19"/>
      <c r="L227" s="18"/>
      <c r="M227" s="18"/>
    </row>
    <row r="228" spans="1:13" ht="14.45">
      <c r="A228" s="18"/>
      <c r="B228" s="30"/>
      <c r="C228" s="30"/>
      <c r="D228" s="18"/>
      <c r="E228" s="18"/>
      <c r="F228" s="18"/>
      <c r="G228" s="19"/>
      <c r="H228" s="18"/>
      <c r="I228" s="18"/>
      <c r="J228" s="19"/>
      <c r="K228" s="19"/>
      <c r="L228" s="18"/>
      <c r="M228" s="18"/>
    </row>
    <row r="229" spans="1:13" ht="14.45">
      <c r="A229" s="18"/>
      <c r="B229" s="30"/>
      <c r="C229" s="30"/>
      <c r="D229" s="18"/>
      <c r="E229" s="18"/>
      <c r="F229" s="18"/>
      <c r="G229" s="19"/>
      <c r="H229" s="18"/>
      <c r="I229" s="18"/>
      <c r="J229" s="19"/>
      <c r="K229" s="19"/>
      <c r="L229" s="18"/>
      <c r="M229" s="18"/>
    </row>
    <row r="230" spans="1:13" ht="14.45">
      <c r="A230" s="18"/>
      <c r="B230" s="30"/>
      <c r="C230" s="30"/>
      <c r="D230" s="18"/>
      <c r="E230" s="18"/>
      <c r="F230" s="18"/>
      <c r="G230" s="19"/>
      <c r="H230" s="18"/>
      <c r="I230" s="18"/>
      <c r="J230" s="19"/>
      <c r="K230" s="19"/>
      <c r="L230" s="18"/>
      <c r="M230" s="18"/>
    </row>
    <row r="231" spans="1:13" ht="14.45">
      <c r="A231" s="18"/>
      <c r="B231" s="30"/>
      <c r="C231" s="30"/>
      <c r="D231" s="18"/>
      <c r="E231" s="18"/>
      <c r="F231" s="18"/>
      <c r="G231" s="19"/>
      <c r="H231" s="18"/>
      <c r="I231" s="18"/>
      <c r="J231" s="19"/>
      <c r="K231" s="19"/>
      <c r="L231" s="18"/>
      <c r="M231" s="18"/>
    </row>
    <row r="232" spans="1:13" ht="14.45">
      <c r="A232" s="18"/>
      <c r="B232" s="30"/>
      <c r="C232" s="30"/>
      <c r="D232" s="18"/>
      <c r="E232" s="18"/>
      <c r="F232" s="18"/>
      <c r="G232" s="19"/>
      <c r="H232" s="18"/>
      <c r="I232" s="18"/>
      <c r="J232" s="19"/>
      <c r="K232" s="19"/>
      <c r="L232" s="18"/>
      <c r="M232" s="18"/>
    </row>
    <row r="233" spans="1:13" ht="14.45">
      <c r="A233" s="18"/>
      <c r="B233" s="30"/>
      <c r="C233" s="30"/>
      <c r="D233" s="18"/>
      <c r="E233" s="18"/>
      <c r="F233" s="18"/>
      <c r="G233" s="19"/>
      <c r="H233" s="18"/>
      <c r="I233" s="18"/>
      <c r="J233" s="19"/>
      <c r="K233" s="19"/>
      <c r="L233" s="18"/>
      <c r="M233" s="18"/>
    </row>
    <row r="234" spans="1:13" ht="14.45">
      <c r="A234" s="18"/>
      <c r="B234" s="30"/>
      <c r="C234" s="30"/>
      <c r="D234" s="18"/>
      <c r="E234" s="18"/>
      <c r="F234" s="18"/>
      <c r="G234" s="19"/>
      <c r="H234" s="18"/>
      <c r="I234" s="18"/>
      <c r="J234" s="19"/>
      <c r="K234" s="19"/>
      <c r="L234" s="18"/>
      <c r="M234" s="18"/>
    </row>
    <row r="235" spans="1:13" ht="14.45">
      <c r="A235" s="18"/>
      <c r="B235" s="30"/>
      <c r="C235" s="30"/>
      <c r="D235" s="18"/>
      <c r="E235" s="18"/>
      <c r="F235" s="18"/>
      <c r="G235" s="19"/>
      <c r="H235" s="18"/>
      <c r="I235" s="18"/>
      <c r="J235" s="19"/>
      <c r="K235" s="19"/>
      <c r="L235" s="18"/>
      <c r="M235" s="18"/>
    </row>
    <row r="236" spans="1:13" ht="14.45">
      <c r="A236" s="18"/>
      <c r="B236" s="30"/>
      <c r="C236" s="30"/>
      <c r="D236" s="18"/>
      <c r="E236" s="18"/>
      <c r="F236" s="18"/>
      <c r="G236" s="19"/>
      <c r="H236" s="18"/>
      <c r="I236" s="18"/>
      <c r="J236" s="19"/>
      <c r="K236" s="19"/>
      <c r="L236" s="18"/>
      <c r="M236" s="18"/>
    </row>
    <row r="237" spans="1:13" ht="14.45">
      <c r="A237" s="18"/>
      <c r="B237" s="30"/>
      <c r="C237" s="30"/>
      <c r="D237" s="18"/>
      <c r="E237" s="18"/>
      <c r="F237" s="18"/>
      <c r="G237" s="19"/>
      <c r="H237" s="18"/>
      <c r="I237" s="18"/>
      <c r="J237" s="19"/>
      <c r="K237" s="19"/>
      <c r="L237" s="18"/>
      <c r="M237" s="18"/>
    </row>
    <row r="238" spans="1:13" ht="14.45">
      <c r="A238" s="18"/>
      <c r="B238" s="30"/>
      <c r="C238" s="30"/>
      <c r="D238" s="18"/>
      <c r="E238" s="18"/>
      <c r="F238" s="18"/>
      <c r="G238" s="19"/>
      <c r="H238" s="18"/>
      <c r="I238" s="18"/>
      <c r="J238" s="19"/>
      <c r="K238" s="19"/>
      <c r="L238" s="18"/>
      <c r="M238" s="18"/>
    </row>
    <row r="239" spans="1:13" ht="14.45">
      <c r="A239" s="18"/>
      <c r="B239" s="30"/>
      <c r="C239" s="30"/>
      <c r="D239" s="18"/>
      <c r="E239" s="18"/>
      <c r="F239" s="18"/>
      <c r="G239" s="19"/>
      <c r="H239" s="18"/>
      <c r="I239" s="18"/>
      <c r="J239" s="19"/>
      <c r="K239" s="19"/>
      <c r="L239" s="18"/>
      <c r="M239" s="18"/>
    </row>
    <row r="240" spans="1:13" ht="14.45">
      <c r="A240" s="18"/>
      <c r="B240" s="30"/>
      <c r="C240" s="30"/>
      <c r="D240" s="18"/>
      <c r="E240" s="18"/>
      <c r="F240" s="18"/>
      <c r="G240" s="19"/>
      <c r="H240" s="18"/>
      <c r="I240" s="18"/>
      <c r="J240" s="19"/>
      <c r="K240" s="19"/>
      <c r="L240" s="18"/>
      <c r="M240" s="18"/>
    </row>
    <row r="241" spans="1:13" ht="14.45">
      <c r="A241" s="18"/>
      <c r="B241" s="30"/>
      <c r="C241" s="30"/>
      <c r="D241" s="18"/>
      <c r="E241" s="18"/>
      <c r="F241" s="18"/>
      <c r="G241" s="19"/>
      <c r="H241" s="18"/>
      <c r="I241" s="18"/>
      <c r="J241" s="19"/>
      <c r="K241" s="19"/>
      <c r="L241" s="18"/>
      <c r="M241" s="18"/>
    </row>
    <row r="242" spans="1:13" ht="14.45">
      <c r="A242" s="18"/>
      <c r="B242" s="30"/>
      <c r="C242" s="30"/>
      <c r="D242" s="18"/>
      <c r="E242" s="18"/>
      <c r="F242" s="18"/>
      <c r="G242" s="19"/>
      <c r="H242" s="18"/>
      <c r="I242" s="18"/>
      <c r="J242" s="19"/>
      <c r="K242" s="19"/>
      <c r="L242" s="18"/>
      <c r="M242" s="18"/>
    </row>
    <row r="243" spans="1:13" ht="14.45">
      <c r="A243" s="18"/>
      <c r="B243" s="30"/>
      <c r="C243" s="30"/>
      <c r="D243" s="18"/>
      <c r="E243" s="18"/>
      <c r="F243" s="18"/>
      <c r="G243" s="19"/>
      <c r="H243" s="18"/>
      <c r="I243" s="18"/>
      <c r="J243" s="19"/>
      <c r="K243" s="19"/>
      <c r="L243" s="18"/>
      <c r="M243" s="18"/>
    </row>
    <row r="244" spans="1:13" ht="14.45">
      <c r="A244" s="18"/>
      <c r="B244" s="30"/>
      <c r="C244" s="30"/>
      <c r="D244" s="18"/>
      <c r="E244" s="18"/>
      <c r="F244" s="18"/>
      <c r="G244" s="19"/>
      <c r="H244" s="18"/>
      <c r="I244" s="18"/>
      <c r="J244" s="19"/>
      <c r="K244" s="19"/>
      <c r="L244" s="18"/>
      <c r="M244" s="18"/>
    </row>
    <row r="245" spans="1:13" ht="14.45">
      <c r="A245" s="18"/>
      <c r="B245" s="30"/>
      <c r="C245" s="30"/>
      <c r="D245" s="18"/>
      <c r="E245" s="18"/>
      <c r="F245" s="18"/>
      <c r="G245" s="19"/>
      <c r="H245" s="18"/>
      <c r="I245" s="18"/>
      <c r="J245" s="19"/>
      <c r="K245" s="19"/>
      <c r="L245" s="18"/>
      <c r="M245" s="18"/>
    </row>
    <row r="246" spans="1:13" ht="14.45">
      <c r="A246" s="18"/>
      <c r="B246" s="30"/>
      <c r="C246" s="30"/>
      <c r="D246" s="18"/>
      <c r="E246" s="18"/>
      <c r="F246" s="18"/>
      <c r="G246" s="19"/>
      <c r="H246" s="18"/>
      <c r="I246" s="18"/>
      <c r="J246" s="19"/>
      <c r="K246" s="19"/>
      <c r="L246" s="18"/>
      <c r="M246" s="18"/>
    </row>
    <row r="247" spans="1:13" ht="14.45">
      <c r="A247" s="18"/>
      <c r="B247" s="30"/>
      <c r="C247" s="30"/>
      <c r="D247" s="18"/>
      <c r="E247" s="18"/>
      <c r="F247" s="18"/>
      <c r="G247" s="19"/>
      <c r="H247" s="18"/>
      <c r="I247" s="18"/>
      <c r="J247" s="19"/>
      <c r="K247" s="19"/>
      <c r="L247" s="18"/>
      <c r="M247" s="18"/>
    </row>
    <row r="248" spans="1:13" ht="14.45">
      <c r="A248" s="18"/>
      <c r="B248" s="30"/>
      <c r="C248" s="30"/>
      <c r="D248" s="18"/>
      <c r="E248" s="18"/>
      <c r="F248" s="18"/>
      <c r="G248" s="19"/>
      <c r="H248" s="18"/>
      <c r="I248" s="18"/>
      <c r="J248" s="19"/>
      <c r="K248" s="19"/>
      <c r="L248" s="18"/>
      <c r="M248" s="18"/>
    </row>
    <row r="249" spans="1:13" ht="14.45">
      <c r="A249" s="18"/>
      <c r="B249" s="30"/>
      <c r="C249" s="30"/>
      <c r="D249" s="18"/>
      <c r="E249" s="18"/>
      <c r="F249" s="18"/>
      <c r="G249" s="19"/>
      <c r="H249" s="18"/>
      <c r="I249" s="18"/>
      <c r="J249" s="19"/>
      <c r="K249" s="19"/>
      <c r="L249" s="18"/>
      <c r="M249" s="18"/>
    </row>
    <row r="250" spans="1:13" ht="14.45">
      <c r="A250" s="18"/>
      <c r="B250" s="30"/>
      <c r="C250" s="30"/>
      <c r="D250" s="18"/>
      <c r="E250" s="18"/>
      <c r="F250" s="18"/>
      <c r="G250" s="19"/>
      <c r="H250" s="18"/>
      <c r="I250" s="18"/>
      <c r="J250" s="19"/>
      <c r="K250" s="19"/>
      <c r="L250" s="18"/>
      <c r="M250" s="18"/>
    </row>
    <row r="251" spans="1:13" ht="14.45">
      <c r="A251" s="18"/>
      <c r="B251" s="30"/>
      <c r="C251" s="30"/>
      <c r="D251" s="18"/>
      <c r="E251" s="18"/>
      <c r="F251" s="18"/>
      <c r="G251" s="19"/>
      <c r="H251" s="18"/>
      <c r="I251" s="18"/>
      <c r="J251" s="19"/>
      <c r="K251" s="19"/>
      <c r="L251" s="18"/>
      <c r="M251" s="18"/>
    </row>
    <row r="252" spans="1:13" ht="14.45">
      <c r="A252" s="18"/>
      <c r="B252" s="30"/>
      <c r="C252" s="30"/>
      <c r="D252" s="18"/>
      <c r="E252" s="18"/>
      <c r="F252" s="18"/>
      <c r="G252" s="19"/>
      <c r="H252" s="18"/>
      <c r="I252" s="18"/>
      <c r="J252" s="19"/>
      <c r="K252" s="19"/>
      <c r="L252" s="18"/>
      <c r="M252" s="18"/>
    </row>
    <row r="253" spans="1:13" ht="14.45">
      <c r="A253" s="18"/>
      <c r="B253" s="30"/>
      <c r="C253" s="30"/>
      <c r="D253" s="18"/>
      <c r="E253" s="18"/>
      <c r="F253" s="18"/>
      <c r="G253" s="19"/>
      <c r="H253" s="18"/>
      <c r="I253" s="18"/>
      <c r="J253" s="19"/>
      <c r="K253" s="19"/>
      <c r="L253" s="18"/>
      <c r="M253" s="18"/>
    </row>
    <row r="254" spans="1:13" ht="14.45">
      <c r="A254" s="18"/>
      <c r="B254" s="30"/>
      <c r="C254" s="30"/>
      <c r="D254" s="18"/>
      <c r="E254" s="18"/>
      <c r="F254" s="18"/>
      <c r="G254" s="19"/>
      <c r="H254" s="18"/>
      <c r="I254" s="18"/>
      <c r="J254" s="19"/>
      <c r="K254" s="19"/>
      <c r="L254" s="18"/>
      <c r="M254" s="18"/>
    </row>
    <row r="255" spans="1:13" ht="14.45">
      <c r="A255" s="18"/>
      <c r="B255" s="30"/>
      <c r="C255" s="30"/>
      <c r="D255" s="18"/>
      <c r="E255" s="18"/>
      <c r="F255" s="18"/>
      <c r="G255" s="19"/>
      <c r="H255" s="18"/>
      <c r="I255" s="18"/>
      <c r="J255" s="19"/>
      <c r="K255" s="19"/>
      <c r="L255" s="18"/>
      <c r="M255" s="18"/>
    </row>
    <row r="256" spans="1:13" ht="14.45">
      <c r="A256" s="18"/>
      <c r="B256" s="30"/>
      <c r="C256" s="30"/>
      <c r="D256" s="18"/>
      <c r="E256" s="18"/>
      <c r="F256" s="18"/>
      <c r="G256" s="19"/>
      <c r="H256" s="18"/>
      <c r="I256" s="18"/>
      <c r="J256" s="19"/>
      <c r="K256" s="19"/>
      <c r="L256" s="18"/>
      <c r="M256" s="18"/>
    </row>
    <row r="257" spans="1:13" ht="14.45">
      <c r="A257" s="18"/>
      <c r="B257" s="30"/>
      <c r="C257" s="30"/>
      <c r="D257" s="18"/>
      <c r="E257" s="18"/>
      <c r="F257" s="18"/>
      <c r="G257" s="19"/>
      <c r="H257" s="18"/>
      <c r="I257" s="18"/>
      <c r="J257" s="19"/>
      <c r="K257" s="19"/>
      <c r="L257" s="18"/>
      <c r="M257" s="18"/>
    </row>
    <row r="258" spans="1:13" ht="14.45">
      <c r="A258" s="18"/>
      <c r="B258" s="30"/>
      <c r="C258" s="30"/>
      <c r="D258" s="18"/>
      <c r="E258" s="18"/>
      <c r="F258" s="18"/>
      <c r="G258" s="19"/>
      <c r="H258" s="18"/>
      <c r="I258" s="18"/>
      <c r="J258" s="19"/>
      <c r="K258" s="19"/>
      <c r="L258" s="18"/>
      <c r="M258" s="18"/>
    </row>
    <row r="259" spans="1:13" ht="14.45">
      <c r="A259" s="18"/>
      <c r="B259" s="30"/>
      <c r="C259" s="30"/>
      <c r="D259" s="18"/>
      <c r="E259" s="18"/>
      <c r="F259" s="18"/>
      <c r="G259" s="19"/>
      <c r="H259" s="18"/>
      <c r="I259" s="18"/>
      <c r="J259" s="19"/>
      <c r="K259" s="19"/>
      <c r="L259" s="18"/>
      <c r="M259" s="18"/>
    </row>
    <row r="260" spans="1:13" ht="14.45">
      <c r="A260" s="18"/>
      <c r="B260" s="30"/>
      <c r="C260" s="30"/>
      <c r="D260" s="18"/>
      <c r="E260" s="18"/>
      <c r="F260" s="18"/>
      <c r="G260" s="19"/>
      <c r="H260" s="18"/>
      <c r="I260" s="18"/>
      <c r="J260" s="19"/>
      <c r="K260" s="19"/>
      <c r="L260" s="18"/>
      <c r="M260" s="18"/>
    </row>
    <row r="261" spans="1:13" ht="14.45">
      <c r="A261" s="18"/>
      <c r="B261" s="30"/>
      <c r="C261" s="30"/>
      <c r="D261" s="18"/>
      <c r="E261" s="18"/>
      <c r="F261" s="18"/>
      <c r="G261" s="19"/>
      <c r="H261" s="18"/>
      <c r="I261" s="18"/>
      <c r="J261" s="19"/>
      <c r="K261" s="19"/>
      <c r="L261" s="18"/>
      <c r="M261" s="18"/>
    </row>
    <row r="262" spans="1:13" ht="14.45">
      <c r="A262" s="18"/>
      <c r="B262" s="30"/>
      <c r="C262" s="30"/>
      <c r="D262" s="18"/>
      <c r="E262" s="18"/>
      <c r="F262" s="18"/>
      <c r="G262" s="19"/>
      <c r="H262" s="18"/>
      <c r="I262" s="18"/>
      <c r="J262" s="19"/>
      <c r="K262" s="19"/>
      <c r="L262" s="18"/>
      <c r="M262" s="18"/>
    </row>
    <row r="263" spans="1:13" ht="14.45">
      <c r="A263" s="18"/>
      <c r="B263" s="30"/>
      <c r="C263" s="30"/>
      <c r="D263" s="18"/>
      <c r="E263" s="18"/>
      <c r="F263" s="18"/>
      <c r="G263" s="19"/>
      <c r="H263" s="18"/>
      <c r="I263" s="18"/>
      <c r="J263" s="19"/>
      <c r="K263" s="19"/>
      <c r="L263" s="18"/>
      <c r="M263" s="18"/>
    </row>
    <row r="264" spans="1:13" ht="14.45">
      <c r="A264" s="18"/>
      <c r="B264" s="30"/>
      <c r="C264" s="30"/>
      <c r="D264" s="18"/>
      <c r="E264" s="18"/>
      <c r="F264" s="18"/>
      <c r="G264" s="19"/>
      <c r="H264" s="18"/>
      <c r="I264" s="18"/>
      <c r="J264" s="19"/>
      <c r="K264" s="19"/>
      <c r="L264" s="18"/>
      <c r="M264" s="18"/>
    </row>
    <row r="265" spans="1:13" ht="14.45">
      <c r="A265" s="18"/>
      <c r="B265" s="30"/>
      <c r="C265" s="30"/>
      <c r="D265" s="18"/>
      <c r="E265" s="18"/>
      <c r="F265" s="18"/>
      <c r="G265" s="19"/>
      <c r="H265" s="18"/>
      <c r="I265" s="18"/>
      <c r="J265" s="19"/>
      <c r="K265" s="19"/>
      <c r="L265" s="18"/>
      <c r="M265" s="18"/>
    </row>
    <row r="266" spans="1:13" ht="14.45">
      <c r="A266" s="18"/>
      <c r="B266" s="30"/>
      <c r="C266" s="30"/>
      <c r="D266" s="18"/>
      <c r="E266" s="18"/>
      <c r="F266" s="18"/>
      <c r="G266" s="19"/>
      <c r="H266" s="18"/>
      <c r="I266" s="18"/>
      <c r="J266" s="19"/>
      <c r="K266" s="19"/>
      <c r="L266" s="18"/>
      <c r="M266" s="18"/>
    </row>
    <row r="267" spans="1:13" ht="14.45">
      <c r="A267" s="18"/>
      <c r="B267" s="30"/>
      <c r="C267" s="30"/>
      <c r="D267" s="18"/>
      <c r="E267" s="18"/>
      <c r="F267" s="18"/>
      <c r="G267" s="19"/>
      <c r="H267" s="18"/>
      <c r="I267" s="18"/>
      <c r="J267" s="19"/>
      <c r="K267" s="19"/>
      <c r="L267" s="18"/>
      <c r="M267" s="18"/>
    </row>
    <row r="268" spans="1:13" ht="14.45">
      <c r="A268" s="18"/>
      <c r="B268" s="30"/>
      <c r="C268" s="30"/>
      <c r="D268" s="18"/>
      <c r="E268" s="18"/>
      <c r="F268" s="18"/>
      <c r="G268" s="19"/>
      <c r="H268" s="18"/>
      <c r="I268" s="18"/>
      <c r="J268" s="19"/>
      <c r="K268" s="19"/>
      <c r="L268" s="18"/>
      <c r="M268" s="18"/>
    </row>
    <row r="269" spans="1:13" ht="14.45">
      <c r="A269" s="18"/>
      <c r="B269" s="30"/>
      <c r="C269" s="30"/>
      <c r="D269" s="18"/>
      <c r="E269" s="18"/>
      <c r="F269" s="18"/>
      <c r="G269" s="19"/>
      <c r="H269" s="18"/>
      <c r="I269" s="18"/>
      <c r="J269" s="19"/>
      <c r="K269" s="19"/>
      <c r="L269" s="18"/>
      <c r="M269" s="18"/>
    </row>
    <row r="270" spans="1:13" ht="14.45">
      <c r="A270" s="18"/>
      <c r="B270" s="30"/>
      <c r="C270" s="30"/>
      <c r="D270" s="18"/>
      <c r="E270" s="18"/>
      <c r="F270" s="18"/>
      <c r="G270" s="19"/>
      <c r="H270" s="18"/>
      <c r="I270" s="18"/>
      <c r="J270" s="19"/>
      <c r="K270" s="19"/>
      <c r="L270" s="18"/>
      <c r="M270" s="18"/>
    </row>
    <row r="271" spans="1:13" ht="14.45">
      <c r="A271" s="18"/>
      <c r="B271" s="30"/>
      <c r="C271" s="30"/>
      <c r="D271" s="18"/>
      <c r="E271" s="18"/>
      <c r="F271" s="18"/>
      <c r="G271" s="19"/>
      <c r="H271" s="18"/>
      <c r="I271" s="18"/>
      <c r="J271" s="19"/>
      <c r="K271" s="19"/>
      <c r="L271" s="18"/>
      <c r="M271" s="18"/>
    </row>
    <row r="272" spans="1:13" ht="14.45">
      <c r="A272" s="18"/>
      <c r="B272" s="30"/>
      <c r="C272" s="30"/>
      <c r="D272" s="18"/>
      <c r="E272" s="18"/>
      <c r="F272" s="18"/>
      <c r="G272" s="19"/>
      <c r="H272" s="18"/>
      <c r="I272" s="18"/>
      <c r="J272" s="19"/>
      <c r="K272" s="19"/>
      <c r="L272" s="18"/>
      <c r="M272" s="18"/>
    </row>
    <row r="273" spans="1:13" ht="14.45">
      <c r="A273" s="18"/>
      <c r="B273" s="30"/>
      <c r="C273" s="30"/>
      <c r="D273" s="18"/>
      <c r="E273" s="18"/>
      <c r="F273" s="18"/>
      <c r="G273" s="19"/>
      <c r="H273" s="18"/>
      <c r="I273" s="18"/>
      <c r="J273" s="19"/>
      <c r="K273" s="19"/>
      <c r="L273" s="18"/>
      <c r="M273" s="18"/>
    </row>
    <row r="274" spans="1:13" ht="14.45">
      <c r="A274" s="18"/>
      <c r="B274" s="30"/>
      <c r="C274" s="30"/>
      <c r="D274" s="18"/>
      <c r="E274" s="18"/>
      <c r="F274" s="18"/>
      <c r="G274" s="19"/>
      <c r="H274" s="18"/>
      <c r="I274" s="18"/>
      <c r="J274" s="19"/>
      <c r="K274" s="19"/>
      <c r="L274" s="18"/>
      <c r="M274" s="18"/>
    </row>
    <row r="275" spans="1:13" ht="14.45">
      <c r="A275" s="18"/>
      <c r="B275" s="30"/>
      <c r="C275" s="30"/>
      <c r="D275" s="18"/>
      <c r="E275" s="18"/>
      <c r="F275" s="18"/>
      <c r="G275" s="19"/>
      <c r="H275" s="18"/>
      <c r="I275" s="18"/>
      <c r="J275" s="19"/>
      <c r="K275" s="19"/>
      <c r="L275" s="18"/>
      <c r="M275" s="18"/>
    </row>
    <row r="276" spans="1:13" ht="14.45">
      <c r="A276" s="18"/>
      <c r="B276" s="30"/>
      <c r="C276" s="30"/>
      <c r="D276" s="18"/>
      <c r="E276" s="18"/>
      <c r="F276" s="18"/>
      <c r="G276" s="19"/>
      <c r="H276" s="18"/>
      <c r="I276" s="18"/>
      <c r="J276" s="19"/>
      <c r="K276" s="19"/>
      <c r="L276" s="18"/>
      <c r="M276" s="18"/>
    </row>
    <row r="277" spans="1:13" ht="14.45">
      <c r="A277" s="18"/>
      <c r="B277" s="30"/>
      <c r="C277" s="30"/>
      <c r="D277" s="18"/>
      <c r="E277" s="18"/>
      <c r="F277" s="18"/>
      <c r="G277" s="19"/>
      <c r="H277" s="18"/>
      <c r="I277" s="18"/>
      <c r="J277" s="19"/>
      <c r="K277" s="19"/>
      <c r="L277" s="18"/>
      <c r="M277" s="18"/>
    </row>
    <row r="278" spans="1:13" ht="14.45">
      <c r="A278" s="18"/>
      <c r="B278" s="30"/>
      <c r="C278" s="30"/>
      <c r="D278" s="18"/>
      <c r="E278" s="18"/>
      <c r="F278" s="18"/>
      <c r="G278" s="19"/>
      <c r="H278" s="18"/>
      <c r="I278" s="18"/>
      <c r="J278" s="19"/>
      <c r="K278" s="19"/>
      <c r="L278" s="18"/>
      <c r="M278" s="18"/>
    </row>
    <row r="279" spans="1:13" ht="14.45">
      <c r="A279" s="18"/>
      <c r="B279" s="30"/>
      <c r="C279" s="30"/>
      <c r="D279" s="18"/>
      <c r="E279" s="18"/>
      <c r="F279" s="18"/>
      <c r="G279" s="19"/>
      <c r="H279" s="18"/>
      <c r="I279" s="18"/>
      <c r="J279" s="19"/>
      <c r="K279" s="19"/>
      <c r="L279" s="18"/>
      <c r="M279" s="18"/>
    </row>
    <row r="280" spans="1:13" ht="14.45">
      <c r="A280" s="18"/>
      <c r="B280" s="30"/>
      <c r="C280" s="30"/>
      <c r="D280" s="18"/>
      <c r="E280" s="18"/>
      <c r="F280" s="18"/>
      <c r="G280" s="19"/>
      <c r="H280" s="18"/>
      <c r="I280" s="18"/>
      <c r="J280" s="19"/>
      <c r="K280" s="19"/>
      <c r="L280" s="18"/>
      <c r="M280" s="18"/>
    </row>
    <row r="281" spans="1:13" ht="14.45">
      <c r="A281" s="18"/>
      <c r="B281" s="30"/>
      <c r="C281" s="30"/>
      <c r="D281" s="18"/>
      <c r="E281" s="18"/>
      <c r="F281" s="18"/>
      <c r="G281" s="19"/>
      <c r="H281" s="18"/>
      <c r="I281" s="18"/>
      <c r="J281" s="19"/>
      <c r="K281" s="19"/>
      <c r="L281" s="18"/>
      <c r="M281" s="18"/>
    </row>
    <row r="282" spans="1:13" ht="14.45">
      <c r="A282" s="18"/>
      <c r="B282" s="30"/>
      <c r="C282" s="30"/>
      <c r="D282" s="18"/>
      <c r="E282" s="18"/>
      <c r="F282" s="18"/>
      <c r="G282" s="19"/>
      <c r="H282" s="18"/>
      <c r="I282" s="18"/>
      <c r="J282" s="19"/>
      <c r="K282" s="19"/>
      <c r="L282" s="18"/>
      <c r="M282" s="18"/>
    </row>
    <row r="283" spans="1:13" ht="14.45">
      <c r="A283" s="18"/>
      <c r="B283" s="30"/>
      <c r="C283" s="30"/>
      <c r="D283" s="18"/>
      <c r="E283" s="18"/>
      <c r="F283" s="18"/>
      <c r="G283" s="19"/>
      <c r="H283" s="18"/>
      <c r="I283" s="18"/>
      <c r="J283" s="19"/>
      <c r="K283" s="19"/>
      <c r="L283" s="18"/>
      <c r="M283" s="18"/>
    </row>
    <row r="284" spans="1:13" ht="14.45">
      <c r="A284" s="18"/>
      <c r="B284" s="30"/>
      <c r="C284" s="30"/>
      <c r="D284" s="18"/>
      <c r="E284" s="18"/>
      <c r="F284" s="18"/>
      <c r="G284" s="19"/>
      <c r="H284" s="18"/>
      <c r="I284" s="18"/>
      <c r="J284" s="19"/>
      <c r="K284" s="19"/>
      <c r="L284" s="18"/>
      <c r="M284" s="18"/>
    </row>
    <row r="285" spans="1:13" ht="14.45">
      <c r="A285" s="18"/>
      <c r="B285" s="30"/>
      <c r="C285" s="30"/>
      <c r="D285" s="18"/>
      <c r="E285" s="18"/>
      <c r="F285" s="18"/>
      <c r="G285" s="19"/>
      <c r="H285" s="18"/>
      <c r="I285" s="18"/>
      <c r="J285" s="19"/>
      <c r="K285" s="19"/>
      <c r="L285" s="18"/>
      <c r="M285" s="18"/>
    </row>
    <row r="286" spans="1:13" ht="14.45">
      <c r="A286" s="18"/>
      <c r="B286" s="30"/>
      <c r="C286" s="30"/>
      <c r="D286" s="18"/>
      <c r="E286" s="18"/>
      <c r="F286" s="18"/>
      <c r="G286" s="19"/>
      <c r="H286" s="18"/>
      <c r="I286" s="18"/>
      <c r="J286" s="19"/>
      <c r="K286" s="19"/>
      <c r="L286" s="18"/>
      <c r="M286" s="18"/>
    </row>
    <row r="287" spans="1:13" ht="14.45">
      <c r="A287" s="18"/>
      <c r="B287" s="30"/>
      <c r="C287" s="30"/>
      <c r="D287" s="18"/>
      <c r="E287" s="18"/>
      <c r="F287" s="18"/>
      <c r="G287" s="19"/>
      <c r="H287" s="18"/>
      <c r="I287" s="18"/>
      <c r="J287" s="19"/>
      <c r="K287" s="19"/>
      <c r="L287" s="18"/>
      <c r="M287" s="18"/>
    </row>
    <row r="288" spans="1:13" ht="14.45">
      <c r="A288" s="18"/>
      <c r="B288" s="30"/>
      <c r="C288" s="30"/>
      <c r="D288" s="18"/>
      <c r="E288" s="18"/>
      <c r="F288" s="18"/>
      <c r="G288" s="19"/>
      <c r="H288" s="18"/>
      <c r="I288" s="18"/>
      <c r="J288" s="19"/>
      <c r="K288" s="19"/>
      <c r="L288" s="18"/>
      <c r="M288" s="18"/>
    </row>
    <row r="289" spans="1:13" ht="14.45">
      <c r="A289" s="18"/>
      <c r="B289" s="30"/>
      <c r="C289" s="30"/>
      <c r="D289" s="18"/>
      <c r="E289" s="18"/>
      <c r="F289" s="18"/>
      <c r="G289" s="19"/>
      <c r="H289" s="18"/>
      <c r="I289" s="18"/>
      <c r="J289" s="19"/>
      <c r="K289" s="19"/>
      <c r="L289" s="18"/>
      <c r="M289" s="18"/>
    </row>
    <row r="290" spans="1:13" ht="14.45">
      <c r="A290" s="18"/>
      <c r="B290" s="30"/>
      <c r="C290" s="30"/>
      <c r="D290" s="18"/>
      <c r="E290" s="18"/>
      <c r="F290" s="18"/>
      <c r="G290" s="19"/>
      <c r="H290" s="18"/>
      <c r="I290" s="18"/>
      <c r="J290" s="19"/>
      <c r="K290" s="19"/>
      <c r="L290" s="18"/>
      <c r="M290" s="18"/>
    </row>
    <row r="291" spans="1:13" ht="14.45">
      <c r="A291" s="18"/>
      <c r="B291" s="30"/>
      <c r="C291" s="30"/>
      <c r="D291" s="18"/>
      <c r="E291" s="18"/>
      <c r="F291" s="18"/>
      <c r="G291" s="19"/>
      <c r="H291" s="18"/>
      <c r="I291" s="18"/>
      <c r="J291" s="19"/>
      <c r="K291" s="19"/>
      <c r="L291" s="18"/>
      <c r="M291" s="18"/>
    </row>
    <row r="292" spans="1:13" ht="14.45">
      <c r="A292" s="18"/>
      <c r="B292" s="30"/>
      <c r="C292" s="30"/>
      <c r="D292" s="18"/>
      <c r="E292" s="18"/>
      <c r="F292" s="18"/>
      <c r="G292" s="19"/>
      <c r="H292" s="18"/>
      <c r="I292" s="18"/>
      <c r="J292" s="19"/>
      <c r="K292" s="19"/>
      <c r="L292" s="18"/>
      <c r="M292" s="18"/>
    </row>
    <row r="293" spans="1:13" ht="14.45">
      <c r="A293" s="18"/>
      <c r="B293" s="30"/>
      <c r="C293" s="30"/>
      <c r="D293" s="18"/>
      <c r="E293" s="18"/>
      <c r="F293" s="18"/>
      <c r="G293" s="19"/>
      <c r="H293" s="18"/>
      <c r="I293" s="18"/>
      <c r="J293" s="19"/>
      <c r="K293" s="19"/>
      <c r="L293" s="18"/>
      <c r="M293" s="18"/>
    </row>
    <row r="294" spans="1:13" ht="14.45">
      <c r="A294" s="18"/>
      <c r="B294" s="30"/>
      <c r="C294" s="30"/>
      <c r="D294" s="18"/>
      <c r="E294" s="18"/>
      <c r="F294" s="18"/>
      <c r="G294" s="19"/>
      <c r="H294" s="18"/>
      <c r="I294" s="18"/>
      <c r="J294" s="19"/>
      <c r="K294" s="19"/>
      <c r="L294" s="18"/>
      <c r="M294" s="18"/>
    </row>
    <row r="295" spans="1:13" ht="14.45">
      <c r="A295" s="18"/>
      <c r="B295" s="30"/>
      <c r="C295" s="30"/>
      <c r="D295" s="18"/>
      <c r="E295" s="18"/>
      <c r="F295" s="18"/>
      <c r="G295" s="19"/>
      <c r="H295" s="18"/>
      <c r="I295" s="18"/>
      <c r="J295" s="19"/>
      <c r="K295" s="19"/>
      <c r="L295" s="18"/>
      <c r="M295" s="18"/>
    </row>
    <row r="296" spans="1:13" ht="14.45">
      <c r="A296" s="18"/>
      <c r="B296" s="30"/>
      <c r="C296" s="30"/>
      <c r="D296" s="18"/>
      <c r="E296" s="18"/>
      <c r="F296" s="18"/>
      <c r="G296" s="19"/>
      <c r="H296" s="18"/>
      <c r="I296" s="18"/>
      <c r="J296" s="19"/>
      <c r="K296" s="19"/>
      <c r="L296" s="18"/>
      <c r="M296" s="18"/>
    </row>
    <row r="297" spans="1:13" ht="14.45">
      <c r="A297" s="18"/>
      <c r="B297" s="30"/>
      <c r="C297" s="30"/>
      <c r="D297" s="18"/>
      <c r="E297" s="18"/>
      <c r="F297" s="18"/>
      <c r="G297" s="19"/>
      <c r="H297" s="18"/>
      <c r="I297" s="18"/>
      <c r="J297" s="19"/>
      <c r="K297" s="19"/>
      <c r="L297" s="18"/>
      <c r="M297" s="18"/>
    </row>
    <row r="298" spans="1:13" ht="14.45">
      <c r="A298" s="18"/>
      <c r="B298" s="30"/>
      <c r="C298" s="30"/>
      <c r="D298" s="18"/>
      <c r="E298" s="18"/>
      <c r="F298" s="18"/>
      <c r="G298" s="19"/>
      <c r="H298" s="18"/>
      <c r="I298" s="18"/>
      <c r="J298" s="19"/>
      <c r="K298" s="19"/>
      <c r="L298" s="18"/>
      <c r="M298" s="18"/>
    </row>
    <row r="299" spans="1:13" ht="14.45">
      <c r="A299" s="18"/>
      <c r="B299" s="30"/>
      <c r="C299" s="30"/>
      <c r="D299" s="18"/>
      <c r="E299" s="18"/>
      <c r="F299" s="18"/>
      <c r="G299" s="19"/>
      <c r="H299" s="18"/>
      <c r="I299" s="18"/>
      <c r="J299" s="19"/>
      <c r="K299" s="19"/>
      <c r="L299" s="18"/>
      <c r="M299" s="18"/>
    </row>
    <row r="300" spans="1:13" ht="14.45">
      <c r="A300" s="18"/>
      <c r="B300" s="30"/>
      <c r="C300" s="30"/>
      <c r="D300" s="18"/>
      <c r="E300" s="18"/>
      <c r="F300" s="18"/>
      <c r="G300" s="19"/>
      <c r="H300" s="18"/>
      <c r="I300" s="18"/>
      <c r="J300" s="19"/>
      <c r="K300" s="19"/>
      <c r="L300" s="18"/>
      <c r="M300" s="18"/>
    </row>
    <row r="301" spans="1:13" ht="14.45">
      <c r="A301" s="18"/>
      <c r="B301" s="30"/>
      <c r="C301" s="30"/>
      <c r="D301" s="18"/>
      <c r="E301" s="18"/>
      <c r="F301" s="18"/>
      <c r="G301" s="19"/>
      <c r="H301" s="18"/>
      <c r="I301" s="18"/>
      <c r="J301" s="19"/>
      <c r="K301" s="19"/>
      <c r="L301" s="18"/>
      <c r="M301" s="18"/>
    </row>
    <row r="302" spans="1:13" ht="14.45">
      <c r="A302" s="18"/>
      <c r="B302" s="30"/>
      <c r="C302" s="30"/>
      <c r="D302" s="18"/>
      <c r="E302" s="18"/>
      <c r="F302" s="18"/>
      <c r="G302" s="19"/>
      <c r="H302" s="18"/>
      <c r="I302" s="18"/>
      <c r="J302" s="19"/>
      <c r="K302" s="19"/>
      <c r="L302" s="18"/>
      <c r="M302" s="18"/>
    </row>
    <row r="303" spans="1:13" ht="14.45">
      <c r="A303" s="18"/>
      <c r="B303" s="30"/>
      <c r="C303" s="30"/>
      <c r="D303" s="18"/>
      <c r="E303" s="18"/>
      <c r="F303" s="18"/>
      <c r="G303" s="19"/>
      <c r="H303" s="18"/>
      <c r="I303" s="18"/>
      <c r="J303" s="19"/>
      <c r="K303" s="19"/>
      <c r="L303" s="18"/>
      <c r="M303" s="18"/>
    </row>
    <row r="304" spans="1:13" ht="14.45">
      <c r="A304" s="18"/>
      <c r="B304" s="30"/>
      <c r="C304" s="30"/>
      <c r="D304" s="18"/>
      <c r="E304" s="18"/>
      <c r="F304" s="18"/>
      <c r="G304" s="19"/>
      <c r="H304" s="18"/>
      <c r="I304" s="18"/>
      <c r="J304" s="19"/>
      <c r="K304" s="19"/>
      <c r="L304" s="18"/>
      <c r="M304" s="18"/>
    </row>
    <row r="305" spans="1:13" ht="14.45">
      <c r="A305" s="18"/>
      <c r="B305" s="30"/>
      <c r="C305" s="30"/>
      <c r="D305" s="18"/>
      <c r="E305" s="18"/>
      <c r="F305" s="18"/>
      <c r="G305" s="19"/>
      <c r="H305" s="18"/>
      <c r="I305" s="18"/>
      <c r="J305" s="19"/>
      <c r="K305" s="19"/>
      <c r="L305" s="18"/>
      <c r="M305" s="18"/>
    </row>
    <row r="306" spans="1:13" ht="14.45">
      <c r="A306" s="18"/>
      <c r="B306" s="30"/>
      <c r="C306" s="30"/>
      <c r="D306" s="18"/>
      <c r="E306" s="18"/>
      <c r="F306" s="18"/>
      <c r="G306" s="19"/>
      <c r="H306" s="18"/>
      <c r="I306" s="18"/>
      <c r="J306" s="19"/>
      <c r="K306" s="19"/>
      <c r="L306" s="18"/>
      <c r="M306" s="18"/>
    </row>
    <row r="307" spans="1:13" ht="14.45">
      <c r="A307" s="18"/>
      <c r="B307" s="30"/>
      <c r="C307" s="30"/>
      <c r="D307" s="18"/>
      <c r="E307" s="18"/>
      <c r="F307" s="18"/>
      <c r="G307" s="19"/>
      <c r="H307" s="18"/>
      <c r="I307" s="18"/>
      <c r="J307" s="19"/>
      <c r="K307" s="19"/>
      <c r="L307" s="18"/>
      <c r="M307" s="18"/>
    </row>
    <row r="308" spans="1:13" ht="14.45">
      <c r="A308" s="18"/>
      <c r="B308" s="30"/>
      <c r="C308" s="30"/>
      <c r="D308" s="18"/>
      <c r="E308" s="18"/>
      <c r="F308" s="18"/>
      <c r="G308" s="19"/>
      <c r="H308" s="18"/>
      <c r="I308" s="18"/>
      <c r="J308" s="19"/>
      <c r="K308" s="19"/>
      <c r="L308" s="18"/>
      <c r="M308" s="18"/>
    </row>
    <row r="309" spans="1:13" ht="14.45">
      <c r="A309" s="18"/>
      <c r="B309" s="30"/>
      <c r="C309" s="30"/>
      <c r="D309" s="18"/>
      <c r="E309" s="18"/>
      <c r="F309" s="18"/>
      <c r="G309" s="19"/>
      <c r="H309" s="18"/>
      <c r="I309" s="18"/>
      <c r="J309" s="19"/>
      <c r="K309" s="19"/>
      <c r="L309" s="18"/>
      <c r="M309" s="18"/>
    </row>
    <row r="310" spans="1:13" ht="14.45">
      <c r="A310" s="18"/>
      <c r="B310" s="30"/>
      <c r="C310" s="30"/>
      <c r="D310" s="18"/>
      <c r="E310" s="18"/>
      <c r="F310" s="18"/>
      <c r="G310" s="19"/>
      <c r="H310" s="18"/>
      <c r="I310" s="18"/>
      <c r="J310" s="19"/>
      <c r="K310" s="19"/>
      <c r="L310" s="18"/>
      <c r="M310" s="18"/>
    </row>
    <row r="311" spans="1:13" ht="14.45">
      <c r="A311" s="18"/>
      <c r="B311" s="30"/>
      <c r="C311" s="30"/>
      <c r="D311" s="18"/>
      <c r="E311" s="18"/>
      <c r="F311" s="18"/>
      <c r="G311" s="19"/>
      <c r="H311" s="18"/>
      <c r="I311" s="18"/>
      <c r="J311" s="19"/>
      <c r="K311" s="19"/>
      <c r="L311" s="18"/>
      <c r="M311" s="18"/>
    </row>
    <row r="312" spans="1:13" ht="14.45">
      <c r="A312" s="18"/>
      <c r="B312" s="30"/>
      <c r="C312" s="30"/>
      <c r="D312" s="18"/>
      <c r="E312" s="18"/>
      <c r="F312" s="18"/>
      <c r="G312" s="19"/>
      <c r="H312" s="18"/>
      <c r="I312" s="18"/>
      <c r="J312" s="19"/>
      <c r="K312" s="19"/>
      <c r="L312" s="18"/>
      <c r="M312" s="18"/>
    </row>
    <row r="313" spans="1:13" ht="14.45">
      <c r="A313" s="18"/>
      <c r="B313" s="30"/>
      <c r="C313" s="30"/>
      <c r="D313" s="18"/>
      <c r="E313" s="18"/>
      <c r="F313" s="18"/>
      <c r="G313" s="19"/>
      <c r="H313" s="18"/>
      <c r="I313" s="18"/>
      <c r="J313" s="19"/>
      <c r="K313" s="19"/>
      <c r="L313" s="18"/>
      <c r="M313" s="18"/>
    </row>
    <row r="314" spans="1:13" ht="14.45">
      <c r="A314" s="18"/>
      <c r="B314" s="30"/>
      <c r="C314" s="30"/>
      <c r="D314" s="18"/>
      <c r="E314" s="18"/>
      <c r="F314" s="18"/>
      <c r="G314" s="19"/>
      <c r="H314" s="18"/>
      <c r="I314" s="18"/>
      <c r="J314" s="19"/>
      <c r="K314" s="19"/>
      <c r="L314" s="18"/>
      <c r="M314" s="18"/>
    </row>
    <row r="315" spans="1:13" ht="14.45">
      <c r="A315" s="18"/>
      <c r="B315" s="30"/>
      <c r="C315" s="30"/>
      <c r="D315" s="18"/>
      <c r="E315" s="18"/>
      <c r="F315" s="18"/>
      <c r="G315" s="19"/>
      <c r="H315" s="18"/>
      <c r="I315" s="18"/>
      <c r="J315" s="19"/>
      <c r="K315" s="19"/>
      <c r="L315" s="18"/>
      <c r="M315" s="18"/>
    </row>
    <row r="316" spans="1:13" ht="14.45">
      <c r="A316" s="18"/>
      <c r="B316" s="30"/>
      <c r="C316" s="30"/>
      <c r="D316" s="18"/>
      <c r="E316" s="18"/>
      <c r="F316" s="18"/>
      <c r="G316" s="19"/>
      <c r="H316" s="18"/>
      <c r="I316" s="18"/>
      <c r="J316" s="19"/>
      <c r="K316" s="19"/>
      <c r="L316" s="18"/>
      <c r="M316" s="18"/>
    </row>
    <row r="317" spans="1:13" ht="14.45">
      <c r="A317" s="18"/>
      <c r="B317" s="30"/>
      <c r="C317" s="30"/>
      <c r="D317" s="18"/>
      <c r="E317" s="18"/>
      <c r="F317" s="18"/>
      <c r="G317" s="19"/>
      <c r="H317" s="18"/>
      <c r="I317" s="18"/>
      <c r="J317" s="19"/>
      <c r="K317" s="19"/>
      <c r="L317" s="18"/>
      <c r="M317" s="18"/>
    </row>
    <row r="318" spans="1:13" ht="14.45">
      <c r="A318" s="18"/>
      <c r="B318" s="30"/>
      <c r="C318" s="30"/>
      <c r="D318" s="18"/>
      <c r="E318" s="18"/>
      <c r="F318" s="18"/>
      <c r="G318" s="19"/>
      <c r="H318" s="18"/>
      <c r="I318" s="18"/>
      <c r="J318" s="19"/>
      <c r="K318" s="19"/>
      <c r="L318" s="18"/>
      <c r="M318" s="18"/>
    </row>
    <row r="319" spans="1:13" ht="14.45">
      <c r="A319" s="18"/>
      <c r="B319" s="30"/>
      <c r="C319" s="30"/>
      <c r="D319" s="18"/>
      <c r="E319" s="18"/>
      <c r="F319" s="18"/>
      <c r="G319" s="19"/>
      <c r="H319" s="18"/>
      <c r="I319" s="18"/>
      <c r="J319" s="19"/>
      <c r="K319" s="19"/>
      <c r="L319" s="18"/>
      <c r="M319" s="18"/>
    </row>
    <row r="320" spans="1:13" ht="14.45">
      <c r="A320" s="18"/>
      <c r="B320" s="30"/>
      <c r="C320" s="30"/>
      <c r="D320" s="18"/>
      <c r="E320" s="18"/>
      <c r="F320" s="18"/>
      <c r="G320" s="19"/>
      <c r="H320" s="18"/>
      <c r="I320" s="18"/>
      <c r="J320" s="19"/>
      <c r="K320" s="19"/>
      <c r="L320" s="18"/>
      <c r="M320" s="18"/>
    </row>
    <row r="321" spans="1:13" ht="14.45">
      <c r="A321" s="18"/>
      <c r="B321" s="30"/>
      <c r="C321" s="30"/>
      <c r="D321" s="18"/>
      <c r="E321" s="18"/>
      <c r="F321" s="18"/>
      <c r="G321" s="19"/>
      <c r="H321" s="18"/>
      <c r="I321" s="18"/>
      <c r="J321" s="19"/>
      <c r="K321" s="19"/>
      <c r="L321" s="18"/>
      <c r="M321" s="18"/>
    </row>
    <row r="322" spans="1:13" ht="14.45">
      <c r="A322" s="18"/>
      <c r="B322" s="30"/>
      <c r="C322" s="30"/>
      <c r="D322" s="18"/>
      <c r="E322" s="18"/>
      <c r="F322" s="18"/>
      <c r="G322" s="19"/>
      <c r="H322" s="18"/>
      <c r="I322" s="18"/>
      <c r="J322" s="19"/>
      <c r="K322" s="19"/>
      <c r="L322" s="18"/>
      <c r="M322" s="18"/>
    </row>
    <row r="323" spans="1:13" ht="14.45">
      <c r="A323" s="18"/>
      <c r="B323" s="30"/>
      <c r="C323" s="30"/>
      <c r="D323" s="18"/>
      <c r="E323" s="18"/>
      <c r="F323" s="18"/>
      <c r="G323" s="19"/>
      <c r="H323" s="18"/>
      <c r="I323" s="18"/>
      <c r="J323" s="19"/>
      <c r="K323" s="19"/>
      <c r="L323" s="18"/>
      <c r="M323" s="18"/>
    </row>
    <row r="324" spans="1:13" ht="14.45">
      <c r="A324" s="18"/>
      <c r="B324" s="30"/>
      <c r="C324" s="30"/>
      <c r="D324" s="18"/>
      <c r="E324" s="18"/>
      <c r="F324" s="18"/>
      <c r="G324" s="19"/>
      <c r="H324" s="18"/>
      <c r="I324" s="18"/>
      <c r="J324" s="19"/>
      <c r="K324" s="19"/>
      <c r="L324" s="18"/>
      <c r="M324" s="18"/>
    </row>
    <row r="325" spans="1:13" ht="14.45">
      <c r="A325" s="18"/>
      <c r="B325" s="30"/>
      <c r="C325" s="30"/>
      <c r="D325" s="18"/>
      <c r="E325" s="18"/>
      <c r="F325" s="18"/>
      <c r="G325" s="19"/>
      <c r="H325" s="18"/>
      <c r="I325" s="18"/>
      <c r="J325" s="19"/>
      <c r="K325" s="19"/>
      <c r="L325" s="18"/>
      <c r="M325" s="18"/>
    </row>
    <row r="326" spans="1:13" ht="14.45">
      <c r="A326" s="18"/>
      <c r="B326" s="30"/>
      <c r="C326" s="30"/>
      <c r="D326" s="18"/>
      <c r="E326" s="18"/>
      <c r="F326" s="18"/>
      <c r="G326" s="19"/>
      <c r="H326" s="18"/>
      <c r="I326" s="18"/>
      <c r="J326" s="19"/>
      <c r="K326" s="19"/>
      <c r="L326" s="18"/>
      <c r="M326" s="18"/>
    </row>
    <row r="327" spans="1:13" ht="14.45">
      <c r="A327" s="18"/>
      <c r="B327" s="30"/>
      <c r="C327" s="30"/>
      <c r="D327" s="18"/>
      <c r="E327" s="18"/>
      <c r="F327" s="18"/>
      <c r="G327" s="19"/>
      <c r="H327" s="18"/>
      <c r="I327" s="18"/>
      <c r="J327" s="19"/>
      <c r="K327" s="19"/>
      <c r="L327" s="18"/>
      <c r="M327" s="18"/>
    </row>
    <row r="328" spans="1:13" ht="14.45">
      <c r="A328" s="18"/>
      <c r="B328" s="30"/>
      <c r="C328" s="30"/>
      <c r="D328" s="18"/>
      <c r="E328" s="18"/>
      <c r="F328" s="18"/>
      <c r="G328" s="19"/>
      <c r="H328" s="18"/>
      <c r="I328" s="18"/>
      <c r="J328" s="19"/>
      <c r="K328" s="19"/>
      <c r="L328" s="18"/>
      <c r="M328" s="18"/>
    </row>
    <row r="329" spans="1:13" ht="14.45">
      <c r="A329" s="18"/>
      <c r="B329" s="30"/>
      <c r="C329" s="30"/>
      <c r="D329" s="18"/>
      <c r="E329" s="18"/>
      <c r="F329" s="18"/>
      <c r="G329" s="19"/>
      <c r="H329" s="18"/>
      <c r="I329" s="18"/>
      <c r="J329" s="19"/>
      <c r="K329" s="19"/>
      <c r="L329" s="18"/>
      <c r="M329" s="18"/>
    </row>
    <row r="330" spans="1:13" ht="14.45">
      <c r="A330" s="18"/>
      <c r="B330" s="30"/>
      <c r="C330" s="30"/>
      <c r="D330" s="18"/>
      <c r="E330" s="18"/>
      <c r="F330" s="18"/>
      <c r="G330" s="19"/>
      <c r="H330" s="18"/>
      <c r="I330" s="18"/>
      <c r="J330" s="19"/>
      <c r="K330" s="19"/>
      <c r="L330" s="18"/>
      <c r="M330" s="18"/>
    </row>
    <row r="331" spans="1:13" ht="14.45">
      <c r="A331" s="18"/>
      <c r="B331" s="30"/>
      <c r="C331" s="30"/>
      <c r="D331" s="18"/>
      <c r="E331" s="18"/>
      <c r="F331" s="18"/>
      <c r="G331" s="19"/>
      <c r="H331" s="18"/>
      <c r="I331" s="18"/>
      <c r="J331" s="19"/>
      <c r="K331" s="19"/>
      <c r="L331" s="18"/>
      <c r="M331" s="18"/>
    </row>
    <row r="332" spans="1:13" ht="14.45">
      <c r="A332" s="18"/>
      <c r="B332" s="30"/>
      <c r="C332" s="30"/>
      <c r="D332" s="18"/>
      <c r="E332" s="18"/>
      <c r="F332" s="18"/>
      <c r="G332" s="19"/>
      <c r="H332" s="18"/>
      <c r="I332" s="18"/>
      <c r="J332" s="19"/>
      <c r="K332" s="19"/>
      <c r="L332" s="18"/>
      <c r="M332" s="18"/>
    </row>
    <row r="333" spans="1:13" ht="14.45">
      <c r="A333" s="18"/>
      <c r="B333" s="30"/>
      <c r="C333" s="30"/>
      <c r="D333" s="18"/>
      <c r="E333" s="18"/>
      <c r="F333" s="18"/>
      <c r="G333" s="19"/>
      <c r="H333" s="18"/>
      <c r="I333" s="18"/>
      <c r="J333" s="19"/>
      <c r="K333" s="19"/>
      <c r="L333" s="18"/>
      <c r="M333" s="18"/>
    </row>
    <row r="334" spans="1:13" ht="14.45">
      <c r="A334" s="18"/>
      <c r="B334" s="30"/>
      <c r="C334" s="30"/>
      <c r="D334" s="18"/>
      <c r="E334" s="18"/>
      <c r="F334" s="18"/>
      <c r="G334" s="19"/>
      <c r="H334" s="18"/>
      <c r="I334" s="18"/>
      <c r="J334" s="19"/>
      <c r="K334" s="19"/>
      <c r="L334" s="18"/>
      <c r="M334" s="18"/>
    </row>
    <row r="335" spans="1:13" ht="14.45">
      <c r="A335" s="18"/>
      <c r="B335" s="30"/>
      <c r="C335" s="30"/>
      <c r="D335" s="18"/>
      <c r="E335" s="18"/>
      <c r="F335" s="18"/>
      <c r="G335" s="19"/>
      <c r="H335" s="18"/>
      <c r="I335" s="18"/>
      <c r="J335" s="19"/>
      <c r="K335" s="19"/>
      <c r="L335" s="18"/>
      <c r="M335" s="18"/>
    </row>
    <row r="336" spans="1:13" ht="14.45">
      <c r="A336" s="18"/>
      <c r="B336" s="30"/>
      <c r="C336" s="30"/>
      <c r="D336" s="18"/>
      <c r="E336" s="18"/>
      <c r="F336" s="18"/>
      <c r="G336" s="19"/>
      <c r="H336" s="18"/>
      <c r="I336" s="18"/>
      <c r="J336" s="19"/>
      <c r="K336" s="19"/>
      <c r="L336" s="18"/>
      <c r="M336" s="18"/>
    </row>
    <row r="337" spans="1:13" ht="14.45">
      <c r="A337" s="18"/>
      <c r="B337" s="30"/>
      <c r="C337" s="30"/>
      <c r="D337" s="18"/>
      <c r="E337" s="18"/>
      <c r="F337" s="18"/>
      <c r="G337" s="19"/>
      <c r="H337" s="18"/>
      <c r="I337" s="18"/>
      <c r="J337" s="19"/>
      <c r="K337" s="19"/>
      <c r="L337" s="18"/>
      <c r="M337" s="18"/>
    </row>
    <row r="338" spans="1:13" ht="14.45">
      <c r="A338" s="18"/>
      <c r="B338" s="30"/>
      <c r="C338" s="30"/>
      <c r="D338" s="18"/>
      <c r="E338" s="18"/>
      <c r="F338" s="18"/>
      <c r="G338" s="19"/>
      <c r="H338" s="18"/>
      <c r="I338" s="18"/>
      <c r="J338" s="19"/>
      <c r="K338" s="19"/>
      <c r="L338" s="18"/>
      <c r="M338" s="18"/>
    </row>
    <row r="339" spans="1:13" ht="14.45">
      <c r="A339" s="18"/>
      <c r="B339" s="30"/>
      <c r="C339" s="30"/>
      <c r="D339" s="18"/>
      <c r="E339" s="18"/>
      <c r="F339" s="18"/>
      <c r="G339" s="19"/>
      <c r="H339" s="18"/>
      <c r="I339" s="18"/>
      <c r="J339" s="19"/>
      <c r="K339" s="19"/>
      <c r="L339" s="18"/>
      <c r="M339" s="18"/>
    </row>
    <row r="340" spans="1:13" ht="14.45">
      <c r="A340" s="18"/>
      <c r="B340" s="30"/>
      <c r="C340" s="30"/>
      <c r="D340" s="18"/>
      <c r="E340" s="18"/>
      <c r="F340" s="18"/>
      <c r="G340" s="19"/>
      <c r="H340" s="18"/>
      <c r="I340" s="18"/>
      <c r="J340" s="19"/>
      <c r="K340" s="19"/>
      <c r="L340" s="18"/>
      <c r="M340" s="18"/>
    </row>
    <row r="341" spans="1:13">
      <c r="D341" s="18"/>
      <c r="E341" s="18"/>
      <c r="F341" s="18"/>
      <c r="G341" s="19"/>
      <c r="H341" s="18"/>
      <c r="I341" s="18"/>
      <c r="J341" s="19"/>
      <c r="K341" s="19"/>
      <c r="L341" s="18"/>
      <c r="M341" s="18"/>
    </row>
    <row r="342" spans="1:13">
      <c r="K342" s="19"/>
    </row>
  </sheetData>
  <mergeCells count="4">
    <mergeCell ref="H1:J1"/>
    <mergeCell ref="A1:D1"/>
    <mergeCell ref="E1:G1"/>
    <mergeCell ref="A2:B2"/>
  </mergeCells>
  <conditionalFormatting sqref="G2">
    <cfRule type="cellIs" dxfId="10" priority="15" stopIfTrue="1" operator="lessThanOrEqual">
      <formula>-0.1</formula>
    </cfRule>
    <cfRule type="expression" dxfId="9" priority="16">
      <formula>AND(ISNUMBER(G2), G2&gt;=0.1)</formula>
    </cfRule>
  </conditionalFormatting>
  <conditionalFormatting sqref="G4:G161 J4:J161 K140:K160">
    <cfRule type="cellIs" dxfId="8" priority="5" stopIfTrue="1" operator="lessThanOrEqual">
      <formula>-0.1</formula>
    </cfRule>
    <cfRule type="expression" dxfId="7" priority="6">
      <formula>AND(ISNUMBER(G4), G4&gt;=0.1)</formula>
    </cfRule>
  </conditionalFormatting>
  <conditionalFormatting sqref="J2:K2">
    <cfRule type="cellIs" dxfId="6" priority="3" stopIfTrue="1" operator="lessThanOrEqual">
      <formula>-0.1</formula>
    </cfRule>
    <cfRule type="expression" dxfId="5" priority="4">
      <formula>AND(ISNUMBER(J2), J2&gt;=0.1)</formula>
    </cfRule>
  </conditionalFormatting>
  <conditionalFormatting sqref="K4:K139">
    <cfRule type="expression" dxfId="4" priority="1" stopIfTrue="1">
      <formula>AND(K4&lt;&gt;"",K4&lt;0.975)</formula>
    </cfRule>
    <cfRule type="expression" dxfId="3" priority="2">
      <formula>AND(ISNUMBER(K4), K4&gt;=0.985)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61"/>
  <sheetViews>
    <sheetView zoomScale="116" zoomScaleNormal="116" workbookViewId="0">
      <pane ySplit="3" topLeftCell="A114" activePane="bottomLeft" state="frozen"/>
      <selection pane="bottomLeft" activeCell="D169" sqref="D169"/>
    </sheetView>
  </sheetViews>
  <sheetFormatPr defaultRowHeight="12.75" customHeight="1"/>
  <cols>
    <col min="1" max="2" width="41.85546875" customWidth="1"/>
    <col min="3" max="3" width="9.7109375" customWidth="1"/>
    <col min="4" max="4" width="8.42578125" customWidth="1"/>
    <col min="5" max="5" width="30.28515625" customWidth="1"/>
    <col min="6" max="6" width="19.85546875" customWidth="1"/>
    <col min="7" max="14" width="9.140625" customWidth="1"/>
  </cols>
  <sheetData>
    <row r="1" spans="1:7" ht="12.75" customHeight="1">
      <c r="A1" t="s">
        <v>1087</v>
      </c>
      <c r="B1" t="s">
        <v>1088</v>
      </c>
    </row>
    <row r="3" spans="1:7" ht="12.6">
      <c r="A3" t="s">
        <v>1089</v>
      </c>
      <c r="B3" t="s">
        <v>4</v>
      </c>
      <c r="C3" t="s">
        <v>5</v>
      </c>
      <c r="D3" t="s">
        <v>1090</v>
      </c>
      <c r="E3" s="2" t="s">
        <v>1091</v>
      </c>
      <c r="F3" t="s">
        <v>6</v>
      </c>
    </row>
    <row r="4" spans="1:7" ht="14.45">
      <c r="A4" s="41" t="s">
        <v>1092</v>
      </c>
      <c r="B4" s="4" t="s">
        <v>1093</v>
      </c>
      <c r="C4" s="4" t="s">
        <v>1094</v>
      </c>
      <c r="D4" t="s">
        <v>1095</v>
      </c>
      <c r="E4" t="s">
        <v>1096</v>
      </c>
      <c r="F4" t="s">
        <v>1097</v>
      </c>
      <c r="G4" s="3"/>
    </row>
    <row r="5" spans="1:7" ht="14.45">
      <c r="A5" s="41" t="s">
        <v>1098</v>
      </c>
      <c r="B5" s="4" t="s">
        <v>1099</v>
      </c>
      <c r="C5" s="4" t="s">
        <v>1094</v>
      </c>
      <c r="D5" t="s">
        <v>1095</v>
      </c>
      <c r="E5" t="s">
        <v>1096</v>
      </c>
      <c r="F5" t="s">
        <v>1100</v>
      </c>
      <c r="G5" s="3"/>
    </row>
    <row r="6" spans="1:7" ht="14.45">
      <c r="A6" s="41" t="s">
        <v>1101</v>
      </c>
      <c r="B6" s="4" t="s">
        <v>1101</v>
      </c>
      <c r="C6" s="4" t="s">
        <v>1094</v>
      </c>
      <c r="D6" t="s">
        <v>1102</v>
      </c>
      <c r="E6" t="s">
        <v>1096</v>
      </c>
      <c r="F6" t="s">
        <v>1103</v>
      </c>
      <c r="G6" s="3"/>
    </row>
    <row r="7" spans="1:7" ht="12.75" customHeight="1">
      <c r="A7" s="41" t="s">
        <v>1104</v>
      </c>
      <c r="B7" s="4" t="s">
        <v>1105</v>
      </c>
      <c r="C7" s="4" t="s">
        <v>1094</v>
      </c>
      <c r="D7" t="s">
        <v>1095</v>
      </c>
      <c r="E7" t="s">
        <v>1096</v>
      </c>
      <c r="F7" t="s">
        <v>1106</v>
      </c>
    </row>
    <row r="8" spans="1:7" ht="12.75" customHeight="1">
      <c r="A8" s="41" t="s">
        <v>1107</v>
      </c>
      <c r="B8" s="4" t="s">
        <v>1108</v>
      </c>
      <c r="C8" s="4" t="s">
        <v>1094</v>
      </c>
      <c r="D8" t="s">
        <v>1095</v>
      </c>
      <c r="E8" t="s">
        <v>1096</v>
      </c>
      <c r="F8" t="s">
        <v>1109</v>
      </c>
    </row>
    <row r="9" spans="1:7" ht="12.75" customHeight="1">
      <c r="A9" s="41" t="s">
        <v>1110</v>
      </c>
      <c r="B9" s="4" t="s">
        <v>1111</v>
      </c>
      <c r="C9" s="4" t="s">
        <v>1094</v>
      </c>
      <c r="D9" t="s">
        <v>1095</v>
      </c>
      <c r="E9" t="s">
        <v>1096</v>
      </c>
      <c r="F9" t="s">
        <v>1112</v>
      </c>
    </row>
    <row r="10" spans="1:7" ht="12.75" customHeight="1">
      <c r="A10" s="41" t="s">
        <v>1113</v>
      </c>
      <c r="B10" s="4" t="s">
        <v>1114</v>
      </c>
      <c r="C10" s="4" t="s">
        <v>1094</v>
      </c>
      <c r="D10" t="s">
        <v>1095</v>
      </c>
      <c r="E10" t="s">
        <v>1096</v>
      </c>
      <c r="F10" t="s">
        <v>1115</v>
      </c>
    </row>
    <row r="11" spans="1:7" ht="12.75" customHeight="1">
      <c r="A11" s="41" t="s">
        <v>1116</v>
      </c>
      <c r="B11" s="4" t="s">
        <v>1116</v>
      </c>
      <c r="C11" s="4" t="s">
        <v>1094</v>
      </c>
      <c r="D11" t="s">
        <v>1102</v>
      </c>
      <c r="E11" t="s">
        <v>1096</v>
      </c>
      <c r="F11" t="s">
        <v>1117</v>
      </c>
    </row>
    <row r="12" spans="1:7" ht="12.75" customHeight="1">
      <c r="A12" s="41" t="s">
        <v>1118</v>
      </c>
      <c r="B12" s="4" t="s">
        <v>1118</v>
      </c>
      <c r="C12" s="4" t="s">
        <v>1094</v>
      </c>
      <c r="D12" t="s">
        <v>1095</v>
      </c>
      <c r="E12" t="s">
        <v>1096</v>
      </c>
      <c r="F12" t="s">
        <v>1119</v>
      </c>
    </row>
    <row r="13" spans="1:7" ht="12.75" customHeight="1">
      <c r="A13" s="41" t="s">
        <v>1120</v>
      </c>
      <c r="B13" s="4" t="s">
        <v>1121</v>
      </c>
      <c r="C13" s="4" t="s">
        <v>1122</v>
      </c>
      <c r="D13" t="s">
        <v>1095</v>
      </c>
      <c r="E13" t="s">
        <v>1096</v>
      </c>
      <c r="F13" t="s">
        <v>1123</v>
      </c>
    </row>
    <row r="14" spans="1:7" ht="12.75" customHeight="1">
      <c r="A14" s="41" t="s">
        <v>1124</v>
      </c>
      <c r="B14" s="4" t="s">
        <v>1125</v>
      </c>
      <c r="C14" s="4" t="s">
        <v>1122</v>
      </c>
      <c r="D14" t="s">
        <v>1102</v>
      </c>
      <c r="E14" t="s">
        <v>1096</v>
      </c>
      <c r="F14" t="s">
        <v>1126</v>
      </c>
    </row>
    <row r="15" spans="1:7" ht="12.75" customHeight="1">
      <c r="A15" s="41" t="s">
        <v>1127</v>
      </c>
      <c r="B15" s="4" t="s">
        <v>1128</v>
      </c>
      <c r="C15" s="4" t="s">
        <v>1094</v>
      </c>
      <c r="D15" t="s">
        <v>1095</v>
      </c>
      <c r="E15" t="s">
        <v>1096</v>
      </c>
      <c r="F15" t="s">
        <v>1129</v>
      </c>
    </row>
    <row r="16" spans="1:7" ht="12.75" customHeight="1">
      <c r="A16" s="41" t="s">
        <v>1130</v>
      </c>
      <c r="B16" s="4" t="s">
        <v>1131</v>
      </c>
      <c r="C16" s="4" t="s">
        <v>1094</v>
      </c>
      <c r="D16" t="s">
        <v>1095</v>
      </c>
      <c r="E16" t="s">
        <v>1096</v>
      </c>
      <c r="F16" t="s">
        <v>1132</v>
      </c>
    </row>
    <row r="17" spans="1:6" ht="12.75" customHeight="1">
      <c r="A17" s="41" t="s">
        <v>1133</v>
      </c>
      <c r="B17" s="4" t="s">
        <v>1134</v>
      </c>
      <c r="C17" s="4" t="s">
        <v>1094</v>
      </c>
      <c r="D17" t="s">
        <v>1095</v>
      </c>
      <c r="E17" t="s">
        <v>1096</v>
      </c>
      <c r="F17" t="s">
        <v>1135</v>
      </c>
    </row>
    <row r="18" spans="1:6" ht="12.75" customHeight="1">
      <c r="A18" s="41" t="s">
        <v>1136</v>
      </c>
      <c r="B18" s="4" t="s">
        <v>1136</v>
      </c>
      <c r="C18" s="4" t="s">
        <v>1094</v>
      </c>
      <c r="D18" t="s">
        <v>1102</v>
      </c>
      <c r="E18" t="s">
        <v>1096</v>
      </c>
      <c r="F18" t="s">
        <v>1137</v>
      </c>
    </row>
    <row r="19" spans="1:6" ht="12.75" customHeight="1">
      <c r="A19" s="41" t="s">
        <v>1138</v>
      </c>
      <c r="B19" s="4" t="s">
        <v>1139</v>
      </c>
      <c r="C19" s="4" t="s">
        <v>1140</v>
      </c>
      <c r="D19" t="s">
        <v>1095</v>
      </c>
      <c r="E19" t="s">
        <v>1096</v>
      </c>
      <c r="F19" t="s">
        <v>1141</v>
      </c>
    </row>
    <row r="20" spans="1:6" ht="12.75" customHeight="1">
      <c r="A20" s="41" t="s">
        <v>1142</v>
      </c>
      <c r="B20" s="4" t="s">
        <v>1143</v>
      </c>
      <c r="C20" s="4" t="s">
        <v>1140</v>
      </c>
      <c r="D20" t="s">
        <v>1095</v>
      </c>
      <c r="E20" t="s">
        <v>1096</v>
      </c>
      <c r="F20" t="s">
        <v>1144</v>
      </c>
    </row>
    <row r="21" spans="1:6" ht="12.75" customHeight="1">
      <c r="A21" s="41" t="s">
        <v>1145</v>
      </c>
      <c r="B21" s="4" t="s">
        <v>1145</v>
      </c>
      <c r="C21" s="4" t="s">
        <v>1146</v>
      </c>
      <c r="D21" t="s">
        <v>1095</v>
      </c>
      <c r="E21" t="s">
        <v>1096</v>
      </c>
      <c r="F21" t="s">
        <v>1147</v>
      </c>
    </row>
    <row r="22" spans="1:6" ht="12.75" customHeight="1">
      <c r="A22" s="41" t="s">
        <v>1148</v>
      </c>
      <c r="B22" s="4" t="s">
        <v>1148</v>
      </c>
      <c r="C22" s="4" t="s">
        <v>1146</v>
      </c>
      <c r="D22" t="s">
        <v>1095</v>
      </c>
      <c r="E22" t="s">
        <v>1096</v>
      </c>
      <c r="F22" t="s">
        <v>1149</v>
      </c>
    </row>
    <row r="23" spans="1:6" ht="12.75" customHeight="1">
      <c r="A23" s="42" t="s">
        <v>1150</v>
      </c>
      <c r="B23" t="s">
        <v>1151</v>
      </c>
      <c r="C23" s="4" t="s">
        <v>1146</v>
      </c>
      <c r="D23" t="s">
        <v>1095</v>
      </c>
      <c r="E23" t="s">
        <v>1096</v>
      </c>
      <c r="F23" t="s">
        <v>1152</v>
      </c>
    </row>
    <row r="24" spans="1:6" ht="12.75" customHeight="1">
      <c r="A24" s="41" t="s">
        <v>1153</v>
      </c>
      <c r="B24" s="4" t="s">
        <v>1153</v>
      </c>
      <c r="C24" s="4" t="s">
        <v>1146</v>
      </c>
      <c r="D24" t="s">
        <v>1095</v>
      </c>
      <c r="E24" t="s">
        <v>1096</v>
      </c>
      <c r="F24" t="s">
        <v>1154</v>
      </c>
    </row>
    <row r="25" spans="1:6" ht="12.75" customHeight="1">
      <c r="A25" s="42" t="s">
        <v>1155</v>
      </c>
      <c r="B25" t="s">
        <v>1155</v>
      </c>
      <c r="C25" s="4" t="s">
        <v>1146</v>
      </c>
      <c r="D25" t="s">
        <v>1095</v>
      </c>
      <c r="E25" t="s">
        <v>1096</v>
      </c>
      <c r="F25" t="s">
        <v>1156</v>
      </c>
    </row>
    <row r="26" spans="1:6" ht="12.75" customHeight="1">
      <c r="A26" s="41" t="s">
        <v>1157</v>
      </c>
      <c r="B26" s="4" t="s">
        <v>1157</v>
      </c>
      <c r="C26" s="4" t="s">
        <v>1146</v>
      </c>
      <c r="D26" t="s">
        <v>1095</v>
      </c>
      <c r="E26" t="s">
        <v>1096</v>
      </c>
      <c r="F26" t="s">
        <v>1158</v>
      </c>
    </row>
    <row r="27" spans="1:6" ht="12.75" customHeight="1">
      <c r="A27" s="41" t="s">
        <v>1159</v>
      </c>
      <c r="B27" s="4" t="s">
        <v>1159</v>
      </c>
      <c r="C27" s="4" t="s">
        <v>1146</v>
      </c>
      <c r="D27" t="s">
        <v>1095</v>
      </c>
      <c r="E27" t="s">
        <v>1096</v>
      </c>
      <c r="F27" t="s">
        <v>1160</v>
      </c>
    </row>
    <row r="28" spans="1:6" ht="12.75" customHeight="1">
      <c r="A28" s="41" t="s">
        <v>1161</v>
      </c>
      <c r="B28" s="4" t="s">
        <v>1161</v>
      </c>
      <c r="C28" s="4" t="s">
        <v>1146</v>
      </c>
      <c r="D28" t="s">
        <v>1095</v>
      </c>
      <c r="E28" t="s">
        <v>1096</v>
      </c>
      <c r="F28" t="s">
        <v>1162</v>
      </c>
    </row>
    <row r="29" spans="1:6" ht="12.75" customHeight="1">
      <c r="A29" s="41" t="s">
        <v>1163</v>
      </c>
      <c r="B29" s="4" t="s">
        <v>1163</v>
      </c>
      <c r="C29" s="4" t="s">
        <v>1146</v>
      </c>
      <c r="D29" t="s">
        <v>1095</v>
      </c>
      <c r="E29" t="s">
        <v>1096</v>
      </c>
      <c r="F29" t="s">
        <v>1164</v>
      </c>
    </row>
    <row r="30" spans="1:6" ht="12.75" customHeight="1">
      <c r="A30" s="41" t="s">
        <v>1165</v>
      </c>
      <c r="B30" s="4" t="s">
        <v>1165</v>
      </c>
      <c r="C30" s="4" t="s">
        <v>1146</v>
      </c>
      <c r="D30" t="s">
        <v>1095</v>
      </c>
      <c r="E30" t="s">
        <v>1096</v>
      </c>
      <c r="F30" t="s">
        <v>1166</v>
      </c>
    </row>
    <row r="31" spans="1:6" ht="12.75" customHeight="1">
      <c r="A31" s="41" t="s">
        <v>1167</v>
      </c>
      <c r="B31" s="4" t="s">
        <v>1167</v>
      </c>
      <c r="C31" s="4" t="s">
        <v>1146</v>
      </c>
      <c r="D31" t="s">
        <v>1095</v>
      </c>
      <c r="E31" t="s">
        <v>1096</v>
      </c>
      <c r="F31" t="s">
        <v>1168</v>
      </c>
    </row>
    <row r="32" spans="1:6" ht="12.75" customHeight="1">
      <c r="A32" s="42" t="s">
        <v>1169</v>
      </c>
      <c r="B32" t="s">
        <v>1169</v>
      </c>
      <c r="C32" s="4" t="s">
        <v>1146</v>
      </c>
      <c r="D32" t="s">
        <v>1095</v>
      </c>
      <c r="E32" t="s">
        <v>1096</v>
      </c>
      <c r="F32" t="s">
        <v>1170</v>
      </c>
    </row>
    <row r="33" spans="1:6" ht="12.75" customHeight="1">
      <c r="A33" s="42" t="s">
        <v>1171</v>
      </c>
      <c r="B33" t="s">
        <v>1171</v>
      </c>
      <c r="C33" s="4" t="s">
        <v>1146</v>
      </c>
      <c r="D33" t="s">
        <v>1095</v>
      </c>
      <c r="E33" t="s">
        <v>1096</v>
      </c>
      <c r="F33" t="s">
        <v>1172</v>
      </c>
    </row>
    <row r="34" spans="1:6" ht="12.75" customHeight="1">
      <c r="A34" s="41" t="s">
        <v>1173</v>
      </c>
      <c r="B34" s="4" t="s">
        <v>1173</v>
      </c>
      <c r="C34" s="4" t="s">
        <v>1146</v>
      </c>
      <c r="D34" t="s">
        <v>1095</v>
      </c>
      <c r="E34" t="s">
        <v>1096</v>
      </c>
      <c r="F34" t="s">
        <v>1174</v>
      </c>
    </row>
    <row r="35" spans="1:6" ht="12.75" customHeight="1">
      <c r="A35" s="41" t="s">
        <v>1175</v>
      </c>
      <c r="B35" s="4" t="s">
        <v>1175</v>
      </c>
      <c r="C35" s="4" t="s">
        <v>1146</v>
      </c>
      <c r="D35" t="s">
        <v>1095</v>
      </c>
      <c r="E35" t="s">
        <v>1096</v>
      </c>
      <c r="F35" t="s">
        <v>1176</v>
      </c>
    </row>
    <row r="36" spans="1:6" ht="12.75" customHeight="1">
      <c r="A36" s="41" t="s">
        <v>1177</v>
      </c>
      <c r="B36" s="4" t="s">
        <v>1177</v>
      </c>
      <c r="C36" s="4" t="s">
        <v>1146</v>
      </c>
      <c r="D36" t="s">
        <v>1095</v>
      </c>
      <c r="E36" t="s">
        <v>1096</v>
      </c>
      <c r="F36" t="s">
        <v>1178</v>
      </c>
    </row>
    <row r="37" spans="1:6" ht="12.75" customHeight="1">
      <c r="A37" s="42" t="s">
        <v>1179</v>
      </c>
      <c r="B37" t="s">
        <v>1179</v>
      </c>
      <c r="C37" s="4" t="s">
        <v>1146</v>
      </c>
      <c r="D37" t="s">
        <v>1095</v>
      </c>
      <c r="E37" t="s">
        <v>1096</v>
      </c>
      <c r="F37" t="s">
        <v>1180</v>
      </c>
    </row>
    <row r="38" spans="1:6" ht="12.75" customHeight="1">
      <c r="A38" s="41" t="s">
        <v>1181</v>
      </c>
      <c r="B38" s="4" t="s">
        <v>1181</v>
      </c>
      <c r="C38" s="4" t="s">
        <v>1146</v>
      </c>
      <c r="D38" t="s">
        <v>1095</v>
      </c>
      <c r="E38" t="s">
        <v>1096</v>
      </c>
      <c r="F38" t="s">
        <v>1182</v>
      </c>
    </row>
    <row r="39" spans="1:6" ht="12.75" customHeight="1">
      <c r="A39" s="41" t="s">
        <v>1183</v>
      </c>
      <c r="B39" s="4" t="s">
        <v>1183</v>
      </c>
      <c r="C39" s="4" t="s">
        <v>1146</v>
      </c>
      <c r="D39" t="s">
        <v>1095</v>
      </c>
      <c r="E39" t="s">
        <v>1096</v>
      </c>
      <c r="F39" t="s">
        <v>1184</v>
      </c>
    </row>
    <row r="40" spans="1:6" ht="12.75" customHeight="1">
      <c r="A40" s="41" t="s">
        <v>1185</v>
      </c>
      <c r="B40" s="4" t="s">
        <v>1185</v>
      </c>
      <c r="C40" s="4" t="s">
        <v>1146</v>
      </c>
      <c r="D40" t="s">
        <v>1095</v>
      </c>
      <c r="E40" t="s">
        <v>1096</v>
      </c>
      <c r="F40" t="s">
        <v>1186</v>
      </c>
    </row>
    <row r="41" spans="1:6" ht="12.75" customHeight="1">
      <c r="A41" s="42" t="s">
        <v>1187</v>
      </c>
      <c r="B41" t="s">
        <v>1187</v>
      </c>
      <c r="C41" s="4" t="s">
        <v>1146</v>
      </c>
      <c r="D41" t="s">
        <v>1102</v>
      </c>
      <c r="E41" t="s">
        <v>1096</v>
      </c>
      <c r="F41" t="s">
        <v>1188</v>
      </c>
    </row>
    <row r="42" spans="1:6" ht="12.75" customHeight="1">
      <c r="A42" s="42" t="s">
        <v>1189</v>
      </c>
      <c r="B42" t="s">
        <v>1189</v>
      </c>
      <c r="C42" s="4" t="s">
        <v>1146</v>
      </c>
      <c r="D42" t="s">
        <v>1095</v>
      </c>
      <c r="E42" t="s">
        <v>1096</v>
      </c>
      <c r="F42" t="s">
        <v>1190</v>
      </c>
    </row>
    <row r="43" spans="1:6" ht="12.75" customHeight="1">
      <c r="A43" s="41" t="s">
        <v>1191</v>
      </c>
      <c r="B43" s="4" t="s">
        <v>1191</v>
      </c>
      <c r="C43" s="4" t="s">
        <v>1146</v>
      </c>
      <c r="D43" t="s">
        <v>1102</v>
      </c>
      <c r="E43" t="s">
        <v>1096</v>
      </c>
      <c r="F43" t="s">
        <v>1192</v>
      </c>
    </row>
    <row r="44" spans="1:6" ht="12.75" customHeight="1">
      <c r="A44" s="41" t="s">
        <v>1193</v>
      </c>
      <c r="B44" s="4" t="s">
        <v>1194</v>
      </c>
      <c r="C44" s="4" t="s">
        <v>1146</v>
      </c>
      <c r="D44" t="s">
        <v>1095</v>
      </c>
      <c r="E44" t="s">
        <v>1096</v>
      </c>
      <c r="F44" t="s">
        <v>1195</v>
      </c>
    </row>
    <row r="45" spans="1:6" ht="12.75" customHeight="1">
      <c r="A45" s="42" t="s">
        <v>1196</v>
      </c>
      <c r="B45" t="s">
        <v>1196</v>
      </c>
      <c r="C45" s="4" t="s">
        <v>1146</v>
      </c>
      <c r="D45" t="s">
        <v>1095</v>
      </c>
      <c r="E45" t="s">
        <v>1096</v>
      </c>
      <c r="F45" t="s">
        <v>1197</v>
      </c>
    </row>
    <row r="46" spans="1:6" ht="12.75" customHeight="1">
      <c r="A46" s="41" t="s">
        <v>1198</v>
      </c>
      <c r="B46" s="4" t="s">
        <v>1198</v>
      </c>
      <c r="C46" s="4" t="s">
        <v>1146</v>
      </c>
      <c r="D46" t="s">
        <v>1095</v>
      </c>
      <c r="E46" t="s">
        <v>1096</v>
      </c>
      <c r="F46" t="s">
        <v>1199</v>
      </c>
    </row>
    <row r="47" spans="1:6" ht="12.75" customHeight="1">
      <c r="A47" s="41" t="s">
        <v>1200</v>
      </c>
      <c r="B47" s="4" t="s">
        <v>1200</v>
      </c>
      <c r="C47" s="4" t="s">
        <v>1146</v>
      </c>
      <c r="D47" t="s">
        <v>1095</v>
      </c>
      <c r="E47" t="s">
        <v>1096</v>
      </c>
      <c r="F47" t="s">
        <v>1201</v>
      </c>
    </row>
    <row r="48" spans="1:6" ht="12.75" customHeight="1">
      <c r="A48" s="41" t="s">
        <v>1202</v>
      </c>
      <c r="B48" s="4" t="s">
        <v>1202</v>
      </c>
      <c r="C48" s="4" t="s">
        <v>1146</v>
      </c>
      <c r="D48" t="s">
        <v>1095</v>
      </c>
      <c r="E48" t="s">
        <v>1096</v>
      </c>
      <c r="F48" t="s">
        <v>1203</v>
      </c>
    </row>
    <row r="49" spans="1:6" ht="12.75" customHeight="1">
      <c r="A49" s="41" t="s">
        <v>1204</v>
      </c>
      <c r="B49" s="4" t="s">
        <v>1204</v>
      </c>
      <c r="C49" s="4" t="s">
        <v>1146</v>
      </c>
      <c r="D49" t="s">
        <v>1095</v>
      </c>
      <c r="E49" t="s">
        <v>1096</v>
      </c>
      <c r="F49" t="s">
        <v>1205</v>
      </c>
    </row>
    <row r="50" spans="1:6" ht="12.75" customHeight="1">
      <c r="A50" s="41" t="s">
        <v>1206</v>
      </c>
      <c r="B50" s="4" t="s">
        <v>1206</v>
      </c>
      <c r="C50" s="4" t="s">
        <v>1146</v>
      </c>
      <c r="D50" t="s">
        <v>1095</v>
      </c>
      <c r="E50" t="s">
        <v>1096</v>
      </c>
      <c r="F50" t="s">
        <v>1207</v>
      </c>
    </row>
    <row r="51" spans="1:6" ht="12.75" customHeight="1">
      <c r="A51" s="41" t="s">
        <v>1208</v>
      </c>
      <c r="B51" s="4" t="s">
        <v>1208</v>
      </c>
      <c r="C51" s="4" t="s">
        <v>1146</v>
      </c>
      <c r="D51" t="s">
        <v>1095</v>
      </c>
      <c r="E51" t="s">
        <v>1096</v>
      </c>
      <c r="F51" t="s">
        <v>1209</v>
      </c>
    </row>
    <row r="52" spans="1:6" ht="12.75" customHeight="1">
      <c r="A52" s="41" t="s">
        <v>1210</v>
      </c>
      <c r="B52" s="4" t="s">
        <v>1210</v>
      </c>
      <c r="C52" s="4" t="s">
        <v>1146</v>
      </c>
      <c r="D52" t="s">
        <v>1095</v>
      </c>
      <c r="E52" t="s">
        <v>1096</v>
      </c>
      <c r="F52" t="s">
        <v>1211</v>
      </c>
    </row>
    <row r="53" spans="1:6" ht="12.75" customHeight="1">
      <c r="A53" s="41" t="s">
        <v>1212</v>
      </c>
      <c r="B53" s="4" t="s">
        <v>1212</v>
      </c>
      <c r="C53" s="4" t="s">
        <v>1146</v>
      </c>
      <c r="D53" t="s">
        <v>1095</v>
      </c>
      <c r="E53" t="s">
        <v>1096</v>
      </c>
      <c r="F53" t="s">
        <v>1213</v>
      </c>
    </row>
    <row r="54" spans="1:6" ht="12.75" customHeight="1">
      <c r="A54" s="41" t="s">
        <v>1214</v>
      </c>
      <c r="B54" s="4" t="s">
        <v>1214</v>
      </c>
      <c r="C54" s="4" t="s">
        <v>1146</v>
      </c>
      <c r="D54" t="s">
        <v>1095</v>
      </c>
      <c r="E54" t="s">
        <v>1096</v>
      </c>
      <c r="F54" t="s">
        <v>1215</v>
      </c>
    </row>
    <row r="55" spans="1:6" ht="12.75" customHeight="1">
      <c r="A55" s="41" t="s">
        <v>1216</v>
      </c>
      <c r="B55" s="4" t="s">
        <v>1216</v>
      </c>
      <c r="C55" s="4" t="s">
        <v>1146</v>
      </c>
      <c r="D55" t="s">
        <v>1095</v>
      </c>
      <c r="E55" t="s">
        <v>1096</v>
      </c>
      <c r="F55" t="s">
        <v>1217</v>
      </c>
    </row>
    <row r="56" spans="1:6" ht="12.75" customHeight="1">
      <c r="A56" s="41" t="s">
        <v>1218</v>
      </c>
      <c r="B56" s="4" t="s">
        <v>1218</v>
      </c>
      <c r="C56" s="4" t="s">
        <v>1146</v>
      </c>
      <c r="D56" t="s">
        <v>1095</v>
      </c>
      <c r="E56" t="s">
        <v>1096</v>
      </c>
      <c r="F56" t="s">
        <v>1219</v>
      </c>
    </row>
    <row r="57" spans="1:6" ht="12.75" customHeight="1">
      <c r="A57" s="41" t="s">
        <v>1220</v>
      </c>
      <c r="B57" s="4" t="s">
        <v>1220</v>
      </c>
      <c r="C57" s="4" t="s">
        <v>1146</v>
      </c>
      <c r="D57" t="s">
        <v>1095</v>
      </c>
      <c r="E57" t="s">
        <v>1096</v>
      </c>
      <c r="F57" t="s">
        <v>1221</v>
      </c>
    </row>
    <row r="58" spans="1:6" ht="12.75" customHeight="1">
      <c r="A58" s="42" t="s">
        <v>1222</v>
      </c>
      <c r="B58" t="s">
        <v>1222</v>
      </c>
      <c r="C58" s="4" t="s">
        <v>1146</v>
      </c>
      <c r="D58" t="s">
        <v>1095</v>
      </c>
      <c r="E58" t="s">
        <v>1096</v>
      </c>
      <c r="F58" t="s">
        <v>1223</v>
      </c>
    </row>
    <row r="59" spans="1:6" ht="12.75" customHeight="1">
      <c r="A59" s="42" t="s">
        <v>1224</v>
      </c>
      <c r="B59" t="s">
        <v>1224</v>
      </c>
      <c r="C59" s="4" t="s">
        <v>1146</v>
      </c>
      <c r="D59" t="s">
        <v>1095</v>
      </c>
      <c r="E59" t="s">
        <v>1096</v>
      </c>
      <c r="F59" t="s">
        <v>1225</v>
      </c>
    </row>
    <row r="60" spans="1:6" ht="12.75" customHeight="1">
      <c r="A60" s="41" t="s">
        <v>1226</v>
      </c>
      <c r="B60" s="4" t="s">
        <v>1226</v>
      </c>
      <c r="C60" s="4" t="s">
        <v>1146</v>
      </c>
      <c r="D60" t="s">
        <v>1095</v>
      </c>
      <c r="E60" t="s">
        <v>1096</v>
      </c>
      <c r="F60" t="s">
        <v>1227</v>
      </c>
    </row>
    <row r="61" spans="1:6" ht="12.75" customHeight="1">
      <c r="A61" s="41" t="s">
        <v>1228</v>
      </c>
      <c r="B61" s="4" t="s">
        <v>1228</v>
      </c>
      <c r="C61" s="4" t="s">
        <v>1146</v>
      </c>
      <c r="D61" t="s">
        <v>1095</v>
      </c>
      <c r="E61" t="s">
        <v>1096</v>
      </c>
      <c r="F61" t="s">
        <v>1229</v>
      </c>
    </row>
    <row r="62" spans="1:6" ht="12.75" customHeight="1">
      <c r="A62" s="42" t="s">
        <v>1230</v>
      </c>
      <c r="B62" t="s">
        <v>1231</v>
      </c>
      <c r="C62" s="4" t="s">
        <v>1146</v>
      </c>
      <c r="D62" t="s">
        <v>1102</v>
      </c>
      <c r="E62" t="s">
        <v>1096</v>
      </c>
      <c r="F62" t="s">
        <v>1232</v>
      </c>
    </row>
    <row r="63" spans="1:6" ht="12.75" customHeight="1">
      <c r="A63" s="42" t="s">
        <v>1233</v>
      </c>
      <c r="B63" t="s">
        <v>1233</v>
      </c>
      <c r="C63" s="4" t="s">
        <v>1146</v>
      </c>
      <c r="D63" t="s">
        <v>1095</v>
      </c>
      <c r="E63" t="s">
        <v>1096</v>
      </c>
      <c r="F63" t="s">
        <v>1234</v>
      </c>
    </row>
    <row r="64" spans="1:6" ht="12.75" customHeight="1">
      <c r="A64" s="41">
        <v>38</v>
      </c>
      <c r="B64" s="4" t="s">
        <v>1235</v>
      </c>
      <c r="C64" s="4" t="s">
        <v>1146</v>
      </c>
      <c r="E64" t="s">
        <v>1096</v>
      </c>
      <c r="F64" t="s">
        <v>1236</v>
      </c>
    </row>
    <row r="65" spans="1:6" ht="12.75" customHeight="1">
      <c r="A65" s="42">
        <v>144</v>
      </c>
      <c r="B65" t="s">
        <v>1237</v>
      </c>
      <c r="C65" s="4" t="s">
        <v>1146</v>
      </c>
      <c r="E65" t="s">
        <v>1096</v>
      </c>
      <c r="F65" t="s">
        <v>1238</v>
      </c>
    </row>
    <row r="66" spans="1:6" ht="12.75" customHeight="1">
      <c r="A66" s="41">
        <v>279</v>
      </c>
      <c r="B66" s="4" t="s">
        <v>1239</v>
      </c>
      <c r="C66" s="4" t="s">
        <v>1146</v>
      </c>
      <c r="E66" t="s">
        <v>1096</v>
      </c>
      <c r="F66" t="s">
        <v>1240</v>
      </c>
    </row>
    <row r="67" spans="1:6" ht="12.75" customHeight="1">
      <c r="A67" s="41">
        <v>293</v>
      </c>
      <c r="B67" s="4" t="s">
        <v>1241</v>
      </c>
      <c r="C67" s="4" t="s">
        <v>1146</v>
      </c>
      <c r="E67" t="s">
        <v>1096</v>
      </c>
      <c r="F67" t="s">
        <v>1242</v>
      </c>
    </row>
    <row r="68" spans="1:6" ht="12.75" customHeight="1">
      <c r="A68" s="42">
        <v>308</v>
      </c>
      <c r="B68" t="s">
        <v>1243</v>
      </c>
      <c r="C68" s="4" t="s">
        <v>1146</v>
      </c>
      <c r="E68" t="s">
        <v>1096</v>
      </c>
      <c r="F68" t="s">
        <v>1244</v>
      </c>
    </row>
    <row r="69" spans="1:6" ht="12.75" customHeight="1">
      <c r="A69" s="42">
        <v>309</v>
      </c>
      <c r="B69" t="s">
        <v>1245</v>
      </c>
      <c r="C69" s="4" t="s">
        <v>1146</v>
      </c>
      <c r="E69" t="s">
        <v>1096</v>
      </c>
      <c r="F69" t="s">
        <v>1246</v>
      </c>
    </row>
    <row r="70" spans="1:6" ht="12.75" customHeight="1">
      <c r="A70" s="42" t="s">
        <v>1247</v>
      </c>
      <c r="B70" t="s">
        <v>1248</v>
      </c>
      <c r="C70" s="4" t="s">
        <v>1146</v>
      </c>
      <c r="D70" t="s">
        <v>1095</v>
      </c>
      <c r="E70" t="s">
        <v>1096</v>
      </c>
      <c r="F70" t="s">
        <v>1249</v>
      </c>
    </row>
    <row r="71" spans="1:6" ht="12.75" customHeight="1">
      <c r="A71" s="41" t="s">
        <v>1250</v>
      </c>
      <c r="B71" s="4" t="s">
        <v>1250</v>
      </c>
      <c r="C71" s="4" t="s">
        <v>1146</v>
      </c>
      <c r="D71" t="s">
        <v>1095</v>
      </c>
      <c r="E71" t="s">
        <v>1096</v>
      </c>
      <c r="F71" t="s">
        <v>1251</v>
      </c>
    </row>
    <row r="72" spans="1:6" ht="12.75" customHeight="1">
      <c r="A72" s="41">
        <v>358</v>
      </c>
      <c r="B72" s="4" t="s">
        <v>1252</v>
      </c>
      <c r="C72" s="4" t="s">
        <v>1146</v>
      </c>
      <c r="E72" t="s">
        <v>1096</v>
      </c>
      <c r="F72" t="s">
        <v>1253</v>
      </c>
    </row>
    <row r="73" spans="1:6" ht="12.75" customHeight="1">
      <c r="A73" s="41" t="s">
        <v>1254</v>
      </c>
      <c r="B73" s="4" t="s">
        <v>1255</v>
      </c>
      <c r="C73" s="4" t="s">
        <v>1256</v>
      </c>
      <c r="D73" t="s">
        <v>1095</v>
      </c>
      <c r="E73" t="s">
        <v>1096</v>
      </c>
      <c r="F73" t="s">
        <v>1257</v>
      </c>
    </row>
    <row r="74" spans="1:6" ht="12.75" customHeight="1">
      <c r="A74" s="41" t="s">
        <v>1258</v>
      </c>
      <c r="B74" s="4" t="s">
        <v>1259</v>
      </c>
      <c r="C74" s="4" t="s">
        <v>1256</v>
      </c>
      <c r="D74" t="s">
        <v>1095</v>
      </c>
      <c r="E74" t="s">
        <v>1096</v>
      </c>
      <c r="F74" t="s">
        <v>1260</v>
      </c>
    </row>
    <row r="75" spans="1:6" ht="12.75" customHeight="1">
      <c r="A75" s="41" t="s">
        <v>1261</v>
      </c>
      <c r="B75" s="41" t="s">
        <v>1261</v>
      </c>
      <c r="C75" s="4" t="s">
        <v>1146</v>
      </c>
      <c r="D75" t="s">
        <v>1262</v>
      </c>
      <c r="E75" t="s">
        <v>1263</v>
      </c>
      <c r="F75" t="s">
        <v>1264</v>
      </c>
    </row>
    <row r="76" spans="1:6" ht="12.75" customHeight="1">
      <c r="A76" s="41" t="s">
        <v>1265</v>
      </c>
      <c r="B76" s="4" t="s">
        <v>1265</v>
      </c>
      <c r="C76" s="4" t="s">
        <v>1146</v>
      </c>
      <c r="D76" t="s">
        <v>1102</v>
      </c>
      <c r="E76" s="43" t="s">
        <v>1263</v>
      </c>
      <c r="F76" t="s">
        <v>1266</v>
      </c>
    </row>
    <row r="77" spans="1:6" ht="12.75" customHeight="1">
      <c r="A77" s="41" t="s">
        <v>1267</v>
      </c>
      <c r="B77" s="4" t="s">
        <v>1268</v>
      </c>
      <c r="C77" s="4" t="s">
        <v>1146</v>
      </c>
      <c r="D77" t="s">
        <v>1102</v>
      </c>
      <c r="E77" s="43" t="s">
        <v>1263</v>
      </c>
      <c r="F77" t="s">
        <v>1269</v>
      </c>
    </row>
    <row r="78" spans="1:6" ht="12.75" customHeight="1">
      <c r="A78" s="41" t="s">
        <v>1270</v>
      </c>
      <c r="B78" s="4" t="s">
        <v>1271</v>
      </c>
      <c r="C78" s="4" t="s">
        <v>1146</v>
      </c>
      <c r="D78" t="s">
        <v>1102</v>
      </c>
      <c r="E78" s="43" t="s">
        <v>1263</v>
      </c>
      <c r="F78" t="s">
        <v>1272</v>
      </c>
    </row>
    <row r="79" spans="1:6" ht="12.75" customHeight="1">
      <c r="A79" s="41" t="s">
        <v>1273</v>
      </c>
      <c r="B79" s="4" t="s">
        <v>1273</v>
      </c>
      <c r="C79" s="4" t="s">
        <v>1146</v>
      </c>
      <c r="D79" t="s">
        <v>1095</v>
      </c>
      <c r="E79" t="s">
        <v>1263</v>
      </c>
      <c r="F79" t="s">
        <v>1274</v>
      </c>
    </row>
    <row r="80" spans="1:6" ht="12.75" customHeight="1">
      <c r="A80" s="41" t="s">
        <v>1275</v>
      </c>
      <c r="B80" s="41" t="s">
        <v>1275</v>
      </c>
      <c r="C80" s="4" t="s">
        <v>1146</v>
      </c>
      <c r="E80" t="s">
        <v>1263</v>
      </c>
      <c r="F80" t="s">
        <v>1276</v>
      </c>
    </row>
    <row r="81" spans="1:6" ht="12.75" customHeight="1">
      <c r="A81" s="41" t="s">
        <v>1277</v>
      </c>
      <c r="B81" s="41" t="s">
        <v>1277</v>
      </c>
      <c r="C81" s="4" t="s">
        <v>1146</v>
      </c>
      <c r="E81" t="s">
        <v>1263</v>
      </c>
      <c r="F81" t="s">
        <v>1278</v>
      </c>
    </row>
    <row r="82" spans="1:6" ht="12.75" customHeight="1">
      <c r="A82" s="41" t="s">
        <v>1279</v>
      </c>
      <c r="B82" s="41" t="s">
        <v>1279</v>
      </c>
      <c r="C82" s="4" t="s">
        <v>1146</v>
      </c>
      <c r="E82" t="s">
        <v>1263</v>
      </c>
      <c r="F82" t="s">
        <v>1280</v>
      </c>
    </row>
    <row r="83" spans="1:6" ht="12.75" customHeight="1">
      <c r="A83" s="41" t="s">
        <v>1281</v>
      </c>
      <c r="B83" s="41" t="s">
        <v>1281</v>
      </c>
      <c r="C83" s="4" t="s">
        <v>1146</v>
      </c>
      <c r="E83" t="s">
        <v>1263</v>
      </c>
      <c r="F83" t="s">
        <v>1282</v>
      </c>
    </row>
    <row r="84" spans="1:6" ht="12.75" customHeight="1">
      <c r="A84" s="41" t="s">
        <v>1283</v>
      </c>
      <c r="B84" s="41" t="s">
        <v>1283</v>
      </c>
      <c r="C84" s="4" t="s">
        <v>1146</v>
      </c>
      <c r="E84" t="s">
        <v>1263</v>
      </c>
      <c r="F84" t="s">
        <v>1284</v>
      </c>
    </row>
    <row r="85" spans="1:6" ht="12.75" customHeight="1">
      <c r="A85" s="41" t="s">
        <v>1285</v>
      </c>
      <c r="B85" s="41" t="s">
        <v>1285</v>
      </c>
      <c r="C85" s="4" t="s">
        <v>1146</v>
      </c>
      <c r="E85" t="s">
        <v>1263</v>
      </c>
      <c r="F85" t="s">
        <v>1286</v>
      </c>
    </row>
    <row r="86" spans="1:6" ht="12.75" customHeight="1">
      <c r="A86" s="41" t="s">
        <v>1287</v>
      </c>
      <c r="B86" s="4" t="s">
        <v>1287</v>
      </c>
      <c r="C86" s="4" t="s">
        <v>1146</v>
      </c>
      <c r="D86" t="s">
        <v>1102</v>
      </c>
      <c r="E86" t="s">
        <v>1263</v>
      </c>
      <c r="F86" t="s">
        <v>1288</v>
      </c>
    </row>
    <row r="87" spans="1:6" ht="12.75" customHeight="1">
      <c r="A87" s="41" t="s">
        <v>1289</v>
      </c>
      <c r="B87" s="4" t="s">
        <v>1289</v>
      </c>
      <c r="C87" s="4" t="s">
        <v>1146</v>
      </c>
      <c r="D87" t="s">
        <v>1102</v>
      </c>
      <c r="E87" t="s">
        <v>1263</v>
      </c>
      <c r="F87" t="s">
        <v>1290</v>
      </c>
    </row>
    <row r="88" spans="1:6" ht="12.75" customHeight="1">
      <c r="A88" s="41" t="s">
        <v>1291</v>
      </c>
      <c r="B88" s="4" t="s">
        <v>1291</v>
      </c>
      <c r="C88" s="4" t="s">
        <v>1146</v>
      </c>
      <c r="D88" t="s">
        <v>1102</v>
      </c>
      <c r="E88" t="s">
        <v>1263</v>
      </c>
      <c r="F88" t="s">
        <v>1292</v>
      </c>
    </row>
    <row r="89" spans="1:6" ht="12.75" customHeight="1">
      <c r="A89" s="41" t="s">
        <v>1293</v>
      </c>
      <c r="B89" s="4" t="s">
        <v>1293</v>
      </c>
      <c r="C89" s="4" t="s">
        <v>1146</v>
      </c>
      <c r="D89" t="s">
        <v>1294</v>
      </c>
      <c r="E89" t="s">
        <v>1263</v>
      </c>
      <c r="F89" t="s">
        <v>1295</v>
      </c>
    </row>
    <row r="90" spans="1:6" ht="12.75" customHeight="1">
      <c r="A90" s="41" t="s">
        <v>1296</v>
      </c>
      <c r="B90" s="4" t="s">
        <v>1296</v>
      </c>
      <c r="C90" s="4" t="s">
        <v>1146</v>
      </c>
      <c r="D90" t="s">
        <v>1294</v>
      </c>
      <c r="E90" t="s">
        <v>1263</v>
      </c>
      <c r="F90" t="s">
        <v>1297</v>
      </c>
    </row>
    <row r="91" spans="1:6" ht="12.75" customHeight="1">
      <c r="A91" s="41" t="s">
        <v>1298</v>
      </c>
      <c r="B91" s="4" t="s">
        <v>1299</v>
      </c>
      <c r="C91" s="4" t="s">
        <v>1146</v>
      </c>
      <c r="D91" t="s">
        <v>1095</v>
      </c>
      <c r="E91" t="s">
        <v>1096</v>
      </c>
      <c r="F91" t="s">
        <v>1300</v>
      </c>
    </row>
    <row r="92" spans="1:6" ht="12.75" customHeight="1">
      <c r="A92" s="41" t="s">
        <v>1301</v>
      </c>
      <c r="B92" s="4" t="s">
        <v>1301</v>
      </c>
      <c r="C92" s="4" t="s">
        <v>1146</v>
      </c>
      <c r="D92" t="s">
        <v>1102</v>
      </c>
      <c r="E92" t="s">
        <v>1263</v>
      </c>
      <c r="F92" t="s">
        <v>1302</v>
      </c>
    </row>
    <row r="93" spans="1:6" ht="12.75" customHeight="1">
      <c r="A93" s="41" t="s">
        <v>1303</v>
      </c>
      <c r="B93" s="4" t="s">
        <v>1303</v>
      </c>
      <c r="C93" s="4" t="s">
        <v>1146</v>
      </c>
      <c r="E93" t="s">
        <v>1263</v>
      </c>
      <c r="F93" t="s">
        <v>1304</v>
      </c>
    </row>
    <row r="94" spans="1:6" ht="12.75" customHeight="1">
      <c r="A94" s="41" t="s">
        <v>1305</v>
      </c>
      <c r="B94" s="4" t="s">
        <v>1305</v>
      </c>
      <c r="C94" s="4" t="s">
        <v>1146</v>
      </c>
      <c r="E94" t="s">
        <v>1263</v>
      </c>
      <c r="F94" t="s">
        <v>1306</v>
      </c>
    </row>
    <row r="95" spans="1:6" ht="12.75" customHeight="1">
      <c r="A95" s="41" t="s">
        <v>1307</v>
      </c>
      <c r="B95" s="4" t="s">
        <v>1307</v>
      </c>
      <c r="C95" s="4" t="s">
        <v>1146</v>
      </c>
      <c r="E95" t="s">
        <v>1263</v>
      </c>
      <c r="F95" t="s">
        <v>1308</v>
      </c>
    </row>
    <row r="96" spans="1:6" ht="12.75" customHeight="1">
      <c r="A96" s="4" t="s">
        <v>1309</v>
      </c>
      <c r="B96" s="4" t="s">
        <v>1309</v>
      </c>
      <c r="C96" s="4" t="s">
        <v>1146</v>
      </c>
      <c r="E96" t="s">
        <v>1263</v>
      </c>
      <c r="F96" t="s">
        <v>1310</v>
      </c>
    </row>
    <row r="97" spans="1:6" ht="12.75" customHeight="1">
      <c r="A97" s="4" t="s">
        <v>1311</v>
      </c>
      <c r="B97" s="4" t="s">
        <v>1311</v>
      </c>
      <c r="C97" s="4" t="s">
        <v>1146</v>
      </c>
      <c r="D97" t="s">
        <v>1294</v>
      </c>
      <c r="E97" t="s">
        <v>1263</v>
      </c>
      <c r="F97" t="s">
        <v>1312</v>
      </c>
    </row>
    <row r="98" spans="1:6" ht="12.75" customHeight="1">
      <c r="A98" s="4" t="s">
        <v>1313</v>
      </c>
      <c r="B98" s="4" t="s">
        <v>1313</v>
      </c>
      <c r="C98" s="4" t="s">
        <v>1146</v>
      </c>
      <c r="D98" t="s">
        <v>1102</v>
      </c>
      <c r="E98" t="s">
        <v>1263</v>
      </c>
      <c r="F98" t="s">
        <v>1314</v>
      </c>
    </row>
    <row r="99" spans="1:6" ht="12.75" customHeight="1">
      <c r="A99" s="4" t="s">
        <v>1315</v>
      </c>
      <c r="B99" s="4" t="s">
        <v>1315</v>
      </c>
      <c r="C99" s="4" t="s">
        <v>1146</v>
      </c>
      <c r="D99" t="s">
        <v>1102</v>
      </c>
      <c r="E99" t="s">
        <v>1263</v>
      </c>
      <c r="F99" t="s">
        <v>1316</v>
      </c>
    </row>
    <row r="100" spans="1:6" ht="12.75" customHeight="1">
      <c r="A100" s="4" t="s">
        <v>1317</v>
      </c>
      <c r="B100" s="4" t="s">
        <v>1317</v>
      </c>
      <c r="C100" s="4" t="s">
        <v>1146</v>
      </c>
      <c r="D100" t="s">
        <v>1102</v>
      </c>
      <c r="E100" t="s">
        <v>1263</v>
      </c>
      <c r="F100" t="s">
        <v>1318</v>
      </c>
    </row>
    <row r="101" spans="1:6" ht="12.75" customHeight="1">
      <c r="A101" s="4" t="s">
        <v>1319</v>
      </c>
      <c r="B101" s="4" t="s">
        <v>1319</v>
      </c>
      <c r="C101" s="4" t="s">
        <v>1146</v>
      </c>
      <c r="D101" t="s">
        <v>1262</v>
      </c>
      <c r="E101" t="s">
        <v>1263</v>
      </c>
      <c r="F101" t="s">
        <v>1320</v>
      </c>
    </row>
    <row r="102" spans="1:6" ht="12.75" customHeight="1">
      <c r="A102" s="4" t="s">
        <v>1321</v>
      </c>
      <c r="B102" s="4" t="s">
        <v>1321</v>
      </c>
      <c r="C102" s="4" t="s">
        <v>1146</v>
      </c>
      <c r="D102" t="s">
        <v>1102</v>
      </c>
      <c r="E102" t="s">
        <v>1263</v>
      </c>
      <c r="F102" t="s">
        <v>1322</v>
      </c>
    </row>
    <row r="103" spans="1:6" ht="12.75" customHeight="1">
      <c r="A103" s="4" t="s">
        <v>1323</v>
      </c>
      <c r="B103" s="4" t="s">
        <v>1324</v>
      </c>
      <c r="C103" s="4" t="s">
        <v>1146</v>
      </c>
      <c r="D103" t="s">
        <v>1102</v>
      </c>
      <c r="E103" t="s">
        <v>1263</v>
      </c>
      <c r="F103" t="s">
        <v>1325</v>
      </c>
    </row>
    <row r="104" spans="1:6" ht="12.75" customHeight="1">
      <c r="A104" s="4" t="s">
        <v>1326</v>
      </c>
      <c r="B104" s="4" t="s">
        <v>1327</v>
      </c>
      <c r="C104" s="4" t="s">
        <v>1146</v>
      </c>
      <c r="D104" t="s">
        <v>1102</v>
      </c>
      <c r="E104" t="s">
        <v>1263</v>
      </c>
      <c r="F104" t="s">
        <v>1328</v>
      </c>
    </row>
    <row r="105" spans="1:6" ht="12.75" customHeight="1">
      <c r="A105" s="4" t="s">
        <v>1329</v>
      </c>
      <c r="B105" s="4" t="s">
        <v>1329</v>
      </c>
      <c r="C105" s="4" t="s">
        <v>1146</v>
      </c>
      <c r="D105" t="s">
        <v>1102</v>
      </c>
      <c r="E105" t="s">
        <v>1263</v>
      </c>
      <c r="F105" t="s">
        <v>1330</v>
      </c>
    </row>
    <row r="106" spans="1:6" ht="12.75" customHeight="1">
      <c r="A106" s="4" t="s">
        <v>1331</v>
      </c>
      <c r="B106" s="4" t="s">
        <v>1331</v>
      </c>
      <c r="C106" s="4" t="s">
        <v>1146</v>
      </c>
      <c r="D106" t="s">
        <v>1102</v>
      </c>
      <c r="E106" t="s">
        <v>1263</v>
      </c>
      <c r="F106" t="s">
        <v>1332</v>
      </c>
    </row>
    <row r="107" spans="1:6" ht="12.75" customHeight="1">
      <c r="A107" s="4" t="s">
        <v>1333</v>
      </c>
      <c r="B107" s="4" t="s">
        <v>1333</v>
      </c>
      <c r="C107" s="4" t="s">
        <v>1146</v>
      </c>
      <c r="D107" t="s">
        <v>1102</v>
      </c>
      <c r="E107" t="s">
        <v>1263</v>
      </c>
      <c r="F107" t="s">
        <v>1334</v>
      </c>
    </row>
    <row r="108" spans="1:6" ht="12.75" customHeight="1">
      <c r="A108" s="41" t="s">
        <v>1335</v>
      </c>
      <c r="B108" s="4" t="s">
        <v>1335</v>
      </c>
      <c r="C108" s="4" t="s">
        <v>1146</v>
      </c>
      <c r="D108" t="s">
        <v>1102</v>
      </c>
      <c r="E108" t="s">
        <v>1263</v>
      </c>
      <c r="F108" t="s">
        <v>1336</v>
      </c>
    </row>
    <row r="109" spans="1:6" ht="12.75" customHeight="1">
      <c r="A109" s="41" t="s">
        <v>1337</v>
      </c>
      <c r="B109" s="4" t="s">
        <v>1337</v>
      </c>
      <c r="C109" s="4" t="s">
        <v>1146</v>
      </c>
      <c r="D109" t="s">
        <v>1102</v>
      </c>
      <c r="E109" t="s">
        <v>1263</v>
      </c>
      <c r="F109" t="s">
        <v>1338</v>
      </c>
    </row>
    <row r="110" spans="1:6" ht="12.75" customHeight="1">
      <c r="A110" s="41" t="s">
        <v>1339</v>
      </c>
      <c r="B110" s="4" t="s">
        <v>1339</v>
      </c>
      <c r="C110" s="4" t="s">
        <v>1146</v>
      </c>
      <c r="E110" t="s">
        <v>1263</v>
      </c>
      <c r="F110" t="s">
        <v>1340</v>
      </c>
    </row>
    <row r="111" spans="1:6" ht="12.75" customHeight="1">
      <c r="A111" s="41" t="s">
        <v>1341</v>
      </c>
      <c r="B111" s="4" t="s">
        <v>1341</v>
      </c>
      <c r="C111" s="4" t="s">
        <v>1146</v>
      </c>
      <c r="D111" t="s">
        <v>1095</v>
      </c>
      <c r="E111" t="s">
        <v>1096</v>
      </c>
      <c r="F111" t="s">
        <v>1342</v>
      </c>
    </row>
    <row r="112" spans="1:6" ht="12.75" customHeight="1">
      <c r="A112" s="41" t="s">
        <v>1343</v>
      </c>
      <c r="B112" s="4" t="s">
        <v>1343</v>
      </c>
      <c r="C112" s="4" t="s">
        <v>1146</v>
      </c>
      <c r="D112" t="s">
        <v>1095</v>
      </c>
      <c r="E112" t="s">
        <v>1096</v>
      </c>
      <c r="F112" t="s">
        <v>1344</v>
      </c>
    </row>
    <row r="113" spans="1:6" ht="12.75" customHeight="1">
      <c r="A113" s="41" t="s">
        <v>1345</v>
      </c>
      <c r="B113" s="4" t="s">
        <v>1346</v>
      </c>
      <c r="C113" s="4" t="s">
        <v>1347</v>
      </c>
      <c r="D113" t="s">
        <v>1095</v>
      </c>
      <c r="E113" t="s">
        <v>1096</v>
      </c>
      <c r="F113" t="s">
        <v>1348</v>
      </c>
    </row>
    <row r="114" spans="1:6" ht="12.75" customHeight="1">
      <c r="A114" s="41" t="s">
        <v>1349</v>
      </c>
      <c r="B114" s="4" t="s">
        <v>1349</v>
      </c>
      <c r="C114" s="4" t="s">
        <v>1347</v>
      </c>
      <c r="D114" t="s">
        <v>1095</v>
      </c>
      <c r="E114" t="s">
        <v>1096</v>
      </c>
      <c r="F114" t="s">
        <v>1350</v>
      </c>
    </row>
    <row r="115" spans="1:6" ht="12.75" customHeight="1">
      <c r="A115" s="4" t="s">
        <v>1351</v>
      </c>
      <c r="B115" s="4" t="s">
        <v>1351</v>
      </c>
      <c r="C115" s="4" t="s">
        <v>1347</v>
      </c>
      <c r="E115" t="s">
        <v>1096</v>
      </c>
      <c r="F115" t="s">
        <v>1352</v>
      </c>
    </row>
    <row r="116" spans="1:6" ht="12.75" customHeight="1">
      <c r="A116" s="4" t="s">
        <v>1353</v>
      </c>
      <c r="B116" s="4" t="s">
        <v>1353</v>
      </c>
      <c r="C116" s="4" t="s">
        <v>1347</v>
      </c>
      <c r="E116" t="s">
        <v>1096</v>
      </c>
      <c r="F116" t="s">
        <v>1354</v>
      </c>
    </row>
    <row r="117" spans="1:6" ht="12.75" customHeight="1">
      <c r="A117" s="4" t="s">
        <v>1355</v>
      </c>
      <c r="B117" s="4" t="s">
        <v>1355</v>
      </c>
      <c r="C117" s="4" t="s">
        <v>1347</v>
      </c>
      <c r="E117" t="s">
        <v>1096</v>
      </c>
      <c r="F117" t="s">
        <v>1356</v>
      </c>
    </row>
    <row r="118" spans="1:6" ht="12.75" customHeight="1">
      <c r="A118" s="4" t="s">
        <v>1357</v>
      </c>
      <c r="B118" s="4" t="s">
        <v>1357</v>
      </c>
      <c r="C118" s="4" t="s">
        <v>1358</v>
      </c>
      <c r="E118" t="s">
        <v>1096</v>
      </c>
      <c r="F118" t="s">
        <v>1359</v>
      </c>
    </row>
    <row r="119" spans="1:6" ht="12.75" customHeight="1">
      <c r="A119" s="4" t="s">
        <v>1360</v>
      </c>
      <c r="B119" s="4" t="s">
        <v>1360</v>
      </c>
      <c r="C119" s="4" t="s">
        <v>1358</v>
      </c>
      <c r="E119" t="s">
        <v>1096</v>
      </c>
      <c r="F119" t="s">
        <v>1361</v>
      </c>
    </row>
    <row r="120" spans="1:6" ht="12.75" customHeight="1">
      <c r="A120" s="4" t="s">
        <v>1362</v>
      </c>
      <c r="B120" s="4" t="s">
        <v>1362</v>
      </c>
      <c r="C120" s="4" t="s">
        <v>1358</v>
      </c>
      <c r="E120" t="s">
        <v>1096</v>
      </c>
      <c r="F120" t="s">
        <v>1363</v>
      </c>
    </row>
    <row r="121" spans="1:6" ht="12.75" customHeight="1">
      <c r="A121" s="4" t="s">
        <v>1364</v>
      </c>
      <c r="B121" s="4" t="s">
        <v>1364</v>
      </c>
      <c r="C121" s="4" t="s">
        <v>1365</v>
      </c>
      <c r="E121" t="s">
        <v>1096</v>
      </c>
      <c r="F121" t="s">
        <v>1366</v>
      </c>
    </row>
    <row r="122" spans="1:6" ht="12.75" customHeight="1">
      <c r="A122" s="4" t="s">
        <v>1367</v>
      </c>
      <c r="B122" s="4" t="s">
        <v>1367</v>
      </c>
      <c r="C122" s="4" t="s">
        <v>1365</v>
      </c>
      <c r="E122" t="s">
        <v>1096</v>
      </c>
      <c r="F122" t="s">
        <v>1368</v>
      </c>
    </row>
    <row r="123" spans="1:6" ht="12.75" customHeight="1">
      <c r="A123" s="4" t="s">
        <v>1369</v>
      </c>
      <c r="B123" s="4" t="s">
        <v>1369</v>
      </c>
      <c r="C123" s="4" t="s">
        <v>1370</v>
      </c>
      <c r="E123" t="s">
        <v>1096</v>
      </c>
      <c r="F123" t="s">
        <v>1371</v>
      </c>
    </row>
    <row r="124" spans="1:6" ht="12.75" customHeight="1">
      <c r="A124" s="4" t="s">
        <v>1372</v>
      </c>
      <c r="B124" s="4" t="s">
        <v>1372</v>
      </c>
      <c r="C124" s="4" t="s">
        <v>1370</v>
      </c>
      <c r="E124" t="s">
        <v>1096</v>
      </c>
      <c r="F124" t="s">
        <v>1373</v>
      </c>
    </row>
    <row r="125" spans="1:6" ht="12.75" customHeight="1">
      <c r="A125" s="4" t="s">
        <v>1374</v>
      </c>
      <c r="B125" s="4" t="s">
        <v>1374</v>
      </c>
      <c r="C125" s="4" t="s">
        <v>1375</v>
      </c>
      <c r="E125" t="s">
        <v>1096</v>
      </c>
      <c r="F125" t="s">
        <v>1376</v>
      </c>
    </row>
    <row r="126" spans="1:6" ht="12.75" customHeight="1">
      <c r="A126" s="4" t="s">
        <v>1377</v>
      </c>
      <c r="B126" s="4" t="s">
        <v>1377</v>
      </c>
      <c r="C126" s="4" t="s">
        <v>1375</v>
      </c>
      <c r="E126" t="s">
        <v>1096</v>
      </c>
      <c r="F126" t="s">
        <v>1378</v>
      </c>
    </row>
    <row r="127" spans="1:6" ht="12.75" customHeight="1">
      <c r="A127" s="4" t="s">
        <v>1379</v>
      </c>
      <c r="B127" s="4" t="s">
        <v>1379</v>
      </c>
      <c r="C127" s="4" t="s">
        <v>1375</v>
      </c>
      <c r="E127" t="s">
        <v>1096</v>
      </c>
      <c r="F127" t="s">
        <v>1380</v>
      </c>
    </row>
    <row r="128" spans="1:6" ht="12.75" customHeight="1">
      <c r="A128" s="4" t="s">
        <v>1381</v>
      </c>
      <c r="B128" s="4" t="s">
        <v>1381</v>
      </c>
      <c r="C128" s="4" t="s">
        <v>1140</v>
      </c>
      <c r="E128" t="s">
        <v>1096</v>
      </c>
      <c r="F128" t="s">
        <v>1382</v>
      </c>
    </row>
    <row r="129" spans="1:6" ht="12.75" customHeight="1">
      <c r="A129" s="4" t="s">
        <v>1383</v>
      </c>
      <c r="B129" s="4" t="s">
        <v>1383</v>
      </c>
      <c r="C129" s="4" t="s">
        <v>1140</v>
      </c>
      <c r="E129" t="s">
        <v>1096</v>
      </c>
      <c r="F129" t="s">
        <v>1384</v>
      </c>
    </row>
    <row r="130" spans="1:6" ht="12.75" customHeight="1">
      <c r="A130" s="4" t="s">
        <v>1385</v>
      </c>
      <c r="B130" s="4" t="s">
        <v>1385</v>
      </c>
      <c r="C130" s="4" t="s">
        <v>1140</v>
      </c>
      <c r="E130" t="s">
        <v>1096</v>
      </c>
      <c r="F130" t="s">
        <v>1386</v>
      </c>
    </row>
    <row r="131" spans="1:6" ht="12.75" customHeight="1">
      <c r="A131" s="4" t="s">
        <v>1387</v>
      </c>
      <c r="B131" s="4" t="s">
        <v>1387</v>
      </c>
      <c r="C131" s="4" t="s">
        <v>1388</v>
      </c>
      <c r="E131" t="s">
        <v>1096</v>
      </c>
      <c r="F131" t="s">
        <v>1389</v>
      </c>
    </row>
    <row r="132" spans="1:6" ht="12.75" customHeight="1">
      <c r="A132" s="4" t="s">
        <v>1390</v>
      </c>
      <c r="B132" s="4" t="s">
        <v>1390</v>
      </c>
      <c r="C132" s="4" t="s">
        <v>1388</v>
      </c>
      <c r="E132" t="s">
        <v>1096</v>
      </c>
      <c r="F132" t="s">
        <v>1391</v>
      </c>
    </row>
    <row r="133" spans="1:6" ht="12.75" customHeight="1">
      <c r="A133" s="4" t="s">
        <v>1392</v>
      </c>
      <c r="B133" s="4" t="s">
        <v>1392</v>
      </c>
      <c r="C133" s="4" t="s">
        <v>1388</v>
      </c>
      <c r="E133" t="s">
        <v>1096</v>
      </c>
      <c r="F133" t="s">
        <v>1393</v>
      </c>
    </row>
    <row r="134" spans="1:6" ht="12.75" customHeight="1">
      <c r="A134" s="4" t="s">
        <v>1394</v>
      </c>
      <c r="B134" s="4" t="s">
        <v>1394</v>
      </c>
      <c r="C134" s="4" t="s">
        <v>1388</v>
      </c>
      <c r="E134" t="s">
        <v>1096</v>
      </c>
      <c r="F134" t="s">
        <v>1395</v>
      </c>
    </row>
    <row r="135" spans="1:6" ht="12.75" customHeight="1">
      <c r="A135" s="4" t="s">
        <v>1396</v>
      </c>
      <c r="B135" s="4" t="s">
        <v>1396</v>
      </c>
      <c r="C135" s="4" t="s">
        <v>1388</v>
      </c>
      <c r="E135" t="s">
        <v>1096</v>
      </c>
      <c r="F135" t="s">
        <v>1397</v>
      </c>
    </row>
    <row r="136" spans="1:6" ht="12.75" customHeight="1">
      <c r="A136" s="4" t="s">
        <v>1398</v>
      </c>
      <c r="B136" s="4" t="s">
        <v>1398</v>
      </c>
      <c r="C136" s="4" t="s">
        <v>1388</v>
      </c>
      <c r="E136" t="s">
        <v>1096</v>
      </c>
      <c r="F136" t="s">
        <v>1399</v>
      </c>
    </row>
    <row r="137" spans="1:6" ht="12.75" customHeight="1">
      <c r="A137" s="4" t="s">
        <v>1400</v>
      </c>
      <c r="B137" s="4" t="s">
        <v>1400</v>
      </c>
      <c r="C137" s="4" t="s">
        <v>1388</v>
      </c>
      <c r="E137" t="s">
        <v>1096</v>
      </c>
      <c r="F137" t="s">
        <v>1401</v>
      </c>
    </row>
    <row r="138" spans="1:6" ht="12.75" customHeight="1">
      <c r="A138" s="4" t="s">
        <v>1339</v>
      </c>
      <c r="B138" s="4" t="s">
        <v>1402</v>
      </c>
      <c r="C138" s="4" t="s">
        <v>1146</v>
      </c>
      <c r="E138" t="s">
        <v>1263</v>
      </c>
      <c r="F138" t="s">
        <v>1403</v>
      </c>
    </row>
    <row r="139" spans="1:6" ht="12.75" customHeight="1">
      <c r="A139" s="4" t="s">
        <v>1404</v>
      </c>
      <c r="B139" s="4" t="s">
        <v>1404</v>
      </c>
      <c r="C139" s="4" t="s">
        <v>1146</v>
      </c>
      <c r="E139" t="s">
        <v>1263</v>
      </c>
      <c r="F139" t="s">
        <v>1405</v>
      </c>
    </row>
    <row r="140" spans="1:6" ht="12.75" customHeight="1">
      <c r="A140" s="41" t="s">
        <v>1406</v>
      </c>
      <c r="B140" s="41" t="s">
        <v>1406</v>
      </c>
      <c r="C140" s="4" t="s">
        <v>1146</v>
      </c>
      <c r="E140" s="81" t="s">
        <v>1407</v>
      </c>
      <c r="F140" s="81" t="s">
        <v>1408</v>
      </c>
    </row>
    <row r="141" spans="1:6" ht="12.75" customHeight="1">
      <c r="A141" s="41" t="s">
        <v>1409</v>
      </c>
      <c r="B141" s="41" t="s">
        <v>1409</v>
      </c>
      <c r="C141" s="4" t="s">
        <v>1146</v>
      </c>
      <c r="E141" s="81" t="s">
        <v>1410</v>
      </c>
      <c r="F141" s="81" t="s">
        <v>1411</v>
      </c>
    </row>
    <row r="142" spans="1:6" ht="12.75" customHeight="1">
      <c r="A142" s="41" t="s">
        <v>1412</v>
      </c>
      <c r="B142" s="41" t="s">
        <v>1412</v>
      </c>
      <c r="C142" s="4" t="s">
        <v>1146</v>
      </c>
      <c r="D142" t="s">
        <v>1095</v>
      </c>
      <c r="E142" s="81" t="s">
        <v>1413</v>
      </c>
      <c r="F142" s="81" t="s">
        <v>1414</v>
      </c>
    </row>
    <row r="143" spans="1:6" ht="12.75" customHeight="1">
      <c r="A143" s="41" t="s">
        <v>1415</v>
      </c>
      <c r="B143" s="41" t="s">
        <v>1415</v>
      </c>
      <c r="C143" s="4" t="s">
        <v>1146</v>
      </c>
      <c r="E143" s="81" t="s">
        <v>1410</v>
      </c>
      <c r="F143" s="81" t="s">
        <v>1416</v>
      </c>
    </row>
    <row r="144" spans="1:6" ht="12.75" customHeight="1">
      <c r="A144" s="41" t="s">
        <v>1417</v>
      </c>
      <c r="B144" s="41" t="s">
        <v>1417</v>
      </c>
      <c r="C144" s="4" t="s">
        <v>1146</v>
      </c>
      <c r="E144" s="81" t="s">
        <v>1263</v>
      </c>
      <c r="F144" s="81" t="s">
        <v>1418</v>
      </c>
    </row>
    <row r="145" spans="1:6" ht="12.75" customHeight="1">
      <c r="A145" s="41" t="s">
        <v>1419</v>
      </c>
      <c r="B145" s="41" t="s">
        <v>1419</v>
      </c>
      <c r="C145" s="4" t="s">
        <v>1146</v>
      </c>
      <c r="E145" s="81" t="s">
        <v>1410</v>
      </c>
      <c r="F145" s="81" t="s">
        <v>1420</v>
      </c>
    </row>
    <row r="146" spans="1:6" ht="12.75" customHeight="1">
      <c r="A146" s="41" t="s">
        <v>1421</v>
      </c>
      <c r="B146" s="41" t="s">
        <v>1421</v>
      </c>
      <c r="C146" s="4" t="s">
        <v>1146</v>
      </c>
      <c r="E146" s="81" t="s">
        <v>1410</v>
      </c>
      <c r="F146" s="81" t="s">
        <v>1422</v>
      </c>
    </row>
    <row r="147" spans="1:6" ht="12.75" customHeight="1">
      <c r="A147" s="41" t="s">
        <v>1423</v>
      </c>
      <c r="B147" s="41" t="s">
        <v>1423</v>
      </c>
      <c r="C147" s="4" t="s">
        <v>1146</v>
      </c>
      <c r="E147" s="81" t="s">
        <v>1096</v>
      </c>
      <c r="F147" s="81" t="s">
        <v>1424</v>
      </c>
    </row>
    <row r="148" spans="1:6" ht="12.75" customHeight="1">
      <c r="A148" s="41" t="s">
        <v>1425</v>
      </c>
      <c r="B148" s="41" t="s">
        <v>1425</v>
      </c>
      <c r="C148" s="4" t="s">
        <v>1146</v>
      </c>
      <c r="E148" s="81" t="s">
        <v>1096</v>
      </c>
      <c r="F148" s="81" t="s">
        <v>1426</v>
      </c>
    </row>
    <row r="149" spans="1:6" ht="12.75" customHeight="1">
      <c r="A149" s="41" t="s">
        <v>1427</v>
      </c>
      <c r="B149" s="41" t="s">
        <v>1427</v>
      </c>
      <c r="C149" s="4" t="s">
        <v>1146</v>
      </c>
      <c r="E149" s="81" t="s">
        <v>1410</v>
      </c>
      <c r="F149" s="81" t="s">
        <v>1428</v>
      </c>
    </row>
    <row r="150" spans="1:6" ht="12.75" customHeight="1">
      <c r="A150" s="41" t="s">
        <v>1429</v>
      </c>
      <c r="B150" s="41" t="s">
        <v>1429</v>
      </c>
      <c r="C150" s="4" t="s">
        <v>1146</v>
      </c>
      <c r="E150" s="81" t="s">
        <v>1263</v>
      </c>
      <c r="F150" s="81" t="s">
        <v>1430</v>
      </c>
    </row>
    <row r="151" spans="1:6" ht="12.75" customHeight="1">
      <c r="A151" s="41" t="s">
        <v>1431</v>
      </c>
      <c r="B151" s="41" t="s">
        <v>1431</v>
      </c>
      <c r="C151" s="4" t="s">
        <v>1146</v>
      </c>
      <c r="E151" s="81" t="s">
        <v>1263</v>
      </c>
      <c r="F151" s="81" t="s">
        <v>1432</v>
      </c>
    </row>
    <row r="152" spans="1:6" ht="12.75" customHeight="1">
      <c r="A152" s="41" t="s">
        <v>1433</v>
      </c>
      <c r="B152" s="41" t="s">
        <v>1433</v>
      </c>
      <c r="C152" s="4" t="s">
        <v>1146</v>
      </c>
      <c r="E152" s="81" t="s">
        <v>1263</v>
      </c>
      <c r="F152" s="81" t="s">
        <v>1434</v>
      </c>
    </row>
    <row r="153" spans="1:6" ht="12.75" customHeight="1">
      <c r="A153" s="41" t="s">
        <v>1435</v>
      </c>
      <c r="B153" s="41" t="s">
        <v>1435</v>
      </c>
      <c r="C153" s="4" t="s">
        <v>1146</v>
      </c>
      <c r="E153" s="81" t="s">
        <v>1263</v>
      </c>
      <c r="F153" s="81" t="s">
        <v>1436</v>
      </c>
    </row>
    <row r="154" spans="1:6" ht="12.75" customHeight="1">
      <c r="A154" s="41" t="s">
        <v>1437</v>
      </c>
      <c r="B154" s="41" t="s">
        <v>1437</v>
      </c>
      <c r="C154" s="4" t="s">
        <v>1146</v>
      </c>
      <c r="E154" s="81" t="s">
        <v>1410</v>
      </c>
      <c r="F154" s="81" t="s">
        <v>1438</v>
      </c>
    </row>
    <row r="155" spans="1:6" ht="12.75" customHeight="1">
      <c r="A155" s="41" t="s">
        <v>1439</v>
      </c>
      <c r="B155" s="41" t="s">
        <v>1439</v>
      </c>
      <c r="C155" s="4" t="s">
        <v>1146</v>
      </c>
      <c r="E155" s="81" t="s">
        <v>1410</v>
      </c>
      <c r="F155" s="81" t="s">
        <v>1440</v>
      </c>
    </row>
    <row r="156" spans="1:6" ht="12.75" customHeight="1">
      <c r="A156" s="41" t="s">
        <v>1441</v>
      </c>
      <c r="B156" s="41" t="s">
        <v>1441</v>
      </c>
      <c r="C156" s="4" t="s">
        <v>1146</v>
      </c>
      <c r="E156" s="81" t="s">
        <v>1410</v>
      </c>
      <c r="F156" s="81" t="s">
        <v>1442</v>
      </c>
    </row>
    <row r="157" spans="1:6" ht="12.75" customHeight="1">
      <c r="A157" s="41" t="s">
        <v>1443</v>
      </c>
      <c r="B157" s="41" t="s">
        <v>1443</v>
      </c>
      <c r="C157" s="4" t="s">
        <v>1146</v>
      </c>
      <c r="E157" s="81" t="s">
        <v>1410</v>
      </c>
      <c r="F157" s="81" t="s">
        <v>1444</v>
      </c>
    </row>
    <row r="158" spans="1:6" ht="12.75" customHeight="1">
      <c r="A158" s="41" t="s">
        <v>1445</v>
      </c>
      <c r="B158" s="41" t="s">
        <v>1445</v>
      </c>
      <c r="C158" s="4" t="s">
        <v>1146</v>
      </c>
      <c r="E158" s="81" t="s">
        <v>1410</v>
      </c>
      <c r="F158" s="81" t="s">
        <v>1446</v>
      </c>
    </row>
    <row r="159" spans="1:6" ht="12.75" customHeight="1">
      <c r="A159" s="41" t="s">
        <v>1447</v>
      </c>
      <c r="B159" s="41" t="s">
        <v>1447</v>
      </c>
      <c r="C159" s="4" t="s">
        <v>1146</v>
      </c>
      <c r="D159" t="s">
        <v>1095</v>
      </c>
      <c r="E159" s="81" t="s">
        <v>1096</v>
      </c>
      <c r="F159" s="81" t="s">
        <v>1448</v>
      </c>
    </row>
    <row r="160" spans="1:6" ht="12.75" customHeight="1">
      <c r="A160" s="41" t="s">
        <v>1449</v>
      </c>
      <c r="B160" s="41" t="s">
        <v>1449</v>
      </c>
      <c r="C160" s="4" t="s">
        <v>1146</v>
      </c>
      <c r="E160" s="81" t="s">
        <v>1263</v>
      </c>
      <c r="F160" s="81" t="s">
        <v>1450</v>
      </c>
    </row>
    <row r="161" spans="1:6" ht="12.75" customHeight="1">
      <c r="A161" s="41" t="s">
        <v>1451</v>
      </c>
      <c r="B161" s="4" t="s">
        <v>1451</v>
      </c>
      <c r="C161" s="4" t="s">
        <v>1146</v>
      </c>
      <c r="D161" t="s">
        <v>1452</v>
      </c>
      <c r="E161" s="81" t="s">
        <v>1096</v>
      </c>
      <c r="F161" t="s">
        <v>13</v>
      </c>
    </row>
  </sheetData>
  <phoneticPr fontId="5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C0BCDC1E-6052-4E48-9BAF-94A40814E7C2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Brown, David</cp:lastModifiedBy>
  <cp:revision/>
  <dcterms:created xsi:type="dcterms:W3CDTF">2021-01-01T16:39:53Z</dcterms:created>
  <dcterms:modified xsi:type="dcterms:W3CDTF">2024-11-12T23:00:24Z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2024-09-25T13:29:50Z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e8fbca3a-4a9d-42ab-80f3-7caccf5e8cf6</vt:lpwstr>
  </property>
  <property fmtid="{D5CDD505-2E9C-101B-9397-08002B2CF9AE}" pid="9" name="MSIP_Label_9d817c99-0b37-4a07-8277-96aa1f96b74b_ContentBits">
    <vt:lpwstr>0</vt:lpwstr>
  </property>
</Properties>
</file>