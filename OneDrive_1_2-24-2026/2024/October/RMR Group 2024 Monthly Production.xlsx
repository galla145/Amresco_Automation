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D123EFF5-A854-411C-BD43-2A25C474AA3A}" xr6:coauthVersionLast="47" xr6:coauthVersionMax="47" xr10:uidLastSave="{00000000-0000-0000-0000-000000000000}"/>
  <bookViews>
    <workbookView xWindow="-108" yWindow="-108" windowWidth="23256" windowHeight="12456" tabRatio="866" firstSheet="14" activeTab="14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9" l="1"/>
  <c r="G2" i="29" s="1"/>
  <c r="D4" i="29"/>
  <c r="G4" i="18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B4" i="34" a="1"/>
  <c r="B4" i="34" s="1"/>
  <c r="A4" i="34" a="1"/>
  <c r="A4" i="34" s="1"/>
  <c r="A1" i="34" a="1"/>
  <c r="A1" i="34" s="1"/>
  <c r="D4" i="30"/>
  <c r="D2" i="30" s="1"/>
  <c r="C4" i="30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H2" i="31" l="1"/>
  <c r="I2" i="31" s="1"/>
  <c r="G4" i="34"/>
  <c r="G2" i="34" s="1"/>
  <c r="H2" i="21"/>
  <c r="I2" i="21" s="1"/>
  <c r="E4" i="18"/>
  <c r="F4" i="18" s="1"/>
  <c r="H2" i="4"/>
  <c r="I2" i="4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<sst xmlns="http://schemas.openxmlformats.org/spreadsheetml/2006/main" count="240" uniqueCount="53">
  <si>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</si>
  <si>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</si>
  <si>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</si>
  <si>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</si>
  <si>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</si>
  <si>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</si>
  <si>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</si>
  <si>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</si>
  <si>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</si>
  <si>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</si>
  <si>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</si>
  <si>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</si>
  <si>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</si>
  <si>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</si>
  <si>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</si>
  <si>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</si>
  <si>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</si>
  <si>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</si>
  <si>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</si>
  <si>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</si>
  <si>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</si>
  <si>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</si>
  <si>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</si>
  <si>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</si>
  <si>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</si>
  <si>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</si>
  <si>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</si>
  <si>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</si>
  <si>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 xml:space="preserve">ia 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</si>
  <si>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</si>
  <si>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</si>
  <si>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</si>
  <si>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</si>
  <si>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</si>
  <si>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</si>
  <si>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</si>
  <si>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</si>
  <si>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</si>
  <si>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</si>
  <si>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</si>
  <si>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</si>
  <si>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</si>
  <si>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</si>
  <si>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</si>
  <si>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</si>
  <si>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</si>
  <si>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RMR Group</t>
  </si>
  <si>
    <t>Site DAS Name</t>
  </si>
  <si>
    <t>Update</t>
  </si>
  <si>
    <t>DAS</t>
  </si>
  <si>
    <t>MA - Newton RMR</t>
  </si>
  <si>
    <t>MA</t>
  </si>
  <si>
    <t>InAccess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</si>
</sst>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H4" sqref="H4"/>
      <selection activeCell="A6" sqref="A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RMR Group</v>
      </c>
      <c r="B1" s="43"/>
      <c r="C1" s="43"/>
      <c r="D1" s="44" t="s">
        <v>0</v>
      </c>
      <c r="E1" s="44"/>
      <c r="F1" s="44"/>
      <c r="G1" s="42" t="s">
        <v>1</v>
      </c>
      <c r="H1" s="42"/>
      <c r="I1" s="42"/>
    </row>
    <row r="2" spans="1:9" ht="19.5" customHeight="1">
      <c r="A2" s="45" t="s">
        <v>2</v>
      </c>
      <c r="B2" s="45"/>
      <c r="C2" s="6">
        <f>SUM(C4:C60)</f>
        <v>252261.302</v>
      </c>
      <c r="D2" s="6">
        <f>SUM(D4:D60)</f>
        <v>89295.66</v>
      </c>
      <c r="E2" s="6">
        <f>C2-D2</f>
        <v>162965.64199999999</v>
      </c>
      <c r="F2" s="7">
        <f>IFERROR(E2/D2, 0)</f>
        <v>1.8250118986745827</v>
      </c>
      <c r="G2" s="6">
        <f>SUM(G4:G60)</f>
        <v>0</v>
      </c>
      <c r="H2" s="8">
        <f>C2-G2</f>
        <v>252261.302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SUM('1st Qtr'!C4, '2nd Qtr'!C4, '3rd Qtr'!C4, '4th Qtr'!C4)</f>
        <v>252261.302</v>
      </c>
      <c r="D4" s="14">
        <f>SUM('1st Qtr'!D4, '2nd Qtr'!D4, '3rd Qtr'!D4, '4th Qtr'!D4)</f>
        <v>89295.66</v>
      </c>
      <c r="E4" s="14">
        <f>IF(AND(ISNUMBER(C4),ISNUMBER(D4)), C4-D4, "")</f>
        <v>162965.64199999999</v>
      </c>
      <c r="F4" s="15">
        <f>IFERROR(E4/D4, "")</f>
        <v>1.8250118986745827</v>
      </c>
      <c r="G4" s="16">
        <f>SUM('1st Qtr'!G4,'2nd Qtr'!G4,'3rd Qtr'!G4,'4th Qtr'!G4)</f>
        <v>0</v>
      </c>
      <c r="H4" s="16">
        <f>SUM('1st Qtr'!H4, '2nd Qtr'!H4, '3rd Qtr'!H4, '4th Qtr'!H4)</f>
        <v>252261.302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E4" sqref="E4"/>
      <selection activeCell="A16" sqref="A16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RMR Group</v>
      </c>
      <c r="B1" s="43"/>
      <c r="C1" s="43"/>
      <c r="D1" s="44" t="s">
        <v>10</v>
      </c>
      <c r="E1" s="44"/>
      <c r="F1" s="44"/>
      <c r="G1" s="42" t="s">
        <v>11</v>
      </c>
      <c r="H1" s="42"/>
      <c r="I1" s="42"/>
    </row>
    <row r="2" spans="1:9" ht="19.5" customHeight="1">
      <c r="A2" s="45" t="s">
        <v>2</v>
      </c>
      <c r="B2" s="45"/>
      <c r="C2" s="6">
        <f>SUM(C4:C68)</f>
        <v>46580</v>
      </c>
      <c r="D2" s="6">
        <f>SUM(D4:D68)</f>
        <v>52597</v>
      </c>
      <c r="E2" s="6">
        <f>C2-D2</f>
        <v>-6017</v>
      </c>
      <c r="F2" s="7">
        <f>IFERROR(E2/D2, 0)</f>
        <v>-0.11439815959085119</v>
      </c>
      <c r="G2" s="6">
        <f>SUM(G4:G68)</f>
        <v>0</v>
      </c>
      <c r="H2" s="8">
        <f>C2-G2</f>
        <v>46580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SUM(Jan!C4, Feb!C4, Mar!C4)</f>
        <v>46580</v>
      </c>
      <c r="D4" s="14">
        <f>SUM(Jan!D4, Feb!D4, Mar!D4)</f>
        <v>52597</v>
      </c>
      <c r="E4" s="14">
        <f>IF(AND(ISNUMBER(C4),ISNUMBER(D4)), C4-D4, "")</f>
        <v>-6017</v>
      </c>
      <c r="F4" s="15">
        <f>IFERROR(E4/D4, "")</f>
        <v>-0.11439815959085119</v>
      </c>
      <c r="G4" s="16">
        <f>SUM(Jan!G4, Feb!G4, Mar!G4)</f>
        <v>0</v>
      </c>
      <c r="H4" s="16">
        <f>SUM(Jan!H4, Feb!H4, Mar!H4)</f>
        <v>46580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RMR Group</v>
      </c>
      <c r="B1" s="43"/>
      <c r="C1" s="43"/>
      <c r="D1" s="44" t="s">
        <v>12</v>
      </c>
      <c r="E1" s="44"/>
      <c r="F1" s="44"/>
      <c r="G1" s="42" t="s">
        <v>13</v>
      </c>
      <c r="H1" s="42"/>
      <c r="I1" s="42"/>
    </row>
    <row r="2" spans="1:9" ht="19.5" customHeight="1">
      <c r="A2" s="45" t="s">
        <v>2</v>
      </c>
      <c r="B2" s="45"/>
      <c r="C2" s="6">
        <f>SUM(C4:C90)</f>
        <v>96722.85</v>
      </c>
      <c r="D2" s="6">
        <f>SUM(D4:D90)</f>
        <v>36698.659999999996</v>
      </c>
      <c r="E2" s="6">
        <f>C2-D2</f>
        <v>60024.19000000001</v>
      </c>
      <c r="F2" s="7">
        <f>IFERROR(E2/D2, 0)</f>
        <v>1.635596231579028</v>
      </c>
      <c r="G2" s="6">
        <f>SUM(G4:G90)</f>
        <v>0</v>
      </c>
      <c r="H2" s="8">
        <f>C2-G2</f>
        <v>96722.85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SUM(Apr!C4, May!C4, Jun!C4)</f>
        <v>96722.85</v>
      </c>
      <c r="D4" s="14">
        <f>SUM(Apr!D4, May!D4, Jun!D4)</f>
        <v>36698.659999999996</v>
      </c>
      <c r="E4" s="14">
        <f>IF(AND(ISNUMBER(C4),ISNUMBER(D4)), C4-D4, "")</f>
        <v>60024.19000000001</v>
      </c>
      <c r="F4" s="15">
        <f>IFERROR(E4/D4, "")</f>
        <v>1.635596231579028</v>
      </c>
      <c r="G4" s="16">
        <f>SUM(Apr!G4+May!G4+Jun!G4)</f>
        <v>0</v>
      </c>
      <c r="H4" s="16">
        <f>SUM(Apr!H4, May!H4, Jun!H4)</f>
        <v>96722.85</v>
      </c>
      <c r="I4" s="17" t="str">
        <f>IFERROR(H4/G4, "")</f>
        <v/>
      </c>
    </row>
    <row r="5" spans="1:9" ht="15.6">
      <c r="A5" s="19"/>
      <c r="B5" s="11"/>
      <c r="C5" s="12"/>
      <c r="D5" s="20"/>
      <c r="E5" s="20"/>
      <c r="F5" s="21"/>
      <c r="G5" s="22"/>
      <c r="H5" s="22"/>
      <c r="I5" s="21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G5" sqref="G5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RMR Group</v>
      </c>
      <c r="B1" s="43"/>
      <c r="C1" s="43"/>
      <c r="D1" s="44" t="s">
        <v>14</v>
      </c>
      <c r="E1" s="44"/>
      <c r="F1" s="44"/>
      <c r="G1" s="42" t="s">
        <v>15</v>
      </c>
      <c r="H1" s="42"/>
      <c r="I1" s="42"/>
    </row>
    <row r="2" spans="1:9" ht="19.5" customHeight="1">
      <c r="A2" s="45" t="s">
        <v>2</v>
      </c>
      <c r="B2" s="45"/>
      <c r="C2" s="6">
        <f>SUM(C4:C89)</f>
        <v>88482.5</v>
      </c>
      <c r="D2" s="6">
        <f>SUM(D4:D89)</f>
        <v>0</v>
      </c>
      <c r="E2" s="6">
        <f>C2-D2</f>
        <v>88482.5</v>
      </c>
      <c r="F2" s="7">
        <f>IFERROR(E2/D2, 0)</f>
        <v>0</v>
      </c>
      <c r="G2" s="6">
        <f>SUM(G4:G89)</f>
        <v>0</v>
      </c>
      <c r="H2" s="8">
        <f>C2-G2</f>
        <v>88482.5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SUM(Jul!C4, Aug!C4, Sep!C4)</f>
        <v>88482.5</v>
      </c>
      <c r="D4" s="14">
        <f>SUM(Jul!D4, Aug!D4, Sep!D4)</f>
        <v>0</v>
      </c>
      <c r="E4" s="14">
        <f>IF(AND(ISNUMBER(C4),ISNUMBER(D4)), C4-D4, "")</f>
        <v>88482.5</v>
      </c>
      <c r="F4" s="15" t="str">
        <f>IFERROR(E4/D4, "")</f>
        <v/>
      </c>
      <c r="G4" s="16">
        <f>SUM(Jul!G4, Aug!G4, Sep!G4)</f>
        <v>0</v>
      </c>
      <c r="H4" s="16">
        <f>SUM(Jul!H4, Aug!H4, Sep!H4)</f>
        <v>88482.5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E29" sqref="E29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RMR Group</v>
      </c>
      <c r="B1" s="43"/>
      <c r="C1" s="43"/>
      <c r="D1" s="44" t="s">
        <v>16</v>
      </c>
      <c r="E1" s="44"/>
      <c r="F1" s="44"/>
      <c r="G1" s="42" t="s">
        <v>17</v>
      </c>
      <c r="H1" s="42"/>
      <c r="I1" s="42"/>
    </row>
    <row r="2" spans="1:9" ht="19.5" customHeight="1">
      <c r="A2" s="45" t="s">
        <v>2</v>
      </c>
      <c r="B2" s="45"/>
      <c r="C2" s="6">
        <f>SUM(C4:C89)</f>
        <v>20475.952000000001</v>
      </c>
      <c r="D2" s="6">
        <f>SUM(D4:D89)</f>
        <v>0</v>
      </c>
      <c r="E2" s="6">
        <f>C2-D2</f>
        <v>20475.952000000001</v>
      </c>
      <c r="F2" s="7">
        <f>IFERROR(E2/D2, 0)</f>
        <v>0</v>
      </c>
      <c r="G2" s="6">
        <f>SUM(G4:G89)</f>
        <v>0</v>
      </c>
      <c r="H2" s="8">
        <f>C2-G2</f>
        <v>20475.952000000001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 - Newton RMR</v>
      </c>
      <c r="B4" s="10" t="str" cm="1">
        <f t="array" ref="B4">Sites[State]</f>
        <v>MA</v>
      </c>
      <c r="C4" s="26">
        <f>SUM(Oct!C4, Nov!C4, Dec!C4)</f>
        <v>20475.952000000001</v>
      </c>
      <c r="D4" s="14">
        <f>SUM(Oct!D4, Nov!D4, Dec!D4)</f>
        <v>0</v>
      </c>
      <c r="E4" s="14">
        <f>IF(AND(ISNUMBER(C4),ISNUMBER(D4)), C4-D4, "")</f>
        <v>20475.952000000001</v>
      </c>
      <c r="F4" s="15" t="str">
        <f>IFERROR(E4/D4, "")</f>
        <v/>
      </c>
      <c r="G4" s="16"/>
      <c r="H4" s="16">
        <f>SUM(Oct!H4, Nov!H4, Dec!H4)</f>
        <v>20475.952000000001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H17" sqref="A16:H17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18</v>
      </c>
      <c r="E1" s="44"/>
      <c r="F1" s="44"/>
      <c r="G1" s="42" t="s">
        <v>19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SUM(C4:C89)</f>
        <v>5897</v>
      </c>
      <c r="D2" s="6">
        <f>SUM(D4:D89)</f>
        <v>11503</v>
      </c>
      <c r="E2" s="6">
        <f>C2-D2</f>
        <v>-5606</v>
      </c>
      <c r="F2" s="7">
        <f>IFERROR(E2/D2, 0)</f>
        <v>-0.48735112579327133</v>
      </c>
      <c r="G2" s="6">
        <f>SUM(G4:G89)</f>
        <v>0</v>
      </c>
      <c r="H2" s="8">
        <f>C2-G2</f>
        <v>5897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5897</v>
      </c>
      <c r="D4" s="14">
        <v>11503</v>
      </c>
      <c r="E4" s="14">
        <f>IF(AND(ISNUMBER(C4),ISNUMBER(D4)), C4-D4, "")</f>
        <v>-5606</v>
      </c>
      <c r="F4" s="15">
        <f>IFERROR(E4/D4, "")</f>
        <v>-0.48735112579327133</v>
      </c>
      <c r="G4" s="16">
        <v>0</v>
      </c>
      <c r="H4" s="16">
        <f>IF(AND(ISNUMBER(C4),ISNUMBER(G4)), C4-G4, "")</f>
        <v>5897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3" activePane="bottomLeft" state="frozen"/>
      <selection pane="bottomLeft" activeCell="J35" sqref="A31:J35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22</v>
      </c>
      <c r="E1" s="44"/>
      <c r="F1" s="44"/>
      <c r="G1" s="42" t="s">
        <v>23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SUM(C4:C85)</f>
        <v>18044</v>
      </c>
      <c r="D2" s="6">
        <f>SUM(D4:D85)</f>
        <v>18309</v>
      </c>
      <c r="E2" s="6">
        <f>C2-D2</f>
        <v>-265</v>
      </c>
      <c r="F2" s="7">
        <f>IFERROR(E2/D2, 0)</f>
        <v>-1.4473756076246654E-2</v>
      </c>
      <c r="G2" s="6">
        <f>SUM(G4:G85)</f>
        <v>0</v>
      </c>
      <c r="H2" s="8">
        <f>C2-G2</f>
        <v>18044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18044</v>
      </c>
      <c r="D4" s="14">
        <v>18309</v>
      </c>
      <c r="E4" s="14">
        <f>IF(AND(ISNUMBER(C4),ISNUMBER(D4)), C4-D4, "")</f>
        <v>-265</v>
      </c>
      <c r="F4" s="15">
        <f>IFERROR(E4/D4, "")</f>
        <v>-1.4473756076246654E-2</v>
      </c>
      <c r="G4" s="16">
        <v>0</v>
      </c>
      <c r="H4" s="16">
        <f>IF(AND(ISNUMBER(C4),ISNUMBER(G4)), C4-G4, "")</f>
        <v>18044</v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24</v>
      </c>
      <c r="E1" s="44"/>
      <c r="F1" s="44"/>
      <c r="G1" s="42" t="s">
        <v>25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22639</v>
      </c>
      <c r="D2" s="6">
        <f>SUM(D4:D90)</f>
        <v>22785</v>
      </c>
      <c r="E2" s="6">
        <f>C2-D2</f>
        <v>-146</v>
      </c>
      <c r="F2" s="7">
        <f>IFERROR(E2/D2, 0)</f>
        <v>-6.4077243800746107E-3</v>
      </c>
      <c r="G2" s="6">
        <f>SUM(G4:G90)</f>
        <v>0</v>
      </c>
      <c r="H2" s="8">
        <f>C2-G2</f>
        <v>22639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22639</v>
      </c>
      <c r="D4" s="14">
        <v>22785</v>
      </c>
      <c r="E4" s="14">
        <f>IF(AND(ISNUMBER(C4),ISNUMBER(D4)), C4-D4, "")</f>
        <v>-146</v>
      </c>
      <c r="F4" s="15">
        <f>IFERROR(E4/D4, "")</f>
        <v>-6.4077243800746107E-3</v>
      </c>
      <c r="G4" s="16">
        <v>0</v>
      </c>
      <c r="H4" s="16">
        <f>IF(AND(ISNUMBER(C4),ISNUMBER(G4)), C4-G4, "")</f>
        <v>22639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F12" sqref="F12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26</v>
      </c>
      <c r="E1" s="44"/>
      <c r="F1" s="44"/>
      <c r="G1" s="42" t="s">
        <v>27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28039.7</v>
      </c>
      <c r="D2" s="6">
        <f>SUM(D4:D90)</f>
        <v>23414.6</v>
      </c>
      <c r="E2" s="6">
        <f>C2-D2</f>
        <v>4625.1000000000022</v>
      </c>
      <c r="F2" s="7">
        <f>IFERROR(E2/D2, 0)</f>
        <v>0.19753060056545926</v>
      </c>
      <c r="G2" s="6">
        <f>SUM(G4:G90)</f>
        <v>0</v>
      </c>
      <c r="H2" s="8">
        <f>C2-G2</f>
        <v>28039.7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28039.7</v>
      </c>
      <c r="D4" s="14">
        <v>23414.6</v>
      </c>
      <c r="E4" s="14">
        <f>IF(AND(ISNUMBER(C4),ISNUMBER(D4)), C4-D4, "")</f>
        <v>4625.1000000000022</v>
      </c>
      <c r="F4" s="15">
        <f>IFERROR(E4/D4, "")</f>
        <v>0.19753060056545926</v>
      </c>
      <c r="G4" s="16">
        <v>0</v>
      </c>
      <c r="H4" s="16">
        <f>IF(AND(ISNUMBER(C4),ISNUMBER(G4)), C4-G4, "")</f>
        <v>28039.7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 t="s">
        <v>28</v>
      </c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C12" sqref="C12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29</v>
      </c>
      <c r="E1" s="44"/>
      <c r="F1" s="44"/>
      <c r="G1" s="42" t="s">
        <v>30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32570.9</v>
      </c>
      <c r="D2" s="6">
        <f>SUM(D4:D90)</f>
        <v>13284.06</v>
      </c>
      <c r="E2" s="6">
        <f>C2-D2</f>
        <v>19286.840000000004</v>
      </c>
      <c r="F2" s="7">
        <f>IFERROR(E2/D2, 0)</f>
        <v>1.4518784166888741</v>
      </c>
      <c r="G2" s="6">
        <f>SUM(G4:G90)</f>
        <v>0</v>
      </c>
      <c r="H2" s="8">
        <f>C2-G2</f>
        <v>32570.9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32570.9</v>
      </c>
      <c r="D4" s="14">
        <v>13284.06</v>
      </c>
      <c r="E4" s="14">
        <f>IF(AND(ISNUMBER(C4),ISNUMBER(D4)), C4-D4, "")</f>
        <v>19286.840000000004</v>
      </c>
      <c r="F4" s="15">
        <f>IFERROR(E4/D4, "")</f>
        <v>1.4518784166888741</v>
      </c>
      <c r="G4" s="16">
        <v>0</v>
      </c>
      <c r="H4" s="16">
        <f>IF(AND(ISNUMBER(C4),ISNUMBER(G4)), C4-G4, "")</f>
        <v>32570.9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workbookViewId="0">
      <pane ySplit="2" topLeftCell="A3" activePane="bottomLeft" state="frozen"/>
      <selection pane="bottomLeft" activeCell="I31" sqref="A27:I31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31</v>
      </c>
      <c r="E1" s="44"/>
      <c r="F1" s="44"/>
      <c r="G1" s="42" t="s">
        <v>32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36112.25</v>
      </c>
      <c r="D2" s="6">
        <f>SUM(D4:D90)</f>
        <v>0</v>
      </c>
      <c r="E2" s="6">
        <f>C2-D2</f>
        <v>36112.25</v>
      </c>
      <c r="F2" s="7">
        <f>IFERROR(E2/D2, 0)</f>
        <v>0</v>
      </c>
      <c r="G2" s="6">
        <f>SUM(G4:G90)</f>
        <v>0</v>
      </c>
      <c r="H2" s="8">
        <f>C2-G2</f>
        <v>36112.25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36112.25</v>
      </c>
      <c r="D4" s="14"/>
      <c r="E4" s="14" t="str">
        <f>IF(AND(ISNUMBER(C4),ISNUMBER(D4)), C4-D4, "")</f>
        <v/>
      </c>
      <c r="F4" s="15" t="str">
        <f>IFERROR(E4/D4, "")</f>
        <v/>
      </c>
      <c r="G4" s="16">
        <v>0</v>
      </c>
      <c r="H4" s="16">
        <f>IF(AND(ISNUMBER(C4),ISNUMBER(G4)), C4-G4, "")</f>
        <v>36112.25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J22" sqref="A21:J22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33</v>
      </c>
      <c r="E1" s="44"/>
      <c r="F1" s="44"/>
      <c r="G1" s="42" t="s">
        <v>34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33200.6</v>
      </c>
      <c r="D2" s="6">
        <f>SUM(D4:D90)</f>
        <v>0</v>
      </c>
      <c r="E2" s="6">
        <f>C2-D2</f>
        <v>33200.6</v>
      </c>
      <c r="F2" s="7">
        <f>IFERROR(E2/D2, 0)</f>
        <v>0</v>
      </c>
      <c r="G2" s="6">
        <f>SUM(G4:G90)</f>
        <v>0</v>
      </c>
      <c r="H2" s="8">
        <f>C2-G2</f>
        <v>33200.6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33200.6</v>
      </c>
      <c r="D4" s="14"/>
      <c r="E4" s="14" t="str">
        <f>IF(AND(ISNUMBER(C4),ISNUMBER(D4)), C4-D4, "")</f>
        <v/>
      </c>
      <c r="F4" s="15" t="str">
        <f>IFERROR(E4/D4, "")</f>
        <v/>
      </c>
      <c r="G4" s="16">
        <v>0</v>
      </c>
      <c r="H4" s="16">
        <f>IF(AND(ISNUMBER(C4),ISNUMBER(G4)), C4-G4, "")</f>
        <v>33200.6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A3" activePane="bottomLeft" state="frozen"/>
      <selection pane="bottomLeft" activeCell="G13" sqref="G13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35</v>
      </c>
      <c r="E1" s="44"/>
      <c r="F1" s="44"/>
      <c r="G1" s="42" t="s">
        <v>36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SUM(C4:C30)</f>
        <v>30145.092000000001</v>
      </c>
      <c r="D2" s="6">
        <f>SUM(D4:D30)</f>
        <v>0</v>
      </c>
      <c r="E2" s="6">
        <f>C2-D2</f>
        <v>30145.092000000001</v>
      </c>
      <c r="F2" s="7">
        <f>IFERROR(E2/D2, 0)</f>
        <v>0</v>
      </c>
      <c r="G2" s="6">
        <f>SUM(G4:G30)</f>
        <v>0</v>
      </c>
      <c r="H2" s="8">
        <f>C2-G2</f>
        <v>30145.092000000001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30145.092000000001</v>
      </c>
      <c r="D4" s="14">
        <v>0</v>
      </c>
      <c r="E4" s="14">
        <f>IF(AND(ISNUMBER(C4),ISNUMBER(D4)), C4-D4, "")</f>
        <v>30145.092000000001</v>
      </c>
      <c r="F4" s="15" t="str">
        <f>IFERROR(E4/D4, "")</f>
        <v/>
      </c>
      <c r="G4" s="16">
        <v>0</v>
      </c>
      <c r="H4" s="16">
        <f>IF(AND(ISNUMBER(C4),ISNUMBER(G4)), C4-G4, "")</f>
        <v>30145.092000000001</v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J21" sqref="A18:J21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37</v>
      </c>
      <c r="E1" s="44"/>
      <c r="F1" s="44"/>
      <c r="G1" s="42" t="s">
        <v>38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25136.808000000001</v>
      </c>
      <c r="D2" s="6">
        <f>SUM(D4:D90)</f>
        <v>0</v>
      </c>
      <c r="E2" s="6">
        <f>C2-D2</f>
        <v>25136.808000000001</v>
      </c>
      <c r="F2" s="7">
        <f>IFERROR(E2/D2, 0)</f>
        <v>0</v>
      </c>
      <c r="G2" s="6">
        <f>SUM(G4:G90)</f>
        <v>0</v>
      </c>
      <c r="H2" s="8">
        <f>C2-G2</f>
        <v>25136.808000000001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25136.808000000001</v>
      </c>
      <c r="D4" s="14">
        <v>0</v>
      </c>
      <c r="E4" s="14">
        <f>IF(AND(ISNUMBER(C4),ISNUMBER(D4)), C4-D4, "")</f>
        <v>25136.808000000001</v>
      </c>
      <c r="F4" s="15" t="str">
        <f>IFERROR(E4/D4, "")</f>
        <v/>
      </c>
      <c r="G4" s="16">
        <v>0</v>
      </c>
      <c r="H4" s="16">
        <f>IF(AND(ISNUMBER(C4),ISNUMBER(G4)), C4-G4, "")</f>
        <v>25136.808000000001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tabSelected="1" workbookViewId="0">
      <pane ySplit="2" topLeftCell="A3" activePane="bottomLeft" state="frozen"/>
      <selection pane="bottomLeft" activeCell="G9" sqref="G9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39</v>
      </c>
      <c r="E1" s="44"/>
      <c r="F1" s="44"/>
      <c r="G1" s="42" t="s">
        <v>40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20475.952000000001</v>
      </c>
      <c r="D2" s="6">
        <f>SUM(D4:D90)</f>
        <v>0</v>
      </c>
      <c r="E2" s="6">
        <f>C2-D2</f>
        <v>20475.952000000001</v>
      </c>
      <c r="F2" s="7">
        <f>IFERROR(E2/D2, 0)</f>
        <v>0</v>
      </c>
      <c r="G2" s="6">
        <f>SUM(G4:G90)</f>
        <v>0</v>
      </c>
      <c r="H2" s="8">
        <f>C2-G2</f>
        <v>20475.952000000001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>
        <v>20475.952000000001</v>
      </c>
      <c r="D4" s="14">
        <v>0</v>
      </c>
      <c r="E4" s="14">
        <f>IF(AND(ISNUMBER(C4),ISNUMBER(D4)), C4-D4, "")</f>
        <v>20475.952000000001</v>
      </c>
      <c r="F4" s="15" t="str">
        <f>IFERROR(E4/D4, "")</f>
        <v/>
      </c>
      <c r="G4" s="16">
        <v>0</v>
      </c>
      <c r="H4" s="16">
        <f>IF(AND(ISNUMBER(C4),ISNUMBER(G4)), C4-G4, "")</f>
        <v>20475.952000000001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41</v>
      </c>
      <c r="E1" s="44"/>
      <c r="F1" s="44"/>
      <c r="G1" s="42" t="s">
        <v>42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RMR Group</v>
      </c>
      <c r="B1" s="43"/>
      <c r="C1" s="43"/>
      <c r="D1" s="44" t="s">
        <v>43</v>
      </c>
      <c r="E1" s="44"/>
      <c r="F1" s="44"/>
      <c r="G1" s="42" t="s">
        <v>44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 - Newton RMR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E14" sqref="E14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45</v>
      </c>
      <c r="B1" t="s">
        <v>46</v>
      </c>
    </row>
    <row r="3" spans="1:7" ht="13.15">
      <c r="A3" t="s">
        <v>47</v>
      </c>
      <c r="B3" t="s">
        <v>3</v>
      </c>
      <c r="C3" t="s">
        <v>4</v>
      </c>
      <c r="D3" t="s">
        <v>48</v>
      </c>
      <c r="E3" s="2" t="s">
        <v>49</v>
      </c>
    </row>
    <row r="4" spans="1:7" ht="14.45">
      <c r="A4" t="s">
        <v>50</v>
      </c>
      <c r="B4" t="s">
        <v>50</v>
      </c>
      <c r="C4" s="4" t="s">
        <v>51</v>
      </c>
      <c r="E4" t="s">
        <v>52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E3716282-BFD2-4ED2-BA47-BFA1123827F0}"/>
</file>

<file path=customXml/itemProps2.xml><?xml version="1.0" encoding="utf-8"?>
<ds:datastoreItem xmlns:ds="http://schemas.openxmlformats.org/officeDocument/2006/customXml" ds:itemID="{F6B2B1A1-1C4B-4AC9-9A7D-7A102DD1C942}"/>
</file>

<file path=customXml/itemProps3.xml><?xml version="1.0" encoding="utf-8"?>
<ds:datastoreItem xmlns:ds="http://schemas.openxmlformats.org/officeDocument/2006/customXml" ds:itemID="{CB52044A-5C0B-44A2-99D0-C1C315EC302D}"/>
</file>

<file path=customXml/itemProps4.xml><?xml version="1.0" encoding="utf-8"?>
<ds:datastoreItem xmlns:ds="http://schemas.openxmlformats.org/officeDocument/2006/customXml" ds:itemID="{7946C510-7D04-49D8-9B25-EEC04582A1CA}"/>
</file>

<file path=customXml/itemProps5.xml><?xml version="1.0" encoding="utf-8"?>
<ds:datastoreItem xmlns:ds="http://schemas.openxmlformats.org/officeDocument/2006/customXml" ds:itemID="{66B09F59-6532-46F8-924A-9A02417E070D}"/>
</file>

<file path=customXml/itemProps6.xml><?xml version="1.0" encoding="utf-8"?>
<ds:datastoreItem xmlns:ds="http://schemas.openxmlformats.org/officeDocument/2006/customXml" ds:itemID="{D3A7101F-9A85-4235-8B03-415370C100B2}"/>
</file>

<file path=customXml/itemProps7.xml><?xml version="1.0" encoding="utf-8"?>
<ds:datastoreItem xmlns:ds="http://schemas.openxmlformats.org/officeDocument/2006/customXml" ds:itemID="{1954BBA4-0359-438C-B0EC-A756015F7C02}"/>
</file>

<file path=customXml/itemProps8.xml><?xml version="1.0" encoding="utf-8"?>
<ds:datastoreItem xmlns:ds="http://schemas.openxmlformats.org/officeDocument/2006/customXml" ds:itemID="{0389C43E-394D-44C0-87DC-4780FCFCFB40}"/>
</file>

<file path=customXml/itemProps9.xml><?xml version="1.0" encoding="utf-8"?>
<ds:datastoreItem xmlns:ds="http://schemas.openxmlformats.org/officeDocument/2006/customXml" ds:itemID="{F12EFA50-0068-4A8C-85A0-F1B26389EBC3}"/>
</file>

<file path=customXml/itemProps10.xml><?xml version="1.0" encoding="utf-8"?>
<ds:datastoreItem xmlns:ds="http://schemas.openxmlformats.org/officeDocument/2006/customXml" ds:itemID="{C0BCDC1E-6052-4E48-9BAF-94A40814E7C2}"/>
</file>

<file path=customXml/itemProps11.xml><?xml version="1.0" encoding="utf-8"?>
<ds:datastoreItem xmlns:ds="http://schemas.openxmlformats.org/officeDocument/2006/customXml" ds:itemID="{3AEAA9D8-2182-46BA-A58E-96C72DDA1C54}"/>
</file>

<file path=customXml/itemProps12.xml><?xml version="1.0" encoding="utf-8"?>
<ds:datastoreItem xmlns:ds="http://schemas.openxmlformats.org/officeDocument/2006/customXml" ds:itemID="{98A113BB-8B7A-453C-8BD4-8EFC67FC2D3F}"/>
</file>

<file path=customXml/itemProps13.xml><?xml version="1.0" encoding="utf-8"?>
<ds:datastoreItem xmlns:ds="http://schemas.openxmlformats.org/officeDocument/2006/customXml" ds:itemID="{89CF5C07-45EB-4100-9AFB-2C6AF77FA787}"/>
</file>

<file path=customXml/itemProps14.xml><?xml version="1.0" encoding="utf-8"?>
<ds:datastoreItem xmlns:ds="http://schemas.openxmlformats.org/officeDocument/2006/customXml" ds:itemID="{BF5C6359-7763-4C37-8EAF-2BC4698CB285}"/>
</file>

<file path=customXml/itemProps15.xml><?xml version="1.0" encoding="utf-8"?>
<ds:datastoreItem xmlns:ds="http://schemas.openxmlformats.org/officeDocument/2006/customXml" ds:itemID="{14966E4F-347B-477B-B74C-9DAC05405806}"/>
</file>

<file path=customXml/itemProps16.xml><?xml version="1.0" encoding="utf-8"?>
<ds:datastoreItem xmlns:ds="http://schemas.openxmlformats.org/officeDocument/2006/customXml" ds:itemID="{8D732231-4216-4543-A665-18A2886B0EB7}"/>
</file>

<file path=customXml/itemProps17.xml><?xml version="1.0" encoding="utf-8"?>
<ds:datastoreItem xmlns:ds="http://schemas.openxmlformats.org/officeDocument/2006/customXml" ds:itemID="{BE26B669-A686-459C-A5E9-FEC3409C4C81}"/>
</file>

<file path=customXml/itemProps18.xml><?xml version="1.0" encoding="utf-8"?>
<ds:datastoreItem xmlns:ds="http://schemas.openxmlformats.org/officeDocument/2006/customXml" ds:itemID="{E20E8303-6A67-485C-B6F4-303542CC295C}"/>
</file>

<file path=customXml/itemProps19.xml><?xml version="1.0" encoding="utf-8"?>
<ds:datastoreItem xmlns:ds="http://schemas.openxmlformats.org/officeDocument/2006/customXml" ds:itemID="{2BC74AAC-D69B-4AF1-9649-B21EF3C1C463}"/>
</file>

<file path=customXml/itemProps20.xml><?xml version="1.0" encoding="utf-8"?>
<ds:datastoreItem xmlns:ds="http://schemas.openxmlformats.org/officeDocument/2006/customXml" ds:itemID="{078388C9-06F9-42F4-B857-EF76B5CAF1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Yatin Bhoite [Libsys]</cp:lastModifiedBy>
  <cp:revision/>
  <dcterms:created xsi:type="dcterms:W3CDTF">2021-01-01T16:39:53Z</dcterms:created>
  <dcterms:modified xsi:type="dcterms:W3CDTF">2024-12-11T13:43:42Z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2024-10-17T18:52:10Z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1c10930e-1e2e-4c4a-9480-e26ec1708da1</vt:lpwstr>
  </property>
  <property fmtid="{D5CDD505-2E9C-101B-9397-08002B2CF9AE}" pid="9" name="MSIP_Label_9d817c99-0b37-4a07-8277-96aa1f96b74b_ContentBits">
    <vt:lpwstr>0</vt:lpwstr>
  </property>
</Properties>
</file>