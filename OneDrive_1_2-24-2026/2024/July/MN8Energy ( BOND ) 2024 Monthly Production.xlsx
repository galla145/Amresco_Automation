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9F5FE74F-F077-4337-84A5-AB2429CB006D}" xr6:coauthVersionLast="47" xr6:coauthVersionMax="47" xr10:uidLastSave="{BBD8D679-5729-48D6-A8BF-8C2050EBDDEA}"/>
  <bookViews>
    <workbookView xWindow="-98" yWindow="-98" windowWidth="21795" windowHeight="12975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12" i="18"/>
  <c r="G13" i="18"/>
  <c r="G14" i="18"/>
  <c r="G15" i="18"/>
  <c r="G16" i="18"/>
  <c r="G4" i="18"/>
  <c r="G4" i="1"/>
  <c r="H10" i="4"/>
  <c r="I10" i="4" s="1"/>
  <c r="H11" i="4"/>
  <c r="I11" i="4" s="1"/>
  <c r="C16" i="30"/>
  <c r="E16" i="30" s="1"/>
  <c r="F16" i="30" s="1"/>
  <c r="D16" i="30"/>
  <c r="C16" i="29"/>
  <c r="D16" i="29"/>
  <c r="E16" i="29" s="1"/>
  <c r="F16" i="29" s="1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9" i="1"/>
  <c r="G9" i="34" s="1"/>
  <c r="G10" i="1"/>
  <c r="G11" i="1"/>
  <c r="G12" i="1"/>
  <c r="G13" i="1"/>
  <c r="G14" i="1"/>
  <c r="G15" i="1"/>
  <c r="G15" i="34" s="1"/>
  <c r="G5" i="1"/>
  <c r="G4" i="34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8" i="34" s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14" i="34" l="1"/>
  <c r="E12" i="29"/>
  <c r="F12" i="29" s="1"/>
  <c r="D11" i="34"/>
  <c r="E9" i="29"/>
  <c r="F9" i="29" s="1"/>
  <c r="E5" i="29"/>
  <c r="F5" i="29" s="1"/>
  <c r="G8" i="34"/>
  <c r="E6" i="18"/>
  <c r="F6" i="18" s="1"/>
  <c r="D12" i="34"/>
  <c r="G10" i="34"/>
  <c r="E9" i="18"/>
  <c r="F9" i="18" s="1"/>
  <c r="C9" i="34"/>
  <c r="G16" i="34"/>
  <c r="G14" i="34"/>
  <c r="D14" i="34"/>
  <c r="E14" i="34" s="1"/>
  <c r="F14" i="34" s="1"/>
  <c r="G13" i="34"/>
  <c r="E13" i="18"/>
  <c r="F13" i="18" s="1"/>
  <c r="G12" i="34"/>
  <c r="G11" i="34"/>
  <c r="E11" i="18"/>
  <c r="F11" i="18" s="1"/>
  <c r="D10" i="34"/>
  <c r="E10" i="18"/>
  <c r="F10" i="18" s="1"/>
  <c r="D8" i="34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H16" i="34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H9" i="34"/>
  <c r="I9" i="34" s="1"/>
  <c r="H10" i="34"/>
  <c r="I10" i="34" s="1"/>
  <c r="H11" i="34"/>
  <c r="H12" i="34"/>
  <c r="I12" i="34" s="1"/>
  <c r="H13" i="34"/>
  <c r="H14" i="34"/>
  <c r="I14" i="34" s="1"/>
  <c r="H15" i="34"/>
  <c r="I15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6" i="34" l="1"/>
  <c r="I13" i="34"/>
  <c r="E13" i="34"/>
  <c r="F13" i="34" s="1"/>
  <c r="E12" i="34"/>
  <c r="F12" i="34" s="1"/>
  <c r="E7" i="34"/>
  <c r="F7" i="34" s="1"/>
  <c r="I5" i="34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<sst xmlns="http://schemas.openxmlformats.org/spreadsheetml/2006/main" count="437" uniqueCount="200">
  <si>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</si>
  <si>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</si>
  <si>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</si>
  <si>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</si>
  <si>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</si>
  <si>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</si>
  <si>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</si>
  <si>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</si>
  <si>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</si>
  <si>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</si>
  <si>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</si>
  <si>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</si>
  <si>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</si>
  <si>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</si>
  <si>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</si>
  <si>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</si>
  <si>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</si>
  <si>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</si>
  <si>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</si>
  <si>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</si>
  <si>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</si>
  <si>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</si>
  <si>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</si>
  <si>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</si>
  <si>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</si>
  <si>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</si>
  <si>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</si>
  <si>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</si>
  <si>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</si>
  <si>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</si>
  <si>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</si>
  <si>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</si>
  <si>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</si>
  <si>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</si>
  <si>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</si>
  <si>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</si>
  <si>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</si>
  <si>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</si>
  <si>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</si>
  <si>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</si>
  <si>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</si>
  <si>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</si>
  <si>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</si>
  <si>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</si>
  <si>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</si>
  <si>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</si>
  <si>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</si>
  <si>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</si>
  <si>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</si>
  <si>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</si>
  <si>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</si>
  <si>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</si>
  <si>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</si>
  <si>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</si>
  <si>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</si>
  <si>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</si>
  <si>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</si>
  <si>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</si>
  <si>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</si>
  <si>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</si>
  <si>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</si>
  <si>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</si>
  <si>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</si>
  <si>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</si>
  <si>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</si>
  <si>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</si>
  <si>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</si>
  <si>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</si>
  <si>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</si>
  <si>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</si>
  <si>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</si>
  <si>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</si>
  <si>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</si>
  <si>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</si>
  <si>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</si>
  <si>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</si>
  <si>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</si>
  <si>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</si>
  <si>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</si>
  <si>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</si>
  <si>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</si>
  <si>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</si>
  <si>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</si>
  <si>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</si>
  <si>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</si>
  <si>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</si>
  <si>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</si>
  <si>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</si>
  <si>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</si>
  <si>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</si>
  <si>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</si>
  <si>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</si>
  <si>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</si>
  <si>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</si>
  <si>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</si>
  <si>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</si>
  <si>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</si>
  <si>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</si>
  <si>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</si>
  <si>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</si>
  <si>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</si>
  <si>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</si>
  <si>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</si>
  <si>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</si>
  <si>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</si>
  <si>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</si>
  <si>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</si>
  <si>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</si>
  <si>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</si>
  <si>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</si>
  <si>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</si>
  <si>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</si>
  <si>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</si>
  <si>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</si>
  <si>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</si>
  <si>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</si>
  <si>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</si>
  <si>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1. Inverter 10.2A  was offline from 05/25 to 06/02
2. Inverter 9.2B was offline from 06/06 to whole month
3. Inverter 6.2C tripped offline at 9:15am 0n 06/02 and back online at 13:00 on 06/03</t>
  </si>
  <si>
    <t>1. SR085153
2. SR085698
3. SR085422</t>
  </si>
  <si>
    <t>1. Inverter 6.5 has not started on 06/01 and was offline for whole month
2. Inverter 4.1 was offline from 05/26 and back online at 13:00 on 06/12
3. Inverter 5.10 was offline from 05/26 and back online at 13:00 on 06/12
4. Inverter 8.7 was offline from 04/21 and back online at 13:00 on 06/12
5. Site tripped offline at 20:26 on 06/26 and back online at 6am on 06/27</t>
  </si>
  <si>
    <t>1. SR085319
2. SR085165
3. SR085080
4. SR083611, SR085080
5. SR087011</t>
  </si>
  <si>
    <t>1. Inverter 14 tripped offline at 12:45pm on 05/31 and back online at 11am on 06/05
2.  Inverter 26 tripped offline at 14:00 on 05/29 and back online at 11am on 06/05; again tripped offline at 11:34am on 06/07 and back online on 06/13
3. Inverter 13 tripped offline at 11:30am on 05/31 and back online at 11;30am on 06/05
4. Inverter 15 was offline from 06/06
5. Site was offline from 13:00 of 06/12 to 7:30am of 06/13
6. Site was offline from 09:00 to 14:00 on 06/24
7. Inverters 8 &amp; 47 tripped offline at 13:00 on 06/14 and back online at 9am on 06/17</t>
  </si>
  <si>
    <t>1. SR085365
2. SR085290, SR085839
3. SR085364
4. SR085705
5. SR086107
6. SR086849
7. SR086248</t>
  </si>
  <si>
    <t>1.Site was taken offline from 9:45am to 10:20am for MV inspection on 06/03</t>
  </si>
  <si>
    <t>1. Inverters 139, 140 and 141 underproducing since 5/28 and resolved on 06/14
2. Inverter 115 was offlilne from 06/02 to 06/10 and again offline from 06/12 to 06/27 (till 13:00)
3. Inverter 40 tripped offline at 12pm on 05/31 and back online on 06/04 at 13:00
4. Inverter 42 tripped offline at 12pm on 06/07 and back online on 06/11 at 12pm</t>
  </si>
  <si>
    <t>1. SR086215
2. SR083436, SR086097
3. SR085387
4. SR085805</t>
  </si>
  <si>
    <t>1. Inverter 159 was offline for whole month
2. Inverter 82 tripped offline at 16:00 on 06/04 and was offline for whole month
3. Inverter 162 was offline since 6/20
4. Inverter 179 was offline from 06/13 to 11pm of 06/26
5. Inverter 189 was offline from 06/13 EOD to 9am of 07/03</t>
  </si>
  <si>
    <t>1. SR085403, SR086977
2. SR085562, SR086978
3. SR086905, SR087239, SR087346
4. SR086156
5. SR086177</t>
  </si>
  <si>
    <t>1. Inverter 100A tripped offline at 13:15 on 06/22 and was offline for whole month
2. Inverter 72B tripped offline at 11:30 on 05/22 and was back online on 07/03
3. Inverter 75B tripped offline at 15:00 on 06/20 and back online at 8am on 06/28
4. Inverter 93B was offline from 06/13 and was RMA'd</t>
  </si>
  <si>
    <t>1. SR086979
2. SR084982, SR087079
3. SR086845
4. SR086243</t>
  </si>
  <si>
    <t>1. Inverter 8C was offline on 06/23, 06/24 &amp; 06/27</t>
  </si>
  <si>
    <t>1. SR086858</t>
  </si>
  <si>
    <t xml:space="preserve">1. Inverter 42 tripped offline at 12:15pm on 06/06 and back online on 06/12 </t>
  </si>
  <si>
    <t>1. SR085724</t>
  </si>
  <si>
    <t>1. Inverter 4A was offline from 15:00 of 06/18 to 10am of 06/26
2.  Inverter 14A was offline throughout the month</t>
  </si>
  <si>
    <t xml:space="preserve">1. SR086456
2. SR087080, SR086309, SR083462, </t>
  </si>
  <si>
    <t>July Actual v. Expected</t>
  </si>
  <si>
    <t>July Actual v. Forecasted</t>
  </si>
  <si>
    <t>1.Inverter 9.2B was offline from 06/06
2. Inverter 3.1B is offline on 07/02 and back online  at 12:00 on 07/03
3.Site tripped offline at 17:45 on 07/11 and back online at 07:30 on 07/12</t>
  </si>
  <si>
    <t xml:space="preserve">1.SR085698
2.SR087310
3.SR087601	</t>
  </si>
  <si>
    <t>1.Inverter 3.1 is offline from 07/03 and back online at 06:00 on 07/13
2.Inverter 6.1 started late at 12:00 on 07/08 and at 14:00 on 07/09 and was offline on 07/10 and again started late at 14:30 on 07/11 and offline from 07/12 to 07/17
3.Site was offline from 3:30AM to 04:15AM on 07/18
4.Site tripped offline at 19:30 and back online at 21:00 on 07/31</t>
  </si>
  <si>
    <t>1.SR087350
2.SR087469
3.SR087866
4.SR088482</t>
  </si>
  <si>
    <t>1.Inverter 15 was offline through the month
2.Inverter 38 tripped offline at 10:30 on 07/02 and back online at 06:00 on 07/03
3.Inverters 1,12,21,25,28,29,40,41 &amp;49 are offline on 07/07 and back online at 06:00 on 07/08
4.Inverters 1,12,21,28,29 and 41 are tripped offline at 08:00 on 07/11  and back online at 06:00 on 07/12
5.Inverter 29 is offline on 07/13 and back online at 08:00 on 07/15
6. Inverter 55 tripped offline at 13:15 on 07/20 and back online at 07:15 on 07/22
7.Inverter 26 is offline on 07/27 through out the month</t>
  </si>
  <si>
    <t>1.SR085705
2.SR087247
3.SR087440
4.SR087585
5.SR087646
6.SR087963
7.SR088298</t>
  </si>
  <si>
    <t>1.Site tripped offline at 11:15 on 07/16 and back online at 10:15 on 07/17</t>
  </si>
  <si>
    <t>1.SR087757</t>
  </si>
  <si>
    <t>1. Inverter 28 is tripped offline at 14:00 on 07/09 throgh out the month</t>
  </si>
  <si>
    <t>1.SR087518</t>
  </si>
  <si>
    <t>1. Inverter 82 is offline for whole month
2.Inverter 126 is offline for whole day on 07/01
3.Inverter 159 was back online at 11:15 on 07/26
4.Inverter 162 is back online at 12:45 on 07/26
5.Inverter 77 tripped offline at 07:00 on 07/07 and back online at 15:45 on 07/22
6. Inverter 78 tripped offline at 15:00 on 07/05 and back online at 17:00 on 07/05
7.Inverter 111 was offline on 07/07 for whole day
8.Inverter 158 started late for production at 13:00 on 07/08
9.Inverter 134 has tripped offline at 16:00 on 07/08 and back online at 14:00 on 07/10
10.Inverter 132 tripped offline at 09:30 and back online 14:00 on 07/10
11Inverter 5 tripped offline at 10:00 on 07/11 and back online 10:00 on 07/23
12.Inverter 191 tripped offline at 16:00 on 07/13 and back online at 06:00 on 07/15
13.Inverter 109 tripped offline at 18:00 on 07/14 and back online at 15:30 on 07/17
14.Inverter 139 tripped offline at 08:15 on 07/24 back online at 12:15 on 07/25</t>
  </si>
  <si>
    <t>1.SR086978
2.SR087174
3.SR086977
4.SR087239
5.SR087375
6.SR087397
7.SR087448
8.SR087466
9.SR087488
10.SR087546
11.SR087587
12.SR087650
13.SR087698
14.SR088122</t>
  </si>
  <si>
    <t>1.Inverter 6A-100 is back online at 08:00 on 07/25
2.Inverter 72B  was back online on 07/03
3. Inverter 6A.83 was offline on 07/06 and back online on 07/07
4.Inverter 83 tripped offline at 10:36 on 07/26 and back online on 07/27 and again tripped offline at 10:00
5. Inverter 72A, 73A are tripped offline at 13:15 on 07/30 and back online on 07/31</t>
  </si>
  <si>
    <t>1.SR086979
2. SR084982, SR087079
3.SR087410
4.SR088283</t>
  </si>
  <si>
    <t xml:space="preserve">1.Inverter 8C started late at 14:30 on 07/05 and again  offline at 07/06 and back online on 07/07 at 12:30 and started late at 12:15 on 07/18 again started late at 14:30 on 07/25 again  offline at 07/29 and back online on 07/30 at 15:30 </t>
  </si>
  <si>
    <t>1.SR086858</t>
  </si>
  <si>
    <t>1.Inverter 17 tripped offline on 07/06 at 14:45 through out the month
2. Inverter 4B.11 is offline for whole day on 07/17 and back online at 13:30 on 07/18
3. Inverter 23-4B tripped offline at 08:15 on 07/24 and back online at 16:45 on 07/25</t>
  </si>
  <si>
    <t>1.SR087425
2.SR087841
3.SR088124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</si>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</sst>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49" fontId="29" fillId="0" borderId="0" xfId="0" applyNumberFormat="1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MN8 Bond</v>
      </c>
      <c r="B1" s="93"/>
      <c r="C1" s="93"/>
      <c r="D1" s="94" t="s">
        <v>0</v>
      </c>
      <c r="E1" s="94"/>
      <c r="F1" s="94"/>
      <c r="G1" s="92" t="s">
        <v>1</v>
      </c>
      <c r="H1" s="92"/>
      <c r="I1" s="92"/>
    </row>
    <row r="2" spans="1:9" ht="19.5" customHeight="1">
      <c r="A2" s="95" t="s">
        <v>2</v>
      </c>
      <c r="B2" s="95"/>
      <c r="C2" s="5">
        <f>SUM(C4:C91)</f>
        <v>17139843.030681081</v>
      </c>
      <c r="D2" s="5">
        <f>SUM(D4:D91)</f>
        <v>18199307.18</v>
      </c>
      <c r="E2" s="5">
        <f>C2-D2</f>
        <v>-1059464.1493189186</v>
      </c>
      <c r="F2" s="6">
        <f>IFERROR(E2/D2, 0)</f>
        <v>-5.8214531951150825E-2</v>
      </c>
      <c r="G2" s="5">
        <f>SUM(G4:G91)</f>
        <v>14513936.159999998</v>
      </c>
      <c r="H2" s="7">
        <f>C2-G2</f>
        <v>2625906.8706810828</v>
      </c>
      <c r="I2" s="6">
        <f>IFERROR(H2/G2, 0)</f>
        <v>0.18092313771628737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2704740.5089987838</v>
      </c>
      <c r="D4" s="56">
        <f>SUM('1st Qtr'!D4, '2nd Qtr'!D4, '3rd Qtr'!D4, '4th Qtr'!D4)</f>
        <v>2605271.1</v>
      </c>
      <c r="E4" s="56">
        <f>IF(AND(ISNUMBER(C4),ISNUMBER(D4)), C4-D4, "")</f>
        <v>99469.408998783678</v>
      </c>
      <c r="F4" s="69">
        <f>IFERROR(E4/D4, "")</f>
        <v>3.8180060800115455E-2</v>
      </c>
      <c r="G4" s="58">
        <f>SUM('1st Qtr'!G4, '2nd Qtr'!G4, '3rd Qtr'!G4, '4th Qtr'!G4)</f>
        <v>2325644</v>
      </c>
      <c r="H4" s="58">
        <f>SUM('1st Qtr'!H4, '2nd Qtr'!H4, '3rd Qtr'!H4, '4th Qtr'!H4)</f>
        <v>-131661.491001216</v>
      </c>
      <c r="I4" s="57">
        <f>IFERROR(H4/G4, "")</f>
        <v>-5.6612917110794254E-2</v>
      </c>
    </row>
    <row r="5" spans="1:9" ht="15.75">
      <c r="A5" s="76" t="str">
        <v>Clara Barton</v>
      </c>
      <c r="B5" s="77" t="str">
        <v>MA</v>
      </c>
      <c r="C5" s="71">
        <f>SUM('1st Qtr'!C5, '2nd Qtr'!C5, '3rd Qtr'!C5, '4th Qtr'!C5)</f>
        <v>982455.14169345191</v>
      </c>
      <c r="D5" s="62">
        <f>SUM('1st Qtr'!D5, '2nd Qtr'!D5, '3rd Qtr'!D5, '4th Qtr'!D5)</f>
        <v>1024558.52</v>
      </c>
      <c r="E5" s="62">
        <f t="shared" ref="E5:E15" si="0">IF(AND(ISNUMBER(C5),ISNUMBER(D5)), C5-D5, "")</f>
        <v>-42103.378306548111</v>
      </c>
      <c r="F5" s="63">
        <f>IFERROR(E5/D5, "")</f>
        <v>-4.1094166399151227E-2</v>
      </c>
      <c r="G5" s="64">
        <f>SUM('1st Qtr'!G5, '2nd Qtr'!G5, '3rd Qtr'!G5, '4th Qtr'!G5)</f>
        <v>846556.98</v>
      </c>
      <c r="H5" s="64">
        <f>SUM(Jan!H5, Feb!H5, Mar!H5)</f>
        <v>-59831.780463412106</v>
      </c>
      <c r="I5" s="63">
        <f>IFERROR(H5/G5, "")</f>
        <v>-7.0676613479003045E-2</v>
      </c>
    </row>
    <row r="6" spans="1:9" ht="15.75">
      <c r="A6" s="74" t="str">
        <v>Fairhaven Solar</v>
      </c>
      <c r="B6" s="75" t="str">
        <v>MA</v>
      </c>
      <c r="C6" s="68">
        <f>SUM('1st Qtr'!C6, '2nd Qtr'!C6, '3rd Qtr'!C6, '4th Qtr'!C6)</f>
        <v>763261</v>
      </c>
      <c r="D6" s="56">
        <f>SUM('1st Qtr'!D6, '2nd Qtr'!D6, '3rd Qtr'!D6, '4th Qtr'!D6)</f>
        <v>802474.14</v>
      </c>
      <c r="E6" s="56">
        <f t="shared" si="0"/>
        <v>-39213.140000000014</v>
      </c>
      <c r="F6" s="69">
        <f t="shared" ref="F6:F15" si="1">IFERROR(E6/D6, "")</f>
        <v>-4.8865300506755284E-2</v>
      </c>
      <c r="G6" s="58">
        <f>SUM('1st Qtr'!G6, '2nd Qtr'!G6, '3rd Qtr'!G6, '4th Qtr'!G6)</f>
        <v>646733.99</v>
      </c>
      <c r="H6" s="58">
        <f>SUM(Jan!H6, Feb!H6, Mar!H6)</f>
        <v>1599.6099999999933</v>
      </c>
      <c r="I6" s="57">
        <f t="shared" ref="I6:I15" si="2">IFERROR(H6/G6, "")</f>
        <v>2.4733662135184718E-3</v>
      </c>
    </row>
    <row r="7" spans="1:9" ht="15.75">
      <c r="A7" s="76" t="str">
        <v>Plympton-1</v>
      </c>
      <c r="B7" s="77" t="str">
        <v>MA</v>
      </c>
      <c r="C7" s="71">
        <f>SUM('1st Qtr'!C7, '2nd Qtr'!C7, '3rd Qtr'!C7, '4th Qtr'!C7)</f>
        <v>1020806.995088844</v>
      </c>
      <c r="D7" s="62">
        <f>SUM('1st Qtr'!D7, '2nd Qtr'!D7, '3rd Qtr'!D7, '4th Qtr'!D7)</f>
        <v>1056816.43</v>
      </c>
      <c r="E7" s="62">
        <f t="shared" si="0"/>
        <v>-36009.434911155957</v>
      </c>
      <c r="F7" s="63">
        <f t="shared" si="1"/>
        <v>-3.4073500268306731E-2</v>
      </c>
      <c r="G7" s="64">
        <f>SUM('1st Qtr'!G7, '2nd Qtr'!G7, '3rd Qtr'!G7, '4th Qtr'!G7)</f>
        <v>833604.92999999993</v>
      </c>
      <c r="H7" s="64">
        <f>SUM(Jan!H7, Feb!H7, Mar!H7)</f>
        <v>-21065.929999999993</v>
      </c>
      <c r="I7" s="63">
        <f t="shared" si="2"/>
        <v>-2.5270879815933903E-2</v>
      </c>
    </row>
    <row r="8" spans="1:9" ht="15.75">
      <c r="A8" s="74" t="str">
        <v>French River 2</v>
      </c>
      <c r="B8" s="75" t="str">
        <v>MA</v>
      </c>
      <c r="C8" s="68">
        <f>SUM('1st Qtr'!C8, '2nd Qtr'!C8, '3rd Qtr'!C8, '4th Qtr'!C8)</f>
        <v>1022971.11</v>
      </c>
      <c r="D8" s="56">
        <f>SUM('1st Qtr'!D8, '2nd Qtr'!D8, '3rd Qtr'!D8, '4th Qtr'!D8)</f>
        <v>1140482.3700000001</v>
      </c>
      <c r="E8" s="56">
        <f t="shared" si="0"/>
        <v>-117511.26000000013</v>
      </c>
      <c r="F8" s="69">
        <f t="shared" si="1"/>
        <v>-0.10303645465383224</v>
      </c>
      <c r="G8" s="58">
        <f>SUM('1st Qtr'!G8, '2nd Qtr'!G8, '3rd Qtr'!G8, '4th Qtr'!G8)</f>
        <v>843431</v>
      </c>
      <c r="H8" s="58">
        <f>SUM(Jan!H8, Feb!H8, Mar!H8)</f>
        <v>-12609.89</v>
      </c>
      <c r="I8" s="57">
        <f t="shared" si="2"/>
        <v>-1.4950707289630093E-2</v>
      </c>
    </row>
    <row r="9" spans="1:9" ht="15.75">
      <c r="A9" s="76" t="str">
        <v>French River 3</v>
      </c>
      <c r="B9" s="77" t="str">
        <v>MA</v>
      </c>
      <c r="C9" s="71">
        <f>SUM('1st Qtr'!C9, '2nd Qtr'!C9, '3rd Qtr'!C9, '4th Qtr'!C9)</f>
        <v>2009945.87</v>
      </c>
      <c r="D9" s="62">
        <f>SUM('1st Qtr'!D9, '2nd Qtr'!D9, '3rd Qtr'!D9, '4th Qtr'!D9)</f>
        <v>2021580.4</v>
      </c>
      <c r="E9" s="62">
        <f t="shared" si="0"/>
        <v>-11634.529999999795</v>
      </c>
      <c r="F9" s="63">
        <f t="shared" si="1"/>
        <v>-5.7551656120131533E-3</v>
      </c>
      <c r="G9" s="64">
        <f>SUM('1st Qtr'!G9, '2nd Qtr'!G9, '3rd Qtr'!G9, '4th Qtr'!G9)</f>
        <v>1615232.2000000002</v>
      </c>
      <c r="H9" s="64">
        <f>SUM(Jan!H9, Feb!H9, Mar!H9)</f>
        <v>-5460.9800000000105</v>
      </c>
      <c r="I9" s="63">
        <f t="shared" si="2"/>
        <v>-3.3809256650529935E-3</v>
      </c>
    </row>
    <row r="10" spans="1:9" ht="15.75">
      <c r="A10" s="74" t="str">
        <v>French River 4</v>
      </c>
      <c r="B10" s="75" t="str">
        <v>MA</v>
      </c>
      <c r="C10" s="68">
        <f>SUM('1st Qtr'!C10, '2nd Qtr'!C10, '3rd Qtr'!C10, '4th Qtr'!C10)</f>
        <v>2025524.6364000011</v>
      </c>
      <c r="D10" s="56">
        <f>SUM('1st Qtr'!D10, '2nd Qtr'!D10, '3rd Qtr'!D10, '4th Qtr'!D10)</f>
        <v>2211020.1999999997</v>
      </c>
      <c r="E10" s="56">
        <f t="shared" si="0"/>
        <v>-185495.5635999986</v>
      </c>
      <c r="F10" s="69">
        <f t="shared" si="1"/>
        <v>-8.3895915378791486E-2</v>
      </c>
      <c r="G10" s="58">
        <f>SUM('1st Qtr'!G10, '2nd Qtr'!G10, '3rd Qtr'!G10, '4th Qtr'!G10)</f>
        <v>1683772.1</v>
      </c>
      <c r="H10" s="58">
        <f>SUM(Jan!H10, Feb!H10, Mar!H10)</f>
        <v>-37845.963599998795</v>
      </c>
      <c r="I10" s="57">
        <f t="shared" si="2"/>
        <v>-2.2476891973681471E-2</v>
      </c>
    </row>
    <row r="11" spans="1:9" ht="15.75">
      <c r="A11" s="76" t="str">
        <v>French River 5</v>
      </c>
      <c r="B11" s="77" t="str">
        <v>MA</v>
      </c>
      <c r="C11" s="71">
        <f>SUM('1st Qtr'!C11, '2nd Qtr'!C11, '3rd Qtr'!C11, '4th Qtr'!C11)</f>
        <v>1861113.3900000001</v>
      </c>
      <c r="D11" s="62">
        <f>SUM('1st Qtr'!D11, '2nd Qtr'!D11, '3rd Qtr'!D11, '4th Qtr'!D11)</f>
        <v>2139429.8000000003</v>
      </c>
      <c r="E11" s="62">
        <f t="shared" si="0"/>
        <v>-278316.41000000015</v>
      </c>
      <c r="F11" s="63">
        <f t="shared" si="1"/>
        <v>-0.13008905924372938</v>
      </c>
      <c r="G11" s="64">
        <f>SUM('1st Qtr'!G11, '2nd Qtr'!G11, '3rd Qtr'!G11, '4th Qtr'!G11)</f>
        <v>1653182.9</v>
      </c>
      <c r="H11" s="64">
        <f>SUM(Jan!H11, Feb!H11, Mar!H11)</f>
        <v>-90612.409999999974</v>
      </c>
      <c r="I11" s="63">
        <f t="shared" si="2"/>
        <v>-5.4810880272231209E-2</v>
      </c>
    </row>
    <row r="12" spans="1:9" ht="15.75">
      <c r="A12" s="74" t="str">
        <v>French River 6</v>
      </c>
      <c r="B12" s="75" t="str">
        <v>MA</v>
      </c>
      <c r="C12" s="68">
        <f>SUM('1st Qtr'!C12, '2nd Qtr'!C12, '3rd Qtr'!C12, '4th Qtr'!C12)</f>
        <v>1816224.43</v>
      </c>
      <c r="D12" s="56">
        <f>SUM('1st Qtr'!D12, '2nd Qtr'!D12, '3rd Qtr'!D12, '4th Qtr'!D12)</f>
        <v>1829599.6</v>
      </c>
      <c r="E12" s="56">
        <f t="shared" si="0"/>
        <v>-13375.170000000158</v>
      </c>
      <c r="F12" s="69">
        <f t="shared" si="1"/>
        <v>-7.3104355728981123E-3</v>
      </c>
      <c r="G12" s="58">
        <f>SUM('1st Qtr'!G12, '2nd Qtr'!G12, '3rd Qtr'!G12, '4th Qtr'!G12)</f>
        <v>1586096.1</v>
      </c>
      <c r="H12" s="58">
        <f>SUM(Jan!H12, Feb!H12, Mar!H12)</f>
        <v>-80776.570000000036</v>
      </c>
      <c r="I12" s="57">
        <f t="shared" si="2"/>
        <v>-5.0927916662805002E-2</v>
      </c>
    </row>
    <row r="13" spans="1:9" ht="15.75">
      <c r="A13" s="76" t="str">
        <v>Stillwater River 1A</v>
      </c>
      <c r="B13" s="77" t="str">
        <v>MA</v>
      </c>
      <c r="C13" s="71">
        <f>SUM('1st Qtr'!C13, '2nd Qtr'!C13, '3rd Qtr'!C13, '4th Qtr'!C13)</f>
        <v>512050.02749999997</v>
      </c>
      <c r="D13" s="62">
        <f>SUM('1st Qtr'!D13, '2nd Qtr'!D13, '3rd Qtr'!D13, '4th Qtr'!D13)</f>
        <v>507837.45999999996</v>
      </c>
      <c r="E13" s="62">
        <f t="shared" si="0"/>
        <v>4212.5675000000047</v>
      </c>
      <c r="F13" s="63">
        <f t="shared" si="1"/>
        <v>8.2951098172238114E-3</v>
      </c>
      <c r="G13" s="64">
        <f>SUM('1st Qtr'!G13, '2nd Qtr'!G13, '3rd Qtr'!G13, '4th Qtr'!G13)</f>
        <v>407002.51</v>
      </c>
      <c r="H13" s="64">
        <f>SUM(Jan!H13, Feb!H13, Mar!H13)</f>
        <v>3513.7800000000134</v>
      </c>
      <c r="I13" s="63">
        <f t="shared" si="2"/>
        <v>8.6333128510681992E-3</v>
      </c>
    </row>
    <row r="14" spans="1:9" ht="15.75">
      <c r="A14" s="74" t="str">
        <v>Stillwater River 2</v>
      </c>
      <c r="B14" s="75" t="str">
        <v>MA</v>
      </c>
      <c r="C14" s="68">
        <f>SUM('1st Qtr'!C14, '2nd Qtr'!C14, '3rd Qtr'!C14, '4th Qtr'!C14)</f>
        <v>1004804.1200000001</v>
      </c>
      <c r="D14" s="56">
        <f>SUM('1st Qtr'!D14, '2nd Qtr'!D14, '3rd Qtr'!D14, '4th Qtr'!D14)</f>
        <v>1170470.1800000002</v>
      </c>
      <c r="E14" s="56">
        <f t="shared" si="0"/>
        <v>-165666.06000000006</v>
      </c>
      <c r="F14" s="69">
        <f t="shared" si="1"/>
        <v>-0.14153804413880927</v>
      </c>
      <c r="G14" s="58">
        <f>SUM('1st Qtr'!G14, '2nd Qtr'!G14, '3rd Qtr'!G14, '4th Qtr'!G14)</f>
        <v>852306.99</v>
      </c>
      <c r="H14" s="58">
        <f>SUM(Jan!H14, Feb!H14, Mar!H14)</f>
        <v>-38015.669999999911</v>
      </c>
      <c r="I14" s="57">
        <f t="shared" si="2"/>
        <v>-4.4603259677595639E-2</v>
      </c>
    </row>
    <row r="15" spans="1:9" ht="15.75">
      <c r="A15" s="76" t="str">
        <v>Stillwater River 3</v>
      </c>
      <c r="B15" s="77" t="str">
        <v>MA</v>
      </c>
      <c r="C15" s="71">
        <f>SUM('1st Qtr'!C15, '2nd Qtr'!C15, '3rd Qtr'!C15, '4th Qtr'!C15)</f>
        <v>1003762.4</v>
      </c>
      <c r="D15" s="62">
        <f>SUM('1st Qtr'!D15, '2nd Qtr'!D15, '3rd Qtr'!D15, '4th Qtr'!D15)</f>
        <v>1134221.8600000001</v>
      </c>
      <c r="E15" s="62">
        <f t="shared" si="0"/>
        <v>-130459.46000000008</v>
      </c>
      <c r="F15" s="63">
        <f t="shared" si="1"/>
        <v>-0.11502111235979888</v>
      </c>
      <c r="G15" s="64">
        <f>SUM('1st Qtr'!G15, '2nd Qtr'!G15, '3rd Qtr'!G15, '4th Qtr'!G15)</f>
        <v>839077.59</v>
      </c>
      <c r="H15" s="64">
        <f>SUM(Jan!H15, Feb!H15, Mar!H15)</f>
        <v>-30572.690000000017</v>
      </c>
      <c r="I15" s="63">
        <f t="shared" si="2"/>
        <v>-3.6436070232789816E-2</v>
      </c>
    </row>
    <row r="16" spans="1:9" ht="15.75">
      <c r="A16" s="74" t="str">
        <v>Stillwater River 4</v>
      </c>
      <c r="B16" s="75" t="str">
        <v>MA</v>
      </c>
      <c r="C16" s="68">
        <f>SUM('1st Qtr'!C16, '2nd Qtr'!C16, '3rd Qtr'!C16, '4th Qtr'!C16)</f>
        <v>412183.40100000001</v>
      </c>
      <c r="D16" s="56">
        <f>SUM('1st Qtr'!D16, '2nd Qtr'!D16, '3rd Qtr'!D16, '4th Qtr'!D16)</f>
        <v>555545.12</v>
      </c>
      <c r="E16" s="56">
        <f t="shared" ref="E16" si="3">IF(AND(ISNUMBER(C16),ISNUMBER(D16)), C16-D16, "")</f>
        <v>-143361.71899999998</v>
      </c>
      <c r="F16" s="69">
        <f t="shared" ref="F16" si="4">IFERROR(E16/D16, "")</f>
        <v>-0.25805594152280553</v>
      </c>
      <c r="G16" s="58">
        <f>SUM('1st Qtr'!G16, '2nd Qtr'!G16, '3rd Qtr'!G16, '4th Qtr'!G16)</f>
        <v>381294.87</v>
      </c>
      <c r="H16" s="58">
        <f>SUM(Jan!H16, Feb!H16, Mar!H16)</f>
        <v>-28589.281500000005</v>
      </c>
      <c r="I16" s="57">
        <f t="shared" ref="I16" si="5">IFERROR(H16/G16, "")</f>
        <v>-7.497945487700898E-2</v>
      </c>
    </row>
    <row r="17" spans="1:9" ht="14.2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MN8 Bond</v>
      </c>
      <c r="B1" s="93"/>
      <c r="C1" s="93"/>
      <c r="D1" s="94" t="s">
        <v>10</v>
      </c>
      <c r="E1" s="94"/>
      <c r="F1" s="94"/>
      <c r="G1" s="92" t="s">
        <v>11</v>
      </c>
      <c r="H1" s="92"/>
      <c r="I1" s="92"/>
    </row>
    <row r="2" spans="1:9" ht="19.5" customHeight="1">
      <c r="A2" s="95" t="s">
        <v>2</v>
      </c>
      <c r="B2" s="95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75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75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75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75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75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75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75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75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75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75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75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75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2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O29" sqref="O29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MN8 Bond</v>
      </c>
      <c r="B1" s="93"/>
      <c r="C1" s="93"/>
      <c r="D1" s="94" t="s">
        <v>12</v>
      </c>
      <c r="E1" s="94"/>
      <c r="F1" s="94"/>
      <c r="G1" s="92" t="s">
        <v>13</v>
      </c>
      <c r="H1" s="92"/>
      <c r="I1" s="92"/>
    </row>
    <row r="2" spans="1:9" ht="19.5" customHeight="1">
      <c r="A2" s="95" t="s">
        <v>2</v>
      </c>
      <c r="B2" s="95"/>
      <c r="C2" s="5">
        <f>SUM(C4:C91)</f>
        <v>8871453.4288388435</v>
      </c>
      <c r="D2" s="5">
        <f>SUM(D4:D91)</f>
        <v>9219914.8599999994</v>
      </c>
      <c r="E2" s="5">
        <f>C2-D2</f>
        <v>-348461.43116115592</v>
      </c>
      <c r="F2" s="6">
        <f>IFERROR(E2/D2, 0)</f>
        <v>-3.7794430474942145E-2</v>
      </c>
      <c r="G2" s="5">
        <f>SUM(G4:G91)</f>
        <v>8773584.0299999993</v>
      </c>
      <c r="H2" s="7">
        <f>C2-G2</f>
        <v>97869.39883884415</v>
      </c>
      <c r="I2" s="6">
        <f>IFERROR(H2/G2, 0)</f>
        <v>1.1155007862715388E-2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1401773.810000001</v>
      </c>
      <c r="D4" s="56">
        <f>SUM(Apr!D4, May!D4, Jun!D4)</f>
        <v>1290931.7000000002</v>
      </c>
      <c r="E4" s="56">
        <f>IF(AND(ISNUMBER(C4),ISNUMBER(D4)), C4-D4, "")</f>
        <v>110842.1100000008</v>
      </c>
      <c r="F4" s="69">
        <f>IFERROR(E4/D4, "")</f>
        <v>8.5862102541908902E-2</v>
      </c>
      <c r="G4" s="58">
        <f>SUM(Apr!G4+May!G4+Jun!G4)</f>
        <v>1379105</v>
      </c>
      <c r="H4" s="58">
        <f>SUM(Apr!H4, May!H4, Jun!H4)</f>
        <v>22668.810000000987</v>
      </c>
      <c r="I4" s="57">
        <f>IFERROR(H4/G4, "")</f>
        <v>1.6437334358153286E-2</v>
      </c>
    </row>
    <row r="5" spans="1:9" ht="15.75">
      <c r="A5" s="79" t="str">
        <v>Clara Barton</v>
      </c>
      <c r="B5" s="77" t="str">
        <v>MA</v>
      </c>
      <c r="C5" s="71">
        <f>SUM(Apr!C5, May!C5, Jun!C5)</f>
        <v>526097</v>
      </c>
      <c r="D5" s="62">
        <f>SUM(Apr!D5, May!D5, Jun!D5)</f>
        <v>525286.30000000005</v>
      </c>
      <c r="E5" s="62">
        <f t="shared" ref="E5:E15" si="0">IF(AND(ISNUMBER(C5),ISNUMBER(D5)), C5-D5, "")</f>
        <v>810.69999999995343</v>
      </c>
      <c r="F5" s="63">
        <f>IFERROR(E5/D5, "")</f>
        <v>1.5433488366248147E-3</v>
      </c>
      <c r="G5" s="89">
        <f>SUM(Apr!G5+May!G5+Jun!G5)</f>
        <v>515243.2</v>
      </c>
      <c r="H5" s="64">
        <f>SUM(Apr!H5, May!H5, Jun!H5)</f>
        <v>10853.799999999988</v>
      </c>
      <c r="I5" s="63">
        <f>IFERROR(H5/G5, "")</f>
        <v>2.1065392032345091E-2</v>
      </c>
    </row>
    <row r="6" spans="1:9" ht="15.75">
      <c r="A6" s="78" t="str">
        <v>Fairhaven Solar</v>
      </c>
      <c r="B6" s="75" t="str">
        <v>MA</v>
      </c>
      <c r="C6" s="68">
        <f>SUM(Apr!C6, May!C6, Jun!C6)</f>
        <v>384318</v>
      </c>
      <c r="D6" s="56">
        <f>SUM(Apr!D6, May!D6, Jun!D6)</f>
        <v>393613.2</v>
      </c>
      <c r="E6" s="56">
        <f t="shared" si="0"/>
        <v>-9295.2000000000116</v>
      </c>
      <c r="F6" s="69">
        <f t="shared" ref="F6:F15" si="1">IFERROR(E6/D6, "")</f>
        <v>-2.3615061690004328E-2</v>
      </c>
      <c r="G6" s="58">
        <f>SUM(Apr!G6+May!G6+Jun!G6)</f>
        <v>397372.6</v>
      </c>
      <c r="H6" s="58">
        <f>SUM(Apr!H6, May!H6, Jun!H6)</f>
        <v>-13054.600000000006</v>
      </c>
      <c r="I6" s="57">
        <f t="shared" ref="I6:I15" si="2">IFERROR(H6/G6, "")</f>
        <v>-3.2852290268629507E-2</v>
      </c>
    </row>
    <row r="7" spans="1:9" ht="15.75">
      <c r="A7" s="79" t="str">
        <v>Plympton-1</v>
      </c>
      <c r="B7" s="77" t="str">
        <v>MA</v>
      </c>
      <c r="C7" s="71">
        <f>SUM(Apr!C7, May!C7, Jun!C7)</f>
        <v>543586.99508884398</v>
      </c>
      <c r="D7" s="62">
        <f>SUM(Apr!D7, May!D7, Jun!D7)</f>
        <v>551321.5</v>
      </c>
      <c r="E7" s="62">
        <f t="shared" si="0"/>
        <v>-7734.504911156022</v>
      </c>
      <c r="F7" s="63">
        <f t="shared" si="1"/>
        <v>-1.4029028273259836E-2</v>
      </c>
      <c r="G7" s="89">
        <f>SUM(Apr!G7+May!G7+Jun!G7)</f>
        <v>515103.99999999994</v>
      </c>
      <c r="H7" s="64">
        <f>SUM(Apr!H7, May!H7, Jun!H7)</f>
        <v>28482.995088844036</v>
      </c>
      <c r="I7" s="63">
        <f t="shared" si="2"/>
        <v>5.5295620086126374E-2</v>
      </c>
    </row>
    <row r="8" spans="1:9" ht="15.75">
      <c r="A8" s="78" t="str">
        <v>French River 2</v>
      </c>
      <c r="B8" s="75" t="str">
        <v>MA</v>
      </c>
      <c r="C8" s="68">
        <f>SUM(Apr!C8, May!C8, Jun!C8)</f>
        <v>521028</v>
      </c>
      <c r="D8" s="56">
        <f>SUM(Apr!D8, May!D8, Jun!D8)</f>
        <v>570681.4</v>
      </c>
      <c r="E8" s="56">
        <f t="shared" si="0"/>
        <v>-49653.400000000023</v>
      </c>
      <c r="F8" s="69">
        <f t="shared" si="1"/>
        <v>-8.7007216285654346E-2</v>
      </c>
      <c r="G8" s="58">
        <f>SUM(Apr!G8+May!G8+Jun!G8)</f>
        <v>510569</v>
      </c>
      <c r="H8" s="58">
        <f>SUM(Apr!H8, May!H8, Jun!H8)</f>
        <v>10459</v>
      </c>
      <c r="I8" s="57">
        <f t="shared" si="2"/>
        <v>2.0484988316956179E-2</v>
      </c>
    </row>
    <row r="9" spans="1:9" ht="15.75">
      <c r="A9" s="79" t="str">
        <v>French River 3</v>
      </c>
      <c r="B9" s="77" t="str">
        <v>MA</v>
      </c>
      <c r="C9" s="71">
        <f>SUM(Apr!C9, May!C9, Jun!C9)</f>
        <v>1022134</v>
      </c>
      <c r="D9" s="62">
        <f>SUM(Apr!D9, May!D9, Jun!D9)</f>
        <v>1083611.0999999999</v>
      </c>
      <c r="E9" s="62">
        <f t="shared" si="0"/>
        <v>-61477.09999999986</v>
      </c>
      <c r="F9" s="63">
        <f t="shared" si="1"/>
        <v>-5.6733545826542262E-2</v>
      </c>
      <c r="G9" s="89">
        <f>SUM(Apr!G9+May!G9+Jun!G9)</f>
        <v>977193.1</v>
      </c>
      <c r="H9" s="64">
        <f>SUM(Apr!H9, May!H9, Jun!H9)</f>
        <v>44940.900000000023</v>
      </c>
      <c r="I9" s="63">
        <f t="shared" si="2"/>
        <v>4.5989784414155223E-2</v>
      </c>
    </row>
    <row r="10" spans="1:9" ht="15.75">
      <c r="A10" s="78" t="str">
        <v>French River 4</v>
      </c>
      <c r="B10" s="75" t="str">
        <v>MA</v>
      </c>
      <c r="C10" s="68">
        <f>SUM(Apr!C10, May!C10, Jun!C10)</f>
        <v>1038020</v>
      </c>
      <c r="D10" s="56">
        <f>SUM(Apr!D10, May!D10, Jun!D10)</f>
        <v>1106160.3</v>
      </c>
      <c r="E10" s="56">
        <f t="shared" si="0"/>
        <v>-68140.300000000047</v>
      </c>
      <c r="F10" s="69">
        <f t="shared" si="1"/>
        <v>-6.1600746293281404E-2</v>
      </c>
      <c r="G10" s="58">
        <f>SUM(Apr!G10+May!G10+Jun!G10)</f>
        <v>1018616.5</v>
      </c>
      <c r="H10" s="58">
        <f>SUM(Apr!H10, May!H10, Jun!H10)</f>
        <v>19403.5</v>
      </c>
      <c r="I10" s="57">
        <f t="shared" si="2"/>
        <v>1.9048876588981231E-2</v>
      </c>
    </row>
    <row r="11" spans="1:9" ht="15.75">
      <c r="A11" s="79" t="str">
        <v>French River 5</v>
      </c>
      <c r="B11" s="77" t="str">
        <v>MA</v>
      </c>
      <c r="C11" s="71">
        <f>SUM(Apr!C11, May!C11, Jun!C11)</f>
        <v>966230</v>
      </c>
      <c r="D11" s="62">
        <f>SUM(Apr!D11, May!D11, Jun!D11)</f>
        <v>1071581.8</v>
      </c>
      <c r="E11" s="62">
        <f t="shared" si="0"/>
        <v>-105351.80000000005</v>
      </c>
      <c r="F11" s="63">
        <f t="shared" si="1"/>
        <v>-9.8314286412852517E-2</v>
      </c>
      <c r="G11" s="89">
        <f>SUM(Apr!G11+May!G11+Jun!G11)</f>
        <v>1000309.0999999999</v>
      </c>
      <c r="H11" s="64">
        <f>SUM(Apr!H11, May!H11, Jun!H11)</f>
        <v>-34079.099999999977</v>
      </c>
      <c r="I11" s="63">
        <f t="shared" si="2"/>
        <v>-3.4068569405196834E-2</v>
      </c>
    </row>
    <row r="12" spans="1:9" ht="15.75">
      <c r="A12" s="78" t="str">
        <v>French River 6</v>
      </c>
      <c r="B12" s="75" t="str">
        <v>MA</v>
      </c>
      <c r="C12" s="68">
        <f>SUM(Apr!C12, May!C12, Jun!C12)</f>
        <v>946130</v>
      </c>
      <c r="D12" s="56">
        <f>SUM(Apr!D12, May!D12, Jun!D12)</f>
        <v>915179.1</v>
      </c>
      <c r="E12" s="56">
        <f t="shared" si="0"/>
        <v>30950.900000000023</v>
      </c>
      <c r="F12" s="69">
        <f t="shared" si="1"/>
        <v>3.3819500467176342E-2</v>
      </c>
      <c r="G12" s="58">
        <f>SUM(Apr!G12+May!G12+Jun!G12)</f>
        <v>959687.1</v>
      </c>
      <c r="H12" s="58">
        <f>SUM(Apr!H12, May!H12, Jun!H12)</f>
        <v>-13557.099999999977</v>
      </c>
      <c r="I12" s="57">
        <f t="shared" si="2"/>
        <v>-1.4126583549992468E-2</v>
      </c>
    </row>
    <row r="13" spans="1:9" ht="15.75">
      <c r="A13" s="79" t="str">
        <v>Stillwater River 1A</v>
      </c>
      <c r="B13" s="77" t="str">
        <v>MA</v>
      </c>
      <c r="C13" s="71">
        <f>SUM(Apr!C13, May!C13, Jun!C13)</f>
        <v>257903.5275</v>
      </c>
      <c r="D13" s="62">
        <f>SUM(Apr!D13, May!D13, Jun!D13)</f>
        <v>269560.55</v>
      </c>
      <c r="E13" s="62">
        <f t="shared" si="0"/>
        <v>-11657.022499999992</v>
      </c>
      <c r="F13" s="63">
        <f t="shared" si="1"/>
        <v>-4.3244541903479546E-2</v>
      </c>
      <c r="G13" s="89">
        <f>SUM(Apr!G13+May!G13+Jun!G13)</f>
        <v>246265.03999999998</v>
      </c>
      <c r="H13" s="64">
        <f>SUM(Apr!H13, May!H13, Jun!H13)</f>
        <v>11638.487500000003</v>
      </c>
      <c r="I13" s="63">
        <f t="shared" si="2"/>
        <v>4.7260006942114088E-2</v>
      </c>
    </row>
    <row r="14" spans="1:9" ht="15.75">
      <c r="A14" s="78" t="str">
        <v>Stillwater River 2</v>
      </c>
      <c r="B14" s="75" t="str">
        <v>MA</v>
      </c>
      <c r="C14" s="68">
        <f>SUM(Apr!C14, May!C14, Jun!C14)</f>
        <v>524893</v>
      </c>
      <c r="D14" s="56">
        <f>SUM(Apr!D14, May!D14, Jun!D14)</f>
        <v>588997.60000000009</v>
      </c>
      <c r="E14" s="56">
        <f t="shared" si="0"/>
        <v>-64104.600000000093</v>
      </c>
      <c r="F14" s="69">
        <f t="shared" si="1"/>
        <v>-0.10883677624492881</v>
      </c>
      <c r="G14" s="58">
        <f>SUM(Apr!G14+May!G14+Jun!G14)</f>
        <v>515679.2</v>
      </c>
      <c r="H14" s="58">
        <f>SUM(Apr!H14, May!H14, Jun!H14)</f>
        <v>9213.7999999999884</v>
      </c>
      <c r="I14" s="57">
        <f t="shared" si="2"/>
        <v>1.7867309753815914E-2</v>
      </c>
    </row>
    <row r="15" spans="1:9" ht="15.75">
      <c r="A15" s="79" t="str">
        <v>Stillwater River 3</v>
      </c>
      <c r="B15" s="77" t="str">
        <v>MA</v>
      </c>
      <c r="C15" s="71">
        <f>SUM(Apr!C15, May!C15, Jun!C15)</f>
        <v>522670</v>
      </c>
      <c r="D15" s="62">
        <f>SUM(Apr!D15, May!D15, Jun!D15)</f>
        <v>566398.9</v>
      </c>
      <c r="E15" s="62">
        <f t="shared" si="0"/>
        <v>-43728.900000000023</v>
      </c>
      <c r="F15" s="63">
        <f t="shared" si="1"/>
        <v>-7.7205128752898394E-2</v>
      </c>
      <c r="G15" s="89">
        <f>SUM(Apr!G15+May!G15+Jun!G15)</f>
        <v>507684.5</v>
      </c>
      <c r="H15" s="64">
        <f>SUM(Apr!H15, May!H15, Jun!H15)</f>
        <v>14985.5</v>
      </c>
      <c r="I15" s="63">
        <f t="shared" si="2"/>
        <v>2.9517347880425735E-2</v>
      </c>
    </row>
    <row r="16" spans="1:9" ht="15.75">
      <c r="A16" s="78" t="str">
        <v>Stillwater River 4</v>
      </c>
      <c r="B16" s="75" t="str">
        <v>MA</v>
      </c>
      <c r="C16" s="68">
        <f>SUM(Apr!C16, May!C16, Jun!C16)</f>
        <v>216669.09625</v>
      </c>
      <c r="D16" s="56">
        <f>SUM(Apr!D16, May!D16, Jun!D16)</f>
        <v>286591.41000000003</v>
      </c>
      <c r="E16" s="56">
        <f t="shared" ref="E16" si="3">IF(AND(ISNUMBER(C16),ISNUMBER(D16)), C16-D16, "")</f>
        <v>-69922.31375000003</v>
      </c>
      <c r="F16" s="69">
        <f t="shared" ref="F16" si="4">IFERROR(E16/D16, "")</f>
        <v>-0.24397909815231386</v>
      </c>
      <c r="G16" s="58">
        <f>SUM(Apr!G16+May!G16+Jun!G16)</f>
        <v>230755.69</v>
      </c>
      <c r="H16" s="58">
        <f>SUM(Apr!H16, May!H16, Jun!H16)</f>
        <v>-14086.59375</v>
      </c>
      <c r="I16" s="57">
        <f t="shared" ref="I16" si="5">IFERROR(H16/G16, "")</f>
        <v>-6.1045488195762367E-2</v>
      </c>
    </row>
    <row r="17" spans="1:9" ht="13.1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1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1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1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1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F6" sqref="F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MN8 Bond</v>
      </c>
      <c r="B1" s="93"/>
      <c r="C1" s="93"/>
      <c r="D1" s="94" t="s">
        <v>14</v>
      </c>
      <c r="E1" s="94"/>
      <c r="F1" s="94"/>
      <c r="G1" s="92" t="s">
        <v>15</v>
      </c>
      <c r="H1" s="92"/>
      <c r="I1" s="92"/>
    </row>
    <row r="2" spans="1:9" ht="19.5" customHeight="1">
      <c r="A2" s="95" t="s">
        <v>2</v>
      </c>
      <c r="B2" s="95"/>
      <c r="C2" s="5">
        <f>SUM(C4:C91)</f>
        <v>3058623.406609627</v>
      </c>
      <c r="D2" s="5">
        <f>SUM(D4:D91)</f>
        <v>3174638.6799999997</v>
      </c>
      <c r="E2" s="5">
        <f>C2-D2</f>
        <v>-116015.27339037275</v>
      </c>
      <c r="F2" s="6">
        <f>IFERROR(E2/D2, 0)</f>
        <v>-3.6544402398062122E-2</v>
      </c>
      <c r="G2" s="5">
        <f>SUM(G4:G91)</f>
        <v>0</v>
      </c>
      <c r="H2" s="7">
        <f>C2-G2</f>
        <v>3058623.406609627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486745.85820276302</v>
      </c>
      <c r="D4" s="56">
        <f>SUM(Jul!D4, Aug!D4, Sep!D4)</f>
        <v>440191.6</v>
      </c>
      <c r="E4" s="56">
        <f>IF(AND(ISNUMBER(C4),ISNUMBER(D4)), C4-D4, "")</f>
        <v>46554.258202763041</v>
      </c>
      <c r="F4" s="69">
        <f>IFERROR(E4/D4, "")</f>
        <v>0.10575907900733009</v>
      </c>
      <c r="G4" s="58"/>
      <c r="H4" s="58">
        <f>SUM(Jul!H4, Aug!H4, Sep!H4)</f>
        <v>-24012.141797236982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SUM(Jul!C5, Aug!C5, Sep!C5)</f>
        <v>184876.14215686399</v>
      </c>
      <c r="D5" s="62">
        <f>SUM(Jul!D5, Aug!D5, Sep!D5)</f>
        <v>187364.2</v>
      </c>
      <c r="E5" s="62">
        <f t="shared" ref="E5:E15" si="0">IF(AND(ISNUMBER(C5),ISNUMBER(D5)), C5-D5, "")</f>
        <v>-2488.0578431360191</v>
      </c>
      <c r="F5" s="63">
        <f>IFERROR(E5/D5, "")</f>
        <v>-1.3279259555112551E-2</v>
      </c>
      <c r="G5" s="64"/>
      <c r="H5" s="64">
        <f>SUM(Jul!H5, Aug!H5, Sep!H5)</f>
        <v>-7253.3578431360074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SUM(Jul!C6, Aug!C6, Sep!C6)</f>
        <v>127982</v>
      </c>
      <c r="D6" s="56">
        <f>SUM(Jul!D6, Aug!D6, Sep!D6)</f>
        <v>134285.1</v>
      </c>
      <c r="E6" s="56">
        <f t="shared" si="0"/>
        <v>-6303.1000000000058</v>
      </c>
      <c r="F6" s="69">
        <f t="shared" ref="F6:F15" si="1">IFERROR(E6/D6, "")</f>
        <v>-4.6938193440672162E-2</v>
      </c>
      <c r="G6" s="58"/>
      <c r="H6" s="58">
        <f>SUM(Jul!H6, Aug!H6, Sep!H6)</f>
        <v>-14733.899999999994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SUM(Jul!C7, Aug!C7, Sep!C7)</f>
        <v>179785</v>
      </c>
      <c r="D7" s="62">
        <f>SUM(Jul!D7, Aug!D7, Sep!D7)</f>
        <v>187563.7</v>
      </c>
      <c r="E7" s="62">
        <f t="shared" si="0"/>
        <v>-7778.7000000000116</v>
      </c>
      <c r="F7" s="63">
        <f t="shared" si="1"/>
        <v>-4.1472310473721789E-2</v>
      </c>
      <c r="G7" s="64"/>
      <c r="H7" s="64">
        <f>SUM(Jul!H7, Aug!H7, Sep!H7)</f>
        <v>-6702.5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SUM(Jul!C8, Aug!C8, Sep!C8)</f>
        <v>181691</v>
      </c>
      <c r="D8" s="56">
        <f>SUM(Jul!D8, Aug!D8, Sep!D8)</f>
        <v>196897.2</v>
      </c>
      <c r="E8" s="56">
        <f t="shared" si="0"/>
        <v>-15206.200000000012</v>
      </c>
      <c r="F8" s="69">
        <f t="shared" si="1"/>
        <v>-7.7229132765727557E-2</v>
      </c>
      <c r="G8" s="58"/>
      <c r="H8" s="58">
        <f>SUM(Jul!H8, Aug!H8, Sep!H8)</f>
        <v>-7943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SUM(Jul!C9, Aug!C9, Sep!C9)</f>
        <v>355233.75</v>
      </c>
      <c r="D9" s="62">
        <f>SUM(Jul!D9, Aug!D9, Sep!D9)</f>
        <v>371355.6</v>
      </c>
      <c r="E9" s="62">
        <f t="shared" si="0"/>
        <v>-16121.849999999977</v>
      </c>
      <c r="F9" s="63">
        <f t="shared" si="1"/>
        <v>-4.3413509854166671E-2</v>
      </c>
      <c r="G9" s="64"/>
      <c r="H9" s="64">
        <f>SUM(Jul!H9, Aug!H9, Sep!H9)</f>
        <v>-7445.4500000000116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SUM(Jul!C10, Aug!C10, Sep!C10)</f>
        <v>360195</v>
      </c>
      <c r="D10" s="56">
        <f>SUM(Jul!D10, Aug!D10, Sep!D10)</f>
        <v>380111.8</v>
      </c>
      <c r="E10" s="56">
        <f t="shared" si="0"/>
        <v>-19916.799999999988</v>
      </c>
      <c r="F10" s="69">
        <f t="shared" si="1"/>
        <v>-5.2397215766519192E-2</v>
      </c>
      <c r="G10" s="58"/>
      <c r="H10" s="58">
        <f>SUM(Jul!H10, Aug!H10, Sep!H10)</f>
        <v>-17852.799999999988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SUM(Jul!C11, Aug!C11, Sep!C11)</f>
        <v>332622</v>
      </c>
      <c r="D11" s="62">
        <f>SUM(Jul!D11, Aug!D11, Sep!D11)</f>
        <v>366566.7</v>
      </c>
      <c r="E11" s="62">
        <f t="shared" si="0"/>
        <v>-33944.700000000012</v>
      </c>
      <c r="F11" s="63">
        <f t="shared" si="1"/>
        <v>-9.2601701136518971E-2</v>
      </c>
      <c r="G11" s="64"/>
      <c r="H11" s="64">
        <f>SUM(Jul!H11, Aug!H11, Sep!H11)</f>
        <v>-38641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SUM(Jul!C12, Aug!C12, Sep!C12)</f>
        <v>324462</v>
      </c>
      <c r="D12" s="56">
        <f>SUM(Jul!D12, Aug!D12, Sep!D12)</f>
        <v>309330.09999999998</v>
      </c>
      <c r="E12" s="56">
        <f t="shared" si="0"/>
        <v>15131.900000000023</v>
      </c>
      <c r="F12" s="69">
        <f t="shared" si="1"/>
        <v>4.8918291495072819E-2</v>
      </c>
      <c r="G12" s="58"/>
      <c r="H12" s="58">
        <f>SUM(Jul!H12, Aug!H12, Sep!H12)</f>
        <v>-31718.5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SUM(Jul!C13, Aug!C13, Sep!C13)</f>
        <v>89895.25</v>
      </c>
      <c r="D13" s="62">
        <f>SUM(Jul!D13, Aug!D13, Sep!D13)</f>
        <v>92359.28</v>
      </c>
      <c r="E13" s="62">
        <f t="shared" si="0"/>
        <v>-2464.0299999999988</v>
      </c>
      <c r="F13" s="63">
        <f t="shared" si="1"/>
        <v>-2.6678748470104995E-2</v>
      </c>
      <c r="G13" s="64"/>
      <c r="H13" s="64">
        <f>SUM(Jul!H13, Aug!H13, Sep!H13)</f>
        <v>-1497.679999999993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SUM(Jul!C14, Aug!C14, Sep!C14)</f>
        <v>181299</v>
      </c>
      <c r="D14" s="56">
        <f>SUM(Jul!D14, Aug!D14, Sep!D14)</f>
        <v>208466.5</v>
      </c>
      <c r="E14" s="56">
        <f t="shared" si="0"/>
        <v>-27167.5</v>
      </c>
      <c r="F14" s="69">
        <f t="shared" si="1"/>
        <v>-0.13032069900919332</v>
      </c>
      <c r="G14" s="58"/>
      <c r="H14" s="58">
        <f>SUM(Jul!H14, Aug!H14, Sep!H14)</f>
        <v>-10074.799999999988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SUM(Jul!C15, Aug!C15, Sep!C15)</f>
        <v>180272</v>
      </c>
      <c r="D15" s="62">
        <f>SUM(Jul!D15, Aug!D15, Sep!D15)</f>
        <v>196561.6</v>
      </c>
      <c r="E15" s="62">
        <f t="shared" si="0"/>
        <v>-16289.600000000006</v>
      </c>
      <c r="F15" s="63">
        <f t="shared" si="1"/>
        <v>-8.2872748288577242E-2</v>
      </c>
      <c r="G15" s="64"/>
      <c r="H15" s="64">
        <f>SUM(Jul!H15, Aug!H15, Sep!H15)</f>
        <v>-8136.2999999999884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SUM(Jul!C16, Aug!C16, Sep!C16)</f>
        <v>73564.40625</v>
      </c>
      <c r="D16" s="56">
        <f>SUM(Jul!D16, Aug!D16, Sep!D16)</f>
        <v>103585.3</v>
      </c>
      <c r="E16" s="56">
        <f t="shared" ref="E16" si="3">IF(AND(ISNUMBER(C16),ISNUMBER(D16)), C16-D16, "")</f>
        <v>-30020.893750000003</v>
      </c>
      <c r="F16" s="69">
        <f t="shared" ref="F16" si="4">IFERROR(E16/D16, "")</f>
        <v>-0.28981808953587046</v>
      </c>
      <c r="G16" s="58"/>
      <c r="H16" s="58">
        <f>SUM(Jul!H16, Aug!H16, Sep!H16)</f>
        <v>-12078.353749999995</v>
      </c>
      <c r="I16" s="57" t="str">
        <f t="shared" ref="I16" si="5">IFERROR(H16/G16, "")</f>
        <v/>
      </c>
    </row>
    <row r="17" spans="1:9" ht="15.75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75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75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75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75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75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MN8 Bond</v>
      </c>
      <c r="B1" s="93"/>
      <c r="C1" s="93"/>
      <c r="D1" s="94" t="s">
        <v>16</v>
      </c>
      <c r="E1" s="94"/>
      <c r="F1" s="94"/>
      <c r="G1" s="92" t="s">
        <v>17</v>
      </c>
      <c r="H1" s="92"/>
      <c r="I1" s="92"/>
    </row>
    <row r="2" spans="1:9" ht="19.5" customHeight="1">
      <c r="A2" s="95" t="s">
        <v>2</v>
      </c>
      <c r="B2" s="95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75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75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75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75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75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75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75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75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75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75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75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75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75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75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2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2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2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2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1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1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15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15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15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15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15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15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15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15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15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15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15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15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15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15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15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15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15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15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15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15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15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15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15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15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15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15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15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15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15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15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15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15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15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15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15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15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15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15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15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15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15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15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15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15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15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15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15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15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15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15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15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15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15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15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15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15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15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15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15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15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15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15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15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15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15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15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15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15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15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15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15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15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15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15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15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15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15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15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15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15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15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15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15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15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15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15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15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15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15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15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15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15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15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15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15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15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15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15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15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15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15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15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15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15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15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15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15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15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15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15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15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15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15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15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15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15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15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15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15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15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15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15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15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15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15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15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15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15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15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15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15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15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15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15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15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15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15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15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15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15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15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15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15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15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15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15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15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15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15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15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15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15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15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15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15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15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15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15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15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15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15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15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15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15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15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15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15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15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15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15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15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15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15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15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15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15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15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15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15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15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15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15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15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15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15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15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15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15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15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15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15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15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15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15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15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15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15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15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15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15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15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15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15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15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15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15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15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15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15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15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15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15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15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15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15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15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15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15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15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15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15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15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15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15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15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15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15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15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15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15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15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15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15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15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15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15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15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15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15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15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15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15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15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15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15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15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15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15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15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15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15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15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15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15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15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15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15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15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15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15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15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15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15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15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15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15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15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15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15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15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15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15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15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15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15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15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15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15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15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15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15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15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15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15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15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15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15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15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15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15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15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15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15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15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15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15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15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15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15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15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15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15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15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15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15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15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15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15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15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15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">
      <c r="A1" s="93" t="str" cm="1">
        <f t="array" ref="A1">portfolio</f>
        <v>MN8 Bond</v>
      </c>
      <c r="B1" s="93"/>
      <c r="C1" s="93"/>
      <c r="D1" s="94" t="s">
        <v>18</v>
      </c>
      <c r="E1" s="94"/>
      <c r="F1" s="94"/>
      <c r="G1" s="92" t="s">
        <v>19</v>
      </c>
      <c r="H1" s="92"/>
      <c r="I1" s="92"/>
      <c r="J1" s="4"/>
      <c r="K1" s="4"/>
    </row>
    <row r="2" spans="1:11" ht="15">
      <c r="A2" s="95" t="s">
        <v>2</v>
      </c>
      <c r="B2" s="95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5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75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75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75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75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5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75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75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75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75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2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35</v>
      </c>
      <c r="E1" s="94"/>
      <c r="F1" s="94"/>
      <c r="G1" s="92" t="s">
        <v>36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4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28.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5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75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75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75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75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75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75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5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53</v>
      </c>
      <c r="E1" s="94"/>
      <c r="F1" s="94"/>
      <c r="G1" s="92" t="s">
        <v>54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5.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5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5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75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5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99.75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75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5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5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5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F7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3" t="str" cm="1">
        <f t="array" ref="A1">portfolio</f>
        <v>MN8 Bond</v>
      </c>
      <c r="B1" s="93"/>
      <c r="C1" s="93"/>
      <c r="D1" s="94" t="s">
        <v>76</v>
      </c>
      <c r="E1" s="94"/>
      <c r="F1" s="94"/>
      <c r="G1" s="92" t="s">
        <v>77</v>
      </c>
      <c r="H1" s="92"/>
      <c r="I1" s="92"/>
      <c r="J1" s="4"/>
      <c r="K1" s="4"/>
    </row>
    <row r="2" spans="1:12" ht="19.5" customHeight="1">
      <c r="A2" s="95" t="s">
        <v>2</v>
      </c>
      <c r="B2" s="95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2.5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75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75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75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75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2.7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85.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75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75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75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2.7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10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95</v>
      </c>
      <c r="E1" s="94"/>
      <c r="F1" s="94"/>
      <c r="G1" s="92" t="s">
        <v>96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5.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75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5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5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75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75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75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75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1.25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zoomScale="90" zoomScaleNormal="90" workbookViewId="0">
      <pane xSplit="2" ySplit="3" topLeftCell="C11" activePane="bottomRight" state="frozen"/>
      <selection pane="bottomRight" activeCell="K12" sqref="K12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56" customWidth="1"/>
    <col min="11" max="11" width="23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115</v>
      </c>
      <c r="E1" s="94"/>
      <c r="F1" s="94"/>
      <c r="G1" s="92" t="s">
        <v>116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3288648.528750001</v>
      </c>
      <c r="D2" s="5">
        <f>SUM(D4:D91)</f>
        <v>3438527.7</v>
      </c>
      <c r="E2" s="5">
        <f>C2-D2</f>
        <v>-149879.1712499992</v>
      </c>
      <c r="F2" s="6">
        <f>IFERROR(E2/D2, 0)</f>
        <v>-4.3588182014645163E-2</v>
      </c>
      <c r="G2" s="5">
        <f>SUM(G4:G91)</f>
        <v>3031797.1899999995</v>
      </c>
      <c r="H2" s="7">
        <f>C2-G2</f>
        <v>256851.33875000151</v>
      </c>
      <c r="I2" s="6">
        <f>IFERROR(H2/G2, 0)</f>
        <v>8.4719169078061429E-2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3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513004.81000000099</v>
      </c>
      <c r="D4" s="11">
        <v>474429.1</v>
      </c>
      <c r="E4" s="11">
        <f>IF(AND(ISNUMBER(C4),ISNUMBER(D4)), C4-D4, "")</f>
        <v>38575.71000000101</v>
      </c>
      <c r="F4" s="12">
        <f>IFERROR(E4/D4, "")</f>
        <v>8.1309746809377872E-2</v>
      </c>
      <c r="G4" s="13">
        <v>466058</v>
      </c>
      <c r="H4" s="13">
        <f>IF(AND(ISNUMBER(C4),ISNUMBER(G4)), C4-G4, "")</f>
        <v>46946.810000000987</v>
      </c>
      <c r="I4" s="14">
        <f>IFERROR(H4/G4, "")</f>
        <v>0.10073169004716363</v>
      </c>
      <c r="J4" s="38" t="s">
        <v>117</v>
      </c>
      <c r="K4" s="38" t="s">
        <v>118</v>
      </c>
    </row>
    <row r="5" spans="1:11" ht="123.75" customHeight="1">
      <c r="A5" s="28" t="str">
        <v>Clara Barton</v>
      </c>
      <c r="B5" s="29" t="str">
        <v>MA</v>
      </c>
      <c r="C5" s="10">
        <v>195792</v>
      </c>
      <c r="D5" s="16">
        <v>199036.2</v>
      </c>
      <c r="E5" s="16">
        <f t="shared" ref="E5:E16" si="0">IF(AND(ISNUMBER(C5),ISNUMBER(D5)), C5-D5, "")</f>
        <v>-3244.2000000000116</v>
      </c>
      <c r="F5" s="17">
        <f>IFERROR(E5/D5, "")</f>
        <v>-1.6299547519496509E-2</v>
      </c>
      <c r="G5" s="18">
        <v>177019.2</v>
      </c>
      <c r="H5" s="18">
        <f t="shared" ref="H5:H16" si="1">IF(AND(ISNUMBER(C5),ISNUMBER(G5)), C5-G5, "")</f>
        <v>18772.799999999988</v>
      </c>
      <c r="I5" s="17">
        <f t="shared" ref="I5:I16" si="2">IFERROR(H5/G5, "")</f>
        <v>0.1060495132731364</v>
      </c>
      <c r="J5" s="87" t="s">
        <v>119</v>
      </c>
      <c r="K5" s="87" t="s">
        <v>120</v>
      </c>
    </row>
    <row r="6" spans="1:11" ht="171">
      <c r="A6" s="26" t="str">
        <v>Fairhaven Solar</v>
      </c>
      <c r="B6" s="27" t="str">
        <v>MA</v>
      </c>
      <c r="C6" s="22">
        <v>143791</v>
      </c>
      <c r="D6" s="11">
        <v>152018.6</v>
      </c>
      <c r="E6" s="11">
        <f t="shared" si="0"/>
        <v>-8227.6000000000058</v>
      </c>
      <c r="F6" s="12">
        <f t="shared" ref="F6:F16" si="3">IFERROR(E6/D6, "")</f>
        <v>-5.4122324505027714E-2</v>
      </c>
      <c r="G6" s="13">
        <v>137242.20000000001</v>
      </c>
      <c r="H6" s="13">
        <f t="shared" si="1"/>
        <v>6548.7999999999884</v>
      </c>
      <c r="I6" s="14">
        <f t="shared" si="2"/>
        <v>4.7717101591201454E-2</v>
      </c>
      <c r="J6" s="38" t="s">
        <v>121</v>
      </c>
      <c r="K6" s="38" t="s">
        <v>122</v>
      </c>
    </row>
    <row r="7" spans="1:11" ht="28.5">
      <c r="A7" s="28" t="str">
        <v>Plympton-1</v>
      </c>
      <c r="B7" s="29" t="str">
        <v>MA</v>
      </c>
      <c r="C7" s="10">
        <v>202229</v>
      </c>
      <c r="D7" s="16">
        <v>208413.9</v>
      </c>
      <c r="E7" s="16">
        <f t="shared" si="0"/>
        <v>-6184.8999999999942</v>
      </c>
      <c r="F7" s="17">
        <f t="shared" si="3"/>
        <v>-2.9676043680387895E-2</v>
      </c>
      <c r="G7" s="18">
        <v>175764.3</v>
      </c>
      <c r="H7" s="18">
        <f t="shared" si="1"/>
        <v>26464.700000000012</v>
      </c>
      <c r="I7" s="17">
        <f t="shared" si="2"/>
        <v>0.15056925666930096</v>
      </c>
      <c r="J7" s="39" t="s">
        <v>123</v>
      </c>
      <c r="K7" s="40"/>
    </row>
    <row r="8" spans="1:11" ht="128.25" customHeight="1">
      <c r="A8" s="26" t="str">
        <v>French River 2</v>
      </c>
      <c r="B8" s="27" t="str">
        <v>MA</v>
      </c>
      <c r="C8" s="22">
        <v>194880</v>
      </c>
      <c r="D8" s="11">
        <v>212374.6</v>
      </c>
      <c r="E8" s="11">
        <f t="shared" si="0"/>
        <v>-17494.600000000006</v>
      </c>
      <c r="F8" s="12">
        <f t="shared" si="3"/>
        <v>-8.237614102628095E-2</v>
      </c>
      <c r="G8" s="13">
        <v>177698</v>
      </c>
      <c r="H8" s="13">
        <f t="shared" si="1"/>
        <v>17182</v>
      </c>
      <c r="I8" s="14">
        <f t="shared" si="2"/>
        <v>9.669214059809339E-2</v>
      </c>
      <c r="J8" s="38" t="s">
        <v>124</v>
      </c>
      <c r="K8" s="38" t="s">
        <v>125</v>
      </c>
    </row>
    <row r="9" spans="1:11" ht="15.75">
      <c r="A9" s="28" t="str">
        <v>French River 3</v>
      </c>
      <c r="B9" s="29" t="str">
        <v>MA</v>
      </c>
      <c r="C9" s="10">
        <v>377947</v>
      </c>
      <c r="D9" s="16">
        <v>402925.7</v>
      </c>
      <c r="E9" s="16">
        <f t="shared" si="0"/>
        <v>-24978.700000000012</v>
      </c>
      <c r="F9" s="17">
        <f t="shared" si="3"/>
        <v>-6.1993315392887598E-2</v>
      </c>
      <c r="G9" s="18">
        <v>339915.6</v>
      </c>
      <c r="H9" s="18">
        <f t="shared" si="1"/>
        <v>38031.400000000023</v>
      </c>
      <c r="I9" s="17">
        <f t="shared" si="2"/>
        <v>0.11188483258785424</v>
      </c>
      <c r="J9" s="39"/>
      <c r="K9" s="40"/>
    </row>
    <row r="10" spans="1:11" ht="15.75">
      <c r="A10" s="26" t="str">
        <v>French River 4</v>
      </c>
      <c r="B10" s="27" t="str">
        <v>MA</v>
      </c>
      <c r="C10" s="22">
        <v>387137</v>
      </c>
      <c r="D10" s="11">
        <v>411601.5</v>
      </c>
      <c r="E10" s="11">
        <f t="shared" si="0"/>
        <v>-24464.5</v>
      </c>
      <c r="F10" s="12">
        <f t="shared" si="3"/>
        <v>-5.9437344130184172E-2</v>
      </c>
      <c r="G10" s="13">
        <v>354323.8</v>
      </c>
      <c r="H10" s="13">
        <f t="shared" si="1"/>
        <v>32813.200000000012</v>
      </c>
      <c r="I10" s="14">
        <f t="shared" si="2"/>
        <v>9.2607947871410315E-2</v>
      </c>
      <c r="J10" s="38"/>
      <c r="K10" s="38"/>
    </row>
    <row r="11" spans="1:11" ht="107.25" customHeight="1">
      <c r="A11" s="28" t="str">
        <v>French River 5</v>
      </c>
      <c r="B11" s="29" t="str">
        <v>MA</v>
      </c>
      <c r="C11" s="10">
        <v>358829</v>
      </c>
      <c r="D11" s="16">
        <v>398158.3</v>
      </c>
      <c r="E11" s="16">
        <f t="shared" si="0"/>
        <v>-39329.299999999988</v>
      </c>
      <c r="F11" s="17">
        <f t="shared" si="3"/>
        <v>-9.8778048831331636E-2</v>
      </c>
      <c r="G11" s="18">
        <v>347965.7</v>
      </c>
      <c r="H11" s="18">
        <f t="shared" si="1"/>
        <v>10863.299999999988</v>
      </c>
      <c r="I11" s="17">
        <f t="shared" si="2"/>
        <v>3.1219456400444032E-2</v>
      </c>
      <c r="J11" s="87" t="s">
        <v>126</v>
      </c>
      <c r="K11" s="87" t="s">
        <v>127</v>
      </c>
    </row>
    <row r="12" spans="1:11" ht="99.75">
      <c r="A12" s="26" t="str">
        <v>French River 6</v>
      </c>
      <c r="B12" s="27" t="str">
        <v>MA</v>
      </c>
      <c r="C12" s="22">
        <v>350522</v>
      </c>
      <c r="D12" s="11">
        <v>337585.9</v>
      </c>
      <c r="E12" s="11">
        <f t="shared" si="0"/>
        <v>12936.099999999977</v>
      </c>
      <c r="F12" s="12">
        <f t="shared" si="3"/>
        <v>3.831943218007617E-2</v>
      </c>
      <c r="G12" s="13">
        <v>333826.59999999998</v>
      </c>
      <c r="H12" s="13">
        <f t="shared" si="1"/>
        <v>16695.400000000023</v>
      </c>
      <c r="I12" s="14">
        <f t="shared" si="2"/>
        <v>5.001219195834012E-2</v>
      </c>
      <c r="J12" s="38" t="s">
        <v>128</v>
      </c>
      <c r="K12" s="38" t="s">
        <v>129</v>
      </c>
    </row>
    <row r="13" spans="1:11" ht="15.75">
      <c r="A13" s="28" t="str">
        <v>Stillwater River 1A</v>
      </c>
      <c r="B13" s="29" t="str">
        <v>MA</v>
      </c>
      <c r="C13" s="10">
        <v>96152.8125</v>
      </c>
      <c r="D13" s="16">
        <v>100695.2</v>
      </c>
      <c r="E13" s="16">
        <f t="shared" si="0"/>
        <v>-4542.3874999999971</v>
      </c>
      <c r="F13" s="17">
        <f t="shared" si="3"/>
        <v>-4.5110268413985945E-2</v>
      </c>
      <c r="G13" s="18">
        <v>85675.3</v>
      </c>
      <c r="H13" s="18">
        <f t="shared" si="1"/>
        <v>10477.512499999997</v>
      </c>
      <c r="I13" s="17">
        <f t="shared" si="2"/>
        <v>0.12229326888846606</v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>
        <v>194858</v>
      </c>
      <c r="D14" s="11">
        <v>220833.7</v>
      </c>
      <c r="E14" s="11">
        <f t="shared" si="0"/>
        <v>-25975.700000000012</v>
      </c>
      <c r="F14" s="12">
        <f t="shared" si="3"/>
        <v>-0.11762561601784514</v>
      </c>
      <c r="G14" s="13">
        <v>179402.5</v>
      </c>
      <c r="H14" s="13">
        <f t="shared" si="1"/>
        <v>15455.5</v>
      </c>
      <c r="I14" s="14">
        <f t="shared" si="2"/>
        <v>8.6149858558269815E-2</v>
      </c>
      <c r="J14" s="38" t="s">
        <v>130</v>
      </c>
      <c r="K14" s="38" t="s">
        <v>131</v>
      </c>
    </row>
    <row r="15" spans="1:11" ht="28.5">
      <c r="A15" s="28" t="str">
        <v>Stillwater River 3</v>
      </c>
      <c r="B15" s="29" t="str">
        <v>MA</v>
      </c>
      <c r="C15" s="10">
        <v>193311</v>
      </c>
      <c r="D15" s="16">
        <v>211038.6</v>
      </c>
      <c r="E15" s="16">
        <f t="shared" si="0"/>
        <v>-17727.600000000006</v>
      </c>
      <c r="F15" s="17">
        <f t="shared" si="3"/>
        <v>-8.4001694476745034E-2</v>
      </c>
      <c r="G15" s="18">
        <v>176621.8</v>
      </c>
      <c r="H15" s="18">
        <f t="shared" si="1"/>
        <v>16689.200000000012</v>
      </c>
      <c r="I15" s="17">
        <f t="shared" si="2"/>
        <v>9.4491167002034929E-2</v>
      </c>
      <c r="J15" s="87" t="s">
        <v>132</v>
      </c>
      <c r="K15" s="87" t="s">
        <v>133</v>
      </c>
    </row>
    <row r="16" spans="1:11" ht="42.75">
      <c r="A16" s="26" t="str">
        <v>Stillwater River 4</v>
      </c>
      <c r="B16" s="27" t="str">
        <v>MA</v>
      </c>
      <c r="C16" s="22">
        <v>80194.90625</v>
      </c>
      <c r="D16" s="11">
        <v>109416.4</v>
      </c>
      <c r="E16" s="11">
        <f t="shared" si="0"/>
        <v>-29221.493749999994</v>
      </c>
      <c r="F16" s="12">
        <f t="shared" si="3"/>
        <v>-0.26706685423757315</v>
      </c>
      <c r="G16" s="13">
        <v>80284.19</v>
      </c>
      <c r="H16" s="13">
        <f t="shared" si="1"/>
        <v>-89.283750000002328</v>
      </c>
      <c r="I16" s="14">
        <f t="shared" si="2"/>
        <v>-1.1120962919349666E-3</v>
      </c>
      <c r="J16" s="38" t="s">
        <v>134</v>
      </c>
      <c r="K16" s="38" t="s">
        <v>135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tabSelected="1" zoomScale="80" zoomScaleNormal="80" workbookViewId="0">
      <pane xSplit="2" ySplit="3" topLeftCell="C9" activePane="bottomRight" state="frozen"/>
      <selection pane="bottomRight" activeCell="E11" sqref="E1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136</v>
      </c>
      <c r="E1" s="94"/>
      <c r="F1" s="94"/>
      <c r="G1" s="92" t="s">
        <v>137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3058623.406609627</v>
      </c>
      <c r="D2" s="5">
        <f>SUM(D4:D91)</f>
        <v>3174638.6799999997</v>
      </c>
      <c r="E2" s="5">
        <f>C2-D2</f>
        <v>-116015.27339037275</v>
      </c>
      <c r="F2" s="6">
        <f>IFERROR(E2/D2, 0)</f>
        <v>-3.6544402398062122E-2</v>
      </c>
      <c r="G2" s="5">
        <f>SUM(G4:G91)</f>
        <v>3246713.1899999995</v>
      </c>
      <c r="H2" s="7">
        <f>C2-G2</f>
        <v>-188089.78339037253</v>
      </c>
      <c r="I2" s="6">
        <f>IFERROR(H2/G2, 0)</f>
        <v>-5.7932368023666594E-2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2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486745.85820276302</v>
      </c>
      <c r="D4" s="11">
        <v>440191.6</v>
      </c>
      <c r="E4" s="11">
        <f>IF(AND(ISNUMBER(C4),ISNUMBER(D4)), C4-D4, "")</f>
        <v>46554.258202763041</v>
      </c>
      <c r="F4" s="12">
        <f>IFERROR(E4/D4, "")</f>
        <v>0.10575907900733009</v>
      </c>
      <c r="G4" s="13">
        <v>510758</v>
      </c>
      <c r="H4" s="13">
        <f>IF(AND(ISNUMBER(C4),ISNUMBER(G4)), C4-G4, "")</f>
        <v>-24012.141797236982</v>
      </c>
      <c r="I4" s="14">
        <f>IFERROR(H4/G4, "")</f>
        <v>-4.7012757112442648E-2</v>
      </c>
      <c r="J4" s="38" t="s">
        <v>138</v>
      </c>
      <c r="K4" s="38" t="s">
        <v>139</v>
      </c>
    </row>
    <row r="5" spans="1:11" ht="71.25">
      <c r="A5" s="28" t="str">
        <v>Clara Barton</v>
      </c>
      <c r="B5" s="29" t="str">
        <v>MA</v>
      </c>
      <c r="C5" s="10">
        <v>184876.14215686399</v>
      </c>
      <c r="D5" s="16">
        <v>187364.2</v>
      </c>
      <c r="E5" s="16">
        <f t="shared" ref="E5:E16" si="0">IF(AND(ISNUMBER(C5),ISNUMBER(D5)), C5-D5, "")</f>
        <v>-2488.0578431360191</v>
      </c>
      <c r="F5" s="17">
        <f>IFERROR(E5/D5, "")</f>
        <v>-1.3279259555112551E-2</v>
      </c>
      <c r="G5" s="18">
        <v>192129.5</v>
      </c>
      <c r="H5" s="18">
        <f t="shared" ref="H5:H16" si="1">IF(AND(ISNUMBER(C5),ISNUMBER(G5)), C5-G5, "")</f>
        <v>-7253.3578431360074</v>
      </c>
      <c r="I5" s="17">
        <f t="shared" ref="I5:I16" si="2">IFERROR(H5/G5, "")</f>
        <v>-3.7752442197247209E-2</v>
      </c>
      <c r="J5" s="91" t="s">
        <v>140</v>
      </c>
      <c r="K5" s="91" t="s">
        <v>141</v>
      </c>
    </row>
    <row r="6" spans="1:11" ht="128.25">
      <c r="A6" s="26" t="str">
        <v>Fairhaven Solar</v>
      </c>
      <c r="B6" s="27" t="str">
        <v>MA</v>
      </c>
      <c r="C6" s="22">
        <v>127982</v>
      </c>
      <c r="D6" s="11">
        <v>134285.1</v>
      </c>
      <c r="E6" s="11">
        <f t="shared" si="0"/>
        <v>-6303.1000000000058</v>
      </c>
      <c r="F6" s="12">
        <f t="shared" ref="F6:F16" si="3">IFERROR(E6/D6, "")</f>
        <v>-4.6938193440672162E-2</v>
      </c>
      <c r="G6" s="13">
        <v>142715.9</v>
      </c>
      <c r="H6" s="13">
        <f t="shared" si="1"/>
        <v>-14733.899999999994</v>
      </c>
      <c r="I6" s="14">
        <f t="shared" si="2"/>
        <v>-0.10323937276785554</v>
      </c>
      <c r="J6" s="38" t="s">
        <v>142</v>
      </c>
      <c r="K6" s="38" t="s">
        <v>143</v>
      </c>
    </row>
    <row r="7" spans="1:11" ht="15.75">
      <c r="A7" s="28" t="str">
        <v>Plympton-1</v>
      </c>
      <c r="B7" s="29" t="str">
        <v>MA</v>
      </c>
      <c r="C7" s="10">
        <v>179785</v>
      </c>
      <c r="D7" s="16">
        <v>187563.7</v>
      </c>
      <c r="E7" s="16">
        <f t="shared" si="0"/>
        <v>-7778.7000000000116</v>
      </c>
      <c r="F7" s="17">
        <f t="shared" si="3"/>
        <v>-4.1472310473721789E-2</v>
      </c>
      <c r="G7" s="18">
        <v>186487.5</v>
      </c>
      <c r="H7" s="18">
        <f t="shared" si="1"/>
        <v>-6702.5</v>
      </c>
      <c r="I7" s="17">
        <f t="shared" si="2"/>
        <v>-3.5940746698840405E-2</v>
      </c>
      <c r="J7" s="39" t="s">
        <v>144</v>
      </c>
      <c r="K7" s="39" t="s">
        <v>145</v>
      </c>
    </row>
    <row r="8" spans="1:11" ht="15.75">
      <c r="A8" s="26" t="str">
        <v>French River 2</v>
      </c>
      <c r="B8" s="27" t="str">
        <v>MA</v>
      </c>
      <c r="C8" s="22">
        <v>181691</v>
      </c>
      <c r="D8" s="11">
        <v>196897.2</v>
      </c>
      <c r="E8" s="11">
        <f t="shared" si="0"/>
        <v>-15206.200000000012</v>
      </c>
      <c r="F8" s="12">
        <f t="shared" si="3"/>
        <v>-7.7229132765727557E-2</v>
      </c>
      <c r="G8" s="13">
        <v>189634</v>
      </c>
      <c r="H8" s="13">
        <f t="shared" si="1"/>
        <v>-7943</v>
      </c>
      <c r="I8" s="14">
        <f t="shared" si="2"/>
        <v>-4.1885948722275544E-2</v>
      </c>
      <c r="J8" s="38"/>
      <c r="K8" s="38"/>
    </row>
    <row r="9" spans="1:11" ht="15.75">
      <c r="A9" s="28" t="str">
        <v>French River 3</v>
      </c>
      <c r="B9" s="29" t="str">
        <v>MA</v>
      </c>
      <c r="C9" s="10">
        <v>355233.75</v>
      </c>
      <c r="D9" s="16">
        <v>371355.6</v>
      </c>
      <c r="E9" s="16">
        <f t="shared" si="0"/>
        <v>-16121.849999999977</v>
      </c>
      <c r="F9" s="17">
        <f t="shared" si="3"/>
        <v>-4.3413509854166671E-2</v>
      </c>
      <c r="G9" s="18">
        <v>362679.2</v>
      </c>
      <c r="H9" s="18">
        <f t="shared" si="1"/>
        <v>-7445.4500000000116</v>
      </c>
      <c r="I9" s="17">
        <f t="shared" si="2"/>
        <v>-2.0529023996964841E-2</v>
      </c>
      <c r="J9" s="39" t="s">
        <v>146</v>
      </c>
      <c r="K9" s="40" t="s">
        <v>147</v>
      </c>
    </row>
    <row r="10" spans="1:11" ht="15.75">
      <c r="A10" s="26" t="str">
        <v>French River 4</v>
      </c>
      <c r="B10" s="27" t="str">
        <v>MA</v>
      </c>
      <c r="C10" s="22">
        <v>360195</v>
      </c>
      <c r="D10" s="11">
        <v>380111.8</v>
      </c>
      <c r="E10" s="11">
        <f t="shared" si="0"/>
        <v>-19916.799999999988</v>
      </c>
      <c r="F10" s="12">
        <f t="shared" si="3"/>
        <v>-5.2397215766519192E-2</v>
      </c>
      <c r="G10" s="13">
        <v>378047.8</v>
      </c>
      <c r="H10" s="13">
        <f t="shared" si="1"/>
        <v>-17852.799999999988</v>
      </c>
      <c r="I10" s="14">
        <f t="shared" si="2"/>
        <v>-4.7223657960712873E-2</v>
      </c>
      <c r="J10" s="38"/>
      <c r="K10" s="38"/>
    </row>
    <row r="11" spans="1:11" ht="199.5">
      <c r="A11" s="28" t="str">
        <v>French River 5</v>
      </c>
      <c r="B11" s="29" t="str">
        <v>MA</v>
      </c>
      <c r="C11" s="10">
        <v>332622</v>
      </c>
      <c r="D11" s="16">
        <v>366566.7</v>
      </c>
      <c r="E11" s="16">
        <f t="shared" si="0"/>
        <v>-33944.700000000012</v>
      </c>
      <c r="F11" s="17">
        <f t="shared" si="3"/>
        <v>-9.2601701136518971E-2</v>
      </c>
      <c r="G11" s="18">
        <v>371263</v>
      </c>
      <c r="H11" s="18">
        <f t="shared" si="1"/>
        <v>-38641</v>
      </c>
      <c r="I11" s="17">
        <f t="shared" si="2"/>
        <v>-0.10407985713631576</v>
      </c>
      <c r="J11" s="39" t="s">
        <v>148</v>
      </c>
      <c r="K11" s="91" t="s">
        <v>149</v>
      </c>
    </row>
    <row r="12" spans="1:11" ht="85.5">
      <c r="A12" s="26" t="str">
        <v>French River 6</v>
      </c>
      <c r="B12" s="27" t="str">
        <v>MA</v>
      </c>
      <c r="C12" s="22">
        <v>324462</v>
      </c>
      <c r="D12" s="11">
        <v>309330.09999999998</v>
      </c>
      <c r="E12" s="11">
        <f t="shared" si="0"/>
        <v>15131.900000000023</v>
      </c>
      <c r="F12" s="12">
        <f t="shared" si="3"/>
        <v>4.8918291495072819E-2</v>
      </c>
      <c r="G12" s="13">
        <v>356180.5</v>
      </c>
      <c r="H12" s="13">
        <f t="shared" si="1"/>
        <v>-31718.5</v>
      </c>
      <c r="I12" s="14">
        <f t="shared" si="2"/>
        <v>-8.9051758869449618E-2</v>
      </c>
      <c r="J12" s="38" t="s">
        <v>150</v>
      </c>
      <c r="K12" s="38" t="s">
        <v>151</v>
      </c>
    </row>
    <row r="13" spans="1:11" ht="15.75">
      <c r="A13" s="28" t="str">
        <v>Stillwater River 1A</v>
      </c>
      <c r="B13" s="29" t="str">
        <v>MA</v>
      </c>
      <c r="C13" s="10">
        <v>89895.25</v>
      </c>
      <c r="D13" s="16">
        <v>92359.28</v>
      </c>
      <c r="E13" s="16">
        <f t="shared" si="0"/>
        <v>-2464.0299999999988</v>
      </c>
      <c r="F13" s="17">
        <f t="shared" si="3"/>
        <v>-2.6678748470104995E-2</v>
      </c>
      <c r="G13" s="18">
        <v>91392.93</v>
      </c>
      <c r="H13" s="18">
        <f t="shared" si="1"/>
        <v>-1497.679999999993</v>
      </c>
      <c r="I13" s="17">
        <f t="shared" si="2"/>
        <v>-1.6387263216093337E-2</v>
      </c>
      <c r="J13" s="39"/>
      <c r="K13" s="40"/>
    </row>
    <row r="14" spans="1:11" ht="42.75">
      <c r="A14" s="26" t="str">
        <v>Stillwater River 2</v>
      </c>
      <c r="B14" s="27" t="str">
        <v>MA</v>
      </c>
      <c r="C14" s="22">
        <v>181299</v>
      </c>
      <c r="D14" s="11">
        <v>208466.5</v>
      </c>
      <c r="E14" s="11">
        <f t="shared" si="0"/>
        <v>-27167.5</v>
      </c>
      <c r="F14" s="12">
        <f t="shared" si="3"/>
        <v>-0.13032069900919332</v>
      </c>
      <c r="G14" s="13">
        <v>191373.8</v>
      </c>
      <c r="H14" s="13">
        <f t="shared" si="1"/>
        <v>-10074.799999999988</v>
      </c>
      <c r="I14" s="14">
        <f t="shared" si="2"/>
        <v>-5.264461488458707E-2</v>
      </c>
      <c r="J14" s="38" t="s">
        <v>152</v>
      </c>
      <c r="K14" s="38" t="s">
        <v>153</v>
      </c>
    </row>
    <row r="15" spans="1:11" ht="15.75">
      <c r="A15" s="28" t="str">
        <v>Stillwater River 3</v>
      </c>
      <c r="B15" s="29" t="str">
        <v>MA</v>
      </c>
      <c r="C15" s="10">
        <v>180272</v>
      </c>
      <c r="D15" s="16">
        <v>196561.6</v>
      </c>
      <c r="E15" s="16">
        <f t="shared" si="0"/>
        <v>-16289.600000000006</v>
      </c>
      <c r="F15" s="17">
        <f t="shared" si="3"/>
        <v>-8.2872748288577242E-2</v>
      </c>
      <c r="G15" s="18">
        <v>188408.3</v>
      </c>
      <c r="H15" s="18">
        <f t="shared" si="1"/>
        <v>-8136.2999999999884</v>
      </c>
      <c r="I15" s="17">
        <f t="shared" si="2"/>
        <v>-4.3184403234889271E-2</v>
      </c>
      <c r="J15" s="39"/>
      <c r="K15" s="40"/>
    </row>
    <row r="16" spans="1:11" ht="42.75">
      <c r="A16" s="26" t="str">
        <v>Stillwater River 4</v>
      </c>
      <c r="B16" s="27" t="str">
        <v>MA</v>
      </c>
      <c r="C16" s="22">
        <v>73564.40625</v>
      </c>
      <c r="D16" s="11">
        <v>103585.3</v>
      </c>
      <c r="E16" s="11">
        <f t="shared" si="0"/>
        <v>-30020.893750000003</v>
      </c>
      <c r="F16" s="12">
        <f t="shared" si="3"/>
        <v>-0.28981808953587046</v>
      </c>
      <c r="G16" s="13">
        <v>85642.76</v>
      </c>
      <c r="H16" s="13">
        <f t="shared" si="1"/>
        <v>-12078.353749999995</v>
      </c>
      <c r="I16" s="14">
        <f t="shared" si="2"/>
        <v>-0.14103181343058066</v>
      </c>
      <c r="J16" s="38" t="s">
        <v>154</v>
      </c>
      <c r="K16" s="38" t="s">
        <v>155</v>
      </c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156</v>
      </c>
      <c r="E1" s="94"/>
      <c r="F1" s="94"/>
      <c r="G1" s="92" t="s">
        <v>157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158</v>
      </c>
      <c r="E1" s="94"/>
      <c r="F1" s="94"/>
      <c r="G1" s="92" t="s">
        <v>159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160</v>
      </c>
      <c r="E1" s="94"/>
      <c r="F1" s="94"/>
      <c r="G1" s="92" t="s">
        <v>161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162</v>
      </c>
      <c r="E1" s="94"/>
      <c r="F1" s="94"/>
      <c r="G1" s="92" t="s">
        <v>163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MN8 Bond</v>
      </c>
      <c r="B1" s="93"/>
      <c r="C1" s="93"/>
      <c r="D1" s="94" t="s">
        <v>164</v>
      </c>
      <c r="E1" s="94"/>
      <c r="F1" s="94"/>
      <c r="G1" s="92" t="s">
        <v>165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75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75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75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75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75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75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75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2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2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2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2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2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2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2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2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2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2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2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2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2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2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2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2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2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2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2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2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2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2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2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2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2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2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2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2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2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2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2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2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2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2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2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2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2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2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2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2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2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2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2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2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2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2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2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2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2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2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2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2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2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166</v>
      </c>
      <c r="B1" t="s">
        <v>167</v>
      </c>
    </row>
    <row r="3" spans="1:12">
      <c r="A3" t="s">
        <v>168</v>
      </c>
      <c r="B3" t="s">
        <v>3</v>
      </c>
      <c r="C3" t="s">
        <v>4</v>
      </c>
      <c r="D3" t="s">
        <v>169</v>
      </c>
      <c r="E3" s="2" t="s">
        <v>170</v>
      </c>
    </row>
    <row r="4" spans="1:12" ht="14.25">
      <c r="A4" s="46" t="s">
        <v>171</v>
      </c>
      <c r="B4" t="s">
        <v>172</v>
      </c>
      <c r="C4" s="45" t="s">
        <v>173</v>
      </c>
      <c r="D4" s="44" t="s">
        <v>174</v>
      </c>
      <c r="E4" t="s">
        <v>175</v>
      </c>
      <c r="G4" s="3"/>
    </row>
    <row r="5" spans="1:12" ht="14.25">
      <c r="A5" s="46" t="s">
        <v>176</v>
      </c>
      <c r="B5" t="s">
        <v>177</v>
      </c>
      <c r="C5" s="45" t="s">
        <v>173</v>
      </c>
      <c r="D5" s="44" t="s">
        <v>174</v>
      </c>
      <c r="E5" t="s">
        <v>175</v>
      </c>
      <c r="G5" s="3"/>
    </row>
    <row r="6" spans="1:12" ht="14.25">
      <c r="A6" s="46" t="s">
        <v>178</v>
      </c>
      <c r="B6" t="s">
        <v>179</v>
      </c>
      <c r="C6" s="45" t="s">
        <v>173</v>
      </c>
      <c r="D6" s="44" t="s">
        <v>174</v>
      </c>
      <c r="E6" t="s">
        <v>175</v>
      </c>
      <c r="G6" s="3"/>
    </row>
    <row r="7" spans="1:12" ht="12.75" customHeight="1">
      <c r="A7" s="46" t="s">
        <v>180</v>
      </c>
      <c r="B7" t="s">
        <v>181</v>
      </c>
      <c r="C7" s="45" t="s">
        <v>173</v>
      </c>
      <c r="D7" s="44" t="s">
        <v>174</v>
      </c>
      <c r="E7" t="s">
        <v>175</v>
      </c>
    </row>
    <row r="8" spans="1:12" ht="12.75" customHeight="1">
      <c r="A8" s="46" t="s">
        <v>182</v>
      </c>
      <c r="B8" t="s">
        <v>183</v>
      </c>
      <c r="C8" s="45" t="s">
        <v>173</v>
      </c>
      <c r="D8" s="44" t="s">
        <v>174</v>
      </c>
      <c r="E8" t="s">
        <v>175</v>
      </c>
    </row>
    <row r="9" spans="1:12" ht="12.75" customHeight="1">
      <c r="A9" s="46" t="s">
        <v>184</v>
      </c>
      <c r="B9" t="s">
        <v>185</v>
      </c>
      <c r="C9" s="45" t="s">
        <v>173</v>
      </c>
      <c r="D9" s="44" t="s">
        <v>174</v>
      </c>
      <c r="E9" t="s">
        <v>175</v>
      </c>
    </row>
    <row r="10" spans="1:12" ht="12.75" customHeight="1">
      <c r="A10" s="46" t="s">
        <v>186</v>
      </c>
      <c r="B10" t="s">
        <v>187</v>
      </c>
      <c r="C10" s="45" t="s">
        <v>173</v>
      </c>
      <c r="D10" s="44" t="s">
        <v>174</v>
      </c>
      <c r="E10" t="s">
        <v>175</v>
      </c>
      <c r="K10" s="41"/>
      <c r="L10" s="41"/>
    </row>
    <row r="11" spans="1:12" ht="12.75" customHeight="1">
      <c r="A11" s="46" t="s">
        <v>188</v>
      </c>
      <c r="B11" t="s">
        <v>189</v>
      </c>
      <c r="C11" s="45" t="s">
        <v>173</v>
      </c>
      <c r="D11" s="44" t="s">
        <v>174</v>
      </c>
      <c r="E11" t="s">
        <v>175</v>
      </c>
      <c r="K11" s="41"/>
      <c r="L11" s="41"/>
    </row>
    <row r="12" spans="1:12" ht="12.75" customHeight="1">
      <c r="A12" s="46" t="s">
        <v>190</v>
      </c>
      <c r="B12" t="s">
        <v>191</v>
      </c>
      <c r="C12" s="45" t="s">
        <v>173</v>
      </c>
      <c r="D12" s="44" t="s">
        <v>174</v>
      </c>
      <c r="E12" t="s">
        <v>175</v>
      </c>
      <c r="K12" s="41"/>
      <c r="L12" s="41"/>
    </row>
    <row r="13" spans="1:12" ht="12.75" customHeight="1">
      <c r="A13" s="46" t="s">
        <v>192</v>
      </c>
      <c r="B13" t="s">
        <v>193</v>
      </c>
      <c r="C13" s="45" t="s">
        <v>173</v>
      </c>
      <c r="D13" s="44" t="s">
        <v>174</v>
      </c>
      <c r="E13" t="s">
        <v>175</v>
      </c>
      <c r="K13" s="41"/>
      <c r="L13" s="41"/>
    </row>
    <row r="14" spans="1:12" ht="12.75" customHeight="1">
      <c r="A14" s="46" t="s">
        <v>194</v>
      </c>
      <c r="B14" t="s">
        <v>195</v>
      </c>
      <c r="C14" s="45" t="s">
        <v>173</v>
      </c>
      <c r="D14" s="44" t="s">
        <v>174</v>
      </c>
      <c r="E14" t="s">
        <v>175</v>
      </c>
      <c r="K14" s="41"/>
      <c r="L14" s="41"/>
    </row>
    <row r="15" spans="1:12" ht="12.75" customHeight="1">
      <c r="A15" s="46" t="s">
        <v>196</v>
      </c>
      <c r="B15" t="s">
        <v>197</v>
      </c>
      <c r="C15" s="45" t="s">
        <v>173</v>
      </c>
      <c r="D15" s="44" t="s">
        <v>174</v>
      </c>
      <c r="E15" t="s">
        <v>175</v>
      </c>
      <c r="K15" s="41"/>
      <c r="L15" s="41"/>
    </row>
    <row r="16" spans="1:12" ht="12.75" customHeight="1">
      <c r="A16" s="46" t="s">
        <v>198</v>
      </c>
      <c r="B16" t="s">
        <v>199</v>
      </c>
      <c r="C16" s="45" t="s">
        <v>173</v>
      </c>
      <c r="D16" s="44" t="s">
        <v>174</v>
      </c>
      <c r="E16" t="s">
        <v>175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2025-02-06T13:25:21Z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2025-02-06T13:25:19Z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391df18b-203a-4fa1-b650-c057b5d31e2d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