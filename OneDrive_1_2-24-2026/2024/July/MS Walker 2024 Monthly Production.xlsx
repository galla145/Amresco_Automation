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0B862948-50E5-4888-985C-4B7280681603}" xr6:coauthVersionLast="47" xr6:coauthVersionMax="47" xr10:uidLastSave="{6F9DFB2E-9550-4AA9-808C-69D872DC094F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4" i="34" l="1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<sst xmlns="http://schemas.openxmlformats.org/spreadsheetml/2006/main" count="243" uniqueCount="54">
  <si>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</si>
  <si>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</si>
  <si>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</si>
  <si>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</si>
  <si>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</si>
  <si>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</si>
  <si>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</si>
  <si>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</si>
  <si>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</si>
  <si>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</si>
  <si>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</si>
  <si>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</si>
  <si>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</si>
  <si>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</si>
  <si>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</si>
  <si>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</si>
  <si>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</si>
  <si>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</si>
  <si>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</si>
  <si>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</si>
  <si>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</si>
  <si>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</si>
  <si>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</si>
  <si>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</si>
  <si>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</si>
  <si>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</si>
  <si>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</si>
  <si>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</si>
  <si>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</si>
  <si>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</si>
  <si>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</si>
  <si>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</si>
  <si>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12 is offline since 06/22.
2. Most of the inverters are underproducing due to soiling effect.</t>
  </si>
  <si>
    <t>1. SR087076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</si>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</sst>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4" sqref="E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337791.33199999999</v>
      </c>
      <c r="D2" s="6">
        <f>SUM(D4:D60)</f>
        <v>0</v>
      </c>
      <c r="E2" s="6">
        <f>C2-D2</f>
        <v>337791.33199999999</v>
      </c>
      <c r="F2" s="7">
        <f>IFERROR(E2/D2, 0)</f>
        <v>0</v>
      </c>
      <c r="G2" s="6">
        <f>SUM(G4:G60)</f>
        <v>0</v>
      </c>
      <c r="H2" s="8">
        <f>C2-G2</f>
        <v>337791.33199999999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337791.33199999999</v>
      </c>
      <c r="D4" s="14">
        <f>SUM('1st Qtr'!D4, '2nd Qtr'!D4, '3rd Qtr'!D4, '4th Qtr'!D4)</f>
        <v>0</v>
      </c>
      <c r="E4" s="14">
        <f>IF(AND(ISNUMBER(C4),ISNUMBER(D4)), C4-D4, "")</f>
        <v>337791.33199999999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337791.33199999999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71907</v>
      </c>
      <c r="D2" s="6">
        <f>SUM(D4:D68)</f>
        <v>0</v>
      </c>
      <c r="E2" s="6">
        <f>C2-D2</f>
        <v>71907</v>
      </c>
      <c r="F2" s="7">
        <f>IFERROR(E2/D2, 0)</f>
        <v>0</v>
      </c>
      <c r="G2" s="6">
        <f>SUM(G4:G68)</f>
        <v>0</v>
      </c>
      <c r="H2" s="8">
        <f>C2-G2</f>
        <v>71907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71907</v>
      </c>
      <c r="D4" s="14">
        <f>SUM(Jan!D4, Feb!D4, Mar!D4)</f>
        <v>0</v>
      </c>
      <c r="E4" s="14">
        <f>IF(AND(ISNUMBER(C4),ISNUMBER(D4)), C4-D4, "")</f>
        <v>71907</v>
      </c>
      <c r="F4" s="15" t="str">
        <f>IFERROR(E4/D4, "")</f>
        <v/>
      </c>
      <c r="G4" s="16">
        <f>SUM(Jan!G4, Feb!G4, Mar!G4)</f>
        <v>0</v>
      </c>
      <c r="H4" s="16">
        <f>SUM(Jan!H4, Feb!H4, Mar!H4)</f>
        <v>71907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208869.98800000001</v>
      </c>
      <c r="D2" s="6">
        <f>SUM(D4:D90)</f>
        <v>0</v>
      </c>
      <c r="E2" s="6">
        <f>C2-D2</f>
        <v>208869.98800000001</v>
      </c>
      <c r="F2" s="7">
        <f>IFERROR(E2/D2, 0)</f>
        <v>0</v>
      </c>
      <c r="G2" s="6">
        <f>SUM(G4:G90)</f>
        <v>0</v>
      </c>
      <c r="H2" s="8">
        <f>C2-G2</f>
        <v>208869.98800000001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208869.98800000001</v>
      </c>
      <c r="D4" s="14">
        <f>SUM(Apr!D4, May!D4, Jun!D4)</f>
        <v>0</v>
      </c>
      <c r="E4" s="14">
        <f>IF(AND(ISNUMBER(C4),ISNUMBER(D4)), C4-D4, "")</f>
        <v>208869.98800000001</v>
      </c>
      <c r="F4" s="15" t="str">
        <f>IFERROR(E4/D4, "")</f>
        <v/>
      </c>
      <c r="G4" s="16">
        <f>SUM(Apr!G4+May!G4+Jun!G4)</f>
        <v>0</v>
      </c>
      <c r="H4" s="16">
        <f>SUM(Apr!H4, May!H4, Jun!H4)</f>
        <v>208869.98800000001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57014.343999999997</v>
      </c>
      <c r="D2" s="6">
        <f>SUM(D4:D89)</f>
        <v>0</v>
      </c>
      <c r="E2" s="6">
        <f>C2-D2</f>
        <v>57014.343999999997</v>
      </c>
      <c r="F2" s="7">
        <f>IFERROR(E2/D2, 0)</f>
        <v>0</v>
      </c>
      <c r="G2" s="6">
        <f>SUM(G4:G89)</f>
        <v>0</v>
      </c>
      <c r="H2" s="8">
        <f>C2-G2</f>
        <v>57014.343999999997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57014.343999999997</v>
      </c>
      <c r="D4" s="14">
        <f>SUM(Jul!D4, Aug!D4, Sep!D4)</f>
        <v>0</v>
      </c>
      <c r="E4" s="14">
        <f>IF(AND(ISNUMBER(C4),ISNUMBER(D4)), C4-D4, "")</f>
        <v>57014.343999999997</v>
      </c>
      <c r="F4" s="15" t="str">
        <f>IFERROR(E4/D4, "")</f>
        <v/>
      </c>
      <c r="G4" s="16"/>
      <c r="H4" s="16">
        <f>SUM(Jul!H4, Aug!H4, Sep!H4)</f>
        <v>57014.343999999997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8" sqref="G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9427</v>
      </c>
      <c r="D2" s="6">
        <f>SUM(D4:D89)</f>
        <v>0</v>
      </c>
      <c r="E2" s="6">
        <f>C2-D2</f>
        <v>9427</v>
      </c>
      <c r="F2" s="7">
        <f>IFERROR(E2/D2, 0)</f>
        <v>0</v>
      </c>
      <c r="G2" s="6">
        <f>SUM(G4:G89)</f>
        <v>0</v>
      </c>
      <c r="H2" s="8">
        <f>C2-G2</f>
        <v>9427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9427</v>
      </c>
      <c r="D4" s="14">
        <v>0</v>
      </c>
      <c r="E4" s="14">
        <f>IF(AND(ISNUMBER(C4),ISNUMBER(D4)), C4-D4, "")</f>
        <v>9427</v>
      </c>
      <c r="F4" s="15" t="str">
        <f>IFERROR(E4/D4, "")</f>
        <v/>
      </c>
      <c r="G4" s="16">
        <v>0</v>
      </c>
      <c r="H4" s="16">
        <f>IF(AND(ISNUMBER(C4),ISNUMBER(G4)), C4-G4, "")</f>
        <v>9427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C5" sqref="C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27709</v>
      </c>
      <c r="D2" s="6">
        <f>SUM(D4:D85)</f>
        <v>0</v>
      </c>
      <c r="E2" s="6">
        <f>C2-D2</f>
        <v>27709</v>
      </c>
      <c r="F2" s="7">
        <f>IFERROR(E2/D2, 0)</f>
        <v>0</v>
      </c>
      <c r="G2" s="6">
        <f>SUM(G4:G85)</f>
        <v>0</v>
      </c>
      <c r="H2" s="8">
        <f>C2-G2</f>
        <v>27709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27709</v>
      </c>
      <c r="D4" s="14">
        <v>0</v>
      </c>
      <c r="E4" s="14">
        <f>IF(AND(ISNUMBER(C4),ISNUMBER(D4)), C4-D4, "")</f>
        <v>27709</v>
      </c>
      <c r="F4" s="15" t="str">
        <f>IFERROR(E4/D4, "")</f>
        <v/>
      </c>
      <c r="G4" s="16">
        <v>0</v>
      </c>
      <c r="H4" s="16">
        <f>IF(AND(ISNUMBER(C4),ISNUMBER(G4)), C4-G4, "")</f>
        <v>27709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34771</v>
      </c>
      <c r="D2" s="6">
        <f>SUM(D4:D90)</f>
        <v>0</v>
      </c>
      <c r="E2" s="6">
        <f>C2-D2</f>
        <v>34771</v>
      </c>
      <c r="F2" s="7">
        <f>IFERROR(E2/D2, 0)</f>
        <v>0</v>
      </c>
      <c r="G2" s="6">
        <f>SUM(G4:G90)</f>
        <v>0</v>
      </c>
      <c r="H2" s="8">
        <f>C2-G2</f>
        <v>34771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34771</v>
      </c>
      <c r="D4" s="14">
        <v>0</v>
      </c>
      <c r="E4" s="14">
        <f>IF(AND(ISNUMBER(C4),ISNUMBER(D4)), C4-D4, "")</f>
        <v>34771</v>
      </c>
      <c r="F4" s="15" t="str">
        <f>IFERROR(E4/D4, "")</f>
        <v/>
      </c>
      <c r="G4" s="16">
        <v>0</v>
      </c>
      <c r="H4" s="16">
        <f>IF(AND(ISNUMBER(C4),ISNUMBER(G4)), C4-G4, "")</f>
        <v>34771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8" sqref="F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61204.828000000001</v>
      </c>
      <c r="D2" s="6">
        <f>SUM(D4:D90)</f>
        <v>0</v>
      </c>
      <c r="E2" s="6">
        <f>C2-D2</f>
        <v>61204.828000000001</v>
      </c>
      <c r="F2" s="7">
        <f>IFERROR(E2/D2, 0)</f>
        <v>0</v>
      </c>
      <c r="G2" s="6">
        <f>SUM(G4:G90)</f>
        <v>0</v>
      </c>
      <c r="H2" s="8">
        <f>C2-G2</f>
        <v>61204.828000000001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61204.828000000001</v>
      </c>
      <c r="D4" s="14">
        <v>0</v>
      </c>
      <c r="E4" s="14">
        <f>IF(AND(ISNUMBER(C4),ISNUMBER(D4)), C4-D4, "")</f>
        <v>61204.828000000001</v>
      </c>
      <c r="F4" s="15" t="str">
        <f>IFERROR(E4/D4, "")</f>
        <v/>
      </c>
      <c r="G4" s="16">
        <v>0</v>
      </c>
      <c r="H4" s="16">
        <f>IF(AND(ISNUMBER(C4),ISNUMBER(G4)), C4-G4, "")</f>
        <v>61204.828000000001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16" sqref="G16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72023.91</v>
      </c>
      <c r="D2" s="6">
        <f>SUM(D4:D90)</f>
        <v>0</v>
      </c>
      <c r="E2" s="6">
        <f>C2-D2</f>
        <v>72023.91</v>
      </c>
      <c r="F2" s="7">
        <f>IFERROR(E2/D2, 0)</f>
        <v>0</v>
      </c>
      <c r="G2" s="6">
        <f>SUM(G4:G90)</f>
        <v>0</v>
      </c>
      <c r="H2" s="8">
        <f>C2-G2</f>
        <v>72023.91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72023.91</v>
      </c>
      <c r="D4" s="14">
        <v>0</v>
      </c>
      <c r="E4" s="14">
        <f>IF(AND(ISNUMBER(C4),ISNUMBER(D4)), C4-D4, "")</f>
        <v>72023.91</v>
      </c>
      <c r="F4" s="15" t="str">
        <f>IFERROR(E4/D4, "")</f>
        <v/>
      </c>
      <c r="G4" s="16">
        <v>0</v>
      </c>
      <c r="H4" s="16">
        <f>IF(AND(ISNUMBER(C4),ISNUMBER(G4)), C4-G4, "")</f>
        <v>72023.91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F3" activePane="bottomLeft" state="frozen"/>
      <selection pane="bottomLeft" activeCell="J4" sqref="J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75641.25</v>
      </c>
      <c r="D2" s="6">
        <f>SUM(D4:D90)</f>
        <v>0</v>
      </c>
      <c r="E2" s="6">
        <f>C2-D2</f>
        <v>75641.25</v>
      </c>
      <c r="F2" s="7">
        <f>IFERROR(E2/D2, 0)</f>
        <v>0</v>
      </c>
      <c r="G2" s="6">
        <f>SUM(G4:G90)</f>
        <v>0</v>
      </c>
      <c r="H2" s="8">
        <f>C2-G2</f>
        <v>75641.25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MA: MS Walker</v>
      </c>
      <c r="B4" s="30" t="str" cm="1">
        <f t="array" ref="B4">Sites[State]</f>
        <v>MA</v>
      </c>
      <c r="C4" s="26">
        <v>75641.25</v>
      </c>
      <c r="D4" s="14">
        <v>0</v>
      </c>
      <c r="E4" s="14">
        <f>IF(AND(ISNUMBER(C4),ISNUMBER(D4)), C4-D4, "")</f>
        <v>75641.25</v>
      </c>
      <c r="F4" s="15" t="str">
        <f>IFERROR(E4/D4, "")</f>
        <v/>
      </c>
      <c r="G4" s="16">
        <v>0</v>
      </c>
      <c r="H4" s="16">
        <f>IF(AND(ISNUMBER(C4),ISNUMBER(G4)), C4-G4, "")</f>
        <v>75641.25</v>
      </c>
      <c r="I4" s="17" t="str">
        <f>IFERROR(H4/G4, "")</f>
        <v/>
      </c>
      <c r="J4" s="18" t="s">
        <v>32</v>
      </c>
      <c r="K4" s="18" t="s">
        <v>33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abSelected="1" topLeftCell="C1" workbookViewId="0">
      <pane ySplit="2" topLeftCell="A3" activePane="bottomLeft" state="frozen"/>
      <selection pane="bottomLeft" activeCell="F4" sqref="F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57014.343999999997</v>
      </c>
      <c r="D2" s="6">
        <f>SUM(D4:D90)</f>
        <v>0</v>
      </c>
      <c r="E2" s="6">
        <f>C2-D2</f>
        <v>57014.343999999997</v>
      </c>
      <c r="F2" s="7">
        <f>IFERROR(E2/D2, 0)</f>
        <v>0</v>
      </c>
      <c r="G2" s="6">
        <f>SUM(G4:G90)</f>
        <v>0</v>
      </c>
      <c r="H2" s="8">
        <f>C2-G2</f>
        <v>57014.343999999997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30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57014.343999999997</v>
      </c>
      <c r="D4" s="14">
        <v>0</v>
      </c>
      <c r="E4" s="14">
        <f>IF(AND(ISNUMBER(C4),ISNUMBER(D4)), C4-D4, "")</f>
        <v>57014.343999999997</v>
      </c>
      <c r="F4" s="15" t="str">
        <f>IFERROR(E4/D4, "")</f>
        <v/>
      </c>
      <c r="G4" s="16">
        <v>0</v>
      </c>
      <c r="H4" s="16">
        <f>IF(AND(ISNUMBER(C4),ISNUMBER(G4)), C4-G4, "")</f>
        <v>57014.343999999997</v>
      </c>
      <c r="I4" s="17" t="str">
        <f>IFERROR(H4/G4, "")</f>
        <v/>
      </c>
      <c r="J4" s="18" t="s">
        <v>32</v>
      </c>
      <c r="K4" s="18" t="s">
        <v>33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45">
      <c r="A4" t="s">
        <v>47</v>
      </c>
      <c r="B4" t="s">
        <v>51</v>
      </c>
      <c r="C4" s="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Sai Krishna Gujjula [AGS]</cp:lastModifiedBy>
  <cp:revision/>
  <dcterms:created xsi:type="dcterms:W3CDTF">2021-01-01T16:39:53Z</dcterms:created>
  <dcterms:modified xsi:type="dcterms:W3CDTF">2024-09-11T11:26:50Z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