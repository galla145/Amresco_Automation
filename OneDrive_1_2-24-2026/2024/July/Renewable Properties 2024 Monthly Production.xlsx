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9" documentId="13_ncr:1_{37E73B5D-47DE-4FB9-BA33-8121B74CFB37}" xr6:coauthVersionLast="47" xr6:coauthVersionMax="47" xr10:uidLastSave="{AAB48D47-F9C2-405E-BE13-EFF4D857B07C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4" i="29"/>
  <c r="D4" i="29"/>
  <c r="G6" i="18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6" i="34" s="1"/>
  <c r="C6" i="29"/>
  <c r="C6" i="34" s="1"/>
  <c r="D5" i="29"/>
  <c r="D5" i="34" s="1"/>
  <c r="C5" i="29"/>
  <c r="E5" i="29" s="1"/>
  <c r="F5" i="29" s="1"/>
  <c r="D2" i="29"/>
  <c r="C4" i="29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6" i="18"/>
  <c r="F6" i="18" s="1"/>
  <c r="D2" i="18"/>
  <c r="G4" i="34"/>
  <c r="G5" i="34"/>
  <c r="G2" i="18"/>
  <c r="E4" i="18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<sst xmlns="http://schemas.openxmlformats.org/spreadsheetml/2006/main" count="282" uniqueCount="84">
  <si>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</si>
  <si>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</si>
  <si>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</si>
  <si>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</si>
  <si>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</si>
  <si>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</si>
  <si>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</si>
  <si>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</si>
  <si>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</si>
  <si>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</si>
  <si>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</si>
  <si>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</si>
  <si>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</si>
  <si>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</si>
  <si>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</si>
  <si>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</si>
  <si>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</si>
  <si>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</si>
  <si>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</si>
  <si>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</si>
  <si>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</si>
  <si>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</si>
  <si>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</si>
  <si>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</si>
  <si>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</si>
  <si>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</si>
  <si>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</si>
  <si>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</si>
  <si>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</si>
  <si>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</si>
  <si>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</si>
  <si>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</si>
  <si>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</si>
  <si>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</si>
  <si>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</si>
  <si>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</si>
  <si>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</si>
  <si>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</si>
  <si>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</si>
  <si>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</si>
  <si>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</si>
  <si>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</si>
  <si>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</si>
  <si>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</si>
  <si>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</si>
  <si>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</si>
  <si>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</si>
  <si>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</si>
  <si>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</si>
  <si>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</si>
  <si>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</si>
  <si>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</si>
  <si>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</si>
  <si>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</si>
  <si>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</si>
  <si>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</si>
  <si>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15:00AM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</si>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</sst>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>
      <c r="A2" s="70" t="s">
        <v>2</v>
      </c>
      <c r="B2" s="70"/>
      <c r="C2" s="5">
        <f>SUM(C4:C80)</f>
        <v>8952773</v>
      </c>
      <c r="D2" s="5">
        <f>SUM(D4:D80)</f>
        <v>9157116.0161000006</v>
      </c>
      <c r="E2" s="5">
        <f>C2-D2</f>
        <v>-204343.01610000059</v>
      </c>
      <c r="F2" s="6">
        <f>IFERROR(E2/D2, 0)</f>
        <v>-2.2315215373565827E-2</v>
      </c>
      <c r="G2" s="5">
        <f>SUM(G4:G80)</f>
        <v>10412993.014</v>
      </c>
      <c r="H2" s="7">
        <f>C2-G2</f>
        <v>-1460220.0140000004</v>
      </c>
      <c r="I2" s="6">
        <f>IFERROR(H2/G2, 0)</f>
        <v>-0.14023057655342439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789824.5</v>
      </c>
      <c r="D4" s="35">
        <f>SUM('1st Qtr'!D4, '2nd Qtr'!D4, '3rd Qtr'!D4, '4th Qtr'!D4)</f>
        <v>709354.20600000001</v>
      </c>
      <c r="E4" s="35">
        <f>IF(AND(ISNUMBER(C4),ISNUMBER(D4)), C4-D4, "")</f>
        <v>80470.293999999994</v>
      </c>
      <c r="F4" s="36">
        <f>IFERROR(E4/D4, "")</f>
        <v>0.1134416252407475</v>
      </c>
      <c r="G4" s="37">
        <f>SUM('1st Qtr'!G4, '2nd Qtr'!G4, '3rd Qtr'!G4, '4th Qtr'!G4)</f>
        <v>693857.68400000012</v>
      </c>
      <c r="H4" s="37">
        <f>SUM('1st Qtr'!H4, '2nd Qtr'!H4, '3rd Qtr'!H4, '4th Qtr'!H4)</f>
        <v>95966.816000000006</v>
      </c>
      <c r="I4" s="38">
        <f>IFERROR(H4/G4, "")</f>
        <v>0.13830907722569805</v>
      </c>
    </row>
    <row r="5" spans="1:9" ht="15.75">
      <c r="A5" s="39" t="str">
        <v>Bullis</v>
      </c>
      <c r="B5" s="40" t="str">
        <v>NY</v>
      </c>
      <c r="C5" s="42">
        <f>SUM('1st Qtr'!C5, '2nd Qtr'!C5, '3rd Qtr'!C5, '4th Qtr'!C5)</f>
        <v>4655689.5</v>
      </c>
      <c r="D5" s="42">
        <f>SUM('1st Qtr'!D5, '2nd Qtr'!D5, '3rd Qtr'!D5, '4th Qtr'!D5)</f>
        <v>4628878.7489999998</v>
      </c>
      <c r="E5" s="42">
        <f t="shared" ref="E5:E6" si="0">IF(AND(ISNUMBER(C5),ISNUMBER(D5)), C5-D5, "")</f>
        <v>26810.751000000164</v>
      </c>
      <c r="F5" s="43">
        <f>IFERROR(E5/D5, "")</f>
        <v>5.7920616317271708E-3</v>
      </c>
      <c r="G5" s="44">
        <f>SUM('1st Qtr'!G5, '2nd Qtr'!G5, '3rd Qtr'!G5, '4th Qtr'!G5)</f>
        <v>5364278.3600000003</v>
      </c>
      <c r="H5" s="44">
        <f>SUM(Jan!H5, Feb!H5, Mar!H5)</f>
        <v>-293031.94999999995</v>
      </c>
      <c r="I5" s="43">
        <f>IFERROR(H5/G5, "")</f>
        <v>-5.4626536942053827E-2</v>
      </c>
    </row>
    <row r="6" spans="1:9" ht="15.75">
      <c r="A6" s="32" t="str">
        <v>Rock Island</v>
      </c>
      <c r="B6" s="33" t="str">
        <v>NY</v>
      </c>
      <c r="C6" s="34">
        <f>SUM('1st Qtr'!C6, '2nd Qtr'!C6, '3rd Qtr'!C6, '4th Qtr'!C6)</f>
        <v>3507259</v>
      </c>
      <c r="D6" s="35">
        <f>SUM('1st Qtr'!D6, '2nd Qtr'!D6, '3rd Qtr'!D6, '4th Qtr'!D6)</f>
        <v>3818883.0611</v>
      </c>
      <c r="E6" s="35">
        <f t="shared" si="0"/>
        <v>-311624.06110000005</v>
      </c>
      <c r="F6" s="36">
        <f t="shared" ref="F6" si="1">IFERROR(E6/D6, "")</f>
        <v>-8.1600838809198606E-2</v>
      </c>
      <c r="G6" s="37">
        <f>SUM('1st Qtr'!G6, '2nd Qtr'!G6, '3rd Qtr'!G6, '4th Qtr'!G6)</f>
        <v>4354856.97</v>
      </c>
      <c r="H6" s="37">
        <f>SUM(Jan!H6, Feb!H6, Mar!H6)</f>
        <v>-439892.42000000004</v>
      </c>
      <c r="I6" s="38">
        <f t="shared" ref="I6" si="2">IFERROR(H6/G6, "")</f>
        <v>-0.10101190992731962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>
      <c r="A2" s="70" t="s">
        <v>2</v>
      </c>
      <c r="B2" s="70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229797.5</v>
      </c>
      <c r="D4" s="35">
        <f>SUM(Jan!D4, Feb!D4, Mar!D4)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SUM(Jan!G4, Feb!G4, Mar!G4)</f>
        <v>205591.58000000002</v>
      </c>
      <c r="H4" s="37">
        <f>SUM(Jan!H4, Feb!H4, Mar!H4)</f>
        <v>24205.919999999998</v>
      </c>
      <c r="I4" s="38">
        <f>IFERROR(H4/G4, "")</f>
        <v>0.11773789568619492</v>
      </c>
    </row>
    <row r="5" spans="1:9" ht="15.75">
      <c r="A5" s="46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SUM(Jan!G5, Feb!G5, Mar!G5)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45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SUM(Jan!G6, Feb!G6, Mar!G6)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4" sqref="G4:G5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418829</v>
      </c>
      <c r="D4" s="35">
        <f>SUM(Apr!D4, May!D4, Jun!D4)</f>
        <v>374872.33</v>
      </c>
      <c r="E4" s="35">
        <f>IF(AND(ISNUMBER(C4),ISNUMBER(D4)), C4-D4, "")</f>
        <v>43956.669999999984</v>
      </c>
      <c r="F4" s="36">
        <f>IFERROR(E4/D4, "")</f>
        <v>0.11725770744402496</v>
      </c>
      <c r="G4" s="37">
        <f>SUM(Apr!G4, May!G4, Jun!G4)</f>
        <v>324449.804</v>
      </c>
      <c r="H4" s="37">
        <f>SUM(Apr!H4, May!H4, Jun!H4)</f>
        <v>94379.195999999996</v>
      </c>
      <c r="I4" s="38">
        <f>IFERROR(H4/G4, "")</f>
        <v>0.29088997692844959</v>
      </c>
    </row>
    <row r="5" spans="1:9" ht="15.75">
      <c r="A5" s="46" t="str">
        <v>Bullis</v>
      </c>
      <c r="B5" s="40" t="str">
        <v>NY</v>
      </c>
      <c r="C5" s="41">
        <f>SUM(Apr!C5, May!C5, Jun!C5)</f>
        <v>2515514</v>
      </c>
      <c r="D5" s="42">
        <f>SUM(Apr!D5, May!D5, Jun!D5)</f>
        <v>2470642.6669999999</v>
      </c>
      <c r="E5" s="42">
        <f t="shared" ref="E5:E6" si="0">IF(AND(ISNUMBER(C5),ISNUMBER(D5)), C5-D5, "")</f>
        <v>44871.333000000101</v>
      </c>
      <c r="F5" s="43">
        <f>IFERROR(E5/D5, "")</f>
        <v>1.816180607553642E-2</v>
      </c>
      <c r="G5" s="14">
        <f>SUM(Apr!G5, May!G5, Jun!G5)</f>
        <v>2874886.41</v>
      </c>
      <c r="H5" s="44">
        <f>SUM(Apr!H5, May!H5, Jun!H5)</f>
        <v>-359372.41000000003</v>
      </c>
      <c r="I5" s="43">
        <f>IFERROR(H5/G5, "")</f>
        <v>-0.12500403798562601</v>
      </c>
    </row>
    <row r="6" spans="1:9" ht="15.75">
      <c r="A6" s="45" t="str">
        <v>Rock Island</v>
      </c>
      <c r="B6" s="33" t="str">
        <v>NY</v>
      </c>
      <c r="C6" s="34">
        <f>SUM(Apr!C6, May!C6, Jun!C6)</f>
        <v>2084275</v>
      </c>
      <c r="D6" s="35">
        <f>SUM(Apr!D6, May!D6, Jun!D6)</f>
        <v>2262393.1140000001</v>
      </c>
      <c r="E6" s="35">
        <f t="shared" si="0"/>
        <v>-178118.11400000006</v>
      </c>
      <c r="F6" s="36">
        <f t="shared" ref="F6" si="1">IFERROR(E6/D6, "")</f>
        <v>-7.8729957626630251E-2</v>
      </c>
      <c r="G6" s="37">
        <f>SUM(Apr!G6, May!G6, Jun!G6)</f>
        <v>2395233.3499999996</v>
      </c>
      <c r="H6" s="37">
        <f>SUM(Apr!H6, May!H6, Jun!H6)</f>
        <v>-310958.34999999998</v>
      </c>
      <c r="I6" s="38">
        <f t="shared" ref="I6" si="2">IFERROR(H6/G6, "")</f>
        <v>-0.12982382280206645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15" sqref="F15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5">
        <f>SUM(C4:C80)</f>
        <v>2077427</v>
      </c>
      <c r="D2" s="5">
        <f>SUM(D4:D80)</f>
        <v>2106041.4</v>
      </c>
      <c r="E2" s="5">
        <f>C2-D2</f>
        <v>-28614.399999999907</v>
      </c>
      <c r="F2" s="6">
        <f>IFERROR(E2/D2, 0)</f>
        <v>-1.3586817429135015E-2</v>
      </c>
      <c r="G2" s="5">
        <f>SUM(G4:G80)</f>
        <v>2252977</v>
      </c>
      <c r="H2" s="7">
        <f>C2-G2</f>
        <v>-175550</v>
      </c>
      <c r="I2" s="6">
        <f>IFERROR(H2/G2, 0)</f>
        <v>-7.7919126560102484E-2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141198</v>
      </c>
      <c r="D4" s="35">
        <f>SUM(Jul!D4, Aug!D4, Sep!D4)</f>
        <v>129239</v>
      </c>
      <c r="E4" s="35">
        <f>IF(AND(ISNUMBER(C4),ISNUMBER(D4)), C4-D4, "")</f>
        <v>11959</v>
      </c>
      <c r="F4" s="36">
        <f>IFERROR(E4/D4, "")</f>
        <v>9.2533987418658453E-2</v>
      </c>
      <c r="G4" s="37">
        <f>SUM(Jul!G4, Aug!G4, Sep!G4)</f>
        <v>163816.29999999999</v>
      </c>
      <c r="H4" s="37">
        <f>SUM(Jul!H4, Aug!H4, Sep!H4)</f>
        <v>-22618.299999999988</v>
      </c>
      <c r="I4" s="38">
        <f>IFERROR(H4/G4, "")</f>
        <v>-0.13807111990687124</v>
      </c>
    </row>
    <row r="5" spans="1:9" ht="15.75">
      <c r="A5" s="46" t="str">
        <v>Bullis</v>
      </c>
      <c r="B5" s="40" t="str">
        <v>NY</v>
      </c>
      <c r="C5" s="41">
        <f>SUM(Jul!C5, Aug!C5, Sep!C5)</f>
        <v>1063971.5</v>
      </c>
      <c r="D5" s="42">
        <f>SUM(Jul!D5, Aug!D5, Sep!D5)</f>
        <v>1030113</v>
      </c>
      <c r="E5" s="42">
        <f t="shared" ref="E5:E6" si="0">IF(AND(ISNUMBER(C5),ISNUMBER(D5)), C5-D5, "")</f>
        <v>33858.5</v>
      </c>
      <c r="F5" s="43">
        <f>IFERROR(E5/D5, "")</f>
        <v>3.2868724110849977E-2</v>
      </c>
      <c r="G5" s="14">
        <f>SUM(Jul!G5, Aug!G5, Sep!G5)</f>
        <v>1120156</v>
      </c>
      <c r="H5" s="44">
        <f>SUM(Jul!H5, Aug!H5, Sep!H5)</f>
        <v>-56184.5</v>
      </c>
      <c r="I5" s="43">
        <f>IFERROR(H5/G5, "")</f>
        <v>-5.0157745885394532E-2</v>
      </c>
    </row>
    <row r="6" spans="1:9" ht="15.75">
      <c r="A6" s="45" t="str">
        <v>Rock Island</v>
      </c>
      <c r="B6" s="33" t="str">
        <v>NY</v>
      </c>
      <c r="C6" s="34">
        <f>SUM(Jul!C6, Aug!C6, Sep!C6)</f>
        <v>872257.5</v>
      </c>
      <c r="D6" s="35">
        <f>SUM(Jul!D6, Aug!D6, Sep!D6)</f>
        <v>946689.4</v>
      </c>
      <c r="E6" s="35">
        <f t="shared" si="0"/>
        <v>-74431.900000000023</v>
      </c>
      <c r="F6" s="36">
        <f t="shared" ref="F6" si="1">IFERROR(E6/D6, "")</f>
        <v>-7.8623358410900152E-2</v>
      </c>
      <c r="G6" s="37">
        <f>SUM(Jul!G6, Aug!G6, Sep!G6)</f>
        <v>969004.7</v>
      </c>
      <c r="H6" s="37">
        <f>SUM(Jul!H6, Aug!H6, Sep!H6)</f>
        <v>-96747.199999999953</v>
      </c>
      <c r="I6" s="38">
        <f t="shared" ref="I6" si="2">IFERROR(H6/G6, "")</f>
        <v>-9.9841827392581226E-2</v>
      </c>
    </row>
    <row r="7" spans="1:9" ht="15.75">
      <c r="A7" s="10"/>
      <c r="B7" s="14"/>
      <c r="C7" s="14"/>
      <c r="D7" s="14"/>
      <c r="E7" s="14"/>
      <c r="F7" s="14"/>
      <c r="G7" s="14"/>
      <c r="H7" s="14"/>
      <c r="I7" s="14"/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4.25">
      <c r="A7" s="14"/>
      <c r="B7" s="9"/>
      <c r="C7" s="28"/>
      <c r="D7" s="11"/>
      <c r="E7" s="11"/>
      <c r="F7" s="12"/>
      <c r="G7" s="13"/>
      <c r="H7" s="13"/>
      <c r="I7" s="12"/>
    </row>
    <row r="8" spans="1:9" ht="14.25">
      <c r="A8" s="14"/>
      <c r="B8" s="9"/>
      <c r="C8" s="28"/>
      <c r="D8" s="11"/>
      <c r="E8" s="11"/>
      <c r="F8" s="12"/>
      <c r="G8" s="13"/>
      <c r="H8" s="13"/>
      <c r="I8" s="12"/>
    </row>
    <row r="9" spans="1:9" ht="14.25">
      <c r="A9" s="14"/>
      <c r="B9" s="9"/>
      <c r="C9" s="28"/>
      <c r="D9" s="11"/>
      <c r="E9" s="11"/>
      <c r="F9" s="12"/>
      <c r="G9" s="13"/>
      <c r="H9" s="13"/>
      <c r="I9" s="12"/>
    </row>
    <row r="10" spans="1:9" ht="14.25">
      <c r="A10" s="14"/>
      <c r="B10" s="9"/>
      <c r="C10" s="28"/>
      <c r="D10" s="11"/>
      <c r="E10" s="11"/>
      <c r="F10" s="12"/>
      <c r="G10" s="13"/>
      <c r="H10" s="13"/>
      <c r="I10" s="12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E15" sqref="E1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28.5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75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I16" sqref="I16"/>
      <selection pane="bottomLeft" activeCell="B15" sqref="B15"/>
      <selection pane="topRight" activeCell="B15" sqref="B15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28</v>
      </c>
      <c r="E1" s="69"/>
      <c r="F1" s="69"/>
      <c r="G1" s="67" t="s">
        <v>29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28.5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75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15.75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D4" activePane="bottomRight" state="frozen"/>
      <selection pane="bottomRight" activeCell="J17" sqref="J17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34</v>
      </c>
      <c r="E1" s="69"/>
      <c r="F1" s="69"/>
      <c r="G1" s="67" t="s">
        <v>35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109599.75</v>
      </c>
      <c r="D4" s="35">
        <v>91011.606</v>
      </c>
      <c r="E4" s="35">
        <f>IF(AND(ISNUMBER(C4),ISNUMBER(D4)), C4-D4, "")</f>
        <v>18588.144</v>
      </c>
      <c r="F4" s="36">
        <f>IFERROR(E4/D4, "")</f>
        <v>0.20423927031899647</v>
      </c>
      <c r="G4" s="37">
        <v>108406</v>
      </c>
      <c r="H4" s="37">
        <f>IF(AND(ISNUMBER(C4),ISNUMBER(G4)), C4-G4, "")</f>
        <v>1193.75</v>
      </c>
      <c r="I4" s="38">
        <f>IFERROR(H4/G4, "")</f>
        <v>1.1011844362858144E-2</v>
      </c>
      <c r="J4" s="57"/>
      <c r="K4" s="57"/>
    </row>
    <row r="5" spans="1:11" ht="28.5">
      <c r="A5" s="63" t="str">
        <v>Bullis</v>
      </c>
      <c r="B5" s="59" t="str">
        <v>NY</v>
      </c>
      <c r="C5" s="41">
        <v>576094</v>
      </c>
      <c r="D5" s="42">
        <v>584497.08200000005</v>
      </c>
      <c r="E5" s="42">
        <f t="shared" ref="E5:E6" si="0">IF(AND(ISNUMBER(C5),ISNUMBER(D5)), C5-D5, "")</f>
        <v>-8403.0820000000531</v>
      </c>
      <c r="F5" s="43">
        <f>IFERROR(E5/D5, "")</f>
        <v>-1.4376602140162698E-2</v>
      </c>
      <c r="G5" s="44">
        <v>680204.95</v>
      </c>
      <c r="H5" s="44">
        <f t="shared" ref="H5:H6" si="1">IF(AND(ISNUMBER(C5),ISNUMBER(G5)), C5-G5, "")</f>
        <v>-104110.94999999995</v>
      </c>
      <c r="I5" s="43">
        <f t="shared" ref="I5:I6" si="2">IFERROR(H5/G5, "")</f>
        <v>-0.15305820694189298</v>
      </c>
      <c r="J5" s="65" t="s">
        <v>36</v>
      </c>
      <c r="K5" s="65" t="s">
        <v>37</v>
      </c>
    </row>
    <row r="6" spans="1:11" ht="28.5">
      <c r="A6" s="64" t="str">
        <v>Rock Island</v>
      </c>
      <c r="B6" s="56" t="str">
        <v>NY</v>
      </c>
      <c r="C6" s="34">
        <v>550158</v>
      </c>
      <c r="D6" s="35">
        <v>608989.25399999996</v>
      </c>
      <c r="E6" s="35">
        <f t="shared" si="0"/>
        <v>-58831.253999999957</v>
      </c>
      <c r="F6" s="36">
        <f t="shared" ref="F6" si="3">IFERROR(E6/D6, "")</f>
        <v>-9.6604748956703207E-2</v>
      </c>
      <c r="G6" s="37">
        <v>600863.52</v>
      </c>
      <c r="H6" s="37">
        <f t="shared" si="1"/>
        <v>-50705.520000000019</v>
      </c>
      <c r="I6" s="38">
        <f t="shared" si="2"/>
        <v>-8.4387749151421304E-2</v>
      </c>
      <c r="J6" s="57" t="s">
        <v>38</v>
      </c>
      <c r="K6" s="57" t="s">
        <v>39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H4" activePane="bottomRight" state="frozen"/>
      <selection pane="bottomRight" activeCell="H5" sqref="H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40</v>
      </c>
      <c r="E1" s="69"/>
      <c r="F1" s="69"/>
      <c r="G1" s="67" t="s">
        <v>41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131405.25</v>
      </c>
      <c r="D4" s="35">
        <v>110454.16</v>
      </c>
      <c r="E4" s="35">
        <f>IF(AND(ISNUMBER(C4),ISNUMBER(D4)), C4-D4, "")</f>
        <v>20951.089999999997</v>
      </c>
      <c r="F4" s="36">
        <f>IFERROR(E4/D4, "")</f>
        <v>0.18968131213889994</v>
      </c>
      <c r="G4" s="37">
        <v>118284.372</v>
      </c>
      <c r="H4" s="37">
        <f>IF(AND(ISNUMBER(C4),ISNUMBER(G4)), C4-G4, "")</f>
        <v>13120.877999999997</v>
      </c>
      <c r="I4" s="38">
        <f>IFERROR(H4/G4, "")</f>
        <v>0.11092655587671377</v>
      </c>
      <c r="J4" s="57"/>
      <c r="K4" s="57"/>
    </row>
    <row r="5" spans="1:11" ht="15.75">
      <c r="A5" s="63" t="str">
        <v>Bullis</v>
      </c>
      <c r="B5" s="59" t="str">
        <v>NY</v>
      </c>
      <c r="C5" s="42">
        <v>644409</v>
      </c>
      <c r="D5" s="42">
        <v>637554.67700000003</v>
      </c>
      <c r="E5" s="42">
        <f t="shared" ref="E5:E6" si="0">IF(AND(ISNUMBER(C5),ISNUMBER(D5)), C5-D5, "")</f>
        <v>6854.3229999999749</v>
      </c>
      <c r="F5" s="43">
        <f>IFERROR(E5/D5, "")</f>
        <v>1.0750957129281594E-2</v>
      </c>
      <c r="G5" s="44">
        <v>825963.54</v>
      </c>
      <c r="H5" s="44">
        <f t="shared" ref="H5:H6" si="1">IF(AND(ISNUMBER(C5),ISNUMBER(G5)), C5-G5, "")</f>
        <v>-181554.54000000004</v>
      </c>
      <c r="I5" s="43">
        <f t="shared" ref="I5:I6" si="2">IFERROR(H5/G5, "")</f>
        <v>-0.21980938771219857</v>
      </c>
      <c r="J5" s="60"/>
      <c r="K5" s="60"/>
    </row>
    <row r="6" spans="1:11" ht="42.75">
      <c r="A6" s="64" t="str">
        <v>Rock Island</v>
      </c>
      <c r="B6" s="56" t="str">
        <v>NY</v>
      </c>
      <c r="C6" s="34">
        <v>604873.5</v>
      </c>
      <c r="D6" s="35">
        <v>671134.67200000002</v>
      </c>
      <c r="E6" s="35">
        <f t="shared" si="0"/>
        <v>-66261.17200000002</v>
      </c>
      <c r="F6" s="36">
        <f t="shared" ref="F6" si="3">IFERROR(E6/D6, "")</f>
        <v>-9.8730068292463391E-2</v>
      </c>
      <c r="G6" s="37">
        <v>661577.9</v>
      </c>
      <c r="H6" s="37">
        <f t="shared" si="1"/>
        <v>-56704.400000000023</v>
      </c>
      <c r="I6" s="38">
        <f t="shared" si="2"/>
        <v>-8.5710843726793204E-2</v>
      </c>
      <c r="J6" s="57" t="s">
        <v>42</v>
      </c>
      <c r="K6" s="57" t="s">
        <v>43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E4" activePane="bottomRight" state="frozen"/>
      <selection pane="bottomRight" activeCell="J17" sqref="J17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44</v>
      </c>
      <c r="E1" s="69"/>
      <c r="F1" s="69"/>
      <c r="G1" s="67" t="s">
        <v>45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122900</v>
      </c>
      <c r="D4" s="35">
        <v>107134.67</v>
      </c>
      <c r="E4" s="35">
        <f>IF(AND(ISNUMBER(C4),ISNUMBER(D4)), C4-D4, "")</f>
        <v>15765.330000000002</v>
      </c>
      <c r="F4" s="36">
        <f>IFERROR(E4/D4, "")</f>
        <v>0.14715432455245347</v>
      </c>
      <c r="G4" s="37">
        <v>49888.031999999999</v>
      </c>
      <c r="H4" s="37">
        <f>IF(AND(ISNUMBER(C4),ISNUMBER(G4)), C4-G4, "")</f>
        <v>73011.967999999993</v>
      </c>
      <c r="I4" s="38">
        <f>IFERROR(H4/G4, "")</f>
        <v>1.4635167007590115</v>
      </c>
      <c r="J4" s="57"/>
      <c r="K4" s="57"/>
    </row>
    <row r="5" spans="1:11" ht="15.75">
      <c r="A5" s="63" t="str">
        <v>Bullis</v>
      </c>
      <c r="B5" s="59" t="str">
        <v>NY</v>
      </c>
      <c r="C5" s="41">
        <v>966814</v>
      </c>
      <c r="D5" s="42">
        <v>954212.39</v>
      </c>
      <c r="E5" s="42">
        <f t="shared" ref="E5:E6" si="0">IF(AND(ISNUMBER(C5),ISNUMBER(D5)), C5-D5, "")</f>
        <v>12601.609999999986</v>
      </c>
      <c r="F5" s="43">
        <f>IFERROR(E5/D5, "")</f>
        <v>1.3206294669889988E-2</v>
      </c>
      <c r="G5" s="44">
        <v>999785.87</v>
      </c>
      <c r="H5" s="44">
        <f t="shared" ref="H5:H6" si="1">IF(AND(ISNUMBER(C5),ISNUMBER(G5)), C5-G5, "")</f>
        <v>-32971.869999999995</v>
      </c>
      <c r="I5" s="43">
        <f t="shared" ref="I5:I6" si="2">IFERROR(H5/G5, "")</f>
        <v>-3.2978931778661763E-2</v>
      </c>
      <c r="J5" s="60"/>
      <c r="K5" s="60"/>
    </row>
    <row r="6" spans="1:11" ht="15.75">
      <c r="A6" s="64" t="str">
        <v>Rock Island</v>
      </c>
      <c r="B6" s="56" t="str">
        <v>NY</v>
      </c>
      <c r="C6" s="34">
        <v>726597.5</v>
      </c>
      <c r="D6" s="35">
        <v>790857.04200000002</v>
      </c>
      <c r="E6" s="35">
        <f t="shared" si="0"/>
        <v>-64259.542000000016</v>
      </c>
      <c r="F6" s="36">
        <f t="shared" ref="F6" si="3">IFERROR(E6/D6, "")</f>
        <v>-8.1253043960377372E-2</v>
      </c>
      <c r="G6" s="37">
        <v>859646.75</v>
      </c>
      <c r="H6" s="37">
        <f t="shared" si="1"/>
        <v>-133049.25</v>
      </c>
      <c r="I6" s="38">
        <f t="shared" si="2"/>
        <v>-0.15477200373292868</v>
      </c>
      <c r="J6" s="57" t="s">
        <v>46</v>
      </c>
      <c r="K6" s="57" t="s">
        <v>47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J17" sqref="J17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18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48</v>
      </c>
      <c r="E1" s="69"/>
      <c r="F1" s="69"/>
      <c r="G1" s="67" t="s">
        <v>49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164523.75</v>
      </c>
      <c r="D4" s="35">
        <v>157283.5</v>
      </c>
      <c r="E4" s="35">
        <f>IF(AND(ISNUMBER(C4),ISNUMBER(D4)), C4-D4, "")</f>
        <v>7240.25</v>
      </c>
      <c r="F4" s="36">
        <f>IFERROR(E4/D4, "")</f>
        <v>4.6033118540724234E-2</v>
      </c>
      <c r="G4" s="37">
        <v>156277.4</v>
      </c>
      <c r="H4" s="37">
        <f>IF(AND(ISNUMBER(C4),ISNUMBER(G4)), C4-G4, "")</f>
        <v>8246.3500000000058</v>
      </c>
      <c r="I4" s="38">
        <f>IFERROR(H4/G4, "")</f>
        <v>5.2767386711066386E-2</v>
      </c>
      <c r="J4" s="57"/>
      <c r="K4" s="57"/>
    </row>
    <row r="5" spans="1:11" ht="42.75">
      <c r="A5" s="63" t="str">
        <v>Bullis</v>
      </c>
      <c r="B5" s="59" t="str">
        <v>NY</v>
      </c>
      <c r="C5" s="41">
        <v>904291</v>
      </c>
      <c r="D5" s="42">
        <v>878875.6</v>
      </c>
      <c r="E5" s="42">
        <f t="shared" ref="E5:E6" si="0">IF(AND(ISNUMBER(C5),ISNUMBER(D5)), C5-D5, "")</f>
        <v>25415.400000000023</v>
      </c>
      <c r="F5" s="43">
        <f>IFERROR(E5/D5, "")</f>
        <v>2.8918085790526012E-2</v>
      </c>
      <c r="G5" s="44">
        <v>1049137</v>
      </c>
      <c r="H5" s="44">
        <f t="shared" ref="H5:H6" si="1">IF(AND(ISNUMBER(C5),ISNUMBER(G5)), C5-G5, "")</f>
        <v>-144846</v>
      </c>
      <c r="I5" s="43">
        <f t="shared" ref="I5:I6" si="2">IFERROR(H5/G5, "")</f>
        <v>-0.13806204528102622</v>
      </c>
      <c r="J5" s="60" t="s">
        <v>50</v>
      </c>
      <c r="K5" s="66" t="s">
        <v>51</v>
      </c>
    </row>
    <row r="6" spans="1:11" ht="58.5" customHeight="1">
      <c r="A6" s="64" t="str">
        <v>Rock Island</v>
      </c>
      <c r="B6" s="56" t="str">
        <v>NY</v>
      </c>
      <c r="C6" s="34">
        <v>752804</v>
      </c>
      <c r="D6" s="35">
        <v>800401.4</v>
      </c>
      <c r="E6" s="35">
        <f t="shared" si="0"/>
        <v>-47597.400000000023</v>
      </c>
      <c r="F6" s="36">
        <f t="shared" ref="F6" si="3">IFERROR(E6/D6, "")</f>
        <v>-5.9466912476664864E-2</v>
      </c>
      <c r="G6" s="37">
        <v>874008.7</v>
      </c>
      <c r="H6" s="37">
        <f t="shared" si="1"/>
        <v>-121204.69999999995</v>
      </c>
      <c r="I6" s="38">
        <f t="shared" si="2"/>
        <v>-0.13867676603219162</v>
      </c>
      <c r="J6" s="57" t="s">
        <v>52</v>
      </c>
      <c r="K6" s="57" t="s">
        <v>53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tabSelected="1" zoomScale="90" zoomScaleNormal="90" workbookViewId="0">
      <pane xSplit="2" ySplit="3" topLeftCell="C4" activePane="bottomRight" state="frozen"/>
      <selection pane="bottomRight" activeCell="H19" sqref="H1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54</v>
      </c>
      <c r="E1" s="69"/>
      <c r="F1" s="69"/>
      <c r="G1" s="67" t="s">
        <v>55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2077427</v>
      </c>
      <c r="D2" s="5">
        <f>SUM(D4:D80)</f>
        <v>2106041.4</v>
      </c>
      <c r="E2" s="5">
        <f>C2-D2</f>
        <v>-28614.399999999907</v>
      </c>
      <c r="F2" s="6">
        <f>IFERROR(E2/D2, 0)</f>
        <v>-1.3586817429135015E-2</v>
      </c>
      <c r="G2" s="5">
        <f>SUM(G4:G80)</f>
        <v>2252977</v>
      </c>
      <c r="H2" s="7">
        <f>C2-G2</f>
        <v>-175550</v>
      </c>
      <c r="I2" s="6">
        <f>IFERROR(H2/G2, 0)</f>
        <v>-7.7919126560102484E-2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141198</v>
      </c>
      <c r="D4" s="35">
        <v>129239</v>
      </c>
      <c r="E4" s="35">
        <f>IF(AND(ISNUMBER(C4),ISNUMBER(D4)), C4-D4, "")</f>
        <v>11959</v>
      </c>
      <c r="F4" s="36">
        <f>IFERROR(E4/D4, "")</f>
        <v>9.2533987418658453E-2</v>
      </c>
      <c r="G4" s="37">
        <v>163816.29999999999</v>
      </c>
      <c r="H4" s="37">
        <f>IF(AND(ISNUMBER(C4),ISNUMBER(G4)), C4-G4, "")</f>
        <v>-22618.299999999988</v>
      </c>
      <c r="I4" s="38">
        <f>IFERROR(H4/G4, "")</f>
        <v>-0.13807111990687124</v>
      </c>
      <c r="J4" s="57"/>
      <c r="K4" s="57"/>
    </row>
    <row r="5" spans="1:11" ht="42.75">
      <c r="A5" s="63" t="str">
        <v>Bullis</v>
      </c>
      <c r="B5" s="59" t="str">
        <v>NY</v>
      </c>
      <c r="C5" s="41">
        <v>1063971.5</v>
      </c>
      <c r="D5" s="42">
        <v>1030113</v>
      </c>
      <c r="E5" s="42">
        <f t="shared" ref="E5:E6" si="0">IF(AND(ISNUMBER(C5),ISNUMBER(D5)), C5-D5, "")</f>
        <v>33858.5</v>
      </c>
      <c r="F5" s="43">
        <f>IFERROR(E5/D5, "")</f>
        <v>3.2868724110849977E-2</v>
      </c>
      <c r="G5" s="44">
        <v>1120156</v>
      </c>
      <c r="H5" s="44">
        <f t="shared" ref="H5:H6" si="1">IF(AND(ISNUMBER(C5),ISNUMBER(G5)), C5-G5, "")</f>
        <v>-56184.5</v>
      </c>
      <c r="I5" s="43">
        <f t="shared" ref="I5:I6" si="2">IFERROR(H5/G5, "")</f>
        <v>-5.0157745885394532E-2</v>
      </c>
      <c r="J5" s="60" t="s">
        <v>56</v>
      </c>
      <c r="K5" s="66" t="s">
        <v>57</v>
      </c>
    </row>
    <row r="6" spans="1:11" ht="15.75">
      <c r="A6" s="64" t="str">
        <v>Rock Island</v>
      </c>
      <c r="B6" s="56" t="str">
        <v>NY</v>
      </c>
      <c r="C6" s="34">
        <v>872257.5</v>
      </c>
      <c r="D6" s="35">
        <v>946689.4</v>
      </c>
      <c r="E6" s="35">
        <f t="shared" si="0"/>
        <v>-74431.900000000023</v>
      </c>
      <c r="F6" s="36">
        <f t="shared" ref="F6" si="3">IFERROR(E6/D6, "")</f>
        <v>-7.8623358410900152E-2</v>
      </c>
      <c r="G6" s="37">
        <v>969004.7</v>
      </c>
      <c r="H6" s="37">
        <f t="shared" si="1"/>
        <v>-96747.199999999953</v>
      </c>
      <c r="I6" s="38">
        <f t="shared" si="2"/>
        <v>-9.9841827392581226E-2</v>
      </c>
      <c r="J6" s="57" t="s">
        <v>58</v>
      </c>
      <c r="K6" s="57" t="s">
        <v>59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60</v>
      </c>
      <c r="E1" s="69"/>
      <c r="F1" s="69"/>
      <c r="G1" s="67" t="s">
        <v>61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62</v>
      </c>
      <c r="E1" s="69"/>
      <c r="F1" s="69"/>
      <c r="G1" s="67" t="s">
        <v>63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64</v>
      </c>
      <c r="E1" s="69"/>
      <c r="F1" s="69"/>
      <c r="G1" s="67" t="s">
        <v>65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66</v>
      </c>
      <c r="E1" s="69"/>
      <c r="F1" s="69"/>
      <c r="G1" s="67" t="s">
        <v>67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68</v>
      </c>
      <c r="E1" s="69"/>
      <c r="F1" s="69"/>
      <c r="G1" s="67" t="s">
        <v>69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37" sqref="E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70</v>
      </c>
      <c r="B1" t="s">
        <v>71</v>
      </c>
    </row>
    <row r="3" spans="1:12">
      <c r="A3" t="s">
        <v>72</v>
      </c>
      <c r="B3" t="s">
        <v>3</v>
      </c>
      <c r="C3" t="s">
        <v>4</v>
      </c>
      <c r="D3" t="s">
        <v>73</v>
      </c>
      <c r="E3" s="2" t="s">
        <v>74</v>
      </c>
    </row>
    <row r="4" spans="1:12" ht="14.25">
      <c r="A4" s="31" t="s">
        <v>75</v>
      </c>
      <c r="B4" t="s">
        <v>76</v>
      </c>
      <c r="C4" s="30" t="s">
        <v>77</v>
      </c>
      <c r="D4" s="29" t="s">
        <v>78</v>
      </c>
      <c r="E4" t="s">
        <v>79</v>
      </c>
      <c r="G4" s="3"/>
    </row>
    <row r="5" spans="1:12" ht="14.25">
      <c r="A5" s="31" t="s">
        <v>80</v>
      </c>
      <c r="B5" t="s">
        <v>80</v>
      </c>
      <c r="C5" s="30" t="s">
        <v>81</v>
      </c>
      <c r="D5" s="29"/>
      <c r="E5" t="s">
        <v>79</v>
      </c>
      <c r="G5" s="3"/>
    </row>
    <row r="6" spans="1:12" ht="14.25">
      <c r="A6" s="31" t="s">
        <v>82</v>
      </c>
      <c r="B6" t="s">
        <v>83</v>
      </c>
      <c r="C6" s="30" t="s">
        <v>81</v>
      </c>
      <c r="D6" s="29" t="s">
        <v>78</v>
      </c>
      <c r="E6" t="s">
        <v>79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2024-08-08T12:29:53Z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