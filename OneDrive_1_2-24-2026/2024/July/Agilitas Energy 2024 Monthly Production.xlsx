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_amgsol_com/Documents/Microsoft Teams Chat Files/"/>
    </mc:Choice>
  </mc:AlternateContent>
  <xr:revisionPtr revIDLastSave="127" documentId="13_ncr:1_{4B927DAF-51AC-4181-A78E-E893DC7798DF}" xr6:coauthVersionLast="47" xr6:coauthVersionMax="47" xr10:uidLastSave="{1BED80E0-F221-42B5-93AE-BCCE3D4BBE97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6" l="1"/>
  <c r="G4" i="18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F6" i="26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8" i="18"/>
  <c r="F8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<sst xmlns="http://schemas.openxmlformats.org/spreadsheetml/2006/main" count="296" uniqueCount="95">
  <si>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</si>
  <si>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</si>
  <si>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</si>
  <si>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</si>
  <si>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</si>
  <si>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</si>
  <si>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</si>
  <si>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</si>
  <si>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</si>
  <si>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</si>
  <si>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</si>
  <si>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</si>
  <si>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</si>
  <si>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</si>
  <si>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</si>
  <si>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</si>
  <si>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</si>
  <si>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</si>
  <si>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</si>
  <si>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</si>
  <si>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</si>
  <si>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</si>
  <si>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</si>
  <si>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</si>
  <si>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</si>
  <si>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</si>
  <si>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</si>
  <si>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</si>
  <si>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</si>
  <si>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</si>
  <si>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</si>
  <si>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</si>
  <si>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</si>
  <si>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</si>
  <si>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</si>
  <si>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</si>
  <si>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</si>
  <si>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</si>
  <si>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</si>
  <si>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</si>
  <si>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</si>
  <si>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</si>
  <si>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</si>
  <si>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</si>
  <si>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</si>
  <si>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
3. Inverter 21 is derating by 5kW during peak hours from 04/25</t>
  </si>
  <si>
    <t>1. SR083024
2. SR083071
3. 	SR083818</t>
  </si>
  <si>
    <t>May Actual v. Expected</t>
  </si>
  <si>
    <t>May Actual v. Forecasted</t>
  </si>
  <si>
    <t xml:space="preserve">1. Inverter 13 is overheating on high irradiance days and is about 7 kW down for multiple days.  </t>
  </si>
  <si>
    <t>1. SR085127</t>
  </si>
  <si>
    <t>1. Inverter 21 is derating by 5kW during peak hours from 04/25
2. Inverter 5 is derating by 8kW during peak hours from 05/21</t>
  </si>
  <si>
    <t>1. 	SR083818
2. 	SR084975</t>
  </si>
  <si>
    <t>June Actual v. Expected</t>
  </si>
  <si>
    <t>June Actual v. Forecasted</t>
  </si>
  <si>
    <t>1. Inverter 13 is derating due to overheating on sunny days. Issue occurred throughout the month</t>
  </si>
  <si>
    <t>1. Site tripped offline at 19:50 on 06/19 and back online at 10:45 on 06/20</t>
  </si>
  <si>
    <t>1. SR086453</t>
  </si>
  <si>
    <t>1. Inverter 21 is derating by 5kW during peak hours from 04/25 throughout the month
2. Inverter 5 is derating by 8kW during peak hours from 05/21 throughout the month</t>
  </si>
  <si>
    <t>July Actual v. Expected</t>
  </si>
  <si>
    <t>July Actual v. Forecasted</t>
  </si>
  <si>
    <t xml:space="preserve">1. Inverters 25, 26 and 27 are offline on 07/05 and back online on 07/08 at 10:15 AM
2. Site tripped offline at 17:30 on 07/23 and back online on 07/24 at 06:00 AM </t>
  </si>
  <si>
    <t>1. SR087391
2. SR088075</t>
  </si>
  <si>
    <t xml:space="preserve">1. Inverter 1 stopped communicating, as per meter offline on 07/11 at 13:00 and back online on 07/12 at 08:30 AM 
2. Inverter 2 tripped offline at 15:15 on 07/11 and back online on 07/12 at 13:00
again tripped offline on 07/14 at 10:00 AM, back online on 07/15 at 07:30 AM
  Inverter 2 tripped offline at 17:30 on 07/18 and back online on 07/19 at 07:45
3. Inverter 1 tripped offline at 13:00 on 07/22 and back online on 07/24 at 12:15
4. Inverter 2 and 3 are offline on 07/23 and back online on 07/24 </t>
  </si>
  <si>
    <t>1. SR087558
2. SR087558, SR087578
3. SR087988, SR087990
4. SR088071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</si>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</sst>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SUM(C4:C80)</f>
        <v>4439783.8832722306</v>
      </c>
      <c r="D2" s="5">
        <f>SUM(D4:D80)</f>
        <v>3812598.801</v>
      </c>
      <c r="E2" s="5">
        <f>C2-D2</f>
        <v>627185.08227223065</v>
      </c>
      <c r="F2" s="6">
        <f>IFERROR(E2/D2, 0)</f>
        <v>0.16450329945750583</v>
      </c>
      <c r="G2" s="5">
        <f>SUM(G4:G80)</f>
        <v>4257604.3499999996</v>
      </c>
      <c r="H2" s="7">
        <f>C2-G2</f>
        <v>182179.533272231</v>
      </c>
      <c r="I2" s="6">
        <f>IFERROR(H2/G2, 0)</f>
        <v>4.2789211560306448E-2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515605.90460556507</v>
      </c>
      <c r="D4" s="12">
        <f>SUM('1st Qtr'!D4, '2nd Qtr'!D4, '3rd Qtr'!D4, '4th Qtr'!D4)</f>
        <v>528892.26</v>
      </c>
      <c r="E4" s="12">
        <f>IF(AND(ISNUMBER(C4),ISNUMBER(D4)), C4-D4, "")</f>
        <v>-13286.355394434941</v>
      </c>
      <c r="F4" s="13">
        <f>IFERROR(E4/D4, "")</f>
        <v>-2.5121100078936569E-2</v>
      </c>
      <c r="G4" s="14">
        <f>SUM('1st Qtr'!G4, '2nd Qtr'!G4, '3rd Qtr'!G4, '4th Qtr'!G4)</f>
        <v>420655.77</v>
      </c>
      <c r="H4" s="14">
        <f>SUM('1st Qtr'!H4, '2nd Qtr'!H4, '3rd Qtr'!H4, '4th Qtr'!H4)</f>
        <v>2586.4946055651017</v>
      </c>
      <c r="I4" s="15">
        <f>IFERROR(H4/G4, "")</f>
        <v>6.1487201413286249E-3</v>
      </c>
    </row>
    <row r="5" spans="1:9" ht="15.6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3836948.58</v>
      </c>
      <c r="H6" s="14">
        <f>SUM(Jan!H6, Feb!H6, Mar!H6)</f>
        <v>585028.85200000007</v>
      </c>
      <c r="I6" s="15">
        <f t="shared" ref="I6:I8" si="2">IFERROR(H6/G6, "")</f>
        <v>0.15247242432422695</v>
      </c>
    </row>
    <row r="7" spans="1:9" ht="15.6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6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6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SUM(C4:C80)</f>
        <v>7162125.6251099482</v>
      </c>
      <c r="D2" s="5">
        <f>SUM(D4:D80)</f>
        <v>6142431.2199999997</v>
      </c>
      <c r="E2" s="5">
        <f>C2-D2</f>
        <v>1019694.4051099485</v>
      </c>
      <c r="F2" s="6">
        <f>IFERROR(E2/D2, 0)</f>
        <v>0.16600827401856499</v>
      </c>
      <c r="G2" s="5">
        <f>SUM(G4:G80)</f>
        <v>2544607.8600000003</v>
      </c>
      <c r="H2" s="7">
        <f>C2-G2</f>
        <v>4617517.7651099479</v>
      </c>
      <c r="I2" s="6">
        <f>IFERROR(H2/G2, 0)</f>
        <v>1.8146284296669379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265030.19762126857</v>
      </c>
      <c r="D4" s="12">
        <f>SUM(Apr!D4, May!D4, Jun!D4)</f>
        <v>268035.71999999997</v>
      </c>
      <c r="E4" s="12">
        <f>IF(AND(ISNUMBER(C4),ISNUMBER(D4)), C4-D4, "")</f>
        <v>-3005.5223787314026</v>
      </c>
      <c r="F4" s="13">
        <f>IFERROR(E4/D4, "")</f>
        <v>-1.121314121390762E-2</v>
      </c>
      <c r="G4" s="14">
        <f>SUM(Apr!G4+May!G4+Jun!G4)</f>
        <v>257263.74</v>
      </c>
      <c r="H4" s="14">
        <f>SUM(Apr!H4, May!H4, Jun!H4)</f>
        <v>7766.4576212685934</v>
      </c>
      <c r="I4" s="15">
        <f>IFERROR(H4/G4, "")</f>
        <v>3.0188699041958238E-2</v>
      </c>
    </row>
    <row r="5" spans="1:9" ht="15.6">
      <c r="A5" s="49" t="str">
        <v>Auburn - Leicester Street Solar</v>
      </c>
      <c r="B5" s="10" t="str">
        <v>MA</v>
      </c>
      <c r="C5" s="11">
        <f>SUM(Apr!C5, May!C5, Jun!C5)</f>
        <v>2706720</v>
      </c>
      <c r="D5" s="17">
        <f>SUM(Apr!D5, May!D5, Jun!D5)</f>
        <v>2809460.8</v>
      </c>
      <c r="E5" s="17">
        <f t="shared" ref="E5:E8" si="0">IF(AND(ISNUMBER(C5),ISNUMBER(D5)), C5-D5, "")</f>
        <v>-102740.79999999981</v>
      </c>
      <c r="F5" s="18">
        <f>IFERROR(E5/D5, "")</f>
        <v>-3.6569579472331422E-2</v>
      </c>
      <c r="G5" s="19">
        <f>SUM(Apr!G5+May!G5+Jun!G5)</f>
        <v>0</v>
      </c>
      <c r="H5" s="19">
        <f>SUM(Apr!H5, May!H5, Jun!H5)</f>
        <v>2706720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SUM(Apr!C6, May!C6, Jun!C6)</f>
        <v>3706056.42748868</v>
      </c>
      <c r="D6" s="12">
        <f>SUM(Apr!D6, May!D6, Jun!D6)</f>
        <v>3064934.7</v>
      </c>
      <c r="E6" s="12">
        <f t="shared" si="0"/>
        <v>641121.72748867981</v>
      </c>
      <c r="F6" s="13">
        <f t="shared" ref="F6:F8" si="1">IFERROR(E6/D6, "")</f>
        <v>0.20917957158717926</v>
      </c>
      <c r="G6" s="14">
        <f>SUM(Apr!G6+May!G6+Jun!G6)</f>
        <v>2287344.12</v>
      </c>
      <c r="H6" s="14">
        <f>SUM(Apr!H6, May!H6, Jun!H6)</f>
        <v>1418712.3074886799</v>
      </c>
      <c r="I6" s="15">
        <f t="shared" ref="I6:I8" si="2">IFERROR(H6/G6, "")</f>
        <v>0.62024436772927716</v>
      </c>
    </row>
    <row r="7" spans="1:9" ht="15.6">
      <c r="A7" s="49" t="str">
        <v>Dover - Littleworth Road</v>
      </c>
      <c r="B7" s="10" t="str">
        <v>NH</v>
      </c>
      <c r="C7" s="11">
        <f>SUM(Apr!C7, May!C7, Jun!C7)</f>
        <v>128040</v>
      </c>
      <c r="D7" s="17">
        <f>SUM(Apr!D7, May!D7, Jun!D7)</f>
        <v>0</v>
      </c>
      <c r="E7" s="17">
        <f t="shared" si="0"/>
        <v>128040</v>
      </c>
      <c r="F7" s="18" t="str">
        <f t="shared" si="1"/>
        <v/>
      </c>
      <c r="G7" s="19">
        <f>SUM(Apr!G7+May!G7+Jun!G7)</f>
        <v>0</v>
      </c>
      <c r="H7" s="19">
        <f>SUM(Apr!H7, May!H7, Jun!H7)</f>
        <v>128040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SUM(Apr!C8, May!C8, Jun!C8)</f>
        <v>356279</v>
      </c>
      <c r="D8" s="12">
        <f>SUM(Apr!D8, May!D8, Jun!D8)</f>
        <v>0</v>
      </c>
      <c r="E8" s="12">
        <f t="shared" si="0"/>
        <v>356279</v>
      </c>
      <c r="F8" s="13" t="str">
        <f t="shared" si="1"/>
        <v/>
      </c>
      <c r="G8" s="14">
        <f>SUM(Apr!G8+May!G8+Jun!G8)</f>
        <v>0</v>
      </c>
      <c r="H8" s="14">
        <f>SUM(Apr!H8, May!H8, Jun!H8)</f>
        <v>356279</v>
      </c>
      <c r="I8" s="15" t="str">
        <f t="shared" si="2"/>
        <v/>
      </c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0</v>
      </c>
      <c r="H2" s="7">
        <f>C2-G2</f>
        <v>2397003.7419999996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93398.466</v>
      </c>
      <c r="D4" s="12">
        <f>SUM(Jul!D4, Aug!D4, Sep!D4)</f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/>
      <c r="H4" s="14">
        <f>SUM(Jul!H4, Aug!H4, Sep!H4)</f>
        <v>1034.8260000000009</v>
      </c>
      <c r="I4" s="15" t="str">
        <f>IFERROR(H4/G4, "")</f>
        <v/>
      </c>
    </row>
    <row r="5" spans="1:9" ht="15.6">
      <c r="A5" s="49" t="str">
        <v>Auburn - Leicester Street Solar</v>
      </c>
      <c r="B5" s="10" t="str">
        <v>MA</v>
      </c>
      <c r="C5" s="11">
        <f>SUM(Jul!C5, Aug!C5, Sep!C5)</f>
        <v>964199.4</v>
      </c>
      <c r="D5" s="17">
        <f>SUM(Jul!D5, Aug!D5, Sep!D5)</f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/>
      <c r="H5" s="19">
        <f>SUM(Jul!H5, Aug!H5, Sep!H5)</f>
        <v>964199.4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SUM(Jul!C6, Aug!C6, Sep!C6)</f>
        <v>1152335.8759999999</v>
      </c>
      <c r="D6" s="12">
        <f>SUM(Jul!D6, Aug!D6, Sep!D6)</f>
        <v>10331092.275</v>
      </c>
      <c r="E6" s="12">
        <f t="shared" si="0"/>
        <v>-9178756.3990000002</v>
      </c>
      <c r="F6" s="13">
        <f t="shared" ref="F6:F8" si="1">IFERROR(E6/D6, "")</f>
        <v>-0.88845943436314911</v>
      </c>
      <c r="G6" s="14"/>
      <c r="H6" s="14">
        <f>SUM(Jul!H6, Aug!H6, Sep!H6)</f>
        <v>341109.83599999989</v>
      </c>
      <c r="I6" s="15" t="str">
        <f t="shared" ref="I6:I8" si="2">IFERROR(H6/G6, "")</f>
        <v/>
      </c>
    </row>
    <row r="7" spans="1:9" ht="15.6">
      <c r="A7" s="49" t="str">
        <v>Dover - Littleworth Road</v>
      </c>
      <c r="B7" s="10" t="str">
        <v>NH</v>
      </c>
      <c r="C7" s="11">
        <f>SUM(Jul!C7, Aug!C7, Sep!C7)</f>
        <v>47158</v>
      </c>
      <c r="D7" s="17">
        <f>SUM(Jul!D7, Aug!D7, Sep!D7)</f>
        <v>0</v>
      </c>
      <c r="E7" s="17">
        <f t="shared" si="0"/>
        <v>47158</v>
      </c>
      <c r="F7" s="18" t="str">
        <f t="shared" si="1"/>
        <v/>
      </c>
      <c r="G7" s="19"/>
      <c r="H7" s="19">
        <f>SUM(Jul!H7, Aug!H7, Sep!H7)</f>
        <v>47158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SUM(Jul!C8, Aug!C8, Sep!C8)</f>
        <v>139912</v>
      </c>
      <c r="D8" s="12">
        <f>SUM(Jul!D8, Aug!D8, Sep!D8)</f>
        <v>0</v>
      </c>
      <c r="E8" s="12">
        <f t="shared" si="0"/>
        <v>139912</v>
      </c>
      <c r="F8" s="13" t="str">
        <f t="shared" si="1"/>
        <v/>
      </c>
      <c r="G8" s="14"/>
      <c r="H8" s="14">
        <f>SUM(Jul!H8, Aug!H8, Sep!H8)</f>
        <v>139912</v>
      </c>
      <c r="I8" s="15" t="str">
        <f t="shared" si="2"/>
        <v/>
      </c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6">
      <c r="A11" s="16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6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6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6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4.45">
      <c r="A9" s="20"/>
      <c r="B9" s="10"/>
      <c r="C9" s="45"/>
      <c r="D9" s="17"/>
      <c r="E9" s="17"/>
      <c r="F9" s="18"/>
      <c r="G9" s="19"/>
      <c r="H9" s="19"/>
      <c r="I9" s="18"/>
    </row>
    <row r="10" spans="1:9" ht="14.45">
      <c r="A10" s="20"/>
      <c r="B10" s="10"/>
      <c r="C10" s="45"/>
      <c r="D10" s="17"/>
      <c r="E10" s="17"/>
      <c r="F10" s="18"/>
      <c r="G10" s="19"/>
      <c r="H10" s="19"/>
      <c r="I10" s="18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F29" sqref="F29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57.6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28.9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6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6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7" sqref="C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27</v>
      </c>
      <c r="E1" s="59"/>
      <c r="F1" s="59"/>
      <c r="G1" s="57" t="s">
        <v>28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6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6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6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15.6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D34" sqref="D34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3.1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6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28.9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85.5" customHeight="1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6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2378796</v>
      </c>
      <c r="D2" s="5">
        <f>SUM(D4:D80)</f>
        <v>2044259.92</v>
      </c>
      <c r="E2" s="5">
        <f>C2-D2</f>
        <v>334536.08000000007</v>
      </c>
      <c r="F2" s="6">
        <f>IFERROR(E2/D2, 0)</f>
        <v>0.16364654842912543</v>
      </c>
      <c r="G2" s="5">
        <f>SUM(G4:G80)</f>
        <v>881066.60000000009</v>
      </c>
      <c r="H2" s="7">
        <f>C2-G2</f>
        <v>1497729.4</v>
      </c>
      <c r="I2" s="6">
        <f>IFERROR(H2/G2, 0)</f>
        <v>1.6999048653075712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90222.8</v>
      </c>
      <c r="D4" s="12">
        <v>90753.52</v>
      </c>
      <c r="E4" s="12">
        <f>IF(AND(ISNUMBER(C4),ISNUMBER(D4)), C4-D4, "")</f>
        <v>-530.72000000000116</v>
      </c>
      <c r="F4" s="13">
        <f>IFERROR(E4/D4, "")</f>
        <v>-5.847927441271712E-3</v>
      </c>
      <c r="G4" s="14">
        <v>88730.3</v>
      </c>
      <c r="H4" s="14">
        <f>IF(AND(ISNUMBER(C4),ISNUMBER(G4)), C4-G4, "")</f>
        <v>1492.5</v>
      </c>
      <c r="I4" s="15">
        <f>IFERROR(H4/G4, "")</f>
        <v>1.6820635115625666E-2</v>
      </c>
      <c r="J4" s="40" t="s">
        <v>49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891783</v>
      </c>
      <c r="D5" s="17">
        <v>932322.4</v>
      </c>
      <c r="E5" s="17">
        <f t="shared" ref="E5:E8" si="0">IF(AND(ISNUMBER(C5),ISNUMBER(D5)), C5-D5, "")</f>
        <v>-40539.400000000023</v>
      </c>
      <c r="F5" s="18">
        <f>IFERROR(E5/D5, "")</f>
        <v>-4.3482168829151825E-2</v>
      </c>
      <c r="G5" s="19">
        <v>0</v>
      </c>
      <c r="H5" s="19">
        <f t="shared" ref="H5:H8" si="1">IF(AND(ISNUMBER(C5),ISNUMBER(G5)), C5-G5, "")</f>
        <v>891783</v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>
        <v>1235742.2</v>
      </c>
      <c r="D6" s="12">
        <v>1021184</v>
      </c>
      <c r="E6" s="12">
        <f t="shared" si="0"/>
        <v>214558.19999999995</v>
      </c>
      <c r="F6" s="13">
        <f t="shared" ref="F6:F8" si="3">IFERROR(E6/D6, "")</f>
        <v>0.21010728722737523</v>
      </c>
      <c r="G6" s="14">
        <v>792336.3</v>
      </c>
      <c r="H6" s="14">
        <f t="shared" si="1"/>
        <v>443405.89999999991</v>
      </c>
      <c r="I6" s="15">
        <f t="shared" si="2"/>
        <v>0.55961830853893713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42525</v>
      </c>
      <c r="D7" s="17">
        <v>0</v>
      </c>
      <c r="E7" s="17">
        <f t="shared" si="0"/>
        <v>42525</v>
      </c>
      <c r="F7" s="18" t="str">
        <f t="shared" si="3"/>
        <v/>
      </c>
      <c r="G7" s="19">
        <v>0</v>
      </c>
      <c r="H7" s="19">
        <f t="shared" si="1"/>
        <v>42525</v>
      </c>
      <c r="I7" s="18" t="str">
        <f t="shared" si="2"/>
        <v/>
      </c>
      <c r="J7" s="41"/>
      <c r="K7" s="42"/>
    </row>
    <row r="8" spans="1:11" ht="28.9">
      <c r="A8" s="27" t="str">
        <v>Milton - Landfill</v>
      </c>
      <c r="B8" s="28" t="str">
        <v>NH</v>
      </c>
      <c r="C8" s="23">
        <v>118523</v>
      </c>
      <c r="D8" s="12">
        <v>0</v>
      </c>
      <c r="E8" s="12">
        <f t="shared" si="0"/>
        <v>118523</v>
      </c>
      <c r="F8" s="13" t="str">
        <f t="shared" si="3"/>
        <v/>
      </c>
      <c r="G8" s="14">
        <v>0</v>
      </c>
      <c r="H8" s="14">
        <f t="shared" si="1"/>
        <v>118523</v>
      </c>
      <c r="I8" s="15" t="str">
        <f t="shared" si="2"/>
        <v/>
      </c>
      <c r="J8" s="40" t="s">
        <v>51</v>
      </c>
      <c r="K8" s="40" t="s">
        <v>52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K8" sqref="K8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2696426</v>
      </c>
      <c r="D2" s="5">
        <f>SUM(D4:D80)</f>
        <v>2283590</v>
      </c>
      <c r="E2" s="5">
        <f>C2-D2</f>
        <v>412836</v>
      </c>
      <c r="F2" s="6">
        <f>IFERROR(E2/D2, 0)</f>
        <v>0.18078376591244488</v>
      </c>
      <c r="G2" s="5">
        <f>SUM(G4:G80)</f>
        <v>883334.92</v>
      </c>
      <c r="H2" s="7">
        <f>C2-G2</f>
        <v>1813091.08</v>
      </c>
      <c r="I2" s="6">
        <f>IFERROR(H2/G2, 0)</f>
        <v>2.0525522527740665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95579</v>
      </c>
      <c r="D4" s="12">
        <v>97442</v>
      </c>
      <c r="E4" s="12">
        <f>IF(AND(ISNUMBER(C4),ISNUMBER(D4)), C4-D4, "")</f>
        <v>-1863</v>
      </c>
      <c r="F4" s="13">
        <f>IFERROR(E4/D4, "")</f>
        <v>-1.9119065700621909E-2</v>
      </c>
      <c r="G4" s="14">
        <v>86272</v>
      </c>
      <c r="H4" s="14">
        <f>IF(AND(ISNUMBER(C4),ISNUMBER(G4)), C4-G4, "")</f>
        <v>9307</v>
      </c>
      <c r="I4" s="15">
        <f>IFERROR(H4/G4, "")</f>
        <v>0.10787972922848665</v>
      </c>
      <c r="J4" s="40" t="s">
        <v>55</v>
      </c>
      <c r="K4" s="40" t="s">
        <v>50</v>
      </c>
    </row>
    <row r="5" spans="1:11" ht="15.6">
      <c r="A5" s="29" t="str">
        <v>Auburn - Leicester Street Solar</v>
      </c>
      <c r="B5" s="30" t="str">
        <v>MA</v>
      </c>
      <c r="C5" s="11">
        <v>1008493</v>
      </c>
      <c r="D5" s="17">
        <v>1029524</v>
      </c>
      <c r="E5" s="17">
        <f t="shared" ref="E5:E8" si="0">IF(AND(ISNUMBER(C5),ISNUMBER(D5)), C5-D5, "")</f>
        <v>-21031</v>
      </c>
      <c r="F5" s="18">
        <f>IFERROR(E5/D5, "")</f>
        <v>-2.0427887062370573E-2</v>
      </c>
      <c r="G5" s="19">
        <v>0</v>
      </c>
      <c r="H5" s="19">
        <f t="shared" ref="H5:H8" si="1">IF(AND(ISNUMBER(C5),ISNUMBER(G5)), C5-G5, "")</f>
        <v>1008493</v>
      </c>
      <c r="I5" s="18" t="str">
        <f t="shared" ref="I5:I8" si="2">IFERROR(H5/G5, "")</f>
        <v/>
      </c>
      <c r="J5" s="41" t="s">
        <v>56</v>
      </c>
      <c r="K5" s="41" t="s">
        <v>57</v>
      </c>
    </row>
    <row r="6" spans="1:11" ht="15.6">
      <c r="A6" s="27" t="str">
        <v>Rochester - Old Middleboro</v>
      </c>
      <c r="B6" s="28" t="str">
        <v>MA</v>
      </c>
      <c r="C6" s="23">
        <v>1418818</v>
      </c>
      <c r="D6" s="12">
        <v>1156624</v>
      </c>
      <c r="E6" s="12">
        <f t="shared" si="0"/>
        <v>262194</v>
      </c>
      <c r="F6" s="13">
        <f t="shared" ref="F6:F8" si="3">IFERROR(E6/D6, "")</f>
        <v>0.22668905365961625</v>
      </c>
      <c r="G6" s="14">
        <v>797062.92</v>
      </c>
      <c r="H6" s="14">
        <f t="shared" si="1"/>
        <v>621755.07999999996</v>
      </c>
      <c r="I6" s="15">
        <f t="shared" si="2"/>
        <v>0.78005771489156706</v>
      </c>
      <c r="J6" s="40"/>
      <c r="K6" s="40"/>
    </row>
    <row r="7" spans="1:11" ht="15.6">
      <c r="A7" s="29" t="str">
        <v>Dover - Littleworth Road</v>
      </c>
      <c r="B7" s="30" t="str">
        <v>NH</v>
      </c>
      <c r="C7" s="11">
        <v>45862</v>
      </c>
      <c r="D7" s="17">
        <v>0</v>
      </c>
      <c r="E7" s="17">
        <f t="shared" si="0"/>
        <v>45862</v>
      </c>
      <c r="F7" s="18" t="str">
        <f t="shared" si="3"/>
        <v/>
      </c>
      <c r="G7" s="19">
        <v>0</v>
      </c>
      <c r="H7" s="19">
        <f t="shared" si="1"/>
        <v>45862</v>
      </c>
      <c r="I7" s="18" t="str">
        <f t="shared" si="2"/>
        <v/>
      </c>
      <c r="J7" s="41"/>
      <c r="K7" s="42"/>
    </row>
    <row r="8" spans="1:11" ht="34.9" customHeight="1">
      <c r="A8" s="27" t="str">
        <v>Milton - Landfill</v>
      </c>
      <c r="B8" s="28" t="str">
        <v>NH</v>
      </c>
      <c r="C8" s="23">
        <v>127674</v>
      </c>
      <c r="D8" s="12">
        <v>0</v>
      </c>
      <c r="E8" s="12">
        <f t="shared" si="0"/>
        <v>127674</v>
      </c>
      <c r="F8" s="13" t="str">
        <f t="shared" si="3"/>
        <v/>
      </c>
      <c r="G8" s="14">
        <v>0</v>
      </c>
      <c r="H8" s="14">
        <f t="shared" si="1"/>
        <v>127674</v>
      </c>
      <c r="I8" s="15" t="str">
        <f t="shared" si="2"/>
        <v/>
      </c>
      <c r="J8" s="40" t="s">
        <v>58</v>
      </c>
      <c r="K8" s="40" t="s">
        <v>52</v>
      </c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I11" sqref="I1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2397003.7419999996</v>
      </c>
      <c r="D2" s="5">
        <f>SUM(D4:D80)</f>
        <v>11418182.1</v>
      </c>
      <c r="E2" s="5">
        <f>C2-D2</f>
        <v>-9021178.3579999991</v>
      </c>
      <c r="F2" s="6">
        <f>IFERROR(E2/D2, 0)</f>
        <v>-0.79007133350938585</v>
      </c>
      <c r="G2" s="5">
        <f>SUM(G4:G80)</f>
        <v>903589.68</v>
      </c>
      <c r="H2" s="7">
        <f>C2-G2</f>
        <v>1493414.0619999995</v>
      </c>
      <c r="I2" s="6">
        <f>IFERROR(H2/G2, 0)</f>
        <v>1.6527568818625722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93398.466</v>
      </c>
      <c r="D4" s="12">
        <v>95319.722999999998</v>
      </c>
      <c r="E4" s="12">
        <f>IF(AND(ISNUMBER(C4),ISNUMBER(D4)), C4-D4, "")</f>
        <v>-1921.2569999999978</v>
      </c>
      <c r="F4" s="13">
        <f>IFERROR(E4/D4, "")</f>
        <v>-2.0155923029696571E-2</v>
      </c>
      <c r="G4" s="14">
        <v>92363.64</v>
      </c>
      <c r="H4" s="14">
        <f>IF(AND(ISNUMBER(C4),ISNUMBER(G4)), C4-G4, "")</f>
        <v>1034.8260000000009</v>
      </c>
      <c r="I4" s="15">
        <f>IFERROR(H4/G4, "")</f>
        <v>1.1203824362054169E-2</v>
      </c>
      <c r="J4" s="40"/>
      <c r="K4" s="40"/>
    </row>
    <row r="5" spans="1:11" ht="45.75">
      <c r="A5" s="29" t="str">
        <v>Auburn - Leicester Street Solar</v>
      </c>
      <c r="B5" s="30" t="str">
        <v>MA</v>
      </c>
      <c r="C5" s="11">
        <v>964199.4</v>
      </c>
      <c r="D5" s="17">
        <v>991770.10199999996</v>
      </c>
      <c r="E5" s="17">
        <f t="shared" ref="E5:E8" si="0">IF(AND(ISNUMBER(C5),ISNUMBER(D5)), C5-D5, "")</f>
        <v>-27570.701999999932</v>
      </c>
      <c r="F5" s="18">
        <f>IFERROR(E5/D5, "")</f>
        <v>-2.7799488958581184E-2</v>
      </c>
      <c r="G5" s="19">
        <v>0</v>
      </c>
      <c r="H5" s="19">
        <f t="shared" ref="H5:H8" si="1">IF(AND(ISNUMBER(C5),ISNUMBER(G5)), C5-G5, "")</f>
        <v>964199.4</v>
      </c>
      <c r="I5" s="18" t="str">
        <f t="shared" ref="I5:I8" si="2">IFERROR(H5/G5, "")</f>
        <v/>
      </c>
      <c r="J5" s="41" t="s">
        <v>61</v>
      </c>
      <c r="K5" s="41" t="s">
        <v>62</v>
      </c>
    </row>
    <row r="6" spans="1:11" ht="106.5">
      <c r="A6" s="27" t="str">
        <v>Rochester - Old Middleboro</v>
      </c>
      <c r="B6" s="28" t="str">
        <v>MA</v>
      </c>
      <c r="C6" s="23">
        <v>1152335.8759999999</v>
      </c>
      <c r="D6" s="12">
        <v>10331092.275</v>
      </c>
      <c r="E6" s="12">
        <f>IF(AND(ISNUMBER(C6),ISNUMBER(D6)), C6-D6, "")</f>
        <v>-9178756.3990000002</v>
      </c>
      <c r="F6" s="13">
        <f t="shared" ref="F6:F8" si="3">IFERROR(E6/D6, "")</f>
        <v>-0.88845943436314911</v>
      </c>
      <c r="G6" s="14">
        <v>811226.04</v>
      </c>
      <c r="H6" s="14">
        <f t="shared" si="1"/>
        <v>341109.83599999989</v>
      </c>
      <c r="I6" s="15">
        <f t="shared" si="2"/>
        <v>0.42048679305215581</v>
      </c>
      <c r="J6" s="40" t="s">
        <v>63</v>
      </c>
      <c r="K6" s="40" t="s">
        <v>64</v>
      </c>
    </row>
    <row r="7" spans="1:11" ht="15.6">
      <c r="A7" s="29" t="str">
        <v>Dover - Littleworth Road</v>
      </c>
      <c r="B7" s="30" t="str">
        <v>NH</v>
      </c>
      <c r="C7" s="11">
        <v>47158</v>
      </c>
      <c r="D7" s="17">
        <v>0</v>
      </c>
      <c r="E7" s="17">
        <f t="shared" si="0"/>
        <v>47158</v>
      </c>
      <c r="F7" s="18" t="str">
        <f t="shared" si="3"/>
        <v/>
      </c>
      <c r="G7" s="19">
        <v>0</v>
      </c>
      <c r="H7" s="19">
        <f t="shared" si="1"/>
        <v>47158</v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>
        <v>139912</v>
      </c>
      <c r="D8" s="12">
        <v>0</v>
      </c>
      <c r="E8" s="12">
        <f t="shared" si="0"/>
        <v>139912</v>
      </c>
      <c r="F8" s="13" t="str">
        <f t="shared" si="3"/>
        <v/>
      </c>
      <c r="G8" s="14">
        <v>0</v>
      </c>
      <c r="H8" s="14">
        <f t="shared" si="1"/>
        <v>139912</v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65</v>
      </c>
      <c r="E1" s="59"/>
      <c r="F1" s="59"/>
      <c r="G1" s="57" t="s">
        <v>66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bottomRight" activeCell="F4" sqref="F4:J5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67</v>
      </c>
      <c r="E1" s="59"/>
      <c r="F1" s="59"/>
      <c r="G1" s="57" t="s">
        <v>68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69</v>
      </c>
      <c r="E1" s="59"/>
      <c r="F1" s="59"/>
      <c r="G1" s="57" t="s">
        <v>70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71</v>
      </c>
      <c r="E1" s="59"/>
      <c r="F1" s="59"/>
      <c r="G1" s="57" t="s">
        <v>72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73</v>
      </c>
      <c r="E1" s="59"/>
      <c r="F1" s="59"/>
      <c r="G1" s="57" t="s">
        <v>74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6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6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4.4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75</v>
      </c>
      <c r="B1" t="s">
        <v>76</v>
      </c>
    </row>
    <row r="3" spans="1:12" ht="13.15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12" ht="14.45">
      <c r="A4" s="50" t="s">
        <v>80</v>
      </c>
      <c r="B4" t="s">
        <v>81</v>
      </c>
      <c r="C4" s="47" t="s">
        <v>82</v>
      </c>
      <c r="D4" s="46" t="s">
        <v>83</v>
      </c>
      <c r="E4" t="s">
        <v>84</v>
      </c>
      <c r="G4" s="3"/>
    </row>
    <row r="5" spans="1:12" ht="14.45">
      <c r="A5" s="50" t="s">
        <v>85</v>
      </c>
      <c r="B5" t="s">
        <v>86</v>
      </c>
      <c r="C5" s="47" t="s">
        <v>82</v>
      </c>
      <c r="D5" s="46" t="s">
        <v>83</v>
      </c>
      <c r="E5" t="s">
        <v>84</v>
      </c>
      <c r="G5" s="3"/>
    </row>
    <row r="6" spans="1:12" ht="14.45">
      <c r="A6" s="50" t="s">
        <v>87</v>
      </c>
      <c r="B6" t="s">
        <v>88</v>
      </c>
      <c r="C6" s="47" t="s">
        <v>82</v>
      </c>
      <c r="D6" s="46" t="s">
        <v>83</v>
      </c>
      <c r="E6" t="s">
        <v>84</v>
      </c>
      <c r="G6" s="3"/>
    </row>
    <row r="7" spans="1:12" ht="12.75" customHeight="1">
      <c r="A7" s="50" t="s">
        <v>89</v>
      </c>
      <c r="B7" t="s">
        <v>90</v>
      </c>
      <c r="C7" s="47" t="s">
        <v>91</v>
      </c>
      <c r="D7" s="46"/>
      <c r="E7" t="s">
        <v>92</v>
      </c>
    </row>
    <row r="8" spans="1:12" ht="12.75" customHeight="1">
      <c r="A8" s="50" t="s">
        <v>93</v>
      </c>
      <c r="B8" t="s">
        <v>94</v>
      </c>
      <c r="C8" s="47" t="s">
        <v>91</v>
      </c>
      <c r="D8" s="46"/>
      <c r="E8" t="s">
        <v>92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2024-08-14T14:20:53Z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