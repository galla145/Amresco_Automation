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4" documentId="8_{CF23C0A5-1DEB-4C6D-AB1F-2CC4141AF0C9}" xr6:coauthVersionLast="47" xr6:coauthVersionMax="47" xr10:uidLastSave="{D381AF0F-FAD8-4794-A8C5-8242CA9F0908}"/>
  <bookViews>
    <workbookView xWindow="-28920" yWindow="7725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<sst xmlns="http://schemas.openxmlformats.org/spreadsheetml/2006/main" count="241" uniqueCount="55">
  <si>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</si>
  <si>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</si>
  <si>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</si>
  <si>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</si>
  <si>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</si>
  <si>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</si>
  <si>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</si>
  <si>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</si>
  <si>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</si>
  <si>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</si>
  <si>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</si>
  <si>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</si>
  <si>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</si>
  <si>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</si>
  <si>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</si>
  <si>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</si>
  <si>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</si>
  <si>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</si>
  <si>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</si>
  <si>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</si>
  <si>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</si>
  <si>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</si>
  <si>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</si>
  <si>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</si>
  <si>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</si>
  <si>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</si>
  <si>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</si>
  <si>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</si>
  <si>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</si>
  <si>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</si>
  <si>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</si>
  <si>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</si>
  <si>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</si>
  <si>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</si>
  <si>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offline from 06/30 to 09:00am on 07/02 and again site was offline from 07/03 to 11:00am on 07/26.</t>
  </si>
  <si>
    <t>1. SR088630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</si>
  <si>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</si>
  <si>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</si>
  <si>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</si>
  <si>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</si>
  <si>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</si>
  <si>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</si>
  <si>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</si>
  <si>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</si>
  <si>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</si>
  <si>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</si>
  <si>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</si>
  <si>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PureSky Energy</t>
  </si>
  <si>
    <t>Site DAS Name</t>
  </si>
  <si>
    <t>Update</t>
  </si>
  <si>
    <t>DAS</t>
  </si>
  <si>
    <t>Cotuit</t>
  </si>
  <si>
    <t>MA: Sandwich - 180 Cotuit Road</t>
  </si>
  <si>
    <t>MA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</si>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</sst>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A3" sqref="A3:F4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90643</v>
      </c>
      <c r="D2" s="6">
        <f>SUM(D4:D60)</f>
        <v>214201.2</v>
      </c>
      <c r="E2" s="6">
        <f>C2-D2</f>
        <v>-123558.20000000001</v>
      </c>
      <c r="F2" s="7">
        <f>IFERROR(E2/D2, 0)</f>
        <v>-0.5768324360461099</v>
      </c>
      <c r="G2" s="6">
        <f>SUM(G4:G60)</f>
        <v>0</v>
      </c>
      <c r="H2" s="8">
        <f>C2-G2</f>
        <v>90643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SUM('1st Qtr'!C4, '2nd Qtr'!C4, '3rd Qtr'!C4, '4th Qtr'!C4)</f>
        <v>90643</v>
      </c>
      <c r="D4" s="14">
        <f>SUM('1st Qtr'!D4, '2nd Qtr'!D4, '3rd Qtr'!D4, '4th Qtr'!D4)</f>
        <v>214201.2</v>
      </c>
      <c r="E4" s="14">
        <f>IF(AND(ISNUMBER(C4),ISNUMBER(D4)), C4-D4, "")</f>
        <v>-123558.20000000001</v>
      </c>
      <c r="F4" s="15">
        <f>IFERROR(E4/D4, "")</f>
        <v>-0.5768324360461099</v>
      </c>
      <c r="G4" s="16">
        <f>SUM('1st Qtr'!G4,'2nd Qtr'!G4,'3rd Qtr'!G4,'4th Qtr'!G4)</f>
        <v>0</v>
      </c>
      <c r="H4" s="16">
        <f>SUM('1st Qtr'!H4, '2nd Qtr'!H4, '3rd Qtr'!H4, '4th Qtr'!H4)</f>
        <v>-557728.4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E3" activePane="bottomLeft" state="frozen"/>
      <selection pane="bottomLeft" activeCell="E4" sqref="E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90643</v>
      </c>
      <c r="D2" s="6">
        <f>SUM(D4:D89)</f>
        <v>214201.2</v>
      </c>
      <c r="E2" s="6">
        <f>C2-D2</f>
        <v>-123558.20000000001</v>
      </c>
      <c r="F2" s="7">
        <f>IFERROR(E2/D2, 0)</f>
        <v>-0.5768324360461099</v>
      </c>
      <c r="G2" s="6">
        <f>SUM(G4:G89)</f>
        <v>0</v>
      </c>
      <c r="H2" s="8">
        <f>C2-G2</f>
        <v>90643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SUM(Jul!C4, Aug!C4, Sep!C4)</f>
        <v>90643</v>
      </c>
      <c r="D4" s="14">
        <f>SUM(Jul!D4, Aug!D4, Sep!D4)</f>
        <v>214201.2</v>
      </c>
      <c r="E4" s="14">
        <f>IF(AND(ISNUMBER(C4),ISNUMBER(D4)), C4-D4, "")</f>
        <v>-123558.20000000001</v>
      </c>
      <c r="F4" s="15">
        <f>IFERROR(E4/D4, "")</f>
        <v>-0.5768324360461099</v>
      </c>
      <c r="G4" s="16"/>
      <c r="H4" s="16">
        <f>SUM(Jul!H4, Aug!H4, Sep!H4)</f>
        <v>-557728.4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F4" activePane="bottomLeft" state="frozen"/>
      <selection pane="bottomLeft" activeCell="G4" sqref="G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35" sqref="F35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F35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F35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F35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workbookViewId="0">
      <pane ySplit="2" topLeftCell="A3" activePane="bottomLeft" state="frozen"/>
      <selection pane="bottomLeft" activeCell="F16" sqref="F16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90643</v>
      </c>
      <c r="D2" s="6">
        <f>SUM(D4:D88)</f>
        <v>214201.2</v>
      </c>
      <c r="E2" s="6">
        <f>C2-D2</f>
        <v>-123558.20000000001</v>
      </c>
      <c r="F2" s="7">
        <f>IFERROR(E2/D2, 0)</f>
        <v>-0.5768324360461099</v>
      </c>
      <c r="G2" s="6">
        <f>SUM(G4:G88)</f>
        <v>648371.4</v>
      </c>
      <c r="H2" s="8">
        <f>C2-G2</f>
        <v>-557728.4</v>
      </c>
      <c r="I2" s="7">
        <f>IFERROR(H2/G2, 0)</f>
        <v>-0.86019895387119172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90643</v>
      </c>
      <c r="D4" s="14">
        <v>214201.2</v>
      </c>
      <c r="E4" s="14">
        <f>IF(AND(ISNUMBER(C4),ISNUMBER(D4)), C4-D4, "")</f>
        <v>-123558.20000000001</v>
      </c>
      <c r="F4" s="15">
        <f>IFERROR(E4/D4, "")</f>
        <v>-0.5768324360461099</v>
      </c>
      <c r="G4" s="16">
        <v>648371.4</v>
      </c>
      <c r="H4" s="16">
        <f>IF(AND(ISNUMBER(C4),ISNUMBER(G4)), C4-G4, "")</f>
        <v>-557728.4</v>
      </c>
      <c r="I4" s="17">
        <f>IFERROR(H4/G4, "")</f>
        <v>-0.86019895387119172</v>
      </c>
      <c r="J4" s="18" t="s">
        <v>34</v>
      </c>
      <c r="K4" s="18" t="s">
        <v>35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/>
    <row r="332" spans="1:11" ht="14.25"/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I4:I88 F4:F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J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1" sqref="E2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E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2024-09-11T10:39:55Z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2024-08-27T10:39:12Z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ed6f9183-2800-4176-bca1-5c02a6e24db1</vt:lpwstr>
  </property>
  <property fmtid="{D5CDD505-2E9C-101B-9397-08002B2CF9AE}" pid="9" name="MSIP_Label_9d817c99-0b37-4a07-8277-96aa1f96b74b_ContentBits">
    <vt:lpwstr>0</vt:lpwstr>
  </property>
</Properties>
</file>