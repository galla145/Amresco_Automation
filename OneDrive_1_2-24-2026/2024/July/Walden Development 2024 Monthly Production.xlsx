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9" documentId="13_ncr:1_{BF4130F7-6474-4057-A10B-1475EEF4A628}" xr6:coauthVersionLast="47" xr6:coauthVersionMax="47" xr10:uidLastSave="{FB5FF993-1A20-4C6A-BA12-1ABD958B2BFE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E4" i="18" l="1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<sst xmlns="http://schemas.openxmlformats.org/spreadsheetml/2006/main" count="255" uniqueCount="69">
  <si>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</si>
  <si>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</si>
  <si>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</si>
  <si>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</si>
  <si>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</si>
  <si>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</si>
  <si>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</si>
  <si>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</si>
  <si>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</si>
  <si>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</si>
  <si>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</si>
  <si>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</si>
  <si>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</si>
  <si>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</si>
  <si>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</si>
  <si>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</si>
  <si>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</si>
  <si>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</si>
  <si>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</si>
  <si>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</si>
  <si>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</si>
  <si>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</si>
  <si>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</si>
  <si>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</si>
  <si>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</si>
  <si>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</si>
  <si>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</si>
  <si>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</si>
  <si>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</si>
  <si>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</si>
  <si>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</si>
  <si>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</si>
  <si>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</si>
  <si>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</si>
  <si>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</si>
  <si>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</si>
  <si>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</si>
  <si>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</si>
  <si>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</si>
  <si>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</si>
  <si>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</si>
  <si>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</si>
  <si>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</si>
  <si>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</si>
  <si>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</si>
  <si>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 Actual v. Expected</t>
  </si>
  <si>
    <t>July Actual v. Forecasted</t>
  </si>
  <si>
    <t>1. Inverter 20 was underperforming approximately 30kW down compared its peers.
2. PAD 1 was tripped offline at 15:30 on 07/01  and back online at 10:15AM on 07/02
3. Site was offline from 05:45am to 11:30am on 07/14
4.  Site was offline from 10:00am to 15:30 on 07/17</t>
  </si>
  <si>
    <t>1. SR083431
2. SR087219
3. 	SR087653
4. SR087820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</si>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</sst>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4826820.0049999999</v>
      </c>
      <c r="D2" s="6">
        <f>SUM(D4:D60)</f>
        <v>4913145.4440000001</v>
      </c>
      <c r="E2" s="6">
        <f>C2-D2</f>
        <v>-86325.439000000246</v>
      </c>
      <c r="F2" s="7">
        <f>IFERROR(E2/D2, 0)</f>
        <v>-1.7570299919661862E-2</v>
      </c>
      <c r="G2" s="6">
        <f>SUM(G4:G60)</f>
        <v>5272534.72</v>
      </c>
      <c r="H2" s="8">
        <f>C2-G2</f>
        <v>-445714.71499999985</v>
      </c>
      <c r="I2" s="7">
        <f>IFERROR(H2/G2, 0)</f>
        <v>-8.4535188229163505E-2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4826820.0049999999</v>
      </c>
      <c r="D4" s="14">
        <f>SUM('1st Qtr'!D4, '2nd Qtr'!D4, '3rd Qtr'!D4, '4th Qtr'!D4)</f>
        <v>4913145.4440000001</v>
      </c>
      <c r="E4" s="14">
        <f>IF(AND(ISNUMBER(C4),ISNUMBER(D4)), C4-D4, "")</f>
        <v>-86325.439000000246</v>
      </c>
      <c r="F4" s="15">
        <f>IFERROR(E4/D4, "")</f>
        <v>-1.7570299919661862E-2</v>
      </c>
      <c r="G4" s="16">
        <f>SUM('1st Qtr'!G4,'2nd Qtr'!G4,'3rd Qtr'!G4,'4th Qtr'!G4)</f>
        <v>5272534.72</v>
      </c>
      <c r="H4" s="16">
        <f>SUM('1st Qtr'!H4, '2nd Qtr'!H4, '3rd Qtr'!H4, '4th Qtr'!H4)</f>
        <v>-445714.71499999985</v>
      </c>
      <c r="I4" s="17">
        <f>IFERROR(H4/G4, "")</f>
        <v>-8.4535188229163505E-2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916545</v>
      </c>
      <c r="D2" s="6">
        <f>SUM(D4:D89)</f>
        <v>922407.79</v>
      </c>
      <c r="E2" s="6">
        <f>C2-D2</f>
        <v>-5862.7900000000373</v>
      </c>
      <c r="F2" s="7">
        <f>IFERROR(E2/D2, 0)</f>
        <v>-6.3559632340052519E-3</v>
      </c>
      <c r="G2" s="6">
        <f>SUM(G4:G89)</f>
        <v>935829.2</v>
      </c>
      <c r="H2" s="8">
        <f>C2-G2</f>
        <v>-19284.199999999953</v>
      </c>
      <c r="I2" s="7">
        <f>IFERROR(H2/G2, 0)</f>
        <v>-2.0606538030657682E-2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916545</v>
      </c>
      <c r="D4" s="14">
        <f>SUM(Jul!D4, Aug!D4, Sep!D4)</f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f>SUM(Jul!G4, Aug!G4, Sep!G4)</f>
        <v>935829.2</v>
      </c>
      <c r="H4" s="16">
        <f>SUM(Jul!H4, Aug!H4, Sep!H4)</f>
        <v>-19284.199999999953</v>
      </c>
      <c r="I4" s="17">
        <f>IFERROR(H4/G4, "")</f>
        <v>-2.0606538030657682E-2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11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E3" activePane="bottomLeft" state="frozen"/>
      <selection pane="bottomLeft" activeCell="I14" sqref="I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3.1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43</v>
      </c>
      <c r="K4" s="18" t="s">
        <v>44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topLeftCell="C1" workbookViewId="0">
      <pane ySplit="2" topLeftCell="A3" activePane="bottomLeft" state="frozen"/>
      <selection pane="bottomLeft" activeCell="G17" sqref="G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916545</v>
      </c>
      <c r="D2" s="6">
        <f>SUM(D4:D90)</f>
        <v>922407.79</v>
      </c>
      <c r="E2" s="6">
        <f>C2-D2</f>
        <v>-5862.7900000000373</v>
      </c>
      <c r="F2" s="7">
        <f>IFERROR(E2/D2, 0)</f>
        <v>-6.3559632340052519E-3</v>
      </c>
      <c r="G2" s="6">
        <f>SUM(G4:G90)</f>
        <v>935829.2</v>
      </c>
      <c r="H2" s="8">
        <f>C2-G2</f>
        <v>-19284.199999999953</v>
      </c>
      <c r="I2" s="7">
        <f>IFERROR(H2/G2, 0)</f>
        <v>-2.0606538030657682E-2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82.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916545</v>
      </c>
      <c r="D4" s="14">
        <v>922407.79</v>
      </c>
      <c r="E4" s="14">
        <f>IF(AND(ISNUMBER(C4),ISNUMBER(D4)), C4-D4, "")</f>
        <v>-5862.7900000000373</v>
      </c>
      <c r="F4" s="15">
        <f>IFERROR(E4/D4, "")</f>
        <v>-6.3559632340052519E-3</v>
      </c>
      <c r="G4" s="16">
        <v>935829.2</v>
      </c>
      <c r="H4" s="16">
        <f>IF(AND(ISNUMBER(C4),ISNUMBER(G4)), C4-G4, "")</f>
        <v>-19284.199999999953</v>
      </c>
      <c r="I4" s="17">
        <f>IFERROR(H4/G4, "")</f>
        <v>-2.0606538030657682E-2</v>
      </c>
      <c r="J4" s="18" t="s">
        <v>47</v>
      </c>
      <c r="K4" s="18" t="s">
        <v>48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57</v>
      </c>
      <c r="E1" s="45"/>
      <c r="F1" s="45"/>
      <c r="G1" s="43" t="s">
        <v>58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59</v>
      </c>
      <c r="B1" t="s">
        <v>60</v>
      </c>
    </row>
    <row r="3" spans="1:7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45">
      <c r="A4" t="s">
        <v>64</v>
      </c>
      <c r="B4" t="s">
        <v>65</v>
      </c>
      <c r="C4" s="4" t="s">
        <v>66</v>
      </c>
      <c r="D4" t="s">
        <v>67</v>
      </c>
      <c r="E4" t="s">
        <v>68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2024-09-17T15:34:06Z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