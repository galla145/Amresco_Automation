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FF6B5BE3-6F35-441C-A540-7A02BF1C983B}" xr6:coauthVersionLast="47" xr6:coauthVersionMax="47" xr10:uidLastSave="{831BF76C-98B6-4158-B30E-011CAD4EB6F3}"/>
  <bookViews>
    <workbookView xWindow="-108" yWindow="-108" windowWidth="23256" windowHeight="1245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4" i="34" l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<sst xmlns="http://schemas.openxmlformats.org/spreadsheetml/2006/main" count="240" uniqueCount="54">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</sst>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61027.979495117179</v>
      </c>
      <c r="D2" s="6">
        <f>SUM(D4:D60)</f>
        <v>0</v>
      </c>
      <c r="E2" s="6">
        <f>C2-D2</f>
        <v>61027.979495117179</v>
      </c>
      <c r="F2" s="7">
        <f>IFERROR(E2/D2, 0)</f>
        <v>0</v>
      </c>
      <c r="G2" s="6">
        <f>SUM(G4:G60)</f>
        <v>36570.569000000003</v>
      </c>
      <c r="H2" s="8">
        <f>C2-G2</f>
        <v>24457.410495117176</v>
      </c>
      <c r="I2" s="7">
        <f>IFERROR(H2/G2, 0)</f>
        <v>0.66877303700462454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61027.979495117179</v>
      </c>
      <c r="D4" s="14">
        <f>SUM('1st Qtr'!D4, '2nd Qtr'!D4, '3rd Qtr'!D4, '4th Qtr'!D4)</f>
        <v>0</v>
      </c>
      <c r="E4" s="14">
        <f>IF(AND(ISNUMBER(C4),ISNUMBER(D4)), C4-D4, "")</f>
        <v>61027.979495117179</v>
      </c>
      <c r="F4" s="15" t="str">
        <f>IFERROR(E4/D4, "")</f>
        <v/>
      </c>
      <c r="G4" s="16">
        <f>SUM('1st Qtr'!G4,'2nd Qtr'!G4,'3rd Qtr'!G4,'4th Qtr'!G4)</f>
        <v>36570.569000000003</v>
      </c>
      <c r="H4" s="16">
        <f>SUM('1st Qtr'!H4, '2nd Qtr'!H4, '3rd Qtr'!H4, '4th Qtr'!H4)</f>
        <v>24457.410495117183</v>
      </c>
      <c r="I4" s="17">
        <f>IFERROR(H4/G4, "")</f>
        <v>0.66877303700462465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33850.511978027338</v>
      </c>
      <c r="D2" s="6">
        <f>SUM(D4:D90)</f>
        <v>0</v>
      </c>
      <c r="E2" s="6">
        <f>C2-D2</f>
        <v>33850.511978027338</v>
      </c>
      <c r="F2" s="7">
        <f>IFERROR(E2/D2, 0)</f>
        <v>0</v>
      </c>
      <c r="G2" s="6">
        <f>SUM(G4:G90)</f>
        <v>19319.286</v>
      </c>
      <c r="H2" s="8">
        <f>C2-G2</f>
        <v>14531.225978027338</v>
      </c>
      <c r="I2" s="7">
        <f>IFERROR(H2/G2, 0)</f>
        <v>0.752161647072637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33850.511978027338</v>
      </c>
      <c r="D4" s="14">
        <f>SUM(Apr!D4, May!D4, Jun!D4)</f>
        <v>0</v>
      </c>
      <c r="E4" s="14">
        <f>IF(AND(ISNUMBER(C4),ISNUMBER(D4)), C4-D4, "")</f>
        <v>33850.511978027338</v>
      </c>
      <c r="F4" s="15" t="str">
        <f>IFERROR(E4/D4, "")</f>
        <v/>
      </c>
      <c r="G4" s="16">
        <f>SUM(Apr!G4+May!G4+Jun!G4)</f>
        <v>19319.286</v>
      </c>
      <c r="H4" s="16">
        <f>SUM(Apr!H4, May!H4, Jun!H4)</f>
        <v>14531.225978027342</v>
      </c>
      <c r="I4" s="17">
        <f>IFERROR(H4/G4, "")</f>
        <v>0.75216164707263722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tabSelected="1"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11472.2</v>
      </c>
      <c r="D2" s="6">
        <f>SUM(D4:D89)</f>
        <v>0</v>
      </c>
      <c r="E2" s="6">
        <f>C2-D2</f>
        <v>11472.2</v>
      </c>
      <c r="F2" s="7">
        <f>IFERROR(E2/D2, 0)</f>
        <v>0</v>
      </c>
      <c r="G2" s="6">
        <f>SUM(G4:G89)</f>
        <v>6766.2830000000004</v>
      </c>
      <c r="H2" s="8">
        <f>C2-G2</f>
        <v>4705.9170000000004</v>
      </c>
      <c r="I2" s="7">
        <f>IFERROR(H2/G2, 0)</f>
        <v>0.69549514851802685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11472.2</v>
      </c>
      <c r="D4" s="14">
        <f>SUM(Jul!D4, Aug!D4, Sep!D4)</f>
        <v>0</v>
      </c>
      <c r="E4" s="14">
        <f>IF(AND(ISNUMBER(C4),ISNUMBER(D4)), C4-D4, "")</f>
        <v>11472.2</v>
      </c>
      <c r="F4" s="15" t="str">
        <f>IFERROR(E4/D4, "")</f>
        <v/>
      </c>
      <c r="G4" s="16">
        <f>SUM(Jul!G4, Aug!G4, Sep!G4)</f>
        <v>6766.2830000000004</v>
      </c>
      <c r="H4" s="16">
        <f>SUM(Jul!H4, Aug!H4, Sep!H4)</f>
        <v>4705.9170000000004</v>
      </c>
      <c r="I4" s="17">
        <f>IFERROR(H4/G4, "")</f>
        <v>0.69549514851802685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E21" activePane="bottomLeft" state="frozen"/>
      <selection pane="bottomLeft" activeCell="E21" sqref="E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F9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H25" sqref="H2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11234.79</v>
      </c>
      <c r="D2" s="6">
        <f>SUM(D4:D90)</f>
        <v>0</v>
      </c>
      <c r="E2" s="6">
        <f>C2-D2</f>
        <v>11234.79</v>
      </c>
      <c r="F2" s="7">
        <f>IFERROR(E2/D2, 0)</f>
        <v>0</v>
      </c>
      <c r="G2" s="6">
        <f>SUM(G4:G90)</f>
        <v>6792.8950000000004</v>
      </c>
      <c r="H2" s="8">
        <f>C2-G2</f>
        <v>4441.8950000000004</v>
      </c>
      <c r="I2" s="7">
        <f>IFERROR(H2/G2, 0)</f>
        <v>0.653903085503309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11234.79</v>
      </c>
      <c r="D4" s="14">
        <v>0</v>
      </c>
      <c r="E4" s="14">
        <f>IF(AND(ISNUMBER(C4),ISNUMBER(D4)), C4-D4, "")</f>
        <v>11234.79</v>
      </c>
      <c r="F4" s="15" t="str">
        <f>IFERROR(E4/D4, "")</f>
        <v/>
      </c>
      <c r="G4" s="16">
        <v>6792.8950000000004</v>
      </c>
      <c r="H4" s="16">
        <f>IF(AND(ISNUMBER(C4),ISNUMBER(G4)), C4-G4, "")</f>
        <v>4441.8950000000004</v>
      </c>
      <c r="I4" s="17">
        <f>IFERROR(H4/G4, "")</f>
        <v>0.653903085503309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C11" activePane="bottomLeft" state="frozen"/>
      <selection pane="bottomLeft" activeCell="C11" sqref="C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12685.182000000001</v>
      </c>
      <c r="D2" s="6">
        <f>SUM(D4:D90)</f>
        <v>0</v>
      </c>
      <c r="E2" s="6">
        <f>C2-D2</f>
        <v>12685.182000000001</v>
      </c>
      <c r="F2" s="7">
        <f>IFERROR(E2/D2, 0)</f>
        <v>0</v>
      </c>
      <c r="G2" s="6">
        <f>SUM(G4:G90)</f>
        <v>6820</v>
      </c>
      <c r="H2" s="8">
        <f>C2-G2</f>
        <v>5865.1820000000007</v>
      </c>
      <c r="I2" s="7">
        <f>IFERROR(H2/G2, 0)</f>
        <v>0.85999736070381239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12685.182000000001</v>
      </c>
      <c r="D4" s="14">
        <v>0</v>
      </c>
      <c r="E4" s="14">
        <f>IF(AND(ISNUMBER(C4),ISNUMBER(D4)), C4-D4, "")</f>
        <v>12685.182000000001</v>
      </c>
      <c r="F4" s="15" t="str">
        <f>IFERROR(E4/D4, "")</f>
        <v/>
      </c>
      <c r="G4" s="16">
        <v>6820</v>
      </c>
      <c r="H4" s="16">
        <f>IF(AND(ISNUMBER(C4),ISNUMBER(G4)), C4-G4, "")</f>
        <v>5865.1820000000007</v>
      </c>
      <c r="I4" s="17">
        <f>IFERROR(H4/G4, "")</f>
        <v>0.85999736070381239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11472.2</v>
      </c>
      <c r="D2" s="6">
        <f>SUM(D4:D90)</f>
        <v>0</v>
      </c>
      <c r="E2" s="6">
        <f>C2-D2</f>
        <v>11472.2</v>
      </c>
      <c r="F2" s="7">
        <f>IFERROR(E2/D2, 0)</f>
        <v>0</v>
      </c>
      <c r="G2" s="6">
        <f>SUM(G4:G90)</f>
        <v>6766.2830000000004</v>
      </c>
      <c r="H2" s="8">
        <f>C2-G2</f>
        <v>4705.9170000000004</v>
      </c>
      <c r="I2" s="7">
        <f>IFERROR(H2/G2, 0)</f>
        <v>0.69549514851802685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11472.2</v>
      </c>
      <c r="D4" s="14">
        <v>0</v>
      </c>
      <c r="E4" s="14">
        <f>IF(AND(ISNUMBER(C4),ISNUMBER(D4)), C4-D4, "")</f>
        <v>11472.2</v>
      </c>
      <c r="F4" s="15" t="str">
        <f>IFERROR(E4/D4, "")</f>
        <v/>
      </c>
      <c r="G4" s="16">
        <v>6766.2830000000004</v>
      </c>
      <c r="H4" s="16">
        <f>IF(AND(ISNUMBER(C4),ISNUMBER(G4)), C4-G4, "")</f>
        <v>4705.9170000000004</v>
      </c>
      <c r="I4" s="17">
        <f>IFERROR(H4/G4, "")</f>
        <v>0.69549514851802685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2024-09-11T10:50:06Z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