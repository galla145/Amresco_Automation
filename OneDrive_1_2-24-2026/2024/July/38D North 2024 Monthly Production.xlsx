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57" documentId="13_ncr:1_{17BB618E-388F-4946-8E6F-C46ACCEDB501}" xr6:coauthVersionLast="47" xr6:coauthVersionMax="47" xr10:uidLastSave="{6E181939-E669-4DD4-8DE2-9708D986BEC0}"/>
  <bookViews>
    <workbookView xWindow="-98" yWindow="-98" windowWidth="21795" windowHeight="12975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6" l="1"/>
  <c r="I21" i="26"/>
  <c r="I23" i="26"/>
  <c r="H18" i="26"/>
  <c r="I18" i="26" s="1"/>
  <c r="H19" i="26"/>
  <c r="H20" i="26"/>
  <c r="I20" i="26" s="1"/>
  <c r="H21" i="26"/>
  <c r="H22" i="26"/>
  <c r="I22" i="26" s="1"/>
  <c r="H23" i="26"/>
  <c r="H24" i="26"/>
  <c r="I24" i="26" s="1"/>
  <c r="F19" i="26"/>
  <c r="F21" i="26"/>
  <c r="F23" i="26"/>
  <c r="E18" i="26"/>
  <c r="F18" i="26" s="1"/>
  <c r="E19" i="26"/>
  <c r="E20" i="26"/>
  <c r="F20" i="26" s="1"/>
  <c r="E21" i="26"/>
  <c r="E22" i="26"/>
  <c r="F22" i="26" s="1"/>
  <c r="E23" i="26"/>
  <c r="E24" i="26"/>
  <c r="F24" i="26" s="1"/>
  <c r="I19" i="19"/>
  <c r="I20" i="19"/>
  <c r="I21" i="19"/>
  <c r="I24" i="19"/>
  <c r="H18" i="19"/>
  <c r="I18" i="19" s="1"/>
  <c r="H19" i="19"/>
  <c r="H20" i="19"/>
  <c r="H21" i="19"/>
  <c r="H22" i="19"/>
  <c r="I22" i="19" s="1"/>
  <c r="H23" i="19"/>
  <c r="I23" i="19" s="1"/>
  <c r="H24" i="19"/>
  <c r="F18" i="19"/>
  <c r="F19" i="19"/>
  <c r="F21" i="19"/>
  <c r="F22" i="19"/>
  <c r="F23" i="19"/>
  <c r="E18" i="19"/>
  <c r="E19" i="19"/>
  <c r="E20" i="19"/>
  <c r="F20" i="19" s="1"/>
  <c r="E21" i="19"/>
  <c r="E22" i="19"/>
  <c r="E23" i="19"/>
  <c r="E24" i="19"/>
  <c r="F24" i="19" s="1"/>
  <c r="I18" i="20"/>
  <c r="I19" i="20"/>
  <c r="I20" i="20"/>
  <c r="I21" i="20"/>
  <c r="I22" i="20"/>
  <c r="I23" i="20"/>
  <c r="I24" i="20"/>
  <c r="F18" i="20"/>
  <c r="F19" i="20"/>
  <c r="F20" i="20"/>
  <c r="F21" i="20"/>
  <c r="F22" i="20"/>
  <c r="F23" i="20"/>
  <c r="F24" i="20"/>
  <c r="H18" i="20"/>
  <c r="H19" i="20"/>
  <c r="H20" i="20"/>
  <c r="H21" i="20"/>
  <c r="H22" i="20"/>
  <c r="H23" i="20"/>
  <c r="H24" i="20"/>
  <c r="E18" i="20"/>
  <c r="E19" i="20"/>
  <c r="E20" i="20"/>
  <c r="E21" i="20"/>
  <c r="E22" i="20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6" i="21"/>
  <c r="I17" i="21"/>
  <c r="I18" i="21"/>
  <c r="I19" i="21"/>
  <c r="I20" i="21"/>
  <c r="I21" i="21"/>
  <c r="I22" i="21"/>
  <c r="I23" i="21"/>
  <c r="I24" i="21"/>
  <c r="H18" i="21"/>
  <c r="H19" i="21"/>
  <c r="H20" i="21"/>
  <c r="H21" i="21"/>
  <c r="H22" i="21"/>
  <c r="H23" i="21"/>
  <c r="H24" i="21"/>
  <c r="F18" i="21"/>
  <c r="F19" i="21"/>
  <c r="F20" i="21"/>
  <c r="F21" i="21"/>
  <c r="F22" i="21"/>
  <c r="F23" i="21"/>
  <c r="F24" i="21"/>
  <c r="E18" i="21"/>
  <c r="E19" i="21"/>
  <c r="E20" i="21"/>
  <c r="E21" i="21"/>
  <c r="E22" i="21"/>
  <c r="E23" i="21"/>
  <c r="E24" i="2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D18" i="29"/>
  <c r="D18" i="34" s="1"/>
  <c r="H18" i="29"/>
  <c r="I18" i="29" s="1"/>
  <c r="C19" i="29"/>
  <c r="C19" i="34" s="1"/>
  <c r="D19" i="29"/>
  <c r="D19" i="34" s="1"/>
  <c r="H19" i="29"/>
  <c r="I19" i="29" s="1"/>
  <c r="C20" i="29"/>
  <c r="C20" i="34" s="1"/>
  <c r="D20" i="29"/>
  <c r="D20" i="34" s="1"/>
  <c r="H20" i="29"/>
  <c r="I20" i="29" s="1"/>
  <c r="C21" i="29"/>
  <c r="C21" i="34" s="1"/>
  <c r="D21" i="29"/>
  <c r="D21" i="34" s="1"/>
  <c r="H21" i="29"/>
  <c r="I21" i="29" s="1"/>
  <c r="C22" i="29"/>
  <c r="C22" i="34" s="1"/>
  <c r="D22" i="29"/>
  <c r="D22" i="34" s="1"/>
  <c r="H22" i="29"/>
  <c r="I22" i="29" s="1"/>
  <c r="C23" i="29"/>
  <c r="C23" i="34" s="1"/>
  <c r="D23" i="29"/>
  <c r="D23" i="34" s="1"/>
  <c r="H23" i="29"/>
  <c r="I23" i="29" s="1"/>
  <c r="C24" i="29"/>
  <c r="C24" i="34" s="1"/>
  <c r="D24" i="29"/>
  <c r="D24" i="34" s="1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C18" i="34"/>
  <c r="I22" i="18"/>
  <c r="H22" i="34"/>
  <c r="I20" i="18"/>
  <c r="H20" i="34"/>
  <c r="I24" i="18"/>
  <c r="H24" i="34"/>
  <c r="I21" i="18"/>
  <c r="H21" i="34"/>
  <c r="I18" i="18"/>
  <c r="H18" i="34"/>
  <c r="I19" i="18"/>
  <c r="H19" i="34"/>
  <c r="I23" i="18"/>
  <c r="H23" i="34"/>
  <c r="E20" i="18"/>
  <c r="F20" i="18" s="1"/>
  <c r="E17" i="18"/>
  <c r="F17" i="18" s="1"/>
  <c r="E22" i="34"/>
  <c r="F22" i="34" s="1"/>
  <c r="E23" i="34"/>
  <c r="F23" i="34" s="1"/>
  <c r="E19" i="34"/>
  <c r="F19" i="34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E18" i="34"/>
  <c r="F18" i="34" s="1"/>
  <c r="E21" i="34"/>
  <c r="F21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D19" i="30"/>
  <c r="H19" i="30"/>
  <c r="I19" i="30" s="1"/>
  <c r="C20" i="30"/>
  <c r="D20" i="30"/>
  <c r="E20" i="30" s="1"/>
  <c r="F20" i="30" s="1"/>
  <c r="H20" i="30"/>
  <c r="I20" i="30" s="1"/>
  <c r="C21" i="30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E16" i="30" s="1"/>
  <c r="F16" i="30" s="1"/>
  <c r="H16" i="30"/>
  <c r="I16" i="30"/>
  <c r="C17" i="30"/>
  <c r="E17" i="30" s="1"/>
  <c r="F17" i="30" s="1"/>
  <c r="D17" i="30"/>
  <c r="C16" i="29"/>
  <c r="D16" i="29"/>
  <c r="D16" i="34" s="1"/>
  <c r="C17" i="29"/>
  <c r="C17" i="34" s="1"/>
  <c r="D17" i="29"/>
  <c r="D17" i="34" s="1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D15" i="34" s="1"/>
  <c r="C15" i="29"/>
  <c r="C15" i="34" s="1"/>
  <c r="D14" i="29"/>
  <c r="D14" i="34" s="1"/>
  <c r="C14" i="29"/>
  <c r="C14" i="34" s="1"/>
  <c r="D13" i="29"/>
  <c r="D13" i="34" s="1"/>
  <c r="C13" i="29"/>
  <c r="C13" i="34" s="1"/>
  <c r="D12" i="29"/>
  <c r="D12" i="34" s="1"/>
  <c r="C12" i="29"/>
  <c r="C12" i="34" s="1"/>
  <c r="D11" i="29"/>
  <c r="D11" i="34" s="1"/>
  <c r="C11" i="29"/>
  <c r="D10" i="29"/>
  <c r="D10" i="34" s="1"/>
  <c r="C10" i="29"/>
  <c r="C10" i="34" s="1"/>
  <c r="D9" i="29"/>
  <c r="D9" i="34" s="1"/>
  <c r="C9" i="29"/>
  <c r="C9" i="34" s="1"/>
  <c r="D8" i="29"/>
  <c r="D8" i="34" s="1"/>
  <c r="C8" i="29"/>
  <c r="C8" i="34" s="1"/>
  <c r="D7" i="29"/>
  <c r="D7" i="34" s="1"/>
  <c r="C7" i="29"/>
  <c r="C7" i="34" s="1"/>
  <c r="D6" i="29"/>
  <c r="D6" i="34" s="1"/>
  <c r="C6" i="29"/>
  <c r="C6" i="34" s="1"/>
  <c r="D5" i="29"/>
  <c r="D5" i="34" s="1"/>
  <c r="C5" i="29"/>
  <c r="C5" i="34" s="1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7" i="29" l="1"/>
  <c r="F17" i="29" s="1"/>
  <c r="E11" i="29"/>
  <c r="F11" i="29" s="1"/>
  <c r="C11" i="34"/>
  <c r="E16" i="29"/>
  <c r="F16" i="29" s="1"/>
  <c r="C16" i="34"/>
  <c r="H13" i="29"/>
  <c r="I6" i="29"/>
  <c r="H6" i="34"/>
  <c r="E11" i="18"/>
  <c r="F11" i="18" s="1"/>
  <c r="E15" i="18"/>
  <c r="F15" i="18" s="1"/>
  <c r="D4" i="34"/>
  <c r="I4" i="20"/>
  <c r="H4" i="18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E19" i="30"/>
  <c r="F19" i="30" s="1"/>
  <c r="H9" i="29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E21" i="30"/>
  <c r="F21" i="30" s="1"/>
  <c r="E21" i="1"/>
  <c r="F21" i="1" s="1"/>
  <c r="I24" i="72"/>
  <c r="I24" i="34"/>
  <c r="H24" i="1"/>
  <c r="I24" i="1" s="1"/>
  <c r="I23" i="72"/>
  <c r="I22" i="72"/>
  <c r="I22" i="34"/>
  <c r="I21" i="72"/>
  <c r="I21" i="34"/>
  <c r="I20" i="72"/>
  <c r="H23" i="1"/>
  <c r="I23" i="1" s="1"/>
  <c r="H21" i="1"/>
  <c r="I21" i="1" s="1"/>
  <c r="I19" i="72"/>
  <c r="I19" i="34"/>
  <c r="I18" i="72"/>
  <c r="I18" i="34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I6" i="34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7" i="29" l="1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<sst xmlns="http://schemas.openxmlformats.org/spreadsheetml/2006/main" count="507" uniqueCount="211">
  <si>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</si>
  <si>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</si>
  <si>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</si>
  <si>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</si>
  <si>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</si>
  <si>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</si>
  <si>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</si>
  <si>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</si>
  <si>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</si>
  <si>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</si>
  <si>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</si>
  <si>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</si>
  <si>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</si>
  <si>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</si>
  <si>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</si>
  <si>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</si>
  <si>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</si>
  <si>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</si>
  <si>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</si>
  <si>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</si>
  <si>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</si>
  <si>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</si>
  <si>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</si>
  <si>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</si>
  <si>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</si>
  <si>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</si>
  <si>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</si>
  <si>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</si>
  <si>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</si>
  <si>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</si>
  <si>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</si>
  <si>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</si>
  <si>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</si>
  <si>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</si>
  <si>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</si>
  <si>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</si>
  <si>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</si>
  <si>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</si>
  <si>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</si>
  <si>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</si>
  <si>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</si>
  <si>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</si>
  <si>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</si>
  <si>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</si>
  <si>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</si>
  <si>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</si>
  <si>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</si>
  <si>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</si>
  <si>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</si>
  <si>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</si>
  <si>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</si>
  <si>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</si>
  <si>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</si>
  <si>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</si>
  <si>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</si>
  <si>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</si>
  <si>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</si>
  <si>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</si>
  <si>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</si>
  <si>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</si>
  <si>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</si>
  <si>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</si>
  <si>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</si>
  <si>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</si>
  <si>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</si>
  <si>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</si>
  <si>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</si>
  <si>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</si>
  <si>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1. Inverter 25 is offline from  02/04/2024 at 13:30. Replaced DC relay board, inverter back online on 03/08 at 10:30am
2. Site tripped offline on 03/03 at 12:00pm and back online on 03/04 at 09:45am
3. Inverter 19 tripped offline on 03/04 at 13:15 and technicans replaced DC relay borads on inverter 2, 3, 9 and 19, all inverters back online around 12:30pm on 03/08. 
4. Inverter 24 is offline from 03/24 and back online on 03/27 after replacing inverter</t>
  </si>
  <si>
    <t>1. SR080716
2. SR081535
3. SR081568
4. SR082715</t>
  </si>
  <si>
    <t xml:space="preserve">1. Site was taken offline by technician on 03/19 between 09:45 to 11:45. </t>
  </si>
  <si>
    <t>1. PM2835</t>
  </si>
  <si>
    <t>1. Inverters 1 and 2 taken offline by technician between 08:30 to 10:30 and inverters 3 and 4 in between 10;30 to 12:25</t>
  </si>
  <si>
    <t>1. PM4466</t>
  </si>
  <si>
    <t>1. Site was offline on 03/19 between 10:00 to 13:00
2. Site was taken offline by technician on 03/21 between 09:45 to 10:33</t>
  </si>
  <si>
    <t xml:space="preserve">
2. PM8461</t>
  </si>
  <si>
    <t>1. Site was taken offline by techniciand on 03/13 between 12:45 to 13:15 and on 03/14 between 09:45 to 11:30</t>
  </si>
  <si>
    <t>1. PM3412</t>
  </si>
  <si>
    <t>1. Inverter 1 was taken offline by technician on 03/4 between 09:00 to 09:45</t>
  </si>
  <si>
    <t>1. PM2589</t>
  </si>
  <si>
    <t>1. Site tripped offline on 03/12 at 16:00 and back online on 03/13 at 07:30am</t>
  </si>
  <si>
    <t>1. SR081819</t>
  </si>
  <si>
    <t>1. Inverter 1 module 2 tripped offline on 03/04 at 09:00am and back online on 03/07
2. Inverter 2 modules 1 to 5 taken offline by technician on 03/08 between 08:45 to 09:30 and 11:00 to 12:00</t>
  </si>
  <si>
    <t>1. SR081593
2. PM3945</t>
  </si>
  <si>
    <t>1. Inverter 1 combiner box 1 tripped offline on 03/11 at 15:00 and back online on 03/12 at 10:15
2. Site was offline on 03/12 between 15:45 to 16:45
3. Inverter 1 Combiner box 5 tripped offline on 03/19 at 13:15 and back online on 03/20</t>
  </si>
  <si>
    <t>1. SR081778
2. SR081820
3. SR082163</t>
  </si>
  <si>
    <t>1. Site was offline on 03/12 between 15:45 to 16:45
2. Inverter 2 was taken offline by tech on 03/15 between 08:25 to 09:20</t>
  </si>
  <si>
    <t>1. SR081823
2. PM2753</t>
  </si>
  <si>
    <t>1. Site was offline on 03/12 between 15:45 to 16:45</t>
  </si>
  <si>
    <t>1. SR081821</t>
  </si>
  <si>
    <t>1. Inverter 1 was taken offline by technician on 03/13 between 11:00 to 13:15</t>
  </si>
  <si>
    <t>1. PM4500</t>
  </si>
  <si>
    <t>1. Site was taken offline by technician on 03/15 between 11:00 to 11:15</t>
  </si>
  <si>
    <t>1. PM2635</t>
  </si>
  <si>
    <t>1. Site was taken offline by technician on 03/19 between 10:20 to 12:25pm</t>
  </si>
  <si>
    <t>1. PM4502</t>
  </si>
  <si>
    <t xml:space="preserve">1. Site was offline by technician on 03/18 between 09:45 to 11:30 </t>
  </si>
  <si>
    <t>1. PM2755</t>
  </si>
  <si>
    <t>1. Site was offline by technician on 03/18 between 11:15 to 17:15 and inverter 1 and 2 was taken offline in between 09:15 to 12:00pm</t>
  </si>
  <si>
    <t>1. PM2595</t>
  </si>
  <si>
    <t>1. Site was taken offline by technician on 03/14 between 10:45 to 12:00 and again site taken offline on 03/21 between 09:00 to 13:45</t>
  </si>
  <si>
    <t>1. PM2693</t>
  </si>
  <si>
    <t>1. Inverter 1 was taken offline by technician on 03/15 between 11:00 to 12:15 and site was taken offline on 03/19 between 09:15 to 10:00</t>
  </si>
  <si>
    <t>1. PM2817</t>
  </si>
  <si>
    <t>April Actual v. Expected</t>
  </si>
  <si>
    <t>April Actual v. Forecasted</t>
  </si>
  <si>
    <t>1. Inverter 1 is offline on 04/12 and back online at 11:15am on 04/12</t>
  </si>
  <si>
    <t>1. SR083350</t>
  </si>
  <si>
    <t>1. Site tripped offline on 04/16 at 14:00 and back online on 04/17 at 08:00am and again site is offline from 02:00 am on 04/26 to 11:00am on 04/26
2. Inverter 2 was offline from 15:45 on 04/26 to 11:00am on 04/26</t>
  </si>
  <si>
    <t>1. SR083515
2. SR083821</t>
  </si>
  <si>
    <t>1. Inverter C is derated 241kW compared to inverter D on 04/08/2024 from 08:00am to 11: 45am
2. Inverters A and B are tripped offline on 04/09 at 08:30 am and back online on 04/17 at 16:30 and Technician deenergised the site to troubleshoot inverters.</t>
  </si>
  <si>
    <t>1. SR083171
2. SR083244</t>
  </si>
  <si>
    <t>1. Site is offline on 04/04 from 05:05 am to 14:35
2. Site was deenergised by technician to change transformer taps.
3. Site is offline from 04/17 to 05/02 due to planned utility outage</t>
  </si>
  <si>
    <t>1. SR083058
2. SR083456
3. SR082333</t>
  </si>
  <si>
    <t>1. SR083057
2. SR083456
3. SR082334</t>
  </si>
  <si>
    <t>May Actual v. Expected</t>
  </si>
  <si>
    <t>May Actual v. Forecasted</t>
  </si>
  <si>
    <t>1. Inverter 30 is offline from 07:00AM on 05/10 and back online at 07:00AM on 05/11, inverter is again offline from 07:00AM on 05/26 and back online at 07:00AM on 05/27.</t>
  </si>
  <si>
    <t>1. SR084567, SR085167</t>
  </si>
  <si>
    <t>1. Site is offline from 14:09 on 05/31 and back online at 09:59 AM on 06/01.</t>
  </si>
  <si>
    <t>1. SR085384</t>
  </si>
  <si>
    <t>1. Site  tripped offline at 14:45 on 05/05 and back online at 08:15AM on 05/06.
2. Site tripped offline at 15:30 on 05/20 and back online at on 09:45AM on 05/21.
3. Site tripped offline at 09:15AM to 12:30PM on 05/23.
4. Site tripped offline at 23:15 on 05/24 and back online at 10:00AM on 05/25 and site again is offline from 12:30AM to 09:00AM on 05/26.
5. Site offline from 09:00AM to 10:45AM on 05/28.
6. Site is offline from 04:45AM to 13:15 on 05/31</t>
  </si>
  <si>
    <t>1. SR084276
2. SR084919
3. SR085062
4. SR085145
5. SR085210
6. SR085339</t>
  </si>
  <si>
    <t>1. Inverter D is offline from 05:45AM on 05/28.</t>
  </si>
  <si>
    <t>1. SR085297</t>
  </si>
  <si>
    <t>1. Inverter A is derated approximately 300kW on 05/14 and resolved on 05/15.</t>
  </si>
  <si>
    <t>1. SR084703</t>
  </si>
  <si>
    <t>1. Site is having brief outage from 13:50 to 14:10 on 05/14.</t>
  </si>
  <si>
    <t>1. SR084697</t>
  </si>
  <si>
    <t>2. SR084696</t>
  </si>
  <si>
    <t>1. Site is offline from 21:45 to 23:10 on 05/21.</t>
  </si>
  <si>
    <t>1. SR084987</t>
  </si>
  <si>
    <t>June Actual v. Expected</t>
  </si>
  <si>
    <t>June Actual v. Forecasted</t>
  </si>
  <si>
    <t>1. Inverter 9 was offline from 07:00AM on 06/04 and back online at 10:45AM on 06/04 and also Inverter 9 offline from 07:00AM on 06/06 and back online at 09:45 on 06/06
2. Inverter 30 tripped offline from 14:15 on 06/04 and back onlin at 10:15AM on 06/28</t>
  </si>
  <si>
    <t>1. SR085538
2. SR085561</t>
  </si>
  <si>
    <t>1. Site was back online from 09:45AM on 06/01
2. Site experienced brief outage from 17:45 to 17:56 on 06/19
3. Relay stopped communicating from 18:22 on 06/19</t>
  </si>
  <si>
    <t xml:space="preserve">1. 	SR085384
2. SR086450
3.  SR086457
</t>
  </si>
  <si>
    <t xml:space="preserve">1. Site was offline from 12:15 on 06/14 and back online at 13:30 on 06/14 and again site offline from 15:30 on 06/22 and back online at 18:30 on 06/22
</t>
  </si>
  <si>
    <t>1. SR086247</t>
  </si>
  <si>
    <t>1. Site was offline from 02:30AM on 06/03 and back online at 07:15AM on 06/03
2. Site was offline from 18:00 on 06/04 and back online at 09:30AM on 06/05 and again offline from 14:30 and back online at 16:30 on 06/05.</t>
  </si>
  <si>
    <t>1. SR085433
2. SR085563</t>
  </si>
  <si>
    <t>1. Inverter A was tripped offline from 07:30 on 06/13 and back online at 13:45 on 06/13
2. Inverter D was offline from 06/01 and back online on 06/12</t>
  </si>
  <si>
    <t>1. 	SR086139
2. SR085297 ,SR085798</t>
  </si>
  <si>
    <t>1. PE Inverter module 1.5 tripped offline from 17:15 on 06/04 and back online at 10:30AM on 06/06
2. Site was offline from 12:10AM tp 07:45AM on 06/13 
3. Site was offline due to utility outage from 10:15AM on 06/14 and back online at 14:15 on 06/15.
3. Site was offline from 06:45AM on 06/27 and back online at 09:15AM on 06/27</t>
  </si>
  <si>
    <t>1. SR085564
2. SR086111
3. SR086230
4. SR087022</t>
  </si>
  <si>
    <t xml:space="preserve">1. Site was offline from 18:45 on 06/11 and back online at 06:45AM on 06/13
</t>
  </si>
  <si>
    <t>1. 	SR086056</t>
  </si>
  <si>
    <t xml:space="preserve"> </t>
  </si>
  <si>
    <t>1. SR086032</t>
  </si>
  <si>
    <t>1. SR086037</t>
  </si>
  <si>
    <t>1. Inverters A&amp;B are derated to 80% from 06/27
2. Site offline due to planned outage start from 07:15AM on 06/06 and back online at 14:30 on 06/06</t>
  </si>
  <si>
    <t>1. SR086971
2. 	SR084421</t>
  </si>
  <si>
    <t>1. Inverter 2 was derating approximately 280 - 300 kW from 06/02 and resolved on 06/03</t>
  </si>
  <si>
    <t>1. 	SR085421</t>
  </si>
  <si>
    <t>1. Utility planned outage start from 06/04 and back online at 08:45 on 06/05</t>
  </si>
  <si>
    <t>1. 	SR084798</t>
  </si>
  <si>
    <t>1. SR084799</t>
  </si>
  <si>
    <t>July Actual v. Expected</t>
  </si>
  <si>
    <t>July Actual v. Forecasted</t>
  </si>
  <si>
    <t>1.Site was offline from 19:15 of 7/16 to 09:45AM of 7/17</t>
  </si>
  <si>
    <t>1.SR087795</t>
  </si>
  <si>
    <t xml:space="preserve">1.Site was offline from 03:47AM to 07:30AM on 7/12 </t>
  </si>
  <si>
    <t>1.SR087607</t>
  </si>
  <si>
    <t xml:space="preserve">1.Inverter 1 Module 1 has multiple tripping events from 07/08
2.Site was offline from 04:45AM to 07:15AM on 7/13 and again site was offline from 14:15 to 15:45 on 7/29
</t>
  </si>
  <si>
    <t xml:space="preserve">1.SR087468
2.SR087634
</t>
  </si>
  <si>
    <t>1.Site was offline due to utility outage from 7/20 at 11:30AM and back online on 7/21 at 09:30AM</t>
  </si>
  <si>
    <t>1.SR087955</t>
  </si>
  <si>
    <t>1.Site was offline due to utility outage from 7/20 at 12:00PM and back online on 7/21 at 09:30AM</t>
  </si>
  <si>
    <t xml:space="preserve">1.Site was offline from 12:15 to 21:30 on 7/7 and again offline from 08:00 to 22:00 on 7/8 and again offline from 07:30 to 21:45 on 7/9 again site offline from 09:45 to 20:30 on 7/10
again site offline from 7/11 at 10:00 and back online at 07:45 on 7/12
</t>
  </si>
  <si>
    <t>1.SR087443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</si>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</sst>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7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K4" sqref="K4:K10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76" t="str" cm="1">
        <f t="array" ref="A1">portfolio</f>
        <v>38 DN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12" ht="19.5" customHeight="1">
      <c r="A2" s="78" t="s">
        <v>2</v>
      </c>
      <c r="B2" s="78"/>
      <c r="C2" s="5">
        <f>SUM(C4:C99)</f>
        <v>25908459.5</v>
      </c>
      <c r="D2" s="5">
        <f>SUM(D4:D99)</f>
        <v>28332886.810000002</v>
      </c>
      <c r="E2" s="5">
        <f>C2-D2</f>
        <v>-2424427.3100000024</v>
      </c>
      <c r="F2" s="6">
        <f>IFERROR(E2/D2, 0)</f>
        <v>-8.5569371248972362E-2</v>
      </c>
      <c r="G2" s="5">
        <f>SUM(G4:G99)</f>
        <v>23474386.240000002</v>
      </c>
      <c r="H2" s="7">
        <f>C2-G2</f>
        <v>2434073.2599999979</v>
      </c>
      <c r="I2" s="6">
        <f>IFERROR(H2/G2, 0)</f>
        <v>0.10369060281765211</v>
      </c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12" ht="15.75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1313337.5</v>
      </c>
      <c r="D4" s="37">
        <f>SUM('1st Qtr'!D4, '2nd Qtr'!D4, '3rd Qtr'!D4, '4th Qtr'!D4)</f>
        <v>1468461.6</v>
      </c>
      <c r="E4" s="37">
        <f>IF(AND(ISNUMBER(C4),ISNUMBER(D4)), C4-D4, "")</f>
        <v>-155124.10000000009</v>
      </c>
      <c r="F4" s="38">
        <f>IFERROR(E4/D4, "")</f>
        <v>-0.10563715115192668</v>
      </c>
      <c r="G4" s="39">
        <f>SUM('1st Qtr'!G4, '2nd Qtr'!G4, '3rd Qtr'!G4, '4th Qtr'!G4)</f>
        <v>1212992.6000000001</v>
      </c>
      <c r="H4" s="39">
        <f>SUM('1st Qtr'!H4, '2nd Qtr'!H4, '3rd Qtr'!H4, '4th Qtr'!H4)</f>
        <v>-158116.90000000002</v>
      </c>
      <c r="I4" s="40">
        <f>IFERROR(H4/G4, "")</f>
        <v>-0.13035273257231744</v>
      </c>
    </row>
    <row r="5" spans="1:12" ht="15.75">
      <c r="A5" s="41" t="str">
        <v>Barton Acres</v>
      </c>
      <c r="B5" s="42" t="str">
        <v>MA</v>
      </c>
      <c r="C5" s="43">
        <f>SUM('1st Qtr'!C5, '2nd Qtr'!C5, '3rd Qtr'!C5, '4th Qtr'!C5)</f>
        <v>1030258</v>
      </c>
      <c r="D5" s="44">
        <f>SUM('1st Qtr'!D5, '2nd Qtr'!D5, '3rd Qtr'!D5, '4th Qtr'!D5)</f>
        <v>1146707.94</v>
      </c>
      <c r="E5" s="44">
        <f t="shared" ref="E5:E15" si="0">IF(AND(ISNUMBER(C5),ISNUMBER(D5)), C5-D5, "")</f>
        <v>-116449.93999999994</v>
      </c>
      <c r="F5" s="45">
        <f>IFERROR(E5/D5, "")</f>
        <v>-0.10155152496807508</v>
      </c>
      <c r="G5" s="46">
        <f>SUM('1st Qtr'!G5, '2nd Qtr'!G5, '3rd Qtr'!G5, '4th Qtr'!G5)</f>
        <v>871029.63000000012</v>
      </c>
      <c r="H5" s="72">
        <f>SUM('1st Qtr'!H5, '2nd Qtr'!H5, '3rd Qtr'!H5, '4th Qtr'!H5)</f>
        <v>-50652.03</v>
      </c>
      <c r="I5" s="45">
        <f>IFERROR(H5/G5, "")</f>
        <v>-5.8151902364102115E-2</v>
      </c>
      <c r="K5" s="73"/>
    </row>
    <row r="6" spans="1:12" ht="15.75">
      <c r="A6" s="34" t="str">
        <v>Bowden</v>
      </c>
      <c r="B6" s="35" t="str">
        <v>MA</v>
      </c>
      <c r="C6" s="36">
        <f>SUM('1st Qtr'!C6, '2nd Qtr'!C6, '3rd Qtr'!C6, '4th Qtr'!C6)</f>
        <v>2112580</v>
      </c>
      <c r="D6" s="37">
        <f>SUM('1st Qtr'!D6, '2nd Qtr'!D6, '3rd Qtr'!D6, '4th Qtr'!D6)</f>
        <v>2208294.1</v>
      </c>
      <c r="E6" s="37">
        <f t="shared" si="0"/>
        <v>-95714.100000000093</v>
      </c>
      <c r="F6" s="38">
        <f t="shared" ref="F6:F15" si="1">IFERROR(E6/D6, "")</f>
        <v>-4.3343003995708763E-2</v>
      </c>
      <c r="G6" s="39">
        <f>SUM('1st Qtr'!G6, '2nd Qtr'!G6, '3rd Qtr'!G6, '4th Qtr'!G6)</f>
        <v>1799671.6</v>
      </c>
      <c r="H6" s="39">
        <f>SUM('1st Qtr'!H6, '2nd Qtr'!H6, '3rd Qtr'!H6, '4th Qtr'!H6)</f>
        <v>-90666.899999999936</v>
      </c>
      <c r="I6" s="40">
        <f t="shared" ref="I6:I15" si="2">IFERROR(H6/G6, "")</f>
        <v>-5.0379691494826018E-2</v>
      </c>
    </row>
    <row r="7" spans="1:12" ht="15.75">
      <c r="A7" s="41" t="str">
        <v>Blair Wire Village</v>
      </c>
      <c r="B7" s="42" t="str">
        <v>MA</v>
      </c>
      <c r="C7" s="43">
        <f>SUM('1st Qtr'!C7, '2nd Qtr'!C7, '3rd Qtr'!C7, '4th Qtr'!C7)</f>
        <v>1005838</v>
      </c>
      <c r="D7" s="44">
        <f>SUM('1st Qtr'!D7, '2nd Qtr'!D7, '3rd Qtr'!D7, '4th Qtr'!D7)</f>
        <v>1201613.58</v>
      </c>
      <c r="E7" s="44">
        <f t="shared" si="0"/>
        <v>-195775.58000000007</v>
      </c>
      <c r="F7" s="45">
        <f t="shared" si="1"/>
        <v>-0.16292723655802896</v>
      </c>
      <c r="G7" s="46">
        <f>SUM('1st Qtr'!G7, '2nd Qtr'!G7, '3rd Qtr'!G7, '4th Qtr'!G7)</f>
        <v>900362.74</v>
      </c>
      <c r="H7" s="72">
        <f>SUM('1st Qtr'!H7, '2nd Qtr'!H7, '3rd Qtr'!H7, '4th Qtr'!H7)</f>
        <v>-96452.239999999991</v>
      </c>
      <c r="I7" s="45">
        <f t="shared" si="2"/>
        <v>-0.10712597902485391</v>
      </c>
      <c r="L7" s="73"/>
    </row>
    <row r="8" spans="1:12" ht="15.75">
      <c r="A8" s="34" t="str">
        <v>Boutilier</v>
      </c>
      <c r="B8" s="35" t="str">
        <v>MA</v>
      </c>
      <c r="C8" s="36">
        <f>SUM('1st Qtr'!C8, '2nd Qtr'!C8, '3rd Qtr'!C8, '4th Qtr'!C8)</f>
        <v>2845449</v>
      </c>
      <c r="D8" s="37">
        <f>SUM('1st Qtr'!D8, '2nd Qtr'!D8, '3rd Qtr'!D8, '4th Qtr'!D8)</f>
        <v>2917988.7</v>
      </c>
      <c r="E8" s="37">
        <f t="shared" si="0"/>
        <v>-72539.700000000186</v>
      </c>
      <c r="F8" s="38">
        <f t="shared" si="1"/>
        <v>-2.4859486261889972E-2</v>
      </c>
      <c r="G8" s="39">
        <f>SUM('1st Qtr'!G8, '2nd Qtr'!G8, '3rd Qtr'!G8, '4th Qtr'!G8)</f>
        <v>2391070.7999999998</v>
      </c>
      <c r="H8" s="39">
        <f>SUM('1st Qtr'!H8, '2nd Qtr'!H8, '3rd Qtr'!H8, '4th Qtr'!H8)</f>
        <v>-121767.99999999994</v>
      </c>
      <c r="I8" s="40">
        <f t="shared" si="2"/>
        <v>-5.0926137360717195E-2</v>
      </c>
    </row>
    <row r="9" spans="1:12" ht="15.75">
      <c r="A9" s="41" t="str">
        <v>Cherry Valley</v>
      </c>
      <c r="B9" s="42" t="str">
        <v>MA</v>
      </c>
      <c r="C9" s="43">
        <f>SUM('1st Qtr'!C9, '2nd Qtr'!C9, '3rd Qtr'!C9, '4th Qtr'!C9)</f>
        <v>984065</v>
      </c>
      <c r="D9" s="44">
        <f>SUM('1st Qtr'!D9, '2nd Qtr'!D9, '3rd Qtr'!D9, '4th Qtr'!D9)</f>
        <v>1152387.9200000002</v>
      </c>
      <c r="E9" s="44">
        <f t="shared" si="0"/>
        <v>-168322.92000000016</v>
      </c>
      <c r="F9" s="45">
        <f t="shared" si="1"/>
        <v>-0.14606446065488099</v>
      </c>
      <c r="G9" s="46">
        <f>SUM('1st Qtr'!G9, '2nd Qtr'!G9, '3rd Qtr'!G9, '4th Qtr'!G9)</f>
        <v>882556</v>
      </c>
      <c r="H9" s="72">
        <f>SUM('1st Qtr'!H9, '2nd Qtr'!H9, '3rd Qtr'!H9, '4th Qtr'!H9)</f>
        <v>-104857</v>
      </c>
      <c r="I9" s="45">
        <f t="shared" si="2"/>
        <v>-0.11881059105597831</v>
      </c>
      <c r="K9" s="74"/>
    </row>
    <row r="10" spans="1:12" ht="15.75">
      <c r="A10" s="34" t="str">
        <v>Cohasse</v>
      </c>
      <c r="B10" s="35" t="str">
        <v>MA</v>
      </c>
      <c r="C10" s="36">
        <f>SUM('1st Qtr'!C10, '2nd Qtr'!C10, '3rd Qtr'!C10, '4th Qtr'!C10)</f>
        <v>954112</v>
      </c>
      <c r="D10" s="37">
        <f>SUM('1st Qtr'!D10, '2nd Qtr'!D10, '3rd Qtr'!D10, '4th Qtr'!D10)</f>
        <v>1059869.3400000001</v>
      </c>
      <c r="E10" s="37">
        <f t="shared" si="0"/>
        <v>-105757.34000000008</v>
      </c>
      <c r="F10" s="38">
        <f t="shared" si="1"/>
        <v>-9.9783375184718595E-2</v>
      </c>
      <c r="G10" s="39">
        <f>SUM('1st Qtr'!G10, '2nd Qtr'!G10, '3rd Qtr'!G10, '4th Qtr'!G10)</f>
        <v>978372.89999999991</v>
      </c>
      <c r="H10" s="39">
        <f>SUM('1st Qtr'!H10, '2nd Qtr'!H10, '3rd Qtr'!H10, '4th Qtr'!H10)</f>
        <v>-226955.8</v>
      </c>
      <c r="I10" s="40">
        <f t="shared" si="2"/>
        <v>-0.23197269670899512</v>
      </c>
    </row>
    <row r="11" spans="1:12" ht="15.75">
      <c r="A11" s="41" t="str">
        <v>ISM Dighton Solar 2</v>
      </c>
      <c r="B11" s="42" t="str">
        <v>MA</v>
      </c>
      <c r="C11" s="43">
        <f>SUM('1st Qtr'!C11, '2nd Qtr'!C11, '3rd Qtr'!C11, '4th Qtr'!C11)</f>
        <v>2155754</v>
      </c>
      <c r="D11" s="44">
        <f>SUM('1st Qtr'!D11, '2nd Qtr'!D11, '3rd Qtr'!D11, '4th Qtr'!D11)</f>
        <v>2196242</v>
      </c>
      <c r="E11" s="44">
        <f t="shared" si="0"/>
        <v>-40488</v>
      </c>
      <c r="F11" s="45">
        <f t="shared" si="1"/>
        <v>-1.8435126912243732E-2</v>
      </c>
      <c r="G11" s="46">
        <f>SUM('1st Qtr'!G11, '2nd Qtr'!G11, '3rd Qtr'!G11, '4th Qtr'!G11)</f>
        <v>1868573.4</v>
      </c>
      <c r="H11" s="72">
        <f>SUM('1st Qtr'!H11, '2nd Qtr'!H11, '3rd Qtr'!H11, '4th Qtr'!H11)</f>
        <v>-106970.69999999998</v>
      </c>
      <c r="I11" s="45">
        <f t="shared" si="2"/>
        <v>-5.724725611528024E-2</v>
      </c>
    </row>
    <row r="12" spans="1:12" ht="15.75">
      <c r="A12" s="34" t="str">
        <v>Dudley River 1</v>
      </c>
      <c r="B12" s="35" t="str">
        <v>MA</v>
      </c>
      <c r="C12" s="36">
        <f>SUM('1st Qtr'!C12, '2nd Qtr'!C12, '3rd Qtr'!C12, '4th Qtr'!C12)</f>
        <v>1037109</v>
      </c>
      <c r="D12" s="37">
        <f>SUM('1st Qtr'!D12, '2nd Qtr'!D12, '3rd Qtr'!D12, '4th Qtr'!D12)</f>
        <v>1109256.3</v>
      </c>
      <c r="E12" s="37">
        <f t="shared" si="0"/>
        <v>-72147.300000000047</v>
      </c>
      <c r="F12" s="38">
        <f t="shared" si="1"/>
        <v>-6.5041145134807923E-2</v>
      </c>
      <c r="G12" s="39">
        <f>SUM('1st Qtr'!G12, '2nd Qtr'!G12, '3rd Qtr'!G12, '4th Qtr'!G12)</f>
        <v>911921.93</v>
      </c>
      <c r="H12" s="39">
        <f>SUM('1st Qtr'!H12, '2nd Qtr'!H12, '3rd Qtr'!H12, '4th Qtr'!H12)</f>
        <v>-78315.029999999984</v>
      </c>
      <c r="I12" s="40">
        <f t="shared" si="2"/>
        <v>-8.5879094935242956E-2</v>
      </c>
    </row>
    <row r="13" spans="1:12" ht="15.75">
      <c r="A13" s="41" t="str">
        <v>Dudley River 2</v>
      </c>
      <c r="B13" s="42" t="str">
        <v>MA</v>
      </c>
      <c r="C13" s="43">
        <f>SUM('1st Qtr'!C13, '2nd Qtr'!C13, '3rd Qtr'!C13, '4th Qtr'!C13)</f>
        <v>996859</v>
      </c>
      <c r="D13" s="44">
        <f>SUM('1st Qtr'!D13, '2nd Qtr'!D13, '3rd Qtr'!D13, '4th Qtr'!D13)</f>
        <v>1087848.47</v>
      </c>
      <c r="E13" s="44">
        <f t="shared" si="0"/>
        <v>-90989.469999999972</v>
      </c>
      <c r="F13" s="45">
        <f t="shared" si="1"/>
        <v>-8.3641676675796556E-2</v>
      </c>
      <c r="G13" s="46">
        <f>SUM('1st Qtr'!G13, '2nd Qtr'!G13, '3rd Qtr'!G13, '4th Qtr'!G13)</f>
        <v>872893.92999999993</v>
      </c>
      <c r="H13" s="72">
        <f>SUM('1st Qtr'!H13, '2nd Qtr'!H13, '3rd Qtr'!H13, '4th Qtr'!H13)</f>
        <v>-68959.829999999973</v>
      </c>
      <c r="I13" s="45">
        <f t="shared" si="2"/>
        <v>-7.90013856551849E-2</v>
      </c>
    </row>
    <row r="14" spans="1:12" ht="15.75">
      <c r="A14" s="34" t="str">
        <v>Dudley River 3</v>
      </c>
      <c r="B14" s="35" t="str">
        <v>MA</v>
      </c>
      <c r="C14" s="36">
        <f>SUM('1st Qtr'!C14, '2nd Qtr'!C14, '3rd Qtr'!C14, '4th Qtr'!C14)</f>
        <v>1038975</v>
      </c>
      <c r="D14" s="37">
        <f>SUM('1st Qtr'!D14, '2nd Qtr'!D14, '3rd Qtr'!D14, '4th Qtr'!D14)</f>
        <v>1084166.6299999999</v>
      </c>
      <c r="E14" s="37">
        <f t="shared" si="0"/>
        <v>-45191.629999999888</v>
      </c>
      <c r="F14" s="38">
        <f t="shared" si="1"/>
        <v>-4.1683288112270983E-2</v>
      </c>
      <c r="G14" s="39">
        <f>SUM('1st Qtr'!G14, '2nd Qtr'!G14, '3rd Qtr'!G14, '4th Qtr'!G14)</f>
        <v>885288.89</v>
      </c>
      <c r="H14" s="39">
        <f>SUM('1st Qtr'!H14, '2nd Qtr'!H14, '3rd Qtr'!H14, '4th Qtr'!H14)</f>
        <v>-42139.99000000002</v>
      </c>
      <c r="I14" s="40">
        <f t="shared" si="2"/>
        <v>-4.7600269783121325E-2</v>
      </c>
    </row>
    <row r="15" spans="1:12" ht="15.75">
      <c r="A15" s="41" t="str">
        <v>Flint Pond</v>
      </c>
      <c r="B15" s="42" t="str">
        <v>MA</v>
      </c>
      <c r="C15" s="43">
        <f>SUM('1st Qtr'!C15, '2nd Qtr'!C15, '3rd Qtr'!C15, '4th Qtr'!C15)</f>
        <v>484383</v>
      </c>
      <c r="D15" s="44">
        <f>SUM('1st Qtr'!D15, '2nd Qtr'!D15, '3rd Qtr'!D15, '4th Qtr'!D15)</f>
        <v>476520.38999999996</v>
      </c>
      <c r="E15" s="44">
        <f t="shared" si="0"/>
        <v>7862.6100000000442</v>
      </c>
      <c r="F15" s="45">
        <f t="shared" si="1"/>
        <v>1.6500049452238645E-2</v>
      </c>
      <c r="G15" s="46">
        <f>SUM('1st Qtr'!G15, '2nd Qtr'!G15, '3rd Qtr'!G15, '4th Qtr'!G15)</f>
        <v>414455.39999999997</v>
      </c>
      <c r="H15" s="72">
        <f>SUM('1st Qtr'!H15, '2nd Qtr'!H15, '3rd Qtr'!H15, '4th Qtr'!H15)</f>
        <v>-28236.420000000013</v>
      </c>
      <c r="I15" s="45">
        <f t="shared" si="2"/>
        <v>-6.8128971175185599E-2</v>
      </c>
    </row>
    <row r="16" spans="1:12" ht="15.75">
      <c r="A16" s="34" t="str">
        <v>Incom</v>
      </c>
      <c r="B16" s="35" t="str">
        <v>MA</v>
      </c>
      <c r="C16" s="36">
        <f>SUM('1st Qtr'!C16, '2nd Qtr'!C16, '3rd Qtr'!C16, '4th Qtr'!C16)</f>
        <v>2157384</v>
      </c>
      <c r="D16" s="37">
        <f>SUM('1st Qtr'!D16, '2nd Qtr'!D16, '3rd Qtr'!D16, '4th Qtr'!D16)</f>
        <v>2511696</v>
      </c>
      <c r="E16" s="37">
        <f t="shared" ref="E16:E19" si="3">IF(AND(ISNUMBER(C16),ISNUMBER(D16)), C16-D16, "")</f>
        <v>-354312</v>
      </c>
      <c r="F16" s="38">
        <f t="shared" ref="F16:F19" si="4">IFERROR(E16/D16, "")</f>
        <v>-0.14106484224205476</v>
      </c>
      <c r="G16" s="39">
        <f>SUM('1st Qtr'!G16, '2nd Qtr'!G16, '3rd Qtr'!G16, '4th Qtr'!G16)</f>
        <v>1965976.9</v>
      </c>
      <c r="H16" s="39">
        <f>SUM('1st Qtr'!H16, '2nd Qtr'!H16, '3rd Qtr'!H16, '4th Qtr'!H16)</f>
        <v>-225078.49999999997</v>
      </c>
      <c r="I16" s="40">
        <f t="shared" ref="I16:I19" si="5">IFERROR(H16/G16, "")</f>
        <v>-0.11448684875188513</v>
      </c>
    </row>
    <row r="17" spans="1:9" ht="15.75">
      <c r="A17" s="41" t="str">
        <v>JH</v>
      </c>
      <c r="B17" s="42" t="str">
        <v>MA</v>
      </c>
      <c r="C17" s="43">
        <f>SUM('1st Qtr'!C17, '2nd Qtr'!C17, '3rd Qtr'!C17, '4th Qtr'!C17)</f>
        <v>981316</v>
      </c>
      <c r="D17" s="44">
        <f>SUM('1st Qtr'!D17, '2nd Qtr'!D17, '3rd Qtr'!D17, '4th Qtr'!D17)</f>
        <v>1108388.53</v>
      </c>
      <c r="E17" s="44">
        <f t="shared" si="3"/>
        <v>-127072.53000000003</v>
      </c>
      <c r="F17" s="45">
        <f t="shared" si="4"/>
        <v>-0.11464619721389577</v>
      </c>
      <c r="G17" s="46">
        <f>SUM('1st Qtr'!G17, '2nd Qtr'!G17, '3rd Qtr'!G17, '4th Qtr'!G17)</f>
        <v>953048.70000000007</v>
      </c>
      <c r="H17" s="72">
        <f>SUM('1st Qtr'!H17, '2nd Qtr'!H17, '3rd Qtr'!H17, '4th Qtr'!H17)</f>
        <v>-173685.7</v>
      </c>
      <c r="I17" s="45">
        <f t="shared" si="5"/>
        <v>-0.18224220860906687</v>
      </c>
    </row>
    <row r="18" spans="1:9" ht="12.75" customHeight="1">
      <c r="A18" s="34" t="str">
        <v>Ledeaux</v>
      </c>
      <c r="B18" s="41" t="str">
        <v>MA</v>
      </c>
      <c r="C18" s="36">
        <f>SUM('1st Qtr'!C18, '2nd Qtr'!C18, '3rd Qtr'!C18, '4th Qtr'!C18)</f>
        <v>909336</v>
      </c>
      <c r="D18" s="37">
        <f>SUM('1st Qtr'!D18, '2nd Qtr'!D18, '3rd Qtr'!D18, '4th Qtr'!D18)</f>
        <v>1011479.3700000001</v>
      </c>
      <c r="E18" s="37">
        <f t="shared" si="3"/>
        <v>-102143.37000000011</v>
      </c>
      <c r="F18" s="38">
        <f t="shared" si="4"/>
        <v>-0.100984135741691</v>
      </c>
      <c r="G18" s="39">
        <f>SUM('1st Qtr'!G18, '2nd Qtr'!G18, '3rd Qtr'!G18, '4th Qtr'!G18)</f>
        <v>922991.99</v>
      </c>
      <c r="H18" s="39">
        <f>SUM('1st Qtr'!H18, '2nd Qtr'!H18, '3rd Qtr'!H18, '4th Qtr'!H18)</f>
        <v>-211748.59</v>
      </c>
      <c r="I18" s="40">
        <f t="shared" si="5"/>
        <v>-0.22941541453680436</v>
      </c>
    </row>
    <row r="19" spans="1:9" ht="15.75">
      <c r="A19" s="41" t="str">
        <v>Palombo A</v>
      </c>
      <c r="B19" s="41" t="str">
        <v>MA</v>
      </c>
      <c r="C19" s="43">
        <f>SUM('1st Qtr'!C19, '2nd Qtr'!C19, '3rd Qtr'!C19, '4th Qtr'!C19)</f>
        <v>2050256.9999999995</v>
      </c>
      <c r="D19" s="44">
        <f>SUM('1st Qtr'!D19, '2nd Qtr'!D19, '3rd Qtr'!D19, '4th Qtr'!D19)</f>
        <v>2273046.1</v>
      </c>
      <c r="E19" s="44">
        <f t="shared" si="3"/>
        <v>-222789.10000000056</v>
      </c>
      <c r="F19" s="45">
        <f t="shared" si="4"/>
        <v>-9.8013454280579948E-2</v>
      </c>
      <c r="G19" s="46">
        <f>SUM('1st Qtr'!G19, '2nd Qtr'!G19, '3rd Qtr'!G19, '4th Qtr'!G19)</f>
        <v>2051379</v>
      </c>
      <c r="H19" s="72">
        <f>SUM('1st Qtr'!H19, '2nd Qtr'!H19, '3rd Qtr'!H19, '4th Qtr'!H19)</f>
        <v>-415691.00000000041</v>
      </c>
      <c r="I19" s="45">
        <f t="shared" si="5"/>
        <v>-0.20263978523715043</v>
      </c>
    </row>
    <row r="20" spans="1:9" ht="15.75">
      <c r="A20" s="34" t="str">
        <v>Palombo B</v>
      </c>
      <c r="B20" s="41" t="str">
        <v>MA</v>
      </c>
      <c r="C20" s="36">
        <f>SUM('1st Qtr'!C20, '2nd Qtr'!C20, '3rd Qtr'!C20, '4th Qtr'!C20)</f>
        <v>1015085</v>
      </c>
      <c r="D20" s="37">
        <f>SUM('1st Qtr'!D20, '2nd Qtr'!D20, '3rd Qtr'!D20, '4th Qtr'!D20)</f>
        <v>1011989.45</v>
      </c>
      <c r="E20" s="37">
        <f t="shared" ref="E20:E24" si="6">IF(AND(ISNUMBER(C20),ISNUMBER(D20)), C20-D20, "")</f>
        <v>3095.5500000000466</v>
      </c>
      <c r="F20" s="38">
        <f t="shared" ref="F20:F24" si="7">IFERROR(E20/D20, "")</f>
        <v>3.0588757619953912E-3</v>
      </c>
      <c r="G20" s="39">
        <f>SUM('1st Qtr'!G20, '2nd Qtr'!G20, '3rd Qtr'!G20, '4th Qtr'!G20)</f>
        <v>905474.59000000008</v>
      </c>
      <c r="H20" s="39">
        <f>SUM('1st Qtr'!H20, '2nd Qtr'!H20, '3rd Qtr'!H20, '4th Qtr'!H20)</f>
        <v>-108896.19000000002</v>
      </c>
      <c r="I20" s="40">
        <f t="shared" ref="I20:I24" si="8">IFERROR(H20/G20, "")</f>
        <v>-0.12026421415094597</v>
      </c>
    </row>
    <row r="21" spans="1:9" ht="15.75">
      <c r="A21" s="41" t="str">
        <v>St Josephs Church</v>
      </c>
      <c r="B21" s="41" t="str">
        <v>MA</v>
      </c>
      <c r="C21" s="43">
        <f>SUM('1st Qtr'!C21, '2nd Qtr'!C21, '3rd Qtr'!C21, '4th Qtr'!C21)</f>
        <v>966030</v>
      </c>
      <c r="D21" s="44">
        <f>SUM('1st Qtr'!D21, '2nd Qtr'!D21, '3rd Qtr'!D21, '4th Qtr'!D21)</f>
        <v>1184119.32</v>
      </c>
      <c r="E21" s="44">
        <f t="shared" si="6"/>
        <v>-218089.32000000007</v>
      </c>
      <c r="F21" s="45">
        <f t="shared" si="7"/>
        <v>-0.18417849984915377</v>
      </c>
      <c r="G21" s="46">
        <f>SUM('1st Qtr'!G21, '2nd Qtr'!G21, '3rd Qtr'!G21, '4th Qtr'!G21)</f>
        <v>909100.62000000011</v>
      </c>
      <c r="H21" s="72">
        <f>SUM('1st Qtr'!H21, '2nd Qtr'!H21, '3rd Qtr'!H21, '4th Qtr'!H21)</f>
        <v>-144726.22000000003</v>
      </c>
      <c r="I21" s="45">
        <f t="shared" si="8"/>
        <v>-0.15919714145613498</v>
      </c>
    </row>
    <row r="22" spans="1:9" ht="15.75">
      <c r="A22" s="34" t="str">
        <v>Sunset A</v>
      </c>
      <c r="B22" s="41" t="str">
        <v>MA</v>
      </c>
      <c r="C22" s="36">
        <f>SUM('1st Qtr'!C22, '2nd Qtr'!C22, '3rd Qtr'!C22, '4th Qtr'!C22)</f>
        <v>443957</v>
      </c>
      <c r="D22" s="37">
        <f>SUM('1st Qtr'!D22, '2nd Qtr'!D22, '3rd Qtr'!D22, '4th Qtr'!D22)</f>
        <v>533452.20000000007</v>
      </c>
      <c r="E22" s="37">
        <f t="shared" si="6"/>
        <v>-89495.20000000007</v>
      </c>
      <c r="F22" s="38">
        <f t="shared" si="7"/>
        <v>-0.1677661091284281</v>
      </c>
      <c r="G22" s="39">
        <f>SUM('1st Qtr'!G22, '2nd Qtr'!G22, '3rd Qtr'!G22, '4th Qtr'!G22)</f>
        <v>410088.44</v>
      </c>
      <c r="H22" s="39">
        <f>SUM('1st Qtr'!H22, '2nd Qtr'!H22, '3rd Qtr'!H22, '4th Qtr'!H22)</f>
        <v>-64946.35000000002</v>
      </c>
      <c r="I22" s="40">
        <f t="shared" si="8"/>
        <v>-0.1583715698008947</v>
      </c>
    </row>
    <row r="23" spans="1:9" ht="15.75">
      <c r="A23" s="41" t="str">
        <v>Sunset B</v>
      </c>
      <c r="B23" s="41" t="str">
        <v>MA</v>
      </c>
      <c r="C23" s="43">
        <f>SUM('1st Qtr'!C23, '2nd Qtr'!C23, '3rd Qtr'!C23, '4th Qtr'!C23)</f>
        <v>416968</v>
      </c>
      <c r="D23" s="44">
        <f>SUM('1st Qtr'!D23, '2nd Qtr'!D23, '3rd Qtr'!D23, '4th Qtr'!D23)</f>
        <v>475740.99</v>
      </c>
      <c r="E23" s="44">
        <f t="shared" si="6"/>
        <v>-58772.989999999991</v>
      </c>
      <c r="F23" s="45">
        <f t="shared" si="7"/>
        <v>-0.1235398908973557</v>
      </c>
      <c r="G23" s="46">
        <f>SUM('1st Qtr'!G23, '2nd Qtr'!G23, '3rd Qtr'!G23, '4th Qtr'!G23)</f>
        <v>405168.88</v>
      </c>
      <c r="H23" s="72">
        <f>SUM('1st Qtr'!H23, '2nd Qtr'!H23, '3rd Qtr'!H23, '4th Qtr'!H23)</f>
        <v>-85828.52</v>
      </c>
      <c r="I23" s="45">
        <f t="shared" si="8"/>
        <v>-0.21183393946741419</v>
      </c>
    </row>
    <row r="24" spans="1:9" ht="15.75">
      <c r="A24" s="34" t="str">
        <v>Woodchuck</v>
      </c>
      <c r="B24" s="41" t="str">
        <v>MA</v>
      </c>
      <c r="C24" s="36">
        <f>SUM('1st Qtr'!C24, '2nd Qtr'!C24, '3rd Qtr'!C24, '4th Qtr'!C24)</f>
        <v>1009407</v>
      </c>
      <c r="D24" s="37">
        <f>SUM('1st Qtr'!D24, '2nd Qtr'!D24, '3rd Qtr'!D24, '4th Qtr'!D24)</f>
        <v>1113617.8800000001</v>
      </c>
      <c r="E24" s="37">
        <f t="shared" si="6"/>
        <v>-104210.88000000012</v>
      </c>
      <c r="F24" s="38">
        <f t="shared" si="7"/>
        <v>-9.3578669911442258E-2</v>
      </c>
      <c r="G24" s="39">
        <f>SUM('1st Qtr'!G24, '2nd Qtr'!G24, '3rd Qtr'!G24, '4th Qtr'!G24)</f>
        <v>961967.3</v>
      </c>
      <c r="H24" s="39">
        <f>SUM('1st Qtr'!H24, '2nd Qtr'!H24, '3rd Qtr'!H24, '4th Qtr'!H24)</f>
        <v>-166631.9</v>
      </c>
      <c r="I24" s="40">
        <f t="shared" si="8"/>
        <v>-0.17321992130085917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L15" sqref="L15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415423.7</v>
      </c>
      <c r="D4" s="37">
        <f>SUM(Jan!D4, Feb!D4, Mar!D4)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SUM(Jan!G4, Feb!G4, Mar!G4)</f>
        <v>486118.3</v>
      </c>
      <c r="H4" s="39">
        <f>SUM(Jan!H4, Feb!H4, Mar!H4)</f>
        <v>-70694.600000000006</v>
      </c>
      <c r="I4" s="40">
        <f>IFERROR(H4/G4, "")</f>
        <v>-0.14542674077482787</v>
      </c>
    </row>
    <row r="5" spans="1:9" ht="15.75">
      <c r="A5" s="56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SUM(Jan!G5, Feb!G5, Mar!G5)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75">
      <c r="A6" s="55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SUM(Jan!G6, Feb!G6, Mar!G6)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75">
      <c r="A7" s="56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SUM(Jan!G7, Feb!G7, Mar!G7)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75">
      <c r="A8" s="55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SUM(Jan!G8, Feb!G8, Mar!G8)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75">
      <c r="A9" s="56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SUM(Jan!G9, Feb!G9, Mar!G9)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75">
      <c r="A10" s="55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SUM(Jan!G10, Feb!G10, Mar!G10)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75">
      <c r="A11" s="56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SUM(Jan!G11, Feb!G11, Mar!G11)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75">
      <c r="A12" s="55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SUM(Jan!G12, Feb!G12, Mar!G12)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75">
      <c r="A13" s="56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SUM(Jan!G13, Feb!G13, Mar!G13)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75">
      <c r="A14" s="55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SUM(Jan!G14, Feb!G14, Mar!G14)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75">
      <c r="A15" s="56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SUM(Jan!G15, Feb!G15, Mar!G15)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75">
      <c r="A16" s="55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8" si="3">IF(AND(ISNUMBER(C16),ISNUMBER(D16)), C16-D16, "")</f>
        <v>-202502.30000000005</v>
      </c>
      <c r="F16" s="38">
        <f t="shared" ref="F16:F18" si="4">IFERROR(E16/D16, "")</f>
        <v>-0.24306402185606865</v>
      </c>
      <c r="G16" s="39">
        <f>SUM(Jan!G16, Feb!G16, Mar!G16)</f>
        <v>827050.7</v>
      </c>
      <c r="H16" s="39">
        <f>SUM(Jan!H16, Feb!H16, Mar!H16)</f>
        <v>-196429.69999999998</v>
      </c>
      <c r="I16" s="40">
        <f t="shared" ref="I16:I18" si="5">IFERROR(H16/G16, "")</f>
        <v>-0.23750623752570429</v>
      </c>
    </row>
    <row r="17" spans="1:9" ht="15.75">
      <c r="A17" s="56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SUM(Jan!G17, Feb!G17, Mar!G17)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SUM(Jan!G18, Feb!G18, Mar!G18)</f>
        <v>380712.19</v>
      </c>
      <c r="H18" s="39">
        <f>SUM(Jan!H18, Feb!H18, Mar!H18)</f>
        <v>-116096.19</v>
      </c>
      <c r="I18" s="45">
        <f t="shared" si="5"/>
        <v>-0.30494476680665256</v>
      </c>
    </row>
    <row r="19" spans="1:9" ht="15.75">
      <c r="A19" s="56" t="str">
        <v>Palombo A</v>
      </c>
      <c r="B19" s="42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ref="E19:E24" si="6">IF(AND(ISNUMBER(C19),ISNUMBER(D19)), C19-D19, "")</f>
        <v>-218385.00000000047</v>
      </c>
      <c r="F19" s="45">
        <f t="shared" ref="F19:F24" si="7">IFERROR(E19/D19, "")</f>
        <v>-0.26194234473692474</v>
      </c>
      <c r="G19" s="46">
        <f>SUM(Jan!G19, Feb!G19, Mar!G19)</f>
        <v>905621</v>
      </c>
      <c r="H19" s="46">
        <f>SUM(Jan!H19, Feb!H19, Mar!H19)</f>
        <v>-290292.00000000041</v>
      </c>
      <c r="I19" s="40">
        <f t="shared" ref="I19:I24" si="8">IFERROR(H19/G19, "")</f>
        <v>-0.32054468701587135</v>
      </c>
    </row>
    <row r="20" spans="1:9" ht="15.75">
      <c r="A20" s="55" t="str">
        <v>Palombo B</v>
      </c>
      <c r="B20" s="35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si="6"/>
        <v>-99142.849999999977</v>
      </c>
      <c r="F20" s="38">
        <f t="shared" si="7"/>
        <v>-0.25362464452575739</v>
      </c>
      <c r="G20" s="39">
        <f>SUM(Jan!G20, Feb!G20, Mar!G20)</f>
        <v>321983.29000000004</v>
      </c>
      <c r="H20" s="39">
        <f>SUM(Jan!H20, Feb!H20, Mar!H20)</f>
        <v>-30222.289999999994</v>
      </c>
      <c r="I20" s="45">
        <f t="shared" si="8"/>
        <v>-9.3862914438820694E-2</v>
      </c>
    </row>
    <row r="21" spans="1:9" ht="15.75">
      <c r="A21" s="56" t="str">
        <v>St Josephs Church</v>
      </c>
      <c r="B21" s="42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SUM(Jan!G21, Feb!G21, Mar!G21)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75">
      <c r="A22" s="55" t="str">
        <v>Sunset A</v>
      </c>
      <c r="B22" s="35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SUM(Jan!G22, Feb!G22, Mar!G22)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75">
      <c r="A23" s="56" t="str">
        <v>Sunset B</v>
      </c>
      <c r="B23" s="42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SUM(Jan!G23, Feb!G23, Mar!G23)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75">
      <c r="A24" s="55" t="str">
        <v>Woodchuck</v>
      </c>
      <c r="B24" s="35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SUM(Jan!G24, Feb!G24, Mar!G24)</f>
        <v>381962.8</v>
      </c>
      <c r="H24" s="39">
        <f>SUM(Jan!H24, Feb!H24, Mar!H24)</f>
        <v>-95543.8</v>
      </c>
      <c r="I24" s="45">
        <f t="shared" si="8"/>
        <v>-0.25013901877355599</v>
      </c>
    </row>
    <row r="25" spans="1:9" ht="14.2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4" activePane="bottomRight" state="frozen"/>
      <selection pane="bottomRight" activeCell="C5" sqref="C5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SUM(C4:C99)</f>
        <v>13517899.303322259</v>
      </c>
      <c r="D2" s="5">
        <f>SUM(D4:D99)</f>
        <v>13851375.370000001</v>
      </c>
      <c r="E2" s="5">
        <f>C2-D2</f>
        <v>-333476.06667774171</v>
      </c>
      <c r="F2" s="6">
        <f>IFERROR(E2/D2, 0)</f>
        <v>-2.4075303554331563E-2</v>
      </c>
      <c r="G2" s="5">
        <f>SUM(G4:G99)</f>
        <v>14275415.720000004</v>
      </c>
      <c r="H2" s="7">
        <f>C2-G2</f>
        <v>-757516.41667774506</v>
      </c>
      <c r="I2" s="6">
        <f>IFERROR(H2/G2, 0)</f>
        <v>-5.3064403274536993E-2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669108.30000000005</v>
      </c>
      <c r="D4" s="37">
        <f>SUM(Apr!D4, May!D4, Jun!D4)</f>
        <v>787267.6</v>
      </c>
      <c r="E4" s="37">
        <f>IF(AND(ISNUMBER(C4),ISNUMBER(D4)), C4-D4, "")</f>
        <v>-118159.29999999993</v>
      </c>
      <c r="F4" s="38">
        <f>IFERROR(E4/D4, "")</f>
        <v>-0.15008784814718645</v>
      </c>
      <c r="G4" s="39">
        <f>SUM(Apr!G4, May!G4, Jun!G4)</f>
        <v>726874.3</v>
      </c>
      <c r="H4" s="39">
        <f>SUM(Apr!H4, May!H4, Jun!H4)</f>
        <v>-57766.000000000029</v>
      </c>
      <c r="I4" s="40">
        <f>IFERROR(H4/G4, "")</f>
        <v>-7.9471787625453288E-2</v>
      </c>
    </row>
    <row r="5" spans="1:9" ht="15.75">
      <c r="A5" s="56" t="str">
        <v>Barton Acres</v>
      </c>
      <c r="B5" s="42" t="str">
        <v>MA</v>
      </c>
      <c r="C5" s="43">
        <f>SUM(Apr!C5, May!C5, Jun!C5)</f>
        <v>545310</v>
      </c>
      <c r="D5" s="44">
        <f>SUM(Apr!D5, May!D5, Jun!D5)</f>
        <v>539383.5</v>
      </c>
      <c r="E5" s="44">
        <f t="shared" ref="E5:E15" si="0">IF(AND(ISNUMBER(C5),ISNUMBER(D5)), C5-D5, "")</f>
        <v>5926.5</v>
      </c>
      <c r="F5" s="45">
        <f>IFERROR(E5/D5, "")</f>
        <v>1.0987544112862185E-2</v>
      </c>
      <c r="G5" s="46">
        <f>SUM(Apr!G5, May!G5, Jun!G5)</f>
        <v>560726.70000000007</v>
      </c>
      <c r="H5" s="46">
        <f>SUM(Apr!H5, May!H5, Jun!H5)</f>
        <v>-15416.700000000012</v>
      </c>
      <c r="I5" s="45">
        <f>IFERROR(H5/G5, "")</f>
        <v>-2.7494142868531156E-2</v>
      </c>
    </row>
    <row r="6" spans="1:9" ht="15.75">
      <c r="A6" s="55" t="str">
        <v>Bowden</v>
      </c>
      <c r="B6" s="35" t="str">
        <v>MA</v>
      </c>
      <c r="C6" s="36">
        <f>SUM(Apr!C6, May!C6, Jun!C6)</f>
        <v>1110105</v>
      </c>
      <c r="D6" s="37">
        <f>SUM(Apr!D6, May!D6, Jun!D6)</f>
        <v>1106578</v>
      </c>
      <c r="E6" s="37">
        <f t="shared" si="0"/>
        <v>3527</v>
      </c>
      <c r="F6" s="38">
        <f t="shared" ref="F6:F15" si="1">IFERROR(E6/D6, "")</f>
        <v>3.1873035610684472E-3</v>
      </c>
      <c r="G6" s="39">
        <f>SUM(Apr!G6, May!G6, Jun!G6)</f>
        <v>1115432.6000000001</v>
      </c>
      <c r="H6" s="39">
        <f>SUM(Apr!H6, May!H6, Jun!H6)</f>
        <v>-5327.5999999999767</v>
      </c>
      <c r="I6" s="40">
        <f t="shared" ref="I6:I15" si="2">IFERROR(H6/G6, "")</f>
        <v>-4.7762634873680185E-3</v>
      </c>
    </row>
    <row r="7" spans="1:9" ht="15.75">
      <c r="A7" s="56" t="str">
        <v>Blair Wire Village</v>
      </c>
      <c r="B7" s="42" t="str">
        <v>MA</v>
      </c>
      <c r="C7" s="43">
        <f>SUM(Apr!C7, May!C7, Jun!C7)</f>
        <v>519157</v>
      </c>
      <c r="D7" s="44">
        <f>SUM(Apr!D7, May!D7, Jun!D7)</f>
        <v>570134.1</v>
      </c>
      <c r="E7" s="44">
        <f t="shared" si="0"/>
        <v>-50977.099999999977</v>
      </c>
      <c r="F7" s="45">
        <f t="shared" si="1"/>
        <v>-8.9412473311103441E-2</v>
      </c>
      <c r="G7" s="46">
        <f>SUM(Apr!G7, May!G7, Jun!G7)</f>
        <v>559056.19999999995</v>
      </c>
      <c r="H7" s="46">
        <f>SUM(Apr!H7, May!H7, Jun!H7)</f>
        <v>-39899.199999999983</v>
      </c>
      <c r="I7" s="45">
        <f t="shared" si="2"/>
        <v>-7.1368853435486421E-2</v>
      </c>
    </row>
    <row r="8" spans="1:9" ht="15.75">
      <c r="A8" s="55" t="str">
        <v>Boutilier</v>
      </c>
      <c r="B8" s="35" t="str">
        <v>MA</v>
      </c>
      <c r="C8" s="36">
        <f>SUM(Apr!C8, May!C8, Jun!C8)</f>
        <v>1478476</v>
      </c>
      <c r="D8" s="37">
        <f>SUM(Apr!D8, May!D8, Jun!D8)</f>
        <v>1482573</v>
      </c>
      <c r="E8" s="37">
        <f t="shared" si="0"/>
        <v>-4097</v>
      </c>
      <c r="F8" s="38">
        <f t="shared" si="1"/>
        <v>-2.7634389672549007E-3</v>
      </c>
      <c r="G8" s="39">
        <f>SUM(Apr!G8, May!G8, Jun!G8)</f>
        <v>1539248.5</v>
      </c>
      <c r="H8" s="39">
        <f>SUM(Apr!H8, May!H8, Jun!H8)</f>
        <v>-60772.5</v>
      </c>
      <c r="I8" s="40">
        <f t="shared" si="2"/>
        <v>-3.9481929006265071E-2</v>
      </c>
    </row>
    <row r="9" spans="1:9" ht="15.75">
      <c r="A9" s="56" t="str">
        <v>Cherry Valley</v>
      </c>
      <c r="B9" s="42" t="str">
        <v>MA</v>
      </c>
      <c r="C9" s="43">
        <f>SUM(Apr!C9, May!C9, Jun!C9)</f>
        <v>522390</v>
      </c>
      <c r="D9" s="44">
        <f>SUM(Apr!D9, May!D9, Jun!D9)</f>
        <v>540948.9</v>
      </c>
      <c r="E9" s="44">
        <f t="shared" si="0"/>
        <v>-18558.900000000023</v>
      </c>
      <c r="F9" s="45">
        <f t="shared" si="1"/>
        <v>-3.4308046471672321E-2</v>
      </c>
      <c r="G9" s="46">
        <f>SUM(Apr!G9, May!G9, Jun!G9)</f>
        <v>553860</v>
      </c>
      <c r="H9" s="46">
        <f>SUM(Apr!H9, May!H9, Jun!H9)</f>
        <v>-31470</v>
      </c>
      <c r="I9" s="45">
        <f t="shared" si="2"/>
        <v>-5.6819412848012132E-2</v>
      </c>
    </row>
    <row r="10" spans="1:9" ht="15.75">
      <c r="A10" s="55" t="str">
        <v>Cohasse</v>
      </c>
      <c r="B10" s="35" t="str">
        <v>MA</v>
      </c>
      <c r="C10" s="36">
        <f>SUM(Apr!C10, May!C10, Jun!C10)</f>
        <v>499860</v>
      </c>
      <c r="D10" s="37">
        <f>SUM(Apr!D10, May!D10, Jun!D10)</f>
        <v>493690.6</v>
      </c>
      <c r="E10" s="37">
        <f t="shared" si="0"/>
        <v>6169.4000000000233</v>
      </c>
      <c r="F10" s="38">
        <f t="shared" si="1"/>
        <v>1.249649071706049E-2</v>
      </c>
      <c r="G10" s="39">
        <f>SUM(Apr!G10, May!G10, Jun!G10)</f>
        <v>556612.69999999995</v>
      </c>
      <c r="H10" s="39">
        <f>SUM(Apr!H10, May!H10, Jun!H10)</f>
        <v>-56752.699999999983</v>
      </c>
      <c r="I10" s="40">
        <f t="shared" si="2"/>
        <v>-0.10196084279068729</v>
      </c>
    </row>
    <row r="11" spans="1:9" ht="15.75">
      <c r="A11" s="56" t="str">
        <v>ISM Dighton Solar 2</v>
      </c>
      <c r="B11" s="42" t="str">
        <v>MA</v>
      </c>
      <c r="C11" s="43">
        <f>SUM(Apr!C11, May!C11, Jun!C11)</f>
        <v>1117692</v>
      </c>
      <c r="D11" s="44">
        <f>SUM(Apr!D11, May!D11, Jun!D11)</f>
        <v>1088094.3</v>
      </c>
      <c r="E11" s="44">
        <f t="shared" si="0"/>
        <v>29597.699999999953</v>
      </c>
      <c r="F11" s="45">
        <f t="shared" si="1"/>
        <v>2.7201410760078381E-2</v>
      </c>
      <c r="G11" s="46">
        <f>SUM(Apr!G11, May!G11, Jun!G11)</f>
        <v>1141253.5</v>
      </c>
      <c r="H11" s="46">
        <f>SUM(Apr!H11, May!H11, Jun!H11)</f>
        <v>-23561.5</v>
      </c>
      <c r="I11" s="45">
        <f t="shared" si="2"/>
        <v>-2.0645281701217127E-2</v>
      </c>
    </row>
    <row r="12" spans="1:9" ht="15.75">
      <c r="A12" s="55" t="str">
        <v>Dudley River 1</v>
      </c>
      <c r="B12" s="35" t="str">
        <v>MA</v>
      </c>
      <c r="C12" s="36">
        <f>SUM(Apr!C12, May!C12, Jun!C12)</f>
        <v>536212</v>
      </c>
      <c r="D12" s="37">
        <f>SUM(Apr!D12, May!D12, Jun!D12)</f>
        <v>547912</v>
      </c>
      <c r="E12" s="37">
        <f t="shared" si="0"/>
        <v>-11700</v>
      </c>
      <c r="F12" s="38">
        <f t="shared" si="1"/>
        <v>-2.1353794039918821E-2</v>
      </c>
      <c r="G12" s="39">
        <f>SUM(Apr!G12, May!G12, Jun!G12)</f>
        <v>561943.9</v>
      </c>
      <c r="H12" s="39">
        <f>SUM(Apr!H12, May!H12, Jun!H12)</f>
        <v>-25731.899999999994</v>
      </c>
      <c r="I12" s="40">
        <f t="shared" si="2"/>
        <v>-4.5790869871529867E-2</v>
      </c>
    </row>
    <row r="13" spans="1:9" ht="15.75">
      <c r="A13" s="56" t="str">
        <v>Dudley River 2</v>
      </c>
      <c r="B13" s="42" t="str">
        <v>MA</v>
      </c>
      <c r="C13" s="43">
        <f>SUM(Apr!C13, May!C13, Jun!C13)</f>
        <v>514464</v>
      </c>
      <c r="D13" s="44">
        <f>SUM(Apr!D13, May!D13, Jun!D13)</f>
        <v>540498.30000000005</v>
      </c>
      <c r="E13" s="44">
        <f t="shared" si="0"/>
        <v>-26034.300000000047</v>
      </c>
      <c r="F13" s="45">
        <f t="shared" si="1"/>
        <v>-4.8167219027330975E-2</v>
      </c>
      <c r="G13" s="46">
        <f>SUM(Apr!G13, May!G13, Jun!G13)</f>
        <v>537337</v>
      </c>
      <c r="H13" s="46">
        <f>SUM(Apr!H13, May!H13, Jun!H13)</f>
        <v>-22872.999999999971</v>
      </c>
      <c r="I13" s="45">
        <f t="shared" si="2"/>
        <v>-4.2567327394167853E-2</v>
      </c>
    </row>
    <row r="14" spans="1:9" ht="15.75">
      <c r="A14" s="55" t="str">
        <v>Dudley River 3</v>
      </c>
      <c r="B14" s="35" t="str">
        <v>MA</v>
      </c>
      <c r="C14" s="36">
        <f>SUM(Apr!C14, May!C14, Jun!C14)</f>
        <v>530999</v>
      </c>
      <c r="D14" s="37">
        <f>SUM(Apr!D14, May!D14, Jun!D14)</f>
        <v>538683.80000000005</v>
      </c>
      <c r="E14" s="37">
        <f t="shared" si="0"/>
        <v>-7684.8000000000466</v>
      </c>
      <c r="F14" s="38">
        <f t="shared" si="1"/>
        <v>-1.4265882879715421E-2</v>
      </c>
      <c r="G14" s="39">
        <f>SUM(Apr!G14, May!G14, Jun!G14)</f>
        <v>544401.9</v>
      </c>
      <c r="H14" s="39">
        <f>SUM(Apr!H14, May!H14, Jun!H14)</f>
        <v>-13402.900000000023</v>
      </c>
      <c r="I14" s="40">
        <f t="shared" si="2"/>
        <v>-2.4619495266272991E-2</v>
      </c>
    </row>
    <row r="15" spans="1:9" ht="15.75">
      <c r="A15" s="56" t="str">
        <v>Flint Pond</v>
      </c>
      <c r="B15" s="42" t="str">
        <v>MA</v>
      </c>
      <c r="C15" s="43">
        <f>SUM(Apr!C15, May!C15, Jun!C15)</f>
        <v>257182.5</v>
      </c>
      <c r="D15" s="44">
        <f>SUM(Apr!D15, May!D15, Jun!D15)</f>
        <v>220092.02</v>
      </c>
      <c r="E15" s="44">
        <f t="shared" si="0"/>
        <v>37090.48000000001</v>
      </c>
      <c r="F15" s="45">
        <f t="shared" si="1"/>
        <v>0.16852260250053597</v>
      </c>
      <c r="G15" s="46">
        <f>SUM(Apr!G15, May!G15, Jun!G15)</f>
        <v>264870.46999999997</v>
      </c>
      <c r="H15" s="46">
        <f>SUM(Apr!H15, May!H15, Jun!H15)</f>
        <v>-7687.9700000000012</v>
      </c>
      <c r="I15" s="45">
        <f t="shared" si="2"/>
        <v>-2.9025394941157471E-2</v>
      </c>
    </row>
    <row r="16" spans="1:9" ht="15.75">
      <c r="A16" s="55" t="str">
        <v>Incom</v>
      </c>
      <c r="B16" s="35" t="str">
        <v>MA</v>
      </c>
      <c r="C16" s="36">
        <f>SUM(Apr!C16, May!C16, Jun!C16)</f>
        <v>1124910</v>
      </c>
      <c r="D16" s="37">
        <f>SUM(Apr!D16, May!D16, Jun!D16)</f>
        <v>1245264.2</v>
      </c>
      <c r="E16" s="37">
        <f t="shared" ref="E16:E18" si="3">IF(AND(ISNUMBER(C16),ISNUMBER(D16)), C16-D16, "")</f>
        <v>-120354.19999999995</v>
      </c>
      <c r="F16" s="38">
        <f t="shared" ref="F16:F18" si="4">IFERROR(E16/D16, "")</f>
        <v>-9.66495302763863E-2</v>
      </c>
      <c r="G16" s="39">
        <f>SUM(Apr!G16, May!G16, Jun!G16)</f>
        <v>1138926.2</v>
      </c>
      <c r="H16" s="39">
        <f>SUM(Apr!H16, May!H16, Jun!H16)</f>
        <v>-14016.200000000012</v>
      </c>
      <c r="I16" s="40">
        <f t="shared" ref="I16:I18" si="5">IFERROR(H16/G16, "")</f>
        <v>-1.2306504143991079E-2</v>
      </c>
    </row>
    <row r="17" spans="1:9" ht="15.75">
      <c r="A17" s="56" t="str">
        <v>JH</v>
      </c>
      <c r="B17" s="42" t="str">
        <v>MA</v>
      </c>
      <c r="C17" s="36">
        <f>SUM(Apr!C17, May!C17, Jun!C17)</f>
        <v>513411</v>
      </c>
      <c r="D17" s="37">
        <f>SUM(Apr!D17, May!D17, Jun!D17)</f>
        <v>524824.30000000005</v>
      </c>
      <c r="E17" s="37">
        <f t="shared" si="3"/>
        <v>-11413.300000000047</v>
      </c>
      <c r="F17" s="38">
        <f t="shared" si="4"/>
        <v>-2.1746897009151531E-2</v>
      </c>
      <c r="G17" s="46">
        <f>SUM(Apr!G17, May!G17, Jun!G17)</f>
        <v>551769.30000000005</v>
      </c>
      <c r="H17" s="39">
        <f>SUM(Apr!H17, May!H17, Jun!H17)</f>
        <v>-38358.300000000017</v>
      </c>
      <c r="I17" s="40">
        <f t="shared" si="5"/>
        <v>-6.9518728207604186E-2</v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478457</v>
      </c>
      <c r="D18" s="44">
        <f>SUM(Apr!D18, May!D18, Jun!D18)</f>
        <v>507528.3</v>
      </c>
      <c r="E18" s="44">
        <f t="shared" si="3"/>
        <v>-29071.299999999988</v>
      </c>
      <c r="F18" s="45">
        <f t="shared" si="4"/>
        <v>-5.7280155609056659E-2</v>
      </c>
      <c r="G18" s="39">
        <f>SUM(Apr!G18, May!G18, Jun!G18)</f>
        <v>542279.80000000005</v>
      </c>
      <c r="H18" s="46">
        <f>SUM(Apr!H18, May!H18, Jun!H18)</f>
        <v>-63822.799999999988</v>
      </c>
      <c r="I18" s="45">
        <f t="shared" si="5"/>
        <v>-0.1176934859089348</v>
      </c>
    </row>
    <row r="19" spans="1:9" ht="15.75">
      <c r="A19" s="56" t="str">
        <v>Palombo A</v>
      </c>
      <c r="B19" s="42" t="str">
        <v>MA</v>
      </c>
      <c r="C19" s="36">
        <f>SUM(Apr!C19, May!C19, Jun!C19)</f>
        <v>1077552.0033222591</v>
      </c>
      <c r="D19" s="37">
        <f>SUM(Apr!D19, May!D19, Jun!D19)</f>
        <v>1080070.6000000001</v>
      </c>
      <c r="E19" s="37">
        <f t="shared" ref="E19:E24" si="6">IF(AND(ISNUMBER(C19),ISNUMBER(D19)), C19-D19, "")</f>
        <v>-2518.5966777410358</v>
      </c>
      <c r="F19" s="38">
        <f t="shared" ref="F19:F24" si="7">IFERROR(E19/D19, "")</f>
        <v>-2.3318815249123858E-3</v>
      </c>
      <c r="G19" s="46">
        <f>SUM(Apr!G19, May!G19, Jun!G19)</f>
        <v>1145758</v>
      </c>
      <c r="H19" s="39">
        <f>SUM(Apr!H19, May!H19, Jun!H19)</f>
        <v>-68205.996677741001</v>
      </c>
      <c r="I19" s="40">
        <f t="shared" ref="I19:I24" si="8">IFERROR(H19/G19, "")</f>
        <v>-5.9529147235054002E-2</v>
      </c>
    </row>
    <row r="20" spans="1:9" ht="15.75">
      <c r="A20" s="55" t="str">
        <v>Palombo B</v>
      </c>
      <c r="B20" s="35" t="str">
        <v>MA</v>
      </c>
      <c r="C20" s="36">
        <f>SUM(Apr!C20, May!C20, Jun!C20)</f>
        <v>545434</v>
      </c>
      <c r="D20" s="37">
        <f>SUM(Apr!D20, May!D20, Jun!D20)</f>
        <v>464438.30000000005</v>
      </c>
      <c r="E20" s="37">
        <f t="shared" si="6"/>
        <v>80995.699999999953</v>
      </c>
      <c r="F20" s="38">
        <f t="shared" si="7"/>
        <v>0.17439496268933882</v>
      </c>
      <c r="G20" s="39">
        <f>SUM(Apr!G20, May!G20, Jun!G20)</f>
        <v>583491.30000000005</v>
      </c>
      <c r="H20" s="39">
        <f>SUM(Apr!H20, May!H20, Jun!H20)</f>
        <v>-38057.300000000017</v>
      </c>
      <c r="I20" s="40">
        <f t="shared" si="8"/>
        <v>-6.5223423211280121E-2</v>
      </c>
    </row>
    <row r="21" spans="1:9" ht="15.75">
      <c r="A21" s="56" t="str">
        <v>St Josephs Church</v>
      </c>
      <c r="B21" s="42" t="str">
        <v>MA</v>
      </c>
      <c r="C21" s="43">
        <f>SUM(Apr!C21, May!C21, Jun!C21)</f>
        <v>526463</v>
      </c>
      <c r="D21" s="44">
        <f>SUM(Apr!D21, May!D21, Jun!D21)</f>
        <v>569352.4</v>
      </c>
      <c r="E21" s="44">
        <f t="shared" si="6"/>
        <v>-42889.400000000023</v>
      </c>
      <c r="F21" s="45">
        <f t="shared" si="7"/>
        <v>-7.5330147023179361E-2</v>
      </c>
      <c r="G21" s="46">
        <f>SUM(Apr!G21, May!G21, Jun!G21)</f>
        <v>546743.80000000005</v>
      </c>
      <c r="H21" s="46">
        <f>SUM(Apr!H21, May!H21, Jun!H21)</f>
        <v>-20280.800000000017</v>
      </c>
      <c r="I21" s="45">
        <f t="shared" si="8"/>
        <v>-3.7093790546870425E-2</v>
      </c>
    </row>
    <row r="22" spans="1:9" ht="15.75">
      <c r="A22" s="55" t="str">
        <v>Sunset A</v>
      </c>
      <c r="B22" s="35" t="str">
        <v>MA</v>
      </c>
      <c r="C22" s="36">
        <f>SUM(Apr!C22, May!C22, Jun!C22)</f>
        <v>212868.5</v>
      </c>
      <c r="D22" s="37">
        <f>SUM(Apr!D22, May!D22, Jun!D22)</f>
        <v>230425.94</v>
      </c>
      <c r="E22" s="37">
        <f t="shared" si="6"/>
        <v>-17557.440000000002</v>
      </c>
      <c r="F22" s="38">
        <f t="shared" si="7"/>
        <v>-7.6195588048810839E-2</v>
      </c>
      <c r="G22" s="39">
        <f>SUM(Apr!G22, May!G22, Jun!G22)</f>
        <v>263997.98</v>
      </c>
      <c r="H22" s="39">
        <f>SUM(Apr!H22, May!H22, Jun!H22)</f>
        <v>-51129.48000000001</v>
      </c>
      <c r="I22" s="40">
        <f t="shared" si="8"/>
        <v>-0.19367375462494074</v>
      </c>
    </row>
    <row r="23" spans="1:9" ht="15.75">
      <c r="A23" s="56" t="str">
        <v>Sunset B</v>
      </c>
      <c r="B23" s="42" t="str">
        <v>MA</v>
      </c>
      <c r="C23" s="36">
        <f>SUM(Apr!C23, May!C23, Jun!C23)</f>
        <v>201745</v>
      </c>
      <c r="D23" s="37">
        <f>SUM(Apr!D23, May!D23, Jun!D23)</f>
        <v>219673.91</v>
      </c>
      <c r="E23" s="37">
        <f t="shared" si="6"/>
        <v>-17928.910000000003</v>
      </c>
      <c r="F23" s="38">
        <f t="shared" si="7"/>
        <v>-8.1616018943715271E-2</v>
      </c>
      <c r="G23" s="46">
        <f>SUM(Apr!G23, May!G23, Jun!G23)</f>
        <v>260827.07</v>
      </c>
      <c r="H23" s="39">
        <f>SUM(Apr!H23, May!H23, Jun!H23)</f>
        <v>-59082.069999999992</v>
      </c>
      <c r="I23" s="40">
        <f t="shared" si="8"/>
        <v>-0.22651816776533198</v>
      </c>
    </row>
    <row r="24" spans="1:9" ht="15.75">
      <c r="A24" s="55" t="str">
        <v>Woodchuck</v>
      </c>
      <c r="B24" s="35" t="str">
        <v>MA</v>
      </c>
      <c r="C24" s="43">
        <f>SUM(Apr!C24, May!C24, Jun!C24)</f>
        <v>536103</v>
      </c>
      <c r="D24" s="44">
        <f>SUM(Apr!D24, May!D24, Jun!D24)</f>
        <v>553941.30000000005</v>
      </c>
      <c r="E24" s="44">
        <f t="shared" si="6"/>
        <v>-17838.300000000047</v>
      </c>
      <c r="F24" s="45">
        <f t="shared" si="7"/>
        <v>-3.2202509543881354E-2</v>
      </c>
      <c r="G24" s="39">
        <f>SUM(Apr!G24, May!G24, Jun!G24)</f>
        <v>580004.5</v>
      </c>
      <c r="H24" s="46">
        <f>SUM(Apr!H24, May!H24, Jun!H24)</f>
        <v>-43901.5</v>
      </c>
      <c r="I24" s="45">
        <f t="shared" si="8"/>
        <v>-7.5691654116476687E-2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SUM(C4:C99)</f>
        <v>4754265.9966777414</v>
      </c>
      <c r="D2" s="5">
        <f>SUM(D4:D99)</f>
        <v>4889018.3499999996</v>
      </c>
      <c r="E2" s="5">
        <f>C2-D2</f>
        <v>-134752.35332225822</v>
      </c>
      <c r="F2" s="6">
        <f>IFERROR(E2/D2, 0)</f>
        <v>-2.7562251494158991E-2</v>
      </c>
      <c r="G2" s="5">
        <f>SUM(G4:G99)</f>
        <v>0</v>
      </c>
      <c r="H2" s="7">
        <f>C2-G2</f>
        <v>4754265.9966777414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228805.5</v>
      </c>
      <c r="D4" s="37">
        <f>SUM(Jul!D4, Aug!D4, Sep!D4)</f>
        <v>300659.90000000002</v>
      </c>
      <c r="E4" s="37">
        <f>IF(AND(ISNUMBER(C4),ISNUMBER(D4)), C4-D4, "")</f>
        <v>-71854.400000000023</v>
      </c>
      <c r="F4" s="38">
        <f>IFERROR(E4/D4, "")</f>
        <v>-0.23898897059434934</v>
      </c>
      <c r="G4" s="39"/>
      <c r="H4" s="39">
        <f>SUM(Jul!H4, Aug!H4, Sep!H4)</f>
        <v>-29656.299999999988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SUM(Jul!C5, Aug!C5, Sep!C5)</f>
        <v>206045</v>
      </c>
      <c r="D5" s="44">
        <f>SUM(Jul!D5, Aug!D5, Sep!D5)</f>
        <v>202434.1</v>
      </c>
      <c r="E5" s="44">
        <f t="shared" ref="E5:E15" si="0">IF(AND(ISNUMBER(C5),ISNUMBER(D5)), C5-D5, "")</f>
        <v>3610.8999999999942</v>
      </c>
      <c r="F5" s="45">
        <f>IFERROR(E5/D5, "")</f>
        <v>1.7837409803980624E-2</v>
      </c>
      <c r="G5" s="46"/>
      <c r="H5" s="46">
        <f>SUM(Jul!H5, Aug!H5, Sep!H5)</f>
        <v>-3835.3999999999942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SUM(Jul!C6, Aug!C6, Sep!C6)</f>
        <v>402694</v>
      </c>
      <c r="D6" s="37">
        <f>SUM(Jul!D6, Aug!D6, Sep!D6)</f>
        <v>402514.3</v>
      </c>
      <c r="E6" s="37">
        <f t="shared" si="0"/>
        <v>179.70000000001164</v>
      </c>
      <c r="F6" s="38">
        <f t="shared" ref="F6:F15" si="1">IFERROR(E6/D6, "")</f>
        <v>4.4644376609728314E-4</v>
      </c>
      <c r="G6" s="39"/>
      <c r="H6" s="39">
        <f>SUM(Jul!H6, Aug!H6, Sep!H6)</f>
        <v>-881.29999999998836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SUM(Jul!C7, Aug!C7, Sep!C7)</f>
        <v>191619</v>
      </c>
      <c r="D7" s="44">
        <f>SUM(Jul!D7, Aug!D7, Sep!D7)</f>
        <v>198267.5</v>
      </c>
      <c r="E7" s="44">
        <f t="shared" si="0"/>
        <v>-6648.5</v>
      </c>
      <c r="F7" s="45">
        <f t="shared" si="1"/>
        <v>-3.353297943435006E-2</v>
      </c>
      <c r="G7" s="46"/>
      <c r="H7" s="46">
        <f>SUM(Jul!H7, Aug!H7, Sep!H7)</f>
        <v>-10308.5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SUM(Jul!C8, Aug!C8, Sep!C8)</f>
        <v>539456</v>
      </c>
      <c r="D8" s="37">
        <f>SUM(Jul!D8, Aug!D8, Sep!D8)</f>
        <v>515865.5</v>
      </c>
      <c r="E8" s="37">
        <f t="shared" si="0"/>
        <v>23590.5</v>
      </c>
      <c r="F8" s="38">
        <f t="shared" si="1"/>
        <v>4.5729943173172076E-2</v>
      </c>
      <c r="G8" s="39"/>
      <c r="H8" s="39">
        <f>SUM(Jul!H8, Aug!H8, Sep!H8)</f>
        <v>-36690.199999999953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SUM(Jul!C9, Aug!C9, Sep!C9)</f>
        <v>179659</v>
      </c>
      <c r="D9" s="44">
        <f>SUM(Jul!D9, Aug!D9, Sep!D9)</f>
        <v>189584.3</v>
      </c>
      <c r="E9" s="44">
        <f t="shared" si="0"/>
        <v>-9925.2999999999884</v>
      </c>
      <c r="F9" s="45">
        <f t="shared" si="1"/>
        <v>-5.2352963826645928E-2</v>
      </c>
      <c r="G9" s="46"/>
      <c r="H9" s="46">
        <f>SUM(Jul!H9, Aug!H9, Sep!H9)</f>
        <v>-26707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SUM(Jul!C10, Aug!C10, Sep!C10)</f>
        <v>173632</v>
      </c>
      <c r="D10" s="37">
        <f>SUM(Jul!D10, Aug!D10, Sep!D10)</f>
        <v>170023.8</v>
      </c>
      <c r="E10" s="37">
        <f t="shared" si="0"/>
        <v>3608.2000000000116</v>
      </c>
      <c r="F10" s="38">
        <f t="shared" si="1"/>
        <v>2.1221734839475485E-2</v>
      </c>
      <c r="G10" s="39"/>
      <c r="H10" s="39">
        <f>SUM(Jul!H10, Aug!H10, Sep!H10)</f>
        <v>-29062.899999999994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SUM(Jul!C11, Aug!C11, Sep!C11)</f>
        <v>378895</v>
      </c>
      <c r="D11" s="44">
        <f>SUM(Jul!D11, Aug!D11, Sep!D11)</f>
        <v>363256.1</v>
      </c>
      <c r="E11" s="44">
        <f t="shared" si="0"/>
        <v>15638.900000000023</v>
      </c>
      <c r="F11" s="45">
        <f t="shared" si="1"/>
        <v>4.3051995548044543E-2</v>
      </c>
      <c r="G11" s="46"/>
      <c r="H11" s="46">
        <f>SUM(Jul!H11, Aug!H11, Sep!H11)</f>
        <v>-15256.299999999988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SUM(Jul!C12, Aug!C12, Sep!C12)</f>
        <v>190017</v>
      </c>
      <c r="D12" s="37">
        <f>SUM(Jul!D12, Aug!D12, Sep!D12)</f>
        <v>203395.5</v>
      </c>
      <c r="E12" s="37">
        <f t="shared" si="0"/>
        <v>-13378.5</v>
      </c>
      <c r="F12" s="38">
        <f t="shared" si="1"/>
        <v>-6.5775791499811942E-2</v>
      </c>
      <c r="G12" s="39"/>
      <c r="H12" s="39">
        <f>SUM(Jul!H12, Aug!H12, Sep!H12)</f>
        <v>-13485.100000000006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SUM(Jul!C13, Aug!C13, Sep!C13)</f>
        <v>180465</v>
      </c>
      <c r="D13" s="44">
        <f>SUM(Jul!D13, Aug!D13, Sep!D13)</f>
        <v>188550.7</v>
      </c>
      <c r="E13" s="44">
        <f t="shared" si="0"/>
        <v>-8085.7000000000116</v>
      </c>
      <c r="F13" s="45">
        <f t="shared" si="1"/>
        <v>-4.2883426049333206E-2</v>
      </c>
      <c r="G13" s="46"/>
      <c r="H13" s="46">
        <f>SUM(Jul!H13, Aug!H13, Sep!H13)</f>
        <v>-12459.899999999994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SUM(Jul!C14, Aug!C14, Sep!C14)</f>
        <v>184594</v>
      </c>
      <c r="D14" s="37">
        <f>SUM(Jul!D14, Aug!D14, Sep!D14)</f>
        <v>185009.5</v>
      </c>
      <c r="E14" s="37">
        <f t="shared" si="0"/>
        <v>-415.5</v>
      </c>
      <c r="F14" s="38">
        <f t="shared" si="1"/>
        <v>-2.245830619508728E-3</v>
      </c>
      <c r="G14" s="39"/>
      <c r="H14" s="39">
        <f>SUM(Jul!H14, Aug!H14, Sep!H14)</f>
        <v>-11232.100000000006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SUM(Jul!C15, Aug!C15, Sep!C15)</f>
        <v>89346</v>
      </c>
      <c r="D15" s="44">
        <f>SUM(Jul!D15, Aug!D15, Sep!D15)</f>
        <v>71133.05</v>
      </c>
      <c r="E15" s="44">
        <f t="shared" si="0"/>
        <v>18212.949999999997</v>
      </c>
      <c r="F15" s="45">
        <f t="shared" si="1"/>
        <v>0.25604061684406892</v>
      </c>
      <c r="G15" s="46"/>
      <c r="H15" s="46">
        <f>SUM(Jul!H15, Aug!H15, Sep!H15)</f>
        <v>-8818.0200000000041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SUM(Jul!C16, Aug!C16, Sep!C16)</f>
        <v>401853</v>
      </c>
      <c r="D16" s="37">
        <f>SUM(Jul!D16, Aug!D16, Sep!D16)</f>
        <v>433308.5</v>
      </c>
      <c r="E16" s="37">
        <f t="shared" ref="E16:E19" si="3">IF(AND(ISNUMBER(C16),ISNUMBER(D16)), C16-D16, "")</f>
        <v>-31455.5</v>
      </c>
      <c r="F16" s="38">
        <f t="shared" ref="F16:F19" si="4">IFERROR(E16/D16, "")</f>
        <v>-7.2593775566368993E-2</v>
      </c>
      <c r="G16" s="39"/>
      <c r="H16" s="39">
        <f>SUM(Jul!H16, Aug!H16, Sep!H16)</f>
        <v>-14632.599999999977</v>
      </c>
      <c r="I16" s="40" t="str">
        <f t="shared" ref="I16:I19" si="5">IFERROR(H16/G16, "")</f>
        <v/>
      </c>
    </row>
    <row r="17" spans="1:9" ht="15.75">
      <c r="A17" s="56" t="str">
        <v>JH</v>
      </c>
      <c r="B17" s="42" t="str">
        <v>MA</v>
      </c>
      <c r="C17" s="43">
        <f>SUM(Jul!C17, Aug!C17, Sep!C17)</f>
        <v>179742</v>
      </c>
      <c r="D17" s="44">
        <f>SUM(Jul!D17, Aug!D17, Sep!D17)</f>
        <v>180766.8</v>
      </c>
      <c r="E17" s="44">
        <f t="shared" si="3"/>
        <v>-1024.7999999999884</v>
      </c>
      <c r="F17" s="45">
        <f t="shared" si="4"/>
        <v>-5.6691826153917003E-3</v>
      </c>
      <c r="G17" s="46"/>
      <c r="H17" s="46">
        <f>SUM(Jul!H17, Aug!H17, Sep!H17)</f>
        <v>-22211</v>
      </c>
      <c r="I17" s="45" t="str">
        <f t="shared" si="5"/>
        <v/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166263</v>
      </c>
      <c r="D18" s="37">
        <f>SUM(Jul!D18, Aug!D18, Sep!D18)</f>
        <v>181159.8</v>
      </c>
      <c r="E18" s="37">
        <f t="shared" si="3"/>
        <v>-14896.799999999988</v>
      </c>
      <c r="F18" s="38">
        <f t="shared" si="4"/>
        <v>-8.2230163645576934E-2</v>
      </c>
      <c r="G18" s="39"/>
      <c r="H18" s="39">
        <f>SUM(Jul!H18, Aug!H18, Sep!H18)</f>
        <v>-31829.600000000006</v>
      </c>
      <c r="I18" s="40" t="str">
        <f t="shared" si="5"/>
        <v/>
      </c>
    </row>
    <row r="19" spans="1:9" ht="15.75">
      <c r="A19" s="56" t="str">
        <v>Palombo A</v>
      </c>
      <c r="B19" s="41" t="str">
        <v>MA</v>
      </c>
      <c r="C19" s="43">
        <f>SUM(Jul!C19, Aug!C19, Sep!C19)</f>
        <v>357375.996677741</v>
      </c>
      <c r="D19" s="44">
        <f>SUM(Jul!D19, Aug!D19, Sep!D19)</f>
        <v>359261.5</v>
      </c>
      <c r="E19" s="44">
        <f t="shared" si="3"/>
        <v>-1885.5033222589991</v>
      </c>
      <c r="F19" s="45">
        <f t="shared" si="4"/>
        <v>-5.2482754825078646E-3</v>
      </c>
      <c r="G19" s="46"/>
      <c r="H19" s="46">
        <f>SUM(Jul!H19, Aug!H19, Sep!H19)</f>
        <v>-57193.003322258999</v>
      </c>
      <c r="I19" s="45" t="str">
        <f t="shared" si="5"/>
        <v/>
      </c>
    </row>
    <row r="20" spans="1:9" ht="15.75">
      <c r="A20" s="55" t="str">
        <v>Palombo B</v>
      </c>
      <c r="B20" s="34" t="str">
        <v>MA</v>
      </c>
      <c r="C20" s="36">
        <f>SUM(Jul!C20, Aug!C20, Sep!C20)</f>
        <v>177890</v>
      </c>
      <c r="D20" s="37">
        <f>SUM(Jul!D20, Aug!D20, Sep!D20)</f>
        <v>156647.29999999999</v>
      </c>
      <c r="E20" s="37">
        <f t="shared" ref="E20:E24" si="6">IF(AND(ISNUMBER(C20),ISNUMBER(D20)), C20-D20, "")</f>
        <v>21242.700000000012</v>
      </c>
      <c r="F20" s="38">
        <f t="shared" ref="F20:F24" si="7">IFERROR(E20/D20, "")</f>
        <v>0.13560846564224224</v>
      </c>
      <c r="G20" s="39"/>
      <c r="H20" s="39">
        <f>SUM(Jul!H20, Aug!H20, Sep!H20)</f>
        <v>-40616.600000000006</v>
      </c>
      <c r="I20" s="40" t="str">
        <f t="shared" ref="I20:I24" si="8">IFERROR(H20/G20, "")</f>
        <v/>
      </c>
    </row>
    <row r="21" spans="1:9" ht="15.75">
      <c r="A21" s="56" t="str">
        <v>St Josephs Church</v>
      </c>
      <c r="B21" s="41" t="str">
        <v>MA</v>
      </c>
      <c r="C21" s="43">
        <f>SUM(Jul!C21, Aug!C21, Sep!C21)</f>
        <v>156805</v>
      </c>
      <c r="D21" s="44">
        <f>SUM(Jul!D21, Aug!D21, Sep!D21)</f>
        <v>199847.5</v>
      </c>
      <c r="E21" s="44">
        <f t="shared" si="6"/>
        <v>-43042.5</v>
      </c>
      <c r="F21" s="45">
        <f t="shared" si="7"/>
        <v>-0.21537672475262387</v>
      </c>
      <c r="G21" s="46"/>
      <c r="H21" s="46">
        <f>SUM(Jul!H21, Aug!H21, Sep!H21)</f>
        <v>-44850.600000000006</v>
      </c>
      <c r="I21" s="45" t="str">
        <f t="shared" si="8"/>
        <v/>
      </c>
    </row>
    <row r="22" spans="1:9" ht="15.75">
      <c r="A22" s="55" t="str">
        <v>Sunset A</v>
      </c>
      <c r="B22" s="34" t="str">
        <v>MA</v>
      </c>
      <c r="C22" s="36">
        <f>SUM(Jul!C22, Aug!C22, Sep!C22)</f>
        <v>93225</v>
      </c>
      <c r="D22" s="37">
        <f>SUM(Jul!D22, Aug!D22, Sep!D22)</f>
        <v>97708.73</v>
      </c>
      <c r="E22" s="37">
        <f t="shared" si="6"/>
        <v>-4483.7299999999959</v>
      </c>
      <c r="F22" s="38">
        <f t="shared" si="7"/>
        <v>-4.5888734814176747E-2</v>
      </c>
      <c r="G22" s="39"/>
      <c r="H22" s="39">
        <f>SUM(Jul!H22, Aug!H22, Sep!H22)</f>
        <v>-5589.9100000000035</v>
      </c>
      <c r="I22" s="40" t="str">
        <f t="shared" si="8"/>
        <v/>
      </c>
    </row>
    <row r="23" spans="1:9" ht="15.75">
      <c r="A23" s="56" t="str">
        <v>Sunset B</v>
      </c>
      <c r="B23" s="41" t="str">
        <v>MA</v>
      </c>
      <c r="C23" s="43">
        <f>SUM(Jul!C23, Aug!C23, Sep!C23)</f>
        <v>88999.5</v>
      </c>
      <c r="D23" s="44">
        <f>SUM(Jul!D23, Aug!D23, Sep!D23)</f>
        <v>92907.27</v>
      </c>
      <c r="E23" s="44">
        <f t="shared" si="6"/>
        <v>-3907.7700000000041</v>
      </c>
      <c r="F23" s="45">
        <f t="shared" si="7"/>
        <v>-4.2060971116684449E-2</v>
      </c>
      <c r="G23" s="46"/>
      <c r="H23" s="46">
        <f>SUM(Jul!H23, Aug!H23, Sep!H23)</f>
        <v>-8628.14</v>
      </c>
      <c r="I23" s="45" t="str">
        <f t="shared" si="8"/>
        <v/>
      </c>
    </row>
    <row r="24" spans="1:9" ht="15.75">
      <c r="A24" s="55" t="str">
        <v>Woodchuck</v>
      </c>
      <c r="B24" s="34" t="str">
        <v>MA</v>
      </c>
      <c r="C24" s="36">
        <f>SUM(Jul!C24, Aug!C24, Sep!C24)</f>
        <v>186885</v>
      </c>
      <c r="D24" s="37">
        <f>SUM(Jul!D24, Aug!D24, Sep!D24)</f>
        <v>196716.7</v>
      </c>
      <c r="E24" s="37">
        <f t="shared" si="6"/>
        <v>-9831.7000000000116</v>
      </c>
      <c r="F24" s="38">
        <f t="shared" si="7"/>
        <v>-4.9978979923921106E-2</v>
      </c>
      <c r="G24" s="39"/>
      <c r="H24" s="39">
        <f>SUM(Jul!H24, Aug!H24, Sep!H24)</f>
        <v>-27186.600000000006</v>
      </c>
      <c r="I24" s="40" t="str">
        <f t="shared" si="8"/>
        <v/>
      </c>
    </row>
    <row r="25" spans="1:9" ht="15.75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75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75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75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75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75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75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2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2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2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2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G16" activePane="bottomRight" state="frozen"/>
      <selection pane="bottomRight" activeCell="G16" sqref="G16"/>
      <selection pane="bottomLeft" activeCell="D28" sqref="D28"/>
      <selection pane="topRight" activeCell="D28" sqref="D28"/>
    </sheetView>
  </sheetViews>
  <sheetFormatPr defaultRowHeight="13.5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">
      <c r="A1" s="76" t="str" cm="1">
        <f t="array" ref="A1">portfolio</f>
        <v>38 DN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1" ht="15">
      <c r="A2" s="78" t="s">
        <v>2</v>
      </c>
      <c r="B2" s="78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75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75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75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75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42.75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75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28.5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75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75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75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75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75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75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75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75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75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75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75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75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75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4.2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workbookViewId="0">
      <pane xSplit="2" ySplit="3" topLeftCell="G16" activePane="bottomRight" state="frozen"/>
      <selection pane="bottomRight" activeCell="G16" sqref="G16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40</v>
      </c>
      <c r="E1" s="77"/>
      <c r="F1" s="77"/>
      <c r="G1" s="75" t="s">
        <v>41</v>
      </c>
      <c r="H1" s="75"/>
      <c r="I1" s="75"/>
      <c r="J1" s="60"/>
      <c r="K1" s="60"/>
    </row>
    <row r="2" spans="1:11" ht="19.5" customHeight="1">
      <c r="A2" s="78" t="s">
        <v>2</v>
      </c>
      <c r="B2" s="78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2.7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28.5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75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75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2.7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75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2.7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14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57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75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75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75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75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75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75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75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75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57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28.5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zoomScale="70" zoomScaleNormal="70" workbookViewId="0">
      <pane xSplit="2" ySplit="3" topLeftCell="F4" activePane="bottomRight" state="frozen"/>
      <selection pane="bottomRight" activeCell="J35" sqref="J35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66</v>
      </c>
      <c r="E1" s="77"/>
      <c r="F1" s="77"/>
      <c r="G1" s="75" t="s">
        <v>67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3658511.95</v>
      </c>
      <c r="D2" s="5">
        <f>SUM(D4:D99)</f>
        <v>3934430.86</v>
      </c>
      <c r="E2" s="5">
        <f>C2-D2</f>
        <v>-275918.90999999968</v>
      </c>
      <c r="F2" s="6">
        <f>IFERROR(E2/D2, 0)</f>
        <v>-7.012930708864959E-2</v>
      </c>
      <c r="G2" s="5">
        <f>SUM(G4:G99)</f>
        <v>3957115.43</v>
      </c>
      <c r="H2" s="7">
        <f>C2-G2</f>
        <v>-298603.48</v>
      </c>
      <c r="I2" s="6">
        <f>IFERROR(H2/G2, 0)</f>
        <v>-7.5459886192907943E-2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85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172920.7</v>
      </c>
      <c r="D4" s="44">
        <v>173166.5</v>
      </c>
      <c r="E4" s="37">
        <f>IF(AND(ISNUMBER(C4),ISNUMBER(D4)), C4-D4, "")</f>
        <v>-245.79999999998836</v>
      </c>
      <c r="F4" s="38">
        <f>IFERROR(E4/D4, "")</f>
        <v>-1.4194431370963111E-3</v>
      </c>
      <c r="G4" s="39">
        <v>192369.2</v>
      </c>
      <c r="H4" s="39">
        <f>IF(AND(ISNUMBER(C4),ISNUMBER(G4)), C4-G4, "")</f>
        <v>-19448.5</v>
      </c>
      <c r="I4" s="40">
        <f>IFERROR(H4/G4, "")</f>
        <v>-0.10109986421942806</v>
      </c>
      <c r="J4" s="66" t="s">
        <v>68</v>
      </c>
      <c r="K4" s="66" t="s">
        <v>69</v>
      </c>
    </row>
    <row r="5" spans="1:11" ht="15.75">
      <c r="A5" s="49" t="str">
        <v>Barton Acres</v>
      </c>
      <c r="B5" s="50" t="str">
        <v>MA</v>
      </c>
      <c r="C5" s="43">
        <v>138888</v>
      </c>
      <c r="D5" s="37">
        <v>160005</v>
      </c>
      <c r="E5" s="44">
        <f t="shared" ref="E5:E24" si="0">IF(AND(ISNUMBER(C5),ISNUMBER(D5)), C5-D5, "")</f>
        <v>-21117</v>
      </c>
      <c r="F5" s="45">
        <f>IFERROR(E5/D5, "")</f>
        <v>-0.13197712571482142</v>
      </c>
      <c r="G5" s="46">
        <v>142669.5</v>
      </c>
      <c r="H5" s="46">
        <f t="shared" ref="H5:H24" si="1">IF(AND(ISNUMBER(C5),ISNUMBER(G5)), C5-G5, "")</f>
        <v>-3781.5</v>
      </c>
      <c r="I5" s="45">
        <f t="shared" ref="I5:I24" si="2">IFERROR(H5/G5, "")</f>
        <v>-2.6505314730899034E-2</v>
      </c>
      <c r="J5" s="67" t="s">
        <v>70</v>
      </c>
      <c r="K5" s="67" t="s">
        <v>71</v>
      </c>
    </row>
    <row r="6" spans="1:11" ht="28.5">
      <c r="A6" s="51" t="str">
        <v>Bowden</v>
      </c>
      <c r="B6" s="48" t="str">
        <v>MA</v>
      </c>
      <c r="C6" s="36">
        <v>290466</v>
      </c>
      <c r="D6" s="44">
        <v>300297.90000000002</v>
      </c>
      <c r="E6" s="37">
        <f t="shared" si="0"/>
        <v>-9831.9000000000233</v>
      </c>
      <c r="F6" s="38">
        <f t="shared" ref="F6:F24" si="3">IFERROR(E6/D6, "")</f>
        <v>-3.2740488694726212E-2</v>
      </c>
      <c r="G6" s="39">
        <v>299687.8</v>
      </c>
      <c r="H6" s="39">
        <f t="shared" si="1"/>
        <v>-9221.7999999999884</v>
      </c>
      <c r="I6" s="40">
        <f t="shared" si="2"/>
        <v>-3.0771356057870854E-2</v>
      </c>
      <c r="J6" s="66" t="s">
        <v>72</v>
      </c>
      <c r="K6" s="66" t="s">
        <v>73</v>
      </c>
    </row>
    <row r="7" spans="1:11" ht="28.5">
      <c r="A7" s="49" t="str">
        <v>Blair Wire Village</v>
      </c>
      <c r="B7" s="50" t="str">
        <v>MA</v>
      </c>
      <c r="C7" s="43">
        <v>144173</v>
      </c>
      <c r="D7" s="37">
        <v>169032.1</v>
      </c>
      <c r="E7" s="44">
        <f t="shared" si="0"/>
        <v>-24859.100000000006</v>
      </c>
      <c r="F7" s="45">
        <f t="shared" si="3"/>
        <v>-0.14706733218128393</v>
      </c>
      <c r="G7" s="46">
        <v>150008.20000000001</v>
      </c>
      <c r="H7" s="46">
        <f t="shared" si="1"/>
        <v>-5835.2000000000116</v>
      </c>
      <c r="I7" s="45">
        <f t="shared" si="2"/>
        <v>-3.8899206843359305E-2</v>
      </c>
      <c r="J7" s="67" t="s">
        <v>74</v>
      </c>
      <c r="K7" s="67" t="s">
        <v>75</v>
      </c>
    </row>
    <row r="8" spans="1:11" ht="28.5">
      <c r="A8" s="51" t="str">
        <v>Boutilier</v>
      </c>
      <c r="B8" s="48" t="str">
        <v>MA</v>
      </c>
      <c r="C8" s="36">
        <v>409488</v>
      </c>
      <c r="D8" s="44">
        <v>411646.7</v>
      </c>
      <c r="E8" s="37">
        <f t="shared" si="0"/>
        <v>-2158.7000000000116</v>
      </c>
      <c r="F8" s="38">
        <f t="shared" si="3"/>
        <v>-5.2440600155424823E-3</v>
      </c>
      <c r="G8" s="39">
        <v>391645.3</v>
      </c>
      <c r="H8" s="39">
        <f t="shared" si="1"/>
        <v>17842.700000000012</v>
      </c>
      <c r="I8" s="40">
        <f t="shared" si="2"/>
        <v>4.5558315138723771E-2</v>
      </c>
      <c r="J8" s="66" t="s">
        <v>76</v>
      </c>
      <c r="K8" s="66" t="s">
        <v>77</v>
      </c>
    </row>
    <row r="9" spans="1:11" ht="15.75">
      <c r="A9" s="49" t="str">
        <v>Cherry Valley</v>
      </c>
      <c r="B9" s="50" t="str">
        <v>MA</v>
      </c>
      <c r="C9" s="43">
        <v>144004</v>
      </c>
      <c r="D9" s="37">
        <v>164213.5</v>
      </c>
      <c r="E9" s="44">
        <f t="shared" si="0"/>
        <v>-20209.5</v>
      </c>
      <c r="F9" s="45">
        <f t="shared" si="3"/>
        <v>-0.12306844443361843</v>
      </c>
      <c r="G9" s="46">
        <v>146986</v>
      </c>
      <c r="H9" s="46">
        <f t="shared" si="1"/>
        <v>-2982</v>
      </c>
      <c r="I9" s="45">
        <f t="shared" si="2"/>
        <v>-2.0287646442518334E-2</v>
      </c>
      <c r="J9" s="67" t="s">
        <v>78</v>
      </c>
      <c r="K9" s="67" t="s">
        <v>79</v>
      </c>
    </row>
    <row r="10" spans="1:11" ht="15.75">
      <c r="A10" s="51" t="str">
        <v>Cohasse</v>
      </c>
      <c r="B10" s="48" t="str">
        <v>MA</v>
      </c>
      <c r="C10" s="36">
        <v>136999</v>
      </c>
      <c r="D10" s="44">
        <v>155628.79999999999</v>
      </c>
      <c r="E10" s="37">
        <f t="shared" si="0"/>
        <v>-18629.799999999988</v>
      </c>
      <c r="F10" s="38">
        <f t="shared" si="3"/>
        <v>-0.11970663527573296</v>
      </c>
      <c r="G10" s="39">
        <v>171821.1</v>
      </c>
      <c r="H10" s="39">
        <f t="shared" si="1"/>
        <v>-34822.100000000006</v>
      </c>
      <c r="I10" s="40">
        <f t="shared" si="2"/>
        <v>-0.20266486479250806</v>
      </c>
      <c r="J10" s="66" t="s">
        <v>80</v>
      </c>
      <c r="K10" s="66" t="s">
        <v>81</v>
      </c>
    </row>
    <row r="11" spans="1:11" ht="42.75">
      <c r="A11" s="49" t="str">
        <v>ISM Dighton Solar 2</v>
      </c>
      <c r="B11" s="50" t="str">
        <v>MA</v>
      </c>
      <c r="C11" s="43">
        <v>289566</v>
      </c>
      <c r="D11" s="37">
        <v>298650.90000000002</v>
      </c>
      <c r="E11" s="44">
        <f t="shared" si="0"/>
        <v>-9084.9000000000233</v>
      </c>
      <c r="F11" s="45">
        <f t="shared" si="3"/>
        <v>-3.0419797830845387E-2</v>
      </c>
      <c r="G11" s="46">
        <v>304650.2</v>
      </c>
      <c r="H11" s="46">
        <f t="shared" si="1"/>
        <v>-15084.200000000012</v>
      </c>
      <c r="I11" s="45">
        <f t="shared" si="2"/>
        <v>-4.9513179377528756E-2</v>
      </c>
      <c r="J11" s="67" t="s">
        <v>82</v>
      </c>
      <c r="K11" s="67" t="s">
        <v>83</v>
      </c>
    </row>
    <row r="12" spans="1:11" ht="57">
      <c r="A12" s="51" t="str">
        <v>Dudley River 1</v>
      </c>
      <c r="B12" s="48" t="str">
        <v>MA</v>
      </c>
      <c r="C12" s="36">
        <v>148530</v>
      </c>
      <c r="D12" s="44">
        <v>150395.9</v>
      </c>
      <c r="E12" s="37">
        <f t="shared" si="0"/>
        <v>-1865.8999999999942</v>
      </c>
      <c r="F12" s="38">
        <f t="shared" si="3"/>
        <v>-1.2406588211513707E-2</v>
      </c>
      <c r="G12" s="39">
        <v>156312.4</v>
      </c>
      <c r="H12" s="39">
        <f t="shared" si="1"/>
        <v>-7782.3999999999942</v>
      </c>
      <c r="I12" s="40">
        <f t="shared" si="2"/>
        <v>-4.978747687323587E-2</v>
      </c>
      <c r="J12" s="66" t="s">
        <v>84</v>
      </c>
      <c r="K12" s="66" t="s">
        <v>85</v>
      </c>
    </row>
    <row r="13" spans="1:11" ht="28.5">
      <c r="A13" s="49" t="str">
        <v>Dudley River 2</v>
      </c>
      <c r="B13" s="50" t="str">
        <v>MA</v>
      </c>
      <c r="C13" s="36">
        <v>142941</v>
      </c>
      <c r="D13" s="37">
        <v>150367.4</v>
      </c>
      <c r="E13" s="44">
        <f t="shared" si="0"/>
        <v>-7426.3999999999942</v>
      </c>
      <c r="F13" s="45">
        <f t="shared" si="3"/>
        <v>-4.9388364765234984E-2</v>
      </c>
      <c r="G13" s="46">
        <v>149077.20000000001</v>
      </c>
      <c r="H13" s="46">
        <f t="shared" si="1"/>
        <v>-6136.2000000000116</v>
      </c>
      <c r="I13" s="45">
        <f t="shared" si="2"/>
        <v>-4.1161223849119861E-2</v>
      </c>
      <c r="J13" s="67" t="s">
        <v>86</v>
      </c>
      <c r="K13" s="67" t="s">
        <v>87</v>
      </c>
    </row>
    <row r="14" spans="1:11" ht="15.75">
      <c r="A14" s="51" t="str">
        <v>Dudley River 3</v>
      </c>
      <c r="B14" s="48" t="str">
        <v>MA</v>
      </c>
      <c r="C14" s="43">
        <v>148060</v>
      </c>
      <c r="D14" s="44">
        <v>149649.60000000001</v>
      </c>
      <c r="E14" s="37">
        <f t="shared" si="0"/>
        <v>-1589.6000000000058</v>
      </c>
      <c r="F14" s="38">
        <f t="shared" si="3"/>
        <v>-1.0622146667949701E-2</v>
      </c>
      <c r="G14" s="39">
        <v>150723.9</v>
      </c>
      <c r="H14" s="39">
        <f t="shared" si="1"/>
        <v>-2663.8999999999942</v>
      </c>
      <c r="I14" s="40">
        <f t="shared" si="2"/>
        <v>-1.7674038423899557E-2</v>
      </c>
      <c r="J14" s="66" t="s">
        <v>88</v>
      </c>
      <c r="K14" s="66" t="s">
        <v>89</v>
      </c>
    </row>
    <row r="15" spans="1:11" ht="15.75">
      <c r="A15" s="49" t="str">
        <v>Flint Pond</v>
      </c>
      <c r="B15" s="50" t="str">
        <v>MA</v>
      </c>
      <c r="C15" s="36">
        <v>68467</v>
      </c>
      <c r="D15" s="37">
        <v>69574.02</v>
      </c>
      <c r="E15" s="44">
        <f t="shared" si="0"/>
        <v>-1107.0200000000041</v>
      </c>
      <c r="F15" s="45">
        <f t="shared" si="3"/>
        <v>-1.5911399111335007E-2</v>
      </c>
      <c r="G15" s="46">
        <v>68567.490000000005</v>
      </c>
      <c r="H15" s="46">
        <f t="shared" si="1"/>
        <v>-100.49000000000524</v>
      </c>
      <c r="I15" s="45">
        <f t="shared" si="2"/>
        <v>-1.4655633449613692E-3</v>
      </c>
      <c r="J15" s="67"/>
      <c r="K15" s="67"/>
    </row>
    <row r="16" spans="1:11" ht="15.75">
      <c r="A16" s="51" t="str">
        <v>Incom</v>
      </c>
      <c r="B16" s="48" t="str">
        <v>MA</v>
      </c>
      <c r="C16" s="43">
        <v>302262</v>
      </c>
      <c r="D16" s="44">
        <v>346048.9</v>
      </c>
      <c r="E16" s="37">
        <f t="shared" si="0"/>
        <v>-43786.900000000023</v>
      </c>
      <c r="F16" s="38">
        <f t="shared" si="3"/>
        <v>-0.12653385114069143</v>
      </c>
      <c r="G16" s="39">
        <v>343121.6</v>
      </c>
      <c r="H16" s="39">
        <f t="shared" si="1"/>
        <v>-40859.599999999977</v>
      </c>
      <c r="I16" s="40">
        <f t="shared" si="2"/>
        <v>-0.11908198143165566</v>
      </c>
      <c r="J16" s="66" t="s">
        <v>90</v>
      </c>
      <c r="K16" s="66" t="s">
        <v>91</v>
      </c>
    </row>
    <row r="17" spans="1:11" ht="15.75">
      <c r="A17" s="49" t="str">
        <v>JH</v>
      </c>
      <c r="B17" s="50" t="str">
        <v>MA</v>
      </c>
      <c r="C17" s="36">
        <v>138605</v>
      </c>
      <c r="D17" s="37">
        <v>155762.20000000001</v>
      </c>
      <c r="E17" s="44">
        <f t="shared" si="0"/>
        <v>-17157.200000000012</v>
      </c>
      <c r="F17" s="45">
        <f t="shared" si="3"/>
        <v>-0.11014995936112876</v>
      </c>
      <c r="G17" s="46">
        <v>165508</v>
      </c>
      <c r="H17" s="46">
        <f t="shared" si="1"/>
        <v>-26903</v>
      </c>
      <c r="I17" s="45">
        <f t="shared" si="2"/>
        <v>-0.16254803393189454</v>
      </c>
      <c r="J17" s="67" t="s">
        <v>92</v>
      </c>
      <c r="K17" s="67" t="s">
        <v>93</v>
      </c>
    </row>
    <row r="18" spans="1:11" ht="15.75">
      <c r="A18" s="47" t="str">
        <v>Ledeaux</v>
      </c>
      <c r="B18" s="48" t="str">
        <v>MA</v>
      </c>
      <c r="C18" s="43">
        <v>128389</v>
      </c>
      <c r="D18" s="44">
        <v>136967.20000000001</v>
      </c>
      <c r="E18" s="37">
        <f t="shared" si="0"/>
        <v>-8578.2000000000116</v>
      </c>
      <c r="F18" s="38">
        <f t="shared" si="3"/>
        <v>-6.2629593070457817E-2</v>
      </c>
      <c r="G18" s="39">
        <v>160247</v>
      </c>
      <c r="H18" s="39">
        <f t="shared" si="1"/>
        <v>-31858</v>
      </c>
      <c r="I18" s="40">
        <f t="shared" si="2"/>
        <v>-0.19880559386447172</v>
      </c>
      <c r="J18" s="66"/>
      <c r="K18" s="66"/>
    </row>
    <row r="19" spans="1:11" ht="15.75">
      <c r="A19" s="49" t="str">
        <v>Palombo A</v>
      </c>
      <c r="B19" s="50" t="str">
        <v>MA</v>
      </c>
      <c r="C19" s="36">
        <v>292802</v>
      </c>
      <c r="D19" s="37">
        <v>326277.8</v>
      </c>
      <c r="E19" s="44">
        <f t="shared" si="0"/>
        <v>-33475.799999999988</v>
      </c>
      <c r="F19" s="45">
        <f t="shared" si="3"/>
        <v>-0.10259907355020779</v>
      </c>
      <c r="G19" s="46">
        <v>363307</v>
      </c>
      <c r="H19" s="46">
        <f t="shared" si="1"/>
        <v>-70505</v>
      </c>
      <c r="I19" s="45">
        <f t="shared" si="2"/>
        <v>-0.19406452394256096</v>
      </c>
      <c r="J19" s="67" t="s">
        <v>94</v>
      </c>
      <c r="K19" s="67" t="s">
        <v>95</v>
      </c>
    </row>
    <row r="20" spans="1:11" ht="15.75">
      <c r="A20" s="51" t="str">
        <v>Palombo B</v>
      </c>
      <c r="B20" s="48" t="str">
        <v>MA</v>
      </c>
      <c r="C20" s="43">
        <v>146945</v>
      </c>
      <c r="D20" s="44">
        <v>147883.29999999999</v>
      </c>
      <c r="E20" s="37">
        <f t="shared" si="0"/>
        <v>-938.29999999998836</v>
      </c>
      <c r="F20" s="38">
        <f t="shared" si="3"/>
        <v>-6.3448678789287801E-3</v>
      </c>
      <c r="G20" s="39">
        <v>148307.9</v>
      </c>
      <c r="H20" s="39">
        <f t="shared" si="1"/>
        <v>-1362.8999999999942</v>
      </c>
      <c r="I20" s="40">
        <f t="shared" si="2"/>
        <v>-9.1896655538915607E-3</v>
      </c>
      <c r="J20" s="66"/>
      <c r="K20" s="66"/>
    </row>
    <row r="21" spans="1:11" ht="15.75">
      <c r="A21" s="49" t="str">
        <v>St Josephs Church</v>
      </c>
      <c r="B21" s="50" t="str">
        <v>MA</v>
      </c>
      <c r="C21" s="36">
        <v>143176</v>
      </c>
      <c r="D21" s="37">
        <v>165178</v>
      </c>
      <c r="E21" s="44">
        <f t="shared" si="0"/>
        <v>-22002</v>
      </c>
      <c r="F21" s="45">
        <f t="shared" si="3"/>
        <v>-0.13320175810337939</v>
      </c>
      <c r="G21" s="46">
        <v>154868.1</v>
      </c>
      <c r="H21" s="46">
        <f t="shared" si="1"/>
        <v>-11692.100000000006</v>
      </c>
      <c r="I21" s="45">
        <f t="shared" si="2"/>
        <v>-7.5497148864097932E-2</v>
      </c>
      <c r="J21" s="67" t="s">
        <v>96</v>
      </c>
      <c r="K21" s="67" t="s">
        <v>97</v>
      </c>
    </row>
    <row r="22" spans="1:11" ht="28.5">
      <c r="A22" s="51" t="str">
        <v>Sunset A</v>
      </c>
      <c r="B22" s="48" t="str">
        <v>MA</v>
      </c>
      <c r="C22" s="36">
        <v>66301</v>
      </c>
      <c r="D22" s="44">
        <v>82488.210000000006</v>
      </c>
      <c r="E22" s="37">
        <f t="shared" si="0"/>
        <v>-16187.210000000006</v>
      </c>
      <c r="F22" s="38">
        <f t="shared" si="3"/>
        <v>-0.19623665006186952</v>
      </c>
      <c r="G22" s="39">
        <v>67170.38</v>
      </c>
      <c r="H22" s="39">
        <f t="shared" si="1"/>
        <v>-869.38000000000466</v>
      </c>
      <c r="I22" s="40">
        <f t="shared" si="2"/>
        <v>-1.2942907275498584E-2</v>
      </c>
      <c r="J22" s="66" t="s">
        <v>98</v>
      </c>
      <c r="K22" s="66" t="s">
        <v>99</v>
      </c>
    </row>
    <row r="23" spans="1:11" ht="28.5">
      <c r="A23" s="49" t="str">
        <v>Sunset B</v>
      </c>
      <c r="B23" s="50" t="str">
        <v>MA</v>
      </c>
      <c r="C23" s="43">
        <v>62243.25</v>
      </c>
      <c r="D23" s="37">
        <v>70758.73</v>
      </c>
      <c r="E23" s="37">
        <f t="shared" si="0"/>
        <v>-8515.4799999999959</v>
      </c>
      <c r="F23" s="38">
        <f t="shared" si="3"/>
        <v>-0.12034529166931057</v>
      </c>
      <c r="G23" s="46">
        <v>66364.460000000006</v>
      </c>
      <c r="H23" s="46">
        <f t="shared" si="1"/>
        <v>-4121.2100000000064</v>
      </c>
      <c r="I23" s="45">
        <f t="shared" si="2"/>
        <v>-6.2099653941281314E-2</v>
      </c>
      <c r="J23" s="67" t="s">
        <v>100</v>
      </c>
      <c r="K23" s="67" t="s">
        <v>101</v>
      </c>
    </row>
    <row r="24" spans="1:11" ht="28.5">
      <c r="A24" s="51" t="str">
        <v>Woodchuck</v>
      </c>
      <c r="B24" s="48" t="str">
        <v>MA</v>
      </c>
      <c r="C24" s="36">
        <v>143286</v>
      </c>
      <c r="D24" s="44">
        <v>150438.20000000001</v>
      </c>
      <c r="E24" s="37">
        <f t="shared" si="0"/>
        <v>-7152.2000000000116</v>
      </c>
      <c r="F24" s="38">
        <f t="shared" si="3"/>
        <v>-4.7542446001082247E-2</v>
      </c>
      <c r="G24" s="39">
        <v>163702.70000000001</v>
      </c>
      <c r="H24" s="39">
        <f t="shared" si="1"/>
        <v>-20416.700000000012</v>
      </c>
      <c r="I24" s="45">
        <f t="shared" si="2"/>
        <v>-0.12471816286475428</v>
      </c>
      <c r="J24" s="66" t="s">
        <v>102</v>
      </c>
      <c r="K24" s="66" t="s">
        <v>103</v>
      </c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2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2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2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view="pageBreakPreview" zoomScale="110" zoomScaleNormal="90" zoomScaleSheetLayoutView="110" workbookViewId="0">
      <pane xSplit="2" ySplit="3" topLeftCell="J12" activePane="bottomRight" state="frozen"/>
      <selection pane="bottomRight" activeCell="K27" sqref="K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104</v>
      </c>
      <c r="E1" s="77"/>
      <c r="F1" s="77"/>
      <c r="G1" s="75" t="s">
        <v>105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3828480.0599447787</v>
      </c>
      <c r="D2" s="5">
        <f>SUM(D4:D99)</f>
        <v>4041167.0000000005</v>
      </c>
      <c r="E2" s="5">
        <f>C2-D2</f>
        <v>-212686.94005522178</v>
      </c>
      <c r="F2" s="6">
        <f>IFERROR(E2/D2, 0)</f>
        <v>-5.2630079394200183E-2</v>
      </c>
      <c r="G2" s="5">
        <f>SUM(G4:G99)</f>
        <v>4290961.4300000006</v>
      </c>
      <c r="H2" s="7">
        <f>C2-G2</f>
        <v>-462481.37005522195</v>
      </c>
      <c r="I2" s="6">
        <f>IFERROR(H2/G2, 0)</f>
        <v>-0.10778036055551818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220985.3</v>
      </c>
      <c r="D4" s="37">
        <v>234779</v>
      </c>
      <c r="E4" s="37">
        <f>IF(AND(ISNUMBER(C4),ISNUMBER(D4)), C4-D4, "")</f>
        <v>-13793.700000000012</v>
      </c>
      <c r="F4" s="38">
        <f>IFERROR(E4/D4, "")</f>
        <v>-5.8751847482100238E-2</v>
      </c>
      <c r="G4" s="39">
        <v>220814.1</v>
      </c>
      <c r="H4" s="39">
        <f>IF(AND(ISNUMBER(C4),ISNUMBER(G4)), C4-G4, "")</f>
        <v>171.19999999998254</v>
      </c>
      <c r="I4" s="40">
        <f>IFERROR(H4/G4, "")</f>
        <v>7.7531280837583535E-4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154260</v>
      </c>
      <c r="D5" s="44">
        <v>159778.79999999999</v>
      </c>
      <c r="E5" s="44">
        <f t="shared" ref="E5:E24" si="0">IF(AND(ISNUMBER(C5),ISNUMBER(D5)), C5-D5, "")</f>
        <v>-5518.7999999999884</v>
      </c>
      <c r="F5" s="45">
        <f>IFERROR(E5/D5, "")</f>
        <v>-3.4540251898249261E-2</v>
      </c>
      <c r="G5" s="46">
        <v>163604.70000000001</v>
      </c>
      <c r="H5" s="46">
        <f t="shared" ref="H5:H24" si="1">IF(AND(ISNUMBER(C5),ISNUMBER(G5)), C5-G5, "")</f>
        <v>-9344.7000000000116</v>
      </c>
      <c r="I5" s="45">
        <f t="shared" ref="I5:I24" si="2">IFERROR(H5/G5, "")</f>
        <v>-5.711755224635974E-2</v>
      </c>
      <c r="J5" s="58" t="s">
        <v>106</v>
      </c>
      <c r="K5" s="58" t="s">
        <v>107</v>
      </c>
    </row>
    <row r="6" spans="1:11" ht="15.75">
      <c r="A6" s="51" t="str">
        <v>Bowden</v>
      </c>
      <c r="B6" s="48" t="str">
        <v>MA</v>
      </c>
      <c r="C6" s="36">
        <v>311418</v>
      </c>
      <c r="D6" s="37">
        <v>314418.7</v>
      </c>
      <c r="E6" s="37">
        <f t="shared" si="0"/>
        <v>-3000.7000000000116</v>
      </c>
      <c r="F6" s="38">
        <f t="shared" ref="F6:F24" si="3">IFERROR(E6/D6, "")</f>
        <v>-9.5436435555519162E-3</v>
      </c>
      <c r="G6" s="39">
        <v>332611.5</v>
      </c>
      <c r="H6" s="39">
        <f t="shared" si="1"/>
        <v>-21193.5</v>
      </c>
      <c r="I6" s="40">
        <f t="shared" si="2"/>
        <v>-6.3718482373579993E-2</v>
      </c>
      <c r="J6" s="57"/>
      <c r="K6" s="57"/>
    </row>
    <row r="7" spans="1:11" ht="42.75">
      <c r="A7" s="49" t="str">
        <v>Blair Wire Village</v>
      </c>
      <c r="B7" s="50" t="str">
        <v>MA</v>
      </c>
      <c r="C7" s="43">
        <v>149056</v>
      </c>
      <c r="D7" s="44">
        <v>169562.6</v>
      </c>
      <c r="E7" s="44">
        <f t="shared" si="0"/>
        <v>-20506.600000000006</v>
      </c>
      <c r="F7" s="45">
        <f t="shared" si="3"/>
        <v>-0.12093822576440798</v>
      </c>
      <c r="G7" s="46">
        <v>167094.79999999999</v>
      </c>
      <c r="H7" s="46">
        <f t="shared" si="1"/>
        <v>-18038.799999999988</v>
      </c>
      <c r="I7" s="45">
        <f t="shared" si="2"/>
        <v>-0.10795548395282192</v>
      </c>
      <c r="J7" s="67" t="s">
        <v>108</v>
      </c>
      <c r="K7" s="68" t="s">
        <v>109</v>
      </c>
    </row>
    <row r="8" spans="1:11" ht="15.75">
      <c r="A8" s="51" t="str">
        <v>Boutilier</v>
      </c>
      <c r="B8" s="48" t="str">
        <v>MA</v>
      </c>
      <c r="C8" s="36">
        <v>431826</v>
      </c>
      <c r="D8" s="37">
        <v>447646.3</v>
      </c>
      <c r="E8" s="37">
        <f t="shared" si="0"/>
        <v>-15820.299999999988</v>
      </c>
      <c r="F8" s="38">
        <f t="shared" si="3"/>
        <v>-3.5341071734536815E-2</v>
      </c>
      <c r="G8" s="39">
        <v>449109.5</v>
      </c>
      <c r="H8" s="39">
        <f t="shared" si="1"/>
        <v>-17283.5</v>
      </c>
      <c r="I8" s="40">
        <f t="shared" si="2"/>
        <v>-3.8483933205599077E-2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152661</v>
      </c>
      <c r="D9" s="44">
        <v>165093.29999999999</v>
      </c>
      <c r="E9" s="44">
        <f t="shared" si="0"/>
        <v>-12432.299999999988</v>
      </c>
      <c r="F9" s="45">
        <f t="shared" si="3"/>
        <v>-7.53046913472563E-2</v>
      </c>
      <c r="G9" s="46">
        <v>163486</v>
      </c>
      <c r="H9" s="46">
        <f t="shared" si="1"/>
        <v>-10825</v>
      </c>
      <c r="I9" s="45">
        <f t="shared" si="2"/>
        <v>-6.6213620738167181E-2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143028</v>
      </c>
      <c r="D10" s="37">
        <v>148253.5</v>
      </c>
      <c r="E10" s="37">
        <f t="shared" si="0"/>
        <v>-5225.5</v>
      </c>
      <c r="F10" s="38">
        <f t="shared" si="3"/>
        <v>-3.5247059934504076E-2</v>
      </c>
      <c r="G10" s="39">
        <v>173435.6</v>
      </c>
      <c r="H10" s="39">
        <f t="shared" si="1"/>
        <v>-30407.600000000006</v>
      </c>
      <c r="I10" s="40">
        <f t="shared" si="2"/>
        <v>-0.17532501977679327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336392</v>
      </c>
      <c r="D11" s="44">
        <v>321701.3</v>
      </c>
      <c r="E11" s="44">
        <f t="shared" si="0"/>
        <v>14690.700000000012</v>
      </c>
      <c r="F11" s="45">
        <f t="shared" si="3"/>
        <v>4.566565320065543E-2</v>
      </c>
      <c r="G11" s="46">
        <v>338965.1</v>
      </c>
      <c r="H11" s="46">
        <f t="shared" si="1"/>
        <v>-2573.0999999999767</v>
      </c>
      <c r="I11" s="45">
        <f t="shared" si="2"/>
        <v>-7.5910469838929642E-3</v>
      </c>
      <c r="J11" s="58"/>
      <c r="K11" s="59"/>
    </row>
    <row r="12" spans="1:11" ht="15.75">
      <c r="A12" s="51" t="str">
        <v>Dudley River 1</v>
      </c>
      <c r="B12" s="48" t="str">
        <v>MA</v>
      </c>
      <c r="C12" s="36">
        <v>156406</v>
      </c>
      <c r="D12" s="37">
        <v>156601.5</v>
      </c>
      <c r="E12" s="37">
        <f t="shared" si="0"/>
        <v>-195.5</v>
      </c>
      <c r="F12" s="38">
        <f t="shared" si="3"/>
        <v>-1.248391618215662E-3</v>
      </c>
      <c r="G12" s="39">
        <v>167511.29999999999</v>
      </c>
      <c r="H12" s="39">
        <f t="shared" si="1"/>
        <v>-11105.299999999988</v>
      </c>
      <c r="I12" s="40">
        <f t="shared" si="2"/>
        <v>-6.6295826012931602E-2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150087</v>
      </c>
      <c r="D13" s="44">
        <v>156204.20000000001</v>
      </c>
      <c r="E13" s="44">
        <f t="shared" si="0"/>
        <v>-6117.2000000000116</v>
      </c>
      <c r="F13" s="45">
        <f t="shared" si="3"/>
        <v>-3.9161559036184755E-2</v>
      </c>
      <c r="G13" s="46">
        <v>161407.4</v>
      </c>
      <c r="H13" s="46">
        <f t="shared" si="1"/>
        <v>-11320.399999999994</v>
      </c>
      <c r="I13" s="45">
        <f t="shared" si="2"/>
        <v>-7.013556999245385E-2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154781.00332225999</v>
      </c>
      <c r="D14" s="37">
        <v>157088.29999999999</v>
      </c>
      <c r="E14" s="37">
        <f t="shared" si="0"/>
        <v>-2307.2966777399997</v>
      </c>
      <c r="F14" s="38">
        <f t="shared" si="3"/>
        <v>-1.4687896410744784E-2</v>
      </c>
      <c r="G14" s="39">
        <v>163247.1</v>
      </c>
      <c r="H14" s="39">
        <f t="shared" si="1"/>
        <v>-8466.0966777400172</v>
      </c>
      <c r="I14" s="40">
        <f t="shared" si="2"/>
        <v>-5.1860625259131814E-2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75671.5</v>
      </c>
      <c r="D15" s="44">
        <v>70499.98</v>
      </c>
      <c r="E15" s="44">
        <f t="shared" si="0"/>
        <v>5171.5200000000041</v>
      </c>
      <c r="F15" s="45">
        <f t="shared" si="3"/>
        <v>7.3354914426926141E-2</v>
      </c>
      <c r="G15" s="46">
        <v>78106.22</v>
      </c>
      <c r="H15" s="46">
        <f t="shared" si="1"/>
        <v>-2434.7200000000012</v>
      </c>
      <c r="I15" s="45">
        <f t="shared" si="2"/>
        <v>-3.1171909228227934E-2</v>
      </c>
      <c r="J15" s="58"/>
      <c r="K15" s="59"/>
    </row>
    <row r="16" spans="1:11" ht="57">
      <c r="A16" s="51" t="str">
        <v>Incom</v>
      </c>
      <c r="B16" s="48" t="str">
        <v>MA</v>
      </c>
      <c r="C16" s="36">
        <v>276036</v>
      </c>
      <c r="D16" s="37">
        <v>363748.3</v>
      </c>
      <c r="E16" s="37">
        <f t="shared" si="0"/>
        <v>-87712.299999999988</v>
      </c>
      <c r="F16" s="38">
        <f t="shared" si="3"/>
        <v>-0.24113459774244991</v>
      </c>
      <c r="G16" s="39">
        <v>348699</v>
      </c>
      <c r="H16" s="39">
        <f t="shared" si="1"/>
        <v>-72663</v>
      </c>
      <c r="I16" s="40">
        <f t="shared" si="2"/>
        <v>-0.20838316140855007</v>
      </c>
      <c r="J16" s="69" t="s">
        <v>110</v>
      </c>
      <c r="K16" s="57" t="s">
        <v>111</v>
      </c>
    </row>
    <row r="17" spans="1:11" ht="15.75">
      <c r="A17" s="49" t="str">
        <v>JH</v>
      </c>
      <c r="B17" s="50" t="str">
        <v>MA</v>
      </c>
      <c r="C17" s="43">
        <v>146209</v>
      </c>
      <c r="D17" s="44">
        <v>157141.20000000001</v>
      </c>
      <c r="E17" s="44">
        <f t="shared" si="0"/>
        <v>-10932.200000000012</v>
      </c>
      <c r="F17" s="45">
        <f t="shared" si="3"/>
        <v>-6.9569279094215966E-2</v>
      </c>
      <c r="G17" s="46">
        <v>171272.7</v>
      </c>
      <c r="H17" s="46">
        <f t="shared" si="1"/>
        <v>-25063.700000000012</v>
      </c>
      <c r="I17" s="45">
        <f t="shared" si="2"/>
        <v>-0.14633797446995353</v>
      </c>
      <c r="J17" s="58"/>
      <c r="K17" s="59"/>
    </row>
    <row r="18" spans="1:11" ht="15.75">
      <c r="A18" s="47" t="str">
        <v>Ledeaux</v>
      </c>
      <c r="B18" s="48" t="str">
        <v>MA</v>
      </c>
      <c r="C18" s="36">
        <v>136748</v>
      </c>
      <c r="D18" s="37">
        <v>145052.6</v>
      </c>
      <c r="E18" s="37">
        <f t="shared" si="0"/>
        <v>-8304.6000000000058</v>
      </c>
      <c r="F18" s="38">
        <f t="shared" si="3"/>
        <v>-5.7252334670319635E-2</v>
      </c>
      <c r="G18" s="39">
        <v>166011.9</v>
      </c>
      <c r="H18" s="39">
        <f t="shared" si="1"/>
        <v>-29263.899999999994</v>
      </c>
      <c r="I18" s="40">
        <f t="shared" si="2"/>
        <v>-0.17627591756976455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309094.00662251899</v>
      </c>
      <c r="D19" s="44">
        <v>321228.2</v>
      </c>
      <c r="E19" s="44">
        <f t="shared" si="0"/>
        <v>-12134.193377481017</v>
      </c>
      <c r="F19" s="45">
        <f t="shared" si="3"/>
        <v>-3.777437154484263E-2</v>
      </c>
      <c r="G19" s="46">
        <v>361541</v>
      </c>
      <c r="H19" s="46">
        <f t="shared" si="1"/>
        <v>-52446.993377481005</v>
      </c>
      <c r="I19" s="45">
        <f t="shared" si="2"/>
        <v>-0.14506513335273455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157158</v>
      </c>
      <c r="D20" s="37">
        <v>140110.70000000001</v>
      </c>
      <c r="E20" s="37">
        <f t="shared" si="0"/>
        <v>17047.299999999988</v>
      </c>
      <c r="F20" s="38">
        <f t="shared" si="3"/>
        <v>0.12167022218859792</v>
      </c>
      <c r="G20" s="39">
        <v>170164.9</v>
      </c>
      <c r="H20" s="39">
        <f t="shared" si="1"/>
        <v>-13006.899999999994</v>
      </c>
      <c r="I20" s="40">
        <f t="shared" si="2"/>
        <v>-7.6437032549015654E-2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149164</v>
      </c>
      <c r="D21" s="44">
        <v>168316.4</v>
      </c>
      <c r="E21" s="44">
        <f t="shared" si="0"/>
        <v>-19152.399999999994</v>
      </c>
      <c r="F21" s="45">
        <f t="shared" si="3"/>
        <v>-0.11378808006825238</v>
      </c>
      <c r="G21" s="46">
        <v>165493.20000000001</v>
      </c>
      <c r="H21" s="46">
        <f t="shared" si="1"/>
        <v>-16329.200000000012</v>
      </c>
      <c r="I21" s="45">
        <f t="shared" si="2"/>
        <v>-9.8669915138507258E-2</v>
      </c>
      <c r="J21" s="58"/>
      <c r="K21" s="59"/>
    </row>
    <row r="22" spans="1:11" ht="42.75">
      <c r="A22" s="51" t="str">
        <v>Sunset A</v>
      </c>
      <c r="B22" s="48" t="str">
        <v>MA</v>
      </c>
      <c r="C22" s="36">
        <v>33136.5</v>
      </c>
      <c r="D22" s="37">
        <v>46425.54</v>
      </c>
      <c r="E22" s="37">
        <f t="shared" si="0"/>
        <v>-13289.04</v>
      </c>
      <c r="F22" s="38">
        <f t="shared" si="3"/>
        <v>-0.2862441664652689</v>
      </c>
      <c r="G22" s="39">
        <v>77027.22</v>
      </c>
      <c r="H22" s="39">
        <f t="shared" si="1"/>
        <v>-43890.720000000001</v>
      </c>
      <c r="I22" s="40">
        <f t="shared" si="2"/>
        <v>-0.56980791984963242</v>
      </c>
      <c r="J22" s="57" t="s">
        <v>112</v>
      </c>
      <c r="K22" s="57" t="s">
        <v>113</v>
      </c>
    </row>
    <row r="23" spans="1:11" ht="42.75">
      <c r="A23" s="49" t="str">
        <v>Sunset B</v>
      </c>
      <c r="B23" s="50" t="str">
        <v>MA</v>
      </c>
      <c r="C23" s="43">
        <v>30996.75</v>
      </c>
      <c r="D23" s="44">
        <v>36795.879999999997</v>
      </c>
      <c r="E23" s="44">
        <f t="shared" si="0"/>
        <v>-5799.1299999999974</v>
      </c>
      <c r="F23" s="45">
        <f t="shared" si="3"/>
        <v>-0.15760269899782253</v>
      </c>
      <c r="G23" s="46">
        <v>76102.09</v>
      </c>
      <c r="H23" s="46">
        <f t="shared" si="1"/>
        <v>-45105.34</v>
      </c>
      <c r="I23" s="45">
        <f t="shared" si="2"/>
        <v>-0.59269515462715938</v>
      </c>
      <c r="J23" s="58" t="s">
        <v>112</v>
      </c>
      <c r="K23" s="58" t="s">
        <v>114</v>
      </c>
    </row>
    <row r="24" spans="1:11" ht="15.75">
      <c r="A24" s="51" t="str">
        <v>Woodchuck</v>
      </c>
      <c r="B24" s="48" t="str">
        <v>MA</v>
      </c>
      <c r="C24" s="36">
        <v>153366</v>
      </c>
      <c r="D24" s="37">
        <v>160720.70000000001</v>
      </c>
      <c r="E24" s="37">
        <f t="shared" si="0"/>
        <v>-7354.7000000000116</v>
      </c>
      <c r="F24" s="38">
        <f t="shared" si="3"/>
        <v>-4.5760751415343581E-2</v>
      </c>
      <c r="G24" s="39">
        <v>175256.1</v>
      </c>
      <c r="H24" s="39">
        <f t="shared" si="1"/>
        <v>-21890.100000000006</v>
      </c>
      <c r="I24" s="40">
        <f t="shared" si="2"/>
        <v>-0.1249034983661054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zoomScale="60" zoomScaleNormal="60" workbookViewId="0">
      <pane xSplit="2" ySplit="3" topLeftCell="C4" activePane="bottomRight" state="frozen"/>
      <selection pane="bottomRight" activeCell="J26" sqref="J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115</v>
      </c>
      <c r="E1" s="77"/>
      <c r="F1" s="77"/>
      <c r="G1" s="75" t="s">
        <v>116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4651336.2108132513</v>
      </c>
      <c r="D2" s="5">
        <f>SUM(D4:D99)</f>
        <v>4676991.95</v>
      </c>
      <c r="E2" s="5">
        <f>C2-D2</f>
        <v>-25655.739186748862</v>
      </c>
      <c r="F2" s="6">
        <f>IFERROR(E2/D2, 0)</f>
        <v>-5.485521348128226E-3</v>
      </c>
      <c r="G2" s="5">
        <f>SUM(G4:G99)</f>
        <v>4984299.7699999996</v>
      </c>
      <c r="H2" s="7">
        <f>C2-G2</f>
        <v>-332963.55918674823</v>
      </c>
      <c r="I2" s="6">
        <f>IFERROR(H2/G2, 0)</f>
        <v>-6.6802474680761073E-2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28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223100</v>
      </c>
      <c r="D4" s="37">
        <v>257891.6</v>
      </c>
      <c r="E4" s="37">
        <f>IF(AND(ISNUMBER(C4),ISNUMBER(D4)), C4-D4, "")</f>
        <v>-34791.600000000006</v>
      </c>
      <c r="F4" s="38">
        <f>IFERROR(E4/D4, "")</f>
        <v>-0.13490784500154329</v>
      </c>
      <c r="G4" s="39">
        <v>260430.1</v>
      </c>
      <c r="H4" s="39">
        <f>IF(AND(ISNUMBER(C4),ISNUMBER(G4)), C4-G4, "")</f>
        <v>-37330.100000000006</v>
      </c>
      <c r="I4" s="40">
        <f>IFERROR(H4/G4, "")</f>
        <v>-0.14334018993964218</v>
      </c>
      <c r="J4" s="57" t="s">
        <v>117</v>
      </c>
      <c r="K4" s="57" t="s">
        <v>118</v>
      </c>
    </row>
    <row r="5" spans="1:11" ht="15.75">
      <c r="A5" s="49" t="str">
        <v>Barton Acres</v>
      </c>
      <c r="B5" s="50" t="str">
        <v>MA</v>
      </c>
      <c r="C5" s="43">
        <v>187417.717413548</v>
      </c>
      <c r="D5" s="44">
        <v>184693</v>
      </c>
      <c r="E5" s="44">
        <f t="shared" ref="E5:E24" si="0">IF(AND(ISNUMBER(C5),ISNUMBER(D5)), C5-D5, "")</f>
        <v>2724.7174135480018</v>
      </c>
      <c r="F5" s="45">
        <f>IFERROR(E5/D5, "")</f>
        <v>1.4752683715939434E-2</v>
      </c>
      <c r="G5" s="46">
        <v>197279.1</v>
      </c>
      <c r="H5" s="46">
        <f t="shared" ref="H5:H24" si="1">IF(AND(ISNUMBER(C5),ISNUMBER(G5)), C5-G5, "")</f>
        <v>-9861.382586452004</v>
      </c>
      <c r="I5" s="45">
        <f t="shared" ref="I5:I24" si="2">IFERROR(H5/G5, "")</f>
        <v>-4.9986960536884055E-2</v>
      </c>
      <c r="J5" s="58" t="s">
        <v>119</v>
      </c>
      <c r="K5" s="58" t="s">
        <v>120</v>
      </c>
    </row>
    <row r="6" spans="1:11" ht="15.75">
      <c r="A6" s="51" t="str">
        <v>Bowden</v>
      </c>
      <c r="B6" s="48" t="str">
        <v>MA</v>
      </c>
      <c r="C6" s="36">
        <v>383942</v>
      </c>
      <c r="D6" s="37">
        <v>382128.5</v>
      </c>
      <c r="E6" s="37">
        <f t="shared" si="0"/>
        <v>1813.5</v>
      </c>
      <c r="F6" s="38">
        <f t="shared" ref="F6:F24" si="3">IFERROR(E6/D6, "")</f>
        <v>4.745785776250659E-3</v>
      </c>
      <c r="G6" s="39">
        <v>385038.1</v>
      </c>
      <c r="H6" s="39">
        <f t="shared" si="1"/>
        <v>-1096.0999999999767</v>
      </c>
      <c r="I6" s="40">
        <f t="shared" si="2"/>
        <v>-2.8467312715286532E-3</v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>
        <v>169654</v>
      </c>
      <c r="D7" s="44">
        <v>193455.4</v>
      </c>
      <c r="E7" s="44">
        <f t="shared" si="0"/>
        <v>-23801.399999999994</v>
      </c>
      <c r="F7" s="45">
        <f t="shared" si="3"/>
        <v>-0.12303300915870012</v>
      </c>
      <c r="G7" s="46">
        <v>193182.1</v>
      </c>
      <c r="H7" s="46">
        <f t="shared" si="1"/>
        <v>-23528.100000000006</v>
      </c>
      <c r="I7" s="45">
        <f t="shared" si="2"/>
        <v>-0.12179233997352759</v>
      </c>
      <c r="J7" s="70" t="s">
        <v>121</v>
      </c>
      <c r="K7" s="70" t="s">
        <v>122</v>
      </c>
    </row>
    <row r="8" spans="1:11" ht="15.75">
      <c r="A8" s="51" t="str">
        <v>Boutilier</v>
      </c>
      <c r="B8" s="48" t="str">
        <v>MA</v>
      </c>
      <c r="C8" s="36">
        <v>501700</v>
      </c>
      <c r="D8" s="37">
        <v>487837.1</v>
      </c>
      <c r="E8" s="37">
        <f t="shared" si="0"/>
        <v>13862.900000000023</v>
      </c>
      <c r="F8" s="38">
        <f t="shared" si="3"/>
        <v>2.8417067910579217E-2</v>
      </c>
      <c r="G8" s="39">
        <v>541550.9</v>
      </c>
      <c r="H8" s="39">
        <f t="shared" si="1"/>
        <v>-39850.900000000023</v>
      </c>
      <c r="I8" s="40">
        <f t="shared" si="2"/>
        <v>-7.3586619466425085E-2</v>
      </c>
      <c r="J8" s="57" t="s">
        <v>123</v>
      </c>
      <c r="K8" s="57" t="s">
        <v>124</v>
      </c>
    </row>
    <row r="9" spans="1:11" ht="15.75">
      <c r="A9" s="49" t="str">
        <v>Cherry Valley</v>
      </c>
      <c r="B9" s="50" t="str">
        <v>MA</v>
      </c>
      <c r="C9" s="43">
        <v>176376</v>
      </c>
      <c r="D9" s="44">
        <v>184033</v>
      </c>
      <c r="E9" s="44">
        <f t="shared" si="0"/>
        <v>-7657</v>
      </c>
      <c r="F9" s="45">
        <f t="shared" si="3"/>
        <v>-4.1606668369259858E-2</v>
      </c>
      <c r="G9" s="46">
        <v>194395</v>
      </c>
      <c r="H9" s="46">
        <f t="shared" si="1"/>
        <v>-18019</v>
      </c>
      <c r="I9" s="45">
        <f t="shared" si="2"/>
        <v>-9.2692713289950879E-2</v>
      </c>
      <c r="J9" s="58"/>
      <c r="K9" s="58"/>
    </row>
    <row r="10" spans="1:11" ht="15.75">
      <c r="A10" s="51" t="str">
        <v>Cohasse</v>
      </c>
      <c r="B10" s="48" t="str">
        <v>MA</v>
      </c>
      <c r="C10" s="36">
        <v>169138</v>
      </c>
      <c r="D10" s="37">
        <v>164177.1</v>
      </c>
      <c r="E10" s="37">
        <f t="shared" si="0"/>
        <v>4960.8999999999942</v>
      </c>
      <c r="F10" s="38">
        <f t="shared" si="3"/>
        <v>3.0216759828258593E-2</v>
      </c>
      <c r="G10" s="39">
        <v>193723.8</v>
      </c>
      <c r="H10" s="39">
        <f t="shared" si="1"/>
        <v>-24585.799999999988</v>
      </c>
      <c r="I10" s="40">
        <f t="shared" si="2"/>
        <v>-0.12691161333816489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375589</v>
      </c>
      <c r="D11" s="44">
        <v>358722.2</v>
      </c>
      <c r="E11" s="44">
        <f t="shared" si="0"/>
        <v>16866.799999999988</v>
      </c>
      <c r="F11" s="45">
        <f t="shared" si="3"/>
        <v>4.7019113955032582E-2</v>
      </c>
      <c r="G11" s="46">
        <v>396437.7</v>
      </c>
      <c r="H11" s="46">
        <f t="shared" si="1"/>
        <v>-20848.700000000012</v>
      </c>
      <c r="I11" s="45">
        <f t="shared" si="2"/>
        <v>-5.2590104321561776E-2</v>
      </c>
      <c r="J11" s="58"/>
      <c r="K11" s="58"/>
    </row>
    <row r="12" spans="1:11" ht="15.75">
      <c r="A12" s="51" t="str">
        <v>Dudley River 1</v>
      </c>
      <c r="B12" s="48" t="str">
        <v>MA</v>
      </c>
      <c r="C12" s="36">
        <v>183734</v>
      </c>
      <c r="D12" s="37">
        <v>185905</v>
      </c>
      <c r="E12" s="37">
        <f t="shared" si="0"/>
        <v>-2171</v>
      </c>
      <c r="F12" s="38">
        <f t="shared" si="3"/>
        <v>-1.1678007584518976E-2</v>
      </c>
      <c r="G12" s="39">
        <v>194566</v>
      </c>
      <c r="H12" s="39">
        <f t="shared" si="1"/>
        <v>-10832</v>
      </c>
      <c r="I12" s="40">
        <f t="shared" si="2"/>
        <v>-5.5672625227429252E-2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177414</v>
      </c>
      <c r="D13" s="44">
        <v>182193.7</v>
      </c>
      <c r="E13" s="44">
        <f t="shared" si="0"/>
        <v>-4779.7000000000116</v>
      </c>
      <c r="F13" s="45">
        <f t="shared" si="3"/>
        <v>-2.6234167262644159E-2</v>
      </c>
      <c r="G13" s="46">
        <v>185537.3</v>
      </c>
      <c r="H13" s="46">
        <f t="shared" si="1"/>
        <v>-8123.2999999999884</v>
      </c>
      <c r="I13" s="45">
        <f t="shared" si="2"/>
        <v>-4.3782570943955684E-2</v>
      </c>
      <c r="J13" s="58"/>
      <c r="K13" s="58"/>
    </row>
    <row r="14" spans="1:11" ht="15.75">
      <c r="A14" s="51" t="str">
        <v>Dudley River 3</v>
      </c>
      <c r="B14" s="48" t="str">
        <v>MA</v>
      </c>
      <c r="C14" s="36">
        <v>182698.99667774001</v>
      </c>
      <c r="D14" s="37">
        <v>181487.7</v>
      </c>
      <c r="E14" s="37">
        <f t="shared" si="0"/>
        <v>1211.2966777399997</v>
      </c>
      <c r="F14" s="38">
        <f t="shared" si="3"/>
        <v>6.6742632020792576E-3</v>
      </c>
      <c r="G14" s="39">
        <v>188053.7</v>
      </c>
      <c r="H14" s="39">
        <f t="shared" si="1"/>
        <v>-5354.7033222600003</v>
      </c>
      <c r="I14" s="40">
        <f t="shared" si="2"/>
        <v>-2.8474331120632031E-2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86225</v>
      </c>
      <c r="D15" s="44">
        <v>71405.17</v>
      </c>
      <c r="E15" s="44">
        <f t="shared" si="0"/>
        <v>14819.830000000002</v>
      </c>
      <c r="F15" s="45">
        <f t="shared" si="3"/>
        <v>0.20754561609474498</v>
      </c>
      <c r="G15" s="46">
        <v>93130.7</v>
      </c>
      <c r="H15" s="46">
        <f t="shared" si="1"/>
        <v>-6905.6999999999971</v>
      </c>
      <c r="I15" s="45">
        <f t="shared" si="2"/>
        <v>-7.4150629169543417E-2</v>
      </c>
      <c r="J15" s="58"/>
      <c r="K15" s="58"/>
    </row>
    <row r="16" spans="1:11" ht="15.75">
      <c r="A16" s="51" t="str">
        <v>Incom</v>
      </c>
      <c r="B16" s="48" t="str">
        <v>MA</v>
      </c>
      <c r="C16" s="36">
        <v>408907</v>
      </c>
      <c r="D16" s="37">
        <v>424321.8</v>
      </c>
      <c r="E16" s="37">
        <f t="shared" si="0"/>
        <v>-15414.799999999988</v>
      </c>
      <c r="F16" s="38">
        <f t="shared" si="3"/>
        <v>-3.6328088728884517E-2</v>
      </c>
      <c r="G16" s="39">
        <v>396541.4</v>
      </c>
      <c r="H16" s="39">
        <f t="shared" si="1"/>
        <v>12365.599999999977</v>
      </c>
      <c r="I16" s="40">
        <f t="shared" si="2"/>
        <v>3.1183629250312768E-2</v>
      </c>
      <c r="J16" s="57" t="s">
        <v>125</v>
      </c>
      <c r="K16" s="57" t="s">
        <v>126</v>
      </c>
    </row>
    <row r="17" spans="1:11" ht="15.75">
      <c r="A17" s="49" t="str">
        <v>JH</v>
      </c>
      <c r="B17" s="50" t="str">
        <v>MA</v>
      </c>
      <c r="C17" s="43">
        <v>178088</v>
      </c>
      <c r="D17" s="44">
        <v>178513.9</v>
      </c>
      <c r="E17" s="44">
        <f t="shared" si="0"/>
        <v>-425.89999999999418</v>
      </c>
      <c r="F17" s="45">
        <f t="shared" si="3"/>
        <v>-2.3858086121024422E-3</v>
      </c>
      <c r="G17" s="46">
        <v>192698.1</v>
      </c>
      <c r="H17" s="46">
        <f t="shared" si="1"/>
        <v>-14610.100000000006</v>
      </c>
      <c r="I17" s="45">
        <f t="shared" si="2"/>
        <v>-7.5818599145502763E-2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166603</v>
      </c>
      <c r="D18" s="37">
        <v>174417.9</v>
      </c>
      <c r="E18" s="37">
        <f t="shared" si="0"/>
        <v>-7814.8999999999942</v>
      </c>
      <c r="F18" s="38">
        <f t="shared" si="3"/>
        <v>-4.480560768132167E-2</v>
      </c>
      <c r="G18" s="39">
        <v>189198.9</v>
      </c>
      <c r="H18" s="39">
        <f t="shared" si="1"/>
        <v>-22595.899999999994</v>
      </c>
      <c r="I18" s="40">
        <f t="shared" si="2"/>
        <v>-0.11942934129109628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363753.99337748101</v>
      </c>
      <c r="D19" s="44">
        <v>357461.3</v>
      </c>
      <c r="E19" s="44">
        <f t="shared" si="0"/>
        <v>6292.6933774810168</v>
      </c>
      <c r="F19" s="45">
        <f t="shared" si="3"/>
        <v>1.7603845164444423E-2</v>
      </c>
      <c r="G19" s="46">
        <v>398271</v>
      </c>
      <c r="H19" s="46">
        <f t="shared" si="1"/>
        <v>-34517.006622518995</v>
      </c>
      <c r="I19" s="45">
        <f t="shared" si="2"/>
        <v>-8.666713524840873E-2</v>
      </c>
      <c r="J19" s="58" t="s">
        <v>127</v>
      </c>
      <c r="K19" s="58" t="s">
        <v>128</v>
      </c>
    </row>
    <row r="20" spans="1:11" ht="15.75">
      <c r="A20" s="51" t="str">
        <v>Palombo B</v>
      </c>
      <c r="B20" s="48" t="str">
        <v>MA</v>
      </c>
      <c r="C20" s="36">
        <v>183170</v>
      </c>
      <c r="D20" s="37">
        <v>154569.70000000001</v>
      </c>
      <c r="E20" s="37">
        <f t="shared" si="0"/>
        <v>28600.299999999988</v>
      </c>
      <c r="F20" s="38">
        <f t="shared" si="3"/>
        <v>0.18503173649169266</v>
      </c>
      <c r="G20" s="39">
        <v>205328.2</v>
      </c>
      <c r="H20" s="39">
        <f t="shared" si="1"/>
        <v>-22158.200000000012</v>
      </c>
      <c r="I20" s="40">
        <f t="shared" si="2"/>
        <v>-0.10791600958855145</v>
      </c>
      <c r="J20" s="57" t="s">
        <v>127</v>
      </c>
      <c r="K20" s="57" t="s">
        <v>129</v>
      </c>
    </row>
    <row r="21" spans="1:11" ht="15.75">
      <c r="A21" s="49" t="str">
        <v>St Josephs Church</v>
      </c>
      <c r="B21" s="50" t="str">
        <v>MA</v>
      </c>
      <c r="C21" s="43">
        <v>182002.00334448199</v>
      </c>
      <c r="D21" s="44">
        <v>191312.6</v>
      </c>
      <c r="E21" s="44">
        <f t="shared" si="0"/>
        <v>-9310.5966555180203</v>
      </c>
      <c r="F21" s="45">
        <f t="shared" si="3"/>
        <v>-4.8666928657694369E-2</v>
      </c>
      <c r="G21" s="46">
        <v>191319.1</v>
      </c>
      <c r="H21" s="46">
        <f t="shared" si="1"/>
        <v>-9317.0966555180203</v>
      </c>
      <c r="I21" s="45">
        <f t="shared" si="2"/>
        <v>-4.8699249868507745E-2</v>
      </c>
      <c r="J21" s="58" t="s">
        <v>130</v>
      </c>
      <c r="K21" s="58" t="s">
        <v>131</v>
      </c>
    </row>
    <row r="22" spans="1:11" ht="15.75">
      <c r="A22" s="51" t="str">
        <v>Sunset A</v>
      </c>
      <c r="B22" s="48" t="str">
        <v>MA</v>
      </c>
      <c r="C22" s="36">
        <v>85967.5</v>
      </c>
      <c r="D22" s="37">
        <v>89017.66</v>
      </c>
      <c r="E22" s="37">
        <f t="shared" si="0"/>
        <v>-3050.1600000000035</v>
      </c>
      <c r="F22" s="38">
        <f t="shared" si="3"/>
        <v>-3.426466164129683E-2</v>
      </c>
      <c r="G22" s="39">
        <v>92881.88</v>
      </c>
      <c r="H22" s="39">
        <f t="shared" si="1"/>
        <v>-6914.3800000000047</v>
      </c>
      <c r="I22" s="40">
        <f t="shared" si="2"/>
        <v>-7.444272230493186E-2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81647</v>
      </c>
      <c r="D23" s="44">
        <v>84768.12</v>
      </c>
      <c r="E23" s="44">
        <f t="shared" si="0"/>
        <v>-3121.1199999999953</v>
      </c>
      <c r="F23" s="45">
        <f t="shared" si="3"/>
        <v>-3.6819502426147892E-2</v>
      </c>
      <c r="G23" s="46">
        <v>91766.09</v>
      </c>
      <c r="H23" s="46">
        <f t="shared" si="1"/>
        <v>-10119.089999999997</v>
      </c>
      <c r="I23" s="45">
        <f t="shared" si="2"/>
        <v>-0.1102704713691081</v>
      </c>
      <c r="J23" s="58"/>
      <c r="K23" s="58"/>
    </row>
    <row r="24" spans="1:11" ht="15.75">
      <c r="A24" s="51" t="str">
        <v>Woodchuck</v>
      </c>
      <c r="B24" s="48" t="str">
        <v>MA</v>
      </c>
      <c r="C24" s="36">
        <v>184209</v>
      </c>
      <c r="D24" s="37">
        <v>188679.5</v>
      </c>
      <c r="E24" s="37">
        <f t="shared" si="0"/>
        <v>-4470.5</v>
      </c>
      <c r="F24" s="38">
        <f t="shared" si="3"/>
        <v>-2.3693618013615681E-2</v>
      </c>
      <c r="G24" s="39">
        <v>202970.6</v>
      </c>
      <c r="H24" s="39">
        <f t="shared" si="1"/>
        <v>-18761.600000000006</v>
      </c>
      <c r="I24" s="40">
        <f t="shared" si="2"/>
        <v>-9.2435062023761103E-2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="60" zoomScaleNormal="60" workbookViewId="0">
      <pane xSplit="2" ySplit="3" topLeftCell="C6" activePane="bottomRight" state="frozen"/>
      <selection pane="bottomRight" activeCell="J27" sqref="J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6" t="str" cm="1">
        <f t="array" ref="A1">portfolio</f>
        <v>38 DN</v>
      </c>
      <c r="B1" s="76"/>
      <c r="C1" s="76"/>
      <c r="D1" s="77" t="s">
        <v>132</v>
      </c>
      <c r="E1" s="77"/>
      <c r="F1" s="77"/>
      <c r="G1" s="75" t="s">
        <v>133</v>
      </c>
      <c r="H1" s="75"/>
      <c r="I1" s="75"/>
      <c r="J1" s="4"/>
      <c r="K1" s="4"/>
    </row>
    <row r="2" spans="1:13" ht="19.5" customHeight="1">
      <c r="A2" s="78" t="s">
        <v>2</v>
      </c>
      <c r="B2" s="78"/>
      <c r="C2" s="5">
        <f>SUM(C4:C99)</f>
        <v>5038083.0325642293</v>
      </c>
      <c r="D2" s="5">
        <f>SUM(D4:D99)</f>
        <v>5133216.4200000009</v>
      </c>
      <c r="E2" s="5">
        <f>C2-D2</f>
        <v>-95133.387435771525</v>
      </c>
      <c r="F2" s="6">
        <f>IFERROR(E2/D2, 0)</f>
        <v>-1.8532900164721967E-2</v>
      </c>
      <c r="G2" s="5">
        <f>SUM(G4:G99)</f>
        <v>5000154.5199999996</v>
      </c>
      <c r="H2" s="7">
        <f>C2-G2</f>
        <v>37928.512564229779</v>
      </c>
      <c r="I2" s="6">
        <f>IFERROR(H2/G2, 0)</f>
        <v>7.5854680915400556E-3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42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225023</v>
      </c>
      <c r="D4" s="37">
        <v>294597</v>
      </c>
      <c r="E4" s="37">
        <f>IF(AND(ISNUMBER(C4),ISNUMBER(D4)), C4-D4, "")</f>
        <v>-69574</v>
      </c>
      <c r="F4" s="38">
        <f>IFERROR(E4/D4, "")</f>
        <v>-0.23616669551964209</v>
      </c>
      <c r="G4" s="39">
        <v>245630.1</v>
      </c>
      <c r="H4" s="39">
        <f>IF(AND(ISNUMBER(C4),ISNUMBER(G4)), C4-G4, "")</f>
        <v>-20607.100000000006</v>
      </c>
      <c r="I4" s="40">
        <f>IFERROR(H4/G4, "")</f>
        <v>-8.3894848391951979E-2</v>
      </c>
      <c r="J4" s="57" t="s">
        <v>134</v>
      </c>
      <c r="K4" s="57" t="s">
        <v>135</v>
      </c>
    </row>
    <row r="5" spans="1:13" ht="57">
      <c r="A5" s="49" t="str">
        <v>Barton Acres</v>
      </c>
      <c r="B5" s="50" t="str">
        <v>MA</v>
      </c>
      <c r="C5" s="43">
        <v>203632.282586452</v>
      </c>
      <c r="D5" s="44">
        <v>194911.7</v>
      </c>
      <c r="E5" s="44">
        <f t="shared" ref="E5:E17" si="0">IF(AND(ISNUMBER(C5),ISNUMBER(D5)), C5-D5, "")</f>
        <v>8720.5825864519866</v>
      </c>
      <c r="F5" s="45">
        <f>IFERROR(E5/D5, "")</f>
        <v>4.4741196072129001E-2</v>
      </c>
      <c r="G5" s="46">
        <v>199842.9</v>
      </c>
      <c r="H5" s="46">
        <f t="shared" ref="H5:H17" si="1">IF(AND(ISNUMBER(C5),ISNUMBER(G5)), C5-G5, "")</f>
        <v>3789.382586452004</v>
      </c>
      <c r="I5" s="45">
        <f t="shared" ref="I5:I17" si="2">IFERROR(H5/G5, "")</f>
        <v>1.8961807431997855E-2</v>
      </c>
      <c r="J5" s="58" t="s">
        <v>136</v>
      </c>
      <c r="K5" s="58" t="s">
        <v>137</v>
      </c>
    </row>
    <row r="6" spans="1:13" ht="42.75">
      <c r="A6" s="51" t="str">
        <v>Bowden</v>
      </c>
      <c r="B6" s="48" t="str">
        <v>MA</v>
      </c>
      <c r="C6" s="36">
        <v>414745</v>
      </c>
      <c r="D6" s="37">
        <v>410030.8</v>
      </c>
      <c r="E6" s="37">
        <f t="shared" si="0"/>
        <v>4714.2000000000116</v>
      </c>
      <c r="F6" s="38">
        <f t="shared" ref="F6:F17" si="3">IFERROR(E6/D6, "")</f>
        <v>1.1497185089510378E-2</v>
      </c>
      <c r="G6" s="39">
        <v>397783</v>
      </c>
      <c r="H6" s="39">
        <f t="shared" si="1"/>
        <v>16962</v>
      </c>
      <c r="I6" s="40">
        <f t="shared" si="2"/>
        <v>4.264133962487085E-2</v>
      </c>
      <c r="J6" s="57" t="s">
        <v>138</v>
      </c>
      <c r="K6" s="57" t="s">
        <v>139</v>
      </c>
    </row>
    <row r="7" spans="1:13" ht="42.75">
      <c r="A7" s="49" t="str">
        <v>Blair Wire Village</v>
      </c>
      <c r="B7" s="50" t="str">
        <v>MA</v>
      </c>
      <c r="C7" s="43">
        <v>200447</v>
      </c>
      <c r="D7" s="44">
        <v>207116.1</v>
      </c>
      <c r="E7" s="44">
        <f t="shared" si="0"/>
        <v>-6669.1000000000058</v>
      </c>
      <c r="F7" s="45">
        <f t="shared" si="3"/>
        <v>-3.2199814500176498E-2</v>
      </c>
      <c r="G7" s="46">
        <v>198779.3</v>
      </c>
      <c r="H7" s="46">
        <f t="shared" si="1"/>
        <v>1667.7000000000116</v>
      </c>
      <c r="I7" s="45">
        <f t="shared" si="2"/>
        <v>8.389706574074925E-3</v>
      </c>
      <c r="J7" s="58" t="s">
        <v>140</v>
      </c>
      <c r="K7" s="70" t="s">
        <v>141</v>
      </c>
    </row>
    <row r="8" spans="1:13" ht="42.75">
      <c r="A8" s="51" t="str">
        <v>Boutilier</v>
      </c>
      <c r="B8" s="48" t="str">
        <v>MA</v>
      </c>
      <c r="C8" s="36">
        <v>544950</v>
      </c>
      <c r="D8" s="37">
        <v>547089.6</v>
      </c>
      <c r="E8" s="37">
        <f t="shared" si="0"/>
        <v>-2139.5999999999767</v>
      </c>
      <c r="F8" s="38">
        <f t="shared" si="3"/>
        <v>-3.9108767558366613E-3</v>
      </c>
      <c r="G8" s="39">
        <v>548588.1</v>
      </c>
      <c r="H8" s="39">
        <f t="shared" si="1"/>
        <v>-3638.0999999999767</v>
      </c>
      <c r="I8" s="40">
        <f t="shared" si="2"/>
        <v>-6.631751581924538E-3</v>
      </c>
      <c r="J8" s="57" t="s">
        <v>142</v>
      </c>
      <c r="K8" s="57" t="s">
        <v>143</v>
      </c>
    </row>
    <row r="9" spans="1:13" ht="15.75">
      <c r="A9" s="49" t="str">
        <v>Cherry Valley</v>
      </c>
      <c r="B9" s="50" t="str">
        <v>MA</v>
      </c>
      <c r="C9" s="43">
        <v>193353</v>
      </c>
      <c r="D9" s="44">
        <v>191822.6</v>
      </c>
      <c r="E9" s="44">
        <f t="shared" si="0"/>
        <v>1530.3999999999942</v>
      </c>
      <c r="F9" s="45">
        <f t="shared" si="3"/>
        <v>7.9782048622007735E-3</v>
      </c>
      <c r="G9" s="46">
        <v>195979</v>
      </c>
      <c r="H9" s="46">
        <f t="shared" si="1"/>
        <v>-2626</v>
      </c>
      <c r="I9" s="45">
        <f t="shared" si="2"/>
        <v>-1.3399394833119875E-2</v>
      </c>
      <c r="J9" s="58"/>
      <c r="K9" s="58"/>
    </row>
    <row r="10" spans="1:13" ht="15.75">
      <c r="A10" s="51" t="str">
        <v>Cohasse</v>
      </c>
      <c r="B10" s="48" t="str">
        <v>MA</v>
      </c>
      <c r="C10" s="36">
        <v>187694</v>
      </c>
      <c r="D10" s="37">
        <v>181260</v>
      </c>
      <c r="E10" s="37">
        <f t="shared" si="0"/>
        <v>6434</v>
      </c>
      <c r="F10" s="38">
        <f t="shared" si="3"/>
        <v>3.5495972635992495E-2</v>
      </c>
      <c r="G10" s="39">
        <v>189453.3</v>
      </c>
      <c r="H10" s="39">
        <f t="shared" si="1"/>
        <v>-1759.2999999999884</v>
      </c>
      <c r="I10" s="40">
        <f t="shared" si="2"/>
        <v>-9.2861934840933798E-3</v>
      </c>
      <c r="J10" s="57"/>
      <c r="K10" s="57"/>
    </row>
    <row r="11" spans="1:13" ht="104.25" customHeight="1">
      <c r="A11" s="49" t="str">
        <v>ISM Dighton Solar 2</v>
      </c>
      <c r="B11" s="50" t="str">
        <v>MA</v>
      </c>
      <c r="C11" s="43">
        <v>405711</v>
      </c>
      <c r="D11" s="44">
        <v>407670.8</v>
      </c>
      <c r="E11" s="44">
        <f t="shared" si="0"/>
        <v>-1959.7999999999884</v>
      </c>
      <c r="F11" s="45">
        <f t="shared" si="3"/>
        <v>-4.8073102120632346E-3</v>
      </c>
      <c r="G11" s="46">
        <v>405850.7</v>
      </c>
      <c r="H11" s="46">
        <f t="shared" si="1"/>
        <v>-139.70000000001164</v>
      </c>
      <c r="I11" s="45">
        <f t="shared" si="2"/>
        <v>-3.4421524959797194E-4</v>
      </c>
      <c r="J11" s="58" t="s">
        <v>144</v>
      </c>
      <c r="K11" s="70" t="s">
        <v>145</v>
      </c>
    </row>
    <row r="12" spans="1:13" ht="28.5">
      <c r="A12" s="51" t="str">
        <v>Dudley River 1</v>
      </c>
      <c r="B12" s="48" t="str">
        <v>MA</v>
      </c>
      <c r="C12" s="36">
        <v>196072</v>
      </c>
      <c r="D12" s="37">
        <v>205405.5</v>
      </c>
      <c r="E12" s="37">
        <f t="shared" si="0"/>
        <v>-9333.5</v>
      </c>
      <c r="F12" s="38">
        <f t="shared" si="3"/>
        <v>-4.5439386968703373E-2</v>
      </c>
      <c r="G12" s="39">
        <v>199866.6</v>
      </c>
      <c r="H12" s="39">
        <f t="shared" si="1"/>
        <v>-3794.6000000000058</v>
      </c>
      <c r="I12" s="40">
        <f t="shared" si="2"/>
        <v>-1.8985663437512849E-2</v>
      </c>
      <c r="J12" s="57" t="s">
        <v>146</v>
      </c>
      <c r="K12" s="57" t="s">
        <v>147</v>
      </c>
      <c r="M12" t="s">
        <v>148</v>
      </c>
    </row>
    <row r="13" spans="1:13" ht="28.5">
      <c r="A13" s="49" t="str">
        <v>Dudley River 2</v>
      </c>
      <c r="B13" s="50" t="str">
        <v>MA</v>
      </c>
      <c r="C13" s="43">
        <v>186963</v>
      </c>
      <c r="D13" s="44">
        <v>202100.4</v>
      </c>
      <c r="E13" s="44">
        <f t="shared" si="0"/>
        <v>-15137.399999999994</v>
      </c>
      <c r="F13" s="45">
        <f t="shared" si="3"/>
        <v>-7.4900396040779707E-2</v>
      </c>
      <c r="G13" s="46">
        <v>190392.3</v>
      </c>
      <c r="H13" s="46">
        <f t="shared" si="1"/>
        <v>-3429.2999999999884</v>
      </c>
      <c r="I13" s="45">
        <f t="shared" si="2"/>
        <v>-1.801175782844153E-2</v>
      </c>
      <c r="J13" s="58" t="s">
        <v>146</v>
      </c>
      <c r="K13" s="70" t="s">
        <v>149</v>
      </c>
    </row>
    <row r="14" spans="1:13" ht="28.5">
      <c r="A14" s="51" t="str">
        <v>Dudley River 3</v>
      </c>
      <c r="B14" s="48" t="str">
        <v>MA</v>
      </c>
      <c r="C14" s="36">
        <v>193519</v>
      </c>
      <c r="D14" s="37">
        <v>200107.8</v>
      </c>
      <c r="E14" s="37">
        <f t="shared" si="0"/>
        <v>-6588.7999999999884</v>
      </c>
      <c r="F14" s="38">
        <f t="shared" si="3"/>
        <v>-3.292625274976782E-2</v>
      </c>
      <c r="G14" s="39">
        <v>193101.1</v>
      </c>
      <c r="H14" s="39">
        <f t="shared" si="1"/>
        <v>417.89999999999418</v>
      </c>
      <c r="I14" s="40">
        <f t="shared" si="2"/>
        <v>2.1641513176258145E-3</v>
      </c>
      <c r="J14" s="57" t="s">
        <v>146</v>
      </c>
      <c r="K14" s="57" t="s">
        <v>150</v>
      </c>
    </row>
    <row r="15" spans="1:13" ht="15.75">
      <c r="A15" s="49" t="str">
        <v>Flint Pond</v>
      </c>
      <c r="B15" s="50" t="str">
        <v>MA</v>
      </c>
      <c r="C15" s="43">
        <v>95286</v>
      </c>
      <c r="D15" s="44">
        <v>78186.87</v>
      </c>
      <c r="E15" s="44">
        <f t="shared" si="0"/>
        <v>17099.130000000005</v>
      </c>
      <c r="F15" s="45">
        <f t="shared" si="3"/>
        <v>0.21869567102507118</v>
      </c>
      <c r="G15" s="46">
        <v>93633.55</v>
      </c>
      <c r="H15" s="46">
        <f t="shared" si="1"/>
        <v>1652.4499999999971</v>
      </c>
      <c r="I15" s="45">
        <f t="shared" si="2"/>
        <v>1.7648054570183411E-2</v>
      </c>
      <c r="J15" s="58"/>
      <c r="K15" s="58"/>
    </row>
    <row r="16" spans="1:13" ht="42.75">
      <c r="A16" s="51" t="str">
        <v>Incom</v>
      </c>
      <c r="B16" s="48" t="str">
        <v>MA</v>
      </c>
      <c r="C16" s="36">
        <v>439967</v>
      </c>
      <c r="D16" s="37">
        <v>457194.1</v>
      </c>
      <c r="E16" s="37">
        <f t="shared" si="0"/>
        <v>-17227.099999999977</v>
      </c>
      <c r="F16" s="38">
        <f t="shared" si="3"/>
        <v>-3.7680057551048841E-2</v>
      </c>
      <c r="G16" s="39">
        <v>393685.8</v>
      </c>
      <c r="H16" s="39">
        <f t="shared" si="1"/>
        <v>46281.200000000012</v>
      </c>
      <c r="I16" s="40">
        <f t="shared" si="2"/>
        <v>0.11755872322547578</v>
      </c>
      <c r="J16" s="57" t="s">
        <v>151</v>
      </c>
      <c r="K16" s="57" t="s">
        <v>152</v>
      </c>
    </row>
    <row r="17" spans="1:11" ht="15.75">
      <c r="A17" s="49" t="str">
        <v>JH</v>
      </c>
      <c r="B17" s="50" t="str">
        <v>MA</v>
      </c>
      <c r="C17" s="43">
        <v>189114</v>
      </c>
      <c r="D17" s="44">
        <v>189169.2</v>
      </c>
      <c r="E17" s="44">
        <f t="shared" si="0"/>
        <v>-55.200000000011642</v>
      </c>
      <c r="F17" s="71">
        <f t="shared" si="3"/>
        <v>-2.9180225956451492E-4</v>
      </c>
      <c r="G17" s="46">
        <v>187798.5</v>
      </c>
      <c r="H17" s="46">
        <f t="shared" si="1"/>
        <v>1315.5</v>
      </c>
      <c r="I17" s="45">
        <f t="shared" si="2"/>
        <v>7.0048482815357948E-3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175106</v>
      </c>
      <c r="D18" s="37">
        <v>188057.8</v>
      </c>
      <c r="E18" s="37">
        <f t="shared" ref="E18:E24" si="4">IF(AND(ISNUMBER(C18),ISNUMBER(D18)), C18-D18, "")</f>
        <v>-12951.799999999988</v>
      </c>
      <c r="F18" s="38">
        <f t="shared" ref="F18:F24" si="5">IFERROR(E18/D18, "")</f>
        <v>-6.8871378905846978E-2</v>
      </c>
      <c r="G18" s="39">
        <v>187069</v>
      </c>
      <c r="H18" s="39">
        <f t="shared" ref="H18:H24" si="6">IF(AND(ISNUMBER(C18),ISNUMBER(G18)), C18-G18, "")</f>
        <v>-11963</v>
      </c>
      <c r="I18" s="40">
        <f t="shared" ref="I18:I24" si="7">IFERROR(H18/G18, "")</f>
        <v>-6.3949665631398034E-2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404704.003322259</v>
      </c>
      <c r="D19" s="44">
        <v>401381.1</v>
      </c>
      <c r="E19" s="44">
        <f t="shared" si="4"/>
        <v>3322.9033222590224</v>
      </c>
      <c r="F19" s="71">
        <f t="shared" si="5"/>
        <v>8.2786741136018169E-3</v>
      </c>
      <c r="G19" s="46">
        <v>385946</v>
      </c>
      <c r="H19" s="46">
        <f t="shared" si="6"/>
        <v>18758.003322258999</v>
      </c>
      <c r="I19" s="45">
        <f t="shared" si="7"/>
        <v>4.8602662865424175E-2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205106</v>
      </c>
      <c r="D20" s="37">
        <v>169757.9</v>
      </c>
      <c r="E20" s="37">
        <f t="shared" si="4"/>
        <v>35348.100000000006</v>
      </c>
      <c r="F20" s="38">
        <f t="shared" si="5"/>
        <v>0.20822653908890254</v>
      </c>
      <c r="G20" s="39">
        <v>207998.2</v>
      </c>
      <c r="H20" s="39">
        <f t="shared" si="6"/>
        <v>-2892.2000000000116</v>
      </c>
      <c r="I20" s="40">
        <f t="shared" si="7"/>
        <v>-1.3904928023415643E-2</v>
      </c>
      <c r="J20" s="57"/>
      <c r="K20" s="57"/>
    </row>
    <row r="21" spans="1:11" ht="34.5" customHeight="1">
      <c r="A21" s="49" t="str">
        <v>St Josephs Church</v>
      </c>
      <c r="B21" s="50" t="str">
        <v>MA</v>
      </c>
      <c r="C21" s="43">
        <v>195296.99665551801</v>
      </c>
      <c r="D21" s="44">
        <v>209723.4</v>
      </c>
      <c r="E21" s="44">
        <f t="shared" si="4"/>
        <v>-14426.40334448198</v>
      </c>
      <c r="F21" s="71">
        <f t="shared" si="5"/>
        <v>-6.8787762092746826E-2</v>
      </c>
      <c r="G21" s="46">
        <v>189931.5</v>
      </c>
      <c r="H21" s="46">
        <f t="shared" si="6"/>
        <v>5365.4966555180144</v>
      </c>
      <c r="I21" s="45">
        <f t="shared" si="7"/>
        <v>2.8249640820601187E-2</v>
      </c>
      <c r="J21" s="58" t="s">
        <v>153</v>
      </c>
      <c r="K21" s="70" t="s">
        <v>154</v>
      </c>
    </row>
    <row r="22" spans="1:11" ht="15.75">
      <c r="A22" s="51" t="str">
        <v>Sunset A</v>
      </c>
      <c r="B22" s="48" t="str">
        <v>MA</v>
      </c>
      <c r="C22" s="36">
        <v>93764.5</v>
      </c>
      <c r="D22" s="37">
        <v>94982.74</v>
      </c>
      <c r="E22" s="37">
        <f t="shared" si="4"/>
        <v>-1218.2400000000052</v>
      </c>
      <c r="F22" s="38">
        <f t="shared" si="5"/>
        <v>-1.2825909212558041E-2</v>
      </c>
      <c r="G22" s="39">
        <v>94088.88</v>
      </c>
      <c r="H22" s="39">
        <f t="shared" si="6"/>
        <v>-324.38000000000466</v>
      </c>
      <c r="I22" s="40">
        <f t="shared" si="7"/>
        <v>-3.4475912562675274E-3</v>
      </c>
      <c r="J22" s="57" t="s">
        <v>155</v>
      </c>
      <c r="K22" s="57" t="s">
        <v>156</v>
      </c>
    </row>
    <row r="23" spans="1:11" ht="15.75">
      <c r="A23" s="49" t="str">
        <v>Sunset B</v>
      </c>
      <c r="B23" s="50" t="str">
        <v>MA</v>
      </c>
      <c r="C23" s="43">
        <v>89101.25</v>
      </c>
      <c r="D23" s="44">
        <v>98109.91</v>
      </c>
      <c r="E23" s="44">
        <f t="shared" si="4"/>
        <v>-9008.6600000000035</v>
      </c>
      <c r="F23" s="71">
        <f t="shared" si="5"/>
        <v>-9.18221207215459E-2</v>
      </c>
      <c r="G23" s="46">
        <v>92958.89</v>
      </c>
      <c r="H23" s="46">
        <f t="shared" si="6"/>
        <v>-3857.6399999999994</v>
      </c>
      <c r="I23" s="45">
        <f t="shared" si="7"/>
        <v>-4.1498344052946411E-2</v>
      </c>
      <c r="J23" s="58" t="s">
        <v>155</v>
      </c>
      <c r="K23" s="58" t="s">
        <v>157</v>
      </c>
    </row>
    <row r="24" spans="1:11" ht="15.75">
      <c r="A24" s="51" t="str">
        <v>Woodchuck</v>
      </c>
      <c r="B24" s="48" t="str">
        <v>MA</v>
      </c>
      <c r="C24" s="36">
        <v>198528</v>
      </c>
      <c r="D24" s="37">
        <v>204541.1</v>
      </c>
      <c r="E24" s="37">
        <f t="shared" si="4"/>
        <v>-6013.1000000000058</v>
      </c>
      <c r="F24" s="38">
        <f t="shared" si="5"/>
        <v>-2.939800362861061E-2</v>
      </c>
      <c r="G24" s="39">
        <v>201777.8</v>
      </c>
      <c r="H24" s="39">
        <f t="shared" si="6"/>
        <v>-3249.7999999999884</v>
      </c>
      <c r="I24" s="40">
        <f t="shared" si="7"/>
        <v>-1.610583523063483E-2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tabSelected="1" zoomScale="80" zoomScaleNormal="80" workbookViewId="0">
      <pane xSplit="2" ySplit="3" topLeftCell="C19" activePane="bottomRight" state="frozen"/>
      <selection pane="bottomRight" activeCell="A21" sqref="A21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158</v>
      </c>
      <c r="E1" s="77"/>
      <c r="F1" s="77"/>
      <c r="G1" s="75" t="s">
        <v>159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4754265.9966777414</v>
      </c>
      <c r="D2" s="5">
        <f>SUM(D4:D99)</f>
        <v>4889018.3499999996</v>
      </c>
      <c r="E2" s="5">
        <f>C2-D2</f>
        <v>-134752.35332225822</v>
      </c>
      <c r="F2" s="6">
        <f>IFERROR(E2/D2, 0)</f>
        <v>-2.7562251494158991E-2</v>
      </c>
      <c r="G2" s="5">
        <f>SUM(G4:G99)</f>
        <v>5205397.0699999994</v>
      </c>
      <c r="H2" s="7">
        <f>C2-G2</f>
        <v>-451131.07332225796</v>
      </c>
      <c r="I2" s="6">
        <f>IFERROR(H2/G2, 0)</f>
        <v>-8.6666025138070396E-2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228805.5</v>
      </c>
      <c r="D4" s="37">
        <v>300659.90000000002</v>
      </c>
      <c r="E4" s="37">
        <f>IF(AND(ISNUMBER(C4),ISNUMBER(D4)), C4-D4, "")</f>
        <v>-71854.400000000023</v>
      </c>
      <c r="F4" s="38">
        <f>IFERROR(E4/D4, "")</f>
        <v>-0.23898897059434934</v>
      </c>
      <c r="G4" s="39">
        <v>258461.8</v>
      </c>
      <c r="H4" s="39">
        <f>IF(AND(ISNUMBER(C4),ISNUMBER(G4)), C4-G4, "")</f>
        <v>-29656.299999999988</v>
      </c>
      <c r="I4" s="40">
        <f>IFERROR(H4/G4, "")</f>
        <v>-0.11474152079727058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206045</v>
      </c>
      <c r="D5" s="44">
        <v>202434.1</v>
      </c>
      <c r="E5" s="44">
        <f t="shared" ref="E5:E24" si="0">IF(AND(ISNUMBER(C5),ISNUMBER(D5)), C5-D5, "")</f>
        <v>3610.8999999999942</v>
      </c>
      <c r="F5" s="45">
        <f>IFERROR(E5/D5, "")</f>
        <v>1.7837409803980624E-2</v>
      </c>
      <c r="G5" s="46">
        <v>209880.4</v>
      </c>
      <c r="H5" s="46">
        <f t="shared" ref="H5:H24" si="1">IF(AND(ISNUMBER(C5),ISNUMBER(G5)), C5-G5, "")</f>
        <v>-3835.3999999999942</v>
      </c>
      <c r="I5" s="45">
        <f t="shared" ref="I5:I24" si="2">IFERROR(H5/G5, "")</f>
        <v>-1.8274217125562913E-2</v>
      </c>
      <c r="J5" s="58" t="s">
        <v>160</v>
      </c>
      <c r="K5" s="58" t="s">
        <v>161</v>
      </c>
    </row>
    <row r="6" spans="1:11" ht="15.75">
      <c r="A6" s="51" t="str">
        <v>Bowden</v>
      </c>
      <c r="B6" s="48" t="str">
        <v>MA</v>
      </c>
      <c r="C6" s="36">
        <v>402694</v>
      </c>
      <c r="D6" s="37">
        <v>402514.3</v>
      </c>
      <c r="E6" s="37">
        <f t="shared" si="0"/>
        <v>179.70000000001164</v>
      </c>
      <c r="F6" s="38">
        <f t="shared" ref="F6:F24" si="3">IFERROR(E6/D6, "")</f>
        <v>4.4644376609728314E-4</v>
      </c>
      <c r="G6" s="39">
        <v>403575.3</v>
      </c>
      <c r="H6" s="39">
        <f t="shared" si="1"/>
        <v>-881.29999999998836</v>
      </c>
      <c r="I6" s="40">
        <f t="shared" si="2"/>
        <v>-2.1837312640292615E-3</v>
      </c>
      <c r="J6" s="57" t="s">
        <v>162</v>
      </c>
      <c r="K6" s="57" t="s">
        <v>163</v>
      </c>
    </row>
    <row r="7" spans="1:11" ht="15.75">
      <c r="A7" s="49" t="str">
        <v>Blair Wire Village</v>
      </c>
      <c r="B7" s="50" t="str">
        <v>MA</v>
      </c>
      <c r="C7" s="43">
        <v>191619</v>
      </c>
      <c r="D7" s="44">
        <v>198267.5</v>
      </c>
      <c r="E7" s="44">
        <f t="shared" si="0"/>
        <v>-6648.5</v>
      </c>
      <c r="F7" s="45">
        <f t="shared" si="3"/>
        <v>-3.353297943435006E-2</v>
      </c>
      <c r="G7" s="46">
        <v>201927.5</v>
      </c>
      <c r="H7" s="46">
        <f t="shared" si="1"/>
        <v>-10308.5</v>
      </c>
      <c r="I7" s="45">
        <f t="shared" si="2"/>
        <v>-5.1050500798553937E-2</v>
      </c>
      <c r="J7" s="58"/>
      <c r="K7" s="59"/>
    </row>
    <row r="8" spans="1:11" ht="15.75">
      <c r="A8" s="51" t="str">
        <v>Boutilier</v>
      </c>
      <c r="B8" s="48" t="str">
        <v>MA</v>
      </c>
      <c r="C8" s="36">
        <v>539456</v>
      </c>
      <c r="D8" s="37">
        <v>515865.5</v>
      </c>
      <c r="E8" s="37">
        <f t="shared" si="0"/>
        <v>23590.5</v>
      </c>
      <c r="F8" s="38">
        <f t="shared" si="3"/>
        <v>4.5729943173172076E-2</v>
      </c>
      <c r="G8" s="39">
        <v>576146.19999999995</v>
      </c>
      <c r="H8" s="39">
        <f t="shared" si="1"/>
        <v>-36690.199999999953</v>
      </c>
      <c r="I8" s="40">
        <f t="shared" si="2"/>
        <v>-6.3682100133611849E-2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179659</v>
      </c>
      <c r="D9" s="44">
        <v>189584.3</v>
      </c>
      <c r="E9" s="44">
        <f t="shared" si="0"/>
        <v>-9925.2999999999884</v>
      </c>
      <c r="F9" s="45">
        <f t="shared" si="3"/>
        <v>-5.2352963826645928E-2</v>
      </c>
      <c r="G9" s="46">
        <v>206366</v>
      </c>
      <c r="H9" s="46">
        <f t="shared" si="1"/>
        <v>-26707</v>
      </c>
      <c r="I9" s="45">
        <f t="shared" si="2"/>
        <v>-0.12941569832239808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173632</v>
      </c>
      <c r="D10" s="37">
        <v>170023.8</v>
      </c>
      <c r="E10" s="37">
        <f t="shared" si="0"/>
        <v>3608.2000000000116</v>
      </c>
      <c r="F10" s="38">
        <f t="shared" si="3"/>
        <v>2.1221734839475485E-2</v>
      </c>
      <c r="G10" s="39">
        <v>202694.9</v>
      </c>
      <c r="H10" s="39">
        <f t="shared" si="1"/>
        <v>-29062.899999999994</v>
      </c>
      <c r="I10" s="40">
        <f t="shared" si="2"/>
        <v>-0.14338249260341526</v>
      </c>
      <c r="J10" s="57"/>
      <c r="K10" s="57"/>
    </row>
    <row r="11" spans="1:11" ht="60.75">
      <c r="A11" s="49" t="str">
        <v>ISM Dighton Solar 2</v>
      </c>
      <c r="B11" s="50" t="str">
        <v>MA</v>
      </c>
      <c r="C11" s="43">
        <v>378895</v>
      </c>
      <c r="D11" s="44">
        <v>363256.1</v>
      </c>
      <c r="E11" s="44">
        <f t="shared" si="0"/>
        <v>15638.900000000023</v>
      </c>
      <c r="F11" s="45">
        <f t="shared" si="3"/>
        <v>4.3051995548044543E-2</v>
      </c>
      <c r="G11" s="46">
        <v>394151.3</v>
      </c>
      <c r="H11" s="46">
        <f t="shared" si="1"/>
        <v>-15256.299999999988</v>
      </c>
      <c r="I11" s="45">
        <f t="shared" si="2"/>
        <v>-3.8706709834522908E-2</v>
      </c>
      <c r="J11" s="58" t="s">
        <v>164</v>
      </c>
      <c r="K11" s="59" t="s">
        <v>165</v>
      </c>
    </row>
    <row r="12" spans="1:11" ht="15.75">
      <c r="A12" s="51" t="str">
        <v>Dudley River 1</v>
      </c>
      <c r="B12" s="48" t="str">
        <v>MA</v>
      </c>
      <c r="C12" s="36">
        <v>190017</v>
      </c>
      <c r="D12" s="37">
        <v>203395.5</v>
      </c>
      <c r="E12" s="37">
        <f t="shared" si="0"/>
        <v>-13378.5</v>
      </c>
      <c r="F12" s="38">
        <f t="shared" si="3"/>
        <v>-6.5775791499811942E-2</v>
      </c>
      <c r="G12" s="39">
        <v>203502.1</v>
      </c>
      <c r="H12" s="39">
        <f t="shared" si="1"/>
        <v>-13485.100000000006</v>
      </c>
      <c r="I12" s="40">
        <f t="shared" si="2"/>
        <v>-6.6265163848432063E-2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180465</v>
      </c>
      <c r="D13" s="44">
        <v>188550.7</v>
      </c>
      <c r="E13" s="44">
        <f t="shared" si="0"/>
        <v>-8085.7000000000116</v>
      </c>
      <c r="F13" s="45">
        <f t="shared" si="3"/>
        <v>-4.2883426049333206E-2</v>
      </c>
      <c r="G13" s="46">
        <v>192924.9</v>
      </c>
      <c r="H13" s="46">
        <f t="shared" si="1"/>
        <v>-12459.899999999994</v>
      </c>
      <c r="I13" s="45">
        <f t="shared" si="2"/>
        <v>-6.4584198307216928E-2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184594</v>
      </c>
      <c r="D14" s="37">
        <v>185009.5</v>
      </c>
      <c r="E14" s="37">
        <f t="shared" si="0"/>
        <v>-415.5</v>
      </c>
      <c r="F14" s="38">
        <f t="shared" si="3"/>
        <v>-2.245830619508728E-3</v>
      </c>
      <c r="G14" s="39">
        <v>195826.1</v>
      </c>
      <c r="H14" s="39">
        <f t="shared" si="1"/>
        <v>-11232.100000000006</v>
      </c>
      <c r="I14" s="40">
        <f t="shared" si="2"/>
        <v>-5.735752282254513E-2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89346</v>
      </c>
      <c r="D15" s="44">
        <v>71133.05</v>
      </c>
      <c r="E15" s="44">
        <f t="shared" si="0"/>
        <v>18212.949999999997</v>
      </c>
      <c r="F15" s="45">
        <f t="shared" si="3"/>
        <v>0.25604061684406892</v>
      </c>
      <c r="G15" s="46">
        <v>98164.02</v>
      </c>
      <c r="H15" s="46">
        <f t="shared" si="1"/>
        <v>-8818.0200000000041</v>
      </c>
      <c r="I15" s="45">
        <f t="shared" si="2"/>
        <v>-8.9829450749877637E-2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401853</v>
      </c>
      <c r="D16" s="37">
        <v>433308.5</v>
      </c>
      <c r="E16" s="37">
        <f t="shared" si="0"/>
        <v>-31455.5</v>
      </c>
      <c r="F16" s="38">
        <f t="shared" si="3"/>
        <v>-7.2593775566368993E-2</v>
      </c>
      <c r="G16" s="39">
        <v>416485.6</v>
      </c>
      <c r="H16" s="39">
        <f t="shared" si="1"/>
        <v>-14632.599999999977</v>
      </c>
      <c r="I16" s="40">
        <f t="shared" si="2"/>
        <v>-3.5133507617070021E-2</v>
      </c>
      <c r="J16" s="57"/>
      <c r="K16" s="57"/>
    </row>
    <row r="17" spans="1:11" ht="15.75">
      <c r="A17" s="49" t="str">
        <v>JH</v>
      </c>
      <c r="B17" s="50" t="str">
        <v>MA</v>
      </c>
      <c r="C17" s="43">
        <v>179742</v>
      </c>
      <c r="D17" s="44">
        <v>180766.8</v>
      </c>
      <c r="E17" s="44">
        <f t="shared" si="0"/>
        <v>-1024.7999999999884</v>
      </c>
      <c r="F17" s="45">
        <f t="shared" si="3"/>
        <v>-5.6691826153917003E-3</v>
      </c>
      <c r="G17" s="46">
        <v>201953</v>
      </c>
      <c r="H17" s="46">
        <f t="shared" si="1"/>
        <v>-22211</v>
      </c>
      <c r="I17" s="45">
        <f t="shared" si="2"/>
        <v>-0.10998103519135641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166263</v>
      </c>
      <c r="D18" s="37">
        <v>181159.8</v>
      </c>
      <c r="E18" s="37">
        <f t="shared" si="0"/>
        <v>-14896.799999999988</v>
      </c>
      <c r="F18" s="38">
        <f t="shared" si="3"/>
        <v>-8.2230163645576934E-2</v>
      </c>
      <c r="G18" s="39">
        <v>198092.6</v>
      </c>
      <c r="H18" s="39">
        <f t="shared" si="1"/>
        <v>-31829.600000000006</v>
      </c>
      <c r="I18" s="40">
        <f t="shared" si="2"/>
        <v>-0.16068040906121686</v>
      </c>
      <c r="J18" s="57"/>
      <c r="K18" s="57"/>
    </row>
    <row r="19" spans="1:11" ht="30.75">
      <c r="A19" s="49" t="str">
        <v>Palombo A</v>
      </c>
      <c r="B19" s="50" t="str">
        <v>MA</v>
      </c>
      <c r="C19" s="43">
        <v>357375.996677741</v>
      </c>
      <c r="D19" s="44">
        <v>359261.5</v>
      </c>
      <c r="E19" s="44">
        <f t="shared" si="0"/>
        <v>-1885.5033222589991</v>
      </c>
      <c r="F19" s="45">
        <f t="shared" si="3"/>
        <v>-5.2482754825078646E-3</v>
      </c>
      <c r="G19" s="46">
        <v>414569</v>
      </c>
      <c r="H19" s="46">
        <f t="shared" si="1"/>
        <v>-57193.003322258999</v>
      </c>
      <c r="I19" s="45">
        <f t="shared" si="2"/>
        <v>-0.13795774243192085</v>
      </c>
      <c r="J19" s="58" t="s">
        <v>166</v>
      </c>
      <c r="K19" s="70" t="s">
        <v>167</v>
      </c>
    </row>
    <row r="20" spans="1:11" ht="30.75">
      <c r="A20" s="51" t="str">
        <v>Palombo B</v>
      </c>
      <c r="B20" s="48" t="str">
        <v>MA</v>
      </c>
      <c r="C20" s="36">
        <v>177890</v>
      </c>
      <c r="D20" s="37">
        <v>156647.29999999999</v>
      </c>
      <c r="E20" s="37">
        <f t="shared" si="0"/>
        <v>21242.700000000012</v>
      </c>
      <c r="F20" s="38">
        <f t="shared" si="3"/>
        <v>0.13560846564224224</v>
      </c>
      <c r="G20" s="39">
        <v>218506.6</v>
      </c>
      <c r="H20" s="39">
        <f t="shared" si="1"/>
        <v>-40616.600000000006</v>
      </c>
      <c r="I20" s="40">
        <f t="shared" si="2"/>
        <v>-0.18588271475552687</v>
      </c>
      <c r="J20" s="57" t="s">
        <v>168</v>
      </c>
      <c r="K20" s="57" t="s">
        <v>167</v>
      </c>
    </row>
    <row r="21" spans="1:11" ht="71.25">
      <c r="A21" s="49" t="str">
        <v>St Josephs Church</v>
      </c>
      <c r="B21" s="50" t="str">
        <v>MA</v>
      </c>
      <c r="C21" s="43">
        <v>156805</v>
      </c>
      <c r="D21" s="44">
        <v>199847.5</v>
      </c>
      <c r="E21" s="44">
        <f t="shared" si="0"/>
        <v>-43042.5</v>
      </c>
      <c r="F21" s="45">
        <f t="shared" si="3"/>
        <v>-0.21537672475262387</v>
      </c>
      <c r="G21" s="46">
        <v>201655.6</v>
      </c>
      <c r="H21" s="46">
        <f t="shared" si="1"/>
        <v>-44850.600000000006</v>
      </c>
      <c r="I21" s="45">
        <f t="shared" si="2"/>
        <v>-0.22241187450286531</v>
      </c>
      <c r="J21" s="67" t="s">
        <v>169</v>
      </c>
      <c r="K21" s="68" t="s">
        <v>170</v>
      </c>
    </row>
    <row r="22" spans="1:11" ht="15.75">
      <c r="A22" s="51" t="str">
        <v>Sunset A</v>
      </c>
      <c r="B22" s="48" t="str">
        <v>MA</v>
      </c>
      <c r="C22" s="36">
        <v>93225</v>
      </c>
      <c r="D22" s="37">
        <v>97708.73</v>
      </c>
      <c r="E22" s="37">
        <f t="shared" si="0"/>
        <v>-4483.7299999999959</v>
      </c>
      <c r="F22" s="38">
        <f t="shared" si="3"/>
        <v>-4.5888734814176747E-2</v>
      </c>
      <c r="G22" s="39">
        <v>98814.91</v>
      </c>
      <c r="H22" s="39">
        <f t="shared" si="1"/>
        <v>-5589.9100000000035</v>
      </c>
      <c r="I22" s="40">
        <f t="shared" si="2"/>
        <v>-5.6569499481404203E-2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88999.5</v>
      </c>
      <c r="D23" s="44">
        <v>92907.27</v>
      </c>
      <c r="E23" s="44">
        <f t="shared" si="0"/>
        <v>-3907.7700000000041</v>
      </c>
      <c r="F23" s="45">
        <f t="shared" si="3"/>
        <v>-4.2060971116684449E-2</v>
      </c>
      <c r="G23" s="46">
        <v>97627.64</v>
      </c>
      <c r="H23" s="46">
        <f t="shared" si="1"/>
        <v>-8628.14</v>
      </c>
      <c r="I23" s="45">
        <f t="shared" si="2"/>
        <v>-8.8378045397799226E-2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186885</v>
      </c>
      <c r="D24" s="37">
        <v>196716.7</v>
      </c>
      <c r="E24" s="37">
        <f t="shared" si="0"/>
        <v>-9831.7000000000116</v>
      </c>
      <c r="F24" s="38">
        <f t="shared" si="3"/>
        <v>-4.9978979923921106E-2</v>
      </c>
      <c r="G24" s="39">
        <v>214071.6</v>
      </c>
      <c r="H24" s="39">
        <f t="shared" si="1"/>
        <v>-27186.600000000006</v>
      </c>
      <c r="I24" s="40">
        <f t="shared" si="2"/>
        <v>-0.12699769609794109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171</v>
      </c>
      <c r="E1" s="77"/>
      <c r="F1" s="77"/>
      <c r="G1" s="75" t="s">
        <v>172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173</v>
      </c>
      <c r="E1" s="77"/>
      <c r="F1" s="77"/>
      <c r="G1" s="75" t="s">
        <v>174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175</v>
      </c>
      <c r="E1" s="77"/>
      <c r="F1" s="77"/>
      <c r="G1" s="75" t="s">
        <v>176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177</v>
      </c>
      <c r="E1" s="77"/>
      <c r="F1" s="77"/>
      <c r="G1" s="75" t="s">
        <v>178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1"/>
  <sheetViews>
    <sheetView workbookViewId="0">
      <pane xSplit="2" ySplit="3" topLeftCell="C4" activePane="bottomRight" state="frozen"/>
      <selection pane="bottomRight" activeCell="G26" sqref="G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179</v>
      </c>
      <c r="E1" s="77"/>
      <c r="F1" s="77"/>
      <c r="G1" s="75" t="s">
        <v>180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0" sqref="B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181</v>
      </c>
      <c r="B1" t="s">
        <v>182</v>
      </c>
    </row>
    <row r="3" spans="1:12">
      <c r="A3" t="s">
        <v>183</v>
      </c>
      <c r="B3" t="s">
        <v>3</v>
      </c>
      <c r="C3" t="s">
        <v>4</v>
      </c>
      <c r="D3" t="s">
        <v>184</v>
      </c>
      <c r="E3" s="2" t="s">
        <v>185</v>
      </c>
    </row>
    <row r="4" spans="1:12" ht="14.25">
      <c r="A4" s="26" t="s">
        <v>186</v>
      </c>
      <c r="B4" t="s">
        <v>186</v>
      </c>
      <c r="C4" s="25" t="s">
        <v>187</v>
      </c>
      <c r="D4" s="24" t="s">
        <v>188</v>
      </c>
      <c r="E4" t="s">
        <v>189</v>
      </c>
      <c r="G4" s="3"/>
    </row>
    <row r="5" spans="1:12" ht="14.25">
      <c r="A5" s="26" t="s">
        <v>190</v>
      </c>
      <c r="B5" t="s">
        <v>190</v>
      </c>
      <c r="C5" s="25" t="s">
        <v>191</v>
      </c>
      <c r="D5" s="24" t="s">
        <v>188</v>
      </c>
      <c r="E5" t="s">
        <v>189</v>
      </c>
      <c r="G5" s="3"/>
    </row>
    <row r="6" spans="1:12" ht="14.25">
      <c r="A6" s="26" t="s">
        <v>192</v>
      </c>
      <c r="B6" t="s">
        <v>192</v>
      </c>
      <c r="C6" s="25" t="s">
        <v>191</v>
      </c>
      <c r="D6" s="24" t="s">
        <v>188</v>
      </c>
      <c r="E6" t="s">
        <v>189</v>
      </c>
      <c r="G6" s="3"/>
    </row>
    <row r="7" spans="1:12" ht="12.75" customHeight="1">
      <c r="A7" s="26" t="s">
        <v>193</v>
      </c>
      <c r="B7" t="s">
        <v>193</v>
      </c>
      <c r="C7" s="25" t="s">
        <v>191</v>
      </c>
      <c r="D7" s="24" t="s">
        <v>188</v>
      </c>
      <c r="E7" t="s">
        <v>189</v>
      </c>
    </row>
    <row r="8" spans="1:12" ht="12.75" customHeight="1">
      <c r="A8" s="26" t="s">
        <v>194</v>
      </c>
      <c r="B8" t="s">
        <v>194</v>
      </c>
      <c r="C8" s="25" t="s">
        <v>191</v>
      </c>
      <c r="D8" s="24" t="s">
        <v>188</v>
      </c>
      <c r="E8" t="s">
        <v>189</v>
      </c>
    </row>
    <row r="9" spans="1:12" ht="12.75" customHeight="1">
      <c r="A9" s="26" t="s">
        <v>195</v>
      </c>
      <c r="B9" t="s">
        <v>195</v>
      </c>
      <c r="C9" s="25" t="s">
        <v>191</v>
      </c>
      <c r="D9" s="24" t="s">
        <v>188</v>
      </c>
      <c r="E9" t="s">
        <v>189</v>
      </c>
    </row>
    <row r="10" spans="1:12" ht="12.75" customHeight="1">
      <c r="A10" s="26" t="s">
        <v>196</v>
      </c>
      <c r="B10" t="s">
        <v>196</v>
      </c>
      <c r="C10" s="25" t="s">
        <v>191</v>
      </c>
      <c r="D10" s="24" t="s">
        <v>188</v>
      </c>
      <c r="E10" t="s">
        <v>189</v>
      </c>
      <c r="K10" s="21"/>
      <c r="L10" s="21"/>
    </row>
    <row r="11" spans="1:12" ht="12.75" customHeight="1">
      <c r="A11" s="26" t="s">
        <v>197</v>
      </c>
      <c r="B11" t="s">
        <v>197</v>
      </c>
      <c r="C11" s="25" t="s">
        <v>191</v>
      </c>
      <c r="D11" s="24" t="s">
        <v>188</v>
      </c>
      <c r="E11" t="s">
        <v>189</v>
      </c>
      <c r="K11" s="21"/>
      <c r="L11" s="21"/>
    </row>
    <row r="12" spans="1:12" ht="12.75" customHeight="1">
      <c r="A12" s="26" t="s">
        <v>198</v>
      </c>
      <c r="B12" t="s">
        <v>198</v>
      </c>
      <c r="C12" s="25" t="s">
        <v>191</v>
      </c>
      <c r="D12" s="24" t="s">
        <v>188</v>
      </c>
      <c r="E12" t="s">
        <v>189</v>
      </c>
      <c r="K12" s="21"/>
      <c r="L12" s="21"/>
    </row>
    <row r="13" spans="1:12" ht="12.75" customHeight="1">
      <c r="A13" s="26" t="s">
        <v>199</v>
      </c>
      <c r="B13" t="s">
        <v>199</v>
      </c>
      <c r="C13" s="25" t="s">
        <v>191</v>
      </c>
      <c r="D13" s="24" t="s">
        <v>188</v>
      </c>
      <c r="E13" t="s">
        <v>189</v>
      </c>
      <c r="K13" s="21"/>
      <c r="L13" s="21"/>
    </row>
    <row r="14" spans="1:12" ht="12.75" customHeight="1">
      <c r="A14" s="26" t="s">
        <v>200</v>
      </c>
      <c r="B14" t="s">
        <v>200</v>
      </c>
      <c r="C14" s="25" t="s">
        <v>191</v>
      </c>
      <c r="D14" s="24" t="s">
        <v>188</v>
      </c>
      <c r="E14" t="s">
        <v>189</v>
      </c>
      <c r="K14" s="21"/>
      <c r="L14" s="21"/>
    </row>
    <row r="15" spans="1:12" ht="12.75" customHeight="1">
      <c r="A15" s="26" t="s">
        <v>201</v>
      </c>
      <c r="B15" t="s">
        <v>201</v>
      </c>
      <c r="C15" s="25" t="s">
        <v>191</v>
      </c>
      <c r="D15" s="24" t="s">
        <v>188</v>
      </c>
      <c r="E15" t="s">
        <v>189</v>
      </c>
      <c r="K15" s="21"/>
      <c r="L15" s="21"/>
    </row>
    <row r="16" spans="1:12" ht="12.75" customHeight="1">
      <c r="A16" s="26" t="s">
        <v>202</v>
      </c>
      <c r="B16" t="s">
        <v>202</v>
      </c>
      <c r="C16" s="25" t="s">
        <v>191</v>
      </c>
      <c r="D16" s="24" t="s">
        <v>188</v>
      </c>
      <c r="E16" t="s">
        <v>189</v>
      </c>
      <c r="K16" s="21"/>
      <c r="L16" s="21"/>
    </row>
    <row r="17" spans="1:12" ht="12.75" customHeight="1">
      <c r="A17" s="26" t="s">
        <v>203</v>
      </c>
      <c r="B17" t="s">
        <v>203</v>
      </c>
      <c r="C17" s="25" t="s">
        <v>191</v>
      </c>
      <c r="D17" s="24" t="s">
        <v>188</v>
      </c>
      <c r="E17" t="s">
        <v>189</v>
      </c>
      <c r="K17" s="21"/>
      <c r="L17" s="21"/>
    </row>
    <row r="18" spans="1:12" ht="12.75" customHeight="1">
      <c r="A18" s="26" t="s">
        <v>204</v>
      </c>
      <c r="B18" t="s">
        <v>204</v>
      </c>
      <c r="C18" s="25" t="s">
        <v>191</v>
      </c>
      <c r="D18" s="24" t="s">
        <v>188</v>
      </c>
      <c r="E18" t="s">
        <v>189</v>
      </c>
      <c r="K18" s="21"/>
      <c r="L18" s="21"/>
    </row>
    <row r="19" spans="1:12" ht="12.75" customHeight="1">
      <c r="A19" s="26" t="s">
        <v>205</v>
      </c>
      <c r="B19" t="s">
        <v>205</v>
      </c>
      <c r="C19" s="25" t="s">
        <v>191</v>
      </c>
      <c r="D19" s="24" t="s">
        <v>188</v>
      </c>
      <c r="E19" t="s">
        <v>189</v>
      </c>
      <c r="K19" s="21"/>
      <c r="L19" s="21"/>
    </row>
    <row r="20" spans="1:12" ht="12.75" customHeight="1">
      <c r="A20" s="26" t="s">
        <v>206</v>
      </c>
      <c r="B20" t="s">
        <v>206</v>
      </c>
      <c r="C20" s="25" t="s">
        <v>191</v>
      </c>
      <c r="D20" s="24" t="s">
        <v>188</v>
      </c>
      <c r="E20" t="s">
        <v>189</v>
      </c>
      <c r="K20" s="21"/>
      <c r="L20" s="21"/>
    </row>
    <row r="21" spans="1:12" ht="12.75" customHeight="1">
      <c r="A21" s="26" t="s">
        <v>207</v>
      </c>
      <c r="B21" t="s">
        <v>207</v>
      </c>
      <c r="C21" s="25" t="s">
        <v>191</v>
      </c>
      <c r="D21" s="24" t="s">
        <v>188</v>
      </c>
      <c r="E21" t="s">
        <v>189</v>
      </c>
      <c r="K21" s="21"/>
      <c r="L21" s="21"/>
    </row>
    <row r="22" spans="1:12" ht="12.75" customHeight="1">
      <c r="A22" s="26" t="s">
        <v>208</v>
      </c>
      <c r="B22" t="s">
        <v>208</v>
      </c>
      <c r="C22" s="25" t="s">
        <v>191</v>
      </c>
      <c r="D22" s="24" t="s">
        <v>188</v>
      </c>
      <c r="E22" t="s">
        <v>189</v>
      </c>
      <c r="K22" s="21"/>
      <c r="L22" s="21"/>
    </row>
    <row r="23" spans="1:12" ht="12.75" customHeight="1">
      <c r="A23" s="26" t="s">
        <v>209</v>
      </c>
      <c r="B23" t="s">
        <v>209</v>
      </c>
      <c r="C23" s="25" t="s">
        <v>191</v>
      </c>
      <c r="D23" s="24" t="s">
        <v>188</v>
      </c>
      <c r="E23" t="s">
        <v>189</v>
      </c>
      <c r="K23" s="21"/>
      <c r="L23" s="21"/>
    </row>
    <row r="24" spans="1:12" ht="12.75" customHeight="1">
      <c r="A24" s="26" t="s">
        <v>210</v>
      </c>
      <c r="B24" t="s">
        <v>210</v>
      </c>
      <c r="C24" s="25" t="s">
        <v>191</v>
      </c>
      <c r="D24" s="24" t="s">
        <v>188</v>
      </c>
      <c r="E24" t="s">
        <v>189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2024-08-19T01:47:11Z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