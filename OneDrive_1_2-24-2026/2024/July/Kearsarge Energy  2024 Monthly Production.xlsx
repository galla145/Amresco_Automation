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AE47D214-913F-48D4-8F09-2C498266CFE0}" xr6:coauthVersionLast="47" xr6:coauthVersionMax="47" xr10:uidLastSave="{00000000-0000-0000-0000-000000000000}"/>
  <bookViews>
    <workbookView xWindow="-108" yWindow="-108" windowWidth="23256" windowHeight="12456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5" i="26"/>
  <c r="I5" i="26" s="1"/>
  <c r="E5" i="26"/>
  <c r="F5" i="26" s="1"/>
  <c r="H5" i="19"/>
  <c r="I5" i="19" s="1"/>
  <c r="E5" i="19"/>
  <c r="F5" i="19" s="1"/>
  <c r="H5" i="20"/>
  <c r="I5" i="20" s="1"/>
  <c r="E5" i="20"/>
  <c r="F5" i="20" s="1"/>
  <c r="H5" i="21"/>
  <c r="I5" i="21" s="1"/>
  <c r="E5" i="21"/>
  <c r="F5" i="21" s="1"/>
  <c r="H5" i="4"/>
  <c r="I5" i="4" s="1"/>
  <c r="E5" i="4"/>
  <c r="F5" i="4" s="1"/>
  <c r="E5" i="3"/>
  <c r="F5" i="3" s="1"/>
  <c r="H5" i="3"/>
  <c r="I5" i="3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G2" i="34"/>
  <c r="A1" i="34" a="1"/>
  <c r="A1" i="34" s="1"/>
  <c r="D4" i="30"/>
  <c r="D2" i="30" s="1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E13" i="27"/>
  <c r="F13" i="27" s="1"/>
  <c r="H12" i="27"/>
  <c r="I12" i="27" s="1"/>
  <c r="E12" i="27"/>
  <c r="F12" i="27" s="1"/>
  <c r="H11" i="27"/>
  <c r="I11" i="27" s="1"/>
  <c r="F11" i="27"/>
  <c r="E11" i="27"/>
  <c r="I10" i="27"/>
  <c r="H10" i="27"/>
  <c r="E10" i="27"/>
  <c r="F10" i="27" s="1"/>
  <c r="H9" i="27"/>
  <c r="I9" i="27" s="1"/>
  <c r="E9" i="27"/>
  <c r="F9" i="27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30" l="1"/>
  <c r="F4" i="30" s="1"/>
  <c r="D4" i="34"/>
  <c r="D2" i="34" s="1"/>
  <c r="E4" i="18"/>
  <c r="F4" i="18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<sst xmlns="http://schemas.openxmlformats.org/spreadsheetml/2006/main" count="239" uniqueCount="51">
  <si>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</si>
  <si>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</si>
  <si>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</si>
  <si>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</si>
  <si>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</si>
  <si>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</si>
  <si>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</si>
  <si>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</si>
  <si>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</si>
  <si>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</si>
  <si>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</si>
  <si>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</si>
  <si>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</si>
  <si>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</si>
  <si>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</si>
  <si>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</si>
  <si>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</si>
  <si>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</si>
  <si>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</si>
  <si>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</si>
  <si>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</si>
  <si>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</si>
  <si>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</si>
  <si>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</si>
  <si>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</si>
  <si>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</si>
  <si>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</si>
  <si>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</si>
  <si>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</si>
  <si>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</si>
  <si>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</si>
  <si>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</si>
  <si>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</si>
  <si>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</si>
  <si>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</si>
  <si>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</si>
  <si>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</si>
  <si>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</si>
  <si>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</si>
  <si>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</si>
  <si>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</si>
  <si>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</si>
  <si>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</si>
  <si>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</si>
  <si>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</si>
  <si>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Hubbardston Solar</t>
  </si>
  <si>
    <t>Site DAS Name</t>
  </si>
  <si>
    <t>Update</t>
  </si>
  <si>
    <t>DAS</t>
  </si>
  <si>
    <t>MA</t>
  </si>
  <si>
    <t>Solrenview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</si>
</sst>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workbookViewId="0">
      <pane xSplit="2" ySplit="3" topLeftCell="C4" activePane="bottomRight" state="frozen"/>
      <selection pane="bottomRight" activeCell="I8" sqref="I8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Hubbardston Solar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SUM(C4:C87)</f>
        <v>1777756</v>
      </c>
      <c r="D2" s="6">
        <f>SUM(D4:D87)</f>
        <v>0</v>
      </c>
      <c r="E2" s="6">
        <f>C2-D2</f>
        <v>1777756</v>
      </c>
      <c r="F2" s="7">
        <f>IFERROR(E2/D2, 0)</f>
        <v>0</v>
      </c>
      <c r="G2" s="6">
        <f>SUM(G4:G87)</f>
        <v>0</v>
      </c>
      <c r="H2" s="8">
        <f>C2-G2</f>
        <v>1777756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SUM('1st Qtr'!C4, '2nd Qtr'!C4, '3rd Qtr'!C4, '4th Qtr'!C4)</f>
        <v>1777756</v>
      </c>
      <c r="D4" s="13">
        <f>SUM('1st Qtr'!D4, '2nd Qtr'!D4, '3rd Qtr'!D4, '4th Qtr'!D4)</f>
        <v>0</v>
      </c>
      <c r="E4" s="13">
        <f>IF(AND(ISNUMBER(C4),ISNUMBER(D4)), C4-D4, "")</f>
        <v>1777756</v>
      </c>
      <c r="F4" s="14" t="str">
        <f>IFERROR(E4/D4, "")</f>
        <v/>
      </c>
      <c r="G4" s="15">
        <v>0</v>
      </c>
      <c r="H4" s="15">
        <f>SUM('1st Qtr'!H4, '2nd Qtr'!H4, '3rd Qtr'!H4, '4th Qtr'!H4)</f>
        <v>1504342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7 I4:I87">
    <cfRule type="cellIs" dxfId="46" priority="1" stopIfTrue="1" operator="lessThanOrEqual">
      <formula>-0.1</formula>
    </cfRule>
    <cfRule type="expression" dxfId="4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workbookViewId="0">
      <pane xSplit="2" ySplit="3" topLeftCell="C4" activePane="bottomRight" state="frozen"/>
      <selection pane="bottomRight" activeCell="H37" sqref="H37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Hubbardston Solar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SUM(C4:C87)</f>
        <v>551683</v>
      </c>
      <c r="D2" s="6">
        <f>SUM(D4:D87)</f>
        <v>0</v>
      </c>
      <c r="E2" s="6">
        <f>C2-D2</f>
        <v>551683</v>
      </c>
      <c r="F2" s="7">
        <f>IFERROR(E2/D2, 0)</f>
        <v>0</v>
      </c>
      <c r="G2" s="6">
        <f>SUM(G4:G87)</f>
        <v>0</v>
      </c>
      <c r="H2" s="8">
        <f>C2-G2</f>
        <v>551683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SUM(Jan!C4, Feb!C4, Mar!C4)</f>
        <v>551683</v>
      </c>
      <c r="D4" s="13">
        <f>SUM(Jan!D4, Feb!D4, Mar!D4)</f>
        <v>0</v>
      </c>
      <c r="E4" s="13">
        <f>IF(AND(ISNUMBER(C4),ISNUMBER(D4)), C4-D4, "")</f>
        <v>551683</v>
      </c>
      <c r="F4" s="14" t="str">
        <f>IFERROR(E4/D4, "")</f>
        <v/>
      </c>
      <c r="G4" s="15">
        <f>SUM(Jan!G4, Feb!G4, Mar!G4)</f>
        <v>0</v>
      </c>
      <c r="H4" s="15">
        <f>SUM(Jan!H4, Feb!H4, Mar!H4)</f>
        <v>551683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7 I4:I87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9"/>
  <sheetViews>
    <sheetView workbookViewId="0">
      <pane xSplit="2" ySplit="3" topLeftCell="C4" activePane="bottomRight" state="frozen"/>
      <selection pane="bottomRight" activeCell="I4" sqref="I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Hubbardston Solar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SUM(C4:C87)</f>
        <v>952659</v>
      </c>
      <c r="D2" s="6">
        <f>SUM(D4:D87)</f>
        <v>0</v>
      </c>
      <c r="E2" s="6">
        <f>C2-D2</f>
        <v>952659</v>
      </c>
      <c r="F2" s="7">
        <f>IFERROR(E2/D2, 0)</f>
        <v>0</v>
      </c>
      <c r="G2" s="6">
        <f>SUM(G4:G87)</f>
        <v>0</v>
      </c>
      <c r="H2" s="8">
        <f>C2-G2</f>
        <v>952659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SUM(Apr!C4, May!C4, Jun!C4)</f>
        <v>952659</v>
      </c>
      <c r="D4" s="13">
        <f>SUM(Apr!D4, May!D4, Jun!D4)</f>
        <v>0</v>
      </c>
      <c r="E4" s="13">
        <f>IF(AND(ISNUMBER(C4),ISNUMBER(D4)), C4-D4, "")</f>
        <v>952659</v>
      </c>
      <c r="F4" s="14" t="str">
        <f>IFERROR(E4/D4, "")</f>
        <v/>
      </c>
      <c r="G4" s="15">
        <f>SUM(Apr!G4,May!G4,Jun!G4)</f>
        <v>0</v>
      </c>
      <c r="H4" s="15">
        <f>SUM(Apr!H4, May!H4, Jun!H4)</f>
        <v>952659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7 I4:I87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Hubbardston Solar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SUM(C4:C87)</f>
        <v>273414</v>
      </c>
      <c r="D2" s="6">
        <f>SUM(D4:D87)</f>
        <v>0</v>
      </c>
      <c r="E2" s="6">
        <f>C2-D2</f>
        <v>273414</v>
      </c>
      <c r="F2" s="7">
        <f>IFERROR(E2/D2, 0)</f>
        <v>0</v>
      </c>
      <c r="G2" s="6">
        <f>SUM(G4:G87)</f>
        <v>0</v>
      </c>
      <c r="H2" s="8">
        <f>C2-G2</f>
        <v>273414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SUM(Jul!C4, Aug!C4, Sep!C4)</f>
        <v>273414</v>
      </c>
      <c r="D4" s="13">
        <f>SUM(Jul!D4, Aug!D4, Sep!D4)</f>
        <v>0</v>
      </c>
      <c r="E4" s="13">
        <f>IF(AND(ISNUMBER(C4),ISNUMBER(D4)), C4-D4, "")</f>
        <v>273414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9"/>
  <sheetViews>
    <sheetView workbookViewId="0">
      <pane xSplit="2" ySplit="3" topLeftCell="D27" activePane="bottomRight" state="frozen"/>
      <selection pane="bottomRight" activeCell="D27" sqref="D27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Hubbardston Solar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2"/>
  <sheetViews>
    <sheetView workbookViewId="0">
      <pane xSplit="2" ySplit="3" topLeftCell="C4" activePane="bottomRight" state="frozen"/>
      <selection pane="bottomRight" activeCell="F22" sqref="F22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SUM(C4:C60)</f>
        <v>62995</v>
      </c>
      <c r="D2" s="6">
        <f>SUM(D4:D60)</f>
        <v>0</v>
      </c>
      <c r="E2" s="6">
        <f>C2-D2</f>
        <v>62995</v>
      </c>
      <c r="F2" s="7">
        <f>IFERROR(E2/D2, 0)</f>
        <v>0</v>
      </c>
      <c r="G2" s="6">
        <f>SUM(G4:G60)</f>
        <v>0</v>
      </c>
      <c r="H2" s="8">
        <f>C2-G2</f>
        <v>62995</v>
      </c>
      <c r="I2" s="7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6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">Sites[Site]</f>
        <v>Hubbardston Solar</v>
      </c>
      <c r="B4" s="28" t="str" cm="1">
        <f t="array" ref="B4">Sites[State]</f>
        <v>MA</v>
      </c>
      <c r="C4" s="23">
        <v>62995</v>
      </c>
      <c r="D4" s="13">
        <v>0</v>
      </c>
      <c r="E4" s="13">
        <f>IF(AND(ISNUMBER(C4),ISNUMBER(D4)), C4-D4, "")</f>
        <v>62995</v>
      </c>
      <c r="F4" s="14" t="str">
        <f>IFERROR(E4/D4, "")</f>
        <v/>
      </c>
      <c r="G4" s="15">
        <v>0</v>
      </c>
      <c r="H4" s="15">
        <f>IF(AND(ISNUMBER(C4),ISNUMBER(G4)), C4-G4, "")</f>
        <v>62995</v>
      </c>
      <c r="I4" s="16" t="str">
        <f>IFERROR(H4/G4, "")</f>
        <v/>
      </c>
      <c r="J4" s="40"/>
      <c r="K4" s="40"/>
    </row>
    <row r="5" spans="1:11" ht="14.45">
      <c r="A5" s="20"/>
      <c r="B5" s="32"/>
      <c r="C5" s="20"/>
      <c r="D5" s="20"/>
      <c r="E5" s="20"/>
      <c r="F5" s="21"/>
      <c r="G5" s="20"/>
      <c r="H5" s="20"/>
      <c r="I5" s="21"/>
      <c r="J5" s="20"/>
      <c r="K5" s="20"/>
    </row>
    <row r="6" spans="1:11" ht="14.45">
      <c r="A6" s="20"/>
      <c r="B6" s="32"/>
      <c r="C6" s="20"/>
      <c r="D6" s="20"/>
      <c r="E6" s="20"/>
      <c r="F6" s="21"/>
      <c r="G6" s="20"/>
      <c r="H6" s="20"/>
      <c r="I6" s="21"/>
      <c r="J6" s="20"/>
      <c r="K6" s="20"/>
    </row>
    <row r="7" spans="1:11" ht="14.45">
      <c r="A7" s="20"/>
      <c r="B7" s="32"/>
      <c r="C7" s="20"/>
      <c r="D7" s="20"/>
      <c r="E7" s="20"/>
      <c r="F7" s="21"/>
      <c r="G7" s="20"/>
      <c r="H7" s="20"/>
      <c r="I7" s="21"/>
      <c r="J7" s="20"/>
      <c r="K7" s="20"/>
    </row>
    <row r="8" spans="1:11" ht="14.45">
      <c r="A8" s="20"/>
      <c r="B8" s="32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32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32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2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</sheetData>
  <mergeCells count="4">
    <mergeCell ref="D1:F1"/>
    <mergeCell ref="A1:C1"/>
    <mergeCell ref="G1:I1"/>
    <mergeCell ref="A2:B2"/>
  </mergeCells>
  <conditionalFormatting sqref="F2 I2 F4:F60 I4:I60">
    <cfRule type="cellIs" dxfId="36" priority="4" stopIfTrue="1" operator="lessThanOrEqual">
      <formula>-0.1</formula>
    </cfRule>
    <cfRule type="expression" dxfId="3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0"/>
  <sheetViews>
    <sheetView workbookViewId="0">
      <pane xSplit="2" ySplit="3" topLeftCell="C4" activePane="bottomRight" state="frozen"/>
      <selection pane="bottomRight" activeCell="F21" sqref="F21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227414</v>
      </c>
      <c r="D2" s="6">
        <f>SUM(D4:D88)</f>
        <v>0</v>
      </c>
      <c r="E2" s="6">
        <f>C2-D2</f>
        <v>227414</v>
      </c>
      <c r="F2" s="7">
        <f>IFERROR(E2/D2, 0)</f>
        <v>0</v>
      </c>
      <c r="G2" s="6">
        <f>SUM(G4:G88)</f>
        <v>0</v>
      </c>
      <c r="H2" s="8">
        <f>C2-G2</f>
        <v>227414</v>
      </c>
      <c r="I2" s="7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">Sites[Site]</f>
        <v>Hubbardston Solar</v>
      </c>
      <c r="B4" s="28" t="str" cm="1">
        <f t="array" ref="B4">Sites[State]</f>
        <v>MA</v>
      </c>
      <c r="C4" s="23">
        <v>227414</v>
      </c>
      <c r="D4" s="13">
        <v>0</v>
      </c>
      <c r="E4" s="13">
        <f>IF(AND(ISNUMBER(C4),ISNUMBER(D4)), C4-D4, "")</f>
        <v>227414</v>
      </c>
      <c r="F4" s="14" t="str">
        <f>IFERROR(E4/D4, "")</f>
        <v/>
      </c>
      <c r="G4" s="15">
        <v>0</v>
      </c>
      <c r="H4" s="15">
        <f>IF(AND(ISNUMBER(C4),ISNUMBER(G4)), C4-G4, "")</f>
        <v>227414</v>
      </c>
      <c r="I4" s="16" t="str">
        <f>IFERROR(H4/G4, "")</f>
        <v/>
      </c>
      <c r="J4" s="40"/>
      <c r="K4" s="40"/>
    </row>
    <row r="5" spans="1:11" ht="15.6">
      <c r="A5" s="29"/>
      <c r="B5" s="30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1"/>
      <c r="K5" s="42"/>
    </row>
    <row r="6" spans="1:11" ht="12.75" customHeight="1">
      <c r="A6" s="20"/>
      <c r="B6" s="32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2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2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2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2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2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0"/>
  <sheetViews>
    <sheetView workbookViewId="0">
      <pane xSplit="2" ySplit="3" topLeftCell="C4" activePane="bottomRight" state="frozen"/>
      <selection pane="bottomRight" activeCell="E24" sqref="E2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261274</v>
      </c>
      <c r="D2" s="6">
        <f>SUM(D4:D88)</f>
        <v>0</v>
      </c>
      <c r="E2" s="6">
        <f>C2-D2</f>
        <v>261274</v>
      </c>
      <c r="F2" s="7">
        <f>IFERROR(E2/D2, 0)</f>
        <v>0</v>
      </c>
      <c r="G2" s="6">
        <f>SUM(G4:G88)</f>
        <v>0</v>
      </c>
      <c r="H2" s="8">
        <f>C2-G2</f>
        <v>261274</v>
      </c>
      <c r="I2" s="7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">Sites[Site]</f>
        <v>Hubbardston Solar</v>
      </c>
      <c r="B4" s="28" t="str" cm="1">
        <f t="array" ref="B4">Sites[State]</f>
        <v>MA</v>
      </c>
      <c r="C4" s="23">
        <v>261274</v>
      </c>
      <c r="D4" s="13">
        <v>0</v>
      </c>
      <c r="E4" s="13">
        <f>IF(AND(ISNUMBER(C4),ISNUMBER(D4)), C4-D4, "")</f>
        <v>261274</v>
      </c>
      <c r="F4" s="14" t="str">
        <f>IFERROR(E4/D4, "")</f>
        <v/>
      </c>
      <c r="G4" s="15">
        <v>0</v>
      </c>
      <c r="H4" s="15">
        <f>IF(AND(ISNUMBER(C4),ISNUMBER(G4)), C4-G4, "")</f>
        <v>261274</v>
      </c>
      <c r="I4" s="16" t="str">
        <f>IFERROR(H4/G4, "")</f>
        <v/>
      </c>
      <c r="J4" s="40"/>
      <c r="K4" s="40"/>
    </row>
    <row r="5" spans="1:11" ht="15.6">
      <c r="A5" s="29"/>
      <c r="B5" s="30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1"/>
      <c r="K5" s="42"/>
    </row>
    <row r="6" spans="1:11" ht="12.75" customHeight="1">
      <c r="A6" s="20"/>
      <c r="B6" s="32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2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2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2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2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2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32" priority="3" stopIfTrue="1" operator="lessThanOrEqual">
      <formula>-0.1</formula>
    </cfRule>
    <cfRule type="expression" dxfId="3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0"/>
  <sheetViews>
    <sheetView workbookViewId="0">
      <pane xSplit="2" ySplit="3" topLeftCell="C4" activePane="bottomRight" state="frozen"/>
      <selection pane="bottomRight" activeCell="D23" sqref="D23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26</v>
      </c>
      <c r="E1" s="45"/>
      <c r="F1" s="45"/>
      <c r="G1" s="43" t="s">
        <v>27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272331</v>
      </c>
      <c r="D2" s="6">
        <f>SUM(D4:D88)</f>
        <v>0</v>
      </c>
      <c r="E2" s="6">
        <f>C2-D2</f>
        <v>272331</v>
      </c>
      <c r="F2" s="7">
        <f>IFERROR(E2/D2, 0)</f>
        <v>0</v>
      </c>
      <c r="G2" s="6">
        <f>SUM(G4:G88)</f>
        <v>0</v>
      </c>
      <c r="H2" s="8">
        <f>C2-G2</f>
        <v>272331</v>
      </c>
      <c r="I2" s="7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">Sites[Site]</f>
        <v>Hubbardston Solar</v>
      </c>
      <c r="B4" s="28" t="str" cm="1">
        <f t="array" ref="B4">Sites[State]</f>
        <v>MA</v>
      </c>
      <c r="C4" s="23">
        <v>272331</v>
      </c>
      <c r="D4" s="13">
        <v>0</v>
      </c>
      <c r="E4" s="13">
        <f>IF(AND(ISNUMBER(C4),ISNUMBER(D4)), C4-D4, "")</f>
        <v>272331</v>
      </c>
      <c r="F4" s="14" t="str">
        <f>IFERROR(E4/D4, "")</f>
        <v/>
      </c>
      <c r="G4" s="15">
        <v>0</v>
      </c>
      <c r="H4" s="15">
        <f>IF(AND(ISNUMBER(C4),ISNUMBER(G4)), C4-G4, "")</f>
        <v>272331</v>
      </c>
      <c r="I4" s="16" t="str">
        <f>IFERROR(H4/G4, "")</f>
        <v/>
      </c>
      <c r="J4" s="40"/>
      <c r="K4" s="40"/>
    </row>
    <row r="5" spans="1:11" ht="15.6">
      <c r="A5" s="29"/>
      <c r="B5" s="30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1"/>
      <c r="K5" s="42"/>
    </row>
    <row r="6" spans="1:11" ht="12.75" customHeight="1">
      <c r="A6" s="20"/>
      <c r="B6" s="32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2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2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2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2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2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30" priority="3" stopIfTrue="1" operator="lessThanOrEqual">
      <formula>-0.1</formula>
    </cfRule>
    <cfRule type="expression" dxfId="2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0"/>
  <sheetViews>
    <sheetView workbookViewId="0">
      <pane xSplit="2" ySplit="3" topLeftCell="C4" activePane="bottomRight" state="frozen"/>
      <selection pane="bottomRight" activeCell="D20" sqref="D20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329768</v>
      </c>
      <c r="D2" s="6">
        <f>SUM(D4:D88)</f>
        <v>0</v>
      </c>
      <c r="E2" s="6">
        <f>C2-D2</f>
        <v>329768</v>
      </c>
      <c r="F2" s="7">
        <f>IFERROR(E2/D2, 0)</f>
        <v>0</v>
      </c>
      <c r="G2" s="6">
        <f>SUM(G4:G88)</f>
        <v>0</v>
      </c>
      <c r="H2" s="8">
        <f>C2-G2</f>
        <v>329768</v>
      </c>
      <c r="I2" s="7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">Sites[Site]</f>
        <v>Hubbardston Solar</v>
      </c>
      <c r="B4" s="28" t="str" cm="1">
        <f t="array" ref="B4">Sites[State]</f>
        <v>MA</v>
      </c>
      <c r="C4" s="23">
        <v>329768</v>
      </c>
      <c r="D4" s="13">
        <v>0</v>
      </c>
      <c r="E4" s="13">
        <f>IF(AND(ISNUMBER(C4),ISNUMBER(D4)), C4-D4, "")</f>
        <v>329768</v>
      </c>
      <c r="F4" s="14" t="str">
        <f>IFERROR(E4/D4, "")</f>
        <v/>
      </c>
      <c r="G4" s="15">
        <v>0</v>
      </c>
      <c r="H4" s="15">
        <f>IF(AND(ISNUMBER(C4),ISNUMBER(G4)), C4-G4, "")</f>
        <v>329768</v>
      </c>
      <c r="I4" s="16" t="str">
        <f>IFERROR(H4/G4, "")</f>
        <v/>
      </c>
      <c r="J4" s="40"/>
      <c r="K4" s="40"/>
    </row>
    <row r="5" spans="1:11" ht="15.6">
      <c r="A5" s="29"/>
      <c r="B5" s="30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1"/>
      <c r="K5" s="42"/>
    </row>
    <row r="6" spans="1:11" ht="12.75" customHeight="1">
      <c r="A6" s="20"/>
      <c r="B6" s="32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2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2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2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2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2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8" priority="3" stopIfTrue="1" operator="lessThanOrEqual">
      <formula>-0.1</formula>
    </cfRule>
    <cfRule type="expression" dxfId="2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0"/>
  <sheetViews>
    <sheetView workbookViewId="0">
      <pane xSplit="2" ySplit="3" topLeftCell="C4" activePane="bottomRight" state="frozen"/>
      <selection pane="bottomRight" activeCell="G5" sqref="G5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350560</v>
      </c>
      <c r="D2" s="6">
        <f>SUM(D4:D88)</f>
        <v>0</v>
      </c>
      <c r="E2" s="6">
        <f>C2-D2</f>
        <v>350560</v>
      </c>
      <c r="F2" s="7">
        <f>IFERROR(E2/D2, 0)</f>
        <v>0</v>
      </c>
      <c r="G2" s="6">
        <f>SUM(G4:G88)</f>
        <v>0</v>
      </c>
      <c r="H2" s="8">
        <f>C2-G2</f>
        <v>350560</v>
      </c>
      <c r="I2" s="7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">Sites[Site]</f>
        <v>Hubbardston Solar</v>
      </c>
      <c r="B4" s="28" t="str" cm="1">
        <f t="array" ref="B4">Sites[State]</f>
        <v>MA</v>
      </c>
      <c r="C4" s="23">
        <v>350560</v>
      </c>
      <c r="D4" s="13">
        <v>0</v>
      </c>
      <c r="E4" s="13">
        <f>IF(AND(ISNUMBER(C4),ISNUMBER(D4)), C4-D4, "")</f>
        <v>350560</v>
      </c>
      <c r="F4" s="14" t="str">
        <f>IFERROR(E4/D4, "")</f>
        <v/>
      </c>
      <c r="G4" s="15">
        <v>0</v>
      </c>
      <c r="H4" s="15">
        <f>IF(AND(ISNUMBER(C4),ISNUMBER(G4)), C4-G4, "")</f>
        <v>350560</v>
      </c>
      <c r="I4" s="16" t="str">
        <f>IFERROR(H4/G4, "")</f>
        <v/>
      </c>
      <c r="J4" s="40"/>
      <c r="K4" s="40"/>
    </row>
    <row r="5" spans="1:11" ht="15.6">
      <c r="A5" s="29"/>
      <c r="B5" s="30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1"/>
      <c r="K5" s="42"/>
    </row>
    <row r="6" spans="1:11" ht="12.75" customHeight="1">
      <c r="A6" s="20"/>
      <c r="B6" s="32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2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2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2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2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2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0"/>
  <sheetViews>
    <sheetView tabSelected="1"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273414</v>
      </c>
      <c r="D2" s="6">
        <f>SUM(D4:D88)</f>
        <v>0</v>
      </c>
      <c r="E2" s="6">
        <f>C2-D2</f>
        <v>273414</v>
      </c>
      <c r="F2" s="7">
        <f>IFERROR(E2/D2, 0)</f>
        <v>0</v>
      </c>
      <c r="G2" s="6">
        <f>SUM(G4:G88)</f>
        <v>0</v>
      </c>
      <c r="H2" s="8">
        <f>C2-G2</f>
        <v>273414</v>
      </c>
      <c r="I2" s="7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">Sites[Site]</f>
        <v>Hubbardston Solar</v>
      </c>
      <c r="B4" s="28" t="str" cm="1">
        <f t="array" ref="B4">Sites[State]</f>
        <v>MA</v>
      </c>
      <c r="C4" s="23">
        <v>273414</v>
      </c>
      <c r="D4" s="13">
        <v>0</v>
      </c>
      <c r="E4" s="13">
        <f>IF(AND(ISNUMBER(C4),ISNUMBER(D4)), C4-D4, "")</f>
        <v>273414</v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/>
      <c r="B5" s="30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1"/>
      <c r="K5" s="42"/>
    </row>
    <row r="6" spans="1:11" ht="12.75" customHeight="1">
      <c r="A6" s="20"/>
      <c r="B6" s="32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2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2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2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2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2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88 I4:I88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">Sites[Site]</f>
        <v>Hubbardston Solar</v>
      </c>
      <c r="B4" s="28" t="str" cm="1">
        <f t="array" ref="B4">Sites[State]</f>
        <v>MA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/>
      <c r="B5" s="30"/>
      <c r="C5" s="11"/>
      <c r="D5" s="17"/>
      <c r="E5" s="17" t="str">
        <f t="shared" ref="E5:E17" si="0">IF(AND(ISNUMBER(C5),ISNUMBER(D5)), C5-D5, "")</f>
        <v/>
      </c>
      <c r="F5" s="18" t="str">
        <f>IFERROR(E5/D5, "")</f>
        <v/>
      </c>
      <c r="G5" s="19"/>
      <c r="H5" s="19" t="str">
        <f t="shared" ref="H5:H17" si="1">IF(AND(ISNUMBER(C5),ISNUMBER(G5)), C5-G5, "")</f>
        <v/>
      </c>
      <c r="I5" s="18" t="str">
        <f t="shared" ref="I5:I17" si="2">IFERROR(H5/G5, "")</f>
        <v/>
      </c>
      <c r="J5" s="41"/>
      <c r="K5" s="41"/>
    </row>
    <row r="6" spans="1:11" ht="15.6">
      <c r="A6" s="27"/>
      <c r="B6" s="28"/>
      <c r="C6" s="23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29"/>
      <c r="B7" s="30"/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/>
      <c r="B8" s="28"/>
      <c r="C8" s="23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29"/>
      <c r="B9" s="30"/>
      <c r="C9" s="11"/>
      <c r="D9" s="17"/>
      <c r="E9" s="17" t="str">
        <f t="shared" si="0"/>
        <v/>
      </c>
      <c r="F9" s="18" t="str">
        <f t="shared" si="3"/>
        <v/>
      </c>
      <c r="G9" s="19"/>
      <c r="H9" s="19" t="str">
        <f t="shared" si="1"/>
        <v/>
      </c>
      <c r="I9" s="18" t="str">
        <f t="shared" si="2"/>
        <v/>
      </c>
      <c r="J9" s="41"/>
      <c r="K9" s="42"/>
    </row>
    <row r="10" spans="1:11" ht="15.6">
      <c r="A10" s="27"/>
      <c r="B10" s="28"/>
      <c r="C10" s="23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29"/>
      <c r="B11" s="30"/>
      <c r="C11" s="11"/>
      <c r="D11" s="17"/>
      <c r="E11" s="17" t="str">
        <f t="shared" si="0"/>
        <v/>
      </c>
      <c r="F11" s="18" t="str">
        <f t="shared" si="3"/>
        <v/>
      </c>
      <c r="G11" s="19"/>
      <c r="H11" s="19" t="str">
        <f t="shared" si="1"/>
        <v/>
      </c>
      <c r="I11" s="18" t="str">
        <f t="shared" si="2"/>
        <v/>
      </c>
      <c r="J11" s="41"/>
      <c r="K11" s="42"/>
    </row>
    <row r="12" spans="1:11" ht="15.6">
      <c r="A12" s="27"/>
      <c r="B12" s="28"/>
      <c r="C12" s="23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29"/>
      <c r="B13" s="30"/>
      <c r="C13" s="11"/>
      <c r="D13" s="17"/>
      <c r="E13" s="17" t="str">
        <f t="shared" si="0"/>
        <v/>
      </c>
      <c r="F13" s="18" t="str">
        <f t="shared" si="3"/>
        <v/>
      </c>
      <c r="G13" s="19"/>
      <c r="H13" s="19" t="str">
        <f t="shared" si="1"/>
        <v/>
      </c>
      <c r="I13" s="18" t="str">
        <f t="shared" si="2"/>
        <v/>
      </c>
      <c r="J13" s="41"/>
      <c r="K13" s="42"/>
    </row>
    <row r="14" spans="1:11" ht="15.6">
      <c r="A14" s="27"/>
      <c r="B14" s="28"/>
      <c r="C14" s="23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29"/>
      <c r="B15" s="30"/>
      <c r="C15" s="11"/>
      <c r="D15" s="17"/>
      <c r="E15" s="17" t="str">
        <f t="shared" si="0"/>
        <v/>
      </c>
      <c r="F15" s="18" t="str">
        <f t="shared" si="3"/>
        <v/>
      </c>
      <c r="G15" s="19"/>
      <c r="H15" s="19" t="str">
        <f t="shared" si="1"/>
        <v/>
      </c>
      <c r="I15" s="18" t="str">
        <f t="shared" si="2"/>
        <v/>
      </c>
      <c r="J15" s="41"/>
      <c r="K15" s="42"/>
    </row>
    <row r="16" spans="1:11" ht="15.6">
      <c r="A16" s="27"/>
      <c r="B16" s="28"/>
      <c r="C16" s="23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29"/>
      <c r="B17" s="30"/>
      <c r="C17" s="11"/>
      <c r="D17" s="17"/>
      <c r="E17" s="17" t="str">
        <f t="shared" si="0"/>
        <v/>
      </c>
      <c r="F17" s="18" t="str">
        <f t="shared" si="3"/>
        <v/>
      </c>
      <c r="G17" s="19"/>
      <c r="H17" s="19" t="str">
        <f t="shared" si="1"/>
        <v/>
      </c>
      <c r="I17" s="18" t="str">
        <f t="shared" si="2"/>
        <v/>
      </c>
      <c r="J17" s="41"/>
      <c r="K17" s="42"/>
    </row>
    <row r="18" spans="1:11" ht="12.75" customHeight="1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0"/>
      <c r="G21" s="20"/>
      <c r="H21" s="20"/>
      <c r="I21" s="20"/>
      <c r="J21" s="20"/>
      <c r="K21" s="20"/>
    </row>
    <row r="22" spans="1:11" ht="14.45">
      <c r="A22" s="20"/>
      <c r="B22" s="32"/>
      <c r="C22" s="20"/>
      <c r="D22" s="20"/>
      <c r="E22" s="20"/>
      <c r="F22" s="20"/>
      <c r="G22" s="20"/>
      <c r="H22" s="20"/>
      <c r="I22" s="20"/>
      <c r="J22" s="20"/>
      <c r="K22" s="20"/>
    </row>
    <row r="23" spans="1:11" ht="14.45">
      <c r="A23" s="20"/>
      <c r="B23" s="32"/>
      <c r="C23" s="20"/>
      <c r="D23" s="20"/>
      <c r="E23" s="20"/>
      <c r="F23" s="20"/>
      <c r="G23" s="20"/>
      <c r="H23" s="20"/>
      <c r="I23" s="20"/>
      <c r="J23" s="20"/>
      <c r="K23" s="20"/>
    </row>
    <row r="24" spans="1:11" ht="14.45">
      <c r="A24" s="20"/>
      <c r="B24" s="32"/>
      <c r="C24" s="20"/>
      <c r="D24" s="20"/>
      <c r="E24" s="20"/>
      <c r="F24" s="20"/>
      <c r="G24" s="20"/>
      <c r="H24" s="20"/>
      <c r="I24" s="20"/>
      <c r="J24" s="20"/>
      <c r="K24" s="20"/>
    </row>
    <row r="25" spans="1:11" ht="14.45">
      <c r="A25" s="20"/>
      <c r="B25" s="32"/>
      <c r="C25" s="20"/>
      <c r="D25" s="20"/>
      <c r="E25" s="20"/>
      <c r="F25" s="20"/>
      <c r="G25" s="20"/>
      <c r="H25" s="20"/>
      <c r="I25" s="20"/>
      <c r="J25" s="20"/>
      <c r="K25" s="20"/>
    </row>
    <row r="26" spans="1:11" ht="14.45">
      <c r="A26" s="20"/>
      <c r="B26" s="32"/>
      <c r="C26" s="20"/>
      <c r="D26" s="20"/>
      <c r="E26" s="20"/>
      <c r="F26" s="20"/>
      <c r="G26" s="20"/>
      <c r="H26" s="20"/>
      <c r="I26" s="20"/>
      <c r="J26" s="20"/>
      <c r="K26" s="20"/>
    </row>
    <row r="27" spans="1:11" ht="14.45">
      <c r="A27" s="20"/>
      <c r="B27" s="32"/>
      <c r="C27" s="20"/>
      <c r="D27" s="20"/>
      <c r="E27" s="20"/>
      <c r="F27" s="20"/>
      <c r="G27" s="20"/>
      <c r="H27" s="20"/>
      <c r="I27" s="20"/>
      <c r="J27" s="20"/>
      <c r="K27" s="20"/>
    </row>
    <row r="28" spans="1:11" ht="14.45">
      <c r="A28" s="20"/>
      <c r="B28" s="32"/>
      <c r="C28" s="20"/>
      <c r="D28" s="20"/>
      <c r="E28" s="20"/>
      <c r="F28" s="20"/>
      <c r="G28" s="20"/>
      <c r="H28" s="20"/>
      <c r="I28" s="20"/>
      <c r="J28" s="20"/>
      <c r="K28" s="20"/>
    </row>
    <row r="29" spans="1:11" ht="14.45">
      <c r="A29" s="20"/>
      <c r="B29" s="32"/>
      <c r="C29" s="20"/>
      <c r="D29" s="20"/>
      <c r="E29" s="20"/>
      <c r="F29" s="20"/>
      <c r="G29" s="20"/>
      <c r="H29" s="20"/>
      <c r="I29" s="20"/>
      <c r="J29" s="20"/>
      <c r="K29" s="20"/>
    </row>
    <row r="30" spans="1:11" ht="14.45">
      <c r="A30" s="20"/>
      <c r="B30" s="32"/>
      <c r="C30" s="20"/>
      <c r="D30" s="20"/>
      <c r="E30" s="20"/>
      <c r="F30" s="20"/>
      <c r="G30" s="20"/>
      <c r="H30" s="20"/>
      <c r="I30" s="20"/>
      <c r="J30" s="20"/>
      <c r="K30" s="20"/>
    </row>
    <row r="31" spans="1:11" ht="14.45">
      <c r="A31" s="20"/>
      <c r="B31" s="32"/>
      <c r="C31" s="20"/>
      <c r="D31" s="20"/>
      <c r="E31" s="20"/>
      <c r="F31" s="20"/>
      <c r="G31" s="20"/>
      <c r="H31" s="20"/>
      <c r="I31" s="20"/>
      <c r="J31" s="20"/>
      <c r="K31" s="20"/>
    </row>
    <row r="32" spans="1:11" ht="14.45">
      <c r="A32" s="20"/>
      <c r="B32" s="32"/>
      <c r="C32" s="20"/>
      <c r="D32" s="20"/>
      <c r="E32" s="20"/>
      <c r="F32" s="20"/>
      <c r="G32" s="20"/>
      <c r="H32" s="20"/>
      <c r="I32" s="20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A330" s="20"/>
      <c r="B330" s="32"/>
      <c r="C330" s="20"/>
      <c r="D330" s="20"/>
      <c r="E330" s="20"/>
      <c r="F330" s="21"/>
      <c r="G330" s="20"/>
      <c r="H330" s="20"/>
      <c r="I330" s="21"/>
      <c r="J330" s="20"/>
      <c r="K330" s="20"/>
    </row>
    <row r="331" spans="1:11" ht="14.45">
      <c r="A331" s="20"/>
      <c r="B331" s="32"/>
      <c r="C331" s="20"/>
      <c r="D331" s="20"/>
      <c r="E331" s="20"/>
      <c r="F331" s="21"/>
      <c r="G331" s="20"/>
      <c r="H331" s="20"/>
      <c r="I331" s="21"/>
      <c r="J331" s="20"/>
      <c r="K331" s="20"/>
    </row>
    <row r="332" spans="1:11" ht="14.45">
      <c r="A332" s="20"/>
      <c r="B332" s="32"/>
      <c r="C332" s="20"/>
      <c r="D332" s="20"/>
      <c r="E332" s="20"/>
      <c r="F332" s="21"/>
      <c r="G332" s="20"/>
      <c r="H332" s="20"/>
      <c r="I332" s="21"/>
      <c r="J332" s="20"/>
      <c r="K332" s="20"/>
    </row>
    <row r="333" spans="1:11" ht="14.45">
      <c r="A333" s="20"/>
      <c r="B333" s="32"/>
      <c r="C333" s="20"/>
      <c r="D333" s="20"/>
      <c r="E333" s="20"/>
      <c r="F333" s="21"/>
      <c r="G333" s="20"/>
      <c r="H333" s="20"/>
      <c r="I333" s="21"/>
      <c r="J333" s="20"/>
      <c r="K333" s="20"/>
    </row>
    <row r="334" spans="1:11" ht="14.45">
      <c r="A334" s="20"/>
      <c r="B334" s="32"/>
      <c r="C334" s="20"/>
      <c r="D334" s="20"/>
      <c r="E334" s="20"/>
      <c r="F334" s="21"/>
      <c r="G334" s="20"/>
      <c r="H334" s="20"/>
      <c r="I334" s="21"/>
      <c r="J334" s="20"/>
      <c r="K334" s="20"/>
    </row>
    <row r="335" spans="1:11" ht="14.45">
      <c r="A335" s="20"/>
      <c r="B335" s="32"/>
      <c r="C335" s="20"/>
      <c r="D335" s="20"/>
      <c r="E335" s="20"/>
      <c r="F335" s="21"/>
      <c r="G335" s="20"/>
      <c r="H335" s="20"/>
      <c r="I335" s="21"/>
      <c r="J335" s="20"/>
      <c r="K335" s="20"/>
    </row>
    <row r="336" spans="1:11" ht="14.45">
      <c r="A336" s="20"/>
      <c r="B336" s="32"/>
      <c r="C336" s="20"/>
      <c r="D336" s="20"/>
      <c r="E336" s="20"/>
      <c r="F336" s="21"/>
      <c r="G336" s="20"/>
      <c r="H336" s="20"/>
      <c r="I336" s="21"/>
      <c r="J336" s="20"/>
      <c r="K336" s="20"/>
    </row>
    <row r="337" spans="1:11" ht="14.45">
      <c r="A337" s="20"/>
      <c r="B337" s="32"/>
      <c r="C337" s="20"/>
      <c r="D337" s="20"/>
      <c r="E337" s="20"/>
      <c r="F337" s="21"/>
      <c r="G337" s="20"/>
      <c r="H337" s="20"/>
      <c r="I337" s="21"/>
      <c r="J337" s="20"/>
      <c r="K337" s="20"/>
    </row>
    <row r="338" spans="1:11" ht="14.45">
      <c r="A338" s="20"/>
      <c r="B338" s="32"/>
      <c r="C338" s="20"/>
      <c r="D338" s="20"/>
      <c r="E338" s="20"/>
      <c r="F338" s="21"/>
      <c r="G338" s="20"/>
      <c r="H338" s="20"/>
      <c r="I338" s="21"/>
      <c r="J338" s="20"/>
      <c r="K338" s="20"/>
    </row>
    <row r="339" spans="1:11" ht="14.45">
      <c r="A339" s="20"/>
      <c r="B339" s="32"/>
      <c r="C339" s="20"/>
      <c r="D339" s="20"/>
      <c r="E339" s="20"/>
      <c r="F339" s="21"/>
      <c r="G339" s="20"/>
      <c r="H339" s="20"/>
      <c r="I339" s="21"/>
      <c r="J339" s="20"/>
      <c r="K339" s="20"/>
    </row>
    <row r="340" spans="1:11" ht="14.45">
      <c r="A340" s="20"/>
      <c r="B340" s="32"/>
      <c r="C340" s="20"/>
      <c r="D340" s="20"/>
      <c r="E340" s="20"/>
      <c r="F340" s="21"/>
      <c r="G340" s="20"/>
      <c r="H340" s="20"/>
      <c r="I340" s="21"/>
      <c r="J340" s="20"/>
      <c r="K340" s="20"/>
    </row>
    <row r="341" spans="1:11" ht="14.45">
      <c r="A341" s="20"/>
      <c r="B341" s="32"/>
      <c r="C341" s="20"/>
      <c r="D341" s="20"/>
      <c r="E341" s="20"/>
      <c r="F341" s="21"/>
      <c r="G341" s="20"/>
      <c r="H341" s="20"/>
      <c r="I341" s="21"/>
      <c r="J341" s="20"/>
      <c r="K341" s="20"/>
    </row>
    <row r="342" spans="1:11" ht="14.45">
      <c r="C342" s="20"/>
      <c r="D342" s="20"/>
      <c r="E342" s="20"/>
      <c r="F342" s="21"/>
      <c r="G342" s="20"/>
      <c r="H342" s="20"/>
      <c r="I342" s="21"/>
      <c r="J342" s="20"/>
      <c r="K342" s="20"/>
    </row>
  </sheetData>
  <mergeCells count="4">
    <mergeCell ref="G1:I1"/>
    <mergeCell ref="A1:C1"/>
    <mergeCell ref="D1:F1"/>
    <mergeCell ref="A2:B2"/>
  </mergeCells>
  <conditionalFormatting sqref="F2 I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conditionalFormatting sqref="F4:F100 I4:I100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">Sites[Site]</f>
        <v>Hubbardston Solar</v>
      </c>
      <c r="B4" s="28" t="str" cm="1">
        <f t="array" ref="B4">Sites[State]</f>
        <v>MA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/>
      <c r="B5" s="30"/>
      <c r="C5" s="11"/>
      <c r="D5" s="17"/>
      <c r="E5" s="17" t="str">
        <f t="shared" ref="E5:E17" si="0">IF(AND(ISNUMBER(C5),ISNUMBER(D5)), C5-D5, "")</f>
        <v/>
      </c>
      <c r="F5" s="18" t="str">
        <f>IFERROR(E5/D5, "")</f>
        <v/>
      </c>
      <c r="G5" s="19"/>
      <c r="H5" s="19" t="str">
        <f t="shared" ref="H5:H17" si="1">IF(AND(ISNUMBER(C5),ISNUMBER(G5)), C5-G5, "")</f>
        <v/>
      </c>
      <c r="I5" s="18" t="str">
        <f t="shared" ref="I5:I17" si="2">IFERROR(H5/G5, "")</f>
        <v/>
      </c>
      <c r="J5" s="41"/>
      <c r="K5" s="41"/>
    </row>
    <row r="6" spans="1:11" ht="15.6">
      <c r="A6" s="27"/>
      <c r="B6" s="28"/>
      <c r="C6" s="23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29"/>
      <c r="B7" s="30"/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/>
      <c r="B8" s="28"/>
      <c r="C8" s="23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29"/>
      <c r="B9" s="30"/>
      <c r="C9" s="11"/>
      <c r="D9" s="17"/>
      <c r="E9" s="17" t="str">
        <f t="shared" si="0"/>
        <v/>
      </c>
      <c r="F9" s="18" t="str">
        <f t="shared" si="3"/>
        <v/>
      </c>
      <c r="G9" s="19"/>
      <c r="H9" s="19" t="str">
        <f t="shared" si="1"/>
        <v/>
      </c>
      <c r="I9" s="18" t="str">
        <f t="shared" si="2"/>
        <v/>
      </c>
      <c r="J9" s="41"/>
      <c r="K9" s="42"/>
    </row>
    <row r="10" spans="1:11" ht="15.6">
      <c r="A10" s="27"/>
      <c r="B10" s="28"/>
      <c r="C10" s="23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29"/>
      <c r="B11" s="30"/>
      <c r="C11" s="11"/>
      <c r="D11" s="17"/>
      <c r="E11" s="17" t="str">
        <f t="shared" si="0"/>
        <v/>
      </c>
      <c r="F11" s="18" t="str">
        <f t="shared" si="3"/>
        <v/>
      </c>
      <c r="G11" s="19"/>
      <c r="H11" s="19" t="str">
        <f t="shared" si="1"/>
        <v/>
      </c>
      <c r="I11" s="18" t="str">
        <f t="shared" si="2"/>
        <v/>
      </c>
      <c r="J11" s="41"/>
      <c r="K11" s="42"/>
    </row>
    <row r="12" spans="1:11" ht="15.6">
      <c r="A12" s="27"/>
      <c r="B12" s="28"/>
      <c r="C12" s="23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29"/>
      <c r="B13" s="30"/>
      <c r="C13" s="11"/>
      <c r="D13" s="17"/>
      <c r="E13" s="17" t="str">
        <f t="shared" si="0"/>
        <v/>
      </c>
      <c r="F13" s="18" t="str">
        <f t="shared" si="3"/>
        <v/>
      </c>
      <c r="G13" s="19"/>
      <c r="H13" s="19" t="str">
        <f t="shared" si="1"/>
        <v/>
      </c>
      <c r="I13" s="18" t="str">
        <f t="shared" si="2"/>
        <v/>
      </c>
      <c r="J13" s="41"/>
      <c r="K13" s="42"/>
    </row>
    <row r="14" spans="1:11" ht="15.6">
      <c r="A14" s="27"/>
      <c r="B14" s="28"/>
      <c r="C14" s="23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29"/>
      <c r="B15" s="30"/>
      <c r="C15" s="11"/>
      <c r="D15" s="17"/>
      <c r="E15" s="17" t="str">
        <f t="shared" si="0"/>
        <v/>
      </c>
      <c r="F15" s="18" t="str">
        <f t="shared" si="3"/>
        <v/>
      </c>
      <c r="G15" s="19"/>
      <c r="H15" s="19" t="str">
        <f t="shared" si="1"/>
        <v/>
      </c>
      <c r="I15" s="18" t="str">
        <f t="shared" si="2"/>
        <v/>
      </c>
      <c r="J15" s="41"/>
      <c r="K15" s="42"/>
    </row>
    <row r="16" spans="1:11" ht="15.6">
      <c r="A16" s="27"/>
      <c r="B16" s="28"/>
      <c r="C16" s="23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29"/>
      <c r="B17" s="30"/>
      <c r="C17" s="11"/>
      <c r="D17" s="17"/>
      <c r="E17" s="17" t="str">
        <f t="shared" si="0"/>
        <v/>
      </c>
      <c r="F17" s="18" t="str">
        <f t="shared" si="3"/>
        <v/>
      </c>
      <c r="G17" s="19"/>
      <c r="H17" s="19" t="str">
        <f t="shared" si="1"/>
        <v/>
      </c>
      <c r="I17" s="18" t="str">
        <f t="shared" si="2"/>
        <v/>
      </c>
      <c r="J17" s="41"/>
      <c r="K17" s="42"/>
    </row>
    <row r="18" spans="1:11" ht="12.75" customHeight="1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0"/>
      <c r="G21" s="20"/>
      <c r="H21" s="20"/>
      <c r="I21" s="20"/>
      <c r="J21" s="20"/>
      <c r="K21" s="20"/>
    </row>
    <row r="22" spans="1:11" ht="14.45">
      <c r="A22" s="20"/>
      <c r="B22" s="32"/>
      <c r="C22" s="20"/>
      <c r="D22" s="20"/>
      <c r="E22" s="20"/>
      <c r="F22" s="20"/>
      <c r="G22" s="20"/>
      <c r="H22" s="20"/>
      <c r="I22" s="20"/>
      <c r="J22" s="20"/>
      <c r="K22" s="20"/>
    </row>
    <row r="23" spans="1:11" ht="14.45">
      <c r="A23" s="20"/>
      <c r="B23" s="32"/>
      <c r="C23" s="20"/>
      <c r="D23" s="20"/>
      <c r="E23" s="20"/>
      <c r="F23" s="20"/>
      <c r="G23" s="20"/>
      <c r="H23" s="20"/>
      <c r="I23" s="20"/>
      <c r="J23" s="20"/>
      <c r="K23" s="20"/>
    </row>
    <row r="24" spans="1:11" ht="14.45">
      <c r="A24" s="20"/>
      <c r="B24" s="32"/>
      <c r="C24" s="20"/>
      <c r="D24" s="20"/>
      <c r="E24" s="20"/>
      <c r="F24" s="20"/>
      <c r="G24" s="20"/>
      <c r="H24" s="20"/>
      <c r="I24" s="20"/>
      <c r="J24" s="20"/>
      <c r="K24" s="20"/>
    </row>
    <row r="25" spans="1:11" ht="14.45">
      <c r="A25" s="20"/>
      <c r="B25" s="32"/>
      <c r="C25" s="20"/>
      <c r="D25" s="20"/>
      <c r="E25" s="20"/>
      <c r="F25" s="20"/>
      <c r="G25" s="20"/>
      <c r="H25" s="20"/>
      <c r="I25" s="20"/>
      <c r="J25" s="20"/>
      <c r="K25" s="20"/>
    </row>
    <row r="26" spans="1:11" ht="14.45">
      <c r="A26" s="20"/>
      <c r="B26" s="32"/>
      <c r="C26" s="20"/>
      <c r="D26" s="20"/>
      <c r="E26" s="20"/>
      <c r="F26" s="20"/>
      <c r="G26" s="20"/>
      <c r="H26" s="20"/>
      <c r="I26" s="20"/>
      <c r="J26" s="20"/>
      <c r="K26" s="20"/>
    </row>
    <row r="27" spans="1:11" ht="14.45">
      <c r="A27" s="20"/>
      <c r="B27" s="32"/>
      <c r="C27" s="20"/>
      <c r="D27" s="20"/>
      <c r="E27" s="20"/>
      <c r="F27" s="20"/>
      <c r="G27" s="20"/>
      <c r="H27" s="20"/>
      <c r="I27" s="20"/>
      <c r="J27" s="20"/>
      <c r="K27" s="20"/>
    </row>
    <row r="28" spans="1:11" ht="14.45">
      <c r="A28" s="20"/>
      <c r="B28" s="32"/>
      <c r="C28" s="20"/>
      <c r="D28" s="20"/>
      <c r="E28" s="20"/>
      <c r="F28" s="20"/>
      <c r="G28" s="20"/>
      <c r="H28" s="20"/>
      <c r="I28" s="20"/>
      <c r="J28" s="20"/>
      <c r="K28" s="20"/>
    </row>
    <row r="29" spans="1:11" ht="14.45">
      <c r="A29" s="20"/>
      <c r="B29" s="32"/>
      <c r="C29" s="20"/>
      <c r="D29" s="20"/>
      <c r="E29" s="20"/>
      <c r="F29" s="20"/>
      <c r="G29" s="20"/>
      <c r="H29" s="20"/>
      <c r="I29" s="20"/>
      <c r="J29" s="20"/>
      <c r="K29" s="20"/>
    </row>
    <row r="30" spans="1:11" ht="14.45">
      <c r="A30" s="20"/>
      <c r="B30" s="32"/>
      <c r="C30" s="20"/>
      <c r="D30" s="20"/>
      <c r="E30" s="20"/>
      <c r="F30" s="20"/>
      <c r="G30" s="20"/>
      <c r="H30" s="20"/>
      <c r="I30" s="20"/>
      <c r="J30" s="20"/>
      <c r="K30" s="20"/>
    </row>
    <row r="31" spans="1:11" ht="14.45">
      <c r="A31" s="20"/>
      <c r="B31" s="32"/>
      <c r="C31" s="20"/>
      <c r="D31" s="20"/>
      <c r="E31" s="20"/>
      <c r="F31" s="20"/>
      <c r="G31" s="20"/>
      <c r="H31" s="20"/>
      <c r="I31" s="20"/>
      <c r="J31" s="20"/>
      <c r="K31" s="20"/>
    </row>
    <row r="32" spans="1:11" ht="14.45">
      <c r="A32" s="20"/>
      <c r="B32" s="32"/>
      <c r="C32" s="20"/>
      <c r="D32" s="20"/>
      <c r="E32" s="20"/>
      <c r="F32" s="20"/>
      <c r="G32" s="20"/>
      <c r="H32" s="20"/>
      <c r="I32" s="20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A330" s="20"/>
      <c r="B330" s="32"/>
      <c r="C330" s="20"/>
      <c r="D330" s="20"/>
      <c r="E330" s="20"/>
      <c r="F330" s="21"/>
      <c r="G330" s="20"/>
      <c r="H330" s="20"/>
      <c r="I330" s="21"/>
      <c r="J330" s="20"/>
      <c r="K330" s="20"/>
    </row>
    <row r="331" spans="1:11" ht="14.45">
      <c r="A331" s="20"/>
      <c r="B331" s="32"/>
      <c r="C331" s="20"/>
      <c r="D331" s="20"/>
      <c r="E331" s="20"/>
      <c r="F331" s="21"/>
      <c r="G331" s="20"/>
      <c r="H331" s="20"/>
      <c r="I331" s="21"/>
      <c r="J331" s="20"/>
      <c r="K331" s="20"/>
    </row>
    <row r="332" spans="1:11" ht="14.45">
      <c r="A332" s="20"/>
      <c r="B332" s="32"/>
      <c r="C332" s="20"/>
      <c r="D332" s="20"/>
      <c r="E332" s="20"/>
      <c r="F332" s="21"/>
      <c r="G332" s="20"/>
      <c r="H332" s="20"/>
      <c r="I332" s="21"/>
      <c r="J332" s="20"/>
      <c r="K332" s="20"/>
    </row>
    <row r="333" spans="1:11" ht="14.45">
      <c r="A333" s="20"/>
      <c r="B333" s="32"/>
      <c r="C333" s="20"/>
      <c r="D333" s="20"/>
      <c r="E333" s="20"/>
      <c r="F333" s="21"/>
      <c r="G333" s="20"/>
      <c r="H333" s="20"/>
      <c r="I333" s="21"/>
      <c r="J333" s="20"/>
      <c r="K333" s="20"/>
    </row>
    <row r="334" spans="1:11" ht="14.45">
      <c r="A334" s="20"/>
      <c r="B334" s="32"/>
      <c r="C334" s="20"/>
      <c r="D334" s="20"/>
      <c r="E334" s="20"/>
      <c r="F334" s="21"/>
      <c r="G334" s="20"/>
      <c r="H334" s="20"/>
      <c r="I334" s="21"/>
      <c r="J334" s="20"/>
      <c r="K334" s="20"/>
    </row>
    <row r="335" spans="1:11" ht="14.45">
      <c r="A335" s="20"/>
      <c r="B335" s="32"/>
      <c r="C335" s="20"/>
      <c r="D335" s="20"/>
      <c r="E335" s="20"/>
      <c r="F335" s="21"/>
      <c r="G335" s="20"/>
      <c r="H335" s="20"/>
      <c r="I335" s="21"/>
      <c r="J335" s="20"/>
      <c r="K335" s="20"/>
    </row>
    <row r="336" spans="1:11" ht="14.45">
      <c r="A336" s="20"/>
      <c r="B336" s="32"/>
      <c r="C336" s="20"/>
      <c r="D336" s="20"/>
      <c r="E336" s="20"/>
      <c r="F336" s="21"/>
      <c r="G336" s="20"/>
      <c r="H336" s="20"/>
      <c r="I336" s="21"/>
      <c r="J336" s="20"/>
      <c r="K336" s="20"/>
    </row>
    <row r="337" spans="1:11" ht="14.45">
      <c r="A337" s="20"/>
      <c r="B337" s="32"/>
      <c r="C337" s="20"/>
      <c r="D337" s="20"/>
      <c r="E337" s="20"/>
      <c r="F337" s="21"/>
      <c r="G337" s="20"/>
      <c r="H337" s="20"/>
      <c r="I337" s="21"/>
      <c r="J337" s="20"/>
      <c r="K337" s="20"/>
    </row>
    <row r="338" spans="1:11" ht="14.45">
      <c r="A338" s="20"/>
      <c r="B338" s="32"/>
      <c r="C338" s="20"/>
      <c r="D338" s="20"/>
      <c r="E338" s="20"/>
      <c r="F338" s="21"/>
      <c r="G338" s="20"/>
      <c r="H338" s="20"/>
      <c r="I338" s="21"/>
      <c r="J338" s="20"/>
      <c r="K338" s="20"/>
    </row>
    <row r="339" spans="1:11" ht="14.45">
      <c r="A339" s="20"/>
      <c r="B339" s="32"/>
      <c r="C339" s="20"/>
      <c r="D339" s="20"/>
      <c r="E339" s="20"/>
      <c r="F339" s="21"/>
      <c r="G339" s="20"/>
      <c r="H339" s="20"/>
      <c r="I339" s="21"/>
      <c r="J339" s="20"/>
      <c r="K339" s="20"/>
    </row>
    <row r="340" spans="1:11" ht="14.45">
      <c r="A340" s="20"/>
      <c r="B340" s="32"/>
      <c r="C340" s="20"/>
      <c r="D340" s="20"/>
      <c r="E340" s="20"/>
      <c r="F340" s="21"/>
      <c r="G340" s="20"/>
      <c r="H340" s="20"/>
      <c r="I340" s="21"/>
      <c r="J340" s="20"/>
      <c r="K340" s="20"/>
    </row>
    <row r="341" spans="1:11" ht="14.45">
      <c r="A341" s="20"/>
      <c r="B341" s="32"/>
      <c r="C341" s="20"/>
      <c r="D341" s="20"/>
      <c r="E341" s="20"/>
      <c r="F341" s="21"/>
      <c r="G341" s="20"/>
      <c r="H341" s="20"/>
      <c r="I341" s="21"/>
      <c r="J341" s="20"/>
      <c r="K341" s="20"/>
    </row>
    <row r="342" spans="1:11" ht="14.45">
      <c r="C342" s="20"/>
      <c r="D342" s="20"/>
      <c r="E342" s="20"/>
      <c r="F342" s="21"/>
      <c r="G342" s="20"/>
      <c r="H342" s="20"/>
      <c r="I342" s="21"/>
      <c r="J342" s="20"/>
      <c r="K342" s="20"/>
    </row>
  </sheetData>
  <mergeCells count="4">
    <mergeCell ref="G1:I1"/>
    <mergeCell ref="A1:C1"/>
    <mergeCell ref="D1:F1"/>
    <mergeCell ref="A2:B2"/>
  </mergeCells>
  <conditionalFormatting sqref="F2 I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conditionalFormatting sqref="F4:F100 I4:I100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">Sites[Site]</f>
        <v>Hubbardston Solar</v>
      </c>
      <c r="B4" s="28" t="str" cm="1">
        <f t="array" ref="B4">Sites[State]</f>
        <v>MA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/>
      <c r="B5" s="30"/>
      <c r="C5" s="11"/>
      <c r="D5" s="17"/>
      <c r="E5" s="17" t="str">
        <f t="shared" ref="E5:E17" si="0">IF(AND(ISNUMBER(C5),ISNUMBER(D5)), C5-D5, "")</f>
        <v/>
      </c>
      <c r="F5" s="18" t="str">
        <f>IFERROR(E5/D5, "")</f>
        <v/>
      </c>
      <c r="G5" s="19"/>
      <c r="H5" s="19" t="str">
        <f t="shared" ref="H5:H17" si="1">IF(AND(ISNUMBER(C5),ISNUMBER(G5)), C5-G5, "")</f>
        <v/>
      </c>
      <c r="I5" s="18" t="str">
        <f t="shared" ref="I5:I17" si="2">IFERROR(H5/G5, "")</f>
        <v/>
      </c>
      <c r="J5" s="41"/>
      <c r="K5" s="41"/>
    </row>
    <row r="6" spans="1:11" ht="15.6">
      <c r="A6" s="27"/>
      <c r="B6" s="28"/>
      <c r="C6" s="23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29"/>
      <c r="B7" s="30"/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/>
      <c r="B8" s="28"/>
      <c r="C8" s="23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29"/>
      <c r="B9" s="30"/>
      <c r="C9" s="11"/>
      <c r="D9" s="17"/>
      <c r="E9" s="17" t="str">
        <f t="shared" si="0"/>
        <v/>
      </c>
      <c r="F9" s="18" t="str">
        <f t="shared" si="3"/>
        <v/>
      </c>
      <c r="G9" s="19"/>
      <c r="H9" s="19" t="str">
        <f t="shared" si="1"/>
        <v/>
      </c>
      <c r="I9" s="18" t="str">
        <f t="shared" si="2"/>
        <v/>
      </c>
      <c r="J9" s="41"/>
      <c r="K9" s="42"/>
    </row>
    <row r="10" spans="1:11" ht="15.6">
      <c r="A10" s="27"/>
      <c r="B10" s="28"/>
      <c r="C10" s="23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29"/>
      <c r="B11" s="30"/>
      <c r="C11" s="11"/>
      <c r="D11" s="17"/>
      <c r="E11" s="17" t="str">
        <f t="shared" si="0"/>
        <v/>
      </c>
      <c r="F11" s="18" t="str">
        <f t="shared" si="3"/>
        <v/>
      </c>
      <c r="G11" s="19"/>
      <c r="H11" s="19" t="str">
        <f t="shared" si="1"/>
        <v/>
      </c>
      <c r="I11" s="18" t="str">
        <f t="shared" si="2"/>
        <v/>
      </c>
      <c r="J11" s="41"/>
      <c r="K11" s="42"/>
    </row>
    <row r="12" spans="1:11" ht="15.6">
      <c r="A12" s="27"/>
      <c r="B12" s="28"/>
      <c r="C12" s="23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29"/>
      <c r="B13" s="30"/>
      <c r="C13" s="11"/>
      <c r="D13" s="17"/>
      <c r="E13" s="17" t="str">
        <f t="shared" si="0"/>
        <v/>
      </c>
      <c r="F13" s="18" t="str">
        <f t="shared" si="3"/>
        <v/>
      </c>
      <c r="G13" s="19"/>
      <c r="H13" s="19" t="str">
        <f t="shared" si="1"/>
        <v/>
      </c>
      <c r="I13" s="18" t="str">
        <f t="shared" si="2"/>
        <v/>
      </c>
      <c r="J13" s="41"/>
      <c r="K13" s="42"/>
    </row>
    <row r="14" spans="1:11" ht="15.6">
      <c r="A14" s="27"/>
      <c r="B14" s="28"/>
      <c r="C14" s="23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29"/>
      <c r="B15" s="30"/>
      <c r="C15" s="11"/>
      <c r="D15" s="17"/>
      <c r="E15" s="17" t="str">
        <f t="shared" si="0"/>
        <v/>
      </c>
      <c r="F15" s="18" t="str">
        <f t="shared" si="3"/>
        <v/>
      </c>
      <c r="G15" s="19"/>
      <c r="H15" s="19" t="str">
        <f t="shared" si="1"/>
        <v/>
      </c>
      <c r="I15" s="18" t="str">
        <f t="shared" si="2"/>
        <v/>
      </c>
      <c r="J15" s="41"/>
      <c r="K15" s="42"/>
    </row>
    <row r="16" spans="1:11" ht="15.6">
      <c r="A16" s="27"/>
      <c r="B16" s="28"/>
      <c r="C16" s="23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29"/>
      <c r="B17" s="30"/>
      <c r="C17" s="11"/>
      <c r="D17" s="17"/>
      <c r="E17" s="17" t="str">
        <f t="shared" si="0"/>
        <v/>
      </c>
      <c r="F17" s="18" t="str">
        <f t="shared" si="3"/>
        <v/>
      </c>
      <c r="G17" s="19"/>
      <c r="H17" s="19" t="str">
        <f t="shared" si="1"/>
        <v/>
      </c>
      <c r="I17" s="18" t="str">
        <f t="shared" si="2"/>
        <v/>
      </c>
      <c r="J17" s="41"/>
      <c r="K17" s="42"/>
    </row>
    <row r="18" spans="1:11" ht="12.75" customHeight="1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0"/>
      <c r="G21" s="20"/>
      <c r="H21" s="20"/>
      <c r="I21" s="20"/>
      <c r="J21" s="20"/>
      <c r="K21" s="20"/>
    </row>
    <row r="22" spans="1:11" ht="14.45">
      <c r="A22" s="20"/>
      <c r="B22" s="32"/>
      <c r="C22" s="20"/>
      <c r="D22" s="20"/>
      <c r="E22" s="20"/>
      <c r="F22" s="20"/>
      <c r="G22" s="20"/>
      <c r="H22" s="20"/>
      <c r="I22" s="20"/>
      <c r="J22" s="20"/>
      <c r="K22" s="20"/>
    </row>
    <row r="23" spans="1:11" ht="14.45">
      <c r="A23" s="20"/>
      <c r="B23" s="32"/>
      <c r="C23" s="20"/>
      <c r="D23" s="20"/>
      <c r="E23" s="20"/>
      <c r="F23" s="20"/>
      <c r="G23" s="20"/>
      <c r="H23" s="20"/>
      <c r="I23" s="20"/>
      <c r="J23" s="20"/>
      <c r="K23" s="20"/>
    </row>
    <row r="24" spans="1:11" ht="14.45">
      <c r="A24" s="20"/>
      <c r="B24" s="32"/>
      <c r="C24" s="20"/>
      <c r="D24" s="20"/>
      <c r="E24" s="20"/>
      <c r="F24" s="20"/>
      <c r="G24" s="20"/>
      <c r="H24" s="20"/>
      <c r="I24" s="20"/>
      <c r="J24" s="20"/>
      <c r="K24" s="20"/>
    </row>
    <row r="25" spans="1:11" ht="14.45">
      <c r="A25" s="20"/>
      <c r="B25" s="32"/>
      <c r="C25" s="20"/>
      <c r="D25" s="20"/>
      <c r="E25" s="20"/>
      <c r="F25" s="20"/>
      <c r="G25" s="20"/>
      <c r="H25" s="20"/>
      <c r="I25" s="20"/>
      <c r="J25" s="20"/>
      <c r="K25" s="20"/>
    </row>
    <row r="26" spans="1:11" ht="14.45">
      <c r="A26" s="20"/>
      <c r="B26" s="32"/>
      <c r="C26" s="20"/>
      <c r="D26" s="20"/>
      <c r="E26" s="20"/>
      <c r="F26" s="20"/>
      <c r="G26" s="20"/>
      <c r="H26" s="20"/>
      <c r="I26" s="20"/>
      <c r="J26" s="20"/>
      <c r="K26" s="20"/>
    </row>
    <row r="27" spans="1:11" ht="14.45">
      <c r="A27" s="20"/>
      <c r="B27" s="32"/>
      <c r="C27" s="20"/>
      <c r="D27" s="20"/>
      <c r="E27" s="20"/>
      <c r="F27" s="20"/>
      <c r="G27" s="20"/>
      <c r="H27" s="20"/>
      <c r="I27" s="20"/>
      <c r="J27" s="20"/>
      <c r="K27" s="20"/>
    </row>
    <row r="28" spans="1:11" ht="14.45">
      <c r="A28" s="20"/>
      <c r="B28" s="32"/>
      <c r="C28" s="20"/>
      <c r="D28" s="20"/>
      <c r="E28" s="20"/>
      <c r="F28" s="20"/>
      <c r="G28" s="20"/>
      <c r="H28" s="20"/>
      <c r="I28" s="20"/>
      <c r="J28" s="20"/>
      <c r="K28" s="20"/>
    </row>
    <row r="29" spans="1:11" ht="14.45">
      <c r="A29" s="20"/>
      <c r="B29" s="32"/>
      <c r="C29" s="20"/>
      <c r="D29" s="20"/>
      <c r="E29" s="20"/>
      <c r="F29" s="20"/>
      <c r="G29" s="20"/>
      <c r="H29" s="20"/>
      <c r="I29" s="20"/>
      <c r="J29" s="20"/>
      <c r="K29" s="20"/>
    </row>
    <row r="30" spans="1:11" ht="14.45">
      <c r="A30" s="20"/>
      <c r="B30" s="32"/>
      <c r="C30" s="20"/>
      <c r="D30" s="20"/>
      <c r="E30" s="20"/>
      <c r="F30" s="20"/>
      <c r="G30" s="20"/>
      <c r="H30" s="20"/>
      <c r="I30" s="20"/>
      <c r="J30" s="20"/>
      <c r="K30" s="20"/>
    </row>
    <row r="31" spans="1:11" ht="14.45">
      <c r="A31" s="20"/>
      <c r="B31" s="32"/>
      <c r="C31" s="20"/>
      <c r="D31" s="20"/>
      <c r="E31" s="20"/>
      <c r="F31" s="20"/>
      <c r="G31" s="20"/>
      <c r="H31" s="20"/>
      <c r="I31" s="20"/>
      <c r="J31" s="20"/>
      <c r="K31" s="20"/>
    </row>
    <row r="32" spans="1:11" ht="14.45">
      <c r="A32" s="20"/>
      <c r="B32" s="32"/>
      <c r="C32" s="20"/>
      <c r="D32" s="20"/>
      <c r="E32" s="20"/>
      <c r="F32" s="20"/>
      <c r="G32" s="20"/>
      <c r="H32" s="20"/>
      <c r="I32" s="20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A330" s="20"/>
      <c r="B330" s="32"/>
      <c r="C330" s="20"/>
      <c r="D330" s="20"/>
      <c r="E330" s="20"/>
      <c r="F330" s="21"/>
      <c r="G330" s="20"/>
      <c r="H330" s="20"/>
      <c r="I330" s="21"/>
      <c r="J330" s="20"/>
      <c r="K330" s="20"/>
    </row>
    <row r="331" spans="1:11" ht="14.45">
      <c r="A331" s="20"/>
      <c r="B331" s="32"/>
      <c r="C331" s="20"/>
      <c r="D331" s="20"/>
      <c r="E331" s="20"/>
      <c r="F331" s="21"/>
      <c r="G331" s="20"/>
      <c r="H331" s="20"/>
      <c r="I331" s="21"/>
      <c r="J331" s="20"/>
      <c r="K331" s="20"/>
    </row>
    <row r="332" spans="1:11" ht="14.45">
      <c r="A332" s="20"/>
      <c r="B332" s="32"/>
      <c r="C332" s="20"/>
      <c r="D332" s="20"/>
      <c r="E332" s="20"/>
      <c r="F332" s="21"/>
      <c r="G332" s="20"/>
      <c r="H332" s="20"/>
      <c r="I332" s="21"/>
      <c r="J332" s="20"/>
      <c r="K332" s="20"/>
    </row>
    <row r="333" spans="1:11" ht="14.45">
      <c r="A333" s="20"/>
      <c r="B333" s="32"/>
      <c r="C333" s="20"/>
      <c r="D333" s="20"/>
      <c r="E333" s="20"/>
      <c r="F333" s="21"/>
      <c r="G333" s="20"/>
      <c r="H333" s="20"/>
      <c r="I333" s="21"/>
      <c r="J333" s="20"/>
      <c r="K333" s="20"/>
    </row>
    <row r="334" spans="1:11" ht="14.45">
      <c r="A334" s="20"/>
      <c r="B334" s="32"/>
      <c r="C334" s="20"/>
      <c r="D334" s="20"/>
      <c r="E334" s="20"/>
      <c r="F334" s="21"/>
      <c r="G334" s="20"/>
      <c r="H334" s="20"/>
      <c r="I334" s="21"/>
      <c r="J334" s="20"/>
      <c r="K334" s="20"/>
    </row>
    <row r="335" spans="1:11" ht="14.45">
      <c r="A335" s="20"/>
      <c r="B335" s="32"/>
      <c r="C335" s="20"/>
      <c r="D335" s="20"/>
      <c r="E335" s="20"/>
      <c r="F335" s="21"/>
      <c r="G335" s="20"/>
      <c r="H335" s="20"/>
      <c r="I335" s="21"/>
      <c r="J335" s="20"/>
      <c r="K335" s="20"/>
    </row>
    <row r="336" spans="1:11" ht="14.45">
      <c r="A336" s="20"/>
      <c r="B336" s="32"/>
      <c r="C336" s="20"/>
      <c r="D336" s="20"/>
      <c r="E336" s="20"/>
      <c r="F336" s="21"/>
      <c r="G336" s="20"/>
      <c r="H336" s="20"/>
      <c r="I336" s="21"/>
      <c r="J336" s="20"/>
      <c r="K336" s="20"/>
    </row>
    <row r="337" spans="1:11" ht="14.45">
      <c r="A337" s="20"/>
      <c r="B337" s="32"/>
      <c r="C337" s="20"/>
      <c r="D337" s="20"/>
      <c r="E337" s="20"/>
      <c r="F337" s="21"/>
      <c r="G337" s="20"/>
      <c r="H337" s="20"/>
      <c r="I337" s="21"/>
      <c r="J337" s="20"/>
      <c r="K337" s="20"/>
    </row>
    <row r="338" spans="1:11" ht="14.45">
      <c r="A338" s="20"/>
      <c r="B338" s="32"/>
      <c r="C338" s="20"/>
      <c r="D338" s="20"/>
      <c r="E338" s="20"/>
      <c r="F338" s="21"/>
      <c r="G338" s="20"/>
      <c r="H338" s="20"/>
      <c r="I338" s="21"/>
      <c r="J338" s="20"/>
      <c r="K338" s="20"/>
    </row>
    <row r="339" spans="1:11" ht="14.45">
      <c r="A339" s="20"/>
      <c r="B339" s="32"/>
      <c r="C339" s="20"/>
      <c r="D339" s="20"/>
      <c r="E339" s="20"/>
      <c r="F339" s="21"/>
      <c r="G339" s="20"/>
      <c r="H339" s="20"/>
      <c r="I339" s="21"/>
      <c r="J339" s="20"/>
      <c r="K339" s="20"/>
    </row>
    <row r="340" spans="1:11" ht="14.45">
      <c r="A340" s="20"/>
      <c r="B340" s="32"/>
      <c r="C340" s="20"/>
      <c r="D340" s="20"/>
      <c r="E340" s="20"/>
      <c r="F340" s="21"/>
      <c r="G340" s="20"/>
      <c r="H340" s="20"/>
      <c r="I340" s="21"/>
      <c r="J340" s="20"/>
      <c r="K340" s="20"/>
    </row>
    <row r="341" spans="1:11" ht="14.45">
      <c r="A341" s="20"/>
      <c r="B341" s="32"/>
      <c r="C341" s="20"/>
      <c r="D341" s="20"/>
      <c r="E341" s="20"/>
      <c r="F341" s="21"/>
      <c r="G341" s="20"/>
      <c r="H341" s="20"/>
      <c r="I341" s="21"/>
      <c r="J341" s="20"/>
      <c r="K341" s="20"/>
    </row>
    <row r="342" spans="1:11" ht="14.45">
      <c r="C342" s="20"/>
      <c r="D342" s="20"/>
      <c r="E342" s="20"/>
      <c r="F342" s="21"/>
      <c r="G342" s="20"/>
      <c r="H342" s="20"/>
      <c r="I342" s="21"/>
      <c r="J342" s="20"/>
      <c r="K342" s="20"/>
    </row>
  </sheetData>
  <mergeCells count="4">
    <mergeCell ref="G1:I1"/>
    <mergeCell ref="A1:C1"/>
    <mergeCell ref="D1:F1"/>
    <mergeCell ref="A2:B2"/>
  </mergeCells>
  <conditionalFormatting sqref="F2 I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conditionalFormatting sqref="F4:F100 I4:I100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">Sites[Site]</f>
        <v>Hubbardston Solar</v>
      </c>
      <c r="B4" s="28" t="str" cm="1">
        <f t="array" ref="B4">Sites[State]</f>
        <v>MA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/>
      <c r="B5" s="30"/>
      <c r="C5" s="11"/>
      <c r="D5" s="17"/>
      <c r="E5" s="17" t="str">
        <f t="shared" ref="E5:E17" si="0">IF(AND(ISNUMBER(C5),ISNUMBER(D5)), C5-D5, "")</f>
        <v/>
      </c>
      <c r="F5" s="18" t="str">
        <f>IFERROR(E5/D5, "")</f>
        <v/>
      </c>
      <c r="G5" s="19"/>
      <c r="H5" s="19" t="str">
        <f t="shared" ref="H5:H17" si="1">IF(AND(ISNUMBER(C5),ISNUMBER(G5)), C5-G5, "")</f>
        <v/>
      </c>
      <c r="I5" s="18" t="str">
        <f t="shared" ref="I5:I17" si="2">IFERROR(H5/G5, "")</f>
        <v/>
      </c>
      <c r="J5" s="41"/>
      <c r="K5" s="41"/>
    </row>
    <row r="6" spans="1:11" ht="15.6">
      <c r="A6" s="27"/>
      <c r="B6" s="28"/>
      <c r="C6" s="23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29"/>
      <c r="B7" s="30"/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/>
      <c r="B8" s="28"/>
      <c r="C8" s="23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29"/>
      <c r="B9" s="30"/>
      <c r="C9" s="11"/>
      <c r="D9" s="17"/>
      <c r="E9" s="17" t="str">
        <f t="shared" si="0"/>
        <v/>
      </c>
      <c r="F9" s="18" t="str">
        <f t="shared" si="3"/>
        <v/>
      </c>
      <c r="G9" s="19"/>
      <c r="H9" s="19" t="str">
        <f t="shared" si="1"/>
        <v/>
      </c>
      <c r="I9" s="18" t="str">
        <f t="shared" si="2"/>
        <v/>
      </c>
      <c r="J9" s="41"/>
      <c r="K9" s="42"/>
    </row>
    <row r="10" spans="1:11" ht="15.6">
      <c r="A10" s="27"/>
      <c r="B10" s="28"/>
      <c r="C10" s="23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29"/>
      <c r="B11" s="30"/>
      <c r="C11" s="11"/>
      <c r="D11" s="17"/>
      <c r="E11" s="17" t="str">
        <f t="shared" si="0"/>
        <v/>
      </c>
      <c r="F11" s="18" t="str">
        <f t="shared" si="3"/>
        <v/>
      </c>
      <c r="G11" s="19"/>
      <c r="H11" s="19" t="str">
        <f t="shared" si="1"/>
        <v/>
      </c>
      <c r="I11" s="18" t="str">
        <f t="shared" si="2"/>
        <v/>
      </c>
      <c r="J11" s="41"/>
      <c r="K11" s="42"/>
    </row>
    <row r="12" spans="1:11" ht="15.6">
      <c r="A12" s="27"/>
      <c r="B12" s="28"/>
      <c r="C12" s="23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29"/>
      <c r="B13" s="30"/>
      <c r="C13" s="11"/>
      <c r="D13" s="17"/>
      <c r="E13" s="17" t="str">
        <f t="shared" si="0"/>
        <v/>
      </c>
      <c r="F13" s="18" t="str">
        <f t="shared" si="3"/>
        <v/>
      </c>
      <c r="G13" s="19"/>
      <c r="H13" s="19" t="str">
        <f t="shared" si="1"/>
        <v/>
      </c>
      <c r="I13" s="18" t="str">
        <f t="shared" si="2"/>
        <v/>
      </c>
      <c r="J13" s="41"/>
      <c r="K13" s="42"/>
    </row>
    <row r="14" spans="1:11" ht="15.6">
      <c r="A14" s="27"/>
      <c r="B14" s="28"/>
      <c r="C14" s="23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29"/>
      <c r="B15" s="30"/>
      <c r="C15" s="11"/>
      <c r="D15" s="17"/>
      <c r="E15" s="17" t="str">
        <f t="shared" si="0"/>
        <v/>
      </c>
      <c r="F15" s="18" t="str">
        <f t="shared" si="3"/>
        <v/>
      </c>
      <c r="G15" s="19"/>
      <c r="H15" s="19" t="str">
        <f t="shared" si="1"/>
        <v/>
      </c>
      <c r="I15" s="18" t="str">
        <f t="shared" si="2"/>
        <v/>
      </c>
      <c r="J15" s="41"/>
      <c r="K15" s="42"/>
    </row>
    <row r="16" spans="1:11" ht="15.6">
      <c r="A16" s="27"/>
      <c r="B16" s="28"/>
      <c r="C16" s="23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29"/>
      <c r="B17" s="30"/>
      <c r="C17" s="11"/>
      <c r="D17" s="17"/>
      <c r="E17" s="17" t="str">
        <f t="shared" si="0"/>
        <v/>
      </c>
      <c r="F17" s="18" t="str">
        <f t="shared" si="3"/>
        <v/>
      </c>
      <c r="G17" s="19"/>
      <c r="H17" s="19" t="str">
        <f t="shared" si="1"/>
        <v/>
      </c>
      <c r="I17" s="18" t="str">
        <f t="shared" si="2"/>
        <v/>
      </c>
      <c r="J17" s="41"/>
      <c r="K17" s="42"/>
    </row>
    <row r="18" spans="1:11" ht="12.75" customHeight="1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0"/>
      <c r="G21" s="20"/>
      <c r="H21" s="20"/>
      <c r="I21" s="20"/>
      <c r="J21" s="20"/>
      <c r="K21" s="20"/>
    </row>
    <row r="22" spans="1:11" ht="14.45">
      <c r="A22" s="20"/>
      <c r="B22" s="32"/>
      <c r="C22" s="20"/>
      <c r="D22" s="20"/>
      <c r="E22" s="20"/>
      <c r="F22" s="20"/>
      <c r="G22" s="20"/>
      <c r="H22" s="20"/>
      <c r="I22" s="20"/>
      <c r="J22" s="20"/>
      <c r="K22" s="20"/>
    </row>
    <row r="23" spans="1:11" ht="14.45">
      <c r="A23" s="20"/>
      <c r="B23" s="32"/>
      <c r="C23" s="20"/>
      <c r="D23" s="20"/>
      <c r="E23" s="20"/>
      <c r="F23" s="20"/>
      <c r="G23" s="20"/>
      <c r="H23" s="20"/>
      <c r="I23" s="20"/>
      <c r="J23" s="20"/>
      <c r="K23" s="20"/>
    </row>
    <row r="24" spans="1:11" ht="14.45">
      <c r="A24" s="20"/>
      <c r="B24" s="32"/>
      <c r="C24" s="20"/>
      <c r="D24" s="20"/>
      <c r="E24" s="20"/>
      <c r="F24" s="20"/>
      <c r="G24" s="20"/>
      <c r="H24" s="20"/>
      <c r="I24" s="20"/>
      <c r="J24" s="20"/>
      <c r="K24" s="20"/>
    </row>
    <row r="25" spans="1:11" ht="14.45">
      <c r="A25" s="20"/>
      <c r="B25" s="32"/>
      <c r="C25" s="20"/>
      <c r="D25" s="20"/>
      <c r="E25" s="20"/>
      <c r="F25" s="20"/>
      <c r="G25" s="20"/>
      <c r="H25" s="20"/>
      <c r="I25" s="20"/>
      <c r="J25" s="20"/>
      <c r="K25" s="20"/>
    </row>
    <row r="26" spans="1:11" ht="14.45">
      <c r="A26" s="20"/>
      <c r="B26" s="32"/>
      <c r="C26" s="20"/>
      <c r="D26" s="20"/>
      <c r="E26" s="20"/>
      <c r="F26" s="20"/>
      <c r="G26" s="20"/>
      <c r="H26" s="20"/>
      <c r="I26" s="20"/>
      <c r="J26" s="20"/>
      <c r="K26" s="20"/>
    </row>
    <row r="27" spans="1:11" ht="14.45">
      <c r="A27" s="20"/>
      <c r="B27" s="32"/>
      <c r="C27" s="20"/>
      <c r="D27" s="20"/>
      <c r="E27" s="20"/>
      <c r="F27" s="20"/>
      <c r="G27" s="20"/>
      <c r="H27" s="20"/>
      <c r="I27" s="20"/>
      <c r="J27" s="20"/>
      <c r="K27" s="20"/>
    </row>
    <row r="28" spans="1:11" ht="14.45">
      <c r="A28" s="20"/>
      <c r="B28" s="32"/>
      <c r="C28" s="20"/>
      <c r="D28" s="20"/>
      <c r="E28" s="20"/>
      <c r="F28" s="20"/>
      <c r="G28" s="20"/>
      <c r="H28" s="20"/>
      <c r="I28" s="20"/>
      <c r="J28" s="20"/>
      <c r="K28" s="20"/>
    </row>
    <row r="29" spans="1:11" ht="14.45">
      <c r="A29" s="20"/>
      <c r="B29" s="32"/>
      <c r="C29" s="20"/>
      <c r="D29" s="20"/>
      <c r="E29" s="20"/>
      <c r="F29" s="20"/>
      <c r="G29" s="20"/>
      <c r="H29" s="20"/>
      <c r="I29" s="20"/>
      <c r="J29" s="20"/>
      <c r="K29" s="20"/>
    </row>
    <row r="30" spans="1:11" ht="14.45">
      <c r="A30" s="20"/>
      <c r="B30" s="32"/>
      <c r="C30" s="20"/>
      <c r="D30" s="20"/>
      <c r="E30" s="20"/>
      <c r="F30" s="20"/>
      <c r="G30" s="20"/>
      <c r="H30" s="20"/>
      <c r="I30" s="20"/>
      <c r="J30" s="20"/>
      <c r="K30" s="20"/>
    </row>
    <row r="31" spans="1:11" ht="14.45">
      <c r="A31" s="20"/>
      <c r="B31" s="32"/>
      <c r="C31" s="20"/>
      <c r="D31" s="20"/>
      <c r="E31" s="20"/>
      <c r="F31" s="20"/>
      <c r="G31" s="20"/>
      <c r="H31" s="20"/>
      <c r="I31" s="20"/>
      <c r="J31" s="20"/>
      <c r="K31" s="20"/>
    </row>
    <row r="32" spans="1:11" ht="14.45">
      <c r="A32" s="20"/>
      <c r="B32" s="32"/>
      <c r="C32" s="20"/>
      <c r="D32" s="20"/>
      <c r="E32" s="20"/>
      <c r="F32" s="20"/>
      <c r="G32" s="20"/>
      <c r="H32" s="20"/>
      <c r="I32" s="20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A330" s="20"/>
      <c r="B330" s="32"/>
      <c r="C330" s="20"/>
      <c r="D330" s="20"/>
      <c r="E330" s="20"/>
      <c r="F330" s="21"/>
      <c r="G330" s="20"/>
      <c r="H330" s="20"/>
      <c r="I330" s="21"/>
      <c r="J330" s="20"/>
      <c r="K330" s="20"/>
    </row>
    <row r="331" spans="1:11" ht="14.45">
      <c r="A331" s="20"/>
      <c r="B331" s="32"/>
      <c r="C331" s="20"/>
      <c r="D331" s="20"/>
      <c r="E331" s="20"/>
      <c r="F331" s="21"/>
      <c r="G331" s="20"/>
      <c r="H331" s="20"/>
      <c r="I331" s="21"/>
      <c r="J331" s="20"/>
      <c r="K331" s="20"/>
    </row>
    <row r="332" spans="1:11" ht="14.45">
      <c r="A332" s="20"/>
      <c r="B332" s="32"/>
      <c r="C332" s="20"/>
      <c r="D332" s="20"/>
      <c r="E332" s="20"/>
      <c r="F332" s="21"/>
      <c r="G332" s="20"/>
      <c r="H332" s="20"/>
      <c r="I332" s="21"/>
      <c r="J332" s="20"/>
      <c r="K332" s="20"/>
    </row>
    <row r="333" spans="1:11" ht="14.45">
      <c r="A333" s="20"/>
      <c r="B333" s="32"/>
      <c r="C333" s="20"/>
      <c r="D333" s="20"/>
      <c r="E333" s="20"/>
      <c r="F333" s="21"/>
      <c r="G333" s="20"/>
      <c r="H333" s="20"/>
      <c r="I333" s="21"/>
      <c r="J333" s="20"/>
      <c r="K333" s="20"/>
    </row>
    <row r="334" spans="1:11" ht="14.45">
      <c r="A334" s="20"/>
      <c r="B334" s="32"/>
      <c r="C334" s="20"/>
      <c r="D334" s="20"/>
      <c r="E334" s="20"/>
      <c r="F334" s="21"/>
      <c r="G334" s="20"/>
      <c r="H334" s="20"/>
      <c r="I334" s="21"/>
      <c r="J334" s="20"/>
      <c r="K334" s="20"/>
    </row>
    <row r="335" spans="1:11" ht="14.45">
      <c r="A335" s="20"/>
      <c r="B335" s="32"/>
      <c r="C335" s="20"/>
      <c r="D335" s="20"/>
      <c r="E335" s="20"/>
      <c r="F335" s="21"/>
      <c r="G335" s="20"/>
      <c r="H335" s="20"/>
      <c r="I335" s="21"/>
      <c r="J335" s="20"/>
      <c r="K335" s="20"/>
    </row>
    <row r="336" spans="1:11" ht="14.45">
      <c r="A336" s="20"/>
      <c r="B336" s="32"/>
      <c r="C336" s="20"/>
      <c r="D336" s="20"/>
      <c r="E336" s="20"/>
      <c r="F336" s="21"/>
      <c r="G336" s="20"/>
      <c r="H336" s="20"/>
      <c r="I336" s="21"/>
      <c r="J336" s="20"/>
      <c r="K336" s="20"/>
    </row>
    <row r="337" spans="1:11" ht="14.45">
      <c r="A337" s="20"/>
      <c r="B337" s="32"/>
      <c r="C337" s="20"/>
      <c r="D337" s="20"/>
      <c r="E337" s="20"/>
      <c r="F337" s="21"/>
      <c r="G337" s="20"/>
      <c r="H337" s="20"/>
      <c r="I337" s="21"/>
      <c r="J337" s="20"/>
      <c r="K337" s="20"/>
    </row>
    <row r="338" spans="1:11" ht="14.45">
      <c r="A338" s="20"/>
      <c r="B338" s="32"/>
      <c r="C338" s="20"/>
      <c r="D338" s="20"/>
      <c r="E338" s="20"/>
      <c r="F338" s="21"/>
      <c r="G338" s="20"/>
      <c r="H338" s="20"/>
      <c r="I338" s="21"/>
      <c r="J338" s="20"/>
      <c r="K338" s="20"/>
    </row>
    <row r="339" spans="1:11" ht="14.45">
      <c r="A339" s="20"/>
      <c r="B339" s="32"/>
      <c r="C339" s="20"/>
      <c r="D339" s="20"/>
      <c r="E339" s="20"/>
      <c r="F339" s="21"/>
      <c r="G339" s="20"/>
      <c r="H339" s="20"/>
      <c r="I339" s="21"/>
      <c r="J339" s="20"/>
      <c r="K339" s="20"/>
    </row>
    <row r="340" spans="1:11" ht="14.45">
      <c r="A340" s="20"/>
      <c r="B340" s="32"/>
      <c r="C340" s="20"/>
      <c r="D340" s="20"/>
      <c r="E340" s="20"/>
      <c r="F340" s="21"/>
      <c r="G340" s="20"/>
      <c r="H340" s="20"/>
      <c r="I340" s="21"/>
      <c r="J340" s="20"/>
      <c r="K340" s="20"/>
    </row>
    <row r="341" spans="1:11" ht="14.45">
      <c r="A341" s="20"/>
      <c r="B341" s="32"/>
      <c r="C341" s="20"/>
      <c r="D341" s="20"/>
      <c r="E341" s="20"/>
      <c r="F341" s="21"/>
      <c r="G341" s="20"/>
      <c r="H341" s="20"/>
      <c r="I341" s="21"/>
      <c r="J341" s="20"/>
      <c r="K341" s="20"/>
    </row>
    <row r="342" spans="1:11" ht="14.45">
      <c r="C342" s="20"/>
      <c r="D342" s="20"/>
      <c r="E342" s="20"/>
      <c r="F342" s="21"/>
      <c r="G342" s="20"/>
      <c r="H342" s="20"/>
      <c r="I342" s="21"/>
      <c r="J342" s="20"/>
      <c r="K342" s="20"/>
    </row>
  </sheetData>
  <mergeCells count="4">
    <mergeCell ref="G1:I1"/>
    <mergeCell ref="A1:C1"/>
    <mergeCell ref="D1:F1"/>
    <mergeCell ref="A2:B2"/>
  </mergeCells>
  <conditionalFormatting sqref="F2 I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conditionalFormatting sqref="F4:F100 I4:I100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C4" activePane="bottomRight" state="frozen"/>
      <selection pane="bottomRight" activeCell="E21" sqref="E21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">Sites[Site]</f>
        <v>Hubbardston Solar</v>
      </c>
      <c r="B4" s="28" t="str" cm="1">
        <f t="array" ref="B4">Sites[State]</f>
        <v>MA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/>
      <c r="B5" s="30"/>
      <c r="C5" s="11"/>
      <c r="D5" s="17"/>
      <c r="E5" s="17" t="str">
        <f t="shared" ref="E5:E17" si="0">IF(AND(ISNUMBER(C5),ISNUMBER(D5)), C5-D5, "")</f>
        <v/>
      </c>
      <c r="F5" s="18" t="str">
        <f>IFERROR(E5/D5, "")</f>
        <v/>
      </c>
      <c r="G5" s="19"/>
      <c r="H5" s="19" t="str">
        <f t="shared" ref="H5:H17" si="1">IF(AND(ISNUMBER(C5),ISNUMBER(G5)), C5-G5, "")</f>
        <v/>
      </c>
      <c r="I5" s="18" t="str">
        <f t="shared" ref="I5:I17" si="2">IFERROR(H5/G5, "")</f>
        <v/>
      </c>
      <c r="J5" s="41"/>
      <c r="K5" s="41"/>
    </row>
    <row r="6" spans="1:11" ht="15.6">
      <c r="A6" s="27"/>
      <c r="B6" s="28"/>
      <c r="C6" s="23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29"/>
      <c r="B7" s="30"/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/>
      <c r="B8" s="28"/>
      <c r="C8" s="23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29"/>
      <c r="B9" s="30"/>
      <c r="C9" s="11"/>
      <c r="D9" s="17"/>
      <c r="E9" s="17" t="str">
        <f t="shared" si="0"/>
        <v/>
      </c>
      <c r="F9" s="18" t="str">
        <f t="shared" si="3"/>
        <v/>
      </c>
      <c r="G9" s="19"/>
      <c r="H9" s="19" t="str">
        <f t="shared" si="1"/>
        <v/>
      </c>
      <c r="I9" s="18" t="str">
        <f t="shared" si="2"/>
        <v/>
      </c>
      <c r="J9" s="41"/>
      <c r="K9" s="42"/>
    </row>
    <row r="10" spans="1:11" ht="15.6">
      <c r="A10" s="27"/>
      <c r="B10" s="28"/>
      <c r="C10" s="23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29"/>
      <c r="B11" s="30"/>
      <c r="C11" s="11"/>
      <c r="D11" s="17"/>
      <c r="E11" s="17" t="str">
        <f t="shared" si="0"/>
        <v/>
      </c>
      <c r="F11" s="18" t="str">
        <f t="shared" si="3"/>
        <v/>
      </c>
      <c r="G11" s="19"/>
      <c r="H11" s="19" t="str">
        <f t="shared" si="1"/>
        <v/>
      </c>
      <c r="I11" s="18" t="str">
        <f t="shared" si="2"/>
        <v/>
      </c>
      <c r="J11" s="41"/>
      <c r="K11" s="42"/>
    </row>
    <row r="12" spans="1:11" ht="15.6">
      <c r="A12" s="27"/>
      <c r="B12" s="28"/>
      <c r="C12" s="23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29"/>
      <c r="B13" s="30"/>
      <c r="C13" s="11"/>
      <c r="D13" s="17"/>
      <c r="E13" s="17" t="str">
        <f t="shared" si="0"/>
        <v/>
      </c>
      <c r="F13" s="18" t="str">
        <f t="shared" si="3"/>
        <v/>
      </c>
      <c r="G13" s="19"/>
      <c r="H13" s="19" t="str">
        <f t="shared" si="1"/>
        <v/>
      </c>
      <c r="I13" s="18" t="str">
        <f t="shared" si="2"/>
        <v/>
      </c>
      <c r="J13" s="41"/>
      <c r="K13" s="42"/>
    </row>
    <row r="14" spans="1:11" ht="15.6">
      <c r="A14" s="27"/>
      <c r="B14" s="28"/>
      <c r="C14" s="23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29"/>
      <c r="B15" s="30"/>
      <c r="C15" s="11"/>
      <c r="D15" s="17"/>
      <c r="E15" s="17" t="str">
        <f t="shared" si="0"/>
        <v/>
      </c>
      <c r="F15" s="18" t="str">
        <f t="shared" si="3"/>
        <v/>
      </c>
      <c r="G15" s="19"/>
      <c r="H15" s="19" t="str">
        <f t="shared" si="1"/>
        <v/>
      </c>
      <c r="I15" s="18" t="str">
        <f t="shared" si="2"/>
        <v/>
      </c>
      <c r="J15" s="41"/>
      <c r="K15" s="42"/>
    </row>
    <row r="16" spans="1:11" ht="15.6">
      <c r="A16" s="27"/>
      <c r="B16" s="28"/>
      <c r="C16" s="23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29"/>
      <c r="B17" s="30"/>
      <c r="C17" s="11"/>
      <c r="D17" s="17"/>
      <c r="E17" s="17" t="str">
        <f t="shared" si="0"/>
        <v/>
      </c>
      <c r="F17" s="18" t="str">
        <f t="shared" si="3"/>
        <v/>
      </c>
      <c r="G17" s="19"/>
      <c r="H17" s="19" t="str">
        <f t="shared" si="1"/>
        <v/>
      </c>
      <c r="I17" s="18" t="str">
        <f t="shared" si="2"/>
        <v/>
      </c>
      <c r="J17" s="41"/>
      <c r="K17" s="42"/>
    </row>
    <row r="18" spans="1:11" ht="12.75" customHeight="1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0"/>
      <c r="G21" s="20"/>
      <c r="H21" s="20"/>
      <c r="I21" s="20"/>
      <c r="J21" s="20"/>
      <c r="K21" s="20"/>
    </row>
    <row r="22" spans="1:11" ht="14.45">
      <c r="A22" s="20"/>
      <c r="B22" s="32"/>
      <c r="C22" s="20"/>
      <c r="D22" s="20"/>
      <c r="E22" s="20"/>
      <c r="F22" s="20"/>
      <c r="G22" s="20"/>
      <c r="H22" s="20"/>
      <c r="I22" s="20"/>
      <c r="J22" s="20"/>
      <c r="K22" s="20"/>
    </row>
    <row r="23" spans="1:11" ht="14.45">
      <c r="A23" s="20"/>
      <c r="B23" s="32"/>
      <c r="C23" s="20"/>
      <c r="D23" s="20"/>
      <c r="E23" s="20"/>
      <c r="F23" s="20"/>
      <c r="G23" s="20"/>
      <c r="H23" s="20"/>
      <c r="I23" s="20"/>
      <c r="J23" s="20"/>
      <c r="K23" s="20"/>
    </row>
    <row r="24" spans="1:11" ht="14.45">
      <c r="A24" s="20"/>
      <c r="B24" s="32"/>
      <c r="C24" s="20"/>
      <c r="D24" s="20"/>
      <c r="E24" s="20"/>
      <c r="F24" s="20"/>
      <c r="G24" s="20"/>
      <c r="H24" s="20"/>
      <c r="I24" s="20"/>
      <c r="J24" s="20"/>
      <c r="K24" s="20"/>
    </row>
    <row r="25" spans="1:11" ht="14.45">
      <c r="A25" s="20"/>
      <c r="B25" s="32"/>
      <c r="C25" s="20"/>
      <c r="D25" s="20"/>
      <c r="E25" s="20"/>
      <c r="F25" s="20"/>
      <c r="G25" s="20"/>
      <c r="H25" s="20"/>
      <c r="I25" s="20"/>
      <c r="J25" s="20"/>
      <c r="K25" s="20"/>
    </row>
    <row r="26" spans="1:11" ht="14.45">
      <c r="A26" s="20"/>
      <c r="B26" s="32"/>
      <c r="C26" s="20"/>
      <c r="D26" s="20"/>
      <c r="E26" s="20"/>
      <c r="F26" s="20"/>
      <c r="G26" s="20"/>
      <c r="H26" s="20"/>
      <c r="I26" s="20"/>
      <c r="J26" s="20"/>
      <c r="K26" s="20"/>
    </row>
    <row r="27" spans="1:11" ht="14.45">
      <c r="A27" s="20"/>
      <c r="B27" s="32"/>
      <c r="C27" s="20"/>
      <c r="D27" s="20"/>
      <c r="E27" s="20"/>
      <c r="F27" s="20"/>
      <c r="G27" s="20"/>
      <c r="H27" s="20"/>
      <c r="I27" s="20"/>
      <c r="J27" s="20"/>
      <c r="K27" s="20"/>
    </row>
    <row r="28" spans="1:11" ht="14.45">
      <c r="A28" s="20"/>
      <c r="B28" s="32"/>
      <c r="C28" s="20"/>
      <c r="D28" s="20"/>
      <c r="E28" s="20"/>
      <c r="F28" s="20"/>
      <c r="G28" s="20"/>
      <c r="H28" s="20"/>
      <c r="I28" s="20"/>
      <c r="J28" s="20"/>
      <c r="K28" s="20"/>
    </row>
    <row r="29" spans="1:11" ht="14.45">
      <c r="A29" s="20"/>
      <c r="B29" s="32"/>
      <c r="C29" s="20"/>
      <c r="D29" s="20"/>
      <c r="E29" s="20"/>
      <c r="F29" s="20"/>
      <c r="G29" s="20"/>
      <c r="H29" s="20"/>
      <c r="I29" s="20"/>
      <c r="J29" s="20"/>
      <c r="K29" s="20"/>
    </row>
    <row r="30" spans="1:11" ht="14.45">
      <c r="A30" s="20"/>
      <c r="B30" s="32"/>
      <c r="C30" s="20"/>
      <c r="D30" s="20"/>
      <c r="E30" s="20"/>
      <c r="F30" s="20"/>
      <c r="G30" s="20"/>
      <c r="H30" s="20"/>
      <c r="I30" s="20"/>
      <c r="J30" s="20"/>
      <c r="K30" s="20"/>
    </row>
    <row r="31" spans="1:11" ht="14.45">
      <c r="A31" s="20"/>
      <c r="B31" s="32"/>
      <c r="C31" s="20"/>
      <c r="D31" s="20"/>
      <c r="E31" s="20"/>
      <c r="F31" s="20"/>
      <c r="G31" s="20"/>
      <c r="H31" s="20"/>
      <c r="I31" s="20"/>
      <c r="J31" s="20"/>
      <c r="K31" s="20"/>
    </row>
    <row r="32" spans="1:11" ht="14.45">
      <c r="A32" s="20"/>
      <c r="B32" s="32"/>
      <c r="C32" s="20"/>
      <c r="D32" s="20"/>
      <c r="E32" s="20"/>
      <c r="F32" s="20"/>
      <c r="G32" s="20"/>
      <c r="H32" s="20"/>
      <c r="I32" s="20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A330" s="20"/>
      <c r="B330" s="32"/>
      <c r="C330" s="20"/>
      <c r="D330" s="20"/>
      <c r="E330" s="20"/>
      <c r="F330" s="21"/>
      <c r="G330" s="20"/>
      <c r="H330" s="20"/>
      <c r="I330" s="21"/>
      <c r="J330" s="20"/>
      <c r="K330" s="20"/>
    </row>
    <row r="331" spans="1:11" ht="14.45">
      <c r="A331" s="20"/>
      <c r="B331" s="32"/>
      <c r="C331" s="20"/>
      <c r="D331" s="20"/>
      <c r="E331" s="20"/>
      <c r="F331" s="21"/>
      <c r="G331" s="20"/>
      <c r="H331" s="20"/>
      <c r="I331" s="21"/>
      <c r="J331" s="20"/>
      <c r="K331" s="20"/>
    </row>
    <row r="332" spans="1:11" ht="14.45">
      <c r="A332" s="20"/>
      <c r="B332" s="32"/>
      <c r="C332" s="20"/>
      <c r="D332" s="20"/>
      <c r="E332" s="20"/>
      <c r="F332" s="21"/>
      <c r="G332" s="20"/>
      <c r="H332" s="20"/>
      <c r="I332" s="21"/>
      <c r="J332" s="20"/>
      <c r="K332" s="20"/>
    </row>
    <row r="333" spans="1:11" ht="14.45">
      <c r="A333" s="20"/>
      <c r="B333" s="32"/>
      <c r="C333" s="20"/>
      <c r="D333" s="20"/>
      <c r="E333" s="20"/>
      <c r="F333" s="21"/>
      <c r="G333" s="20"/>
      <c r="H333" s="20"/>
      <c r="I333" s="21"/>
      <c r="J333" s="20"/>
      <c r="K333" s="20"/>
    </row>
    <row r="334" spans="1:11" ht="14.45">
      <c r="A334" s="20"/>
      <c r="B334" s="32"/>
      <c r="C334" s="20"/>
      <c r="D334" s="20"/>
      <c r="E334" s="20"/>
      <c r="F334" s="21"/>
      <c r="G334" s="20"/>
      <c r="H334" s="20"/>
      <c r="I334" s="21"/>
      <c r="J334" s="20"/>
      <c r="K334" s="20"/>
    </row>
    <row r="335" spans="1:11" ht="14.45">
      <c r="A335" s="20"/>
      <c r="B335" s="32"/>
      <c r="C335" s="20"/>
      <c r="D335" s="20"/>
      <c r="E335" s="20"/>
      <c r="F335" s="21"/>
      <c r="G335" s="20"/>
      <c r="H335" s="20"/>
      <c r="I335" s="21"/>
      <c r="J335" s="20"/>
      <c r="K335" s="20"/>
    </row>
    <row r="336" spans="1:11" ht="14.45">
      <c r="A336" s="20"/>
      <c r="B336" s="32"/>
      <c r="C336" s="20"/>
      <c r="D336" s="20"/>
      <c r="E336" s="20"/>
      <c r="F336" s="21"/>
      <c r="G336" s="20"/>
      <c r="H336" s="20"/>
      <c r="I336" s="21"/>
      <c r="J336" s="20"/>
      <c r="K336" s="20"/>
    </row>
    <row r="337" spans="1:11" ht="14.45">
      <c r="A337" s="20"/>
      <c r="B337" s="32"/>
      <c r="C337" s="20"/>
      <c r="D337" s="20"/>
      <c r="E337" s="20"/>
      <c r="F337" s="21"/>
      <c r="G337" s="20"/>
      <c r="H337" s="20"/>
      <c r="I337" s="21"/>
      <c r="J337" s="20"/>
      <c r="K337" s="20"/>
    </row>
    <row r="338" spans="1:11" ht="14.45">
      <c r="A338" s="20"/>
      <c r="B338" s="32"/>
      <c r="C338" s="20"/>
      <c r="D338" s="20"/>
      <c r="E338" s="20"/>
      <c r="F338" s="21"/>
      <c r="G338" s="20"/>
      <c r="H338" s="20"/>
      <c r="I338" s="21"/>
      <c r="J338" s="20"/>
      <c r="K338" s="20"/>
    </row>
    <row r="339" spans="1:11" ht="14.45">
      <c r="A339" s="20"/>
      <c r="B339" s="32"/>
      <c r="C339" s="20"/>
      <c r="D339" s="20"/>
      <c r="E339" s="20"/>
      <c r="F339" s="21"/>
      <c r="G339" s="20"/>
      <c r="H339" s="20"/>
      <c r="I339" s="21"/>
      <c r="J339" s="20"/>
      <c r="K339" s="20"/>
    </row>
    <row r="340" spans="1:11" ht="14.45">
      <c r="A340" s="20"/>
      <c r="B340" s="32"/>
      <c r="C340" s="20"/>
      <c r="D340" s="20"/>
      <c r="E340" s="20"/>
      <c r="F340" s="21"/>
      <c r="G340" s="20"/>
      <c r="H340" s="20"/>
      <c r="I340" s="21"/>
      <c r="J340" s="20"/>
      <c r="K340" s="20"/>
    </row>
    <row r="341" spans="1:11" ht="14.45">
      <c r="A341" s="20"/>
      <c r="B341" s="32"/>
      <c r="C341" s="20"/>
      <c r="D341" s="20"/>
      <c r="E341" s="20"/>
      <c r="F341" s="21"/>
      <c r="G341" s="20"/>
      <c r="H341" s="20"/>
      <c r="I341" s="21"/>
      <c r="J341" s="20"/>
      <c r="K341" s="20"/>
    </row>
    <row r="342" spans="1:11" ht="14.45">
      <c r="C342" s="20"/>
      <c r="D342" s="20"/>
      <c r="E342" s="20"/>
      <c r="F342" s="21"/>
      <c r="G342" s="20"/>
      <c r="H342" s="20"/>
      <c r="I342" s="21"/>
      <c r="J342" s="20"/>
      <c r="K342" s="20"/>
    </row>
  </sheetData>
  <mergeCells count="4">
    <mergeCell ref="G1:I1"/>
    <mergeCell ref="A1:C1"/>
    <mergeCell ref="D1:F1"/>
    <mergeCell ref="A2:B2"/>
  </mergeCells>
  <conditionalFormatting sqref="F2 I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4:F100 I4:I100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9" sqref="B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s="3" t="s">
        <v>45</v>
      </c>
      <c r="B4" t="s">
        <v>45</v>
      </c>
      <c r="C4" s="4" t="s">
        <v>49</v>
      </c>
      <c r="E4" t="s">
        <v>50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BC74AAC-D69B-4AF1-9649-B21EF3C1C463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3AEAA9D8-2182-46BA-A58E-96C72DDA1C54}"/>
</file>

<file path=customXml/itemProps5.xml><?xml version="1.0" encoding="utf-8"?>
<ds:datastoreItem xmlns:ds="http://schemas.openxmlformats.org/officeDocument/2006/customXml" ds:itemID="{66B09F59-6532-46F8-924A-9A02417E070D}"/>
</file>

<file path=customXml/itemProps6.xml><?xml version="1.0" encoding="utf-8"?>
<ds:datastoreItem xmlns:ds="http://schemas.openxmlformats.org/officeDocument/2006/customXml" ds:itemID="{E20E8303-6A67-485C-B6F4-303542CC295C}"/>
</file>

<file path=customXml/itemProps7.xml><?xml version="1.0" encoding="utf-8"?>
<ds:datastoreItem xmlns:ds="http://schemas.openxmlformats.org/officeDocument/2006/customXml" ds:itemID="{CB52044A-5C0B-44A2-99D0-C1C315EC302D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C0BCDC1E-6052-4E48-9BAF-94A40814E7C2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D3A7101F-9A85-4235-8B03-415370C100B2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0389C43E-394D-44C0-87DC-4780FCFCFB40}"/>
</file>

<file path=customXml/itemProps16.xml><?xml version="1.0" encoding="utf-8"?>
<ds:datastoreItem xmlns:ds="http://schemas.openxmlformats.org/officeDocument/2006/customXml" ds:itemID="{078388C9-06F9-42F4-B857-EF76B5CAF1FD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BF5C6359-7763-4C37-8EAF-2BC4698CB285}"/>
</file>

<file path=customXml/itemProps19.xml><?xml version="1.0" encoding="utf-8"?>
<ds:datastoreItem xmlns:ds="http://schemas.openxmlformats.org/officeDocument/2006/customXml" ds:itemID="{E3716282-BFD2-4ED2-BA47-BFA1123827F0}"/>
</file>

<file path=customXml/itemProps20.xml><?xml version="1.0" encoding="utf-8"?>
<ds:datastoreItem xmlns:ds="http://schemas.openxmlformats.org/officeDocument/2006/customXml" ds:itemID="{89CF5C07-45EB-4100-9AFB-2C6AF77FA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Harper, Amanda</cp:lastModifiedBy>
  <cp:revision/>
  <dcterms:created xsi:type="dcterms:W3CDTF">2021-01-01T16:39:53Z</dcterms:created>
  <dcterms:modified xsi:type="dcterms:W3CDTF">2024-09-16T14:44:01Z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