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6" documentId="13_ncr:1_{25F70694-FC93-4E07-B6D7-84D184283A78}" xr6:coauthVersionLast="47" xr6:coauthVersionMax="47" xr10:uidLastSave="{A4023E8E-E014-44CF-9E38-5DF88BDB51E5}"/>
  <bookViews>
    <workbookView xWindow="-108" yWindow="-108" windowWidth="23256" windowHeight="12456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D4" i="29"/>
  <c r="G4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G4" i="34" l="1"/>
  <c r="G2" i="34" s="1"/>
  <c r="H2" i="21"/>
  <c r="I2" i="21" s="1"/>
  <c r="E4" i="18"/>
  <c r="F4" i="18" s="1"/>
  <c r="H2" i="4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<sst xmlns="http://schemas.openxmlformats.org/spreadsheetml/2006/main" count="239" uniqueCount="52">
  <si>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</si>
  <si>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</si>
  <si>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</si>
  <si>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</si>
  <si>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</si>
  <si>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</si>
  <si>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</si>
  <si>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</si>
  <si>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</si>
  <si>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</si>
  <si>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</si>
  <si>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</si>
  <si>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</si>
  <si>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</si>
  <si>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</si>
  <si>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</si>
  <si>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</si>
  <si>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</si>
  <si>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</si>
  <si>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</si>
  <si>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</si>
  <si>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</si>
  <si>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</si>
  <si>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</si>
  <si>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</si>
  <si>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</si>
  <si>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</si>
  <si>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</si>
  <si>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</si>
  <si>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</si>
  <si>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</si>
  <si>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</si>
  <si>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</si>
  <si>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</si>
  <si>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</si>
  <si>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</si>
  <si>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</si>
  <si>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</si>
  <si>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</si>
  <si>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</si>
  <si>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</si>
  <si>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</si>
  <si>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</si>
  <si>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</si>
  <si>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</si>
  <si>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RMR Group</t>
  </si>
  <si>
    <t>Site DAS Name</t>
  </si>
  <si>
    <t>Update</t>
  </si>
  <si>
    <t>DAS</t>
  </si>
  <si>
    <t>MA - Newton RMR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</si>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</sst>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H4" sqref="H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206648.45</v>
      </c>
      <c r="D2" s="6">
        <f>SUM(D4:D60)</f>
        <v>89295.66</v>
      </c>
      <c r="E2" s="6">
        <f>C2-D2</f>
        <v>117352.79000000001</v>
      </c>
      <c r="F2" s="7">
        <f>IFERROR(E2/D2, 0)</f>
        <v>1.3142048560926702</v>
      </c>
      <c r="G2" s="6">
        <f>SUM(G4:G60)</f>
        <v>0</v>
      </c>
      <c r="H2" s="8">
        <f>C2-G2</f>
        <v>206648.45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SUM('1st Qtr'!C4, '2nd Qtr'!C4, '3rd Qtr'!C4, '4th Qtr'!C4)</f>
        <v>206648.45</v>
      </c>
      <c r="D4" s="14">
        <f>SUM('1st Qtr'!D4, '2nd Qtr'!D4, '3rd Qtr'!D4, '4th Qtr'!D4)</f>
        <v>89295.66</v>
      </c>
      <c r="E4" s="14">
        <f>IF(AND(ISNUMBER(C4),ISNUMBER(D4)), C4-D4, "")</f>
        <v>117352.79000000001</v>
      </c>
      <c r="F4" s="15">
        <f>IFERROR(E4/D4, "")</f>
        <v>1.3142048560926702</v>
      </c>
      <c r="G4" s="16">
        <f>SUM('1st Qtr'!G4,'2nd Qtr'!G4,'3rd Qtr'!G4,'4th Qtr'!G4)</f>
        <v>0</v>
      </c>
      <c r="H4" s="16">
        <f>SUM('1st Qtr'!H4, '2nd Qtr'!H4, '3rd Qtr'!H4, '4th Qtr'!H4)</f>
        <v>206648.45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E4" sqref="E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46580</v>
      </c>
      <c r="D2" s="6">
        <f>SUM(D4:D68)</f>
        <v>52597</v>
      </c>
      <c r="E2" s="6">
        <f>C2-D2</f>
        <v>-6017</v>
      </c>
      <c r="F2" s="7">
        <f>IFERROR(E2/D2, 0)</f>
        <v>-0.11439815959085119</v>
      </c>
      <c r="G2" s="6">
        <f>SUM(G4:G68)</f>
        <v>0</v>
      </c>
      <c r="H2" s="8">
        <f>C2-G2</f>
        <v>46580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SUM(Jan!C4, Feb!C4, Mar!C4)</f>
        <v>46580</v>
      </c>
      <c r="D4" s="14">
        <f>SUM(Jan!D4, Feb!D4, Mar!D4)</f>
        <v>52597</v>
      </c>
      <c r="E4" s="14">
        <f>IF(AND(ISNUMBER(C4),ISNUMBER(D4)), C4-D4, "")</f>
        <v>-6017</v>
      </c>
      <c r="F4" s="15">
        <f>IFERROR(E4/D4, "")</f>
        <v>-0.11439815959085119</v>
      </c>
      <c r="G4" s="16">
        <f>SUM(Jan!G4, Feb!G4, Mar!G4)</f>
        <v>0</v>
      </c>
      <c r="H4" s="16">
        <f>SUM(Jan!H4, Feb!H4, Mar!H4)</f>
        <v>46580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96722.85</v>
      </c>
      <c r="D2" s="6">
        <f>SUM(D4:D90)</f>
        <v>36698.659999999996</v>
      </c>
      <c r="E2" s="6">
        <f>C2-D2</f>
        <v>60024.19000000001</v>
      </c>
      <c r="F2" s="7">
        <f>IFERROR(E2/D2, 0)</f>
        <v>1.635596231579028</v>
      </c>
      <c r="G2" s="6">
        <f>SUM(G4:G90)</f>
        <v>0</v>
      </c>
      <c r="H2" s="8">
        <f>C2-G2</f>
        <v>96722.85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SUM(Apr!C4, May!C4, Jun!C4)</f>
        <v>96722.85</v>
      </c>
      <c r="D4" s="14">
        <f>SUM(Apr!D4, May!D4, Jun!D4)</f>
        <v>36698.659999999996</v>
      </c>
      <c r="E4" s="14">
        <f>IF(AND(ISNUMBER(C4),ISNUMBER(D4)), C4-D4, "")</f>
        <v>60024.19000000001</v>
      </c>
      <c r="F4" s="15">
        <f>IFERROR(E4/D4, "")</f>
        <v>1.635596231579028</v>
      </c>
      <c r="G4" s="16">
        <f>SUM(Apr!G4+May!G4+Jun!G4)</f>
        <v>0</v>
      </c>
      <c r="H4" s="16">
        <f>SUM(Apr!H4, May!H4, Jun!H4)</f>
        <v>96722.85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63345.599999999999</v>
      </c>
      <c r="D2" s="6">
        <f>SUM(D4:D89)</f>
        <v>0</v>
      </c>
      <c r="E2" s="6">
        <f>C2-D2</f>
        <v>63345.599999999999</v>
      </c>
      <c r="F2" s="7">
        <f>IFERROR(E2/D2, 0)</f>
        <v>0</v>
      </c>
      <c r="G2" s="6">
        <f>SUM(G4:G89)</f>
        <v>0</v>
      </c>
      <c r="H2" s="8">
        <f>C2-G2</f>
        <v>63345.599999999999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SUM(Jul!C4, Aug!C4, Sep!C4)</f>
        <v>63345.599999999999</v>
      </c>
      <c r="D4" s="14">
        <f>SUM(Jul!D4, Aug!D4, Sep!D4)</f>
        <v>0</v>
      </c>
      <c r="E4" s="14">
        <f>IF(AND(ISNUMBER(C4),ISNUMBER(D4)), C4-D4, "")</f>
        <v>63345.599999999999</v>
      </c>
      <c r="F4" s="15" t="str">
        <f>IFERROR(E4/D4, "")</f>
        <v/>
      </c>
      <c r="G4" s="16">
        <f>SUM(Jul!G4, Aug!G4, Sep!G4)</f>
        <v>0</v>
      </c>
      <c r="H4" s="16">
        <f>SUM(Jul!H4, Aug!H4, Sep!H4)</f>
        <v>63345.599999999999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C5" sqref="C5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5897</v>
      </c>
      <c r="D2" s="6">
        <f>SUM(D4:D89)</f>
        <v>11503</v>
      </c>
      <c r="E2" s="6">
        <f>C2-D2</f>
        <v>-5606</v>
      </c>
      <c r="F2" s="7">
        <f>IFERROR(E2/D2, 0)</f>
        <v>-0.48735112579327133</v>
      </c>
      <c r="G2" s="6">
        <f>SUM(G4:G89)</f>
        <v>0</v>
      </c>
      <c r="H2" s="8">
        <f>C2-G2</f>
        <v>5897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5897</v>
      </c>
      <c r="D4" s="14">
        <v>11503</v>
      </c>
      <c r="E4" s="14">
        <f>IF(AND(ISNUMBER(C4),ISNUMBER(D4)), C4-D4, "")</f>
        <v>-5606</v>
      </c>
      <c r="F4" s="15">
        <f>IFERROR(E4/D4, "")</f>
        <v>-0.48735112579327133</v>
      </c>
      <c r="G4" s="16">
        <v>0</v>
      </c>
      <c r="H4" s="16">
        <f>IF(AND(ISNUMBER(C4),ISNUMBER(G4)), C4-G4, "")</f>
        <v>5897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F17" sqref="F17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18044</v>
      </c>
      <c r="D2" s="6">
        <f>SUM(D4:D85)</f>
        <v>18309</v>
      </c>
      <c r="E2" s="6">
        <f>C2-D2</f>
        <v>-265</v>
      </c>
      <c r="F2" s="7">
        <f>IFERROR(E2/D2, 0)</f>
        <v>-1.4473756076246654E-2</v>
      </c>
      <c r="G2" s="6">
        <f>SUM(G4:G85)</f>
        <v>0</v>
      </c>
      <c r="H2" s="8">
        <f>C2-G2</f>
        <v>18044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18044</v>
      </c>
      <c r="D4" s="14">
        <v>18309</v>
      </c>
      <c r="E4" s="14">
        <f>IF(AND(ISNUMBER(C4),ISNUMBER(D4)), C4-D4, "")</f>
        <v>-265</v>
      </c>
      <c r="F4" s="15">
        <f>IFERROR(E4/D4, "")</f>
        <v>-1.4473756076246654E-2</v>
      </c>
      <c r="G4" s="16">
        <v>0</v>
      </c>
      <c r="H4" s="16">
        <f>IF(AND(ISNUMBER(C4),ISNUMBER(G4)), C4-G4, "")</f>
        <v>18044</v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22639</v>
      </c>
      <c r="D2" s="6">
        <f>SUM(D4:D90)</f>
        <v>22785</v>
      </c>
      <c r="E2" s="6">
        <f>C2-D2</f>
        <v>-146</v>
      </c>
      <c r="F2" s="7">
        <f>IFERROR(E2/D2, 0)</f>
        <v>-6.4077243800746107E-3</v>
      </c>
      <c r="G2" s="6">
        <f>SUM(G4:G90)</f>
        <v>0</v>
      </c>
      <c r="H2" s="8">
        <f>C2-G2</f>
        <v>22639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22639</v>
      </c>
      <c r="D4" s="14">
        <v>22785</v>
      </c>
      <c r="E4" s="14">
        <f>IF(AND(ISNUMBER(C4),ISNUMBER(D4)), C4-D4, "")</f>
        <v>-146</v>
      </c>
      <c r="F4" s="15">
        <f>IFERROR(E4/D4, "")</f>
        <v>-6.4077243800746107E-3</v>
      </c>
      <c r="G4" s="16">
        <v>0</v>
      </c>
      <c r="H4" s="16">
        <f>IF(AND(ISNUMBER(C4),ISNUMBER(G4)), C4-G4, "")</f>
        <v>22639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28039.7</v>
      </c>
      <c r="D2" s="6">
        <f>SUM(D4:D90)</f>
        <v>23414.6</v>
      </c>
      <c r="E2" s="6">
        <f>C2-D2</f>
        <v>4625.1000000000022</v>
      </c>
      <c r="F2" s="7">
        <f>IFERROR(E2/D2, 0)</f>
        <v>0.19753060056545926</v>
      </c>
      <c r="G2" s="6">
        <f>SUM(G4:G90)</f>
        <v>0</v>
      </c>
      <c r="H2" s="8">
        <f>C2-G2</f>
        <v>28039.7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28039.7</v>
      </c>
      <c r="D4" s="14">
        <v>23414.6</v>
      </c>
      <c r="E4" s="14">
        <f>IF(AND(ISNUMBER(C4),ISNUMBER(D4)), C4-D4, "")</f>
        <v>4625.1000000000022</v>
      </c>
      <c r="F4" s="15">
        <f>IFERROR(E4/D4, "")</f>
        <v>0.19753060056545926</v>
      </c>
      <c r="G4" s="16">
        <v>0</v>
      </c>
      <c r="H4" s="16">
        <f>IF(AND(ISNUMBER(C4),ISNUMBER(G4)), C4-G4, "")</f>
        <v>28039.7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32570.9</v>
      </c>
      <c r="D2" s="6">
        <f>SUM(D4:D90)</f>
        <v>13284.06</v>
      </c>
      <c r="E2" s="6">
        <f>C2-D2</f>
        <v>19286.840000000004</v>
      </c>
      <c r="F2" s="7">
        <f>IFERROR(E2/D2, 0)</f>
        <v>1.4518784166888741</v>
      </c>
      <c r="G2" s="6">
        <f>SUM(G4:G90)</f>
        <v>0</v>
      </c>
      <c r="H2" s="8">
        <f>C2-G2</f>
        <v>32570.9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32570.9</v>
      </c>
      <c r="D4" s="14">
        <v>13284.06</v>
      </c>
      <c r="E4" s="14">
        <f>IF(AND(ISNUMBER(C4),ISNUMBER(D4)), C4-D4, "")</f>
        <v>19286.840000000004</v>
      </c>
      <c r="F4" s="15">
        <f>IFERROR(E4/D4, "")</f>
        <v>1.4518784166888741</v>
      </c>
      <c r="G4" s="16">
        <v>0</v>
      </c>
      <c r="H4" s="16">
        <f>IF(AND(ISNUMBER(C4),ISNUMBER(G4)), C4-G4, "")</f>
        <v>32570.9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E12" sqref="E12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36112.25</v>
      </c>
      <c r="D2" s="6">
        <f>SUM(D4:D90)</f>
        <v>0</v>
      </c>
      <c r="E2" s="6">
        <f>C2-D2</f>
        <v>36112.25</v>
      </c>
      <c r="F2" s="7">
        <f>IFERROR(E2/D2, 0)</f>
        <v>0</v>
      </c>
      <c r="G2" s="6">
        <f>SUM(G4:G90)</f>
        <v>0</v>
      </c>
      <c r="H2" s="8">
        <f>C2-G2</f>
        <v>36112.25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36112.25</v>
      </c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>
        <f>IF(AND(ISNUMBER(C4),ISNUMBER(G4)), C4-G4, "")</f>
        <v>36112.25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H10" sqref="H1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33200.6</v>
      </c>
      <c r="D2" s="6">
        <f>SUM(D4:D90)</f>
        <v>0</v>
      </c>
      <c r="E2" s="6">
        <f>C2-D2</f>
        <v>33200.6</v>
      </c>
      <c r="F2" s="7">
        <f>IFERROR(E2/D2, 0)</f>
        <v>0</v>
      </c>
      <c r="G2" s="6">
        <f>SUM(G4:G90)</f>
        <v>0</v>
      </c>
      <c r="H2" s="8">
        <f>C2-G2</f>
        <v>33200.6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33200.6</v>
      </c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>
        <f>IF(AND(ISNUMBER(C4),ISNUMBER(G4)), C4-G4, "")</f>
        <v>33200.6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tabSelected="1" workbookViewId="0">
      <pane ySplit="2" topLeftCell="A3" activePane="bottomLeft" state="frozen"/>
      <selection pane="bottomLeft" activeCell="H4" sqref="H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30145</v>
      </c>
      <c r="D2" s="6">
        <f>SUM(D4:D30)</f>
        <v>0</v>
      </c>
      <c r="E2" s="6">
        <f>C2-D2</f>
        <v>30145</v>
      </c>
      <c r="F2" s="7">
        <f>IFERROR(E2/D2, 0)</f>
        <v>0</v>
      </c>
      <c r="G2" s="6">
        <f>SUM(G4:G30)</f>
        <v>0</v>
      </c>
      <c r="H2" s="8">
        <f>C2-G2</f>
        <v>30145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30145</v>
      </c>
      <c r="D4" s="14">
        <v>0</v>
      </c>
      <c r="E4" s="14">
        <f>IF(AND(ISNUMBER(C4),ISNUMBER(D4)), C4-D4, "")</f>
        <v>30145</v>
      </c>
      <c r="F4" s="15" t="str">
        <f>IFERROR(E4/D4, "")</f>
        <v/>
      </c>
      <c r="G4" s="16">
        <v>0</v>
      </c>
      <c r="H4" s="16">
        <f>IF(AND(ISNUMBER(C4),ISNUMBER(G4)), C4-G4, "")</f>
        <v>30145</v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4" sqref="E14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t="s">
        <v>49</v>
      </c>
      <c r="B4" t="s">
        <v>49</v>
      </c>
      <c r="C4" s="4" t="s">
        <v>50</v>
      </c>
      <c r="E4" t="s">
        <v>51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CB52044A-5C0B-44A2-99D0-C1C315EC302D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F12EFA50-0068-4A8C-85A0-F1B26389EBC3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C0BCDC1E-6052-4E48-9BAF-94A40814E7C2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BF5C6359-7763-4C37-8EAF-2BC4698CB285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3AEAA9D8-2182-46BA-A58E-96C72DDA1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Sai Krishna Gujjula [AGS]</cp:lastModifiedBy>
  <cp:revision/>
  <dcterms:created xsi:type="dcterms:W3CDTF">2021-01-01T16:39:53Z</dcterms:created>
  <dcterms:modified xsi:type="dcterms:W3CDTF">2024-09-11T11:27:06Z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