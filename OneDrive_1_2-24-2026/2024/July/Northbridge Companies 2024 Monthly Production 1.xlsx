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7" documentId="13_ncr:1_{EE94B1F5-F360-4FB7-A6A2-8CA054129D7F}" xr6:coauthVersionLast="47" xr6:coauthVersionMax="47" xr10:uidLastSave="{63451BA5-2DCD-407B-9259-9E52A8DB0F13}"/>
  <bookViews>
    <workbookView xWindow="-98" yWindow="-98" windowWidth="21795" windowHeight="12975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0" l="1" a="1"/>
  <c r="A4" i="20" s="1"/>
  <c r="G5" i="18"/>
  <c r="G4" i="18"/>
  <c r="G4" i="1"/>
  <c r="F4" i="72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D5" i="34"/>
  <c r="C5" i="34"/>
  <c r="B4" i="34" a="1"/>
  <c r="B4" i="34" s="1"/>
  <c r="A4" i="34" a="1"/>
  <c r="A4" i="34" s="1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F5" i="27"/>
  <c r="E5" i="27"/>
  <c r="I4" i="27"/>
  <c r="H4" i="27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A1" i="72" a="1"/>
  <c r="A1" i="72" s="1"/>
  <c r="D4" i="34" l="1"/>
  <c r="D2" i="34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<sst xmlns="http://schemas.openxmlformats.org/spreadsheetml/2006/main" count="257" uniqueCount="61">
  <si>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</si>
  <si>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</si>
  <si>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</si>
  <si>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</si>
  <si>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</si>
  <si>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</si>
  <si>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</si>
  <si>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</si>
  <si>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</si>
  <si>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</si>
  <si>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</si>
  <si>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</si>
  <si>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</si>
  <si>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</si>
  <si>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</si>
  <si>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</si>
  <si>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</si>
  <si>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</si>
  <si>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</si>
  <si>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</si>
  <si>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</si>
  <si>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</si>
  <si>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Known for bad WMS readings due to that expected data values are high.</t>
  </si>
  <si>
    <t>1. SR061954</t>
  </si>
  <si>
    <t>February Actual v. Expected</t>
  </si>
  <si>
    <t>February Actual v. Forecasted</t>
  </si>
  <si>
    <t>1. Inverter 2.3 is offline on 02/23/2024 and back online on 02/24
2. Known for bad WMS readings due to that expected data values are high.</t>
  </si>
  <si>
    <t>1. SR081278
2. SR061954</t>
  </si>
  <si>
    <t>March Actual v. Expected</t>
  </si>
  <si>
    <t>March Actual v. Forecasted</t>
  </si>
  <si>
    <t>April Actual v. Expected</t>
  </si>
  <si>
    <t>April Actual v. Forecasted</t>
  </si>
  <si>
    <t>1. Known for bad weather station readings due to that expected data values are low.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</si>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</sst>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SUM(C4:C90)</f>
        <v>217622.125</v>
      </c>
      <c r="D2" s="6">
        <f>SUM(D4:D90)</f>
        <v>101776.67</v>
      </c>
      <c r="E2" s="6">
        <f>C2-D2</f>
        <v>115845.455</v>
      </c>
      <c r="F2" s="7">
        <f>IFERROR(E2/D2, 0)</f>
        <v>1.1382319248605797</v>
      </c>
      <c r="G2" s="6">
        <f>SUM(G4:G90)</f>
        <v>142012.791</v>
      </c>
      <c r="H2" s="8">
        <f>C2-G2</f>
        <v>75609.334000000003</v>
      </c>
      <c r="I2" s="7">
        <f>IFERROR(H2/G2, 0)</f>
        <v>0.53241214025573236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166663</v>
      </c>
      <c r="D4" s="14">
        <f>SUM('1st Qtr'!D4, '2nd Qtr'!D4, '3rd Qtr'!D4, '4th Qtr'!D4)</f>
        <v>0</v>
      </c>
      <c r="E4" s="14">
        <f>IF(AND(ISNUMBER(C4),ISNUMBER(D4)), C4-D4, "")</f>
        <v>166663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166663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SUM('1st Qtr'!G5,'2nd Qtr'!G5,'3rd Qtr'!G5,'4th Qtr'!G5)</f>
        <v>142012.791</v>
      </c>
      <c r="H5" s="22">
        <f>SUM(Jan!H5, Feb!H5, Mar!H5)</f>
        <v>-800.2450000000008</v>
      </c>
      <c r="I5" s="21">
        <f>IFERROR(H5/G5, "")</f>
        <v>-5.6350205806461537E-3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G5" sqref="G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SUM(C4:C90)</f>
        <v>103813.125</v>
      </c>
      <c r="D2" s="6">
        <f>SUM(D4:D90)</f>
        <v>101776.67</v>
      </c>
      <c r="E2" s="6">
        <f>C2-D2</f>
        <v>2036.4550000000017</v>
      </c>
      <c r="F2" s="7">
        <f>IFERROR(E2/D2, 0)</f>
        <v>2.0009055120392541E-2</v>
      </c>
      <c r="G2" s="6">
        <f>SUM(G4:G90)</f>
        <v>51759.37</v>
      </c>
      <c r="H2" s="8">
        <f>C2-G2</f>
        <v>52053.754999999997</v>
      </c>
      <c r="I2" s="7">
        <f>IFERROR(H2/G2, 0)</f>
        <v>1.0056875692265961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52854</v>
      </c>
      <c r="D4" s="14">
        <f>SUM(Jan!D4, Feb!D4, Mar!D4)</f>
        <v>0</v>
      </c>
      <c r="E4" s="14">
        <f>IF(AND(ISNUMBER(C4),ISNUMBER(D4)), C4-D4, "")</f>
        <v>52854</v>
      </c>
      <c r="F4" s="15" t="str">
        <f>IFERROR(E4/D4, "")</f>
        <v/>
      </c>
      <c r="G4" s="16">
        <f>SUM(Jan!G4, Feb!G4, Mar!G4)</f>
        <v>0</v>
      </c>
      <c r="H4" s="16">
        <f>SUM(Jan!H4, Feb!H4, Mar!H4)</f>
        <v>52854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SUM(Jan!G5, Feb!G5, Mar!G5)</f>
        <v>51759.37</v>
      </c>
      <c r="H5" s="22">
        <f>SUM(Jan!H5, Feb!H5, Mar!H5)</f>
        <v>-800.2450000000008</v>
      </c>
      <c r="I5" s="21">
        <f>IFERROR(H5/G5, "")</f>
        <v>-1.5460872108760225E-2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2.7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SUM(C4:C90)</f>
        <v>179147.875</v>
      </c>
      <c r="D2" s="6">
        <f>SUM(D4:D90)</f>
        <v>39400.597000000002</v>
      </c>
      <c r="E2" s="6">
        <f>C2-D2</f>
        <v>139747.27799999999</v>
      </c>
      <c r="F2" s="7">
        <f>IFERROR(E2/D2, 0)</f>
        <v>3.5468314858274859</v>
      </c>
      <c r="G2" s="6">
        <f>SUM(G4:G90)</f>
        <v>90253.421000000002</v>
      </c>
      <c r="H2" s="8">
        <f>C2-G2</f>
        <v>88894.453999999998</v>
      </c>
      <c r="I2" s="7">
        <f>IFERROR(H2/G2, 0)</f>
        <v>0.98494276466262698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86836</v>
      </c>
      <c r="D4" s="14">
        <f>SUM(Apr!D4, May!D4, Jun!D4)</f>
        <v>0</v>
      </c>
      <c r="E4" s="14">
        <f>IF(AND(ISNUMBER(C4),ISNUMBER(D4)), C4-D4, "")</f>
        <v>86836</v>
      </c>
      <c r="F4" s="15" t="str">
        <f>IFERROR(E4/D4, "")</f>
        <v/>
      </c>
      <c r="G4" s="16">
        <f>SUM(Apr!G4, May!G4, Jun!G4)</f>
        <v>0</v>
      </c>
      <c r="H4" s="16">
        <f>SUM(Apr!H4, May!H4, Jun!H4)</f>
        <v>86836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SUM(Apr!C5, May!C5, Jun!C5)</f>
        <v>92311.875</v>
      </c>
      <c r="D5" s="20">
        <f>SUM(Apr!D5, May!D5, Jun!D5)</f>
        <v>39400.597000000002</v>
      </c>
      <c r="E5" s="20">
        <f t="shared" ref="E5" si="0">IF(AND(ISNUMBER(C5),ISNUMBER(D5)), C5-D5, "")</f>
        <v>52911.277999999998</v>
      </c>
      <c r="F5" s="21">
        <f>IFERROR(E5/D5, "")</f>
        <v>1.3429054894777355</v>
      </c>
      <c r="G5" s="12">
        <f>SUM(Apr!G5, May!G5, Jun!G5)</f>
        <v>90253.421000000002</v>
      </c>
      <c r="H5" s="22">
        <f>SUM(Apr!H5, May!H5, Jun!H5)</f>
        <v>2058.4540000000015</v>
      </c>
      <c r="I5" s="21">
        <f>IFERROR(H5/G5, "")</f>
        <v>2.2807490034089693E-2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SUM(C4:C90)</f>
        <v>56183.125</v>
      </c>
      <c r="D2" s="6">
        <f>SUM(D4:D90)</f>
        <v>13963.361000000001</v>
      </c>
      <c r="E2" s="6">
        <f>C2-D2</f>
        <v>42219.763999999996</v>
      </c>
      <c r="F2" s="7">
        <f>IFERROR(E2/D2, 0)</f>
        <v>3.0236104330468856</v>
      </c>
      <c r="G2" s="6">
        <f>SUM(G4:G90)</f>
        <v>0</v>
      </c>
      <c r="H2" s="8">
        <f>C2-G2</f>
        <v>56183.125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26973</v>
      </c>
      <c r="D4" s="14">
        <f>SUM(Jul!D4, Aug!D4, Sep!D4)</f>
        <v>0</v>
      </c>
      <c r="E4" s="14">
        <f>IF(AND(ISNUMBER(C4),ISNUMBER(D4)), C4-D4, "")</f>
        <v>26973</v>
      </c>
      <c r="F4" s="15" t="str">
        <f>IFERROR(E4/D4, "")</f>
        <v/>
      </c>
      <c r="G4" s="16"/>
      <c r="H4" s="16">
        <f>SUM(Jul!H4, Aug!H4, Sep!H4)</f>
        <v>26973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SUM(Jul!C5, Aug!C5, Sep!C5)</f>
        <v>29210.125</v>
      </c>
      <c r="D5" s="20">
        <f>SUM(Jul!D5, Aug!D5, Sep!D5)</f>
        <v>13963.361000000001</v>
      </c>
      <c r="E5" s="20">
        <f t="shared" ref="E5" si="0">IF(AND(ISNUMBER(C5),ISNUMBER(D5)), C5-D5, "")</f>
        <v>15246.763999999999</v>
      </c>
      <c r="F5" s="21">
        <f>IFERROR(E5/D5, "")</f>
        <v>1.0919121836067978</v>
      </c>
      <c r="G5" s="22"/>
      <c r="H5" s="22">
        <f>SUM(Jul!H5, Aug!H5, Sep!H5)</f>
        <v>-1808.0709999999999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5" sqref="K5"/>
      <selection activeCell="E24" sqref="E24"/>
    </sheetView>
  </sheetViews>
  <sheetFormatPr defaultRowHeight="13.5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SUM(C4:C89)</f>
        <v>21075.625</v>
      </c>
      <c r="D2" s="6">
        <f>SUM(D4:D89)</f>
        <v>38443.42</v>
      </c>
      <c r="E2" s="6">
        <f>C2-D2</f>
        <v>-17367.794999999998</v>
      </c>
      <c r="F2" s="7">
        <f>IFERROR(E2/D2, 0)</f>
        <v>-0.45177549239895926</v>
      </c>
      <c r="G2" s="6">
        <f>SUM(G4:G89)</f>
        <v>13191.29</v>
      </c>
      <c r="H2" s="8">
        <f>C2-G2</f>
        <v>7884.3349999999991</v>
      </c>
      <c r="I2" s="7">
        <f>IFERROR(H2/G2, 0)</f>
        <v>0.59769249254621792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11182</v>
      </c>
      <c r="D4" s="14">
        <v>0</v>
      </c>
      <c r="E4" s="14">
        <f>IF(AND(ISNUMBER(C4),ISNUMBER(D4)), C4-D4, "")</f>
        <v>11182</v>
      </c>
      <c r="F4" s="15" t="str">
        <f>IFERROR(E4/D4, "")</f>
        <v/>
      </c>
      <c r="G4" s="16">
        <v>0</v>
      </c>
      <c r="H4" s="16">
        <f>IF(AND(ISNUMBER(C4),ISNUMBER(G4)), C4-G4, "")</f>
        <v>11182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9893.625</v>
      </c>
      <c r="D5" s="20"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v>13191.29</v>
      </c>
      <c r="H5" s="22">
        <f t="shared" ref="H5" si="1">IF(AND(ISNUMBER(C5),ISNUMBER(G5)), C5-G5, "")</f>
        <v>-3297.6650000000009</v>
      </c>
      <c r="I5" s="21">
        <f t="shared" ref="I5" si="2">IFERROR(H5/G5, "")</f>
        <v>-0.24998806030342755</v>
      </c>
      <c r="J5" s="42" t="s">
        <v>22</v>
      </c>
      <c r="K5" s="42" t="s">
        <v>23</v>
      </c>
    </row>
    <row r="6" spans="1:11" ht="14.2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5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35551.5</v>
      </c>
      <c r="D2" s="6">
        <f>SUM(D4:D90)</f>
        <v>35585.25</v>
      </c>
      <c r="E2" s="6">
        <f>C2-D2</f>
        <v>-33.75</v>
      </c>
      <c r="F2" s="7">
        <f>IFERROR(E2/D2, 0)</f>
        <v>-9.4842666554260545E-4</v>
      </c>
      <c r="G2" s="6">
        <f>SUM(G4:G90)</f>
        <v>16281.08</v>
      </c>
      <c r="H2" s="8">
        <f>C2-G2</f>
        <v>19270.419999999998</v>
      </c>
      <c r="I2" s="7">
        <f>IFERROR(H2/G2, 0)</f>
        <v>1.1836082127229888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18304</v>
      </c>
      <c r="D4" s="14">
        <v>0</v>
      </c>
      <c r="E4" s="14">
        <f>IF(AND(ISNUMBER(C4),ISNUMBER(D4)), C4-D4, "")</f>
        <v>18304</v>
      </c>
      <c r="F4" s="15" t="str">
        <f>IFERROR(E4/D4, "")</f>
        <v/>
      </c>
      <c r="G4" s="16">
        <v>0</v>
      </c>
      <c r="H4" s="16">
        <f>IF(AND(ISNUMBER(C4),ISNUMBER(G4)), C4-G4, "")</f>
        <v>18304</v>
      </c>
      <c r="I4" s="17" t="str">
        <f>IFERROR(H4/G4, "")</f>
        <v/>
      </c>
      <c r="J4" s="18"/>
      <c r="K4" s="18"/>
    </row>
    <row r="5" spans="1:11" ht="28.5">
      <c r="A5" s="31" t="str">
        <v>MA: North Dartmouth - 293 Cross St (Array 2)</v>
      </c>
      <c r="B5" s="32" t="str">
        <v>MA</v>
      </c>
      <c r="C5" s="12">
        <v>17247.5</v>
      </c>
      <c r="D5" s="20">
        <v>35585.25</v>
      </c>
      <c r="E5" s="20">
        <f t="shared" ref="E5" si="0">IF(AND(ISNUMBER(C5),ISNUMBER(D5)), C5-D5, "")</f>
        <v>-18337.75</v>
      </c>
      <c r="F5" s="21">
        <f>IFERROR(E5/D5, "")</f>
        <v>-0.51531884699419006</v>
      </c>
      <c r="G5" s="22">
        <v>16281.08</v>
      </c>
      <c r="H5" s="22">
        <f t="shared" ref="H5" si="1">IF(AND(ISNUMBER(C5),ISNUMBER(G5)), C5-G5, "")</f>
        <v>966.42000000000007</v>
      </c>
      <c r="I5" s="21">
        <f t="shared" ref="I5" si="2">IFERROR(H5/G5, "")</f>
        <v>5.9358470076923651E-2</v>
      </c>
      <c r="J5" s="43" t="s">
        <v>26</v>
      </c>
      <c r="K5" s="43" t="s">
        <v>27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5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47186</v>
      </c>
      <c r="D2" s="6">
        <f>SUM(D4:D90)</f>
        <v>27748</v>
      </c>
      <c r="E2" s="6">
        <f>C2-D2</f>
        <v>19438</v>
      </c>
      <c r="F2" s="7">
        <f>IFERROR(E2/D2, 0)</f>
        <v>0.70051895632117633</v>
      </c>
      <c r="G2" s="6">
        <f>SUM(G4:G90)</f>
        <v>22287</v>
      </c>
      <c r="H2" s="8">
        <f>C2-G2</f>
        <v>24899</v>
      </c>
      <c r="I2" s="7">
        <f>IFERROR(H2/G2, 0)</f>
        <v>1.117198366760892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23368</v>
      </c>
      <c r="D4" s="14">
        <v>0</v>
      </c>
      <c r="E4" s="14">
        <f>IF(AND(ISNUMBER(C4),ISNUMBER(D4)), C4-D4, "")</f>
        <v>23368</v>
      </c>
      <c r="F4" s="15" t="str">
        <f>IFERROR(E4/D4, "")</f>
        <v/>
      </c>
      <c r="G4" s="16">
        <v>0</v>
      </c>
      <c r="H4" s="16">
        <f>IF(AND(ISNUMBER(C4),ISNUMBER(G4)), C4-G4, "")</f>
        <v>23368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23818</v>
      </c>
      <c r="D5" s="20">
        <v>27748</v>
      </c>
      <c r="E5" s="20">
        <f t="shared" ref="E5" si="0">IF(AND(ISNUMBER(C5),ISNUMBER(D5)), C5-D5, "")</f>
        <v>-3930</v>
      </c>
      <c r="F5" s="21">
        <f>IFERROR(E5/D5, "")</f>
        <v>-0.14163182932103216</v>
      </c>
      <c r="G5" s="22">
        <v>22287</v>
      </c>
      <c r="H5" s="22">
        <f t="shared" ref="H5" si="1">IF(AND(ISNUMBER(C5),ISNUMBER(G5)), C5-G5, "")</f>
        <v>1531</v>
      </c>
      <c r="I5" s="21">
        <f t="shared" ref="I5" si="2">IFERROR(H5/G5, "")</f>
        <v>6.8694754789787774E-2</v>
      </c>
      <c r="J5" s="42" t="s">
        <v>22</v>
      </c>
      <c r="K5" s="44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I14" sqref="I1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52168.074999999997</v>
      </c>
      <c r="D2" s="6">
        <f>SUM(D4:D90)</f>
        <v>16380.983</v>
      </c>
      <c r="E2" s="6">
        <f>C2-D2</f>
        <v>35787.091999999997</v>
      </c>
      <c r="F2" s="7">
        <f>IFERROR(E2/D2, 0)</f>
        <v>2.184673044346606</v>
      </c>
      <c r="G2" s="6">
        <f>SUM(G4:G90)</f>
        <v>26573.545999999998</v>
      </c>
      <c r="H2" s="8">
        <f>C2-G2</f>
        <v>25594.528999999999</v>
      </c>
      <c r="I2" s="7">
        <f>IFERROR(H2/G2, 0)</f>
        <v>0.96315821004844437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25670.2</v>
      </c>
      <c r="D4" s="14">
        <v>0</v>
      </c>
      <c r="E4" s="14">
        <f>IF(AND(ISNUMBER(C4),ISNUMBER(D4)), C4-D4, "")</f>
        <v>25670.2</v>
      </c>
      <c r="F4" s="15" t="str">
        <f>IFERROR(E4/D4, "")</f>
        <v/>
      </c>
      <c r="G4" s="16">
        <v>0</v>
      </c>
      <c r="H4" s="16">
        <f>IF(AND(ISNUMBER(C4),ISNUMBER(G4)), C4-G4, "")</f>
        <v>25670.2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26497.875</v>
      </c>
      <c r="D5" s="20">
        <v>16380.983</v>
      </c>
      <c r="E5" s="20">
        <f t="shared" ref="E5" si="0">IF(AND(ISNUMBER(C5),ISNUMBER(D5)), C5-D5, "")</f>
        <v>10116.892</v>
      </c>
      <c r="F5" s="21">
        <f>IFERROR(E5/D5, "")</f>
        <v>0.6175998107073305</v>
      </c>
      <c r="G5" s="22">
        <v>26573.545999999998</v>
      </c>
      <c r="H5" s="22">
        <f t="shared" ref="H5" si="1">IF(AND(ISNUMBER(C5),ISNUMBER(G5)), C5-G5, "")</f>
        <v>-75.670999999998457</v>
      </c>
      <c r="I5" s="21">
        <f t="shared" ref="I5" si="2">IFERROR(H5/G5, "")</f>
        <v>-2.8476064127835429E-3</v>
      </c>
      <c r="J5" s="42" t="s">
        <v>32</v>
      </c>
      <c r="K5" s="42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J5" sqref="J5"/>
      <selection activeCell="E24" sqref="E24"/>
    </sheetView>
  </sheetViews>
  <sheetFormatPr defaultRowHeight="13.5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33</v>
      </c>
      <c r="E1" s="47"/>
      <c r="F1" s="47"/>
      <c r="G1" s="45" t="s">
        <v>34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59284.800000000003</v>
      </c>
      <c r="D2" s="6">
        <f>SUM(D4:D90)</f>
        <v>14530.614</v>
      </c>
      <c r="E2" s="6">
        <f>C2-D2</f>
        <v>44754.186000000002</v>
      </c>
      <c r="F2" s="7">
        <f>IFERROR(E2/D2, 0)</f>
        <v>3.0799927656188517</v>
      </c>
      <c r="G2" s="6">
        <f>SUM(G4:G90)</f>
        <v>31133.875</v>
      </c>
      <c r="H2" s="8">
        <f>C2-G2</f>
        <v>28150.925000000003</v>
      </c>
      <c r="I2" s="7">
        <f>IFERROR(H2/G2, 0)</f>
        <v>0.90418956843630938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28622.799999999999</v>
      </c>
      <c r="D4" s="14">
        <v>0</v>
      </c>
      <c r="E4" s="14">
        <f>IF(AND(ISNUMBER(C4),ISNUMBER(D4)), C4-D4, "")</f>
        <v>28622.799999999999</v>
      </c>
      <c r="F4" s="15" t="str">
        <f>IFERROR(E4/D4, "")</f>
        <v/>
      </c>
      <c r="G4" s="16">
        <v>0</v>
      </c>
      <c r="H4" s="16">
        <f>IF(AND(ISNUMBER(C4),ISNUMBER(G4)), C4-G4, "")</f>
        <v>28622.799999999999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30662</v>
      </c>
      <c r="D5" s="20">
        <v>14530.614</v>
      </c>
      <c r="E5" s="20">
        <f t="shared" ref="E5" si="0">IF(AND(ISNUMBER(C5),ISNUMBER(D5)), C5-D5, "")</f>
        <v>16131.386</v>
      </c>
      <c r="F5" s="21">
        <f>IFERROR(E5/D5, "")</f>
        <v>1.110165475457541</v>
      </c>
      <c r="G5" s="22">
        <v>31133.875</v>
      </c>
      <c r="H5" s="22">
        <f t="shared" ref="H5" si="1">IF(AND(ISNUMBER(C5),ISNUMBER(G5)), C5-G5, "")</f>
        <v>-471.875</v>
      </c>
      <c r="I5" s="21">
        <f t="shared" ref="I5" si="2">IFERROR(H5/G5, "")</f>
        <v>-1.5156320888421374E-2</v>
      </c>
      <c r="J5" s="42" t="s">
        <v>32</v>
      </c>
      <c r="K5" s="44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5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35</v>
      </c>
      <c r="E1" s="47"/>
      <c r="F1" s="47"/>
      <c r="G1" s="45" t="s">
        <v>36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67695</v>
      </c>
      <c r="D2" s="6">
        <f>SUM(D4:D90)</f>
        <v>8489</v>
      </c>
      <c r="E2" s="6">
        <f>C2-D2</f>
        <v>59206</v>
      </c>
      <c r="F2" s="7">
        <f>IFERROR(E2/D2, 0)</f>
        <v>6.9744375073624694</v>
      </c>
      <c r="G2" s="6">
        <f>SUM(G4:G90)</f>
        <v>32546</v>
      </c>
      <c r="H2" s="8">
        <f>C2-G2</f>
        <v>35149</v>
      </c>
      <c r="I2" s="7">
        <f>IFERROR(H2/G2, 0)</f>
        <v>1.0799791064954218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32543</v>
      </c>
      <c r="D4" s="14">
        <v>0</v>
      </c>
      <c r="E4" s="14">
        <f>IF(AND(ISNUMBER(C4),ISNUMBER(D4)), C4-D4, "")</f>
        <v>32543</v>
      </c>
      <c r="F4" s="15" t="str">
        <f>IFERROR(E4/D4, "")</f>
        <v/>
      </c>
      <c r="G4" s="16">
        <v>0</v>
      </c>
      <c r="H4" s="16">
        <f>IF(AND(ISNUMBER(C4),ISNUMBER(G4)), C4-G4, "")</f>
        <v>32543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35152</v>
      </c>
      <c r="D5" s="20">
        <v>8489</v>
      </c>
      <c r="E5" s="20">
        <f t="shared" ref="E5" si="0">IF(AND(ISNUMBER(C5),ISNUMBER(D5)), C5-D5, "")</f>
        <v>26663</v>
      </c>
      <c r="F5" s="21">
        <f>IFERROR(E5/D5, "")</f>
        <v>3.1408882082695251</v>
      </c>
      <c r="G5" s="22">
        <v>32546</v>
      </c>
      <c r="H5" s="22">
        <f t="shared" ref="H5" si="1">IF(AND(ISNUMBER(C5),ISNUMBER(G5)), C5-G5, "")</f>
        <v>2606</v>
      </c>
      <c r="I5" s="21">
        <f t="shared" ref="I5" si="2">IFERROR(H5/G5, "")</f>
        <v>8.0071283721501879E-2</v>
      </c>
      <c r="J5" s="42" t="s">
        <v>32</v>
      </c>
      <c r="K5" s="42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abSelected="1" topLeftCell="C1" workbookViewId="0">
      <pane ySplit="2" topLeftCell="A3" activePane="bottomLeft" state="frozen"/>
      <selection pane="bottomLeft" activeCell="H4" sqref="H4"/>
      <selection activeCell="E24" sqref="E24"/>
    </sheetView>
  </sheetViews>
  <sheetFormatPr defaultRowHeight="13.5"/>
  <cols>
    <col min="1" max="1" width="50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37</v>
      </c>
      <c r="E1" s="47"/>
      <c r="F1" s="47"/>
      <c r="G1" s="45" t="s">
        <v>38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56183.125</v>
      </c>
      <c r="D2" s="6">
        <f>SUM(D4:D90)</f>
        <v>13963.361000000001</v>
      </c>
      <c r="E2" s="6">
        <f>C2-D2</f>
        <v>42219.763999999996</v>
      </c>
      <c r="F2" s="7">
        <f>IFERROR(E2/D2, 0)</f>
        <v>3.0236104330468856</v>
      </c>
      <c r="G2" s="6">
        <f>SUM(G4:G90)</f>
        <v>31018.196</v>
      </c>
      <c r="H2" s="8">
        <f>C2-G2</f>
        <v>25164.929</v>
      </c>
      <c r="I2" s="7">
        <f>IFERROR(H2/G2, 0)</f>
        <v>0.81129569882142727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26973</v>
      </c>
      <c r="D4" s="14">
        <v>0</v>
      </c>
      <c r="E4" s="14">
        <f>IF(AND(ISNUMBER(C4),ISNUMBER(D4)), C4-D4, "")</f>
        <v>26973</v>
      </c>
      <c r="F4" s="15" t="str">
        <f>IFERROR(E4/D4, "")</f>
        <v/>
      </c>
      <c r="G4" s="16">
        <v>0</v>
      </c>
      <c r="H4" s="16">
        <f>IF(AND(ISNUMBER(C4),ISNUMBER(G4)), C4-G4, "")</f>
        <v>26973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29210.125</v>
      </c>
      <c r="D5" s="20">
        <v>13963.361000000001</v>
      </c>
      <c r="E5" s="20">
        <f t="shared" ref="E5" si="0">IF(AND(ISNUMBER(C5),ISNUMBER(D5)), C5-D5, "")</f>
        <v>15246.763999999999</v>
      </c>
      <c r="F5" s="21">
        <f>IFERROR(E5/D5, "")</f>
        <v>1.0919121836067978</v>
      </c>
      <c r="G5" s="22">
        <v>31018.196</v>
      </c>
      <c r="H5" s="22">
        <f t="shared" ref="H5" si="1">IF(AND(ISNUMBER(C5),ISNUMBER(G5)), C5-G5, "")</f>
        <v>-1808.0709999999999</v>
      </c>
      <c r="I5" s="21">
        <f t="shared" ref="I5" si="2">IFERROR(H5/G5, "")</f>
        <v>-5.8290656232876985E-2</v>
      </c>
      <c r="J5" s="42" t="s">
        <v>32</v>
      </c>
      <c r="K5" s="44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39</v>
      </c>
      <c r="E1" s="47"/>
      <c r="F1" s="47"/>
      <c r="G1" s="45" t="s">
        <v>40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41</v>
      </c>
      <c r="E1" s="47"/>
      <c r="F1" s="47"/>
      <c r="G1" s="45" t="s">
        <v>42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43</v>
      </c>
      <c r="E1" s="47"/>
      <c r="F1" s="47"/>
      <c r="G1" s="45" t="s">
        <v>44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24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45</v>
      </c>
      <c r="E1" s="47"/>
      <c r="F1" s="47"/>
      <c r="G1" s="45" t="s">
        <v>46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F17" sqref="F1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47</v>
      </c>
      <c r="E1" s="47"/>
      <c r="F1" s="47"/>
      <c r="G1" s="45" t="s">
        <v>48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E18" sqref="E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49</v>
      </c>
      <c r="B1" t="s">
        <v>50</v>
      </c>
    </row>
    <row r="3" spans="1:7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7" ht="14.25">
      <c r="A4" t="s">
        <v>54</v>
      </c>
      <c r="B4" t="s">
        <v>55</v>
      </c>
      <c r="C4" s="4" t="s">
        <v>56</v>
      </c>
      <c r="E4" t="s">
        <v>57</v>
      </c>
      <c r="G4" s="3"/>
    </row>
    <row r="5" spans="1:7" ht="14.25">
      <c r="A5" t="s">
        <v>58</v>
      </c>
      <c r="B5" t="s">
        <v>59</v>
      </c>
      <c r="C5" s="4" t="s">
        <v>56</v>
      </c>
      <c r="E5" t="s">
        <v>60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Sai Krishna Gujjula [AGS]</cp:lastModifiedBy>
  <cp:revision/>
  <dcterms:created xsi:type="dcterms:W3CDTF">2021-01-01T16:39:53Z</dcterms:created>
  <dcterms:modified xsi:type="dcterms:W3CDTF">2024-09-10T12:06:07Z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