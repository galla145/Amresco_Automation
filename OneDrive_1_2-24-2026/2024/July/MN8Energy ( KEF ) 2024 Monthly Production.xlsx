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63" documentId="13_ncr:1_{7955ABC2-1C16-4103-98B2-E65899D9F0E6}" xr6:coauthVersionLast="47" xr6:coauthVersionMax="47" xr10:uidLastSave="{897EEB41-70A7-4100-9ED3-190F8F3228E4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6" l="1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 s="1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1" i="34" s="1"/>
  <c r="C10" i="1"/>
  <c r="C10" i="34" s="1"/>
  <c r="C9" i="1"/>
  <c r="C9" i="34" s="1"/>
  <c r="C8" i="1"/>
  <c r="C8" i="34" s="1"/>
  <c r="C7" i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15" i="34" l="1"/>
  <c r="C14" i="34"/>
  <c r="C13" i="34"/>
  <c r="C12" i="34"/>
  <c r="C7" i="34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<sst xmlns="http://schemas.openxmlformats.org/spreadsheetml/2006/main" count="460" uniqueCount="205">
  <si>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</si>
  <si>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</si>
  <si>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</si>
  <si>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</si>
  <si>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</si>
  <si>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</si>
  <si>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</si>
  <si>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</si>
  <si>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</si>
  <si>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</si>
  <si>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</si>
  <si>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</si>
  <si>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</si>
  <si>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</si>
  <si>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</si>
  <si>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</si>
  <si>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</si>
  <si>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</si>
  <si>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</si>
  <si>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</si>
  <si>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</si>
  <si>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</si>
  <si>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</si>
  <si>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</si>
  <si>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</si>
  <si>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</si>
  <si>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</si>
  <si>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</si>
  <si>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</si>
  <si>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</si>
  <si>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</si>
  <si>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</si>
  <si>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</si>
  <si>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</si>
  <si>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</si>
  <si>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</si>
  <si>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</si>
  <si>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</si>
  <si>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</si>
  <si>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</si>
  <si>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</si>
  <si>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</si>
  <si>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</si>
  <si>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</si>
  <si>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</si>
  <si>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</si>
  <si>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</si>
  <si>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</si>
  <si>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</si>
  <si>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</si>
  <si>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</si>
  <si>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</si>
  <si>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</si>
  <si>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</si>
  <si>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</si>
  <si>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</si>
  <si>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</si>
  <si>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</si>
  <si>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</si>
  <si>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</si>
  <si>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</si>
  <si>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</si>
  <si>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</si>
  <si>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</si>
  <si>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</si>
  <si>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</si>
  <si>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</si>
  <si>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</si>
  <si>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</si>
  <si>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</si>
  <si>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</si>
  <si>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</si>
  <si>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</si>
  <si>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</si>
  <si>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</si>
  <si>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</si>
  <si>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</si>
  <si>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</si>
  <si>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</si>
  <si>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</si>
  <si>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</si>
  <si>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</si>
  <si>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</si>
  <si>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</si>
  <si>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</si>
  <si>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</si>
  <si>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</si>
  <si>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</si>
  <si>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</si>
  <si>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</si>
  <si>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</si>
  <si>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</si>
  <si>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</si>
  <si>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</si>
  <si>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</si>
  <si>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</si>
  <si>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</si>
  <si>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</si>
  <si>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</si>
  <si>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</si>
  <si>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</si>
  <si>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</si>
  <si>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</si>
  <si>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</si>
  <si>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</si>
  <si>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</si>
  <si>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</si>
  <si>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</si>
  <si>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</si>
  <si>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</si>
  <si>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</si>
  <si>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</si>
  <si>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</si>
  <si>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</si>
  <si>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</si>
  <si>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</si>
  <si>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</si>
  <si>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</si>
  <si>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</si>
  <si>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</si>
  <si>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</si>
  <si>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</si>
  <si>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</si>
  <si>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</si>
  <si>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</si>
  <si>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</si>
  <si>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</si>
  <si>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</si>
  <si>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</si>
  <si>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</si>
  <si>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</si>
  <si>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</si>
  <si>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</si>
  <si>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</si>
  <si>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</si>
  <si>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</si>
  <si>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</si>
  <si>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</si>
  <si>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</si>
  <si>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</t>
  </si>
  <si>
    <t>1.SR088258
2.SR087828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</si>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</sst>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SUM(C4:C95)</f>
        <v>4937960.4899440994</v>
      </c>
      <c r="D2" s="5">
        <f>SUM(D4:D95)</f>
        <v>6431585.1100000013</v>
      </c>
      <c r="E2" s="5">
        <f>C2-D2</f>
        <v>-1493624.6200559018</v>
      </c>
      <c r="F2" s="6">
        <f>IFERROR(E2/D2, 0)</f>
        <v>-0.23223273804362382</v>
      </c>
      <c r="G2" s="5">
        <f>SUM(G4:G95)</f>
        <v>15414644.030000001</v>
      </c>
      <c r="H2" s="7">
        <f>C2-G2</f>
        <v>-10476683.540055901</v>
      </c>
      <c r="I2" s="6">
        <f>IFERROR(H2/G2, 0)</f>
        <v>-0.67965783184264039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962415.39427480858</v>
      </c>
      <c r="D4" s="45">
        <f>SUM('1st Qtr'!D4, '2nd Qtr'!D4, '3rd Qtr'!D4, '4th Qtr'!D4)</f>
        <v>1031979.94</v>
      </c>
      <c r="E4" s="45">
        <f>IF(AND(ISNUMBER(C4),ISNUMBER(D4)), C4-D4, "")</f>
        <v>-69564.545725191361</v>
      </c>
      <c r="F4" s="58">
        <f>IFERROR(E4/D4, "")</f>
        <v>-6.7408815839183234E-2</v>
      </c>
      <c r="G4" s="47">
        <f>SUM('1st Qtr'!G4, '2nd Qtr'!G4, '3rd Qtr'!G4, '4th Qtr'!G4)</f>
        <v>891253.69</v>
      </c>
      <c r="H4" s="47">
        <f>SUM('1st Qtr'!H4, '2nd Qtr'!H4, '3rd Qtr'!H4, '4th Qtr'!H4)</f>
        <v>-113544.59572519139</v>
      </c>
      <c r="I4" s="46">
        <f>IFERROR(H4/G4, "")</f>
        <v>-0.12739873842787838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789256.89566929103</v>
      </c>
      <c r="D5" s="51">
        <f>SUM(Jan!D5, Feb!D5, Mar!D5)</f>
        <v>258904.44999999998</v>
      </c>
      <c r="E5" s="51">
        <f t="shared" ref="E5:E15" si="0">IF(AND(ISNUMBER(C5),ISNUMBER(D5)), C5-D5, "")</f>
        <v>530352.44566929108</v>
      </c>
      <c r="F5" s="52">
        <f>IFERROR(E5/D5, "")</f>
        <v>2.0484485518471818</v>
      </c>
      <c r="G5" s="53">
        <f>SUM('1st Qtr'!G5, '2nd Qtr'!G5, '3rd Qtr'!G5, '4th Qtr'!G5)</f>
        <v>708553.29</v>
      </c>
      <c r="H5" s="53">
        <f>SUM(Jan!H5, Feb!H5, Mar!H5)</f>
        <v>-50872.194330708902</v>
      </c>
      <c r="I5" s="52">
        <f>IFERROR(H5/G5, "")</f>
        <v>-7.1797273470720735E-2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-11131842.75</v>
      </c>
      <c r="D6" s="45">
        <f>SUM(Jan!D6, Feb!D6, Mar!D6)</f>
        <v>308555.5</v>
      </c>
      <c r="E6" s="45">
        <f t="shared" si="0"/>
        <v>-11440398.25</v>
      </c>
      <c r="F6" s="58">
        <f t="shared" ref="F6:F15" si="1">IFERROR(E6/D6, "")</f>
        <v>-37.077278641929894</v>
      </c>
      <c r="G6" s="47">
        <f>SUM('1st Qtr'!G6, '2nd Qtr'!G6, '3rd Qtr'!G6, '4th Qtr'!G6)</f>
        <v>544590.26</v>
      </c>
      <c r="H6" s="47">
        <f>SUM(Jan!H6, Feb!H6, Mar!H6)</f>
        <v>70756.84</v>
      </c>
      <c r="I6" s="46">
        <f t="shared" ref="I6:I15" si="2">IFERROR(H6/G6, "")</f>
        <v>0.12992674529287393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951255</v>
      </c>
      <c r="D7" s="51">
        <f>SUM(Jan!D7, Feb!D7, Mar!D7)</f>
        <v>395445.18</v>
      </c>
      <c r="E7" s="51">
        <f t="shared" si="0"/>
        <v>555809.82000000007</v>
      </c>
      <c r="F7" s="52">
        <f t="shared" si="1"/>
        <v>1.4055293833648448</v>
      </c>
      <c r="G7" s="53">
        <f>SUM('1st Qtr'!G7, '2nd Qtr'!G7, '3rd Qtr'!G7, '4th Qtr'!G7)</f>
        <v>612970.98</v>
      </c>
      <c r="H7" s="53">
        <f>SUM(Jan!H7, Feb!H7, Mar!H7)</f>
        <v>63957.32</v>
      </c>
      <c r="I7" s="52">
        <f t="shared" si="2"/>
        <v>0.10433988245251023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978867</v>
      </c>
      <c r="D8" s="45">
        <f>SUM(Jan!D8, Feb!D8, Mar!D8)</f>
        <v>356457.4</v>
      </c>
      <c r="E8" s="45">
        <f t="shared" si="0"/>
        <v>622409.6</v>
      </c>
      <c r="F8" s="58">
        <f t="shared" si="1"/>
        <v>1.7460981312212902</v>
      </c>
      <c r="G8" s="47">
        <f>SUM('1st Qtr'!G8, '2nd Qtr'!G8, '3rd Qtr'!G8, '4th Qtr'!G8)</f>
        <v>927253.20000000007</v>
      </c>
      <c r="H8" s="47">
        <f>SUM(Jan!H8, Feb!H8, Mar!H8)</f>
        <v>-77950.400000000009</v>
      </c>
      <c r="I8" s="46">
        <f t="shared" si="2"/>
        <v>-8.4065927192270684E-2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1625686.5</v>
      </c>
      <c r="D9" s="51">
        <f>SUM(Jan!D9, Feb!D9, Mar!D9)</f>
        <v>566022.19999999995</v>
      </c>
      <c r="E9" s="51">
        <f t="shared" si="0"/>
        <v>1059664.3</v>
      </c>
      <c r="F9" s="52">
        <f t="shared" si="1"/>
        <v>1.8721249802569584</v>
      </c>
      <c r="G9" s="53">
        <f>SUM('1st Qtr'!G9, '2nd Qtr'!G9, '3rd Qtr'!G9, '4th Qtr'!G9)</f>
        <v>1556357</v>
      </c>
      <c r="H9" s="53">
        <f>SUM(Jan!H9, Feb!H9, Mar!H9)</f>
        <v>-146117.19999999998</v>
      </c>
      <c r="I9" s="52">
        <f t="shared" si="2"/>
        <v>-9.3884115276893401E-2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881104</v>
      </c>
      <c r="D10" s="45">
        <f>SUM(Jan!D10, Feb!D10, Mar!D10)</f>
        <v>302395.95</v>
      </c>
      <c r="E10" s="45">
        <f t="shared" si="0"/>
        <v>578708.05000000005</v>
      </c>
      <c r="F10" s="58">
        <f t="shared" si="1"/>
        <v>1.9137427270437981</v>
      </c>
      <c r="G10" s="47">
        <f>SUM('1st Qtr'!G10, '2nd Qtr'!G10, '3rd Qtr'!G10, '4th Qtr'!G10)</f>
        <v>882158.02</v>
      </c>
      <c r="H10" s="47">
        <f>SUM(Jan!H10, Feb!H10, Mar!H10)</f>
        <v>-109860.32</v>
      </c>
      <c r="I10" s="46">
        <f t="shared" si="2"/>
        <v>-0.12453587396960922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927277</v>
      </c>
      <c r="D11" s="51">
        <f>SUM(Jan!D11, Feb!D11, Mar!D11)</f>
        <v>294516.74</v>
      </c>
      <c r="E11" s="51">
        <f t="shared" si="0"/>
        <v>632760.26</v>
      </c>
      <c r="F11" s="52">
        <f t="shared" si="1"/>
        <v>2.1484695912361382</v>
      </c>
      <c r="G11" s="53">
        <f>SUM('1st Qtr'!G11, '2nd Qtr'!G11, '3rd Qtr'!G11, '4th Qtr'!G11)</f>
        <v>910125.76</v>
      </c>
      <c r="H11" s="53">
        <f>SUM(Jan!H11, Feb!H11, Mar!H11)</f>
        <v>-104920.85999999999</v>
      </c>
      <c r="I11" s="52">
        <f t="shared" si="2"/>
        <v>-0.1152817166717707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904733</v>
      </c>
      <c r="D12" s="45">
        <f>SUM(Jan!D12, Feb!D12, Mar!D12)</f>
        <v>254351.52999999997</v>
      </c>
      <c r="E12" s="45">
        <f t="shared" si="0"/>
        <v>650381.47</v>
      </c>
      <c r="F12" s="58">
        <f t="shared" si="1"/>
        <v>2.557018115833626</v>
      </c>
      <c r="G12" s="47">
        <f>SUM('1st Qtr'!G12, '2nd Qtr'!G12, '3rd Qtr'!G12, '4th Qtr'!G12)</f>
        <v>910125.76</v>
      </c>
      <c r="H12" s="47">
        <f>SUM(Jan!H12, Feb!H12, Mar!H12)</f>
        <v>-122625.85999999999</v>
      </c>
      <c r="I12" s="46">
        <f t="shared" si="2"/>
        <v>-0.13473507221683295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910985</v>
      </c>
      <c r="D13" s="51">
        <f>SUM(Jan!D13, Feb!D13, Mar!D13)</f>
        <v>280640.43000000005</v>
      </c>
      <c r="E13" s="51">
        <f t="shared" si="0"/>
        <v>630344.56999999995</v>
      </c>
      <c r="F13" s="52">
        <f t="shared" si="1"/>
        <v>2.2460932304016206</v>
      </c>
      <c r="G13" s="53">
        <f>SUM('1st Qtr'!G13, '2nd Qtr'!G13, '3rd Qtr'!G13, '4th Qtr'!G13)</f>
        <v>905992.19</v>
      </c>
      <c r="H13" s="53">
        <f>SUM(Jan!H13, Feb!H13, Mar!H13)</f>
        <v>-108476.99</v>
      </c>
      <c r="I13" s="52">
        <f t="shared" si="2"/>
        <v>-0.11973280917576123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1034759</v>
      </c>
      <c r="D14" s="45">
        <f>SUM(Jan!D14, Feb!D14, Mar!D14)</f>
        <v>361411.34</v>
      </c>
      <c r="E14" s="45">
        <f t="shared" si="0"/>
        <v>673347.65999999992</v>
      </c>
      <c r="F14" s="58">
        <f t="shared" si="1"/>
        <v>1.8631060663453445</v>
      </c>
      <c r="G14" s="47">
        <f>SUM('1st Qtr'!G14, '2nd Qtr'!G14, '3rd Qtr'!G14, '4th Qtr'!G14)</f>
        <v>632885.11</v>
      </c>
      <c r="H14" s="47">
        <f>SUM(Jan!H14, Feb!H14, Mar!H14)</f>
        <v>99719.689999999988</v>
      </c>
      <c r="I14" s="46">
        <f t="shared" si="2"/>
        <v>0.15756365321977631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906297.45</v>
      </c>
      <c r="D15" s="51">
        <f>SUM(Jan!D15, Feb!D15, Mar!D15)</f>
        <v>287011.73</v>
      </c>
      <c r="E15" s="51">
        <f t="shared" si="0"/>
        <v>619285.72</v>
      </c>
      <c r="F15" s="52">
        <f t="shared" si="1"/>
        <v>2.1577017775545273</v>
      </c>
      <c r="G15" s="53">
        <f>SUM('1st Qtr'!G15, '2nd Qtr'!G15, '3rd Qtr'!G15, '4th Qtr'!G15)</f>
        <v>989845.39999999991</v>
      </c>
      <c r="H15" s="53">
        <f>SUM(Jan!H15, Feb!H15, Mar!H15)</f>
        <v>-123800.45</v>
      </c>
      <c r="I15" s="52">
        <f t="shared" si="2"/>
        <v>-0.12507049080593799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841320</v>
      </c>
      <c r="D16" s="45">
        <f>SUM(Jan!D16, Feb!D16, Mar!D16)</f>
        <v>280103.39</v>
      </c>
      <c r="E16" s="45">
        <f t="shared" ref="E16:E19" si="3">IF(AND(ISNUMBER(C16),ISNUMBER(D16)), C16-D16, "")</f>
        <v>561216.61</v>
      </c>
      <c r="F16" s="58">
        <f t="shared" ref="F16:F19" si="4">IFERROR(E16/D16, "")</f>
        <v>2.0036052044925268</v>
      </c>
      <c r="G16" s="47">
        <f>SUM('1st Qtr'!G16, '2nd Qtr'!G16, '3rd Qtr'!G16, '4th Qtr'!G16)</f>
        <v>764601.79</v>
      </c>
      <c r="H16" s="47">
        <f>SUM(Jan!H16, Feb!H16, Mar!H16)</f>
        <v>-50948.990000000005</v>
      </c>
      <c r="I16" s="46">
        <f t="shared" ref="I16:I19" si="5">IFERROR(H16/G16, "")</f>
        <v>-6.663467267059367E-2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695120</v>
      </c>
      <c r="D17" s="51">
        <f>SUM(Jan!D17, Feb!D17, Mar!D17)</f>
        <v>180108.57</v>
      </c>
      <c r="E17" s="51">
        <f t="shared" si="3"/>
        <v>515011.43</v>
      </c>
      <c r="F17" s="52">
        <f t="shared" si="4"/>
        <v>2.8594498862547182</v>
      </c>
      <c r="G17" s="53">
        <f>SUM('1st Qtr'!G17, '2nd Qtr'!G17, '3rd Qtr'!G17, '4th Qtr'!G17)</f>
        <v>613718.07000000007</v>
      </c>
      <c r="H17" s="53">
        <f>SUM(Jan!H17, Feb!H17, Mar!H17)</f>
        <v>-33449.769999999997</v>
      </c>
      <c r="I17" s="52">
        <f t="shared" si="5"/>
        <v>-5.4503479097495033E-2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968777</v>
      </c>
      <c r="D18" s="45">
        <f>SUM(Jan!D18, Feb!D18, Mar!D18)</f>
        <v>324177.82</v>
      </c>
      <c r="E18" s="45">
        <f t="shared" si="3"/>
        <v>644599.17999999993</v>
      </c>
      <c r="F18" s="58">
        <f t="shared" si="4"/>
        <v>1.9884123472728639</v>
      </c>
      <c r="G18" s="47">
        <f>SUM('1st Qtr'!G18, '2nd Qtr'!G18, '3rd Qtr'!G18, '4th Qtr'!G18)</f>
        <v>926625.16999999993</v>
      </c>
      <c r="H18" s="47">
        <f>SUM(Jan!H18, Feb!H18, Mar!H18)</f>
        <v>-97796.77</v>
      </c>
      <c r="I18" s="46">
        <f t="shared" si="5"/>
        <v>-0.10554080891197895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1719658</v>
      </c>
      <c r="D19" s="51">
        <f>SUM(Jan!D19, Feb!D19, Mar!D19)</f>
        <v>619098.5</v>
      </c>
      <c r="E19" s="51">
        <f t="shared" si="3"/>
        <v>1100559.5</v>
      </c>
      <c r="F19" s="52">
        <f t="shared" si="4"/>
        <v>1.7776807729303172</v>
      </c>
      <c r="G19" s="53">
        <f>SUM('1st Qtr'!G19, '2nd Qtr'!G19, '3rd Qtr'!G19, '4th Qtr'!G19)</f>
        <v>1702208.2000000002</v>
      </c>
      <c r="H19" s="53">
        <f>SUM(Jan!H19, Feb!H19, Mar!H19)</f>
        <v>-135592.90000000002</v>
      </c>
      <c r="I19" s="52">
        <f t="shared" si="5"/>
        <v>-7.9657059577083467E-2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972292</v>
      </c>
      <c r="D20" s="45">
        <f>SUM(Jan!D20, Feb!D20, Mar!D20)</f>
        <v>330404.44</v>
      </c>
      <c r="E20" s="45">
        <f t="shared" ref="E20" si="6">IF(AND(ISNUMBER(C20),ISNUMBER(D20)), C20-D20, "")</f>
        <v>641887.56000000006</v>
      </c>
      <c r="F20" s="58">
        <f t="shared" ref="F20" si="7">IFERROR(E20/D20, "")</f>
        <v>1.9427328518950897</v>
      </c>
      <c r="G20" s="47">
        <f>SUM('1st Qtr'!G20, '2nd Qtr'!G20, '3rd Qtr'!G20, '4th Qtr'!G20)</f>
        <v>935380.14</v>
      </c>
      <c r="H20" s="47">
        <f>SUM(Jan!H20, Feb!H20, Mar!H20)</f>
        <v>-84032.239999999991</v>
      </c>
      <c r="I20" s="46">
        <f t="shared" ref="I20" si="8">IFERROR(H20/G20, "")</f>
        <v>-8.9837528515411921E-2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2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75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47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75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75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47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75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47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75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47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47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75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75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47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47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75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47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0</v>
      </c>
      <c r="H2" s="7">
        <f>C2-G2</f>
        <v>3051060.923760673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164380.582061069</v>
      </c>
      <c r="D4" s="45">
        <f>SUM(Jul!D4, Aug!D4, Sep!D4)</f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/>
      <c r="H4" s="47">
        <f>SUM(Jul!H4, Aug!H4, Sep!H4)</f>
        <v>-20325.717938930989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147346.091699604</v>
      </c>
      <c r="D5" s="51">
        <f>SUM(Jul!D5, Aug!D5, Sep!D5)</f>
        <v>139239.70000000001</v>
      </c>
      <c r="E5" s="51">
        <f t="shared" ref="E5:E15" si="0">IF(AND(ISNUMBER(C5),ISNUMBER(D5)), C5-D5, "")</f>
        <v>8106.3916996039916</v>
      </c>
      <c r="F5" s="52">
        <f>IFERROR(E5/D5, "")</f>
        <v>5.8218968437909524E-2</v>
      </c>
      <c r="G5" s="53"/>
      <c r="H5" s="53">
        <f>SUM(Jul!H5, Aug!H5, Sep!H5)</f>
        <v>-2632.4083003959968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158425</v>
      </c>
      <c r="D6" s="45">
        <f>SUM(Jul!D6, Aug!D6, Sep!D6)</f>
        <v>160075.70000000001</v>
      </c>
      <c r="E6" s="45">
        <f t="shared" si="0"/>
        <v>-1650.7000000000116</v>
      </c>
      <c r="F6" s="58">
        <f t="shared" ref="F6:F15" si="1">IFERROR(E6/D6, "")</f>
        <v>-1.0311996136827836E-2</v>
      </c>
      <c r="G6" s="47"/>
      <c r="H6" s="47">
        <f>SUM(Jul!H6, Aug!H6, Sep!H6)</f>
        <v>33167.5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175322</v>
      </c>
      <c r="D7" s="51">
        <f>SUM(Jul!D7, Aug!D7, Sep!D7)</f>
        <v>192389.7</v>
      </c>
      <c r="E7" s="51">
        <f t="shared" si="0"/>
        <v>-17067.700000000012</v>
      </c>
      <c r="F7" s="52">
        <f t="shared" si="1"/>
        <v>-8.8714208712836556E-2</v>
      </c>
      <c r="G7" s="53"/>
      <c r="H7" s="53">
        <f>SUM(Jul!H7, Aug!H7, Sep!H7)</f>
        <v>27594.700000000012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169926</v>
      </c>
      <c r="D8" s="45">
        <f>SUM(Jul!D8, Aug!D8, Sep!D8)</f>
        <v>173364.2</v>
      </c>
      <c r="E8" s="45">
        <f t="shared" si="0"/>
        <v>-3438.2000000000116</v>
      </c>
      <c r="F8" s="58">
        <f t="shared" si="1"/>
        <v>-1.9832237566925648E-2</v>
      </c>
      <c r="G8" s="47"/>
      <c r="H8" s="47">
        <f>SUM(Jul!H8, Aug!H8, Sep!H8)</f>
        <v>-26343.200000000012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282860</v>
      </c>
      <c r="D9" s="51">
        <f>SUM(Jul!D9, Aug!D9, Sep!D9)</f>
        <v>297276.79999999999</v>
      </c>
      <c r="E9" s="51">
        <f t="shared" si="0"/>
        <v>-14416.799999999988</v>
      </c>
      <c r="F9" s="52">
        <f t="shared" si="1"/>
        <v>-4.8496216320950671E-2</v>
      </c>
      <c r="G9" s="53"/>
      <c r="H9" s="53">
        <f>SUM(Jul!H9, Aug!H9, Sep!H9)</f>
        <v>-48757.599999999977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161016</v>
      </c>
      <c r="D10" s="45">
        <f>SUM(Jul!D10, Aug!D10, Sep!D10)</f>
        <v>159388.5</v>
      </c>
      <c r="E10" s="45">
        <f t="shared" si="0"/>
        <v>1627.5</v>
      </c>
      <c r="F10" s="58">
        <f t="shared" si="1"/>
        <v>1.021089978260665E-2</v>
      </c>
      <c r="G10" s="47"/>
      <c r="H10" s="47">
        <f>SUM(Jul!H10, Aug!H10, Sep!H10)</f>
        <v>-30212.399999999994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184732</v>
      </c>
      <c r="D11" s="51">
        <f>SUM(Jul!D11, Aug!D11, Sep!D11)</f>
        <v>187479.2</v>
      </c>
      <c r="E11" s="51">
        <f t="shared" si="0"/>
        <v>-2747.2000000000116</v>
      </c>
      <c r="F11" s="52">
        <f t="shared" si="1"/>
        <v>-1.4653358879278402E-2</v>
      </c>
      <c r="G11" s="53"/>
      <c r="H11" s="53">
        <f>SUM(Jul!H11, Aug!H11, Sep!H11)</f>
        <v>-11558.600000000006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184274</v>
      </c>
      <c r="D12" s="45">
        <f>SUM(Jul!D12, Aug!D12, Sep!D12)</f>
        <v>88447.37</v>
      </c>
      <c r="E12" s="45">
        <f t="shared" si="0"/>
        <v>95826.63</v>
      </c>
      <c r="F12" s="58">
        <f t="shared" si="1"/>
        <v>1.0834310844969162</v>
      </c>
      <c r="G12" s="47"/>
      <c r="H12" s="47">
        <f>SUM(Jul!H12, Aug!H12, Sep!H12)</f>
        <v>-12016.600000000006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175951</v>
      </c>
      <c r="D13" s="51">
        <f>SUM(Jul!D13, Aug!D13, Sep!D13)</f>
        <v>186107.1</v>
      </c>
      <c r="E13" s="51">
        <f t="shared" si="0"/>
        <v>-10156.100000000006</v>
      </c>
      <c r="F13" s="52">
        <f t="shared" si="1"/>
        <v>-5.457126568518883E-2</v>
      </c>
      <c r="G13" s="53"/>
      <c r="H13" s="53">
        <f>SUM(Jul!H13, Aug!H13, Sep!H13)</f>
        <v>-19447.299999999988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177869</v>
      </c>
      <c r="D14" s="45">
        <f>SUM(Jul!D14, Aug!D14, Sep!D14)</f>
        <v>180192.2</v>
      </c>
      <c r="E14" s="45">
        <f t="shared" si="0"/>
        <v>-2323.2000000000116</v>
      </c>
      <c r="F14" s="58">
        <f t="shared" si="1"/>
        <v>-1.2892899914646757E-2</v>
      </c>
      <c r="G14" s="47"/>
      <c r="H14" s="47">
        <f>SUM(Jul!H14, Aug!H14, Sep!H14)</f>
        <v>24148.299999999988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157002.25</v>
      </c>
      <c r="D15" s="51">
        <f>SUM(Jul!D15, Aug!D15, Sep!D15)</f>
        <v>155884</v>
      </c>
      <c r="E15" s="51">
        <f t="shared" si="0"/>
        <v>1118.25</v>
      </c>
      <c r="F15" s="52">
        <f t="shared" si="1"/>
        <v>7.1736034487182776E-3</v>
      </c>
      <c r="G15" s="53"/>
      <c r="H15" s="53">
        <f>SUM(Jul!H15, Aug!H15, Sep!H15)</f>
        <v>-59029.649999999994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150565</v>
      </c>
      <c r="D16" s="45">
        <f>SUM(Jul!D16, Aug!D16, Sep!D16)</f>
        <v>153965.9</v>
      </c>
      <c r="E16" s="45">
        <f t="shared" ref="E16:E19" si="3">IF(AND(ISNUMBER(C16),ISNUMBER(D16)), C16-D16, "")</f>
        <v>-3400.8999999999942</v>
      </c>
      <c r="F16" s="58">
        <f t="shared" ref="F16:F19" si="4">IFERROR(E16/D16, "")</f>
        <v>-2.2088657293595493E-2</v>
      </c>
      <c r="G16" s="47"/>
      <c r="H16" s="47">
        <f>SUM(Jul!H16, Aug!H16, Sep!H16)</f>
        <v>-17866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125538</v>
      </c>
      <c r="D17" s="51">
        <f>SUM(Jul!D17, Aug!D17, Sep!D17)</f>
        <v>110264</v>
      </c>
      <c r="E17" s="51">
        <f t="shared" si="3"/>
        <v>15274</v>
      </c>
      <c r="F17" s="52">
        <f t="shared" si="4"/>
        <v>0.13852209243270697</v>
      </c>
      <c r="G17" s="53"/>
      <c r="H17" s="53">
        <f>SUM(Jul!H17, Aug!H17, Sep!H17)</f>
        <v>-9654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172873</v>
      </c>
      <c r="D18" s="45">
        <f>SUM(Jul!D18, Aug!D18, Sep!D18)</f>
        <v>170088.8</v>
      </c>
      <c r="E18" s="45">
        <f t="shared" si="3"/>
        <v>2784.2000000000116</v>
      </c>
      <c r="F18" s="58">
        <f t="shared" si="4"/>
        <v>1.6369096613063364E-2</v>
      </c>
      <c r="G18" s="47"/>
      <c r="H18" s="47">
        <f>SUM(Jul!H18, Aug!H18, Sep!H18)</f>
        <v>-27986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292980</v>
      </c>
      <c r="D19" s="51">
        <f>SUM(Jul!D19, Aug!D19, Sep!D19)</f>
        <v>317161.2</v>
      </c>
      <c r="E19" s="51">
        <f t="shared" si="3"/>
        <v>-24181.200000000012</v>
      </c>
      <c r="F19" s="52">
        <f t="shared" si="4"/>
        <v>-7.6242617318890232E-2</v>
      </c>
      <c r="G19" s="53"/>
      <c r="H19" s="53">
        <f>SUM(Jul!H19, Aug!H19, Sep!H19)</f>
        <v>-78860.200000000012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170001</v>
      </c>
      <c r="D20" s="45">
        <f>SUM(Jul!D20, Aug!D20, Sep!D20)</f>
        <v>181410.1</v>
      </c>
      <c r="E20" s="45">
        <f t="shared" ref="E20" si="6">IF(AND(ISNUMBER(C20),ISNUMBER(D20)), C20-D20, "")</f>
        <v>-11409.100000000006</v>
      </c>
      <c r="F20" s="58">
        <f t="shared" ref="F20" si="7">IFERROR(E20/D20, "")</f>
        <v>-6.2891206167683081E-2</v>
      </c>
      <c r="G20" s="47"/>
      <c r="H20" s="47">
        <f>SUM(Jul!H20, Aug!H20, Sep!H20)</f>
        <v>-31691.5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MN8 KEF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2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2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2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2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5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5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75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2.7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2.7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42.75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15.75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2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5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5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53</v>
      </c>
      <c r="E1" s="80"/>
      <c r="F1" s="80"/>
      <c r="G1" s="78" t="s">
        <v>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7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5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60</v>
      </c>
      <c r="E1" s="80"/>
      <c r="F1" s="80"/>
      <c r="G1" s="78" t="s">
        <v>61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75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75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75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75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75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1.25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75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1.25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75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84</v>
      </c>
      <c r="E1" s="80"/>
      <c r="F1" s="80"/>
      <c r="G1" s="78" t="s">
        <v>85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75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1.25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75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75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75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75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5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5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75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75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75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75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75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75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103</v>
      </c>
      <c r="E1" s="80"/>
      <c r="F1" s="80"/>
      <c r="G1" s="78" t="s">
        <v>104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75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75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75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75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75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28.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75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75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75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tabSelected="1" zoomScale="80" zoomScaleNormal="80" workbookViewId="0">
      <pane xSplit="2" ySplit="3" topLeftCell="C7" activePane="bottomRight" state="frozen"/>
      <selection pane="bottomRight" activeCell="J22" sqref="J22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127</v>
      </c>
      <c r="E1" s="80"/>
      <c r="F1" s="80"/>
      <c r="G1" s="78" t="s">
        <v>128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75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75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75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75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28.5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75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75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75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5.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75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5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153</v>
      </c>
      <c r="E1" s="80"/>
      <c r="F1" s="80"/>
      <c r="G1" s="78" t="s">
        <v>154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155</v>
      </c>
      <c r="E1" s="80"/>
      <c r="F1" s="80"/>
      <c r="G1" s="78" t="s">
        <v>156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157</v>
      </c>
      <c r="E1" s="80"/>
      <c r="F1" s="80"/>
      <c r="G1" s="78" t="s">
        <v>158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24" sqref="A24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159</v>
      </c>
      <c r="E1" s="80"/>
      <c r="F1" s="80"/>
      <c r="G1" s="78" t="s">
        <v>160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MN8 KEF</v>
      </c>
      <c r="B1" s="79"/>
      <c r="C1" s="79"/>
      <c r="D1" s="80" t="s">
        <v>161</v>
      </c>
      <c r="E1" s="80"/>
      <c r="F1" s="80"/>
      <c r="G1" s="78" t="s">
        <v>162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163</v>
      </c>
      <c r="B1" t="s">
        <v>164</v>
      </c>
    </row>
    <row r="3" spans="1:12">
      <c r="A3" t="s">
        <v>165</v>
      </c>
      <c r="B3" t="s">
        <v>3</v>
      </c>
      <c r="C3" t="s">
        <v>4</v>
      </c>
      <c r="D3" t="s">
        <v>166</v>
      </c>
      <c r="E3" s="2" t="s">
        <v>167</v>
      </c>
    </row>
    <row r="4" spans="1:12" ht="14.25">
      <c r="A4" s="35" t="s">
        <v>168</v>
      </c>
      <c r="B4" t="s">
        <v>169</v>
      </c>
      <c r="C4" s="34" t="s">
        <v>170</v>
      </c>
      <c r="D4" s="33" t="s">
        <v>171</v>
      </c>
      <c r="E4" t="s">
        <v>172</v>
      </c>
      <c r="G4" s="3"/>
    </row>
    <row r="5" spans="1:12" ht="14.25">
      <c r="A5" s="35" t="s">
        <v>173</v>
      </c>
      <c r="B5" t="s">
        <v>174</v>
      </c>
      <c r="C5" s="34" t="s">
        <v>170</v>
      </c>
      <c r="D5" s="33" t="s">
        <v>171</v>
      </c>
      <c r="E5" t="s">
        <v>172</v>
      </c>
      <c r="G5" s="3"/>
    </row>
    <row r="6" spans="1:12" ht="14.25">
      <c r="A6" s="35" t="s">
        <v>175</v>
      </c>
      <c r="B6" t="s">
        <v>176</v>
      </c>
      <c r="C6" s="34" t="s">
        <v>170</v>
      </c>
      <c r="D6" s="33" t="s">
        <v>171</v>
      </c>
      <c r="E6" t="s">
        <v>172</v>
      </c>
      <c r="G6" s="3"/>
    </row>
    <row r="7" spans="1:12" ht="12.75" customHeight="1">
      <c r="A7" s="35" t="s">
        <v>177</v>
      </c>
      <c r="B7" t="s">
        <v>178</v>
      </c>
      <c r="C7" s="34" t="s">
        <v>170</v>
      </c>
      <c r="D7" s="33" t="s">
        <v>171</v>
      </c>
      <c r="E7" t="s">
        <v>172</v>
      </c>
    </row>
    <row r="8" spans="1:12" ht="12.75" customHeight="1">
      <c r="A8" s="35" t="s">
        <v>179</v>
      </c>
      <c r="B8" t="s">
        <v>180</v>
      </c>
      <c r="C8" s="34" t="s">
        <v>170</v>
      </c>
      <c r="D8" s="33" t="s">
        <v>171</v>
      </c>
      <c r="E8" t="s">
        <v>172</v>
      </c>
    </row>
    <row r="9" spans="1:12" ht="12.75" customHeight="1">
      <c r="A9" s="35" t="s">
        <v>181</v>
      </c>
      <c r="B9" t="s">
        <v>182</v>
      </c>
      <c r="C9" s="34" t="s">
        <v>170</v>
      </c>
      <c r="D9" s="33" t="s">
        <v>171</v>
      </c>
      <c r="E9" t="s">
        <v>172</v>
      </c>
    </row>
    <row r="10" spans="1:12" ht="12.75" customHeight="1">
      <c r="A10" s="35" t="s">
        <v>183</v>
      </c>
      <c r="B10" t="s">
        <v>184</v>
      </c>
      <c r="C10" s="34" t="s">
        <v>170</v>
      </c>
      <c r="D10" s="33" t="s">
        <v>171</v>
      </c>
      <c r="E10" t="s">
        <v>172</v>
      </c>
      <c r="K10" s="30"/>
      <c r="L10" s="30"/>
    </row>
    <row r="11" spans="1:12" ht="12.75" customHeight="1">
      <c r="A11" s="35" t="s">
        <v>185</v>
      </c>
      <c r="B11" t="s">
        <v>186</v>
      </c>
      <c r="C11" s="34" t="s">
        <v>170</v>
      </c>
      <c r="D11" s="33" t="s">
        <v>171</v>
      </c>
      <c r="E11" t="s">
        <v>172</v>
      </c>
      <c r="K11" s="30"/>
      <c r="L11" s="30"/>
    </row>
    <row r="12" spans="1:12" ht="12.75" customHeight="1">
      <c r="A12" s="35" t="s">
        <v>187</v>
      </c>
      <c r="B12" t="s">
        <v>188</v>
      </c>
      <c r="C12" s="34" t="s">
        <v>170</v>
      </c>
      <c r="D12" s="33" t="s">
        <v>171</v>
      </c>
      <c r="E12" t="s">
        <v>172</v>
      </c>
      <c r="K12" s="30"/>
      <c r="L12" s="30"/>
    </row>
    <row r="13" spans="1:12" ht="12.75" customHeight="1">
      <c r="A13" s="35" t="s">
        <v>189</v>
      </c>
      <c r="B13" t="s">
        <v>190</v>
      </c>
      <c r="C13" s="34" t="s">
        <v>170</v>
      </c>
      <c r="D13" s="33" t="s">
        <v>171</v>
      </c>
      <c r="E13" t="s">
        <v>172</v>
      </c>
      <c r="K13" s="30"/>
      <c r="L13" s="30"/>
    </row>
    <row r="14" spans="1:12" ht="12.75" customHeight="1">
      <c r="A14" s="35" t="s">
        <v>191</v>
      </c>
      <c r="B14" t="s">
        <v>192</v>
      </c>
      <c r="C14" s="34" t="s">
        <v>170</v>
      </c>
      <c r="D14" s="33" t="s">
        <v>171</v>
      </c>
      <c r="E14" t="s">
        <v>172</v>
      </c>
      <c r="K14" s="30"/>
      <c r="L14" s="30"/>
    </row>
    <row r="15" spans="1:12" ht="12.75" customHeight="1">
      <c r="A15" s="35" t="s">
        <v>193</v>
      </c>
      <c r="B15" t="s">
        <v>194</v>
      </c>
      <c r="C15" s="34" t="s">
        <v>170</v>
      </c>
      <c r="D15" s="33" t="s">
        <v>171</v>
      </c>
      <c r="E15" t="s">
        <v>172</v>
      </c>
      <c r="K15" s="30"/>
      <c r="L15" s="30"/>
    </row>
    <row r="16" spans="1:12" ht="12.75" customHeight="1">
      <c r="A16" s="35" t="s">
        <v>195</v>
      </c>
      <c r="B16" t="s">
        <v>196</v>
      </c>
      <c r="C16" s="34" t="s">
        <v>170</v>
      </c>
      <c r="D16" s="33" t="s">
        <v>171</v>
      </c>
      <c r="E16" t="s">
        <v>172</v>
      </c>
      <c r="K16" s="30"/>
      <c r="L16" s="30"/>
    </row>
    <row r="17" spans="1:12" ht="12.75" customHeight="1">
      <c r="A17" s="35" t="s">
        <v>197</v>
      </c>
      <c r="B17" t="s">
        <v>198</v>
      </c>
      <c r="C17" s="34" t="s">
        <v>170</v>
      </c>
      <c r="D17" s="33" t="s">
        <v>171</v>
      </c>
      <c r="E17" t="s">
        <v>172</v>
      </c>
      <c r="K17" s="30"/>
      <c r="L17" s="30"/>
    </row>
    <row r="18" spans="1:12" ht="12.75" customHeight="1">
      <c r="A18" s="35" t="s">
        <v>199</v>
      </c>
      <c r="B18" t="s">
        <v>200</v>
      </c>
      <c r="C18" s="34" t="s">
        <v>170</v>
      </c>
      <c r="D18" s="33" t="s">
        <v>171</v>
      </c>
      <c r="E18" t="s">
        <v>172</v>
      </c>
      <c r="K18" s="30"/>
      <c r="L18" s="30"/>
    </row>
    <row r="19" spans="1:12" ht="12.75" customHeight="1">
      <c r="A19" s="35" t="s">
        <v>201</v>
      </c>
      <c r="B19" t="s">
        <v>202</v>
      </c>
      <c r="C19" s="34" t="s">
        <v>170</v>
      </c>
      <c r="D19" s="33" t="s">
        <v>171</v>
      </c>
      <c r="E19" t="s">
        <v>172</v>
      </c>
      <c r="K19" s="30"/>
      <c r="L19" s="30"/>
    </row>
    <row r="20" spans="1:12" ht="12.75" customHeight="1">
      <c r="A20" s="35" t="s">
        <v>203</v>
      </c>
      <c r="B20" t="s">
        <v>204</v>
      </c>
      <c r="C20" s="34" t="s">
        <v>170</v>
      </c>
      <c r="D20" s="33" t="s">
        <v>171</v>
      </c>
      <c r="E20" t="s">
        <v>172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2024-08-19T01:48:43Z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