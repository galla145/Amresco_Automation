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8" documentId="8_{93F1CD19-EB5A-4403-A5CD-D3AAB3A1A596}" xr6:coauthVersionLast="47" xr6:coauthVersionMax="47" xr10:uidLastSave="{72097EB5-D3AA-4708-AA5E-2348434E7D95}"/>
  <bookViews>
    <workbookView xWindow="-28920" yWindow="7725" windowWidth="29040" windowHeight="15720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<sst xmlns="http://schemas.openxmlformats.org/spreadsheetml/2006/main" count="241" uniqueCount="55">
  <si>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</si>
  <si>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</si>
  <si>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</si>
  <si>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</si>
  <si>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</si>
  <si>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</si>
  <si>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</si>
  <si>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</si>
  <si>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</si>
  <si>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</si>
  <si>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</si>
  <si>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</si>
  <si>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</si>
  <si>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</si>
  <si>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</si>
  <si>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</si>
  <si>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</si>
  <si>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</si>
  <si>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</si>
  <si>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</si>
  <si>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</si>
  <si>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</si>
  <si>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</si>
  <si>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</si>
  <si>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</si>
  <si>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</si>
  <si>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</si>
  <si>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</si>
  <si>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</si>
  <si>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</si>
  <si>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</si>
  <si>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</si>
  <si>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</si>
  <si>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</si>
  <si>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1.Inverter 11 started production at mid off the day through out the month
2.Inverter 7 has starting production after 08:00AM</t>
  </si>
  <si>
    <t>1.SR087760
2.SR088469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</si>
  <si>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</si>
  <si>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</si>
  <si>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</si>
  <si>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</si>
  <si>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</si>
  <si>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</si>
  <si>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</si>
  <si>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</si>
  <si>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</si>
  <si>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</si>
  <si>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</si>
  <si>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AB CarVal</t>
  </si>
  <si>
    <t>Site DAS Name</t>
  </si>
  <si>
    <t>Update</t>
  </si>
  <si>
    <t>DAS</t>
  </si>
  <si>
    <t>001 - Fairhaven</t>
  </si>
  <si>
    <t>MA: Fairhaven - 279 Mill Rd</t>
  </si>
  <si>
    <t>MA</t>
  </si>
  <si>
    <t>PowerFactors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</si>
</sst>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4" sqref="G4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747010</v>
      </c>
      <c r="D2" s="6">
        <f>SUM(D4:D60)</f>
        <v>784097</v>
      </c>
      <c r="E2" s="6">
        <f>C2-D2</f>
        <v>-37087</v>
      </c>
      <c r="F2" s="7">
        <f>IFERROR(E2/D2, 0)</f>
        <v>-4.7298994894764294E-2</v>
      </c>
      <c r="G2" s="6">
        <f>SUM(G4:G60)</f>
        <v>391768</v>
      </c>
      <c r="H2" s="8">
        <f>C2-G2</f>
        <v>355242</v>
      </c>
      <c r="I2" s="7">
        <f>IFERROR(H2/G2, 0)</f>
        <v>0.90676624941291784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Fairhaven - 279 Mill Rd</v>
      </c>
      <c r="B4" s="10" t="str" cm="1">
        <f t="array" ref="B4">Sites[State]</f>
        <v>MA</v>
      </c>
      <c r="C4" s="26">
        <f>SUM('1st Qtr'!C4, '2nd Qtr'!C4, '3rd Qtr'!C4, '4th Qtr'!C4)</f>
        <v>747010</v>
      </c>
      <c r="D4" s="14">
        <f>SUM('1st Qtr'!D4, '2nd Qtr'!D4, '3rd Qtr'!D4, '4th Qtr'!D4)</f>
        <v>784097</v>
      </c>
      <c r="E4" s="14">
        <f>IF(AND(ISNUMBER(C4),ISNUMBER(D4)), C4-D4, "")</f>
        <v>-37087</v>
      </c>
      <c r="F4" s="15">
        <f>IFERROR(E4/D4, "")</f>
        <v>-4.7298994894764294E-2</v>
      </c>
      <c r="G4" s="16">
        <f>SUM('1st Qtr'!G4,'2nd Qtr'!G4,'3rd Qtr'!G4,'4th Qtr'!G4)</f>
        <v>391768</v>
      </c>
      <c r="H4" s="16">
        <f>SUM('1st Qtr'!H4, '2nd Qtr'!H4, '3rd Qtr'!H4, '4th Qtr'!H4)</f>
        <v>-64840</v>
      </c>
      <c r="I4" s="17">
        <f>IFERROR(H4/G4, "")</f>
        <v>-0.16550611586449124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B32" sqref="B32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0</v>
      </c>
      <c r="D2" s="6">
        <f>SUM(D4:D68)</f>
        <v>0</v>
      </c>
      <c r="E2" s="6">
        <f>C2-D2</f>
        <v>0</v>
      </c>
      <c r="F2" s="7">
        <f>IFERROR(E2/D2, 0)</f>
        <v>0</v>
      </c>
      <c r="G2" s="6">
        <f>SUM(G4:G68)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Fairhaven - 279 Mill Rd</v>
      </c>
      <c r="B4" s="10" t="str" cm="1">
        <f t="array" ref="B4">Sites[State]</f>
        <v>MA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384286</v>
      </c>
      <c r="D2" s="6">
        <f>SUM(D4:D90)</f>
        <v>411687</v>
      </c>
      <c r="E2" s="6">
        <f>C2-D2</f>
        <v>-27401</v>
      </c>
      <c r="F2" s="7">
        <f>IFERROR(E2/D2, 0)</f>
        <v>-6.6557846130676945E-2</v>
      </c>
      <c r="G2" s="6">
        <f>SUM(G4:G90)</f>
        <v>391768</v>
      </c>
      <c r="H2" s="8">
        <f>C2-G2</f>
        <v>-7482</v>
      </c>
      <c r="I2" s="7">
        <f>IFERROR(H2/G2, 0)</f>
        <v>-1.9098037614098139E-2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Fairhaven - 279 Mill Rd</v>
      </c>
      <c r="B4" s="10" t="str" cm="1">
        <f t="array" ref="B4">Sites[State]</f>
        <v>MA</v>
      </c>
      <c r="C4" s="26">
        <f>SUM(Apr!C4, May!C4, Jun!C4)</f>
        <v>384286</v>
      </c>
      <c r="D4" s="14">
        <f>SUM(Apr!D4, May!D4, Jun!D4)</f>
        <v>411687</v>
      </c>
      <c r="E4" s="14">
        <f>IF(AND(ISNUMBER(C4),ISNUMBER(D4)), C4-D4, "")</f>
        <v>-27401</v>
      </c>
      <c r="F4" s="15">
        <f>IFERROR(E4/D4, "")</f>
        <v>-6.6557846130676945E-2</v>
      </c>
      <c r="G4" s="16">
        <f>SUM(Apr!G4+May!G4+Jun!G4)</f>
        <v>391768</v>
      </c>
      <c r="H4" s="16">
        <f>SUM(Apr!H4, May!H4, Jun!H4)</f>
        <v>-7482</v>
      </c>
      <c r="I4" s="17">
        <f>IFERROR(H4/G4, "")</f>
        <v>-1.9098037614098139E-2</v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362724</v>
      </c>
      <c r="D2" s="6">
        <f>SUM(D4:D89)</f>
        <v>372410</v>
      </c>
      <c r="E2" s="6">
        <f>C2-D2</f>
        <v>-9686</v>
      </c>
      <c r="F2" s="7">
        <f>IFERROR(E2/D2, 0)</f>
        <v>-2.6008968609865471E-2</v>
      </c>
      <c r="G2" s="6">
        <f>SUM(G4:G89)</f>
        <v>0</v>
      </c>
      <c r="H2" s="8">
        <f>C2-G2</f>
        <v>362724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Fairhaven - 279 Mill Rd</v>
      </c>
      <c r="B4" s="10" t="str" cm="1">
        <f t="array" ref="B4">Sites[State]</f>
        <v>MA</v>
      </c>
      <c r="C4" s="26">
        <f>SUM(Jul!C4, Aug!C4, Sep!C4)</f>
        <v>362724</v>
      </c>
      <c r="D4" s="14">
        <f>SUM(Jul!D4, Aug!D4, Sep!D4)</f>
        <v>372410</v>
      </c>
      <c r="E4" s="14">
        <f>IF(AND(ISNUMBER(C4),ISNUMBER(D4)), C4-D4, "")</f>
        <v>-9686</v>
      </c>
      <c r="F4" s="15">
        <f>IFERROR(E4/D4, "")</f>
        <v>-2.6008968609865471E-2</v>
      </c>
      <c r="G4" s="16"/>
      <c r="H4" s="16">
        <f>SUM(Jul!H4, Aug!H4, Sep!H4)</f>
        <v>-57358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Fairhaven - 279 Mill Rd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35" sqref="F35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384286</v>
      </c>
      <c r="D2" s="6">
        <f>SUM(D4:D90)</f>
        <v>411687</v>
      </c>
      <c r="E2" s="6">
        <f>C2-D2</f>
        <v>-27401</v>
      </c>
      <c r="F2" s="7">
        <f>IFERROR(E2/D2, 0)</f>
        <v>-6.6557846130676945E-2</v>
      </c>
      <c r="G2" s="6">
        <f>SUM(G4:G90)</f>
        <v>391768</v>
      </c>
      <c r="H2" s="8">
        <f>C2-G2</f>
        <v>-7482</v>
      </c>
      <c r="I2" s="7">
        <f>IFERROR(H2/G2, 0)</f>
        <v>-1.9098037614098139E-2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>
        <v>384286</v>
      </c>
      <c r="D4" s="14">
        <v>411687</v>
      </c>
      <c r="E4" s="14">
        <f>IF(AND(ISNUMBER(C4),ISNUMBER(D4)), C4-D4, "")</f>
        <v>-27401</v>
      </c>
      <c r="F4" s="15">
        <f>IFERROR(E4/D4, "")</f>
        <v>-6.6557846130676945E-2</v>
      </c>
      <c r="G4" s="16">
        <v>391768</v>
      </c>
      <c r="H4" s="16">
        <f>IF(AND(ISNUMBER(C4),ISNUMBER(G4)), C4-G4, "")</f>
        <v>-7482</v>
      </c>
      <c r="I4" s="17">
        <f>IFERROR(H4/G4, "")</f>
        <v>-1.9098037614098139E-2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workbookViewId="0">
      <pane ySplit="2" topLeftCell="A3" activePane="bottomLeft" state="frozen"/>
      <selection pane="bottomLeft" activeCell="F14" sqref="F14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362724</v>
      </c>
      <c r="D2" s="6">
        <f>SUM(D4:D90)</f>
        <v>372410</v>
      </c>
      <c r="E2" s="6">
        <f>C2-D2</f>
        <v>-9686</v>
      </c>
      <c r="F2" s="7">
        <f>IFERROR(E2/D2, 0)</f>
        <v>-2.6008968609865471E-2</v>
      </c>
      <c r="G2" s="6">
        <f>SUM(G4:G90)</f>
        <v>420082</v>
      </c>
      <c r="H2" s="8">
        <f>C2-G2</f>
        <v>-57358</v>
      </c>
      <c r="I2" s="7">
        <f>IFERROR(H2/G2, 0)</f>
        <v>-0.13654000885541395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0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>
        <v>362724</v>
      </c>
      <c r="D4" s="14">
        <v>372410</v>
      </c>
      <c r="E4" s="14">
        <f>IF(AND(ISNUMBER(C4),ISNUMBER(D4)), C4-D4, "")</f>
        <v>-9686</v>
      </c>
      <c r="F4" s="15">
        <f>IFERROR(E4/D4, "")</f>
        <v>-2.6008968609865471E-2</v>
      </c>
      <c r="G4" s="16">
        <v>420082</v>
      </c>
      <c r="H4" s="16">
        <f>IF(AND(ISNUMBER(C4),ISNUMBER(G4)), C4-G4, "")</f>
        <v>-57358</v>
      </c>
      <c r="I4" s="17">
        <f>IFERROR(H4/G4, "")</f>
        <v>-0.13654000885541395</v>
      </c>
      <c r="J4" s="18" t="s">
        <v>34</v>
      </c>
      <c r="K4" s="18" t="s">
        <v>35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Fairhaven - 279 Mill Rd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4" sqref="A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52</v>
      </c>
      <c r="C4" s="4" t="s">
        <v>53</v>
      </c>
      <c r="E4" t="s">
        <v>54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2024-09-09T14:54:04Z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2024-09-09T14:52:17Z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be06981d-8400-4fea-a654-3857d71c3441</vt:lpwstr>
  </property>
  <property fmtid="{D5CDD505-2E9C-101B-9397-08002B2CF9AE}" pid="9" name="MSIP_Label_9d817c99-0b37-4a07-8277-96aa1f96b74b_ContentBits">
    <vt:lpwstr>0</vt:lpwstr>
  </property>
</Properties>
</file>