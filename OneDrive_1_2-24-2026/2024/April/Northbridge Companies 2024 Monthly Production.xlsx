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5C18ABA6-29B1-498D-B34A-8FEF938E4CC1}" xr6:coauthVersionLast="47" xr6:coauthVersionMax="47" xr10:uidLastSave="{00000000-0000-0000-0000-000000000000}"/>
  <bookViews>
    <workbookView xWindow="-108" yWindow="-108" windowWidth="23256" windowHeight="12456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4" i="18"/>
  <c r="G4" i="1"/>
  <c r="F4" i="72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J2" i="32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34"/>
  <c r="D5" i="34"/>
  <c r="C5" i="34"/>
  <c r="B4" i="34" a="1"/>
  <c r="B4" i="34" s="1"/>
  <c r="A4" i="34" a="1"/>
  <c r="A4" i="34" s="1"/>
  <c r="D5" i="30"/>
  <c r="C5" i="30"/>
  <c r="D4" i="30"/>
  <c r="D2" i="30" s="1"/>
  <c r="C4" i="30"/>
  <c r="D5" i="29"/>
  <c r="C5" i="29"/>
  <c r="E5" i="29" s="1"/>
  <c r="F5" i="29" s="1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D4" i="34" s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F5" i="27"/>
  <c r="E5" i="27"/>
  <c r="I4" i="27"/>
  <c r="H4" i="27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H2" i="20" s="1"/>
  <c r="I2" i="20" s="1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A1" i="72" a="1"/>
  <c r="A1" i="72" s="1"/>
  <c r="D2" i="18" l="1"/>
  <c r="E4" i="18"/>
  <c r="F4" i="18" s="1"/>
  <c r="E5" i="18"/>
  <c r="F5" i="18" s="1"/>
  <c r="H2" i="4"/>
  <c r="I2" i="4" s="1"/>
  <c r="J2" i="4"/>
  <c r="G2" i="34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E5" i="34"/>
  <c r="F5" i="34" s="1"/>
  <c r="G2" i="1"/>
  <c r="D2" i="34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E4" i="34" s="1"/>
  <c r="F4" i="34" s="1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I4" i="1" s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<sst xmlns="http://schemas.openxmlformats.org/spreadsheetml/2006/main" count="251" uniqueCount="60">
  <si>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</si>
  <si>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</si>
  <si>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</si>
  <si>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</si>
  <si>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</si>
  <si>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</si>
  <si>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</si>
  <si>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</si>
  <si>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</si>
  <si>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</si>
  <si>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</si>
  <si>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</si>
  <si>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</si>
  <si>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</si>
  <si>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</si>
  <si>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</si>
  <si>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</si>
  <si>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</si>
  <si>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</si>
  <si>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</si>
  <si>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</si>
  <si>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</si>
  <si>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Known for bad WMS readings due to that expected data values are high.</t>
  </si>
  <si>
    <t>1. SR061954</t>
  </si>
  <si>
    <t>February Actual v. Expected</t>
  </si>
  <si>
    <t>February Actual v. Forecasted</t>
  </si>
  <si>
    <t>1. Inverter 2.3 is offline on 02/23/2024 and back online on 02/24
2. Known for bad WMS readings due to that expected data values are high.</t>
  </si>
  <si>
    <t>1. SR081278
2. SR061954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</si>
  <si>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</si>
  <si>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</si>
  <si>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</si>
  <si>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</si>
  <si>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</si>
  <si>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</si>
  <si>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</si>
  <si>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</si>
  <si>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</si>
  <si>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</si>
  <si>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</si>
  <si>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</si>
  <si>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</si>
  <si>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</si>
  <si>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</si>
  <si>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</si>
  <si>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</si>
  <si>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</si>
  <si>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</si>
  <si>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</si>
  <si>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</si>
  <si>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</si>
  <si>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</si>
  <si>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</si>
  <si>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</si>
  <si>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</si>
  <si>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</si>
  <si>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</si>
  <si>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Inaccess</t>
  </si>
  <si>
    <t>Northbridge Array 2</t>
  </si>
  <si>
    <t>MA: North Dartmouth - 293 Cross St (Array 2)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</si>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</sst>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workbookViewId="0">
      <pane ySplit="2" topLeftCell="A3" activePane="bottomLeft" state="frozen"/>
      <selection pane="bottomLeft"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6">
        <f>SUM(C4:C90)</f>
        <v>129483.325</v>
      </c>
      <c r="D2" s="6">
        <f>SUM(D4:D90)</f>
        <v>101776.67</v>
      </c>
      <c r="E2" s="6">
        <f>C2-D2</f>
        <v>27706.654999999999</v>
      </c>
      <c r="F2" s="7">
        <f>IFERROR(E2/D2, 0)</f>
        <v>0.27222992263354656</v>
      </c>
      <c r="G2" s="6">
        <f>SUM(G4:G90)</f>
        <v>78332.915999999997</v>
      </c>
      <c r="H2" s="8">
        <f>C2-G2</f>
        <v>51150.409</v>
      </c>
      <c r="I2" s="7">
        <f>IFERROR(H2/G2, 0)</f>
        <v>0.65298742357555029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78524.2</v>
      </c>
      <c r="D4" s="14">
        <f>SUM('1st Qtr'!D4, '2nd Qtr'!D4, '3rd Qtr'!D4, '4th Qtr'!D4)</f>
        <v>0</v>
      </c>
      <c r="E4" s="14">
        <f>IF(AND(ISNUMBER(C4),ISNUMBER(D4)), C4-D4, "")</f>
        <v>78524.2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78524.2</v>
      </c>
      <c r="I4" s="17">
        <f>IFERROR(H4/G4, 0)</f>
        <v>0</v>
      </c>
    </row>
    <row r="5" spans="1:9" ht="15.6">
      <c r="A5" s="19" t="str">
        <v>MA: North Dartmouth - 293 Cross St (Array 2)</v>
      </c>
      <c r="B5" s="11" t="str">
        <v>MA</v>
      </c>
      <c r="C5" s="12">
        <f>SUM(Jan!C5, Feb!C5, Mar!C5)</f>
        <v>50959.125</v>
      </c>
      <c r="D5" s="20">
        <f>SUM(Jan!D5, Feb!D5, Mar!D5)</f>
        <v>101776.67</v>
      </c>
      <c r="E5" s="20">
        <f t="shared" ref="E5" si="0">IF(AND(ISNUMBER(C5),ISNUMBER(D5)), C5-D5, "")</f>
        <v>-50817.544999999998</v>
      </c>
      <c r="F5" s="21">
        <f>IFERROR(E5/D5, "")</f>
        <v>-0.49930445749502317</v>
      </c>
      <c r="G5" s="22">
        <f>SUM('1st Qtr'!G5,'2nd Qtr'!G5,'3rd Qtr'!G5,'4th Qtr'!G5)</f>
        <v>78332.915999999997</v>
      </c>
      <c r="H5" s="22">
        <f>SUM(Jan!H5, Feb!H5, Mar!H5)</f>
        <v>-800.2450000000008</v>
      </c>
      <c r="I5" s="21">
        <f>IFERROR(H5/G5, "")</f>
        <v>-1.0215948044114697E-2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G5" sqref="G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6">
        <f>SUM(C4:C90)</f>
        <v>103813.125</v>
      </c>
      <c r="D2" s="6">
        <f>SUM(D4:D90)</f>
        <v>101776.67</v>
      </c>
      <c r="E2" s="6">
        <f>C2-D2</f>
        <v>2036.4550000000017</v>
      </c>
      <c r="F2" s="7">
        <f>IFERROR(E2/D2, 0)</f>
        <v>2.0009055120392541E-2</v>
      </c>
      <c r="G2" s="6">
        <f>SUM(G4:G90)</f>
        <v>51759.37</v>
      </c>
      <c r="H2" s="8">
        <f>C2-G2</f>
        <v>52053.754999999997</v>
      </c>
      <c r="I2" s="7">
        <f>IFERROR(H2/G2, 0)</f>
        <v>1.0056875692265961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52854</v>
      </c>
      <c r="D4" s="14">
        <f>SUM(Jan!D4, Feb!D4, Mar!D4)</f>
        <v>0</v>
      </c>
      <c r="E4" s="14">
        <f>IF(AND(ISNUMBER(C4),ISNUMBER(D4)), C4-D4, "")</f>
        <v>52854</v>
      </c>
      <c r="F4" s="15" t="str">
        <f>IFERROR(E4/D4, "")</f>
        <v/>
      </c>
      <c r="G4" s="16">
        <f>SUM(Jan!G4, Feb!G4, Mar!G4)</f>
        <v>0</v>
      </c>
      <c r="H4" s="16">
        <f>SUM(Jan!H4, Feb!H4, Mar!H4)</f>
        <v>52854</v>
      </c>
      <c r="I4" s="17">
        <f>IFERROR(H4/G4, 0)</f>
        <v>0</v>
      </c>
    </row>
    <row r="5" spans="1:9" ht="15.6">
      <c r="A5" s="19" t="str">
        <v>MA: North Dartmouth - 293 Cross St (Array 2)</v>
      </c>
      <c r="B5" s="11" t="str">
        <v>MA</v>
      </c>
      <c r="C5" s="12">
        <f>SUM(Jan!C5, Feb!C5, Mar!C5)</f>
        <v>50959.125</v>
      </c>
      <c r="D5" s="20">
        <f>SUM(Jan!D5, Feb!D5, Mar!D5)</f>
        <v>101776.67</v>
      </c>
      <c r="E5" s="20">
        <f t="shared" ref="E5" si="0">IF(AND(ISNUMBER(C5),ISNUMBER(D5)), C5-D5, "")</f>
        <v>-50817.544999999998</v>
      </c>
      <c r="F5" s="21">
        <f>IFERROR(E5/D5, "")</f>
        <v>-0.49930445749502317</v>
      </c>
      <c r="G5" s="22">
        <f>SUM(Jan!G5, Feb!G5, Mar!G5)</f>
        <v>51759.37</v>
      </c>
      <c r="H5" s="22">
        <f>SUM(Jan!H5, Feb!H5, Mar!H5)</f>
        <v>-800.2450000000008</v>
      </c>
      <c r="I5" s="21">
        <f>IFERROR(H5/G5, "")</f>
        <v>-1.5460872108760225E-2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11" sqref="G11"/>
      <selection activeCell="E24" sqref="E24"/>
    </sheetView>
  </sheetViews>
  <sheetFormatPr defaultRowHeight="13.15"/>
  <cols>
    <col min="1" max="1" width="40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6">
        <f>SUM(C4:C90)</f>
        <v>52168.074999999997</v>
      </c>
      <c r="D2" s="6">
        <f>SUM(D4:D90)</f>
        <v>16380.983</v>
      </c>
      <c r="E2" s="6">
        <f>C2-D2</f>
        <v>35787.091999999997</v>
      </c>
      <c r="F2" s="7">
        <f>IFERROR(E2/D2, 0)</f>
        <v>2.184673044346606</v>
      </c>
      <c r="G2" s="6">
        <f>SUM(G4:G90)</f>
        <v>26573.545999999998</v>
      </c>
      <c r="H2" s="8">
        <f>C2-G2</f>
        <v>25594.528999999999</v>
      </c>
      <c r="I2" s="7">
        <f>IFERROR(H2/G2, 0)</f>
        <v>0.96315821004844437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25670.2</v>
      </c>
      <c r="D4" s="14">
        <f>SUM(Apr!D4, May!D4, Jun!D4)</f>
        <v>0</v>
      </c>
      <c r="E4" s="14">
        <f>IF(AND(ISNUMBER(C4),ISNUMBER(D4)), C4-D4, "")</f>
        <v>25670.2</v>
      </c>
      <c r="F4" s="15" t="str">
        <f>IFERROR(E4/D4, "")</f>
        <v/>
      </c>
      <c r="G4" s="16">
        <f>SUM(Apr!G4, May!G4, Jun!G4)</f>
        <v>0</v>
      </c>
      <c r="H4" s="16">
        <f>SUM(Apr!H4, May!H4, Jun!H4)</f>
        <v>25670.2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SUM(Apr!C5, May!C5, Jun!C5)</f>
        <v>26497.875</v>
      </c>
      <c r="D5" s="20">
        <f>SUM(Apr!D5, May!D5, Jun!D5)</f>
        <v>16380.983</v>
      </c>
      <c r="E5" s="20">
        <f t="shared" ref="E5" si="0">IF(AND(ISNUMBER(C5),ISNUMBER(D5)), C5-D5, "")</f>
        <v>10116.892</v>
      </c>
      <c r="F5" s="21">
        <f>IFERROR(E5/D5, "")</f>
        <v>0.6175998107073305</v>
      </c>
      <c r="G5" s="12">
        <f>SUM(Apr!G5, May!G5, Jun!G5)</f>
        <v>26573.545999999998</v>
      </c>
      <c r="H5" s="22">
        <f>SUM(Apr!H5, May!H5, Jun!H5)</f>
        <v>-75.670999999998457</v>
      </c>
      <c r="I5" s="21">
        <f>IFERROR(H5/G5, "")</f>
        <v>-2.8476064127835429E-3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SUM(Jul!C5, Aug!C5, Sep!C5)</f>
        <v>0</v>
      </c>
      <c r="D5" s="20">
        <f>SUM(Jul!D5, Aug!D5, Sep!D5)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SUM(Oct!C5, Nov!C5, Dec!C5)</f>
        <v>0</v>
      </c>
      <c r="D5" s="20">
        <f>SUM(Oct!D5, Nov!D5, Dec!D5)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K5" sqref="K5"/>
      <selection activeCell="E24" sqref="E24"/>
    </sheetView>
  </sheetViews>
  <sheetFormatPr defaultRowHeight="13.9"/>
  <cols>
    <col min="1" max="1" width="40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SUM(C4:C89)</f>
        <v>21075.625</v>
      </c>
      <c r="D2" s="6">
        <f>SUM(D4:D89)</f>
        <v>38443.42</v>
      </c>
      <c r="E2" s="6">
        <f>C2-D2</f>
        <v>-17367.794999999998</v>
      </c>
      <c r="F2" s="7">
        <f>IFERROR(E2/D2, 0)</f>
        <v>-0.45177549239895926</v>
      </c>
      <c r="G2" s="6">
        <f>SUM(G4:G89)</f>
        <v>13191.29</v>
      </c>
      <c r="H2" s="8">
        <f>C2-G2</f>
        <v>7884.3349999999991</v>
      </c>
      <c r="I2" s="7">
        <f>IFERROR(H2/G2, 0)</f>
        <v>0.59769249254621792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11182</v>
      </c>
      <c r="D4" s="14">
        <v>0</v>
      </c>
      <c r="E4" s="14">
        <f>IF(AND(ISNUMBER(C4),ISNUMBER(D4)), C4-D4, "")</f>
        <v>11182</v>
      </c>
      <c r="F4" s="15" t="str">
        <f>IFERROR(E4/D4, "")</f>
        <v/>
      </c>
      <c r="G4" s="16">
        <v>0</v>
      </c>
      <c r="H4" s="16">
        <f>IF(AND(ISNUMBER(C4),ISNUMBER(G4)), C4-G4, "")</f>
        <v>11182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9893.625</v>
      </c>
      <c r="D5" s="20">
        <v>38443.42</v>
      </c>
      <c r="E5" s="20">
        <f t="shared" ref="E5" si="0">IF(AND(ISNUMBER(C5),ISNUMBER(D5)), C5-D5, "")</f>
        <v>-28549.794999999998</v>
      </c>
      <c r="F5" s="21">
        <f>IFERROR(E5/D5, "")</f>
        <v>-0.7426445149781159</v>
      </c>
      <c r="G5" s="22">
        <v>13191.29</v>
      </c>
      <c r="H5" s="22">
        <f t="shared" ref="H5" si="1">IF(AND(ISNUMBER(C5),ISNUMBER(G5)), C5-G5, "")</f>
        <v>-3297.6650000000009</v>
      </c>
      <c r="I5" s="21">
        <f t="shared" ref="I5" si="2">IFERROR(H5/G5, "")</f>
        <v>-0.24998806030342755</v>
      </c>
      <c r="J5" s="42" t="s">
        <v>22</v>
      </c>
      <c r="K5" s="42" t="s">
        <v>23</v>
      </c>
    </row>
    <row r="6" spans="1:11" ht="14.45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K5" sqref="K5"/>
      <selection activeCell="E24" sqref="E24"/>
    </sheetView>
  </sheetViews>
  <sheetFormatPr defaultRowHeight="13.9"/>
  <cols>
    <col min="1" max="1" width="44.4257812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35551.5</v>
      </c>
      <c r="D2" s="6">
        <f>SUM(D4:D90)</f>
        <v>35585.25</v>
      </c>
      <c r="E2" s="6">
        <f>C2-D2</f>
        <v>-33.75</v>
      </c>
      <c r="F2" s="7">
        <f>IFERROR(E2/D2, 0)</f>
        <v>-9.4842666554260545E-4</v>
      </c>
      <c r="G2" s="6">
        <f>SUM(G4:G90)</f>
        <v>16281.08</v>
      </c>
      <c r="H2" s="8">
        <f>C2-G2</f>
        <v>19270.419999999998</v>
      </c>
      <c r="I2" s="7">
        <f>IFERROR(H2/G2, 0)</f>
        <v>1.1836082127229888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18304</v>
      </c>
      <c r="D4" s="14">
        <v>0</v>
      </c>
      <c r="E4" s="14">
        <f>IF(AND(ISNUMBER(C4),ISNUMBER(D4)), C4-D4, "")</f>
        <v>18304</v>
      </c>
      <c r="F4" s="15" t="str">
        <f>IFERROR(E4/D4, "")</f>
        <v/>
      </c>
      <c r="G4" s="16">
        <v>0</v>
      </c>
      <c r="H4" s="16">
        <f>IF(AND(ISNUMBER(C4),ISNUMBER(G4)), C4-G4, "")</f>
        <v>18304</v>
      </c>
      <c r="I4" s="17" t="str">
        <f>IFERROR(H4/G4, "")</f>
        <v/>
      </c>
      <c r="J4" s="18"/>
      <c r="K4" s="18"/>
    </row>
    <row r="5" spans="1:11" ht="28.9">
      <c r="A5" s="31" t="str">
        <v>MA: North Dartmouth - 293 Cross St (Array 2)</v>
      </c>
      <c r="B5" s="32" t="str">
        <v>MA</v>
      </c>
      <c r="C5" s="12">
        <v>17247.5</v>
      </c>
      <c r="D5" s="20">
        <v>35585.25</v>
      </c>
      <c r="E5" s="20">
        <f t="shared" ref="E5" si="0">IF(AND(ISNUMBER(C5),ISNUMBER(D5)), C5-D5, "")</f>
        <v>-18337.75</v>
      </c>
      <c r="F5" s="21">
        <f>IFERROR(E5/D5, "")</f>
        <v>-0.51531884699419006</v>
      </c>
      <c r="G5" s="22">
        <v>16281.08</v>
      </c>
      <c r="H5" s="22">
        <f t="shared" ref="H5" si="1">IF(AND(ISNUMBER(C5),ISNUMBER(G5)), C5-G5, "")</f>
        <v>966.42000000000007</v>
      </c>
      <c r="I5" s="21">
        <f t="shared" ref="I5" si="2">IFERROR(H5/G5, "")</f>
        <v>5.9358470076923651E-2</v>
      </c>
      <c r="J5" s="43" t="s">
        <v>26</v>
      </c>
      <c r="K5" s="43" t="s">
        <v>27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topLeftCell="G1" workbookViewId="0">
      <pane ySplit="2" topLeftCell="A3" activePane="bottomLeft" state="frozen"/>
      <selection pane="bottomLeft" activeCell="J5" sqref="J5:K5"/>
      <selection activeCell="E24" sqref="E24"/>
    </sheetView>
  </sheetViews>
  <sheetFormatPr defaultRowHeight="13.9"/>
  <cols>
    <col min="1" max="1" width="46.42578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28</v>
      </c>
      <c r="E1" s="47"/>
      <c r="F1" s="47"/>
      <c r="G1" s="45" t="s">
        <v>29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47186</v>
      </c>
      <c r="D2" s="6">
        <f>SUM(D4:D90)</f>
        <v>27748</v>
      </c>
      <c r="E2" s="6">
        <f>C2-D2</f>
        <v>19438</v>
      </c>
      <c r="F2" s="7">
        <f>IFERROR(E2/D2, 0)</f>
        <v>0.70051895632117633</v>
      </c>
      <c r="G2" s="6">
        <f>SUM(G4:G90)</f>
        <v>22287</v>
      </c>
      <c r="H2" s="8">
        <f>C2-G2</f>
        <v>24899</v>
      </c>
      <c r="I2" s="7">
        <f>IFERROR(H2/G2, 0)</f>
        <v>1.117198366760892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23368</v>
      </c>
      <c r="D4" s="14">
        <v>0</v>
      </c>
      <c r="E4" s="14">
        <f>IF(AND(ISNUMBER(C4),ISNUMBER(D4)), C4-D4, "")</f>
        <v>23368</v>
      </c>
      <c r="F4" s="15" t="str">
        <f>IFERROR(E4/D4, "")</f>
        <v/>
      </c>
      <c r="G4" s="16">
        <v>0</v>
      </c>
      <c r="H4" s="16">
        <f>IF(AND(ISNUMBER(C4),ISNUMBER(G4)), C4-G4, "")</f>
        <v>23368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23818</v>
      </c>
      <c r="D5" s="20">
        <v>27748</v>
      </c>
      <c r="E5" s="20">
        <f t="shared" ref="E5" si="0">IF(AND(ISNUMBER(C5),ISNUMBER(D5)), C5-D5, "")</f>
        <v>-3930</v>
      </c>
      <c r="F5" s="21">
        <f>IFERROR(E5/D5, "")</f>
        <v>-0.14163182932103216</v>
      </c>
      <c r="G5" s="22">
        <v>22287</v>
      </c>
      <c r="H5" s="22">
        <f t="shared" ref="H5" si="1">IF(AND(ISNUMBER(C5),ISNUMBER(G5)), C5-G5, "")</f>
        <v>1531</v>
      </c>
      <c r="I5" s="21">
        <f t="shared" ref="I5" si="2">IFERROR(H5/G5, "")</f>
        <v>6.8694754789787774E-2</v>
      </c>
      <c r="J5" s="42" t="s">
        <v>22</v>
      </c>
      <c r="K5" s="44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abSelected="1" topLeftCell="B1" workbookViewId="0">
      <pane ySplit="2" topLeftCell="A3" activePane="bottomLeft" state="frozen"/>
      <selection pane="bottomLeft" activeCell="H13" sqref="H13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30</v>
      </c>
      <c r="E1" s="47"/>
      <c r="F1" s="47"/>
      <c r="G1" s="45" t="s">
        <v>31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52168.074999999997</v>
      </c>
      <c r="D2" s="6">
        <f>SUM(D4:D90)</f>
        <v>16380.983</v>
      </c>
      <c r="E2" s="6">
        <f>C2-D2</f>
        <v>35787.091999999997</v>
      </c>
      <c r="F2" s="7">
        <f>IFERROR(E2/D2, 0)</f>
        <v>2.184673044346606</v>
      </c>
      <c r="G2" s="6">
        <f>SUM(G4:G90)</f>
        <v>26573.545999999998</v>
      </c>
      <c r="H2" s="8">
        <f>C2-G2</f>
        <v>25594.528999999999</v>
      </c>
      <c r="I2" s="7">
        <f>IFERROR(H2/G2, 0)</f>
        <v>0.96315821004844437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25670.2</v>
      </c>
      <c r="D4" s="14">
        <v>0</v>
      </c>
      <c r="E4" s="14">
        <f>IF(AND(ISNUMBER(C4),ISNUMBER(D4)), C4-D4, "")</f>
        <v>25670.2</v>
      </c>
      <c r="F4" s="15" t="str">
        <f>IFERROR(E4/D4, "")</f>
        <v/>
      </c>
      <c r="G4" s="16">
        <v>0</v>
      </c>
      <c r="H4" s="16">
        <f>IF(AND(ISNUMBER(C4),ISNUMBER(G4)), C4-G4, "")</f>
        <v>25670.2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26497.875</v>
      </c>
      <c r="D5" s="20">
        <v>16380.983</v>
      </c>
      <c r="E5" s="20">
        <f t="shared" ref="E5" si="0">IF(AND(ISNUMBER(C5),ISNUMBER(D5)), C5-D5, "")</f>
        <v>10116.892</v>
      </c>
      <c r="F5" s="21">
        <f>IFERROR(E5/D5, "")</f>
        <v>0.6175998107073305</v>
      </c>
      <c r="G5" s="22">
        <v>26573.545999999998</v>
      </c>
      <c r="H5" s="22">
        <f t="shared" ref="H5" si="1">IF(AND(ISNUMBER(C5),ISNUMBER(G5)), C5-G5, "")</f>
        <v>-75.670999999998457</v>
      </c>
      <c r="I5" s="21">
        <f t="shared" ref="I5" si="2">IFERROR(H5/G5, "")</f>
        <v>-2.8476064127835429E-3</v>
      </c>
      <c r="J5" s="42" t="s">
        <v>22</v>
      </c>
      <c r="K5" s="44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32</v>
      </c>
      <c r="E1" s="47"/>
      <c r="F1" s="47"/>
      <c r="G1" s="45" t="s">
        <v>33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34</v>
      </c>
      <c r="E1" s="47"/>
      <c r="F1" s="47"/>
      <c r="G1" s="45" t="s">
        <v>35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36</v>
      </c>
      <c r="E1" s="47"/>
      <c r="F1" s="47"/>
      <c r="G1" s="45" t="s">
        <v>37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38</v>
      </c>
      <c r="E1" s="47"/>
      <c r="F1" s="47"/>
      <c r="G1" s="45" t="s">
        <v>39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40</v>
      </c>
      <c r="E1" s="47"/>
      <c r="F1" s="47"/>
      <c r="G1" s="45" t="s">
        <v>41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42</v>
      </c>
      <c r="E1" s="47"/>
      <c r="F1" s="47"/>
      <c r="G1" s="45" t="s">
        <v>43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24" activePane="bottomLeft" state="frozen"/>
      <selection pane="bottomLeft" activeCell="E24" sqref="E2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44</v>
      </c>
      <c r="E1" s="47"/>
      <c r="F1" s="47"/>
      <c r="G1" s="45" t="s">
        <v>45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F17" sqref="F1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46</v>
      </c>
      <c r="E1" s="47"/>
      <c r="F1" s="47"/>
      <c r="G1" s="45" t="s">
        <v>47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E18" sqref="E1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48</v>
      </c>
      <c r="B1" t="s">
        <v>49</v>
      </c>
    </row>
    <row r="3" spans="1:7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7" ht="14.45">
      <c r="A4" t="s">
        <v>53</v>
      </c>
      <c r="B4" t="s">
        <v>54</v>
      </c>
      <c r="C4" s="4" t="s">
        <v>55</v>
      </c>
      <c r="E4" t="s">
        <v>56</v>
      </c>
      <c r="G4" s="3"/>
    </row>
    <row r="5" spans="1:7" ht="14.45">
      <c r="A5" t="s">
        <v>57</v>
      </c>
      <c r="B5" t="s">
        <v>58</v>
      </c>
      <c r="C5" s="4" t="s">
        <v>55</v>
      </c>
      <c r="E5" t="s">
        <v>59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C0BCDC1E-6052-4E48-9BAF-94A40814E7C2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2024-05-14T10:45:06Z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