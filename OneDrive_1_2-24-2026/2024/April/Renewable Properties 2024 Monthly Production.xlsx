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E1C1F3EA-7B06-4E84-B707-2EE9A689A5A0}" xr6:coauthVersionLast="47" xr6:coauthVersionMax="47" xr10:uidLastSave="{00000000-0000-0000-0000-000000000000}"/>
  <bookViews>
    <workbookView xWindow="-120" yWindow="-120" windowWidth="29040" windowHeight="15720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8" l="1"/>
  <c r="G5" i="18"/>
  <c r="G4" i="18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C6" i="29"/>
  <c r="D5" i="29"/>
  <c r="C5" i="29"/>
  <c r="E5" i="29" s="1"/>
  <c r="F5" i="29" s="1"/>
  <c r="D4" i="29"/>
  <c r="D2" i="29" s="1"/>
  <c r="C4" i="29"/>
  <c r="D6" i="18"/>
  <c r="C6" i="18"/>
  <c r="E6" i="18" s="1"/>
  <c r="F6" i="18" s="1"/>
  <c r="D5" i="18"/>
  <c r="C5" i="18"/>
  <c r="E5" i="18" s="1"/>
  <c r="F5" i="18" s="1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E4" i="18" l="1"/>
  <c r="F4" i="18" s="1"/>
  <c r="C4" i="34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<sst xmlns="http://schemas.openxmlformats.org/spreadsheetml/2006/main" count="277" uniqueCount="76">
  <si>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</si>
  <si>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</si>
  <si>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</si>
  <si>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</si>
  <si>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</si>
  <si>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</si>
  <si>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</si>
  <si>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</si>
  <si>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</si>
  <si>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</si>
  <si>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</si>
  <si>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</si>
  <si>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</si>
  <si>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</si>
  <si>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</si>
  <si>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</si>
  <si>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</si>
  <si>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</si>
  <si>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</si>
  <si>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</si>
  <si>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</si>
  <si>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</si>
  <si>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</si>
  <si>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</si>
  <si>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</si>
  <si>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</si>
  <si>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</si>
  <si>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</si>
  <si>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</si>
  <si>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</si>
  <si>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</si>
  <si>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</si>
  <si>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</si>
  <si>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</si>
  <si>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</si>
  <si>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</si>
  <si>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07:00 to 15:15 on 03/20/2024. 
</t>
  </si>
  <si>
    <t>1.SR082491</t>
  </si>
  <si>
    <t xml:space="preserve">1. inverters 22,23,24,25,26,27, and 28 are underproducing from 12 pm to the end of the day on 03/11, 03/12 , 03/13, &amp; continued from 03/24 throughout the month. </t>
  </si>
  <si>
    <t>1.SR081903</t>
  </si>
  <si>
    <t>April Actual v. Expected</t>
  </si>
  <si>
    <t>April Actual v. Forecasted</t>
  </si>
  <si>
    <t>1. Site tripped offline at 09:50 on 04/11 &amp; back online 04/12. 
2.Inverters 22,23,24,25,26,27, and 28 are underproducing from 12 pm most of the days till 04/16</t>
  </si>
  <si>
    <t>1.SR083325
2.SR081903</t>
  </si>
  <si>
    <t>May Actual v. Expected</t>
  </si>
  <si>
    <t>May Actual v. Forecasted</t>
  </si>
  <si>
    <t>1. Site tripped offline at 09:50 on 04/11 &amp; back online 04/12. 
2.Inverters 22,23,24,25,26,27, and 28 are underproducing from 12 pm mosth of the days till 04/16</t>
  </si>
  <si>
    <t>1.SR083325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</si>
  <si>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</si>
  <si>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</si>
  <si>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</si>
  <si>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</si>
  <si>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</si>
  <si>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</si>
  <si>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</si>
  <si>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</si>
  <si>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</si>
  <si>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</si>
  <si>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</si>
  <si>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</si>
  <si>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</si>
  <si>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</si>
  <si>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</si>
  <si>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</si>
  <si>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</si>
  <si>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</si>
  <si>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</si>
  <si>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</si>
  <si>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</si>
  <si>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</si>
  <si>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AEF</t>
  </si>
  <si>
    <t>PowerTrack</t>
  </si>
  <si>
    <t>Bullis</t>
  </si>
  <si>
    <t>NY</t>
  </si>
  <si>
    <t>Rock Island NY (Renew Prop)</t>
  </si>
  <si>
    <t>Rock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</si>
</sst>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C18" sqref="C1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0</v>
      </c>
      <c r="E1" s="68"/>
      <c r="F1" s="68"/>
      <c r="G1" s="66" t="s">
        <v>1</v>
      </c>
      <c r="H1" s="66"/>
      <c r="I1" s="66"/>
    </row>
    <row r="2" spans="1:9" ht="19.5" customHeight="1">
      <c r="A2" s="69" t="s">
        <v>2</v>
      </c>
      <c r="B2" s="69"/>
      <c r="C2" s="5">
        <f>SUM(C4:C80)</f>
        <v>1988133.25</v>
      </c>
      <c r="D2" s="5">
        <f>SUM(D4:D80)</f>
        <v>2053620.6650999999</v>
      </c>
      <c r="E2" s="5">
        <f>C2-D2</f>
        <v>-65487.415099999867</v>
      </c>
      <c r="F2" s="6">
        <f>IFERROR(E2/D2, 0)</f>
        <v>-3.1888759308336526E-2</v>
      </c>
      <c r="G2" s="5">
        <f>SUM(G4:G80)</f>
        <v>4171272.2620000001</v>
      </c>
      <c r="H2" s="7">
        <f>C2-G2</f>
        <v>-2183139.0120000001</v>
      </c>
      <c r="I2" s="6">
        <f>IFERROR(H2/G2, 0)</f>
        <v>-0.52337485421132646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32" t="str" cm="1">
        <f t="array" ref="A4:A6">Sites[Site]</f>
        <v>Cedar Swamp Rd</v>
      </c>
      <c r="B4" s="33" t="str" cm="1">
        <f t="array" ref="B4:B6">Sites[State]</f>
        <v>MA</v>
      </c>
      <c r="C4" s="34">
        <f>SUM('1st Qtr'!C4, '2nd Qtr'!C4, '3rd Qtr'!C4, '4th Qtr'!C4)</f>
        <v>361202.75</v>
      </c>
      <c r="D4" s="35">
        <f>SUM('1st Qtr'!D4, '2nd Qtr'!D4, '3rd Qtr'!D4, '4th Qtr'!D4)</f>
        <v>315697.03599999996</v>
      </c>
      <c r="E4" s="35">
        <f>IF(AND(ISNUMBER(C4),ISNUMBER(D4)), C4-D4, "")</f>
        <v>45505.714000000036</v>
      </c>
      <c r="F4" s="36">
        <f>IFERROR(E4/D4, "")</f>
        <v>0.14414362129139546</v>
      </c>
      <c r="G4" s="37">
        <f>SUM('1st Qtr'!G4, '2nd Qtr'!G4, '3rd Qtr'!G4, '4th Qtr'!G4)</f>
        <v>323875.95200000005</v>
      </c>
      <c r="H4" s="37">
        <f>SUM('1st Qtr'!H4, '2nd Qtr'!H4, '3rd Qtr'!H4, '4th Qtr'!H4)</f>
        <v>37326.797999999995</v>
      </c>
      <c r="I4" s="38">
        <f>IFERROR(H4/G4, "")</f>
        <v>0.11525029187718139</v>
      </c>
    </row>
    <row r="5" spans="1:9" ht="15.75">
      <c r="A5" s="39" t="str">
        <v>Bullis</v>
      </c>
      <c r="B5" s="40" t="str">
        <v>NY</v>
      </c>
      <c r="C5" s="41">
        <f>SUM(Jan!C5, Feb!C5, Mar!C5)</f>
        <v>1076204</v>
      </c>
      <c r="D5" s="42">
        <f>SUM(Jan!D5, Feb!D5, Mar!D5)</f>
        <v>1128123.0819999999</v>
      </c>
      <c r="E5" s="42">
        <f t="shared" ref="E5:E6" si="0">IF(AND(ISNUMBER(C5),ISNUMBER(D5)), C5-D5, "")</f>
        <v>-51919.081999999937</v>
      </c>
      <c r="F5" s="43">
        <f>IFERROR(E5/D5, "")</f>
        <v>-4.6022533204404324E-2</v>
      </c>
      <c r="G5" s="44">
        <f>SUM('1st Qtr'!G5, '2nd Qtr'!G5, '3rd Qtr'!G5, '4th Qtr'!G5)</f>
        <v>2195199.4900000002</v>
      </c>
      <c r="H5" s="44">
        <f>SUM(Jan!H5, Feb!H5, Mar!H5)</f>
        <v>-293031.94999999995</v>
      </c>
      <c r="I5" s="43">
        <f>IFERROR(H5/G5, "")</f>
        <v>-0.13348761756499858</v>
      </c>
    </row>
    <row r="6" spans="1:9" ht="15.75">
      <c r="A6" s="32" t="str">
        <v>Rock Island</v>
      </c>
      <c r="B6" s="33" t="str">
        <v>NY</v>
      </c>
      <c r="C6" s="34">
        <f>SUM(Jan!C6, Feb!C6, Mar!C6)</f>
        <v>550726.5</v>
      </c>
      <c r="D6" s="35">
        <f>SUM(Jan!D6, Feb!D6, Mar!D6)</f>
        <v>609800.54709999997</v>
      </c>
      <c r="E6" s="35">
        <f t="shared" si="0"/>
        <v>-59074.047099999967</v>
      </c>
      <c r="F6" s="36">
        <f t="shared" ref="F6" si="1">IFERROR(E6/D6, "")</f>
        <v>-9.6874375369021326E-2</v>
      </c>
      <c r="G6" s="37">
        <f>SUM('1st Qtr'!G6, '2nd Qtr'!G6, '3rd Qtr'!G6, '4th Qtr'!G6)</f>
        <v>1652196.82</v>
      </c>
      <c r="H6" s="37">
        <f>SUM(Jan!H6, Feb!H6, Mar!H6)</f>
        <v>-439892.42000000004</v>
      </c>
      <c r="I6" s="38">
        <f t="shared" ref="I6" si="2">IFERROR(H6/G6, "")</f>
        <v>-0.26624698381879225</v>
      </c>
    </row>
    <row r="7" spans="1:9">
      <c r="A7" s="14"/>
      <c r="B7" s="14"/>
      <c r="C7" s="14"/>
      <c r="D7" s="14"/>
      <c r="E7" s="14"/>
      <c r="F7" s="14"/>
      <c r="G7" s="14"/>
      <c r="H7" s="14"/>
      <c r="I7" s="14"/>
    </row>
    <row r="8" spans="1:9">
      <c r="A8" s="14"/>
      <c r="B8" s="14"/>
      <c r="C8" s="14"/>
      <c r="D8" s="14"/>
      <c r="E8" s="14"/>
      <c r="F8" s="14"/>
      <c r="G8" s="14"/>
      <c r="H8" s="14"/>
      <c r="I8" s="14"/>
    </row>
    <row r="9" spans="1:9">
      <c r="A9" s="14"/>
      <c r="B9" s="14"/>
      <c r="C9" s="14"/>
      <c r="D9" s="14"/>
      <c r="E9" s="14"/>
      <c r="F9" s="14"/>
      <c r="G9" s="14"/>
      <c r="H9" s="14"/>
      <c r="I9" s="14"/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10</v>
      </c>
      <c r="E1" s="68"/>
      <c r="F1" s="68"/>
      <c r="G1" s="66" t="s">
        <v>11</v>
      </c>
      <c r="H1" s="66"/>
      <c r="I1" s="66"/>
    </row>
    <row r="2" spans="1:9" ht="19.5" customHeight="1">
      <c r="A2" s="69" t="s">
        <v>2</v>
      </c>
      <c r="B2" s="69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2565446.4500000002</v>
      </c>
      <c r="H2" s="7">
        <f>C2-G2</f>
        <v>-708718.45000000019</v>
      </c>
      <c r="I2" s="6">
        <f>IFERROR(H2/G2, 0)</f>
        <v>-0.2762554057598825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SUM(Jan!C4, Feb!C4, Mar!C4)</f>
        <v>229797.5</v>
      </c>
      <c r="D4" s="35">
        <f>SUM(Jan!D4, Feb!D4, Mar!D4)</f>
        <v>205242.87599999999</v>
      </c>
      <c r="E4" s="35">
        <f>IF(AND(ISNUMBER(C4),ISNUMBER(D4)), C4-D4, "")</f>
        <v>24554.624000000011</v>
      </c>
      <c r="F4" s="36">
        <f>IFERROR(E4/D4, "")</f>
        <v>0.11963691251334839</v>
      </c>
      <c r="G4" s="37">
        <f>SUM(Jan!G4, Feb!G4, Mar!G4)</f>
        <v>205591.58000000002</v>
      </c>
      <c r="H4" s="37">
        <f>SUM(Jan!H4, Feb!H4, Mar!H4)</f>
        <v>24205.919999999998</v>
      </c>
      <c r="I4" s="38">
        <f>IFERROR(H4/G4, "")</f>
        <v>0.11773789568619492</v>
      </c>
    </row>
    <row r="5" spans="1:9" ht="15.75">
      <c r="A5" s="46" t="str">
        <v>Bullis</v>
      </c>
      <c r="B5" s="40" t="str">
        <v>NY</v>
      </c>
      <c r="C5" s="41">
        <f>SUM(Jan!C5, Feb!C5, Mar!C5)</f>
        <v>1076204</v>
      </c>
      <c r="D5" s="42">
        <f>SUM(Jan!D5, Feb!D5, Mar!D5)</f>
        <v>1128123.0819999999</v>
      </c>
      <c r="E5" s="42">
        <f t="shared" ref="E5:E6" si="0">IF(AND(ISNUMBER(C5),ISNUMBER(D5)), C5-D5, "")</f>
        <v>-51919.081999999937</v>
      </c>
      <c r="F5" s="43">
        <f>IFERROR(E5/D5, "")</f>
        <v>-4.6022533204404324E-2</v>
      </c>
      <c r="G5" s="44">
        <f>SUM(Jan!G5, Feb!G5, Mar!G5)</f>
        <v>1369235.95</v>
      </c>
      <c r="H5" s="44">
        <f>SUM(Jan!H5, Feb!H5, Mar!H5)</f>
        <v>-293031.94999999995</v>
      </c>
      <c r="I5" s="43">
        <f>IFERROR(H5/G5, "")</f>
        <v>-0.21401128855841095</v>
      </c>
    </row>
    <row r="6" spans="1:9" ht="15.75">
      <c r="A6" s="45" t="str">
        <v>Rock Island</v>
      </c>
      <c r="B6" s="33" t="str">
        <v>NY</v>
      </c>
      <c r="C6" s="34">
        <f>SUM(Jan!C6, Feb!C6, Mar!C6)</f>
        <v>550726.5</v>
      </c>
      <c r="D6" s="35">
        <f>SUM(Jan!D6, Feb!D6, Mar!D6)</f>
        <v>609800.54709999997</v>
      </c>
      <c r="E6" s="35">
        <f t="shared" si="0"/>
        <v>-59074.047099999967</v>
      </c>
      <c r="F6" s="36">
        <f t="shared" ref="F6" si="1">IFERROR(E6/D6, "")</f>
        <v>-9.6874375369021326E-2</v>
      </c>
      <c r="G6" s="37">
        <f>SUM(Jan!G6, Feb!G6, Mar!G6)</f>
        <v>990618.92</v>
      </c>
      <c r="H6" s="37">
        <f>SUM(Jan!H6, Feb!H6, Mar!H6)</f>
        <v>-439892.42000000004</v>
      </c>
      <c r="I6" s="38">
        <f t="shared" ref="I6" si="2">IFERROR(H6/G6, "")</f>
        <v>-0.44405816517213303</v>
      </c>
    </row>
    <row r="7" spans="1:9">
      <c r="A7" s="14"/>
      <c r="B7" s="14"/>
      <c r="C7" s="14"/>
      <c r="D7" s="14"/>
      <c r="E7" s="14"/>
      <c r="F7" s="14"/>
      <c r="G7" s="14"/>
      <c r="H7" s="14"/>
      <c r="I7" s="14"/>
    </row>
    <row r="8" spans="1:9">
      <c r="A8" s="14"/>
      <c r="B8" s="14"/>
      <c r="C8" s="14"/>
      <c r="D8" s="14"/>
      <c r="E8" s="14"/>
      <c r="F8" s="14"/>
      <c r="G8" s="14"/>
      <c r="H8" s="14"/>
      <c r="I8" s="14"/>
    </row>
    <row r="9" spans="1:9">
      <c r="A9" s="14"/>
      <c r="B9" s="14"/>
      <c r="C9" s="14"/>
      <c r="D9" s="14"/>
      <c r="E9" s="14"/>
      <c r="F9" s="14"/>
      <c r="G9" s="14"/>
      <c r="H9" s="14"/>
      <c r="I9" s="14"/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tabSelected="1" workbookViewId="0">
      <pane xSplit="2" ySplit="3" topLeftCell="C4" activePane="bottomRight" state="frozen"/>
      <selection pane="bottomRight" activeCell="F22" sqref="F22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12</v>
      </c>
      <c r="E1" s="68"/>
      <c r="F1" s="68"/>
      <c r="G1" s="66" t="s">
        <v>13</v>
      </c>
      <c r="H1" s="66"/>
      <c r="I1" s="66"/>
    </row>
    <row r="2" spans="1:9" ht="19.5" customHeight="1">
      <c r="A2" s="69" t="s">
        <v>2</v>
      </c>
      <c r="B2" s="69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SUM(Apr!C4, May!C4, Jun!C4)</f>
        <v>131405.25</v>
      </c>
      <c r="D4" s="35">
        <f>SUM(Apr!D4, May!D4, Jun!D4)</f>
        <v>110454.16</v>
      </c>
      <c r="E4" s="35">
        <f>IF(AND(ISNUMBER(C4),ISNUMBER(D4)), C4-D4, "")</f>
        <v>20951.089999999997</v>
      </c>
      <c r="F4" s="36">
        <f>IFERROR(E4/D4, "")</f>
        <v>0.18968131213889994</v>
      </c>
      <c r="G4" s="37">
        <f>SUM(Apr!G4, May!G4, Jun!G4)</f>
        <v>118284.372</v>
      </c>
      <c r="H4" s="37">
        <f>SUM(Apr!H4, May!H4, Jun!H4)</f>
        <v>13120.877999999997</v>
      </c>
      <c r="I4" s="38">
        <f>IFERROR(H4/G4, "")</f>
        <v>0.11092655587671377</v>
      </c>
    </row>
    <row r="5" spans="1:9" ht="15.75">
      <c r="A5" s="46" t="str">
        <v>Bullis</v>
      </c>
      <c r="B5" s="40" t="str">
        <v>NY</v>
      </c>
      <c r="C5" s="41">
        <f>SUM(Apr!C5, May!C5, Jun!C5)</f>
        <v>644409</v>
      </c>
      <c r="D5" s="42">
        <f>SUM(Apr!D5, May!D5, Jun!D5)</f>
        <v>637554.67700000003</v>
      </c>
      <c r="E5" s="42">
        <f t="shared" ref="E5:E6" si="0">IF(AND(ISNUMBER(C5),ISNUMBER(D5)), C5-D5, "")</f>
        <v>6854.3229999999749</v>
      </c>
      <c r="F5" s="43">
        <f>IFERROR(E5/D5, "")</f>
        <v>1.0750957129281594E-2</v>
      </c>
      <c r="G5" s="14">
        <f>SUM(Apr!G5, May!G5, Jun!G5)</f>
        <v>825963.54</v>
      </c>
      <c r="H5" s="44">
        <f>SUM(Apr!H5, May!H5, Jun!H5)</f>
        <v>-181554.54000000004</v>
      </c>
      <c r="I5" s="43">
        <f>IFERROR(H5/G5, "")</f>
        <v>-0.21980938771219857</v>
      </c>
    </row>
    <row r="6" spans="1:9" ht="15.75">
      <c r="A6" s="45" t="str">
        <v>Rock Island</v>
      </c>
      <c r="B6" s="33" t="str">
        <v>NY</v>
      </c>
      <c r="C6" s="34">
        <f>SUM(Apr!C6, May!C6, Jun!C6)</f>
        <v>604873.5</v>
      </c>
      <c r="D6" s="35">
        <f>SUM(Apr!D6, May!D6, Jun!D6)</f>
        <v>671134.67200000002</v>
      </c>
      <c r="E6" s="35">
        <f t="shared" si="0"/>
        <v>-66261.17200000002</v>
      </c>
      <c r="F6" s="36">
        <f t="shared" ref="F6" si="1">IFERROR(E6/D6, "")</f>
        <v>-9.8730068292463391E-2</v>
      </c>
      <c r="G6" s="37">
        <f>SUM(Apr!G6, May!G6, Jun!G6)</f>
        <v>661577.9</v>
      </c>
      <c r="H6" s="37">
        <f>SUM(Apr!H6, May!H6, Jun!H6)</f>
        <v>-56704.400000000023</v>
      </c>
      <c r="I6" s="38">
        <f t="shared" ref="I6" si="2">IFERROR(H6/G6, "")</f>
        <v>-8.5710843726793204E-2</v>
      </c>
    </row>
    <row r="7" spans="1:9">
      <c r="A7" s="14"/>
      <c r="B7" s="14"/>
      <c r="C7" s="14"/>
      <c r="D7" s="14"/>
      <c r="E7" s="14"/>
      <c r="F7" s="14"/>
      <c r="G7" s="14"/>
      <c r="H7" s="14"/>
      <c r="I7" s="14"/>
    </row>
    <row r="8" spans="1:9">
      <c r="A8" s="14"/>
      <c r="B8" s="14"/>
      <c r="C8" s="14"/>
      <c r="D8" s="14"/>
      <c r="E8" s="14"/>
      <c r="F8" s="14"/>
      <c r="G8" s="14"/>
      <c r="H8" s="14"/>
      <c r="I8" s="14"/>
    </row>
    <row r="9" spans="1:9">
      <c r="A9" s="14"/>
      <c r="B9" s="14"/>
      <c r="C9" s="14"/>
      <c r="D9" s="14"/>
      <c r="E9" s="14"/>
      <c r="F9" s="14"/>
      <c r="G9" s="14"/>
      <c r="H9" s="14"/>
      <c r="I9" s="14"/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14</v>
      </c>
      <c r="E1" s="68"/>
      <c r="F1" s="68"/>
      <c r="G1" s="66" t="s">
        <v>15</v>
      </c>
      <c r="H1" s="66"/>
      <c r="I1" s="66"/>
    </row>
    <row r="2" spans="1:9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SUM(Jul!H4, Aug!H4, Sep!H4)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SUM(Jul!C5, Aug!C5, Sep!C5)</f>
        <v>0</v>
      </c>
      <c r="D5" s="42">
        <f>SUM(Jul!D5, Aug!D5, Sep!D5)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SUM(Jul!H5, Aug!H5, Sep!H5)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SUM(Jul!H6, Aug!H6, Sep!H6)</f>
        <v>0</v>
      </c>
      <c r="I6" s="38" t="str">
        <f t="shared" ref="I6" si="2">IFERROR(H6/G6, "")</f>
        <v/>
      </c>
    </row>
    <row r="7" spans="1:9" ht="15.75">
      <c r="A7" s="10"/>
      <c r="B7" s="14"/>
      <c r="C7" s="14"/>
      <c r="D7" s="14"/>
      <c r="E7" s="14"/>
      <c r="F7" s="14"/>
      <c r="G7" s="14"/>
      <c r="H7" s="14"/>
      <c r="I7" s="14"/>
    </row>
    <row r="8" spans="1:9" ht="15.75">
      <c r="A8" s="10"/>
      <c r="B8" s="14"/>
      <c r="C8" s="14"/>
      <c r="D8" s="14"/>
      <c r="E8" s="14"/>
      <c r="F8" s="14"/>
      <c r="G8" s="14"/>
      <c r="H8" s="14"/>
      <c r="I8" s="14"/>
    </row>
    <row r="9" spans="1:9" ht="15.75">
      <c r="A9" s="10"/>
      <c r="B9" s="14"/>
      <c r="C9" s="14"/>
      <c r="D9" s="14"/>
      <c r="E9" s="14"/>
      <c r="F9" s="14"/>
      <c r="G9" s="14"/>
      <c r="H9" s="14"/>
      <c r="I9" s="14"/>
    </row>
    <row r="10" spans="1:9" ht="15.75">
      <c r="A10" s="10"/>
      <c r="B10" s="14"/>
      <c r="C10" s="14"/>
      <c r="D10" s="14"/>
      <c r="E10" s="14"/>
      <c r="F10" s="14"/>
      <c r="G10" s="14"/>
      <c r="H10" s="14"/>
      <c r="I10" s="14"/>
    </row>
    <row r="11" spans="1:9" ht="15.75">
      <c r="A11" s="10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16</v>
      </c>
      <c r="E1" s="68"/>
      <c r="F1" s="68"/>
      <c r="G1" s="66" t="s">
        <v>17</v>
      </c>
      <c r="H1" s="66"/>
      <c r="I1" s="66"/>
    </row>
    <row r="2" spans="1:9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SUM(Oct!H4, Nov!H4, Dec!H4)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SUM(Oct!C5, Nov!C5, Dec!C5)</f>
        <v>0</v>
      </c>
      <c r="D5" s="42">
        <f>SUM(Oct!D5, Nov!D5, Dec!D5)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SUM(Oct!H5, Nov!H5, Dec!H5)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SUM(Oct!H6, Nov!H6, Dec!H6)</f>
        <v>0</v>
      </c>
      <c r="I6" s="38" t="str">
        <f t="shared" ref="I6" si="2">IFERROR(H6/G6, "")</f>
        <v/>
      </c>
    </row>
    <row r="7" spans="1:9" ht="15">
      <c r="A7" s="14"/>
      <c r="B7" s="9"/>
      <c r="C7" s="28"/>
      <c r="D7" s="11"/>
      <c r="E7" s="11"/>
      <c r="F7" s="12"/>
      <c r="G7" s="13"/>
      <c r="H7" s="13"/>
      <c r="I7" s="12"/>
    </row>
    <row r="8" spans="1:9" ht="15">
      <c r="A8" s="14"/>
      <c r="B8" s="9"/>
      <c r="C8" s="28"/>
      <c r="D8" s="11"/>
      <c r="E8" s="11"/>
      <c r="F8" s="12"/>
      <c r="G8" s="13"/>
      <c r="H8" s="13"/>
      <c r="I8" s="12"/>
    </row>
    <row r="9" spans="1:9" ht="15">
      <c r="A9" s="14"/>
      <c r="B9" s="9"/>
      <c r="C9" s="28"/>
      <c r="D9" s="11"/>
      <c r="E9" s="11"/>
      <c r="F9" s="12"/>
      <c r="G9" s="13"/>
      <c r="H9" s="13"/>
      <c r="I9" s="12"/>
    </row>
    <row r="10" spans="1:9" ht="15">
      <c r="A10" s="14"/>
      <c r="B10" s="9"/>
      <c r="C10" s="28"/>
      <c r="D10" s="11"/>
      <c r="E10" s="11"/>
      <c r="F10" s="12"/>
      <c r="G10" s="13"/>
      <c r="H10" s="13"/>
      <c r="I10" s="12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18</v>
      </c>
      <c r="E1" s="68"/>
      <c r="F1" s="68"/>
      <c r="G1" s="66" t="s">
        <v>19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55" t="str" cm="1">
        <f t="array" ref="A4:A6">Sites[Site]</f>
        <v>Cedar Swamp Rd</v>
      </c>
      <c r="B4" s="56" t="str" cm="1">
        <f t="array" ref="B4:B6">Sites[State]</f>
        <v>MA</v>
      </c>
      <c r="C4" s="35">
        <v>47147</v>
      </c>
      <c r="D4" s="35">
        <v>40450.07</v>
      </c>
      <c r="E4" s="35">
        <f>IF(AND(ISNUMBER(C4),ISNUMBER(D4)), C4-D4, "")</f>
        <v>6696.93</v>
      </c>
      <c r="F4" s="38">
        <f>IFERROR(E4/D4, "")</f>
        <v>0.16556040570510758</v>
      </c>
      <c r="G4" s="37">
        <v>41873.17</v>
      </c>
      <c r="H4" s="37">
        <f>IF(AND(ISNUMBER(C4),ISNUMBER(G4)), C4-G4, "")</f>
        <v>5273.8300000000017</v>
      </c>
      <c r="I4" s="38">
        <f>IFERROR(H4/G4, "")</f>
        <v>0.12594771305826624</v>
      </c>
      <c r="J4" s="57" t="s">
        <v>22</v>
      </c>
      <c r="K4" s="57" t="s">
        <v>23</v>
      </c>
    </row>
    <row r="5" spans="1:11" ht="60">
      <c r="A5" s="58" t="str">
        <v>Bullis</v>
      </c>
      <c r="B5" s="59" t="str">
        <v>NY</v>
      </c>
      <c r="C5" s="42">
        <v>101870</v>
      </c>
      <c r="D5" s="42">
        <v>146839.5</v>
      </c>
      <c r="E5" s="42">
        <f t="shared" ref="E5:E6" si="0">IF(AND(ISNUMBER(C5),ISNUMBER(D5)), C5-D5, "")</f>
        <v>-44969.5</v>
      </c>
      <c r="F5" s="43">
        <f t="shared" ref="F5:F6" si="1">IFERROR(E5/D5, "")</f>
        <v>-0.30624934026607281</v>
      </c>
      <c r="G5" s="44">
        <v>265386.5</v>
      </c>
      <c r="H5" s="44">
        <f t="shared" ref="H5:H6" si="2">IF(AND(ISNUMBER(C5),ISNUMBER(G5)), C5-G5, "")</f>
        <v>-163516.5</v>
      </c>
      <c r="I5" s="43">
        <f t="shared" ref="I5:I6" si="3">IFERROR(H5/G5, "")</f>
        <v>-0.61614475491405929</v>
      </c>
      <c r="J5" s="60" t="s">
        <v>24</v>
      </c>
      <c r="K5" s="60" t="s">
        <v>25</v>
      </c>
    </row>
    <row r="6" spans="1:11" ht="15.75">
      <c r="A6" s="61" t="str">
        <v>Rock Island</v>
      </c>
      <c r="B6" s="56" t="str">
        <v>NY</v>
      </c>
      <c r="C6" s="35">
        <v>0</v>
      </c>
      <c r="D6" s="35">
        <v>0</v>
      </c>
      <c r="E6" s="35">
        <f t="shared" si="0"/>
        <v>0</v>
      </c>
      <c r="F6" s="38" t="str">
        <f t="shared" si="1"/>
        <v/>
      </c>
      <c r="G6" s="37">
        <v>0</v>
      </c>
      <c r="H6" s="37">
        <f t="shared" si="2"/>
        <v>0</v>
      </c>
      <c r="I6" s="38" t="str">
        <f t="shared" si="3"/>
        <v/>
      </c>
      <c r="J6" s="57" t="s">
        <v>26</v>
      </c>
      <c r="K6" s="57" t="s">
        <v>27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26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C4" sqref="C4"/>
      <selection pane="bottomLeft" activeCell="B15" sqref="B15"/>
      <selection pane="topRight" activeCell="B15" sqref="B15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28</v>
      </c>
      <c r="E1" s="68"/>
      <c r="F1" s="68"/>
      <c r="G1" s="66" t="s">
        <v>29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30">
      <c r="A4" s="55" t="str" cm="1">
        <f t="array" ref="A4:A6">Sites[Site]</f>
        <v>Cedar Swamp Rd</v>
      </c>
      <c r="B4" s="56" t="str" cm="1">
        <f t="array" ref="B4:B6">Sites[State]</f>
        <v>MA</v>
      </c>
      <c r="C4" s="34">
        <v>73050.75</v>
      </c>
      <c r="D4" s="35">
        <v>73781.2</v>
      </c>
      <c r="E4" s="35">
        <f>IF(AND(ISNUMBER(C4),ISNUMBER(D4)), C4-D4, "")</f>
        <v>-730.44999999999709</v>
      </c>
      <c r="F4" s="36">
        <f>IFERROR(E4/D4, "")</f>
        <v>-9.9002184838413738E-3</v>
      </c>
      <c r="G4" s="37">
        <v>55312.41</v>
      </c>
      <c r="H4" s="37">
        <f>IF(AND(ISNUMBER(C4),ISNUMBER(G4)), C4-G4, "")</f>
        <v>17738.339999999997</v>
      </c>
      <c r="I4" s="38">
        <f>IFERROR(H4/G4, "")</f>
        <v>0.32069367434902935</v>
      </c>
      <c r="J4" s="57" t="s">
        <v>30</v>
      </c>
      <c r="K4" s="57" t="s">
        <v>31</v>
      </c>
    </row>
    <row r="5" spans="1:11" ht="15.75">
      <c r="A5" s="58" t="str">
        <v>Bullis</v>
      </c>
      <c r="B5" s="59" t="str">
        <v>NY</v>
      </c>
      <c r="C5" s="41">
        <v>398240</v>
      </c>
      <c r="D5" s="42">
        <v>396786.5</v>
      </c>
      <c r="E5" s="42">
        <f t="shared" ref="E5:E6" si="0">IF(AND(ISNUMBER(C5),ISNUMBER(D5)), C5-D5, "")</f>
        <v>1453.5</v>
      </c>
      <c r="F5" s="43">
        <f>IFERROR(E5/D5, "")</f>
        <v>3.6631790648119331E-3</v>
      </c>
      <c r="G5" s="44">
        <v>423644.5</v>
      </c>
      <c r="H5" s="44">
        <f t="shared" ref="H5:H6" si="1">IF(AND(ISNUMBER(C5),ISNUMBER(G5)), C5-G5, "")</f>
        <v>-25404.5</v>
      </c>
      <c r="I5" s="43">
        <f t="shared" ref="I5:I6" si="2">IFERROR(H5/G5, "")</f>
        <v>-5.9966552144545722E-2</v>
      </c>
      <c r="J5" s="60" t="s">
        <v>32</v>
      </c>
      <c r="K5" s="60" t="s">
        <v>31</v>
      </c>
    </row>
    <row r="6" spans="1:11" ht="30">
      <c r="A6" s="61" t="str">
        <v>Rock Island</v>
      </c>
      <c r="B6" s="56" t="str">
        <v>NY</v>
      </c>
      <c r="C6" s="34">
        <v>568.5</v>
      </c>
      <c r="D6" s="35">
        <v>811.29309999999998</v>
      </c>
      <c r="E6" s="35">
        <f t="shared" si="0"/>
        <v>-242.79309999999998</v>
      </c>
      <c r="F6" s="36">
        <f t="shared" ref="F6" si="3">IFERROR(E6/D6, "")</f>
        <v>-0.29926681245039555</v>
      </c>
      <c r="G6" s="37">
        <v>389755.4</v>
      </c>
      <c r="H6" s="37">
        <f t="shared" si="1"/>
        <v>-389186.9</v>
      </c>
      <c r="I6" s="38">
        <f t="shared" si="2"/>
        <v>-0.99854139288384458</v>
      </c>
      <c r="J6" s="57" t="s">
        <v>26</v>
      </c>
      <c r="K6" s="57" t="s">
        <v>33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E4" activePane="bottomRight" state="frozen"/>
      <selection pane="bottomRight" activeCell="H13" sqref="H13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34</v>
      </c>
      <c r="E1" s="68"/>
      <c r="F1" s="68"/>
      <c r="G1" s="66" t="s">
        <v>35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1389474.47</v>
      </c>
      <c r="H2" s="7">
        <f>C2-G2</f>
        <v>-153622.71999999997</v>
      </c>
      <c r="I2" s="6">
        <f>IFERROR(H2/G2, 0)</f>
        <v>-0.11056174353458972</v>
      </c>
      <c r="J2" s="1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109599.75</v>
      </c>
      <c r="D4" s="35">
        <v>91011.606</v>
      </c>
      <c r="E4" s="35">
        <f>IF(AND(ISNUMBER(C4),ISNUMBER(D4)), C4-D4, "")</f>
        <v>18588.144</v>
      </c>
      <c r="F4" s="36">
        <f>IFERROR(E4/D4, "")</f>
        <v>0.20423927031899647</v>
      </c>
      <c r="G4" s="37">
        <v>108406</v>
      </c>
      <c r="H4" s="37">
        <f>IF(AND(ISNUMBER(C4),ISNUMBER(G4)), C4-G4, "")</f>
        <v>1193.75</v>
      </c>
      <c r="I4" s="38">
        <f>IFERROR(H4/G4, "")</f>
        <v>1.1011844362858144E-2</v>
      </c>
      <c r="J4" s="57"/>
      <c r="K4" s="57"/>
    </row>
    <row r="5" spans="1:11" ht="30">
      <c r="A5" s="63" t="str">
        <v>Bullis</v>
      </c>
      <c r="B5" s="59" t="str">
        <v>NY</v>
      </c>
      <c r="C5" s="41">
        <v>576094</v>
      </c>
      <c r="D5" s="42">
        <v>584497.08200000005</v>
      </c>
      <c r="E5" s="42">
        <f t="shared" ref="E5:E6" si="0">IF(AND(ISNUMBER(C5),ISNUMBER(D5)), C5-D5, "")</f>
        <v>-8403.0820000000531</v>
      </c>
      <c r="F5" s="43">
        <f>IFERROR(E5/D5, "")</f>
        <v>-1.4376602140162698E-2</v>
      </c>
      <c r="G5" s="44">
        <v>680204.95</v>
      </c>
      <c r="H5" s="44">
        <f t="shared" ref="H5:H6" si="1">IF(AND(ISNUMBER(C5),ISNUMBER(G5)), C5-G5, "")</f>
        <v>-104110.94999999995</v>
      </c>
      <c r="I5" s="43">
        <f t="shared" ref="I5:I6" si="2">IFERROR(H5/G5, "")</f>
        <v>-0.15305820694189298</v>
      </c>
      <c r="J5" s="65" t="s">
        <v>36</v>
      </c>
      <c r="K5" s="65" t="s">
        <v>37</v>
      </c>
    </row>
    <row r="6" spans="1:11" ht="45">
      <c r="A6" s="64" t="str">
        <v>Rock Island</v>
      </c>
      <c r="B6" s="56" t="str">
        <v>NY</v>
      </c>
      <c r="C6" s="34">
        <v>550158</v>
      </c>
      <c r="D6" s="35">
        <v>608989.25399999996</v>
      </c>
      <c r="E6" s="35">
        <f t="shared" si="0"/>
        <v>-58831.253999999957</v>
      </c>
      <c r="F6" s="36">
        <f t="shared" ref="F6" si="3">IFERROR(E6/D6, "")</f>
        <v>-9.6604748956703207E-2</v>
      </c>
      <c r="G6" s="37">
        <v>600863.52</v>
      </c>
      <c r="H6" s="37">
        <f t="shared" si="1"/>
        <v>-50705.520000000019</v>
      </c>
      <c r="I6" s="38">
        <f t="shared" si="2"/>
        <v>-8.4387749151421304E-2</v>
      </c>
      <c r="J6" s="57" t="s">
        <v>38</v>
      </c>
      <c r="K6" s="57" t="s">
        <v>39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J6" sqref="J6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40</v>
      </c>
      <c r="E1" s="68"/>
      <c r="F1" s="68"/>
      <c r="G1" s="66" t="s">
        <v>41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  <c r="J2" s="1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131405.25</v>
      </c>
      <c r="D4" s="35">
        <v>110454.16</v>
      </c>
      <c r="E4" s="35">
        <f>IF(AND(ISNUMBER(C4),ISNUMBER(D4)), C4-D4, "")</f>
        <v>20951.089999999997</v>
      </c>
      <c r="F4" s="36">
        <f>IFERROR(E4/D4, "")</f>
        <v>0.18968131213889994</v>
      </c>
      <c r="G4" s="37">
        <v>118284.372</v>
      </c>
      <c r="H4" s="37">
        <f>IF(AND(ISNUMBER(C4),ISNUMBER(G4)), C4-G4, "")</f>
        <v>13120.877999999997</v>
      </c>
      <c r="I4" s="38">
        <f>IFERROR(H4/G4, "")</f>
        <v>0.11092655587671377</v>
      </c>
      <c r="J4" s="57"/>
      <c r="K4" s="57"/>
    </row>
    <row r="5" spans="1:11" ht="15.75">
      <c r="A5" s="63" t="str">
        <v>Bullis</v>
      </c>
      <c r="B5" s="59" t="str">
        <v>NY</v>
      </c>
      <c r="C5" s="42">
        <v>644409</v>
      </c>
      <c r="D5" s="42">
        <v>637554.67700000003</v>
      </c>
      <c r="E5" s="42">
        <f t="shared" ref="E5:E6" si="0">IF(AND(ISNUMBER(C5),ISNUMBER(D5)), C5-D5, "")</f>
        <v>6854.3229999999749</v>
      </c>
      <c r="F5" s="43">
        <f>IFERROR(E5/D5, "")</f>
        <v>1.0750957129281594E-2</v>
      </c>
      <c r="G5" s="44">
        <v>825963.54</v>
      </c>
      <c r="H5" s="44">
        <f t="shared" ref="H5:H6" si="1">IF(AND(ISNUMBER(C5),ISNUMBER(G5)), C5-G5, "")</f>
        <v>-181554.54000000004</v>
      </c>
      <c r="I5" s="43">
        <f t="shared" ref="I5:I6" si="2">IFERROR(H5/G5, "")</f>
        <v>-0.21980938771219857</v>
      </c>
      <c r="J5" s="60"/>
      <c r="K5" s="60"/>
    </row>
    <row r="6" spans="1:11" ht="45">
      <c r="A6" s="64" t="str">
        <v>Rock Island</v>
      </c>
      <c r="B6" s="56" t="str">
        <v>NY</v>
      </c>
      <c r="C6" s="34">
        <v>604873.5</v>
      </c>
      <c r="D6" s="35">
        <v>671134.67200000002</v>
      </c>
      <c r="E6" s="35">
        <f t="shared" si="0"/>
        <v>-66261.17200000002</v>
      </c>
      <c r="F6" s="36">
        <f t="shared" ref="F6" si="3">IFERROR(E6/D6, "")</f>
        <v>-9.8730068292463391E-2</v>
      </c>
      <c r="G6" s="37">
        <v>661577.9</v>
      </c>
      <c r="H6" s="37">
        <f t="shared" si="1"/>
        <v>-56704.400000000023</v>
      </c>
      <c r="I6" s="38">
        <f t="shared" si="2"/>
        <v>-8.5710843726793204E-2</v>
      </c>
      <c r="J6" s="57" t="s">
        <v>42</v>
      </c>
      <c r="K6" s="57" t="s">
        <v>43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J6" sqref="J6:K6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44</v>
      </c>
      <c r="E1" s="68"/>
      <c r="F1" s="68"/>
      <c r="G1" s="66" t="s">
        <v>45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4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46</v>
      </c>
      <c r="K6" s="57" t="s">
        <v>47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48</v>
      </c>
      <c r="E1" s="68"/>
      <c r="F1" s="68"/>
      <c r="G1" s="66" t="s">
        <v>49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50</v>
      </c>
      <c r="E1" s="68"/>
      <c r="F1" s="68"/>
      <c r="G1" s="66" t="s">
        <v>51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52</v>
      </c>
      <c r="E1" s="68"/>
      <c r="F1" s="68"/>
      <c r="G1" s="66" t="s">
        <v>53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54</v>
      </c>
      <c r="E1" s="68"/>
      <c r="F1" s="68"/>
      <c r="G1" s="66" t="s">
        <v>55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56</v>
      </c>
      <c r="E1" s="68"/>
      <c r="F1" s="68"/>
      <c r="G1" s="66" t="s">
        <v>57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58</v>
      </c>
      <c r="E1" s="68"/>
      <c r="F1" s="68"/>
      <c r="G1" s="66" t="s">
        <v>59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60</v>
      </c>
      <c r="E1" s="68"/>
      <c r="F1" s="68"/>
      <c r="G1" s="66" t="s">
        <v>61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E37" sqref="E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62</v>
      </c>
      <c r="B1" t="s">
        <v>63</v>
      </c>
    </row>
    <row r="3" spans="1:12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12" ht="15">
      <c r="A4" s="31" t="s">
        <v>67</v>
      </c>
      <c r="B4" t="s">
        <v>68</v>
      </c>
      <c r="C4" s="30" t="s">
        <v>69</v>
      </c>
      <c r="D4" s="29" t="s">
        <v>70</v>
      </c>
      <c r="E4" t="s">
        <v>71</v>
      </c>
      <c r="G4" s="3"/>
    </row>
    <row r="5" spans="1:12" ht="15">
      <c r="A5" s="31" t="s">
        <v>72</v>
      </c>
      <c r="B5" t="s">
        <v>72</v>
      </c>
      <c r="C5" s="30" t="s">
        <v>73</v>
      </c>
      <c r="D5" s="29" t="s">
        <v>70</v>
      </c>
      <c r="E5" t="s">
        <v>71</v>
      </c>
      <c r="G5" s="3"/>
    </row>
    <row r="6" spans="1:12" ht="15">
      <c r="A6" s="31" t="s">
        <v>74</v>
      </c>
      <c r="B6" t="s">
        <v>75</v>
      </c>
      <c r="C6" s="30" t="s">
        <v>73</v>
      </c>
      <c r="D6" s="29" t="s">
        <v>70</v>
      </c>
      <c r="E6" t="s">
        <v>71</v>
      </c>
      <c r="G6" s="3"/>
    </row>
    <row r="7" spans="1:12" ht="12.75" customHeight="1">
      <c r="K7" s="27"/>
      <c r="L7" s="27"/>
    </row>
    <row r="8" spans="1:12" ht="12.75" customHeight="1">
      <c r="K8" s="27"/>
      <c r="L8" s="27"/>
    </row>
    <row r="9" spans="1:12" ht="12.75" customHeight="1">
      <c r="K9" s="27"/>
      <c r="L9" s="27"/>
    </row>
    <row r="10" spans="1:12" ht="12.75" customHeight="1">
      <c r="K10" s="27"/>
      <c r="L10" s="27"/>
    </row>
    <row r="11" spans="1:12" ht="12.75" customHeight="1">
      <c r="K11" s="27"/>
      <c r="L11" s="27"/>
    </row>
    <row r="12" spans="1:12" ht="12.75" customHeight="1">
      <c r="K12" s="27"/>
      <c r="L12" s="2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2024-05-13T18:46:27Z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