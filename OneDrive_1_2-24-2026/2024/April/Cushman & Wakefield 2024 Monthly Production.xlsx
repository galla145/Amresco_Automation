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amgsol_com/Documents/Desktop/"/>
    </mc:Choice>
  </mc:AlternateContent>
  <xr:revisionPtr revIDLastSave="8" documentId="8_{5FDF0A3C-723A-49D2-8276-E2D7882C372C}" xr6:coauthVersionLast="47" xr6:coauthVersionMax="47" xr10:uidLastSave="{B3389040-0D32-4F99-9587-0596A5888F07}"/>
  <bookViews>
    <workbookView xWindow="-98" yWindow="-98" windowWidth="21795" windowHeight="12975" tabRatio="866" firstSheet="1" activeTab="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4" l="1"/>
  <c r="H6" i="34"/>
  <c r="H7" i="34"/>
  <c r="H8" i="34"/>
  <c r="H9" i="34"/>
  <c r="H10" i="34"/>
  <c r="H11" i="34"/>
  <c r="H12" i="34"/>
  <c r="H13" i="34"/>
  <c r="H14" i="34"/>
  <c r="H15" i="34"/>
  <c r="H16" i="34"/>
  <c r="H17" i="34"/>
  <c r="H18" i="34"/>
  <c r="H19" i="34"/>
  <c r="H20" i="34"/>
  <c r="H21" i="34"/>
  <c r="H22" i="34"/>
  <c r="H23" i="34"/>
  <c r="H24" i="34"/>
  <c r="H25" i="34"/>
  <c r="H26" i="34"/>
  <c r="H27" i="34"/>
  <c r="H28" i="34"/>
  <c r="H29" i="34"/>
  <c r="H30" i="34"/>
  <c r="H31" i="34"/>
  <c r="H32" i="34"/>
  <c r="H33" i="34"/>
  <c r="H34" i="34"/>
  <c r="H35" i="34"/>
  <c r="H36" i="34"/>
  <c r="H37" i="34"/>
  <c r="H38" i="34"/>
  <c r="H4" i="34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E30" i="30"/>
  <c r="E31" i="30"/>
  <c r="E32" i="30"/>
  <c r="E33" i="30"/>
  <c r="E34" i="30"/>
  <c r="E35" i="30"/>
  <c r="E36" i="30"/>
  <c r="E37" i="30"/>
  <c r="E38" i="30"/>
  <c r="H5" i="30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4" i="30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H5" i="29"/>
  <c r="H6" i="29"/>
  <c r="H7" i="29"/>
  <c r="H8" i="29"/>
  <c r="H9" i="29"/>
  <c r="H10" i="29"/>
  <c r="H11" i="29"/>
  <c r="H12" i="29"/>
  <c r="H13" i="29"/>
  <c r="H14" i="29"/>
  <c r="H15" i="29"/>
  <c r="H16" i="29"/>
  <c r="H17" i="29"/>
  <c r="H18" i="29"/>
  <c r="H19" i="29"/>
  <c r="H20" i="29"/>
  <c r="H21" i="29"/>
  <c r="H22" i="29"/>
  <c r="H23" i="29"/>
  <c r="H24" i="29"/>
  <c r="H25" i="29"/>
  <c r="H26" i="29"/>
  <c r="H27" i="29"/>
  <c r="H28" i="29"/>
  <c r="H29" i="29"/>
  <c r="H30" i="29"/>
  <c r="H31" i="29"/>
  <c r="H32" i="29"/>
  <c r="H33" i="29"/>
  <c r="H34" i="29"/>
  <c r="H35" i="29"/>
  <c r="H36" i="29"/>
  <c r="H37" i="29"/>
  <c r="H38" i="29"/>
  <c r="H4" i="29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4" i="18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4" i="1"/>
  <c r="C5" i="34" l="1"/>
  <c r="D5" i="34"/>
  <c r="C6" i="34"/>
  <c r="D6" i="34"/>
  <c r="C7" i="34"/>
  <c r="D7" i="34"/>
  <c r="C8" i="34"/>
  <c r="D8" i="34"/>
  <c r="C9" i="34"/>
  <c r="D9" i="34"/>
  <c r="C10" i="34"/>
  <c r="D10" i="34"/>
  <c r="C11" i="34"/>
  <c r="D11" i="34"/>
  <c r="C12" i="34"/>
  <c r="D12" i="34"/>
  <c r="C13" i="34"/>
  <c r="D13" i="34"/>
  <c r="C14" i="34"/>
  <c r="D14" i="34"/>
  <c r="C15" i="34"/>
  <c r="D15" i="34"/>
  <c r="C16" i="34"/>
  <c r="D16" i="34"/>
  <c r="C17" i="34"/>
  <c r="D17" i="34"/>
  <c r="C18" i="34"/>
  <c r="D18" i="34"/>
  <c r="C19" i="34"/>
  <c r="D19" i="34"/>
  <c r="C20" i="34"/>
  <c r="D20" i="34"/>
  <c r="C21" i="34"/>
  <c r="D21" i="34"/>
  <c r="C22" i="34"/>
  <c r="D22" i="34"/>
  <c r="C23" i="34"/>
  <c r="D23" i="34"/>
  <c r="C24" i="34"/>
  <c r="D24" i="34"/>
  <c r="C25" i="34"/>
  <c r="D25" i="34"/>
  <c r="C26" i="34"/>
  <c r="D26" i="34"/>
  <c r="C27" i="34"/>
  <c r="D27" i="34"/>
  <c r="C28" i="34"/>
  <c r="D28" i="34"/>
  <c r="C29" i="34"/>
  <c r="D29" i="34"/>
  <c r="C30" i="34"/>
  <c r="D30" i="34"/>
  <c r="C31" i="34"/>
  <c r="D31" i="34"/>
  <c r="C32" i="34"/>
  <c r="D32" i="34"/>
  <c r="C33" i="34"/>
  <c r="D33" i="34"/>
  <c r="C34" i="34"/>
  <c r="D34" i="34"/>
  <c r="C35" i="34"/>
  <c r="D35" i="34"/>
  <c r="C36" i="34"/>
  <c r="D36" i="34"/>
  <c r="C37" i="34"/>
  <c r="D37" i="34"/>
  <c r="C38" i="34"/>
  <c r="D38" i="34"/>
  <c r="C4" i="1"/>
  <c r="C4" i="34" s="1"/>
  <c r="D4" i="1"/>
  <c r="D4" i="34" s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G4" i="1"/>
  <c r="G4" i="34" s="1"/>
  <c r="G5" i="1"/>
  <c r="G5" i="34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16" i="1"/>
  <c r="G16" i="34" s="1"/>
  <c r="G17" i="1"/>
  <c r="G17" i="34" s="1"/>
  <c r="G18" i="1"/>
  <c r="G18" i="34" s="1"/>
  <c r="G19" i="1"/>
  <c r="G19" i="34" s="1"/>
  <c r="G20" i="1"/>
  <c r="G20" i="34" s="1"/>
  <c r="G21" i="1"/>
  <c r="G21" i="34" s="1"/>
  <c r="G22" i="1"/>
  <c r="G22" i="34" s="1"/>
  <c r="G23" i="1"/>
  <c r="G23" i="34" s="1"/>
  <c r="G24" i="1"/>
  <c r="G24" i="34" s="1"/>
  <c r="G25" i="1"/>
  <c r="G25" i="34" s="1"/>
  <c r="G26" i="1"/>
  <c r="G26" i="34" s="1"/>
  <c r="G27" i="1"/>
  <c r="G27" i="34" s="1"/>
  <c r="G28" i="1"/>
  <c r="G28" i="34" s="1"/>
  <c r="G29" i="1"/>
  <c r="G29" i="34" s="1"/>
  <c r="G30" i="1"/>
  <c r="G30" i="34" s="1"/>
  <c r="G31" i="1"/>
  <c r="G31" i="34" s="1"/>
  <c r="G32" i="1"/>
  <c r="G32" i="34" s="1"/>
  <c r="G33" i="1"/>
  <c r="G33" i="34" s="1"/>
  <c r="G34" i="1"/>
  <c r="G34" i="34" s="1"/>
  <c r="G35" i="1"/>
  <c r="G35" i="34" s="1"/>
  <c r="G36" i="1"/>
  <c r="G36" i="34" s="1"/>
  <c r="G37" i="1"/>
  <c r="G37" i="34" s="1"/>
  <c r="G38" i="1"/>
  <c r="G38" i="34" s="1"/>
  <c r="E39" i="4"/>
  <c r="F39" i="4" s="1"/>
  <c r="H39" i="4"/>
  <c r="I39" i="4" s="1"/>
  <c r="E40" i="4"/>
  <c r="G2" i="4"/>
  <c r="D2" i="4"/>
  <c r="C2" i="4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C18" i="18"/>
  <c r="C19" i="18"/>
  <c r="E19" i="18" s="1"/>
  <c r="F19" i="18" s="1"/>
  <c r="C20" i="18"/>
  <c r="C21" i="18"/>
  <c r="E21" i="18" s="1"/>
  <c r="F21" i="18" s="1"/>
  <c r="C22" i="18"/>
  <c r="C23" i="18"/>
  <c r="C24" i="18"/>
  <c r="E24" i="18" s="1"/>
  <c r="F24" i="18" s="1"/>
  <c r="C25" i="18"/>
  <c r="E25" i="18" s="1"/>
  <c r="F25" i="18" s="1"/>
  <c r="C26" i="18"/>
  <c r="C27" i="18"/>
  <c r="E27" i="18" s="1"/>
  <c r="F27" i="18" s="1"/>
  <c r="C28" i="18"/>
  <c r="C29" i="18"/>
  <c r="C30" i="18"/>
  <c r="C31" i="18"/>
  <c r="C32" i="18"/>
  <c r="E32" i="18" s="1"/>
  <c r="F32" i="18" s="1"/>
  <c r="C33" i="18"/>
  <c r="E33" i="18" s="1"/>
  <c r="F33" i="18" s="1"/>
  <c r="C34" i="18"/>
  <c r="C35" i="18"/>
  <c r="E35" i="18" s="1"/>
  <c r="F35" i="18" s="1"/>
  <c r="C36" i="18"/>
  <c r="C37" i="18"/>
  <c r="C38" i="18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4" i="4"/>
  <c r="I24" i="4" s="1"/>
  <c r="H25" i="4"/>
  <c r="I25" i="4" s="1"/>
  <c r="H26" i="4"/>
  <c r="I26" i="4" s="1"/>
  <c r="H27" i="4"/>
  <c r="I27" i="4" s="1"/>
  <c r="H28" i="4"/>
  <c r="I28" i="4" s="1"/>
  <c r="H29" i="4"/>
  <c r="I29" i="4" s="1"/>
  <c r="H30" i="4"/>
  <c r="I30" i="4" s="1"/>
  <c r="H31" i="4"/>
  <c r="I31" i="4" s="1"/>
  <c r="H32" i="4"/>
  <c r="I32" i="4" s="1"/>
  <c r="H33" i="4"/>
  <c r="I33" i="4" s="1"/>
  <c r="H34" i="4"/>
  <c r="I34" i="4" s="1"/>
  <c r="H35" i="4"/>
  <c r="I35" i="4" s="1"/>
  <c r="H36" i="4"/>
  <c r="I36" i="4" s="1"/>
  <c r="H37" i="4"/>
  <c r="I37" i="4" s="1"/>
  <c r="H38" i="4"/>
  <c r="I38" i="4" s="1"/>
  <c r="E14" i="4"/>
  <c r="F14" i="4" s="1"/>
  <c r="E15" i="4"/>
  <c r="F15" i="4" s="1"/>
  <c r="E16" i="4"/>
  <c r="F16" i="4" s="1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33" i="4"/>
  <c r="F33" i="4" s="1"/>
  <c r="E34" i="4"/>
  <c r="F34" i="4" s="1"/>
  <c r="E35" i="4"/>
  <c r="F35" i="4" s="1"/>
  <c r="E36" i="4"/>
  <c r="F36" i="4" s="1"/>
  <c r="E37" i="4"/>
  <c r="F37" i="4" s="1"/>
  <c r="E38" i="4"/>
  <c r="F38" i="4" s="1"/>
  <c r="G2" i="3"/>
  <c r="D2" i="3"/>
  <c r="D2" i="72"/>
  <c r="G2" i="72"/>
  <c r="C2" i="3"/>
  <c r="C2" i="72"/>
  <c r="E34" i="18" l="1"/>
  <c r="F34" i="18" s="1"/>
  <c r="E26" i="18"/>
  <c r="F26" i="18" s="1"/>
  <c r="E18" i="18"/>
  <c r="F18" i="18" s="1"/>
  <c r="E30" i="18"/>
  <c r="F30" i="18" s="1"/>
  <c r="E22" i="18"/>
  <c r="F22" i="18" s="1"/>
  <c r="E37" i="18"/>
  <c r="F37" i="18" s="1"/>
  <c r="E29" i="18"/>
  <c r="F29" i="18" s="1"/>
  <c r="E38" i="18"/>
  <c r="F38" i="18" s="1"/>
  <c r="E36" i="18"/>
  <c r="F36" i="18" s="1"/>
  <c r="E28" i="18"/>
  <c r="F28" i="18" s="1"/>
  <c r="E20" i="18"/>
  <c r="F20" i="18" s="1"/>
  <c r="E31" i="18"/>
  <c r="F31" i="18" s="1"/>
  <c r="E23" i="18"/>
  <c r="F23" i="18" s="1"/>
  <c r="E19" i="1" l="1"/>
  <c r="F19" i="1" s="1"/>
  <c r="E25" i="34"/>
  <c r="F25" i="34" s="1"/>
  <c r="E33" i="34"/>
  <c r="F33" i="34" s="1"/>
  <c r="E26" i="1"/>
  <c r="F26" i="1" s="1"/>
  <c r="E34" i="34"/>
  <c r="F34" i="34" s="1"/>
  <c r="E18" i="34"/>
  <c r="F18" i="34" s="1"/>
  <c r="E36" i="1"/>
  <c r="F36" i="1" s="1"/>
  <c r="E38" i="1"/>
  <c r="F38" i="1" s="1"/>
  <c r="E24" i="1"/>
  <c r="F24" i="1" s="1"/>
  <c r="E35" i="34"/>
  <c r="F35" i="34" s="1"/>
  <c r="E23" i="34"/>
  <c r="F23" i="34" s="1"/>
  <c r="E19" i="34"/>
  <c r="F19" i="34" s="1"/>
  <c r="E23" i="1"/>
  <c r="F23" i="1" s="1"/>
  <c r="E37" i="1"/>
  <c r="F37" i="1" s="1"/>
  <c r="E29" i="1"/>
  <c r="F29" i="1" s="1"/>
  <c r="E21" i="1"/>
  <c r="F21" i="1" s="1"/>
  <c r="E31" i="34"/>
  <c r="F31" i="34" s="1"/>
  <c r="E27" i="34"/>
  <c r="F27" i="34" s="1"/>
  <c r="E25" i="1"/>
  <c r="F25" i="1" s="1"/>
  <c r="E26" i="34"/>
  <c r="F26" i="34" s="1"/>
  <c r="E35" i="1"/>
  <c r="F35" i="1" s="1"/>
  <c r="E33" i="1"/>
  <c r="F33" i="1" s="1"/>
  <c r="E30" i="1"/>
  <c r="F30" i="1" s="1"/>
  <c r="E20" i="1"/>
  <c r="F20" i="1" s="1"/>
  <c r="E32" i="1"/>
  <c r="F32" i="1" s="1"/>
  <c r="E27" i="1"/>
  <c r="F27" i="1" s="1"/>
  <c r="E38" i="34"/>
  <c r="F38" i="34" s="1"/>
  <c r="E34" i="1"/>
  <c r="F34" i="1" s="1"/>
  <c r="E32" i="34"/>
  <c r="F32" i="34" s="1"/>
  <c r="E24" i="34"/>
  <c r="F24" i="34" s="1"/>
  <c r="E29" i="34"/>
  <c r="F29" i="34" s="1"/>
  <c r="E21" i="34"/>
  <c r="F21" i="34" s="1"/>
  <c r="E28" i="1"/>
  <c r="F28" i="1" s="1"/>
  <c r="E30" i="34"/>
  <c r="F30" i="34" s="1"/>
  <c r="E37" i="34"/>
  <c r="F37" i="34" s="1"/>
  <c r="E18" i="1"/>
  <c r="F18" i="1" s="1"/>
  <c r="E22" i="1"/>
  <c r="F22" i="1" s="1"/>
  <c r="E22" i="34"/>
  <c r="F22" i="34" s="1"/>
  <c r="E31" i="1"/>
  <c r="F31" i="1" s="1"/>
  <c r="E28" i="34"/>
  <c r="F28" i="34" s="1"/>
  <c r="E36" i="34"/>
  <c r="F36" i="34" s="1"/>
  <c r="E20" i="34"/>
  <c r="F20" i="34" s="1"/>
  <c r="E18" i="3"/>
  <c r="F18" i="3" s="1"/>
  <c r="H18" i="3"/>
  <c r="I18" i="3" s="1"/>
  <c r="E19" i="3"/>
  <c r="F19" i="3" s="1"/>
  <c r="H19" i="3"/>
  <c r="I19" i="3" s="1"/>
  <c r="E20" i="3"/>
  <c r="F20" i="3" s="1"/>
  <c r="H20" i="3"/>
  <c r="I20" i="3" s="1"/>
  <c r="E21" i="3"/>
  <c r="F21" i="3" s="1"/>
  <c r="H21" i="3"/>
  <c r="I21" i="3" s="1"/>
  <c r="E22" i="3"/>
  <c r="F22" i="3" s="1"/>
  <c r="H22" i="3"/>
  <c r="I22" i="3" s="1"/>
  <c r="E23" i="3"/>
  <c r="F23" i="3" s="1"/>
  <c r="H23" i="3"/>
  <c r="I23" i="3" s="1"/>
  <c r="E24" i="3"/>
  <c r="F24" i="3" s="1"/>
  <c r="H24" i="3"/>
  <c r="I24" i="3" s="1"/>
  <c r="E25" i="3"/>
  <c r="F25" i="3" s="1"/>
  <c r="H25" i="3"/>
  <c r="I25" i="3" s="1"/>
  <c r="E26" i="3"/>
  <c r="F26" i="3" s="1"/>
  <c r="H26" i="3"/>
  <c r="I26" i="3" s="1"/>
  <c r="E27" i="3"/>
  <c r="F27" i="3" s="1"/>
  <c r="H27" i="3"/>
  <c r="I27" i="3" s="1"/>
  <c r="E28" i="3"/>
  <c r="F28" i="3" s="1"/>
  <c r="H28" i="3"/>
  <c r="I28" i="3" s="1"/>
  <c r="E29" i="3"/>
  <c r="F29" i="3" s="1"/>
  <c r="H29" i="3"/>
  <c r="I29" i="3" s="1"/>
  <c r="E30" i="3"/>
  <c r="F30" i="3" s="1"/>
  <c r="H30" i="3"/>
  <c r="I30" i="3" s="1"/>
  <c r="E31" i="3"/>
  <c r="F31" i="3" s="1"/>
  <c r="H31" i="3"/>
  <c r="I31" i="3" s="1"/>
  <c r="E32" i="3"/>
  <c r="F32" i="3" s="1"/>
  <c r="H32" i="3"/>
  <c r="I32" i="3" s="1"/>
  <c r="E33" i="3"/>
  <c r="F33" i="3" s="1"/>
  <c r="H33" i="3"/>
  <c r="I33" i="3" s="1"/>
  <c r="E34" i="3"/>
  <c r="F34" i="3" s="1"/>
  <c r="H34" i="3"/>
  <c r="I34" i="3" s="1"/>
  <c r="E35" i="3"/>
  <c r="F35" i="3" s="1"/>
  <c r="H35" i="3"/>
  <c r="I35" i="3" s="1"/>
  <c r="E36" i="3"/>
  <c r="F36" i="3" s="1"/>
  <c r="H36" i="3"/>
  <c r="I36" i="3" s="1"/>
  <c r="E37" i="3"/>
  <c r="F37" i="3" s="1"/>
  <c r="H37" i="3"/>
  <c r="I37" i="3" s="1"/>
  <c r="E38" i="3"/>
  <c r="F38" i="3" s="1"/>
  <c r="H38" i="3"/>
  <c r="I38" i="3" s="1"/>
  <c r="H18" i="72"/>
  <c r="H19" i="72"/>
  <c r="H20" i="72"/>
  <c r="H21" i="72"/>
  <c r="H22" i="72"/>
  <c r="H23" i="72"/>
  <c r="H24" i="72"/>
  <c r="H25" i="72"/>
  <c r="H26" i="72"/>
  <c r="H27" i="72"/>
  <c r="H28" i="72"/>
  <c r="H29" i="72"/>
  <c r="H30" i="72"/>
  <c r="H31" i="72"/>
  <c r="H32" i="72"/>
  <c r="H33" i="72"/>
  <c r="H34" i="72"/>
  <c r="H35" i="72"/>
  <c r="H36" i="72"/>
  <c r="H37" i="72"/>
  <c r="H38" i="72"/>
  <c r="E22" i="72"/>
  <c r="F22" i="72" s="1"/>
  <c r="E23" i="72"/>
  <c r="F23" i="72" s="1"/>
  <c r="E24" i="72"/>
  <c r="F24" i="72" s="1"/>
  <c r="E25" i="72"/>
  <c r="F25" i="72" s="1"/>
  <c r="E26" i="72"/>
  <c r="F26" i="72" s="1"/>
  <c r="E27" i="72"/>
  <c r="F27" i="72" s="1"/>
  <c r="E28" i="72"/>
  <c r="F28" i="72" s="1"/>
  <c r="E29" i="72"/>
  <c r="F29" i="72" s="1"/>
  <c r="E30" i="72"/>
  <c r="F30" i="72" s="1"/>
  <c r="E31" i="72"/>
  <c r="F31" i="72" s="1"/>
  <c r="E32" i="72"/>
  <c r="F32" i="72" s="1"/>
  <c r="E33" i="72"/>
  <c r="F33" i="72" s="1"/>
  <c r="E34" i="72"/>
  <c r="F34" i="72" s="1"/>
  <c r="E35" i="72"/>
  <c r="F35" i="72" s="1"/>
  <c r="E36" i="72"/>
  <c r="F36" i="72" s="1"/>
  <c r="E37" i="72"/>
  <c r="F37" i="72" s="1"/>
  <c r="E38" i="72"/>
  <c r="F38" i="72" s="1"/>
  <c r="E21" i="72"/>
  <c r="F21" i="72" s="1"/>
  <c r="E18" i="72"/>
  <c r="F18" i="72" s="1"/>
  <c r="E19" i="72"/>
  <c r="F19" i="72" s="1"/>
  <c r="E20" i="72"/>
  <c r="F20" i="72" s="1"/>
  <c r="I18" i="72" l="1"/>
  <c r="I18" i="34"/>
  <c r="I18" i="1"/>
  <c r="I36" i="72"/>
  <c r="I36" i="34"/>
  <c r="I36" i="1"/>
  <c r="I28" i="72"/>
  <c r="I28" i="34"/>
  <c r="I28" i="1"/>
  <c r="I21" i="1"/>
  <c r="I21" i="34"/>
  <c r="I35" i="72"/>
  <c r="I35" i="1"/>
  <c r="I35" i="34"/>
  <c r="I27" i="72"/>
  <c r="I27" i="1"/>
  <c r="I27" i="34"/>
  <c r="I34" i="72"/>
  <c r="I34" i="34"/>
  <c r="I34" i="1"/>
  <c r="I26" i="72"/>
  <c r="I26" i="34"/>
  <c r="I26" i="1"/>
  <c r="I19" i="72"/>
  <c r="I19" i="1"/>
  <c r="I19" i="34"/>
  <c r="I32" i="72"/>
  <c r="I32" i="34"/>
  <c r="I32" i="1"/>
  <c r="I38" i="72"/>
  <c r="I38" i="1"/>
  <c r="I38" i="34"/>
  <c r="I30" i="72"/>
  <c r="I30" i="1"/>
  <c r="I30" i="34"/>
  <c r="I22" i="72"/>
  <c r="I22" i="34"/>
  <c r="I22" i="1"/>
  <c r="I33" i="72"/>
  <c r="I33" i="34"/>
  <c r="I33" i="1"/>
  <c r="I25" i="72"/>
  <c r="I25" i="34"/>
  <c r="I25" i="1"/>
  <c r="I24" i="72"/>
  <c r="I24" i="34"/>
  <c r="I24" i="1"/>
  <c r="I31" i="72"/>
  <c r="I31" i="34"/>
  <c r="I31" i="1"/>
  <c r="I23" i="72"/>
  <c r="I23" i="34"/>
  <c r="I23" i="1"/>
  <c r="I37" i="72"/>
  <c r="I37" i="34"/>
  <c r="I37" i="1"/>
  <c r="I29" i="72"/>
  <c r="I29" i="1"/>
  <c r="I29" i="34"/>
  <c r="I21" i="72"/>
  <c r="I20" i="72"/>
  <c r="I20" i="1"/>
  <c r="I20" i="34"/>
  <c r="C16" i="30"/>
  <c r="D16" i="30"/>
  <c r="C17" i="30"/>
  <c r="D17" i="30"/>
  <c r="C16" i="29"/>
  <c r="D16" i="29"/>
  <c r="C17" i="29"/>
  <c r="D17" i="29"/>
  <c r="C16" i="18"/>
  <c r="D16" i="18"/>
  <c r="C17" i="18"/>
  <c r="D17" i="18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I17" i="21" s="1"/>
  <c r="E17" i="21"/>
  <c r="F17" i="21" s="1"/>
  <c r="H16" i="21"/>
  <c r="I16" i="21" s="1"/>
  <c r="E16" i="21"/>
  <c r="F16" i="21" s="1"/>
  <c r="H17" i="4"/>
  <c r="I17" i="4" s="1"/>
  <c r="H16" i="4"/>
  <c r="I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I16" i="72" s="1"/>
  <c r="E17" i="72"/>
  <c r="F17" i="72" s="1"/>
  <c r="H17" i="72"/>
  <c r="I17" i="72" s="1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D11" i="30"/>
  <c r="C11" i="30"/>
  <c r="D10" i="30"/>
  <c r="C10" i="30"/>
  <c r="F10" i="30" s="1"/>
  <c r="D9" i="30"/>
  <c r="C9" i="30"/>
  <c r="D8" i="30"/>
  <c r="C8" i="30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E10" i="29" s="1"/>
  <c r="F10" i="29" s="1"/>
  <c r="D9" i="29"/>
  <c r="C9" i="29"/>
  <c r="D8" i="29"/>
  <c r="C8" i="29"/>
  <c r="D7" i="29"/>
  <c r="C7" i="29"/>
  <c r="D6" i="29"/>
  <c r="C6" i="29"/>
  <c r="E6" i="29" s="1"/>
  <c r="F6" i="29" s="1"/>
  <c r="D5" i="29"/>
  <c r="C5" i="29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E10" i="18" s="1"/>
  <c r="F10" i="18" s="1"/>
  <c r="D9" i="18"/>
  <c r="C9" i="18"/>
  <c r="D8" i="18"/>
  <c r="C8" i="18"/>
  <c r="D7" i="18"/>
  <c r="C7" i="18"/>
  <c r="D6" i="18"/>
  <c r="C6" i="18"/>
  <c r="E6" i="18" s="1"/>
  <c r="F6" i="18" s="1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I5" i="33"/>
  <c r="H5" i="33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H14" i="4"/>
  <c r="I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A1" i="4" a="1"/>
  <c r="A1" i="4" s="1"/>
  <c r="J2" i="3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J2" i="72"/>
  <c r="A1" i="72" a="1"/>
  <c r="A1" i="72" s="1"/>
  <c r="F14" i="30" l="1"/>
  <c r="I7" i="29"/>
  <c r="I15" i="29"/>
  <c r="I12" i="29"/>
  <c r="E17" i="18"/>
  <c r="F17" i="18" s="1"/>
  <c r="F11" i="30"/>
  <c r="D2" i="18"/>
  <c r="F9" i="30"/>
  <c r="F13" i="30"/>
  <c r="E16" i="29"/>
  <c r="F16" i="29" s="1"/>
  <c r="F8" i="30"/>
  <c r="F12" i="30"/>
  <c r="F17" i="30"/>
  <c r="C2" i="1"/>
  <c r="G2" i="1"/>
  <c r="E16" i="18"/>
  <c r="F16" i="18" s="1"/>
  <c r="F16" i="30"/>
  <c r="D2" i="1"/>
  <c r="G2" i="34"/>
  <c r="E17" i="1"/>
  <c r="F17" i="1" s="1"/>
  <c r="E16" i="1"/>
  <c r="F16" i="1" s="1"/>
  <c r="E16" i="34"/>
  <c r="F16" i="34" s="1"/>
  <c r="F15" i="30"/>
  <c r="D2" i="30"/>
  <c r="F5" i="30"/>
  <c r="F6" i="30"/>
  <c r="I16" i="30"/>
  <c r="I6" i="30"/>
  <c r="I17" i="30"/>
  <c r="E4" i="30"/>
  <c r="F4" i="30" s="1"/>
  <c r="E17" i="29"/>
  <c r="F17" i="29" s="1"/>
  <c r="E13" i="29"/>
  <c r="F13" i="29" s="1"/>
  <c r="E14" i="29"/>
  <c r="F14" i="29" s="1"/>
  <c r="I9" i="29"/>
  <c r="I6" i="29"/>
  <c r="D2" i="29"/>
  <c r="E5" i="29"/>
  <c r="F5" i="29" s="1"/>
  <c r="E9" i="29"/>
  <c r="F9" i="29" s="1"/>
  <c r="I17" i="29"/>
  <c r="I10" i="29"/>
  <c r="I13" i="29"/>
  <c r="E11" i="29"/>
  <c r="F11" i="29" s="1"/>
  <c r="E8" i="29"/>
  <c r="F8" i="29" s="1"/>
  <c r="E12" i="29"/>
  <c r="F12" i="29" s="1"/>
  <c r="I16" i="29"/>
  <c r="E9" i="18"/>
  <c r="F9" i="18" s="1"/>
  <c r="E14" i="18"/>
  <c r="F14" i="18" s="1"/>
  <c r="E5" i="18"/>
  <c r="F5" i="18" s="1"/>
  <c r="E13" i="18"/>
  <c r="F13" i="18" s="1"/>
  <c r="I16" i="18"/>
  <c r="D2" i="34"/>
  <c r="E7" i="18"/>
  <c r="F7" i="18" s="1"/>
  <c r="E11" i="18"/>
  <c r="F11" i="18" s="1"/>
  <c r="E15" i="18"/>
  <c r="F15" i="18" s="1"/>
  <c r="I17" i="18"/>
  <c r="E4" i="18"/>
  <c r="F4" i="18" s="1"/>
  <c r="E8" i="18"/>
  <c r="F8" i="18" s="1"/>
  <c r="E12" i="18"/>
  <c r="F12" i="18" s="1"/>
  <c r="E17" i="34"/>
  <c r="F17" i="34" s="1"/>
  <c r="I17" i="1"/>
  <c r="I17" i="34"/>
  <c r="I16" i="1"/>
  <c r="I16" i="34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I14" i="30"/>
  <c r="I9" i="30"/>
  <c r="I4" i="30"/>
  <c r="F7" i="30"/>
  <c r="I12" i="30"/>
  <c r="I7" i="30"/>
  <c r="I15" i="30"/>
  <c r="I10" i="30"/>
  <c r="I5" i="30"/>
  <c r="I13" i="30"/>
  <c r="I8" i="30"/>
  <c r="I11" i="30"/>
  <c r="E7" i="29"/>
  <c r="F7" i="29" s="1"/>
  <c r="I8" i="29"/>
  <c r="I11" i="29"/>
  <c r="I6" i="26"/>
  <c r="I9" i="26"/>
  <c r="I12" i="26"/>
  <c r="I15" i="26"/>
  <c r="I14" i="29"/>
  <c r="I4" i="29"/>
  <c r="E15" i="29"/>
  <c r="F15" i="29" s="1"/>
  <c r="I5" i="29"/>
  <c r="I7" i="26"/>
  <c r="I14" i="18"/>
  <c r="I9" i="18"/>
  <c r="I6" i="18"/>
  <c r="I4" i="18"/>
  <c r="I12" i="18"/>
  <c r="I7" i="18"/>
  <c r="I15" i="18"/>
  <c r="I10" i="18"/>
  <c r="C2" i="34"/>
  <c r="I5" i="18"/>
  <c r="I13" i="18"/>
  <c r="I8" i="18"/>
  <c r="I11" i="18"/>
  <c r="I6" i="34"/>
  <c r="I7" i="34"/>
  <c r="I8" i="34"/>
  <c r="I5" i="34"/>
  <c r="I9" i="34"/>
  <c r="I10" i="34"/>
  <c r="I11" i="34"/>
  <c r="I12" i="34"/>
  <c r="I13" i="34"/>
  <c r="I14" i="34"/>
  <c r="I15" i="34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I7" i="1"/>
  <c r="I5" i="1"/>
  <c r="I15" i="1"/>
  <c r="I12" i="1"/>
  <c r="I11" i="1"/>
  <c r="I10" i="1"/>
  <c r="I6" i="1"/>
  <c r="E2" i="3"/>
  <c r="F2" i="3" s="1"/>
  <c r="E4" i="1"/>
  <c r="F4" i="1" s="1"/>
  <c r="I14" i="1"/>
  <c r="I13" i="1"/>
  <c r="I9" i="1"/>
  <c r="I8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H2" i="34"/>
  <c r="I2" i="34" s="1"/>
  <c r="I4" i="1"/>
  <c r="I4" i="34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<sst xmlns="http://schemas.openxmlformats.org/spreadsheetml/2006/main" count="374" uniqueCount="122">
  <si>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</si>
  <si>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</si>
  <si>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</si>
  <si>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</si>
  <si>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</si>
  <si>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</si>
  <si>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</si>
  <si>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</si>
  <si>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</si>
  <si>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</si>
  <si>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</si>
  <si>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</si>
  <si>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</si>
  <si>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</si>
  <si>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</si>
  <si>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</si>
  <si>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</si>
  <si>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</si>
  <si>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</si>
  <si>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</si>
  <si>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</si>
  <si>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</si>
  <si>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</si>
  <si>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</si>
  <si>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</si>
  <si>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</si>
  <si>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</si>
  <si>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</si>
  <si>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</si>
  <si>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</si>
  <si>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</si>
  <si>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</si>
  <si>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</si>
  <si>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</si>
  <si>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</si>
  <si>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</si>
  <si>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</si>
  <si>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</si>
  <si>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</si>
  <si>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</si>
  <si>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</si>
  <si>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</si>
  <si>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</si>
  <si>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</si>
  <si>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</si>
  <si>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Cushman &amp; Wakefield</t>
  </si>
  <si>
    <t>Site DAS Name</t>
  </si>
  <si>
    <t>Update</t>
  </si>
  <si>
    <t>DAS</t>
  </si>
  <si>
    <t/>
  </si>
  <si>
    <t xml:space="preserve"> Adelanto - Bank of America</t>
  </si>
  <si>
    <t>CA</t>
  </si>
  <si>
    <t xml:space="preserve">Enlighten Manager </t>
  </si>
  <si>
    <t xml:space="preserve"> Apple Valley - Bank of America</t>
  </si>
  <si>
    <t>Bank of America - CAW-D36 (Arvin, CA)</t>
  </si>
  <si>
    <t xml:space="preserve"> Arvin - Bank of America</t>
  </si>
  <si>
    <t>Bank of America - CA8-122 (Bell, CA) (240 VAC High Leg Delta)</t>
  </si>
  <si>
    <t xml:space="preserve"> Bell - Bank of America</t>
  </si>
  <si>
    <t>Bank of America - CAW-G59 (Chula Vista, CA)</t>
  </si>
  <si>
    <t xml:space="preserve"> Chula Vista - Bank of America</t>
  </si>
  <si>
    <t>Bank of America - CAW-F39 (Cupertino, CA)</t>
  </si>
  <si>
    <t xml:space="preserve"> Cupertino - Bank of America</t>
  </si>
  <si>
    <t>Bank of America - CA7-202 (Diamond Bar, CA)</t>
  </si>
  <si>
    <t xml:space="preserve"> Diamond Bar - Bank of America</t>
  </si>
  <si>
    <t>Bank of America - CA0-119 (El Centro, CA)</t>
  </si>
  <si>
    <t xml:space="preserve"> El Centro - Bank of America</t>
  </si>
  <si>
    <t>Bank of America - CA6-174 (Moreno Valley, CA)</t>
  </si>
  <si>
    <t xml:space="preserve"> Moreno Valley - Bank of America</t>
  </si>
  <si>
    <t xml:space="preserve"> Redlands - Bank of America</t>
  </si>
  <si>
    <t>Bank of America - CA2-113 (Roseville, CA)</t>
  </si>
  <si>
    <t xml:space="preserve"> Roseville - Bank of America</t>
  </si>
  <si>
    <t>Bank of America - CAW-E84 (San Bernardino, CA)</t>
  </si>
  <si>
    <t xml:space="preserve"> San Bernardino - Bank of America</t>
  </si>
  <si>
    <t>Bank of America (San Diego, CA)</t>
  </si>
  <si>
    <t xml:space="preserve"> San Diego - Bank of America</t>
  </si>
  <si>
    <t>Bank of America - CA2-154 (Stockton, CA)</t>
  </si>
  <si>
    <t xml:space="preserve"> Stockton - Bank of America</t>
  </si>
  <si>
    <t xml:space="preserve"> Victorville - Bank of America</t>
  </si>
  <si>
    <t>BOA, Arapahoe Crossings #CO1-112</t>
  </si>
  <si>
    <t xml:space="preserve"> Aurora - BA - Colfax Ave</t>
  </si>
  <si>
    <t>CO</t>
  </si>
  <si>
    <t>BOA, Chambers Plaza #COW-139</t>
  </si>
  <si>
    <t xml:space="preserve"> Aurora - BA - Parker Rd</t>
  </si>
  <si>
    <t>BOA, BroomFeild #COW-107</t>
  </si>
  <si>
    <t xml:space="preserve"> Broomfield - Bank of America</t>
  </si>
  <si>
    <t>BOA, Garden of the Gods #CO1-140</t>
  </si>
  <si>
    <t xml:space="preserve"> Colorado Springs - Bank of America</t>
  </si>
  <si>
    <t>BOA, Green Valley Ranch #CO1-121</t>
  </si>
  <si>
    <t xml:space="preserve"> Denver - BA - 49th Ave</t>
  </si>
  <si>
    <t>BOA, South Wadsworth #COW-113</t>
  </si>
  <si>
    <t xml:space="preserve"> Denver - BA Wadsworth Blvd</t>
  </si>
  <si>
    <t>BOA, Front Range Village #COW-143</t>
  </si>
  <si>
    <t xml:space="preserve"> Fort Collins - Bank of America</t>
  </si>
  <si>
    <t>Bank of America - COW-135 (Lafayette, CO)</t>
  </si>
  <si>
    <t xml:space="preserve"> Lafayette - Bank of America</t>
  </si>
  <si>
    <t>BOA, Lakewood #COW-115</t>
  </si>
  <si>
    <t xml:space="preserve"> Lakewood - Bank of America</t>
  </si>
  <si>
    <t>BOA,Village at the Peaks #CO1-109</t>
  </si>
  <si>
    <t xml:space="preserve"> Longmont - Bank of America</t>
  </si>
  <si>
    <t>BOA, Thornton #COW-118</t>
  </si>
  <si>
    <t xml:space="preserve"> Thornton - Bank of America</t>
  </si>
  <si>
    <t>Bank of America - IL4-020 (River Oaks, IL)</t>
  </si>
  <si>
    <t xml:space="preserve"> Calumet City - Bank of America</t>
  </si>
  <si>
    <t>IL</t>
  </si>
  <si>
    <t>BOA, WoodRidge IL2-251</t>
  </si>
  <si>
    <t xml:space="preserve"> Downers Grove - Bank of America</t>
  </si>
  <si>
    <t xml:space="preserve"> Bloomington - Bank of America</t>
  </si>
  <si>
    <t>MN</t>
  </si>
  <si>
    <t>Bank of America - Forsyth (Clayton, MO)</t>
  </si>
  <si>
    <t xml:space="preserve"> Clayton - Bank of America</t>
  </si>
  <si>
    <t>MO</t>
  </si>
  <si>
    <t>Bank of America - MO1-064 (Manchester, MO)</t>
  </si>
  <si>
    <t xml:space="preserve"> Manchester - Bank of America</t>
  </si>
  <si>
    <t>Bank Of America (Las Vegas, NV)</t>
  </si>
  <si>
    <t xml:space="preserve"> Las Vegas - BA - Eastern Ave</t>
  </si>
  <si>
    <t>NV</t>
  </si>
  <si>
    <t xml:space="preserve"> Las Vegas - BA - Town Ctr Dr</t>
  </si>
  <si>
    <t>Bank of America - UTW-024 (Riverton, UT)</t>
  </si>
  <si>
    <t xml:space="preserve"> Riverton - Bank of America</t>
  </si>
  <si>
    <t>UT</t>
  </si>
  <si>
    <t>Bank of America - UT3-111 (Salt Lake City, UT)</t>
  </si>
  <si>
    <t xml:space="preserve"> Salt Lake City - Bank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</si>
</sst>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1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sz val="1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69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23" fillId="0" borderId="0" xfId="43" applyFont="1"/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164" fontId="29" fillId="0" borderId="0" xfId="1" applyNumberFormat="1" applyFont="1" applyBorder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23" fillId="0" borderId="0" xfId="43" applyFont="1" applyAlignment="1">
      <alignment horizontal="left"/>
    </xf>
    <xf numFmtId="0" fontId="0" fillId="0" borderId="0" xfId="0" applyAlignment="1">
      <alignment horizontal="left"/>
    </xf>
    <xf numFmtId="0" fontId="28" fillId="46" borderId="0" xfId="0" applyFont="1" applyFill="1" applyAlignment="1">
      <alignment horizontal="center" vertical="center"/>
    </xf>
    <xf numFmtId="0" fontId="29" fillId="46" borderId="0" xfId="0" applyFont="1" applyFill="1" applyAlignment="1">
      <alignment horizontal="center" vertical="center"/>
    </xf>
    <xf numFmtId="164" fontId="29" fillId="46" borderId="0" xfId="1" applyNumberFormat="1" applyFont="1" applyFill="1" applyBorder="1" applyAlignment="1">
      <alignment horizontal="center" vertical="center"/>
    </xf>
    <xf numFmtId="3" fontId="31" fillId="46" borderId="0" xfId="0" applyNumberFormat="1" applyFont="1" applyFill="1" applyAlignment="1">
      <alignment horizontal="right" vertical="center"/>
    </xf>
    <xf numFmtId="9" fontId="31" fillId="46" borderId="0" xfId="2" applyFont="1" applyFill="1" applyBorder="1" applyAlignment="1">
      <alignment horizontal="center" vertical="center"/>
    </xf>
    <xf numFmtId="3" fontId="31" fillId="46" borderId="0" xfId="1" applyNumberFormat="1" applyFont="1" applyFill="1" applyBorder="1" applyAlignment="1">
      <alignment vertical="center"/>
    </xf>
    <xf numFmtId="0" fontId="0" fillId="46" borderId="0" xfId="0" applyFill="1"/>
    <xf numFmtId="0" fontId="36" fillId="0" borderId="0" xfId="0" applyFont="1" applyAlignment="1">
      <alignment horizontal="left" vertical="top"/>
    </xf>
    <xf numFmtId="0" fontId="37" fillId="0" borderId="0" xfId="0" applyFont="1" applyAlignment="1">
      <alignment horizontal="left" vertical="top"/>
    </xf>
    <xf numFmtId="0" fontId="36" fillId="45" borderId="1" xfId="0" applyFont="1" applyFill="1" applyBorder="1" applyAlignment="1">
      <alignment horizontal="left" vertical="top"/>
    </xf>
    <xf numFmtId="49" fontId="38" fillId="38" borderId="0" xfId="2" applyNumberFormat="1" applyFont="1" applyFill="1" applyBorder="1" applyAlignment="1">
      <alignment horizontal="left" vertical="top" wrapText="1"/>
    </xf>
    <xf numFmtId="0" fontId="38" fillId="0" borderId="0" xfId="0" applyFont="1" applyAlignment="1">
      <alignment horizontal="left" vertical="top"/>
    </xf>
    <xf numFmtId="49" fontId="38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vertical="center" wrapText="1"/>
    </xf>
    <xf numFmtId="49" fontId="29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1" fillId="46" borderId="0" xfId="0" applyNumberFormat="1" applyFont="1" applyFill="1" applyAlignment="1">
      <alignment horizontal="left" vertical="top" wrapText="1"/>
    </xf>
    <xf numFmtId="49" fontId="1" fillId="46" borderId="0" xfId="0" applyNumberFormat="1" applyFont="1" applyFill="1" applyAlignment="1">
      <alignment vertical="center" wrapText="1"/>
    </xf>
    <xf numFmtId="164" fontId="29" fillId="44" borderId="0" xfId="1" applyNumberFormat="1" applyFont="1" applyFill="1" applyAlignment="1">
      <alignment horizontal="center" vertical="center"/>
    </xf>
    <xf numFmtId="9" fontId="31" fillId="3" borderId="0" xfId="2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38" totalsRowShown="0">
  <autoFilter ref="A3:E3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K242"/>
  <sheetViews>
    <sheetView workbookViewId="0">
      <pane xSplit="2" ySplit="3" topLeftCell="C4" activePane="bottomRight" state="frozen"/>
      <selection pane="bottomRight" activeCell="S17" sqref="S17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66" t="str" cm="1">
        <f t="array" ref="A1">portfolio</f>
        <v>Cushman &amp; Wakefield</v>
      </c>
      <c r="B1" s="66"/>
      <c r="C1" s="66"/>
      <c r="D1" s="67" t="s">
        <v>0</v>
      </c>
      <c r="E1" s="67"/>
      <c r="F1" s="67"/>
      <c r="G1" s="65" t="s">
        <v>1</v>
      </c>
      <c r="H1" s="65"/>
      <c r="I1" s="65"/>
    </row>
    <row r="2" spans="1:11" ht="19.5" customHeight="1">
      <c r="A2" s="68" t="s">
        <v>2</v>
      </c>
      <c r="B2" s="68"/>
      <c r="C2" s="6">
        <f>SUM(C4:C38)</f>
        <v>0</v>
      </c>
      <c r="D2" s="6">
        <f>SUM(D4:D38)</f>
        <v>0</v>
      </c>
      <c r="E2" s="6">
        <f>C2-D2</f>
        <v>0</v>
      </c>
      <c r="F2" s="7">
        <f>IFERROR(E2/D2, 0)</f>
        <v>0</v>
      </c>
      <c r="G2" s="6">
        <f>SUM(G4:G38)</f>
        <v>0</v>
      </c>
      <c r="H2" s="8">
        <f>C2-G2</f>
        <v>0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</row>
    <row r="4" spans="1:11" ht="15.75">
      <c r="A4" s="29" t="str" cm="1">
        <f t="array" ref="A4:A38">Sites[Site]</f>
        <v xml:space="preserve"> Adelanto - Bank of America</v>
      </c>
      <c r="B4" s="26" t="str" cm="1">
        <f t="array" ref="B4:B38">Sites[State]</f>
        <v>CA</v>
      </c>
      <c r="C4" s="21">
        <f>SUM('1st Qtr'!C4, '2nd Qtr'!C4, '3rd Qtr'!C4, '4th Qtr'!C4)</f>
        <v>0</v>
      </c>
      <c r="D4" s="11">
        <f>SUM('1st Qtr'!D4, '2nd Qtr'!D4, '3rd Qtr'!D4, '4th Qtr'!D4)</f>
        <v>0</v>
      </c>
      <c r="E4" s="11">
        <f>IF(AND(ISNUMBER(C4),ISNUMBER(D4)), C4-D4, "")</f>
        <v>0</v>
      </c>
      <c r="F4" s="12" t="str">
        <f>IFERROR(E4/D4, "")</f>
        <v/>
      </c>
      <c r="G4" s="13">
        <f>SUM('1st Qtr'!G4+'2nd Qtr'!G4+'3rd Qtr'!G4+'4th Qtr'!G4)</f>
        <v>0</v>
      </c>
      <c r="H4" s="13">
        <f>IF(AND(ISNUMBER(C4),ISNUMBER(G4)), C4-G4, "")</f>
        <v>0</v>
      </c>
      <c r="I4" s="14" t="str">
        <f>IFERROR(H4/G4, "")</f>
        <v/>
      </c>
      <c r="J4" s="38"/>
      <c r="K4" s="38"/>
    </row>
    <row r="5" spans="1:11" ht="15.75">
      <c r="A5" s="27" t="str">
        <v xml:space="preserve"> Apple Valley - Bank of America</v>
      </c>
      <c r="B5" s="28" t="str">
        <v>CA</v>
      </c>
      <c r="C5" s="10">
        <f>SUM(Jan!C5, Feb!C5, Mar!C5)</f>
        <v>0</v>
      </c>
      <c r="D5" s="15">
        <f>SUM(Jan!D5, Feb!D5, Mar!D5)</f>
        <v>0</v>
      </c>
      <c r="E5" s="15">
        <f t="shared" ref="E5:E15" si="0">IF(AND(ISNUMBER(C5),ISNUMBER(D5)), C5-D5, "")</f>
        <v>0</v>
      </c>
      <c r="F5" s="16" t="str">
        <f>IFERROR(E5/D5, "")</f>
        <v/>
      </c>
      <c r="G5" s="17">
        <f>SUM('1st Qtr'!G5+'2nd Qtr'!G5+'3rd Qtr'!G5+'4th Qtr'!G5)</f>
        <v>0</v>
      </c>
      <c r="H5" s="17">
        <f t="shared" ref="H5:H38" si="1">IF(AND(ISNUMBER(C5),ISNUMBER(G5)), C5-G5, "")</f>
        <v>0</v>
      </c>
      <c r="I5" s="16" t="str">
        <f>IFERROR(H5/G5, "")</f>
        <v/>
      </c>
      <c r="J5" s="39"/>
      <c r="K5" s="39"/>
    </row>
    <row r="6" spans="1:11" ht="15.75">
      <c r="A6" s="25" t="str">
        <v xml:space="preserve"> Arvin - Bank of America</v>
      </c>
      <c r="B6" s="26" t="str">
        <v>CA</v>
      </c>
      <c r="C6" s="21">
        <f>SUM(Jan!C6, Feb!C6, Mar!C6)</f>
        <v>0</v>
      </c>
      <c r="D6" s="11">
        <f>SUM(Jan!D6, Feb!D6, Mar!D6)</f>
        <v>0</v>
      </c>
      <c r="E6" s="11">
        <f t="shared" si="0"/>
        <v>0</v>
      </c>
      <c r="F6" s="12" t="str">
        <f t="shared" ref="F6:F15" si="2">IFERROR(E6/D6, "")</f>
        <v/>
      </c>
      <c r="G6" s="13">
        <f>SUM('1st Qtr'!G6+'2nd Qtr'!G6+'3rd Qtr'!G6+'4th Qtr'!G6)</f>
        <v>0</v>
      </c>
      <c r="H6" s="13">
        <f t="shared" si="1"/>
        <v>0</v>
      </c>
      <c r="I6" s="14" t="str">
        <f t="shared" ref="I6:I15" si="3">IFERROR(H6/G6, "")</f>
        <v/>
      </c>
      <c r="J6" s="38"/>
      <c r="K6" s="38"/>
    </row>
    <row r="7" spans="1:11" ht="15.75">
      <c r="A7" s="27" t="str">
        <v xml:space="preserve"> Bell - Bank of America</v>
      </c>
      <c r="B7" s="28" t="str">
        <v>CA</v>
      </c>
      <c r="C7" s="10">
        <f>SUM(Jan!C7, Feb!C7, Mar!C7)</f>
        <v>0</v>
      </c>
      <c r="D7" s="15">
        <f>SUM(Jan!D7, Feb!D7, Mar!D7)</f>
        <v>0</v>
      </c>
      <c r="E7" s="15">
        <f t="shared" si="0"/>
        <v>0</v>
      </c>
      <c r="F7" s="16" t="str">
        <f t="shared" si="2"/>
        <v/>
      </c>
      <c r="G7" s="17">
        <f>SUM('1st Qtr'!G7+'2nd Qtr'!G7+'3rd Qtr'!G7+'4th Qtr'!G7)</f>
        <v>0</v>
      </c>
      <c r="H7" s="17">
        <f t="shared" si="1"/>
        <v>0</v>
      </c>
      <c r="I7" s="16" t="str">
        <f t="shared" si="3"/>
        <v/>
      </c>
      <c r="J7" s="39"/>
      <c r="K7" s="40"/>
    </row>
    <row r="8" spans="1:11" ht="15.75">
      <c r="A8" s="25" t="str">
        <v xml:space="preserve"> Chula Vista - Bank of America</v>
      </c>
      <c r="B8" s="26" t="str">
        <v>CA</v>
      </c>
      <c r="C8" s="21">
        <f>SUM(Jan!C8, Feb!C8, Mar!C8)</f>
        <v>0</v>
      </c>
      <c r="D8" s="11">
        <f>SUM(Jan!D8, Feb!D8, Mar!D8)</f>
        <v>0</v>
      </c>
      <c r="E8" s="11">
        <f t="shared" si="0"/>
        <v>0</v>
      </c>
      <c r="F8" s="12" t="str">
        <f t="shared" si="2"/>
        <v/>
      </c>
      <c r="G8" s="13">
        <f>SUM('1st Qtr'!G8+'2nd Qtr'!G8+'3rd Qtr'!G8+'4th Qtr'!G8)</f>
        <v>0</v>
      </c>
      <c r="H8" s="13">
        <f t="shared" si="1"/>
        <v>0</v>
      </c>
      <c r="I8" s="14" t="str">
        <f t="shared" si="3"/>
        <v/>
      </c>
      <c r="J8" s="38"/>
      <c r="K8" s="38"/>
    </row>
    <row r="9" spans="1:11" ht="15.75">
      <c r="A9" s="27" t="str">
        <v xml:space="preserve"> Cupertino - Bank of America</v>
      </c>
      <c r="B9" s="28" t="str">
        <v>CA</v>
      </c>
      <c r="C9" s="10">
        <f>SUM(Jan!C9, Feb!C9, Mar!C9)</f>
        <v>0</v>
      </c>
      <c r="D9" s="15">
        <f>SUM(Jan!D9, Feb!D9, Mar!D9)</f>
        <v>0</v>
      </c>
      <c r="E9" s="15">
        <f t="shared" si="0"/>
        <v>0</v>
      </c>
      <c r="F9" s="16" t="str">
        <f t="shared" si="2"/>
        <v/>
      </c>
      <c r="G9" s="17">
        <f>SUM('1st Qtr'!G9+'2nd Qtr'!G9+'3rd Qtr'!G9+'4th Qtr'!G9)</f>
        <v>0</v>
      </c>
      <c r="H9" s="17">
        <f t="shared" si="1"/>
        <v>0</v>
      </c>
      <c r="I9" s="16" t="str">
        <f t="shared" si="3"/>
        <v/>
      </c>
      <c r="J9" s="39"/>
      <c r="K9" s="40"/>
    </row>
    <row r="10" spans="1:11" ht="15.75">
      <c r="A10" s="25" t="str">
        <v xml:space="preserve"> Diamond Bar - Bank of America</v>
      </c>
      <c r="B10" s="26" t="str">
        <v>CA</v>
      </c>
      <c r="C10" s="21">
        <f>SUM(Jan!C10, Feb!C10, Mar!C10)</f>
        <v>0</v>
      </c>
      <c r="D10" s="11">
        <f>SUM(Jan!D10, Feb!D10, Mar!D10)</f>
        <v>0</v>
      </c>
      <c r="E10" s="11">
        <f t="shared" si="0"/>
        <v>0</v>
      </c>
      <c r="F10" s="12" t="str">
        <f t="shared" si="2"/>
        <v/>
      </c>
      <c r="G10" s="13">
        <f>SUM('1st Qtr'!G10+'2nd Qtr'!G10+'3rd Qtr'!G10+'4th Qtr'!G10)</f>
        <v>0</v>
      </c>
      <c r="H10" s="13">
        <f t="shared" si="1"/>
        <v>0</v>
      </c>
      <c r="I10" s="14" t="str">
        <f t="shared" si="3"/>
        <v/>
      </c>
      <c r="J10" s="38"/>
      <c r="K10" s="38"/>
    </row>
    <row r="11" spans="1:11" ht="15.75">
      <c r="A11" s="27" t="str">
        <v xml:space="preserve"> El Centro - Bank of America</v>
      </c>
      <c r="B11" s="28" t="str">
        <v>CA</v>
      </c>
      <c r="C11" s="10">
        <f>SUM(Jan!C11, Feb!C11, Mar!C11)</f>
        <v>0</v>
      </c>
      <c r="D11" s="15">
        <f>SUM(Jan!D11, Feb!D11, Mar!D11)</f>
        <v>0</v>
      </c>
      <c r="E11" s="15">
        <f t="shared" si="0"/>
        <v>0</v>
      </c>
      <c r="F11" s="16" t="str">
        <f t="shared" si="2"/>
        <v/>
      </c>
      <c r="G11" s="17">
        <f>SUM('1st Qtr'!G11+'2nd Qtr'!G11+'3rd Qtr'!G11+'4th Qtr'!G11)</f>
        <v>0</v>
      </c>
      <c r="H11" s="17">
        <f t="shared" si="1"/>
        <v>0</v>
      </c>
      <c r="I11" s="16" t="str">
        <f t="shared" si="3"/>
        <v/>
      </c>
      <c r="J11" s="39"/>
      <c r="K11" s="40"/>
    </row>
    <row r="12" spans="1:11" ht="15.75">
      <c r="A12" s="25" t="str">
        <v xml:space="preserve"> Moreno Valley - Bank of America</v>
      </c>
      <c r="B12" s="26" t="str">
        <v>CA</v>
      </c>
      <c r="C12" s="21">
        <f>SUM(Jan!C12, Feb!C12, Mar!C12)</f>
        <v>0</v>
      </c>
      <c r="D12" s="11">
        <f>SUM(Jan!D12, Feb!D12, Mar!D12)</f>
        <v>0</v>
      </c>
      <c r="E12" s="11">
        <f t="shared" si="0"/>
        <v>0</v>
      </c>
      <c r="F12" s="12" t="str">
        <f t="shared" si="2"/>
        <v/>
      </c>
      <c r="G12" s="13">
        <f>SUM('1st Qtr'!G12+'2nd Qtr'!G12+'3rd Qtr'!G12+'4th Qtr'!G12)</f>
        <v>0</v>
      </c>
      <c r="H12" s="13">
        <f t="shared" si="1"/>
        <v>0</v>
      </c>
      <c r="I12" s="14" t="str">
        <f t="shared" si="3"/>
        <v/>
      </c>
      <c r="J12" s="38"/>
      <c r="K12" s="38"/>
    </row>
    <row r="13" spans="1:11" ht="15.75">
      <c r="A13" s="27" t="str">
        <v xml:space="preserve"> Redlands - Bank of America</v>
      </c>
      <c r="B13" s="28" t="str">
        <v>CA</v>
      </c>
      <c r="C13" s="10">
        <f>SUM(Jan!C13, Feb!C13, Mar!C13)</f>
        <v>0</v>
      </c>
      <c r="D13" s="15">
        <f>SUM(Jan!D13, Feb!D13, Mar!D13)</f>
        <v>0</v>
      </c>
      <c r="E13" s="15">
        <f t="shared" si="0"/>
        <v>0</v>
      </c>
      <c r="F13" s="16" t="str">
        <f t="shared" si="2"/>
        <v/>
      </c>
      <c r="G13" s="17">
        <f>SUM('1st Qtr'!G13+'2nd Qtr'!G13+'3rd Qtr'!G13+'4th Qtr'!G13)</f>
        <v>0</v>
      </c>
      <c r="H13" s="17">
        <f t="shared" si="1"/>
        <v>0</v>
      </c>
      <c r="I13" s="16" t="str">
        <f t="shared" si="3"/>
        <v/>
      </c>
      <c r="J13" s="39"/>
      <c r="K13" s="40"/>
    </row>
    <row r="14" spans="1:11" ht="15.75">
      <c r="A14" s="25" t="str">
        <v xml:space="preserve"> Roseville - Bank of America</v>
      </c>
      <c r="B14" s="26" t="str">
        <v>CA</v>
      </c>
      <c r="C14" s="21">
        <f>SUM(Jan!C14, Feb!C14, Mar!C14)</f>
        <v>0</v>
      </c>
      <c r="D14" s="11">
        <f>SUM(Jan!D14, Feb!D14, Mar!D14)</f>
        <v>0</v>
      </c>
      <c r="E14" s="11">
        <f t="shared" si="0"/>
        <v>0</v>
      </c>
      <c r="F14" s="12" t="str">
        <f t="shared" si="2"/>
        <v/>
      </c>
      <c r="G14" s="13">
        <f>SUM('1st Qtr'!G14+'2nd Qtr'!G14+'3rd Qtr'!G14+'4th Qtr'!G14)</f>
        <v>0</v>
      </c>
      <c r="H14" s="13">
        <f t="shared" si="1"/>
        <v>0</v>
      </c>
      <c r="I14" s="14" t="str">
        <f t="shared" si="3"/>
        <v/>
      </c>
      <c r="J14" s="38"/>
      <c r="K14" s="38"/>
    </row>
    <row r="15" spans="1:11" ht="15.75">
      <c r="A15" s="27" t="str">
        <v xml:space="preserve"> San Bernardino - Bank of America</v>
      </c>
      <c r="B15" s="28" t="str">
        <v>CA</v>
      </c>
      <c r="C15" s="10">
        <f>SUM(Jan!C15, Feb!C15, Mar!C15)</f>
        <v>0</v>
      </c>
      <c r="D15" s="15">
        <f>SUM(Jan!D15, Feb!D15, Mar!D15)</f>
        <v>0</v>
      </c>
      <c r="E15" s="15">
        <f t="shared" si="0"/>
        <v>0</v>
      </c>
      <c r="F15" s="16" t="str">
        <f t="shared" si="2"/>
        <v/>
      </c>
      <c r="G15" s="17">
        <f>SUM('1st Qtr'!G15+'2nd Qtr'!G15+'3rd Qtr'!G15+'4th Qtr'!G15)</f>
        <v>0</v>
      </c>
      <c r="H15" s="17">
        <f t="shared" si="1"/>
        <v>0</v>
      </c>
      <c r="I15" s="16" t="str">
        <f t="shared" si="3"/>
        <v/>
      </c>
      <c r="J15" s="39"/>
      <c r="K15" s="40"/>
    </row>
    <row r="16" spans="1:11" ht="15.75">
      <c r="A16" s="25" t="str">
        <v xml:space="preserve"> San Diego - Bank of America</v>
      </c>
      <c r="B16" s="26" t="str">
        <v>CA</v>
      </c>
      <c r="C16" s="21">
        <f>SUM(Jan!C16, Feb!C16, Mar!C16)</f>
        <v>0</v>
      </c>
      <c r="D16" s="11">
        <f>SUM(Jan!D16, Feb!D16, Mar!D16)</f>
        <v>0</v>
      </c>
      <c r="E16" s="11">
        <f t="shared" ref="E16:E17" si="4">IF(AND(ISNUMBER(C16),ISNUMBER(D16)), C16-D16, "")</f>
        <v>0</v>
      </c>
      <c r="F16" s="12" t="str">
        <f t="shared" ref="F16:F17" si="5">IFERROR(E16/D16, "")</f>
        <v/>
      </c>
      <c r="G16" s="13">
        <f>SUM('1st Qtr'!G16+'2nd Qtr'!G16+'3rd Qtr'!G16+'4th Qtr'!G16)</f>
        <v>0</v>
      </c>
      <c r="H16" s="13">
        <f t="shared" si="1"/>
        <v>0</v>
      </c>
      <c r="I16" s="14" t="str">
        <f t="shared" ref="I16:I17" si="6">IFERROR(H16/G16, "")</f>
        <v/>
      </c>
      <c r="J16" s="38"/>
      <c r="K16" s="38"/>
    </row>
    <row r="17" spans="1:11" ht="15.75">
      <c r="A17" s="27" t="str">
        <v xml:space="preserve"> Stockton - Bank of America</v>
      </c>
      <c r="B17" s="28" t="str">
        <v>CA</v>
      </c>
      <c r="C17" s="10">
        <f>SUM(Jan!C17, Feb!C17, Mar!C17)</f>
        <v>0</v>
      </c>
      <c r="D17" s="15">
        <f>SUM(Jan!D17, Feb!D17, Mar!D17)</f>
        <v>0</v>
      </c>
      <c r="E17" s="15">
        <f t="shared" si="4"/>
        <v>0</v>
      </c>
      <c r="F17" s="16" t="str">
        <f t="shared" si="5"/>
        <v/>
      </c>
      <c r="G17" s="17">
        <f>SUM('1st Qtr'!G17+'2nd Qtr'!G17+'3rd Qtr'!G17+'4th Qtr'!G17)</f>
        <v>0</v>
      </c>
      <c r="H17" s="17">
        <f t="shared" si="1"/>
        <v>0</v>
      </c>
      <c r="I17" s="16" t="str">
        <f t="shared" si="6"/>
        <v/>
      </c>
      <c r="J17" s="39"/>
      <c r="K17" s="39"/>
    </row>
    <row r="18" spans="1:11" ht="12.75" customHeight="1">
      <c r="A18" s="25" t="str">
        <v xml:space="preserve"> Victorville - Bank of America</v>
      </c>
      <c r="B18" s="26" t="str">
        <v>CA</v>
      </c>
      <c r="C18" s="21">
        <f>SUM(Jan!C18, Feb!C18, Mar!C18)</f>
        <v>0</v>
      </c>
      <c r="D18" s="11">
        <f>SUM(Jan!D18, Feb!D18, Mar!D18)</f>
        <v>0</v>
      </c>
      <c r="E18" s="11">
        <f t="shared" ref="E18:E38" si="7">IF(AND(ISNUMBER(C18),ISNUMBER(D18)), C18-D18, "")</f>
        <v>0</v>
      </c>
      <c r="F18" s="12" t="str">
        <f t="shared" ref="F18:F38" si="8">IFERROR(E18/D18, "")</f>
        <v/>
      </c>
      <c r="G18" s="13">
        <f>SUM('1st Qtr'!G18+'2nd Qtr'!G18+'3rd Qtr'!G18+'4th Qtr'!G18)</f>
        <v>0</v>
      </c>
      <c r="H18" s="13">
        <f t="shared" si="1"/>
        <v>0</v>
      </c>
      <c r="I18" s="14" t="str">
        <f t="shared" ref="I18:I38" si="9">IFERROR(H18/G18, "")</f>
        <v/>
      </c>
      <c r="J18" s="38"/>
      <c r="K18" s="38"/>
    </row>
    <row r="19" spans="1:11" ht="15.75">
      <c r="A19" s="27" t="str">
        <v xml:space="preserve"> Aurora - BA - Colfax Ave</v>
      </c>
      <c r="B19" s="28" t="str">
        <v>CO</v>
      </c>
      <c r="C19" s="10">
        <f>SUM(Jan!C19, Feb!C19, Mar!C19)</f>
        <v>0</v>
      </c>
      <c r="D19" s="15">
        <f>SUM(Jan!D19, Feb!D19, Mar!D19)</f>
        <v>0</v>
      </c>
      <c r="E19" s="15">
        <f t="shared" si="7"/>
        <v>0</v>
      </c>
      <c r="F19" s="16" t="str">
        <f t="shared" si="8"/>
        <v/>
      </c>
      <c r="G19" s="17">
        <f>SUM('1st Qtr'!G19+'2nd Qtr'!G19+'3rd Qtr'!G19+'4th Qtr'!G19)</f>
        <v>0</v>
      </c>
      <c r="H19" s="17">
        <f t="shared" si="1"/>
        <v>0</v>
      </c>
      <c r="I19" s="16" t="str">
        <f t="shared" si="9"/>
        <v/>
      </c>
      <c r="J19" s="39"/>
      <c r="K19" s="40"/>
    </row>
    <row r="20" spans="1:11" ht="15.75">
      <c r="A20" s="25" t="str">
        <v xml:space="preserve"> Aurora - BA - Parker Rd</v>
      </c>
      <c r="B20" s="26" t="str">
        <v>CO</v>
      </c>
      <c r="C20" s="21">
        <f>SUM(Jan!C20, Feb!C20, Mar!C20)</f>
        <v>0</v>
      </c>
      <c r="D20" s="11">
        <f>SUM(Jan!D20, Feb!D20, Mar!D20)</f>
        <v>0</v>
      </c>
      <c r="E20" s="11">
        <f t="shared" si="7"/>
        <v>0</v>
      </c>
      <c r="F20" s="12" t="str">
        <f t="shared" si="8"/>
        <v/>
      </c>
      <c r="G20" s="13">
        <f>SUM('1st Qtr'!G20+'2nd Qtr'!G20+'3rd Qtr'!G20+'4th Qtr'!G20)</f>
        <v>0</v>
      </c>
      <c r="H20" s="13">
        <f t="shared" si="1"/>
        <v>0</v>
      </c>
      <c r="I20" s="14" t="str">
        <f t="shared" si="9"/>
        <v/>
      </c>
      <c r="J20" s="38"/>
      <c r="K20" s="38"/>
    </row>
    <row r="21" spans="1:11" ht="15.75">
      <c r="A21" s="27" t="str">
        <v xml:space="preserve"> Broomfield - Bank of America</v>
      </c>
      <c r="B21" s="28" t="str">
        <v>CO</v>
      </c>
      <c r="C21" s="10">
        <f>SUM(Jan!C21, Feb!C21, Mar!C21)</f>
        <v>0</v>
      </c>
      <c r="D21" s="15">
        <f>SUM(Jan!D21, Feb!D21, Mar!D21)</f>
        <v>0</v>
      </c>
      <c r="E21" s="15">
        <f t="shared" si="7"/>
        <v>0</v>
      </c>
      <c r="F21" s="16" t="str">
        <f t="shared" si="8"/>
        <v/>
      </c>
      <c r="G21" s="17">
        <f>SUM('1st Qtr'!G21+'2nd Qtr'!G21+'3rd Qtr'!G21+'4th Qtr'!G21)</f>
        <v>0</v>
      </c>
      <c r="H21" s="17">
        <f t="shared" si="1"/>
        <v>0</v>
      </c>
      <c r="I21" s="16" t="str">
        <f t="shared" si="9"/>
        <v/>
      </c>
      <c r="J21" s="39"/>
      <c r="K21" s="40"/>
    </row>
    <row r="22" spans="1:11" ht="15.75">
      <c r="A22" s="25" t="str">
        <v xml:space="preserve"> Colorado Springs - Bank of America</v>
      </c>
      <c r="B22" s="26" t="str">
        <v>CO</v>
      </c>
      <c r="C22" s="21">
        <f>SUM(Jan!C22, Feb!C22, Mar!C22)</f>
        <v>0</v>
      </c>
      <c r="D22" s="11">
        <f>SUM(Jan!D22, Feb!D22, Mar!D22)</f>
        <v>0</v>
      </c>
      <c r="E22" s="11">
        <f t="shared" si="7"/>
        <v>0</v>
      </c>
      <c r="F22" s="12" t="str">
        <f t="shared" si="8"/>
        <v/>
      </c>
      <c r="G22" s="13">
        <f>SUM('1st Qtr'!G22+'2nd Qtr'!G22+'3rd Qtr'!G22+'4th Qtr'!G22)</f>
        <v>0</v>
      </c>
      <c r="H22" s="13">
        <f t="shared" si="1"/>
        <v>0</v>
      </c>
      <c r="I22" s="14" t="str">
        <f t="shared" si="9"/>
        <v/>
      </c>
      <c r="J22" s="38"/>
      <c r="K22" s="38"/>
    </row>
    <row r="23" spans="1:11" ht="15.75">
      <c r="A23" s="27" t="str">
        <v xml:space="preserve"> Denver - BA - 49th Ave</v>
      </c>
      <c r="B23" s="28" t="str">
        <v>CO</v>
      </c>
      <c r="C23" s="10">
        <f>SUM(Jan!C23, Feb!C23, Mar!C23)</f>
        <v>0</v>
      </c>
      <c r="D23" s="15">
        <f>SUM(Jan!D23, Feb!D23, Mar!D23)</f>
        <v>0</v>
      </c>
      <c r="E23" s="15">
        <f t="shared" si="7"/>
        <v>0</v>
      </c>
      <c r="F23" s="16" t="str">
        <f t="shared" si="8"/>
        <v/>
      </c>
      <c r="G23" s="17">
        <f>SUM('1st Qtr'!G23+'2nd Qtr'!G23+'3rd Qtr'!G23+'4th Qtr'!G23)</f>
        <v>0</v>
      </c>
      <c r="H23" s="17">
        <f t="shared" si="1"/>
        <v>0</v>
      </c>
      <c r="I23" s="16" t="str">
        <f t="shared" si="9"/>
        <v/>
      </c>
      <c r="J23" s="39"/>
      <c r="K23" s="40"/>
    </row>
    <row r="24" spans="1:11" ht="15.75">
      <c r="A24" s="25" t="str">
        <v xml:space="preserve"> Denver - BA Wadsworth Blvd</v>
      </c>
      <c r="B24" s="26" t="str">
        <v>CO</v>
      </c>
      <c r="C24" s="21">
        <f>SUM(Jan!C24, Feb!C24, Mar!C24)</f>
        <v>0</v>
      </c>
      <c r="D24" s="11">
        <f>SUM(Jan!D24, Feb!D24, Mar!D24)</f>
        <v>0</v>
      </c>
      <c r="E24" s="11">
        <f t="shared" si="7"/>
        <v>0</v>
      </c>
      <c r="F24" s="12" t="str">
        <f t="shared" si="8"/>
        <v/>
      </c>
      <c r="G24" s="13">
        <f>SUM('1st Qtr'!G24+'2nd Qtr'!G24+'3rd Qtr'!G24+'4th Qtr'!G24)</f>
        <v>0</v>
      </c>
      <c r="H24" s="13">
        <f t="shared" si="1"/>
        <v>0</v>
      </c>
      <c r="I24" s="14" t="str">
        <f t="shared" si="9"/>
        <v/>
      </c>
      <c r="J24" s="38"/>
      <c r="K24" s="38"/>
    </row>
    <row r="25" spans="1:11" ht="15.75">
      <c r="A25" s="27" t="str">
        <v xml:space="preserve"> Fort Collins - Bank of America</v>
      </c>
      <c r="B25" s="28" t="str">
        <v>CO</v>
      </c>
      <c r="C25" s="10">
        <f>SUM(Jan!C25, Feb!C25, Mar!C25)</f>
        <v>0</v>
      </c>
      <c r="D25" s="15">
        <f>SUM(Jan!D25, Feb!D25, Mar!D25)</f>
        <v>0</v>
      </c>
      <c r="E25" s="15">
        <f t="shared" si="7"/>
        <v>0</v>
      </c>
      <c r="F25" s="16" t="str">
        <f t="shared" si="8"/>
        <v/>
      </c>
      <c r="G25" s="17">
        <f>SUM('1st Qtr'!G25+'2nd Qtr'!G25+'3rd Qtr'!G25+'4th Qtr'!G25)</f>
        <v>0</v>
      </c>
      <c r="H25" s="17">
        <f t="shared" si="1"/>
        <v>0</v>
      </c>
      <c r="I25" s="16" t="str">
        <f t="shared" si="9"/>
        <v/>
      </c>
      <c r="J25" s="39"/>
      <c r="K25" s="40"/>
    </row>
    <row r="26" spans="1:11" ht="15.75">
      <c r="A26" s="25" t="str">
        <v xml:space="preserve"> Lafayette - Bank of America</v>
      </c>
      <c r="B26" s="26" t="str">
        <v>CO</v>
      </c>
      <c r="C26" s="21">
        <f>SUM(Jan!C26, Feb!C26, Mar!C26)</f>
        <v>0</v>
      </c>
      <c r="D26" s="11">
        <f>SUM(Jan!D26, Feb!D26, Mar!D26)</f>
        <v>0</v>
      </c>
      <c r="E26" s="11">
        <f t="shared" si="7"/>
        <v>0</v>
      </c>
      <c r="F26" s="12" t="str">
        <f t="shared" si="8"/>
        <v/>
      </c>
      <c r="G26" s="13">
        <f>SUM('1st Qtr'!G26+'2nd Qtr'!G26+'3rd Qtr'!G26+'4th Qtr'!G26)</f>
        <v>0</v>
      </c>
      <c r="H26" s="13">
        <f t="shared" si="1"/>
        <v>0</v>
      </c>
      <c r="I26" s="14" t="str">
        <f t="shared" si="9"/>
        <v/>
      </c>
      <c r="J26" s="38"/>
      <c r="K26" s="38"/>
    </row>
    <row r="27" spans="1:11" ht="15.75">
      <c r="A27" s="27" t="str">
        <v xml:space="preserve"> Lakewood - Bank of America</v>
      </c>
      <c r="B27" s="28" t="str">
        <v>CO</v>
      </c>
      <c r="C27" s="10">
        <f>SUM(Jan!C27, Feb!C27, Mar!C27)</f>
        <v>0</v>
      </c>
      <c r="D27" s="15">
        <f>SUM(Jan!D27, Feb!D27, Mar!D27)</f>
        <v>0</v>
      </c>
      <c r="E27" s="15">
        <f t="shared" si="7"/>
        <v>0</v>
      </c>
      <c r="F27" s="16" t="str">
        <f t="shared" si="8"/>
        <v/>
      </c>
      <c r="G27" s="17">
        <f>SUM('1st Qtr'!G27+'2nd Qtr'!G27+'3rd Qtr'!G27+'4th Qtr'!G27)</f>
        <v>0</v>
      </c>
      <c r="H27" s="17">
        <f t="shared" si="1"/>
        <v>0</v>
      </c>
      <c r="I27" s="16" t="str">
        <f t="shared" si="9"/>
        <v/>
      </c>
      <c r="J27" s="39"/>
      <c r="K27" s="40"/>
    </row>
    <row r="28" spans="1:11" ht="15.75">
      <c r="A28" s="25" t="str">
        <v xml:space="preserve"> Longmont - Bank of America</v>
      </c>
      <c r="B28" s="26" t="str">
        <v>CO</v>
      </c>
      <c r="C28" s="21">
        <f>SUM(Jan!C28, Feb!C28, Mar!C28)</f>
        <v>0</v>
      </c>
      <c r="D28" s="11">
        <f>SUM(Jan!D28, Feb!D28, Mar!D28)</f>
        <v>0</v>
      </c>
      <c r="E28" s="11">
        <f t="shared" si="7"/>
        <v>0</v>
      </c>
      <c r="F28" s="12" t="str">
        <f t="shared" si="8"/>
        <v/>
      </c>
      <c r="G28" s="13">
        <f>SUM('1st Qtr'!G28+'2nd Qtr'!G28+'3rd Qtr'!G28+'4th Qtr'!G28)</f>
        <v>0</v>
      </c>
      <c r="H28" s="13">
        <f t="shared" si="1"/>
        <v>0</v>
      </c>
      <c r="I28" s="14" t="str">
        <f t="shared" si="9"/>
        <v/>
      </c>
      <c r="J28" s="38"/>
      <c r="K28" s="38"/>
    </row>
    <row r="29" spans="1:11" ht="15.75">
      <c r="A29" s="27" t="str">
        <v xml:space="preserve"> Thornton - Bank of America</v>
      </c>
      <c r="B29" s="28" t="str">
        <v>CO</v>
      </c>
      <c r="C29" s="10">
        <f>SUM(Jan!C29, Feb!C29, Mar!C29)</f>
        <v>0</v>
      </c>
      <c r="D29" s="15">
        <f>SUM(Jan!D29, Feb!D29, Mar!D29)</f>
        <v>0</v>
      </c>
      <c r="E29" s="15">
        <f t="shared" si="7"/>
        <v>0</v>
      </c>
      <c r="F29" s="16" t="str">
        <f t="shared" si="8"/>
        <v/>
      </c>
      <c r="G29" s="17">
        <f>SUM('1st Qtr'!G29+'2nd Qtr'!G29+'3rd Qtr'!G29+'4th Qtr'!G29)</f>
        <v>0</v>
      </c>
      <c r="H29" s="17">
        <f t="shared" si="1"/>
        <v>0</v>
      </c>
      <c r="I29" s="16" t="str">
        <f t="shared" si="9"/>
        <v/>
      </c>
      <c r="J29" s="39"/>
      <c r="K29" s="39"/>
    </row>
    <row r="30" spans="1:11" ht="15.75">
      <c r="A30" s="25" t="str">
        <v xml:space="preserve"> Calumet City - Bank of America</v>
      </c>
      <c r="B30" s="26" t="str">
        <v>IL</v>
      </c>
      <c r="C30" s="21">
        <f>SUM(Jan!C30, Feb!C30, Mar!C30)</f>
        <v>0</v>
      </c>
      <c r="D30" s="11">
        <f>SUM(Jan!D30, Feb!D30, Mar!D30)</f>
        <v>0</v>
      </c>
      <c r="E30" s="11">
        <f t="shared" si="7"/>
        <v>0</v>
      </c>
      <c r="F30" s="12" t="str">
        <f t="shared" si="8"/>
        <v/>
      </c>
      <c r="G30" s="13">
        <f>SUM('1st Qtr'!G30+'2nd Qtr'!G30+'3rd Qtr'!G30+'4th Qtr'!G30)</f>
        <v>0</v>
      </c>
      <c r="H30" s="13">
        <f t="shared" si="1"/>
        <v>0</v>
      </c>
      <c r="I30" s="14" t="str">
        <f t="shared" si="9"/>
        <v/>
      </c>
      <c r="J30" s="38"/>
      <c r="K30" s="38"/>
    </row>
    <row r="31" spans="1:11" ht="15.75">
      <c r="A31" s="27" t="str">
        <v xml:space="preserve"> Downers Grove - Bank of America</v>
      </c>
      <c r="B31" s="28" t="str">
        <v>IL</v>
      </c>
      <c r="C31" s="10">
        <f>SUM(Jan!C31, Feb!C31, Mar!C31)</f>
        <v>0</v>
      </c>
      <c r="D31" s="15">
        <f>SUM(Jan!D31, Feb!D31, Mar!D31)</f>
        <v>0</v>
      </c>
      <c r="E31" s="15">
        <f t="shared" si="7"/>
        <v>0</v>
      </c>
      <c r="F31" s="16" t="str">
        <f t="shared" si="8"/>
        <v/>
      </c>
      <c r="G31" s="17">
        <f>SUM('1st Qtr'!G31+'2nd Qtr'!G31+'3rd Qtr'!G31+'4th Qtr'!G31)</f>
        <v>0</v>
      </c>
      <c r="H31" s="17">
        <f t="shared" si="1"/>
        <v>0</v>
      </c>
      <c r="I31" s="16" t="str">
        <f t="shared" si="9"/>
        <v/>
      </c>
      <c r="J31" s="39"/>
      <c r="K31" s="40"/>
    </row>
    <row r="32" spans="1:11" ht="15.75">
      <c r="A32" s="25" t="str">
        <v xml:space="preserve"> Bloomington - Bank of America</v>
      </c>
      <c r="B32" s="26" t="str">
        <v>MN</v>
      </c>
      <c r="C32" s="21">
        <f>SUM(Jan!C32, Feb!C32, Mar!C32)</f>
        <v>0</v>
      </c>
      <c r="D32" s="11">
        <f>SUM(Jan!D32, Feb!D32, Mar!D32)</f>
        <v>0</v>
      </c>
      <c r="E32" s="11">
        <f t="shared" si="7"/>
        <v>0</v>
      </c>
      <c r="F32" s="12" t="str">
        <f t="shared" si="8"/>
        <v/>
      </c>
      <c r="G32" s="13">
        <f>SUM('1st Qtr'!G32+'2nd Qtr'!G32+'3rd Qtr'!G32+'4th Qtr'!G32)</f>
        <v>0</v>
      </c>
      <c r="H32" s="13">
        <f t="shared" si="1"/>
        <v>0</v>
      </c>
      <c r="I32" s="14" t="str">
        <f t="shared" si="9"/>
        <v/>
      </c>
      <c r="J32" s="38"/>
      <c r="K32" s="38"/>
    </row>
    <row r="33" spans="1:11" ht="15.75">
      <c r="A33" s="27" t="str">
        <v xml:space="preserve"> Clayton - Bank of America</v>
      </c>
      <c r="B33" s="28" t="str">
        <v>MO</v>
      </c>
      <c r="C33" s="10">
        <f>SUM(Jan!C33, Feb!C33, Mar!C33)</f>
        <v>0</v>
      </c>
      <c r="D33" s="15">
        <f>SUM(Jan!D33, Feb!D33, Mar!D33)</f>
        <v>0</v>
      </c>
      <c r="E33" s="15">
        <f t="shared" si="7"/>
        <v>0</v>
      </c>
      <c r="F33" s="16" t="str">
        <f t="shared" si="8"/>
        <v/>
      </c>
      <c r="G33" s="17">
        <f>SUM('1st Qtr'!G33+'2nd Qtr'!G33+'3rd Qtr'!G33+'4th Qtr'!G33)</f>
        <v>0</v>
      </c>
      <c r="H33" s="17">
        <f t="shared" si="1"/>
        <v>0</v>
      </c>
      <c r="I33" s="16" t="str">
        <f t="shared" si="9"/>
        <v/>
      </c>
      <c r="J33" s="39"/>
      <c r="K33" s="40"/>
    </row>
    <row r="34" spans="1:11" ht="15.75">
      <c r="A34" s="25" t="str">
        <v xml:space="preserve"> Manchester - Bank of America</v>
      </c>
      <c r="B34" s="26" t="str">
        <v>MO</v>
      </c>
      <c r="C34" s="21">
        <f>SUM(Jan!C34, Feb!C34, Mar!C34)</f>
        <v>0</v>
      </c>
      <c r="D34" s="11">
        <f>SUM(Jan!D34, Feb!D34, Mar!D34)</f>
        <v>0</v>
      </c>
      <c r="E34" s="11">
        <f t="shared" si="7"/>
        <v>0</v>
      </c>
      <c r="F34" s="12" t="str">
        <f t="shared" si="8"/>
        <v/>
      </c>
      <c r="G34" s="13">
        <f>SUM('1st Qtr'!G34+'2nd Qtr'!G34+'3rd Qtr'!G34+'4th Qtr'!G34)</f>
        <v>0</v>
      </c>
      <c r="H34" s="13">
        <f t="shared" si="1"/>
        <v>0</v>
      </c>
      <c r="I34" s="14" t="str">
        <f t="shared" si="9"/>
        <v/>
      </c>
      <c r="J34" s="38"/>
      <c r="K34" s="38"/>
    </row>
    <row r="35" spans="1:11" ht="15.75">
      <c r="A35" s="27" t="str">
        <v xml:space="preserve"> Las Vegas - BA - Eastern Ave</v>
      </c>
      <c r="B35" s="28" t="str">
        <v>NV</v>
      </c>
      <c r="C35" s="10">
        <f>SUM(Jan!C35, Feb!C35, Mar!C35)</f>
        <v>0</v>
      </c>
      <c r="D35" s="15">
        <f>SUM(Jan!D35, Feb!D35, Mar!D35)</f>
        <v>0</v>
      </c>
      <c r="E35" s="15">
        <f t="shared" si="7"/>
        <v>0</v>
      </c>
      <c r="F35" s="16" t="str">
        <f t="shared" si="8"/>
        <v/>
      </c>
      <c r="G35" s="17">
        <f>SUM('1st Qtr'!G35+'2nd Qtr'!G35+'3rd Qtr'!G35+'4th Qtr'!G35)</f>
        <v>0</v>
      </c>
      <c r="H35" s="17">
        <f t="shared" si="1"/>
        <v>0</v>
      </c>
      <c r="I35" s="16" t="str">
        <f t="shared" si="9"/>
        <v/>
      </c>
      <c r="J35" s="39"/>
      <c r="K35" s="40"/>
    </row>
    <row r="36" spans="1:11" ht="15.75">
      <c r="A36" s="25" t="str">
        <v xml:space="preserve"> Las Vegas - BA - Town Ctr Dr</v>
      </c>
      <c r="B36" s="26" t="str">
        <v>NV</v>
      </c>
      <c r="C36" s="21">
        <f>SUM(Jan!C36, Feb!C36, Mar!C36)</f>
        <v>0</v>
      </c>
      <c r="D36" s="11">
        <f>SUM(Jan!D36, Feb!D36, Mar!D36)</f>
        <v>0</v>
      </c>
      <c r="E36" s="11">
        <f t="shared" si="7"/>
        <v>0</v>
      </c>
      <c r="F36" s="12" t="str">
        <f t="shared" si="8"/>
        <v/>
      </c>
      <c r="G36" s="13">
        <f>SUM('1st Qtr'!G36+'2nd Qtr'!G36+'3rd Qtr'!G36+'4th Qtr'!G36)</f>
        <v>0</v>
      </c>
      <c r="H36" s="13">
        <f t="shared" si="1"/>
        <v>0</v>
      </c>
      <c r="I36" s="14" t="str">
        <f t="shared" si="9"/>
        <v/>
      </c>
      <c r="J36" s="38"/>
      <c r="K36" s="38"/>
    </row>
    <row r="37" spans="1:11" ht="15.75">
      <c r="A37" s="27" t="str">
        <v xml:space="preserve"> Riverton - Bank of America</v>
      </c>
      <c r="B37" s="28" t="str">
        <v>UT</v>
      </c>
      <c r="C37" s="10">
        <f>SUM(Jan!C37, Feb!C37, Mar!C37)</f>
        <v>0</v>
      </c>
      <c r="D37" s="15">
        <f>SUM(Jan!D37, Feb!D37, Mar!D37)</f>
        <v>0</v>
      </c>
      <c r="E37" s="15">
        <f t="shared" si="7"/>
        <v>0</v>
      </c>
      <c r="F37" s="16" t="str">
        <f t="shared" si="8"/>
        <v/>
      </c>
      <c r="G37" s="17">
        <f>SUM('1st Qtr'!G37+'2nd Qtr'!G37+'3rd Qtr'!G37+'4th Qtr'!G37)</f>
        <v>0</v>
      </c>
      <c r="H37" s="17">
        <f t="shared" si="1"/>
        <v>0</v>
      </c>
      <c r="I37" s="16" t="str">
        <f t="shared" si="9"/>
        <v/>
      </c>
      <c r="J37" s="39"/>
      <c r="K37" s="40"/>
    </row>
    <row r="38" spans="1:11" ht="15.75">
      <c r="A38" s="25" t="str">
        <v xml:space="preserve"> Salt Lake City - Bank of America</v>
      </c>
      <c r="B38" s="26" t="str">
        <v>UT</v>
      </c>
      <c r="C38" s="21">
        <f>SUM(Jan!C38, Feb!C38, Mar!C38)</f>
        <v>0</v>
      </c>
      <c r="D38" s="11">
        <f>SUM(Jan!D38, Feb!D38, Mar!D38)</f>
        <v>0</v>
      </c>
      <c r="E38" s="11">
        <f t="shared" si="7"/>
        <v>0</v>
      </c>
      <c r="F38" s="12" t="str">
        <f t="shared" si="8"/>
        <v/>
      </c>
      <c r="G38" s="13">
        <f>SUM('1st Qtr'!G38+'2nd Qtr'!G38+'3rd Qtr'!G38+'4th Qtr'!G38)</f>
        <v>0</v>
      </c>
      <c r="H38" s="13">
        <f t="shared" si="1"/>
        <v>0</v>
      </c>
      <c r="I38" s="14" t="str">
        <f t="shared" si="9"/>
        <v/>
      </c>
      <c r="J38" s="38"/>
      <c r="K38" s="38"/>
    </row>
    <row r="39" spans="1:11" ht="13.15">
      <c r="A39" s="18"/>
      <c r="B39" s="18"/>
      <c r="C39" s="18"/>
      <c r="D39" s="18"/>
      <c r="E39" s="18"/>
      <c r="F39" s="19"/>
      <c r="G39" s="18"/>
      <c r="H39" s="18"/>
      <c r="I39" s="19"/>
    </row>
    <row r="40" spans="1:11" ht="13.15">
      <c r="A40" s="18"/>
      <c r="B40" s="18"/>
      <c r="C40" s="18"/>
      <c r="D40" s="18"/>
      <c r="E40" s="18"/>
      <c r="F40" s="19"/>
      <c r="G40" s="18"/>
      <c r="H40" s="18"/>
      <c r="I40" s="19"/>
    </row>
    <row r="41" spans="1:11" ht="13.15">
      <c r="A41" s="18"/>
      <c r="B41" s="18"/>
      <c r="C41" s="18"/>
      <c r="D41" s="18"/>
      <c r="E41" s="18"/>
      <c r="F41" s="19"/>
      <c r="G41" s="18"/>
      <c r="H41" s="18"/>
      <c r="I41" s="19"/>
    </row>
    <row r="42" spans="1:11" ht="13.15">
      <c r="A42" s="18"/>
      <c r="B42" s="18"/>
      <c r="C42" s="18"/>
      <c r="D42" s="18"/>
      <c r="E42" s="18"/>
      <c r="F42" s="19"/>
      <c r="G42" s="18"/>
      <c r="H42" s="18"/>
      <c r="I42" s="19"/>
    </row>
    <row r="43" spans="1:11" ht="13.15">
      <c r="A43" s="18"/>
      <c r="B43" s="18"/>
      <c r="C43" s="18"/>
      <c r="D43" s="18"/>
      <c r="E43" s="18"/>
      <c r="F43" s="19"/>
      <c r="G43" s="18"/>
      <c r="H43" s="18"/>
      <c r="I43" s="19"/>
    </row>
    <row r="44" spans="1:11" ht="13.15">
      <c r="A44" s="18"/>
      <c r="B44" s="18"/>
      <c r="C44" s="18"/>
      <c r="D44" s="18"/>
      <c r="E44" s="18"/>
      <c r="F44" s="19"/>
      <c r="G44" s="18"/>
      <c r="H44" s="18"/>
      <c r="I44" s="19"/>
    </row>
    <row r="45" spans="1:11" ht="13.15">
      <c r="A45" s="18"/>
      <c r="B45" s="18"/>
      <c r="C45" s="18"/>
      <c r="D45" s="18"/>
      <c r="E45" s="18"/>
      <c r="F45" s="19"/>
      <c r="G45" s="18"/>
      <c r="H45" s="18"/>
      <c r="I45" s="19"/>
    </row>
    <row r="46" spans="1:11" ht="13.15">
      <c r="A46" s="18"/>
      <c r="B46" s="18"/>
      <c r="C46" s="18"/>
      <c r="D46" s="18"/>
      <c r="E46" s="18"/>
      <c r="F46" s="19"/>
      <c r="G46" s="18"/>
      <c r="H46" s="18"/>
      <c r="I46" s="19"/>
    </row>
    <row r="47" spans="1:11" ht="13.15">
      <c r="A47" s="18"/>
      <c r="B47" s="18"/>
      <c r="C47" s="18"/>
      <c r="D47" s="18"/>
      <c r="E47" s="18"/>
      <c r="F47" s="19"/>
      <c r="G47" s="18"/>
      <c r="H47" s="18"/>
      <c r="I47" s="19"/>
    </row>
    <row r="48" spans="1:11" ht="13.15">
      <c r="A48" s="18"/>
      <c r="B48" s="18"/>
      <c r="C48" s="18"/>
      <c r="D48" s="18"/>
      <c r="E48" s="18"/>
      <c r="F48" s="19"/>
      <c r="G48" s="18"/>
      <c r="H48" s="18"/>
      <c r="I48" s="19"/>
    </row>
    <row r="49" spans="1:9" ht="13.15">
      <c r="A49" s="18"/>
      <c r="B49" s="18"/>
      <c r="C49" s="18"/>
      <c r="D49" s="18"/>
      <c r="E49" s="18"/>
      <c r="F49" s="19"/>
      <c r="G49" s="18"/>
      <c r="H49" s="18"/>
      <c r="I49" s="19"/>
    </row>
    <row r="50" spans="1:9" ht="13.15">
      <c r="A50" s="18"/>
      <c r="B50" s="18"/>
      <c r="C50" s="18"/>
      <c r="D50" s="18"/>
      <c r="E50" s="18"/>
      <c r="F50" s="19"/>
      <c r="G50" s="18"/>
      <c r="H50" s="18"/>
      <c r="I50" s="19"/>
    </row>
    <row r="51" spans="1:9" ht="13.15">
      <c r="A51" s="18"/>
      <c r="B51" s="18"/>
      <c r="C51" s="18"/>
      <c r="D51" s="18"/>
      <c r="E51" s="18"/>
      <c r="F51" s="19"/>
      <c r="G51" s="18"/>
      <c r="H51" s="18"/>
      <c r="I51" s="19"/>
    </row>
    <row r="52" spans="1:9" ht="13.15">
      <c r="A52" s="18"/>
      <c r="B52" s="18"/>
      <c r="C52" s="18"/>
      <c r="D52" s="18"/>
      <c r="E52" s="18"/>
      <c r="F52" s="19"/>
      <c r="G52" s="18"/>
      <c r="H52" s="18"/>
      <c r="I52" s="19"/>
    </row>
    <row r="53" spans="1:9" ht="13.15">
      <c r="A53" s="18"/>
      <c r="B53" s="18"/>
      <c r="C53" s="18"/>
      <c r="D53" s="18"/>
      <c r="E53" s="18"/>
      <c r="F53" s="19"/>
      <c r="G53" s="18"/>
      <c r="H53" s="18"/>
      <c r="I53" s="19"/>
    </row>
    <row r="54" spans="1:9" ht="13.15">
      <c r="A54" s="18"/>
      <c r="B54" s="18"/>
      <c r="C54" s="18"/>
      <c r="D54" s="18"/>
      <c r="E54" s="18"/>
      <c r="F54" s="19"/>
      <c r="G54" s="18"/>
      <c r="H54" s="18"/>
      <c r="I54" s="19"/>
    </row>
    <row r="55" spans="1:9" ht="13.15">
      <c r="A55" s="18"/>
      <c r="B55" s="18"/>
      <c r="C55" s="18"/>
      <c r="D55" s="18"/>
      <c r="E55" s="18"/>
      <c r="F55" s="19"/>
      <c r="G55" s="18"/>
      <c r="H55" s="18"/>
      <c r="I55" s="19"/>
    </row>
    <row r="56" spans="1:9" ht="13.15">
      <c r="A56" s="18"/>
      <c r="B56" s="18"/>
      <c r="C56" s="18"/>
      <c r="D56" s="18"/>
      <c r="E56" s="18"/>
      <c r="F56" s="19"/>
      <c r="G56" s="18"/>
      <c r="H56" s="18"/>
      <c r="I56" s="19"/>
    </row>
    <row r="57" spans="1:9" ht="13.15">
      <c r="A57" s="18"/>
      <c r="B57" s="18"/>
      <c r="C57" s="18"/>
      <c r="D57" s="18"/>
      <c r="E57" s="18"/>
      <c r="F57" s="19"/>
      <c r="G57" s="18"/>
      <c r="H57" s="18"/>
      <c r="I57" s="19"/>
    </row>
    <row r="58" spans="1:9" ht="13.15">
      <c r="A58" s="18"/>
      <c r="B58" s="18"/>
      <c r="C58" s="18"/>
      <c r="D58" s="18"/>
      <c r="E58" s="18"/>
      <c r="F58" s="19"/>
      <c r="G58" s="18"/>
      <c r="H58" s="18"/>
      <c r="I58" s="19"/>
    </row>
    <row r="59" spans="1:9" ht="13.15">
      <c r="A59" s="18"/>
      <c r="B59" s="18"/>
      <c r="C59" s="18"/>
      <c r="D59" s="18"/>
      <c r="E59" s="18"/>
      <c r="F59" s="19"/>
      <c r="G59" s="18"/>
      <c r="H59" s="18"/>
      <c r="I59" s="19"/>
    </row>
    <row r="60" spans="1:9" ht="13.15">
      <c r="A60" s="18"/>
      <c r="B60" s="18"/>
      <c r="C60" s="18"/>
      <c r="D60" s="18"/>
      <c r="E60" s="18"/>
      <c r="F60" s="19"/>
      <c r="G60" s="18"/>
      <c r="H60" s="18"/>
      <c r="I60" s="19"/>
    </row>
    <row r="61" spans="1:9" ht="13.15">
      <c r="A61" s="18"/>
      <c r="B61" s="18"/>
      <c r="C61" s="18"/>
      <c r="D61" s="18"/>
      <c r="E61" s="18"/>
      <c r="F61" s="19"/>
      <c r="G61" s="18"/>
      <c r="H61" s="18"/>
      <c r="I61" s="19"/>
    </row>
    <row r="62" spans="1:9" ht="13.15">
      <c r="A62" s="18"/>
      <c r="B62" s="18"/>
      <c r="C62" s="18"/>
      <c r="D62" s="18"/>
      <c r="E62" s="18"/>
      <c r="F62" s="19"/>
      <c r="G62" s="18"/>
      <c r="H62" s="18"/>
      <c r="I62" s="19"/>
    </row>
    <row r="63" spans="1:9" ht="13.15">
      <c r="A63" s="18"/>
      <c r="B63" s="18"/>
      <c r="C63" s="18"/>
      <c r="D63" s="18"/>
      <c r="E63" s="18"/>
      <c r="F63" s="19"/>
      <c r="G63" s="18"/>
      <c r="H63" s="18"/>
      <c r="I63" s="19"/>
    </row>
    <row r="64" spans="1:9" ht="13.15">
      <c r="A64" s="18"/>
      <c r="B64" s="18"/>
      <c r="C64" s="18"/>
      <c r="D64" s="18"/>
      <c r="E64" s="18"/>
      <c r="F64" s="19"/>
      <c r="G64" s="18"/>
      <c r="H64" s="18"/>
      <c r="I64" s="19"/>
    </row>
    <row r="65" spans="1:9" ht="13.15">
      <c r="A65" s="18"/>
      <c r="B65" s="18"/>
      <c r="C65" s="18"/>
      <c r="D65" s="18"/>
      <c r="E65" s="18"/>
      <c r="F65" s="19"/>
      <c r="G65" s="18"/>
      <c r="H65" s="18"/>
      <c r="I65" s="19"/>
    </row>
    <row r="66" spans="1:9" ht="13.15">
      <c r="A66" s="18"/>
      <c r="B66" s="18"/>
      <c r="C66" s="18"/>
      <c r="D66" s="18"/>
      <c r="E66" s="18"/>
      <c r="F66" s="19"/>
      <c r="G66" s="18"/>
      <c r="H66" s="18"/>
      <c r="I66" s="19"/>
    </row>
    <row r="67" spans="1:9" ht="13.15">
      <c r="A67" s="18"/>
      <c r="B67" s="18"/>
      <c r="C67" s="18"/>
      <c r="D67" s="18"/>
      <c r="E67" s="18"/>
      <c r="F67" s="19"/>
      <c r="G67" s="18"/>
      <c r="H67" s="18"/>
      <c r="I67" s="19"/>
    </row>
    <row r="68" spans="1:9" ht="13.15">
      <c r="A68" s="18"/>
      <c r="B68" s="18"/>
      <c r="C68" s="18"/>
      <c r="D68" s="18"/>
      <c r="E68" s="18"/>
      <c r="F68" s="19"/>
      <c r="G68" s="18"/>
      <c r="H68" s="18"/>
      <c r="I68" s="19"/>
    </row>
    <row r="69" spans="1:9" ht="13.15">
      <c r="A69" s="18"/>
      <c r="B69" s="18"/>
      <c r="C69" s="18"/>
      <c r="D69" s="18"/>
      <c r="E69" s="18"/>
      <c r="F69" s="19"/>
      <c r="G69" s="18"/>
      <c r="H69" s="18"/>
      <c r="I69" s="19"/>
    </row>
    <row r="70" spans="1:9" ht="13.15">
      <c r="A70" s="18"/>
      <c r="B70" s="18"/>
      <c r="C70" s="18"/>
      <c r="D70" s="18"/>
      <c r="E70" s="18"/>
      <c r="F70" s="19"/>
      <c r="G70" s="18"/>
      <c r="H70" s="18"/>
      <c r="I70" s="19"/>
    </row>
    <row r="71" spans="1:9" ht="13.15">
      <c r="A71" s="18"/>
      <c r="B71" s="18"/>
      <c r="C71" s="18"/>
      <c r="D71" s="18"/>
      <c r="E71" s="18"/>
      <c r="F71" s="19"/>
      <c r="G71" s="18"/>
      <c r="H71" s="18"/>
      <c r="I71" s="19"/>
    </row>
    <row r="72" spans="1:9" ht="13.15">
      <c r="A72" s="18"/>
      <c r="B72" s="18"/>
      <c r="C72" s="18"/>
      <c r="D72" s="18"/>
      <c r="E72" s="18"/>
      <c r="F72" s="19"/>
      <c r="G72" s="18"/>
      <c r="H72" s="18"/>
      <c r="I72" s="19"/>
    </row>
    <row r="73" spans="1:9" ht="13.15">
      <c r="A73" s="18"/>
      <c r="B73" s="18"/>
      <c r="C73" s="18"/>
      <c r="D73" s="18"/>
      <c r="E73" s="18"/>
      <c r="F73" s="19"/>
      <c r="G73" s="18"/>
      <c r="H73" s="18"/>
      <c r="I73" s="19"/>
    </row>
    <row r="74" spans="1:9" ht="13.15">
      <c r="A74" s="18"/>
      <c r="B74" s="18"/>
      <c r="C74" s="18"/>
      <c r="D74" s="18"/>
      <c r="E74" s="18"/>
      <c r="F74" s="19"/>
      <c r="G74" s="18"/>
      <c r="H74" s="18"/>
      <c r="I74" s="19"/>
    </row>
    <row r="75" spans="1:9" ht="13.15">
      <c r="A75" s="18"/>
      <c r="B75" s="18"/>
      <c r="C75" s="18"/>
      <c r="D75" s="18"/>
      <c r="E75" s="18"/>
      <c r="F75" s="19"/>
      <c r="G75" s="18"/>
      <c r="H75" s="18"/>
      <c r="I75" s="19"/>
    </row>
    <row r="76" spans="1:9" ht="13.15">
      <c r="A76" s="18"/>
      <c r="B76" s="18"/>
      <c r="C76" s="18"/>
      <c r="D76" s="18"/>
      <c r="E76" s="18"/>
      <c r="F76" s="19"/>
      <c r="G76" s="18"/>
      <c r="H76" s="18"/>
      <c r="I76" s="19"/>
    </row>
    <row r="77" spans="1:9" ht="13.15">
      <c r="A77" s="18"/>
      <c r="B77" s="18"/>
      <c r="C77" s="18"/>
      <c r="D77" s="18"/>
      <c r="E77" s="18"/>
      <c r="F77" s="19"/>
      <c r="G77" s="18"/>
      <c r="H77" s="18"/>
      <c r="I77" s="19"/>
    </row>
    <row r="78" spans="1:9" ht="13.15">
      <c r="A78" s="18"/>
      <c r="B78" s="18"/>
      <c r="C78" s="18"/>
      <c r="D78" s="18"/>
      <c r="E78" s="18"/>
      <c r="F78" s="19"/>
      <c r="G78" s="18"/>
      <c r="H78" s="18"/>
      <c r="I78" s="19"/>
    </row>
    <row r="79" spans="1:9" ht="13.15">
      <c r="A79" s="18"/>
      <c r="B79" s="18"/>
      <c r="C79" s="18"/>
      <c r="D79" s="18"/>
      <c r="E79" s="18"/>
      <c r="F79" s="19"/>
      <c r="G79" s="18"/>
      <c r="H79" s="18"/>
      <c r="I79" s="19"/>
    </row>
    <row r="80" spans="1:9" ht="13.15">
      <c r="A80" s="18"/>
      <c r="B80" s="18"/>
      <c r="C80" s="18"/>
      <c r="D80" s="18"/>
      <c r="E80" s="18"/>
      <c r="F80" s="19"/>
      <c r="G80" s="18"/>
      <c r="H80" s="18"/>
      <c r="I80" s="19"/>
    </row>
    <row r="81" spans="1:9" ht="13.15">
      <c r="A81" s="18"/>
      <c r="B81" s="18"/>
      <c r="C81" s="18"/>
      <c r="D81" s="18"/>
      <c r="E81" s="18"/>
      <c r="F81" s="19"/>
      <c r="G81" s="18"/>
      <c r="H81" s="18"/>
      <c r="I81" s="19"/>
    </row>
    <row r="82" spans="1:9" ht="13.15">
      <c r="A82" s="18"/>
      <c r="B82" s="18"/>
      <c r="C82" s="18"/>
      <c r="D82" s="18"/>
      <c r="E82" s="18"/>
      <c r="F82" s="19"/>
      <c r="G82" s="18"/>
      <c r="H82" s="18"/>
      <c r="I82" s="19"/>
    </row>
    <row r="83" spans="1:9" ht="13.15">
      <c r="A83" s="18"/>
      <c r="B83" s="18"/>
      <c r="C83" s="18"/>
      <c r="D83" s="18"/>
      <c r="E83" s="18"/>
      <c r="F83" s="19"/>
      <c r="G83" s="18"/>
      <c r="H83" s="18"/>
      <c r="I83" s="19"/>
    </row>
    <row r="84" spans="1:9" ht="13.15">
      <c r="A84" s="18"/>
      <c r="B84" s="18"/>
      <c r="C84" s="18"/>
      <c r="D84" s="18"/>
      <c r="E84" s="18"/>
      <c r="F84" s="19"/>
      <c r="G84" s="18"/>
      <c r="H84" s="18"/>
      <c r="I84" s="19"/>
    </row>
    <row r="85" spans="1:9" ht="13.15">
      <c r="A85" s="18"/>
      <c r="B85" s="18"/>
      <c r="C85" s="18"/>
      <c r="D85" s="18"/>
      <c r="E85" s="18"/>
      <c r="F85" s="19"/>
      <c r="G85" s="18"/>
      <c r="H85" s="18"/>
      <c r="I85" s="19"/>
    </row>
    <row r="86" spans="1:9" ht="13.15">
      <c r="A86" s="18"/>
      <c r="B86" s="18"/>
      <c r="C86" s="18"/>
      <c r="D86" s="18"/>
      <c r="E86" s="18"/>
      <c r="F86" s="19"/>
      <c r="G86" s="18"/>
      <c r="H86" s="18"/>
      <c r="I86" s="19"/>
    </row>
    <row r="87" spans="1:9" ht="13.15">
      <c r="A87" s="18"/>
      <c r="B87" s="18"/>
      <c r="C87" s="18"/>
      <c r="D87" s="18"/>
      <c r="E87" s="18"/>
      <c r="F87" s="19"/>
      <c r="G87" s="18"/>
      <c r="H87" s="18"/>
      <c r="I87" s="19"/>
    </row>
    <row r="88" spans="1:9" ht="13.15">
      <c r="A88" s="18"/>
      <c r="B88" s="18"/>
      <c r="C88" s="18"/>
      <c r="D88" s="18"/>
      <c r="E88" s="18"/>
      <c r="F88" s="19"/>
      <c r="G88" s="18"/>
      <c r="H88" s="18"/>
      <c r="I88" s="19"/>
    </row>
    <row r="89" spans="1:9" ht="13.15">
      <c r="A89" s="18"/>
      <c r="B89" s="18"/>
      <c r="C89" s="18"/>
      <c r="D89" s="18"/>
      <c r="E89" s="18"/>
      <c r="F89" s="19"/>
      <c r="G89" s="18"/>
      <c r="H89" s="18"/>
      <c r="I89" s="19"/>
    </row>
    <row r="90" spans="1:9" ht="13.15">
      <c r="A90" s="18"/>
      <c r="B90" s="18"/>
      <c r="C90" s="18"/>
      <c r="D90" s="18"/>
      <c r="E90" s="18"/>
      <c r="F90" s="19"/>
      <c r="G90" s="18"/>
      <c r="H90" s="18"/>
      <c r="I90" s="19"/>
    </row>
    <row r="91" spans="1:9" ht="13.15">
      <c r="A91" s="18"/>
      <c r="B91" s="18"/>
      <c r="C91" s="18"/>
      <c r="D91" s="18"/>
      <c r="E91" s="18"/>
      <c r="F91" s="19"/>
      <c r="G91" s="18"/>
      <c r="H91" s="18"/>
      <c r="I91" s="19"/>
    </row>
    <row r="92" spans="1:9" ht="13.15">
      <c r="A92" s="18"/>
      <c r="B92" s="18"/>
      <c r="C92" s="18"/>
      <c r="D92" s="18"/>
      <c r="E92" s="18"/>
      <c r="F92" s="19"/>
      <c r="G92" s="18"/>
      <c r="H92" s="18"/>
      <c r="I92" s="19"/>
    </row>
    <row r="93" spans="1:9" ht="13.15">
      <c r="A93" s="18"/>
      <c r="B93" s="18"/>
      <c r="C93" s="18"/>
      <c r="D93" s="18"/>
      <c r="E93" s="18"/>
      <c r="F93" s="19"/>
      <c r="G93" s="18"/>
      <c r="H93" s="18"/>
      <c r="I93" s="19"/>
    </row>
    <row r="94" spans="1:9" ht="13.15">
      <c r="A94" s="18"/>
      <c r="B94" s="18"/>
      <c r="C94" s="18"/>
      <c r="D94" s="18"/>
      <c r="E94" s="18"/>
      <c r="F94" s="19"/>
      <c r="G94" s="18"/>
      <c r="H94" s="18"/>
      <c r="I94" s="19"/>
    </row>
    <row r="95" spans="1:9" ht="13.15">
      <c r="A95" s="18"/>
      <c r="B95" s="18"/>
      <c r="C95" s="18"/>
      <c r="D95" s="18"/>
      <c r="E95" s="18"/>
      <c r="F95" s="19"/>
      <c r="G95" s="18"/>
      <c r="H95" s="18"/>
      <c r="I95" s="19"/>
    </row>
    <row r="96" spans="1:9" ht="13.15">
      <c r="A96" s="18"/>
      <c r="B96" s="18"/>
      <c r="C96" s="18"/>
      <c r="D96" s="18"/>
      <c r="E96" s="18"/>
      <c r="F96" s="19"/>
      <c r="G96" s="18"/>
      <c r="H96" s="18"/>
      <c r="I96" s="19"/>
    </row>
    <row r="97" spans="1:9" ht="13.15">
      <c r="A97" s="18"/>
      <c r="B97" s="18"/>
      <c r="C97" s="18"/>
      <c r="D97" s="18"/>
      <c r="E97" s="18"/>
      <c r="F97" s="19"/>
      <c r="G97" s="18"/>
      <c r="H97" s="18"/>
      <c r="I97" s="19"/>
    </row>
    <row r="98" spans="1:9" ht="13.15">
      <c r="A98" s="18"/>
      <c r="B98" s="18"/>
      <c r="C98" s="18"/>
      <c r="D98" s="18"/>
      <c r="E98" s="18"/>
      <c r="F98" s="19"/>
      <c r="G98" s="18"/>
      <c r="H98" s="18"/>
      <c r="I98" s="19"/>
    </row>
    <row r="99" spans="1:9" ht="13.15">
      <c r="A99" s="18"/>
      <c r="B99" s="18"/>
      <c r="C99" s="18"/>
      <c r="D99" s="18"/>
      <c r="E99" s="18"/>
      <c r="F99" s="19"/>
      <c r="G99" s="18"/>
      <c r="H99" s="18"/>
      <c r="I99" s="19"/>
    </row>
    <row r="100" spans="1:9" ht="13.15">
      <c r="A100" s="18"/>
      <c r="B100" s="18"/>
      <c r="C100" s="18"/>
      <c r="D100" s="18"/>
      <c r="E100" s="18"/>
      <c r="F100" s="19"/>
      <c r="G100" s="18"/>
      <c r="H100" s="18"/>
      <c r="I100" s="19"/>
    </row>
    <row r="101" spans="1:9" ht="13.15">
      <c r="A101" s="18"/>
      <c r="B101" s="18"/>
      <c r="C101" s="18"/>
      <c r="D101" s="18"/>
      <c r="E101" s="18"/>
      <c r="F101" s="19"/>
      <c r="G101" s="18"/>
      <c r="H101" s="18"/>
      <c r="I101" s="19"/>
    </row>
    <row r="102" spans="1:9" ht="13.15">
      <c r="A102" s="18"/>
      <c r="B102" s="18"/>
      <c r="C102" s="18"/>
      <c r="D102" s="18"/>
      <c r="E102" s="18"/>
      <c r="F102" s="19"/>
      <c r="G102" s="18"/>
      <c r="H102" s="18"/>
      <c r="I102" s="19"/>
    </row>
    <row r="103" spans="1:9" ht="13.15">
      <c r="A103" s="18"/>
      <c r="B103" s="18"/>
      <c r="C103" s="18"/>
      <c r="D103" s="18"/>
      <c r="E103" s="18"/>
      <c r="F103" s="19"/>
      <c r="G103" s="18"/>
      <c r="H103" s="18"/>
      <c r="I103" s="19"/>
    </row>
    <row r="104" spans="1:9" ht="13.15">
      <c r="A104" s="18"/>
      <c r="B104" s="18"/>
      <c r="C104" s="18"/>
      <c r="D104" s="18"/>
      <c r="E104" s="18"/>
      <c r="F104" s="19"/>
      <c r="G104" s="18"/>
      <c r="H104" s="18"/>
      <c r="I104" s="19"/>
    </row>
    <row r="105" spans="1:9" ht="13.15">
      <c r="A105" s="18"/>
      <c r="B105" s="18"/>
      <c r="C105" s="18"/>
      <c r="D105" s="18"/>
      <c r="E105" s="18"/>
      <c r="F105" s="19"/>
      <c r="G105" s="18"/>
      <c r="H105" s="18"/>
      <c r="I105" s="19"/>
    </row>
    <row r="106" spans="1:9" ht="13.15">
      <c r="A106" s="18"/>
      <c r="B106" s="18"/>
      <c r="C106" s="18"/>
      <c r="D106" s="18"/>
      <c r="E106" s="18"/>
      <c r="F106" s="19"/>
      <c r="G106" s="18"/>
      <c r="H106" s="18"/>
      <c r="I106" s="19"/>
    </row>
    <row r="107" spans="1:9" ht="13.15">
      <c r="A107" s="18"/>
      <c r="B107" s="18"/>
      <c r="C107" s="18"/>
      <c r="D107" s="18"/>
      <c r="E107" s="18"/>
      <c r="F107" s="19"/>
      <c r="G107" s="18"/>
      <c r="H107" s="18"/>
      <c r="I107" s="19"/>
    </row>
    <row r="108" spans="1:9" ht="13.15">
      <c r="A108" s="18"/>
      <c r="B108" s="18"/>
      <c r="C108" s="18"/>
      <c r="D108" s="18"/>
      <c r="E108" s="18"/>
      <c r="F108" s="19"/>
      <c r="G108" s="18"/>
      <c r="H108" s="18"/>
      <c r="I108" s="19"/>
    </row>
    <row r="109" spans="1:9" ht="13.15">
      <c r="A109" s="18"/>
      <c r="B109" s="18"/>
      <c r="C109" s="18"/>
      <c r="D109" s="18"/>
      <c r="E109" s="18"/>
      <c r="F109" s="19"/>
      <c r="G109" s="18"/>
      <c r="H109" s="18"/>
      <c r="I109" s="19"/>
    </row>
    <row r="110" spans="1:9" ht="13.15">
      <c r="A110" s="18"/>
      <c r="B110" s="18"/>
      <c r="C110" s="18"/>
      <c r="D110" s="18"/>
      <c r="E110" s="18"/>
      <c r="F110" s="19"/>
      <c r="G110" s="18"/>
      <c r="H110" s="18"/>
      <c r="I110" s="19"/>
    </row>
    <row r="111" spans="1:9" ht="13.15">
      <c r="A111" s="18"/>
      <c r="B111" s="18"/>
      <c r="C111" s="18"/>
      <c r="D111" s="18"/>
      <c r="E111" s="18"/>
      <c r="F111" s="19"/>
      <c r="G111" s="18"/>
      <c r="H111" s="18"/>
      <c r="I111" s="19"/>
    </row>
    <row r="112" spans="1:9" ht="13.15">
      <c r="A112" s="18"/>
      <c r="B112" s="18"/>
      <c r="C112" s="18"/>
      <c r="D112" s="18"/>
      <c r="E112" s="18"/>
      <c r="F112" s="19"/>
      <c r="G112" s="18"/>
      <c r="H112" s="18"/>
      <c r="I112" s="19"/>
    </row>
    <row r="113" spans="1:9" ht="13.15">
      <c r="A113" s="18"/>
      <c r="B113" s="18"/>
      <c r="C113" s="18"/>
      <c r="D113" s="18"/>
      <c r="E113" s="18"/>
      <c r="F113" s="19"/>
      <c r="G113" s="18"/>
      <c r="H113" s="18"/>
      <c r="I113" s="19"/>
    </row>
    <row r="114" spans="1:9" ht="13.15">
      <c r="A114" s="18"/>
      <c r="B114" s="18"/>
      <c r="C114" s="18"/>
      <c r="D114" s="18"/>
      <c r="E114" s="18"/>
      <c r="F114" s="19"/>
      <c r="G114" s="18"/>
      <c r="H114" s="18"/>
      <c r="I114" s="19"/>
    </row>
    <row r="115" spans="1:9" ht="13.15">
      <c r="A115" s="18"/>
      <c r="B115" s="18"/>
      <c r="C115" s="18"/>
      <c r="D115" s="18"/>
      <c r="E115" s="18"/>
      <c r="F115" s="19"/>
      <c r="G115" s="18"/>
      <c r="H115" s="18"/>
      <c r="I115" s="19"/>
    </row>
    <row r="116" spans="1:9" ht="13.15">
      <c r="A116" s="18"/>
      <c r="B116" s="18"/>
      <c r="C116" s="18"/>
      <c r="D116" s="18"/>
      <c r="E116" s="18"/>
      <c r="F116" s="19"/>
      <c r="G116" s="18"/>
      <c r="H116" s="18"/>
      <c r="I116" s="19"/>
    </row>
    <row r="117" spans="1:9" ht="13.15">
      <c r="A117" s="18"/>
      <c r="B117" s="18"/>
      <c r="C117" s="18"/>
      <c r="D117" s="18"/>
      <c r="E117" s="18"/>
      <c r="F117" s="19"/>
      <c r="G117" s="18"/>
      <c r="H117" s="18"/>
      <c r="I117" s="19"/>
    </row>
    <row r="118" spans="1:9" ht="13.15">
      <c r="A118" s="18"/>
      <c r="B118" s="18"/>
      <c r="C118" s="18"/>
      <c r="D118" s="18"/>
      <c r="E118" s="18"/>
      <c r="F118" s="19"/>
      <c r="G118" s="18"/>
      <c r="H118" s="18"/>
      <c r="I118" s="19"/>
    </row>
    <row r="119" spans="1:9" ht="13.15">
      <c r="A119" s="18"/>
      <c r="B119" s="18"/>
      <c r="C119" s="18"/>
      <c r="D119" s="18"/>
      <c r="E119" s="18"/>
      <c r="F119" s="19"/>
      <c r="G119" s="18"/>
      <c r="H119" s="18"/>
      <c r="I119" s="19"/>
    </row>
    <row r="120" spans="1:9" ht="13.15">
      <c r="A120" s="18"/>
      <c r="B120" s="18"/>
      <c r="C120" s="18"/>
      <c r="D120" s="18"/>
      <c r="E120" s="18"/>
      <c r="F120" s="19"/>
      <c r="G120" s="18"/>
      <c r="H120" s="18"/>
      <c r="I120" s="19"/>
    </row>
    <row r="121" spans="1:9" ht="13.15">
      <c r="A121" s="18"/>
      <c r="B121" s="18"/>
      <c r="C121" s="18"/>
      <c r="D121" s="18"/>
      <c r="E121" s="18"/>
      <c r="F121" s="19"/>
      <c r="G121" s="18"/>
      <c r="H121" s="18"/>
      <c r="I121" s="19"/>
    </row>
    <row r="122" spans="1:9" ht="13.15">
      <c r="A122" s="18"/>
      <c r="B122" s="18"/>
      <c r="C122" s="18"/>
      <c r="D122" s="18"/>
      <c r="E122" s="18"/>
      <c r="F122" s="19"/>
      <c r="G122" s="18"/>
      <c r="H122" s="18"/>
      <c r="I122" s="19"/>
    </row>
    <row r="123" spans="1:9" ht="13.15">
      <c r="A123" s="18"/>
      <c r="B123" s="18"/>
      <c r="C123" s="18"/>
      <c r="D123" s="18"/>
      <c r="E123" s="18"/>
      <c r="F123" s="19"/>
      <c r="G123" s="18"/>
      <c r="H123" s="18"/>
      <c r="I123" s="19"/>
    </row>
    <row r="124" spans="1:9" ht="13.15">
      <c r="A124" s="18"/>
      <c r="B124" s="18"/>
      <c r="C124" s="18"/>
      <c r="D124" s="18"/>
      <c r="E124" s="18"/>
      <c r="F124" s="19"/>
      <c r="G124" s="18"/>
      <c r="H124" s="18"/>
      <c r="I124" s="19"/>
    </row>
    <row r="125" spans="1:9" ht="13.15">
      <c r="A125" s="18"/>
      <c r="B125" s="18"/>
      <c r="C125" s="18"/>
      <c r="D125" s="18"/>
      <c r="E125" s="18"/>
      <c r="F125" s="19"/>
      <c r="G125" s="18"/>
      <c r="H125" s="18"/>
      <c r="I125" s="19"/>
    </row>
    <row r="126" spans="1:9" ht="13.15">
      <c r="A126" s="18"/>
      <c r="B126" s="18"/>
      <c r="C126" s="18"/>
      <c r="D126" s="18"/>
      <c r="E126" s="18"/>
      <c r="F126" s="19"/>
      <c r="G126" s="18"/>
      <c r="H126" s="18"/>
      <c r="I126" s="19"/>
    </row>
    <row r="127" spans="1:9" ht="13.15">
      <c r="A127" s="18"/>
      <c r="B127" s="18"/>
      <c r="C127" s="18"/>
      <c r="D127" s="18"/>
      <c r="E127" s="18"/>
      <c r="F127" s="19"/>
      <c r="G127" s="18"/>
      <c r="H127" s="18"/>
      <c r="I127" s="19"/>
    </row>
    <row r="128" spans="1:9" ht="13.15">
      <c r="A128" s="18"/>
      <c r="B128" s="18"/>
      <c r="C128" s="18"/>
      <c r="D128" s="18"/>
      <c r="E128" s="18"/>
      <c r="F128" s="19"/>
      <c r="G128" s="18"/>
      <c r="H128" s="18"/>
      <c r="I128" s="19"/>
    </row>
    <row r="129" spans="1:9" ht="13.15">
      <c r="A129" s="18"/>
      <c r="B129" s="18"/>
      <c r="C129" s="18"/>
      <c r="D129" s="18"/>
      <c r="E129" s="18"/>
      <c r="F129" s="19"/>
      <c r="G129" s="18"/>
      <c r="H129" s="18"/>
      <c r="I129" s="19"/>
    </row>
    <row r="130" spans="1:9" ht="13.15">
      <c r="A130" s="18"/>
      <c r="B130" s="18"/>
      <c r="C130" s="18"/>
      <c r="D130" s="18"/>
      <c r="E130" s="18"/>
      <c r="F130" s="19"/>
      <c r="G130" s="18"/>
      <c r="H130" s="18"/>
      <c r="I130" s="19"/>
    </row>
    <row r="131" spans="1:9" ht="13.15">
      <c r="A131" s="18"/>
      <c r="B131" s="18"/>
      <c r="C131" s="18"/>
      <c r="D131" s="18"/>
      <c r="E131" s="18"/>
      <c r="F131" s="19"/>
      <c r="G131" s="18"/>
      <c r="H131" s="18"/>
      <c r="I131" s="19"/>
    </row>
    <row r="132" spans="1:9" ht="13.15">
      <c r="A132" s="18"/>
      <c r="B132" s="18"/>
      <c r="C132" s="18"/>
      <c r="D132" s="18"/>
      <c r="E132" s="18"/>
      <c r="F132" s="19"/>
      <c r="G132" s="18"/>
      <c r="H132" s="18"/>
      <c r="I132" s="19"/>
    </row>
    <row r="133" spans="1:9" ht="13.15">
      <c r="A133" s="18"/>
      <c r="B133" s="18"/>
      <c r="C133" s="18"/>
      <c r="D133" s="18"/>
      <c r="E133" s="18"/>
      <c r="F133" s="19"/>
      <c r="G133" s="18"/>
      <c r="H133" s="18"/>
      <c r="I133" s="19"/>
    </row>
    <row r="134" spans="1:9" ht="13.15">
      <c r="A134" s="18"/>
      <c r="B134" s="18"/>
      <c r="C134" s="18"/>
      <c r="D134" s="18"/>
      <c r="E134" s="18"/>
      <c r="F134" s="19"/>
      <c r="G134" s="18"/>
      <c r="H134" s="18"/>
      <c r="I134" s="19"/>
    </row>
    <row r="135" spans="1:9" ht="13.15">
      <c r="A135" s="18"/>
      <c r="B135" s="18"/>
      <c r="C135" s="18"/>
      <c r="D135" s="18"/>
      <c r="E135" s="18"/>
      <c r="F135" s="19"/>
      <c r="G135" s="18"/>
      <c r="H135" s="18"/>
      <c r="I135" s="19"/>
    </row>
    <row r="136" spans="1:9" ht="13.15">
      <c r="A136" s="18"/>
      <c r="B136" s="18"/>
      <c r="C136" s="18"/>
      <c r="D136" s="18"/>
      <c r="E136" s="18"/>
      <c r="F136" s="19"/>
      <c r="G136" s="18"/>
      <c r="H136" s="18"/>
      <c r="I136" s="19"/>
    </row>
    <row r="137" spans="1:9" ht="13.15">
      <c r="A137" s="18"/>
      <c r="B137" s="18"/>
      <c r="C137" s="18"/>
      <c r="D137" s="18"/>
      <c r="E137" s="18"/>
      <c r="F137" s="19"/>
      <c r="G137" s="18"/>
      <c r="H137" s="18"/>
      <c r="I137" s="19"/>
    </row>
    <row r="138" spans="1:9" ht="13.15">
      <c r="A138" s="18"/>
      <c r="B138" s="18"/>
      <c r="C138" s="18"/>
      <c r="D138" s="18"/>
      <c r="E138" s="18"/>
      <c r="F138" s="19"/>
      <c r="G138" s="18"/>
      <c r="H138" s="18"/>
      <c r="I138" s="19"/>
    </row>
    <row r="139" spans="1:9" ht="13.15">
      <c r="A139" s="18"/>
      <c r="B139" s="18"/>
      <c r="C139" s="18"/>
      <c r="D139" s="18"/>
      <c r="E139" s="18"/>
      <c r="F139" s="19"/>
      <c r="G139" s="18"/>
      <c r="H139" s="18"/>
      <c r="I139" s="19"/>
    </row>
    <row r="140" spans="1:9" ht="13.15">
      <c r="A140" s="18"/>
      <c r="B140" s="18"/>
      <c r="C140" s="18"/>
      <c r="D140" s="18"/>
      <c r="E140" s="18"/>
      <c r="F140" s="19"/>
      <c r="G140" s="18"/>
      <c r="H140" s="18"/>
      <c r="I140" s="19"/>
    </row>
    <row r="141" spans="1:9" ht="13.15">
      <c r="A141" s="18"/>
      <c r="B141" s="18"/>
      <c r="C141" s="18"/>
      <c r="D141" s="18"/>
      <c r="E141" s="18"/>
      <c r="F141" s="19"/>
      <c r="G141" s="18"/>
      <c r="H141" s="18"/>
      <c r="I141" s="19"/>
    </row>
    <row r="142" spans="1:9" ht="13.15">
      <c r="A142" s="18"/>
      <c r="B142" s="18"/>
      <c r="C142" s="18"/>
      <c r="D142" s="18"/>
      <c r="E142" s="18"/>
      <c r="F142" s="19"/>
      <c r="G142" s="18"/>
      <c r="H142" s="18"/>
      <c r="I142" s="19"/>
    </row>
    <row r="143" spans="1:9" ht="13.15">
      <c r="A143" s="18"/>
      <c r="B143" s="18"/>
      <c r="C143" s="18"/>
      <c r="D143" s="18"/>
      <c r="E143" s="18"/>
      <c r="F143" s="19"/>
      <c r="G143" s="18"/>
      <c r="H143" s="18"/>
      <c r="I143" s="19"/>
    </row>
    <row r="144" spans="1:9" ht="13.15">
      <c r="A144" s="18"/>
      <c r="B144" s="18"/>
      <c r="C144" s="18"/>
      <c r="D144" s="18"/>
      <c r="E144" s="18"/>
      <c r="F144" s="19"/>
      <c r="G144" s="18"/>
      <c r="H144" s="18"/>
      <c r="I144" s="19"/>
    </row>
    <row r="145" spans="1:9" ht="13.15">
      <c r="A145" s="18"/>
      <c r="B145" s="18"/>
      <c r="C145" s="18"/>
      <c r="D145" s="18"/>
      <c r="E145" s="18"/>
      <c r="F145" s="19"/>
      <c r="G145" s="18"/>
      <c r="H145" s="18"/>
      <c r="I145" s="19"/>
    </row>
    <row r="146" spans="1:9" ht="13.15">
      <c r="A146" s="18"/>
      <c r="B146" s="18"/>
      <c r="C146" s="18"/>
      <c r="D146" s="18"/>
      <c r="E146" s="18"/>
      <c r="F146" s="19"/>
      <c r="G146" s="18"/>
      <c r="H146" s="18"/>
      <c r="I146" s="19"/>
    </row>
    <row r="147" spans="1:9" ht="13.15">
      <c r="A147" s="18"/>
      <c r="B147" s="18"/>
      <c r="C147" s="18"/>
      <c r="D147" s="18"/>
      <c r="E147" s="18"/>
      <c r="F147" s="19"/>
      <c r="G147" s="18"/>
      <c r="H147" s="18"/>
      <c r="I147" s="19"/>
    </row>
    <row r="148" spans="1:9" ht="13.15">
      <c r="A148" s="18"/>
      <c r="B148" s="18"/>
      <c r="C148" s="18"/>
      <c r="D148" s="18"/>
      <c r="E148" s="18"/>
      <c r="F148" s="19"/>
      <c r="G148" s="18"/>
      <c r="H148" s="18"/>
      <c r="I148" s="19"/>
    </row>
    <row r="149" spans="1:9" ht="13.15">
      <c r="A149" s="18"/>
      <c r="B149" s="18"/>
      <c r="C149" s="18"/>
      <c r="D149" s="18"/>
      <c r="E149" s="18"/>
      <c r="F149" s="19"/>
      <c r="G149" s="18"/>
      <c r="H149" s="18"/>
      <c r="I149" s="19"/>
    </row>
    <row r="150" spans="1:9" ht="13.15">
      <c r="A150" s="18"/>
      <c r="B150" s="18"/>
      <c r="C150" s="18"/>
      <c r="D150" s="18"/>
      <c r="E150" s="18"/>
      <c r="F150" s="19"/>
      <c r="G150" s="18"/>
      <c r="H150" s="18"/>
      <c r="I150" s="19"/>
    </row>
    <row r="151" spans="1:9" ht="13.15">
      <c r="A151" s="18"/>
      <c r="B151" s="18"/>
      <c r="C151" s="18"/>
      <c r="D151" s="18"/>
      <c r="E151" s="18"/>
      <c r="F151" s="19"/>
      <c r="G151" s="18"/>
      <c r="H151" s="18"/>
      <c r="I151" s="19"/>
    </row>
    <row r="152" spans="1:9" ht="13.15">
      <c r="A152" s="18"/>
      <c r="B152" s="18"/>
      <c r="C152" s="18"/>
      <c r="D152" s="18"/>
      <c r="E152" s="18"/>
      <c r="F152" s="19"/>
      <c r="G152" s="18"/>
      <c r="H152" s="18"/>
      <c r="I152" s="19"/>
    </row>
    <row r="153" spans="1:9" ht="13.15">
      <c r="A153" s="18"/>
      <c r="B153" s="18"/>
      <c r="C153" s="18"/>
      <c r="D153" s="18"/>
      <c r="E153" s="18"/>
      <c r="F153" s="19"/>
      <c r="G153" s="18"/>
      <c r="H153" s="18"/>
      <c r="I153" s="19"/>
    </row>
    <row r="154" spans="1:9" ht="13.15">
      <c r="A154" s="18"/>
      <c r="B154" s="18"/>
      <c r="C154" s="18"/>
      <c r="D154" s="18"/>
      <c r="E154" s="18"/>
      <c r="F154" s="19"/>
      <c r="G154" s="18"/>
      <c r="H154" s="18"/>
      <c r="I154" s="19"/>
    </row>
    <row r="155" spans="1:9" ht="13.15">
      <c r="A155" s="18"/>
      <c r="B155" s="18"/>
      <c r="C155" s="18"/>
      <c r="D155" s="18"/>
      <c r="E155" s="18"/>
      <c r="F155" s="19"/>
      <c r="G155" s="18"/>
      <c r="H155" s="18"/>
      <c r="I155" s="19"/>
    </row>
    <row r="156" spans="1:9" ht="13.15">
      <c r="A156" s="18"/>
      <c r="B156" s="18"/>
      <c r="C156" s="18"/>
      <c r="D156" s="18"/>
      <c r="E156" s="18"/>
      <c r="F156" s="19"/>
      <c r="G156" s="18"/>
      <c r="H156" s="18"/>
      <c r="I156" s="19"/>
    </row>
    <row r="157" spans="1:9" ht="13.15">
      <c r="A157" s="18"/>
      <c r="B157" s="18"/>
      <c r="C157" s="18"/>
      <c r="D157" s="18"/>
      <c r="E157" s="18"/>
      <c r="F157" s="19"/>
      <c r="G157" s="18"/>
      <c r="H157" s="18"/>
      <c r="I157" s="19"/>
    </row>
    <row r="158" spans="1:9" ht="13.15">
      <c r="A158" s="18"/>
      <c r="B158" s="18"/>
      <c r="C158" s="18"/>
      <c r="D158" s="18"/>
      <c r="E158" s="18"/>
      <c r="F158" s="19"/>
      <c r="G158" s="18"/>
      <c r="H158" s="18"/>
      <c r="I158" s="19"/>
    </row>
    <row r="159" spans="1:9" ht="13.15">
      <c r="A159" s="18"/>
      <c r="B159" s="18"/>
      <c r="C159" s="18"/>
      <c r="D159" s="18"/>
      <c r="E159" s="18"/>
      <c r="F159" s="19"/>
      <c r="G159" s="18"/>
      <c r="H159" s="18"/>
      <c r="I159" s="19"/>
    </row>
    <row r="160" spans="1:9" ht="13.15">
      <c r="A160" s="18"/>
      <c r="B160" s="18"/>
      <c r="C160" s="18"/>
      <c r="D160" s="18"/>
      <c r="E160" s="18"/>
      <c r="F160" s="19"/>
      <c r="G160" s="18"/>
      <c r="H160" s="18"/>
      <c r="I160" s="19"/>
    </row>
    <row r="161" spans="1:9" ht="13.15">
      <c r="A161" s="18"/>
      <c r="B161" s="18"/>
      <c r="C161" s="18"/>
      <c r="D161" s="18"/>
      <c r="E161" s="18"/>
      <c r="F161" s="19"/>
      <c r="G161" s="18"/>
      <c r="H161" s="18"/>
      <c r="I161" s="19"/>
    </row>
    <row r="162" spans="1:9" ht="13.15">
      <c r="A162" s="18"/>
      <c r="B162" s="18"/>
      <c r="C162" s="18"/>
      <c r="D162" s="18"/>
      <c r="E162" s="18"/>
      <c r="F162" s="19"/>
      <c r="G162" s="18"/>
      <c r="H162" s="18"/>
      <c r="I162" s="19"/>
    </row>
    <row r="163" spans="1:9" ht="13.15">
      <c r="A163" s="18"/>
      <c r="B163" s="18"/>
      <c r="C163" s="18"/>
      <c r="D163" s="18"/>
      <c r="E163" s="18"/>
      <c r="F163" s="19"/>
      <c r="G163" s="18"/>
      <c r="H163" s="18"/>
      <c r="I163" s="19"/>
    </row>
    <row r="164" spans="1:9" ht="13.15">
      <c r="A164" s="18"/>
      <c r="B164" s="18"/>
      <c r="C164" s="18"/>
      <c r="D164" s="18"/>
      <c r="E164" s="18"/>
      <c r="F164" s="19"/>
      <c r="G164" s="18"/>
      <c r="H164" s="18"/>
      <c r="I164" s="19"/>
    </row>
    <row r="165" spans="1:9" ht="13.15">
      <c r="A165" s="18"/>
      <c r="B165" s="18"/>
      <c r="C165" s="18"/>
      <c r="D165" s="18"/>
      <c r="E165" s="18"/>
      <c r="F165" s="19"/>
      <c r="G165" s="18"/>
      <c r="H165" s="18"/>
      <c r="I165" s="19"/>
    </row>
    <row r="166" spans="1:9" ht="13.15">
      <c r="A166" s="18"/>
      <c r="B166" s="18"/>
      <c r="C166" s="18"/>
      <c r="D166" s="18"/>
      <c r="E166" s="18"/>
      <c r="F166" s="19"/>
      <c r="G166" s="18"/>
      <c r="H166" s="18"/>
      <c r="I166" s="19"/>
    </row>
    <row r="167" spans="1:9" ht="13.15">
      <c r="A167" s="18"/>
      <c r="B167" s="18"/>
      <c r="C167" s="18"/>
      <c r="D167" s="18"/>
      <c r="E167" s="18"/>
      <c r="F167" s="19"/>
      <c r="G167" s="18"/>
      <c r="H167" s="18"/>
      <c r="I167" s="19"/>
    </row>
    <row r="168" spans="1:9" ht="13.15">
      <c r="A168" s="18"/>
      <c r="B168" s="18"/>
      <c r="C168" s="18"/>
      <c r="D168" s="18"/>
      <c r="E168" s="18"/>
      <c r="F168" s="19"/>
      <c r="G168" s="18"/>
      <c r="H168" s="18"/>
      <c r="I168" s="19"/>
    </row>
    <row r="169" spans="1:9" ht="13.15">
      <c r="A169" s="18"/>
      <c r="B169" s="18"/>
      <c r="C169" s="18"/>
      <c r="D169" s="18"/>
      <c r="E169" s="18"/>
      <c r="F169" s="19"/>
      <c r="G169" s="18"/>
      <c r="H169" s="18"/>
      <c r="I169" s="19"/>
    </row>
    <row r="170" spans="1:9" ht="13.15">
      <c r="A170" s="18"/>
      <c r="B170" s="18"/>
      <c r="C170" s="18"/>
      <c r="D170" s="18"/>
      <c r="E170" s="18"/>
      <c r="F170" s="19"/>
      <c r="G170" s="18"/>
      <c r="H170" s="18"/>
      <c r="I170" s="19"/>
    </row>
    <row r="171" spans="1:9" ht="13.15">
      <c r="A171" s="18"/>
      <c r="B171" s="18"/>
      <c r="C171" s="18"/>
      <c r="D171" s="18"/>
      <c r="E171" s="18"/>
      <c r="F171" s="19"/>
      <c r="G171" s="18"/>
      <c r="H171" s="18"/>
      <c r="I171" s="19"/>
    </row>
    <row r="172" spans="1:9" ht="13.15">
      <c r="A172" s="18"/>
      <c r="B172" s="18"/>
      <c r="C172" s="18"/>
      <c r="D172" s="18"/>
      <c r="E172" s="18"/>
      <c r="F172" s="19"/>
      <c r="G172" s="18"/>
      <c r="H172" s="18"/>
      <c r="I172" s="19"/>
    </row>
    <row r="173" spans="1:9" ht="13.15">
      <c r="A173" s="18"/>
      <c r="B173" s="18"/>
      <c r="C173" s="18"/>
      <c r="D173" s="18"/>
      <c r="E173" s="18"/>
      <c r="F173" s="19"/>
      <c r="G173" s="18"/>
      <c r="H173" s="18"/>
      <c r="I173" s="19"/>
    </row>
    <row r="174" spans="1:9" ht="13.15">
      <c r="A174" s="18"/>
      <c r="B174" s="18"/>
      <c r="C174" s="18"/>
      <c r="D174" s="18"/>
      <c r="E174" s="18"/>
      <c r="F174" s="19"/>
      <c r="G174" s="18"/>
      <c r="H174" s="18"/>
      <c r="I174" s="19"/>
    </row>
    <row r="175" spans="1:9" ht="13.15">
      <c r="A175" s="18"/>
      <c r="B175" s="18"/>
      <c r="C175" s="18"/>
      <c r="D175" s="18"/>
      <c r="E175" s="18"/>
      <c r="F175" s="19"/>
      <c r="G175" s="18"/>
      <c r="H175" s="18"/>
      <c r="I175" s="19"/>
    </row>
    <row r="176" spans="1:9" ht="13.15">
      <c r="A176" s="18"/>
      <c r="B176" s="18"/>
      <c r="C176" s="18"/>
      <c r="D176" s="18"/>
      <c r="E176" s="18"/>
      <c r="F176" s="19"/>
      <c r="G176" s="18"/>
      <c r="H176" s="18"/>
      <c r="I176" s="19"/>
    </row>
    <row r="177" spans="1:9" ht="13.15">
      <c r="A177" s="18"/>
      <c r="B177" s="18"/>
      <c r="C177" s="18"/>
      <c r="D177" s="18"/>
      <c r="E177" s="18"/>
      <c r="F177" s="19"/>
      <c r="G177" s="18"/>
      <c r="H177" s="18"/>
      <c r="I177" s="19"/>
    </row>
    <row r="178" spans="1:9" ht="13.15">
      <c r="A178" s="18"/>
      <c r="B178" s="18"/>
      <c r="C178" s="18"/>
      <c r="D178" s="18"/>
      <c r="E178" s="18"/>
      <c r="F178" s="19"/>
      <c r="G178" s="18"/>
      <c r="H178" s="18"/>
      <c r="I178" s="19"/>
    </row>
    <row r="179" spans="1:9" ht="13.15">
      <c r="A179" s="18"/>
      <c r="B179" s="18"/>
      <c r="C179" s="18"/>
      <c r="D179" s="18"/>
      <c r="E179" s="18"/>
      <c r="F179" s="19"/>
      <c r="G179" s="18"/>
      <c r="H179" s="18"/>
      <c r="I179" s="19"/>
    </row>
    <row r="180" spans="1:9" ht="13.15">
      <c r="A180" s="18"/>
      <c r="B180" s="18"/>
      <c r="C180" s="18"/>
      <c r="D180" s="18"/>
      <c r="E180" s="18"/>
      <c r="F180" s="19"/>
      <c r="G180" s="18"/>
      <c r="H180" s="18"/>
      <c r="I180" s="19"/>
    </row>
    <row r="181" spans="1:9" ht="13.15">
      <c r="A181" s="18"/>
      <c r="B181" s="18"/>
      <c r="C181" s="18"/>
      <c r="D181" s="18"/>
      <c r="E181" s="18"/>
      <c r="F181" s="19"/>
      <c r="G181" s="18"/>
      <c r="H181" s="18"/>
      <c r="I181" s="19"/>
    </row>
    <row r="182" spans="1:9" ht="13.15">
      <c r="A182" s="18"/>
      <c r="B182" s="18"/>
      <c r="C182" s="18"/>
      <c r="D182" s="18"/>
      <c r="E182" s="18"/>
      <c r="F182" s="19"/>
      <c r="G182" s="18"/>
      <c r="H182" s="18"/>
      <c r="I182" s="19"/>
    </row>
    <row r="183" spans="1:9" ht="13.15">
      <c r="A183" s="18"/>
      <c r="B183" s="18"/>
      <c r="C183" s="18"/>
      <c r="D183" s="18"/>
      <c r="E183" s="18"/>
      <c r="F183" s="19"/>
      <c r="G183" s="18"/>
      <c r="H183" s="18"/>
      <c r="I183" s="19"/>
    </row>
    <row r="184" spans="1:9" ht="13.15">
      <c r="A184" s="18"/>
      <c r="B184" s="18"/>
      <c r="C184" s="18"/>
      <c r="D184" s="18"/>
      <c r="E184" s="18"/>
      <c r="F184" s="19"/>
      <c r="G184" s="18"/>
      <c r="H184" s="18"/>
      <c r="I184" s="19"/>
    </row>
    <row r="185" spans="1:9" ht="13.15">
      <c r="A185" s="18"/>
      <c r="B185" s="18"/>
      <c r="C185" s="18"/>
      <c r="D185" s="18"/>
      <c r="E185" s="18"/>
      <c r="F185" s="19"/>
      <c r="G185" s="18"/>
      <c r="H185" s="18"/>
      <c r="I185" s="19"/>
    </row>
    <row r="186" spans="1:9" ht="13.15">
      <c r="A186" s="18"/>
      <c r="B186" s="18"/>
      <c r="C186" s="18"/>
      <c r="D186" s="18"/>
      <c r="E186" s="18"/>
      <c r="F186" s="19"/>
      <c r="G186" s="18"/>
      <c r="H186" s="18"/>
      <c r="I186" s="19"/>
    </row>
    <row r="187" spans="1:9" ht="13.15">
      <c r="A187" s="18"/>
      <c r="B187" s="18"/>
      <c r="C187" s="18"/>
      <c r="D187" s="18"/>
      <c r="E187" s="18"/>
      <c r="F187" s="19"/>
      <c r="G187" s="18"/>
      <c r="H187" s="18"/>
      <c r="I187" s="19"/>
    </row>
    <row r="188" spans="1:9" ht="13.15">
      <c r="A188" s="18"/>
      <c r="B188" s="18"/>
      <c r="C188" s="18"/>
      <c r="D188" s="18"/>
      <c r="E188" s="18"/>
      <c r="F188" s="19"/>
      <c r="G188" s="18"/>
      <c r="H188" s="18"/>
      <c r="I188" s="19"/>
    </row>
    <row r="189" spans="1:9" ht="13.15">
      <c r="A189" s="18"/>
      <c r="B189" s="18"/>
      <c r="C189" s="18"/>
      <c r="D189" s="18"/>
      <c r="E189" s="18"/>
      <c r="F189" s="19"/>
      <c r="G189" s="18"/>
      <c r="H189" s="18"/>
      <c r="I189" s="19"/>
    </row>
    <row r="190" spans="1:9" ht="13.15">
      <c r="A190" s="18"/>
      <c r="B190" s="18"/>
      <c r="C190" s="18"/>
      <c r="D190" s="18"/>
      <c r="E190" s="18"/>
      <c r="F190" s="19"/>
      <c r="G190" s="18"/>
      <c r="H190" s="18"/>
      <c r="I190" s="19"/>
    </row>
    <row r="191" spans="1:9" ht="13.15">
      <c r="A191" s="18"/>
      <c r="B191" s="18"/>
      <c r="C191" s="18"/>
      <c r="D191" s="18"/>
      <c r="E191" s="18"/>
      <c r="F191" s="19"/>
      <c r="G191" s="18"/>
      <c r="H191" s="18"/>
      <c r="I191" s="19"/>
    </row>
    <row r="192" spans="1:9" ht="13.15">
      <c r="A192" s="18"/>
      <c r="B192" s="18"/>
      <c r="C192" s="18"/>
      <c r="D192" s="18"/>
      <c r="E192" s="18"/>
      <c r="F192" s="19"/>
      <c r="G192" s="18"/>
      <c r="H192" s="18"/>
      <c r="I192" s="19"/>
    </row>
    <row r="193" spans="1:9" ht="13.15">
      <c r="A193" s="18"/>
      <c r="B193" s="18"/>
      <c r="C193" s="18"/>
      <c r="D193" s="18"/>
      <c r="E193" s="18"/>
      <c r="F193" s="19"/>
      <c r="G193" s="18"/>
      <c r="H193" s="18"/>
      <c r="I193" s="19"/>
    </row>
    <row r="194" spans="1:9" ht="13.15">
      <c r="A194" s="18"/>
      <c r="B194" s="18"/>
      <c r="C194" s="18"/>
      <c r="D194" s="18"/>
      <c r="E194" s="18"/>
      <c r="F194" s="19"/>
      <c r="G194" s="18"/>
      <c r="H194" s="18"/>
      <c r="I194" s="19"/>
    </row>
    <row r="195" spans="1:9" ht="13.15">
      <c r="A195" s="18"/>
      <c r="B195" s="18"/>
      <c r="C195" s="18"/>
      <c r="D195" s="18"/>
      <c r="E195" s="18"/>
      <c r="F195" s="19"/>
      <c r="G195" s="18"/>
      <c r="H195" s="18"/>
      <c r="I195" s="19"/>
    </row>
    <row r="196" spans="1:9" ht="13.15">
      <c r="A196" s="18"/>
      <c r="B196" s="18"/>
      <c r="C196" s="18"/>
      <c r="D196" s="18"/>
      <c r="E196" s="18"/>
      <c r="F196" s="19"/>
      <c r="G196" s="18"/>
      <c r="H196" s="18"/>
      <c r="I196" s="19"/>
    </row>
    <row r="197" spans="1:9" ht="13.15">
      <c r="A197" s="18"/>
      <c r="B197" s="18"/>
      <c r="C197" s="18"/>
      <c r="D197" s="18"/>
      <c r="E197" s="18"/>
      <c r="F197" s="19"/>
      <c r="G197" s="18"/>
      <c r="H197" s="18"/>
      <c r="I197" s="19"/>
    </row>
    <row r="198" spans="1:9" ht="13.15">
      <c r="A198" s="18"/>
      <c r="B198" s="18"/>
      <c r="C198" s="18"/>
      <c r="D198" s="18"/>
      <c r="E198" s="18"/>
      <c r="F198" s="19"/>
      <c r="G198" s="18"/>
      <c r="H198" s="18"/>
      <c r="I198" s="19"/>
    </row>
    <row r="199" spans="1:9" ht="13.15">
      <c r="A199" s="18"/>
      <c r="B199" s="18"/>
      <c r="C199" s="18"/>
      <c r="D199" s="18"/>
      <c r="E199" s="18"/>
      <c r="F199" s="19"/>
      <c r="G199" s="18"/>
      <c r="H199" s="18"/>
      <c r="I199" s="19"/>
    </row>
    <row r="200" spans="1:9" ht="13.15">
      <c r="A200" s="18"/>
      <c r="B200" s="18"/>
      <c r="C200" s="18"/>
      <c r="D200" s="18"/>
      <c r="E200" s="18"/>
      <c r="F200" s="19"/>
      <c r="G200" s="18"/>
      <c r="H200" s="18"/>
      <c r="I200" s="19"/>
    </row>
    <row r="201" spans="1:9" ht="13.15">
      <c r="A201" s="18"/>
      <c r="B201" s="18"/>
      <c r="C201" s="18"/>
      <c r="D201" s="18"/>
      <c r="E201" s="18"/>
      <c r="F201" s="19"/>
      <c r="G201" s="18"/>
      <c r="H201" s="18"/>
      <c r="I201" s="19"/>
    </row>
    <row r="202" spans="1:9" ht="13.15">
      <c r="A202" s="18"/>
      <c r="B202" s="18"/>
      <c r="C202" s="18"/>
      <c r="D202" s="18"/>
      <c r="E202" s="18"/>
      <c r="F202" s="19"/>
      <c r="G202" s="18"/>
      <c r="H202" s="18"/>
      <c r="I202" s="19"/>
    </row>
    <row r="203" spans="1:9" ht="13.15">
      <c r="A203" s="18"/>
      <c r="B203" s="18"/>
      <c r="C203" s="18"/>
      <c r="D203" s="18"/>
      <c r="E203" s="18"/>
      <c r="F203" s="19"/>
      <c r="G203" s="18"/>
      <c r="H203" s="18"/>
      <c r="I203" s="19"/>
    </row>
    <row r="204" spans="1:9" ht="13.15">
      <c r="A204" s="18"/>
      <c r="B204" s="18"/>
      <c r="C204" s="18"/>
      <c r="D204" s="18"/>
      <c r="E204" s="18"/>
      <c r="F204" s="19"/>
      <c r="G204" s="18"/>
      <c r="H204" s="18"/>
      <c r="I204" s="19"/>
    </row>
    <row r="205" spans="1:9" ht="13.15">
      <c r="A205" s="18"/>
      <c r="B205" s="18"/>
      <c r="C205" s="18"/>
      <c r="D205" s="18"/>
      <c r="E205" s="18"/>
      <c r="F205" s="19"/>
      <c r="G205" s="18"/>
      <c r="H205" s="18"/>
      <c r="I205" s="19"/>
    </row>
    <row r="206" spans="1:9" ht="13.15">
      <c r="A206" s="18"/>
      <c r="B206" s="18"/>
      <c r="C206" s="18"/>
      <c r="D206" s="18"/>
      <c r="E206" s="18"/>
      <c r="F206" s="19"/>
      <c r="G206" s="18"/>
      <c r="H206" s="18"/>
      <c r="I206" s="19"/>
    </row>
    <row r="207" spans="1:9" ht="13.15">
      <c r="A207" s="18"/>
      <c r="B207" s="18"/>
      <c r="C207" s="18"/>
      <c r="D207" s="18"/>
      <c r="E207" s="18"/>
      <c r="F207" s="19"/>
      <c r="G207" s="18"/>
      <c r="H207" s="18"/>
      <c r="I207" s="19"/>
    </row>
    <row r="208" spans="1:9" ht="13.15">
      <c r="A208" s="18"/>
      <c r="B208" s="18"/>
      <c r="C208" s="18"/>
      <c r="D208" s="18"/>
      <c r="E208" s="18"/>
      <c r="F208" s="19"/>
      <c r="G208" s="18"/>
      <c r="H208" s="18"/>
      <c r="I208" s="19"/>
    </row>
    <row r="209" spans="1:9" ht="13.15">
      <c r="A209" s="18"/>
      <c r="B209" s="18"/>
      <c r="C209" s="18"/>
      <c r="D209" s="18"/>
      <c r="E209" s="18"/>
      <c r="F209" s="19"/>
      <c r="G209" s="18"/>
      <c r="H209" s="18"/>
      <c r="I209" s="19"/>
    </row>
    <row r="210" spans="1:9" ht="13.15">
      <c r="A210" s="18"/>
      <c r="B210" s="18"/>
      <c r="C210" s="18"/>
      <c r="D210" s="18"/>
      <c r="E210" s="18"/>
      <c r="F210" s="19"/>
      <c r="G210" s="18"/>
      <c r="H210" s="18"/>
      <c r="I210" s="19"/>
    </row>
    <row r="211" spans="1:9" ht="13.15">
      <c r="A211" s="18"/>
      <c r="B211" s="18"/>
      <c r="C211" s="18"/>
      <c r="D211" s="18"/>
      <c r="E211" s="18"/>
      <c r="F211" s="19"/>
      <c r="G211" s="18"/>
      <c r="H211" s="18"/>
      <c r="I211" s="19"/>
    </row>
    <row r="212" spans="1:9" ht="13.15">
      <c r="A212" s="18"/>
      <c r="B212" s="18"/>
      <c r="C212" s="18"/>
      <c r="D212" s="18"/>
      <c r="E212" s="18"/>
      <c r="F212" s="19"/>
      <c r="G212" s="18"/>
      <c r="H212" s="18"/>
      <c r="I212" s="19"/>
    </row>
    <row r="213" spans="1:9" ht="13.15">
      <c r="A213" s="18"/>
      <c r="B213" s="18"/>
      <c r="C213" s="18"/>
      <c r="D213" s="18"/>
      <c r="E213" s="18"/>
      <c r="F213" s="19"/>
      <c r="G213" s="18"/>
      <c r="H213" s="18"/>
      <c r="I213" s="19"/>
    </row>
    <row r="214" spans="1:9" ht="13.15">
      <c r="A214" s="18"/>
      <c r="B214" s="18"/>
      <c r="C214" s="18"/>
      <c r="D214" s="18"/>
      <c r="E214" s="18"/>
      <c r="F214" s="19"/>
      <c r="G214" s="18"/>
      <c r="H214" s="18"/>
      <c r="I214" s="19"/>
    </row>
    <row r="215" spans="1:9" ht="13.15">
      <c r="A215" s="18"/>
      <c r="B215" s="18"/>
      <c r="C215" s="18"/>
      <c r="D215" s="18"/>
      <c r="E215" s="18"/>
      <c r="F215" s="19"/>
      <c r="G215" s="18"/>
      <c r="H215" s="18"/>
      <c r="I215" s="19"/>
    </row>
    <row r="216" spans="1:9" ht="13.15">
      <c r="A216" s="18"/>
      <c r="B216" s="18"/>
      <c r="C216" s="18"/>
      <c r="D216" s="18"/>
      <c r="E216" s="18"/>
      <c r="F216" s="19"/>
      <c r="G216" s="18"/>
      <c r="H216" s="18"/>
      <c r="I216" s="19"/>
    </row>
    <row r="217" spans="1:9" ht="13.15">
      <c r="A217" s="18"/>
      <c r="B217" s="18"/>
      <c r="C217" s="18"/>
      <c r="D217" s="18"/>
      <c r="E217" s="18"/>
      <c r="F217" s="19"/>
      <c r="G217" s="18"/>
      <c r="H217" s="18"/>
      <c r="I217" s="19"/>
    </row>
    <row r="218" spans="1:9" ht="13.15">
      <c r="A218" s="18"/>
      <c r="B218" s="18"/>
      <c r="C218" s="18"/>
      <c r="D218" s="18"/>
      <c r="E218" s="18"/>
      <c r="F218" s="19"/>
      <c r="G218" s="18"/>
      <c r="H218" s="18"/>
      <c r="I218" s="19"/>
    </row>
    <row r="219" spans="1:9" ht="13.15">
      <c r="A219" s="18"/>
      <c r="B219" s="18"/>
      <c r="C219" s="18"/>
      <c r="D219" s="18"/>
      <c r="E219" s="18"/>
      <c r="F219" s="19"/>
      <c r="G219" s="18"/>
      <c r="H219" s="18"/>
      <c r="I219" s="19"/>
    </row>
    <row r="220" spans="1:9" ht="13.15">
      <c r="A220" s="18"/>
      <c r="B220" s="18"/>
      <c r="C220" s="18"/>
      <c r="D220" s="18"/>
      <c r="E220" s="18"/>
      <c r="F220" s="19"/>
      <c r="G220" s="18"/>
      <c r="H220" s="18"/>
      <c r="I220" s="19"/>
    </row>
    <row r="221" spans="1:9" ht="13.15">
      <c r="A221" s="18"/>
      <c r="B221" s="18"/>
      <c r="C221" s="18"/>
      <c r="D221" s="18"/>
      <c r="E221" s="18"/>
      <c r="F221" s="19"/>
      <c r="G221" s="18"/>
      <c r="H221" s="18"/>
      <c r="I221" s="19"/>
    </row>
    <row r="222" spans="1:9" ht="13.15">
      <c r="A222" s="18"/>
      <c r="B222" s="18"/>
      <c r="C222" s="18"/>
      <c r="D222" s="18"/>
      <c r="E222" s="18"/>
      <c r="F222" s="19"/>
      <c r="G222" s="18"/>
      <c r="H222" s="18"/>
      <c r="I222" s="19"/>
    </row>
    <row r="223" spans="1:9" ht="13.15">
      <c r="A223" s="18"/>
      <c r="B223" s="18"/>
      <c r="C223" s="18"/>
      <c r="D223" s="18"/>
      <c r="E223" s="18"/>
      <c r="F223" s="19"/>
      <c r="G223" s="18"/>
      <c r="H223" s="18"/>
      <c r="I223" s="19"/>
    </row>
    <row r="224" spans="1:9" ht="13.15">
      <c r="A224" s="18"/>
      <c r="B224" s="18"/>
      <c r="C224" s="18"/>
      <c r="D224" s="18"/>
      <c r="E224" s="18"/>
      <c r="F224" s="19"/>
      <c r="G224" s="18"/>
      <c r="H224" s="18"/>
      <c r="I224" s="19"/>
    </row>
    <row r="225" spans="1:9" ht="13.15">
      <c r="A225" s="18"/>
      <c r="B225" s="18"/>
      <c r="C225" s="18"/>
      <c r="D225" s="18"/>
      <c r="E225" s="18"/>
      <c r="F225" s="19"/>
      <c r="G225" s="18"/>
      <c r="H225" s="18"/>
      <c r="I225" s="19"/>
    </row>
    <row r="226" spans="1:9" ht="13.15">
      <c r="A226" s="18"/>
      <c r="B226" s="18"/>
      <c r="C226" s="18"/>
      <c r="D226" s="18"/>
      <c r="E226" s="18"/>
      <c r="F226" s="19"/>
      <c r="G226" s="18"/>
      <c r="H226" s="18"/>
      <c r="I226" s="19"/>
    </row>
    <row r="227" spans="1:9" ht="13.15">
      <c r="A227" s="18"/>
      <c r="B227" s="18"/>
      <c r="C227" s="18"/>
      <c r="D227" s="18"/>
      <c r="E227" s="18"/>
      <c r="F227" s="19"/>
      <c r="G227" s="18"/>
      <c r="H227" s="18"/>
      <c r="I227" s="19"/>
    </row>
    <row r="228" spans="1:9" ht="13.15">
      <c r="A228" s="18"/>
      <c r="B228" s="18"/>
      <c r="C228" s="18"/>
      <c r="D228" s="18"/>
      <c r="E228" s="18"/>
      <c r="F228" s="19"/>
      <c r="G228" s="18"/>
      <c r="H228" s="18"/>
      <c r="I228" s="19"/>
    </row>
    <row r="229" spans="1:9" ht="13.15">
      <c r="A229" s="18"/>
      <c r="B229" s="18"/>
      <c r="C229" s="18"/>
      <c r="D229" s="18"/>
      <c r="E229" s="18"/>
      <c r="F229" s="19"/>
      <c r="G229" s="18"/>
      <c r="H229" s="18"/>
      <c r="I229" s="19"/>
    </row>
    <row r="230" spans="1:9" ht="13.15">
      <c r="A230" s="18"/>
      <c r="B230" s="18"/>
      <c r="C230" s="18"/>
      <c r="D230" s="18"/>
      <c r="E230" s="18"/>
      <c r="F230" s="19"/>
      <c r="G230" s="18"/>
      <c r="H230" s="18"/>
      <c r="I230" s="19"/>
    </row>
    <row r="231" spans="1:9" ht="13.15">
      <c r="A231" s="18"/>
      <c r="B231" s="18"/>
      <c r="C231" s="18"/>
      <c r="D231" s="18"/>
      <c r="E231" s="18"/>
      <c r="F231" s="19"/>
      <c r="G231" s="18"/>
      <c r="H231" s="18"/>
      <c r="I231" s="19"/>
    </row>
    <row r="232" spans="1:9" ht="13.15">
      <c r="A232" s="18"/>
      <c r="B232" s="18"/>
      <c r="C232" s="18"/>
      <c r="D232" s="18"/>
      <c r="E232" s="18"/>
      <c r="F232" s="19"/>
      <c r="G232" s="18"/>
      <c r="H232" s="18"/>
      <c r="I232" s="19"/>
    </row>
    <row r="233" spans="1:9" ht="13.15">
      <c r="A233" s="18"/>
      <c r="B233" s="18"/>
      <c r="C233" s="18"/>
      <c r="D233" s="18"/>
      <c r="E233" s="18"/>
      <c r="F233" s="19"/>
      <c r="G233" s="18"/>
      <c r="H233" s="18"/>
      <c r="I233" s="19"/>
    </row>
    <row r="234" spans="1:9" ht="13.15">
      <c r="A234" s="18"/>
      <c r="B234" s="18"/>
      <c r="C234" s="18"/>
      <c r="D234" s="18"/>
      <c r="E234" s="18"/>
      <c r="F234" s="19"/>
      <c r="G234" s="18"/>
      <c r="H234" s="18"/>
      <c r="I234" s="19"/>
    </row>
    <row r="235" spans="1:9" ht="13.15">
      <c r="A235" s="18"/>
      <c r="B235" s="18"/>
      <c r="C235" s="18"/>
      <c r="D235" s="18"/>
      <c r="E235" s="18"/>
      <c r="F235" s="19"/>
      <c r="G235" s="18"/>
      <c r="H235" s="18"/>
      <c r="I235" s="19"/>
    </row>
    <row r="236" spans="1:9" ht="13.15">
      <c r="A236" s="18"/>
      <c r="B236" s="18"/>
      <c r="C236" s="18"/>
      <c r="D236" s="18"/>
      <c r="E236" s="18"/>
      <c r="F236" s="19"/>
      <c r="G236" s="18"/>
      <c r="H236" s="18"/>
      <c r="I236" s="19"/>
    </row>
    <row r="237" spans="1:9" ht="13.15">
      <c r="A237" s="18"/>
      <c r="B237" s="18"/>
      <c r="C237" s="18"/>
      <c r="D237" s="18"/>
      <c r="E237" s="18"/>
      <c r="F237" s="19"/>
      <c r="G237" s="18"/>
      <c r="H237" s="18"/>
      <c r="I237" s="19"/>
    </row>
    <row r="238" spans="1:9" ht="13.15">
      <c r="A238" s="18"/>
      <c r="B238" s="18"/>
      <c r="C238" s="18"/>
      <c r="D238" s="18"/>
      <c r="E238" s="18"/>
      <c r="F238" s="19"/>
      <c r="G238" s="18"/>
      <c r="H238" s="18"/>
      <c r="I238" s="19"/>
    </row>
    <row r="239" spans="1:9" ht="13.15">
      <c r="A239" s="18"/>
      <c r="B239" s="18"/>
      <c r="C239" s="18"/>
      <c r="D239" s="18"/>
      <c r="E239" s="18"/>
      <c r="F239" s="19"/>
      <c r="G239" s="18"/>
      <c r="H239" s="18"/>
      <c r="I239" s="19"/>
    </row>
    <row r="240" spans="1:9" ht="13.15">
      <c r="A240" s="18"/>
      <c r="B240" s="18"/>
      <c r="C240" s="18"/>
      <c r="D240" s="18"/>
      <c r="E240" s="18"/>
      <c r="F240" s="19"/>
      <c r="G240" s="18"/>
      <c r="H240" s="18"/>
      <c r="I240" s="19"/>
    </row>
    <row r="241" spans="1:9" ht="13.15">
      <c r="A241" s="18"/>
      <c r="B241" s="18"/>
      <c r="C241" s="18"/>
      <c r="D241" s="18"/>
      <c r="E241" s="18"/>
      <c r="F241" s="19"/>
      <c r="G241" s="18"/>
      <c r="H241" s="18"/>
      <c r="I241" s="19"/>
    </row>
    <row r="242" spans="1:9" ht="13.15">
      <c r="A242" s="18"/>
      <c r="B242" s="18"/>
      <c r="C242" s="18"/>
      <c r="D242" s="18"/>
      <c r="E242" s="18"/>
      <c r="F242" s="19"/>
      <c r="G242" s="18"/>
      <c r="H242" s="18"/>
      <c r="I242" s="19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">
    <cfRule type="cellIs" dxfId="68" priority="5" stopIfTrue="1" operator="lessThanOrEqual">
      <formula>-0.1</formula>
    </cfRule>
    <cfRule type="expression" dxfId="67" priority="6">
      <formula>AND(ISNUMBER(F2), F2&gt;=0.1)</formula>
    </cfRule>
  </conditionalFormatting>
  <conditionalFormatting sqref="F4:F38 I4:I38">
    <cfRule type="cellIs" dxfId="66" priority="1" stopIfTrue="1" operator="lessThanOrEqual">
      <formula>-0.1</formula>
    </cfRule>
    <cfRule type="expression" dxfId="6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242"/>
  <sheetViews>
    <sheetView tabSelected="1" workbookViewId="0">
      <pane xSplit="2" ySplit="3" topLeftCell="C4" activePane="bottomRight" state="frozen"/>
      <selection pane="bottomRight" activeCell="G4" sqref="G4"/>
      <selection pane="bottomLeft" activeCell="C48" sqref="C48"/>
      <selection pane="topRight" activeCell="C48" sqref="C4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66" t="str" cm="1">
        <f t="array" ref="A1">portfolio</f>
        <v>Cushman &amp; Wakefield</v>
      </c>
      <c r="B1" s="66"/>
      <c r="C1" s="66"/>
      <c r="D1" s="67" t="s">
        <v>10</v>
      </c>
      <c r="E1" s="67"/>
      <c r="F1" s="67"/>
      <c r="G1" s="65" t="s">
        <v>11</v>
      </c>
      <c r="H1" s="65"/>
      <c r="I1" s="65"/>
    </row>
    <row r="2" spans="1:11" ht="19.5" customHeight="1">
      <c r="A2" s="68" t="s">
        <v>2</v>
      </c>
      <c r="B2" s="68"/>
      <c r="C2" s="6">
        <f>SUM(C4:C38)</f>
        <v>0</v>
      </c>
      <c r="D2" s="6">
        <f>SUM(D4:D38)</f>
        <v>0</v>
      </c>
      <c r="E2" s="6">
        <f>C2-D2</f>
        <v>0</v>
      </c>
      <c r="F2" s="7">
        <f>IFERROR(E2/D2, 0)</f>
        <v>0</v>
      </c>
      <c r="G2" s="6">
        <f>SUM(G4:G38)</f>
        <v>0</v>
      </c>
      <c r="H2" s="8">
        <f>C2-G2</f>
        <v>0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</row>
    <row r="4" spans="1:11" ht="15.75">
      <c r="A4" s="29" t="str" cm="1">
        <f t="array" ref="A4:A38">Sites[Site]</f>
        <v xml:space="preserve"> Adelanto - Bank of America</v>
      </c>
      <c r="B4" s="26" t="str" cm="1">
        <f t="array" ref="B4:B38">Sites[State]</f>
        <v>CA</v>
      </c>
      <c r="C4" s="21">
        <f>SUM(Jan!C4, Feb!C4, Mar!C4)</f>
        <v>0</v>
      </c>
      <c r="D4" s="11">
        <f>SUM(Jan!D4, Feb!D4, Mar!D4)</f>
        <v>0</v>
      </c>
      <c r="E4" s="11">
        <f>IF(AND(ISNUMBER(C4),ISNUMBER(D4)), C4-D4, "")</f>
        <v>0</v>
      </c>
      <c r="F4" s="12" t="str">
        <f>IFERROR(E4/D4, "")</f>
        <v/>
      </c>
      <c r="G4" s="13">
        <f>SUM(Jan!G4, Feb!G4, Mar!G4)</f>
        <v>0</v>
      </c>
      <c r="H4" s="13">
        <f>IF(AND(ISNUMBER(C4),ISNUMBER(G4)), C4-G4, "")</f>
        <v>0</v>
      </c>
      <c r="I4" s="14" t="str">
        <f>IFERROR(H4/G4, "")</f>
        <v/>
      </c>
      <c r="J4" s="38"/>
      <c r="K4" s="38"/>
    </row>
    <row r="5" spans="1:11" ht="15.75">
      <c r="A5" s="27" t="str">
        <v xml:space="preserve"> Apple Valley - Bank of America</v>
      </c>
      <c r="B5" s="28" t="str">
        <v>CA</v>
      </c>
      <c r="C5" s="10">
        <f>SUM(Jan!C5, Feb!C5, Mar!C5)</f>
        <v>0</v>
      </c>
      <c r="D5" s="15">
        <f>SUM(Jan!D5, Feb!D5, Mar!D5)</f>
        <v>0</v>
      </c>
      <c r="E5" s="15">
        <f t="shared" ref="E5:E15" si="0">IF(AND(ISNUMBER(C5),ISNUMBER(D5)), C5-D5, "")</f>
        <v>0</v>
      </c>
      <c r="F5" s="16" t="str">
        <f>IFERROR(E5/D5, "")</f>
        <v/>
      </c>
      <c r="G5" s="17">
        <f>SUM(Jan!G5, Feb!G5, Mar!G5)</f>
        <v>0</v>
      </c>
      <c r="H5" s="17">
        <f t="shared" ref="H5:H38" si="1">IF(AND(ISNUMBER(C5),ISNUMBER(G5)), C5-G5, "")</f>
        <v>0</v>
      </c>
      <c r="I5" s="16" t="str">
        <f>IFERROR(H5/G5, "")</f>
        <v/>
      </c>
      <c r="J5" s="39"/>
      <c r="K5" s="39"/>
    </row>
    <row r="6" spans="1:11" ht="15.75">
      <c r="A6" s="25" t="str">
        <v xml:space="preserve"> Arvin - Bank of America</v>
      </c>
      <c r="B6" s="26" t="str">
        <v>CA</v>
      </c>
      <c r="C6" s="21">
        <f>SUM(Jan!C6, Feb!C6, Mar!C6)</f>
        <v>0</v>
      </c>
      <c r="D6" s="11">
        <f>SUM(Jan!D6, Feb!D6, Mar!D6)</f>
        <v>0</v>
      </c>
      <c r="E6" s="11">
        <f t="shared" si="0"/>
        <v>0</v>
      </c>
      <c r="F6" s="12" t="str">
        <f t="shared" ref="F6:F15" si="2">IFERROR(E6/D6, "")</f>
        <v/>
      </c>
      <c r="G6" s="13">
        <f>SUM(Jan!G6, Feb!G6, Mar!G6)</f>
        <v>0</v>
      </c>
      <c r="H6" s="13">
        <f t="shared" si="1"/>
        <v>0</v>
      </c>
      <c r="I6" s="14" t="str">
        <f t="shared" ref="I6:I15" si="3">IFERROR(H6/G6, "")</f>
        <v/>
      </c>
      <c r="J6" s="38"/>
      <c r="K6" s="38"/>
    </row>
    <row r="7" spans="1:11" ht="15.75">
      <c r="A7" s="27" t="str">
        <v xml:space="preserve"> Bell - Bank of America</v>
      </c>
      <c r="B7" s="28" t="str">
        <v>CA</v>
      </c>
      <c r="C7" s="10">
        <f>SUM(Jan!C7, Feb!C7, Mar!C7)</f>
        <v>0</v>
      </c>
      <c r="D7" s="15">
        <f>SUM(Jan!D7, Feb!D7, Mar!D7)</f>
        <v>0</v>
      </c>
      <c r="E7" s="15">
        <f t="shared" si="0"/>
        <v>0</v>
      </c>
      <c r="F7" s="16" t="str">
        <f t="shared" si="2"/>
        <v/>
      </c>
      <c r="G7" s="17">
        <f>SUM(Jan!G7, Feb!G7, Mar!G7)</f>
        <v>0</v>
      </c>
      <c r="H7" s="17">
        <f t="shared" si="1"/>
        <v>0</v>
      </c>
      <c r="I7" s="16" t="str">
        <f t="shared" si="3"/>
        <v/>
      </c>
      <c r="J7" s="39"/>
      <c r="K7" s="40"/>
    </row>
    <row r="8" spans="1:11" ht="15.75">
      <c r="A8" s="25" t="str">
        <v xml:space="preserve"> Chula Vista - Bank of America</v>
      </c>
      <c r="B8" s="26" t="str">
        <v>CA</v>
      </c>
      <c r="C8" s="21">
        <f>SUM(Jan!C8, Feb!C8, Mar!C8)</f>
        <v>0</v>
      </c>
      <c r="D8" s="11">
        <f>SUM(Jan!D8, Feb!D8, Mar!D8)</f>
        <v>0</v>
      </c>
      <c r="E8" s="11">
        <f t="shared" si="0"/>
        <v>0</v>
      </c>
      <c r="F8" s="12" t="str">
        <f t="shared" si="2"/>
        <v/>
      </c>
      <c r="G8" s="13">
        <f>SUM(Jan!G8, Feb!G8, Mar!G8)</f>
        <v>0</v>
      </c>
      <c r="H8" s="13">
        <f t="shared" si="1"/>
        <v>0</v>
      </c>
      <c r="I8" s="14" t="str">
        <f t="shared" si="3"/>
        <v/>
      </c>
      <c r="J8" s="38"/>
      <c r="K8" s="38"/>
    </row>
    <row r="9" spans="1:11" ht="15.75">
      <c r="A9" s="27" t="str">
        <v xml:space="preserve"> Cupertino - Bank of America</v>
      </c>
      <c r="B9" s="28" t="str">
        <v>CA</v>
      </c>
      <c r="C9" s="10">
        <f>SUM(Jan!C9, Feb!C9, Mar!C9)</f>
        <v>0</v>
      </c>
      <c r="D9" s="15">
        <f>SUM(Jan!D9, Feb!D9, Mar!D9)</f>
        <v>0</v>
      </c>
      <c r="E9" s="15">
        <f t="shared" si="0"/>
        <v>0</v>
      </c>
      <c r="F9" s="16" t="str">
        <f t="shared" si="2"/>
        <v/>
      </c>
      <c r="G9" s="17">
        <f>SUM(Jan!G9, Feb!G9, Mar!G9)</f>
        <v>0</v>
      </c>
      <c r="H9" s="17">
        <f t="shared" si="1"/>
        <v>0</v>
      </c>
      <c r="I9" s="16" t="str">
        <f t="shared" si="3"/>
        <v/>
      </c>
      <c r="J9" s="39"/>
      <c r="K9" s="40"/>
    </row>
    <row r="10" spans="1:11" ht="15.75">
      <c r="A10" s="25" t="str">
        <v xml:space="preserve"> Diamond Bar - Bank of America</v>
      </c>
      <c r="B10" s="26" t="str">
        <v>CA</v>
      </c>
      <c r="C10" s="21">
        <f>SUM(Jan!C10, Feb!C10, Mar!C10)</f>
        <v>0</v>
      </c>
      <c r="D10" s="11">
        <f>SUM(Jan!D10, Feb!D10, Mar!D10)</f>
        <v>0</v>
      </c>
      <c r="E10" s="11">
        <f t="shared" si="0"/>
        <v>0</v>
      </c>
      <c r="F10" s="12" t="str">
        <f t="shared" si="2"/>
        <v/>
      </c>
      <c r="G10" s="13">
        <f>SUM(Jan!G10, Feb!G10, Mar!G10)</f>
        <v>0</v>
      </c>
      <c r="H10" s="13">
        <f t="shared" si="1"/>
        <v>0</v>
      </c>
      <c r="I10" s="14" t="str">
        <f t="shared" si="3"/>
        <v/>
      </c>
      <c r="J10" s="38"/>
      <c r="K10" s="38"/>
    </row>
    <row r="11" spans="1:11" ht="15.75">
      <c r="A11" s="27" t="str">
        <v xml:space="preserve"> El Centro - Bank of America</v>
      </c>
      <c r="B11" s="28" t="str">
        <v>CA</v>
      </c>
      <c r="C11" s="10">
        <f>SUM(Jan!C11, Feb!C11, Mar!C11)</f>
        <v>0</v>
      </c>
      <c r="D11" s="15">
        <f>SUM(Jan!D11, Feb!D11, Mar!D11)</f>
        <v>0</v>
      </c>
      <c r="E11" s="15">
        <f t="shared" si="0"/>
        <v>0</v>
      </c>
      <c r="F11" s="16" t="str">
        <f t="shared" si="2"/>
        <v/>
      </c>
      <c r="G11" s="17">
        <f>SUM(Jan!G11, Feb!G11, Mar!G11)</f>
        <v>0</v>
      </c>
      <c r="H11" s="17">
        <f t="shared" si="1"/>
        <v>0</v>
      </c>
      <c r="I11" s="16" t="str">
        <f t="shared" si="3"/>
        <v/>
      </c>
      <c r="J11" s="39"/>
      <c r="K11" s="40"/>
    </row>
    <row r="12" spans="1:11" ht="15.75">
      <c r="A12" s="25" t="str">
        <v xml:space="preserve"> Moreno Valley - Bank of America</v>
      </c>
      <c r="B12" s="26" t="str">
        <v>CA</v>
      </c>
      <c r="C12" s="21">
        <f>SUM(Jan!C12, Feb!C12, Mar!C12)</f>
        <v>0</v>
      </c>
      <c r="D12" s="11">
        <f>SUM(Jan!D12, Feb!D12, Mar!D12)</f>
        <v>0</v>
      </c>
      <c r="E12" s="11">
        <f t="shared" si="0"/>
        <v>0</v>
      </c>
      <c r="F12" s="12" t="str">
        <f t="shared" si="2"/>
        <v/>
      </c>
      <c r="G12" s="13">
        <f>SUM(Jan!G12, Feb!G12, Mar!G12)</f>
        <v>0</v>
      </c>
      <c r="H12" s="13">
        <f t="shared" si="1"/>
        <v>0</v>
      </c>
      <c r="I12" s="14" t="str">
        <f t="shared" si="3"/>
        <v/>
      </c>
      <c r="J12" s="38"/>
      <c r="K12" s="38"/>
    </row>
    <row r="13" spans="1:11" ht="15.75">
      <c r="A13" s="27" t="str">
        <v xml:space="preserve"> Redlands - Bank of America</v>
      </c>
      <c r="B13" s="28" t="str">
        <v>CA</v>
      </c>
      <c r="C13" s="10">
        <f>SUM(Jan!C13, Feb!C13, Mar!C13)</f>
        <v>0</v>
      </c>
      <c r="D13" s="15">
        <f>SUM(Jan!D13, Feb!D13, Mar!D13)</f>
        <v>0</v>
      </c>
      <c r="E13" s="15">
        <f t="shared" si="0"/>
        <v>0</v>
      </c>
      <c r="F13" s="16" t="str">
        <f t="shared" si="2"/>
        <v/>
      </c>
      <c r="G13" s="17">
        <f>SUM(Jan!G13, Feb!G13, Mar!G13)</f>
        <v>0</v>
      </c>
      <c r="H13" s="17">
        <f t="shared" si="1"/>
        <v>0</v>
      </c>
      <c r="I13" s="16" t="str">
        <f t="shared" si="3"/>
        <v/>
      </c>
      <c r="J13" s="39"/>
      <c r="K13" s="40"/>
    </row>
    <row r="14" spans="1:11" ht="15.75">
      <c r="A14" s="25" t="str">
        <v xml:space="preserve"> Roseville - Bank of America</v>
      </c>
      <c r="B14" s="26" t="str">
        <v>CA</v>
      </c>
      <c r="C14" s="21">
        <f>SUM(Jan!C14, Feb!C14, Mar!C14)</f>
        <v>0</v>
      </c>
      <c r="D14" s="11">
        <f>SUM(Jan!D14, Feb!D14, Mar!D14)</f>
        <v>0</v>
      </c>
      <c r="E14" s="11">
        <f t="shared" si="0"/>
        <v>0</v>
      </c>
      <c r="F14" s="12" t="str">
        <f t="shared" si="2"/>
        <v/>
      </c>
      <c r="G14" s="13">
        <f>SUM(Jan!G14, Feb!G14, Mar!G14)</f>
        <v>0</v>
      </c>
      <c r="H14" s="13">
        <f t="shared" si="1"/>
        <v>0</v>
      </c>
      <c r="I14" s="14" t="str">
        <f t="shared" si="3"/>
        <v/>
      </c>
      <c r="J14" s="38"/>
      <c r="K14" s="38"/>
    </row>
    <row r="15" spans="1:11" ht="15.75">
      <c r="A15" s="27" t="str">
        <v xml:space="preserve"> San Bernardino - Bank of America</v>
      </c>
      <c r="B15" s="28" t="str">
        <v>CA</v>
      </c>
      <c r="C15" s="10">
        <f>SUM(Jan!C15, Feb!C15, Mar!C15)</f>
        <v>0</v>
      </c>
      <c r="D15" s="15">
        <f>SUM(Jan!D15, Feb!D15, Mar!D15)</f>
        <v>0</v>
      </c>
      <c r="E15" s="15">
        <f t="shared" si="0"/>
        <v>0</v>
      </c>
      <c r="F15" s="16" t="str">
        <f t="shared" si="2"/>
        <v/>
      </c>
      <c r="G15" s="17">
        <f>SUM(Jan!G15, Feb!G15, Mar!G15)</f>
        <v>0</v>
      </c>
      <c r="H15" s="17">
        <f t="shared" si="1"/>
        <v>0</v>
      </c>
      <c r="I15" s="16" t="str">
        <f t="shared" si="3"/>
        <v/>
      </c>
      <c r="J15" s="39"/>
      <c r="K15" s="40"/>
    </row>
    <row r="16" spans="1:11" ht="15.75">
      <c r="A16" s="25" t="str">
        <v xml:space="preserve"> San Diego - Bank of America</v>
      </c>
      <c r="B16" s="26" t="str">
        <v>CA</v>
      </c>
      <c r="C16" s="21">
        <f>SUM(Jan!C16, Feb!C16, Mar!C16)</f>
        <v>0</v>
      </c>
      <c r="D16" s="11">
        <f>SUM(Jan!D16, Feb!D16, Mar!D16)</f>
        <v>0</v>
      </c>
      <c r="E16" s="11">
        <f t="shared" ref="E16:E17" si="4">IF(AND(ISNUMBER(C16),ISNUMBER(D16)), C16-D16, "")</f>
        <v>0</v>
      </c>
      <c r="F16" s="12" t="str">
        <f t="shared" ref="F16:F17" si="5">IFERROR(E16/D16, "")</f>
        <v/>
      </c>
      <c r="G16" s="13">
        <f>SUM(Jan!G16, Feb!G16, Mar!G16)</f>
        <v>0</v>
      </c>
      <c r="H16" s="13">
        <f t="shared" si="1"/>
        <v>0</v>
      </c>
      <c r="I16" s="14" t="str">
        <f t="shared" ref="I16:I17" si="6">IFERROR(H16/G16, "")</f>
        <v/>
      </c>
      <c r="J16" s="38"/>
      <c r="K16" s="38"/>
    </row>
    <row r="17" spans="1:11" ht="15.75">
      <c r="A17" s="27" t="str">
        <v xml:space="preserve"> Stockton - Bank of America</v>
      </c>
      <c r="B17" s="28" t="str">
        <v>CA</v>
      </c>
      <c r="C17" s="10">
        <f>SUM(Jan!C17, Feb!C17, Mar!C17)</f>
        <v>0</v>
      </c>
      <c r="D17" s="15">
        <f>SUM(Jan!D17, Feb!D17, Mar!D17)</f>
        <v>0</v>
      </c>
      <c r="E17" s="15">
        <f t="shared" si="4"/>
        <v>0</v>
      </c>
      <c r="F17" s="16" t="str">
        <f t="shared" si="5"/>
        <v/>
      </c>
      <c r="G17" s="17">
        <f>SUM(Jan!G17, Feb!G17, Mar!G17)</f>
        <v>0</v>
      </c>
      <c r="H17" s="17">
        <f t="shared" si="1"/>
        <v>0</v>
      </c>
      <c r="I17" s="16" t="str">
        <f t="shared" si="6"/>
        <v/>
      </c>
      <c r="J17" s="39"/>
      <c r="K17" s="39"/>
    </row>
    <row r="18" spans="1:11" ht="12.75" customHeight="1">
      <c r="A18" s="25" t="str">
        <v xml:space="preserve"> Victorville - Bank of America</v>
      </c>
      <c r="B18" s="26" t="str">
        <v>CA</v>
      </c>
      <c r="C18" s="21">
        <f>SUM(Jan!C18, Feb!C18, Mar!C18)</f>
        <v>0</v>
      </c>
      <c r="D18" s="11">
        <f>SUM(Jan!D18, Feb!D18, Mar!D18)</f>
        <v>0</v>
      </c>
      <c r="E18" s="11">
        <f t="shared" ref="E18:E38" si="7">IF(AND(ISNUMBER(C18),ISNUMBER(D18)), C18-D18, "")</f>
        <v>0</v>
      </c>
      <c r="F18" s="12" t="str">
        <f t="shared" ref="F18:F38" si="8">IFERROR(E18/D18, "")</f>
        <v/>
      </c>
      <c r="G18" s="13">
        <f>SUM(Jan!G18, Feb!G18, Mar!G18)</f>
        <v>0</v>
      </c>
      <c r="H18" s="13">
        <f t="shared" si="1"/>
        <v>0</v>
      </c>
      <c r="I18" s="14" t="str">
        <f t="shared" ref="I18:I38" si="9">IFERROR(H18/G18, "")</f>
        <v/>
      </c>
      <c r="J18" s="38"/>
      <c r="K18" s="38"/>
    </row>
    <row r="19" spans="1:11" ht="15.75">
      <c r="A19" s="27" t="str">
        <v xml:space="preserve"> Aurora - BA - Colfax Ave</v>
      </c>
      <c r="B19" s="28" t="str">
        <v>CO</v>
      </c>
      <c r="C19" s="10">
        <f>SUM(Jan!C19, Feb!C19, Mar!C19)</f>
        <v>0</v>
      </c>
      <c r="D19" s="15">
        <f>SUM(Jan!D19, Feb!D19, Mar!D19)</f>
        <v>0</v>
      </c>
      <c r="E19" s="15">
        <f t="shared" si="7"/>
        <v>0</v>
      </c>
      <c r="F19" s="16" t="str">
        <f t="shared" si="8"/>
        <v/>
      </c>
      <c r="G19" s="17">
        <f>SUM(Jan!G19, Feb!G19, Mar!G19)</f>
        <v>0</v>
      </c>
      <c r="H19" s="17">
        <f t="shared" si="1"/>
        <v>0</v>
      </c>
      <c r="I19" s="16" t="str">
        <f t="shared" si="9"/>
        <v/>
      </c>
      <c r="J19" s="39"/>
      <c r="K19" s="40"/>
    </row>
    <row r="20" spans="1:11" ht="15.75">
      <c r="A20" s="25" t="str">
        <v xml:space="preserve"> Aurora - BA - Parker Rd</v>
      </c>
      <c r="B20" s="26" t="str">
        <v>CO</v>
      </c>
      <c r="C20" s="21">
        <f>SUM(Jan!C20, Feb!C20, Mar!C20)</f>
        <v>0</v>
      </c>
      <c r="D20" s="11">
        <f>SUM(Jan!D20, Feb!D20, Mar!D20)</f>
        <v>0</v>
      </c>
      <c r="E20" s="11">
        <f t="shared" si="7"/>
        <v>0</v>
      </c>
      <c r="F20" s="12" t="str">
        <f t="shared" si="8"/>
        <v/>
      </c>
      <c r="G20" s="13">
        <f>SUM(Jan!G20, Feb!G20, Mar!G20)</f>
        <v>0</v>
      </c>
      <c r="H20" s="13">
        <f t="shared" si="1"/>
        <v>0</v>
      </c>
      <c r="I20" s="14" t="str">
        <f t="shared" si="9"/>
        <v/>
      </c>
      <c r="J20" s="38"/>
      <c r="K20" s="38"/>
    </row>
    <row r="21" spans="1:11" ht="15.75">
      <c r="A21" s="27" t="str">
        <v xml:space="preserve"> Broomfield - Bank of America</v>
      </c>
      <c r="B21" s="28" t="str">
        <v>CO</v>
      </c>
      <c r="C21" s="10">
        <f>SUM(Jan!C21, Feb!C21, Mar!C21)</f>
        <v>0</v>
      </c>
      <c r="D21" s="15">
        <f>SUM(Jan!D21, Feb!D21, Mar!D21)</f>
        <v>0</v>
      </c>
      <c r="E21" s="15">
        <f t="shared" si="7"/>
        <v>0</v>
      </c>
      <c r="F21" s="16" t="str">
        <f t="shared" si="8"/>
        <v/>
      </c>
      <c r="G21" s="17">
        <f>SUM(Jan!G21, Feb!G21, Mar!G21)</f>
        <v>0</v>
      </c>
      <c r="H21" s="17">
        <f t="shared" si="1"/>
        <v>0</v>
      </c>
      <c r="I21" s="16" t="str">
        <f t="shared" si="9"/>
        <v/>
      </c>
      <c r="J21" s="39"/>
      <c r="K21" s="40"/>
    </row>
    <row r="22" spans="1:11" ht="15.75">
      <c r="A22" s="25" t="str">
        <v xml:space="preserve"> Colorado Springs - Bank of America</v>
      </c>
      <c r="B22" s="26" t="str">
        <v>CO</v>
      </c>
      <c r="C22" s="21">
        <f>SUM(Jan!C22, Feb!C22, Mar!C22)</f>
        <v>0</v>
      </c>
      <c r="D22" s="11">
        <f>SUM(Jan!D22, Feb!D22, Mar!D22)</f>
        <v>0</v>
      </c>
      <c r="E22" s="11">
        <f t="shared" si="7"/>
        <v>0</v>
      </c>
      <c r="F22" s="12" t="str">
        <f t="shared" si="8"/>
        <v/>
      </c>
      <c r="G22" s="13">
        <f>SUM(Jan!G22, Feb!G22, Mar!G22)</f>
        <v>0</v>
      </c>
      <c r="H22" s="13">
        <f t="shared" si="1"/>
        <v>0</v>
      </c>
      <c r="I22" s="14" t="str">
        <f t="shared" si="9"/>
        <v/>
      </c>
      <c r="J22" s="38"/>
      <c r="K22" s="38"/>
    </row>
    <row r="23" spans="1:11" ht="15.75">
      <c r="A23" s="27" t="str">
        <v xml:space="preserve"> Denver - BA - 49th Ave</v>
      </c>
      <c r="B23" s="28" t="str">
        <v>CO</v>
      </c>
      <c r="C23" s="10">
        <f>SUM(Jan!C23, Feb!C23, Mar!C23)</f>
        <v>0</v>
      </c>
      <c r="D23" s="15">
        <f>SUM(Jan!D23, Feb!D23, Mar!D23)</f>
        <v>0</v>
      </c>
      <c r="E23" s="15">
        <f t="shared" si="7"/>
        <v>0</v>
      </c>
      <c r="F23" s="16" t="str">
        <f t="shared" si="8"/>
        <v/>
      </c>
      <c r="G23" s="17">
        <f>SUM(Jan!G23, Feb!G23, Mar!G23)</f>
        <v>0</v>
      </c>
      <c r="H23" s="17">
        <f t="shared" si="1"/>
        <v>0</v>
      </c>
      <c r="I23" s="16" t="str">
        <f t="shared" si="9"/>
        <v/>
      </c>
      <c r="J23" s="39"/>
      <c r="K23" s="40"/>
    </row>
    <row r="24" spans="1:11" ht="15.75">
      <c r="A24" s="25" t="str">
        <v xml:space="preserve"> Denver - BA Wadsworth Blvd</v>
      </c>
      <c r="B24" s="26" t="str">
        <v>CO</v>
      </c>
      <c r="C24" s="21">
        <f>SUM(Jan!C24, Feb!C24, Mar!C24)</f>
        <v>0</v>
      </c>
      <c r="D24" s="11">
        <f>SUM(Jan!D24, Feb!D24, Mar!D24)</f>
        <v>0</v>
      </c>
      <c r="E24" s="11">
        <f t="shared" si="7"/>
        <v>0</v>
      </c>
      <c r="F24" s="12" t="str">
        <f t="shared" si="8"/>
        <v/>
      </c>
      <c r="G24" s="13">
        <f>SUM(Jan!G24, Feb!G24, Mar!G24)</f>
        <v>0</v>
      </c>
      <c r="H24" s="13">
        <f t="shared" si="1"/>
        <v>0</v>
      </c>
      <c r="I24" s="14" t="str">
        <f t="shared" si="9"/>
        <v/>
      </c>
      <c r="J24" s="38"/>
      <c r="K24" s="38"/>
    </row>
    <row r="25" spans="1:11" ht="15.75">
      <c r="A25" s="27" t="str">
        <v xml:space="preserve"> Fort Collins - Bank of America</v>
      </c>
      <c r="B25" s="28" t="str">
        <v>CO</v>
      </c>
      <c r="C25" s="10">
        <f>SUM(Jan!C25, Feb!C25, Mar!C25)</f>
        <v>0</v>
      </c>
      <c r="D25" s="15">
        <f>SUM(Jan!D25, Feb!D25, Mar!D25)</f>
        <v>0</v>
      </c>
      <c r="E25" s="15">
        <f t="shared" si="7"/>
        <v>0</v>
      </c>
      <c r="F25" s="16" t="str">
        <f t="shared" si="8"/>
        <v/>
      </c>
      <c r="G25" s="17">
        <f>SUM(Jan!G25, Feb!G25, Mar!G25)</f>
        <v>0</v>
      </c>
      <c r="H25" s="17">
        <f t="shared" si="1"/>
        <v>0</v>
      </c>
      <c r="I25" s="16" t="str">
        <f t="shared" si="9"/>
        <v/>
      </c>
      <c r="J25" s="39"/>
      <c r="K25" s="40"/>
    </row>
    <row r="26" spans="1:11" ht="15.75">
      <c r="A26" s="25" t="str">
        <v xml:space="preserve"> Lafayette - Bank of America</v>
      </c>
      <c r="B26" s="26" t="str">
        <v>CO</v>
      </c>
      <c r="C26" s="21">
        <f>SUM(Jan!C26, Feb!C26, Mar!C26)</f>
        <v>0</v>
      </c>
      <c r="D26" s="11">
        <f>SUM(Jan!D26, Feb!D26, Mar!D26)</f>
        <v>0</v>
      </c>
      <c r="E26" s="11">
        <f t="shared" si="7"/>
        <v>0</v>
      </c>
      <c r="F26" s="12" t="str">
        <f t="shared" si="8"/>
        <v/>
      </c>
      <c r="G26" s="13">
        <f>SUM(Jan!G26, Feb!G26, Mar!G26)</f>
        <v>0</v>
      </c>
      <c r="H26" s="13">
        <f t="shared" si="1"/>
        <v>0</v>
      </c>
      <c r="I26" s="14" t="str">
        <f t="shared" si="9"/>
        <v/>
      </c>
      <c r="J26" s="38"/>
      <c r="K26" s="38"/>
    </row>
    <row r="27" spans="1:11" ht="15.75">
      <c r="A27" s="27" t="str">
        <v xml:space="preserve"> Lakewood - Bank of America</v>
      </c>
      <c r="B27" s="28" t="str">
        <v>CO</v>
      </c>
      <c r="C27" s="10">
        <f>SUM(Jan!C27, Feb!C27, Mar!C27)</f>
        <v>0</v>
      </c>
      <c r="D27" s="15">
        <f>SUM(Jan!D27, Feb!D27, Mar!D27)</f>
        <v>0</v>
      </c>
      <c r="E27" s="15">
        <f t="shared" si="7"/>
        <v>0</v>
      </c>
      <c r="F27" s="16" t="str">
        <f t="shared" si="8"/>
        <v/>
      </c>
      <c r="G27" s="17">
        <f>SUM(Jan!G27, Feb!G27, Mar!G27)</f>
        <v>0</v>
      </c>
      <c r="H27" s="17">
        <f t="shared" si="1"/>
        <v>0</v>
      </c>
      <c r="I27" s="16" t="str">
        <f t="shared" si="9"/>
        <v/>
      </c>
      <c r="J27" s="39"/>
      <c r="K27" s="40"/>
    </row>
    <row r="28" spans="1:11" ht="15.75">
      <c r="A28" s="25" t="str">
        <v xml:space="preserve"> Longmont - Bank of America</v>
      </c>
      <c r="B28" s="26" t="str">
        <v>CO</v>
      </c>
      <c r="C28" s="21">
        <f>SUM(Jan!C28, Feb!C28, Mar!C28)</f>
        <v>0</v>
      </c>
      <c r="D28" s="11">
        <f>SUM(Jan!D28, Feb!D28, Mar!D28)</f>
        <v>0</v>
      </c>
      <c r="E28" s="11">
        <f t="shared" si="7"/>
        <v>0</v>
      </c>
      <c r="F28" s="12" t="str">
        <f t="shared" si="8"/>
        <v/>
      </c>
      <c r="G28" s="13">
        <f>SUM(Jan!G28, Feb!G28, Mar!G28)</f>
        <v>0</v>
      </c>
      <c r="H28" s="13">
        <f t="shared" si="1"/>
        <v>0</v>
      </c>
      <c r="I28" s="14" t="str">
        <f t="shared" si="9"/>
        <v/>
      </c>
      <c r="J28" s="38"/>
      <c r="K28" s="38"/>
    </row>
    <row r="29" spans="1:11" ht="15.75">
      <c r="A29" s="27" t="str">
        <v xml:space="preserve"> Thornton - Bank of America</v>
      </c>
      <c r="B29" s="28" t="str">
        <v>CO</v>
      </c>
      <c r="C29" s="10">
        <f>SUM(Jan!C29, Feb!C29, Mar!C29)</f>
        <v>0</v>
      </c>
      <c r="D29" s="15">
        <f>SUM(Jan!D29, Feb!D29, Mar!D29)</f>
        <v>0</v>
      </c>
      <c r="E29" s="15">
        <f t="shared" si="7"/>
        <v>0</v>
      </c>
      <c r="F29" s="16" t="str">
        <f t="shared" si="8"/>
        <v/>
      </c>
      <c r="G29" s="17">
        <f>SUM(Jan!G29, Feb!G29, Mar!G29)</f>
        <v>0</v>
      </c>
      <c r="H29" s="17">
        <f t="shared" si="1"/>
        <v>0</v>
      </c>
      <c r="I29" s="16" t="str">
        <f t="shared" si="9"/>
        <v/>
      </c>
      <c r="J29" s="39"/>
      <c r="K29" s="39"/>
    </row>
    <row r="30" spans="1:11" ht="15.75">
      <c r="A30" s="25" t="str">
        <v xml:space="preserve"> Calumet City - Bank of America</v>
      </c>
      <c r="B30" s="26" t="str">
        <v>IL</v>
      </c>
      <c r="C30" s="21">
        <f>SUM(Jan!C30, Feb!C30, Mar!C30)</f>
        <v>0</v>
      </c>
      <c r="D30" s="11">
        <f>SUM(Jan!D30, Feb!D30, Mar!D30)</f>
        <v>0</v>
      </c>
      <c r="E30" s="11">
        <f t="shared" si="7"/>
        <v>0</v>
      </c>
      <c r="F30" s="12" t="str">
        <f t="shared" si="8"/>
        <v/>
      </c>
      <c r="G30" s="13">
        <f>SUM(Jan!G30, Feb!G30, Mar!G30)</f>
        <v>0</v>
      </c>
      <c r="H30" s="13">
        <f t="shared" si="1"/>
        <v>0</v>
      </c>
      <c r="I30" s="14" t="str">
        <f t="shared" si="9"/>
        <v/>
      </c>
      <c r="J30" s="38"/>
      <c r="K30" s="38"/>
    </row>
    <row r="31" spans="1:11" ht="15.75">
      <c r="A31" s="27" t="str">
        <v xml:space="preserve"> Downers Grove - Bank of America</v>
      </c>
      <c r="B31" s="28" t="str">
        <v>IL</v>
      </c>
      <c r="C31" s="10">
        <f>SUM(Jan!C31, Feb!C31, Mar!C31)</f>
        <v>0</v>
      </c>
      <c r="D31" s="15">
        <f>SUM(Jan!D31, Feb!D31, Mar!D31)</f>
        <v>0</v>
      </c>
      <c r="E31" s="15">
        <f t="shared" si="7"/>
        <v>0</v>
      </c>
      <c r="F31" s="16" t="str">
        <f t="shared" si="8"/>
        <v/>
      </c>
      <c r="G31" s="17">
        <f>SUM(Jan!G31, Feb!G31, Mar!G31)</f>
        <v>0</v>
      </c>
      <c r="H31" s="17">
        <f t="shared" si="1"/>
        <v>0</v>
      </c>
      <c r="I31" s="16" t="str">
        <f t="shared" si="9"/>
        <v/>
      </c>
      <c r="J31" s="39"/>
      <c r="K31" s="40"/>
    </row>
    <row r="32" spans="1:11" ht="15.75">
      <c r="A32" s="25" t="str">
        <v xml:space="preserve"> Bloomington - Bank of America</v>
      </c>
      <c r="B32" s="26" t="str">
        <v>MN</v>
      </c>
      <c r="C32" s="21">
        <f>SUM(Jan!C32, Feb!C32, Mar!C32)</f>
        <v>0</v>
      </c>
      <c r="D32" s="11">
        <f>SUM(Jan!D32, Feb!D32, Mar!D32)</f>
        <v>0</v>
      </c>
      <c r="E32" s="11">
        <f t="shared" si="7"/>
        <v>0</v>
      </c>
      <c r="F32" s="12" t="str">
        <f t="shared" si="8"/>
        <v/>
      </c>
      <c r="G32" s="13">
        <f>SUM(Jan!G32, Feb!G32, Mar!G32)</f>
        <v>0</v>
      </c>
      <c r="H32" s="13">
        <f t="shared" si="1"/>
        <v>0</v>
      </c>
      <c r="I32" s="14" t="str">
        <f t="shared" si="9"/>
        <v/>
      </c>
      <c r="J32" s="38"/>
      <c r="K32" s="38"/>
    </row>
    <row r="33" spans="1:11" ht="15.75">
      <c r="A33" s="27" t="str">
        <v xml:space="preserve"> Clayton - Bank of America</v>
      </c>
      <c r="B33" s="28" t="str">
        <v>MO</v>
      </c>
      <c r="C33" s="10">
        <f>SUM(Jan!C33, Feb!C33, Mar!C33)</f>
        <v>0</v>
      </c>
      <c r="D33" s="15">
        <f>SUM(Jan!D33, Feb!D33, Mar!D33)</f>
        <v>0</v>
      </c>
      <c r="E33" s="15">
        <f t="shared" si="7"/>
        <v>0</v>
      </c>
      <c r="F33" s="16" t="str">
        <f t="shared" si="8"/>
        <v/>
      </c>
      <c r="G33" s="17">
        <f>SUM(Jan!G33, Feb!G33, Mar!G33)</f>
        <v>0</v>
      </c>
      <c r="H33" s="17">
        <f t="shared" si="1"/>
        <v>0</v>
      </c>
      <c r="I33" s="16" t="str">
        <f t="shared" si="9"/>
        <v/>
      </c>
      <c r="J33" s="39"/>
      <c r="K33" s="40"/>
    </row>
    <row r="34" spans="1:11" ht="15.75">
      <c r="A34" s="25" t="str">
        <v xml:space="preserve"> Manchester - Bank of America</v>
      </c>
      <c r="B34" s="26" t="str">
        <v>MO</v>
      </c>
      <c r="C34" s="21">
        <f>SUM(Jan!C34, Feb!C34, Mar!C34)</f>
        <v>0</v>
      </c>
      <c r="D34" s="11">
        <f>SUM(Jan!D34, Feb!D34, Mar!D34)</f>
        <v>0</v>
      </c>
      <c r="E34" s="11">
        <f t="shared" si="7"/>
        <v>0</v>
      </c>
      <c r="F34" s="12" t="str">
        <f t="shared" si="8"/>
        <v/>
      </c>
      <c r="G34" s="13">
        <f>SUM(Jan!G34, Feb!G34, Mar!G34)</f>
        <v>0</v>
      </c>
      <c r="H34" s="13">
        <f t="shared" si="1"/>
        <v>0</v>
      </c>
      <c r="I34" s="14" t="str">
        <f t="shared" si="9"/>
        <v/>
      </c>
      <c r="J34" s="38"/>
      <c r="K34" s="38"/>
    </row>
    <row r="35" spans="1:11" ht="15.75">
      <c r="A35" s="27" t="str">
        <v xml:space="preserve"> Las Vegas - BA - Eastern Ave</v>
      </c>
      <c r="B35" s="28" t="str">
        <v>NV</v>
      </c>
      <c r="C35" s="10">
        <f>SUM(Jan!C35, Feb!C35, Mar!C35)</f>
        <v>0</v>
      </c>
      <c r="D35" s="15">
        <f>SUM(Jan!D35, Feb!D35, Mar!D35)</f>
        <v>0</v>
      </c>
      <c r="E35" s="15">
        <f t="shared" si="7"/>
        <v>0</v>
      </c>
      <c r="F35" s="16" t="str">
        <f t="shared" si="8"/>
        <v/>
      </c>
      <c r="G35" s="17">
        <f>SUM(Jan!G35, Feb!G35, Mar!G35)</f>
        <v>0</v>
      </c>
      <c r="H35" s="17">
        <f t="shared" si="1"/>
        <v>0</v>
      </c>
      <c r="I35" s="16" t="str">
        <f t="shared" si="9"/>
        <v/>
      </c>
      <c r="J35" s="39"/>
      <c r="K35" s="40"/>
    </row>
    <row r="36" spans="1:11" ht="15.75">
      <c r="A36" s="25" t="str">
        <v xml:space="preserve"> Las Vegas - BA - Town Ctr Dr</v>
      </c>
      <c r="B36" s="26" t="str">
        <v>NV</v>
      </c>
      <c r="C36" s="21">
        <f>SUM(Jan!C36, Feb!C36, Mar!C36)</f>
        <v>0</v>
      </c>
      <c r="D36" s="11">
        <f>SUM(Jan!D36, Feb!D36, Mar!D36)</f>
        <v>0</v>
      </c>
      <c r="E36" s="11">
        <f t="shared" si="7"/>
        <v>0</v>
      </c>
      <c r="F36" s="12" t="str">
        <f t="shared" si="8"/>
        <v/>
      </c>
      <c r="G36" s="13">
        <f>SUM(Jan!G36, Feb!G36, Mar!G36)</f>
        <v>0</v>
      </c>
      <c r="H36" s="13">
        <f t="shared" si="1"/>
        <v>0</v>
      </c>
      <c r="I36" s="14" t="str">
        <f t="shared" si="9"/>
        <v/>
      </c>
      <c r="J36" s="38"/>
      <c r="K36" s="38"/>
    </row>
    <row r="37" spans="1:11" ht="15.75">
      <c r="A37" s="27" t="str">
        <v xml:space="preserve"> Riverton - Bank of America</v>
      </c>
      <c r="B37" s="28" t="str">
        <v>UT</v>
      </c>
      <c r="C37" s="10">
        <f>SUM(Jan!C37, Feb!C37, Mar!C37)</f>
        <v>0</v>
      </c>
      <c r="D37" s="15">
        <f>SUM(Jan!D37, Feb!D37, Mar!D37)</f>
        <v>0</v>
      </c>
      <c r="E37" s="15">
        <f t="shared" si="7"/>
        <v>0</v>
      </c>
      <c r="F37" s="16" t="str">
        <f t="shared" si="8"/>
        <v/>
      </c>
      <c r="G37" s="17">
        <f>SUM(Jan!G37, Feb!G37, Mar!G37)</f>
        <v>0</v>
      </c>
      <c r="H37" s="17">
        <f t="shared" si="1"/>
        <v>0</v>
      </c>
      <c r="I37" s="16" t="str">
        <f t="shared" si="9"/>
        <v/>
      </c>
      <c r="J37" s="39"/>
      <c r="K37" s="40"/>
    </row>
    <row r="38" spans="1:11" ht="15.75">
      <c r="A38" s="25" t="str">
        <v xml:space="preserve"> Salt Lake City - Bank of America</v>
      </c>
      <c r="B38" s="26" t="str">
        <v>UT</v>
      </c>
      <c r="C38" s="21">
        <f>SUM(Jan!C38, Feb!C38, Mar!C38)</f>
        <v>0</v>
      </c>
      <c r="D38" s="11">
        <f>SUM(Jan!D38, Feb!D38, Mar!D38)</f>
        <v>0</v>
      </c>
      <c r="E38" s="11">
        <f t="shared" si="7"/>
        <v>0</v>
      </c>
      <c r="F38" s="12" t="str">
        <f t="shared" si="8"/>
        <v/>
      </c>
      <c r="G38" s="13">
        <f>SUM(Jan!G38, Feb!G38, Mar!G38)</f>
        <v>0</v>
      </c>
      <c r="H38" s="13">
        <f t="shared" si="1"/>
        <v>0</v>
      </c>
      <c r="I38" s="14" t="str">
        <f t="shared" si="9"/>
        <v/>
      </c>
      <c r="J38" s="38"/>
      <c r="K38" s="38"/>
    </row>
    <row r="39" spans="1:11" ht="13.15">
      <c r="A39" s="18"/>
      <c r="B39" s="18"/>
      <c r="C39" s="18"/>
      <c r="D39" s="18"/>
      <c r="E39" s="18"/>
      <c r="F39" s="19"/>
      <c r="G39" s="18"/>
      <c r="H39" s="18"/>
      <c r="I39" s="19"/>
    </row>
    <row r="40" spans="1:11" ht="13.15">
      <c r="A40" s="18"/>
      <c r="B40" s="18"/>
      <c r="C40" s="18"/>
      <c r="D40" s="18"/>
      <c r="E40" s="18"/>
      <c r="F40" s="19"/>
      <c r="G40" s="18"/>
      <c r="H40" s="18"/>
      <c r="I40" s="19"/>
    </row>
    <row r="41" spans="1:11" ht="13.15">
      <c r="A41" s="18"/>
      <c r="B41" s="18"/>
      <c r="C41" s="18"/>
      <c r="D41" s="18"/>
      <c r="E41" s="18"/>
      <c r="F41" s="19"/>
      <c r="G41" s="18"/>
      <c r="H41" s="18"/>
      <c r="I41" s="19"/>
    </row>
    <row r="42" spans="1:11" ht="13.15">
      <c r="A42" s="18"/>
      <c r="B42" s="18"/>
      <c r="C42" s="18"/>
      <c r="D42" s="18"/>
      <c r="E42" s="18"/>
      <c r="F42" s="19"/>
      <c r="G42" s="18"/>
      <c r="H42" s="18"/>
      <c r="I42" s="19"/>
    </row>
    <row r="43" spans="1:11" ht="13.15">
      <c r="A43" s="18"/>
      <c r="B43" s="18"/>
      <c r="C43" s="18"/>
      <c r="D43" s="18"/>
      <c r="E43" s="18"/>
      <c r="F43" s="19"/>
      <c r="G43" s="18"/>
      <c r="H43" s="18"/>
      <c r="I43" s="19"/>
    </row>
    <row r="44" spans="1:11" ht="13.15">
      <c r="A44" s="18"/>
      <c r="B44" s="18"/>
      <c r="C44" s="18"/>
      <c r="D44" s="18"/>
      <c r="E44" s="18"/>
      <c r="F44" s="19"/>
      <c r="G44" s="18"/>
      <c r="H44" s="18"/>
      <c r="I44" s="19"/>
    </row>
    <row r="45" spans="1:11" ht="13.15">
      <c r="A45" s="18"/>
      <c r="B45" s="18"/>
      <c r="C45" s="18"/>
      <c r="D45" s="18"/>
      <c r="E45" s="18"/>
      <c r="F45" s="19"/>
      <c r="G45" s="18"/>
      <c r="H45" s="18"/>
      <c r="I45" s="19"/>
    </row>
    <row r="46" spans="1:11" ht="13.15">
      <c r="A46" s="18"/>
      <c r="B46" s="18"/>
      <c r="C46" s="18"/>
      <c r="D46" s="18"/>
      <c r="E46" s="18"/>
      <c r="F46" s="19"/>
      <c r="G46" s="18"/>
      <c r="H46" s="18"/>
      <c r="I46" s="19"/>
    </row>
    <row r="47" spans="1:11" ht="13.15">
      <c r="A47" s="18"/>
      <c r="B47" s="18"/>
      <c r="C47" s="18"/>
      <c r="D47" s="18"/>
      <c r="E47" s="18"/>
      <c r="F47" s="19"/>
      <c r="G47" s="18"/>
      <c r="H47" s="18"/>
      <c r="I47" s="19"/>
    </row>
    <row r="48" spans="1:11" ht="13.15">
      <c r="A48" s="18"/>
      <c r="B48" s="18"/>
      <c r="C48" s="18"/>
      <c r="D48" s="18"/>
      <c r="E48" s="18"/>
      <c r="F48" s="19"/>
      <c r="G48" s="18"/>
      <c r="H48" s="18"/>
      <c r="I48" s="19"/>
    </row>
    <row r="49" spans="1:9" ht="13.15">
      <c r="A49" s="18"/>
      <c r="B49" s="18"/>
      <c r="C49" s="18"/>
      <c r="D49" s="18"/>
      <c r="E49" s="18"/>
      <c r="F49" s="19"/>
      <c r="G49" s="18"/>
      <c r="H49" s="18"/>
      <c r="I49" s="19"/>
    </row>
    <row r="50" spans="1:9" ht="13.15">
      <c r="A50" s="18"/>
      <c r="B50" s="18"/>
      <c r="C50" s="18"/>
      <c r="D50" s="18"/>
      <c r="E50" s="18"/>
      <c r="F50" s="19"/>
      <c r="G50" s="18"/>
      <c r="H50" s="18"/>
      <c r="I50" s="19"/>
    </row>
    <row r="51" spans="1:9" ht="13.15">
      <c r="A51" s="18"/>
      <c r="B51" s="18"/>
      <c r="C51" s="18"/>
      <c r="D51" s="18"/>
      <c r="E51" s="18"/>
      <c r="F51" s="19"/>
      <c r="G51" s="18"/>
      <c r="H51" s="18"/>
      <c r="I51" s="19"/>
    </row>
    <row r="52" spans="1:9" ht="13.15">
      <c r="A52" s="18"/>
      <c r="B52" s="18"/>
      <c r="C52" s="18"/>
      <c r="D52" s="18"/>
      <c r="E52" s="18"/>
      <c r="F52" s="19"/>
      <c r="G52" s="18"/>
      <c r="H52" s="18"/>
      <c r="I52" s="19"/>
    </row>
    <row r="53" spans="1:9" ht="13.15">
      <c r="A53" s="18"/>
      <c r="B53" s="18"/>
      <c r="C53" s="18"/>
      <c r="D53" s="18"/>
      <c r="E53" s="18"/>
      <c r="F53" s="19"/>
      <c r="G53" s="18"/>
      <c r="H53" s="18"/>
      <c r="I53" s="19"/>
    </row>
    <row r="54" spans="1:9" ht="13.15">
      <c r="A54" s="18"/>
      <c r="B54" s="18"/>
      <c r="C54" s="18"/>
      <c r="D54" s="18"/>
      <c r="E54" s="18"/>
      <c r="F54" s="19"/>
      <c r="G54" s="18"/>
      <c r="H54" s="18"/>
      <c r="I54" s="19"/>
    </row>
    <row r="55" spans="1:9" ht="13.15">
      <c r="A55" s="18"/>
      <c r="B55" s="18"/>
      <c r="C55" s="18"/>
      <c r="D55" s="18"/>
      <c r="E55" s="18"/>
      <c r="F55" s="19"/>
      <c r="G55" s="18"/>
      <c r="H55" s="18"/>
      <c r="I55" s="19"/>
    </row>
    <row r="56" spans="1:9" ht="13.15">
      <c r="A56" s="18"/>
      <c r="B56" s="18"/>
      <c r="C56" s="18"/>
      <c r="D56" s="18"/>
      <c r="E56" s="18"/>
      <c r="F56" s="19"/>
      <c r="G56" s="18"/>
      <c r="H56" s="18"/>
      <c r="I56" s="19"/>
    </row>
    <row r="57" spans="1:9" ht="13.15">
      <c r="A57" s="18"/>
      <c r="B57" s="18"/>
      <c r="C57" s="18"/>
      <c r="D57" s="18"/>
      <c r="E57" s="18"/>
      <c r="F57" s="19"/>
      <c r="G57" s="18"/>
      <c r="H57" s="18"/>
      <c r="I57" s="19"/>
    </row>
    <row r="58" spans="1:9" ht="13.15">
      <c r="A58" s="18"/>
      <c r="B58" s="18"/>
      <c r="C58" s="18"/>
      <c r="D58" s="18"/>
      <c r="E58" s="18"/>
      <c r="F58" s="19"/>
      <c r="G58" s="18"/>
      <c r="H58" s="18"/>
      <c r="I58" s="19"/>
    </row>
    <row r="59" spans="1:9" ht="13.15">
      <c r="A59" s="18"/>
      <c r="B59" s="18"/>
      <c r="C59" s="18"/>
      <c r="D59" s="18"/>
      <c r="E59" s="18"/>
      <c r="F59" s="19"/>
      <c r="G59" s="18"/>
      <c r="H59" s="18"/>
      <c r="I59" s="19"/>
    </row>
    <row r="60" spans="1:9" ht="13.15">
      <c r="A60" s="18"/>
      <c r="B60" s="18"/>
      <c r="C60" s="18"/>
      <c r="D60" s="18"/>
      <c r="E60" s="18"/>
      <c r="F60" s="19"/>
      <c r="G60" s="18"/>
      <c r="H60" s="18"/>
      <c r="I60" s="19"/>
    </row>
    <row r="61" spans="1:9" ht="13.15">
      <c r="A61" s="18"/>
      <c r="B61" s="18"/>
      <c r="C61" s="18"/>
      <c r="D61" s="18"/>
      <c r="E61" s="18"/>
      <c r="F61" s="19"/>
      <c r="G61" s="18"/>
      <c r="H61" s="18"/>
      <c r="I61" s="19"/>
    </row>
    <row r="62" spans="1:9" ht="13.15">
      <c r="A62" s="18"/>
      <c r="B62" s="18"/>
      <c r="C62" s="18"/>
      <c r="D62" s="18"/>
      <c r="E62" s="18"/>
      <c r="F62" s="19"/>
      <c r="G62" s="18"/>
      <c r="H62" s="18"/>
      <c r="I62" s="19"/>
    </row>
    <row r="63" spans="1:9" ht="13.15">
      <c r="A63" s="18"/>
      <c r="B63" s="18"/>
      <c r="C63" s="18"/>
      <c r="D63" s="18"/>
      <c r="E63" s="18"/>
      <c r="F63" s="19"/>
      <c r="G63" s="18"/>
      <c r="H63" s="18"/>
      <c r="I63" s="19"/>
    </row>
    <row r="64" spans="1:9" ht="13.15">
      <c r="A64" s="18"/>
      <c r="B64" s="18"/>
      <c r="C64" s="18"/>
      <c r="D64" s="18"/>
      <c r="E64" s="18"/>
      <c r="F64" s="19"/>
      <c r="G64" s="18"/>
      <c r="H64" s="18"/>
      <c r="I64" s="19"/>
    </row>
    <row r="65" spans="1:9" ht="13.15">
      <c r="A65" s="18"/>
      <c r="B65" s="18"/>
      <c r="C65" s="18"/>
      <c r="D65" s="18"/>
      <c r="E65" s="18"/>
      <c r="F65" s="19"/>
      <c r="G65" s="18"/>
      <c r="H65" s="18"/>
      <c r="I65" s="19"/>
    </row>
    <row r="66" spans="1:9" ht="13.15">
      <c r="A66" s="18"/>
      <c r="B66" s="18"/>
      <c r="C66" s="18"/>
      <c r="D66" s="18"/>
      <c r="E66" s="18"/>
      <c r="F66" s="19"/>
      <c r="G66" s="18"/>
      <c r="H66" s="18"/>
      <c r="I66" s="19"/>
    </row>
    <row r="67" spans="1:9" ht="13.15">
      <c r="A67" s="18"/>
      <c r="B67" s="18"/>
      <c r="C67" s="18"/>
      <c r="D67" s="18"/>
      <c r="E67" s="18"/>
      <c r="F67" s="19"/>
      <c r="G67" s="18"/>
      <c r="H67" s="18"/>
      <c r="I67" s="19"/>
    </row>
    <row r="68" spans="1:9" ht="13.15">
      <c r="A68" s="18"/>
      <c r="B68" s="18"/>
      <c r="C68" s="18"/>
      <c r="D68" s="18"/>
      <c r="E68" s="18"/>
      <c r="F68" s="19"/>
      <c r="G68" s="18"/>
      <c r="H68" s="18"/>
      <c r="I68" s="19"/>
    </row>
    <row r="69" spans="1:9" ht="13.15">
      <c r="A69" s="18"/>
      <c r="B69" s="18"/>
      <c r="C69" s="18"/>
      <c r="D69" s="18"/>
      <c r="E69" s="18"/>
      <c r="F69" s="19"/>
      <c r="G69" s="18"/>
      <c r="H69" s="18"/>
      <c r="I69" s="19"/>
    </row>
    <row r="70" spans="1:9" ht="13.15">
      <c r="A70" s="18"/>
      <c r="B70" s="18"/>
      <c r="C70" s="18"/>
      <c r="D70" s="18"/>
      <c r="E70" s="18"/>
      <c r="F70" s="19"/>
      <c r="G70" s="18"/>
      <c r="H70" s="18"/>
      <c r="I70" s="19"/>
    </row>
    <row r="71" spans="1:9" ht="13.15">
      <c r="A71" s="18"/>
      <c r="B71" s="18"/>
      <c r="C71" s="18"/>
      <c r="D71" s="18"/>
      <c r="E71" s="18"/>
      <c r="F71" s="19"/>
      <c r="G71" s="18"/>
      <c r="H71" s="18"/>
      <c r="I71" s="19"/>
    </row>
    <row r="72" spans="1:9" ht="13.15">
      <c r="A72" s="18"/>
      <c r="B72" s="18"/>
      <c r="C72" s="18"/>
      <c r="D72" s="18"/>
      <c r="E72" s="18"/>
      <c r="F72" s="19"/>
      <c r="G72" s="18"/>
      <c r="H72" s="18"/>
      <c r="I72" s="19"/>
    </row>
    <row r="73" spans="1:9" ht="13.15">
      <c r="A73" s="18"/>
      <c r="B73" s="18"/>
      <c r="C73" s="18"/>
      <c r="D73" s="18"/>
      <c r="E73" s="18"/>
      <c r="F73" s="19"/>
      <c r="G73" s="18"/>
      <c r="H73" s="18"/>
      <c r="I73" s="19"/>
    </row>
    <row r="74" spans="1:9" ht="13.15">
      <c r="A74" s="18"/>
      <c r="B74" s="18"/>
      <c r="C74" s="18"/>
      <c r="D74" s="18"/>
      <c r="E74" s="18"/>
      <c r="F74" s="19"/>
      <c r="G74" s="18"/>
      <c r="H74" s="18"/>
      <c r="I74" s="19"/>
    </row>
    <row r="75" spans="1:9" ht="13.15">
      <c r="A75" s="18"/>
      <c r="B75" s="18"/>
      <c r="C75" s="18"/>
      <c r="D75" s="18"/>
      <c r="E75" s="18"/>
      <c r="F75" s="19"/>
      <c r="G75" s="18"/>
      <c r="H75" s="18"/>
      <c r="I75" s="19"/>
    </row>
    <row r="76" spans="1:9" ht="13.15">
      <c r="A76" s="18"/>
      <c r="B76" s="18"/>
      <c r="C76" s="18"/>
      <c r="D76" s="18"/>
      <c r="E76" s="18"/>
      <c r="F76" s="19"/>
      <c r="G76" s="18"/>
      <c r="H76" s="18"/>
      <c r="I76" s="19"/>
    </row>
    <row r="77" spans="1:9" ht="13.15">
      <c r="A77" s="18"/>
      <c r="B77" s="18"/>
      <c r="C77" s="18"/>
      <c r="D77" s="18"/>
      <c r="E77" s="18"/>
      <c r="F77" s="19"/>
      <c r="G77" s="18"/>
      <c r="H77" s="18"/>
      <c r="I77" s="19"/>
    </row>
    <row r="78" spans="1:9" ht="13.15">
      <c r="A78" s="18"/>
      <c r="B78" s="18"/>
      <c r="C78" s="18"/>
      <c r="D78" s="18"/>
      <c r="E78" s="18"/>
      <c r="F78" s="19"/>
      <c r="G78" s="18"/>
      <c r="H78" s="18"/>
      <c r="I78" s="19"/>
    </row>
    <row r="79" spans="1:9" ht="13.15">
      <c r="A79" s="18"/>
      <c r="B79" s="18"/>
      <c r="C79" s="18"/>
      <c r="D79" s="18"/>
      <c r="E79" s="18"/>
      <c r="F79" s="19"/>
      <c r="G79" s="18"/>
      <c r="H79" s="18"/>
      <c r="I79" s="19"/>
    </row>
    <row r="80" spans="1:9" ht="13.15">
      <c r="A80" s="18"/>
      <c r="B80" s="18"/>
      <c r="C80" s="18"/>
      <c r="D80" s="18"/>
      <c r="E80" s="18"/>
      <c r="F80" s="19"/>
      <c r="G80" s="18"/>
      <c r="H80" s="18"/>
      <c r="I80" s="19"/>
    </row>
    <row r="81" spans="1:9" ht="13.15">
      <c r="A81" s="18"/>
      <c r="B81" s="18"/>
      <c r="C81" s="18"/>
      <c r="D81" s="18"/>
      <c r="E81" s="18"/>
      <c r="F81" s="19"/>
      <c r="G81" s="18"/>
      <c r="H81" s="18"/>
      <c r="I81" s="19"/>
    </row>
    <row r="82" spans="1:9" ht="13.15">
      <c r="A82" s="18"/>
      <c r="B82" s="18"/>
      <c r="C82" s="18"/>
      <c r="D82" s="18"/>
      <c r="E82" s="18"/>
      <c r="F82" s="19"/>
      <c r="G82" s="18"/>
      <c r="H82" s="18"/>
      <c r="I82" s="19"/>
    </row>
    <row r="83" spans="1:9" ht="13.15">
      <c r="A83" s="18"/>
      <c r="B83" s="18"/>
      <c r="C83" s="18"/>
      <c r="D83" s="18"/>
      <c r="E83" s="18"/>
      <c r="F83" s="19"/>
      <c r="G83" s="18"/>
      <c r="H83" s="18"/>
      <c r="I83" s="19"/>
    </row>
    <row r="84" spans="1:9" ht="13.15">
      <c r="A84" s="18"/>
      <c r="B84" s="18"/>
      <c r="C84" s="18"/>
      <c r="D84" s="18"/>
      <c r="E84" s="18"/>
      <c r="F84" s="19"/>
      <c r="G84" s="18"/>
      <c r="H84" s="18"/>
      <c r="I84" s="19"/>
    </row>
    <row r="85" spans="1:9" ht="13.15">
      <c r="A85" s="18"/>
      <c r="B85" s="18"/>
      <c r="C85" s="18"/>
      <c r="D85" s="18"/>
      <c r="E85" s="18"/>
      <c r="F85" s="19"/>
      <c r="G85" s="18"/>
      <c r="H85" s="18"/>
      <c r="I85" s="19"/>
    </row>
    <row r="86" spans="1:9" ht="13.15">
      <c r="A86" s="18"/>
      <c r="B86" s="18"/>
      <c r="C86" s="18"/>
      <c r="D86" s="18"/>
      <c r="E86" s="18"/>
      <c r="F86" s="19"/>
      <c r="G86" s="18"/>
      <c r="H86" s="18"/>
      <c r="I86" s="19"/>
    </row>
    <row r="87" spans="1:9" ht="13.15">
      <c r="A87" s="18"/>
      <c r="B87" s="18"/>
      <c r="C87" s="18"/>
      <c r="D87" s="18"/>
      <c r="E87" s="18"/>
      <c r="F87" s="19"/>
      <c r="G87" s="18"/>
      <c r="H87" s="18"/>
      <c r="I87" s="19"/>
    </row>
    <row r="88" spans="1:9" ht="13.15">
      <c r="A88" s="18"/>
      <c r="B88" s="18"/>
      <c r="C88" s="18"/>
      <c r="D88" s="18"/>
      <c r="E88" s="18"/>
      <c r="F88" s="19"/>
      <c r="G88" s="18"/>
      <c r="H88" s="18"/>
      <c r="I88" s="19"/>
    </row>
    <row r="89" spans="1:9" ht="13.15">
      <c r="A89" s="18"/>
      <c r="B89" s="18"/>
      <c r="C89" s="18"/>
      <c r="D89" s="18"/>
      <c r="E89" s="18"/>
      <c r="F89" s="19"/>
      <c r="G89" s="18"/>
      <c r="H89" s="18"/>
      <c r="I89" s="19"/>
    </row>
    <row r="90" spans="1:9" ht="13.15">
      <c r="A90" s="18"/>
      <c r="B90" s="18"/>
      <c r="C90" s="18"/>
      <c r="D90" s="18"/>
      <c r="E90" s="18"/>
      <c r="F90" s="19"/>
      <c r="G90" s="18"/>
      <c r="H90" s="18"/>
      <c r="I90" s="19"/>
    </row>
    <row r="91" spans="1:9" ht="13.15">
      <c r="A91" s="18"/>
      <c r="B91" s="18"/>
      <c r="C91" s="18"/>
      <c r="D91" s="18"/>
      <c r="E91" s="18"/>
      <c r="F91" s="19"/>
      <c r="G91" s="18"/>
      <c r="H91" s="18"/>
      <c r="I91" s="19"/>
    </row>
    <row r="92" spans="1:9" ht="13.15">
      <c r="A92" s="18"/>
      <c r="B92" s="18"/>
      <c r="C92" s="18"/>
      <c r="D92" s="18"/>
      <c r="E92" s="18"/>
      <c r="F92" s="19"/>
      <c r="G92" s="18"/>
      <c r="H92" s="18"/>
      <c r="I92" s="19"/>
    </row>
    <row r="93" spans="1:9" ht="13.15">
      <c r="A93" s="18"/>
      <c r="B93" s="18"/>
      <c r="C93" s="18"/>
      <c r="D93" s="18"/>
      <c r="E93" s="18"/>
      <c r="F93" s="19"/>
      <c r="G93" s="18"/>
      <c r="H93" s="18"/>
      <c r="I93" s="19"/>
    </row>
    <row r="94" spans="1:9" ht="13.15">
      <c r="A94" s="18"/>
      <c r="B94" s="18"/>
      <c r="C94" s="18"/>
      <c r="D94" s="18"/>
      <c r="E94" s="18"/>
      <c r="F94" s="19"/>
      <c r="G94" s="18"/>
      <c r="H94" s="18"/>
      <c r="I94" s="19"/>
    </row>
    <row r="95" spans="1:9" ht="13.15">
      <c r="A95" s="18"/>
      <c r="B95" s="18"/>
      <c r="C95" s="18"/>
      <c r="D95" s="18"/>
      <c r="E95" s="18"/>
      <c r="F95" s="19"/>
      <c r="G95" s="18"/>
      <c r="H95" s="18"/>
      <c r="I95" s="19"/>
    </row>
    <row r="96" spans="1:9" ht="13.15">
      <c r="A96" s="18"/>
      <c r="B96" s="18"/>
      <c r="C96" s="18"/>
      <c r="D96" s="18"/>
      <c r="E96" s="18"/>
      <c r="F96" s="19"/>
      <c r="G96" s="18"/>
      <c r="H96" s="18"/>
      <c r="I96" s="19"/>
    </row>
    <row r="97" spans="1:9" ht="13.15">
      <c r="A97" s="18"/>
      <c r="B97" s="18"/>
      <c r="C97" s="18"/>
      <c r="D97" s="18"/>
      <c r="E97" s="18"/>
      <c r="F97" s="19"/>
      <c r="G97" s="18"/>
      <c r="H97" s="18"/>
      <c r="I97" s="19"/>
    </row>
    <row r="98" spans="1:9" ht="13.15">
      <c r="A98" s="18"/>
      <c r="B98" s="18"/>
      <c r="C98" s="18"/>
      <c r="D98" s="18"/>
      <c r="E98" s="18"/>
      <c r="F98" s="19"/>
      <c r="G98" s="18"/>
      <c r="H98" s="18"/>
      <c r="I98" s="19"/>
    </row>
    <row r="99" spans="1:9" ht="13.15">
      <c r="A99" s="18"/>
      <c r="B99" s="18"/>
      <c r="C99" s="18"/>
      <c r="D99" s="18"/>
      <c r="E99" s="18"/>
      <c r="F99" s="19"/>
      <c r="G99" s="18"/>
      <c r="H99" s="18"/>
      <c r="I99" s="19"/>
    </row>
    <row r="100" spans="1:9" ht="13.15">
      <c r="A100" s="18"/>
      <c r="B100" s="18"/>
      <c r="C100" s="18"/>
      <c r="D100" s="18"/>
      <c r="E100" s="18"/>
      <c r="F100" s="19"/>
      <c r="G100" s="18"/>
      <c r="H100" s="18"/>
      <c r="I100" s="19"/>
    </row>
    <row r="101" spans="1:9" ht="13.15">
      <c r="A101" s="18"/>
      <c r="B101" s="18"/>
      <c r="C101" s="18"/>
      <c r="D101" s="18"/>
      <c r="E101" s="18"/>
      <c r="F101" s="19"/>
      <c r="G101" s="18"/>
      <c r="H101" s="18"/>
      <c r="I101" s="19"/>
    </row>
    <row r="102" spans="1:9" ht="13.15">
      <c r="A102" s="18"/>
      <c r="B102" s="18"/>
      <c r="C102" s="18"/>
      <c r="D102" s="18"/>
      <c r="E102" s="18"/>
      <c r="F102" s="19"/>
      <c r="G102" s="18"/>
      <c r="H102" s="18"/>
      <c r="I102" s="19"/>
    </row>
    <row r="103" spans="1:9" ht="13.15">
      <c r="A103" s="18"/>
      <c r="B103" s="18"/>
      <c r="C103" s="18"/>
      <c r="D103" s="18"/>
      <c r="E103" s="18"/>
      <c r="F103" s="19"/>
      <c r="G103" s="18"/>
      <c r="H103" s="18"/>
      <c r="I103" s="19"/>
    </row>
    <row r="104" spans="1:9" ht="13.15">
      <c r="A104" s="18"/>
      <c r="B104" s="18"/>
      <c r="C104" s="18"/>
      <c r="D104" s="18"/>
      <c r="E104" s="18"/>
      <c r="F104" s="19"/>
      <c r="G104" s="18"/>
      <c r="H104" s="18"/>
      <c r="I104" s="19"/>
    </row>
    <row r="105" spans="1:9" ht="13.15">
      <c r="A105" s="18"/>
      <c r="B105" s="18"/>
      <c r="C105" s="18"/>
      <c r="D105" s="18"/>
      <c r="E105" s="18"/>
      <c r="F105" s="19"/>
      <c r="G105" s="18"/>
      <c r="H105" s="18"/>
      <c r="I105" s="19"/>
    </row>
    <row r="106" spans="1:9" ht="13.15">
      <c r="A106" s="18"/>
      <c r="B106" s="18"/>
      <c r="C106" s="18"/>
      <c r="D106" s="18"/>
      <c r="E106" s="18"/>
      <c r="F106" s="19"/>
      <c r="G106" s="18"/>
      <c r="H106" s="18"/>
      <c r="I106" s="19"/>
    </row>
    <row r="107" spans="1:9" ht="13.15">
      <c r="A107" s="18"/>
      <c r="B107" s="18"/>
      <c r="C107" s="18"/>
      <c r="D107" s="18"/>
      <c r="E107" s="18"/>
      <c r="F107" s="19"/>
      <c r="G107" s="18"/>
      <c r="H107" s="18"/>
      <c r="I107" s="19"/>
    </row>
    <row r="108" spans="1:9" ht="13.15">
      <c r="A108" s="18"/>
      <c r="B108" s="18"/>
      <c r="C108" s="18"/>
      <c r="D108" s="18"/>
      <c r="E108" s="18"/>
      <c r="F108" s="19"/>
      <c r="G108" s="18"/>
      <c r="H108" s="18"/>
      <c r="I108" s="19"/>
    </row>
    <row r="109" spans="1:9" ht="13.15">
      <c r="A109" s="18"/>
      <c r="B109" s="18"/>
      <c r="C109" s="18"/>
      <c r="D109" s="18"/>
      <c r="E109" s="18"/>
      <c r="F109" s="19"/>
      <c r="G109" s="18"/>
      <c r="H109" s="18"/>
      <c r="I109" s="19"/>
    </row>
    <row r="110" spans="1:9" ht="13.15">
      <c r="A110" s="18"/>
      <c r="B110" s="18"/>
      <c r="C110" s="18"/>
      <c r="D110" s="18"/>
      <c r="E110" s="18"/>
      <c r="F110" s="19"/>
      <c r="G110" s="18"/>
      <c r="H110" s="18"/>
      <c r="I110" s="19"/>
    </row>
    <row r="111" spans="1:9" ht="13.15">
      <c r="A111" s="18"/>
      <c r="B111" s="18"/>
      <c r="C111" s="18"/>
      <c r="D111" s="18"/>
      <c r="E111" s="18"/>
      <c r="F111" s="19"/>
      <c r="G111" s="18"/>
      <c r="H111" s="18"/>
      <c r="I111" s="19"/>
    </row>
    <row r="112" spans="1:9" ht="13.15">
      <c r="A112" s="18"/>
      <c r="B112" s="18"/>
      <c r="C112" s="18"/>
      <c r="D112" s="18"/>
      <c r="E112" s="18"/>
      <c r="F112" s="19"/>
      <c r="G112" s="18"/>
      <c r="H112" s="18"/>
      <c r="I112" s="19"/>
    </row>
    <row r="113" spans="1:9" ht="13.15">
      <c r="A113" s="18"/>
      <c r="B113" s="18"/>
      <c r="C113" s="18"/>
      <c r="D113" s="18"/>
      <c r="E113" s="18"/>
      <c r="F113" s="19"/>
      <c r="G113" s="18"/>
      <c r="H113" s="18"/>
      <c r="I113" s="19"/>
    </row>
    <row r="114" spans="1:9" ht="13.15">
      <c r="A114" s="18"/>
      <c r="B114" s="18"/>
      <c r="C114" s="18"/>
      <c r="D114" s="18"/>
      <c r="E114" s="18"/>
      <c r="F114" s="19"/>
      <c r="G114" s="18"/>
      <c r="H114" s="18"/>
      <c r="I114" s="19"/>
    </row>
    <row r="115" spans="1:9" ht="13.15">
      <c r="A115" s="18"/>
      <c r="B115" s="18"/>
      <c r="C115" s="18"/>
      <c r="D115" s="18"/>
      <c r="E115" s="18"/>
      <c r="F115" s="19"/>
      <c r="G115" s="18"/>
      <c r="H115" s="18"/>
      <c r="I115" s="19"/>
    </row>
    <row r="116" spans="1:9" ht="13.15">
      <c r="A116" s="18"/>
      <c r="B116" s="18"/>
      <c r="C116" s="18"/>
      <c r="D116" s="18"/>
      <c r="E116" s="18"/>
      <c r="F116" s="19"/>
      <c r="G116" s="18"/>
      <c r="H116" s="18"/>
      <c r="I116" s="19"/>
    </row>
    <row r="117" spans="1:9" ht="13.15">
      <c r="A117" s="18"/>
      <c r="B117" s="18"/>
      <c r="C117" s="18"/>
      <c r="D117" s="18"/>
      <c r="E117" s="18"/>
      <c r="F117" s="19"/>
      <c r="G117" s="18"/>
      <c r="H117" s="18"/>
      <c r="I117" s="19"/>
    </row>
    <row r="118" spans="1:9" ht="13.15">
      <c r="A118" s="18"/>
      <c r="B118" s="18"/>
      <c r="C118" s="18"/>
      <c r="D118" s="18"/>
      <c r="E118" s="18"/>
      <c r="F118" s="19"/>
      <c r="G118" s="18"/>
      <c r="H118" s="18"/>
      <c r="I118" s="19"/>
    </row>
    <row r="119" spans="1:9" ht="13.15">
      <c r="A119" s="18"/>
      <c r="B119" s="18"/>
      <c r="C119" s="18"/>
      <c r="D119" s="18"/>
      <c r="E119" s="18"/>
      <c r="F119" s="19"/>
      <c r="G119" s="18"/>
      <c r="H119" s="18"/>
      <c r="I119" s="19"/>
    </row>
    <row r="120" spans="1:9" ht="13.15">
      <c r="A120" s="18"/>
      <c r="B120" s="18"/>
      <c r="C120" s="18"/>
      <c r="D120" s="18"/>
      <c r="E120" s="18"/>
      <c r="F120" s="19"/>
      <c r="G120" s="18"/>
      <c r="H120" s="18"/>
      <c r="I120" s="19"/>
    </row>
    <row r="121" spans="1:9" ht="13.15">
      <c r="A121" s="18"/>
      <c r="B121" s="18"/>
      <c r="C121" s="18"/>
      <c r="D121" s="18"/>
      <c r="E121" s="18"/>
      <c r="F121" s="19"/>
      <c r="G121" s="18"/>
      <c r="H121" s="18"/>
      <c r="I121" s="19"/>
    </row>
    <row r="122" spans="1:9" ht="13.15">
      <c r="A122" s="18"/>
      <c r="B122" s="18"/>
      <c r="C122" s="18"/>
      <c r="D122" s="18"/>
      <c r="E122" s="18"/>
      <c r="F122" s="19"/>
      <c r="G122" s="18"/>
      <c r="H122" s="18"/>
      <c r="I122" s="19"/>
    </row>
    <row r="123" spans="1:9" ht="13.15">
      <c r="A123" s="18"/>
      <c r="B123" s="18"/>
      <c r="C123" s="18"/>
      <c r="D123" s="18"/>
      <c r="E123" s="18"/>
      <c r="F123" s="19"/>
      <c r="G123" s="18"/>
      <c r="H123" s="18"/>
      <c r="I123" s="19"/>
    </row>
    <row r="124" spans="1:9" ht="13.15">
      <c r="A124" s="18"/>
      <c r="B124" s="18"/>
      <c r="C124" s="18"/>
      <c r="D124" s="18"/>
      <c r="E124" s="18"/>
      <c r="F124" s="19"/>
      <c r="G124" s="18"/>
      <c r="H124" s="18"/>
      <c r="I124" s="19"/>
    </row>
    <row r="125" spans="1:9" ht="13.15">
      <c r="A125" s="18"/>
      <c r="B125" s="18"/>
      <c r="C125" s="18"/>
      <c r="D125" s="18"/>
      <c r="E125" s="18"/>
      <c r="F125" s="19"/>
      <c r="G125" s="18"/>
      <c r="H125" s="18"/>
      <c r="I125" s="19"/>
    </row>
    <row r="126" spans="1:9" ht="13.15">
      <c r="A126" s="18"/>
      <c r="B126" s="18"/>
      <c r="C126" s="18"/>
      <c r="D126" s="18"/>
      <c r="E126" s="18"/>
      <c r="F126" s="19"/>
      <c r="G126" s="18"/>
      <c r="H126" s="18"/>
      <c r="I126" s="19"/>
    </row>
    <row r="127" spans="1:9" ht="13.15">
      <c r="A127" s="18"/>
      <c r="B127" s="18"/>
      <c r="C127" s="18"/>
      <c r="D127" s="18"/>
      <c r="E127" s="18"/>
      <c r="F127" s="19"/>
      <c r="G127" s="18"/>
      <c r="H127" s="18"/>
      <c r="I127" s="19"/>
    </row>
    <row r="128" spans="1:9" ht="13.15">
      <c r="A128" s="18"/>
      <c r="B128" s="18"/>
      <c r="C128" s="18"/>
      <c r="D128" s="18"/>
      <c r="E128" s="18"/>
      <c r="F128" s="19"/>
      <c r="G128" s="18"/>
      <c r="H128" s="18"/>
      <c r="I128" s="19"/>
    </row>
    <row r="129" spans="1:9" ht="13.15">
      <c r="A129" s="18"/>
      <c r="B129" s="18"/>
      <c r="C129" s="18"/>
      <c r="D129" s="18"/>
      <c r="E129" s="18"/>
      <c r="F129" s="19"/>
      <c r="G129" s="18"/>
      <c r="H129" s="18"/>
      <c r="I129" s="19"/>
    </row>
    <row r="130" spans="1:9" ht="13.15">
      <c r="A130" s="18"/>
      <c r="B130" s="18"/>
      <c r="C130" s="18"/>
      <c r="D130" s="18"/>
      <c r="E130" s="18"/>
      <c r="F130" s="19"/>
      <c r="G130" s="18"/>
      <c r="H130" s="18"/>
      <c r="I130" s="19"/>
    </row>
    <row r="131" spans="1:9" ht="13.15">
      <c r="A131" s="18"/>
      <c r="B131" s="18"/>
      <c r="C131" s="18"/>
      <c r="D131" s="18"/>
      <c r="E131" s="18"/>
      <c r="F131" s="19"/>
      <c r="G131" s="18"/>
      <c r="H131" s="18"/>
      <c r="I131" s="19"/>
    </row>
    <row r="132" spans="1:9" ht="13.15">
      <c r="A132" s="18"/>
      <c r="B132" s="18"/>
      <c r="C132" s="18"/>
      <c r="D132" s="18"/>
      <c r="E132" s="18"/>
      <c r="F132" s="19"/>
      <c r="G132" s="18"/>
      <c r="H132" s="18"/>
      <c r="I132" s="19"/>
    </row>
    <row r="133" spans="1:9" ht="13.15">
      <c r="A133" s="18"/>
      <c r="B133" s="18"/>
      <c r="C133" s="18"/>
      <c r="D133" s="18"/>
      <c r="E133" s="18"/>
      <c r="F133" s="19"/>
      <c r="G133" s="18"/>
      <c r="H133" s="18"/>
      <c r="I133" s="19"/>
    </row>
    <row r="134" spans="1:9" ht="13.15">
      <c r="A134" s="18"/>
      <c r="B134" s="18"/>
      <c r="C134" s="18"/>
      <c r="D134" s="18"/>
      <c r="E134" s="18"/>
      <c r="F134" s="19"/>
      <c r="G134" s="18"/>
      <c r="H134" s="18"/>
      <c r="I134" s="19"/>
    </row>
    <row r="135" spans="1:9" ht="13.15">
      <c r="A135" s="18"/>
      <c r="B135" s="18"/>
      <c r="C135" s="18"/>
      <c r="D135" s="18"/>
      <c r="E135" s="18"/>
      <c r="F135" s="19"/>
      <c r="G135" s="18"/>
      <c r="H135" s="18"/>
      <c r="I135" s="19"/>
    </row>
    <row r="136" spans="1:9" ht="13.15">
      <c r="A136" s="18"/>
      <c r="B136" s="18"/>
      <c r="C136" s="18"/>
      <c r="D136" s="18"/>
      <c r="E136" s="18"/>
      <c r="F136" s="19"/>
      <c r="G136" s="18"/>
      <c r="H136" s="18"/>
      <c r="I136" s="19"/>
    </row>
    <row r="137" spans="1:9" ht="13.15">
      <c r="A137" s="18"/>
      <c r="B137" s="18"/>
      <c r="C137" s="18"/>
      <c r="D137" s="18"/>
      <c r="E137" s="18"/>
      <c r="F137" s="19"/>
      <c r="G137" s="18"/>
      <c r="H137" s="18"/>
      <c r="I137" s="19"/>
    </row>
    <row r="138" spans="1:9" ht="13.15">
      <c r="A138" s="18"/>
      <c r="B138" s="18"/>
      <c r="C138" s="18"/>
      <c r="D138" s="18"/>
      <c r="E138" s="18"/>
      <c r="F138" s="19"/>
      <c r="G138" s="18"/>
      <c r="H138" s="18"/>
      <c r="I138" s="19"/>
    </row>
    <row r="139" spans="1:9" ht="13.15">
      <c r="A139" s="18"/>
      <c r="B139" s="18"/>
      <c r="C139" s="18"/>
      <c r="D139" s="18"/>
      <c r="E139" s="18"/>
      <c r="F139" s="19"/>
      <c r="G139" s="18"/>
      <c r="H139" s="18"/>
      <c r="I139" s="19"/>
    </row>
    <row r="140" spans="1:9" ht="13.15">
      <c r="A140" s="18"/>
      <c r="B140" s="18"/>
      <c r="C140" s="18"/>
      <c r="D140" s="18"/>
      <c r="E140" s="18"/>
      <c r="F140" s="19"/>
      <c r="G140" s="18"/>
      <c r="H140" s="18"/>
      <c r="I140" s="19"/>
    </row>
    <row r="141" spans="1:9" ht="13.15">
      <c r="A141" s="18"/>
      <c r="B141" s="18"/>
      <c r="C141" s="18"/>
      <c r="D141" s="18"/>
      <c r="E141" s="18"/>
      <c r="F141" s="19"/>
      <c r="G141" s="18"/>
      <c r="H141" s="18"/>
      <c r="I141" s="19"/>
    </row>
    <row r="142" spans="1:9" ht="13.15">
      <c r="A142" s="18"/>
      <c r="B142" s="18"/>
      <c r="C142" s="18"/>
      <c r="D142" s="18"/>
      <c r="E142" s="18"/>
      <c r="F142" s="19"/>
      <c r="G142" s="18"/>
      <c r="H142" s="18"/>
      <c r="I142" s="19"/>
    </row>
    <row r="143" spans="1:9" ht="13.15">
      <c r="A143" s="18"/>
      <c r="B143" s="18"/>
      <c r="C143" s="18"/>
      <c r="D143" s="18"/>
      <c r="E143" s="18"/>
      <c r="F143" s="19"/>
      <c r="G143" s="18"/>
      <c r="H143" s="18"/>
      <c r="I143" s="19"/>
    </row>
    <row r="144" spans="1:9" ht="13.15">
      <c r="A144" s="18"/>
      <c r="B144" s="18"/>
      <c r="C144" s="18"/>
      <c r="D144" s="18"/>
      <c r="E144" s="18"/>
      <c r="F144" s="19"/>
      <c r="G144" s="18"/>
      <c r="H144" s="18"/>
      <c r="I144" s="19"/>
    </row>
    <row r="145" spans="1:9" ht="13.15">
      <c r="A145" s="18"/>
      <c r="B145" s="18"/>
      <c r="C145" s="18"/>
      <c r="D145" s="18"/>
      <c r="E145" s="18"/>
      <c r="F145" s="19"/>
      <c r="G145" s="18"/>
      <c r="H145" s="18"/>
      <c r="I145" s="19"/>
    </row>
    <row r="146" spans="1:9" ht="13.15">
      <c r="A146" s="18"/>
      <c r="B146" s="18"/>
      <c r="C146" s="18"/>
      <c r="D146" s="18"/>
      <c r="E146" s="18"/>
      <c r="F146" s="19"/>
      <c r="G146" s="18"/>
      <c r="H146" s="18"/>
      <c r="I146" s="19"/>
    </row>
    <row r="147" spans="1:9" ht="13.15">
      <c r="A147" s="18"/>
      <c r="B147" s="18"/>
      <c r="C147" s="18"/>
      <c r="D147" s="18"/>
      <c r="E147" s="18"/>
      <c r="F147" s="19"/>
      <c r="G147" s="18"/>
      <c r="H147" s="18"/>
      <c r="I147" s="19"/>
    </row>
    <row r="148" spans="1:9" ht="13.15">
      <c r="A148" s="18"/>
      <c r="B148" s="18"/>
      <c r="C148" s="18"/>
      <c r="D148" s="18"/>
      <c r="E148" s="18"/>
      <c r="F148" s="19"/>
      <c r="G148" s="18"/>
      <c r="H148" s="18"/>
      <c r="I148" s="19"/>
    </row>
    <row r="149" spans="1:9" ht="13.15">
      <c r="A149" s="18"/>
      <c r="B149" s="18"/>
      <c r="C149" s="18"/>
      <c r="D149" s="18"/>
      <c r="E149" s="18"/>
      <c r="F149" s="19"/>
      <c r="G149" s="18"/>
      <c r="H149" s="18"/>
      <c r="I149" s="19"/>
    </row>
    <row r="150" spans="1:9" ht="13.15">
      <c r="A150" s="18"/>
      <c r="B150" s="18"/>
      <c r="C150" s="18"/>
      <c r="D150" s="18"/>
      <c r="E150" s="18"/>
      <c r="F150" s="19"/>
      <c r="G150" s="18"/>
      <c r="H150" s="18"/>
      <c r="I150" s="19"/>
    </row>
    <row r="151" spans="1:9" ht="13.15">
      <c r="A151" s="18"/>
      <c r="B151" s="18"/>
      <c r="C151" s="18"/>
      <c r="D151" s="18"/>
      <c r="E151" s="18"/>
      <c r="F151" s="19"/>
      <c r="G151" s="18"/>
      <c r="H151" s="18"/>
      <c r="I151" s="19"/>
    </row>
    <row r="152" spans="1:9" ht="13.15">
      <c r="A152" s="18"/>
      <c r="B152" s="18"/>
      <c r="C152" s="18"/>
      <c r="D152" s="18"/>
      <c r="E152" s="18"/>
      <c r="F152" s="19"/>
      <c r="G152" s="18"/>
      <c r="H152" s="18"/>
      <c r="I152" s="19"/>
    </row>
    <row r="153" spans="1:9" ht="13.15">
      <c r="A153" s="18"/>
      <c r="B153" s="18"/>
      <c r="C153" s="18"/>
      <c r="D153" s="18"/>
      <c r="E153" s="18"/>
      <c r="F153" s="19"/>
      <c r="G153" s="18"/>
      <c r="H153" s="18"/>
      <c r="I153" s="19"/>
    </row>
    <row r="154" spans="1:9" ht="13.15">
      <c r="A154" s="18"/>
      <c r="B154" s="18"/>
      <c r="C154" s="18"/>
      <c r="D154" s="18"/>
      <c r="E154" s="18"/>
      <c r="F154" s="19"/>
      <c r="G154" s="18"/>
      <c r="H154" s="18"/>
      <c r="I154" s="19"/>
    </row>
    <row r="155" spans="1:9" ht="13.15">
      <c r="A155" s="18"/>
      <c r="B155" s="18"/>
      <c r="C155" s="18"/>
      <c r="D155" s="18"/>
      <c r="E155" s="18"/>
      <c r="F155" s="19"/>
      <c r="G155" s="18"/>
      <c r="H155" s="18"/>
      <c r="I155" s="19"/>
    </row>
    <row r="156" spans="1:9" ht="13.15">
      <c r="A156" s="18"/>
      <c r="B156" s="18"/>
      <c r="C156" s="18"/>
      <c r="D156" s="18"/>
      <c r="E156" s="18"/>
      <c r="F156" s="19"/>
      <c r="G156" s="18"/>
      <c r="H156" s="18"/>
      <c r="I156" s="19"/>
    </row>
    <row r="157" spans="1:9" ht="13.15">
      <c r="A157" s="18"/>
      <c r="B157" s="18"/>
      <c r="C157" s="18"/>
      <c r="D157" s="18"/>
      <c r="E157" s="18"/>
      <c r="F157" s="19"/>
      <c r="G157" s="18"/>
      <c r="H157" s="18"/>
      <c r="I157" s="19"/>
    </row>
    <row r="158" spans="1:9" ht="13.15">
      <c r="A158" s="18"/>
      <c r="B158" s="18"/>
      <c r="C158" s="18"/>
      <c r="D158" s="18"/>
      <c r="E158" s="18"/>
      <c r="F158" s="19"/>
      <c r="G158" s="18"/>
      <c r="H158" s="18"/>
      <c r="I158" s="19"/>
    </row>
    <row r="159" spans="1:9" ht="13.15">
      <c r="A159" s="18"/>
      <c r="B159" s="18"/>
      <c r="C159" s="18"/>
      <c r="D159" s="18"/>
      <c r="E159" s="18"/>
      <c r="F159" s="19"/>
      <c r="G159" s="18"/>
      <c r="H159" s="18"/>
      <c r="I159" s="19"/>
    </row>
    <row r="160" spans="1:9" ht="13.15">
      <c r="A160" s="18"/>
      <c r="B160" s="18"/>
      <c r="C160" s="18"/>
      <c r="D160" s="18"/>
      <c r="E160" s="18"/>
      <c r="F160" s="19"/>
      <c r="G160" s="18"/>
      <c r="H160" s="18"/>
      <c r="I160" s="19"/>
    </row>
    <row r="161" spans="1:9" ht="13.15">
      <c r="A161" s="18"/>
      <c r="B161" s="18"/>
      <c r="C161" s="18"/>
      <c r="D161" s="18"/>
      <c r="E161" s="18"/>
      <c r="F161" s="19"/>
      <c r="G161" s="18"/>
      <c r="H161" s="18"/>
      <c r="I161" s="19"/>
    </row>
    <row r="162" spans="1:9" ht="13.15">
      <c r="A162" s="18"/>
      <c r="B162" s="18"/>
      <c r="C162" s="18"/>
      <c r="D162" s="18"/>
      <c r="E162" s="18"/>
      <c r="F162" s="19"/>
      <c r="G162" s="18"/>
      <c r="H162" s="18"/>
      <c r="I162" s="19"/>
    </row>
    <row r="163" spans="1:9" ht="13.15">
      <c r="A163" s="18"/>
      <c r="B163" s="18"/>
      <c r="C163" s="18"/>
      <c r="D163" s="18"/>
      <c r="E163" s="18"/>
      <c r="F163" s="19"/>
      <c r="G163" s="18"/>
      <c r="H163" s="18"/>
      <c r="I163" s="19"/>
    </row>
    <row r="164" spans="1:9" ht="13.15">
      <c r="A164" s="18"/>
      <c r="B164" s="18"/>
      <c r="C164" s="18"/>
      <c r="D164" s="18"/>
      <c r="E164" s="18"/>
      <c r="F164" s="19"/>
      <c r="G164" s="18"/>
      <c r="H164" s="18"/>
      <c r="I164" s="19"/>
    </row>
    <row r="165" spans="1:9" ht="13.15">
      <c r="A165" s="18"/>
      <c r="B165" s="18"/>
      <c r="C165" s="18"/>
      <c r="D165" s="18"/>
      <c r="E165" s="18"/>
      <c r="F165" s="19"/>
      <c r="G165" s="18"/>
      <c r="H165" s="18"/>
      <c r="I165" s="19"/>
    </row>
    <row r="166" spans="1:9" ht="13.15">
      <c r="A166" s="18"/>
      <c r="B166" s="18"/>
      <c r="C166" s="18"/>
      <c r="D166" s="18"/>
      <c r="E166" s="18"/>
      <c r="F166" s="19"/>
      <c r="G166" s="18"/>
      <c r="H166" s="18"/>
      <c r="I166" s="19"/>
    </row>
    <row r="167" spans="1:9" ht="13.15">
      <c r="A167" s="18"/>
      <c r="B167" s="18"/>
      <c r="C167" s="18"/>
      <c r="D167" s="18"/>
      <c r="E167" s="18"/>
      <c r="F167" s="19"/>
      <c r="G167" s="18"/>
      <c r="H167" s="18"/>
      <c r="I167" s="19"/>
    </row>
    <row r="168" spans="1:9" ht="13.15">
      <c r="A168" s="18"/>
      <c r="B168" s="18"/>
      <c r="C168" s="18"/>
      <c r="D168" s="18"/>
      <c r="E168" s="18"/>
      <c r="F168" s="19"/>
      <c r="G168" s="18"/>
      <c r="H168" s="18"/>
      <c r="I168" s="19"/>
    </row>
    <row r="169" spans="1:9" ht="13.15">
      <c r="A169" s="18"/>
      <c r="B169" s="18"/>
      <c r="C169" s="18"/>
      <c r="D169" s="18"/>
      <c r="E169" s="18"/>
      <c r="F169" s="19"/>
      <c r="G169" s="18"/>
      <c r="H169" s="18"/>
      <c r="I169" s="19"/>
    </row>
    <row r="170" spans="1:9" ht="13.15">
      <c r="A170" s="18"/>
      <c r="B170" s="18"/>
      <c r="C170" s="18"/>
      <c r="D170" s="18"/>
      <c r="E170" s="18"/>
      <c r="F170" s="19"/>
      <c r="G170" s="18"/>
      <c r="H170" s="18"/>
      <c r="I170" s="19"/>
    </row>
    <row r="171" spans="1:9" ht="13.15">
      <c r="A171" s="18"/>
      <c r="B171" s="18"/>
      <c r="C171" s="18"/>
      <c r="D171" s="18"/>
      <c r="E171" s="18"/>
      <c r="F171" s="19"/>
      <c r="G171" s="18"/>
      <c r="H171" s="18"/>
      <c r="I171" s="19"/>
    </row>
    <row r="172" spans="1:9" ht="13.15">
      <c r="A172" s="18"/>
      <c r="B172" s="18"/>
      <c r="C172" s="18"/>
      <c r="D172" s="18"/>
      <c r="E172" s="18"/>
      <c r="F172" s="19"/>
      <c r="G172" s="18"/>
      <c r="H172" s="18"/>
      <c r="I172" s="19"/>
    </row>
    <row r="173" spans="1:9" ht="13.15">
      <c r="A173" s="18"/>
      <c r="B173" s="18"/>
      <c r="C173" s="18"/>
      <c r="D173" s="18"/>
      <c r="E173" s="18"/>
      <c r="F173" s="19"/>
      <c r="G173" s="18"/>
      <c r="H173" s="18"/>
      <c r="I173" s="19"/>
    </row>
    <row r="174" spans="1:9" ht="13.15">
      <c r="A174" s="18"/>
      <c r="B174" s="18"/>
      <c r="C174" s="18"/>
      <c r="D174" s="18"/>
      <c r="E174" s="18"/>
      <c r="F174" s="19"/>
      <c r="G174" s="18"/>
      <c r="H174" s="18"/>
      <c r="I174" s="19"/>
    </row>
    <row r="175" spans="1:9" ht="13.15">
      <c r="A175" s="18"/>
      <c r="B175" s="18"/>
      <c r="C175" s="18"/>
      <c r="D175" s="18"/>
      <c r="E175" s="18"/>
      <c r="F175" s="19"/>
      <c r="G175" s="18"/>
      <c r="H175" s="18"/>
      <c r="I175" s="19"/>
    </row>
    <row r="176" spans="1:9" ht="13.15">
      <c r="A176" s="18"/>
      <c r="B176" s="18"/>
      <c r="C176" s="18"/>
      <c r="D176" s="18"/>
      <c r="E176" s="18"/>
      <c r="F176" s="19"/>
      <c r="G176" s="18"/>
      <c r="H176" s="18"/>
      <c r="I176" s="19"/>
    </row>
    <row r="177" spans="1:9" ht="13.15">
      <c r="A177" s="18"/>
      <c r="B177" s="18"/>
      <c r="C177" s="18"/>
      <c r="D177" s="18"/>
      <c r="E177" s="18"/>
      <c r="F177" s="19"/>
      <c r="G177" s="18"/>
      <c r="H177" s="18"/>
      <c r="I177" s="19"/>
    </row>
    <row r="178" spans="1:9" ht="13.15">
      <c r="A178" s="18"/>
      <c r="B178" s="18"/>
      <c r="C178" s="18"/>
      <c r="D178" s="18"/>
      <c r="E178" s="18"/>
      <c r="F178" s="19"/>
      <c r="G178" s="18"/>
      <c r="H178" s="18"/>
      <c r="I178" s="19"/>
    </row>
    <row r="179" spans="1:9" ht="13.15">
      <c r="A179" s="18"/>
      <c r="B179" s="18"/>
      <c r="C179" s="18"/>
      <c r="D179" s="18"/>
      <c r="E179" s="18"/>
      <c r="F179" s="19"/>
      <c r="G179" s="18"/>
      <c r="H179" s="18"/>
      <c r="I179" s="19"/>
    </row>
    <row r="180" spans="1:9" ht="13.15">
      <c r="A180" s="18"/>
      <c r="B180" s="18"/>
      <c r="C180" s="18"/>
      <c r="D180" s="18"/>
      <c r="E180" s="18"/>
      <c r="F180" s="19"/>
      <c r="G180" s="18"/>
      <c r="H180" s="18"/>
      <c r="I180" s="19"/>
    </row>
    <row r="181" spans="1:9" ht="13.15">
      <c r="A181" s="18"/>
      <c r="B181" s="18"/>
      <c r="C181" s="18"/>
      <c r="D181" s="18"/>
      <c r="E181" s="18"/>
      <c r="F181" s="19"/>
      <c r="G181" s="18"/>
      <c r="H181" s="18"/>
      <c r="I181" s="19"/>
    </row>
    <row r="182" spans="1:9" ht="13.15">
      <c r="A182" s="18"/>
      <c r="B182" s="18"/>
      <c r="C182" s="18"/>
      <c r="D182" s="18"/>
      <c r="E182" s="18"/>
      <c r="F182" s="19"/>
      <c r="G182" s="18"/>
      <c r="H182" s="18"/>
      <c r="I182" s="19"/>
    </row>
    <row r="183" spans="1:9" ht="13.15">
      <c r="A183" s="18"/>
      <c r="B183" s="18"/>
      <c r="C183" s="18"/>
      <c r="D183" s="18"/>
      <c r="E183" s="18"/>
      <c r="F183" s="19"/>
      <c r="G183" s="18"/>
      <c r="H183" s="18"/>
      <c r="I183" s="19"/>
    </row>
    <row r="184" spans="1:9" ht="13.15">
      <c r="A184" s="18"/>
      <c r="B184" s="18"/>
      <c r="C184" s="18"/>
      <c r="D184" s="18"/>
      <c r="E184" s="18"/>
      <c r="F184" s="19"/>
      <c r="G184" s="18"/>
      <c r="H184" s="18"/>
      <c r="I184" s="19"/>
    </row>
    <row r="185" spans="1:9" ht="13.15">
      <c r="A185" s="18"/>
      <c r="B185" s="18"/>
      <c r="C185" s="18"/>
      <c r="D185" s="18"/>
      <c r="E185" s="18"/>
      <c r="F185" s="19"/>
      <c r="G185" s="18"/>
      <c r="H185" s="18"/>
      <c r="I185" s="19"/>
    </row>
    <row r="186" spans="1:9" ht="13.15">
      <c r="A186" s="18"/>
      <c r="B186" s="18"/>
      <c r="C186" s="18"/>
      <c r="D186" s="18"/>
      <c r="E186" s="18"/>
      <c r="F186" s="19"/>
      <c r="G186" s="18"/>
      <c r="H186" s="18"/>
      <c r="I186" s="19"/>
    </row>
    <row r="187" spans="1:9" ht="13.15">
      <c r="A187" s="18"/>
      <c r="B187" s="18"/>
      <c r="C187" s="18"/>
      <c r="D187" s="18"/>
      <c r="E187" s="18"/>
      <c r="F187" s="19"/>
      <c r="G187" s="18"/>
      <c r="H187" s="18"/>
      <c r="I187" s="19"/>
    </row>
    <row r="188" spans="1:9" ht="13.15">
      <c r="A188" s="18"/>
      <c r="B188" s="18"/>
      <c r="C188" s="18"/>
      <c r="D188" s="18"/>
      <c r="E188" s="18"/>
      <c r="F188" s="19"/>
      <c r="G188" s="18"/>
      <c r="H188" s="18"/>
      <c r="I188" s="19"/>
    </row>
    <row r="189" spans="1:9" ht="13.15">
      <c r="A189" s="18"/>
      <c r="B189" s="18"/>
      <c r="C189" s="18"/>
      <c r="D189" s="18"/>
      <c r="E189" s="18"/>
      <c r="F189" s="19"/>
      <c r="G189" s="18"/>
      <c r="H189" s="18"/>
      <c r="I189" s="19"/>
    </row>
    <row r="190" spans="1:9" ht="13.15">
      <c r="A190" s="18"/>
      <c r="B190" s="18"/>
      <c r="C190" s="18"/>
      <c r="D190" s="18"/>
      <c r="E190" s="18"/>
      <c r="F190" s="19"/>
      <c r="G190" s="18"/>
      <c r="H190" s="18"/>
      <c r="I190" s="19"/>
    </row>
    <row r="191" spans="1:9" ht="13.15">
      <c r="A191" s="18"/>
      <c r="B191" s="18"/>
      <c r="C191" s="18"/>
      <c r="D191" s="18"/>
      <c r="E191" s="18"/>
      <c r="F191" s="19"/>
      <c r="G191" s="18"/>
      <c r="H191" s="18"/>
      <c r="I191" s="19"/>
    </row>
    <row r="192" spans="1:9" ht="13.15">
      <c r="A192" s="18"/>
      <c r="B192" s="18"/>
      <c r="C192" s="18"/>
      <c r="D192" s="18"/>
      <c r="E192" s="18"/>
      <c r="F192" s="19"/>
      <c r="G192" s="18"/>
      <c r="H192" s="18"/>
      <c r="I192" s="19"/>
    </row>
    <row r="193" spans="1:9" ht="13.15">
      <c r="A193" s="18"/>
      <c r="B193" s="18"/>
      <c r="C193" s="18"/>
      <c r="D193" s="18"/>
      <c r="E193" s="18"/>
      <c r="F193" s="19"/>
      <c r="G193" s="18"/>
      <c r="H193" s="18"/>
      <c r="I193" s="19"/>
    </row>
    <row r="194" spans="1:9" ht="13.15">
      <c r="A194" s="18"/>
      <c r="B194" s="18"/>
      <c r="C194" s="18"/>
      <c r="D194" s="18"/>
      <c r="E194" s="18"/>
      <c r="F194" s="19"/>
      <c r="G194" s="18"/>
      <c r="H194" s="18"/>
      <c r="I194" s="19"/>
    </row>
    <row r="195" spans="1:9" ht="13.15">
      <c r="A195" s="18"/>
      <c r="B195" s="18"/>
      <c r="C195" s="18"/>
      <c r="D195" s="18"/>
      <c r="E195" s="18"/>
      <c r="F195" s="19"/>
      <c r="G195" s="18"/>
      <c r="H195" s="18"/>
      <c r="I195" s="19"/>
    </row>
    <row r="196" spans="1:9" ht="13.15">
      <c r="A196" s="18"/>
      <c r="B196" s="18"/>
      <c r="C196" s="18"/>
      <c r="D196" s="18"/>
      <c r="E196" s="18"/>
      <c r="F196" s="19"/>
      <c r="G196" s="18"/>
      <c r="H196" s="18"/>
      <c r="I196" s="19"/>
    </row>
    <row r="197" spans="1:9" ht="13.15">
      <c r="A197" s="18"/>
      <c r="B197" s="18"/>
      <c r="C197" s="18"/>
      <c r="D197" s="18"/>
      <c r="E197" s="18"/>
      <c r="F197" s="19"/>
      <c r="G197" s="18"/>
      <c r="H197" s="18"/>
      <c r="I197" s="19"/>
    </row>
    <row r="198" spans="1:9" ht="13.15">
      <c r="A198" s="18"/>
      <c r="B198" s="18"/>
      <c r="C198" s="18"/>
      <c r="D198" s="18"/>
      <c r="E198" s="18"/>
      <c r="F198" s="19"/>
      <c r="G198" s="18"/>
      <c r="H198" s="18"/>
      <c r="I198" s="19"/>
    </row>
    <row r="199" spans="1:9" ht="13.15">
      <c r="A199" s="18"/>
      <c r="B199" s="18"/>
      <c r="C199" s="18"/>
      <c r="D199" s="18"/>
      <c r="E199" s="18"/>
      <c r="F199" s="19"/>
      <c r="G199" s="18"/>
      <c r="H199" s="18"/>
      <c r="I199" s="19"/>
    </row>
    <row r="200" spans="1:9" ht="13.15">
      <c r="A200" s="18"/>
      <c r="B200" s="18"/>
      <c r="C200" s="18"/>
      <c r="D200" s="18"/>
      <c r="E200" s="18"/>
      <c r="F200" s="19"/>
      <c r="G200" s="18"/>
      <c r="H200" s="18"/>
      <c r="I200" s="19"/>
    </row>
    <row r="201" spans="1:9" ht="13.15">
      <c r="A201" s="18"/>
      <c r="B201" s="18"/>
      <c r="C201" s="18"/>
      <c r="D201" s="18"/>
      <c r="E201" s="18"/>
      <c r="F201" s="19"/>
      <c r="G201" s="18"/>
      <c r="H201" s="18"/>
      <c r="I201" s="19"/>
    </row>
    <row r="202" spans="1:9" ht="13.15">
      <c r="A202" s="18"/>
      <c r="B202" s="18"/>
      <c r="C202" s="18"/>
      <c r="D202" s="18"/>
      <c r="E202" s="18"/>
      <c r="F202" s="19"/>
      <c r="G202" s="18"/>
      <c r="H202" s="18"/>
      <c r="I202" s="19"/>
    </row>
    <row r="203" spans="1:9" ht="13.15">
      <c r="A203" s="18"/>
      <c r="B203" s="18"/>
      <c r="C203" s="18"/>
      <c r="D203" s="18"/>
      <c r="E203" s="18"/>
      <c r="F203" s="19"/>
      <c r="G203" s="18"/>
      <c r="H203" s="18"/>
      <c r="I203" s="19"/>
    </row>
    <row r="204" spans="1:9" ht="13.15">
      <c r="A204" s="18"/>
      <c r="B204" s="18"/>
      <c r="C204" s="18"/>
      <c r="D204" s="18"/>
      <c r="E204" s="18"/>
      <c r="F204" s="19"/>
      <c r="G204" s="18"/>
      <c r="H204" s="18"/>
      <c r="I204" s="19"/>
    </row>
    <row r="205" spans="1:9" ht="13.15">
      <c r="A205" s="18"/>
      <c r="B205" s="18"/>
      <c r="C205" s="18"/>
      <c r="D205" s="18"/>
      <c r="E205" s="18"/>
      <c r="F205" s="19"/>
      <c r="G205" s="18"/>
      <c r="H205" s="18"/>
      <c r="I205" s="19"/>
    </row>
    <row r="206" spans="1:9" ht="13.15">
      <c r="A206" s="18"/>
      <c r="B206" s="18"/>
      <c r="C206" s="18"/>
      <c r="D206" s="18"/>
      <c r="E206" s="18"/>
      <c r="F206" s="19"/>
      <c r="G206" s="18"/>
      <c r="H206" s="18"/>
      <c r="I206" s="19"/>
    </row>
    <row r="207" spans="1:9" ht="13.15">
      <c r="A207" s="18"/>
      <c r="B207" s="18"/>
      <c r="C207" s="18"/>
      <c r="D207" s="18"/>
      <c r="E207" s="18"/>
      <c r="F207" s="19"/>
      <c r="G207" s="18"/>
      <c r="H207" s="18"/>
      <c r="I207" s="19"/>
    </row>
    <row r="208" spans="1:9" ht="13.15">
      <c r="A208" s="18"/>
      <c r="B208" s="18"/>
      <c r="C208" s="18"/>
      <c r="D208" s="18"/>
      <c r="E208" s="18"/>
      <c r="F208" s="19"/>
      <c r="G208" s="18"/>
      <c r="H208" s="18"/>
      <c r="I208" s="19"/>
    </row>
    <row r="209" spans="1:9" ht="13.15">
      <c r="A209" s="18"/>
      <c r="B209" s="18"/>
      <c r="C209" s="18"/>
      <c r="D209" s="18"/>
      <c r="E209" s="18"/>
      <c r="F209" s="19"/>
      <c r="G209" s="18"/>
      <c r="H209" s="18"/>
      <c r="I209" s="19"/>
    </row>
    <row r="210" spans="1:9" ht="13.15">
      <c r="A210" s="18"/>
      <c r="B210" s="18"/>
      <c r="C210" s="18"/>
      <c r="D210" s="18"/>
      <c r="E210" s="18"/>
      <c r="F210" s="19"/>
      <c r="G210" s="18"/>
      <c r="H210" s="18"/>
      <c r="I210" s="19"/>
    </row>
    <row r="211" spans="1:9" ht="13.15">
      <c r="A211" s="18"/>
      <c r="B211" s="18"/>
      <c r="C211" s="18"/>
      <c r="D211" s="18"/>
      <c r="E211" s="18"/>
      <c r="F211" s="19"/>
      <c r="G211" s="18"/>
      <c r="H211" s="18"/>
      <c r="I211" s="19"/>
    </row>
    <row r="212" spans="1:9" ht="13.15">
      <c r="A212" s="18"/>
      <c r="B212" s="18"/>
      <c r="C212" s="18"/>
      <c r="D212" s="18"/>
      <c r="E212" s="18"/>
      <c r="F212" s="19"/>
      <c r="G212" s="18"/>
      <c r="H212" s="18"/>
      <c r="I212" s="19"/>
    </row>
    <row r="213" spans="1:9" ht="13.15">
      <c r="A213" s="18"/>
      <c r="B213" s="18"/>
      <c r="C213" s="18"/>
      <c r="D213" s="18"/>
      <c r="E213" s="18"/>
      <c r="F213" s="19"/>
      <c r="G213" s="18"/>
      <c r="H213" s="18"/>
      <c r="I213" s="19"/>
    </row>
    <row r="214" spans="1:9" ht="13.15">
      <c r="A214" s="18"/>
      <c r="B214" s="18"/>
      <c r="C214" s="18"/>
      <c r="D214" s="18"/>
      <c r="E214" s="18"/>
      <c r="F214" s="19"/>
      <c r="G214" s="18"/>
      <c r="H214" s="18"/>
      <c r="I214" s="19"/>
    </row>
    <row r="215" spans="1:9" ht="13.15">
      <c r="A215" s="18"/>
      <c r="B215" s="18"/>
      <c r="C215" s="18"/>
      <c r="D215" s="18"/>
      <c r="E215" s="18"/>
      <c r="F215" s="19"/>
      <c r="G215" s="18"/>
      <c r="H215" s="18"/>
      <c r="I215" s="19"/>
    </row>
    <row r="216" spans="1:9" ht="13.15">
      <c r="A216" s="18"/>
      <c r="B216" s="18"/>
      <c r="C216" s="18"/>
      <c r="D216" s="18"/>
      <c r="E216" s="18"/>
      <c r="F216" s="19"/>
      <c r="G216" s="18"/>
      <c r="H216" s="18"/>
      <c r="I216" s="19"/>
    </row>
    <row r="217" spans="1:9" ht="13.15">
      <c r="A217" s="18"/>
      <c r="B217" s="18"/>
      <c r="C217" s="18"/>
      <c r="D217" s="18"/>
      <c r="E217" s="18"/>
      <c r="F217" s="19"/>
      <c r="G217" s="18"/>
      <c r="H217" s="18"/>
      <c r="I217" s="19"/>
    </row>
    <row r="218" spans="1:9" ht="13.15">
      <c r="A218" s="18"/>
      <c r="B218" s="18"/>
      <c r="C218" s="18"/>
      <c r="D218" s="18"/>
      <c r="E218" s="18"/>
      <c r="F218" s="19"/>
      <c r="G218" s="18"/>
      <c r="H218" s="18"/>
      <c r="I218" s="19"/>
    </row>
    <row r="219" spans="1:9" ht="13.15">
      <c r="A219" s="18"/>
      <c r="B219" s="18"/>
      <c r="C219" s="18"/>
      <c r="D219" s="18"/>
      <c r="E219" s="18"/>
      <c r="F219" s="19"/>
      <c r="G219" s="18"/>
      <c r="H219" s="18"/>
      <c r="I219" s="19"/>
    </row>
    <row r="220" spans="1:9" ht="13.15">
      <c r="A220" s="18"/>
      <c r="B220" s="18"/>
      <c r="C220" s="18"/>
      <c r="D220" s="18"/>
      <c r="E220" s="18"/>
      <c r="F220" s="19"/>
      <c r="G220" s="18"/>
      <c r="H220" s="18"/>
      <c r="I220" s="19"/>
    </row>
    <row r="221" spans="1:9" ht="13.15">
      <c r="A221" s="18"/>
      <c r="B221" s="18"/>
      <c r="C221" s="18"/>
      <c r="D221" s="18"/>
      <c r="E221" s="18"/>
      <c r="F221" s="19"/>
      <c r="G221" s="18"/>
      <c r="H221" s="18"/>
      <c r="I221" s="19"/>
    </row>
    <row r="222" spans="1:9" ht="13.15">
      <c r="A222" s="18"/>
      <c r="B222" s="18"/>
      <c r="C222" s="18"/>
      <c r="D222" s="18"/>
      <c r="E222" s="18"/>
      <c r="F222" s="19"/>
      <c r="G222" s="18"/>
      <c r="H222" s="18"/>
      <c r="I222" s="19"/>
    </row>
    <row r="223" spans="1:9" ht="13.15">
      <c r="A223" s="18"/>
      <c r="B223" s="18"/>
      <c r="C223" s="18"/>
      <c r="D223" s="18"/>
      <c r="E223" s="18"/>
      <c r="F223" s="19"/>
      <c r="G223" s="18"/>
      <c r="H223" s="18"/>
      <c r="I223" s="19"/>
    </row>
    <row r="224" spans="1:9" ht="13.15">
      <c r="A224" s="18"/>
      <c r="B224" s="18"/>
      <c r="C224" s="18"/>
      <c r="D224" s="18"/>
      <c r="E224" s="18"/>
      <c r="F224" s="19"/>
      <c r="G224" s="18"/>
      <c r="H224" s="18"/>
      <c r="I224" s="19"/>
    </row>
    <row r="225" spans="1:9" ht="13.15">
      <c r="A225" s="18"/>
      <c r="B225" s="18"/>
      <c r="C225" s="18"/>
      <c r="D225" s="18"/>
      <c r="E225" s="18"/>
      <c r="F225" s="19"/>
      <c r="G225" s="18"/>
      <c r="H225" s="18"/>
      <c r="I225" s="19"/>
    </row>
    <row r="226" spans="1:9" ht="13.15">
      <c r="A226" s="18"/>
      <c r="B226" s="18"/>
      <c r="C226" s="18"/>
      <c r="D226" s="18"/>
      <c r="E226" s="18"/>
      <c r="F226" s="19"/>
      <c r="G226" s="18"/>
      <c r="H226" s="18"/>
      <c r="I226" s="19"/>
    </row>
    <row r="227" spans="1:9" ht="13.15">
      <c r="A227" s="18"/>
      <c r="B227" s="18"/>
      <c r="C227" s="18"/>
      <c r="D227" s="18"/>
      <c r="E227" s="18"/>
      <c r="F227" s="19"/>
      <c r="G227" s="18"/>
      <c r="H227" s="18"/>
      <c r="I227" s="19"/>
    </row>
    <row r="228" spans="1:9" ht="13.15">
      <c r="A228" s="18"/>
      <c r="B228" s="18"/>
      <c r="C228" s="18"/>
      <c r="D228" s="18"/>
      <c r="E228" s="18"/>
      <c r="F228" s="19"/>
      <c r="G228" s="18"/>
      <c r="H228" s="18"/>
      <c r="I228" s="19"/>
    </row>
    <row r="229" spans="1:9" ht="13.15">
      <c r="A229" s="18"/>
      <c r="B229" s="18"/>
      <c r="C229" s="18"/>
      <c r="D229" s="18"/>
      <c r="E229" s="18"/>
      <c r="F229" s="19"/>
      <c r="G229" s="18"/>
      <c r="H229" s="18"/>
      <c r="I229" s="19"/>
    </row>
    <row r="230" spans="1:9" ht="13.15">
      <c r="A230" s="18"/>
      <c r="B230" s="18"/>
      <c r="C230" s="18"/>
      <c r="D230" s="18"/>
      <c r="E230" s="18"/>
      <c r="F230" s="19"/>
      <c r="G230" s="18"/>
      <c r="H230" s="18"/>
      <c r="I230" s="19"/>
    </row>
    <row r="231" spans="1:9" ht="13.15">
      <c r="A231" s="18"/>
      <c r="B231" s="18"/>
      <c r="C231" s="18"/>
      <c r="D231" s="18"/>
      <c r="E231" s="18"/>
      <c r="F231" s="19"/>
      <c r="G231" s="18"/>
      <c r="H231" s="18"/>
      <c r="I231" s="19"/>
    </row>
    <row r="232" spans="1:9" ht="13.15">
      <c r="A232" s="18"/>
      <c r="B232" s="18"/>
      <c r="C232" s="18"/>
      <c r="D232" s="18"/>
      <c r="E232" s="18"/>
      <c r="F232" s="19"/>
      <c r="G232" s="18"/>
      <c r="H232" s="18"/>
      <c r="I232" s="19"/>
    </row>
    <row r="233" spans="1:9" ht="13.15">
      <c r="A233" s="18"/>
      <c r="B233" s="18"/>
      <c r="C233" s="18"/>
      <c r="D233" s="18"/>
      <c r="E233" s="18"/>
      <c r="F233" s="19"/>
      <c r="G233" s="18"/>
      <c r="H233" s="18"/>
      <c r="I233" s="19"/>
    </row>
    <row r="234" spans="1:9" ht="13.15">
      <c r="A234" s="18"/>
      <c r="B234" s="18"/>
      <c r="C234" s="18"/>
      <c r="D234" s="18"/>
      <c r="E234" s="18"/>
      <c r="F234" s="19"/>
      <c r="G234" s="18"/>
      <c r="H234" s="18"/>
      <c r="I234" s="19"/>
    </row>
    <row r="235" spans="1:9" ht="13.15">
      <c r="A235" s="18"/>
      <c r="B235" s="18"/>
      <c r="C235" s="18"/>
      <c r="D235" s="18"/>
      <c r="E235" s="18"/>
      <c r="F235" s="19"/>
      <c r="G235" s="18"/>
      <c r="H235" s="18"/>
      <c r="I235" s="19"/>
    </row>
    <row r="236" spans="1:9" ht="13.15">
      <c r="A236" s="18"/>
      <c r="B236" s="18"/>
      <c r="C236" s="18"/>
      <c r="D236" s="18"/>
      <c r="E236" s="18"/>
      <c r="F236" s="19"/>
      <c r="G236" s="18"/>
      <c r="H236" s="18"/>
      <c r="I236" s="19"/>
    </row>
    <row r="237" spans="1:9" ht="13.15">
      <c r="A237" s="18"/>
      <c r="B237" s="18"/>
      <c r="C237" s="18"/>
      <c r="D237" s="18"/>
      <c r="E237" s="18"/>
      <c r="F237" s="19"/>
      <c r="G237" s="18"/>
      <c r="H237" s="18"/>
      <c r="I237" s="19"/>
    </row>
    <row r="238" spans="1:9" ht="13.15">
      <c r="A238" s="18"/>
      <c r="B238" s="18"/>
      <c r="C238" s="18"/>
      <c r="D238" s="18"/>
      <c r="E238" s="18"/>
      <c r="F238" s="19"/>
      <c r="G238" s="18"/>
      <c r="H238" s="18"/>
      <c r="I238" s="19"/>
    </row>
    <row r="239" spans="1:9" ht="13.15">
      <c r="A239" s="18"/>
      <c r="B239" s="18"/>
      <c r="C239" s="18"/>
      <c r="D239" s="18"/>
      <c r="E239" s="18"/>
      <c r="F239" s="19"/>
      <c r="G239" s="18"/>
      <c r="H239" s="18"/>
      <c r="I239" s="19"/>
    </row>
    <row r="240" spans="1:9" ht="13.15">
      <c r="A240" s="18"/>
      <c r="B240" s="18"/>
      <c r="C240" s="18"/>
      <c r="D240" s="18"/>
      <c r="E240" s="18"/>
      <c r="F240" s="19"/>
      <c r="G240" s="18"/>
      <c r="H240" s="18"/>
      <c r="I240" s="19"/>
    </row>
    <row r="241" spans="1:9" ht="13.15">
      <c r="A241" s="18"/>
      <c r="B241" s="18"/>
      <c r="C241" s="18"/>
      <c r="D241" s="18"/>
      <c r="E241" s="18"/>
      <c r="F241" s="19"/>
      <c r="G241" s="18"/>
      <c r="H241" s="18"/>
      <c r="I241" s="19"/>
    </row>
    <row r="242" spans="1:9" ht="13.15">
      <c r="A242" s="18"/>
      <c r="B242" s="18"/>
      <c r="C242" s="18"/>
      <c r="D242" s="18"/>
      <c r="E242" s="18"/>
      <c r="F242" s="19"/>
      <c r="G242" s="18"/>
      <c r="H242" s="18"/>
      <c r="I242" s="19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64" priority="5" stopIfTrue="1" operator="lessThanOrEqual">
      <formula>-0.1</formula>
    </cfRule>
    <cfRule type="expression" dxfId="63" priority="6">
      <formula>AND(ISNUMBER(F2), F2&gt;=0.1)</formula>
    </cfRule>
  </conditionalFormatting>
  <conditionalFormatting sqref="F4:F38 I4:I38">
    <cfRule type="cellIs" dxfId="62" priority="1" stopIfTrue="1" operator="lessThanOrEqual">
      <formula>-0.1</formula>
    </cfRule>
    <cfRule type="expression" dxfId="61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K242"/>
  <sheetViews>
    <sheetView workbookViewId="0">
      <pane xSplit="2" ySplit="3" topLeftCell="C4" activePane="bottomRight" state="frozen"/>
      <selection pane="bottomRight" activeCell="C27" sqref="C27"/>
      <selection pane="bottomLeft" activeCell="C48" sqref="C48"/>
      <selection pane="topRight" activeCell="C48" sqref="C4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66" t="str" cm="1">
        <f t="array" ref="A1">portfolio</f>
        <v>Cushman &amp; Wakefield</v>
      </c>
      <c r="B1" s="66"/>
      <c r="C1" s="66"/>
      <c r="D1" s="67" t="s">
        <v>12</v>
      </c>
      <c r="E1" s="67"/>
      <c r="F1" s="67"/>
      <c r="G1" s="65" t="s">
        <v>13</v>
      </c>
      <c r="H1" s="65"/>
      <c r="I1" s="65"/>
    </row>
    <row r="2" spans="1:11" ht="19.5" customHeight="1">
      <c r="A2" s="68" t="s">
        <v>2</v>
      </c>
      <c r="B2" s="68"/>
      <c r="C2" s="6">
        <f>SUM(C4:C38)</f>
        <v>0</v>
      </c>
      <c r="D2" s="6">
        <f>SUM(D4:D38)</f>
        <v>0</v>
      </c>
      <c r="E2" s="6">
        <f>C2-D2</f>
        <v>0</v>
      </c>
      <c r="F2" s="7">
        <f>IFERROR(E2/D2, 0)</f>
        <v>0</v>
      </c>
      <c r="G2" s="6">
        <f>SUM(G4:G38)</f>
        <v>0</v>
      </c>
      <c r="H2" s="8">
        <f>C2-G2</f>
        <v>0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</row>
    <row r="4" spans="1:11" ht="15.75">
      <c r="A4" s="29" t="str" cm="1">
        <f t="array" ref="A4:A38">Sites[Site]</f>
        <v xml:space="preserve"> Adelanto - Bank of America</v>
      </c>
      <c r="B4" s="26" t="str" cm="1">
        <f t="array" ref="B4:B38">Sites[State]</f>
        <v>CA</v>
      </c>
      <c r="C4" s="21">
        <f>SUM(Apr!C4, May!C4, Jun!C4)</f>
        <v>0</v>
      </c>
      <c r="D4" s="11">
        <f>SUM(Apr!D4, May!D4, Jun!D4)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 xml:space="preserve"> Apple Valley - Bank of America</v>
      </c>
      <c r="B5" s="28" t="str">
        <v>CA</v>
      </c>
      <c r="C5" s="10">
        <f>SUM(Apr!C5, May!C5, Jun!C5)</f>
        <v>0</v>
      </c>
      <c r="D5" s="15">
        <f>SUM(Apr!D5, May!D5, Jun!D5)</f>
        <v>0</v>
      </c>
      <c r="E5" s="15">
        <f t="shared" ref="E5:E15" si="0">IF(AND(ISNUMBER(C5),ISNUMBER(D5)), C5-D5, "")</f>
        <v>0</v>
      </c>
      <c r="F5" s="16" t="str">
        <f>IFERROR(E5/D5, "")</f>
        <v/>
      </c>
      <c r="G5" s="17"/>
      <c r="H5" s="17" t="str">
        <f t="shared" ref="H5:H38" si="1">IF(AND(ISNUMBER(C5),ISNUMBER(G5)), C5-G5, "")</f>
        <v/>
      </c>
      <c r="I5" s="16" t="str">
        <f>IFERROR(H5/G5, "")</f>
        <v/>
      </c>
      <c r="J5" s="39"/>
      <c r="K5" s="39"/>
    </row>
    <row r="6" spans="1:11" ht="15.75">
      <c r="A6" s="25" t="str">
        <v xml:space="preserve"> Arvin - Bank of America</v>
      </c>
      <c r="B6" s="26" t="str">
        <v>CA</v>
      </c>
      <c r="C6" s="21">
        <f>SUM(Apr!C6, May!C6, Jun!C6)</f>
        <v>0</v>
      </c>
      <c r="D6" s="11">
        <f>SUM(Apr!D6, May!D6, Jun!D6)</f>
        <v>0</v>
      </c>
      <c r="E6" s="11">
        <f t="shared" si="0"/>
        <v>0</v>
      </c>
      <c r="F6" s="12" t="str">
        <f t="shared" ref="F6:F15" si="2">IFERROR(E6/D6, "")</f>
        <v/>
      </c>
      <c r="G6" s="13"/>
      <c r="H6" s="13" t="str">
        <f t="shared" si="1"/>
        <v/>
      </c>
      <c r="I6" s="14" t="str">
        <f t="shared" ref="I6:I15" si="3">IFERROR(H6/G6, "")</f>
        <v/>
      </c>
      <c r="J6" s="38"/>
      <c r="K6" s="38"/>
    </row>
    <row r="7" spans="1:11" ht="15.75">
      <c r="A7" s="27" t="str">
        <v xml:space="preserve"> Bell - Bank of America</v>
      </c>
      <c r="B7" s="28" t="str">
        <v>CA</v>
      </c>
      <c r="C7" s="10">
        <f>SUM(Apr!C7, May!C7, Jun!C7)</f>
        <v>0</v>
      </c>
      <c r="D7" s="15">
        <f>SUM(Apr!D7, May!D7, Jun!D7)</f>
        <v>0</v>
      </c>
      <c r="E7" s="15">
        <f t="shared" si="0"/>
        <v>0</v>
      </c>
      <c r="F7" s="16" t="str">
        <f t="shared" si="2"/>
        <v/>
      </c>
      <c r="G7" s="17"/>
      <c r="H7" s="17" t="str">
        <f t="shared" si="1"/>
        <v/>
      </c>
      <c r="I7" s="16" t="str">
        <f t="shared" si="3"/>
        <v/>
      </c>
      <c r="J7" s="39"/>
      <c r="K7" s="40"/>
    </row>
    <row r="8" spans="1:11" ht="15.75">
      <c r="A8" s="25" t="str">
        <v xml:space="preserve"> Chula Vista - Bank of America</v>
      </c>
      <c r="B8" s="26" t="str">
        <v>CA</v>
      </c>
      <c r="C8" s="21">
        <f>SUM(Apr!C8, May!C8, Jun!C8)</f>
        <v>0</v>
      </c>
      <c r="D8" s="11">
        <f>SUM(Apr!D8, May!D8, Jun!D8)</f>
        <v>0</v>
      </c>
      <c r="E8" s="11">
        <f t="shared" si="0"/>
        <v>0</v>
      </c>
      <c r="F8" s="12" t="str">
        <f t="shared" si="2"/>
        <v/>
      </c>
      <c r="G8" s="13"/>
      <c r="H8" s="13" t="str">
        <f t="shared" si="1"/>
        <v/>
      </c>
      <c r="I8" s="14" t="str">
        <f t="shared" si="3"/>
        <v/>
      </c>
      <c r="J8" s="38"/>
      <c r="K8" s="38"/>
    </row>
    <row r="9" spans="1:11" ht="15.75">
      <c r="A9" s="27" t="str">
        <v xml:space="preserve"> Cupertino - Bank of America</v>
      </c>
      <c r="B9" s="28" t="str">
        <v>CA</v>
      </c>
      <c r="C9" s="10">
        <f>SUM(Apr!C9, May!C9, Jun!C9)</f>
        <v>0</v>
      </c>
      <c r="D9" s="15">
        <f>SUM(Apr!D9, May!D9, Jun!D9)</f>
        <v>0</v>
      </c>
      <c r="E9" s="15">
        <f t="shared" si="0"/>
        <v>0</v>
      </c>
      <c r="F9" s="16" t="str">
        <f t="shared" si="2"/>
        <v/>
      </c>
      <c r="G9" s="17"/>
      <c r="H9" s="17" t="str">
        <f t="shared" si="1"/>
        <v/>
      </c>
      <c r="I9" s="16" t="str">
        <f t="shared" si="3"/>
        <v/>
      </c>
      <c r="J9" s="39"/>
      <c r="K9" s="40"/>
    </row>
    <row r="10" spans="1:11" ht="15.75">
      <c r="A10" s="25" t="str">
        <v xml:space="preserve"> Diamond Bar - Bank of America</v>
      </c>
      <c r="B10" s="26" t="str">
        <v>CA</v>
      </c>
      <c r="C10" s="21">
        <f>SUM(Apr!C10, May!C10, Jun!C10)</f>
        <v>0</v>
      </c>
      <c r="D10" s="11">
        <f>SUM(Apr!D10, May!D10, Jun!D10)</f>
        <v>0</v>
      </c>
      <c r="E10" s="11">
        <f t="shared" si="0"/>
        <v>0</v>
      </c>
      <c r="F10" s="12" t="str">
        <f t="shared" si="2"/>
        <v/>
      </c>
      <c r="G10" s="13"/>
      <c r="H10" s="13" t="str">
        <f t="shared" si="1"/>
        <v/>
      </c>
      <c r="I10" s="14" t="str">
        <f t="shared" si="3"/>
        <v/>
      </c>
      <c r="J10" s="38"/>
      <c r="K10" s="38"/>
    </row>
    <row r="11" spans="1:11" ht="15.75">
      <c r="A11" s="27" t="str">
        <v xml:space="preserve"> El Centro - Bank of America</v>
      </c>
      <c r="B11" s="28" t="str">
        <v>CA</v>
      </c>
      <c r="C11" s="10">
        <f>SUM(Apr!C11, May!C11, Jun!C11)</f>
        <v>0</v>
      </c>
      <c r="D11" s="15">
        <f>SUM(Apr!D11, May!D11, Jun!D11)</f>
        <v>0</v>
      </c>
      <c r="E11" s="15">
        <f t="shared" si="0"/>
        <v>0</v>
      </c>
      <c r="F11" s="16" t="str">
        <f t="shared" si="2"/>
        <v/>
      </c>
      <c r="G11" s="17"/>
      <c r="H11" s="17" t="str">
        <f t="shared" si="1"/>
        <v/>
      </c>
      <c r="I11" s="16" t="str">
        <f t="shared" si="3"/>
        <v/>
      </c>
      <c r="J11" s="39"/>
      <c r="K11" s="40"/>
    </row>
    <row r="12" spans="1:11" ht="15.75">
      <c r="A12" s="25" t="str">
        <v xml:space="preserve"> Moreno Valley - Bank of America</v>
      </c>
      <c r="B12" s="26" t="str">
        <v>CA</v>
      </c>
      <c r="C12" s="21">
        <f>SUM(Apr!C12, May!C12, Jun!C12)</f>
        <v>0</v>
      </c>
      <c r="D12" s="11">
        <f>SUM(Apr!D12, May!D12, Jun!D12)</f>
        <v>0</v>
      </c>
      <c r="E12" s="11">
        <f t="shared" si="0"/>
        <v>0</v>
      </c>
      <c r="F12" s="12" t="str">
        <f t="shared" si="2"/>
        <v/>
      </c>
      <c r="G12" s="13"/>
      <c r="H12" s="13" t="str">
        <f t="shared" si="1"/>
        <v/>
      </c>
      <c r="I12" s="14" t="str">
        <f t="shared" si="3"/>
        <v/>
      </c>
      <c r="J12" s="38"/>
      <c r="K12" s="38"/>
    </row>
    <row r="13" spans="1:11" ht="15.75">
      <c r="A13" s="27" t="str">
        <v xml:space="preserve"> Redlands - Bank of America</v>
      </c>
      <c r="B13" s="28" t="str">
        <v>CA</v>
      </c>
      <c r="C13" s="10">
        <f>SUM(Apr!C13, May!C13, Jun!C13)</f>
        <v>0</v>
      </c>
      <c r="D13" s="15">
        <f>SUM(Apr!D13, May!D13, Jun!D13)</f>
        <v>0</v>
      </c>
      <c r="E13" s="15">
        <f t="shared" si="0"/>
        <v>0</v>
      </c>
      <c r="F13" s="16" t="str">
        <f t="shared" si="2"/>
        <v/>
      </c>
      <c r="G13" s="17"/>
      <c r="H13" s="17" t="str">
        <f t="shared" si="1"/>
        <v/>
      </c>
      <c r="I13" s="16" t="str">
        <f t="shared" si="3"/>
        <v/>
      </c>
      <c r="J13" s="39"/>
      <c r="K13" s="40"/>
    </row>
    <row r="14" spans="1:11" ht="15.75">
      <c r="A14" s="25" t="str">
        <v xml:space="preserve"> Roseville - Bank of America</v>
      </c>
      <c r="B14" s="26" t="str">
        <v>CA</v>
      </c>
      <c r="C14" s="21">
        <f>SUM(Apr!C14, May!C14, Jun!C14)</f>
        <v>0</v>
      </c>
      <c r="D14" s="11">
        <f>SUM(Apr!D14, May!D14, Jun!D14)</f>
        <v>0</v>
      </c>
      <c r="E14" s="11">
        <f t="shared" si="0"/>
        <v>0</v>
      </c>
      <c r="F14" s="12" t="str">
        <f t="shared" si="2"/>
        <v/>
      </c>
      <c r="G14" s="13"/>
      <c r="H14" s="13" t="str">
        <f t="shared" si="1"/>
        <v/>
      </c>
      <c r="I14" s="14" t="str">
        <f t="shared" si="3"/>
        <v/>
      </c>
      <c r="J14" s="38"/>
      <c r="K14" s="38"/>
    </row>
    <row r="15" spans="1:11" ht="15.75">
      <c r="A15" s="27" t="str">
        <v xml:space="preserve"> San Bernardino - Bank of America</v>
      </c>
      <c r="B15" s="28" t="str">
        <v>CA</v>
      </c>
      <c r="C15" s="10">
        <f>SUM(Apr!C15, May!C15, Jun!C15)</f>
        <v>0</v>
      </c>
      <c r="D15" s="15">
        <f>SUM(Apr!D15, May!D15, Jun!D15)</f>
        <v>0</v>
      </c>
      <c r="E15" s="15">
        <f t="shared" si="0"/>
        <v>0</v>
      </c>
      <c r="F15" s="16" t="str">
        <f t="shared" si="2"/>
        <v/>
      </c>
      <c r="G15" s="17"/>
      <c r="H15" s="17" t="str">
        <f t="shared" si="1"/>
        <v/>
      </c>
      <c r="I15" s="16" t="str">
        <f t="shared" si="3"/>
        <v/>
      </c>
      <c r="J15" s="39"/>
      <c r="K15" s="40"/>
    </row>
    <row r="16" spans="1:11" ht="15.75">
      <c r="A16" s="25" t="str">
        <v xml:space="preserve"> San Diego - Bank of America</v>
      </c>
      <c r="B16" s="26" t="str">
        <v>CA</v>
      </c>
      <c r="C16" s="21">
        <f>SUM(Apr!C16, May!C16, Jun!C16)</f>
        <v>0</v>
      </c>
      <c r="D16" s="11">
        <f>SUM(Apr!D16, May!D16, Jun!D16)</f>
        <v>0</v>
      </c>
      <c r="E16" s="11">
        <f t="shared" ref="E16:E17" si="4">IF(AND(ISNUMBER(C16),ISNUMBER(D16)), C16-D16, "")</f>
        <v>0</v>
      </c>
      <c r="F16" s="12" t="str">
        <f t="shared" ref="F16:F17" si="5">IFERROR(E16/D16, "")</f>
        <v/>
      </c>
      <c r="G16" s="13"/>
      <c r="H16" s="13" t="str">
        <f t="shared" si="1"/>
        <v/>
      </c>
      <c r="I16" s="14" t="str">
        <f t="shared" ref="I16:I17" si="6">IFERROR(H16/G16, "")</f>
        <v/>
      </c>
      <c r="J16" s="38"/>
      <c r="K16" s="38"/>
    </row>
    <row r="17" spans="1:11" ht="15.75">
      <c r="A17" s="27" t="str">
        <v xml:space="preserve"> Stockton - Bank of America</v>
      </c>
      <c r="B17" s="28" t="str">
        <v>CA</v>
      </c>
      <c r="C17" s="10">
        <f>SUM(Apr!C17, May!C17, Jun!C17)</f>
        <v>0</v>
      </c>
      <c r="D17" s="15">
        <f>SUM(Apr!D17, May!D17, Jun!D17)</f>
        <v>0</v>
      </c>
      <c r="E17" s="15">
        <f t="shared" si="4"/>
        <v>0</v>
      </c>
      <c r="F17" s="16" t="str">
        <f t="shared" si="5"/>
        <v/>
      </c>
      <c r="G17" s="17"/>
      <c r="H17" s="17" t="str">
        <f t="shared" si="1"/>
        <v/>
      </c>
      <c r="I17" s="16" t="str">
        <f t="shared" si="6"/>
        <v/>
      </c>
      <c r="J17" s="39"/>
      <c r="K17" s="39"/>
    </row>
    <row r="18" spans="1:11" ht="12.75" customHeight="1">
      <c r="A18" s="25" t="str">
        <v xml:space="preserve"> Victorville - Bank of America</v>
      </c>
      <c r="B18" s="26" t="str">
        <v>CA</v>
      </c>
      <c r="C18" s="63">
        <f>SUM(Apr!C18, May!C18, Jun!C18)</f>
        <v>0</v>
      </c>
      <c r="D18" s="11">
        <f>SUM(Apr!D18, May!D18, Jun!D18)</f>
        <v>0</v>
      </c>
      <c r="E18" s="11">
        <f t="shared" ref="E18:E38" si="7">IF(AND(ISNUMBER(C18),ISNUMBER(D18)), C18-D18, "")</f>
        <v>0</v>
      </c>
      <c r="F18" s="64" t="str">
        <f t="shared" ref="F18:F38" si="8">IFERROR(E18/D18, "")</f>
        <v/>
      </c>
      <c r="G18" s="13"/>
      <c r="H18" s="13" t="str">
        <f t="shared" si="1"/>
        <v/>
      </c>
      <c r="I18" s="14"/>
      <c r="J18" s="38"/>
      <c r="K18" s="38"/>
    </row>
    <row r="19" spans="1:11" ht="15.75">
      <c r="A19" s="27" t="str">
        <v xml:space="preserve"> Aurora - BA - Colfax Ave</v>
      </c>
      <c r="B19" s="28" t="str">
        <v>CO</v>
      </c>
      <c r="C19" s="10">
        <f>SUM(Apr!C19, May!C19, Jun!C19)</f>
        <v>0</v>
      </c>
      <c r="D19" s="15">
        <f>SUM(Apr!D19, May!D19, Jun!D19)</f>
        <v>0</v>
      </c>
      <c r="E19" s="15">
        <f t="shared" si="7"/>
        <v>0</v>
      </c>
      <c r="F19" s="16" t="str">
        <f t="shared" si="8"/>
        <v/>
      </c>
      <c r="G19" s="17"/>
      <c r="H19" s="17" t="str">
        <f t="shared" si="1"/>
        <v/>
      </c>
      <c r="I19" s="16"/>
      <c r="J19" s="39"/>
      <c r="K19" s="40"/>
    </row>
    <row r="20" spans="1:11" ht="15.75">
      <c r="A20" s="25" t="str">
        <v xml:space="preserve"> Aurora - BA - Parker Rd</v>
      </c>
      <c r="B20" s="26" t="str">
        <v>CO</v>
      </c>
      <c r="C20" s="63">
        <f>SUM(Apr!C20, May!C20, Jun!C20)</f>
        <v>0</v>
      </c>
      <c r="D20" s="11">
        <f>SUM(Apr!D20, May!D20, Jun!D20)</f>
        <v>0</v>
      </c>
      <c r="E20" s="11">
        <f t="shared" si="7"/>
        <v>0</v>
      </c>
      <c r="F20" s="64" t="str">
        <f t="shared" si="8"/>
        <v/>
      </c>
      <c r="G20" s="13"/>
      <c r="H20" s="13" t="str">
        <f t="shared" si="1"/>
        <v/>
      </c>
      <c r="I20" s="14"/>
      <c r="J20" s="38"/>
      <c r="K20" s="38"/>
    </row>
    <row r="21" spans="1:11" ht="15.75">
      <c r="A21" s="27" t="str">
        <v xml:space="preserve"> Broomfield - Bank of America</v>
      </c>
      <c r="B21" s="28" t="str">
        <v>CO</v>
      </c>
      <c r="C21" s="10">
        <f>SUM(Apr!C21, May!C21, Jun!C21)</f>
        <v>0</v>
      </c>
      <c r="D21" s="15">
        <f>SUM(Apr!D21, May!D21, Jun!D21)</f>
        <v>0</v>
      </c>
      <c r="E21" s="15">
        <f t="shared" si="7"/>
        <v>0</v>
      </c>
      <c r="F21" s="16" t="str">
        <f t="shared" si="8"/>
        <v/>
      </c>
      <c r="G21" s="17"/>
      <c r="H21" s="17" t="str">
        <f t="shared" si="1"/>
        <v/>
      </c>
      <c r="I21" s="16"/>
      <c r="J21" s="39"/>
      <c r="K21" s="40"/>
    </row>
    <row r="22" spans="1:11" ht="15.75">
      <c r="A22" s="25" t="str">
        <v xml:space="preserve"> Colorado Springs - Bank of America</v>
      </c>
      <c r="B22" s="26" t="str">
        <v>CO</v>
      </c>
      <c r="C22" s="63">
        <f>SUM(Apr!C22, May!C22, Jun!C22)</f>
        <v>0</v>
      </c>
      <c r="D22" s="11">
        <f>SUM(Apr!D22, May!D22, Jun!D22)</f>
        <v>0</v>
      </c>
      <c r="E22" s="11">
        <f t="shared" si="7"/>
        <v>0</v>
      </c>
      <c r="F22" s="64" t="str">
        <f t="shared" si="8"/>
        <v/>
      </c>
      <c r="G22" s="13"/>
      <c r="H22" s="13" t="str">
        <f t="shared" si="1"/>
        <v/>
      </c>
      <c r="I22" s="14"/>
      <c r="J22" s="38"/>
      <c r="K22" s="38"/>
    </row>
    <row r="23" spans="1:11" ht="15.75">
      <c r="A23" s="27" t="str">
        <v xml:space="preserve"> Denver - BA - 49th Ave</v>
      </c>
      <c r="B23" s="28" t="str">
        <v>CO</v>
      </c>
      <c r="C23" s="10">
        <f>SUM(Apr!C23, May!C23, Jun!C23)</f>
        <v>0</v>
      </c>
      <c r="D23" s="15">
        <f>SUM(Apr!D23, May!D23, Jun!D23)</f>
        <v>0</v>
      </c>
      <c r="E23" s="15">
        <f t="shared" si="7"/>
        <v>0</v>
      </c>
      <c r="F23" s="16" t="str">
        <f t="shared" si="8"/>
        <v/>
      </c>
      <c r="G23" s="17"/>
      <c r="H23" s="17" t="str">
        <f t="shared" si="1"/>
        <v/>
      </c>
      <c r="I23" s="16"/>
      <c r="J23" s="39"/>
      <c r="K23" s="40"/>
    </row>
    <row r="24" spans="1:11" ht="15.75">
      <c r="A24" s="25" t="str">
        <v xml:space="preserve"> Denver - BA Wadsworth Blvd</v>
      </c>
      <c r="B24" s="26" t="str">
        <v>CO</v>
      </c>
      <c r="C24" s="63">
        <f>SUM(Apr!C24, May!C24, Jun!C24)</f>
        <v>0</v>
      </c>
      <c r="D24" s="11">
        <f>SUM(Apr!D24, May!D24, Jun!D24)</f>
        <v>0</v>
      </c>
      <c r="E24" s="11">
        <f t="shared" si="7"/>
        <v>0</v>
      </c>
      <c r="F24" s="64" t="str">
        <f t="shared" si="8"/>
        <v/>
      </c>
      <c r="G24" s="13"/>
      <c r="H24" s="13" t="str">
        <f t="shared" si="1"/>
        <v/>
      </c>
      <c r="I24" s="14"/>
      <c r="J24" s="38"/>
      <c r="K24" s="38"/>
    </row>
    <row r="25" spans="1:11" ht="15.75">
      <c r="A25" s="27" t="str">
        <v xml:space="preserve"> Fort Collins - Bank of America</v>
      </c>
      <c r="B25" s="28" t="str">
        <v>CO</v>
      </c>
      <c r="C25" s="10">
        <f>SUM(Apr!C25, May!C25, Jun!C25)</f>
        <v>0</v>
      </c>
      <c r="D25" s="15">
        <f>SUM(Apr!D25, May!D25, Jun!D25)</f>
        <v>0</v>
      </c>
      <c r="E25" s="15">
        <f t="shared" si="7"/>
        <v>0</v>
      </c>
      <c r="F25" s="16" t="str">
        <f t="shared" si="8"/>
        <v/>
      </c>
      <c r="G25" s="17"/>
      <c r="H25" s="17" t="str">
        <f t="shared" si="1"/>
        <v/>
      </c>
      <c r="I25" s="16"/>
      <c r="J25" s="39"/>
      <c r="K25" s="40"/>
    </row>
    <row r="26" spans="1:11" ht="15.75">
      <c r="A26" s="25" t="str">
        <v xml:space="preserve"> Lafayette - Bank of America</v>
      </c>
      <c r="B26" s="26" t="str">
        <v>CO</v>
      </c>
      <c r="C26" s="63">
        <f>SUM(Apr!C26, May!C26, Jun!C26)</f>
        <v>0</v>
      </c>
      <c r="D26" s="11">
        <f>SUM(Apr!D26, May!D26, Jun!D26)</f>
        <v>0</v>
      </c>
      <c r="E26" s="11">
        <f t="shared" si="7"/>
        <v>0</v>
      </c>
      <c r="F26" s="64" t="str">
        <f t="shared" si="8"/>
        <v/>
      </c>
      <c r="G26" s="13"/>
      <c r="H26" s="13" t="str">
        <f t="shared" si="1"/>
        <v/>
      </c>
      <c r="I26" s="14"/>
      <c r="J26" s="38"/>
      <c r="K26" s="38"/>
    </row>
    <row r="27" spans="1:11" ht="15.75">
      <c r="A27" s="27" t="str">
        <v xml:space="preserve"> Lakewood - Bank of America</v>
      </c>
      <c r="B27" s="28" t="str">
        <v>CO</v>
      </c>
      <c r="C27" s="10">
        <f>SUM(Apr!C27, May!C27, Jun!C27)</f>
        <v>0</v>
      </c>
      <c r="D27" s="15">
        <f>SUM(Apr!D27, May!D27, Jun!D27)</f>
        <v>0</v>
      </c>
      <c r="E27" s="15">
        <f t="shared" si="7"/>
        <v>0</v>
      </c>
      <c r="F27" s="16" t="str">
        <f t="shared" si="8"/>
        <v/>
      </c>
      <c r="G27" s="17"/>
      <c r="H27" s="17" t="str">
        <f t="shared" si="1"/>
        <v/>
      </c>
      <c r="I27" s="16"/>
      <c r="J27" s="39"/>
      <c r="K27" s="40"/>
    </row>
    <row r="28" spans="1:11" ht="15.75">
      <c r="A28" s="25" t="str">
        <v xml:space="preserve"> Longmont - Bank of America</v>
      </c>
      <c r="B28" s="26" t="str">
        <v>CO</v>
      </c>
      <c r="C28" s="63">
        <f>SUM(Apr!C28, May!C28, Jun!C28)</f>
        <v>0</v>
      </c>
      <c r="D28" s="11">
        <f>SUM(Apr!D28, May!D28, Jun!D28)</f>
        <v>0</v>
      </c>
      <c r="E28" s="11">
        <f t="shared" si="7"/>
        <v>0</v>
      </c>
      <c r="F28" s="64" t="str">
        <f t="shared" si="8"/>
        <v/>
      </c>
      <c r="G28" s="13"/>
      <c r="H28" s="13" t="str">
        <f t="shared" si="1"/>
        <v/>
      </c>
      <c r="I28" s="14"/>
      <c r="J28" s="38"/>
      <c r="K28" s="38"/>
    </row>
    <row r="29" spans="1:11" ht="15.75">
      <c r="A29" s="27" t="str">
        <v xml:space="preserve"> Thornton - Bank of America</v>
      </c>
      <c r="B29" s="28" t="str">
        <v>CO</v>
      </c>
      <c r="C29" s="10">
        <f>SUM(Apr!C29, May!C29, Jun!C29)</f>
        <v>0</v>
      </c>
      <c r="D29" s="15">
        <f>SUM(Apr!D29, May!D29, Jun!D29)</f>
        <v>0</v>
      </c>
      <c r="E29" s="15">
        <f t="shared" si="7"/>
        <v>0</v>
      </c>
      <c r="F29" s="16" t="str">
        <f t="shared" si="8"/>
        <v/>
      </c>
      <c r="G29" s="17"/>
      <c r="H29" s="17" t="str">
        <f t="shared" si="1"/>
        <v/>
      </c>
      <c r="I29" s="16"/>
      <c r="J29" s="39"/>
      <c r="K29" s="39"/>
    </row>
    <row r="30" spans="1:11" ht="15.75">
      <c r="A30" s="25" t="str">
        <v xml:space="preserve"> Calumet City - Bank of America</v>
      </c>
      <c r="B30" s="26" t="str">
        <v>IL</v>
      </c>
      <c r="C30" s="63">
        <f>SUM(Apr!C30, May!C30, Jun!C30)</f>
        <v>0</v>
      </c>
      <c r="D30" s="11">
        <f>SUM(Apr!D30, May!D30, Jun!D30)</f>
        <v>0</v>
      </c>
      <c r="E30" s="11">
        <f t="shared" si="7"/>
        <v>0</v>
      </c>
      <c r="F30" s="64" t="str">
        <f t="shared" si="8"/>
        <v/>
      </c>
      <c r="G30" s="13"/>
      <c r="H30" s="13" t="str">
        <f t="shared" si="1"/>
        <v/>
      </c>
      <c r="I30" s="14"/>
      <c r="J30" s="38"/>
      <c r="K30" s="38"/>
    </row>
    <row r="31" spans="1:11" ht="15.75">
      <c r="A31" s="27" t="str">
        <v xml:space="preserve"> Downers Grove - Bank of America</v>
      </c>
      <c r="B31" s="28" t="str">
        <v>IL</v>
      </c>
      <c r="C31" s="10">
        <f>SUM(Apr!C31, May!C31, Jun!C31)</f>
        <v>0</v>
      </c>
      <c r="D31" s="15">
        <f>SUM(Apr!D31, May!D31, Jun!D31)</f>
        <v>0</v>
      </c>
      <c r="E31" s="15">
        <f t="shared" si="7"/>
        <v>0</v>
      </c>
      <c r="F31" s="16" t="str">
        <f t="shared" si="8"/>
        <v/>
      </c>
      <c r="G31" s="17"/>
      <c r="H31" s="17" t="str">
        <f t="shared" si="1"/>
        <v/>
      </c>
      <c r="I31" s="16"/>
      <c r="J31" s="39"/>
      <c r="K31" s="40"/>
    </row>
    <row r="32" spans="1:11" ht="15.75">
      <c r="A32" s="25" t="str">
        <v xml:space="preserve"> Bloomington - Bank of America</v>
      </c>
      <c r="B32" s="26" t="str">
        <v>MN</v>
      </c>
      <c r="C32" s="63">
        <f>SUM(Apr!C32, May!C32, Jun!C32)</f>
        <v>0</v>
      </c>
      <c r="D32" s="11">
        <f>SUM(Apr!D32, May!D32, Jun!D32)</f>
        <v>0</v>
      </c>
      <c r="E32" s="11">
        <f t="shared" si="7"/>
        <v>0</v>
      </c>
      <c r="F32" s="64" t="str">
        <f t="shared" si="8"/>
        <v/>
      </c>
      <c r="G32" s="13"/>
      <c r="H32" s="13" t="str">
        <f t="shared" si="1"/>
        <v/>
      </c>
      <c r="I32" s="14"/>
      <c r="J32" s="38"/>
      <c r="K32" s="38"/>
    </row>
    <row r="33" spans="1:11" ht="15.75">
      <c r="A33" s="27" t="str">
        <v xml:space="preserve"> Clayton - Bank of America</v>
      </c>
      <c r="B33" s="28" t="str">
        <v>MO</v>
      </c>
      <c r="C33" s="10">
        <f>SUM(Apr!C33, May!C33, Jun!C33)</f>
        <v>0</v>
      </c>
      <c r="D33" s="15">
        <f>SUM(Apr!D33, May!D33, Jun!D33)</f>
        <v>0</v>
      </c>
      <c r="E33" s="15">
        <f t="shared" si="7"/>
        <v>0</v>
      </c>
      <c r="F33" s="16" t="str">
        <f t="shared" si="8"/>
        <v/>
      </c>
      <c r="G33" s="17"/>
      <c r="H33" s="17" t="str">
        <f t="shared" si="1"/>
        <v/>
      </c>
      <c r="I33" s="16"/>
      <c r="J33" s="39"/>
      <c r="K33" s="40"/>
    </row>
    <row r="34" spans="1:11" ht="15.75">
      <c r="A34" s="25" t="str">
        <v xml:space="preserve"> Manchester - Bank of America</v>
      </c>
      <c r="B34" s="26" t="str">
        <v>MO</v>
      </c>
      <c r="C34" s="63">
        <f>SUM(Apr!C34, May!C34, Jun!C34)</f>
        <v>0</v>
      </c>
      <c r="D34" s="11">
        <f>SUM(Apr!D34, May!D34, Jun!D34)</f>
        <v>0</v>
      </c>
      <c r="E34" s="11">
        <f t="shared" si="7"/>
        <v>0</v>
      </c>
      <c r="F34" s="64" t="str">
        <f t="shared" si="8"/>
        <v/>
      </c>
      <c r="G34" s="13"/>
      <c r="H34" s="13" t="str">
        <f t="shared" si="1"/>
        <v/>
      </c>
      <c r="I34" s="14"/>
      <c r="J34" s="38"/>
      <c r="K34" s="38"/>
    </row>
    <row r="35" spans="1:11" ht="15.75">
      <c r="A35" s="27" t="str">
        <v xml:space="preserve"> Las Vegas - BA - Eastern Ave</v>
      </c>
      <c r="B35" s="28" t="str">
        <v>NV</v>
      </c>
      <c r="C35" s="10">
        <f>SUM(Apr!C35, May!C35, Jun!C35)</f>
        <v>0</v>
      </c>
      <c r="D35" s="15">
        <f>SUM(Apr!D35, May!D35, Jun!D35)</f>
        <v>0</v>
      </c>
      <c r="E35" s="15">
        <f t="shared" si="7"/>
        <v>0</v>
      </c>
      <c r="F35" s="16" t="str">
        <f t="shared" si="8"/>
        <v/>
      </c>
      <c r="G35" s="17"/>
      <c r="H35" s="17" t="str">
        <f t="shared" si="1"/>
        <v/>
      </c>
      <c r="I35" s="16"/>
      <c r="J35" s="39"/>
      <c r="K35" s="40"/>
    </row>
    <row r="36" spans="1:11" ht="15.75">
      <c r="A36" s="25" t="str">
        <v xml:space="preserve"> Las Vegas - BA - Town Ctr Dr</v>
      </c>
      <c r="B36" s="26" t="str">
        <v>NV</v>
      </c>
      <c r="C36" s="63">
        <f>SUM(Apr!C36, May!C36, Jun!C36)</f>
        <v>0</v>
      </c>
      <c r="D36" s="11">
        <f>SUM(Apr!D36, May!D36, Jun!D36)</f>
        <v>0</v>
      </c>
      <c r="E36" s="11">
        <f t="shared" si="7"/>
        <v>0</v>
      </c>
      <c r="F36" s="64" t="str">
        <f t="shared" si="8"/>
        <v/>
      </c>
      <c r="G36" s="13"/>
      <c r="H36" s="13" t="str">
        <f t="shared" si="1"/>
        <v/>
      </c>
      <c r="I36" s="14"/>
      <c r="J36" s="38"/>
      <c r="K36" s="38"/>
    </row>
    <row r="37" spans="1:11" ht="15.75">
      <c r="A37" s="27" t="str">
        <v xml:space="preserve"> Riverton - Bank of America</v>
      </c>
      <c r="B37" s="28" t="str">
        <v>UT</v>
      </c>
      <c r="C37" s="10">
        <f>SUM(Apr!C37, May!C37, Jun!C37)</f>
        <v>0</v>
      </c>
      <c r="D37" s="15">
        <f>SUM(Apr!D37, May!D37, Jun!D37)</f>
        <v>0</v>
      </c>
      <c r="E37" s="15">
        <f t="shared" si="7"/>
        <v>0</v>
      </c>
      <c r="F37" s="16" t="str">
        <f t="shared" si="8"/>
        <v/>
      </c>
      <c r="G37" s="17"/>
      <c r="H37" s="17" t="str">
        <f t="shared" si="1"/>
        <v/>
      </c>
      <c r="I37" s="16"/>
      <c r="J37" s="39"/>
      <c r="K37" s="40"/>
    </row>
    <row r="38" spans="1:11" ht="15.75">
      <c r="A38" s="25" t="str">
        <v xml:space="preserve"> Salt Lake City - Bank of America</v>
      </c>
      <c r="B38" s="26" t="str">
        <v>UT</v>
      </c>
      <c r="C38" s="63">
        <f>SUM(Apr!C38, May!C38, Jun!C38)</f>
        <v>0</v>
      </c>
      <c r="D38" s="11">
        <f>SUM(Apr!D38, May!D38, Jun!D38)</f>
        <v>0</v>
      </c>
      <c r="E38" s="11">
        <f t="shared" si="7"/>
        <v>0</v>
      </c>
      <c r="F38" s="64" t="str">
        <f t="shared" si="8"/>
        <v/>
      </c>
      <c r="G38" s="13"/>
      <c r="H38" s="13" t="str">
        <f t="shared" si="1"/>
        <v/>
      </c>
      <c r="I38" s="14"/>
      <c r="J38" s="38"/>
      <c r="K38" s="38"/>
    </row>
    <row r="39" spans="1:11" ht="13.15">
      <c r="A39" s="18"/>
      <c r="B39" s="18"/>
      <c r="C39" s="18"/>
      <c r="D39" s="18"/>
      <c r="E39" s="18"/>
      <c r="F39" s="19"/>
      <c r="G39" s="18"/>
      <c r="H39" s="18"/>
      <c r="I39" s="19"/>
    </row>
    <row r="40" spans="1:11" ht="13.15">
      <c r="A40" s="18"/>
      <c r="B40" s="18"/>
      <c r="C40" s="18"/>
      <c r="D40" s="18"/>
      <c r="E40" s="18"/>
      <c r="F40" s="19"/>
      <c r="G40" s="18"/>
      <c r="H40" s="18"/>
      <c r="I40" s="19"/>
    </row>
    <row r="41" spans="1:11" ht="13.15">
      <c r="A41" s="18"/>
      <c r="B41" s="18"/>
      <c r="C41" s="18"/>
      <c r="D41" s="18"/>
      <c r="E41" s="18"/>
      <c r="F41" s="19"/>
      <c r="G41" s="18"/>
      <c r="H41" s="18"/>
      <c r="I41" s="19"/>
    </row>
    <row r="42" spans="1:11" ht="13.15">
      <c r="A42" s="18"/>
      <c r="B42" s="18"/>
      <c r="C42" s="18"/>
      <c r="D42" s="18"/>
      <c r="E42" s="18"/>
      <c r="F42" s="19"/>
      <c r="G42" s="18"/>
      <c r="H42" s="18"/>
      <c r="I42" s="19"/>
    </row>
    <row r="43" spans="1:11" ht="13.15">
      <c r="A43" s="18"/>
      <c r="B43" s="18"/>
      <c r="C43" s="18"/>
      <c r="D43" s="18"/>
      <c r="E43" s="18"/>
      <c r="F43" s="19"/>
      <c r="G43" s="18"/>
      <c r="H43" s="18"/>
      <c r="I43" s="19"/>
    </row>
    <row r="44" spans="1:11" ht="13.15">
      <c r="A44" s="18"/>
      <c r="B44" s="18"/>
      <c r="C44" s="18"/>
      <c r="D44" s="18"/>
      <c r="E44" s="18"/>
      <c r="F44" s="19"/>
      <c r="G44" s="18"/>
      <c r="H44" s="18"/>
      <c r="I44" s="19"/>
    </row>
    <row r="45" spans="1:11" ht="13.15">
      <c r="A45" s="18"/>
      <c r="B45" s="18"/>
      <c r="C45" s="18"/>
      <c r="D45" s="18"/>
      <c r="E45" s="18"/>
      <c r="F45" s="19"/>
      <c r="G45" s="18"/>
      <c r="H45" s="18"/>
      <c r="I45" s="19"/>
    </row>
    <row r="46" spans="1:11" ht="13.15">
      <c r="A46" s="18"/>
      <c r="B46" s="18"/>
      <c r="C46" s="18"/>
      <c r="D46" s="18"/>
      <c r="E46" s="18"/>
      <c r="F46" s="19"/>
      <c r="G46" s="18"/>
      <c r="H46" s="18"/>
      <c r="I46" s="19"/>
    </row>
    <row r="47" spans="1:11" ht="13.15">
      <c r="A47" s="18"/>
      <c r="B47" s="18"/>
      <c r="C47" s="18"/>
      <c r="D47" s="18"/>
      <c r="E47" s="18"/>
      <c r="F47" s="19"/>
      <c r="G47" s="18"/>
      <c r="H47" s="18"/>
      <c r="I47" s="19"/>
    </row>
    <row r="48" spans="1:11" ht="13.15">
      <c r="A48" s="18"/>
      <c r="B48" s="18"/>
      <c r="C48" s="18"/>
      <c r="D48" s="18"/>
      <c r="E48" s="18"/>
      <c r="F48" s="19"/>
      <c r="G48" s="18"/>
      <c r="H48" s="18"/>
      <c r="I48" s="19"/>
    </row>
    <row r="49" spans="1:9" ht="13.15">
      <c r="A49" s="18"/>
      <c r="B49" s="18"/>
      <c r="C49" s="18"/>
      <c r="D49" s="18"/>
      <c r="E49" s="18"/>
      <c r="F49" s="19"/>
      <c r="G49" s="18"/>
      <c r="H49" s="18"/>
      <c r="I49" s="19"/>
    </row>
    <row r="50" spans="1:9" ht="13.15">
      <c r="A50" s="18"/>
      <c r="B50" s="18"/>
      <c r="C50" s="18"/>
      <c r="D50" s="18"/>
      <c r="E50" s="18"/>
      <c r="F50" s="19"/>
      <c r="G50" s="18"/>
      <c r="H50" s="18"/>
      <c r="I50" s="19"/>
    </row>
    <row r="51" spans="1:9" ht="13.15">
      <c r="A51" s="18"/>
      <c r="B51" s="18"/>
      <c r="C51" s="18"/>
      <c r="D51" s="18"/>
      <c r="E51" s="18"/>
      <c r="F51" s="19"/>
      <c r="G51" s="18"/>
      <c r="H51" s="18"/>
      <c r="I51" s="19"/>
    </row>
    <row r="52" spans="1:9" ht="13.15">
      <c r="A52" s="18"/>
      <c r="B52" s="18"/>
      <c r="C52" s="18"/>
      <c r="D52" s="18"/>
      <c r="E52" s="18"/>
      <c r="F52" s="19"/>
      <c r="G52" s="18"/>
      <c r="H52" s="18"/>
      <c r="I52" s="19"/>
    </row>
    <row r="53" spans="1:9" ht="13.15">
      <c r="A53" s="18"/>
      <c r="B53" s="18"/>
      <c r="C53" s="18"/>
      <c r="D53" s="18"/>
      <c r="E53" s="18"/>
      <c r="F53" s="19"/>
      <c r="G53" s="18"/>
      <c r="H53" s="18"/>
      <c r="I53" s="19"/>
    </row>
    <row r="54" spans="1:9" ht="13.15">
      <c r="A54" s="18"/>
      <c r="B54" s="18"/>
      <c r="C54" s="18"/>
      <c r="D54" s="18"/>
      <c r="E54" s="18"/>
      <c r="F54" s="19"/>
      <c r="G54" s="18"/>
      <c r="H54" s="18"/>
      <c r="I54" s="19"/>
    </row>
    <row r="55" spans="1:9" ht="13.15">
      <c r="A55" s="18"/>
      <c r="B55" s="18"/>
      <c r="C55" s="18"/>
      <c r="D55" s="18"/>
      <c r="E55" s="18"/>
      <c r="F55" s="19"/>
      <c r="G55" s="18"/>
      <c r="H55" s="18"/>
      <c r="I55" s="19"/>
    </row>
    <row r="56" spans="1:9" ht="13.15">
      <c r="A56" s="18"/>
      <c r="B56" s="18"/>
      <c r="C56" s="18"/>
      <c r="D56" s="18"/>
      <c r="E56" s="18"/>
      <c r="F56" s="19"/>
      <c r="G56" s="18"/>
      <c r="H56" s="18"/>
      <c r="I56" s="19"/>
    </row>
    <row r="57" spans="1:9" ht="13.15">
      <c r="A57" s="18"/>
      <c r="B57" s="18"/>
      <c r="C57" s="18"/>
      <c r="D57" s="18"/>
      <c r="E57" s="18"/>
      <c r="F57" s="19"/>
      <c r="G57" s="18"/>
      <c r="H57" s="18"/>
      <c r="I57" s="19"/>
    </row>
    <row r="58" spans="1:9" ht="13.15">
      <c r="A58" s="18"/>
      <c r="B58" s="18"/>
      <c r="C58" s="18"/>
      <c r="D58" s="18"/>
      <c r="E58" s="18"/>
      <c r="F58" s="19"/>
      <c r="G58" s="18"/>
      <c r="H58" s="18"/>
      <c r="I58" s="19"/>
    </row>
    <row r="59" spans="1:9" ht="13.15">
      <c r="A59" s="18"/>
      <c r="B59" s="18"/>
      <c r="C59" s="18"/>
      <c r="D59" s="18"/>
      <c r="E59" s="18"/>
      <c r="F59" s="19"/>
      <c r="G59" s="18"/>
      <c r="H59" s="18"/>
      <c r="I59" s="19"/>
    </row>
    <row r="60" spans="1:9" ht="13.15">
      <c r="A60" s="18"/>
      <c r="B60" s="18"/>
      <c r="C60" s="18"/>
      <c r="D60" s="18"/>
      <c r="E60" s="18"/>
      <c r="F60" s="19"/>
      <c r="G60" s="18"/>
      <c r="H60" s="18"/>
      <c r="I60" s="19"/>
    </row>
    <row r="61" spans="1:9" ht="13.15">
      <c r="A61" s="18"/>
      <c r="B61" s="18"/>
      <c r="C61" s="18"/>
      <c r="D61" s="18"/>
      <c r="E61" s="18"/>
      <c r="F61" s="19"/>
      <c r="G61" s="18"/>
      <c r="H61" s="18"/>
      <c r="I61" s="19"/>
    </row>
    <row r="62" spans="1:9" ht="13.15">
      <c r="A62" s="18"/>
      <c r="B62" s="18"/>
      <c r="C62" s="18"/>
      <c r="D62" s="18"/>
      <c r="E62" s="18"/>
      <c r="F62" s="19"/>
      <c r="G62" s="18"/>
      <c r="H62" s="18"/>
      <c r="I62" s="19"/>
    </row>
    <row r="63" spans="1:9" ht="13.15">
      <c r="A63" s="18"/>
      <c r="B63" s="18"/>
      <c r="C63" s="18"/>
      <c r="D63" s="18"/>
      <c r="E63" s="18"/>
      <c r="F63" s="19"/>
      <c r="G63" s="18"/>
      <c r="H63" s="18"/>
      <c r="I63" s="19"/>
    </row>
    <row r="64" spans="1:9" ht="13.15">
      <c r="A64" s="18"/>
      <c r="B64" s="18"/>
      <c r="C64" s="18"/>
      <c r="D64" s="18"/>
      <c r="E64" s="18"/>
      <c r="F64" s="19"/>
      <c r="G64" s="18"/>
      <c r="H64" s="18"/>
      <c r="I64" s="19"/>
    </row>
    <row r="65" spans="1:9" ht="13.15">
      <c r="A65" s="18"/>
      <c r="B65" s="18"/>
      <c r="C65" s="18"/>
      <c r="D65" s="18"/>
      <c r="E65" s="18"/>
      <c r="F65" s="19"/>
      <c r="G65" s="18"/>
      <c r="H65" s="18"/>
      <c r="I65" s="19"/>
    </row>
    <row r="66" spans="1:9" ht="13.15">
      <c r="A66" s="18"/>
      <c r="B66" s="18"/>
      <c r="C66" s="18"/>
      <c r="D66" s="18"/>
      <c r="E66" s="18"/>
      <c r="F66" s="19"/>
      <c r="G66" s="18"/>
      <c r="H66" s="18"/>
      <c r="I66" s="19"/>
    </row>
    <row r="67" spans="1:9" ht="13.15">
      <c r="A67" s="18"/>
      <c r="B67" s="18"/>
      <c r="C67" s="18"/>
      <c r="D67" s="18"/>
      <c r="E67" s="18"/>
      <c r="F67" s="19"/>
      <c r="G67" s="18"/>
      <c r="H67" s="18"/>
      <c r="I67" s="19"/>
    </row>
    <row r="68" spans="1:9" ht="13.15">
      <c r="A68" s="18"/>
      <c r="B68" s="18"/>
      <c r="C68" s="18"/>
      <c r="D68" s="18"/>
      <c r="E68" s="18"/>
      <c r="F68" s="19"/>
      <c r="G68" s="18"/>
      <c r="H68" s="18"/>
      <c r="I68" s="19"/>
    </row>
    <row r="69" spans="1:9" ht="13.15">
      <c r="A69" s="18"/>
      <c r="B69" s="18"/>
      <c r="C69" s="18"/>
      <c r="D69" s="18"/>
      <c r="E69" s="18"/>
      <c r="F69" s="19"/>
      <c r="G69" s="18"/>
      <c r="H69" s="18"/>
      <c r="I69" s="19"/>
    </row>
    <row r="70" spans="1:9" ht="13.15">
      <c r="A70" s="18"/>
      <c r="B70" s="18"/>
      <c r="C70" s="18"/>
      <c r="D70" s="18"/>
      <c r="E70" s="18"/>
      <c r="F70" s="19"/>
      <c r="G70" s="18"/>
      <c r="H70" s="18"/>
      <c r="I70" s="19"/>
    </row>
    <row r="71" spans="1:9" ht="13.15">
      <c r="A71" s="18"/>
      <c r="B71" s="18"/>
      <c r="C71" s="18"/>
      <c r="D71" s="18"/>
      <c r="E71" s="18"/>
      <c r="F71" s="19"/>
      <c r="G71" s="18"/>
      <c r="H71" s="18"/>
      <c r="I71" s="19"/>
    </row>
    <row r="72" spans="1:9" ht="13.15">
      <c r="A72" s="18"/>
      <c r="B72" s="18"/>
      <c r="C72" s="18"/>
      <c r="D72" s="18"/>
      <c r="E72" s="18"/>
      <c r="F72" s="19"/>
      <c r="G72" s="18"/>
      <c r="H72" s="18"/>
      <c r="I72" s="19"/>
    </row>
    <row r="73" spans="1:9" ht="13.15">
      <c r="A73" s="18"/>
      <c r="B73" s="18"/>
      <c r="C73" s="18"/>
      <c r="D73" s="18"/>
      <c r="E73" s="18"/>
      <c r="F73" s="19"/>
      <c r="G73" s="18"/>
      <c r="H73" s="18"/>
      <c r="I73" s="19"/>
    </row>
    <row r="74" spans="1:9" ht="13.15">
      <c r="A74" s="18"/>
      <c r="B74" s="18"/>
      <c r="C74" s="18"/>
      <c r="D74" s="18"/>
      <c r="E74" s="18"/>
      <c r="F74" s="19"/>
      <c r="G74" s="18"/>
      <c r="H74" s="18"/>
      <c r="I74" s="19"/>
    </row>
    <row r="75" spans="1:9" ht="13.15">
      <c r="A75" s="18"/>
      <c r="B75" s="18"/>
      <c r="C75" s="18"/>
      <c r="D75" s="18"/>
      <c r="E75" s="18"/>
      <c r="F75" s="19"/>
      <c r="G75" s="18"/>
      <c r="H75" s="18"/>
      <c r="I75" s="19"/>
    </row>
    <row r="76" spans="1:9" ht="13.15">
      <c r="A76" s="18"/>
      <c r="B76" s="18"/>
      <c r="C76" s="18"/>
      <c r="D76" s="18"/>
      <c r="E76" s="18"/>
      <c r="F76" s="19"/>
      <c r="G76" s="18"/>
      <c r="H76" s="18"/>
      <c r="I76" s="19"/>
    </row>
    <row r="77" spans="1:9" ht="13.15">
      <c r="A77" s="18"/>
      <c r="B77" s="18"/>
      <c r="C77" s="18"/>
      <c r="D77" s="18"/>
      <c r="E77" s="18"/>
      <c r="F77" s="19"/>
      <c r="G77" s="18"/>
      <c r="H77" s="18"/>
      <c r="I77" s="19"/>
    </row>
    <row r="78" spans="1:9" ht="13.15">
      <c r="A78" s="18"/>
      <c r="B78" s="18"/>
      <c r="C78" s="18"/>
      <c r="D78" s="18"/>
      <c r="E78" s="18"/>
      <c r="F78" s="19"/>
      <c r="G78" s="18"/>
      <c r="H78" s="18"/>
      <c r="I78" s="19"/>
    </row>
    <row r="79" spans="1:9" ht="13.15">
      <c r="A79" s="18"/>
      <c r="B79" s="18"/>
      <c r="C79" s="18"/>
      <c r="D79" s="18"/>
      <c r="E79" s="18"/>
      <c r="F79" s="19"/>
      <c r="G79" s="18"/>
      <c r="H79" s="18"/>
      <c r="I79" s="19"/>
    </row>
    <row r="80" spans="1:9" ht="13.15">
      <c r="A80" s="18"/>
      <c r="B80" s="18"/>
      <c r="C80" s="18"/>
      <c r="D80" s="18"/>
      <c r="E80" s="18"/>
      <c r="F80" s="19"/>
      <c r="G80" s="18"/>
      <c r="H80" s="18"/>
      <c r="I80" s="19"/>
    </row>
    <row r="81" spans="1:9" ht="13.15">
      <c r="A81" s="18"/>
      <c r="B81" s="18"/>
      <c r="C81" s="18"/>
      <c r="D81" s="18"/>
      <c r="E81" s="18"/>
      <c r="F81" s="19"/>
      <c r="G81" s="18"/>
      <c r="H81" s="18"/>
      <c r="I81" s="19"/>
    </row>
    <row r="82" spans="1:9" ht="13.15">
      <c r="A82" s="18"/>
      <c r="B82" s="18"/>
      <c r="C82" s="18"/>
      <c r="D82" s="18"/>
      <c r="E82" s="18"/>
      <c r="F82" s="19"/>
      <c r="G82" s="18"/>
      <c r="H82" s="18"/>
      <c r="I82" s="19"/>
    </row>
    <row r="83" spans="1:9" ht="13.15">
      <c r="A83" s="18"/>
      <c r="B83" s="18"/>
      <c r="C83" s="18"/>
      <c r="D83" s="18"/>
      <c r="E83" s="18"/>
      <c r="F83" s="19"/>
      <c r="G83" s="18"/>
      <c r="H83" s="18"/>
      <c r="I83" s="19"/>
    </row>
    <row r="84" spans="1:9" ht="13.15">
      <c r="A84" s="18"/>
      <c r="B84" s="18"/>
      <c r="C84" s="18"/>
      <c r="D84" s="18"/>
      <c r="E84" s="18"/>
      <c r="F84" s="19"/>
      <c r="G84" s="18"/>
      <c r="H84" s="18"/>
      <c r="I84" s="19"/>
    </row>
    <row r="85" spans="1:9" ht="13.15">
      <c r="A85" s="18"/>
      <c r="B85" s="18"/>
      <c r="C85" s="18"/>
      <c r="D85" s="18"/>
      <c r="E85" s="18"/>
      <c r="F85" s="19"/>
      <c r="G85" s="18"/>
      <c r="H85" s="18"/>
      <c r="I85" s="19"/>
    </row>
    <row r="86" spans="1:9" ht="13.15">
      <c r="A86" s="18"/>
      <c r="B86" s="18"/>
      <c r="C86" s="18"/>
      <c r="D86" s="18"/>
      <c r="E86" s="18"/>
      <c r="F86" s="19"/>
      <c r="G86" s="18"/>
      <c r="H86" s="18"/>
      <c r="I86" s="19"/>
    </row>
    <row r="87" spans="1:9" ht="13.15">
      <c r="A87" s="18"/>
      <c r="B87" s="18"/>
      <c r="C87" s="18"/>
      <c r="D87" s="18"/>
      <c r="E87" s="18"/>
      <c r="F87" s="19"/>
      <c r="G87" s="18"/>
      <c r="H87" s="18"/>
      <c r="I87" s="19"/>
    </row>
    <row r="88" spans="1:9" ht="13.15">
      <c r="A88" s="18"/>
      <c r="B88" s="18"/>
      <c r="C88" s="18"/>
      <c r="D88" s="18"/>
      <c r="E88" s="18"/>
      <c r="F88" s="19"/>
      <c r="G88" s="18"/>
      <c r="H88" s="18"/>
      <c r="I88" s="19"/>
    </row>
    <row r="89" spans="1:9" ht="13.15">
      <c r="A89" s="18"/>
      <c r="B89" s="18"/>
      <c r="C89" s="18"/>
      <c r="D89" s="18"/>
      <c r="E89" s="18"/>
      <c r="F89" s="19"/>
      <c r="G89" s="18"/>
      <c r="H89" s="18"/>
      <c r="I89" s="19"/>
    </row>
    <row r="90" spans="1:9" ht="13.15">
      <c r="A90" s="18"/>
      <c r="B90" s="18"/>
      <c r="C90" s="18"/>
      <c r="D90" s="18"/>
      <c r="E90" s="18"/>
      <c r="F90" s="19"/>
      <c r="G90" s="18"/>
      <c r="H90" s="18"/>
      <c r="I90" s="19"/>
    </row>
    <row r="91" spans="1:9" ht="13.15">
      <c r="A91" s="18"/>
      <c r="B91" s="18"/>
      <c r="C91" s="18"/>
      <c r="D91" s="18"/>
      <c r="E91" s="18"/>
      <c r="F91" s="19"/>
      <c r="G91" s="18"/>
      <c r="H91" s="18"/>
      <c r="I91" s="19"/>
    </row>
    <row r="92" spans="1:9" ht="13.15">
      <c r="A92" s="18"/>
      <c r="B92" s="18"/>
      <c r="C92" s="18"/>
      <c r="D92" s="18"/>
      <c r="E92" s="18"/>
      <c r="F92" s="19"/>
      <c r="G92" s="18"/>
      <c r="H92" s="18"/>
      <c r="I92" s="19"/>
    </row>
    <row r="93" spans="1:9" ht="13.15">
      <c r="A93" s="18"/>
      <c r="B93" s="18"/>
      <c r="C93" s="18"/>
      <c r="D93" s="18"/>
      <c r="E93" s="18"/>
      <c r="F93" s="19"/>
      <c r="G93" s="18"/>
      <c r="H93" s="18"/>
      <c r="I93" s="19"/>
    </row>
    <row r="94" spans="1:9" ht="13.15">
      <c r="A94" s="18"/>
      <c r="B94" s="18"/>
      <c r="C94" s="18"/>
      <c r="D94" s="18"/>
      <c r="E94" s="18"/>
      <c r="F94" s="19"/>
      <c r="G94" s="18"/>
      <c r="H94" s="18"/>
      <c r="I94" s="19"/>
    </row>
    <row r="95" spans="1:9" ht="13.15">
      <c r="A95" s="18"/>
      <c r="B95" s="18"/>
      <c r="C95" s="18"/>
      <c r="D95" s="18"/>
      <c r="E95" s="18"/>
      <c r="F95" s="19"/>
      <c r="G95" s="18"/>
      <c r="H95" s="18"/>
      <c r="I95" s="19"/>
    </row>
    <row r="96" spans="1:9" ht="13.15">
      <c r="A96" s="18"/>
      <c r="B96" s="18"/>
      <c r="C96" s="18"/>
      <c r="D96" s="18"/>
      <c r="E96" s="18"/>
      <c r="F96" s="19"/>
      <c r="G96" s="18"/>
      <c r="H96" s="18"/>
      <c r="I96" s="19"/>
    </row>
    <row r="97" spans="1:9" ht="13.15">
      <c r="A97" s="18"/>
      <c r="B97" s="18"/>
      <c r="C97" s="18"/>
      <c r="D97" s="18"/>
      <c r="E97" s="18"/>
      <c r="F97" s="19"/>
      <c r="G97" s="18"/>
      <c r="H97" s="18"/>
      <c r="I97" s="19"/>
    </row>
    <row r="98" spans="1:9" ht="13.15">
      <c r="A98" s="18"/>
      <c r="B98" s="18"/>
      <c r="C98" s="18"/>
      <c r="D98" s="18"/>
      <c r="E98" s="18"/>
      <c r="F98" s="19"/>
      <c r="G98" s="18"/>
      <c r="H98" s="18"/>
      <c r="I98" s="19"/>
    </row>
    <row r="99" spans="1:9" ht="13.15">
      <c r="A99" s="18"/>
      <c r="B99" s="18"/>
      <c r="C99" s="18"/>
      <c r="D99" s="18"/>
      <c r="E99" s="18"/>
      <c r="F99" s="19"/>
      <c r="G99" s="18"/>
      <c r="H99" s="18"/>
      <c r="I99" s="19"/>
    </row>
    <row r="100" spans="1:9" ht="13.15">
      <c r="A100" s="18"/>
      <c r="B100" s="18"/>
      <c r="C100" s="18"/>
      <c r="D100" s="18"/>
      <c r="E100" s="18"/>
      <c r="F100" s="19"/>
      <c r="G100" s="18"/>
      <c r="H100" s="18"/>
      <c r="I100" s="19"/>
    </row>
    <row r="101" spans="1:9" ht="13.15">
      <c r="A101" s="18"/>
      <c r="B101" s="18"/>
      <c r="C101" s="18"/>
      <c r="D101" s="18"/>
      <c r="E101" s="18"/>
      <c r="F101" s="19"/>
      <c r="G101" s="18"/>
      <c r="H101" s="18"/>
      <c r="I101" s="19"/>
    </row>
    <row r="102" spans="1:9" ht="13.15">
      <c r="A102" s="18"/>
      <c r="B102" s="18"/>
      <c r="C102" s="18"/>
      <c r="D102" s="18"/>
      <c r="E102" s="18"/>
      <c r="F102" s="19"/>
      <c r="G102" s="18"/>
      <c r="H102" s="18"/>
      <c r="I102" s="19"/>
    </row>
    <row r="103" spans="1:9" ht="13.15">
      <c r="A103" s="18"/>
      <c r="B103" s="18"/>
      <c r="C103" s="18"/>
      <c r="D103" s="18"/>
      <c r="E103" s="18"/>
      <c r="F103" s="19"/>
      <c r="G103" s="18"/>
      <c r="H103" s="18"/>
      <c r="I103" s="19"/>
    </row>
    <row r="104" spans="1:9" ht="13.15">
      <c r="A104" s="18"/>
      <c r="B104" s="18"/>
      <c r="C104" s="18"/>
      <c r="D104" s="18"/>
      <c r="E104" s="18"/>
      <c r="F104" s="19"/>
      <c r="G104" s="18"/>
      <c r="H104" s="18"/>
      <c r="I104" s="19"/>
    </row>
    <row r="105" spans="1:9" ht="13.15">
      <c r="A105" s="18"/>
      <c r="B105" s="18"/>
      <c r="C105" s="18"/>
      <c r="D105" s="18"/>
      <c r="E105" s="18"/>
      <c r="F105" s="19"/>
      <c r="G105" s="18"/>
      <c r="H105" s="18"/>
      <c r="I105" s="19"/>
    </row>
    <row r="106" spans="1:9" ht="13.15">
      <c r="A106" s="18"/>
      <c r="B106" s="18"/>
      <c r="C106" s="18"/>
      <c r="D106" s="18"/>
      <c r="E106" s="18"/>
      <c r="F106" s="19"/>
      <c r="G106" s="18"/>
      <c r="H106" s="18"/>
      <c r="I106" s="19"/>
    </row>
    <row r="107" spans="1:9" ht="13.15">
      <c r="A107" s="18"/>
      <c r="B107" s="18"/>
      <c r="C107" s="18"/>
      <c r="D107" s="18"/>
      <c r="E107" s="18"/>
      <c r="F107" s="19"/>
      <c r="G107" s="18"/>
      <c r="H107" s="18"/>
      <c r="I107" s="19"/>
    </row>
    <row r="108" spans="1:9" ht="13.15">
      <c r="A108" s="18"/>
      <c r="B108" s="18"/>
      <c r="C108" s="18"/>
      <c r="D108" s="18"/>
      <c r="E108" s="18"/>
      <c r="F108" s="19"/>
      <c r="G108" s="18"/>
      <c r="H108" s="18"/>
      <c r="I108" s="19"/>
    </row>
    <row r="109" spans="1:9" ht="13.15">
      <c r="A109" s="18"/>
      <c r="B109" s="18"/>
      <c r="C109" s="18"/>
      <c r="D109" s="18"/>
      <c r="E109" s="18"/>
      <c r="F109" s="19"/>
      <c r="G109" s="18"/>
      <c r="H109" s="18"/>
      <c r="I109" s="19"/>
    </row>
    <row r="110" spans="1:9" ht="13.15">
      <c r="A110" s="18"/>
      <c r="B110" s="18"/>
      <c r="C110" s="18"/>
      <c r="D110" s="18"/>
      <c r="E110" s="18"/>
      <c r="F110" s="19"/>
      <c r="G110" s="18"/>
      <c r="H110" s="18"/>
      <c r="I110" s="19"/>
    </row>
    <row r="111" spans="1:9" ht="13.15">
      <c r="A111" s="18"/>
      <c r="B111" s="18"/>
      <c r="C111" s="18"/>
      <c r="D111" s="18"/>
      <c r="E111" s="18"/>
      <c r="F111" s="19"/>
      <c r="G111" s="18"/>
      <c r="H111" s="18"/>
      <c r="I111" s="19"/>
    </row>
    <row r="112" spans="1:9" ht="13.15">
      <c r="A112" s="18"/>
      <c r="B112" s="18"/>
      <c r="C112" s="18"/>
      <c r="D112" s="18"/>
      <c r="E112" s="18"/>
      <c r="F112" s="19"/>
      <c r="G112" s="18"/>
      <c r="H112" s="18"/>
      <c r="I112" s="19"/>
    </row>
    <row r="113" spans="1:9" ht="13.15">
      <c r="A113" s="18"/>
      <c r="B113" s="18"/>
      <c r="C113" s="18"/>
      <c r="D113" s="18"/>
      <c r="E113" s="18"/>
      <c r="F113" s="19"/>
      <c r="G113" s="18"/>
      <c r="H113" s="18"/>
      <c r="I113" s="19"/>
    </row>
    <row r="114" spans="1:9" ht="13.15">
      <c r="A114" s="18"/>
      <c r="B114" s="18"/>
      <c r="C114" s="18"/>
      <c r="D114" s="18"/>
      <c r="E114" s="18"/>
      <c r="F114" s="19"/>
      <c r="G114" s="18"/>
      <c r="H114" s="18"/>
      <c r="I114" s="19"/>
    </row>
    <row r="115" spans="1:9" ht="13.15">
      <c r="A115" s="18"/>
      <c r="B115" s="18"/>
      <c r="C115" s="18"/>
      <c r="D115" s="18"/>
      <c r="E115" s="18"/>
      <c r="F115" s="19"/>
      <c r="G115" s="18"/>
      <c r="H115" s="18"/>
      <c r="I115" s="19"/>
    </row>
    <row r="116" spans="1:9" ht="13.15">
      <c r="A116" s="18"/>
      <c r="B116" s="18"/>
      <c r="C116" s="18"/>
      <c r="D116" s="18"/>
      <c r="E116" s="18"/>
      <c r="F116" s="19"/>
      <c r="G116" s="18"/>
      <c r="H116" s="18"/>
      <c r="I116" s="19"/>
    </row>
    <row r="117" spans="1:9" ht="13.15">
      <c r="A117" s="18"/>
      <c r="B117" s="18"/>
      <c r="C117" s="18"/>
      <c r="D117" s="18"/>
      <c r="E117" s="18"/>
      <c r="F117" s="19"/>
      <c r="G117" s="18"/>
      <c r="H117" s="18"/>
      <c r="I117" s="19"/>
    </row>
    <row r="118" spans="1:9" ht="13.15">
      <c r="A118" s="18"/>
      <c r="B118" s="18"/>
      <c r="C118" s="18"/>
      <c r="D118" s="18"/>
      <c r="E118" s="18"/>
      <c r="F118" s="19"/>
      <c r="G118" s="18"/>
      <c r="H118" s="18"/>
      <c r="I118" s="19"/>
    </row>
    <row r="119" spans="1:9" ht="13.15">
      <c r="A119" s="18"/>
      <c r="B119" s="18"/>
      <c r="C119" s="18"/>
      <c r="D119" s="18"/>
      <c r="E119" s="18"/>
      <c r="F119" s="19"/>
      <c r="G119" s="18"/>
      <c r="H119" s="18"/>
      <c r="I119" s="19"/>
    </row>
    <row r="120" spans="1:9" ht="13.15">
      <c r="A120" s="18"/>
      <c r="B120" s="18"/>
      <c r="C120" s="18"/>
      <c r="D120" s="18"/>
      <c r="E120" s="18"/>
      <c r="F120" s="19"/>
      <c r="G120" s="18"/>
      <c r="H120" s="18"/>
      <c r="I120" s="19"/>
    </row>
    <row r="121" spans="1:9" ht="13.15">
      <c r="A121" s="18"/>
      <c r="B121" s="18"/>
      <c r="C121" s="18"/>
      <c r="D121" s="18"/>
      <c r="E121" s="18"/>
      <c r="F121" s="19"/>
      <c r="G121" s="18"/>
      <c r="H121" s="18"/>
      <c r="I121" s="19"/>
    </row>
    <row r="122" spans="1:9" ht="13.15">
      <c r="A122" s="18"/>
      <c r="B122" s="18"/>
      <c r="C122" s="18"/>
      <c r="D122" s="18"/>
      <c r="E122" s="18"/>
      <c r="F122" s="19"/>
      <c r="G122" s="18"/>
      <c r="H122" s="18"/>
      <c r="I122" s="19"/>
    </row>
    <row r="123" spans="1:9" ht="13.15">
      <c r="A123" s="18"/>
      <c r="B123" s="18"/>
      <c r="C123" s="18"/>
      <c r="D123" s="18"/>
      <c r="E123" s="18"/>
      <c r="F123" s="19"/>
      <c r="G123" s="18"/>
      <c r="H123" s="18"/>
      <c r="I123" s="19"/>
    </row>
    <row r="124" spans="1:9" ht="13.15">
      <c r="A124" s="18"/>
      <c r="B124" s="18"/>
      <c r="C124" s="18"/>
      <c r="D124" s="18"/>
      <c r="E124" s="18"/>
      <c r="F124" s="19"/>
      <c r="G124" s="18"/>
      <c r="H124" s="18"/>
      <c r="I124" s="19"/>
    </row>
    <row r="125" spans="1:9" ht="13.15">
      <c r="A125" s="18"/>
      <c r="B125" s="18"/>
      <c r="C125" s="18"/>
      <c r="D125" s="18"/>
      <c r="E125" s="18"/>
      <c r="F125" s="19"/>
      <c r="G125" s="18"/>
      <c r="H125" s="18"/>
      <c r="I125" s="19"/>
    </row>
    <row r="126" spans="1:9" ht="13.15">
      <c r="A126" s="18"/>
      <c r="B126" s="18"/>
      <c r="C126" s="18"/>
      <c r="D126" s="18"/>
      <c r="E126" s="18"/>
      <c r="F126" s="19"/>
      <c r="G126" s="18"/>
      <c r="H126" s="18"/>
      <c r="I126" s="19"/>
    </row>
    <row r="127" spans="1:9" ht="13.15">
      <c r="A127" s="18"/>
      <c r="B127" s="18"/>
      <c r="C127" s="18"/>
      <c r="D127" s="18"/>
      <c r="E127" s="18"/>
      <c r="F127" s="19"/>
      <c r="G127" s="18"/>
      <c r="H127" s="18"/>
      <c r="I127" s="19"/>
    </row>
    <row r="128" spans="1:9" ht="13.15">
      <c r="A128" s="18"/>
      <c r="B128" s="18"/>
      <c r="C128" s="18"/>
      <c r="D128" s="18"/>
      <c r="E128" s="18"/>
      <c r="F128" s="19"/>
      <c r="G128" s="18"/>
      <c r="H128" s="18"/>
      <c r="I128" s="19"/>
    </row>
    <row r="129" spans="1:9" ht="13.15">
      <c r="A129" s="18"/>
      <c r="B129" s="18"/>
      <c r="C129" s="18"/>
      <c r="D129" s="18"/>
      <c r="E129" s="18"/>
      <c r="F129" s="19"/>
      <c r="G129" s="18"/>
      <c r="H129" s="18"/>
      <c r="I129" s="19"/>
    </row>
    <row r="130" spans="1:9" ht="13.15">
      <c r="A130" s="18"/>
      <c r="B130" s="18"/>
      <c r="C130" s="18"/>
      <c r="D130" s="18"/>
      <c r="E130" s="18"/>
      <c r="F130" s="19"/>
      <c r="G130" s="18"/>
      <c r="H130" s="18"/>
      <c r="I130" s="19"/>
    </row>
    <row r="131" spans="1:9" ht="13.15">
      <c r="A131" s="18"/>
      <c r="B131" s="18"/>
      <c r="C131" s="18"/>
      <c r="D131" s="18"/>
      <c r="E131" s="18"/>
      <c r="F131" s="19"/>
      <c r="G131" s="18"/>
      <c r="H131" s="18"/>
      <c r="I131" s="19"/>
    </row>
    <row r="132" spans="1:9" ht="13.15">
      <c r="A132" s="18"/>
      <c r="B132" s="18"/>
      <c r="C132" s="18"/>
      <c r="D132" s="18"/>
      <c r="E132" s="18"/>
      <c r="F132" s="19"/>
      <c r="G132" s="18"/>
      <c r="H132" s="18"/>
      <c r="I132" s="19"/>
    </row>
    <row r="133" spans="1:9" ht="13.15">
      <c r="A133" s="18"/>
      <c r="B133" s="18"/>
      <c r="C133" s="18"/>
      <c r="D133" s="18"/>
      <c r="E133" s="18"/>
      <c r="F133" s="19"/>
      <c r="G133" s="18"/>
      <c r="H133" s="18"/>
      <c r="I133" s="19"/>
    </row>
    <row r="134" spans="1:9" ht="13.15">
      <c r="A134" s="18"/>
      <c r="B134" s="18"/>
      <c r="C134" s="18"/>
      <c r="D134" s="18"/>
      <c r="E134" s="18"/>
      <c r="F134" s="19"/>
      <c r="G134" s="18"/>
      <c r="H134" s="18"/>
      <c r="I134" s="19"/>
    </row>
    <row r="135" spans="1:9" ht="13.15">
      <c r="A135" s="18"/>
      <c r="B135" s="18"/>
      <c r="C135" s="18"/>
      <c r="D135" s="18"/>
      <c r="E135" s="18"/>
      <c r="F135" s="19"/>
      <c r="G135" s="18"/>
      <c r="H135" s="18"/>
      <c r="I135" s="19"/>
    </row>
    <row r="136" spans="1:9" ht="13.15">
      <c r="A136" s="18"/>
      <c r="B136" s="18"/>
      <c r="C136" s="18"/>
      <c r="D136" s="18"/>
      <c r="E136" s="18"/>
      <c r="F136" s="19"/>
      <c r="G136" s="18"/>
      <c r="H136" s="18"/>
      <c r="I136" s="19"/>
    </row>
    <row r="137" spans="1:9" ht="13.15">
      <c r="A137" s="18"/>
      <c r="B137" s="18"/>
      <c r="C137" s="18"/>
      <c r="D137" s="18"/>
      <c r="E137" s="18"/>
      <c r="F137" s="19"/>
      <c r="G137" s="18"/>
      <c r="H137" s="18"/>
      <c r="I137" s="19"/>
    </row>
    <row r="138" spans="1:9" ht="13.15">
      <c r="A138" s="18"/>
      <c r="B138" s="18"/>
      <c r="C138" s="18"/>
      <c r="D138" s="18"/>
      <c r="E138" s="18"/>
      <c r="F138" s="19"/>
      <c r="G138" s="18"/>
      <c r="H138" s="18"/>
      <c r="I138" s="19"/>
    </row>
    <row r="139" spans="1:9" ht="13.15">
      <c r="A139" s="18"/>
      <c r="B139" s="18"/>
      <c r="C139" s="18"/>
      <c r="D139" s="18"/>
      <c r="E139" s="18"/>
      <c r="F139" s="19"/>
      <c r="G139" s="18"/>
      <c r="H139" s="18"/>
      <c r="I139" s="19"/>
    </row>
    <row r="140" spans="1:9" ht="13.15">
      <c r="A140" s="18"/>
      <c r="B140" s="18"/>
      <c r="C140" s="18"/>
      <c r="D140" s="18"/>
      <c r="E140" s="18"/>
      <c r="F140" s="19"/>
      <c r="G140" s="18"/>
      <c r="H140" s="18"/>
      <c r="I140" s="19"/>
    </row>
    <row r="141" spans="1:9" ht="13.15">
      <c r="A141" s="18"/>
      <c r="B141" s="18"/>
      <c r="C141" s="18"/>
      <c r="D141" s="18"/>
      <c r="E141" s="18"/>
      <c r="F141" s="19"/>
      <c r="G141" s="18"/>
      <c r="H141" s="18"/>
      <c r="I141" s="19"/>
    </row>
    <row r="142" spans="1:9" ht="13.15">
      <c r="A142" s="18"/>
      <c r="B142" s="18"/>
      <c r="C142" s="18"/>
      <c r="D142" s="18"/>
      <c r="E142" s="18"/>
      <c r="F142" s="19"/>
      <c r="G142" s="18"/>
      <c r="H142" s="18"/>
      <c r="I142" s="19"/>
    </row>
    <row r="143" spans="1:9" ht="13.15">
      <c r="A143" s="18"/>
      <c r="B143" s="18"/>
      <c r="C143" s="18"/>
      <c r="D143" s="18"/>
      <c r="E143" s="18"/>
      <c r="F143" s="19"/>
      <c r="G143" s="18"/>
      <c r="H143" s="18"/>
      <c r="I143" s="19"/>
    </row>
    <row r="144" spans="1:9" ht="13.15">
      <c r="A144" s="18"/>
      <c r="B144" s="18"/>
      <c r="C144" s="18"/>
      <c r="D144" s="18"/>
      <c r="E144" s="18"/>
      <c r="F144" s="19"/>
      <c r="G144" s="18"/>
      <c r="H144" s="18"/>
      <c r="I144" s="19"/>
    </row>
    <row r="145" spans="1:9" ht="13.15">
      <c r="A145" s="18"/>
      <c r="B145" s="18"/>
      <c r="C145" s="18"/>
      <c r="D145" s="18"/>
      <c r="E145" s="18"/>
      <c r="F145" s="19"/>
      <c r="G145" s="18"/>
      <c r="H145" s="18"/>
      <c r="I145" s="19"/>
    </row>
    <row r="146" spans="1:9" ht="13.15">
      <c r="A146" s="18"/>
      <c r="B146" s="18"/>
      <c r="C146" s="18"/>
      <c r="D146" s="18"/>
      <c r="E146" s="18"/>
      <c r="F146" s="19"/>
      <c r="G146" s="18"/>
      <c r="H146" s="18"/>
      <c r="I146" s="19"/>
    </row>
    <row r="147" spans="1:9" ht="13.15">
      <c r="A147" s="18"/>
      <c r="B147" s="18"/>
      <c r="C147" s="18"/>
      <c r="D147" s="18"/>
      <c r="E147" s="18"/>
      <c r="F147" s="19"/>
      <c r="G147" s="18"/>
      <c r="H147" s="18"/>
      <c r="I147" s="19"/>
    </row>
    <row r="148" spans="1:9" ht="13.15">
      <c r="A148" s="18"/>
      <c r="B148" s="18"/>
      <c r="C148" s="18"/>
      <c r="D148" s="18"/>
      <c r="E148" s="18"/>
      <c r="F148" s="19"/>
      <c r="G148" s="18"/>
      <c r="H148" s="18"/>
      <c r="I148" s="19"/>
    </row>
    <row r="149" spans="1:9" ht="13.15">
      <c r="A149" s="18"/>
      <c r="B149" s="18"/>
      <c r="C149" s="18"/>
      <c r="D149" s="18"/>
      <c r="E149" s="18"/>
      <c r="F149" s="19"/>
      <c r="G149" s="18"/>
      <c r="H149" s="18"/>
      <c r="I149" s="19"/>
    </row>
    <row r="150" spans="1:9" ht="13.15">
      <c r="A150" s="18"/>
      <c r="B150" s="18"/>
      <c r="C150" s="18"/>
      <c r="D150" s="18"/>
      <c r="E150" s="18"/>
      <c r="F150" s="19"/>
      <c r="G150" s="18"/>
      <c r="H150" s="18"/>
      <c r="I150" s="19"/>
    </row>
    <row r="151" spans="1:9" ht="13.15">
      <c r="A151" s="18"/>
      <c r="B151" s="18"/>
      <c r="C151" s="18"/>
      <c r="D151" s="18"/>
      <c r="E151" s="18"/>
      <c r="F151" s="19"/>
      <c r="G151" s="18"/>
      <c r="H151" s="18"/>
      <c r="I151" s="19"/>
    </row>
    <row r="152" spans="1:9" ht="13.15">
      <c r="A152" s="18"/>
      <c r="B152" s="18"/>
      <c r="C152" s="18"/>
      <c r="D152" s="18"/>
      <c r="E152" s="18"/>
      <c r="F152" s="19"/>
      <c r="G152" s="18"/>
      <c r="H152" s="18"/>
      <c r="I152" s="19"/>
    </row>
    <row r="153" spans="1:9" ht="13.15">
      <c r="A153" s="18"/>
      <c r="B153" s="18"/>
      <c r="C153" s="18"/>
      <c r="D153" s="18"/>
      <c r="E153" s="18"/>
      <c r="F153" s="19"/>
      <c r="G153" s="18"/>
      <c r="H153" s="18"/>
      <c r="I153" s="19"/>
    </row>
    <row r="154" spans="1:9" ht="13.15">
      <c r="A154" s="18"/>
      <c r="B154" s="18"/>
      <c r="C154" s="18"/>
      <c r="D154" s="18"/>
      <c r="E154" s="18"/>
      <c r="F154" s="19"/>
      <c r="G154" s="18"/>
      <c r="H154" s="18"/>
      <c r="I154" s="19"/>
    </row>
    <row r="155" spans="1:9" ht="13.15">
      <c r="A155" s="18"/>
      <c r="B155" s="18"/>
      <c r="C155" s="18"/>
      <c r="D155" s="18"/>
      <c r="E155" s="18"/>
      <c r="F155" s="19"/>
      <c r="G155" s="18"/>
      <c r="H155" s="18"/>
      <c r="I155" s="19"/>
    </row>
    <row r="156" spans="1:9" ht="13.15">
      <c r="A156" s="18"/>
      <c r="B156" s="18"/>
      <c r="C156" s="18"/>
      <c r="D156" s="18"/>
      <c r="E156" s="18"/>
      <c r="F156" s="19"/>
      <c r="G156" s="18"/>
      <c r="H156" s="18"/>
      <c r="I156" s="19"/>
    </row>
    <row r="157" spans="1:9" ht="13.15">
      <c r="A157" s="18"/>
      <c r="B157" s="18"/>
      <c r="C157" s="18"/>
      <c r="D157" s="18"/>
      <c r="E157" s="18"/>
      <c r="F157" s="19"/>
      <c r="G157" s="18"/>
      <c r="H157" s="18"/>
      <c r="I157" s="19"/>
    </row>
    <row r="158" spans="1:9" ht="13.15">
      <c r="A158" s="18"/>
      <c r="B158" s="18"/>
      <c r="C158" s="18"/>
      <c r="D158" s="18"/>
      <c r="E158" s="18"/>
      <c r="F158" s="19"/>
      <c r="G158" s="18"/>
      <c r="H158" s="18"/>
      <c r="I158" s="19"/>
    </row>
    <row r="159" spans="1:9" ht="13.15">
      <c r="A159" s="18"/>
      <c r="B159" s="18"/>
      <c r="C159" s="18"/>
      <c r="D159" s="18"/>
      <c r="E159" s="18"/>
      <c r="F159" s="19"/>
      <c r="G159" s="18"/>
      <c r="H159" s="18"/>
      <c r="I159" s="19"/>
    </row>
    <row r="160" spans="1:9" ht="13.15">
      <c r="A160" s="18"/>
      <c r="B160" s="18"/>
      <c r="C160" s="18"/>
      <c r="D160" s="18"/>
      <c r="E160" s="18"/>
      <c r="F160" s="19"/>
      <c r="G160" s="18"/>
      <c r="H160" s="18"/>
      <c r="I160" s="19"/>
    </row>
    <row r="161" spans="1:9" ht="13.15">
      <c r="A161" s="18"/>
      <c r="B161" s="18"/>
      <c r="C161" s="18"/>
      <c r="D161" s="18"/>
      <c r="E161" s="18"/>
      <c r="F161" s="19"/>
      <c r="G161" s="18"/>
      <c r="H161" s="18"/>
      <c r="I161" s="19"/>
    </row>
    <row r="162" spans="1:9" ht="13.15">
      <c r="A162" s="18"/>
      <c r="B162" s="18"/>
      <c r="C162" s="18"/>
      <c r="D162" s="18"/>
      <c r="E162" s="18"/>
      <c r="F162" s="19"/>
      <c r="G162" s="18"/>
      <c r="H162" s="18"/>
      <c r="I162" s="19"/>
    </row>
    <row r="163" spans="1:9" ht="13.15">
      <c r="A163" s="18"/>
      <c r="B163" s="18"/>
      <c r="C163" s="18"/>
      <c r="D163" s="18"/>
      <c r="E163" s="18"/>
      <c r="F163" s="19"/>
      <c r="G163" s="18"/>
      <c r="H163" s="18"/>
      <c r="I163" s="19"/>
    </row>
    <row r="164" spans="1:9" ht="13.15">
      <c r="A164" s="18"/>
      <c r="B164" s="18"/>
      <c r="C164" s="18"/>
      <c r="D164" s="18"/>
      <c r="E164" s="18"/>
      <c r="F164" s="19"/>
      <c r="G164" s="18"/>
      <c r="H164" s="18"/>
      <c r="I164" s="19"/>
    </row>
    <row r="165" spans="1:9" ht="13.15">
      <c r="A165" s="18"/>
      <c r="B165" s="18"/>
      <c r="C165" s="18"/>
      <c r="D165" s="18"/>
      <c r="E165" s="18"/>
      <c r="F165" s="19"/>
      <c r="G165" s="18"/>
      <c r="H165" s="18"/>
      <c r="I165" s="19"/>
    </row>
    <row r="166" spans="1:9" ht="13.15">
      <c r="A166" s="18"/>
      <c r="B166" s="18"/>
      <c r="C166" s="18"/>
      <c r="D166" s="18"/>
      <c r="E166" s="18"/>
      <c r="F166" s="19"/>
      <c r="G166" s="18"/>
      <c r="H166" s="18"/>
      <c r="I166" s="19"/>
    </row>
    <row r="167" spans="1:9" ht="13.15">
      <c r="A167" s="18"/>
      <c r="B167" s="18"/>
      <c r="C167" s="18"/>
      <c r="D167" s="18"/>
      <c r="E167" s="18"/>
      <c r="F167" s="19"/>
      <c r="G167" s="18"/>
      <c r="H167" s="18"/>
      <c r="I167" s="19"/>
    </row>
    <row r="168" spans="1:9" ht="13.15">
      <c r="A168" s="18"/>
      <c r="B168" s="18"/>
      <c r="C168" s="18"/>
      <c r="D168" s="18"/>
      <c r="E168" s="18"/>
      <c r="F168" s="19"/>
      <c r="G168" s="18"/>
      <c r="H168" s="18"/>
      <c r="I168" s="19"/>
    </row>
    <row r="169" spans="1:9" ht="13.15">
      <c r="A169" s="18"/>
      <c r="B169" s="18"/>
      <c r="C169" s="18"/>
      <c r="D169" s="18"/>
      <c r="E169" s="18"/>
      <c r="F169" s="19"/>
      <c r="G169" s="18"/>
      <c r="H169" s="18"/>
      <c r="I169" s="19"/>
    </row>
    <row r="170" spans="1:9" ht="13.15">
      <c r="A170" s="18"/>
      <c r="B170" s="18"/>
      <c r="C170" s="18"/>
      <c r="D170" s="18"/>
      <c r="E170" s="18"/>
      <c r="F170" s="19"/>
      <c r="G170" s="18"/>
      <c r="H170" s="18"/>
      <c r="I170" s="19"/>
    </row>
    <row r="171" spans="1:9" ht="13.15">
      <c r="A171" s="18"/>
      <c r="B171" s="18"/>
      <c r="C171" s="18"/>
      <c r="D171" s="18"/>
      <c r="E171" s="18"/>
      <c r="F171" s="19"/>
      <c r="G171" s="18"/>
      <c r="H171" s="18"/>
      <c r="I171" s="19"/>
    </row>
    <row r="172" spans="1:9" ht="13.15">
      <c r="A172" s="18"/>
      <c r="B172" s="18"/>
      <c r="C172" s="18"/>
      <c r="D172" s="18"/>
      <c r="E172" s="18"/>
      <c r="F172" s="19"/>
      <c r="G172" s="18"/>
      <c r="H172" s="18"/>
      <c r="I172" s="19"/>
    </row>
    <row r="173" spans="1:9" ht="13.15">
      <c r="A173" s="18"/>
      <c r="B173" s="18"/>
      <c r="C173" s="18"/>
      <c r="D173" s="18"/>
      <c r="E173" s="18"/>
      <c r="F173" s="19"/>
      <c r="G173" s="18"/>
      <c r="H173" s="18"/>
      <c r="I173" s="19"/>
    </row>
    <row r="174" spans="1:9" ht="13.15">
      <c r="A174" s="18"/>
      <c r="B174" s="18"/>
      <c r="C174" s="18"/>
      <c r="D174" s="18"/>
      <c r="E174" s="18"/>
      <c r="F174" s="19"/>
      <c r="G174" s="18"/>
      <c r="H174" s="18"/>
      <c r="I174" s="19"/>
    </row>
    <row r="175" spans="1:9" ht="13.15">
      <c r="A175" s="18"/>
      <c r="B175" s="18"/>
      <c r="C175" s="18"/>
      <c r="D175" s="18"/>
      <c r="E175" s="18"/>
      <c r="F175" s="19"/>
      <c r="G175" s="18"/>
      <c r="H175" s="18"/>
      <c r="I175" s="19"/>
    </row>
    <row r="176" spans="1:9" ht="13.15">
      <c r="A176" s="18"/>
      <c r="B176" s="18"/>
      <c r="C176" s="18"/>
      <c r="D176" s="18"/>
      <c r="E176" s="18"/>
      <c r="F176" s="19"/>
      <c r="G176" s="18"/>
      <c r="H176" s="18"/>
      <c r="I176" s="19"/>
    </row>
    <row r="177" spans="1:9" ht="13.15">
      <c r="A177" s="18"/>
      <c r="B177" s="18"/>
      <c r="C177" s="18"/>
      <c r="D177" s="18"/>
      <c r="E177" s="18"/>
      <c r="F177" s="19"/>
      <c r="G177" s="18"/>
      <c r="H177" s="18"/>
      <c r="I177" s="19"/>
    </row>
    <row r="178" spans="1:9" ht="13.15">
      <c r="A178" s="18"/>
      <c r="B178" s="18"/>
      <c r="C178" s="18"/>
      <c r="D178" s="18"/>
      <c r="E178" s="18"/>
      <c r="F178" s="19"/>
      <c r="G178" s="18"/>
      <c r="H178" s="18"/>
      <c r="I178" s="19"/>
    </row>
    <row r="179" spans="1:9" ht="13.15">
      <c r="A179" s="18"/>
      <c r="B179" s="18"/>
      <c r="C179" s="18"/>
      <c r="D179" s="18"/>
      <c r="E179" s="18"/>
      <c r="F179" s="19"/>
      <c r="G179" s="18"/>
      <c r="H179" s="18"/>
      <c r="I179" s="19"/>
    </row>
    <row r="180" spans="1:9" ht="13.15">
      <c r="A180" s="18"/>
      <c r="B180" s="18"/>
      <c r="C180" s="18"/>
      <c r="D180" s="18"/>
      <c r="E180" s="18"/>
      <c r="F180" s="19"/>
      <c r="G180" s="18"/>
      <c r="H180" s="18"/>
      <c r="I180" s="19"/>
    </row>
    <row r="181" spans="1:9" ht="13.15">
      <c r="A181" s="18"/>
      <c r="B181" s="18"/>
      <c r="C181" s="18"/>
      <c r="D181" s="18"/>
      <c r="E181" s="18"/>
      <c r="F181" s="19"/>
      <c r="G181" s="18"/>
      <c r="H181" s="18"/>
      <c r="I181" s="19"/>
    </row>
    <row r="182" spans="1:9" ht="13.15">
      <c r="A182" s="18"/>
      <c r="B182" s="18"/>
      <c r="C182" s="18"/>
      <c r="D182" s="18"/>
      <c r="E182" s="18"/>
      <c r="F182" s="19"/>
      <c r="G182" s="18"/>
      <c r="H182" s="18"/>
      <c r="I182" s="19"/>
    </row>
    <row r="183" spans="1:9" ht="13.15">
      <c r="A183" s="18"/>
      <c r="B183" s="18"/>
      <c r="C183" s="18"/>
      <c r="D183" s="18"/>
      <c r="E183" s="18"/>
      <c r="F183" s="19"/>
      <c r="G183" s="18"/>
      <c r="H183" s="18"/>
      <c r="I183" s="19"/>
    </row>
    <row r="184" spans="1:9" ht="13.15">
      <c r="A184" s="18"/>
      <c r="B184" s="18"/>
      <c r="C184" s="18"/>
      <c r="D184" s="18"/>
      <c r="E184" s="18"/>
      <c r="F184" s="19"/>
      <c r="G184" s="18"/>
      <c r="H184" s="18"/>
      <c r="I184" s="19"/>
    </row>
    <row r="185" spans="1:9" ht="13.15">
      <c r="A185" s="18"/>
      <c r="B185" s="18"/>
      <c r="C185" s="18"/>
      <c r="D185" s="18"/>
      <c r="E185" s="18"/>
      <c r="F185" s="19"/>
      <c r="G185" s="18"/>
      <c r="H185" s="18"/>
      <c r="I185" s="19"/>
    </row>
    <row r="186" spans="1:9" ht="13.15">
      <c r="A186" s="18"/>
      <c r="B186" s="18"/>
      <c r="C186" s="18"/>
      <c r="D186" s="18"/>
      <c r="E186" s="18"/>
      <c r="F186" s="19"/>
      <c r="G186" s="18"/>
      <c r="H186" s="18"/>
      <c r="I186" s="19"/>
    </row>
    <row r="187" spans="1:9" ht="13.15">
      <c r="A187" s="18"/>
      <c r="B187" s="18"/>
      <c r="C187" s="18"/>
      <c r="D187" s="18"/>
      <c r="E187" s="18"/>
      <c r="F187" s="19"/>
      <c r="G187" s="18"/>
      <c r="H187" s="18"/>
      <c r="I187" s="19"/>
    </row>
    <row r="188" spans="1:9" ht="13.15">
      <c r="A188" s="18"/>
      <c r="B188" s="18"/>
      <c r="C188" s="18"/>
      <c r="D188" s="18"/>
      <c r="E188" s="18"/>
      <c r="F188" s="19"/>
      <c r="G188" s="18"/>
      <c r="H188" s="18"/>
      <c r="I188" s="19"/>
    </row>
    <row r="189" spans="1:9" ht="13.15">
      <c r="A189" s="18"/>
      <c r="B189" s="18"/>
      <c r="C189" s="18"/>
      <c r="D189" s="18"/>
      <c r="E189" s="18"/>
      <c r="F189" s="19"/>
      <c r="G189" s="18"/>
      <c r="H189" s="18"/>
      <c r="I189" s="19"/>
    </row>
    <row r="190" spans="1:9" ht="13.15">
      <c r="A190" s="18"/>
      <c r="B190" s="18"/>
      <c r="C190" s="18"/>
      <c r="D190" s="18"/>
      <c r="E190" s="18"/>
      <c r="F190" s="19"/>
      <c r="G190" s="18"/>
      <c r="H190" s="18"/>
      <c r="I190" s="19"/>
    </row>
    <row r="191" spans="1:9" ht="13.15">
      <c r="A191" s="18"/>
      <c r="B191" s="18"/>
      <c r="C191" s="18"/>
      <c r="D191" s="18"/>
      <c r="E191" s="18"/>
      <c r="F191" s="19"/>
      <c r="G191" s="18"/>
      <c r="H191" s="18"/>
      <c r="I191" s="19"/>
    </row>
    <row r="192" spans="1:9" ht="13.15">
      <c r="A192" s="18"/>
      <c r="B192" s="18"/>
      <c r="C192" s="18"/>
      <c r="D192" s="18"/>
      <c r="E192" s="18"/>
      <c r="F192" s="19"/>
      <c r="G192" s="18"/>
      <c r="H192" s="18"/>
      <c r="I192" s="19"/>
    </row>
    <row r="193" spans="1:9" ht="13.15">
      <c r="A193" s="18"/>
      <c r="B193" s="18"/>
      <c r="C193" s="18"/>
      <c r="D193" s="18"/>
      <c r="E193" s="18"/>
      <c r="F193" s="19"/>
      <c r="G193" s="18"/>
      <c r="H193" s="18"/>
      <c r="I193" s="19"/>
    </row>
    <row r="194" spans="1:9" ht="13.15">
      <c r="A194" s="18"/>
      <c r="B194" s="18"/>
      <c r="C194" s="18"/>
      <c r="D194" s="18"/>
      <c r="E194" s="18"/>
      <c r="F194" s="19"/>
      <c r="G194" s="18"/>
      <c r="H194" s="18"/>
      <c r="I194" s="19"/>
    </row>
    <row r="195" spans="1:9" ht="13.15">
      <c r="A195" s="18"/>
      <c r="B195" s="18"/>
      <c r="C195" s="18"/>
      <c r="D195" s="18"/>
      <c r="E195" s="18"/>
      <c r="F195" s="19"/>
      <c r="G195" s="18"/>
      <c r="H195" s="18"/>
      <c r="I195" s="19"/>
    </row>
    <row r="196" spans="1:9" ht="13.15">
      <c r="A196" s="18"/>
      <c r="B196" s="18"/>
      <c r="C196" s="18"/>
      <c r="D196" s="18"/>
      <c r="E196" s="18"/>
      <c r="F196" s="19"/>
      <c r="G196" s="18"/>
      <c r="H196" s="18"/>
      <c r="I196" s="19"/>
    </row>
    <row r="197" spans="1:9" ht="13.15">
      <c r="A197" s="18"/>
      <c r="B197" s="18"/>
      <c r="C197" s="18"/>
      <c r="D197" s="18"/>
      <c r="E197" s="18"/>
      <c r="F197" s="19"/>
      <c r="G197" s="18"/>
      <c r="H197" s="18"/>
      <c r="I197" s="19"/>
    </row>
    <row r="198" spans="1:9" ht="13.15">
      <c r="A198" s="18"/>
      <c r="B198" s="18"/>
      <c r="C198" s="18"/>
      <c r="D198" s="18"/>
      <c r="E198" s="18"/>
      <c r="F198" s="19"/>
      <c r="G198" s="18"/>
      <c r="H198" s="18"/>
      <c r="I198" s="19"/>
    </row>
    <row r="199" spans="1:9" ht="13.15">
      <c r="A199" s="18"/>
      <c r="B199" s="18"/>
      <c r="C199" s="18"/>
      <c r="D199" s="18"/>
      <c r="E199" s="18"/>
      <c r="F199" s="19"/>
      <c r="G199" s="18"/>
      <c r="H199" s="18"/>
      <c r="I199" s="19"/>
    </row>
    <row r="200" spans="1:9" ht="13.15">
      <c r="A200" s="18"/>
      <c r="B200" s="18"/>
      <c r="C200" s="18"/>
      <c r="D200" s="18"/>
      <c r="E200" s="18"/>
      <c r="F200" s="19"/>
      <c r="G200" s="18"/>
      <c r="H200" s="18"/>
      <c r="I200" s="19"/>
    </row>
    <row r="201" spans="1:9" ht="13.15">
      <c r="A201" s="18"/>
      <c r="B201" s="18"/>
      <c r="C201" s="18"/>
      <c r="D201" s="18"/>
      <c r="E201" s="18"/>
      <c r="F201" s="19"/>
      <c r="G201" s="18"/>
      <c r="H201" s="18"/>
      <c r="I201" s="19"/>
    </row>
    <row r="202" spans="1:9" ht="13.15">
      <c r="A202" s="18"/>
      <c r="B202" s="18"/>
      <c r="C202" s="18"/>
      <c r="D202" s="18"/>
      <c r="E202" s="18"/>
      <c r="F202" s="19"/>
      <c r="G202" s="18"/>
      <c r="H202" s="18"/>
      <c r="I202" s="19"/>
    </row>
    <row r="203" spans="1:9" ht="13.15">
      <c r="A203" s="18"/>
      <c r="B203" s="18"/>
      <c r="C203" s="18"/>
      <c r="D203" s="18"/>
      <c r="E203" s="18"/>
      <c r="F203" s="19"/>
      <c r="G203" s="18"/>
      <c r="H203" s="18"/>
      <c r="I203" s="19"/>
    </row>
    <row r="204" spans="1:9" ht="13.15">
      <c r="A204" s="18"/>
      <c r="B204" s="18"/>
      <c r="C204" s="18"/>
      <c r="D204" s="18"/>
      <c r="E204" s="18"/>
      <c r="F204" s="19"/>
      <c r="G204" s="18"/>
      <c r="H204" s="18"/>
      <c r="I204" s="19"/>
    </row>
    <row r="205" spans="1:9" ht="13.15">
      <c r="A205" s="18"/>
      <c r="B205" s="18"/>
      <c r="C205" s="18"/>
      <c r="D205" s="18"/>
      <c r="E205" s="18"/>
      <c r="F205" s="19"/>
      <c r="G205" s="18"/>
      <c r="H205" s="18"/>
      <c r="I205" s="19"/>
    </row>
    <row r="206" spans="1:9" ht="13.15">
      <c r="A206" s="18"/>
      <c r="B206" s="18"/>
      <c r="C206" s="18"/>
      <c r="D206" s="18"/>
      <c r="E206" s="18"/>
      <c r="F206" s="19"/>
      <c r="G206" s="18"/>
      <c r="H206" s="18"/>
      <c r="I206" s="19"/>
    </row>
    <row r="207" spans="1:9" ht="13.15">
      <c r="A207" s="18"/>
      <c r="B207" s="18"/>
      <c r="C207" s="18"/>
      <c r="D207" s="18"/>
      <c r="E207" s="18"/>
      <c r="F207" s="19"/>
      <c r="G207" s="18"/>
      <c r="H207" s="18"/>
      <c r="I207" s="19"/>
    </row>
    <row r="208" spans="1:9" ht="13.15">
      <c r="A208" s="18"/>
      <c r="B208" s="18"/>
      <c r="C208" s="18"/>
      <c r="D208" s="18"/>
      <c r="E208" s="18"/>
      <c r="F208" s="19"/>
      <c r="G208" s="18"/>
      <c r="H208" s="18"/>
      <c r="I208" s="19"/>
    </row>
    <row r="209" spans="1:9" ht="13.15">
      <c r="A209" s="18"/>
      <c r="B209" s="18"/>
      <c r="C209" s="18"/>
      <c r="D209" s="18"/>
      <c r="E209" s="18"/>
      <c r="F209" s="19"/>
      <c r="G209" s="18"/>
      <c r="H209" s="18"/>
      <c r="I209" s="19"/>
    </row>
    <row r="210" spans="1:9" ht="13.15">
      <c r="A210" s="18"/>
      <c r="B210" s="18"/>
      <c r="C210" s="18"/>
      <c r="D210" s="18"/>
      <c r="E210" s="18"/>
      <c r="F210" s="19"/>
      <c r="G210" s="18"/>
      <c r="H210" s="18"/>
      <c r="I210" s="19"/>
    </row>
    <row r="211" spans="1:9" ht="13.15">
      <c r="A211" s="18"/>
      <c r="B211" s="18"/>
      <c r="C211" s="18"/>
      <c r="D211" s="18"/>
      <c r="E211" s="18"/>
      <c r="F211" s="19"/>
      <c r="G211" s="18"/>
      <c r="H211" s="18"/>
      <c r="I211" s="19"/>
    </row>
    <row r="212" spans="1:9" ht="13.15">
      <c r="A212" s="18"/>
      <c r="B212" s="18"/>
      <c r="C212" s="18"/>
      <c r="D212" s="18"/>
      <c r="E212" s="18"/>
      <c r="F212" s="19"/>
      <c r="G212" s="18"/>
      <c r="H212" s="18"/>
      <c r="I212" s="19"/>
    </row>
    <row r="213" spans="1:9" ht="13.15">
      <c r="A213" s="18"/>
      <c r="B213" s="18"/>
      <c r="C213" s="18"/>
      <c r="D213" s="18"/>
      <c r="E213" s="18"/>
      <c r="F213" s="19"/>
      <c r="G213" s="18"/>
      <c r="H213" s="18"/>
      <c r="I213" s="19"/>
    </row>
    <row r="214" spans="1:9" ht="13.15">
      <c r="A214" s="18"/>
      <c r="B214" s="18"/>
      <c r="C214" s="18"/>
      <c r="D214" s="18"/>
      <c r="E214" s="18"/>
      <c r="F214" s="19"/>
      <c r="G214" s="18"/>
      <c r="H214" s="18"/>
      <c r="I214" s="19"/>
    </row>
    <row r="215" spans="1:9" ht="13.15">
      <c r="A215" s="18"/>
      <c r="B215" s="18"/>
      <c r="C215" s="18"/>
      <c r="D215" s="18"/>
      <c r="E215" s="18"/>
      <c r="F215" s="19"/>
      <c r="G215" s="18"/>
      <c r="H215" s="18"/>
      <c r="I215" s="19"/>
    </row>
    <row r="216" spans="1:9" ht="13.15">
      <c r="A216" s="18"/>
      <c r="B216" s="18"/>
      <c r="C216" s="18"/>
      <c r="D216" s="18"/>
      <c r="E216" s="18"/>
      <c r="F216" s="19"/>
      <c r="G216" s="18"/>
      <c r="H216" s="18"/>
      <c r="I216" s="19"/>
    </row>
    <row r="217" spans="1:9" ht="13.15">
      <c r="A217" s="18"/>
      <c r="B217" s="18"/>
      <c r="C217" s="18"/>
      <c r="D217" s="18"/>
      <c r="E217" s="18"/>
      <c r="F217" s="19"/>
      <c r="G217" s="18"/>
      <c r="H217" s="18"/>
      <c r="I217" s="19"/>
    </row>
    <row r="218" spans="1:9" ht="13.15">
      <c r="A218" s="18"/>
      <c r="B218" s="18"/>
      <c r="C218" s="18"/>
      <c r="D218" s="18"/>
      <c r="E218" s="18"/>
      <c r="F218" s="19"/>
      <c r="G218" s="18"/>
      <c r="H218" s="18"/>
      <c r="I218" s="19"/>
    </row>
    <row r="219" spans="1:9" ht="13.15">
      <c r="A219" s="18"/>
      <c r="B219" s="18"/>
      <c r="C219" s="18"/>
      <c r="D219" s="18"/>
      <c r="E219" s="18"/>
      <c r="F219" s="19"/>
      <c r="G219" s="18"/>
      <c r="H219" s="18"/>
      <c r="I219" s="19"/>
    </row>
    <row r="220" spans="1:9" ht="13.15">
      <c r="A220" s="18"/>
      <c r="B220" s="18"/>
      <c r="C220" s="18"/>
      <c r="D220" s="18"/>
      <c r="E220" s="18"/>
      <c r="F220" s="19"/>
      <c r="G220" s="18"/>
      <c r="H220" s="18"/>
      <c r="I220" s="19"/>
    </row>
    <row r="221" spans="1:9" ht="13.15">
      <c r="A221" s="18"/>
      <c r="B221" s="18"/>
      <c r="C221" s="18"/>
      <c r="D221" s="18"/>
      <c r="E221" s="18"/>
      <c r="F221" s="19"/>
      <c r="G221" s="18"/>
      <c r="H221" s="18"/>
      <c r="I221" s="19"/>
    </row>
    <row r="222" spans="1:9" ht="13.15">
      <c r="A222" s="18"/>
      <c r="B222" s="18"/>
      <c r="C222" s="18"/>
      <c r="D222" s="18"/>
      <c r="E222" s="18"/>
      <c r="F222" s="19"/>
      <c r="G222" s="18"/>
      <c r="H222" s="18"/>
      <c r="I222" s="19"/>
    </row>
    <row r="223" spans="1:9" ht="13.15">
      <c r="A223" s="18"/>
      <c r="B223" s="18"/>
      <c r="C223" s="18"/>
      <c r="D223" s="18"/>
      <c r="E223" s="18"/>
      <c r="F223" s="19"/>
      <c r="G223" s="18"/>
      <c r="H223" s="18"/>
      <c r="I223" s="19"/>
    </row>
    <row r="224" spans="1:9" ht="13.15">
      <c r="A224" s="18"/>
      <c r="B224" s="18"/>
      <c r="C224" s="18"/>
      <c r="D224" s="18"/>
      <c r="E224" s="18"/>
      <c r="F224" s="19"/>
      <c r="G224" s="18"/>
      <c r="H224" s="18"/>
      <c r="I224" s="19"/>
    </row>
    <row r="225" spans="1:9" ht="13.15">
      <c r="A225" s="18"/>
      <c r="B225" s="18"/>
      <c r="C225" s="18"/>
      <c r="D225" s="18"/>
      <c r="E225" s="18"/>
      <c r="F225" s="19"/>
      <c r="G225" s="18"/>
      <c r="H225" s="18"/>
      <c r="I225" s="19"/>
    </row>
    <row r="226" spans="1:9" ht="13.15">
      <c r="A226" s="18"/>
      <c r="B226" s="18"/>
      <c r="C226" s="18"/>
      <c r="D226" s="18"/>
      <c r="E226" s="18"/>
      <c r="F226" s="19"/>
      <c r="G226" s="18"/>
      <c r="H226" s="18"/>
      <c r="I226" s="19"/>
    </row>
    <row r="227" spans="1:9" ht="13.15">
      <c r="A227" s="18"/>
      <c r="B227" s="18"/>
      <c r="C227" s="18"/>
      <c r="D227" s="18"/>
      <c r="E227" s="18"/>
      <c r="F227" s="19"/>
      <c r="G227" s="18"/>
      <c r="H227" s="18"/>
      <c r="I227" s="19"/>
    </row>
    <row r="228" spans="1:9" ht="13.15">
      <c r="A228" s="18"/>
      <c r="B228" s="18"/>
      <c r="C228" s="18"/>
      <c r="D228" s="18"/>
      <c r="E228" s="18"/>
      <c r="F228" s="19"/>
      <c r="G228" s="18"/>
      <c r="H228" s="18"/>
      <c r="I228" s="19"/>
    </row>
    <row r="229" spans="1:9" ht="13.15">
      <c r="A229" s="18"/>
      <c r="B229" s="18"/>
      <c r="C229" s="18"/>
      <c r="D229" s="18"/>
      <c r="E229" s="18"/>
      <c r="F229" s="19"/>
      <c r="G229" s="18"/>
      <c r="H229" s="18"/>
      <c r="I229" s="19"/>
    </row>
    <row r="230" spans="1:9" ht="13.15">
      <c r="A230" s="18"/>
      <c r="B230" s="18"/>
      <c r="C230" s="18"/>
      <c r="D230" s="18"/>
      <c r="E230" s="18"/>
      <c r="F230" s="19"/>
      <c r="G230" s="18"/>
      <c r="H230" s="18"/>
      <c r="I230" s="19"/>
    </row>
    <row r="231" spans="1:9" ht="13.15">
      <c r="A231" s="18"/>
      <c r="B231" s="18"/>
      <c r="C231" s="18"/>
      <c r="D231" s="18"/>
      <c r="E231" s="18"/>
      <c r="F231" s="19"/>
      <c r="G231" s="18"/>
      <c r="H231" s="18"/>
      <c r="I231" s="19"/>
    </row>
    <row r="232" spans="1:9" ht="13.15">
      <c r="A232" s="18"/>
      <c r="B232" s="18"/>
      <c r="C232" s="18"/>
      <c r="D232" s="18"/>
      <c r="E232" s="18"/>
      <c r="F232" s="19"/>
      <c r="G232" s="18"/>
      <c r="H232" s="18"/>
      <c r="I232" s="19"/>
    </row>
    <row r="233" spans="1:9" ht="13.15">
      <c r="A233" s="18"/>
      <c r="B233" s="18"/>
      <c r="C233" s="18"/>
      <c r="D233" s="18"/>
      <c r="E233" s="18"/>
      <c r="F233" s="19"/>
      <c r="G233" s="18"/>
      <c r="H233" s="18"/>
      <c r="I233" s="19"/>
    </row>
    <row r="234" spans="1:9" ht="13.15">
      <c r="A234" s="18"/>
      <c r="B234" s="18"/>
      <c r="C234" s="18"/>
      <c r="D234" s="18"/>
      <c r="E234" s="18"/>
      <c r="F234" s="19"/>
      <c r="G234" s="18"/>
      <c r="H234" s="18"/>
      <c r="I234" s="19"/>
    </row>
    <row r="235" spans="1:9" ht="13.15">
      <c r="A235" s="18"/>
      <c r="B235" s="18"/>
      <c r="C235" s="18"/>
      <c r="D235" s="18"/>
      <c r="E235" s="18"/>
      <c r="F235" s="19"/>
      <c r="G235" s="18"/>
      <c r="H235" s="18"/>
      <c r="I235" s="19"/>
    </row>
    <row r="236" spans="1:9" ht="13.15">
      <c r="A236" s="18"/>
      <c r="B236" s="18"/>
      <c r="C236" s="18"/>
      <c r="D236" s="18"/>
      <c r="E236" s="18"/>
      <c r="F236" s="19"/>
      <c r="G236" s="18"/>
      <c r="H236" s="18"/>
      <c r="I236" s="19"/>
    </row>
    <row r="237" spans="1:9" ht="13.15">
      <c r="A237" s="18"/>
      <c r="B237" s="18"/>
      <c r="C237" s="18"/>
      <c r="D237" s="18"/>
      <c r="E237" s="18"/>
      <c r="F237" s="19"/>
      <c r="G237" s="18"/>
      <c r="H237" s="18"/>
      <c r="I237" s="19"/>
    </row>
    <row r="238" spans="1:9" ht="13.15">
      <c r="A238" s="18"/>
      <c r="B238" s="18"/>
      <c r="C238" s="18"/>
      <c r="D238" s="18"/>
      <c r="E238" s="18"/>
      <c r="F238" s="19"/>
      <c r="G238" s="18"/>
      <c r="H238" s="18"/>
      <c r="I238" s="19"/>
    </row>
    <row r="239" spans="1:9" ht="13.15">
      <c r="A239" s="18"/>
      <c r="B239" s="18"/>
      <c r="C239" s="18"/>
      <c r="D239" s="18"/>
      <c r="E239" s="18"/>
      <c r="F239" s="19"/>
      <c r="G239" s="18"/>
      <c r="H239" s="18"/>
      <c r="I239" s="19"/>
    </row>
    <row r="240" spans="1:9" ht="13.15">
      <c r="A240" s="18"/>
      <c r="B240" s="18"/>
      <c r="C240" s="18"/>
      <c r="D240" s="18"/>
      <c r="E240" s="18"/>
      <c r="F240" s="19"/>
      <c r="G240" s="18"/>
      <c r="H240" s="18"/>
      <c r="I240" s="19"/>
    </row>
    <row r="241" spans="1:9" ht="13.15">
      <c r="A241" s="18"/>
      <c r="B241" s="18"/>
      <c r="C241" s="18"/>
      <c r="D241" s="18"/>
      <c r="E241" s="18"/>
      <c r="F241" s="19"/>
      <c r="G241" s="18"/>
      <c r="H241" s="18"/>
      <c r="I241" s="19"/>
    </row>
    <row r="242" spans="1:9" ht="13.15">
      <c r="A242" s="18"/>
      <c r="B242" s="18"/>
      <c r="C242" s="18"/>
      <c r="D242" s="18"/>
      <c r="E242" s="18"/>
      <c r="F242" s="19"/>
      <c r="G242" s="18"/>
      <c r="H242" s="18"/>
      <c r="I242" s="19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">
    <cfRule type="cellIs" dxfId="60" priority="3" stopIfTrue="1" operator="lessThanOrEqual">
      <formula>-0.1</formula>
    </cfRule>
    <cfRule type="expression" dxfId="59" priority="4">
      <formula>AND(ISNUMBER(F2), F2&gt;=0.1)</formula>
    </cfRule>
  </conditionalFormatting>
  <conditionalFormatting sqref="F4:F38 I4:I38">
    <cfRule type="cellIs" dxfId="58" priority="1" stopIfTrue="1" operator="lessThanOrEqual">
      <formula>-0.1</formula>
    </cfRule>
    <cfRule type="expression" dxfId="5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K242"/>
  <sheetViews>
    <sheetView workbookViewId="0">
      <pane xSplit="2" ySplit="3" topLeftCell="C4" activePane="bottomRight" state="frozen"/>
      <selection pane="bottomRight" activeCell="H4" sqref="H4"/>
      <selection pane="bottomLeft" activeCell="C48" sqref="C48"/>
      <selection pane="topRight" activeCell="C48" sqref="C4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66" t="str" cm="1">
        <f t="array" ref="A1">portfolio</f>
        <v>Cushman &amp; Wakefield</v>
      </c>
      <c r="B1" s="66"/>
      <c r="C1" s="66"/>
      <c r="D1" s="67" t="s">
        <v>14</v>
      </c>
      <c r="E1" s="67"/>
      <c r="F1" s="67"/>
      <c r="G1" s="65" t="s">
        <v>15</v>
      </c>
      <c r="H1" s="65"/>
      <c r="I1" s="65"/>
    </row>
    <row r="2" spans="1:11" ht="19.5" customHeight="1">
      <c r="A2" s="68" t="s">
        <v>2</v>
      </c>
      <c r="B2" s="68"/>
      <c r="C2" s="6">
        <f>SUM(C4:C38)</f>
        <v>0</v>
      </c>
      <c r="D2" s="6">
        <f>SUM(D4:D38)</f>
        <v>0</v>
      </c>
      <c r="E2" s="6">
        <f>C2-D2</f>
        <v>0</v>
      </c>
      <c r="F2" s="7">
        <f>IFERROR(E2/D2, 0)</f>
        <v>0</v>
      </c>
      <c r="G2" s="6">
        <f>SUM(G4:G38)</f>
        <v>0</v>
      </c>
      <c r="H2" s="8">
        <f>C2-G2</f>
        <v>0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</row>
    <row r="4" spans="1:11" ht="15.75">
      <c r="A4" s="29" t="str" cm="1">
        <f t="array" ref="A4:A38">Sites[Site]</f>
        <v xml:space="preserve"> Adelanto - Bank of America</v>
      </c>
      <c r="B4" s="26" t="str" cm="1">
        <f t="array" ref="B4:B38">Sites[State]</f>
        <v>CA</v>
      </c>
      <c r="C4" s="21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 xml:space="preserve"> Apple Valley - Bank of America</v>
      </c>
      <c r="B5" s="28" t="str">
        <v>CA</v>
      </c>
      <c r="C5" s="10">
        <f>SUM(Jul!C5, Aug!C5, Sep!C5)</f>
        <v>0</v>
      </c>
      <c r="D5" s="15">
        <f>SUM(Jul!D5, Aug!D5, Sep!D5)</f>
        <v>0</v>
      </c>
      <c r="E5" s="15">
        <f t="shared" ref="E5:E15" si="0">IF(AND(ISNUMBER(C5),ISNUMBER(D5)), C5-D5, "")</f>
        <v>0</v>
      </c>
      <c r="F5" s="16" t="str">
        <f>IFERROR(E5/D5, "")</f>
        <v/>
      </c>
      <c r="G5" s="17"/>
      <c r="H5" s="17" t="str">
        <f t="shared" ref="H5:H38" si="1">IF(AND(ISNUMBER(C5),ISNUMBER(G5)), C5-G5, "")</f>
        <v/>
      </c>
      <c r="I5" s="16" t="str">
        <f>IFERROR(H5/G5, "")</f>
        <v/>
      </c>
      <c r="J5" s="39"/>
      <c r="K5" s="39"/>
    </row>
    <row r="6" spans="1:11" ht="15.75">
      <c r="A6" s="25" t="str">
        <v xml:space="preserve"> Arvin - Bank of America</v>
      </c>
      <c r="B6" s="26" t="str">
        <v>CA</v>
      </c>
      <c r="C6" s="21">
        <f>SUM(Jul!C6, Aug!C6, Sep!C6)</f>
        <v>0</v>
      </c>
      <c r="D6" s="11">
        <f>SUM(Jul!D6, Aug!D6, Sep!D6)</f>
        <v>0</v>
      </c>
      <c r="E6" s="11">
        <f t="shared" si="0"/>
        <v>0</v>
      </c>
      <c r="F6" s="12" t="str">
        <f t="shared" ref="F6:F15" si="2">IFERROR(E6/D6, "")</f>
        <v/>
      </c>
      <c r="G6" s="13"/>
      <c r="H6" s="13" t="str">
        <f t="shared" si="1"/>
        <v/>
      </c>
      <c r="I6" s="14" t="str">
        <f t="shared" ref="I6:I15" si="3">IFERROR(H6/G6, "")</f>
        <v/>
      </c>
      <c r="J6" s="38"/>
      <c r="K6" s="38"/>
    </row>
    <row r="7" spans="1:11" ht="15.75">
      <c r="A7" s="27" t="str">
        <v xml:space="preserve"> Bell - Bank of America</v>
      </c>
      <c r="B7" s="28" t="str">
        <v>CA</v>
      </c>
      <c r="C7" s="10">
        <f>SUM(Jul!C7, Aug!C7, Sep!C7)</f>
        <v>0</v>
      </c>
      <c r="D7" s="15">
        <f>SUM(Jul!D7, Aug!D7, Sep!D7)</f>
        <v>0</v>
      </c>
      <c r="E7" s="15">
        <f t="shared" si="0"/>
        <v>0</v>
      </c>
      <c r="F7" s="16" t="str">
        <f t="shared" si="2"/>
        <v/>
      </c>
      <c r="G7" s="17"/>
      <c r="H7" s="17" t="str">
        <f t="shared" si="1"/>
        <v/>
      </c>
      <c r="I7" s="16" t="str">
        <f t="shared" si="3"/>
        <v/>
      </c>
      <c r="J7" s="39"/>
      <c r="K7" s="40"/>
    </row>
    <row r="8" spans="1:11" ht="15.75">
      <c r="A8" s="25" t="str">
        <v xml:space="preserve"> Chula Vista - Bank of America</v>
      </c>
      <c r="B8" s="26" t="str">
        <v>CA</v>
      </c>
      <c r="C8" s="21">
        <f>SUM(Jul!C8, Aug!C8, Sep!C8)</f>
        <v>0</v>
      </c>
      <c r="D8" s="11">
        <f>SUM(Jul!D8, Aug!D8, Sep!D8)</f>
        <v>0</v>
      </c>
      <c r="E8" s="11">
        <f t="shared" si="0"/>
        <v>0</v>
      </c>
      <c r="F8" s="12" t="str">
        <f t="shared" si="2"/>
        <v/>
      </c>
      <c r="G8" s="13"/>
      <c r="H8" s="13" t="str">
        <f t="shared" si="1"/>
        <v/>
      </c>
      <c r="I8" s="14" t="str">
        <f t="shared" si="3"/>
        <v/>
      </c>
      <c r="J8" s="38"/>
      <c r="K8" s="38"/>
    </row>
    <row r="9" spans="1:11" ht="15.75">
      <c r="A9" s="27" t="str">
        <v xml:space="preserve"> Cupertino - Bank of America</v>
      </c>
      <c r="B9" s="28" t="str">
        <v>CA</v>
      </c>
      <c r="C9" s="10">
        <f>SUM(Jul!C9, Aug!C9, Sep!C9)</f>
        <v>0</v>
      </c>
      <c r="D9" s="15">
        <f>SUM(Jul!D9, Aug!D9, Sep!D9)</f>
        <v>0</v>
      </c>
      <c r="E9" s="15">
        <f t="shared" si="0"/>
        <v>0</v>
      </c>
      <c r="F9" s="16" t="str">
        <f t="shared" si="2"/>
        <v/>
      </c>
      <c r="G9" s="17"/>
      <c r="H9" s="17" t="str">
        <f t="shared" si="1"/>
        <v/>
      </c>
      <c r="I9" s="16" t="str">
        <f t="shared" si="3"/>
        <v/>
      </c>
      <c r="J9" s="39"/>
      <c r="K9" s="40"/>
    </row>
    <row r="10" spans="1:11" ht="15.75">
      <c r="A10" s="25" t="str">
        <v xml:space="preserve"> Diamond Bar - Bank of America</v>
      </c>
      <c r="B10" s="26" t="str">
        <v>CA</v>
      </c>
      <c r="C10" s="21">
        <f>SUM(Jul!C10, Aug!C10, Sep!C10)</f>
        <v>0</v>
      </c>
      <c r="D10" s="11">
        <f>SUM(Jul!D10, Aug!D10, Sep!D10)</f>
        <v>0</v>
      </c>
      <c r="E10" s="11">
        <f t="shared" si="0"/>
        <v>0</v>
      </c>
      <c r="F10" s="12" t="str">
        <f t="shared" si="2"/>
        <v/>
      </c>
      <c r="G10" s="13"/>
      <c r="H10" s="13" t="str">
        <f t="shared" si="1"/>
        <v/>
      </c>
      <c r="I10" s="14" t="str">
        <f t="shared" si="3"/>
        <v/>
      </c>
      <c r="J10" s="38"/>
      <c r="K10" s="38"/>
    </row>
    <row r="11" spans="1:11" ht="15.75">
      <c r="A11" s="27" t="str">
        <v xml:space="preserve"> El Centro - Bank of America</v>
      </c>
      <c r="B11" s="28" t="str">
        <v>CA</v>
      </c>
      <c r="C11" s="10">
        <f>SUM(Jul!C11, Aug!C11, Sep!C11)</f>
        <v>0</v>
      </c>
      <c r="D11" s="15">
        <f>SUM(Jul!D11, Aug!D11, Sep!D11)</f>
        <v>0</v>
      </c>
      <c r="E11" s="15">
        <f t="shared" si="0"/>
        <v>0</v>
      </c>
      <c r="F11" s="16" t="str">
        <f t="shared" si="2"/>
        <v/>
      </c>
      <c r="G11" s="17"/>
      <c r="H11" s="17" t="str">
        <f t="shared" si="1"/>
        <v/>
      </c>
      <c r="I11" s="16" t="str">
        <f t="shared" si="3"/>
        <v/>
      </c>
      <c r="J11" s="39"/>
      <c r="K11" s="40"/>
    </row>
    <row r="12" spans="1:11" ht="15.75">
      <c r="A12" s="25" t="str">
        <v xml:space="preserve"> Moreno Valley - Bank of America</v>
      </c>
      <c r="B12" s="26" t="str">
        <v>CA</v>
      </c>
      <c r="C12" s="21">
        <f>SUM(Jul!C12, Aug!C12, Sep!C12)</f>
        <v>0</v>
      </c>
      <c r="D12" s="11">
        <f>SUM(Jul!D12, Aug!D12, Sep!D12)</f>
        <v>0</v>
      </c>
      <c r="E12" s="11">
        <f t="shared" si="0"/>
        <v>0</v>
      </c>
      <c r="F12" s="12" t="str">
        <f t="shared" si="2"/>
        <v/>
      </c>
      <c r="G12" s="13"/>
      <c r="H12" s="13" t="str">
        <f t="shared" si="1"/>
        <v/>
      </c>
      <c r="I12" s="14" t="str">
        <f t="shared" si="3"/>
        <v/>
      </c>
      <c r="J12" s="38"/>
      <c r="K12" s="38"/>
    </row>
    <row r="13" spans="1:11" ht="15.75">
      <c r="A13" s="27" t="str">
        <v xml:space="preserve"> Redlands - Bank of America</v>
      </c>
      <c r="B13" s="28" t="str">
        <v>CA</v>
      </c>
      <c r="C13" s="10">
        <f>SUM(Jul!C13, Aug!C13, Sep!C13)</f>
        <v>0</v>
      </c>
      <c r="D13" s="15">
        <f>SUM(Jul!D13, Aug!D13, Sep!D13)</f>
        <v>0</v>
      </c>
      <c r="E13" s="15">
        <f t="shared" si="0"/>
        <v>0</v>
      </c>
      <c r="F13" s="16" t="str">
        <f t="shared" si="2"/>
        <v/>
      </c>
      <c r="G13" s="17"/>
      <c r="H13" s="17" t="str">
        <f t="shared" si="1"/>
        <v/>
      </c>
      <c r="I13" s="16" t="str">
        <f t="shared" si="3"/>
        <v/>
      </c>
      <c r="J13" s="39"/>
      <c r="K13" s="40"/>
    </row>
    <row r="14" spans="1:11" ht="15.75">
      <c r="A14" s="25" t="str">
        <v xml:space="preserve"> Roseville - Bank of America</v>
      </c>
      <c r="B14" s="26" t="str">
        <v>CA</v>
      </c>
      <c r="C14" s="21">
        <f>SUM(Jul!C14, Aug!C14, Sep!C14)</f>
        <v>0</v>
      </c>
      <c r="D14" s="11">
        <f>SUM(Jul!D14, Aug!D14, Sep!D14)</f>
        <v>0</v>
      </c>
      <c r="E14" s="11">
        <f t="shared" si="0"/>
        <v>0</v>
      </c>
      <c r="F14" s="12" t="str">
        <f t="shared" si="2"/>
        <v/>
      </c>
      <c r="G14" s="13"/>
      <c r="H14" s="13" t="str">
        <f t="shared" si="1"/>
        <v/>
      </c>
      <c r="I14" s="14" t="str">
        <f t="shared" si="3"/>
        <v/>
      </c>
      <c r="J14" s="38"/>
      <c r="K14" s="38"/>
    </row>
    <row r="15" spans="1:11" ht="15.75">
      <c r="A15" s="27" t="str">
        <v xml:space="preserve"> San Bernardino - Bank of America</v>
      </c>
      <c r="B15" s="28" t="str">
        <v>CA</v>
      </c>
      <c r="C15" s="10">
        <f>SUM(Jul!C15, Aug!C15, Sep!C15)</f>
        <v>0</v>
      </c>
      <c r="D15" s="15">
        <f>SUM(Jul!D15, Aug!D15, Sep!D15)</f>
        <v>0</v>
      </c>
      <c r="E15" s="15">
        <f t="shared" si="0"/>
        <v>0</v>
      </c>
      <c r="F15" s="16" t="str">
        <f t="shared" si="2"/>
        <v/>
      </c>
      <c r="G15" s="17"/>
      <c r="H15" s="17" t="str">
        <f t="shared" si="1"/>
        <v/>
      </c>
      <c r="I15" s="16" t="str">
        <f t="shared" si="3"/>
        <v/>
      </c>
      <c r="J15" s="39"/>
      <c r="K15" s="40"/>
    </row>
    <row r="16" spans="1:11" ht="15.75">
      <c r="A16" s="25" t="str">
        <v xml:space="preserve"> San Diego - Bank of America</v>
      </c>
      <c r="B16" s="26" t="str">
        <v>CA</v>
      </c>
      <c r="C16" s="21">
        <f>SUM(Jul!C16, Aug!C16, Sep!C16)</f>
        <v>0</v>
      </c>
      <c r="D16" s="11">
        <f>SUM(Jul!D16, Aug!D16, Sep!D16)</f>
        <v>0</v>
      </c>
      <c r="E16" s="11">
        <f t="shared" ref="E16:E38" si="4">IF(AND(ISNUMBER(C16),ISNUMBER(D16)), C16-D16, "")</f>
        <v>0</v>
      </c>
      <c r="F16" s="12" t="str">
        <f t="shared" ref="F16:F17" si="5">IFERROR(E16/D16, "")</f>
        <v/>
      </c>
      <c r="G16" s="13"/>
      <c r="H16" s="13" t="str">
        <f t="shared" si="1"/>
        <v/>
      </c>
      <c r="I16" s="14" t="str">
        <f t="shared" ref="I16:I17" si="6">IFERROR(H16/G16, "")</f>
        <v/>
      </c>
      <c r="J16" s="38"/>
      <c r="K16" s="38"/>
    </row>
    <row r="17" spans="1:11" ht="15.75">
      <c r="A17" s="27" t="str">
        <v xml:space="preserve"> Stockton - Bank of America</v>
      </c>
      <c r="B17" s="28" t="str">
        <v>CA</v>
      </c>
      <c r="C17" s="10">
        <f>SUM(Jul!C17, Aug!C17, Sep!C17)</f>
        <v>0</v>
      </c>
      <c r="D17" s="15">
        <f>SUM(Jul!D17, Aug!D17, Sep!D17)</f>
        <v>0</v>
      </c>
      <c r="E17" s="15">
        <f t="shared" si="4"/>
        <v>0</v>
      </c>
      <c r="F17" s="16" t="str">
        <f t="shared" si="5"/>
        <v/>
      </c>
      <c r="G17" s="17"/>
      <c r="H17" s="17" t="str">
        <f t="shared" si="1"/>
        <v/>
      </c>
      <c r="I17" s="16" t="str">
        <f t="shared" si="6"/>
        <v/>
      </c>
      <c r="J17" s="39"/>
      <c r="K17" s="39"/>
    </row>
    <row r="18" spans="1:11" ht="12.75" customHeight="1">
      <c r="A18" s="25" t="str">
        <v xml:space="preserve"> Victorville - Bank of America</v>
      </c>
      <c r="B18" s="26" t="str">
        <v>CA</v>
      </c>
      <c r="C18" s="21"/>
      <c r="D18" s="11"/>
      <c r="E18" s="11" t="str">
        <f t="shared" si="4"/>
        <v/>
      </c>
      <c r="F18" s="12"/>
      <c r="G18" s="13"/>
      <c r="H18" s="13" t="str">
        <f t="shared" si="1"/>
        <v/>
      </c>
      <c r="I18" s="14"/>
      <c r="J18" s="38"/>
      <c r="K18" s="38"/>
    </row>
    <row r="19" spans="1:11" ht="15.75">
      <c r="A19" s="27" t="str">
        <v xml:space="preserve"> Aurora - BA - Colfax Ave</v>
      </c>
      <c r="B19" s="28" t="str">
        <v>CO</v>
      </c>
      <c r="C19" s="10"/>
      <c r="D19" s="15"/>
      <c r="E19" s="15" t="str">
        <f t="shared" si="4"/>
        <v/>
      </c>
      <c r="F19" s="16"/>
      <c r="G19" s="17"/>
      <c r="H19" s="17" t="str">
        <f t="shared" si="1"/>
        <v/>
      </c>
      <c r="I19" s="16"/>
      <c r="J19" s="39"/>
      <c r="K19" s="40"/>
    </row>
    <row r="20" spans="1:11" ht="15.75">
      <c r="A20" s="25" t="str">
        <v xml:space="preserve"> Aurora - BA - Parker Rd</v>
      </c>
      <c r="B20" s="26" t="str">
        <v>CO</v>
      </c>
      <c r="C20" s="21"/>
      <c r="D20" s="11"/>
      <c r="E20" s="11" t="str">
        <f t="shared" si="4"/>
        <v/>
      </c>
      <c r="F20" s="12"/>
      <c r="G20" s="13"/>
      <c r="H20" s="13" t="str">
        <f t="shared" si="1"/>
        <v/>
      </c>
      <c r="I20" s="14"/>
      <c r="J20" s="38"/>
      <c r="K20" s="38"/>
    </row>
    <row r="21" spans="1:11" ht="15.75">
      <c r="A21" s="27" t="str">
        <v xml:space="preserve"> Broomfield - Bank of America</v>
      </c>
      <c r="B21" s="28" t="str">
        <v>CO</v>
      </c>
      <c r="C21" s="10"/>
      <c r="D21" s="15"/>
      <c r="E21" s="15" t="str">
        <f t="shared" si="4"/>
        <v/>
      </c>
      <c r="F21" s="16"/>
      <c r="G21" s="17"/>
      <c r="H21" s="17" t="str">
        <f t="shared" si="1"/>
        <v/>
      </c>
      <c r="I21" s="16"/>
      <c r="J21" s="39"/>
      <c r="K21" s="40"/>
    </row>
    <row r="22" spans="1:11" ht="15.75">
      <c r="A22" s="25" t="str">
        <v xml:space="preserve"> Colorado Springs - Bank of America</v>
      </c>
      <c r="B22" s="26" t="str">
        <v>CO</v>
      </c>
      <c r="C22" s="21"/>
      <c r="D22" s="11"/>
      <c r="E22" s="11" t="str">
        <f t="shared" si="4"/>
        <v/>
      </c>
      <c r="F22" s="12"/>
      <c r="G22" s="13"/>
      <c r="H22" s="13" t="str">
        <f t="shared" si="1"/>
        <v/>
      </c>
      <c r="I22" s="14"/>
      <c r="J22" s="38"/>
      <c r="K22" s="38"/>
    </row>
    <row r="23" spans="1:11" ht="15.75">
      <c r="A23" s="27" t="str">
        <v xml:space="preserve"> Denver - BA - 49th Ave</v>
      </c>
      <c r="B23" s="28" t="str">
        <v>CO</v>
      </c>
      <c r="C23" s="10"/>
      <c r="D23" s="15"/>
      <c r="E23" s="15" t="str">
        <f t="shared" si="4"/>
        <v/>
      </c>
      <c r="F23" s="16"/>
      <c r="G23" s="17"/>
      <c r="H23" s="17" t="str">
        <f t="shared" si="1"/>
        <v/>
      </c>
      <c r="I23" s="16"/>
      <c r="J23" s="39"/>
      <c r="K23" s="40"/>
    </row>
    <row r="24" spans="1:11" ht="15.75">
      <c r="A24" s="25" t="str">
        <v xml:space="preserve"> Denver - BA Wadsworth Blvd</v>
      </c>
      <c r="B24" s="26" t="str">
        <v>CO</v>
      </c>
      <c r="C24" s="21"/>
      <c r="D24" s="11"/>
      <c r="E24" s="11" t="str">
        <f t="shared" si="4"/>
        <v/>
      </c>
      <c r="F24" s="12"/>
      <c r="G24" s="13"/>
      <c r="H24" s="13" t="str">
        <f t="shared" si="1"/>
        <v/>
      </c>
      <c r="I24" s="14"/>
      <c r="J24" s="38"/>
      <c r="K24" s="38"/>
    </row>
    <row r="25" spans="1:11" ht="15.75">
      <c r="A25" s="27" t="str">
        <v xml:space="preserve"> Fort Collins - Bank of America</v>
      </c>
      <c r="B25" s="28" t="str">
        <v>CO</v>
      </c>
      <c r="C25" s="10"/>
      <c r="D25" s="15"/>
      <c r="E25" s="15" t="str">
        <f t="shared" si="4"/>
        <v/>
      </c>
      <c r="F25" s="16"/>
      <c r="G25" s="17"/>
      <c r="H25" s="17" t="str">
        <f t="shared" si="1"/>
        <v/>
      </c>
      <c r="I25" s="16"/>
      <c r="J25" s="39"/>
      <c r="K25" s="40"/>
    </row>
    <row r="26" spans="1:11" ht="15.75">
      <c r="A26" s="25" t="str">
        <v xml:space="preserve"> Lafayette - Bank of America</v>
      </c>
      <c r="B26" s="26" t="str">
        <v>CO</v>
      </c>
      <c r="C26" s="21"/>
      <c r="D26" s="11"/>
      <c r="E26" s="11" t="str">
        <f t="shared" si="4"/>
        <v/>
      </c>
      <c r="F26" s="12"/>
      <c r="G26" s="13"/>
      <c r="H26" s="13" t="str">
        <f t="shared" si="1"/>
        <v/>
      </c>
      <c r="I26" s="14"/>
      <c r="J26" s="38"/>
      <c r="K26" s="38"/>
    </row>
    <row r="27" spans="1:11" ht="15.75">
      <c r="A27" s="27" t="str">
        <v xml:space="preserve"> Lakewood - Bank of America</v>
      </c>
      <c r="B27" s="28" t="str">
        <v>CO</v>
      </c>
      <c r="C27" s="10"/>
      <c r="D27" s="15"/>
      <c r="E27" s="15" t="str">
        <f t="shared" si="4"/>
        <v/>
      </c>
      <c r="F27" s="16"/>
      <c r="G27" s="17"/>
      <c r="H27" s="17" t="str">
        <f t="shared" si="1"/>
        <v/>
      </c>
      <c r="I27" s="16"/>
      <c r="J27" s="39"/>
      <c r="K27" s="40"/>
    </row>
    <row r="28" spans="1:11" ht="15.75">
      <c r="A28" s="25" t="str">
        <v xml:space="preserve"> Longmont - Bank of America</v>
      </c>
      <c r="B28" s="26" t="str">
        <v>CO</v>
      </c>
      <c r="C28" s="21"/>
      <c r="D28" s="11"/>
      <c r="E28" s="11" t="str">
        <f t="shared" si="4"/>
        <v/>
      </c>
      <c r="F28" s="12"/>
      <c r="G28" s="13"/>
      <c r="H28" s="13" t="str">
        <f t="shared" si="1"/>
        <v/>
      </c>
      <c r="I28" s="14"/>
      <c r="J28" s="38"/>
      <c r="K28" s="38"/>
    </row>
    <row r="29" spans="1:11" ht="15.75">
      <c r="A29" s="27" t="str">
        <v xml:space="preserve"> Thornton - Bank of America</v>
      </c>
      <c r="B29" s="28" t="str">
        <v>CO</v>
      </c>
      <c r="C29" s="10"/>
      <c r="D29" s="15"/>
      <c r="E29" s="15" t="str">
        <f t="shared" si="4"/>
        <v/>
      </c>
      <c r="F29" s="16"/>
      <c r="G29" s="17"/>
      <c r="H29" s="17" t="str">
        <f t="shared" si="1"/>
        <v/>
      </c>
      <c r="I29" s="16"/>
      <c r="J29" s="39"/>
      <c r="K29" s="39"/>
    </row>
    <row r="30" spans="1:11" ht="15.75">
      <c r="A30" s="25" t="str">
        <v xml:space="preserve"> Calumet City - Bank of America</v>
      </c>
      <c r="B30" s="26" t="str">
        <v>IL</v>
      </c>
      <c r="C30" s="21"/>
      <c r="D30" s="11"/>
      <c r="E30" s="11" t="str">
        <f t="shared" si="4"/>
        <v/>
      </c>
      <c r="F30" s="12"/>
      <c r="G30" s="13"/>
      <c r="H30" s="13" t="str">
        <f t="shared" si="1"/>
        <v/>
      </c>
      <c r="I30" s="14"/>
      <c r="J30" s="38"/>
      <c r="K30" s="38"/>
    </row>
    <row r="31" spans="1:11" ht="15.75">
      <c r="A31" s="27" t="str">
        <v xml:space="preserve"> Downers Grove - Bank of America</v>
      </c>
      <c r="B31" s="28" t="str">
        <v>IL</v>
      </c>
      <c r="C31" s="10"/>
      <c r="D31" s="15"/>
      <c r="E31" s="15" t="str">
        <f t="shared" si="4"/>
        <v/>
      </c>
      <c r="F31" s="16"/>
      <c r="G31" s="17"/>
      <c r="H31" s="17" t="str">
        <f t="shared" si="1"/>
        <v/>
      </c>
      <c r="I31" s="16"/>
      <c r="J31" s="39"/>
      <c r="K31" s="40"/>
    </row>
    <row r="32" spans="1:11" ht="15.75">
      <c r="A32" s="25" t="str">
        <v xml:space="preserve"> Bloomington - Bank of America</v>
      </c>
      <c r="B32" s="26" t="str">
        <v>MN</v>
      </c>
      <c r="C32" s="21"/>
      <c r="D32" s="11"/>
      <c r="E32" s="11" t="str">
        <f t="shared" si="4"/>
        <v/>
      </c>
      <c r="F32" s="12"/>
      <c r="G32" s="13"/>
      <c r="H32" s="13" t="str">
        <f t="shared" si="1"/>
        <v/>
      </c>
      <c r="I32" s="14"/>
      <c r="J32" s="38"/>
      <c r="K32" s="38"/>
    </row>
    <row r="33" spans="1:11" ht="15.75">
      <c r="A33" s="27" t="str">
        <v xml:space="preserve"> Clayton - Bank of America</v>
      </c>
      <c r="B33" s="28" t="str">
        <v>MO</v>
      </c>
      <c r="C33" s="10"/>
      <c r="D33" s="15"/>
      <c r="E33" s="15" t="str">
        <f t="shared" si="4"/>
        <v/>
      </c>
      <c r="F33" s="16"/>
      <c r="G33" s="17"/>
      <c r="H33" s="17" t="str">
        <f t="shared" si="1"/>
        <v/>
      </c>
      <c r="I33" s="16"/>
      <c r="J33" s="39"/>
      <c r="K33" s="40"/>
    </row>
    <row r="34" spans="1:11" ht="15.75">
      <c r="A34" s="25" t="str">
        <v xml:space="preserve"> Manchester - Bank of America</v>
      </c>
      <c r="B34" s="26" t="str">
        <v>MO</v>
      </c>
      <c r="C34" s="21"/>
      <c r="D34" s="11"/>
      <c r="E34" s="11" t="str">
        <f t="shared" si="4"/>
        <v/>
      </c>
      <c r="F34" s="12"/>
      <c r="G34" s="13"/>
      <c r="H34" s="13" t="str">
        <f t="shared" si="1"/>
        <v/>
      </c>
      <c r="I34" s="14"/>
      <c r="J34" s="38"/>
      <c r="K34" s="38"/>
    </row>
    <row r="35" spans="1:11" ht="15.75">
      <c r="A35" s="27" t="str">
        <v xml:space="preserve"> Las Vegas - BA - Eastern Ave</v>
      </c>
      <c r="B35" s="28" t="str">
        <v>NV</v>
      </c>
      <c r="C35" s="10"/>
      <c r="D35" s="15"/>
      <c r="E35" s="15" t="str">
        <f t="shared" si="4"/>
        <v/>
      </c>
      <c r="F35" s="16"/>
      <c r="G35" s="17"/>
      <c r="H35" s="17" t="str">
        <f t="shared" si="1"/>
        <v/>
      </c>
      <c r="I35" s="16"/>
      <c r="J35" s="39"/>
      <c r="K35" s="40"/>
    </row>
    <row r="36" spans="1:11" ht="15.75">
      <c r="A36" s="25" t="str">
        <v xml:space="preserve"> Las Vegas - BA - Town Ctr Dr</v>
      </c>
      <c r="B36" s="26" t="str">
        <v>NV</v>
      </c>
      <c r="C36" s="21"/>
      <c r="D36" s="11"/>
      <c r="E36" s="11" t="str">
        <f t="shared" si="4"/>
        <v/>
      </c>
      <c r="F36" s="12"/>
      <c r="G36" s="13"/>
      <c r="H36" s="13" t="str">
        <f t="shared" si="1"/>
        <v/>
      </c>
      <c r="I36" s="14"/>
      <c r="J36" s="38"/>
      <c r="K36" s="38"/>
    </row>
    <row r="37" spans="1:11" ht="15.75">
      <c r="A37" s="27" t="str">
        <v xml:space="preserve"> Riverton - Bank of America</v>
      </c>
      <c r="B37" s="28" t="str">
        <v>UT</v>
      </c>
      <c r="C37" s="10"/>
      <c r="D37" s="15"/>
      <c r="E37" s="15" t="str">
        <f t="shared" si="4"/>
        <v/>
      </c>
      <c r="F37" s="16"/>
      <c r="G37" s="17"/>
      <c r="H37" s="17" t="str">
        <f t="shared" si="1"/>
        <v/>
      </c>
      <c r="I37" s="16"/>
      <c r="J37" s="39"/>
      <c r="K37" s="40"/>
    </row>
    <row r="38" spans="1:11" ht="15.75">
      <c r="A38" s="25" t="str">
        <v xml:space="preserve"> Salt Lake City - Bank of America</v>
      </c>
      <c r="B38" s="26" t="str">
        <v>UT</v>
      </c>
      <c r="C38" s="21"/>
      <c r="D38" s="11"/>
      <c r="E38" s="11" t="str">
        <f t="shared" si="4"/>
        <v/>
      </c>
      <c r="F38" s="12"/>
      <c r="G38" s="13"/>
      <c r="H38" s="13" t="str">
        <f t="shared" si="1"/>
        <v/>
      </c>
      <c r="I38" s="14"/>
      <c r="J38" s="38"/>
      <c r="K38" s="38"/>
    </row>
    <row r="39" spans="1:11" ht="13.15">
      <c r="A39" s="18"/>
      <c r="B39" s="18"/>
      <c r="C39" s="18"/>
      <c r="D39" s="18"/>
      <c r="E39" s="18"/>
      <c r="F39" s="19"/>
      <c r="G39" s="18"/>
      <c r="H39" s="18"/>
      <c r="I39" s="19"/>
    </row>
    <row r="40" spans="1:11" ht="13.15">
      <c r="A40" s="18"/>
      <c r="B40" s="18"/>
      <c r="C40" s="18"/>
      <c r="D40" s="18"/>
      <c r="E40" s="18"/>
      <c r="F40" s="19"/>
      <c r="G40" s="18"/>
      <c r="H40" s="18"/>
      <c r="I40" s="19"/>
    </row>
    <row r="41" spans="1:11" ht="13.15">
      <c r="A41" s="18"/>
      <c r="B41" s="18"/>
      <c r="C41" s="18"/>
      <c r="D41" s="18"/>
      <c r="E41" s="18"/>
      <c r="F41" s="19"/>
      <c r="G41" s="18"/>
      <c r="H41" s="18"/>
      <c r="I41" s="19"/>
    </row>
    <row r="42" spans="1:11" ht="13.15">
      <c r="A42" s="18"/>
      <c r="B42" s="18"/>
      <c r="C42" s="18"/>
      <c r="D42" s="18"/>
      <c r="E42" s="18"/>
      <c r="F42" s="19"/>
      <c r="G42" s="18"/>
      <c r="H42" s="18"/>
      <c r="I42" s="19"/>
    </row>
    <row r="43" spans="1:11" ht="13.15">
      <c r="A43" s="18"/>
      <c r="B43" s="18"/>
      <c r="C43" s="18"/>
      <c r="D43" s="18"/>
      <c r="E43" s="18"/>
      <c r="F43" s="19"/>
      <c r="G43" s="18"/>
      <c r="H43" s="18"/>
      <c r="I43" s="19"/>
    </row>
    <row r="44" spans="1:11" ht="13.15">
      <c r="A44" s="18"/>
      <c r="B44" s="18"/>
      <c r="C44" s="18"/>
      <c r="D44" s="18"/>
      <c r="E44" s="18"/>
      <c r="F44" s="19"/>
      <c r="G44" s="18"/>
      <c r="H44" s="18"/>
      <c r="I44" s="19"/>
    </row>
    <row r="45" spans="1:11" ht="13.15">
      <c r="A45" s="18"/>
      <c r="B45" s="18"/>
      <c r="C45" s="18"/>
      <c r="D45" s="18"/>
      <c r="E45" s="18"/>
      <c r="F45" s="19"/>
      <c r="G45" s="18"/>
      <c r="H45" s="18"/>
      <c r="I45" s="19"/>
    </row>
    <row r="46" spans="1:11" ht="13.15">
      <c r="A46" s="18"/>
      <c r="B46" s="18"/>
      <c r="C46" s="18"/>
      <c r="D46" s="18"/>
      <c r="E46" s="18"/>
      <c r="F46" s="19"/>
      <c r="G46" s="18"/>
      <c r="H46" s="18"/>
      <c r="I46" s="19"/>
    </row>
    <row r="47" spans="1:11" ht="13.15">
      <c r="A47" s="18"/>
      <c r="B47" s="18"/>
      <c r="C47" s="18"/>
      <c r="D47" s="18"/>
      <c r="E47" s="18"/>
      <c r="F47" s="19"/>
      <c r="G47" s="18"/>
      <c r="H47" s="18"/>
      <c r="I47" s="19"/>
    </row>
    <row r="48" spans="1:11" ht="13.15">
      <c r="A48" s="18"/>
      <c r="B48" s="18"/>
      <c r="C48" s="18"/>
      <c r="D48" s="18"/>
      <c r="E48" s="18"/>
      <c r="F48" s="19"/>
      <c r="G48" s="18"/>
      <c r="H48" s="18"/>
      <c r="I48" s="19"/>
    </row>
    <row r="49" spans="1:9" ht="13.15">
      <c r="A49" s="18"/>
      <c r="B49" s="18"/>
      <c r="C49" s="18"/>
      <c r="D49" s="18"/>
      <c r="E49" s="18"/>
      <c r="F49" s="19"/>
      <c r="G49" s="18"/>
      <c r="H49" s="18"/>
      <c r="I49" s="19"/>
    </row>
    <row r="50" spans="1:9" ht="13.15">
      <c r="A50" s="18"/>
      <c r="B50" s="18"/>
      <c r="C50" s="18"/>
      <c r="D50" s="18"/>
      <c r="E50" s="18"/>
      <c r="F50" s="19"/>
      <c r="G50" s="18"/>
      <c r="H50" s="18"/>
      <c r="I50" s="19"/>
    </row>
    <row r="51" spans="1:9" ht="13.15">
      <c r="A51" s="18"/>
      <c r="B51" s="18"/>
      <c r="C51" s="18"/>
      <c r="D51" s="18"/>
      <c r="E51" s="18"/>
      <c r="F51" s="19"/>
      <c r="G51" s="18"/>
      <c r="H51" s="18"/>
      <c r="I51" s="19"/>
    </row>
    <row r="52" spans="1:9" ht="13.15">
      <c r="A52" s="18"/>
      <c r="B52" s="18"/>
      <c r="C52" s="18"/>
      <c r="D52" s="18"/>
      <c r="E52" s="18"/>
      <c r="F52" s="19"/>
      <c r="G52" s="18"/>
      <c r="H52" s="18"/>
      <c r="I52" s="19"/>
    </row>
    <row r="53" spans="1:9" ht="13.15">
      <c r="A53" s="18"/>
      <c r="B53" s="18"/>
      <c r="C53" s="18"/>
      <c r="D53" s="18"/>
      <c r="E53" s="18"/>
      <c r="F53" s="19"/>
      <c r="G53" s="18"/>
      <c r="H53" s="18"/>
      <c r="I53" s="19"/>
    </row>
    <row r="54" spans="1:9" ht="13.15">
      <c r="A54" s="18"/>
      <c r="B54" s="18"/>
      <c r="C54" s="18"/>
      <c r="D54" s="18"/>
      <c r="E54" s="18"/>
      <c r="F54" s="19"/>
      <c r="G54" s="18"/>
      <c r="H54" s="18"/>
      <c r="I54" s="19"/>
    </row>
    <row r="55" spans="1:9" ht="13.15">
      <c r="A55" s="18"/>
      <c r="B55" s="18"/>
      <c r="C55" s="18"/>
      <c r="D55" s="18"/>
      <c r="E55" s="18"/>
      <c r="F55" s="19"/>
      <c r="G55" s="18"/>
      <c r="H55" s="18"/>
      <c r="I55" s="19"/>
    </row>
    <row r="56" spans="1:9" ht="13.15">
      <c r="A56" s="18"/>
      <c r="B56" s="18"/>
      <c r="C56" s="18"/>
      <c r="D56" s="18"/>
      <c r="E56" s="18"/>
      <c r="F56" s="19"/>
      <c r="G56" s="18"/>
      <c r="H56" s="18"/>
      <c r="I56" s="19"/>
    </row>
    <row r="57" spans="1:9" ht="13.15">
      <c r="A57" s="18"/>
      <c r="B57" s="18"/>
      <c r="C57" s="18"/>
      <c r="D57" s="18"/>
      <c r="E57" s="18"/>
      <c r="F57" s="19"/>
      <c r="G57" s="18"/>
      <c r="H57" s="18"/>
      <c r="I57" s="19"/>
    </row>
    <row r="58" spans="1:9" ht="13.15">
      <c r="A58" s="18"/>
      <c r="B58" s="18"/>
      <c r="C58" s="18"/>
      <c r="D58" s="18"/>
      <c r="E58" s="18"/>
      <c r="F58" s="19"/>
      <c r="G58" s="18"/>
      <c r="H58" s="18"/>
      <c r="I58" s="19"/>
    </row>
    <row r="59" spans="1:9" ht="13.15">
      <c r="A59" s="18"/>
      <c r="B59" s="18"/>
      <c r="C59" s="18"/>
      <c r="D59" s="18"/>
      <c r="E59" s="18"/>
      <c r="F59" s="19"/>
      <c r="G59" s="18"/>
      <c r="H59" s="18"/>
      <c r="I59" s="19"/>
    </row>
    <row r="60" spans="1:9" ht="13.15">
      <c r="A60" s="18"/>
      <c r="B60" s="18"/>
      <c r="C60" s="18"/>
      <c r="D60" s="18"/>
      <c r="E60" s="18"/>
      <c r="F60" s="19"/>
      <c r="G60" s="18"/>
      <c r="H60" s="18"/>
      <c r="I60" s="19"/>
    </row>
    <row r="61" spans="1:9" ht="13.15">
      <c r="A61" s="18"/>
      <c r="B61" s="18"/>
      <c r="C61" s="18"/>
      <c r="D61" s="18"/>
      <c r="E61" s="18"/>
      <c r="F61" s="19"/>
      <c r="G61" s="18"/>
      <c r="H61" s="18"/>
      <c r="I61" s="19"/>
    </row>
    <row r="62" spans="1:9" ht="13.15">
      <c r="A62" s="18"/>
      <c r="B62" s="18"/>
      <c r="C62" s="18"/>
      <c r="D62" s="18"/>
      <c r="E62" s="18"/>
      <c r="F62" s="19"/>
      <c r="G62" s="18"/>
      <c r="H62" s="18"/>
      <c r="I62" s="19"/>
    </row>
    <row r="63" spans="1:9" ht="13.15">
      <c r="A63" s="18"/>
      <c r="B63" s="18"/>
      <c r="C63" s="18"/>
      <c r="D63" s="18"/>
      <c r="E63" s="18"/>
      <c r="F63" s="19"/>
      <c r="G63" s="18"/>
      <c r="H63" s="18"/>
      <c r="I63" s="19"/>
    </row>
    <row r="64" spans="1:9" ht="13.15">
      <c r="A64" s="18"/>
      <c r="B64" s="18"/>
      <c r="C64" s="18"/>
      <c r="D64" s="18"/>
      <c r="E64" s="18"/>
      <c r="F64" s="19"/>
      <c r="G64" s="18"/>
      <c r="H64" s="18"/>
      <c r="I64" s="19"/>
    </row>
    <row r="65" spans="1:9" ht="13.15">
      <c r="A65" s="18"/>
      <c r="B65" s="18"/>
      <c r="C65" s="18"/>
      <c r="D65" s="18"/>
      <c r="E65" s="18"/>
      <c r="F65" s="19"/>
      <c r="G65" s="18"/>
      <c r="H65" s="18"/>
      <c r="I65" s="19"/>
    </row>
    <row r="66" spans="1:9" ht="13.15">
      <c r="A66" s="18"/>
      <c r="B66" s="18"/>
      <c r="C66" s="18"/>
      <c r="D66" s="18"/>
      <c r="E66" s="18"/>
      <c r="F66" s="19"/>
      <c r="G66" s="18"/>
      <c r="H66" s="18"/>
      <c r="I66" s="19"/>
    </row>
    <row r="67" spans="1:9" ht="13.15">
      <c r="A67" s="18"/>
      <c r="B67" s="18"/>
      <c r="C67" s="18"/>
      <c r="D67" s="18"/>
      <c r="E67" s="18"/>
      <c r="F67" s="19"/>
      <c r="G67" s="18"/>
      <c r="H67" s="18"/>
      <c r="I67" s="19"/>
    </row>
    <row r="68" spans="1:9" ht="13.15">
      <c r="A68" s="18"/>
      <c r="B68" s="18"/>
      <c r="C68" s="18"/>
      <c r="D68" s="18"/>
      <c r="E68" s="18"/>
      <c r="F68" s="19"/>
      <c r="G68" s="18"/>
      <c r="H68" s="18"/>
      <c r="I68" s="19"/>
    </row>
    <row r="69" spans="1:9" ht="13.15">
      <c r="A69" s="18"/>
      <c r="B69" s="18"/>
      <c r="C69" s="18"/>
      <c r="D69" s="18"/>
      <c r="E69" s="18"/>
      <c r="F69" s="19"/>
      <c r="G69" s="18"/>
      <c r="H69" s="18"/>
      <c r="I69" s="19"/>
    </row>
    <row r="70" spans="1:9" ht="13.15">
      <c r="A70" s="18"/>
      <c r="B70" s="18"/>
      <c r="C70" s="18"/>
      <c r="D70" s="18"/>
      <c r="E70" s="18"/>
      <c r="F70" s="19"/>
      <c r="G70" s="18"/>
      <c r="H70" s="18"/>
      <c r="I70" s="19"/>
    </row>
    <row r="71" spans="1:9" ht="13.15">
      <c r="A71" s="18"/>
      <c r="B71" s="18"/>
      <c r="C71" s="18"/>
      <c r="D71" s="18"/>
      <c r="E71" s="18"/>
      <c r="F71" s="19"/>
      <c r="G71" s="18"/>
      <c r="H71" s="18"/>
      <c r="I71" s="19"/>
    </row>
    <row r="72" spans="1:9" ht="13.15">
      <c r="A72" s="18"/>
      <c r="B72" s="18"/>
      <c r="C72" s="18"/>
      <c r="D72" s="18"/>
      <c r="E72" s="18"/>
      <c r="F72" s="19"/>
      <c r="G72" s="18"/>
      <c r="H72" s="18"/>
      <c r="I72" s="19"/>
    </row>
    <row r="73" spans="1:9" ht="13.15">
      <c r="A73" s="18"/>
      <c r="B73" s="18"/>
      <c r="C73" s="18"/>
      <c r="D73" s="18"/>
      <c r="E73" s="18"/>
      <c r="F73" s="19"/>
      <c r="G73" s="18"/>
      <c r="H73" s="18"/>
      <c r="I73" s="19"/>
    </row>
    <row r="74" spans="1:9" ht="13.15">
      <c r="A74" s="18"/>
      <c r="B74" s="18"/>
      <c r="C74" s="18"/>
      <c r="D74" s="18"/>
      <c r="E74" s="18"/>
      <c r="F74" s="19"/>
      <c r="G74" s="18"/>
      <c r="H74" s="18"/>
      <c r="I74" s="19"/>
    </row>
    <row r="75" spans="1:9" ht="13.15">
      <c r="A75" s="18"/>
      <c r="B75" s="18"/>
      <c r="C75" s="18"/>
      <c r="D75" s="18"/>
      <c r="E75" s="18"/>
      <c r="F75" s="19"/>
      <c r="G75" s="18"/>
      <c r="H75" s="18"/>
      <c r="I75" s="19"/>
    </row>
    <row r="76" spans="1:9" ht="13.15">
      <c r="A76" s="18"/>
      <c r="B76" s="18"/>
      <c r="C76" s="18"/>
      <c r="D76" s="18"/>
      <c r="E76" s="18"/>
      <c r="F76" s="19"/>
      <c r="G76" s="18"/>
      <c r="H76" s="18"/>
      <c r="I76" s="19"/>
    </row>
    <row r="77" spans="1:9" ht="13.15">
      <c r="A77" s="18"/>
      <c r="B77" s="18"/>
      <c r="C77" s="18"/>
      <c r="D77" s="18"/>
      <c r="E77" s="18"/>
      <c r="F77" s="19"/>
      <c r="G77" s="18"/>
      <c r="H77" s="18"/>
      <c r="I77" s="19"/>
    </row>
    <row r="78" spans="1:9" ht="13.15">
      <c r="A78" s="18"/>
      <c r="B78" s="18"/>
      <c r="C78" s="18"/>
      <c r="D78" s="18"/>
      <c r="E78" s="18"/>
      <c r="F78" s="19"/>
      <c r="G78" s="18"/>
      <c r="H78" s="18"/>
      <c r="I78" s="19"/>
    </row>
    <row r="79" spans="1:9" ht="13.15">
      <c r="A79" s="18"/>
      <c r="B79" s="18"/>
      <c r="C79" s="18"/>
      <c r="D79" s="18"/>
      <c r="E79" s="18"/>
      <c r="F79" s="19"/>
      <c r="G79" s="18"/>
      <c r="H79" s="18"/>
      <c r="I79" s="19"/>
    </row>
    <row r="80" spans="1:9" ht="13.15">
      <c r="A80" s="18"/>
      <c r="B80" s="18"/>
      <c r="C80" s="18"/>
      <c r="D80" s="18"/>
      <c r="E80" s="18"/>
      <c r="F80" s="19"/>
      <c r="G80" s="18"/>
      <c r="H80" s="18"/>
      <c r="I80" s="19"/>
    </row>
    <row r="81" spans="1:9" ht="13.15">
      <c r="A81" s="18"/>
      <c r="B81" s="18"/>
      <c r="C81" s="18"/>
      <c r="D81" s="18"/>
      <c r="E81" s="18"/>
      <c r="F81" s="19"/>
      <c r="G81" s="18"/>
      <c r="H81" s="18"/>
      <c r="I81" s="19"/>
    </row>
    <row r="82" spans="1:9" ht="13.15">
      <c r="A82" s="18"/>
      <c r="B82" s="18"/>
      <c r="C82" s="18"/>
      <c r="D82" s="18"/>
      <c r="E82" s="18"/>
      <c r="F82" s="19"/>
      <c r="G82" s="18"/>
      <c r="H82" s="18"/>
      <c r="I82" s="19"/>
    </row>
    <row r="83" spans="1:9" ht="13.15">
      <c r="A83" s="18"/>
      <c r="B83" s="18"/>
      <c r="C83" s="18"/>
      <c r="D83" s="18"/>
      <c r="E83" s="18"/>
      <c r="F83" s="19"/>
      <c r="G83" s="18"/>
      <c r="H83" s="18"/>
      <c r="I83" s="19"/>
    </row>
    <row r="84" spans="1:9" ht="13.15">
      <c r="A84" s="18"/>
      <c r="B84" s="18"/>
      <c r="C84" s="18"/>
      <c r="D84" s="18"/>
      <c r="E84" s="18"/>
      <c r="F84" s="19"/>
      <c r="G84" s="18"/>
      <c r="H84" s="18"/>
      <c r="I84" s="19"/>
    </row>
    <row r="85" spans="1:9" ht="13.15">
      <c r="A85" s="18"/>
      <c r="B85" s="18"/>
      <c r="C85" s="18"/>
      <c r="D85" s="18"/>
      <c r="E85" s="18"/>
      <c r="F85" s="19"/>
      <c r="G85" s="18"/>
      <c r="H85" s="18"/>
      <c r="I85" s="19"/>
    </row>
    <row r="86" spans="1:9" ht="13.15">
      <c r="A86" s="18"/>
      <c r="B86" s="18"/>
      <c r="C86" s="18"/>
      <c r="D86" s="18"/>
      <c r="E86" s="18"/>
      <c r="F86" s="19"/>
      <c r="G86" s="18"/>
      <c r="H86" s="18"/>
      <c r="I86" s="19"/>
    </row>
    <row r="87" spans="1:9" ht="13.15">
      <c r="A87" s="18"/>
      <c r="B87" s="18"/>
      <c r="C87" s="18"/>
      <c r="D87" s="18"/>
      <c r="E87" s="18"/>
      <c r="F87" s="19"/>
      <c r="G87" s="18"/>
      <c r="H87" s="18"/>
      <c r="I87" s="19"/>
    </row>
    <row r="88" spans="1:9" ht="13.15">
      <c r="A88" s="18"/>
      <c r="B88" s="18"/>
      <c r="C88" s="18"/>
      <c r="D88" s="18"/>
      <c r="E88" s="18"/>
      <c r="F88" s="19"/>
      <c r="G88" s="18"/>
      <c r="H88" s="18"/>
      <c r="I88" s="19"/>
    </row>
    <row r="89" spans="1:9" ht="13.15">
      <c r="A89" s="18"/>
      <c r="B89" s="18"/>
      <c r="C89" s="18"/>
      <c r="D89" s="18"/>
      <c r="E89" s="18"/>
      <c r="F89" s="19"/>
      <c r="G89" s="18"/>
      <c r="H89" s="18"/>
      <c r="I89" s="19"/>
    </row>
    <row r="90" spans="1:9" ht="13.15">
      <c r="A90" s="18"/>
      <c r="B90" s="18"/>
      <c r="C90" s="18"/>
      <c r="D90" s="18"/>
      <c r="E90" s="18"/>
      <c r="F90" s="19"/>
      <c r="G90" s="18"/>
      <c r="H90" s="18"/>
      <c r="I90" s="19"/>
    </row>
    <row r="91" spans="1:9" ht="13.15">
      <c r="A91" s="18"/>
      <c r="B91" s="18"/>
      <c r="C91" s="18"/>
      <c r="D91" s="18"/>
      <c r="E91" s="18"/>
      <c r="F91" s="19"/>
      <c r="G91" s="18"/>
      <c r="H91" s="18"/>
      <c r="I91" s="19"/>
    </row>
    <row r="92" spans="1:9" ht="13.15">
      <c r="A92" s="18"/>
      <c r="B92" s="18"/>
      <c r="C92" s="18"/>
      <c r="D92" s="18"/>
      <c r="E92" s="18"/>
      <c r="F92" s="19"/>
      <c r="G92" s="18"/>
      <c r="H92" s="18"/>
      <c r="I92" s="19"/>
    </row>
    <row r="93" spans="1:9" ht="13.15">
      <c r="A93" s="18"/>
      <c r="B93" s="18"/>
      <c r="C93" s="18"/>
      <c r="D93" s="18"/>
      <c r="E93" s="18"/>
      <c r="F93" s="19"/>
      <c r="G93" s="18"/>
      <c r="H93" s="18"/>
      <c r="I93" s="19"/>
    </row>
    <row r="94" spans="1:9" ht="13.15">
      <c r="A94" s="18"/>
      <c r="B94" s="18"/>
      <c r="C94" s="18"/>
      <c r="D94" s="18"/>
      <c r="E94" s="18"/>
      <c r="F94" s="19"/>
      <c r="G94" s="18"/>
      <c r="H94" s="18"/>
      <c r="I94" s="19"/>
    </row>
    <row r="95" spans="1:9" ht="13.15">
      <c r="A95" s="18"/>
      <c r="B95" s="18"/>
      <c r="C95" s="18"/>
      <c r="D95" s="18"/>
      <c r="E95" s="18"/>
      <c r="F95" s="19"/>
      <c r="G95" s="18"/>
      <c r="H95" s="18"/>
      <c r="I95" s="19"/>
    </row>
    <row r="96" spans="1:9" ht="13.15">
      <c r="A96" s="18"/>
      <c r="B96" s="18"/>
      <c r="C96" s="18"/>
      <c r="D96" s="18"/>
      <c r="E96" s="18"/>
      <c r="F96" s="19"/>
      <c r="G96" s="18"/>
      <c r="H96" s="18"/>
      <c r="I96" s="19"/>
    </row>
    <row r="97" spans="1:9" ht="13.15">
      <c r="A97" s="18"/>
      <c r="B97" s="18"/>
      <c r="C97" s="18"/>
      <c r="D97" s="18"/>
      <c r="E97" s="18"/>
      <c r="F97" s="19"/>
      <c r="G97" s="18"/>
      <c r="H97" s="18"/>
      <c r="I97" s="19"/>
    </row>
    <row r="98" spans="1:9" ht="13.15">
      <c r="A98" s="18"/>
      <c r="B98" s="18"/>
      <c r="C98" s="18"/>
      <c r="D98" s="18"/>
      <c r="E98" s="18"/>
      <c r="F98" s="19"/>
      <c r="G98" s="18"/>
      <c r="H98" s="18"/>
      <c r="I98" s="19"/>
    </row>
    <row r="99" spans="1:9" ht="13.15">
      <c r="A99" s="18"/>
      <c r="B99" s="18"/>
      <c r="C99" s="18"/>
      <c r="D99" s="18"/>
      <c r="E99" s="18"/>
      <c r="F99" s="19"/>
      <c r="G99" s="18"/>
      <c r="H99" s="18"/>
      <c r="I99" s="19"/>
    </row>
    <row r="100" spans="1:9" ht="13.15">
      <c r="A100" s="18"/>
      <c r="B100" s="18"/>
      <c r="C100" s="18"/>
      <c r="D100" s="18"/>
      <c r="E100" s="18"/>
      <c r="F100" s="19"/>
      <c r="G100" s="18"/>
      <c r="H100" s="18"/>
      <c r="I100" s="19"/>
    </row>
    <row r="101" spans="1:9" ht="13.15">
      <c r="A101" s="18"/>
      <c r="B101" s="18"/>
      <c r="C101" s="18"/>
      <c r="D101" s="18"/>
      <c r="E101" s="18"/>
      <c r="F101" s="19"/>
      <c r="G101" s="18"/>
      <c r="H101" s="18"/>
      <c r="I101" s="19"/>
    </row>
    <row r="102" spans="1:9" ht="13.15">
      <c r="A102" s="18"/>
      <c r="B102" s="18"/>
      <c r="C102" s="18"/>
      <c r="D102" s="18"/>
      <c r="E102" s="18"/>
      <c r="F102" s="19"/>
      <c r="G102" s="18"/>
      <c r="H102" s="18"/>
      <c r="I102" s="19"/>
    </row>
    <row r="103" spans="1:9" ht="13.15">
      <c r="A103" s="18"/>
      <c r="B103" s="18"/>
      <c r="C103" s="18"/>
      <c r="D103" s="18"/>
      <c r="E103" s="18"/>
      <c r="F103" s="19"/>
      <c r="G103" s="18"/>
      <c r="H103" s="18"/>
      <c r="I103" s="19"/>
    </row>
    <row r="104" spans="1:9" ht="13.15">
      <c r="A104" s="18"/>
      <c r="B104" s="18"/>
      <c r="C104" s="18"/>
      <c r="D104" s="18"/>
      <c r="E104" s="18"/>
      <c r="F104" s="19"/>
      <c r="G104" s="18"/>
      <c r="H104" s="18"/>
      <c r="I104" s="19"/>
    </row>
    <row r="105" spans="1:9" ht="13.15">
      <c r="A105" s="18"/>
      <c r="B105" s="18"/>
      <c r="C105" s="18"/>
      <c r="D105" s="18"/>
      <c r="E105" s="18"/>
      <c r="F105" s="19"/>
      <c r="G105" s="18"/>
      <c r="H105" s="18"/>
      <c r="I105" s="19"/>
    </row>
    <row r="106" spans="1:9" ht="13.15">
      <c r="A106" s="18"/>
      <c r="B106" s="18"/>
      <c r="C106" s="18"/>
      <c r="D106" s="18"/>
      <c r="E106" s="18"/>
      <c r="F106" s="19"/>
      <c r="G106" s="18"/>
      <c r="H106" s="18"/>
      <c r="I106" s="19"/>
    </row>
    <row r="107" spans="1:9" ht="13.15">
      <c r="A107" s="18"/>
      <c r="B107" s="18"/>
      <c r="C107" s="18"/>
      <c r="D107" s="18"/>
      <c r="E107" s="18"/>
      <c r="F107" s="19"/>
      <c r="G107" s="18"/>
      <c r="H107" s="18"/>
      <c r="I107" s="19"/>
    </row>
    <row r="108" spans="1:9" ht="13.15">
      <c r="A108" s="18"/>
      <c r="B108" s="18"/>
      <c r="C108" s="18"/>
      <c r="D108" s="18"/>
      <c r="E108" s="18"/>
      <c r="F108" s="19"/>
      <c r="G108" s="18"/>
      <c r="H108" s="18"/>
      <c r="I108" s="19"/>
    </row>
    <row r="109" spans="1:9" ht="13.15">
      <c r="A109" s="18"/>
      <c r="B109" s="18"/>
      <c r="C109" s="18"/>
      <c r="D109" s="18"/>
      <c r="E109" s="18"/>
      <c r="F109" s="19"/>
      <c r="G109" s="18"/>
      <c r="H109" s="18"/>
      <c r="I109" s="19"/>
    </row>
    <row r="110" spans="1:9" ht="13.15">
      <c r="A110" s="18"/>
      <c r="B110" s="18"/>
      <c r="C110" s="18"/>
      <c r="D110" s="18"/>
      <c r="E110" s="18"/>
      <c r="F110" s="19"/>
      <c r="G110" s="18"/>
      <c r="H110" s="18"/>
      <c r="I110" s="19"/>
    </row>
    <row r="111" spans="1:9" ht="13.15">
      <c r="A111" s="18"/>
      <c r="B111" s="18"/>
      <c r="C111" s="18"/>
      <c r="D111" s="18"/>
      <c r="E111" s="18"/>
      <c r="F111" s="19"/>
      <c r="G111" s="18"/>
      <c r="H111" s="18"/>
      <c r="I111" s="19"/>
    </row>
    <row r="112" spans="1:9" ht="13.15">
      <c r="A112" s="18"/>
      <c r="B112" s="18"/>
      <c r="C112" s="18"/>
      <c r="D112" s="18"/>
      <c r="E112" s="18"/>
      <c r="F112" s="19"/>
      <c r="G112" s="18"/>
      <c r="H112" s="18"/>
      <c r="I112" s="19"/>
    </row>
    <row r="113" spans="1:9" ht="13.15">
      <c r="A113" s="18"/>
      <c r="B113" s="18"/>
      <c r="C113" s="18"/>
      <c r="D113" s="18"/>
      <c r="E113" s="18"/>
      <c r="F113" s="19"/>
      <c r="G113" s="18"/>
      <c r="H113" s="18"/>
      <c r="I113" s="19"/>
    </row>
    <row r="114" spans="1:9" ht="13.15">
      <c r="A114" s="18"/>
      <c r="B114" s="18"/>
      <c r="C114" s="18"/>
      <c r="D114" s="18"/>
      <c r="E114" s="18"/>
      <c r="F114" s="19"/>
      <c r="G114" s="18"/>
      <c r="H114" s="18"/>
      <c r="I114" s="19"/>
    </row>
    <row r="115" spans="1:9" ht="13.15">
      <c r="A115" s="18"/>
      <c r="B115" s="18"/>
      <c r="C115" s="18"/>
      <c r="D115" s="18"/>
      <c r="E115" s="18"/>
      <c r="F115" s="19"/>
      <c r="G115" s="18"/>
      <c r="H115" s="18"/>
      <c r="I115" s="19"/>
    </row>
    <row r="116" spans="1:9" ht="13.15">
      <c r="A116" s="18"/>
      <c r="B116" s="18"/>
      <c r="C116" s="18"/>
      <c r="D116" s="18"/>
      <c r="E116" s="18"/>
      <c r="F116" s="19"/>
      <c r="G116" s="18"/>
      <c r="H116" s="18"/>
      <c r="I116" s="19"/>
    </row>
    <row r="117" spans="1:9" ht="13.15">
      <c r="A117" s="18"/>
      <c r="B117" s="18"/>
      <c r="C117" s="18"/>
      <c r="D117" s="18"/>
      <c r="E117" s="18"/>
      <c r="F117" s="19"/>
      <c r="G117" s="18"/>
      <c r="H117" s="18"/>
      <c r="I117" s="19"/>
    </row>
    <row r="118" spans="1:9" ht="13.15">
      <c r="A118" s="18"/>
      <c r="B118" s="18"/>
      <c r="C118" s="18"/>
      <c r="D118" s="18"/>
      <c r="E118" s="18"/>
      <c r="F118" s="19"/>
      <c r="G118" s="18"/>
      <c r="H118" s="18"/>
      <c r="I118" s="19"/>
    </row>
    <row r="119" spans="1:9" ht="13.15">
      <c r="A119" s="18"/>
      <c r="B119" s="18"/>
      <c r="C119" s="18"/>
      <c r="D119" s="18"/>
      <c r="E119" s="18"/>
      <c r="F119" s="19"/>
      <c r="G119" s="18"/>
      <c r="H119" s="18"/>
      <c r="I119" s="19"/>
    </row>
    <row r="120" spans="1:9" ht="13.15">
      <c r="A120" s="18"/>
      <c r="B120" s="18"/>
      <c r="C120" s="18"/>
      <c r="D120" s="18"/>
      <c r="E120" s="18"/>
      <c r="F120" s="19"/>
      <c r="G120" s="18"/>
      <c r="H120" s="18"/>
      <c r="I120" s="19"/>
    </row>
    <row r="121" spans="1:9" ht="13.15">
      <c r="A121" s="18"/>
      <c r="B121" s="18"/>
      <c r="C121" s="18"/>
      <c r="D121" s="18"/>
      <c r="E121" s="18"/>
      <c r="F121" s="19"/>
      <c r="G121" s="18"/>
      <c r="H121" s="18"/>
      <c r="I121" s="19"/>
    </row>
    <row r="122" spans="1:9" ht="13.15">
      <c r="A122" s="18"/>
      <c r="B122" s="18"/>
      <c r="C122" s="18"/>
      <c r="D122" s="18"/>
      <c r="E122" s="18"/>
      <c r="F122" s="19"/>
      <c r="G122" s="18"/>
      <c r="H122" s="18"/>
      <c r="I122" s="19"/>
    </row>
    <row r="123" spans="1:9" ht="13.15">
      <c r="A123" s="18"/>
      <c r="B123" s="18"/>
      <c r="C123" s="18"/>
      <c r="D123" s="18"/>
      <c r="E123" s="18"/>
      <c r="F123" s="19"/>
      <c r="G123" s="18"/>
      <c r="H123" s="18"/>
      <c r="I123" s="19"/>
    </row>
    <row r="124" spans="1:9" ht="13.15">
      <c r="A124" s="18"/>
      <c r="B124" s="18"/>
      <c r="C124" s="18"/>
      <c r="D124" s="18"/>
      <c r="E124" s="18"/>
      <c r="F124" s="19"/>
      <c r="G124" s="18"/>
      <c r="H124" s="18"/>
      <c r="I124" s="19"/>
    </row>
    <row r="125" spans="1:9" ht="13.15">
      <c r="A125" s="18"/>
      <c r="B125" s="18"/>
      <c r="C125" s="18"/>
      <c r="D125" s="18"/>
      <c r="E125" s="18"/>
      <c r="F125" s="19"/>
      <c r="G125" s="18"/>
      <c r="H125" s="18"/>
      <c r="I125" s="19"/>
    </row>
    <row r="126" spans="1:9" ht="13.15">
      <c r="A126" s="18"/>
      <c r="B126" s="18"/>
      <c r="C126" s="18"/>
      <c r="D126" s="18"/>
      <c r="E126" s="18"/>
      <c r="F126" s="19"/>
      <c r="G126" s="18"/>
      <c r="H126" s="18"/>
      <c r="I126" s="19"/>
    </row>
    <row r="127" spans="1:9" ht="13.15">
      <c r="A127" s="18"/>
      <c r="B127" s="18"/>
      <c r="C127" s="18"/>
      <c r="D127" s="18"/>
      <c r="E127" s="18"/>
      <c r="F127" s="19"/>
      <c r="G127" s="18"/>
      <c r="H127" s="18"/>
      <c r="I127" s="19"/>
    </row>
    <row r="128" spans="1:9" ht="13.15">
      <c r="A128" s="18"/>
      <c r="B128" s="18"/>
      <c r="C128" s="18"/>
      <c r="D128" s="18"/>
      <c r="E128" s="18"/>
      <c r="F128" s="19"/>
      <c r="G128" s="18"/>
      <c r="H128" s="18"/>
      <c r="I128" s="19"/>
    </row>
    <row r="129" spans="1:9" ht="13.15">
      <c r="A129" s="18"/>
      <c r="B129" s="18"/>
      <c r="C129" s="18"/>
      <c r="D129" s="18"/>
      <c r="E129" s="18"/>
      <c r="F129" s="19"/>
      <c r="G129" s="18"/>
      <c r="H129" s="18"/>
      <c r="I129" s="19"/>
    </row>
    <row r="130" spans="1:9" ht="13.15">
      <c r="A130" s="18"/>
      <c r="B130" s="18"/>
      <c r="C130" s="18"/>
      <c r="D130" s="18"/>
      <c r="E130" s="18"/>
      <c r="F130" s="19"/>
      <c r="G130" s="18"/>
      <c r="H130" s="18"/>
      <c r="I130" s="19"/>
    </row>
    <row r="131" spans="1:9" ht="13.15">
      <c r="A131" s="18"/>
      <c r="B131" s="18"/>
      <c r="C131" s="18"/>
      <c r="D131" s="18"/>
      <c r="E131" s="18"/>
      <c r="F131" s="19"/>
      <c r="G131" s="18"/>
      <c r="H131" s="18"/>
      <c r="I131" s="19"/>
    </row>
    <row r="132" spans="1:9" ht="13.15">
      <c r="A132" s="18"/>
      <c r="B132" s="18"/>
      <c r="C132" s="18"/>
      <c r="D132" s="18"/>
      <c r="E132" s="18"/>
      <c r="F132" s="19"/>
      <c r="G132" s="18"/>
      <c r="H132" s="18"/>
      <c r="I132" s="19"/>
    </row>
    <row r="133" spans="1:9" ht="13.15">
      <c r="A133" s="18"/>
      <c r="B133" s="18"/>
      <c r="C133" s="18"/>
      <c r="D133" s="18"/>
      <c r="E133" s="18"/>
      <c r="F133" s="19"/>
      <c r="G133" s="18"/>
      <c r="H133" s="18"/>
      <c r="I133" s="19"/>
    </row>
    <row r="134" spans="1:9" ht="13.15">
      <c r="A134" s="18"/>
      <c r="B134" s="18"/>
      <c r="C134" s="18"/>
      <c r="D134" s="18"/>
      <c r="E134" s="18"/>
      <c r="F134" s="19"/>
      <c r="G134" s="18"/>
      <c r="H134" s="18"/>
      <c r="I134" s="19"/>
    </row>
    <row r="135" spans="1:9" ht="13.15">
      <c r="A135" s="18"/>
      <c r="B135" s="18"/>
      <c r="C135" s="18"/>
      <c r="D135" s="18"/>
      <c r="E135" s="18"/>
      <c r="F135" s="19"/>
      <c r="G135" s="18"/>
      <c r="H135" s="18"/>
      <c r="I135" s="19"/>
    </row>
    <row r="136" spans="1:9" ht="13.15">
      <c r="A136" s="18"/>
      <c r="B136" s="18"/>
      <c r="C136" s="18"/>
      <c r="D136" s="18"/>
      <c r="E136" s="18"/>
      <c r="F136" s="19"/>
      <c r="G136" s="18"/>
      <c r="H136" s="18"/>
      <c r="I136" s="19"/>
    </row>
    <row r="137" spans="1:9" ht="13.15">
      <c r="A137" s="18"/>
      <c r="B137" s="18"/>
      <c r="C137" s="18"/>
      <c r="D137" s="18"/>
      <c r="E137" s="18"/>
      <c r="F137" s="19"/>
      <c r="G137" s="18"/>
      <c r="H137" s="18"/>
      <c r="I137" s="19"/>
    </row>
    <row r="138" spans="1:9" ht="13.15">
      <c r="A138" s="18"/>
      <c r="B138" s="18"/>
      <c r="C138" s="18"/>
      <c r="D138" s="18"/>
      <c r="E138" s="18"/>
      <c r="F138" s="19"/>
      <c r="G138" s="18"/>
      <c r="H138" s="18"/>
      <c r="I138" s="19"/>
    </row>
    <row r="139" spans="1:9" ht="13.15">
      <c r="A139" s="18"/>
      <c r="B139" s="18"/>
      <c r="C139" s="18"/>
      <c r="D139" s="18"/>
      <c r="E139" s="18"/>
      <c r="F139" s="19"/>
      <c r="G139" s="18"/>
      <c r="H139" s="18"/>
      <c r="I139" s="19"/>
    </row>
    <row r="140" spans="1:9" ht="13.15">
      <c r="A140" s="18"/>
      <c r="B140" s="18"/>
      <c r="C140" s="18"/>
      <c r="D140" s="18"/>
      <c r="E140" s="18"/>
      <c r="F140" s="19"/>
      <c r="G140" s="18"/>
      <c r="H140" s="18"/>
      <c r="I140" s="19"/>
    </row>
    <row r="141" spans="1:9" ht="13.15">
      <c r="A141" s="18"/>
      <c r="B141" s="18"/>
      <c r="C141" s="18"/>
      <c r="D141" s="18"/>
      <c r="E141" s="18"/>
      <c r="F141" s="19"/>
      <c r="G141" s="18"/>
      <c r="H141" s="18"/>
      <c r="I141" s="19"/>
    </row>
    <row r="142" spans="1:9" ht="13.15">
      <c r="A142" s="18"/>
      <c r="B142" s="18"/>
      <c r="C142" s="18"/>
      <c r="D142" s="18"/>
      <c r="E142" s="18"/>
      <c r="F142" s="19"/>
      <c r="G142" s="18"/>
      <c r="H142" s="18"/>
      <c r="I142" s="19"/>
    </row>
    <row r="143" spans="1:9" ht="13.15">
      <c r="A143" s="18"/>
      <c r="B143" s="18"/>
      <c r="C143" s="18"/>
      <c r="D143" s="18"/>
      <c r="E143" s="18"/>
      <c r="F143" s="19"/>
      <c r="G143" s="18"/>
      <c r="H143" s="18"/>
      <c r="I143" s="19"/>
    </row>
    <row r="144" spans="1:9" ht="13.15">
      <c r="A144" s="18"/>
      <c r="B144" s="18"/>
      <c r="C144" s="18"/>
      <c r="D144" s="18"/>
      <c r="E144" s="18"/>
      <c r="F144" s="19"/>
      <c r="G144" s="18"/>
      <c r="H144" s="18"/>
      <c r="I144" s="19"/>
    </row>
    <row r="145" spans="1:9" ht="13.15">
      <c r="A145" s="18"/>
      <c r="B145" s="18"/>
      <c r="C145" s="18"/>
      <c r="D145" s="18"/>
      <c r="E145" s="18"/>
      <c r="F145" s="19"/>
      <c r="G145" s="18"/>
      <c r="H145" s="18"/>
      <c r="I145" s="19"/>
    </row>
    <row r="146" spans="1:9" ht="13.15">
      <c r="A146" s="18"/>
      <c r="B146" s="18"/>
      <c r="C146" s="18"/>
      <c r="D146" s="18"/>
      <c r="E146" s="18"/>
      <c r="F146" s="19"/>
      <c r="G146" s="18"/>
      <c r="H146" s="18"/>
      <c r="I146" s="19"/>
    </row>
    <row r="147" spans="1:9" ht="13.15">
      <c r="A147" s="18"/>
      <c r="B147" s="18"/>
      <c r="C147" s="18"/>
      <c r="D147" s="18"/>
      <c r="E147" s="18"/>
      <c r="F147" s="19"/>
      <c r="G147" s="18"/>
      <c r="H147" s="18"/>
      <c r="I147" s="19"/>
    </row>
    <row r="148" spans="1:9" ht="13.15">
      <c r="A148" s="18"/>
      <c r="B148" s="18"/>
      <c r="C148" s="18"/>
      <c r="D148" s="18"/>
      <c r="E148" s="18"/>
      <c r="F148" s="19"/>
      <c r="G148" s="18"/>
      <c r="H148" s="18"/>
      <c r="I148" s="19"/>
    </row>
    <row r="149" spans="1:9" ht="13.15">
      <c r="A149" s="18"/>
      <c r="B149" s="18"/>
      <c r="C149" s="18"/>
      <c r="D149" s="18"/>
      <c r="E149" s="18"/>
      <c r="F149" s="19"/>
      <c r="G149" s="18"/>
      <c r="H149" s="18"/>
      <c r="I149" s="19"/>
    </row>
    <row r="150" spans="1:9" ht="13.15">
      <c r="A150" s="18"/>
      <c r="B150" s="18"/>
      <c r="C150" s="18"/>
      <c r="D150" s="18"/>
      <c r="E150" s="18"/>
      <c r="F150" s="19"/>
      <c r="G150" s="18"/>
      <c r="H150" s="18"/>
      <c r="I150" s="19"/>
    </row>
    <row r="151" spans="1:9" ht="13.15">
      <c r="A151" s="18"/>
      <c r="B151" s="18"/>
      <c r="C151" s="18"/>
      <c r="D151" s="18"/>
      <c r="E151" s="18"/>
      <c r="F151" s="19"/>
      <c r="G151" s="18"/>
      <c r="H151" s="18"/>
      <c r="I151" s="19"/>
    </row>
    <row r="152" spans="1:9" ht="13.15">
      <c r="A152" s="18"/>
      <c r="B152" s="18"/>
      <c r="C152" s="18"/>
      <c r="D152" s="18"/>
      <c r="E152" s="18"/>
      <c r="F152" s="19"/>
      <c r="G152" s="18"/>
      <c r="H152" s="18"/>
      <c r="I152" s="19"/>
    </row>
    <row r="153" spans="1:9" ht="13.15">
      <c r="A153" s="18"/>
      <c r="B153" s="18"/>
      <c r="C153" s="18"/>
      <c r="D153" s="18"/>
      <c r="E153" s="18"/>
      <c r="F153" s="19"/>
      <c r="G153" s="18"/>
      <c r="H153" s="18"/>
      <c r="I153" s="19"/>
    </row>
    <row r="154" spans="1:9" ht="13.15">
      <c r="A154" s="18"/>
      <c r="B154" s="18"/>
      <c r="C154" s="18"/>
      <c r="D154" s="18"/>
      <c r="E154" s="18"/>
      <c r="F154" s="19"/>
      <c r="G154" s="18"/>
      <c r="H154" s="18"/>
      <c r="I154" s="19"/>
    </row>
    <row r="155" spans="1:9" ht="13.15">
      <c r="A155" s="18"/>
      <c r="B155" s="18"/>
      <c r="C155" s="18"/>
      <c r="D155" s="18"/>
      <c r="E155" s="18"/>
      <c r="F155" s="19"/>
      <c r="G155" s="18"/>
      <c r="H155" s="18"/>
      <c r="I155" s="19"/>
    </row>
    <row r="156" spans="1:9" ht="13.15">
      <c r="A156" s="18"/>
      <c r="B156" s="18"/>
      <c r="C156" s="18"/>
      <c r="D156" s="18"/>
      <c r="E156" s="18"/>
      <c r="F156" s="19"/>
      <c r="G156" s="18"/>
      <c r="H156" s="18"/>
      <c r="I156" s="19"/>
    </row>
    <row r="157" spans="1:9" ht="13.15">
      <c r="A157" s="18"/>
      <c r="B157" s="18"/>
      <c r="C157" s="18"/>
      <c r="D157" s="18"/>
      <c r="E157" s="18"/>
      <c r="F157" s="19"/>
      <c r="G157" s="18"/>
      <c r="H157" s="18"/>
      <c r="I157" s="19"/>
    </row>
    <row r="158" spans="1:9" ht="13.15">
      <c r="A158" s="18"/>
      <c r="B158" s="18"/>
      <c r="C158" s="18"/>
      <c r="D158" s="18"/>
      <c r="E158" s="18"/>
      <c r="F158" s="19"/>
      <c r="G158" s="18"/>
      <c r="H158" s="18"/>
      <c r="I158" s="19"/>
    </row>
    <row r="159" spans="1:9" ht="13.15">
      <c r="A159" s="18"/>
      <c r="B159" s="18"/>
      <c r="C159" s="18"/>
      <c r="D159" s="18"/>
      <c r="E159" s="18"/>
      <c r="F159" s="19"/>
      <c r="G159" s="18"/>
      <c r="H159" s="18"/>
      <c r="I159" s="19"/>
    </row>
    <row r="160" spans="1:9" ht="13.15">
      <c r="A160" s="18"/>
      <c r="B160" s="18"/>
      <c r="C160" s="18"/>
      <c r="D160" s="18"/>
      <c r="E160" s="18"/>
      <c r="F160" s="19"/>
      <c r="G160" s="18"/>
      <c r="H160" s="18"/>
      <c r="I160" s="19"/>
    </row>
    <row r="161" spans="1:9" ht="13.15">
      <c r="A161" s="18"/>
      <c r="B161" s="18"/>
      <c r="C161" s="18"/>
      <c r="D161" s="18"/>
      <c r="E161" s="18"/>
      <c r="F161" s="19"/>
      <c r="G161" s="18"/>
      <c r="H161" s="18"/>
      <c r="I161" s="19"/>
    </row>
    <row r="162" spans="1:9" ht="13.15">
      <c r="A162" s="18"/>
      <c r="B162" s="18"/>
      <c r="C162" s="18"/>
      <c r="D162" s="18"/>
      <c r="E162" s="18"/>
      <c r="F162" s="19"/>
      <c r="G162" s="18"/>
      <c r="H162" s="18"/>
      <c r="I162" s="19"/>
    </row>
    <row r="163" spans="1:9" ht="13.15">
      <c r="A163" s="18"/>
      <c r="B163" s="18"/>
      <c r="C163" s="18"/>
      <c r="D163" s="18"/>
      <c r="E163" s="18"/>
      <c r="F163" s="19"/>
      <c r="G163" s="18"/>
      <c r="H163" s="18"/>
      <c r="I163" s="19"/>
    </row>
    <row r="164" spans="1:9" ht="13.15">
      <c r="A164" s="18"/>
      <c r="B164" s="18"/>
      <c r="C164" s="18"/>
      <c r="D164" s="18"/>
      <c r="E164" s="18"/>
      <c r="F164" s="19"/>
      <c r="G164" s="18"/>
      <c r="H164" s="18"/>
      <c r="I164" s="19"/>
    </row>
    <row r="165" spans="1:9" ht="13.15">
      <c r="A165" s="18"/>
      <c r="B165" s="18"/>
      <c r="C165" s="18"/>
      <c r="D165" s="18"/>
      <c r="E165" s="18"/>
      <c r="F165" s="19"/>
      <c r="G165" s="18"/>
      <c r="H165" s="18"/>
      <c r="I165" s="19"/>
    </row>
    <row r="166" spans="1:9" ht="13.15">
      <c r="A166" s="18"/>
      <c r="B166" s="18"/>
      <c r="C166" s="18"/>
      <c r="D166" s="18"/>
      <c r="E166" s="18"/>
      <c r="F166" s="19"/>
      <c r="G166" s="18"/>
      <c r="H166" s="18"/>
      <c r="I166" s="19"/>
    </row>
    <row r="167" spans="1:9" ht="13.15">
      <c r="A167" s="18"/>
      <c r="B167" s="18"/>
      <c r="C167" s="18"/>
      <c r="D167" s="18"/>
      <c r="E167" s="18"/>
      <c r="F167" s="19"/>
      <c r="G167" s="18"/>
      <c r="H167" s="18"/>
      <c r="I167" s="19"/>
    </row>
    <row r="168" spans="1:9" ht="13.15">
      <c r="A168" s="18"/>
      <c r="B168" s="18"/>
      <c r="C168" s="18"/>
      <c r="D168" s="18"/>
      <c r="E168" s="18"/>
      <c r="F168" s="19"/>
      <c r="G168" s="18"/>
      <c r="H168" s="18"/>
      <c r="I168" s="19"/>
    </row>
    <row r="169" spans="1:9" ht="13.15">
      <c r="A169" s="18"/>
      <c r="B169" s="18"/>
      <c r="C169" s="18"/>
      <c r="D169" s="18"/>
      <c r="E169" s="18"/>
      <c r="F169" s="19"/>
      <c r="G169" s="18"/>
      <c r="H169" s="18"/>
      <c r="I169" s="19"/>
    </row>
    <row r="170" spans="1:9" ht="13.15">
      <c r="A170" s="18"/>
      <c r="B170" s="18"/>
      <c r="C170" s="18"/>
      <c r="D170" s="18"/>
      <c r="E170" s="18"/>
      <c r="F170" s="19"/>
      <c r="G170" s="18"/>
      <c r="H170" s="18"/>
      <c r="I170" s="19"/>
    </row>
    <row r="171" spans="1:9" ht="13.15">
      <c r="A171" s="18"/>
      <c r="B171" s="18"/>
      <c r="C171" s="18"/>
      <c r="D171" s="18"/>
      <c r="E171" s="18"/>
      <c r="F171" s="19"/>
      <c r="G171" s="18"/>
      <c r="H171" s="18"/>
      <c r="I171" s="19"/>
    </row>
    <row r="172" spans="1:9" ht="13.15">
      <c r="A172" s="18"/>
      <c r="B172" s="18"/>
      <c r="C172" s="18"/>
      <c r="D172" s="18"/>
      <c r="E172" s="18"/>
      <c r="F172" s="19"/>
      <c r="G172" s="18"/>
      <c r="H172" s="18"/>
      <c r="I172" s="19"/>
    </row>
    <row r="173" spans="1:9" ht="13.15">
      <c r="A173" s="18"/>
      <c r="B173" s="18"/>
      <c r="C173" s="18"/>
      <c r="D173" s="18"/>
      <c r="E173" s="18"/>
      <c r="F173" s="19"/>
      <c r="G173" s="18"/>
      <c r="H173" s="18"/>
      <c r="I173" s="19"/>
    </row>
    <row r="174" spans="1:9" ht="13.15">
      <c r="A174" s="18"/>
      <c r="B174" s="18"/>
      <c r="C174" s="18"/>
      <c r="D174" s="18"/>
      <c r="E174" s="18"/>
      <c r="F174" s="19"/>
      <c r="G174" s="18"/>
      <c r="H174" s="18"/>
      <c r="I174" s="19"/>
    </row>
    <row r="175" spans="1:9" ht="13.15">
      <c r="A175" s="18"/>
      <c r="B175" s="18"/>
      <c r="C175" s="18"/>
      <c r="D175" s="18"/>
      <c r="E175" s="18"/>
      <c r="F175" s="19"/>
      <c r="G175" s="18"/>
      <c r="H175" s="18"/>
      <c r="I175" s="19"/>
    </row>
    <row r="176" spans="1:9" ht="13.15">
      <c r="A176" s="18"/>
      <c r="B176" s="18"/>
      <c r="C176" s="18"/>
      <c r="D176" s="18"/>
      <c r="E176" s="18"/>
      <c r="F176" s="19"/>
      <c r="G176" s="18"/>
      <c r="H176" s="18"/>
      <c r="I176" s="19"/>
    </row>
    <row r="177" spans="1:9" ht="13.15">
      <c r="A177" s="18"/>
      <c r="B177" s="18"/>
      <c r="C177" s="18"/>
      <c r="D177" s="18"/>
      <c r="E177" s="18"/>
      <c r="F177" s="19"/>
      <c r="G177" s="18"/>
      <c r="H177" s="18"/>
      <c r="I177" s="19"/>
    </row>
    <row r="178" spans="1:9" ht="13.15">
      <c r="A178" s="18"/>
      <c r="B178" s="18"/>
      <c r="C178" s="18"/>
      <c r="D178" s="18"/>
      <c r="E178" s="18"/>
      <c r="F178" s="19"/>
      <c r="G178" s="18"/>
      <c r="H178" s="18"/>
      <c r="I178" s="19"/>
    </row>
    <row r="179" spans="1:9" ht="13.15">
      <c r="A179" s="18"/>
      <c r="B179" s="18"/>
      <c r="C179" s="18"/>
      <c r="D179" s="18"/>
      <c r="E179" s="18"/>
      <c r="F179" s="19"/>
      <c r="G179" s="18"/>
      <c r="H179" s="18"/>
      <c r="I179" s="19"/>
    </row>
    <row r="180" spans="1:9" ht="13.15">
      <c r="A180" s="18"/>
      <c r="B180" s="18"/>
      <c r="C180" s="18"/>
      <c r="D180" s="18"/>
      <c r="E180" s="18"/>
      <c r="F180" s="19"/>
      <c r="G180" s="18"/>
      <c r="H180" s="18"/>
      <c r="I180" s="19"/>
    </row>
    <row r="181" spans="1:9" ht="13.15">
      <c r="A181" s="18"/>
      <c r="B181" s="18"/>
      <c r="C181" s="18"/>
      <c r="D181" s="18"/>
      <c r="E181" s="18"/>
      <c r="F181" s="19"/>
      <c r="G181" s="18"/>
      <c r="H181" s="18"/>
      <c r="I181" s="19"/>
    </row>
    <row r="182" spans="1:9" ht="13.15">
      <c r="A182" s="18"/>
      <c r="B182" s="18"/>
      <c r="C182" s="18"/>
      <c r="D182" s="18"/>
      <c r="E182" s="18"/>
      <c r="F182" s="19"/>
      <c r="G182" s="18"/>
      <c r="H182" s="18"/>
      <c r="I182" s="19"/>
    </row>
    <row r="183" spans="1:9" ht="13.15">
      <c r="A183" s="18"/>
      <c r="B183" s="18"/>
      <c r="C183" s="18"/>
      <c r="D183" s="18"/>
      <c r="E183" s="18"/>
      <c r="F183" s="19"/>
      <c r="G183" s="18"/>
      <c r="H183" s="18"/>
      <c r="I183" s="19"/>
    </row>
    <row r="184" spans="1:9" ht="13.15">
      <c r="A184" s="18"/>
      <c r="B184" s="18"/>
      <c r="C184" s="18"/>
      <c r="D184" s="18"/>
      <c r="E184" s="18"/>
      <c r="F184" s="19"/>
      <c r="G184" s="18"/>
      <c r="H184" s="18"/>
      <c r="I184" s="19"/>
    </row>
    <row r="185" spans="1:9" ht="13.15">
      <c r="A185" s="18"/>
      <c r="B185" s="18"/>
      <c r="C185" s="18"/>
      <c r="D185" s="18"/>
      <c r="E185" s="18"/>
      <c r="F185" s="19"/>
      <c r="G185" s="18"/>
      <c r="H185" s="18"/>
      <c r="I185" s="19"/>
    </row>
    <row r="186" spans="1:9" ht="13.15">
      <c r="A186" s="18"/>
      <c r="B186" s="18"/>
      <c r="C186" s="18"/>
      <c r="D186" s="18"/>
      <c r="E186" s="18"/>
      <c r="F186" s="19"/>
      <c r="G186" s="18"/>
      <c r="H186" s="18"/>
      <c r="I186" s="19"/>
    </row>
    <row r="187" spans="1:9" ht="13.15">
      <c r="A187" s="18"/>
      <c r="B187" s="18"/>
      <c r="C187" s="18"/>
      <c r="D187" s="18"/>
      <c r="E187" s="18"/>
      <c r="F187" s="19"/>
      <c r="G187" s="18"/>
      <c r="H187" s="18"/>
      <c r="I187" s="19"/>
    </row>
    <row r="188" spans="1:9" ht="13.15">
      <c r="A188" s="18"/>
      <c r="B188" s="18"/>
      <c r="C188" s="18"/>
      <c r="D188" s="18"/>
      <c r="E188" s="18"/>
      <c r="F188" s="19"/>
      <c r="G188" s="18"/>
      <c r="H188" s="18"/>
      <c r="I188" s="19"/>
    </row>
    <row r="189" spans="1:9" ht="13.15">
      <c r="A189" s="18"/>
      <c r="B189" s="18"/>
      <c r="C189" s="18"/>
      <c r="D189" s="18"/>
      <c r="E189" s="18"/>
      <c r="F189" s="19"/>
      <c r="G189" s="18"/>
      <c r="H189" s="18"/>
      <c r="I189" s="19"/>
    </row>
    <row r="190" spans="1:9" ht="13.15">
      <c r="A190" s="18"/>
      <c r="B190" s="18"/>
      <c r="C190" s="18"/>
      <c r="D190" s="18"/>
      <c r="E190" s="18"/>
      <c r="F190" s="19"/>
      <c r="G190" s="18"/>
      <c r="H190" s="18"/>
      <c r="I190" s="19"/>
    </row>
    <row r="191" spans="1:9" ht="13.15">
      <c r="A191" s="18"/>
      <c r="B191" s="18"/>
      <c r="C191" s="18"/>
      <c r="D191" s="18"/>
      <c r="E191" s="18"/>
      <c r="F191" s="19"/>
      <c r="G191" s="18"/>
      <c r="H191" s="18"/>
      <c r="I191" s="19"/>
    </row>
    <row r="192" spans="1:9" ht="13.15">
      <c r="A192" s="18"/>
      <c r="B192" s="18"/>
      <c r="C192" s="18"/>
      <c r="D192" s="18"/>
      <c r="E192" s="18"/>
      <c r="F192" s="19"/>
      <c r="G192" s="18"/>
      <c r="H192" s="18"/>
      <c r="I192" s="19"/>
    </row>
    <row r="193" spans="1:9" ht="13.15">
      <c r="A193" s="18"/>
      <c r="B193" s="18"/>
      <c r="C193" s="18"/>
      <c r="D193" s="18"/>
      <c r="E193" s="18"/>
      <c r="F193" s="19"/>
      <c r="G193" s="18"/>
      <c r="H193" s="18"/>
      <c r="I193" s="19"/>
    </row>
    <row r="194" spans="1:9" ht="13.15">
      <c r="A194" s="18"/>
      <c r="B194" s="18"/>
      <c r="C194" s="18"/>
      <c r="D194" s="18"/>
      <c r="E194" s="18"/>
      <c r="F194" s="19"/>
      <c r="G194" s="18"/>
      <c r="H194" s="18"/>
      <c r="I194" s="19"/>
    </row>
    <row r="195" spans="1:9" ht="13.15">
      <c r="A195" s="18"/>
      <c r="B195" s="18"/>
      <c r="C195" s="18"/>
      <c r="D195" s="18"/>
      <c r="E195" s="18"/>
      <c r="F195" s="19"/>
      <c r="G195" s="18"/>
      <c r="H195" s="18"/>
      <c r="I195" s="19"/>
    </row>
    <row r="196" spans="1:9" ht="13.15">
      <c r="A196" s="18"/>
      <c r="B196" s="18"/>
      <c r="C196" s="18"/>
      <c r="D196" s="18"/>
      <c r="E196" s="18"/>
      <c r="F196" s="19"/>
      <c r="G196" s="18"/>
      <c r="H196" s="18"/>
      <c r="I196" s="19"/>
    </row>
    <row r="197" spans="1:9" ht="13.15">
      <c r="A197" s="18"/>
      <c r="B197" s="18"/>
      <c r="C197" s="18"/>
      <c r="D197" s="18"/>
      <c r="E197" s="18"/>
      <c r="F197" s="19"/>
      <c r="G197" s="18"/>
      <c r="H197" s="18"/>
      <c r="I197" s="19"/>
    </row>
    <row r="198" spans="1:9" ht="13.15">
      <c r="A198" s="18"/>
      <c r="B198" s="18"/>
      <c r="C198" s="18"/>
      <c r="D198" s="18"/>
      <c r="E198" s="18"/>
      <c r="F198" s="19"/>
      <c r="G198" s="18"/>
      <c r="H198" s="18"/>
      <c r="I198" s="19"/>
    </row>
    <row r="199" spans="1:9" ht="13.15">
      <c r="A199" s="18"/>
      <c r="B199" s="18"/>
      <c r="C199" s="18"/>
      <c r="D199" s="18"/>
      <c r="E199" s="18"/>
      <c r="F199" s="19"/>
      <c r="G199" s="18"/>
      <c r="H199" s="18"/>
      <c r="I199" s="19"/>
    </row>
    <row r="200" spans="1:9" ht="13.15">
      <c r="A200" s="18"/>
      <c r="B200" s="18"/>
      <c r="C200" s="18"/>
      <c r="D200" s="18"/>
      <c r="E200" s="18"/>
      <c r="F200" s="19"/>
      <c r="G200" s="18"/>
      <c r="H200" s="18"/>
      <c r="I200" s="19"/>
    </row>
    <row r="201" spans="1:9" ht="13.15">
      <c r="A201" s="18"/>
      <c r="B201" s="18"/>
      <c r="C201" s="18"/>
      <c r="D201" s="18"/>
      <c r="E201" s="18"/>
      <c r="F201" s="19"/>
      <c r="G201" s="18"/>
      <c r="H201" s="18"/>
      <c r="I201" s="19"/>
    </row>
    <row r="202" spans="1:9" ht="13.15">
      <c r="A202" s="18"/>
      <c r="B202" s="18"/>
      <c r="C202" s="18"/>
      <c r="D202" s="18"/>
      <c r="E202" s="18"/>
      <c r="F202" s="19"/>
      <c r="G202" s="18"/>
      <c r="H202" s="18"/>
      <c r="I202" s="19"/>
    </row>
    <row r="203" spans="1:9" ht="13.15">
      <c r="A203" s="18"/>
      <c r="B203" s="18"/>
      <c r="C203" s="18"/>
      <c r="D203" s="18"/>
      <c r="E203" s="18"/>
      <c r="F203" s="19"/>
      <c r="G203" s="18"/>
      <c r="H203" s="18"/>
      <c r="I203" s="19"/>
    </row>
    <row r="204" spans="1:9" ht="13.15">
      <c r="A204" s="18"/>
      <c r="B204" s="18"/>
      <c r="C204" s="18"/>
      <c r="D204" s="18"/>
      <c r="E204" s="18"/>
      <c r="F204" s="19"/>
      <c r="G204" s="18"/>
      <c r="H204" s="18"/>
      <c r="I204" s="19"/>
    </row>
    <row r="205" spans="1:9" ht="13.15">
      <c r="A205" s="18"/>
      <c r="B205" s="18"/>
      <c r="C205" s="18"/>
      <c r="D205" s="18"/>
      <c r="E205" s="18"/>
      <c r="F205" s="19"/>
      <c r="G205" s="18"/>
      <c r="H205" s="18"/>
      <c r="I205" s="19"/>
    </row>
    <row r="206" spans="1:9" ht="13.15">
      <c r="A206" s="18"/>
      <c r="B206" s="18"/>
      <c r="C206" s="18"/>
      <c r="D206" s="18"/>
      <c r="E206" s="18"/>
      <c r="F206" s="19"/>
      <c r="G206" s="18"/>
      <c r="H206" s="18"/>
      <c r="I206" s="19"/>
    </row>
    <row r="207" spans="1:9" ht="13.15">
      <c r="A207" s="18"/>
      <c r="B207" s="18"/>
      <c r="C207" s="18"/>
      <c r="D207" s="18"/>
      <c r="E207" s="18"/>
      <c r="F207" s="19"/>
      <c r="G207" s="18"/>
      <c r="H207" s="18"/>
      <c r="I207" s="19"/>
    </row>
    <row r="208" spans="1:9" ht="13.15">
      <c r="A208" s="18"/>
      <c r="B208" s="18"/>
      <c r="C208" s="18"/>
      <c r="D208" s="18"/>
      <c r="E208" s="18"/>
      <c r="F208" s="19"/>
      <c r="G208" s="18"/>
      <c r="H208" s="18"/>
      <c r="I208" s="19"/>
    </row>
    <row r="209" spans="1:9" ht="13.15">
      <c r="A209" s="18"/>
      <c r="B209" s="18"/>
      <c r="C209" s="18"/>
      <c r="D209" s="18"/>
      <c r="E209" s="18"/>
      <c r="F209" s="19"/>
      <c r="G209" s="18"/>
      <c r="H209" s="18"/>
      <c r="I209" s="19"/>
    </row>
    <row r="210" spans="1:9" ht="13.15">
      <c r="A210" s="18"/>
      <c r="B210" s="18"/>
      <c r="C210" s="18"/>
      <c r="D210" s="18"/>
      <c r="E210" s="18"/>
      <c r="F210" s="19"/>
      <c r="G210" s="18"/>
      <c r="H210" s="18"/>
      <c r="I210" s="19"/>
    </row>
    <row r="211" spans="1:9" ht="13.15">
      <c r="A211" s="18"/>
      <c r="B211" s="18"/>
      <c r="C211" s="18"/>
      <c r="D211" s="18"/>
      <c r="E211" s="18"/>
      <c r="F211" s="19"/>
      <c r="G211" s="18"/>
      <c r="H211" s="18"/>
      <c r="I211" s="19"/>
    </row>
    <row r="212" spans="1:9" ht="13.15">
      <c r="A212" s="18"/>
      <c r="B212" s="18"/>
      <c r="C212" s="18"/>
      <c r="D212" s="18"/>
      <c r="E212" s="18"/>
      <c r="F212" s="19"/>
      <c r="G212" s="18"/>
      <c r="H212" s="18"/>
      <c r="I212" s="19"/>
    </row>
    <row r="213" spans="1:9" ht="13.15">
      <c r="A213" s="18"/>
      <c r="B213" s="18"/>
      <c r="C213" s="18"/>
      <c r="D213" s="18"/>
      <c r="E213" s="18"/>
      <c r="F213" s="19"/>
      <c r="G213" s="18"/>
      <c r="H213" s="18"/>
      <c r="I213" s="19"/>
    </row>
    <row r="214" spans="1:9" ht="13.15">
      <c r="A214" s="18"/>
      <c r="B214" s="18"/>
      <c r="C214" s="18"/>
      <c r="D214" s="18"/>
      <c r="E214" s="18"/>
      <c r="F214" s="19"/>
      <c r="G214" s="18"/>
      <c r="H214" s="18"/>
      <c r="I214" s="19"/>
    </row>
    <row r="215" spans="1:9" ht="13.15">
      <c r="A215" s="18"/>
      <c r="B215" s="18"/>
      <c r="C215" s="18"/>
      <c r="D215" s="18"/>
      <c r="E215" s="18"/>
      <c r="F215" s="19"/>
      <c r="G215" s="18"/>
      <c r="H215" s="18"/>
      <c r="I215" s="19"/>
    </row>
    <row r="216" spans="1:9" ht="13.15">
      <c r="A216" s="18"/>
      <c r="B216" s="18"/>
      <c r="C216" s="18"/>
      <c r="D216" s="18"/>
      <c r="E216" s="18"/>
      <c r="F216" s="19"/>
      <c r="G216" s="18"/>
      <c r="H216" s="18"/>
      <c r="I216" s="19"/>
    </row>
    <row r="217" spans="1:9" ht="13.15">
      <c r="A217" s="18"/>
      <c r="B217" s="18"/>
      <c r="C217" s="18"/>
      <c r="D217" s="18"/>
      <c r="E217" s="18"/>
      <c r="F217" s="19"/>
      <c r="G217" s="18"/>
      <c r="H217" s="18"/>
      <c r="I217" s="19"/>
    </row>
    <row r="218" spans="1:9" ht="13.15">
      <c r="A218" s="18"/>
      <c r="B218" s="18"/>
      <c r="C218" s="18"/>
      <c r="D218" s="18"/>
      <c r="E218" s="18"/>
      <c r="F218" s="19"/>
      <c r="G218" s="18"/>
      <c r="H218" s="18"/>
      <c r="I218" s="19"/>
    </row>
    <row r="219" spans="1:9" ht="13.15">
      <c r="A219" s="18"/>
      <c r="B219" s="18"/>
      <c r="C219" s="18"/>
      <c r="D219" s="18"/>
      <c r="E219" s="18"/>
      <c r="F219" s="19"/>
      <c r="G219" s="18"/>
      <c r="H219" s="18"/>
      <c r="I219" s="19"/>
    </row>
    <row r="220" spans="1:9" ht="13.15">
      <c r="A220" s="18"/>
      <c r="B220" s="18"/>
      <c r="C220" s="18"/>
      <c r="D220" s="18"/>
      <c r="E220" s="18"/>
      <c r="F220" s="19"/>
      <c r="G220" s="18"/>
      <c r="H220" s="18"/>
      <c r="I220" s="19"/>
    </row>
    <row r="221" spans="1:9" ht="13.15">
      <c r="A221" s="18"/>
      <c r="B221" s="18"/>
      <c r="C221" s="18"/>
      <c r="D221" s="18"/>
      <c r="E221" s="18"/>
      <c r="F221" s="19"/>
      <c r="G221" s="18"/>
      <c r="H221" s="18"/>
      <c r="I221" s="19"/>
    </row>
    <row r="222" spans="1:9" ht="13.15">
      <c r="A222" s="18"/>
      <c r="B222" s="18"/>
      <c r="C222" s="18"/>
      <c r="D222" s="18"/>
      <c r="E222" s="18"/>
      <c r="F222" s="19"/>
      <c r="G222" s="18"/>
      <c r="H222" s="18"/>
      <c r="I222" s="19"/>
    </row>
    <row r="223" spans="1:9" ht="13.15">
      <c r="A223" s="18"/>
      <c r="B223" s="18"/>
      <c r="C223" s="18"/>
      <c r="D223" s="18"/>
      <c r="E223" s="18"/>
      <c r="F223" s="19"/>
      <c r="G223" s="18"/>
      <c r="H223" s="18"/>
      <c r="I223" s="19"/>
    </row>
    <row r="224" spans="1:9" ht="13.15">
      <c r="A224" s="18"/>
      <c r="B224" s="18"/>
      <c r="C224" s="18"/>
      <c r="D224" s="18"/>
      <c r="E224" s="18"/>
      <c r="F224" s="19"/>
      <c r="G224" s="18"/>
      <c r="H224" s="18"/>
      <c r="I224" s="19"/>
    </row>
    <row r="225" spans="1:9" ht="13.15">
      <c r="A225" s="18"/>
      <c r="B225" s="18"/>
      <c r="C225" s="18"/>
      <c r="D225" s="18"/>
      <c r="E225" s="18"/>
      <c r="F225" s="19"/>
      <c r="G225" s="18"/>
      <c r="H225" s="18"/>
      <c r="I225" s="19"/>
    </row>
    <row r="226" spans="1:9" ht="13.15">
      <c r="A226" s="18"/>
      <c r="B226" s="18"/>
      <c r="C226" s="18"/>
      <c r="D226" s="18"/>
      <c r="E226" s="18"/>
      <c r="F226" s="19"/>
      <c r="G226" s="18"/>
      <c r="H226" s="18"/>
      <c r="I226" s="19"/>
    </row>
    <row r="227" spans="1:9" ht="13.15">
      <c r="A227" s="18"/>
      <c r="B227" s="18"/>
      <c r="C227" s="18"/>
      <c r="D227" s="18"/>
      <c r="E227" s="18"/>
      <c r="F227" s="19"/>
      <c r="G227" s="18"/>
      <c r="H227" s="18"/>
      <c r="I227" s="19"/>
    </row>
    <row r="228" spans="1:9" ht="13.15">
      <c r="A228" s="18"/>
      <c r="B228" s="18"/>
      <c r="C228" s="18"/>
      <c r="D228" s="18"/>
      <c r="E228" s="18"/>
      <c r="F228" s="19"/>
      <c r="G228" s="18"/>
      <c r="H228" s="18"/>
      <c r="I228" s="19"/>
    </row>
    <row r="229" spans="1:9" ht="13.15">
      <c r="A229" s="18"/>
      <c r="B229" s="18"/>
      <c r="C229" s="18"/>
      <c r="D229" s="18"/>
      <c r="E229" s="18"/>
      <c r="F229" s="19"/>
      <c r="G229" s="18"/>
      <c r="H229" s="18"/>
      <c r="I229" s="19"/>
    </row>
    <row r="230" spans="1:9" ht="13.15">
      <c r="A230" s="18"/>
      <c r="B230" s="18"/>
      <c r="C230" s="18"/>
      <c r="D230" s="18"/>
      <c r="E230" s="18"/>
      <c r="F230" s="19"/>
      <c r="G230" s="18"/>
      <c r="H230" s="18"/>
      <c r="I230" s="19"/>
    </row>
    <row r="231" spans="1:9" ht="13.15">
      <c r="A231" s="18"/>
      <c r="B231" s="18"/>
      <c r="C231" s="18"/>
      <c r="D231" s="18"/>
      <c r="E231" s="18"/>
      <c r="F231" s="19"/>
      <c r="G231" s="18"/>
      <c r="H231" s="18"/>
      <c r="I231" s="19"/>
    </row>
    <row r="232" spans="1:9" ht="13.15">
      <c r="A232" s="18"/>
      <c r="B232" s="18"/>
      <c r="C232" s="18"/>
      <c r="D232" s="18"/>
      <c r="E232" s="18"/>
      <c r="F232" s="19"/>
      <c r="G232" s="18"/>
      <c r="H232" s="18"/>
      <c r="I232" s="19"/>
    </row>
    <row r="233" spans="1:9" ht="13.15">
      <c r="A233" s="18"/>
      <c r="B233" s="18"/>
      <c r="C233" s="18"/>
      <c r="D233" s="18"/>
      <c r="E233" s="18"/>
      <c r="F233" s="19"/>
      <c r="G233" s="18"/>
      <c r="H233" s="18"/>
      <c r="I233" s="19"/>
    </row>
    <row r="234" spans="1:9" ht="13.15">
      <c r="A234" s="18"/>
      <c r="B234" s="18"/>
      <c r="C234" s="18"/>
      <c r="D234" s="18"/>
      <c r="E234" s="18"/>
      <c r="F234" s="19"/>
      <c r="G234" s="18"/>
      <c r="H234" s="18"/>
      <c r="I234" s="19"/>
    </row>
    <row r="235" spans="1:9" ht="13.15">
      <c r="A235" s="18"/>
      <c r="B235" s="18"/>
      <c r="C235" s="18"/>
      <c r="D235" s="18"/>
      <c r="E235" s="18"/>
      <c r="F235" s="19"/>
      <c r="G235" s="18"/>
      <c r="H235" s="18"/>
      <c r="I235" s="19"/>
    </row>
    <row r="236" spans="1:9" ht="13.15">
      <c r="A236" s="18"/>
      <c r="B236" s="18"/>
      <c r="C236" s="18"/>
      <c r="D236" s="18"/>
      <c r="E236" s="18"/>
      <c r="F236" s="19"/>
      <c r="G236" s="18"/>
      <c r="H236" s="18"/>
      <c r="I236" s="19"/>
    </row>
    <row r="237" spans="1:9" ht="13.15">
      <c r="A237" s="18"/>
      <c r="B237" s="18"/>
      <c r="C237" s="18"/>
      <c r="D237" s="18"/>
      <c r="E237" s="18"/>
      <c r="F237" s="19"/>
      <c r="G237" s="18"/>
      <c r="H237" s="18"/>
      <c r="I237" s="19"/>
    </row>
    <row r="238" spans="1:9" ht="13.15">
      <c r="A238" s="18"/>
      <c r="B238" s="18"/>
      <c r="C238" s="18"/>
      <c r="D238" s="18"/>
      <c r="E238" s="18"/>
      <c r="F238" s="19"/>
      <c r="G238" s="18"/>
      <c r="H238" s="18"/>
      <c r="I238" s="19"/>
    </row>
    <row r="239" spans="1:9" ht="13.15">
      <c r="A239" s="18"/>
      <c r="B239" s="18"/>
      <c r="C239" s="18"/>
      <c r="D239" s="18"/>
      <c r="E239" s="18"/>
      <c r="F239" s="19"/>
      <c r="G239" s="18"/>
      <c r="H239" s="18"/>
      <c r="I239" s="19"/>
    </row>
    <row r="240" spans="1:9" ht="13.15">
      <c r="A240" s="18"/>
      <c r="B240" s="18"/>
      <c r="C240" s="18"/>
      <c r="D240" s="18"/>
      <c r="E240" s="18"/>
      <c r="F240" s="19"/>
      <c r="G240" s="18"/>
      <c r="H240" s="18"/>
      <c r="I240" s="19"/>
    </row>
    <row r="241" spans="1:9" ht="13.15">
      <c r="A241" s="18"/>
      <c r="B241" s="18"/>
      <c r="C241" s="18"/>
      <c r="D241" s="18"/>
      <c r="E241" s="18"/>
      <c r="F241" s="19"/>
      <c r="G241" s="18"/>
      <c r="H241" s="18"/>
      <c r="I241" s="19"/>
    </row>
    <row r="242" spans="1:9" ht="13.15">
      <c r="A242" s="18"/>
      <c r="B242" s="18"/>
      <c r="C242" s="18"/>
      <c r="D242" s="18"/>
      <c r="E242" s="18"/>
      <c r="F242" s="19"/>
      <c r="G242" s="18"/>
      <c r="H242" s="18"/>
      <c r="I242" s="19"/>
    </row>
  </sheetData>
  <mergeCells count="4">
    <mergeCell ref="G1:I1"/>
    <mergeCell ref="A1:C1"/>
    <mergeCell ref="D1:F1"/>
    <mergeCell ref="A2:B2"/>
  </mergeCells>
  <conditionalFormatting sqref="F2 I2">
    <cfRule type="cellIs" dxfId="56" priority="3" stopIfTrue="1" operator="lessThanOrEqual">
      <formula>-0.1</formula>
    </cfRule>
    <cfRule type="expression" dxfId="55" priority="4">
      <formula>AND(ISNUMBER(F2), F2&gt;=0.1)</formula>
    </cfRule>
  </conditionalFormatting>
  <conditionalFormatting sqref="F4:F38 I4:I38">
    <cfRule type="cellIs" dxfId="54" priority="1" stopIfTrue="1" operator="lessThanOrEqual">
      <formula>-0.1</formula>
    </cfRule>
    <cfRule type="expression" dxfId="5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K242"/>
  <sheetViews>
    <sheetView workbookViewId="0">
      <pane xSplit="2" ySplit="3" topLeftCell="D4" activePane="bottomRight" state="frozen"/>
      <selection pane="bottomRight" activeCell="D4" sqref="D4"/>
      <selection pane="bottomLeft" activeCell="C48" sqref="C48"/>
      <selection pane="topRight" activeCell="C48" sqref="C4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66" t="str" cm="1">
        <f t="array" ref="A1">portfolio</f>
        <v>Cushman &amp; Wakefield</v>
      </c>
      <c r="B1" s="66"/>
      <c r="C1" s="66"/>
      <c r="D1" s="67" t="s">
        <v>16</v>
      </c>
      <c r="E1" s="67"/>
      <c r="F1" s="67"/>
      <c r="G1" s="65" t="s">
        <v>17</v>
      </c>
      <c r="H1" s="65"/>
      <c r="I1" s="65"/>
    </row>
    <row r="2" spans="1:11" ht="19.5" customHeight="1">
      <c r="A2" s="68" t="s">
        <v>2</v>
      </c>
      <c r="B2" s="68"/>
      <c r="C2" s="6">
        <f>SUM(C4:C38)</f>
        <v>0</v>
      </c>
      <c r="D2" s="6">
        <f>SUM(D4:D38)</f>
        <v>0</v>
      </c>
      <c r="E2" s="6">
        <f>C2-D2</f>
        <v>0</v>
      </c>
      <c r="F2" s="7">
        <f>IFERROR(E2/D2, 0)</f>
        <v>0</v>
      </c>
      <c r="G2" s="6">
        <f>SUM(G4:G38)</f>
        <v>0</v>
      </c>
      <c r="H2" s="8">
        <f>C2-G2</f>
        <v>0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</row>
    <row r="4" spans="1:11" ht="15.75">
      <c r="A4" s="29" t="str" cm="1">
        <f t="array" ref="A4:A38">Sites[Site]</f>
        <v xml:space="preserve"> Adelanto - Bank of America</v>
      </c>
      <c r="B4" s="26" t="str" cm="1">
        <f t="array" ref="B4:B38">Sites[State]</f>
        <v>CA</v>
      </c>
      <c r="C4" s="21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 xml:space="preserve"> Apple Valley - Bank of America</v>
      </c>
      <c r="B5" s="28" t="str">
        <v>CA</v>
      </c>
      <c r="C5" s="10">
        <f>SUM(Oct!C5, Nov!C5, Dec!C5)</f>
        <v>0</v>
      </c>
      <c r="D5" s="15">
        <f>SUM(Oct!D5, Nov!D5, Dec!D5)</f>
        <v>0</v>
      </c>
      <c r="E5" s="15">
        <f t="shared" ref="E5:E38" si="0">IF(AND(ISNUMBER(C5),ISNUMBER(D5)), C5-D5, "")</f>
        <v>0</v>
      </c>
      <c r="F5" s="16" t="str">
        <f>IFERROR(E5/D5, "")</f>
        <v/>
      </c>
      <c r="G5" s="17"/>
      <c r="H5" s="17" t="str">
        <f t="shared" ref="H5:H38" si="1">IF(AND(ISNUMBER(C5),ISNUMBER(G5)), C5-G5, "")</f>
        <v/>
      </c>
      <c r="I5" s="16" t="str">
        <f>IFERROR(H5/G5, "")</f>
        <v/>
      </c>
      <c r="J5" s="39"/>
      <c r="K5" s="39"/>
    </row>
    <row r="6" spans="1:11" ht="15.75">
      <c r="A6" s="25" t="str">
        <v xml:space="preserve"> Arvin - Bank of America</v>
      </c>
      <c r="B6" s="26" t="str">
        <v>CA</v>
      </c>
      <c r="C6" s="21">
        <f>SUM(Oct!C6, Nov!C6, Dec!C6)</f>
        <v>0</v>
      </c>
      <c r="D6" s="11">
        <f>SUM(Oct!D6, Nov!D6, Dec!D6)</f>
        <v>0</v>
      </c>
      <c r="E6" s="11">
        <f t="shared" si="0"/>
        <v>0</v>
      </c>
      <c r="F6" s="12" t="str">
        <f t="shared" ref="F6:F15" si="2">IFERROR(E6/D6, "")</f>
        <v/>
      </c>
      <c r="G6" s="13"/>
      <c r="H6" s="13" t="str">
        <f t="shared" si="1"/>
        <v/>
      </c>
      <c r="I6" s="14" t="str">
        <f t="shared" ref="I6:I15" si="3">IFERROR(H6/G6, "")</f>
        <v/>
      </c>
      <c r="J6" s="38"/>
      <c r="K6" s="38"/>
    </row>
    <row r="7" spans="1:11" ht="15.75">
      <c r="A7" s="27" t="str">
        <v xml:space="preserve"> Bell - Bank of America</v>
      </c>
      <c r="B7" s="28" t="str">
        <v>CA</v>
      </c>
      <c r="C7" s="10">
        <f>SUM(Oct!C7, Nov!C7, Dec!C7)</f>
        <v>0</v>
      </c>
      <c r="D7" s="15">
        <f>SUM(Oct!D7, Nov!D7, Dec!D7)</f>
        <v>0</v>
      </c>
      <c r="E7" s="15">
        <f t="shared" si="0"/>
        <v>0</v>
      </c>
      <c r="F7" s="16" t="str">
        <f t="shared" si="2"/>
        <v/>
      </c>
      <c r="G7" s="17"/>
      <c r="H7" s="17" t="str">
        <f t="shared" si="1"/>
        <v/>
      </c>
      <c r="I7" s="16" t="str">
        <f t="shared" si="3"/>
        <v/>
      </c>
      <c r="J7" s="39"/>
      <c r="K7" s="40"/>
    </row>
    <row r="8" spans="1:11" ht="15.75">
      <c r="A8" s="25" t="str">
        <v xml:space="preserve"> Chula Vista - Bank of America</v>
      </c>
      <c r="B8" s="26" t="str">
        <v>CA</v>
      </c>
      <c r="C8" s="21">
        <f>SUM(Oct!C8, Nov!C8, Dec!C8)</f>
        <v>0</v>
      </c>
      <c r="D8" s="11">
        <f>SUM(Oct!D8, Nov!D8, Dec!D8)</f>
        <v>0</v>
      </c>
      <c r="E8" s="11">
        <f t="shared" si="0"/>
        <v>0</v>
      </c>
      <c r="F8" s="12" t="str">
        <f t="shared" si="2"/>
        <v/>
      </c>
      <c r="G8" s="13"/>
      <c r="H8" s="13" t="str">
        <f t="shared" si="1"/>
        <v/>
      </c>
      <c r="I8" s="14" t="str">
        <f t="shared" si="3"/>
        <v/>
      </c>
      <c r="J8" s="38"/>
      <c r="K8" s="38"/>
    </row>
    <row r="9" spans="1:11" ht="15.75">
      <c r="A9" s="27" t="str">
        <v xml:space="preserve"> Cupertino - Bank of America</v>
      </c>
      <c r="B9" s="28" t="str">
        <v>CA</v>
      </c>
      <c r="C9" s="10">
        <f>SUM(Oct!C9, Nov!C9, Dec!C9)</f>
        <v>0</v>
      </c>
      <c r="D9" s="15">
        <f>SUM(Oct!D9, Nov!D9, Dec!D9)</f>
        <v>0</v>
      </c>
      <c r="E9" s="15">
        <f t="shared" si="0"/>
        <v>0</v>
      </c>
      <c r="F9" s="16" t="str">
        <f t="shared" si="2"/>
        <v/>
      </c>
      <c r="G9" s="17"/>
      <c r="H9" s="17" t="str">
        <f t="shared" si="1"/>
        <v/>
      </c>
      <c r="I9" s="16" t="str">
        <f t="shared" si="3"/>
        <v/>
      </c>
      <c r="J9" s="39"/>
      <c r="K9" s="40"/>
    </row>
    <row r="10" spans="1:11" ht="15.75">
      <c r="A10" s="25" t="str">
        <v xml:space="preserve"> Diamond Bar - Bank of America</v>
      </c>
      <c r="B10" s="26" t="str">
        <v>CA</v>
      </c>
      <c r="C10" s="21">
        <f>SUM(Oct!C10, Nov!C10, Dec!C10)</f>
        <v>0</v>
      </c>
      <c r="D10" s="11">
        <f>SUM(Oct!D10, Nov!D10, Dec!D10)</f>
        <v>0</v>
      </c>
      <c r="E10" s="11">
        <f t="shared" si="0"/>
        <v>0</v>
      </c>
      <c r="F10" s="12" t="str">
        <f t="shared" si="2"/>
        <v/>
      </c>
      <c r="G10" s="13"/>
      <c r="H10" s="13" t="str">
        <f t="shared" si="1"/>
        <v/>
      </c>
      <c r="I10" s="14" t="str">
        <f t="shared" si="3"/>
        <v/>
      </c>
      <c r="J10" s="38"/>
      <c r="K10" s="38"/>
    </row>
    <row r="11" spans="1:11" ht="15.75">
      <c r="A11" s="27" t="str">
        <v xml:space="preserve"> El Centro - Bank of America</v>
      </c>
      <c r="B11" s="28" t="str">
        <v>CA</v>
      </c>
      <c r="C11" s="10">
        <f>SUM(Oct!C11, Nov!C11, Dec!C11)</f>
        <v>0</v>
      </c>
      <c r="D11" s="15">
        <f>SUM(Oct!D11, Nov!D11, Dec!D11)</f>
        <v>0</v>
      </c>
      <c r="E11" s="15">
        <f t="shared" si="0"/>
        <v>0</v>
      </c>
      <c r="F11" s="16" t="str">
        <f t="shared" si="2"/>
        <v/>
      </c>
      <c r="G11" s="17"/>
      <c r="H11" s="17" t="str">
        <f t="shared" si="1"/>
        <v/>
      </c>
      <c r="I11" s="16" t="str">
        <f t="shared" si="3"/>
        <v/>
      </c>
      <c r="J11" s="39"/>
      <c r="K11" s="40"/>
    </row>
    <row r="12" spans="1:11" ht="15.75">
      <c r="A12" s="25" t="str">
        <v xml:space="preserve"> Moreno Valley - Bank of America</v>
      </c>
      <c r="B12" s="26" t="str">
        <v>CA</v>
      </c>
      <c r="C12" s="21">
        <f>SUM(Oct!C12, Nov!C12, Dec!C12)</f>
        <v>0</v>
      </c>
      <c r="D12" s="11">
        <f>SUM(Oct!D12, Nov!D12, Dec!D12)</f>
        <v>0</v>
      </c>
      <c r="E12" s="11">
        <f t="shared" si="0"/>
        <v>0</v>
      </c>
      <c r="F12" s="12" t="str">
        <f t="shared" si="2"/>
        <v/>
      </c>
      <c r="G12" s="13"/>
      <c r="H12" s="13" t="str">
        <f t="shared" si="1"/>
        <v/>
      </c>
      <c r="I12" s="14" t="str">
        <f t="shared" si="3"/>
        <v/>
      </c>
      <c r="J12" s="38"/>
      <c r="K12" s="38"/>
    </row>
    <row r="13" spans="1:11" ht="15.75">
      <c r="A13" s="27" t="str">
        <v xml:space="preserve"> Redlands - Bank of America</v>
      </c>
      <c r="B13" s="28" t="str">
        <v>CA</v>
      </c>
      <c r="C13" s="10">
        <f>SUM(Oct!C13, Nov!C13, Dec!C13)</f>
        <v>0</v>
      </c>
      <c r="D13" s="15">
        <f>SUM(Oct!D13, Nov!D13, Dec!D13)</f>
        <v>0</v>
      </c>
      <c r="E13" s="15">
        <f t="shared" si="0"/>
        <v>0</v>
      </c>
      <c r="F13" s="16" t="str">
        <f t="shared" si="2"/>
        <v/>
      </c>
      <c r="G13" s="17"/>
      <c r="H13" s="17" t="str">
        <f t="shared" si="1"/>
        <v/>
      </c>
      <c r="I13" s="16" t="str">
        <f t="shared" si="3"/>
        <v/>
      </c>
      <c r="J13" s="39"/>
      <c r="K13" s="40"/>
    </row>
    <row r="14" spans="1:11" ht="15.75">
      <c r="A14" s="25" t="str">
        <v xml:space="preserve"> Roseville - Bank of America</v>
      </c>
      <c r="B14" s="26" t="str">
        <v>CA</v>
      </c>
      <c r="C14" s="21">
        <f>SUM(Oct!C14, Nov!C14, Dec!C14)</f>
        <v>0</v>
      </c>
      <c r="D14" s="11">
        <f>SUM(Oct!D14, Nov!D14, Dec!D14)</f>
        <v>0</v>
      </c>
      <c r="E14" s="11">
        <f t="shared" si="0"/>
        <v>0</v>
      </c>
      <c r="F14" s="12" t="str">
        <f t="shared" si="2"/>
        <v/>
      </c>
      <c r="G14" s="13"/>
      <c r="H14" s="13" t="str">
        <f t="shared" si="1"/>
        <v/>
      </c>
      <c r="I14" s="14" t="str">
        <f t="shared" si="3"/>
        <v/>
      </c>
      <c r="J14" s="38"/>
      <c r="K14" s="38"/>
    </row>
    <row r="15" spans="1:11" ht="15.75">
      <c r="A15" s="27" t="str">
        <v xml:space="preserve"> San Bernardino - Bank of America</v>
      </c>
      <c r="B15" s="28" t="str">
        <v>CA</v>
      </c>
      <c r="C15" s="10">
        <f>SUM(Oct!C15, Nov!C15, Dec!C15)</f>
        <v>0</v>
      </c>
      <c r="D15" s="15">
        <f>SUM(Oct!D15, Nov!D15, Dec!D15)</f>
        <v>0</v>
      </c>
      <c r="E15" s="15">
        <f t="shared" si="0"/>
        <v>0</v>
      </c>
      <c r="F15" s="16" t="str">
        <f t="shared" si="2"/>
        <v/>
      </c>
      <c r="G15" s="17"/>
      <c r="H15" s="17" t="str">
        <f t="shared" si="1"/>
        <v/>
      </c>
      <c r="I15" s="16" t="str">
        <f t="shared" si="3"/>
        <v/>
      </c>
      <c r="J15" s="39"/>
      <c r="K15" s="40"/>
    </row>
    <row r="16" spans="1:11" ht="15.75">
      <c r="A16" s="25" t="str">
        <v xml:space="preserve"> San Diego - Bank of America</v>
      </c>
      <c r="B16" s="26" t="str">
        <v>CA</v>
      </c>
      <c r="C16" s="21">
        <f>SUM(Oct!C16, Nov!C16, Dec!C16)</f>
        <v>0</v>
      </c>
      <c r="D16" s="11">
        <f>SUM(Oct!D16, Nov!D16, Dec!D16)</f>
        <v>0</v>
      </c>
      <c r="E16" s="11">
        <f t="shared" si="0"/>
        <v>0</v>
      </c>
      <c r="F16" s="12" t="str">
        <f t="shared" ref="F16:F17" si="4">IFERROR(E16/D16, "")</f>
        <v/>
      </c>
      <c r="G16" s="13"/>
      <c r="H16" s="13" t="str">
        <f t="shared" si="1"/>
        <v/>
      </c>
      <c r="I16" s="14" t="str">
        <f t="shared" ref="I16:I17" si="5">IFERROR(H16/G16, "")</f>
        <v/>
      </c>
      <c r="J16" s="38"/>
      <c r="K16" s="38"/>
    </row>
    <row r="17" spans="1:11" ht="15.75">
      <c r="A17" s="27" t="str">
        <v xml:space="preserve"> Stockton - Bank of America</v>
      </c>
      <c r="B17" s="28" t="str">
        <v>CA</v>
      </c>
      <c r="C17" s="10">
        <f>SUM(Oct!C17, Nov!C17, Dec!C17)</f>
        <v>0</v>
      </c>
      <c r="D17" s="15">
        <f>SUM(Oct!D17, Nov!D17, Dec!D17)</f>
        <v>0</v>
      </c>
      <c r="E17" s="15">
        <f t="shared" si="0"/>
        <v>0</v>
      </c>
      <c r="F17" s="16" t="str">
        <f t="shared" si="4"/>
        <v/>
      </c>
      <c r="G17" s="17"/>
      <c r="H17" s="17" t="str">
        <f t="shared" si="1"/>
        <v/>
      </c>
      <c r="I17" s="16" t="str">
        <f t="shared" si="5"/>
        <v/>
      </c>
      <c r="J17" s="39"/>
      <c r="K17" s="39"/>
    </row>
    <row r="18" spans="1:11" ht="12.75" customHeight="1">
      <c r="A18" s="25" t="str">
        <v xml:space="preserve"> Victorville - Bank of America</v>
      </c>
      <c r="B18" s="26" t="str">
        <v>CA</v>
      </c>
      <c r="C18" s="21"/>
      <c r="D18" s="11"/>
      <c r="E18" s="11" t="str">
        <f t="shared" si="0"/>
        <v/>
      </c>
      <c r="F18" s="12"/>
      <c r="G18" s="13"/>
      <c r="H18" s="13" t="str">
        <f t="shared" si="1"/>
        <v/>
      </c>
      <c r="I18" s="14"/>
      <c r="J18" s="38"/>
      <c r="K18" s="38"/>
    </row>
    <row r="19" spans="1:11" ht="15.75">
      <c r="A19" s="27" t="str">
        <v xml:space="preserve"> Aurora - BA - Colfax Ave</v>
      </c>
      <c r="B19" s="28" t="str">
        <v>CO</v>
      </c>
      <c r="C19" s="10"/>
      <c r="D19" s="15"/>
      <c r="E19" s="15" t="str">
        <f t="shared" si="0"/>
        <v/>
      </c>
      <c r="F19" s="16"/>
      <c r="G19" s="17"/>
      <c r="H19" s="17" t="str">
        <f t="shared" si="1"/>
        <v/>
      </c>
      <c r="I19" s="16"/>
      <c r="J19" s="39"/>
      <c r="K19" s="40"/>
    </row>
    <row r="20" spans="1:11" ht="15.75">
      <c r="A20" s="25" t="str">
        <v xml:space="preserve"> Aurora - BA - Parker Rd</v>
      </c>
      <c r="B20" s="26" t="str">
        <v>CO</v>
      </c>
      <c r="C20" s="21"/>
      <c r="D20" s="11"/>
      <c r="E20" s="11" t="str">
        <f t="shared" si="0"/>
        <v/>
      </c>
      <c r="F20" s="12"/>
      <c r="G20" s="13"/>
      <c r="H20" s="13" t="str">
        <f t="shared" si="1"/>
        <v/>
      </c>
      <c r="I20" s="14"/>
      <c r="J20" s="38"/>
      <c r="K20" s="38"/>
    </row>
    <row r="21" spans="1:11" ht="15.75">
      <c r="A21" s="27" t="str">
        <v xml:space="preserve"> Broomfield - Bank of America</v>
      </c>
      <c r="B21" s="28" t="str">
        <v>CO</v>
      </c>
      <c r="C21" s="10"/>
      <c r="D21" s="15"/>
      <c r="E21" s="15" t="str">
        <f t="shared" si="0"/>
        <v/>
      </c>
      <c r="F21" s="16"/>
      <c r="G21" s="17"/>
      <c r="H21" s="17" t="str">
        <f t="shared" si="1"/>
        <v/>
      </c>
      <c r="I21" s="16"/>
      <c r="J21" s="39"/>
      <c r="K21" s="40"/>
    </row>
    <row r="22" spans="1:11" ht="15.75">
      <c r="A22" s="25" t="str">
        <v xml:space="preserve"> Colorado Springs - Bank of America</v>
      </c>
      <c r="B22" s="26" t="str">
        <v>CO</v>
      </c>
      <c r="C22" s="21"/>
      <c r="D22" s="11"/>
      <c r="E22" s="11" t="str">
        <f t="shared" si="0"/>
        <v/>
      </c>
      <c r="F22" s="12"/>
      <c r="G22" s="13"/>
      <c r="H22" s="13" t="str">
        <f t="shared" si="1"/>
        <v/>
      </c>
      <c r="I22" s="14"/>
      <c r="J22" s="38"/>
      <c r="K22" s="38"/>
    </row>
    <row r="23" spans="1:11" ht="15.75">
      <c r="A23" s="27" t="str">
        <v xml:space="preserve"> Denver - BA - 49th Ave</v>
      </c>
      <c r="B23" s="28" t="str">
        <v>CO</v>
      </c>
      <c r="C23" s="10"/>
      <c r="D23" s="15"/>
      <c r="E23" s="15" t="str">
        <f t="shared" si="0"/>
        <v/>
      </c>
      <c r="F23" s="16"/>
      <c r="G23" s="17"/>
      <c r="H23" s="17" t="str">
        <f t="shared" si="1"/>
        <v/>
      </c>
      <c r="I23" s="16"/>
      <c r="J23" s="39"/>
      <c r="K23" s="40"/>
    </row>
    <row r="24" spans="1:11" ht="15.75">
      <c r="A24" s="25" t="str">
        <v xml:space="preserve"> Denver - BA Wadsworth Blvd</v>
      </c>
      <c r="B24" s="26" t="str">
        <v>CO</v>
      </c>
      <c r="C24" s="21"/>
      <c r="D24" s="11"/>
      <c r="E24" s="11" t="str">
        <f t="shared" si="0"/>
        <v/>
      </c>
      <c r="F24" s="12"/>
      <c r="G24" s="13"/>
      <c r="H24" s="13" t="str">
        <f t="shared" si="1"/>
        <v/>
      </c>
      <c r="I24" s="14"/>
      <c r="J24" s="38"/>
      <c r="K24" s="38"/>
    </row>
    <row r="25" spans="1:11" ht="15.75">
      <c r="A25" s="27" t="str">
        <v xml:space="preserve"> Fort Collins - Bank of America</v>
      </c>
      <c r="B25" s="28" t="str">
        <v>CO</v>
      </c>
      <c r="C25" s="10"/>
      <c r="D25" s="15"/>
      <c r="E25" s="15" t="str">
        <f t="shared" si="0"/>
        <v/>
      </c>
      <c r="F25" s="16"/>
      <c r="G25" s="17"/>
      <c r="H25" s="17" t="str">
        <f t="shared" si="1"/>
        <v/>
      </c>
      <c r="I25" s="16"/>
      <c r="J25" s="39"/>
      <c r="K25" s="40"/>
    </row>
    <row r="26" spans="1:11" ht="15.75">
      <c r="A26" s="25" t="str">
        <v xml:space="preserve"> Lafayette - Bank of America</v>
      </c>
      <c r="B26" s="26" t="str">
        <v>CO</v>
      </c>
      <c r="C26" s="21"/>
      <c r="D26" s="11"/>
      <c r="E26" s="11" t="str">
        <f t="shared" si="0"/>
        <v/>
      </c>
      <c r="F26" s="12"/>
      <c r="G26" s="13"/>
      <c r="H26" s="13" t="str">
        <f t="shared" si="1"/>
        <v/>
      </c>
      <c r="I26" s="14"/>
      <c r="J26" s="38"/>
      <c r="K26" s="38"/>
    </row>
    <row r="27" spans="1:11" ht="15.75">
      <c r="A27" s="27" t="str">
        <v xml:space="preserve"> Lakewood - Bank of America</v>
      </c>
      <c r="B27" s="28" t="str">
        <v>CO</v>
      </c>
      <c r="C27" s="10"/>
      <c r="D27" s="15"/>
      <c r="E27" s="15" t="str">
        <f t="shared" si="0"/>
        <v/>
      </c>
      <c r="F27" s="16"/>
      <c r="G27" s="17"/>
      <c r="H27" s="17" t="str">
        <f t="shared" si="1"/>
        <v/>
      </c>
      <c r="I27" s="16"/>
      <c r="J27" s="39"/>
      <c r="K27" s="40"/>
    </row>
    <row r="28" spans="1:11" ht="15.75">
      <c r="A28" s="25" t="str">
        <v xml:space="preserve"> Longmont - Bank of America</v>
      </c>
      <c r="B28" s="26" t="str">
        <v>CO</v>
      </c>
      <c r="C28" s="21"/>
      <c r="D28" s="11"/>
      <c r="E28" s="11" t="str">
        <f t="shared" si="0"/>
        <v/>
      </c>
      <c r="F28" s="12"/>
      <c r="G28" s="13"/>
      <c r="H28" s="13" t="str">
        <f t="shared" si="1"/>
        <v/>
      </c>
      <c r="I28" s="14"/>
      <c r="J28" s="38"/>
      <c r="K28" s="38"/>
    </row>
    <row r="29" spans="1:11" ht="15.75">
      <c r="A29" s="27" t="str">
        <v xml:space="preserve"> Thornton - Bank of America</v>
      </c>
      <c r="B29" s="28" t="str">
        <v>CO</v>
      </c>
      <c r="C29" s="10"/>
      <c r="D29" s="15"/>
      <c r="E29" s="15" t="str">
        <f t="shared" si="0"/>
        <v/>
      </c>
      <c r="F29" s="16"/>
      <c r="G29" s="17"/>
      <c r="H29" s="17" t="str">
        <f t="shared" si="1"/>
        <v/>
      </c>
      <c r="I29" s="16"/>
      <c r="J29" s="39"/>
      <c r="K29" s="39"/>
    </row>
    <row r="30" spans="1:11" ht="15.75">
      <c r="A30" s="25" t="str">
        <v xml:space="preserve"> Calumet City - Bank of America</v>
      </c>
      <c r="B30" s="26" t="str">
        <v>IL</v>
      </c>
      <c r="C30" s="21"/>
      <c r="D30" s="11"/>
      <c r="E30" s="11" t="str">
        <f t="shared" si="0"/>
        <v/>
      </c>
      <c r="F30" s="12"/>
      <c r="G30" s="13"/>
      <c r="H30" s="13" t="str">
        <f t="shared" si="1"/>
        <v/>
      </c>
      <c r="I30" s="14"/>
      <c r="J30" s="38"/>
      <c r="K30" s="38"/>
    </row>
    <row r="31" spans="1:11" ht="15.75">
      <c r="A31" s="27" t="str">
        <v xml:space="preserve"> Downers Grove - Bank of America</v>
      </c>
      <c r="B31" s="28" t="str">
        <v>IL</v>
      </c>
      <c r="C31" s="10"/>
      <c r="D31" s="15"/>
      <c r="E31" s="15" t="str">
        <f t="shared" si="0"/>
        <v/>
      </c>
      <c r="F31" s="16"/>
      <c r="G31" s="17"/>
      <c r="H31" s="17" t="str">
        <f t="shared" si="1"/>
        <v/>
      </c>
      <c r="I31" s="16"/>
      <c r="J31" s="39"/>
      <c r="K31" s="40"/>
    </row>
    <row r="32" spans="1:11" ht="15.75">
      <c r="A32" s="25" t="str">
        <v xml:space="preserve"> Bloomington - Bank of America</v>
      </c>
      <c r="B32" s="26" t="str">
        <v>MN</v>
      </c>
      <c r="C32" s="21"/>
      <c r="D32" s="11"/>
      <c r="E32" s="11" t="str">
        <f t="shared" si="0"/>
        <v/>
      </c>
      <c r="F32" s="12"/>
      <c r="G32" s="13"/>
      <c r="H32" s="13" t="str">
        <f t="shared" si="1"/>
        <v/>
      </c>
      <c r="I32" s="14"/>
      <c r="J32" s="38"/>
      <c r="K32" s="38"/>
    </row>
    <row r="33" spans="1:11" ht="15.75">
      <c r="A33" s="27" t="str">
        <v xml:space="preserve"> Clayton - Bank of America</v>
      </c>
      <c r="B33" s="28" t="str">
        <v>MO</v>
      </c>
      <c r="C33" s="10"/>
      <c r="D33" s="15"/>
      <c r="E33" s="15" t="str">
        <f t="shared" si="0"/>
        <v/>
      </c>
      <c r="F33" s="16"/>
      <c r="G33" s="17"/>
      <c r="H33" s="17" t="str">
        <f t="shared" si="1"/>
        <v/>
      </c>
      <c r="I33" s="16"/>
      <c r="J33" s="39"/>
      <c r="K33" s="40"/>
    </row>
    <row r="34" spans="1:11" ht="15.75">
      <c r="A34" s="25" t="str">
        <v xml:space="preserve"> Manchester - Bank of America</v>
      </c>
      <c r="B34" s="26" t="str">
        <v>MO</v>
      </c>
      <c r="C34" s="21"/>
      <c r="D34" s="11"/>
      <c r="E34" s="11" t="str">
        <f t="shared" si="0"/>
        <v/>
      </c>
      <c r="F34" s="12"/>
      <c r="G34" s="13"/>
      <c r="H34" s="13" t="str">
        <f t="shared" si="1"/>
        <v/>
      </c>
      <c r="I34" s="14"/>
      <c r="J34" s="38"/>
      <c r="K34" s="38"/>
    </row>
    <row r="35" spans="1:11" ht="15.75">
      <c r="A35" s="27" t="str">
        <v xml:space="preserve"> Las Vegas - BA - Eastern Ave</v>
      </c>
      <c r="B35" s="28" t="str">
        <v>NV</v>
      </c>
      <c r="C35" s="10"/>
      <c r="D35" s="15"/>
      <c r="E35" s="15" t="str">
        <f t="shared" si="0"/>
        <v/>
      </c>
      <c r="F35" s="16"/>
      <c r="G35" s="17"/>
      <c r="H35" s="17" t="str">
        <f t="shared" si="1"/>
        <v/>
      </c>
      <c r="I35" s="16"/>
      <c r="J35" s="39"/>
      <c r="K35" s="40"/>
    </row>
    <row r="36" spans="1:11" ht="15.75">
      <c r="A36" s="25" t="str">
        <v xml:space="preserve"> Las Vegas - BA - Town Ctr Dr</v>
      </c>
      <c r="B36" s="26" t="str">
        <v>NV</v>
      </c>
      <c r="C36" s="21"/>
      <c r="D36" s="11"/>
      <c r="E36" s="11" t="str">
        <f t="shared" si="0"/>
        <v/>
      </c>
      <c r="F36" s="12"/>
      <c r="G36" s="13"/>
      <c r="H36" s="13" t="str">
        <f t="shared" si="1"/>
        <v/>
      </c>
      <c r="I36" s="14"/>
      <c r="J36" s="38"/>
      <c r="K36" s="38"/>
    </row>
    <row r="37" spans="1:11" ht="15.75">
      <c r="A37" s="27" t="str">
        <v xml:space="preserve"> Riverton - Bank of America</v>
      </c>
      <c r="B37" s="28" t="str">
        <v>UT</v>
      </c>
      <c r="C37" s="10"/>
      <c r="D37" s="15"/>
      <c r="E37" s="15" t="str">
        <f t="shared" si="0"/>
        <v/>
      </c>
      <c r="F37" s="16"/>
      <c r="G37" s="17"/>
      <c r="H37" s="17" t="str">
        <f t="shared" si="1"/>
        <v/>
      </c>
      <c r="I37" s="16"/>
      <c r="J37" s="39"/>
      <c r="K37" s="40"/>
    </row>
    <row r="38" spans="1:11" ht="15.75">
      <c r="A38" s="25" t="str">
        <v xml:space="preserve"> Salt Lake City - Bank of America</v>
      </c>
      <c r="B38" s="26" t="str">
        <v>UT</v>
      </c>
      <c r="C38" s="21"/>
      <c r="D38" s="11"/>
      <c r="E38" s="11" t="str">
        <f t="shared" si="0"/>
        <v/>
      </c>
      <c r="F38" s="12"/>
      <c r="G38" s="13"/>
      <c r="H38" s="13" t="str">
        <f t="shared" si="1"/>
        <v/>
      </c>
      <c r="I38" s="14"/>
      <c r="J38" s="38"/>
      <c r="K38" s="38"/>
    </row>
    <row r="39" spans="1:11" ht="13.15">
      <c r="A39" s="18"/>
      <c r="B39" s="18"/>
      <c r="C39" s="18"/>
      <c r="D39" s="18"/>
      <c r="E39" s="18"/>
      <c r="F39" s="19"/>
      <c r="G39" s="18"/>
      <c r="H39" s="18"/>
      <c r="I39" s="19"/>
    </row>
    <row r="40" spans="1:11" ht="13.15">
      <c r="A40" s="18"/>
      <c r="B40" s="18"/>
      <c r="C40" s="18"/>
      <c r="D40" s="18"/>
      <c r="E40" s="18"/>
      <c r="F40" s="19"/>
      <c r="G40" s="18"/>
      <c r="H40" s="18"/>
      <c r="I40" s="19"/>
    </row>
    <row r="41" spans="1:11" ht="13.15">
      <c r="A41" s="18"/>
      <c r="B41" s="18"/>
      <c r="C41" s="18"/>
      <c r="D41" s="18"/>
      <c r="E41" s="18"/>
      <c r="F41" s="19"/>
      <c r="G41" s="18"/>
      <c r="H41" s="18"/>
      <c r="I41" s="19"/>
    </row>
    <row r="42" spans="1:11" ht="13.15">
      <c r="A42" s="18"/>
      <c r="B42" s="18"/>
      <c r="C42" s="18"/>
      <c r="D42" s="18"/>
      <c r="E42" s="18"/>
      <c r="F42" s="19"/>
      <c r="G42" s="18"/>
      <c r="H42" s="18"/>
      <c r="I42" s="19"/>
    </row>
    <row r="43" spans="1:11" ht="13.15">
      <c r="A43" s="18"/>
      <c r="B43" s="18"/>
      <c r="C43" s="18"/>
      <c r="D43" s="18"/>
      <c r="E43" s="18"/>
      <c r="F43" s="19"/>
      <c r="G43" s="18"/>
      <c r="H43" s="18"/>
      <c r="I43" s="19"/>
    </row>
    <row r="44" spans="1:11" ht="13.15">
      <c r="A44" s="18"/>
      <c r="B44" s="18"/>
      <c r="C44" s="18"/>
      <c r="D44" s="18"/>
      <c r="E44" s="18"/>
      <c r="F44" s="19"/>
      <c r="G44" s="18"/>
      <c r="H44" s="18"/>
      <c r="I44" s="19"/>
    </row>
    <row r="45" spans="1:11" ht="13.15">
      <c r="A45" s="18"/>
      <c r="B45" s="18"/>
      <c r="C45" s="18"/>
      <c r="D45" s="18"/>
      <c r="E45" s="18"/>
      <c r="F45" s="19"/>
      <c r="G45" s="18"/>
      <c r="H45" s="18"/>
      <c r="I45" s="19"/>
    </row>
    <row r="46" spans="1:11" ht="13.15">
      <c r="A46" s="18"/>
      <c r="B46" s="18"/>
      <c r="C46" s="18"/>
      <c r="D46" s="18"/>
      <c r="E46" s="18"/>
      <c r="F46" s="19"/>
      <c r="G46" s="18"/>
      <c r="H46" s="18"/>
      <c r="I46" s="19"/>
    </row>
    <row r="47" spans="1:11" ht="13.15">
      <c r="A47" s="18"/>
      <c r="B47" s="18"/>
      <c r="C47" s="18"/>
      <c r="D47" s="18"/>
      <c r="E47" s="18"/>
      <c r="F47" s="19"/>
      <c r="G47" s="18"/>
      <c r="H47" s="18"/>
      <c r="I47" s="19"/>
    </row>
    <row r="48" spans="1:11" ht="13.15">
      <c r="A48" s="18"/>
      <c r="B48" s="18"/>
      <c r="C48" s="18"/>
      <c r="D48" s="18"/>
      <c r="E48" s="18"/>
      <c r="F48" s="19"/>
      <c r="G48" s="18"/>
      <c r="H48" s="18"/>
      <c r="I48" s="19"/>
    </row>
    <row r="49" spans="1:9" ht="13.15">
      <c r="A49" s="18"/>
      <c r="B49" s="18"/>
      <c r="C49" s="18"/>
      <c r="D49" s="18"/>
      <c r="E49" s="18"/>
      <c r="F49" s="19"/>
      <c r="G49" s="18"/>
      <c r="H49" s="18"/>
      <c r="I49" s="19"/>
    </row>
    <row r="50" spans="1:9" ht="13.15">
      <c r="A50" s="18"/>
      <c r="B50" s="18"/>
      <c r="C50" s="18"/>
      <c r="D50" s="18"/>
      <c r="E50" s="18"/>
      <c r="F50" s="19"/>
      <c r="G50" s="18"/>
      <c r="H50" s="18"/>
      <c r="I50" s="19"/>
    </row>
    <row r="51" spans="1:9" ht="13.15">
      <c r="A51" s="18"/>
      <c r="B51" s="18"/>
      <c r="C51" s="18"/>
      <c r="D51" s="18"/>
      <c r="E51" s="18"/>
      <c r="F51" s="19"/>
      <c r="G51" s="18"/>
      <c r="H51" s="18"/>
      <c r="I51" s="19"/>
    </row>
    <row r="52" spans="1:9" ht="13.15">
      <c r="A52" s="18"/>
      <c r="B52" s="18"/>
      <c r="C52" s="18"/>
      <c r="D52" s="18"/>
      <c r="E52" s="18"/>
      <c r="F52" s="19"/>
      <c r="G52" s="18"/>
      <c r="H52" s="18"/>
      <c r="I52" s="19"/>
    </row>
    <row r="53" spans="1:9" ht="13.15">
      <c r="A53" s="18"/>
      <c r="B53" s="18"/>
      <c r="C53" s="18"/>
      <c r="D53" s="18"/>
      <c r="E53" s="18"/>
      <c r="F53" s="19"/>
      <c r="G53" s="18"/>
      <c r="H53" s="18"/>
      <c r="I53" s="19"/>
    </row>
    <row r="54" spans="1:9" ht="13.15">
      <c r="A54" s="18"/>
      <c r="B54" s="18"/>
      <c r="C54" s="18"/>
      <c r="D54" s="18"/>
      <c r="E54" s="18"/>
      <c r="F54" s="19"/>
      <c r="G54" s="18"/>
      <c r="H54" s="18"/>
      <c r="I54" s="19"/>
    </row>
    <row r="55" spans="1:9" ht="13.15">
      <c r="A55" s="18"/>
      <c r="B55" s="18"/>
      <c r="C55" s="18"/>
      <c r="D55" s="18"/>
      <c r="E55" s="18"/>
      <c r="F55" s="19"/>
      <c r="G55" s="18"/>
      <c r="H55" s="18"/>
      <c r="I55" s="19"/>
    </row>
    <row r="56" spans="1:9" ht="13.15">
      <c r="A56" s="18"/>
      <c r="B56" s="18"/>
      <c r="C56" s="18"/>
      <c r="D56" s="18"/>
      <c r="E56" s="18"/>
      <c r="F56" s="19"/>
      <c r="G56" s="18"/>
      <c r="H56" s="18"/>
      <c r="I56" s="19"/>
    </row>
    <row r="57" spans="1:9" ht="13.15">
      <c r="A57" s="18"/>
      <c r="B57" s="18"/>
      <c r="C57" s="18"/>
      <c r="D57" s="18"/>
      <c r="E57" s="18"/>
      <c r="F57" s="19"/>
      <c r="G57" s="18"/>
      <c r="H57" s="18"/>
      <c r="I57" s="19"/>
    </row>
    <row r="58" spans="1:9" ht="13.15">
      <c r="A58" s="18"/>
      <c r="B58" s="18"/>
      <c r="C58" s="18"/>
      <c r="D58" s="18"/>
      <c r="E58" s="18"/>
      <c r="F58" s="19"/>
      <c r="G58" s="18"/>
      <c r="H58" s="18"/>
      <c r="I58" s="19"/>
    </row>
    <row r="59" spans="1:9" ht="13.15">
      <c r="A59" s="18"/>
      <c r="B59" s="18"/>
      <c r="C59" s="18"/>
      <c r="D59" s="18"/>
      <c r="E59" s="18"/>
      <c r="F59" s="19"/>
      <c r="G59" s="18"/>
      <c r="H59" s="18"/>
      <c r="I59" s="19"/>
    </row>
    <row r="60" spans="1:9" ht="13.15">
      <c r="A60" s="18"/>
      <c r="B60" s="18"/>
      <c r="C60" s="18"/>
      <c r="D60" s="18"/>
      <c r="E60" s="18"/>
      <c r="F60" s="19"/>
      <c r="G60" s="18"/>
      <c r="H60" s="18"/>
      <c r="I60" s="19"/>
    </row>
    <row r="61" spans="1:9" ht="13.15">
      <c r="A61" s="18"/>
      <c r="B61" s="18"/>
      <c r="C61" s="18"/>
      <c r="D61" s="18"/>
      <c r="E61" s="18"/>
      <c r="F61" s="19"/>
      <c r="G61" s="18"/>
      <c r="H61" s="18"/>
      <c r="I61" s="19"/>
    </row>
    <row r="62" spans="1:9" ht="13.15">
      <c r="A62" s="18"/>
      <c r="B62" s="18"/>
      <c r="C62" s="18"/>
      <c r="D62" s="18"/>
      <c r="E62" s="18"/>
      <c r="F62" s="19"/>
      <c r="G62" s="18"/>
      <c r="H62" s="18"/>
      <c r="I62" s="19"/>
    </row>
    <row r="63" spans="1:9" ht="13.15">
      <c r="A63" s="18"/>
      <c r="B63" s="18"/>
      <c r="C63" s="18"/>
      <c r="D63" s="18"/>
      <c r="E63" s="18"/>
      <c r="F63" s="19"/>
      <c r="G63" s="18"/>
      <c r="H63" s="18"/>
      <c r="I63" s="19"/>
    </row>
    <row r="64" spans="1:9" ht="13.15">
      <c r="A64" s="18"/>
      <c r="B64" s="18"/>
      <c r="C64" s="18"/>
      <c r="D64" s="18"/>
      <c r="E64" s="18"/>
      <c r="F64" s="19"/>
      <c r="G64" s="18"/>
      <c r="H64" s="18"/>
      <c r="I64" s="19"/>
    </row>
    <row r="65" spans="1:9" ht="13.15">
      <c r="A65" s="18"/>
      <c r="B65" s="18"/>
      <c r="C65" s="18"/>
      <c r="D65" s="18"/>
      <c r="E65" s="18"/>
      <c r="F65" s="19"/>
      <c r="G65" s="18"/>
      <c r="H65" s="18"/>
      <c r="I65" s="19"/>
    </row>
    <row r="66" spans="1:9" ht="13.15">
      <c r="A66" s="18"/>
      <c r="B66" s="18"/>
      <c r="C66" s="18"/>
      <c r="D66" s="18"/>
      <c r="E66" s="18"/>
      <c r="F66" s="19"/>
      <c r="G66" s="18"/>
      <c r="H66" s="18"/>
      <c r="I66" s="19"/>
    </row>
    <row r="67" spans="1:9" ht="13.15">
      <c r="A67" s="18"/>
      <c r="B67" s="18"/>
      <c r="C67" s="18"/>
      <c r="D67" s="18"/>
      <c r="E67" s="18"/>
      <c r="F67" s="19"/>
      <c r="G67" s="18"/>
      <c r="H67" s="18"/>
      <c r="I67" s="19"/>
    </row>
    <row r="68" spans="1:9" ht="13.15">
      <c r="A68" s="18"/>
      <c r="B68" s="18"/>
      <c r="C68" s="18"/>
      <c r="D68" s="18"/>
      <c r="E68" s="18"/>
      <c r="F68" s="19"/>
      <c r="G68" s="18"/>
      <c r="H68" s="18"/>
      <c r="I68" s="19"/>
    </row>
    <row r="69" spans="1:9" ht="13.15">
      <c r="A69" s="18"/>
      <c r="B69" s="18"/>
      <c r="C69" s="18"/>
      <c r="D69" s="18"/>
      <c r="E69" s="18"/>
      <c r="F69" s="19"/>
      <c r="G69" s="18"/>
      <c r="H69" s="18"/>
      <c r="I69" s="19"/>
    </row>
    <row r="70" spans="1:9" ht="13.15">
      <c r="A70" s="18"/>
      <c r="B70" s="18"/>
      <c r="C70" s="18"/>
      <c r="D70" s="18"/>
      <c r="E70" s="18"/>
      <c r="F70" s="19"/>
      <c r="G70" s="18"/>
      <c r="H70" s="18"/>
      <c r="I70" s="19"/>
    </row>
    <row r="71" spans="1:9" ht="13.15">
      <c r="A71" s="18"/>
      <c r="B71" s="18"/>
      <c r="C71" s="18"/>
      <c r="D71" s="18"/>
      <c r="E71" s="18"/>
      <c r="F71" s="19"/>
      <c r="G71" s="18"/>
      <c r="H71" s="18"/>
      <c r="I71" s="19"/>
    </row>
    <row r="72" spans="1:9" ht="13.15">
      <c r="A72" s="18"/>
      <c r="B72" s="18"/>
      <c r="C72" s="18"/>
      <c r="D72" s="18"/>
      <c r="E72" s="18"/>
      <c r="F72" s="19"/>
      <c r="G72" s="18"/>
      <c r="H72" s="18"/>
      <c r="I72" s="19"/>
    </row>
    <row r="73" spans="1:9" ht="13.15">
      <c r="A73" s="18"/>
      <c r="B73" s="18"/>
      <c r="C73" s="18"/>
      <c r="D73" s="18"/>
      <c r="E73" s="18"/>
      <c r="F73" s="19"/>
      <c r="G73" s="18"/>
      <c r="H73" s="18"/>
      <c r="I73" s="19"/>
    </row>
    <row r="74" spans="1:9" ht="13.15">
      <c r="A74" s="18"/>
      <c r="B74" s="18"/>
      <c r="C74" s="18"/>
      <c r="D74" s="18"/>
      <c r="E74" s="18"/>
      <c r="F74" s="19"/>
      <c r="G74" s="18"/>
      <c r="H74" s="18"/>
      <c r="I74" s="19"/>
    </row>
    <row r="75" spans="1:9" ht="13.15">
      <c r="A75" s="18"/>
      <c r="B75" s="18"/>
      <c r="C75" s="18"/>
      <c r="D75" s="18"/>
      <c r="E75" s="18"/>
      <c r="F75" s="19"/>
      <c r="G75" s="18"/>
      <c r="H75" s="18"/>
      <c r="I75" s="19"/>
    </row>
    <row r="76" spans="1:9" ht="13.15">
      <c r="A76" s="18"/>
      <c r="B76" s="18"/>
      <c r="C76" s="18"/>
      <c r="D76" s="18"/>
      <c r="E76" s="18"/>
      <c r="F76" s="19"/>
      <c r="G76" s="18"/>
      <c r="H76" s="18"/>
      <c r="I76" s="19"/>
    </row>
    <row r="77" spans="1:9" ht="13.15">
      <c r="A77" s="18"/>
      <c r="B77" s="18"/>
      <c r="C77" s="18"/>
      <c r="D77" s="18"/>
      <c r="E77" s="18"/>
      <c r="F77" s="19"/>
      <c r="G77" s="18"/>
      <c r="H77" s="18"/>
      <c r="I77" s="19"/>
    </row>
    <row r="78" spans="1:9" ht="13.15">
      <c r="A78" s="18"/>
      <c r="B78" s="18"/>
      <c r="C78" s="18"/>
      <c r="D78" s="18"/>
      <c r="E78" s="18"/>
      <c r="F78" s="19"/>
      <c r="G78" s="18"/>
      <c r="H78" s="18"/>
      <c r="I78" s="19"/>
    </row>
    <row r="79" spans="1:9" ht="13.15">
      <c r="A79" s="18"/>
      <c r="B79" s="18"/>
      <c r="C79" s="18"/>
      <c r="D79" s="18"/>
      <c r="E79" s="18"/>
      <c r="F79" s="19"/>
      <c r="G79" s="18"/>
      <c r="H79" s="18"/>
      <c r="I79" s="19"/>
    </row>
    <row r="80" spans="1:9" ht="13.15">
      <c r="A80" s="18"/>
      <c r="B80" s="18"/>
      <c r="C80" s="18"/>
      <c r="D80" s="18"/>
      <c r="E80" s="18"/>
      <c r="F80" s="19"/>
      <c r="G80" s="18"/>
      <c r="H80" s="18"/>
      <c r="I80" s="19"/>
    </row>
    <row r="81" spans="1:9" ht="13.15">
      <c r="A81" s="18"/>
      <c r="B81" s="18"/>
      <c r="C81" s="18"/>
      <c r="D81" s="18"/>
      <c r="E81" s="18"/>
      <c r="F81" s="19"/>
      <c r="G81" s="18"/>
      <c r="H81" s="18"/>
      <c r="I81" s="19"/>
    </row>
    <row r="82" spans="1:9" ht="13.15">
      <c r="A82" s="18"/>
      <c r="B82" s="18"/>
      <c r="C82" s="18"/>
      <c r="D82" s="18"/>
      <c r="E82" s="18"/>
      <c r="F82" s="19"/>
      <c r="G82" s="18"/>
      <c r="H82" s="18"/>
      <c r="I82" s="19"/>
    </row>
    <row r="83" spans="1:9" ht="13.15">
      <c r="A83" s="18"/>
      <c r="B83" s="18"/>
      <c r="C83" s="18"/>
      <c r="D83" s="18"/>
      <c r="E83" s="18"/>
      <c r="F83" s="19"/>
      <c r="G83" s="18"/>
      <c r="H83" s="18"/>
      <c r="I83" s="19"/>
    </row>
    <row r="84" spans="1:9" ht="13.15">
      <c r="A84" s="18"/>
      <c r="B84" s="18"/>
      <c r="C84" s="18"/>
      <c r="D84" s="18"/>
      <c r="E84" s="18"/>
      <c r="F84" s="19"/>
      <c r="G84" s="18"/>
      <c r="H84" s="18"/>
      <c r="I84" s="19"/>
    </row>
    <row r="85" spans="1:9" ht="13.15">
      <c r="A85" s="18"/>
      <c r="B85" s="18"/>
      <c r="C85" s="18"/>
      <c r="D85" s="18"/>
      <c r="E85" s="18"/>
      <c r="F85" s="19"/>
      <c r="G85" s="18"/>
      <c r="H85" s="18"/>
      <c r="I85" s="19"/>
    </row>
    <row r="86" spans="1:9" ht="13.15">
      <c r="A86" s="18"/>
      <c r="B86" s="18"/>
      <c r="C86" s="18"/>
      <c r="D86" s="18"/>
      <c r="E86" s="18"/>
      <c r="F86" s="19"/>
      <c r="G86" s="18"/>
      <c r="H86" s="18"/>
      <c r="I86" s="19"/>
    </row>
    <row r="87" spans="1:9" ht="13.15">
      <c r="A87" s="18"/>
      <c r="B87" s="18"/>
      <c r="C87" s="18"/>
      <c r="D87" s="18"/>
      <c r="E87" s="18"/>
      <c r="F87" s="19"/>
      <c r="G87" s="18"/>
      <c r="H87" s="18"/>
      <c r="I87" s="19"/>
    </row>
    <row r="88" spans="1:9" ht="13.15">
      <c r="A88" s="18"/>
      <c r="B88" s="18"/>
      <c r="C88" s="18"/>
      <c r="D88" s="18"/>
      <c r="E88" s="18"/>
      <c r="F88" s="19"/>
      <c r="G88" s="18"/>
      <c r="H88" s="18"/>
      <c r="I88" s="19"/>
    </row>
    <row r="89" spans="1:9" ht="13.15">
      <c r="A89" s="18"/>
      <c r="B89" s="18"/>
      <c r="C89" s="18"/>
      <c r="D89" s="18"/>
      <c r="E89" s="18"/>
      <c r="F89" s="19"/>
      <c r="G89" s="18"/>
      <c r="H89" s="18"/>
      <c r="I89" s="19"/>
    </row>
    <row r="90" spans="1:9" ht="13.15">
      <c r="A90" s="18"/>
      <c r="B90" s="18"/>
      <c r="C90" s="18"/>
      <c r="D90" s="18"/>
      <c r="E90" s="18"/>
      <c r="F90" s="19"/>
      <c r="G90" s="18"/>
      <c r="H90" s="18"/>
      <c r="I90" s="19"/>
    </row>
    <row r="91" spans="1:9" ht="13.15">
      <c r="A91" s="18"/>
      <c r="B91" s="18"/>
      <c r="C91" s="18"/>
      <c r="D91" s="18"/>
      <c r="E91" s="18"/>
      <c r="F91" s="19"/>
      <c r="G91" s="18"/>
      <c r="H91" s="18"/>
      <c r="I91" s="19"/>
    </row>
    <row r="92" spans="1:9" ht="13.15">
      <c r="A92" s="18"/>
      <c r="B92" s="18"/>
      <c r="C92" s="18"/>
      <c r="D92" s="18"/>
      <c r="E92" s="18"/>
      <c r="F92" s="19"/>
      <c r="G92" s="18"/>
      <c r="H92" s="18"/>
      <c r="I92" s="19"/>
    </row>
    <row r="93" spans="1:9" ht="13.15">
      <c r="A93" s="18"/>
      <c r="B93" s="18"/>
      <c r="C93" s="18"/>
      <c r="D93" s="18"/>
      <c r="E93" s="18"/>
      <c r="F93" s="19"/>
      <c r="G93" s="18"/>
      <c r="H93" s="18"/>
      <c r="I93" s="19"/>
    </row>
    <row r="94" spans="1:9" ht="13.15">
      <c r="A94" s="18"/>
      <c r="B94" s="18"/>
      <c r="C94" s="18"/>
      <c r="D94" s="18"/>
      <c r="E94" s="18"/>
      <c r="F94" s="19"/>
      <c r="G94" s="18"/>
      <c r="H94" s="18"/>
      <c r="I94" s="19"/>
    </row>
    <row r="95" spans="1:9" ht="13.15">
      <c r="A95" s="18"/>
      <c r="B95" s="18"/>
      <c r="C95" s="18"/>
      <c r="D95" s="18"/>
      <c r="E95" s="18"/>
      <c r="F95" s="19"/>
      <c r="G95" s="18"/>
      <c r="H95" s="18"/>
      <c r="I95" s="19"/>
    </row>
    <row r="96" spans="1:9" ht="13.15">
      <c r="A96" s="18"/>
      <c r="B96" s="18"/>
      <c r="C96" s="18"/>
      <c r="D96" s="18"/>
      <c r="E96" s="18"/>
      <c r="F96" s="19"/>
      <c r="G96" s="18"/>
      <c r="H96" s="18"/>
      <c r="I96" s="19"/>
    </row>
    <row r="97" spans="1:9" ht="13.15">
      <c r="A97" s="18"/>
      <c r="B97" s="18"/>
      <c r="C97" s="18"/>
      <c r="D97" s="18"/>
      <c r="E97" s="18"/>
      <c r="F97" s="19"/>
      <c r="G97" s="18"/>
      <c r="H97" s="18"/>
      <c r="I97" s="19"/>
    </row>
    <row r="98" spans="1:9" ht="13.15">
      <c r="A98" s="18"/>
      <c r="B98" s="18"/>
      <c r="C98" s="18"/>
      <c r="D98" s="18"/>
      <c r="E98" s="18"/>
      <c r="F98" s="19"/>
      <c r="G98" s="18"/>
      <c r="H98" s="18"/>
      <c r="I98" s="19"/>
    </row>
    <row r="99" spans="1:9" ht="13.15">
      <c r="A99" s="18"/>
      <c r="B99" s="18"/>
      <c r="C99" s="18"/>
      <c r="D99" s="18"/>
      <c r="E99" s="18"/>
      <c r="F99" s="19"/>
      <c r="G99" s="18"/>
      <c r="H99" s="18"/>
      <c r="I99" s="19"/>
    </row>
    <row r="100" spans="1:9" ht="13.15">
      <c r="A100" s="18"/>
      <c r="B100" s="18"/>
      <c r="C100" s="18"/>
      <c r="D100" s="18"/>
      <c r="E100" s="18"/>
      <c r="F100" s="19"/>
      <c r="G100" s="18"/>
      <c r="H100" s="18"/>
      <c r="I100" s="19"/>
    </row>
    <row r="101" spans="1:9" ht="13.15">
      <c r="A101" s="18"/>
      <c r="B101" s="18"/>
      <c r="C101" s="18"/>
      <c r="D101" s="18"/>
      <c r="E101" s="18"/>
      <c r="F101" s="19"/>
      <c r="G101" s="18"/>
      <c r="H101" s="18"/>
      <c r="I101" s="19"/>
    </row>
    <row r="102" spans="1:9" ht="13.15">
      <c r="A102" s="18"/>
      <c r="B102" s="18"/>
      <c r="C102" s="18"/>
      <c r="D102" s="18"/>
      <c r="E102" s="18"/>
      <c r="F102" s="19"/>
      <c r="G102" s="18"/>
      <c r="H102" s="18"/>
      <c r="I102" s="19"/>
    </row>
    <row r="103" spans="1:9" ht="13.15">
      <c r="A103" s="18"/>
      <c r="B103" s="18"/>
      <c r="C103" s="18"/>
      <c r="D103" s="18"/>
      <c r="E103" s="18"/>
      <c r="F103" s="19"/>
      <c r="G103" s="18"/>
      <c r="H103" s="18"/>
      <c r="I103" s="19"/>
    </row>
    <row r="104" spans="1:9" ht="13.15">
      <c r="A104" s="18"/>
      <c r="B104" s="18"/>
      <c r="C104" s="18"/>
      <c r="D104" s="18"/>
      <c r="E104" s="18"/>
      <c r="F104" s="19"/>
      <c r="G104" s="18"/>
      <c r="H104" s="18"/>
      <c r="I104" s="19"/>
    </row>
    <row r="105" spans="1:9" ht="13.15">
      <c r="A105" s="18"/>
      <c r="B105" s="18"/>
      <c r="C105" s="18"/>
      <c r="D105" s="18"/>
      <c r="E105" s="18"/>
      <c r="F105" s="19"/>
      <c r="G105" s="18"/>
      <c r="H105" s="18"/>
      <c r="I105" s="19"/>
    </row>
    <row r="106" spans="1:9" ht="13.15">
      <c r="A106" s="18"/>
      <c r="B106" s="18"/>
      <c r="C106" s="18"/>
      <c r="D106" s="18"/>
      <c r="E106" s="18"/>
      <c r="F106" s="19"/>
      <c r="G106" s="18"/>
      <c r="H106" s="18"/>
      <c r="I106" s="19"/>
    </row>
    <row r="107" spans="1:9" ht="13.15">
      <c r="A107" s="18"/>
      <c r="B107" s="18"/>
      <c r="C107" s="18"/>
      <c r="D107" s="18"/>
      <c r="E107" s="18"/>
      <c r="F107" s="19"/>
      <c r="G107" s="18"/>
      <c r="H107" s="18"/>
      <c r="I107" s="19"/>
    </row>
    <row r="108" spans="1:9" ht="13.15">
      <c r="A108" s="18"/>
      <c r="B108" s="18"/>
      <c r="C108" s="18"/>
      <c r="D108" s="18"/>
      <c r="E108" s="18"/>
      <c r="F108" s="19"/>
      <c r="G108" s="18"/>
      <c r="H108" s="18"/>
      <c r="I108" s="19"/>
    </row>
    <row r="109" spans="1:9" ht="13.15">
      <c r="A109" s="18"/>
      <c r="B109" s="18"/>
      <c r="C109" s="18"/>
      <c r="D109" s="18"/>
      <c r="E109" s="18"/>
      <c r="F109" s="19"/>
      <c r="G109" s="18"/>
      <c r="H109" s="18"/>
      <c r="I109" s="19"/>
    </row>
    <row r="110" spans="1:9" ht="13.15">
      <c r="A110" s="18"/>
      <c r="B110" s="18"/>
      <c r="C110" s="18"/>
      <c r="D110" s="18"/>
      <c r="E110" s="18"/>
      <c r="F110" s="19"/>
      <c r="G110" s="18"/>
      <c r="H110" s="18"/>
      <c r="I110" s="19"/>
    </row>
    <row r="111" spans="1:9" ht="13.15">
      <c r="A111" s="18"/>
      <c r="B111" s="18"/>
      <c r="C111" s="18"/>
      <c r="D111" s="18"/>
      <c r="E111" s="18"/>
      <c r="F111" s="19"/>
      <c r="G111" s="18"/>
      <c r="H111" s="18"/>
      <c r="I111" s="19"/>
    </row>
    <row r="112" spans="1:9" ht="13.15">
      <c r="A112" s="18"/>
      <c r="B112" s="18"/>
      <c r="C112" s="18"/>
      <c r="D112" s="18"/>
      <c r="E112" s="18"/>
      <c r="F112" s="19"/>
      <c r="G112" s="18"/>
      <c r="H112" s="18"/>
      <c r="I112" s="19"/>
    </row>
    <row r="113" spans="1:9" ht="13.15">
      <c r="A113" s="18"/>
      <c r="B113" s="18"/>
      <c r="C113" s="18"/>
      <c r="D113" s="18"/>
      <c r="E113" s="18"/>
      <c r="F113" s="19"/>
      <c r="G113" s="18"/>
      <c r="H113" s="18"/>
      <c r="I113" s="19"/>
    </row>
    <row r="114" spans="1:9" ht="13.15">
      <c r="A114" s="18"/>
      <c r="B114" s="18"/>
      <c r="C114" s="18"/>
      <c r="D114" s="18"/>
      <c r="E114" s="18"/>
      <c r="F114" s="19"/>
      <c r="G114" s="18"/>
      <c r="H114" s="18"/>
      <c r="I114" s="19"/>
    </row>
    <row r="115" spans="1:9" ht="13.15">
      <c r="A115" s="18"/>
      <c r="B115" s="18"/>
      <c r="C115" s="18"/>
      <c r="D115" s="18"/>
      <c r="E115" s="18"/>
      <c r="F115" s="19"/>
      <c r="G115" s="18"/>
      <c r="H115" s="18"/>
      <c r="I115" s="19"/>
    </row>
    <row r="116" spans="1:9" ht="13.15">
      <c r="A116" s="18"/>
      <c r="B116" s="18"/>
      <c r="C116" s="18"/>
      <c r="D116" s="18"/>
      <c r="E116" s="18"/>
      <c r="F116" s="19"/>
      <c r="G116" s="18"/>
      <c r="H116" s="18"/>
      <c r="I116" s="19"/>
    </row>
    <row r="117" spans="1:9" ht="13.15">
      <c r="A117" s="18"/>
      <c r="B117" s="18"/>
      <c r="C117" s="18"/>
      <c r="D117" s="18"/>
      <c r="E117" s="18"/>
      <c r="F117" s="19"/>
      <c r="G117" s="18"/>
      <c r="H117" s="18"/>
      <c r="I117" s="19"/>
    </row>
    <row r="118" spans="1:9" ht="13.15">
      <c r="A118" s="18"/>
      <c r="B118" s="18"/>
      <c r="C118" s="18"/>
      <c r="D118" s="18"/>
      <c r="E118" s="18"/>
      <c r="F118" s="19"/>
      <c r="G118" s="18"/>
      <c r="H118" s="18"/>
      <c r="I118" s="19"/>
    </row>
    <row r="119" spans="1:9" ht="13.15">
      <c r="A119" s="18"/>
      <c r="B119" s="18"/>
      <c r="C119" s="18"/>
      <c r="D119" s="18"/>
      <c r="E119" s="18"/>
      <c r="F119" s="19"/>
      <c r="G119" s="18"/>
      <c r="H119" s="18"/>
      <c r="I119" s="19"/>
    </row>
    <row r="120" spans="1:9" ht="13.15">
      <c r="A120" s="18"/>
      <c r="B120" s="18"/>
      <c r="C120" s="18"/>
      <c r="D120" s="18"/>
      <c r="E120" s="18"/>
      <c r="F120" s="19"/>
      <c r="G120" s="18"/>
      <c r="H120" s="18"/>
      <c r="I120" s="19"/>
    </row>
    <row r="121" spans="1:9" ht="13.15">
      <c r="A121" s="18"/>
      <c r="B121" s="18"/>
      <c r="C121" s="18"/>
      <c r="D121" s="18"/>
      <c r="E121" s="18"/>
      <c r="F121" s="19"/>
      <c r="G121" s="18"/>
      <c r="H121" s="18"/>
      <c r="I121" s="19"/>
    </row>
    <row r="122" spans="1:9" ht="13.15">
      <c r="A122" s="18"/>
      <c r="B122" s="18"/>
      <c r="C122" s="18"/>
      <c r="D122" s="18"/>
      <c r="E122" s="18"/>
      <c r="F122" s="19"/>
      <c r="G122" s="18"/>
      <c r="H122" s="18"/>
      <c r="I122" s="19"/>
    </row>
    <row r="123" spans="1:9" ht="13.15">
      <c r="A123" s="18"/>
      <c r="B123" s="18"/>
      <c r="C123" s="18"/>
      <c r="D123" s="18"/>
      <c r="E123" s="18"/>
      <c r="F123" s="19"/>
      <c r="G123" s="18"/>
      <c r="H123" s="18"/>
      <c r="I123" s="19"/>
    </row>
    <row r="124" spans="1:9" ht="13.15">
      <c r="A124" s="18"/>
      <c r="B124" s="18"/>
      <c r="C124" s="18"/>
      <c r="D124" s="18"/>
      <c r="E124" s="18"/>
      <c r="F124" s="19"/>
      <c r="G124" s="18"/>
      <c r="H124" s="18"/>
      <c r="I124" s="19"/>
    </row>
    <row r="125" spans="1:9" ht="13.15">
      <c r="A125" s="18"/>
      <c r="B125" s="18"/>
      <c r="C125" s="18"/>
      <c r="D125" s="18"/>
      <c r="E125" s="18"/>
      <c r="F125" s="19"/>
      <c r="G125" s="18"/>
      <c r="H125" s="18"/>
      <c r="I125" s="19"/>
    </row>
    <row r="126" spans="1:9" ht="13.15">
      <c r="A126" s="18"/>
      <c r="B126" s="18"/>
      <c r="C126" s="18"/>
      <c r="D126" s="18"/>
      <c r="E126" s="18"/>
      <c r="F126" s="19"/>
      <c r="G126" s="18"/>
      <c r="H126" s="18"/>
      <c r="I126" s="19"/>
    </row>
    <row r="127" spans="1:9" ht="13.15">
      <c r="A127" s="18"/>
      <c r="B127" s="18"/>
      <c r="C127" s="18"/>
      <c r="D127" s="18"/>
      <c r="E127" s="18"/>
      <c r="F127" s="19"/>
      <c r="G127" s="18"/>
      <c r="H127" s="18"/>
      <c r="I127" s="19"/>
    </row>
    <row r="128" spans="1:9" ht="13.15">
      <c r="A128" s="18"/>
      <c r="B128" s="18"/>
      <c r="C128" s="18"/>
      <c r="D128" s="18"/>
      <c r="E128" s="18"/>
      <c r="F128" s="19"/>
      <c r="G128" s="18"/>
      <c r="H128" s="18"/>
      <c r="I128" s="19"/>
    </row>
    <row r="129" spans="1:9" ht="13.15">
      <c r="A129" s="18"/>
      <c r="B129" s="18"/>
      <c r="C129" s="18"/>
      <c r="D129" s="18"/>
      <c r="E129" s="18"/>
      <c r="F129" s="19"/>
      <c r="G129" s="18"/>
      <c r="H129" s="18"/>
      <c r="I129" s="19"/>
    </row>
    <row r="130" spans="1:9" ht="13.15">
      <c r="A130" s="18"/>
      <c r="B130" s="18"/>
      <c r="C130" s="18"/>
      <c r="D130" s="18"/>
      <c r="E130" s="18"/>
      <c r="F130" s="19"/>
      <c r="G130" s="18"/>
      <c r="H130" s="18"/>
      <c r="I130" s="19"/>
    </row>
    <row r="131" spans="1:9" ht="13.15">
      <c r="A131" s="18"/>
      <c r="B131" s="18"/>
      <c r="C131" s="18"/>
      <c r="D131" s="18"/>
      <c r="E131" s="18"/>
      <c r="F131" s="19"/>
      <c r="G131" s="18"/>
      <c r="H131" s="18"/>
      <c r="I131" s="19"/>
    </row>
    <row r="132" spans="1:9" ht="13.15">
      <c r="A132" s="18"/>
      <c r="B132" s="18"/>
      <c r="C132" s="18"/>
      <c r="D132" s="18"/>
      <c r="E132" s="18"/>
      <c r="F132" s="19"/>
      <c r="G132" s="18"/>
      <c r="H132" s="18"/>
      <c r="I132" s="19"/>
    </row>
    <row r="133" spans="1:9" ht="13.15">
      <c r="A133" s="18"/>
      <c r="B133" s="18"/>
      <c r="C133" s="18"/>
      <c r="D133" s="18"/>
      <c r="E133" s="18"/>
      <c r="F133" s="19"/>
      <c r="G133" s="18"/>
      <c r="H133" s="18"/>
      <c r="I133" s="19"/>
    </row>
    <row r="134" spans="1:9" ht="13.15">
      <c r="A134" s="18"/>
      <c r="B134" s="18"/>
      <c r="C134" s="18"/>
      <c r="D134" s="18"/>
      <c r="E134" s="18"/>
      <c r="F134" s="19"/>
      <c r="G134" s="18"/>
      <c r="H134" s="18"/>
      <c r="I134" s="19"/>
    </row>
    <row r="135" spans="1:9" ht="13.15">
      <c r="A135" s="18"/>
      <c r="B135" s="18"/>
      <c r="C135" s="18"/>
      <c r="D135" s="18"/>
      <c r="E135" s="18"/>
      <c r="F135" s="19"/>
      <c r="G135" s="18"/>
      <c r="H135" s="18"/>
      <c r="I135" s="19"/>
    </row>
    <row r="136" spans="1:9" ht="13.15">
      <c r="A136" s="18"/>
      <c r="B136" s="18"/>
      <c r="C136" s="18"/>
      <c r="D136" s="18"/>
      <c r="E136" s="18"/>
      <c r="F136" s="19"/>
      <c r="G136" s="18"/>
      <c r="H136" s="18"/>
      <c r="I136" s="19"/>
    </row>
    <row r="137" spans="1:9" ht="13.15">
      <c r="A137" s="18"/>
      <c r="B137" s="18"/>
      <c r="C137" s="18"/>
      <c r="D137" s="18"/>
      <c r="E137" s="18"/>
      <c r="F137" s="19"/>
      <c r="G137" s="18"/>
      <c r="H137" s="18"/>
      <c r="I137" s="19"/>
    </row>
    <row r="138" spans="1:9" ht="13.15">
      <c r="A138" s="18"/>
      <c r="B138" s="18"/>
      <c r="C138" s="18"/>
      <c r="D138" s="18"/>
      <c r="E138" s="18"/>
      <c r="F138" s="19"/>
      <c r="G138" s="18"/>
      <c r="H138" s="18"/>
      <c r="I138" s="19"/>
    </row>
    <row r="139" spans="1:9" ht="13.15">
      <c r="A139" s="18"/>
      <c r="B139" s="18"/>
      <c r="C139" s="18"/>
      <c r="D139" s="18"/>
      <c r="E139" s="18"/>
      <c r="F139" s="19"/>
      <c r="G139" s="18"/>
      <c r="H139" s="18"/>
      <c r="I139" s="19"/>
    </row>
    <row r="140" spans="1:9" ht="13.15">
      <c r="A140" s="18"/>
      <c r="B140" s="18"/>
      <c r="C140" s="18"/>
      <c r="D140" s="18"/>
      <c r="E140" s="18"/>
      <c r="F140" s="19"/>
      <c r="G140" s="18"/>
      <c r="H140" s="18"/>
      <c r="I140" s="19"/>
    </row>
    <row r="141" spans="1:9" ht="13.15">
      <c r="A141" s="18"/>
      <c r="B141" s="18"/>
      <c r="C141" s="18"/>
      <c r="D141" s="18"/>
      <c r="E141" s="18"/>
      <c r="F141" s="19"/>
      <c r="G141" s="18"/>
      <c r="H141" s="18"/>
      <c r="I141" s="19"/>
    </row>
    <row r="142" spans="1:9" ht="13.15">
      <c r="A142" s="18"/>
      <c r="B142" s="18"/>
      <c r="C142" s="18"/>
      <c r="D142" s="18"/>
      <c r="E142" s="18"/>
      <c r="F142" s="19"/>
      <c r="G142" s="18"/>
      <c r="H142" s="18"/>
      <c r="I142" s="19"/>
    </row>
    <row r="143" spans="1:9" ht="13.15">
      <c r="A143" s="18"/>
      <c r="B143" s="18"/>
      <c r="C143" s="18"/>
      <c r="D143" s="18"/>
      <c r="E143" s="18"/>
      <c r="F143" s="19"/>
      <c r="G143" s="18"/>
      <c r="H143" s="18"/>
      <c r="I143" s="19"/>
    </row>
    <row r="144" spans="1:9" ht="13.15">
      <c r="A144" s="18"/>
      <c r="B144" s="18"/>
      <c r="C144" s="18"/>
      <c r="D144" s="18"/>
      <c r="E144" s="18"/>
      <c r="F144" s="19"/>
      <c r="G144" s="18"/>
      <c r="H144" s="18"/>
      <c r="I144" s="19"/>
    </row>
    <row r="145" spans="1:9" ht="13.15">
      <c r="A145" s="18"/>
      <c r="B145" s="18"/>
      <c r="C145" s="18"/>
      <c r="D145" s="18"/>
      <c r="E145" s="18"/>
      <c r="F145" s="19"/>
      <c r="G145" s="18"/>
      <c r="H145" s="18"/>
      <c r="I145" s="19"/>
    </row>
    <row r="146" spans="1:9" ht="13.15">
      <c r="A146" s="18"/>
      <c r="B146" s="18"/>
      <c r="C146" s="18"/>
      <c r="D146" s="18"/>
      <c r="E146" s="18"/>
      <c r="F146" s="19"/>
      <c r="G146" s="18"/>
      <c r="H146" s="18"/>
      <c r="I146" s="19"/>
    </row>
    <row r="147" spans="1:9" ht="13.15">
      <c r="A147" s="18"/>
      <c r="B147" s="18"/>
      <c r="C147" s="18"/>
      <c r="D147" s="18"/>
      <c r="E147" s="18"/>
      <c r="F147" s="19"/>
      <c r="G147" s="18"/>
      <c r="H147" s="18"/>
      <c r="I147" s="19"/>
    </row>
    <row r="148" spans="1:9" ht="13.15">
      <c r="A148" s="18"/>
      <c r="B148" s="18"/>
      <c r="C148" s="18"/>
      <c r="D148" s="18"/>
      <c r="E148" s="18"/>
      <c r="F148" s="19"/>
      <c r="G148" s="18"/>
      <c r="H148" s="18"/>
      <c r="I148" s="19"/>
    </row>
    <row r="149" spans="1:9" ht="13.15">
      <c r="A149" s="18"/>
      <c r="B149" s="18"/>
      <c r="C149" s="18"/>
      <c r="D149" s="18"/>
      <c r="E149" s="18"/>
      <c r="F149" s="19"/>
      <c r="G149" s="18"/>
      <c r="H149" s="18"/>
      <c r="I149" s="19"/>
    </row>
    <row r="150" spans="1:9" ht="13.15">
      <c r="A150" s="18"/>
      <c r="B150" s="18"/>
      <c r="C150" s="18"/>
      <c r="D150" s="18"/>
      <c r="E150" s="18"/>
      <c r="F150" s="19"/>
      <c r="G150" s="18"/>
      <c r="H150" s="18"/>
      <c r="I150" s="19"/>
    </row>
    <row r="151" spans="1:9" ht="13.15">
      <c r="A151" s="18"/>
      <c r="B151" s="18"/>
      <c r="C151" s="18"/>
      <c r="D151" s="18"/>
      <c r="E151" s="18"/>
      <c r="F151" s="19"/>
      <c r="G151" s="18"/>
      <c r="H151" s="18"/>
      <c r="I151" s="19"/>
    </row>
    <row r="152" spans="1:9" ht="13.15">
      <c r="A152" s="18"/>
      <c r="B152" s="18"/>
      <c r="C152" s="18"/>
      <c r="D152" s="18"/>
      <c r="E152" s="18"/>
      <c r="F152" s="19"/>
      <c r="G152" s="18"/>
      <c r="H152" s="18"/>
      <c r="I152" s="19"/>
    </row>
    <row r="153" spans="1:9" ht="13.15">
      <c r="A153" s="18"/>
      <c r="B153" s="18"/>
      <c r="C153" s="18"/>
      <c r="D153" s="18"/>
      <c r="E153" s="18"/>
      <c r="F153" s="19"/>
      <c r="G153" s="18"/>
      <c r="H153" s="18"/>
      <c r="I153" s="19"/>
    </row>
    <row r="154" spans="1:9" ht="13.15">
      <c r="A154" s="18"/>
      <c r="B154" s="18"/>
      <c r="C154" s="18"/>
      <c r="D154" s="18"/>
      <c r="E154" s="18"/>
      <c r="F154" s="19"/>
      <c r="G154" s="18"/>
      <c r="H154" s="18"/>
      <c r="I154" s="19"/>
    </row>
    <row r="155" spans="1:9" ht="13.15">
      <c r="A155" s="18"/>
      <c r="B155" s="18"/>
      <c r="C155" s="18"/>
      <c r="D155" s="18"/>
      <c r="E155" s="18"/>
      <c r="F155" s="19"/>
      <c r="G155" s="18"/>
      <c r="H155" s="18"/>
      <c r="I155" s="19"/>
    </row>
    <row r="156" spans="1:9" ht="13.15">
      <c r="A156" s="18"/>
      <c r="B156" s="18"/>
      <c r="C156" s="18"/>
      <c r="D156" s="18"/>
      <c r="E156" s="18"/>
      <c r="F156" s="19"/>
      <c r="G156" s="18"/>
      <c r="H156" s="18"/>
      <c r="I156" s="19"/>
    </row>
    <row r="157" spans="1:9" ht="13.15">
      <c r="A157" s="18"/>
      <c r="B157" s="18"/>
      <c r="C157" s="18"/>
      <c r="D157" s="18"/>
      <c r="E157" s="18"/>
      <c r="F157" s="19"/>
      <c r="G157" s="18"/>
      <c r="H157" s="18"/>
      <c r="I157" s="19"/>
    </row>
    <row r="158" spans="1:9" ht="13.15">
      <c r="A158" s="18"/>
      <c r="B158" s="18"/>
      <c r="C158" s="18"/>
      <c r="D158" s="18"/>
      <c r="E158" s="18"/>
      <c r="F158" s="19"/>
      <c r="G158" s="18"/>
      <c r="H158" s="18"/>
      <c r="I158" s="19"/>
    </row>
    <row r="159" spans="1:9" ht="13.15">
      <c r="A159" s="18"/>
      <c r="B159" s="18"/>
      <c r="C159" s="18"/>
      <c r="D159" s="18"/>
      <c r="E159" s="18"/>
      <c r="F159" s="19"/>
      <c r="G159" s="18"/>
      <c r="H159" s="18"/>
      <c r="I159" s="19"/>
    </row>
    <row r="160" spans="1:9" ht="13.15">
      <c r="A160" s="18"/>
      <c r="B160" s="18"/>
      <c r="C160" s="18"/>
      <c r="D160" s="18"/>
      <c r="E160" s="18"/>
      <c r="F160" s="19"/>
      <c r="G160" s="18"/>
      <c r="H160" s="18"/>
      <c r="I160" s="19"/>
    </row>
    <row r="161" spans="1:9" ht="13.15">
      <c r="A161" s="18"/>
      <c r="B161" s="18"/>
      <c r="C161" s="18"/>
      <c r="D161" s="18"/>
      <c r="E161" s="18"/>
      <c r="F161" s="19"/>
      <c r="G161" s="18"/>
      <c r="H161" s="18"/>
      <c r="I161" s="19"/>
    </row>
    <row r="162" spans="1:9" ht="13.15">
      <c r="A162" s="18"/>
      <c r="B162" s="18"/>
      <c r="C162" s="18"/>
      <c r="D162" s="18"/>
      <c r="E162" s="18"/>
      <c r="F162" s="19"/>
      <c r="G162" s="18"/>
      <c r="H162" s="18"/>
      <c r="I162" s="19"/>
    </row>
    <row r="163" spans="1:9" ht="13.15">
      <c r="A163" s="18"/>
      <c r="B163" s="18"/>
      <c r="C163" s="18"/>
      <c r="D163" s="18"/>
      <c r="E163" s="18"/>
      <c r="F163" s="19"/>
      <c r="G163" s="18"/>
      <c r="H163" s="18"/>
      <c r="I163" s="19"/>
    </row>
    <row r="164" spans="1:9" ht="13.15">
      <c r="A164" s="18"/>
      <c r="B164" s="18"/>
      <c r="C164" s="18"/>
      <c r="D164" s="18"/>
      <c r="E164" s="18"/>
      <c r="F164" s="19"/>
      <c r="G164" s="18"/>
      <c r="H164" s="18"/>
      <c r="I164" s="19"/>
    </row>
    <row r="165" spans="1:9" ht="13.15">
      <c r="A165" s="18"/>
      <c r="B165" s="18"/>
      <c r="C165" s="18"/>
      <c r="D165" s="18"/>
      <c r="E165" s="18"/>
      <c r="F165" s="19"/>
      <c r="G165" s="18"/>
      <c r="H165" s="18"/>
      <c r="I165" s="19"/>
    </row>
    <row r="166" spans="1:9" ht="13.15">
      <c r="A166" s="18"/>
      <c r="B166" s="18"/>
      <c r="C166" s="18"/>
      <c r="D166" s="18"/>
      <c r="E166" s="18"/>
      <c r="F166" s="19"/>
      <c r="G166" s="18"/>
      <c r="H166" s="18"/>
      <c r="I166" s="19"/>
    </row>
    <row r="167" spans="1:9" ht="13.15">
      <c r="A167" s="18"/>
      <c r="B167" s="18"/>
      <c r="C167" s="18"/>
      <c r="D167" s="18"/>
      <c r="E167" s="18"/>
      <c r="F167" s="19"/>
      <c r="G167" s="18"/>
      <c r="H167" s="18"/>
      <c r="I167" s="19"/>
    </row>
    <row r="168" spans="1:9" ht="13.15">
      <c r="A168" s="18"/>
      <c r="B168" s="18"/>
      <c r="C168" s="18"/>
      <c r="D168" s="18"/>
      <c r="E168" s="18"/>
      <c r="F168" s="19"/>
      <c r="G168" s="18"/>
      <c r="H168" s="18"/>
      <c r="I168" s="19"/>
    </row>
    <row r="169" spans="1:9" ht="13.15">
      <c r="A169" s="18"/>
      <c r="B169" s="18"/>
      <c r="C169" s="18"/>
      <c r="D169" s="18"/>
      <c r="E169" s="18"/>
      <c r="F169" s="19"/>
      <c r="G169" s="18"/>
      <c r="H169" s="18"/>
      <c r="I169" s="19"/>
    </row>
    <row r="170" spans="1:9" ht="13.15">
      <c r="A170" s="18"/>
      <c r="B170" s="18"/>
      <c r="C170" s="18"/>
      <c r="D170" s="18"/>
      <c r="E170" s="18"/>
      <c r="F170" s="19"/>
      <c r="G170" s="18"/>
      <c r="H170" s="18"/>
      <c r="I170" s="19"/>
    </row>
    <row r="171" spans="1:9" ht="13.15">
      <c r="A171" s="18"/>
      <c r="B171" s="18"/>
      <c r="C171" s="18"/>
      <c r="D171" s="18"/>
      <c r="E171" s="18"/>
      <c r="F171" s="19"/>
      <c r="G171" s="18"/>
      <c r="H171" s="18"/>
      <c r="I171" s="19"/>
    </row>
    <row r="172" spans="1:9" ht="13.15">
      <c r="A172" s="18"/>
      <c r="B172" s="18"/>
      <c r="C172" s="18"/>
      <c r="D172" s="18"/>
      <c r="E172" s="18"/>
      <c r="F172" s="19"/>
      <c r="G172" s="18"/>
      <c r="H172" s="18"/>
      <c r="I172" s="19"/>
    </row>
    <row r="173" spans="1:9" ht="13.15">
      <c r="A173" s="18"/>
      <c r="B173" s="18"/>
      <c r="C173" s="18"/>
      <c r="D173" s="18"/>
      <c r="E173" s="18"/>
      <c r="F173" s="19"/>
      <c r="G173" s="18"/>
      <c r="H173" s="18"/>
      <c r="I173" s="19"/>
    </row>
    <row r="174" spans="1:9" ht="13.15">
      <c r="A174" s="18"/>
      <c r="B174" s="18"/>
      <c r="C174" s="18"/>
      <c r="D174" s="18"/>
      <c r="E174" s="18"/>
      <c r="F174" s="19"/>
      <c r="G174" s="18"/>
      <c r="H174" s="18"/>
      <c r="I174" s="19"/>
    </row>
    <row r="175" spans="1:9" ht="13.15">
      <c r="A175" s="18"/>
      <c r="B175" s="18"/>
      <c r="C175" s="18"/>
      <c r="D175" s="18"/>
      <c r="E175" s="18"/>
      <c r="F175" s="19"/>
      <c r="G175" s="18"/>
      <c r="H175" s="18"/>
      <c r="I175" s="19"/>
    </row>
    <row r="176" spans="1:9" ht="13.15">
      <c r="A176" s="18"/>
      <c r="B176" s="18"/>
      <c r="C176" s="18"/>
      <c r="D176" s="18"/>
      <c r="E176" s="18"/>
      <c r="F176" s="19"/>
      <c r="G176" s="18"/>
      <c r="H176" s="18"/>
      <c r="I176" s="19"/>
    </row>
    <row r="177" spans="1:9" ht="13.15">
      <c r="A177" s="18"/>
      <c r="B177" s="18"/>
      <c r="C177" s="18"/>
      <c r="D177" s="18"/>
      <c r="E177" s="18"/>
      <c r="F177" s="19"/>
      <c r="G177" s="18"/>
      <c r="H177" s="18"/>
      <c r="I177" s="19"/>
    </row>
    <row r="178" spans="1:9" ht="13.15">
      <c r="A178" s="18"/>
      <c r="B178" s="18"/>
      <c r="C178" s="18"/>
      <c r="D178" s="18"/>
      <c r="E178" s="18"/>
      <c r="F178" s="19"/>
      <c r="G178" s="18"/>
      <c r="H178" s="18"/>
      <c r="I178" s="19"/>
    </row>
    <row r="179" spans="1:9" ht="13.15">
      <c r="A179" s="18"/>
      <c r="B179" s="18"/>
      <c r="C179" s="18"/>
      <c r="D179" s="18"/>
      <c r="E179" s="18"/>
      <c r="F179" s="19"/>
      <c r="G179" s="18"/>
      <c r="H179" s="18"/>
      <c r="I179" s="19"/>
    </row>
    <row r="180" spans="1:9" ht="13.15">
      <c r="A180" s="18"/>
      <c r="B180" s="18"/>
      <c r="C180" s="18"/>
      <c r="D180" s="18"/>
      <c r="E180" s="18"/>
      <c r="F180" s="19"/>
      <c r="G180" s="18"/>
      <c r="H180" s="18"/>
      <c r="I180" s="19"/>
    </row>
    <row r="181" spans="1:9" ht="13.15">
      <c r="A181" s="18"/>
      <c r="B181" s="18"/>
      <c r="C181" s="18"/>
      <c r="D181" s="18"/>
      <c r="E181" s="18"/>
      <c r="F181" s="19"/>
      <c r="G181" s="18"/>
      <c r="H181" s="18"/>
      <c r="I181" s="19"/>
    </row>
    <row r="182" spans="1:9" ht="13.15">
      <c r="A182" s="18"/>
      <c r="B182" s="18"/>
      <c r="C182" s="18"/>
      <c r="D182" s="18"/>
      <c r="E182" s="18"/>
      <c r="F182" s="19"/>
      <c r="G182" s="18"/>
      <c r="H182" s="18"/>
      <c r="I182" s="19"/>
    </row>
    <row r="183" spans="1:9" ht="13.15">
      <c r="A183" s="18"/>
      <c r="B183" s="18"/>
      <c r="C183" s="18"/>
      <c r="D183" s="18"/>
      <c r="E183" s="18"/>
      <c r="F183" s="19"/>
      <c r="G183" s="18"/>
      <c r="H183" s="18"/>
      <c r="I183" s="19"/>
    </row>
    <row r="184" spans="1:9" ht="13.15">
      <c r="A184" s="18"/>
      <c r="B184" s="18"/>
      <c r="C184" s="18"/>
      <c r="D184" s="18"/>
      <c r="E184" s="18"/>
      <c r="F184" s="19"/>
      <c r="G184" s="18"/>
      <c r="H184" s="18"/>
      <c r="I184" s="19"/>
    </row>
    <row r="185" spans="1:9" ht="13.15">
      <c r="A185" s="18"/>
      <c r="B185" s="18"/>
      <c r="C185" s="18"/>
      <c r="D185" s="18"/>
      <c r="E185" s="18"/>
      <c r="F185" s="19"/>
      <c r="G185" s="18"/>
      <c r="H185" s="18"/>
      <c r="I185" s="19"/>
    </row>
    <row r="186" spans="1:9" ht="13.15">
      <c r="A186" s="18"/>
      <c r="B186" s="18"/>
      <c r="C186" s="18"/>
      <c r="D186" s="18"/>
      <c r="E186" s="18"/>
      <c r="F186" s="19"/>
      <c r="G186" s="18"/>
      <c r="H186" s="18"/>
      <c r="I186" s="19"/>
    </row>
    <row r="187" spans="1:9" ht="13.15">
      <c r="A187" s="18"/>
      <c r="B187" s="18"/>
      <c r="C187" s="18"/>
      <c r="D187" s="18"/>
      <c r="E187" s="18"/>
      <c r="F187" s="19"/>
      <c r="G187" s="18"/>
      <c r="H187" s="18"/>
      <c r="I187" s="19"/>
    </row>
    <row r="188" spans="1:9" ht="13.15">
      <c r="A188" s="18"/>
      <c r="B188" s="18"/>
      <c r="C188" s="18"/>
      <c r="D188" s="18"/>
      <c r="E188" s="18"/>
      <c r="F188" s="19"/>
      <c r="G188" s="18"/>
      <c r="H188" s="18"/>
      <c r="I188" s="19"/>
    </row>
    <row r="189" spans="1:9" ht="13.15">
      <c r="A189" s="18"/>
      <c r="B189" s="18"/>
      <c r="C189" s="18"/>
      <c r="D189" s="18"/>
      <c r="E189" s="18"/>
      <c r="F189" s="19"/>
      <c r="G189" s="18"/>
      <c r="H189" s="18"/>
      <c r="I189" s="19"/>
    </row>
    <row r="190" spans="1:9" ht="13.15">
      <c r="A190" s="18"/>
      <c r="B190" s="18"/>
      <c r="C190" s="18"/>
      <c r="D190" s="18"/>
      <c r="E190" s="18"/>
      <c r="F190" s="19"/>
      <c r="G190" s="18"/>
      <c r="H190" s="18"/>
      <c r="I190" s="19"/>
    </row>
    <row r="191" spans="1:9" ht="13.15">
      <c r="A191" s="18"/>
      <c r="B191" s="18"/>
      <c r="C191" s="18"/>
      <c r="D191" s="18"/>
      <c r="E191" s="18"/>
      <c r="F191" s="19"/>
      <c r="G191" s="18"/>
      <c r="H191" s="18"/>
      <c r="I191" s="19"/>
    </row>
    <row r="192" spans="1:9" ht="13.15">
      <c r="A192" s="18"/>
      <c r="B192" s="18"/>
      <c r="C192" s="18"/>
      <c r="D192" s="18"/>
      <c r="E192" s="18"/>
      <c r="F192" s="19"/>
      <c r="G192" s="18"/>
      <c r="H192" s="18"/>
      <c r="I192" s="19"/>
    </row>
    <row r="193" spans="1:9" ht="13.15">
      <c r="A193" s="18"/>
      <c r="B193" s="18"/>
      <c r="C193" s="18"/>
      <c r="D193" s="18"/>
      <c r="E193" s="18"/>
      <c r="F193" s="19"/>
      <c r="G193" s="18"/>
      <c r="H193" s="18"/>
      <c r="I193" s="19"/>
    </row>
    <row r="194" spans="1:9" ht="13.15">
      <c r="A194" s="18"/>
      <c r="B194" s="18"/>
      <c r="C194" s="18"/>
      <c r="D194" s="18"/>
      <c r="E194" s="18"/>
      <c r="F194" s="19"/>
      <c r="G194" s="18"/>
      <c r="H194" s="18"/>
      <c r="I194" s="19"/>
    </row>
    <row r="195" spans="1:9" ht="13.15">
      <c r="A195" s="18"/>
      <c r="B195" s="18"/>
      <c r="C195" s="18"/>
      <c r="D195" s="18"/>
      <c r="E195" s="18"/>
      <c r="F195" s="19"/>
      <c r="G195" s="18"/>
      <c r="H195" s="18"/>
      <c r="I195" s="19"/>
    </row>
    <row r="196" spans="1:9" ht="13.15">
      <c r="A196" s="18"/>
      <c r="B196" s="18"/>
      <c r="C196" s="18"/>
      <c r="D196" s="18"/>
      <c r="E196" s="18"/>
      <c r="F196" s="19"/>
      <c r="G196" s="18"/>
      <c r="H196" s="18"/>
      <c r="I196" s="19"/>
    </row>
    <row r="197" spans="1:9" ht="13.15">
      <c r="A197" s="18"/>
      <c r="B197" s="18"/>
      <c r="C197" s="18"/>
      <c r="D197" s="18"/>
      <c r="E197" s="18"/>
      <c r="F197" s="19"/>
      <c r="G197" s="18"/>
      <c r="H197" s="18"/>
      <c r="I197" s="19"/>
    </row>
    <row r="198" spans="1:9" ht="13.15">
      <c r="A198" s="18"/>
      <c r="B198" s="18"/>
      <c r="C198" s="18"/>
      <c r="D198" s="18"/>
      <c r="E198" s="18"/>
      <c r="F198" s="19"/>
      <c r="G198" s="18"/>
      <c r="H198" s="18"/>
      <c r="I198" s="19"/>
    </row>
    <row r="199" spans="1:9" ht="13.15">
      <c r="A199" s="18"/>
      <c r="B199" s="18"/>
      <c r="C199" s="18"/>
      <c r="D199" s="18"/>
      <c r="E199" s="18"/>
      <c r="F199" s="19"/>
      <c r="G199" s="18"/>
      <c r="H199" s="18"/>
      <c r="I199" s="19"/>
    </row>
    <row r="200" spans="1:9" ht="13.15">
      <c r="A200" s="18"/>
      <c r="B200" s="18"/>
      <c r="C200" s="18"/>
      <c r="D200" s="18"/>
      <c r="E200" s="18"/>
      <c r="F200" s="19"/>
      <c r="G200" s="18"/>
      <c r="H200" s="18"/>
      <c r="I200" s="19"/>
    </row>
    <row r="201" spans="1:9" ht="13.15">
      <c r="A201" s="18"/>
      <c r="B201" s="18"/>
      <c r="C201" s="18"/>
      <c r="D201" s="18"/>
      <c r="E201" s="18"/>
      <c r="F201" s="19"/>
      <c r="G201" s="18"/>
      <c r="H201" s="18"/>
      <c r="I201" s="19"/>
    </row>
    <row r="202" spans="1:9" ht="13.15">
      <c r="A202" s="18"/>
      <c r="B202" s="18"/>
      <c r="C202" s="18"/>
      <c r="D202" s="18"/>
      <c r="E202" s="18"/>
      <c r="F202" s="19"/>
      <c r="G202" s="18"/>
      <c r="H202" s="18"/>
      <c r="I202" s="19"/>
    </row>
    <row r="203" spans="1:9" ht="13.15">
      <c r="A203" s="18"/>
      <c r="B203" s="18"/>
      <c r="C203" s="18"/>
      <c r="D203" s="18"/>
      <c r="E203" s="18"/>
      <c r="F203" s="19"/>
      <c r="G203" s="18"/>
      <c r="H203" s="18"/>
      <c r="I203" s="19"/>
    </row>
    <row r="204" spans="1:9" ht="13.15">
      <c r="A204" s="18"/>
      <c r="B204" s="18"/>
      <c r="C204" s="18"/>
      <c r="D204" s="18"/>
      <c r="E204" s="18"/>
      <c r="F204" s="19"/>
      <c r="G204" s="18"/>
      <c r="H204" s="18"/>
      <c r="I204" s="19"/>
    </row>
    <row r="205" spans="1:9" ht="13.15">
      <c r="A205" s="18"/>
      <c r="B205" s="18"/>
      <c r="C205" s="18"/>
      <c r="D205" s="18"/>
      <c r="E205" s="18"/>
      <c r="F205" s="19"/>
      <c r="G205" s="18"/>
      <c r="H205" s="18"/>
      <c r="I205" s="19"/>
    </row>
    <row r="206" spans="1:9" ht="13.15">
      <c r="A206" s="18"/>
      <c r="B206" s="18"/>
      <c r="C206" s="18"/>
      <c r="D206" s="18"/>
      <c r="E206" s="18"/>
      <c r="F206" s="19"/>
      <c r="G206" s="18"/>
      <c r="H206" s="18"/>
      <c r="I206" s="19"/>
    </row>
    <row r="207" spans="1:9" ht="13.15">
      <c r="A207" s="18"/>
      <c r="B207" s="18"/>
      <c r="C207" s="18"/>
      <c r="D207" s="18"/>
      <c r="E207" s="18"/>
      <c r="F207" s="19"/>
      <c r="G207" s="18"/>
      <c r="H207" s="18"/>
      <c r="I207" s="19"/>
    </row>
    <row r="208" spans="1:9" ht="13.15">
      <c r="A208" s="18"/>
      <c r="B208" s="18"/>
      <c r="C208" s="18"/>
      <c r="D208" s="18"/>
      <c r="E208" s="18"/>
      <c r="F208" s="19"/>
      <c r="G208" s="18"/>
      <c r="H208" s="18"/>
      <c r="I208" s="19"/>
    </row>
    <row r="209" spans="1:9" ht="13.15">
      <c r="A209" s="18"/>
      <c r="B209" s="18"/>
      <c r="C209" s="18"/>
      <c r="D209" s="18"/>
      <c r="E209" s="18"/>
      <c r="F209" s="19"/>
      <c r="G209" s="18"/>
      <c r="H209" s="18"/>
      <c r="I209" s="19"/>
    </row>
    <row r="210" spans="1:9" ht="13.15">
      <c r="A210" s="18"/>
      <c r="B210" s="18"/>
      <c r="C210" s="18"/>
      <c r="D210" s="18"/>
      <c r="E210" s="18"/>
      <c r="F210" s="19"/>
      <c r="G210" s="18"/>
      <c r="H210" s="18"/>
      <c r="I210" s="19"/>
    </row>
    <row r="211" spans="1:9" ht="13.15">
      <c r="A211" s="18"/>
      <c r="B211" s="18"/>
      <c r="C211" s="18"/>
      <c r="D211" s="18"/>
      <c r="E211" s="18"/>
      <c r="F211" s="19"/>
      <c r="G211" s="18"/>
      <c r="H211" s="18"/>
      <c r="I211" s="19"/>
    </row>
    <row r="212" spans="1:9" ht="13.15">
      <c r="A212" s="18"/>
      <c r="B212" s="18"/>
      <c r="C212" s="18"/>
      <c r="D212" s="18"/>
      <c r="E212" s="18"/>
      <c r="F212" s="19"/>
      <c r="G212" s="18"/>
      <c r="H212" s="18"/>
      <c r="I212" s="19"/>
    </row>
    <row r="213" spans="1:9" ht="13.15">
      <c r="A213" s="18"/>
      <c r="B213" s="18"/>
      <c r="C213" s="18"/>
      <c r="D213" s="18"/>
      <c r="E213" s="18"/>
      <c r="F213" s="19"/>
      <c r="G213" s="18"/>
      <c r="H213" s="18"/>
      <c r="I213" s="19"/>
    </row>
    <row r="214" spans="1:9" ht="13.15">
      <c r="A214" s="18"/>
      <c r="B214" s="18"/>
      <c r="C214" s="18"/>
      <c r="D214" s="18"/>
      <c r="E214" s="18"/>
      <c r="F214" s="19"/>
      <c r="G214" s="18"/>
      <c r="H214" s="18"/>
      <c r="I214" s="19"/>
    </row>
    <row r="215" spans="1:9" ht="13.15">
      <c r="A215" s="18"/>
      <c r="B215" s="18"/>
      <c r="C215" s="18"/>
      <c r="D215" s="18"/>
      <c r="E215" s="18"/>
      <c r="F215" s="19"/>
      <c r="G215" s="18"/>
      <c r="H215" s="18"/>
      <c r="I215" s="19"/>
    </row>
    <row r="216" spans="1:9" ht="13.15">
      <c r="A216" s="18"/>
      <c r="B216" s="18"/>
      <c r="C216" s="18"/>
      <c r="D216" s="18"/>
      <c r="E216" s="18"/>
      <c r="F216" s="19"/>
      <c r="G216" s="18"/>
      <c r="H216" s="18"/>
      <c r="I216" s="19"/>
    </row>
    <row r="217" spans="1:9" ht="13.15">
      <c r="A217" s="18"/>
      <c r="B217" s="18"/>
      <c r="C217" s="18"/>
      <c r="D217" s="18"/>
      <c r="E217" s="18"/>
      <c r="F217" s="19"/>
      <c r="G217" s="18"/>
      <c r="H217" s="18"/>
      <c r="I217" s="19"/>
    </row>
    <row r="218" spans="1:9" ht="13.15">
      <c r="A218" s="18"/>
      <c r="B218" s="18"/>
      <c r="C218" s="18"/>
      <c r="D218" s="18"/>
      <c r="E218" s="18"/>
      <c r="F218" s="19"/>
      <c r="G218" s="18"/>
      <c r="H218" s="18"/>
      <c r="I218" s="19"/>
    </row>
    <row r="219" spans="1:9" ht="13.15">
      <c r="A219" s="18"/>
      <c r="B219" s="18"/>
      <c r="C219" s="18"/>
      <c r="D219" s="18"/>
      <c r="E219" s="18"/>
      <c r="F219" s="19"/>
      <c r="G219" s="18"/>
      <c r="H219" s="18"/>
      <c r="I219" s="19"/>
    </row>
    <row r="220" spans="1:9" ht="13.15">
      <c r="A220" s="18"/>
      <c r="B220" s="18"/>
      <c r="C220" s="18"/>
      <c r="D220" s="18"/>
      <c r="E220" s="18"/>
      <c r="F220" s="19"/>
      <c r="G220" s="18"/>
      <c r="H220" s="18"/>
      <c r="I220" s="19"/>
    </row>
    <row r="221" spans="1:9" ht="13.15">
      <c r="A221" s="18"/>
      <c r="B221" s="18"/>
      <c r="C221" s="18"/>
      <c r="D221" s="18"/>
      <c r="E221" s="18"/>
      <c r="F221" s="19"/>
      <c r="G221" s="18"/>
      <c r="H221" s="18"/>
      <c r="I221" s="19"/>
    </row>
    <row r="222" spans="1:9" ht="13.15">
      <c r="A222" s="18"/>
      <c r="B222" s="18"/>
      <c r="C222" s="18"/>
      <c r="D222" s="18"/>
      <c r="E222" s="18"/>
      <c r="F222" s="19"/>
      <c r="G222" s="18"/>
      <c r="H222" s="18"/>
      <c r="I222" s="19"/>
    </row>
    <row r="223" spans="1:9" ht="13.15">
      <c r="A223" s="18"/>
      <c r="B223" s="18"/>
      <c r="C223" s="18"/>
      <c r="D223" s="18"/>
      <c r="E223" s="18"/>
      <c r="F223" s="19"/>
      <c r="G223" s="18"/>
      <c r="H223" s="18"/>
      <c r="I223" s="19"/>
    </row>
    <row r="224" spans="1:9" ht="13.15">
      <c r="A224" s="18"/>
      <c r="B224" s="18"/>
      <c r="C224" s="18"/>
      <c r="D224" s="18"/>
      <c r="E224" s="18"/>
      <c r="F224" s="19"/>
      <c r="G224" s="18"/>
      <c r="H224" s="18"/>
      <c r="I224" s="19"/>
    </row>
    <row r="225" spans="1:9" ht="13.15">
      <c r="A225" s="18"/>
      <c r="B225" s="18"/>
      <c r="C225" s="18"/>
      <c r="D225" s="18"/>
      <c r="E225" s="18"/>
      <c r="F225" s="19"/>
      <c r="G225" s="18"/>
      <c r="H225" s="18"/>
      <c r="I225" s="19"/>
    </row>
    <row r="226" spans="1:9" ht="13.15">
      <c r="A226" s="18"/>
      <c r="B226" s="18"/>
      <c r="C226" s="18"/>
      <c r="D226" s="18"/>
      <c r="E226" s="18"/>
      <c r="F226" s="19"/>
      <c r="G226" s="18"/>
      <c r="H226" s="18"/>
      <c r="I226" s="19"/>
    </row>
    <row r="227" spans="1:9" ht="13.15">
      <c r="A227" s="18"/>
      <c r="B227" s="18"/>
      <c r="C227" s="18"/>
      <c r="D227" s="18"/>
      <c r="E227" s="18"/>
      <c r="F227" s="19"/>
      <c r="G227" s="18"/>
      <c r="H227" s="18"/>
      <c r="I227" s="19"/>
    </row>
    <row r="228" spans="1:9" ht="13.15">
      <c r="A228" s="18"/>
      <c r="B228" s="18"/>
      <c r="C228" s="18"/>
      <c r="D228" s="18"/>
      <c r="E228" s="18"/>
      <c r="F228" s="19"/>
      <c r="G228" s="18"/>
      <c r="H228" s="18"/>
      <c r="I228" s="19"/>
    </row>
    <row r="229" spans="1:9" ht="13.15">
      <c r="A229" s="18"/>
      <c r="B229" s="18"/>
      <c r="C229" s="18"/>
      <c r="D229" s="18"/>
      <c r="E229" s="18"/>
      <c r="F229" s="19"/>
      <c r="G229" s="18"/>
      <c r="H229" s="18"/>
      <c r="I229" s="19"/>
    </row>
    <row r="230" spans="1:9" ht="13.15">
      <c r="A230" s="18"/>
      <c r="B230" s="18"/>
      <c r="C230" s="18"/>
      <c r="D230" s="18"/>
      <c r="E230" s="18"/>
      <c r="F230" s="19"/>
      <c r="G230" s="18"/>
      <c r="H230" s="18"/>
      <c r="I230" s="19"/>
    </row>
    <row r="231" spans="1:9" ht="13.15">
      <c r="A231" s="18"/>
      <c r="B231" s="18"/>
      <c r="C231" s="18"/>
      <c r="D231" s="18"/>
      <c r="E231" s="18"/>
      <c r="F231" s="19"/>
      <c r="G231" s="18"/>
      <c r="H231" s="18"/>
      <c r="I231" s="19"/>
    </row>
    <row r="232" spans="1:9" ht="13.15">
      <c r="A232" s="18"/>
      <c r="B232" s="18"/>
      <c r="C232" s="18"/>
      <c r="D232" s="18"/>
      <c r="E232" s="18"/>
      <c r="F232" s="19"/>
      <c r="G232" s="18"/>
      <c r="H232" s="18"/>
      <c r="I232" s="19"/>
    </row>
    <row r="233" spans="1:9" ht="13.15">
      <c r="A233" s="18"/>
      <c r="B233" s="18"/>
      <c r="C233" s="18"/>
      <c r="D233" s="18"/>
      <c r="E233" s="18"/>
      <c r="F233" s="19"/>
      <c r="G233" s="18"/>
      <c r="H233" s="18"/>
      <c r="I233" s="19"/>
    </row>
    <row r="234" spans="1:9" ht="13.15">
      <c r="A234" s="18"/>
      <c r="B234" s="18"/>
      <c r="C234" s="18"/>
      <c r="D234" s="18"/>
      <c r="E234" s="18"/>
      <c r="F234" s="19"/>
      <c r="G234" s="18"/>
      <c r="H234" s="18"/>
      <c r="I234" s="19"/>
    </row>
    <row r="235" spans="1:9" ht="13.15">
      <c r="A235" s="18"/>
      <c r="B235" s="18"/>
      <c r="C235" s="18"/>
      <c r="D235" s="18"/>
      <c r="E235" s="18"/>
      <c r="F235" s="19"/>
      <c r="G235" s="18"/>
      <c r="H235" s="18"/>
      <c r="I235" s="19"/>
    </row>
    <row r="236" spans="1:9" ht="13.15">
      <c r="A236" s="18"/>
      <c r="B236" s="18"/>
      <c r="C236" s="18"/>
      <c r="D236" s="18"/>
      <c r="E236" s="18"/>
      <c r="F236" s="19"/>
      <c r="G236" s="18"/>
      <c r="H236" s="18"/>
      <c r="I236" s="19"/>
    </row>
    <row r="237" spans="1:9" ht="13.15">
      <c r="A237" s="18"/>
      <c r="B237" s="18"/>
      <c r="C237" s="18"/>
      <c r="D237" s="18"/>
      <c r="E237" s="18"/>
      <c r="F237" s="19"/>
      <c r="G237" s="18"/>
      <c r="H237" s="18"/>
      <c r="I237" s="19"/>
    </row>
    <row r="238" spans="1:9" ht="13.15">
      <c r="A238" s="18"/>
      <c r="B238" s="18"/>
      <c r="C238" s="18"/>
      <c r="D238" s="18"/>
      <c r="E238" s="18"/>
      <c r="F238" s="19"/>
      <c r="G238" s="18"/>
      <c r="H238" s="18"/>
      <c r="I238" s="19"/>
    </row>
    <row r="239" spans="1:9" ht="13.15">
      <c r="A239" s="18"/>
      <c r="B239" s="18"/>
      <c r="C239" s="18"/>
      <c r="D239" s="18"/>
      <c r="E239" s="18"/>
      <c r="F239" s="19"/>
      <c r="G239" s="18"/>
      <c r="H239" s="18"/>
      <c r="I239" s="19"/>
    </row>
    <row r="240" spans="1:9" ht="13.15">
      <c r="A240" s="18"/>
      <c r="B240" s="18"/>
      <c r="C240" s="18"/>
      <c r="D240" s="18"/>
      <c r="E240" s="18"/>
      <c r="F240" s="19"/>
      <c r="G240" s="18"/>
      <c r="H240" s="18"/>
      <c r="I240" s="19"/>
    </row>
    <row r="241" spans="1:9" ht="13.15">
      <c r="A241" s="18"/>
      <c r="B241" s="18"/>
      <c r="C241" s="18"/>
      <c r="D241" s="18"/>
      <c r="E241" s="18"/>
      <c r="F241" s="19"/>
      <c r="G241" s="18"/>
      <c r="H241" s="18"/>
      <c r="I241" s="19"/>
    </row>
    <row r="242" spans="1:9" ht="13.15">
      <c r="A242" s="18"/>
      <c r="B242" s="18"/>
      <c r="C242" s="18"/>
      <c r="D242" s="18"/>
      <c r="E242" s="18"/>
      <c r="F242" s="19"/>
      <c r="G242" s="18"/>
      <c r="H242" s="18"/>
      <c r="I242" s="19"/>
    </row>
  </sheetData>
  <mergeCells count="4">
    <mergeCell ref="G1:I1"/>
    <mergeCell ref="A1:C1"/>
    <mergeCell ref="D1:F1"/>
    <mergeCell ref="A2:B2"/>
  </mergeCells>
  <conditionalFormatting sqref="F2 I2">
    <cfRule type="cellIs" dxfId="52" priority="3" stopIfTrue="1" operator="lessThanOrEqual">
      <formula>-0.1</formula>
    </cfRule>
    <cfRule type="expression" dxfId="51" priority="4">
      <formula>AND(ISNUMBER(F2), F2&gt;=0.1)</formula>
    </cfRule>
  </conditionalFormatting>
  <conditionalFormatting sqref="F4:F38 I4:I38">
    <cfRule type="cellIs" dxfId="50" priority="1" stopIfTrue="1" operator="lessThanOrEqual">
      <formula>-0.1</formula>
    </cfRule>
    <cfRule type="expression" dxfId="4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42"/>
  <sheetViews>
    <sheetView zoomScale="90" zoomScaleNormal="90" workbookViewId="0">
      <pane xSplit="2" ySplit="3" topLeftCell="C4" activePane="bottomRight" state="frozen"/>
      <selection pane="bottomRight" activeCell="H7" sqref="H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Cushman &amp; Wakefield</v>
      </c>
      <c r="B1" s="66"/>
      <c r="C1" s="66"/>
      <c r="D1" s="67" t="s">
        <v>18</v>
      </c>
      <c r="E1" s="67"/>
      <c r="F1" s="67"/>
      <c r="G1" s="65" t="s">
        <v>19</v>
      </c>
      <c r="H1" s="65"/>
      <c r="I1" s="65"/>
      <c r="J1" s="5"/>
      <c r="K1" s="5"/>
    </row>
    <row r="2" spans="1:11" ht="19.5" customHeight="1">
      <c r="A2" s="68" t="s">
        <v>2</v>
      </c>
      <c r="B2" s="68"/>
      <c r="C2" s="6">
        <f>SUM(C4:C38)</f>
        <v>0</v>
      </c>
      <c r="D2" s="6">
        <f>SUM(D4:D38)</f>
        <v>0</v>
      </c>
      <c r="E2" s="6">
        <f>C2-D2</f>
        <v>0</v>
      </c>
      <c r="F2" s="7">
        <f>IFERROR(E2/D2, 0)</f>
        <v>0</v>
      </c>
      <c r="G2" s="6">
        <f>SUM(G4:G38)</f>
        <v>0</v>
      </c>
      <c r="H2" s="8">
        <f>C2-G2</f>
        <v>0</v>
      </c>
      <c r="I2" s="7">
        <f>IFERROR(H2/G2, 0)</f>
        <v>0</v>
      </c>
      <c r="J2" s="23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24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7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38">Sites[Site]</f>
        <v xml:space="preserve"> Adelanto - Bank of America</v>
      </c>
      <c r="B4" s="26" t="str" cm="1">
        <f t="array" ref="B4:B38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 xml:space="preserve"> Apple Valley - Bank of America</v>
      </c>
      <c r="B5" s="28" t="str">
        <v>CA</v>
      </c>
      <c r="C5" s="10"/>
      <c r="D5" s="15"/>
      <c r="E5" s="15" t="str">
        <f t="shared" ref="E5:E15" si="0">IF(AND(ISNUMBER(C5),ISNUMBER(D5)), C5-D5, "")</f>
        <v/>
      </c>
      <c r="F5" s="16" t="str">
        <f>IFERROR(E5/D5, "")</f>
        <v/>
      </c>
      <c r="G5" s="17"/>
      <c r="H5" s="17" t="str">
        <f t="shared" ref="H5:H6" si="1">IF(AND(ISNUMBER(C5),ISNUMBER(G5)), C5-G5, "")</f>
        <v/>
      </c>
      <c r="I5" s="16" t="str">
        <f t="shared" ref="I5:I6" si="2">IFERROR(H5/G5, "")</f>
        <v/>
      </c>
      <c r="J5" s="39"/>
      <c r="K5" s="39"/>
    </row>
    <row r="6" spans="1:11" ht="15.75">
      <c r="A6" s="25" t="str">
        <v xml:space="preserve"> Arvin - Bank of America</v>
      </c>
      <c r="B6" s="26" t="str">
        <v>CA</v>
      </c>
      <c r="C6" s="21"/>
      <c r="D6" s="11"/>
      <c r="E6" s="11" t="str">
        <f t="shared" si="0"/>
        <v/>
      </c>
      <c r="F6" s="12" t="str">
        <f t="shared" ref="F6:F15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 xml:space="preserve"> Bell - Bank of America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ref="H7:H15" si="4">IF(AND(ISNUMBER(C7),ISNUMBER(G7)), C7-G7, "")</f>
        <v/>
      </c>
      <c r="I7" s="16" t="str">
        <f t="shared" ref="I7:I15" si="5">IFERROR(H7/G7, "")</f>
        <v/>
      </c>
      <c r="J7" s="39"/>
      <c r="K7" s="40"/>
    </row>
    <row r="8" spans="1:11" ht="15.75">
      <c r="A8" s="25" t="str">
        <v xml:space="preserve"> Chula Vista - Bank of America</v>
      </c>
      <c r="B8" s="26" t="str">
        <v>CA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4"/>
        <v/>
      </c>
      <c r="I8" s="14" t="str">
        <f t="shared" si="5"/>
        <v/>
      </c>
      <c r="J8" s="38"/>
      <c r="K8" s="38"/>
    </row>
    <row r="9" spans="1:11" ht="15.75">
      <c r="A9" s="27" t="str">
        <v xml:space="preserve"> Cupertino - Bank of America</v>
      </c>
      <c r="B9" s="28" t="str">
        <v>CA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4"/>
        <v/>
      </c>
      <c r="I9" s="16" t="str">
        <f t="shared" si="5"/>
        <v/>
      </c>
      <c r="J9" s="39"/>
      <c r="K9" s="40"/>
    </row>
    <row r="10" spans="1:11" ht="15.75">
      <c r="A10" s="25" t="str">
        <v xml:space="preserve"> Diamond Bar - Bank of America</v>
      </c>
      <c r="B10" s="26" t="str">
        <v>CA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4"/>
        <v/>
      </c>
      <c r="I10" s="14" t="str">
        <f t="shared" si="5"/>
        <v/>
      </c>
      <c r="J10" s="38"/>
      <c r="K10" s="38"/>
    </row>
    <row r="11" spans="1:11" ht="15.75">
      <c r="A11" s="27" t="str">
        <v xml:space="preserve"> El Centro - Bank of America</v>
      </c>
      <c r="B11" s="28" t="str">
        <v>CA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4"/>
        <v/>
      </c>
      <c r="I11" s="16" t="str">
        <f t="shared" si="5"/>
        <v/>
      </c>
      <c r="J11" s="39"/>
      <c r="K11" s="40"/>
    </row>
    <row r="12" spans="1:11" ht="15.75">
      <c r="A12" s="25" t="str">
        <v xml:space="preserve"> Moreno Valley - Bank of America</v>
      </c>
      <c r="B12" s="26" t="str">
        <v>CA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4"/>
        <v/>
      </c>
      <c r="I12" s="14" t="str">
        <f t="shared" si="5"/>
        <v/>
      </c>
      <c r="J12" s="38"/>
      <c r="K12" s="38"/>
    </row>
    <row r="13" spans="1:11" ht="15.75">
      <c r="A13" s="27" t="str">
        <v xml:space="preserve"> Redlands - Bank of America</v>
      </c>
      <c r="B13" s="28" t="str">
        <v>CA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4"/>
        <v/>
      </c>
      <c r="I13" s="16" t="str">
        <f t="shared" si="5"/>
        <v/>
      </c>
      <c r="J13" s="39"/>
      <c r="K13" s="40"/>
    </row>
    <row r="14" spans="1:11" ht="15.75">
      <c r="A14" s="25" t="str">
        <v xml:space="preserve"> Roseville - Bank of America</v>
      </c>
      <c r="B14" s="26" t="str">
        <v>CA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4"/>
        <v/>
      </c>
      <c r="I14" s="14" t="str">
        <f t="shared" si="5"/>
        <v/>
      </c>
      <c r="J14" s="38"/>
      <c r="K14" s="38"/>
    </row>
    <row r="15" spans="1:11" ht="15.75">
      <c r="A15" s="27" t="str">
        <v xml:space="preserve"> San Bernardino - Bank of America</v>
      </c>
      <c r="B15" s="28" t="str">
        <v>CA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4"/>
        <v/>
      </c>
      <c r="I15" s="16" t="str">
        <f t="shared" si="5"/>
        <v/>
      </c>
      <c r="J15" s="39"/>
      <c r="K15" s="40"/>
    </row>
    <row r="16" spans="1:11" ht="15.75">
      <c r="A16" s="25" t="str">
        <v xml:space="preserve"> San Diego - Bank of America</v>
      </c>
      <c r="B16" s="26" t="str">
        <v>CA</v>
      </c>
      <c r="C16" s="21"/>
      <c r="D16" s="11"/>
      <c r="E16" s="11" t="str">
        <f t="shared" ref="E16:E38" si="6">IF(AND(ISNUMBER(C16),ISNUMBER(D16)), C16-D16, "")</f>
        <v/>
      </c>
      <c r="F16" s="12" t="str">
        <f t="shared" ref="F16:F38" si="7">IFERROR(E16/D16, "")</f>
        <v/>
      </c>
      <c r="G16" s="13"/>
      <c r="H16" s="13" t="str">
        <f t="shared" ref="H16:H17" si="8">IF(AND(ISNUMBER(C16),ISNUMBER(G16)), C16-G16, "")</f>
        <v/>
      </c>
      <c r="I16" s="14" t="str">
        <f t="shared" ref="I16:I17" si="9">IFERROR(H16/G16, "")</f>
        <v/>
      </c>
      <c r="J16" s="38"/>
      <c r="K16" s="38"/>
    </row>
    <row r="17" spans="1:11" ht="15.75">
      <c r="A17" s="27" t="str">
        <v xml:space="preserve"> Stockton - Bank of America</v>
      </c>
      <c r="B17" s="28" t="str">
        <v>CA</v>
      </c>
      <c r="C17" s="10"/>
      <c r="D17" s="15"/>
      <c r="E17" s="15" t="str">
        <f t="shared" si="6"/>
        <v/>
      </c>
      <c r="F17" s="16" t="str">
        <f t="shared" si="7"/>
        <v/>
      </c>
      <c r="G17" s="17"/>
      <c r="H17" s="17" t="str">
        <f t="shared" si="8"/>
        <v/>
      </c>
      <c r="I17" s="16" t="str">
        <f t="shared" si="9"/>
        <v/>
      </c>
      <c r="J17" s="39"/>
      <c r="K17" s="39"/>
    </row>
    <row r="18" spans="1:11" ht="15.75">
      <c r="A18" s="25" t="str">
        <v xml:space="preserve"> Victorville - Bank of America</v>
      </c>
      <c r="B18" s="26" t="str">
        <v>CA</v>
      </c>
      <c r="C18" s="21"/>
      <c r="D18" s="11"/>
      <c r="E18" s="11" t="str">
        <f t="shared" si="6"/>
        <v/>
      </c>
      <c r="F18" s="12" t="str">
        <f t="shared" si="7"/>
        <v/>
      </c>
      <c r="G18" s="13"/>
      <c r="H18" s="13" t="str">
        <f t="shared" ref="H18:H38" si="10">IF(AND(ISNUMBER(C18),ISNUMBER(G18)), C18-G18, "")</f>
        <v/>
      </c>
      <c r="I18" s="14" t="str">
        <f t="shared" ref="I18:I38" si="11">IFERROR(H18/G18, "")</f>
        <v/>
      </c>
      <c r="J18" s="38"/>
      <c r="K18" s="38"/>
    </row>
    <row r="19" spans="1:11" ht="15.75">
      <c r="A19" s="27" t="str">
        <v xml:space="preserve"> Aurora - BA - Colfax Ave</v>
      </c>
      <c r="B19" s="28" t="str">
        <v>CO</v>
      </c>
      <c r="C19" s="10"/>
      <c r="D19" s="15"/>
      <c r="E19" s="15" t="str">
        <f t="shared" si="6"/>
        <v/>
      </c>
      <c r="F19" s="16" t="str">
        <f t="shared" si="7"/>
        <v/>
      </c>
      <c r="G19" s="17"/>
      <c r="H19" s="17" t="str">
        <f t="shared" si="10"/>
        <v/>
      </c>
      <c r="I19" s="16" t="str">
        <f t="shared" si="11"/>
        <v/>
      </c>
      <c r="J19" s="39"/>
      <c r="K19" s="40"/>
    </row>
    <row r="20" spans="1:11" ht="15.75">
      <c r="A20" s="25" t="str">
        <v xml:space="preserve"> Aurora - BA - Parker Rd</v>
      </c>
      <c r="B20" s="26" t="str">
        <v>CO</v>
      </c>
      <c r="C20" s="21"/>
      <c r="D20" s="11"/>
      <c r="E20" s="11" t="str">
        <f t="shared" si="6"/>
        <v/>
      </c>
      <c r="F20" s="12" t="str">
        <f t="shared" si="7"/>
        <v/>
      </c>
      <c r="G20" s="13"/>
      <c r="H20" s="13" t="str">
        <f t="shared" si="10"/>
        <v/>
      </c>
      <c r="I20" s="14" t="str">
        <f t="shared" si="11"/>
        <v/>
      </c>
      <c r="J20" s="38"/>
      <c r="K20" s="38"/>
    </row>
    <row r="21" spans="1:11" ht="15.75">
      <c r="A21" s="27" t="str">
        <v xml:space="preserve"> Broomfield - Bank of America</v>
      </c>
      <c r="B21" s="28" t="str">
        <v>CO</v>
      </c>
      <c r="C21" s="10"/>
      <c r="D21" s="15"/>
      <c r="E21" s="15" t="str">
        <f t="shared" si="6"/>
        <v/>
      </c>
      <c r="F21" s="16" t="str">
        <f t="shared" si="7"/>
        <v/>
      </c>
      <c r="G21" s="17"/>
      <c r="H21" s="17" t="str">
        <f t="shared" si="10"/>
        <v/>
      </c>
      <c r="I21" s="16" t="str">
        <f t="shared" si="11"/>
        <v/>
      </c>
      <c r="J21" s="39"/>
      <c r="K21" s="40"/>
    </row>
    <row r="22" spans="1:11" ht="15.75">
      <c r="A22" s="25" t="str">
        <v xml:space="preserve"> Colorado Springs - Bank of America</v>
      </c>
      <c r="B22" s="26" t="str">
        <v>CO</v>
      </c>
      <c r="C22" s="21"/>
      <c r="D22" s="11"/>
      <c r="E22" s="11" t="str">
        <f t="shared" si="6"/>
        <v/>
      </c>
      <c r="F22" s="12" t="str">
        <f t="shared" si="7"/>
        <v/>
      </c>
      <c r="G22" s="13"/>
      <c r="H22" s="13" t="str">
        <f t="shared" si="10"/>
        <v/>
      </c>
      <c r="I22" s="14" t="str">
        <f t="shared" si="11"/>
        <v/>
      </c>
      <c r="J22" s="38"/>
      <c r="K22" s="38"/>
    </row>
    <row r="23" spans="1:11" ht="15.75">
      <c r="A23" s="27" t="str">
        <v xml:space="preserve"> Denver - BA - 49th Ave</v>
      </c>
      <c r="B23" s="28" t="str">
        <v>CO</v>
      </c>
      <c r="C23" s="10"/>
      <c r="D23" s="15"/>
      <c r="E23" s="15" t="str">
        <f t="shared" si="6"/>
        <v/>
      </c>
      <c r="F23" s="16" t="str">
        <f t="shared" si="7"/>
        <v/>
      </c>
      <c r="G23" s="17"/>
      <c r="H23" s="17" t="str">
        <f t="shared" si="10"/>
        <v/>
      </c>
      <c r="I23" s="16" t="str">
        <f t="shared" si="11"/>
        <v/>
      </c>
      <c r="J23" s="39"/>
      <c r="K23" s="40"/>
    </row>
    <row r="24" spans="1:11" ht="15.75">
      <c r="A24" s="25" t="str">
        <v xml:space="preserve"> Denver - BA Wadsworth Blvd</v>
      </c>
      <c r="B24" s="26" t="str">
        <v>CO</v>
      </c>
      <c r="C24" s="21"/>
      <c r="D24" s="11"/>
      <c r="E24" s="11" t="str">
        <f t="shared" si="6"/>
        <v/>
      </c>
      <c r="F24" s="12" t="str">
        <f t="shared" si="7"/>
        <v/>
      </c>
      <c r="G24" s="13"/>
      <c r="H24" s="13" t="str">
        <f t="shared" si="10"/>
        <v/>
      </c>
      <c r="I24" s="14" t="str">
        <f t="shared" si="11"/>
        <v/>
      </c>
      <c r="J24" s="38"/>
      <c r="K24" s="38"/>
    </row>
    <row r="25" spans="1:11" ht="15.75">
      <c r="A25" s="27" t="str">
        <v xml:space="preserve"> Fort Collins - Bank of America</v>
      </c>
      <c r="B25" s="28" t="str">
        <v>CO</v>
      </c>
      <c r="C25" s="10"/>
      <c r="D25" s="15"/>
      <c r="E25" s="15" t="str">
        <f t="shared" si="6"/>
        <v/>
      </c>
      <c r="F25" s="16" t="str">
        <f t="shared" si="7"/>
        <v/>
      </c>
      <c r="G25" s="17"/>
      <c r="H25" s="17" t="str">
        <f t="shared" si="10"/>
        <v/>
      </c>
      <c r="I25" s="16" t="str">
        <f t="shared" si="11"/>
        <v/>
      </c>
      <c r="J25" s="39"/>
      <c r="K25" s="40"/>
    </row>
    <row r="26" spans="1:11" ht="15.75">
      <c r="A26" s="25" t="str">
        <v xml:space="preserve"> Lafayette - Bank of America</v>
      </c>
      <c r="B26" s="26" t="str">
        <v>CO</v>
      </c>
      <c r="C26" s="21"/>
      <c r="D26" s="11"/>
      <c r="E26" s="11" t="str">
        <f t="shared" si="6"/>
        <v/>
      </c>
      <c r="F26" s="12" t="str">
        <f t="shared" si="7"/>
        <v/>
      </c>
      <c r="G26" s="13"/>
      <c r="H26" s="13" t="str">
        <f t="shared" si="10"/>
        <v/>
      </c>
      <c r="I26" s="14" t="str">
        <f t="shared" si="11"/>
        <v/>
      </c>
      <c r="J26" s="38"/>
      <c r="K26" s="38"/>
    </row>
    <row r="27" spans="1:11" ht="15.75">
      <c r="A27" s="27" t="str">
        <v xml:space="preserve"> Lakewood - Bank of America</v>
      </c>
      <c r="B27" s="28" t="str">
        <v>CO</v>
      </c>
      <c r="C27" s="10"/>
      <c r="D27" s="15"/>
      <c r="E27" s="15" t="str">
        <f t="shared" si="6"/>
        <v/>
      </c>
      <c r="F27" s="16" t="str">
        <f t="shared" si="7"/>
        <v/>
      </c>
      <c r="G27" s="17"/>
      <c r="H27" s="17" t="str">
        <f t="shared" si="10"/>
        <v/>
      </c>
      <c r="I27" s="16" t="str">
        <f t="shared" si="11"/>
        <v/>
      </c>
      <c r="J27" s="39"/>
      <c r="K27" s="40"/>
    </row>
    <row r="28" spans="1:11" ht="15.75">
      <c r="A28" s="25" t="str">
        <v xml:space="preserve"> Longmont - Bank of America</v>
      </c>
      <c r="B28" s="26" t="str">
        <v>CO</v>
      </c>
      <c r="C28" s="21"/>
      <c r="D28" s="11"/>
      <c r="E28" s="11" t="str">
        <f t="shared" si="6"/>
        <v/>
      </c>
      <c r="F28" s="12" t="str">
        <f t="shared" si="7"/>
        <v/>
      </c>
      <c r="G28" s="13"/>
      <c r="H28" s="13" t="str">
        <f t="shared" si="10"/>
        <v/>
      </c>
      <c r="I28" s="14" t="str">
        <f t="shared" si="11"/>
        <v/>
      </c>
      <c r="J28" s="38"/>
      <c r="K28" s="38"/>
    </row>
    <row r="29" spans="1:11" ht="15.75">
      <c r="A29" s="27" t="str">
        <v xml:space="preserve"> Thornton - Bank of America</v>
      </c>
      <c r="B29" s="28" t="str">
        <v>CO</v>
      </c>
      <c r="C29" s="10"/>
      <c r="D29" s="15"/>
      <c r="E29" s="15" t="str">
        <f t="shared" si="6"/>
        <v/>
      </c>
      <c r="F29" s="16" t="str">
        <f t="shared" si="7"/>
        <v/>
      </c>
      <c r="G29" s="17"/>
      <c r="H29" s="17" t="str">
        <f t="shared" si="10"/>
        <v/>
      </c>
      <c r="I29" s="16" t="str">
        <f t="shared" si="11"/>
        <v/>
      </c>
      <c r="J29" s="39"/>
      <c r="K29" s="39"/>
    </row>
    <row r="30" spans="1:11" ht="15.75">
      <c r="A30" s="25" t="str">
        <v xml:space="preserve"> Calumet City - Bank of America</v>
      </c>
      <c r="B30" s="26" t="str">
        <v>IL</v>
      </c>
      <c r="C30" s="21"/>
      <c r="D30" s="11"/>
      <c r="E30" s="11" t="str">
        <f t="shared" si="6"/>
        <v/>
      </c>
      <c r="F30" s="12" t="str">
        <f t="shared" si="7"/>
        <v/>
      </c>
      <c r="G30" s="13"/>
      <c r="H30" s="13" t="str">
        <f t="shared" si="10"/>
        <v/>
      </c>
      <c r="I30" s="14" t="str">
        <f t="shared" si="11"/>
        <v/>
      </c>
      <c r="J30" s="38"/>
      <c r="K30" s="38"/>
    </row>
    <row r="31" spans="1:11" ht="15.75">
      <c r="A31" s="27" t="str">
        <v xml:space="preserve"> Downers Grove - Bank of America</v>
      </c>
      <c r="B31" s="28" t="str">
        <v>IL</v>
      </c>
      <c r="C31" s="10"/>
      <c r="D31" s="15"/>
      <c r="E31" s="15" t="str">
        <f t="shared" si="6"/>
        <v/>
      </c>
      <c r="F31" s="16" t="str">
        <f t="shared" si="7"/>
        <v/>
      </c>
      <c r="G31" s="17"/>
      <c r="H31" s="17" t="str">
        <f t="shared" si="10"/>
        <v/>
      </c>
      <c r="I31" s="16" t="str">
        <f t="shared" si="11"/>
        <v/>
      </c>
      <c r="J31" s="39"/>
      <c r="K31" s="40"/>
    </row>
    <row r="32" spans="1:11" ht="15.75">
      <c r="A32" s="25" t="str">
        <v xml:space="preserve"> Bloomington - Bank of America</v>
      </c>
      <c r="B32" s="26" t="str">
        <v>MN</v>
      </c>
      <c r="C32" s="21"/>
      <c r="D32" s="11"/>
      <c r="E32" s="11" t="str">
        <f t="shared" si="6"/>
        <v/>
      </c>
      <c r="F32" s="12" t="str">
        <f t="shared" si="7"/>
        <v/>
      </c>
      <c r="G32" s="13"/>
      <c r="H32" s="13" t="str">
        <f t="shared" si="10"/>
        <v/>
      </c>
      <c r="I32" s="14" t="str">
        <f t="shared" si="11"/>
        <v/>
      </c>
      <c r="J32" s="38"/>
      <c r="K32" s="38"/>
    </row>
    <row r="33" spans="1:11" ht="44.25" customHeight="1">
      <c r="A33" s="27" t="str">
        <v xml:space="preserve"> Clayton - Bank of America</v>
      </c>
      <c r="B33" s="28" t="str">
        <v>MO</v>
      </c>
      <c r="C33" s="10"/>
      <c r="D33" s="15"/>
      <c r="E33" s="15" t="str">
        <f t="shared" si="6"/>
        <v/>
      </c>
      <c r="F33" s="16" t="str">
        <f t="shared" si="7"/>
        <v/>
      </c>
      <c r="G33" s="17"/>
      <c r="H33" s="17" t="str">
        <f t="shared" si="10"/>
        <v/>
      </c>
      <c r="I33" s="16" t="str">
        <f t="shared" si="11"/>
        <v/>
      </c>
      <c r="J33" s="39"/>
      <c r="K33" s="40"/>
    </row>
    <row r="34" spans="1:11" ht="15.75">
      <c r="A34" s="25" t="str">
        <v xml:space="preserve"> Manchester - Bank of America</v>
      </c>
      <c r="B34" s="26" t="str">
        <v>MO</v>
      </c>
      <c r="C34" s="21"/>
      <c r="D34" s="11"/>
      <c r="E34" s="11" t="str">
        <f t="shared" si="6"/>
        <v/>
      </c>
      <c r="F34" s="12" t="str">
        <f t="shared" si="7"/>
        <v/>
      </c>
      <c r="G34" s="13"/>
      <c r="H34" s="13" t="str">
        <f t="shared" si="10"/>
        <v/>
      </c>
      <c r="I34" s="14" t="str">
        <f t="shared" si="11"/>
        <v/>
      </c>
      <c r="J34" s="38"/>
      <c r="K34" s="38"/>
    </row>
    <row r="35" spans="1:11" ht="15.75">
      <c r="A35" s="27" t="str">
        <v xml:space="preserve"> Las Vegas - BA - Eastern Ave</v>
      </c>
      <c r="B35" s="28" t="str">
        <v>NV</v>
      </c>
      <c r="C35" s="10"/>
      <c r="D35" s="15"/>
      <c r="E35" s="15" t="str">
        <f t="shared" si="6"/>
        <v/>
      </c>
      <c r="F35" s="16" t="str">
        <f t="shared" si="7"/>
        <v/>
      </c>
      <c r="G35" s="17"/>
      <c r="H35" s="17" t="str">
        <f t="shared" si="10"/>
        <v/>
      </c>
      <c r="I35" s="16" t="str">
        <f t="shared" si="11"/>
        <v/>
      </c>
      <c r="J35" s="39"/>
      <c r="K35" s="40"/>
    </row>
    <row r="36" spans="1:11" ht="15.75">
      <c r="A36" s="25" t="str">
        <v xml:space="preserve"> Las Vegas - BA - Town Ctr Dr</v>
      </c>
      <c r="B36" s="26" t="str">
        <v>NV</v>
      </c>
      <c r="C36" s="21"/>
      <c r="D36" s="11"/>
      <c r="E36" s="11" t="str">
        <f t="shared" si="6"/>
        <v/>
      </c>
      <c r="F36" s="12" t="str">
        <f t="shared" si="7"/>
        <v/>
      </c>
      <c r="G36" s="13"/>
      <c r="H36" s="13" t="str">
        <f t="shared" si="10"/>
        <v/>
      </c>
      <c r="I36" s="14" t="str">
        <f t="shared" si="11"/>
        <v/>
      </c>
      <c r="J36" s="38"/>
      <c r="K36" s="38"/>
    </row>
    <row r="37" spans="1:11" ht="15.75">
      <c r="A37" s="27" t="str">
        <v xml:space="preserve"> Riverton - Bank of America</v>
      </c>
      <c r="B37" s="28" t="str">
        <v>UT</v>
      </c>
      <c r="C37" s="10"/>
      <c r="D37" s="15"/>
      <c r="E37" s="15" t="str">
        <f t="shared" si="6"/>
        <v/>
      </c>
      <c r="F37" s="16" t="str">
        <f t="shared" si="7"/>
        <v/>
      </c>
      <c r="G37" s="17"/>
      <c r="H37" s="17" t="str">
        <f t="shared" si="10"/>
        <v/>
      </c>
      <c r="I37" s="16" t="str">
        <f t="shared" si="11"/>
        <v/>
      </c>
      <c r="J37" s="39"/>
      <c r="K37" s="40"/>
    </row>
    <row r="38" spans="1:11" ht="15.75">
      <c r="A38" s="25" t="str">
        <v xml:space="preserve"> Salt Lake City - Bank of America</v>
      </c>
      <c r="B38" s="26" t="str">
        <v>UT</v>
      </c>
      <c r="C38" s="21"/>
      <c r="D38" s="11"/>
      <c r="E38" s="11" t="str">
        <f t="shared" si="6"/>
        <v/>
      </c>
      <c r="F38" s="12" t="str">
        <f t="shared" si="7"/>
        <v/>
      </c>
      <c r="G38" s="13"/>
      <c r="H38" s="13" t="str">
        <f t="shared" si="10"/>
        <v/>
      </c>
      <c r="I38" s="14" t="str">
        <f t="shared" si="11"/>
        <v/>
      </c>
      <c r="J38" s="38"/>
      <c r="K38" s="38"/>
    </row>
    <row r="39" spans="1:11" ht="14.25">
      <c r="A39" s="18"/>
      <c r="B39" s="30"/>
      <c r="C39" s="18"/>
      <c r="D39" s="18"/>
      <c r="E39" s="18"/>
      <c r="F39" s="19"/>
      <c r="G39" s="18"/>
      <c r="H39" s="18"/>
      <c r="I39" s="19"/>
      <c r="J39" s="18"/>
      <c r="K39" s="18"/>
    </row>
    <row r="40" spans="1:11" ht="14.25">
      <c r="A40" s="18"/>
      <c r="B40" s="30"/>
      <c r="C40" s="18"/>
      <c r="D40" s="18"/>
      <c r="E40" s="18"/>
      <c r="F40" s="19"/>
      <c r="G40" s="18"/>
      <c r="H40" s="18"/>
      <c r="I40" s="19"/>
      <c r="J40" s="18"/>
      <c r="K40" s="18"/>
    </row>
    <row r="41" spans="1:11" ht="14.25">
      <c r="A41" s="18"/>
      <c r="B41" s="30"/>
      <c r="C41" s="18"/>
      <c r="D41" s="18"/>
      <c r="E41" s="18"/>
      <c r="F41" s="19"/>
      <c r="G41" s="18"/>
      <c r="H41" s="18"/>
      <c r="I41" s="19"/>
      <c r="J41" s="18"/>
      <c r="K41" s="18"/>
    </row>
    <row r="42" spans="1:11" ht="14.25">
      <c r="A42" s="18"/>
      <c r="B42" s="30"/>
      <c r="C42" s="18"/>
      <c r="D42" s="18"/>
      <c r="E42" s="18"/>
      <c r="F42" s="19"/>
      <c r="G42" s="18"/>
      <c r="H42" s="18"/>
      <c r="I42" s="19"/>
      <c r="J42" s="18"/>
      <c r="K42" s="18"/>
    </row>
    <row r="43" spans="1:11" ht="14.25">
      <c r="A43" s="18"/>
      <c r="B43" s="30"/>
      <c r="C43" s="18"/>
      <c r="D43" s="18"/>
      <c r="E43" s="18"/>
      <c r="F43" s="19"/>
      <c r="G43" s="18"/>
      <c r="H43" s="18"/>
      <c r="I43" s="19"/>
      <c r="J43" s="18"/>
      <c r="K43" s="18"/>
    </row>
    <row r="44" spans="1:11" ht="14.25">
      <c r="A44" s="18"/>
      <c r="B44" s="30"/>
      <c r="C44" s="18"/>
      <c r="D44" s="18"/>
      <c r="E44" s="18"/>
      <c r="F44" s="19"/>
      <c r="G44" s="18"/>
      <c r="H44" s="18"/>
      <c r="I44" s="19"/>
      <c r="J44" s="18"/>
      <c r="K44" s="18"/>
    </row>
    <row r="45" spans="1:11" ht="14.25">
      <c r="A45" s="18"/>
      <c r="B45" s="30"/>
      <c r="C45" s="18"/>
      <c r="D45" s="18"/>
      <c r="E45" s="18"/>
      <c r="F45" s="19"/>
      <c r="G45" s="18"/>
      <c r="H45" s="18"/>
      <c r="I45" s="19"/>
      <c r="J45" s="18"/>
      <c r="K45" s="18"/>
    </row>
    <row r="46" spans="1:11" ht="14.25">
      <c r="A46" s="18"/>
      <c r="B46" s="30"/>
      <c r="C46" s="18"/>
      <c r="D46" s="18"/>
      <c r="E46" s="18"/>
      <c r="F46" s="19"/>
      <c r="G46" s="18"/>
      <c r="H46" s="18"/>
      <c r="I46" s="19"/>
      <c r="J46" s="18"/>
      <c r="K46" s="18"/>
    </row>
    <row r="47" spans="1:11" ht="14.25">
      <c r="A47" s="18"/>
      <c r="B47" s="30"/>
      <c r="C47" s="18"/>
      <c r="D47" s="18"/>
      <c r="E47" s="18"/>
      <c r="F47" s="19"/>
      <c r="G47" s="18"/>
      <c r="H47" s="18"/>
      <c r="I47" s="19"/>
      <c r="J47" s="18"/>
      <c r="K47" s="18"/>
    </row>
    <row r="48" spans="1:11" ht="14.25">
      <c r="A48" s="18"/>
      <c r="B48" s="30"/>
      <c r="C48" s="18"/>
      <c r="D48" s="18"/>
      <c r="E48" s="18"/>
      <c r="F48" s="19"/>
      <c r="G48" s="18"/>
      <c r="H48" s="18"/>
      <c r="I48" s="19"/>
      <c r="J48" s="18"/>
      <c r="K48" s="18"/>
    </row>
    <row r="49" spans="1:11" ht="14.25">
      <c r="A49" s="18"/>
      <c r="B49" s="30"/>
      <c r="C49" s="18"/>
      <c r="D49" s="18"/>
      <c r="E49" s="18"/>
      <c r="F49" s="19"/>
      <c r="G49" s="18"/>
      <c r="H49" s="18"/>
      <c r="I49" s="19"/>
      <c r="J49" s="18"/>
      <c r="K49" s="18"/>
    </row>
    <row r="50" spans="1:11" ht="14.25">
      <c r="A50" s="18"/>
      <c r="B50" s="30"/>
      <c r="C50" s="18"/>
      <c r="D50" s="18"/>
      <c r="E50" s="18"/>
      <c r="F50" s="19"/>
      <c r="G50" s="18"/>
      <c r="H50" s="18"/>
      <c r="I50" s="19"/>
      <c r="J50" s="18"/>
      <c r="K50" s="18"/>
    </row>
    <row r="51" spans="1:11" ht="14.25">
      <c r="A51" s="18"/>
      <c r="B51" s="30"/>
      <c r="C51" s="18"/>
      <c r="D51" s="18"/>
      <c r="E51" s="18"/>
      <c r="F51" s="19"/>
      <c r="G51" s="18"/>
      <c r="H51" s="18"/>
      <c r="I51" s="19"/>
      <c r="J51" s="18"/>
      <c r="K51" s="18"/>
    </row>
    <row r="52" spans="1:11" ht="14.25">
      <c r="A52" s="18"/>
      <c r="B52" s="30"/>
      <c r="C52" s="18"/>
      <c r="D52" s="18"/>
      <c r="E52" s="18"/>
      <c r="F52" s="19"/>
      <c r="G52" s="18"/>
      <c r="H52" s="18"/>
      <c r="I52" s="19"/>
      <c r="J52" s="18"/>
      <c r="K52" s="18"/>
    </row>
    <row r="53" spans="1:11" ht="14.25">
      <c r="A53" s="18"/>
      <c r="B53" s="30"/>
      <c r="C53" s="18"/>
      <c r="D53" s="18"/>
      <c r="E53" s="18"/>
      <c r="F53" s="19"/>
      <c r="G53" s="18"/>
      <c r="H53" s="18"/>
      <c r="I53" s="19"/>
      <c r="J53" s="18"/>
      <c r="K53" s="18"/>
    </row>
    <row r="54" spans="1:11" ht="14.25">
      <c r="A54" s="18"/>
      <c r="B54" s="30"/>
      <c r="C54" s="18"/>
      <c r="D54" s="18"/>
      <c r="E54" s="18"/>
      <c r="F54" s="19"/>
      <c r="G54" s="18"/>
      <c r="H54" s="18"/>
      <c r="I54" s="19"/>
      <c r="J54" s="18"/>
      <c r="K54" s="18"/>
    </row>
    <row r="55" spans="1:11" ht="14.25">
      <c r="A55" s="18"/>
      <c r="B55" s="30"/>
      <c r="C55" s="18"/>
      <c r="D55" s="18"/>
      <c r="E55" s="18"/>
      <c r="F55" s="19"/>
      <c r="G55" s="18"/>
      <c r="H55" s="18"/>
      <c r="I55" s="19"/>
      <c r="J55" s="18"/>
      <c r="K55" s="18"/>
    </row>
    <row r="56" spans="1:11" ht="14.25">
      <c r="A56" s="18"/>
      <c r="B56" s="30"/>
      <c r="C56" s="18"/>
      <c r="D56" s="18"/>
      <c r="E56" s="18"/>
      <c r="F56" s="19"/>
      <c r="G56" s="18"/>
      <c r="H56" s="18"/>
      <c r="I56" s="19"/>
      <c r="J56" s="18"/>
      <c r="K56" s="18"/>
    </row>
    <row r="57" spans="1:11" ht="14.25">
      <c r="A57" s="18"/>
      <c r="B57" s="30"/>
      <c r="C57" s="18"/>
      <c r="D57" s="18"/>
      <c r="E57" s="18"/>
      <c r="F57" s="19"/>
      <c r="G57" s="18"/>
      <c r="H57" s="18"/>
      <c r="I57" s="19"/>
      <c r="J57" s="18"/>
      <c r="K57" s="18"/>
    </row>
    <row r="58" spans="1:11" ht="14.25">
      <c r="A58" s="18"/>
      <c r="B58" s="30"/>
      <c r="C58" s="18"/>
      <c r="D58" s="18"/>
      <c r="E58" s="18"/>
      <c r="F58" s="19"/>
      <c r="G58" s="18"/>
      <c r="H58" s="18"/>
      <c r="I58" s="19"/>
      <c r="J58" s="18"/>
      <c r="K58" s="18"/>
    </row>
    <row r="59" spans="1:11" ht="14.25">
      <c r="A59" s="18"/>
      <c r="B59" s="30"/>
      <c r="C59" s="18"/>
      <c r="D59" s="18"/>
      <c r="E59" s="18"/>
      <c r="F59" s="19"/>
      <c r="G59" s="18"/>
      <c r="H59" s="18"/>
      <c r="I59" s="19"/>
      <c r="J59" s="18"/>
      <c r="K59" s="18"/>
    </row>
    <row r="60" spans="1:11" ht="14.25">
      <c r="A60" s="18"/>
      <c r="B60" s="30"/>
      <c r="C60" s="18"/>
      <c r="D60" s="18"/>
      <c r="E60" s="18"/>
      <c r="F60" s="19"/>
      <c r="G60" s="18"/>
      <c r="H60" s="18"/>
      <c r="I60" s="19"/>
      <c r="J60" s="18"/>
      <c r="K60" s="18"/>
    </row>
    <row r="61" spans="1:11" ht="14.25">
      <c r="A61" s="18"/>
      <c r="B61" s="30"/>
      <c r="C61" s="18"/>
      <c r="D61" s="18"/>
      <c r="E61" s="18"/>
      <c r="F61" s="19"/>
      <c r="G61" s="18"/>
      <c r="H61" s="18"/>
      <c r="I61" s="19"/>
      <c r="J61" s="18"/>
      <c r="K61" s="18"/>
    </row>
    <row r="62" spans="1:11" ht="14.25">
      <c r="A62" s="18"/>
      <c r="B62" s="30"/>
      <c r="C62" s="18"/>
      <c r="D62" s="18"/>
      <c r="E62" s="18"/>
      <c r="F62" s="19"/>
      <c r="G62" s="18"/>
      <c r="H62" s="18"/>
      <c r="I62" s="19"/>
      <c r="J62" s="18"/>
      <c r="K62" s="18"/>
    </row>
    <row r="63" spans="1:11" ht="14.25">
      <c r="A63" s="18"/>
      <c r="B63" s="30"/>
      <c r="C63" s="18"/>
      <c r="D63" s="18"/>
      <c r="E63" s="18"/>
      <c r="F63" s="19"/>
      <c r="G63" s="18"/>
      <c r="H63" s="18"/>
      <c r="I63" s="19"/>
      <c r="J63" s="18"/>
      <c r="K63" s="18"/>
    </row>
    <row r="64" spans="1:11" ht="14.25">
      <c r="A64" s="18"/>
      <c r="B64" s="30"/>
      <c r="C64" s="18"/>
      <c r="D64" s="18"/>
      <c r="E64" s="18"/>
      <c r="F64" s="19"/>
      <c r="G64" s="18"/>
      <c r="H64" s="18"/>
      <c r="I64" s="19"/>
      <c r="J64" s="18"/>
      <c r="K64" s="18"/>
    </row>
    <row r="65" spans="1:11" ht="14.25">
      <c r="A65" s="18"/>
      <c r="B65" s="30"/>
      <c r="C65" s="18"/>
      <c r="D65" s="18"/>
      <c r="E65" s="18"/>
      <c r="F65" s="19"/>
      <c r="G65" s="18"/>
      <c r="H65" s="18"/>
      <c r="I65" s="19"/>
      <c r="J65" s="18"/>
      <c r="K65" s="18"/>
    </row>
    <row r="66" spans="1:11" ht="14.25">
      <c r="A66" s="18"/>
      <c r="B66" s="30"/>
      <c r="C66" s="18"/>
      <c r="D66" s="18"/>
      <c r="E66" s="18"/>
      <c r="F66" s="19"/>
      <c r="G66" s="18"/>
      <c r="H66" s="18"/>
      <c r="I66" s="19"/>
      <c r="J66" s="18"/>
      <c r="K66" s="18"/>
    </row>
    <row r="67" spans="1:11" ht="14.25">
      <c r="A67" s="18"/>
      <c r="B67" s="30"/>
      <c r="C67" s="18"/>
      <c r="D67" s="18"/>
      <c r="E67" s="18"/>
      <c r="F67" s="19"/>
      <c r="G67" s="18"/>
      <c r="H67" s="18"/>
      <c r="I67" s="19"/>
      <c r="J67" s="18"/>
      <c r="K67" s="18"/>
    </row>
    <row r="68" spans="1:11" ht="14.25">
      <c r="A68" s="18"/>
      <c r="B68" s="30"/>
      <c r="C68" s="18"/>
      <c r="D68" s="18"/>
      <c r="E68" s="18"/>
      <c r="F68" s="19"/>
      <c r="G68" s="18"/>
      <c r="H68" s="18"/>
      <c r="I68" s="19"/>
      <c r="J68" s="18"/>
      <c r="K68" s="18"/>
    </row>
    <row r="69" spans="1:11" ht="14.25">
      <c r="A69" s="18"/>
      <c r="B69" s="30"/>
      <c r="C69" s="18"/>
      <c r="D69" s="18"/>
      <c r="E69" s="18"/>
      <c r="F69" s="19"/>
      <c r="G69" s="18"/>
      <c r="H69" s="18"/>
      <c r="I69" s="19"/>
      <c r="J69" s="18"/>
      <c r="K69" s="18"/>
    </row>
    <row r="70" spans="1:11" ht="14.25">
      <c r="A70" s="18"/>
      <c r="B70" s="30"/>
      <c r="C70" s="18"/>
      <c r="D70" s="18"/>
      <c r="E70" s="18"/>
      <c r="F70" s="19"/>
      <c r="G70" s="18"/>
      <c r="H70" s="18"/>
      <c r="I70" s="19"/>
      <c r="J70" s="18"/>
      <c r="K70" s="18"/>
    </row>
    <row r="71" spans="1:11" ht="14.25">
      <c r="A71" s="18"/>
      <c r="B71" s="30"/>
      <c r="C71" s="18"/>
      <c r="D71" s="18"/>
      <c r="E71" s="18"/>
      <c r="F71" s="19"/>
      <c r="G71" s="18"/>
      <c r="H71" s="18"/>
      <c r="I71" s="19"/>
      <c r="J71" s="18"/>
      <c r="K71" s="18"/>
    </row>
    <row r="72" spans="1:11" ht="14.25">
      <c r="A72" s="18"/>
      <c r="B72" s="30"/>
      <c r="C72" s="18"/>
      <c r="D72" s="18"/>
      <c r="E72" s="18"/>
      <c r="F72" s="19"/>
      <c r="G72" s="18"/>
      <c r="H72" s="18"/>
      <c r="I72" s="19"/>
      <c r="J72" s="18"/>
      <c r="K72" s="18"/>
    </row>
    <row r="73" spans="1:11" ht="14.25">
      <c r="A73" s="18"/>
      <c r="B73" s="30"/>
      <c r="C73" s="18"/>
      <c r="D73" s="18"/>
      <c r="E73" s="18"/>
      <c r="F73" s="19"/>
      <c r="G73" s="18"/>
      <c r="H73" s="18"/>
      <c r="I73" s="19"/>
      <c r="J73" s="18"/>
      <c r="K73" s="18"/>
    </row>
    <row r="74" spans="1:11" ht="14.25">
      <c r="A74" s="18"/>
      <c r="B74" s="30"/>
      <c r="C74" s="18"/>
      <c r="D74" s="18"/>
      <c r="E74" s="18"/>
      <c r="F74" s="19"/>
      <c r="G74" s="18"/>
      <c r="H74" s="18"/>
      <c r="I74" s="19"/>
      <c r="J74" s="18"/>
      <c r="K74" s="18"/>
    </row>
    <row r="75" spans="1:11" ht="14.25">
      <c r="A75" s="18"/>
      <c r="B75" s="30"/>
      <c r="C75" s="18"/>
      <c r="D75" s="18"/>
      <c r="E75" s="18"/>
      <c r="F75" s="19"/>
      <c r="G75" s="18"/>
      <c r="H75" s="18"/>
      <c r="I75" s="19"/>
      <c r="J75" s="18"/>
      <c r="K75" s="18"/>
    </row>
    <row r="76" spans="1:11" ht="14.25">
      <c r="A76" s="18"/>
      <c r="B76" s="30"/>
      <c r="C76" s="18"/>
      <c r="D76" s="18"/>
      <c r="E76" s="18"/>
      <c r="F76" s="19"/>
      <c r="G76" s="18"/>
      <c r="H76" s="18"/>
      <c r="I76" s="19"/>
      <c r="J76" s="18"/>
      <c r="K76" s="18"/>
    </row>
    <row r="77" spans="1:11" ht="14.25">
      <c r="A77" s="18"/>
      <c r="B77" s="30"/>
      <c r="C77" s="18"/>
      <c r="D77" s="18"/>
      <c r="E77" s="18"/>
      <c r="F77" s="19"/>
      <c r="G77" s="18"/>
      <c r="H77" s="18"/>
      <c r="I77" s="19"/>
      <c r="J77" s="18"/>
      <c r="K77" s="18"/>
    </row>
    <row r="78" spans="1:11" ht="14.25">
      <c r="A78" s="18"/>
      <c r="B78" s="30"/>
      <c r="C78" s="18"/>
      <c r="D78" s="18"/>
      <c r="E78" s="18"/>
      <c r="F78" s="19"/>
      <c r="G78" s="18"/>
      <c r="H78" s="18"/>
      <c r="I78" s="19"/>
      <c r="J78" s="18"/>
      <c r="K78" s="18"/>
    </row>
    <row r="79" spans="1:11" ht="14.25">
      <c r="A79" s="18"/>
      <c r="B79" s="30"/>
      <c r="C79" s="18"/>
      <c r="D79" s="18"/>
      <c r="E79" s="18"/>
      <c r="F79" s="19"/>
      <c r="G79" s="18"/>
      <c r="H79" s="18"/>
      <c r="I79" s="19"/>
      <c r="J79" s="18"/>
      <c r="K79" s="18"/>
    </row>
    <row r="80" spans="1:11" ht="14.25">
      <c r="A80" s="18"/>
      <c r="B80" s="30"/>
      <c r="C80" s="18"/>
      <c r="D80" s="18"/>
      <c r="E80" s="18"/>
      <c r="F80" s="19"/>
      <c r="G80" s="18"/>
      <c r="H80" s="18"/>
      <c r="I80" s="19"/>
      <c r="J80" s="18"/>
      <c r="K80" s="18"/>
    </row>
    <row r="81" spans="1:11" ht="14.25">
      <c r="A81" s="18"/>
      <c r="B81" s="30"/>
      <c r="C81" s="18"/>
      <c r="D81" s="18"/>
      <c r="E81" s="18"/>
      <c r="F81" s="19"/>
      <c r="G81" s="18"/>
      <c r="H81" s="18"/>
      <c r="I81" s="19"/>
      <c r="J81" s="18"/>
      <c r="K81" s="18"/>
    </row>
    <row r="82" spans="1:11" ht="14.25">
      <c r="A82" s="18"/>
      <c r="B82" s="30"/>
      <c r="C82" s="18"/>
      <c r="D82" s="18"/>
      <c r="E82" s="18"/>
      <c r="F82" s="19"/>
      <c r="G82" s="18"/>
      <c r="H82" s="18"/>
      <c r="I82" s="19"/>
      <c r="J82" s="18"/>
      <c r="K82" s="18"/>
    </row>
    <row r="83" spans="1:11" ht="14.25">
      <c r="A83" s="18"/>
      <c r="B83" s="30"/>
      <c r="C83" s="18"/>
      <c r="D83" s="18"/>
      <c r="E83" s="18"/>
      <c r="F83" s="19"/>
      <c r="G83" s="18"/>
      <c r="H83" s="18"/>
      <c r="I83" s="19"/>
      <c r="J83" s="18"/>
      <c r="K83" s="18"/>
    </row>
    <row r="84" spans="1:11" ht="14.25">
      <c r="A84" s="18"/>
      <c r="B84" s="30"/>
      <c r="C84" s="18"/>
      <c r="D84" s="18"/>
      <c r="E84" s="18"/>
      <c r="F84" s="19"/>
      <c r="G84" s="18"/>
      <c r="H84" s="18"/>
      <c r="I84" s="19"/>
      <c r="J84" s="18"/>
      <c r="K84" s="18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</sheetData>
  <mergeCells count="4">
    <mergeCell ref="D1:F1"/>
    <mergeCell ref="A1:C1"/>
    <mergeCell ref="G1:I1"/>
    <mergeCell ref="A2:B2"/>
  </mergeCells>
  <conditionalFormatting sqref="F2 I2">
    <cfRule type="cellIs" dxfId="48" priority="8" stopIfTrue="1" operator="lessThanOrEqual">
      <formula>-0.1</formula>
    </cfRule>
    <cfRule type="expression" dxfId="47" priority="9">
      <formula>AND(ISNUMBER(F2), F2&gt;=0.1)</formula>
    </cfRule>
  </conditionalFormatting>
  <conditionalFormatting sqref="F4:F38 I4:I38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243"/>
  <sheetViews>
    <sheetView zoomScaleNormal="100" workbookViewId="0">
      <pane xSplit="2" ySplit="3" topLeftCell="C4" activePane="bottomRight" state="frozen"/>
      <selection pane="bottomRight" activeCell="H6" sqref="H6"/>
      <selection pane="bottomLeft" activeCell="J4" activeCellId="3" sqref="A39:XFD137 C4:D38 G4:G38 J4:K37"/>
      <selection pane="topRight" activeCell="J4" activeCellId="3" sqref="A39:XFD137 C4:D38 G4:G38 J4:K37"/>
    </sheetView>
  </sheetViews>
  <sheetFormatPr defaultRowHeight="14.2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110.28515625" style="54" customWidth="1"/>
    <col min="11" max="11" width="30.42578125" customWidth="1"/>
  </cols>
  <sheetData>
    <row r="1" spans="1:11" ht="15">
      <c r="A1" s="66" t="str" cm="1">
        <f t="array" ref="A1">portfolio</f>
        <v>Cushman &amp; Wakefield</v>
      </c>
      <c r="B1" s="66"/>
      <c r="C1" s="66"/>
      <c r="D1" s="67" t="s">
        <v>22</v>
      </c>
      <c r="E1" s="67"/>
      <c r="F1" s="67"/>
      <c r="G1" s="65" t="s">
        <v>23</v>
      </c>
      <c r="H1" s="65"/>
      <c r="I1" s="65"/>
      <c r="J1" s="50"/>
      <c r="K1" s="5"/>
    </row>
    <row r="2" spans="1:11" ht="15">
      <c r="A2" s="68" t="s">
        <v>2</v>
      </c>
      <c r="B2" s="68"/>
      <c r="C2" s="6">
        <f>SUM(C4:C38)</f>
        <v>0</v>
      </c>
      <c r="D2" s="6">
        <f>SUM(D4:D38)</f>
        <v>0</v>
      </c>
      <c r="E2" s="6">
        <f>C2-D2</f>
        <v>0</v>
      </c>
      <c r="F2" s="7">
        <f>IFERROR(E2/D2, 0)</f>
        <v>0</v>
      </c>
      <c r="G2" s="6">
        <f>SUM(G4:G38)</f>
        <v>0</v>
      </c>
      <c r="H2" s="8">
        <f>C2-G2</f>
        <v>0</v>
      </c>
      <c r="I2" s="7">
        <f>IFERROR(H2/G2, 0)</f>
        <v>0</v>
      </c>
      <c r="J2" s="51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5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52" t="s">
        <v>20</v>
      </c>
      <c r="K3" s="22" t="s">
        <v>21</v>
      </c>
    </row>
    <row r="4" spans="1:11" ht="15.75">
      <c r="A4" s="29" t="str" cm="1">
        <f t="array" ref="A4:A38">Sites[Site]</f>
        <v xml:space="preserve"> Adelanto - Bank of America</v>
      </c>
      <c r="B4" s="26" t="str" cm="1">
        <f t="array" ref="B4:B38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53"/>
      <c r="K4" s="38"/>
    </row>
    <row r="5" spans="1:11" ht="15.75">
      <c r="A5" s="27" t="str">
        <v xml:space="preserve"> Apple Valley - Bank of America</v>
      </c>
      <c r="B5" s="28" t="str">
        <v>CA</v>
      </c>
      <c r="C5" s="10"/>
      <c r="D5" s="15"/>
      <c r="E5" s="15" t="str">
        <f t="shared" ref="E5:E15" si="0">IF(AND(ISNUMBER(C5),ISNUMBER(D5)), C5-D5, "")</f>
        <v/>
      </c>
      <c r="F5" s="16" t="str">
        <f>IFERROR(E5/D5, "")</f>
        <v/>
      </c>
      <c r="G5" s="17"/>
      <c r="H5" s="17" t="str">
        <f t="shared" ref="H5:H15" si="1">IF(AND(ISNUMBER(C5),ISNUMBER(G5)), C5-G5, "")</f>
        <v/>
      </c>
      <c r="I5" s="16" t="str">
        <f t="shared" ref="I5:I15" si="2">IFERROR(H5/G5, "")</f>
        <v/>
      </c>
      <c r="J5" s="57"/>
      <c r="K5" s="57"/>
    </row>
    <row r="6" spans="1:11" ht="15.75">
      <c r="A6" s="25" t="str">
        <v xml:space="preserve"> Arvin - Bank of America</v>
      </c>
      <c r="B6" s="26" t="str">
        <v>CA</v>
      </c>
      <c r="C6" s="21"/>
      <c r="D6" s="11"/>
      <c r="E6" s="11" t="str">
        <f t="shared" si="0"/>
        <v/>
      </c>
      <c r="F6" s="12" t="str">
        <f t="shared" ref="F6:F15" si="3">IFERROR(E6/D6, "")</f>
        <v/>
      </c>
      <c r="G6" s="13"/>
      <c r="H6" s="13" t="str">
        <f t="shared" si="1"/>
        <v/>
      </c>
      <c r="I6" s="14" t="str">
        <f t="shared" si="2"/>
        <v/>
      </c>
      <c r="J6" s="53"/>
      <c r="K6" s="55"/>
    </row>
    <row r="7" spans="1:11" ht="15.75">
      <c r="A7" s="27" t="str">
        <v xml:space="preserve"> Bell - Bank of America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57"/>
      <c r="K7" s="58"/>
    </row>
    <row r="8" spans="1:11" ht="15.75">
      <c r="A8" s="25" t="str">
        <v xml:space="preserve"> Chula Vista - Bank of America</v>
      </c>
      <c r="B8" s="26" t="str">
        <v>CA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53"/>
      <c r="K8" s="55"/>
    </row>
    <row r="9" spans="1:11" ht="15.75">
      <c r="A9" s="27" t="str">
        <v xml:space="preserve"> Cupertino - Bank of America</v>
      </c>
      <c r="B9" s="28" t="str">
        <v>CA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57"/>
      <c r="K9" s="58"/>
    </row>
    <row r="10" spans="1:11" ht="15.75">
      <c r="A10" s="25" t="str">
        <v xml:space="preserve"> Diamond Bar - Bank of America</v>
      </c>
      <c r="B10" s="26" t="str">
        <v>CA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53"/>
      <c r="K10" s="55"/>
    </row>
    <row r="11" spans="1:11" s="49" customFormat="1" ht="15.75">
      <c r="A11" s="43" t="str">
        <v xml:space="preserve"> El Centro - Bank of America</v>
      </c>
      <c r="B11" s="44" t="str">
        <v>CA</v>
      </c>
      <c r="C11" s="45"/>
      <c r="D11" s="46"/>
      <c r="E11" s="46" t="str">
        <f t="shared" si="0"/>
        <v/>
      </c>
      <c r="F11" s="47" t="str">
        <f t="shared" si="3"/>
        <v/>
      </c>
      <c r="G11" s="48"/>
      <c r="H11" s="48" t="str">
        <f t="shared" si="1"/>
        <v/>
      </c>
      <c r="I11" s="47" t="str">
        <f t="shared" si="2"/>
        <v/>
      </c>
      <c r="J11" s="61"/>
      <c r="K11" s="62"/>
    </row>
    <row r="12" spans="1:11" ht="15.75">
      <c r="A12" s="25" t="str">
        <v xml:space="preserve"> Moreno Valley - Bank of America</v>
      </c>
      <c r="B12" s="26" t="str">
        <v>CA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53"/>
      <c r="K12" s="55"/>
    </row>
    <row r="13" spans="1:11" ht="15.75">
      <c r="A13" s="27" t="str">
        <v xml:space="preserve"> Redlands - Bank of America</v>
      </c>
      <c r="B13" s="28" t="str">
        <v>CA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57"/>
      <c r="K13" s="58"/>
    </row>
    <row r="14" spans="1:11" ht="15.75">
      <c r="A14" s="25" t="str">
        <v xml:space="preserve"> Roseville - Bank of America</v>
      </c>
      <c r="B14" s="26" t="str">
        <v>CA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53"/>
      <c r="K14" s="55"/>
    </row>
    <row r="15" spans="1:11" ht="15.75">
      <c r="A15" s="27" t="str">
        <v xml:space="preserve"> San Bernardino - Bank of America</v>
      </c>
      <c r="B15" s="28" t="str">
        <v>CA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57"/>
      <c r="K15" s="58"/>
    </row>
    <row r="16" spans="1:11" ht="15.75">
      <c r="A16" s="25" t="str">
        <v xml:space="preserve"> San Diego - Bank of America</v>
      </c>
      <c r="B16" s="26" t="str">
        <v>CA</v>
      </c>
      <c r="C16" s="21"/>
      <c r="D16" s="11"/>
      <c r="E16" s="11" t="str">
        <f t="shared" ref="E16:E17" si="4">IF(AND(ISNUMBER(C16),ISNUMBER(D16)), C16-D16, "")</f>
        <v/>
      </c>
      <c r="F16" s="12" t="str">
        <f t="shared" ref="F16:F17" si="5">IFERROR(E16/D16, "")</f>
        <v/>
      </c>
      <c r="G16" s="13"/>
      <c r="H16" s="13" t="str">
        <f t="shared" ref="H16:H17" si="6">IF(AND(ISNUMBER(C16),ISNUMBER(G16)), C16-G16, "")</f>
        <v/>
      </c>
      <c r="I16" s="14" t="str">
        <f t="shared" ref="I16:I17" si="7">IFERROR(H16/G16, "")</f>
        <v/>
      </c>
      <c r="J16" s="53"/>
      <c r="K16" s="55"/>
    </row>
    <row r="17" spans="1:11" ht="15.75">
      <c r="A17" s="27" t="str">
        <v xml:space="preserve"> Stockton - Bank of America</v>
      </c>
      <c r="B17" s="28" t="str">
        <v>CA</v>
      </c>
      <c r="C17" s="10"/>
      <c r="D17" s="15"/>
      <c r="E17" s="15" t="str">
        <f t="shared" si="4"/>
        <v/>
      </c>
      <c r="F17" s="16" t="str">
        <f t="shared" si="5"/>
        <v/>
      </c>
      <c r="G17" s="17"/>
      <c r="H17" s="17" t="str">
        <f t="shared" si="6"/>
        <v/>
      </c>
      <c r="I17" s="16" t="str">
        <f t="shared" si="7"/>
        <v/>
      </c>
      <c r="J17" s="57"/>
      <c r="K17" s="58"/>
    </row>
    <row r="18" spans="1:11" ht="15.75">
      <c r="A18" s="25" t="str">
        <v xml:space="preserve"> Victorville - Bank of America</v>
      </c>
      <c r="B18" s="26" t="str">
        <v>CA</v>
      </c>
      <c r="C18" s="21"/>
      <c r="D18" s="11"/>
      <c r="E18" s="11" t="str">
        <f t="shared" ref="E18:E38" si="8">IF(AND(ISNUMBER(C18),ISNUMBER(D18)), C18-D18, "")</f>
        <v/>
      </c>
      <c r="F18" s="12" t="str">
        <f t="shared" ref="F18:F38" si="9">IFERROR(E18/D18, "")</f>
        <v/>
      </c>
      <c r="G18" s="13"/>
      <c r="H18" s="13" t="str">
        <f t="shared" ref="H18:H38" si="10">IF(AND(ISNUMBER(C18),ISNUMBER(G18)), C18-G18, "")</f>
        <v/>
      </c>
      <c r="I18" s="14" t="str">
        <f t="shared" ref="I18:I38" si="11">IFERROR(H18/G18, "")</f>
        <v/>
      </c>
      <c r="J18" s="53"/>
      <c r="K18" s="55"/>
    </row>
    <row r="19" spans="1:11" ht="15.75">
      <c r="A19" s="27" t="str">
        <v xml:space="preserve"> Aurora - BA - Colfax Ave</v>
      </c>
      <c r="B19" s="28" t="str">
        <v>CO</v>
      </c>
      <c r="C19" s="10"/>
      <c r="D19" s="15"/>
      <c r="E19" s="15" t="str">
        <f t="shared" si="8"/>
        <v/>
      </c>
      <c r="F19" s="16" t="str">
        <f t="shared" si="9"/>
        <v/>
      </c>
      <c r="G19" s="17"/>
      <c r="H19" s="17" t="str">
        <f t="shared" si="10"/>
        <v/>
      </c>
      <c r="I19" s="16" t="str">
        <f t="shared" si="11"/>
        <v/>
      </c>
      <c r="J19" s="57"/>
      <c r="K19" s="58"/>
    </row>
    <row r="20" spans="1:11" ht="15.75">
      <c r="A20" s="25" t="str">
        <v xml:space="preserve"> Aurora - BA - Parker Rd</v>
      </c>
      <c r="B20" s="26" t="str">
        <v>CO</v>
      </c>
      <c r="C20" s="21"/>
      <c r="D20" s="11"/>
      <c r="E20" s="11" t="str">
        <f t="shared" si="8"/>
        <v/>
      </c>
      <c r="F20" s="12" t="str">
        <f t="shared" si="9"/>
        <v/>
      </c>
      <c r="G20" s="13"/>
      <c r="H20" s="13" t="str">
        <f t="shared" si="10"/>
        <v/>
      </c>
      <c r="I20" s="14" t="str">
        <f t="shared" si="11"/>
        <v/>
      </c>
      <c r="J20" s="53"/>
      <c r="K20" s="55"/>
    </row>
    <row r="21" spans="1:11" ht="15.75">
      <c r="A21" s="27" t="str">
        <v xml:space="preserve"> Broomfield - Bank of America</v>
      </c>
      <c r="B21" s="28" t="str">
        <v>CO</v>
      </c>
      <c r="C21" s="10"/>
      <c r="D21" s="15"/>
      <c r="E21" s="15" t="str">
        <f t="shared" si="8"/>
        <v/>
      </c>
      <c r="F21" s="16" t="str">
        <f t="shared" si="9"/>
        <v/>
      </c>
      <c r="G21" s="17"/>
      <c r="H21" s="17" t="str">
        <f t="shared" si="10"/>
        <v/>
      </c>
      <c r="I21" s="16" t="str">
        <f t="shared" si="11"/>
        <v/>
      </c>
      <c r="J21" s="57"/>
      <c r="K21" s="58"/>
    </row>
    <row r="22" spans="1:11" ht="15.75">
      <c r="A22" s="25" t="str">
        <v xml:space="preserve"> Colorado Springs - Bank of America</v>
      </c>
      <c r="B22" s="26" t="str">
        <v>CO</v>
      </c>
      <c r="C22" s="21"/>
      <c r="D22" s="11"/>
      <c r="E22" s="11" t="str">
        <f t="shared" si="8"/>
        <v/>
      </c>
      <c r="F22" s="12" t="str">
        <f t="shared" si="9"/>
        <v/>
      </c>
      <c r="G22" s="13"/>
      <c r="H22" s="13" t="str">
        <f t="shared" si="10"/>
        <v/>
      </c>
      <c r="I22" s="14" t="str">
        <f t="shared" si="11"/>
        <v/>
      </c>
      <c r="J22" s="53"/>
      <c r="K22" s="55"/>
    </row>
    <row r="23" spans="1:11" ht="15.75">
      <c r="A23" s="27" t="str">
        <v xml:space="preserve"> Denver - BA - 49th Ave</v>
      </c>
      <c r="B23" s="28" t="str">
        <v>CO</v>
      </c>
      <c r="C23" s="10"/>
      <c r="D23" s="15"/>
      <c r="E23" s="15" t="str">
        <f t="shared" si="8"/>
        <v/>
      </c>
      <c r="F23" s="16" t="str">
        <f t="shared" si="9"/>
        <v/>
      </c>
      <c r="G23" s="17"/>
      <c r="H23" s="17" t="str">
        <f t="shared" si="10"/>
        <v/>
      </c>
      <c r="I23" s="16" t="str">
        <f t="shared" si="11"/>
        <v/>
      </c>
      <c r="J23" s="57"/>
      <c r="K23" s="58"/>
    </row>
    <row r="24" spans="1:11" ht="15.75">
      <c r="A24" s="25" t="str">
        <v xml:space="preserve"> Denver - BA Wadsworth Blvd</v>
      </c>
      <c r="B24" s="26" t="str">
        <v>CO</v>
      </c>
      <c r="C24" s="21"/>
      <c r="D24" s="11"/>
      <c r="E24" s="11" t="str">
        <f t="shared" si="8"/>
        <v/>
      </c>
      <c r="F24" s="12" t="str">
        <f t="shared" si="9"/>
        <v/>
      </c>
      <c r="G24" s="13"/>
      <c r="H24" s="13" t="str">
        <f t="shared" si="10"/>
        <v/>
      </c>
      <c r="I24" s="14" t="str">
        <f t="shared" si="11"/>
        <v/>
      </c>
      <c r="J24" s="53"/>
      <c r="K24" s="55"/>
    </row>
    <row r="25" spans="1:11" ht="15.75">
      <c r="A25" s="27" t="str">
        <v xml:space="preserve"> Fort Collins - Bank of America</v>
      </c>
      <c r="B25" s="28" t="str">
        <v>CO</v>
      </c>
      <c r="C25" s="10"/>
      <c r="D25" s="15"/>
      <c r="E25" s="15" t="str">
        <f t="shared" si="8"/>
        <v/>
      </c>
      <c r="F25" s="16" t="str">
        <f t="shared" si="9"/>
        <v/>
      </c>
      <c r="G25" s="17"/>
      <c r="H25" s="17" t="str">
        <f t="shared" si="10"/>
        <v/>
      </c>
      <c r="I25" s="16" t="str">
        <f t="shared" si="11"/>
        <v/>
      </c>
      <c r="J25" s="57"/>
      <c r="K25" s="58"/>
    </row>
    <row r="26" spans="1:11" ht="15.75">
      <c r="A26" s="25" t="str">
        <v xml:space="preserve"> Lafayette - Bank of America</v>
      </c>
      <c r="B26" s="26" t="str">
        <v>CO</v>
      </c>
      <c r="C26" s="21"/>
      <c r="D26" s="11"/>
      <c r="E26" s="11" t="str">
        <f t="shared" si="8"/>
        <v/>
      </c>
      <c r="F26" s="12" t="str">
        <f t="shared" si="9"/>
        <v/>
      </c>
      <c r="G26" s="13"/>
      <c r="H26" s="13" t="str">
        <f t="shared" si="10"/>
        <v/>
      </c>
      <c r="I26" s="14" t="str">
        <f t="shared" si="11"/>
        <v/>
      </c>
      <c r="J26" s="53"/>
      <c r="K26" s="55"/>
    </row>
    <row r="27" spans="1:11" ht="15.75">
      <c r="A27" s="27" t="str">
        <v xml:space="preserve"> Lakewood - Bank of America</v>
      </c>
      <c r="B27" s="28" t="str">
        <v>CO</v>
      </c>
      <c r="C27" s="10"/>
      <c r="D27" s="15"/>
      <c r="E27" s="15" t="str">
        <f t="shared" si="8"/>
        <v/>
      </c>
      <c r="F27" s="16" t="str">
        <f t="shared" si="9"/>
        <v/>
      </c>
      <c r="G27" s="17"/>
      <c r="H27" s="17" t="str">
        <f t="shared" si="10"/>
        <v/>
      </c>
      <c r="I27" s="16" t="str">
        <f t="shared" si="11"/>
        <v/>
      </c>
      <c r="J27" s="57"/>
      <c r="K27" s="58"/>
    </row>
    <row r="28" spans="1:11" ht="15.75">
      <c r="A28" s="25" t="str">
        <v xml:space="preserve"> Longmont - Bank of America</v>
      </c>
      <c r="B28" s="26" t="str">
        <v>CO</v>
      </c>
      <c r="C28" s="21"/>
      <c r="D28" s="11"/>
      <c r="E28" s="11" t="str">
        <f t="shared" si="8"/>
        <v/>
      </c>
      <c r="F28" s="12" t="str">
        <f t="shared" si="9"/>
        <v/>
      </c>
      <c r="G28" s="13"/>
      <c r="H28" s="13" t="str">
        <f t="shared" si="10"/>
        <v/>
      </c>
      <c r="I28" s="14" t="str">
        <f t="shared" si="11"/>
        <v/>
      </c>
      <c r="J28" s="53"/>
      <c r="K28" s="55"/>
    </row>
    <row r="29" spans="1:11" ht="15.75">
      <c r="A29" s="27" t="str">
        <v xml:space="preserve"> Thornton - Bank of America</v>
      </c>
      <c r="B29" s="28" t="str">
        <v>CO</v>
      </c>
      <c r="C29" s="10"/>
      <c r="D29" s="15"/>
      <c r="E29" s="15" t="str">
        <f t="shared" si="8"/>
        <v/>
      </c>
      <c r="F29" s="16" t="str">
        <f t="shared" si="9"/>
        <v/>
      </c>
      <c r="G29" s="17"/>
      <c r="H29" s="17" t="str">
        <f t="shared" si="10"/>
        <v/>
      </c>
      <c r="I29" s="16" t="str">
        <f t="shared" si="11"/>
        <v/>
      </c>
      <c r="J29" s="57"/>
      <c r="K29" s="58"/>
    </row>
    <row r="30" spans="1:11" ht="15.75">
      <c r="A30" s="25" t="str">
        <v xml:space="preserve"> Calumet City - Bank of America</v>
      </c>
      <c r="B30" s="26" t="str">
        <v>IL</v>
      </c>
      <c r="C30" s="21"/>
      <c r="D30" s="11"/>
      <c r="E30" s="11" t="str">
        <f t="shared" si="8"/>
        <v/>
      </c>
      <c r="F30" s="12" t="str">
        <f t="shared" si="9"/>
        <v/>
      </c>
      <c r="G30" s="13"/>
      <c r="H30" s="13" t="str">
        <f t="shared" si="10"/>
        <v/>
      </c>
      <c r="I30" s="14" t="str">
        <f t="shared" si="11"/>
        <v/>
      </c>
      <c r="J30" s="53"/>
      <c r="K30" s="55"/>
    </row>
    <row r="31" spans="1:11" ht="15.75">
      <c r="A31" s="27" t="str">
        <v xml:space="preserve"> Downers Grove - Bank of America</v>
      </c>
      <c r="B31" s="28" t="str">
        <v>IL</v>
      </c>
      <c r="C31" s="10"/>
      <c r="D31" s="15"/>
      <c r="E31" s="15" t="str">
        <f t="shared" si="8"/>
        <v/>
      </c>
      <c r="F31" s="16" t="str">
        <f t="shared" si="9"/>
        <v/>
      </c>
      <c r="G31" s="17"/>
      <c r="H31" s="17" t="str">
        <f t="shared" si="10"/>
        <v/>
      </c>
      <c r="I31" s="16" t="str">
        <f t="shared" si="11"/>
        <v/>
      </c>
      <c r="J31" s="57"/>
      <c r="K31" s="58"/>
    </row>
    <row r="32" spans="1:11" ht="15.75">
      <c r="A32" s="25" t="str">
        <v xml:space="preserve"> Bloomington - Bank of America</v>
      </c>
      <c r="B32" s="26" t="str">
        <v>MN</v>
      </c>
      <c r="C32" s="21"/>
      <c r="D32" s="11"/>
      <c r="E32" s="11" t="str">
        <f t="shared" si="8"/>
        <v/>
      </c>
      <c r="F32" s="12" t="str">
        <f t="shared" si="9"/>
        <v/>
      </c>
      <c r="G32" s="13"/>
      <c r="H32" s="13" t="str">
        <f t="shared" si="10"/>
        <v/>
      </c>
      <c r="I32" s="14" t="str">
        <f t="shared" si="11"/>
        <v/>
      </c>
      <c r="J32" s="53"/>
      <c r="K32" s="55"/>
    </row>
    <row r="33" spans="1:11" ht="15.75">
      <c r="A33" s="27" t="str">
        <v xml:space="preserve"> Clayton - Bank of America</v>
      </c>
      <c r="B33" s="28" t="str">
        <v>MO</v>
      </c>
      <c r="C33" s="10"/>
      <c r="D33" s="15"/>
      <c r="E33" s="15" t="str">
        <f t="shared" si="8"/>
        <v/>
      </c>
      <c r="F33" s="16" t="str">
        <f t="shared" si="9"/>
        <v/>
      </c>
      <c r="G33" s="17"/>
      <c r="H33" s="17" t="str">
        <f t="shared" si="10"/>
        <v/>
      </c>
      <c r="I33" s="16" t="str">
        <f t="shared" si="11"/>
        <v/>
      </c>
      <c r="J33" s="57"/>
      <c r="K33" s="58"/>
    </row>
    <row r="34" spans="1:11" ht="15.75">
      <c r="A34" s="25" t="str">
        <v xml:space="preserve"> Manchester - Bank of America</v>
      </c>
      <c r="B34" s="26" t="str">
        <v>MO</v>
      </c>
      <c r="C34" s="21"/>
      <c r="D34" s="11"/>
      <c r="E34" s="11" t="str">
        <f t="shared" si="8"/>
        <v/>
      </c>
      <c r="F34" s="12" t="str">
        <f t="shared" si="9"/>
        <v/>
      </c>
      <c r="G34" s="13"/>
      <c r="H34" s="13" t="str">
        <f t="shared" si="10"/>
        <v/>
      </c>
      <c r="I34" s="14" t="str">
        <f t="shared" si="11"/>
        <v/>
      </c>
      <c r="J34" s="53"/>
      <c r="K34" s="55"/>
    </row>
    <row r="35" spans="1:11" ht="15.75">
      <c r="A35" s="27" t="str">
        <v xml:space="preserve"> Las Vegas - BA - Eastern Ave</v>
      </c>
      <c r="B35" s="28" t="str">
        <v>NV</v>
      </c>
      <c r="C35" s="10"/>
      <c r="D35" s="15"/>
      <c r="E35" s="15" t="str">
        <f t="shared" si="8"/>
        <v/>
      </c>
      <c r="F35" s="16" t="str">
        <f t="shared" si="9"/>
        <v/>
      </c>
      <c r="G35" s="17"/>
      <c r="H35" s="17" t="str">
        <f t="shared" si="10"/>
        <v/>
      </c>
      <c r="I35" s="16" t="str">
        <f t="shared" si="11"/>
        <v/>
      </c>
      <c r="J35" s="57"/>
      <c r="K35" s="58"/>
    </row>
    <row r="36" spans="1:11" ht="15.75">
      <c r="A36" s="25" t="str">
        <v xml:space="preserve"> Las Vegas - BA - Town Ctr Dr</v>
      </c>
      <c r="B36" s="26" t="str">
        <v>NV</v>
      </c>
      <c r="C36" s="21"/>
      <c r="D36" s="11"/>
      <c r="E36" s="11" t="str">
        <f t="shared" si="8"/>
        <v/>
      </c>
      <c r="F36" s="12" t="str">
        <f t="shared" si="9"/>
        <v/>
      </c>
      <c r="G36" s="13"/>
      <c r="H36" s="13" t="str">
        <f t="shared" si="10"/>
        <v/>
      </c>
      <c r="I36" s="14" t="str">
        <f t="shared" si="11"/>
        <v/>
      </c>
      <c r="J36" s="53"/>
      <c r="K36" s="55"/>
    </row>
    <row r="37" spans="1:11" ht="15.75">
      <c r="A37" s="27" t="str">
        <v xml:space="preserve"> Riverton - Bank of America</v>
      </c>
      <c r="B37" s="28" t="str">
        <v>UT</v>
      </c>
      <c r="C37" s="10"/>
      <c r="D37" s="15"/>
      <c r="E37" s="15" t="str">
        <f t="shared" si="8"/>
        <v/>
      </c>
      <c r="F37" s="16" t="str">
        <f t="shared" si="9"/>
        <v/>
      </c>
      <c r="G37" s="17"/>
      <c r="H37" s="17" t="str">
        <f t="shared" si="10"/>
        <v/>
      </c>
      <c r="I37" s="16" t="str">
        <f t="shared" si="11"/>
        <v/>
      </c>
      <c r="J37" s="57"/>
      <c r="K37" s="58"/>
    </row>
    <row r="38" spans="1:11" ht="15.75">
      <c r="A38" s="25" t="str">
        <v xml:space="preserve"> Salt Lake City - Bank of America</v>
      </c>
      <c r="B38" s="26" t="str">
        <v>UT</v>
      </c>
      <c r="C38" s="21"/>
      <c r="D38" s="11"/>
      <c r="E38" s="11" t="str">
        <f t="shared" si="8"/>
        <v/>
      </c>
      <c r="F38" s="12" t="str">
        <f t="shared" si="9"/>
        <v/>
      </c>
      <c r="G38" s="13"/>
      <c r="H38" s="13" t="str">
        <f t="shared" si="10"/>
        <v/>
      </c>
      <c r="I38" s="14" t="str">
        <f t="shared" si="11"/>
        <v/>
      </c>
      <c r="J38" s="53"/>
      <c r="K38" s="55"/>
    </row>
    <row r="39" spans="1:11">
      <c r="A39" s="18"/>
      <c r="B39" s="30"/>
      <c r="C39" s="18"/>
      <c r="D39" s="18"/>
      <c r="E39" s="18"/>
      <c r="F39" s="19"/>
      <c r="G39" s="18"/>
      <c r="H39" s="18"/>
      <c r="I39" s="19"/>
      <c r="K39" s="18"/>
    </row>
    <row r="40" spans="1:11">
      <c r="A40" s="18"/>
      <c r="B40" s="30"/>
      <c r="C40" s="18"/>
      <c r="D40" s="18"/>
      <c r="E40" s="18"/>
      <c r="F40" s="19"/>
      <c r="G40" s="18"/>
      <c r="H40" s="18"/>
      <c r="I40" s="19"/>
      <c r="K40" s="18"/>
    </row>
    <row r="41" spans="1:11">
      <c r="A41" s="18"/>
      <c r="B41" s="30"/>
      <c r="C41" s="18"/>
      <c r="D41" s="18"/>
      <c r="E41" s="18"/>
      <c r="F41" s="19"/>
      <c r="G41" s="18"/>
      <c r="H41" s="18"/>
      <c r="I41" s="19"/>
      <c r="K41" s="18"/>
    </row>
    <row r="42" spans="1:11">
      <c r="A42" s="18"/>
      <c r="B42" s="30"/>
      <c r="C42" s="18"/>
      <c r="D42" s="18"/>
      <c r="E42" s="18"/>
      <c r="F42" s="19"/>
      <c r="G42" s="18"/>
      <c r="H42" s="18"/>
      <c r="I42" s="19"/>
      <c r="K42" s="18"/>
    </row>
    <row r="43" spans="1:11">
      <c r="A43" s="18"/>
      <c r="B43" s="30"/>
      <c r="C43" s="18"/>
      <c r="D43" s="18"/>
      <c r="E43" s="18"/>
      <c r="F43" s="19"/>
      <c r="G43" s="18"/>
      <c r="H43" s="18"/>
      <c r="I43" s="19"/>
      <c r="K43" s="18"/>
    </row>
    <row r="44" spans="1:11">
      <c r="A44" s="18"/>
      <c r="B44" s="30"/>
      <c r="C44" s="18"/>
      <c r="D44" s="18"/>
      <c r="E44" s="18"/>
      <c r="F44" s="19"/>
      <c r="G44" s="18"/>
      <c r="H44" s="18"/>
      <c r="I44" s="19"/>
      <c r="K44" s="18"/>
    </row>
    <row r="45" spans="1:11">
      <c r="A45" s="18"/>
      <c r="B45" s="30"/>
      <c r="C45" s="18"/>
      <c r="D45" s="18"/>
      <c r="E45" s="18"/>
      <c r="F45" s="19"/>
      <c r="G45" s="18"/>
      <c r="H45" s="18"/>
      <c r="I45" s="19"/>
      <c r="K45" s="18"/>
    </row>
    <row r="46" spans="1:11">
      <c r="A46" s="18"/>
      <c r="B46" s="30"/>
      <c r="C46" s="18"/>
      <c r="D46" s="18"/>
      <c r="E46" s="18"/>
      <c r="F46" s="19"/>
      <c r="G46" s="18"/>
      <c r="H46" s="18"/>
      <c r="I46" s="19"/>
      <c r="K46" s="18"/>
    </row>
    <row r="47" spans="1:11">
      <c r="A47" s="18"/>
      <c r="B47" s="30"/>
      <c r="C47" s="18"/>
      <c r="D47" s="18"/>
      <c r="E47" s="18"/>
      <c r="F47" s="19"/>
      <c r="G47" s="18"/>
      <c r="H47" s="18"/>
      <c r="I47" s="19"/>
      <c r="K47" s="18"/>
    </row>
    <row r="48" spans="1:11">
      <c r="A48" s="18"/>
      <c r="B48" s="30"/>
      <c r="C48" s="18"/>
      <c r="D48" s="18"/>
      <c r="E48" s="18"/>
      <c r="F48" s="19"/>
      <c r="G48" s="18"/>
      <c r="H48" s="18"/>
      <c r="I48" s="19"/>
      <c r="K48" s="18"/>
    </row>
    <row r="49" spans="1:11">
      <c r="A49" s="18"/>
      <c r="B49" s="30"/>
      <c r="C49" s="18"/>
      <c r="D49" s="18"/>
      <c r="E49" s="18"/>
      <c r="F49" s="19"/>
      <c r="G49" s="18"/>
      <c r="H49" s="18"/>
      <c r="I49" s="19"/>
      <c r="K49" s="18"/>
    </row>
    <row r="50" spans="1:11">
      <c r="A50" s="18"/>
      <c r="B50" s="30"/>
      <c r="C50" s="18"/>
      <c r="D50" s="18"/>
      <c r="E50" s="18"/>
      <c r="F50" s="19"/>
      <c r="G50" s="18"/>
      <c r="H50" s="18"/>
      <c r="I50" s="19"/>
      <c r="K50" s="18"/>
    </row>
    <row r="51" spans="1:11">
      <c r="A51" s="18"/>
      <c r="B51" s="30"/>
      <c r="C51" s="18"/>
      <c r="D51" s="18"/>
      <c r="E51" s="18"/>
      <c r="F51" s="19"/>
      <c r="G51" s="18"/>
      <c r="H51" s="18"/>
      <c r="I51" s="19"/>
      <c r="K51" s="18"/>
    </row>
    <row r="52" spans="1:11">
      <c r="A52" s="18"/>
      <c r="B52" s="30"/>
      <c r="C52" s="18"/>
      <c r="D52" s="18"/>
      <c r="E52" s="18"/>
      <c r="F52" s="19"/>
      <c r="G52" s="18"/>
      <c r="H52" s="18"/>
      <c r="I52" s="19"/>
      <c r="K52" s="18"/>
    </row>
    <row r="53" spans="1:11">
      <c r="A53" s="18"/>
      <c r="B53" s="30"/>
      <c r="C53" s="18"/>
      <c r="D53" s="18"/>
      <c r="E53" s="18"/>
      <c r="F53" s="19"/>
      <c r="G53" s="18"/>
      <c r="H53" s="18"/>
      <c r="I53" s="19"/>
      <c r="K53" s="18"/>
    </row>
    <row r="54" spans="1:11">
      <c r="A54" s="18"/>
      <c r="B54" s="30"/>
      <c r="C54" s="18"/>
      <c r="D54" s="18"/>
      <c r="E54" s="18"/>
      <c r="F54" s="19"/>
      <c r="G54" s="18"/>
      <c r="H54" s="18"/>
      <c r="I54" s="19"/>
      <c r="K54" s="18"/>
    </row>
    <row r="55" spans="1:11">
      <c r="A55" s="18"/>
      <c r="B55" s="30"/>
      <c r="C55" s="18"/>
      <c r="D55" s="18"/>
      <c r="E55" s="18"/>
      <c r="F55" s="19"/>
      <c r="G55" s="18"/>
      <c r="H55" s="18"/>
      <c r="I55" s="19"/>
      <c r="K55" s="18"/>
    </row>
    <row r="56" spans="1:11">
      <c r="A56" s="18"/>
      <c r="B56" s="30"/>
      <c r="C56" s="18"/>
      <c r="D56" s="18"/>
      <c r="E56" s="18"/>
      <c r="F56" s="19"/>
      <c r="G56" s="18"/>
      <c r="H56" s="18"/>
      <c r="I56" s="19"/>
      <c r="K56" s="18"/>
    </row>
    <row r="57" spans="1:11">
      <c r="A57" s="18"/>
      <c r="B57" s="30"/>
      <c r="C57" s="18"/>
      <c r="D57" s="18"/>
      <c r="E57" s="18"/>
      <c r="F57" s="19"/>
      <c r="G57" s="18"/>
      <c r="H57" s="18"/>
      <c r="I57" s="19"/>
      <c r="K57" s="18"/>
    </row>
    <row r="58" spans="1:11">
      <c r="A58" s="18"/>
      <c r="B58" s="30"/>
      <c r="C58" s="18"/>
      <c r="D58" s="18"/>
      <c r="E58" s="18"/>
      <c r="F58" s="19"/>
      <c r="G58" s="18"/>
      <c r="H58" s="18"/>
      <c r="I58" s="19"/>
      <c r="K58" s="18"/>
    </row>
    <row r="59" spans="1:11">
      <c r="A59" s="18"/>
      <c r="B59" s="30"/>
      <c r="C59" s="18"/>
      <c r="D59" s="18"/>
      <c r="E59" s="18"/>
      <c r="F59" s="19"/>
      <c r="G59" s="18"/>
      <c r="H59" s="18"/>
      <c r="I59" s="19"/>
      <c r="K59" s="18"/>
    </row>
    <row r="60" spans="1:11">
      <c r="A60" s="18"/>
      <c r="B60" s="30"/>
      <c r="C60" s="18"/>
      <c r="D60" s="18"/>
      <c r="E60" s="18"/>
      <c r="F60" s="19"/>
      <c r="G60" s="18"/>
      <c r="H60" s="18"/>
      <c r="I60" s="19"/>
      <c r="K60" s="18"/>
    </row>
    <row r="61" spans="1:11">
      <c r="A61" s="18"/>
      <c r="B61" s="30"/>
      <c r="C61" s="18"/>
      <c r="D61" s="18"/>
      <c r="E61" s="18"/>
      <c r="F61" s="19"/>
      <c r="G61" s="18"/>
      <c r="H61" s="18"/>
      <c r="I61" s="19"/>
      <c r="K61" s="18"/>
    </row>
    <row r="62" spans="1:11">
      <c r="A62" s="18"/>
      <c r="B62" s="30"/>
      <c r="C62" s="18"/>
      <c r="D62" s="18"/>
      <c r="E62" s="18"/>
      <c r="F62" s="19"/>
      <c r="G62" s="18"/>
      <c r="H62" s="18"/>
      <c r="I62" s="19"/>
      <c r="K62" s="18"/>
    </row>
    <row r="63" spans="1:11">
      <c r="A63" s="18"/>
      <c r="B63" s="30"/>
      <c r="C63" s="18"/>
      <c r="D63" s="18"/>
      <c r="E63" s="18"/>
      <c r="F63" s="19"/>
      <c r="G63" s="18"/>
      <c r="H63" s="18"/>
      <c r="I63" s="19"/>
      <c r="K63" s="18"/>
    </row>
    <row r="64" spans="1:11">
      <c r="A64" s="18"/>
      <c r="B64" s="30"/>
      <c r="C64" s="18"/>
      <c r="D64" s="18"/>
      <c r="E64" s="18"/>
      <c r="F64" s="19"/>
      <c r="G64" s="18"/>
      <c r="H64" s="18"/>
      <c r="I64" s="19"/>
      <c r="K64" s="18"/>
    </row>
    <row r="65" spans="1:11">
      <c r="A65" s="18"/>
      <c r="B65" s="30"/>
      <c r="C65" s="18"/>
      <c r="D65" s="18"/>
      <c r="E65" s="18"/>
      <c r="F65" s="19"/>
      <c r="G65" s="18"/>
      <c r="H65" s="18"/>
      <c r="I65" s="19"/>
      <c r="K65" s="18"/>
    </row>
    <row r="66" spans="1:11">
      <c r="A66" s="18"/>
      <c r="B66" s="30"/>
      <c r="C66" s="18"/>
      <c r="D66" s="18"/>
      <c r="E66" s="18"/>
      <c r="F66" s="19"/>
      <c r="G66" s="18"/>
      <c r="H66" s="18"/>
      <c r="I66" s="19"/>
      <c r="K66" s="18"/>
    </row>
    <row r="67" spans="1:11">
      <c r="A67" s="18"/>
      <c r="B67" s="30"/>
      <c r="C67" s="18"/>
      <c r="D67" s="18"/>
      <c r="E67" s="18"/>
      <c r="F67" s="19"/>
      <c r="G67" s="18"/>
      <c r="H67" s="18"/>
      <c r="I67" s="19"/>
      <c r="K67" s="18"/>
    </row>
    <row r="68" spans="1:11">
      <c r="A68" s="18"/>
      <c r="B68" s="30"/>
      <c r="C68" s="18"/>
      <c r="D68" s="18"/>
      <c r="E68" s="18"/>
      <c r="F68" s="19"/>
      <c r="G68" s="18"/>
      <c r="H68" s="18"/>
      <c r="I68" s="19"/>
      <c r="K68" s="18"/>
    </row>
    <row r="69" spans="1:11">
      <c r="A69" s="18"/>
      <c r="B69" s="30"/>
      <c r="C69" s="18"/>
      <c r="D69" s="18"/>
      <c r="E69" s="18"/>
      <c r="F69" s="19"/>
      <c r="G69" s="18"/>
      <c r="H69" s="18"/>
      <c r="I69" s="19"/>
      <c r="K69" s="18"/>
    </row>
    <row r="70" spans="1:11">
      <c r="A70" s="18"/>
      <c r="B70" s="30"/>
      <c r="C70" s="18"/>
      <c r="D70" s="18"/>
      <c r="E70" s="18"/>
      <c r="F70" s="19"/>
      <c r="G70" s="18"/>
      <c r="H70" s="18"/>
      <c r="I70" s="19"/>
      <c r="K70" s="18"/>
    </row>
    <row r="71" spans="1:11">
      <c r="A71" s="18"/>
      <c r="B71" s="30"/>
      <c r="C71" s="18"/>
      <c r="D71" s="18"/>
      <c r="E71" s="18"/>
      <c r="F71" s="19"/>
      <c r="G71" s="18"/>
      <c r="H71" s="18"/>
      <c r="I71" s="19"/>
      <c r="K71" s="18"/>
    </row>
    <row r="72" spans="1:11">
      <c r="A72" s="18"/>
      <c r="B72" s="30"/>
      <c r="C72" s="18"/>
      <c r="D72" s="18"/>
      <c r="E72" s="18"/>
      <c r="F72" s="19"/>
      <c r="G72" s="18"/>
      <c r="H72" s="18"/>
      <c r="I72" s="19"/>
      <c r="K72" s="18"/>
    </row>
    <row r="73" spans="1:11">
      <c r="A73" s="18"/>
      <c r="B73" s="30"/>
      <c r="C73" s="18"/>
      <c r="D73" s="18"/>
      <c r="E73" s="18"/>
      <c r="F73" s="19"/>
      <c r="G73" s="18"/>
      <c r="H73" s="18"/>
      <c r="I73" s="19"/>
      <c r="K73" s="18"/>
    </row>
    <row r="74" spans="1:11">
      <c r="A74" s="18"/>
      <c r="B74" s="30"/>
      <c r="C74" s="18"/>
      <c r="D74" s="18"/>
      <c r="E74" s="18"/>
      <c r="F74" s="19"/>
      <c r="G74" s="18"/>
      <c r="H74" s="18"/>
      <c r="I74" s="19"/>
      <c r="K74" s="18"/>
    </row>
    <row r="75" spans="1:11">
      <c r="A75" s="18"/>
      <c r="B75" s="30"/>
      <c r="C75" s="18"/>
      <c r="D75" s="18"/>
      <c r="E75" s="18"/>
      <c r="F75" s="19"/>
      <c r="G75" s="18"/>
      <c r="H75" s="18"/>
      <c r="I75" s="19"/>
      <c r="K75" s="18"/>
    </row>
    <row r="76" spans="1:11">
      <c r="A76" s="18"/>
      <c r="B76" s="30"/>
      <c r="C76" s="18"/>
      <c r="D76" s="18"/>
      <c r="E76" s="18"/>
      <c r="F76" s="19"/>
      <c r="G76" s="18"/>
      <c r="H76" s="18"/>
      <c r="I76" s="19"/>
      <c r="K76" s="18"/>
    </row>
    <row r="77" spans="1:11">
      <c r="A77" s="18"/>
      <c r="B77" s="30"/>
      <c r="C77" s="18"/>
      <c r="D77" s="18"/>
      <c r="E77" s="18"/>
      <c r="F77" s="19"/>
      <c r="G77" s="18"/>
      <c r="H77" s="18"/>
      <c r="I77" s="19"/>
      <c r="K77" s="18"/>
    </row>
    <row r="78" spans="1:11">
      <c r="A78" s="18"/>
      <c r="B78" s="30"/>
      <c r="C78" s="18"/>
      <c r="D78" s="18"/>
      <c r="E78" s="18"/>
      <c r="F78" s="19"/>
      <c r="G78" s="18"/>
      <c r="H78" s="18"/>
      <c r="I78" s="19"/>
      <c r="K78" s="18"/>
    </row>
    <row r="79" spans="1:11">
      <c r="A79" s="18"/>
      <c r="B79" s="30"/>
      <c r="C79" s="18"/>
      <c r="D79" s="18"/>
      <c r="E79" s="18"/>
      <c r="F79" s="19"/>
      <c r="G79" s="18"/>
      <c r="H79" s="18"/>
      <c r="I79" s="19"/>
      <c r="K79" s="18"/>
    </row>
    <row r="80" spans="1:11">
      <c r="A80" s="18"/>
      <c r="B80" s="30"/>
      <c r="C80" s="18"/>
      <c r="D80" s="18"/>
      <c r="E80" s="18"/>
      <c r="F80" s="19"/>
      <c r="G80" s="18"/>
      <c r="H80" s="18"/>
      <c r="I80" s="19"/>
      <c r="K80" s="18"/>
    </row>
    <row r="81" spans="1:11">
      <c r="A81" s="18"/>
      <c r="B81" s="30"/>
      <c r="C81" s="18"/>
      <c r="D81" s="18"/>
      <c r="E81" s="18"/>
      <c r="F81" s="19"/>
      <c r="G81" s="18"/>
      <c r="H81" s="18"/>
      <c r="I81" s="19"/>
      <c r="K81" s="18"/>
    </row>
    <row r="82" spans="1:11">
      <c r="A82" s="18"/>
      <c r="B82" s="30"/>
      <c r="C82" s="18"/>
      <c r="D82" s="18"/>
      <c r="E82" s="18"/>
      <c r="F82" s="19"/>
      <c r="G82" s="18"/>
      <c r="H82" s="18"/>
      <c r="I82" s="19"/>
      <c r="K82" s="18"/>
    </row>
    <row r="83" spans="1:11">
      <c r="A83" s="18"/>
      <c r="B83" s="30"/>
      <c r="C83" s="18"/>
      <c r="D83" s="18"/>
      <c r="E83" s="18"/>
      <c r="F83" s="19"/>
      <c r="G83" s="18"/>
      <c r="H83" s="18"/>
      <c r="I83" s="19"/>
      <c r="K83" s="18"/>
    </row>
    <row r="84" spans="1:11">
      <c r="A84" s="18"/>
      <c r="B84" s="30"/>
      <c r="C84" s="18"/>
      <c r="D84" s="18"/>
      <c r="E84" s="18"/>
      <c r="F84" s="19"/>
      <c r="G84" s="18"/>
      <c r="H84" s="18"/>
      <c r="I84" s="19"/>
      <c r="K84" s="18"/>
    </row>
    <row r="85" spans="1:11">
      <c r="A85" s="18"/>
      <c r="B85" s="30"/>
      <c r="C85" s="18"/>
      <c r="D85" s="18"/>
      <c r="E85" s="18"/>
      <c r="F85" s="19"/>
      <c r="G85" s="18"/>
      <c r="H85" s="18"/>
      <c r="I85" s="19"/>
      <c r="K85" s="18"/>
    </row>
    <row r="86" spans="1:11">
      <c r="A86" s="18"/>
      <c r="B86" s="30"/>
      <c r="C86" s="18"/>
      <c r="D86" s="18"/>
      <c r="E86" s="18"/>
      <c r="F86" s="19"/>
      <c r="G86" s="18"/>
      <c r="H86" s="18"/>
      <c r="I86" s="19"/>
      <c r="K86" s="18"/>
    </row>
    <row r="87" spans="1:11">
      <c r="A87" s="18"/>
      <c r="B87" s="30"/>
      <c r="C87" s="18"/>
      <c r="D87" s="18"/>
      <c r="E87" s="18"/>
      <c r="F87" s="19"/>
      <c r="G87" s="18"/>
      <c r="H87" s="18"/>
      <c r="I87" s="19"/>
      <c r="K87" s="18"/>
    </row>
    <row r="88" spans="1:11">
      <c r="A88" s="18"/>
      <c r="B88" s="30"/>
      <c r="C88" s="18"/>
      <c r="D88" s="18"/>
      <c r="E88" s="18"/>
      <c r="F88" s="19"/>
      <c r="G88" s="18"/>
      <c r="H88" s="18"/>
      <c r="I88" s="19"/>
      <c r="K88" s="18"/>
    </row>
    <row r="89" spans="1:11">
      <c r="A89" s="18"/>
      <c r="B89" s="30"/>
      <c r="C89" s="18"/>
      <c r="D89" s="18"/>
      <c r="E89" s="18"/>
      <c r="F89" s="19"/>
      <c r="G89" s="18"/>
      <c r="H89" s="18"/>
      <c r="I89" s="19"/>
      <c r="K89" s="18"/>
    </row>
    <row r="90" spans="1:11">
      <c r="A90" s="18"/>
      <c r="B90" s="30"/>
      <c r="C90" s="18"/>
      <c r="D90" s="18"/>
      <c r="E90" s="18"/>
      <c r="F90" s="19"/>
      <c r="G90" s="18"/>
      <c r="H90" s="18"/>
      <c r="I90" s="19"/>
      <c r="K90" s="18"/>
    </row>
    <row r="91" spans="1:11">
      <c r="A91" s="18"/>
      <c r="B91" s="30"/>
      <c r="C91" s="18"/>
      <c r="D91" s="18"/>
      <c r="E91" s="18"/>
      <c r="F91" s="19"/>
      <c r="G91" s="18"/>
      <c r="H91" s="18"/>
      <c r="I91" s="19"/>
      <c r="K91" s="18"/>
    </row>
    <row r="92" spans="1:11">
      <c r="A92" s="18"/>
      <c r="B92" s="30"/>
      <c r="C92" s="18"/>
      <c r="D92" s="18"/>
      <c r="E92" s="18"/>
      <c r="F92" s="19"/>
      <c r="G92" s="18"/>
      <c r="H92" s="18"/>
      <c r="I92" s="19"/>
      <c r="K92" s="18"/>
    </row>
    <row r="93" spans="1:11">
      <c r="A93" s="18"/>
      <c r="B93" s="30"/>
      <c r="C93" s="18"/>
      <c r="D93" s="18"/>
      <c r="E93" s="18"/>
      <c r="F93" s="19"/>
      <c r="G93" s="18"/>
      <c r="H93" s="18"/>
      <c r="I93" s="19"/>
      <c r="K93" s="18"/>
    </row>
    <row r="94" spans="1:11">
      <c r="A94" s="18"/>
      <c r="B94" s="30"/>
      <c r="C94" s="18"/>
      <c r="D94" s="18"/>
      <c r="E94" s="18"/>
      <c r="F94" s="19"/>
      <c r="G94" s="18"/>
      <c r="H94" s="18"/>
      <c r="I94" s="19"/>
      <c r="K94" s="18"/>
    </row>
    <row r="95" spans="1:11">
      <c r="A95" s="18"/>
      <c r="B95" s="30"/>
      <c r="C95" s="18"/>
      <c r="D95" s="18"/>
      <c r="E95" s="18"/>
      <c r="F95" s="19"/>
      <c r="G95" s="18"/>
      <c r="H95" s="18"/>
      <c r="I95" s="19"/>
      <c r="K95" s="18"/>
    </row>
    <row r="96" spans="1:11">
      <c r="A96" s="18"/>
      <c r="B96" s="30"/>
      <c r="C96" s="18"/>
      <c r="D96" s="18"/>
      <c r="E96" s="18"/>
      <c r="F96" s="19"/>
      <c r="G96" s="18"/>
      <c r="H96" s="18"/>
      <c r="I96" s="19"/>
      <c r="K96" s="18"/>
    </row>
    <row r="97" spans="1:11">
      <c r="A97" s="18"/>
      <c r="B97" s="30"/>
      <c r="C97" s="18"/>
      <c r="D97" s="18"/>
      <c r="E97" s="18"/>
      <c r="F97" s="19"/>
      <c r="G97" s="18"/>
      <c r="H97" s="18"/>
      <c r="I97" s="19"/>
      <c r="K97" s="18"/>
    </row>
    <row r="98" spans="1:11">
      <c r="A98" s="18"/>
      <c r="B98" s="30"/>
      <c r="C98" s="18"/>
      <c r="D98" s="18"/>
      <c r="E98" s="18"/>
      <c r="F98" s="19"/>
      <c r="G98" s="18"/>
      <c r="H98" s="18"/>
      <c r="I98" s="19"/>
      <c r="K98" s="18"/>
    </row>
    <row r="99" spans="1:11">
      <c r="A99" s="18"/>
      <c r="B99" s="30"/>
      <c r="C99" s="18"/>
      <c r="D99" s="18"/>
      <c r="E99" s="18"/>
      <c r="F99" s="19"/>
      <c r="G99" s="18"/>
      <c r="H99" s="18"/>
      <c r="I99" s="19"/>
      <c r="K99" s="18"/>
    </row>
    <row r="100" spans="1:11">
      <c r="A100" s="18"/>
      <c r="B100" s="30"/>
      <c r="C100" s="18"/>
      <c r="D100" s="18"/>
      <c r="E100" s="18"/>
      <c r="F100" s="19"/>
      <c r="G100" s="18"/>
      <c r="H100" s="18"/>
      <c r="I100" s="19"/>
      <c r="K100" s="18"/>
    </row>
    <row r="101" spans="1:11">
      <c r="A101" s="18"/>
      <c r="B101" s="30"/>
      <c r="C101" s="18"/>
      <c r="D101" s="18"/>
      <c r="E101" s="18"/>
      <c r="F101" s="19"/>
      <c r="G101" s="18"/>
      <c r="H101" s="18"/>
      <c r="I101" s="19"/>
      <c r="K101" s="18"/>
    </row>
    <row r="102" spans="1:11">
      <c r="A102" s="18"/>
      <c r="B102" s="30"/>
      <c r="C102" s="18"/>
      <c r="D102" s="18"/>
      <c r="E102" s="18"/>
      <c r="F102" s="19"/>
      <c r="G102" s="18"/>
      <c r="H102" s="18"/>
      <c r="I102" s="19"/>
      <c r="K102" s="18"/>
    </row>
    <row r="103" spans="1:11">
      <c r="A103" s="18"/>
      <c r="B103" s="30"/>
      <c r="C103" s="18"/>
      <c r="D103" s="18"/>
      <c r="E103" s="18"/>
      <c r="F103" s="19"/>
      <c r="G103" s="18"/>
      <c r="H103" s="18"/>
      <c r="I103" s="19"/>
      <c r="K103" s="18"/>
    </row>
    <row r="104" spans="1:11">
      <c r="A104" s="18"/>
      <c r="B104" s="30"/>
      <c r="C104" s="18"/>
      <c r="D104" s="18"/>
      <c r="E104" s="18"/>
      <c r="F104" s="19"/>
      <c r="G104" s="18"/>
      <c r="H104" s="18"/>
      <c r="I104" s="19"/>
      <c r="K104" s="18"/>
    </row>
    <row r="105" spans="1:11">
      <c r="A105" s="18"/>
      <c r="B105" s="30"/>
      <c r="C105" s="18"/>
      <c r="D105" s="18"/>
      <c r="E105" s="18"/>
      <c r="F105" s="19"/>
      <c r="G105" s="18"/>
      <c r="H105" s="18"/>
      <c r="I105" s="19"/>
      <c r="K105" s="18"/>
    </row>
    <row r="106" spans="1:11">
      <c r="A106" s="18"/>
      <c r="B106" s="30"/>
      <c r="C106" s="18"/>
      <c r="D106" s="18"/>
      <c r="E106" s="18"/>
      <c r="F106" s="19"/>
      <c r="G106" s="18"/>
      <c r="H106" s="18"/>
      <c r="I106" s="19"/>
      <c r="K106" s="18"/>
    </row>
    <row r="107" spans="1:11">
      <c r="A107" s="18"/>
      <c r="B107" s="30"/>
      <c r="C107" s="18"/>
      <c r="D107" s="18"/>
      <c r="E107" s="18"/>
      <c r="F107" s="19"/>
      <c r="G107" s="18"/>
      <c r="H107" s="18"/>
      <c r="I107" s="19"/>
      <c r="K107" s="18"/>
    </row>
    <row r="108" spans="1:11">
      <c r="A108" s="18"/>
      <c r="B108" s="30"/>
      <c r="C108" s="18"/>
      <c r="D108" s="18"/>
      <c r="E108" s="18"/>
      <c r="F108" s="19"/>
      <c r="G108" s="18"/>
      <c r="H108" s="18"/>
      <c r="I108" s="19"/>
      <c r="K108" s="18"/>
    </row>
    <row r="109" spans="1:11">
      <c r="A109" s="18"/>
      <c r="B109" s="30"/>
      <c r="C109" s="18"/>
      <c r="D109" s="18"/>
      <c r="E109" s="18"/>
      <c r="F109" s="19"/>
      <c r="G109" s="18"/>
      <c r="H109" s="18"/>
      <c r="I109" s="19"/>
      <c r="K109" s="18"/>
    </row>
    <row r="110" spans="1:11">
      <c r="A110" s="18"/>
      <c r="B110" s="30"/>
      <c r="C110" s="18"/>
      <c r="D110" s="18"/>
      <c r="E110" s="18"/>
      <c r="F110" s="19"/>
      <c r="G110" s="18"/>
      <c r="H110" s="18"/>
      <c r="I110" s="19"/>
      <c r="K110" s="18"/>
    </row>
    <row r="111" spans="1:11">
      <c r="A111" s="18"/>
      <c r="B111" s="30"/>
      <c r="C111" s="18"/>
      <c r="D111" s="18"/>
      <c r="E111" s="18"/>
      <c r="F111" s="19"/>
      <c r="G111" s="18"/>
      <c r="H111" s="18"/>
      <c r="I111" s="19"/>
      <c r="K111" s="18"/>
    </row>
    <row r="112" spans="1:11">
      <c r="A112" s="18"/>
      <c r="B112" s="30"/>
      <c r="C112" s="18"/>
      <c r="D112" s="18"/>
      <c r="E112" s="18"/>
      <c r="F112" s="19"/>
      <c r="G112" s="18"/>
      <c r="H112" s="18"/>
      <c r="I112" s="19"/>
      <c r="K112" s="18"/>
    </row>
    <row r="113" spans="1:11">
      <c r="A113" s="18"/>
      <c r="B113" s="30"/>
      <c r="C113" s="18"/>
      <c r="D113" s="18"/>
      <c r="E113" s="18"/>
      <c r="F113" s="19"/>
      <c r="G113" s="18"/>
      <c r="H113" s="18"/>
      <c r="I113" s="19"/>
      <c r="K113" s="18"/>
    </row>
    <row r="114" spans="1:11">
      <c r="A114" s="18"/>
      <c r="B114" s="30"/>
      <c r="C114" s="18"/>
      <c r="D114" s="18"/>
      <c r="E114" s="18"/>
      <c r="F114" s="19"/>
      <c r="G114" s="18"/>
      <c r="H114" s="18"/>
      <c r="I114" s="19"/>
      <c r="K114" s="18"/>
    </row>
    <row r="115" spans="1:11">
      <c r="A115" s="18"/>
      <c r="B115" s="30"/>
      <c r="C115" s="18"/>
      <c r="D115" s="18"/>
      <c r="E115" s="18"/>
      <c r="F115" s="19"/>
      <c r="G115" s="18"/>
      <c r="H115" s="18"/>
      <c r="I115" s="19"/>
      <c r="K115" s="18"/>
    </row>
    <row r="116" spans="1:11">
      <c r="A116" s="18"/>
      <c r="B116" s="30"/>
      <c r="C116" s="18"/>
      <c r="D116" s="18"/>
      <c r="E116" s="18"/>
      <c r="F116" s="19"/>
      <c r="G116" s="18"/>
      <c r="H116" s="18"/>
      <c r="I116" s="19"/>
      <c r="K116" s="18"/>
    </row>
    <row r="117" spans="1:11">
      <c r="A117" s="18"/>
      <c r="B117" s="30"/>
      <c r="C117" s="18"/>
      <c r="D117" s="18"/>
      <c r="E117" s="18"/>
      <c r="F117" s="19"/>
      <c r="G117" s="18"/>
      <c r="H117" s="18"/>
      <c r="I117" s="19"/>
      <c r="K117" s="18"/>
    </row>
    <row r="118" spans="1:11">
      <c r="A118" s="18"/>
      <c r="B118" s="30"/>
      <c r="C118" s="18"/>
      <c r="D118" s="18"/>
      <c r="E118" s="18"/>
      <c r="F118" s="19"/>
      <c r="G118" s="18"/>
      <c r="H118" s="18"/>
      <c r="I118" s="19"/>
      <c r="K118" s="18"/>
    </row>
    <row r="119" spans="1:11">
      <c r="A119" s="18"/>
      <c r="B119" s="30"/>
      <c r="C119" s="18"/>
      <c r="D119" s="18"/>
      <c r="E119" s="18"/>
      <c r="F119" s="19"/>
      <c r="G119" s="18"/>
      <c r="H119" s="18"/>
      <c r="I119" s="19"/>
      <c r="K119" s="18"/>
    </row>
    <row r="120" spans="1:11">
      <c r="A120" s="18"/>
      <c r="B120" s="30"/>
      <c r="C120" s="18"/>
      <c r="D120" s="18"/>
      <c r="E120" s="18"/>
      <c r="F120" s="19"/>
      <c r="G120" s="18"/>
      <c r="H120" s="18"/>
      <c r="I120" s="19"/>
      <c r="K120" s="18"/>
    </row>
    <row r="121" spans="1:11">
      <c r="A121" s="18"/>
      <c r="B121" s="30"/>
      <c r="C121" s="18"/>
      <c r="D121" s="18"/>
      <c r="E121" s="18"/>
      <c r="F121" s="19"/>
      <c r="G121" s="18"/>
      <c r="H121" s="18"/>
      <c r="I121" s="19"/>
      <c r="K121" s="18"/>
    </row>
    <row r="122" spans="1:11">
      <c r="A122" s="18"/>
      <c r="B122" s="30"/>
      <c r="C122" s="18"/>
      <c r="D122" s="18"/>
      <c r="E122" s="18"/>
      <c r="F122" s="19"/>
      <c r="G122" s="18"/>
      <c r="H122" s="18"/>
      <c r="I122" s="19"/>
      <c r="K122" s="18"/>
    </row>
    <row r="123" spans="1:11">
      <c r="A123" s="18"/>
      <c r="B123" s="30"/>
      <c r="C123" s="18"/>
      <c r="D123" s="18"/>
      <c r="E123" s="18"/>
      <c r="F123" s="19"/>
      <c r="G123" s="18"/>
      <c r="H123" s="18"/>
      <c r="I123" s="19"/>
      <c r="K123" s="18"/>
    </row>
    <row r="124" spans="1:11">
      <c r="A124" s="18"/>
      <c r="B124" s="30"/>
      <c r="C124" s="18"/>
      <c r="D124" s="18"/>
      <c r="E124" s="18"/>
      <c r="F124" s="19"/>
      <c r="G124" s="18"/>
      <c r="H124" s="18"/>
      <c r="I124" s="19"/>
      <c r="K124" s="18"/>
    </row>
    <row r="125" spans="1:11">
      <c r="A125" s="18"/>
      <c r="B125" s="30"/>
      <c r="C125" s="18"/>
      <c r="D125" s="18"/>
      <c r="E125" s="18"/>
      <c r="F125" s="19"/>
      <c r="G125" s="18"/>
      <c r="H125" s="18"/>
      <c r="I125" s="19"/>
      <c r="K125" s="18"/>
    </row>
    <row r="126" spans="1:11">
      <c r="A126" s="18"/>
      <c r="B126" s="30"/>
      <c r="C126" s="18"/>
      <c r="D126" s="18"/>
      <c r="E126" s="18"/>
      <c r="F126" s="19"/>
      <c r="G126" s="18"/>
      <c r="H126" s="18"/>
      <c r="I126" s="19"/>
      <c r="K126" s="18"/>
    </row>
    <row r="127" spans="1:11">
      <c r="A127" s="18"/>
      <c r="B127" s="30"/>
      <c r="C127" s="18"/>
      <c r="D127" s="18"/>
      <c r="E127" s="18"/>
      <c r="F127" s="19"/>
      <c r="G127" s="18"/>
      <c r="H127" s="18"/>
      <c r="I127" s="19"/>
      <c r="K127" s="18"/>
    </row>
    <row r="128" spans="1:11">
      <c r="A128" s="18"/>
      <c r="B128" s="30"/>
      <c r="C128" s="18"/>
      <c r="D128" s="18"/>
      <c r="E128" s="18"/>
      <c r="F128" s="19"/>
      <c r="G128" s="18"/>
      <c r="H128" s="18"/>
      <c r="I128" s="19"/>
      <c r="K128" s="18"/>
    </row>
    <row r="129" spans="1:11">
      <c r="A129" s="18"/>
      <c r="B129" s="30"/>
      <c r="C129" s="18"/>
      <c r="D129" s="18"/>
      <c r="E129" s="18"/>
      <c r="F129" s="19"/>
      <c r="G129" s="18"/>
      <c r="H129" s="18"/>
      <c r="I129" s="19"/>
      <c r="K129" s="18"/>
    </row>
    <row r="130" spans="1:11">
      <c r="A130" s="18"/>
      <c r="B130" s="30"/>
      <c r="C130" s="18"/>
      <c r="D130" s="18"/>
      <c r="E130" s="18"/>
      <c r="F130" s="19"/>
      <c r="G130" s="18"/>
      <c r="H130" s="18"/>
      <c r="I130" s="19"/>
      <c r="K130" s="18"/>
    </row>
    <row r="131" spans="1:11">
      <c r="A131" s="18"/>
      <c r="B131" s="30"/>
      <c r="C131" s="18"/>
      <c r="D131" s="18"/>
      <c r="E131" s="18"/>
      <c r="F131" s="19"/>
      <c r="G131" s="18"/>
      <c r="H131" s="18"/>
      <c r="I131" s="19"/>
      <c r="K131" s="18"/>
    </row>
    <row r="132" spans="1:11">
      <c r="A132" s="18"/>
      <c r="B132" s="30"/>
      <c r="C132" s="18"/>
      <c r="D132" s="18"/>
      <c r="E132" s="18"/>
      <c r="F132" s="19"/>
      <c r="G132" s="18"/>
      <c r="H132" s="18"/>
      <c r="I132" s="19"/>
      <c r="K132" s="18"/>
    </row>
    <row r="133" spans="1:11">
      <c r="A133" s="18"/>
      <c r="B133" s="30"/>
      <c r="C133" s="18"/>
      <c r="D133" s="18"/>
      <c r="E133" s="18"/>
      <c r="F133" s="19"/>
      <c r="G133" s="18"/>
      <c r="H133" s="18"/>
      <c r="I133" s="19"/>
      <c r="K133" s="18"/>
    </row>
    <row r="134" spans="1:11">
      <c r="A134" s="18"/>
      <c r="B134" s="30"/>
      <c r="C134" s="18"/>
      <c r="D134" s="18"/>
      <c r="E134" s="18"/>
      <c r="F134" s="19"/>
      <c r="G134" s="18"/>
      <c r="H134" s="18"/>
      <c r="I134" s="19"/>
      <c r="K134" s="18"/>
    </row>
    <row r="135" spans="1:11">
      <c r="A135" s="18"/>
      <c r="B135" s="30"/>
      <c r="C135" s="18"/>
      <c r="D135" s="18"/>
      <c r="E135" s="18"/>
      <c r="F135" s="19"/>
      <c r="G135" s="18"/>
      <c r="H135" s="18"/>
      <c r="I135" s="19"/>
      <c r="K135" s="18"/>
    </row>
    <row r="136" spans="1:11">
      <c r="A136" s="18"/>
      <c r="B136" s="30"/>
      <c r="C136" s="18"/>
      <c r="D136" s="18"/>
      <c r="E136" s="18"/>
      <c r="F136" s="19"/>
      <c r="G136" s="18"/>
      <c r="H136" s="18"/>
      <c r="I136" s="19"/>
      <c r="K136" s="18"/>
    </row>
    <row r="137" spans="1:11">
      <c r="A137" s="18"/>
      <c r="B137" s="30"/>
      <c r="C137" s="18"/>
      <c r="D137" s="18"/>
      <c r="E137" s="18"/>
      <c r="F137" s="19"/>
      <c r="G137" s="18"/>
      <c r="H137" s="18"/>
      <c r="I137" s="19"/>
      <c r="K137" s="18"/>
    </row>
    <row r="138" spans="1:11">
      <c r="A138" s="18"/>
      <c r="B138" s="30"/>
      <c r="C138" s="18"/>
      <c r="D138" s="18"/>
      <c r="E138" s="18"/>
      <c r="F138" s="19"/>
      <c r="G138" s="18"/>
      <c r="H138" s="18"/>
      <c r="I138" s="19"/>
      <c r="K138" s="18"/>
    </row>
    <row r="139" spans="1:11">
      <c r="A139" s="18"/>
      <c r="B139" s="30"/>
      <c r="C139" s="18"/>
      <c r="D139" s="18"/>
      <c r="E139" s="18"/>
      <c r="F139" s="19"/>
      <c r="G139" s="18"/>
      <c r="H139" s="18"/>
      <c r="I139" s="19"/>
      <c r="K139" s="18"/>
    </row>
    <row r="140" spans="1:11">
      <c r="A140" s="18"/>
      <c r="B140" s="30"/>
      <c r="C140" s="18"/>
      <c r="D140" s="18"/>
      <c r="E140" s="18"/>
      <c r="F140" s="19"/>
      <c r="G140" s="18"/>
      <c r="H140" s="18"/>
      <c r="I140" s="19"/>
      <c r="K140" s="18"/>
    </row>
    <row r="141" spans="1:11">
      <c r="A141" s="18"/>
      <c r="B141" s="30"/>
      <c r="C141" s="18"/>
      <c r="D141" s="18"/>
      <c r="E141" s="18"/>
      <c r="F141" s="19"/>
      <c r="G141" s="18"/>
      <c r="H141" s="18"/>
      <c r="I141" s="19"/>
      <c r="K141" s="18"/>
    </row>
    <row r="142" spans="1:11">
      <c r="A142" s="18"/>
      <c r="B142" s="30"/>
      <c r="C142" s="18"/>
      <c r="D142" s="18"/>
      <c r="E142" s="18"/>
      <c r="F142" s="19"/>
      <c r="G142" s="18"/>
      <c r="H142" s="18"/>
      <c r="I142" s="19"/>
      <c r="K142" s="18"/>
    </row>
    <row r="143" spans="1:11">
      <c r="A143" s="18"/>
      <c r="B143" s="30"/>
      <c r="C143" s="18"/>
      <c r="D143" s="18"/>
      <c r="E143" s="18"/>
      <c r="F143" s="19"/>
      <c r="G143" s="18"/>
      <c r="H143" s="18"/>
      <c r="I143" s="19"/>
      <c r="K143" s="18"/>
    </row>
    <row r="144" spans="1:11">
      <c r="A144" s="18"/>
      <c r="B144" s="30"/>
      <c r="C144" s="18"/>
      <c r="D144" s="18"/>
      <c r="E144" s="18"/>
      <c r="F144" s="19"/>
      <c r="G144" s="18"/>
      <c r="H144" s="18"/>
      <c r="I144" s="19"/>
      <c r="K144" s="18"/>
    </row>
    <row r="145" spans="1:11">
      <c r="A145" s="18"/>
      <c r="B145" s="30"/>
      <c r="C145" s="18"/>
      <c r="D145" s="18"/>
      <c r="E145" s="18"/>
      <c r="F145" s="19"/>
      <c r="G145" s="18"/>
      <c r="H145" s="18"/>
      <c r="I145" s="19"/>
      <c r="K145" s="18"/>
    </row>
    <row r="146" spans="1:11">
      <c r="A146" s="18"/>
      <c r="B146" s="30"/>
      <c r="C146" s="18"/>
      <c r="D146" s="18"/>
      <c r="E146" s="18"/>
      <c r="F146" s="19"/>
      <c r="G146" s="18"/>
      <c r="H146" s="18"/>
      <c r="I146" s="19"/>
      <c r="K146" s="18"/>
    </row>
    <row r="147" spans="1:11">
      <c r="A147" s="18"/>
      <c r="B147" s="30"/>
      <c r="C147" s="18"/>
      <c r="D147" s="18"/>
      <c r="E147" s="18"/>
      <c r="F147" s="19"/>
      <c r="G147" s="18"/>
      <c r="H147" s="18"/>
      <c r="I147" s="19"/>
      <c r="K147" s="18"/>
    </row>
    <row r="148" spans="1:11">
      <c r="A148" s="18"/>
      <c r="B148" s="30"/>
      <c r="C148" s="18"/>
      <c r="D148" s="18"/>
      <c r="E148" s="18"/>
      <c r="F148" s="19"/>
      <c r="G148" s="18"/>
      <c r="H148" s="18"/>
      <c r="I148" s="19"/>
      <c r="K148" s="18"/>
    </row>
    <row r="149" spans="1:11">
      <c r="A149" s="18"/>
      <c r="B149" s="30"/>
      <c r="C149" s="18"/>
      <c r="D149" s="18"/>
      <c r="E149" s="18"/>
      <c r="F149" s="19"/>
      <c r="G149" s="18"/>
      <c r="H149" s="18"/>
      <c r="I149" s="19"/>
      <c r="K149" s="18"/>
    </row>
    <row r="150" spans="1:11">
      <c r="A150" s="18"/>
      <c r="B150" s="30"/>
      <c r="C150" s="18"/>
      <c r="D150" s="18"/>
      <c r="E150" s="18"/>
      <c r="F150" s="19"/>
      <c r="G150" s="18"/>
      <c r="H150" s="18"/>
      <c r="I150" s="19"/>
      <c r="K150" s="18"/>
    </row>
    <row r="151" spans="1:11">
      <c r="A151" s="18"/>
      <c r="B151" s="30"/>
      <c r="C151" s="18"/>
      <c r="D151" s="18"/>
      <c r="E151" s="18"/>
      <c r="F151" s="19"/>
      <c r="G151" s="18"/>
      <c r="H151" s="18"/>
      <c r="I151" s="19"/>
      <c r="K151" s="18"/>
    </row>
    <row r="152" spans="1:11">
      <c r="A152" s="18"/>
      <c r="B152" s="30"/>
      <c r="C152" s="18"/>
      <c r="D152" s="18"/>
      <c r="E152" s="18"/>
      <c r="F152" s="19"/>
      <c r="G152" s="18"/>
      <c r="H152" s="18"/>
      <c r="I152" s="19"/>
      <c r="K152" s="18"/>
    </row>
    <row r="153" spans="1:11">
      <c r="A153" s="18"/>
      <c r="B153" s="30"/>
      <c r="C153" s="18"/>
      <c r="D153" s="18"/>
      <c r="E153" s="18"/>
      <c r="F153" s="19"/>
      <c r="G153" s="18"/>
      <c r="H153" s="18"/>
      <c r="I153" s="19"/>
      <c r="K153" s="18"/>
    </row>
    <row r="154" spans="1:11">
      <c r="A154" s="18"/>
      <c r="B154" s="30"/>
      <c r="C154" s="18"/>
      <c r="D154" s="18"/>
      <c r="E154" s="18"/>
      <c r="F154" s="19"/>
      <c r="G154" s="18"/>
      <c r="H154" s="18"/>
      <c r="I154" s="19"/>
      <c r="K154" s="18"/>
    </row>
    <row r="155" spans="1:11">
      <c r="A155" s="18"/>
      <c r="B155" s="30"/>
      <c r="C155" s="18"/>
      <c r="D155" s="18"/>
      <c r="E155" s="18"/>
      <c r="F155" s="19"/>
      <c r="G155" s="18"/>
      <c r="H155" s="18"/>
      <c r="I155" s="19"/>
      <c r="K155" s="18"/>
    </row>
    <row r="156" spans="1:11">
      <c r="A156" s="18"/>
      <c r="B156" s="30"/>
      <c r="C156" s="18"/>
      <c r="D156" s="18"/>
      <c r="E156" s="18"/>
      <c r="F156" s="19"/>
      <c r="G156" s="18"/>
      <c r="H156" s="18"/>
      <c r="I156" s="19"/>
      <c r="K156" s="18"/>
    </row>
    <row r="157" spans="1:11">
      <c r="A157" s="18"/>
      <c r="B157" s="30"/>
      <c r="C157" s="18"/>
      <c r="D157" s="18"/>
      <c r="E157" s="18"/>
      <c r="F157" s="19"/>
      <c r="G157" s="18"/>
      <c r="H157" s="18"/>
      <c r="I157" s="19"/>
      <c r="K157" s="18"/>
    </row>
    <row r="158" spans="1:11">
      <c r="A158" s="18"/>
      <c r="B158" s="30"/>
      <c r="C158" s="18"/>
      <c r="D158" s="18"/>
      <c r="E158" s="18"/>
      <c r="F158" s="19"/>
      <c r="G158" s="18"/>
      <c r="H158" s="18"/>
      <c r="I158" s="19"/>
      <c r="K158" s="18"/>
    </row>
    <row r="159" spans="1:11">
      <c r="A159" s="18"/>
      <c r="B159" s="30"/>
      <c r="C159" s="18"/>
      <c r="D159" s="18"/>
      <c r="E159" s="18"/>
      <c r="F159" s="19"/>
      <c r="G159" s="18"/>
      <c r="H159" s="18"/>
      <c r="I159" s="19"/>
      <c r="K159" s="18"/>
    </row>
    <row r="160" spans="1:11">
      <c r="A160" s="18"/>
      <c r="B160" s="30"/>
      <c r="C160" s="18"/>
      <c r="D160" s="18"/>
      <c r="E160" s="18"/>
      <c r="F160" s="19"/>
      <c r="G160" s="18"/>
      <c r="H160" s="18"/>
      <c r="I160" s="19"/>
      <c r="K160" s="18"/>
    </row>
    <row r="161" spans="1:11">
      <c r="A161" s="18"/>
      <c r="B161" s="30"/>
      <c r="C161" s="18"/>
      <c r="D161" s="18"/>
      <c r="E161" s="18"/>
      <c r="F161" s="19"/>
      <c r="G161" s="18"/>
      <c r="H161" s="18"/>
      <c r="I161" s="19"/>
      <c r="K161" s="18"/>
    </row>
    <row r="162" spans="1:11">
      <c r="A162" s="18"/>
      <c r="B162" s="30"/>
      <c r="C162" s="18"/>
      <c r="D162" s="18"/>
      <c r="E162" s="18"/>
      <c r="F162" s="19"/>
      <c r="G162" s="18"/>
      <c r="H162" s="18"/>
      <c r="I162" s="19"/>
      <c r="K162" s="18"/>
    </row>
    <row r="163" spans="1:11">
      <c r="A163" s="18"/>
      <c r="B163" s="30"/>
      <c r="C163" s="18"/>
      <c r="D163" s="18"/>
      <c r="E163" s="18"/>
      <c r="F163" s="19"/>
      <c r="G163" s="18"/>
      <c r="H163" s="18"/>
      <c r="I163" s="19"/>
      <c r="K163" s="18"/>
    </row>
    <row r="164" spans="1:11">
      <c r="A164" s="18"/>
      <c r="B164" s="30"/>
      <c r="C164" s="18"/>
      <c r="D164" s="18"/>
      <c r="E164" s="18"/>
      <c r="F164" s="19"/>
      <c r="G164" s="18"/>
      <c r="H164" s="18"/>
      <c r="I164" s="19"/>
      <c r="K164" s="18"/>
    </row>
    <row r="165" spans="1:11">
      <c r="A165" s="18"/>
      <c r="B165" s="30"/>
      <c r="C165" s="18"/>
      <c r="D165" s="18"/>
      <c r="E165" s="18"/>
      <c r="F165" s="19"/>
      <c r="G165" s="18"/>
      <c r="H165" s="18"/>
      <c r="I165" s="19"/>
      <c r="K165" s="18"/>
    </row>
    <row r="166" spans="1:11">
      <c r="A166" s="18"/>
      <c r="B166" s="30"/>
      <c r="C166" s="18"/>
      <c r="D166" s="18"/>
      <c r="E166" s="18"/>
      <c r="F166" s="19"/>
      <c r="G166" s="18"/>
      <c r="H166" s="18"/>
      <c r="I166" s="19"/>
      <c r="K166" s="18"/>
    </row>
    <row r="167" spans="1:11">
      <c r="A167" s="18"/>
      <c r="B167" s="30"/>
      <c r="C167" s="18"/>
      <c r="D167" s="18"/>
      <c r="E167" s="18"/>
      <c r="F167" s="19"/>
      <c r="G167" s="18"/>
      <c r="H167" s="18"/>
      <c r="I167" s="19"/>
      <c r="K167" s="18"/>
    </row>
    <row r="168" spans="1:11">
      <c r="A168" s="18"/>
      <c r="B168" s="30"/>
      <c r="C168" s="18"/>
      <c r="D168" s="18"/>
      <c r="E168" s="18"/>
      <c r="F168" s="19"/>
      <c r="G168" s="18"/>
      <c r="H168" s="18"/>
      <c r="I168" s="19"/>
      <c r="K168" s="18"/>
    </row>
    <row r="169" spans="1:11">
      <c r="A169" s="18"/>
      <c r="B169" s="30"/>
      <c r="C169" s="18"/>
      <c r="D169" s="18"/>
      <c r="E169" s="18"/>
      <c r="F169" s="19"/>
      <c r="G169" s="18"/>
      <c r="H169" s="18"/>
      <c r="I169" s="19"/>
      <c r="K169" s="18"/>
    </row>
    <row r="170" spans="1:11">
      <c r="A170" s="18"/>
      <c r="B170" s="30"/>
      <c r="C170" s="18"/>
      <c r="D170" s="18"/>
      <c r="E170" s="18"/>
      <c r="F170" s="19"/>
      <c r="G170" s="18"/>
      <c r="H170" s="18"/>
      <c r="I170" s="19"/>
      <c r="K170" s="18"/>
    </row>
    <row r="171" spans="1:11">
      <c r="A171" s="18"/>
      <c r="B171" s="30"/>
      <c r="C171" s="18"/>
      <c r="D171" s="18"/>
      <c r="E171" s="18"/>
      <c r="F171" s="19"/>
      <c r="G171" s="18"/>
      <c r="H171" s="18"/>
      <c r="I171" s="19"/>
      <c r="K171" s="18"/>
    </row>
    <row r="172" spans="1:11">
      <c r="A172" s="18"/>
      <c r="B172" s="30"/>
      <c r="C172" s="18"/>
      <c r="D172" s="18"/>
      <c r="E172" s="18"/>
      <c r="F172" s="19"/>
      <c r="G172" s="18"/>
      <c r="H172" s="18"/>
      <c r="I172" s="19"/>
      <c r="K172" s="18"/>
    </row>
    <row r="173" spans="1:11">
      <c r="A173" s="18"/>
      <c r="B173" s="30"/>
      <c r="C173" s="18"/>
      <c r="D173" s="18"/>
      <c r="E173" s="18"/>
      <c r="F173" s="19"/>
      <c r="G173" s="18"/>
      <c r="H173" s="18"/>
      <c r="I173" s="19"/>
      <c r="K173" s="18"/>
    </row>
    <row r="174" spans="1:11">
      <c r="A174" s="18"/>
      <c r="B174" s="30"/>
      <c r="C174" s="18"/>
      <c r="D174" s="18"/>
      <c r="E174" s="18"/>
      <c r="F174" s="19"/>
      <c r="G174" s="18"/>
      <c r="H174" s="18"/>
      <c r="I174" s="19"/>
      <c r="K174" s="18"/>
    </row>
    <row r="175" spans="1:11">
      <c r="A175" s="18"/>
      <c r="B175" s="30"/>
      <c r="C175" s="18"/>
      <c r="D175" s="18"/>
      <c r="E175" s="18"/>
      <c r="F175" s="19"/>
      <c r="G175" s="18"/>
      <c r="H175" s="18"/>
      <c r="I175" s="19"/>
      <c r="K175" s="18"/>
    </row>
    <row r="176" spans="1:11">
      <c r="A176" s="18"/>
      <c r="B176" s="30"/>
      <c r="C176" s="18"/>
      <c r="D176" s="18"/>
      <c r="E176" s="18"/>
      <c r="F176" s="19"/>
      <c r="G176" s="18"/>
      <c r="H176" s="18"/>
      <c r="I176" s="19"/>
      <c r="K176" s="18"/>
    </row>
    <row r="177" spans="1:11">
      <c r="A177" s="18"/>
      <c r="B177" s="30"/>
      <c r="C177" s="18"/>
      <c r="D177" s="18"/>
      <c r="E177" s="18"/>
      <c r="F177" s="19"/>
      <c r="G177" s="18"/>
      <c r="H177" s="18"/>
      <c r="I177" s="19"/>
      <c r="K177" s="18"/>
    </row>
    <row r="178" spans="1:11">
      <c r="A178" s="18"/>
      <c r="B178" s="30"/>
      <c r="C178" s="18"/>
      <c r="D178" s="18"/>
      <c r="E178" s="18"/>
      <c r="F178" s="19"/>
      <c r="G178" s="18"/>
      <c r="H178" s="18"/>
      <c r="I178" s="19"/>
      <c r="K178" s="18"/>
    </row>
    <row r="179" spans="1:11">
      <c r="A179" s="18"/>
      <c r="B179" s="30"/>
      <c r="C179" s="18"/>
      <c r="D179" s="18"/>
      <c r="E179" s="18"/>
      <c r="F179" s="19"/>
      <c r="G179" s="18"/>
      <c r="H179" s="18"/>
      <c r="I179" s="19"/>
      <c r="K179" s="18"/>
    </row>
    <row r="180" spans="1:11">
      <c r="A180" s="18"/>
      <c r="B180" s="30"/>
      <c r="C180" s="18"/>
      <c r="D180" s="18"/>
      <c r="E180" s="18"/>
      <c r="F180" s="19"/>
      <c r="G180" s="18"/>
      <c r="H180" s="18"/>
      <c r="I180" s="19"/>
      <c r="K180" s="18"/>
    </row>
    <row r="181" spans="1:11">
      <c r="A181" s="18"/>
      <c r="B181" s="30"/>
      <c r="C181" s="18"/>
      <c r="D181" s="18"/>
      <c r="E181" s="18"/>
      <c r="F181" s="19"/>
      <c r="G181" s="18"/>
      <c r="H181" s="18"/>
      <c r="I181" s="19"/>
      <c r="K181" s="18"/>
    </row>
    <row r="182" spans="1:11">
      <c r="A182" s="18"/>
      <c r="B182" s="30"/>
      <c r="C182" s="18"/>
      <c r="D182" s="18"/>
      <c r="E182" s="18"/>
      <c r="F182" s="19"/>
      <c r="G182" s="18"/>
      <c r="H182" s="18"/>
      <c r="I182" s="19"/>
      <c r="K182" s="18"/>
    </row>
    <row r="183" spans="1:11">
      <c r="A183" s="18"/>
      <c r="B183" s="30"/>
      <c r="C183" s="18"/>
      <c r="D183" s="18"/>
      <c r="E183" s="18"/>
      <c r="F183" s="19"/>
      <c r="G183" s="18"/>
      <c r="H183" s="18"/>
      <c r="I183" s="19"/>
      <c r="K183" s="18"/>
    </row>
    <row r="184" spans="1:11">
      <c r="A184" s="18"/>
      <c r="B184" s="30"/>
      <c r="C184" s="18"/>
      <c r="D184" s="18"/>
      <c r="E184" s="18"/>
      <c r="F184" s="19"/>
      <c r="G184" s="18"/>
      <c r="H184" s="18"/>
      <c r="I184" s="19"/>
      <c r="K184" s="18"/>
    </row>
    <row r="185" spans="1:11">
      <c r="A185" s="18"/>
      <c r="B185" s="30"/>
      <c r="C185" s="18"/>
      <c r="D185" s="18"/>
      <c r="E185" s="18"/>
      <c r="F185" s="19"/>
      <c r="G185" s="18"/>
      <c r="H185" s="18"/>
      <c r="I185" s="19"/>
      <c r="K185" s="18"/>
    </row>
    <row r="186" spans="1:11">
      <c r="A186" s="18"/>
      <c r="B186" s="30"/>
      <c r="C186" s="18"/>
      <c r="D186" s="18"/>
      <c r="E186" s="18"/>
      <c r="F186" s="19"/>
      <c r="G186" s="18"/>
      <c r="H186" s="18"/>
      <c r="I186" s="19"/>
      <c r="K186" s="18"/>
    </row>
    <row r="187" spans="1:11">
      <c r="A187" s="18"/>
      <c r="B187" s="30"/>
      <c r="C187" s="18"/>
      <c r="D187" s="18"/>
      <c r="E187" s="18"/>
      <c r="F187" s="19"/>
      <c r="G187" s="18"/>
      <c r="H187" s="18"/>
      <c r="I187" s="19"/>
      <c r="K187" s="18"/>
    </row>
    <row r="188" spans="1:11">
      <c r="A188" s="18"/>
      <c r="B188" s="30"/>
      <c r="C188" s="18"/>
      <c r="D188" s="18"/>
      <c r="E188" s="18"/>
      <c r="F188" s="19"/>
      <c r="G188" s="18"/>
      <c r="H188" s="18"/>
      <c r="I188" s="19"/>
      <c r="K188" s="18"/>
    </row>
    <row r="189" spans="1:11">
      <c r="A189" s="18"/>
      <c r="B189" s="30"/>
      <c r="C189" s="18"/>
      <c r="D189" s="18"/>
      <c r="E189" s="18"/>
      <c r="F189" s="19"/>
      <c r="G189" s="18"/>
      <c r="H189" s="18"/>
      <c r="I189" s="19"/>
      <c r="K189" s="18"/>
    </row>
    <row r="190" spans="1:11">
      <c r="A190" s="18"/>
      <c r="B190" s="30"/>
      <c r="C190" s="18"/>
      <c r="D190" s="18"/>
      <c r="E190" s="18"/>
      <c r="F190" s="19"/>
      <c r="G190" s="18"/>
      <c r="H190" s="18"/>
      <c r="I190" s="19"/>
      <c r="K190" s="18"/>
    </row>
    <row r="191" spans="1:11">
      <c r="A191" s="18"/>
      <c r="B191" s="30"/>
      <c r="C191" s="18"/>
      <c r="D191" s="18"/>
      <c r="E191" s="18"/>
      <c r="F191" s="19"/>
      <c r="G191" s="18"/>
      <c r="H191" s="18"/>
      <c r="I191" s="19"/>
      <c r="K191" s="18"/>
    </row>
    <row r="192" spans="1:11">
      <c r="A192" s="18"/>
      <c r="B192" s="30"/>
      <c r="C192" s="18"/>
      <c r="D192" s="18"/>
      <c r="E192" s="18"/>
      <c r="F192" s="19"/>
      <c r="G192" s="18"/>
      <c r="H192" s="18"/>
      <c r="I192" s="19"/>
      <c r="K192" s="18"/>
    </row>
    <row r="193" spans="1:11">
      <c r="A193" s="18"/>
      <c r="B193" s="30"/>
      <c r="C193" s="18"/>
      <c r="D193" s="18"/>
      <c r="E193" s="18"/>
      <c r="F193" s="19"/>
      <c r="G193" s="18"/>
      <c r="H193" s="18"/>
      <c r="I193" s="19"/>
      <c r="K193" s="18"/>
    </row>
    <row r="194" spans="1:11">
      <c r="A194" s="18"/>
      <c r="B194" s="30"/>
      <c r="C194" s="18"/>
      <c r="D194" s="18"/>
      <c r="E194" s="18"/>
      <c r="F194" s="19"/>
      <c r="G194" s="18"/>
      <c r="H194" s="18"/>
      <c r="I194" s="19"/>
      <c r="K194" s="18"/>
    </row>
    <row r="195" spans="1:11">
      <c r="A195" s="18"/>
      <c r="B195" s="30"/>
      <c r="C195" s="18"/>
      <c r="D195" s="18"/>
      <c r="E195" s="18"/>
      <c r="F195" s="19"/>
      <c r="G195" s="18"/>
      <c r="H195" s="18"/>
      <c r="I195" s="19"/>
      <c r="K195" s="18"/>
    </row>
    <row r="196" spans="1:11">
      <c r="A196" s="18"/>
      <c r="B196" s="30"/>
      <c r="C196" s="18"/>
      <c r="D196" s="18"/>
      <c r="E196" s="18"/>
      <c r="F196" s="19"/>
      <c r="G196" s="18"/>
      <c r="H196" s="18"/>
      <c r="I196" s="19"/>
      <c r="K196" s="18"/>
    </row>
    <row r="197" spans="1:11">
      <c r="A197" s="18"/>
      <c r="B197" s="30"/>
      <c r="C197" s="18"/>
      <c r="D197" s="18"/>
      <c r="E197" s="18"/>
      <c r="F197" s="19"/>
      <c r="G197" s="18"/>
      <c r="H197" s="18"/>
      <c r="I197" s="19"/>
      <c r="K197" s="18"/>
    </row>
    <row r="198" spans="1:11">
      <c r="A198" s="18"/>
      <c r="B198" s="30"/>
      <c r="C198" s="18"/>
      <c r="D198" s="18"/>
      <c r="E198" s="18"/>
      <c r="F198" s="19"/>
      <c r="G198" s="18"/>
      <c r="H198" s="18"/>
      <c r="I198" s="19"/>
      <c r="K198" s="18"/>
    </row>
    <row r="199" spans="1:11">
      <c r="A199" s="18"/>
      <c r="B199" s="30"/>
      <c r="C199" s="18"/>
      <c r="D199" s="18"/>
      <c r="E199" s="18"/>
      <c r="F199" s="19"/>
      <c r="G199" s="18"/>
      <c r="H199" s="18"/>
      <c r="I199" s="19"/>
      <c r="K199" s="18"/>
    </row>
    <row r="200" spans="1:11">
      <c r="A200" s="18"/>
      <c r="B200" s="30"/>
      <c r="C200" s="18"/>
      <c r="D200" s="18"/>
      <c r="E200" s="18"/>
      <c r="F200" s="19"/>
      <c r="G200" s="18"/>
      <c r="H200" s="18"/>
      <c r="I200" s="19"/>
      <c r="K200" s="18"/>
    </row>
    <row r="201" spans="1:11">
      <c r="A201" s="18"/>
      <c r="B201" s="30"/>
      <c r="C201" s="18"/>
      <c r="D201" s="18"/>
      <c r="E201" s="18"/>
      <c r="F201" s="19"/>
      <c r="G201" s="18"/>
      <c r="H201" s="18"/>
      <c r="I201" s="19"/>
      <c r="K201" s="18"/>
    </row>
    <row r="202" spans="1:11">
      <c r="A202" s="18"/>
      <c r="B202" s="30"/>
      <c r="C202" s="18"/>
      <c r="D202" s="18"/>
      <c r="E202" s="18"/>
      <c r="F202" s="19"/>
      <c r="G202" s="18"/>
      <c r="H202" s="18"/>
      <c r="I202" s="19"/>
      <c r="K202" s="18"/>
    </row>
    <row r="203" spans="1:11">
      <c r="A203" s="18"/>
      <c r="B203" s="30"/>
      <c r="C203" s="18"/>
      <c r="D203" s="18"/>
      <c r="E203" s="18"/>
      <c r="F203" s="19"/>
      <c r="G203" s="18"/>
      <c r="H203" s="18"/>
      <c r="I203" s="19"/>
      <c r="K203" s="18"/>
    </row>
    <row r="204" spans="1:11">
      <c r="A204" s="18"/>
      <c r="B204" s="30"/>
      <c r="C204" s="18"/>
      <c r="D204" s="18"/>
      <c r="E204" s="18"/>
      <c r="F204" s="19"/>
      <c r="G204" s="18"/>
      <c r="H204" s="18"/>
      <c r="I204" s="19"/>
      <c r="K204" s="18"/>
    </row>
    <row r="205" spans="1:11">
      <c r="A205" s="18"/>
      <c r="B205" s="30"/>
      <c r="C205" s="18"/>
      <c r="D205" s="18"/>
      <c r="E205" s="18"/>
      <c r="F205" s="19"/>
      <c r="G205" s="18"/>
      <c r="H205" s="18"/>
      <c r="I205" s="19"/>
      <c r="K205" s="18"/>
    </row>
    <row r="206" spans="1:11">
      <c r="A206" s="18"/>
      <c r="B206" s="30"/>
      <c r="C206" s="18"/>
      <c r="D206" s="18"/>
      <c r="E206" s="18"/>
      <c r="F206" s="19"/>
      <c r="G206" s="18"/>
      <c r="H206" s="18"/>
      <c r="I206" s="19"/>
      <c r="K206" s="18"/>
    </row>
    <row r="207" spans="1:11">
      <c r="A207" s="18"/>
      <c r="B207" s="30"/>
      <c r="C207" s="18"/>
      <c r="D207" s="18"/>
      <c r="E207" s="18"/>
      <c r="F207" s="19"/>
      <c r="G207" s="18"/>
      <c r="H207" s="18"/>
      <c r="I207" s="19"/>
      <c r="K207" s="18"/>
    </row>
    <row r="208" spans="1:11">
      <c r="A208" s="18"/>
      <c r="B208" s="30"/>
      <c r="C208" s="18"/>
      <c r="D208" s="18"/>
      <c r="E208" s="18"/>
      <c r="F208" s="19"/>
      <c r="G208" s="18"/>
      <c r="H208" s="18"/>
      <c r="I208" s="19"/>
      <c r="K208" s="18"/>
    </row>
    <row r="209" spans="1:11">
      <c r="A209" s="18"/>
      <c r="B209" s="30"/>
      <c r="C209" s="18"/>
      <c r="D209" s="18"/>
      <c r="E209" s="18"/>
      <c r="F209" s="19"/>
      <c r="G209" s="18"/>
      <c r="H209" s="18"/>
      <c r="I209" s="19"/>
      <c r="K209" s="18"/>
    </row>
    <row r="210" spans="1:11">
      <c r="A210" s="18"/>
      <c r="B210" s="30"/>
      <c r="C210" s="18"/>
      <c r="D210" s="18"/>
      <c r="E210" s="18"/>
      <c r="F210" s="19"/>
      <c r="G210" s="18"/>
      <c r="H210" s="18"/>
      <c r="I210" s="19"/>
      <c r="K210" s="18"/>
    </row>
    <row r="211" spans="1:11">
      <c r="A211" s="18"/>
      <c r="B211" s="30"/>
      <c r="C211" s="18"/>
      <c r="D211" s="18"/>
      <c r="E211" s="18"/>
      <c r="F211" s="19"/>
      <c r="G211" s="18"/>
      <c r="H211" s="18"/>
      <c r="I211" s="19"/>
      <c r="K211" s="18"/>
    </row>
    <row r="212" spans="1:11">
      <c r="A212" s="18"/>
      <c r="B212" s="30"/>
      <c r="C212" s="18"/>
      <c r="D212" s="18"/>
      <c r="E212" s="18"/>
      <c r="F212" s="19"/>
      <c r="G212" s="18"/>
      <c r="H212" s="18"/>
      <c r="I212" s="19"/>
      <c r="K212" s="18"/>
    </row>
    <row r="213" spans="1:11">
      <c r="A213" s="18"/>
      <c r="B213" s="30"/>
      <c r="C213" s="18"/>
      <c r="D213" s="18"/>
      <c r="E213" s="18"/>
      <c r="F213" s="19"/>
      <c r="G213" s="18"/>
      <c r="H213" s="18"/>
      <c r="I213" s="19"/>
      <c r="K213" s="18"/>
    </row>
    <row r="214" spans="1:11">
      <c r="A214" s="18"/>
      <c r="B214" s="30"/>
      <c r="C214" s="18"/>
      <c r="D214" s="18"/>
      <c r="E214" s="18"/>
      <c r="F214" s="19"/>
      <c r="G214" s="18"/>
      <c r="H214" s="18"/>
      <c r="I214" s="19"/>
      <c r="K214" s="18"/>
    </row>
    <row r="215" spans="1:11">
      <c r="A215" s="18"/>
      <c r="B215" s="30"/>
      <c r="C215" s="18"/>
      <c r="D215" s="18"/>
      <c r="E215" s="18"/>
      <c r="F215" s="19"/>
      <c r="G215" s="18"/>
      <c r="H215" s="18"/>
      <c r="I215" s="19"/>
      <c r="K215" s="18"/>
    </row>
    <row r="216" spans="1:11">
      <c r="A216" s="18"/>
      <c r="B216" s="30"/>
      <c r="C216" s="18"/>
      <c r="D216" s="18"/>
      <c r="E216" s="18"/>
      <c r="F216" s="19"/>
      <c r="G216" s="18"/>
      <c r="H216" s="18"/>
      <c r="I216" s="19"/>
      <c r="K216" s="18"/>
    </row>
    <row r="217" spans="1:11">
      <c r="A217" s="18"/>
      <c r="B217" s="30"/>
      <c r="C217" s="18"/>
      <c r="D217" s="18"/>
      <c r="E217" s="18"/>
      <c r="F217" s="19"/>
      <c r="G217" s="18"/>
      <c r="H217" s="18"/>
      <c r="I217" s="19"/>
      <c r="K217" s="18"/>
    </row>
    <row r="218" spans="1:11">
      <c r="A218" s="18"/>
      <c r="B218" s="30"/>
      <c r="C218" s="18"/>
      <c r="D218" s="18"/>
      <c r="E218" s="18"/>
      <c r="F218" s="19"/>
      <c r="G218" s="18"/>
      <c r="H218" s="18"/>
      <c r="I218" s="19"/>
      <c r="K218" s="18"/>
    </row>
    <row r="219" spans="1:11">
      <c r="A219" s="18"/>
      <c r="B219" s="30"/>
      <c r="C219" s="18"/>
      <c r="D219" s="18"/>
      <c r="E219" s="18"/>
      <c r="F219" s="19"/>
      <c r="G219" s="18"/>
      <c r="H219" s="18"/>
      <c r="I219" s="19"/>
      <c r="K219" s="18"/>
    </row>
    <row r="220" spans="1:11">
      <c r="A220" s="18"/>
      <c r="B220" s="30"/>
      <c r="C220" s="18"/>
      <c r="D220" s="18"/>
      <c r="E220" s="18"/>
      <c r="F220" s="19"/>
      <c r="G220" s="18"/>
      <c r="H220" s="18"/>
      <c r="I220" s="19"/>
      <c r="K220" s="18"/>
    </row>
    <row r="221" spans="1:11">
      <c r="A221" s="18"/>
      <c r="B221" s="30"/>
      <c r="C221" s="18"/>
      <c r="D221" s="18"/>
      <c r="E221" s="18"/>
      <c r="F221" s="19"/>
      <c r="G221" s="18"/>
      <c r="H221" s="18"/>
      <c r="I221" s="19"/>
      <c r="K221" s="18"/>
    </row>
    <row r="222" spans="1:11">
      <c r="A222" s="18"/>
      <c r="B222" s="30"/>
      <c r="C222" s="18"/>
      <c r="D222" s="18"/>
      <c r="E222" s="18"/>
      <c r="F222" s="19"/>
      <c r="G222" s="18"/>
      <c r="H222" s="18"/>
      <c r="I222" s="19"/>
      <c r="K222" s="18"/>
    </row>
    <row r="223" spans="1:11">
      <c r="A223" s="18"/>
      <c r="B223" s="30"/>
      <c r="C223" s="18"/>
      <c r="D223" s="18"/>
      <c r="E223" s="18"/>
      <c r="F223" s="19"/>
      <c r="G223" s="18"/>
      <c r="H223" s="18"/>
      <c r="I223" s="19"/>
      <c r="K223" s="18"/>
    </row>
    <row r="224" spans="1:11">
      <c r="A224" s="18"/>
      <c r="B224" s="30"/>
      <c r="C224" s="18"/>
      <c r="D224" s="18"/>
      <c r="E224" s="18"/>
      <c r="F224" s="19"/>
      <c r="G224" s="18"/>
      <c r="H224" s="18"/>
      <c r="I224" s="19"/>
      <c r="K224" s="18"/>
    </row>
    <row r="225" spans="1:11">
      <c r="A225" s="18"/>
      <c r="B225" s="30"/>
      <c r="C225" s="18"/>
      <c r="D225" s="18"/>
      <c r="E225" s="18"/>
      <c r="F225" s="19"/>
      <c r="G225" s="18"/>
      <c r="H225" s="18"/>
      <c r="I225" s="19"/>
      <c r="K225" s="18"/>
    </row>
    <row r="226" spans="1:11">
      <c r="A226" s="18"/>
      <c r="B226" s="30"/>
      <c r="C226" s="18"/>
      <c r="D226" s="18"/>
      <c r="E226" s="18"/>
      <c r="F226" s="19"/>
      <c r="G226" s="18"/>
      <c r="H226" s="18"/>
      <c r="I226" s="19"/>
      <c r="K226" s="18"/>
    </row>
    <row r="227" spans="1:11">
      <c r="A227" s="18"/>
      <c r="B227" s="30"/>
      <c r="C227" s="18"/>
      <c r="D227" s="18"/>
      <c r="E227" s="18"/>
      <c r="F227" s="19"/>
      <c r="G227" s="18"/>
      <c r="H227" s="18"/>
      <c r="I227" s="19"/>
      <c r="K227" s="18"/>
    </row>
    <row r="228" spans="1:11">
      <c r="A228" s="18"/>
      <c r="B228" s="30"/>
      <c r="C228" s="18"/>
      <c r="D228" s="18"/>
      <c r="E228" s="18"/>
      <c r="F228" s="19"/>
      <c r="G228" s="18"/>
      <c r="H228" s="18"/>
      <c r="I228" s="19"/>
      <c r="K228" s="18"/>
    </row>
    <row r="229" spans="1:11">
      <c r="A229" s="18"/>
      <c r="B229" s="30"/>
      <c r="C229" s="18"/>
      <c r="D229" s="18"/>
      <c r="E229" s="18"/>
      <c r="F229" s="19"/>
      <c r="G229" s="18"/>
      <c r="H229" s="18"/>
      <c r="I229" s="19"/>
      <c r="K229" s="18"/>
    </row>
    <row r="230" spans="1:11">
      <c r="A230" s="18"/>
      <c r="B230" s="30"/>
      <c r="C230" s="18"/>
      <c r="D230" s="18"/>
      <c r="E230" s="18"/>
      <c r="F230" s="19"/>
      <c r="G230" s="18"/>
      <c r="H230" s="18"/>
      <c r="I230" s="19"/>
      <c r="K230" s="18"/>
    </row>
    <row r="231" spans="1:11">
      <c r="A231" s="18"/>
      <c r="B231" s="30"/>
      <c r="C231" s="18"/>
      <c r="D231" s="18"/>
      <c r="E231" s="18"/>
      <c r="F231" s="19"/>
      <c r="G231" s="18"/>
      <c r="H231" s="18"/>
      <c r="I231" s="19"/>
      <c r="K231" s="18"/>
    </row>
    <row r="232" spans="1:11">
      <c r="A232" s="18"/>
      <c r="B232" s="30"/>
      <c r="C232" s="18"/>
      <c r="D232" s="18"/>
      <c r="E232" s="18"/>
      <c r="F232" s="19"/>
      <c r="G232" s="18"/>
      <c r="H232" s="18"/>
      <c r="I232" s="19"/>
      <c r="K232" s="18"/>
    </row>
    <row r="233" spans="1:11">
      <c r="A233" s="18"/>
      <c r="B233" s="30"/>
      <c r="C233" s="18"/>
      <c r="D233" s="18"/>
      <c r="E233" s="18"/>
      <c r="F233" s="19"/>
      <c r="G233" s="18"/>
      <c r="H233" s="18"/>
      <c r="I233" s="19"/>
      <c r="K233" s="18"/>
    </row>
    <row r="234" spans="1:11">
      <c r="A234" s="18"/>
      <c r="B234" s="30"/>
      <c r="C234" s="18"/>
      <c r="D234" s="18"/>
      <c r="E234" s="18"/>
      <c r="F234" s="19"/>
      <c r="G234" s="18"/>
      <c r="H234" s="18"/>
      <c r="I234" s="19"/>
      <c r="K234" s="18"/>
    </row>
    <row r="235" spans="1:11">
      <c r="A235" s="18"/>
      <c r="B235" s="30"/>
      <c r="C235" s="18"/>
      <c r="D235" s="18"/>
      <c r="E235" s="18"/>
      <c r="F235" s="19"/>
      <c r="G235" s="18"/>
      <c r="H235" s="18"/>
      <c r="I235" s="19"/>
      <c r="K235" s="18"/>
    </row>
    <row r="236" spans="1:11">
      <c r="A236" s="18"/>
      <c r="B236" s="30"/>
      <c r="C236" s="18"/>
      <c r="D236" s="18"/>
      <c r="E236" s="18"/>
      <c r="F236" s="19"/>
      <c r="G236" s="18"/>
      <c r="H236" s="18"/>
      <c r="I236" s="19"/>
      <c r="K236" s="18"/>
    </row>
    <row r="237" spans="1:11">
      <c r="A237" s="18"/>
      <c r="B237" s="30"/>
      <c r="C237" s="18"/>
      <c r="D237" s="18"/>
      <c r="E237" s="18"/>
      <c r="F237" s="19"/>
      <c r="G237" s="18"/>
      <c r="H237" s="18"/>
      <c r="I237" s="19"/>
      <c r="K237" s="18"/>
    </row>
    <row r="238" spans="1:11">
      <c r="A238" s="18"/>
      <c r="B238" s="30"/>
      <c r="C238" s="18"/>
      <c r="D238" s="18"/>
      <c r="E238" s="18"/>
      <c r="F238" s="19"/>
      <c r="G238" s="18"/>
      <c r="H238" s="18"/>
      <c r="I238" s="19"/>
      <c r="K238" s="18"/>
    </row>
    <row r="239" spans="1:11">
      <c r="A239" s="18"/>
      <c r="B239" s="30"/>
      <c r="C239" s="18"/>
      <c r="D239" s="18"/>
      <c r="E239" s="18"/>
      <c r="F239" s="19"/>
      <c r="G239" s="18"/>
      <c r="H239" s="18"/>
      <c r="I239" s="19"/>
      <c r="K239" s="18"/>
    </row>
    <row r="240" spans="1:11">
      <c r="A240" s="18"/>
      <c r="B240" s="30"/>
      <c r="C240" s="18"/>
      <c r="D240" s="18"/>
      <c r="E240" s="18"/>
      <c r="F240" s="19"/>
      <c r="G240" s="18"/>
      <c r="H240" s="18"/>
      <c r="I240" s="19"/>
      <c r="K240" s="18"/>
    </row>
    <row r="241" spans="1:11">
      <c r="A241" s="18"/>
      <c r="B241" s="30"/>
      <c r="C241" s="18"/>
      <c r="D241" s="18"/>
      <c r="E241" s="18"/>
      <c r="F241" s="19"/>
      <c r="G241" s="18"/>
      <c r="H241" s="18"/>
      <c r="I241" s="19"/>
      <c r="K241" s="18"/>
    </row>
    <row r="242" spans="1:11">
      <c r="A242" s="18"/>
      <c r="B242" s="30"/>
      <c r="C242" s="18"/>
      <c r="D242" s="18"/>
      <c r="E242" s="18"/>
      <c r="F242" s="19"/>
      <c r="G242" s="18"/>
      <c r="H242" s="18"/>
      <c r="I242" s="19"/>
      <c r="K242" s="18"/>
    </row>
    <row r="243" spans="1:11">
      <c r="C243" s="18"/>
      <c r="D243" s="18"/>
      <c r="E243" s="18"/>
      <c r="F243" s="19"/>
      <c r="G243" s="18"/>
      <c r="H243" s="18"/>
      <c r="I243" s="19"/>
      <c r="K243" s="18"/>
    </row>
  </sheetData>
  <mergeCells count="4">
    <mergeCell ref="G1:I1"/>
    <mergeCell ref="A1:C1"/>
    <mergeCell ref="D1:F1"/>
    <mergeCell ref="A2:B2"/>
  </mergeCells>
  <conditionalFormatting sqref="F2 I2">
    <cfRule type="cellIs" dxfId="44" priority="7" stopIfTrue="1" operator="lessThanOrEqual">
      <formula>-0.1</formula>
    </cfRule>
    <cfRule type="expression" dxfId="43" priority="8">
      <formula>AND(ISNUMBER(F2), F2&gt;=0.1)</formula>
    </cfRule>
  </conditionalFormatting>
  <conditionalFormatting sqref="F4:F38 I4:I38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243"/>
  <sheetViews>
    <sheetView workbookViewId="0">
      <pane xSplit="2" ySplit="3" topLeftCell="C7" activePane="bottomRight" state="frozen"/>
      <selection pane="bottomRight" activeCell="J4" activeCellId="2" sqref="C4:D39 G4:G39 J4:K40"/>
      <selection pane="bottomLeft" activeCell="J4" activeCellId="3" sqref="A39:XFD137 C4:D38 G4:G38 J4:K37"/>
      <selection pane="topRight" activeCell="J4" activeCellId="3" sqref="A39:XFD137 C4:D38 G4:G38 J4:K37"/>
    </sheetView>
  </sheetViews>
  <sheetFormatPr defaultRowHeight="13.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5" customWidth="1"/>
    <col min="11" max="11" width="24.85546875" customWidth="1"/>
  </cols>
  <sheetData>
    <row r="1" spans="1:11" ht="19.5" customHeight="1">
      <c r="A1" s="66" t="str" cm="1">
        <f t="array" ref="A1">portfolio</f>
        <v>Cushman &amp; Wakefield</v>
      </c>
      <c r="B1" s="66"/>
      <c r="C1" s="66"/>
      <c r="D1" s="67" t="s">
        <v>24</v>
      </c>
      <c r="E1" s="67"/>
      <c r="F1" s="67"/>
      <c r="G1" s="65" t="s">
        <v>25</v>
      </c>
      <c r="H1" s="65"/>
      <c r="I1" s="65"/>
      <c r="J1" s="5"/>
      <c r="K1" s="5"/>
    </row>
    <row r="2" spans="1:11" ht="19.5" customHeight="1">
      <c r="A2" s="68" t="s">
        <v>2</v>
      </c>
      <c r="B2" s="68"/>
      <c r="C2" s="6">
        <f>SUM(C4:C39)</f>
        <v>0</v>
      </c>
      <c r="D2" s="6">
        <f>SUM(D4:D39)</f>
        <v>0</v>
      </c>
      <c r="E2" s="6">
        <f>C2-D2</f>
        <v>0</v>
      </c>
      <c r="F2" s="7">
        <f>IFERROR(E2/D2, 0)</f>
        <v>0</v>
      </c>
      <c r="G2" s="6">
        <f>SUM(G4:G39)</f>
        <v>0</v>
      </c>
      <c r="H2" s="8">
        <f>C2-G2</f>
        <v>0</v>
      </c>
      <c r="I2" s="7">
        <f>IFERROR(H2/G2, 0)</f>
        <v>0</v>
      </c>
      <c r="J2" s="23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38">Sites[Site]</f>
        <v xml:space="preserve"> Adelanto - Bank of America</v>
      </c>
      <c r="B4" s="26" t="str" cm="1">
        <f t="array" ref="B4:B38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 xml:space="preserve"> Apple Valley - Bank of America</v>
      </c>
      <c r="B5" s="28" t="str">
        <v>CA</v>
      </c>
      <c r="C5" s="10"/>
      <c r="D5" s="15"/>
      <c r="E5" s="15" t="str">
        <f t="shared" ref="E5:E13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 xml:space="preserve"> Arvin - Bank of America</v>
      </c>
      <c r="B6" s="26" t="str">
        <v>CA</v>
      </c>
      <c r="C6" s="21"/>
      <c r="D6" s="11"/>
      <c r="E6" s="11" t="str">
        <f t="shared" si="0"/>
        <v/>
      </c>
      <c r="F6" s="12" t="str">
        <f t="shared" ref="F6:F13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 xml:space="preserve"> Bell - Bank of America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 xml:space="preserve"> Chula Vista - Bank of America</v>
      </c>
      <c r="B8" s="26" t="str">
        <v>CA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 xml:space="preserve"> Cupertino - Bank of America</v>
      </c>
      <c r="B9" s="28" t="str">
        <v>CA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 xml:space="preserve"> Diamond Bar - Bank of America</v>
      </c>
      <c r="B10" s="26" t="str">
        <v>CA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 xml:space="preserve"> El Centro - Bank of America</v>
      </c>
      <c r="B11" s="28" t="str">
        <v>CA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56"/>
    </row>
    <row r="12" spans="1:11" ht="15.75">
      <c r="A12" s="25" t="str">
        <v xml:space="preserve"> Moreno Valley - Bank of America</v>
      </c>
      <c r="B12" s="26" t="str">
        <v>CA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 xml:space="preserve"> Redlands - Bank of America</v>
      </c>
      <c r="B13" s="28" t="str">
        <v>CA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 xml:space="preserve"> Roseville - Bank of America</v>
      </c>
      <c r="B14" s="26" t="str">
        <v>CA</v>
      </c>
      <c r="C14" s="21"/>
      <c r="D14" s="11"/>
      <c r="E14" s="11" t="str">
        <f t="shared" ref="E14:E38" si="4">IF(AND(ISNUMBER(C14),ISNUMBER(D14)), C14-D14, "")</f>
        <v/>
      </c>
      <c r="F14" s="12" t="str">
        <f t="shared" ref="F14:F38" si="5">IFERROR(E14/D14, "")</f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 xml:space="preserve"> San Bernardino - Bank of America</v>
      </c>
      <c r="B15" s="28" t="str">
        <v>CA</v>
      </c>
      <c r="C15" s="10"/>
      <c r="D15" s="15"/>
      <c r="E15" s="15" t="str">
        <f t="shared" si="4"/>
        <v/>
      </c>
      <c r="F15" s="16" t="str">
        <f t="shared" si="5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 xml:space="preserve"> San Diego - Bank of America</v>
      </c>
      <c r="B16" s="26" t="str">
        <v>CA</v>
      </c>
      <c r="C16" s="21"/>
      <c r="D16" s="11"/>
      <c r="E16" s="11" t="str">
        <f t="shared" si="4"/>
        <v/>
      </c>
      <c r="F16" s="12" t="str">
        <f t="shared" si="5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 xml:space="preserve"> Stockton - Bank of America</v>
      </c>
      <c r="B17" s="28" t="str">
        <v>CA</v>
      </c>
      <c r="C17" s="10"/>
      <c r="D17" s="15"/>
      <c r="E17" s="15" t="str">
        <f t="shared" si="4"/>
        <v/>
      </c>
      <c r="F17" s="16" t="str">
        <f t="shared" si="5"/>
        <v/>
      </c>
      <c r="G17" s="17"/>
      <c r="H17" s="17" t="str">
        <f t="shared" si="1"/>
        <v/>
      </c>
      <c r="I17" s="16" t="str">
        <f t="shared" si="2"/>
        <v/>
      </c>
      <c r="J17" s="57"/>
      <c r="K17" s="58"/>
    </row>
    <row r="18" spans="1:11" ht="12.75" customHeight="1">
      <c r="A18" s="25" t="str">
        <v xml:space="preserve"> Victorville - Bank of America</v>
      </c>
      <c r="B18" s="26" t="str">
        <v>CA</v>
      </c>
      <c r="C18" s="21"/>
      <c r="D18" s="11"/>
      <c r="E18" s="11" t="str">
        <f t="shared" si="4"/>
        <v/>
      </c>
      <c r="F18" s="12" t="str">
        <f t="shared" si="5"/>
        <v/>
      </c>
      <c r="G18" s="13"/>
      <c r="H18" s="13" t="str">
        <f t="shared" ref="H18:H38" si="6">IF(AND(ISNUMBER(C18),ISNUMBER(G18)), C18-G18, "")</f>
        <v/>
      </c>
      <c r="I18" s="14" t="str">
        <f t="shared" ref="I18:I38" si="7">IFERROR(H18/G18, "")</f>
        <v/>
      </c>
      <c r="J18" s="38"/>
      <c r="K18" s="38"/>
    </row>
    <row r="19" spans="1:11" ht="15.75">
      <c r="A19" s="27" t="str">
        <v xml:space="preserve"> Aurora - BA - Colfax Ave</v>
      </c>
      <c r="B19" s="28" t="str">
        <v>CO</v>
      </c>
      <c r="C19" s="10"/>
      <c r="D19" s="15"/>
      <c r="E19" s="15" t="str">
        <f t="shared" si="4"/>
        <v/>
      </c>
      <c r="F19" s="16" t="str">
        <f t="shared" si="5"/>
        <v/>
      </c>
      <c r="G19" s="17"/>
      <c r="H19" s="17" t="str">
        <f t="shared" si="6"/>
        <v/>
      </c>
      <c r="I19" s="16" t="str">
        <f t="shared" si="7"/>
        <v/>
      </c>
      <c r="J19" s="39"/>
      <c r="K19" s="40"/>
    </row>
    <row r="20" spans="1:11" ht="15.75">
      <c r="A20" s="25" t="str">
        <v xml:space="preserve"> Aurora - BA - Parker Rd</v>
      </c>
      <c r="B20" s="26" t="str">
        <v>CO</v>
      </c>
      <c r="C20" s="21"/>
      <c r="D20" s="11"/>
      <c r="E20" s="11" t="str">
        <f t="shared" si="4"/>
        <v/>
      </c>
      <c r="F20" s="12" t="str">
        <f t="shared" si="5"/>
        <v/>
      </c>
      <c r="G20" s="13"/>
      <c r="H20" s="13" t="str">
        <f t="shared" si="6"/>
        <v/>
      </c>
      <c r="I20" s="14" t="str">
        <f t="shared" si="7"/>
        <v/>
      </c>
      <c r="J20" s="38"/>
      <c r="K20" s="38"/>
    </row>
    <row r="21" spans="1:11" ht="15.75">
      <c r="A21" s="27" t="str">
        <v xml:space="preserve"> Broomfield - Bank of America</v>
      </c>
      <c r="B21" s="28" t="str">
        <v>CO</v>
      </c>
      <c r="C21" s="10"/>
      <c r="D21" s="15"/>
      <c r="E21" s="15" t="str">
        <f t="shared" si="4"/>
        <v/>
      </c>
      <c r="F21" s="16" t="str">
        <f t="shared" si="5"/>
        <v/>
      </c>
      <c r="G21" s="17"/>
      <c r="H21" s="17" t="str">
        <f t="shared" si="6"/>
        <v/>
      </c>
      <c r="I21" s="16" t="str">
        <f t="shared" si="7"/>
        <v/>
      </c>
      <c r="J21" s="39"/>
      <c r="K21" s="40"/>
    </row>
    <row r="22" spans="1:11" ht="15.75">
      <c r="A22" s="25" t="str">
        <v xml:space="preserve"> Colorado Springs - Bank of America</v>
      </c>
      <c r="B22" s="26" t="str">
        <v>CO</v>
      </c>
      <c r="C22" s="21"/>
      <c r="D22" s="11"/>
      <c r="E22" s="11" t="str">
        <f t="shared" si="4"/>
        <v/>
      </c>
      <c r="F22" s="12" t="str">
        <f t="shared" si="5"/>
        <v/>
      </c>
      <c r="G22" s="13"/>
      <c r="H22" s="13" t="str">
        <f t="shared" si="6"/>
        <v/>
      </c>
      <c r="I22" s="14" t="str">
        <f t="shared" si="7"/>
        <v/>
      </c>
      <c r="J22" s="38"/>
      <c r="K22" s="38"/>
    </row>
    <row r="23" spans="1:11" ht="15.75">
      <c r="A23" s="27" t="str">
        <v xml:space="preserve"> Denver - BA - 49th Ave</v>
      </c>
      <c r="B23" s="28" t="str">
        <v>CO</v>
      </c>
      <c r="C23" s="10"/>
      <c r="D23" s="15"/>
      <c r="E23" s="15" t="str">
        <f t="shared" si="4"/>
        <v/>
      </c>
      <c r="F23" s="16" t="str">
        <f t="shared" si="5"/>
        <v/>
      </c>
      <c r="G23" s="17"/>
      <c r="H23" s="17" t="str">
        <f t="shared" si="6"/>
        <v/>
      </c>
      <c r="I23" s="16" t="str">
        <f t="shared" si="7"/>
        <v/>
      </c>
      <c r="J23" s="39"/>
      <c r="K23" s="40"/>
    </row>
    <row r="24" spans="1:11" ht="15.75">
      <c r="A24" s="25" t="str">
        <v xml:space="preserve"> Denver - BA Wadsworth Blvd</v>
      </c>
      <c r="B24" s="26" t="str">
        <v>CO</v>
      </c>
      <c r="C24" s="21"/>
      <c r="D24" s="11"/>
      <c r="E24" s="11" t="str">
        <f t="shared" si="4"/>
        <v/>
      </c>
      <c r="F24" s="12" t="str">
        <f t="shared" si="5"/>
        <v/>
      </c>
      <c r="G24" s="13"/>
      <c r="H24" s="13" t="str">
        <f t="shared" si="6"/>
        <v/>
      </c>
      <c r="I24" s="14" t="str">
        <f t="shared" si="7"/>
        <v/>
      </c>
      <c r="J24" s="38"/>
      <c r="K24" s="38"/>
    </row>
    <row r="25" spans="1:11" ht="15.75">
      <c r="A25" s="27" t="str">
        <v xml:space="preserve"> Fort Collins - Bank of America</v>
      </c>
      <c r="B25" s="28" t="str">
        <v>CO</v>
      </c>
      <c r="C25" s="10"/>
      <c r="D25" s="15"/>
      <c r="E25" s="15" t="str">
        <f t="shared" si="4"/>
        <v/>
      </c>
      <c r="F25" s="16" t="str">
        <f t="shared" si="5"/>
        <v/>
      </c>
      <c r="G25" s="17"/>
      <c r="H25" s="17" t="str">
        <f t="shared" si="6"/>
        <v/>
      </c>
      <c r="I25" s="16" t="str">
        <f t="shared" si="7"/>
        <v/>
      </c>
      <c r="J25" s="39"/>
      <c r="K25" s="40"/>
    </row>
    <row r="26" spans="1:11" ht="15.75">
      <c r="A26" s="25" t="str">
        <v xml:space="preserve"> Lafayette - Bank of America</v>
      </c>
      <c r="B26" s="26" t="str">
        <v>CO</v>
      </c>
      <c r="C26" s="21"/>
      <c r="D26" s="11"/>
      <c r="E26" s="11" t="str">
        <f t="shared" si="4"/>
        <v/>
      </c>
      <c r="F26" s="12" t="str">
        <f t="shared" si="5"/>
        <v/>
      </c>
      <c r="G26" s="13"/>
      <c r="H26" s="13" t="str">
        <f t="shared" si="6"/>
        <v/>
      </c>
      <c r="I26" s="14" t="str">
        <f t="shared" si="7"/>
        <v/>
      </c>
      <c r="J26" s="38"/>
      <c r="K26" s="38"/>
    </row>
    <row r="27" spans="1:11" ht="15.75">
      <c r="A27" s="27" t="str">
        <v xml:space="preserve"> Lakewood - Bank of America</v>
      </c>
      <c r="B27" s="28" t="str">
        <v>CO</v>
      </c>
      <c r="C27" s="10"/>
      <c r="D27" s="15"/>
      <c r="E27" s="15" t="str">
        <f t="shared" si="4"/>
        <v/>
      </c>
      <c r="F27" s="16" t="str">
        <f t="shared" si="5"/>
        <v/>
      </c>
      <c r="G27" s="17"/>
      <c r="H27" s="17" t="str">
        <f t="shared" si="6"/>
        <v/>
      </c>
      <c r="I27" s="16" t="str">
        <f t="shared" si="7"/>
        <v/>
      </c>
      <c r="J27" s="39"/>
      <c r="K27" s="40"/>
    </row>
    <row r="28" spans="1:11" ht="15.75">
      <c r="A28" s="25" t="str">
        <v xml:space="preserve"> Longmont - Bank of America</v>
      </c>
      <c r="B28" s="26" t="str">
        <v>CO</v>
      </c>
      <c r="C28" s="21"/>
      <c r="D28" s="11"/>
      <c r="E28" s="11" t="str">
        <f t="shared" si="4"/>
        <v/>
      </c>
      <c r="F28" s="12" t="str">
        <f t="shared" si="5"/>
        <v/>
      </c>
      <c r="G28" s="13"/>
      <c r="H28" s="13" t="str">
        <f t="shared" si="6"/>
        <v/>
      </c>
      <c r="I28" s="14" t="str">
        <f t="shared" si="7"/>
        <v/>
      </c>
      <c r="J28" s="38"/>
      <c r="K28" s="38"/>
    </row>
    <row r="29" spans="1:11" ht="15.75">
      <c r="A29" s="27" t="str">
        <v xml:space="preserve"> Thornton - Bank of America</v>
      </c>
      <c r="B29" s="28" t="str">
        <v>CO</v>
      </c>
      <c r="C29" s="10"/>
      <c r="D29" s="15"/>
      <c r="E29" s="15" t="str">
        <f t="shared" si="4"/>
        <v/>
      </c>
      <c r="F29" s="16" t="str">
        <f t="shared" si="5"/>
        <v/>
      </c>
      <c r="G29" s="17"/>
      <c r="H29" s="17" t="str">
        <f t="shared" si="6"/>
        <v/>
      </c>
      <c r="I29" s="16" t="str">
        <f t="shared" si="7"/>
        <v/>
      </c>
      <c r="J29" s="39"/>
      <c r="K29" s="39"/>
    </row>
    <row r="30" spans="1:11" ht="15.75">
      <c r="A30" s="25" t="str">
        <v xml:space="preserve"> Calumet City - Bank of America</v>
      </c>
      <c r="B30" s="26" t="str">
        <v>IL</v>
      </c>
      <c r="C30" s="21"/>
      <c r="D30" s="11"/>
      <c r="E30" s="11" t="str">
        <f t="shared" si="4"/>
        <v/>
      </c>
      <c r="F30" s="12" t="str">
        <f t="shared" si="5"/>
        <v/>
      </c>
      <c r="G30" s="13"/>
      <c r="H30" s="13" t="str">
        <f t="shared" si="6"/>
        <v/>
      </c>
      <c r="I30" s="14" t="str">
        <f t="shared" si="7"/>
        <v/>
      </c>
      <c r="J30" s="38"/>
      <c r="K30" s="38"/>
    </row>
    <row r="31" spans="1:11" ht="15.75">
      <c r="A31" s="27" t="str">
        <v xml:space="preserve"> Downers Grove - Bank of America</v>
      </c>
      <c r="B31" s="28" t="str">
        <v>IL</v>
      </c>
      <c r="C31" s="10"/>
      <c r="D31" s="15"/>
      <c r="E31" s="15" t="str">
        <f t="shared" si="4"/>
        <v/>
      </c>
      <c r="F31" s="16" t="str">
        <f t="shared" si="5"/>
        <v/>
      </c>
      <c r="G31" s="17"/>
      <c r="H31" s="17" t="str">
        <f t="shared" si="6"/>
        <v/>
      </c>
      <c r="I31" s="16" t="str">
        <f t="shared" si="7"/>
        <v/>
      </c>
      <c r="J31" s="39"/>
      <c r="K31" s="40"/>
    </row>
    <row r="32" spans="1:11" ht="15.75">
      <c r="A32" s="25" t="str">
        <v xml:space="preserve"> Bloomington - Bank of America</v>
      </c>
      <c r="B32" s="26" t="str">
        <v>MN</v>
      </c>
      <c r="C32" s="21"/>
      <c r="D32" s="11"/>
      <c r="E32" s="11" t="str">
        <f t="shared" si="4"/>
        <v/>
      </c>
      <c r="F32" s="12" t="str">
        <f t="shared" si="5"/>
        <v/>
      </c>
      <c r="G32" s="13"/>
      <c r="H32" s="13" t="str">
        <f t="shared" si="6"/>
        <v/>
      </c>
      <c r="I32" s="14" t="str">
        <f t="shared" si="7"/>
        <v/>
      </c>
      <c r="J32" s="38"/>
      <c r="K32" s="38"/>
    </row>
    <row r="33" spans="1:11" ht="15.75">
      <c r="A33" s="27" t="str">
        <v xml:space="preserve"> Clayton - Bank of America</v>
      </c>
      <c r="B33" s="28" t="str">
        <v>MO</v>
      </c>
      <c r="C33" s="10"/>
      <c r="D33" s="15"/>
      <c r="E33" s="15" t="str">
        <f t="shared" si="4"/>
        <v/>
      </c>
      <c r="F33" s="16" t="str">
        <f t="shared" si="5"/>
        <v/>
      </c>
      <c r="G33" s="17"/>
      <c r="H33" s="17" t="str">
        <f t="shared" si="6"/>
        <v/>
      </c>
      <c r="I33" s="16" t="str">
        <f t="shared" si="7"/>
        <v/>
      </c>
      <c r="J33" s="39"/>
      <c r="K33" s="40"/>
    </row>
    <row r="34" spans="1:11" ht="15.75">
      <c r="A34" s="25" t="str">
        <v xml:space="preserve"> Manchester - Bank of America</v>
      </c>
      <c r="B34" s="26" t="str">
        <v>MO</v>
      </c>
      <c r="C34" s="21"/>
      <c r="D34" s="11"/>
      <c r="E34" s="11" t="str">
        <f t="shared" si="4"/>
        <v/>
      </c>
      <c r="F34" s="12" t="str">
        <f t="shared" si="5"/>
        <v/>
      </c>
      <c r="G34" s="13"/>
      <c r="H34" s="13" t="str">
        <f t="shared" si="6"/>
        <v/>
      </c>
      <c r="I34" s="14" t="str">
        <f t="shared" si="7"/>
        <v/>
      </c>
      <c r="J34" s="38"/>
      <c r="K34" s="38"/>
    </row>
    <row r="35" spans="1:11" ht="15.75">
      <c r="A35" s="27" t="str">
        <v xml:space="preserve"> Las Vegas - BA - Eastern Ave</v>
      </c>
      <c r="B35" s="28" t="str">
        <v>NV</v>
      </c>
      <c r="C35" s="10"/>
      <c r="D35" s="15"/>
      <c r="E35" s="15" t="str">
        <f t="shared" si="4"/>
        <v/>
      </c>
      <c r="F35" s="16" t="str">
        <f t="shared" si="5"/>
        <v/>
      </c>
      <c r="G35" s="17"/>
      <c r="H35" s="17" t="str">
        <f t="shared" si="6"/>
        <v/>
      </c>
      <c r="I35" s="16" t="str">
        <f t="shared" si="7"/>
        <v/>
      </c>
      <c r="J35" s="39"/>
      <c r="K35" s="40"/>
    </row>
    <row r="36" spans="1:11" ht="15.75">
      <c r="A36" s="25" t="str">
        <v xml:space="preserve"> Las Vegas - BA - Town Ctr Dr</v>
      </c>
      <c r="B36" s="26" t="str">
        <v>NV</v>
      </c>
      <c r="C36" s="21"/>
      <c r="D36" s="11"/>
      <c r="E36" s="11" t="str">
        <f t="shared" si="4"/>
        <v/>
      </c>
      <c r="F36" s="12" t="str">
        <f t="shared" si="5"/>
        <v/>
      </c>
      <c r="G36" s="13"/>
      <c r="H36" s="13" t="str">
        <f t="shared" si="6"/>
        <v/>
      </c>
      <c r="I36" s="14" t="str">
        <f t="shared" si="7"/>
        <v/>
      </c>
      <c r="J36" s="38"/>
      <c r="K36" s="38"/>
    </row>
    <row r="37" spans="1:11" ht="15.75">
      <c r="A37" s="27" t="str">
        <v xml:space="preserve"> Riverton - Bank of America</v>
      </c>
      <c r="B37" s="28" t="str">
        <v>UT</v>
      </c>
      <c r="C37" s="10"/>
      <c r="D37" s="15"/>
      <c r="E37" s="15" t="str">
        <f t="shared" si="4"/>
        <v/>
      </c>
      <c r="F37" s="16" t="str">
        <f t="shared" si="5"/>
        <v/>
      </c>
      <c r="G37" s="17"/>
      <c r="H37" s="17" t="str">
        <f t="shared" si="6"/>
        <v/>
      </c>
      <c r="I37" s="16" t="str">
        <f t="shared" si="7"/>
        <v/>
      </c>
      <c r="J37" s="59"/>
      <c r="K37" s="60"/>
    </row>
    <row r="38" spans="1:11" ht="15.75">
      <c r="A38" s="25" t="str">
        <v xml:space="preserve"> Salt Lake City - Bank of America</v>
      </c>
      <c r="B38" s="26" t="str">
        <v>UT</v>
      </c>
      <c r="C38" s="21"/>
      <c r="D38" s="11"/>
      <c r="E38" s="11" t="str">
        <f t="shared" si="4"/>
        <v/>
      </c>
      <c r="F38" s="12" t="str">
        <f t="shared" si="5"/>
        <v/>
      </c>
      <c r="G38" s="13"/>
      <c r="H38" s="13" t="str">
        <f t="shared" si="6"/>
        <v/>
      </c>
      <c r="I38" s="14" t="str">
        <f t="shared" si="7"/>
        <v/>
      </c>
      <c r="J38" s="38"/>
      <c r="K38" s="38"/>
    </row>
    <row r="39" spans="1:11" ht="15.75">
      <c r="A39" s="25"/>
      <c r="B39" s="26"/>
      <c r="C39" s="21"/>
      <c r="D39" s="11"/>
      <c r="E39" s="15" t="str">
        <f t="shared" ref="E39:E40" si="8">IF(AND(ISNUMBER(C39),ISNUMBER(D39)), C39-D39, "")</f>
        <v/>
      </c>
      <c r="F39" s="16" t="str">
        <f t="shared" ref="F39" si="9">IFERROR(E39/D39, "")</f>
        <v/>
      </c>
      <c r="G39" s="13"/>
      <c r="H39" s="17" t="str">
        <f t="shared" ref="H39" si="10">IF(AND(ISNUMBER(C39),ISNUMBER(G39)), C39-G39, "")</f>
        <v/>
      </c>
      <c r="I39" s="16" t="str">
        <f t="shared" ref="I39" si="11">IFERROR(H39/G39, "")</f>
        <v/>
      </c>
      <c r="J39" s="38"/>
      <c r="K39" s="38"/>
    </row>
    <row r="40" spans="1:11" ht="14.25">
      <c r="A40" s="18"/>
      <c r="B40" s="30"/>
      <c r="C40" s="18"/>
      <c r="D40" s="18"/>
      <c r="E40" s="15" t="str">
        <f t="shared" si="8"/>
        <v/>
      </c>
      <c r="F40" s="19"/>
      <c r="G40" s="18"/>
      <c r="H40" s="18"/>
      <c r="I40" s="19"/>
      <c r="J40" s="18"/>
      <c r="K40" s="18"/>
    </row>
    <row r="41" spans="1:11" ht="14.25">
      <c r="A41" s="18"/>
      <c r="B41" s="30"/>
      <c r="C41" s="18"/>
      <c r="D41" s="18"/>
      <c r="E41" s="18"/>
      <c r="F41" s="19"/>
      <c r="G41" s="18"/>
      <c r="H41" s="18"/>
      <c r="I41" s="19"/>
      <c r="J41" s="18"/>
      <c r="K41" s="18"/>
    </row>
    <row r="42" spans="1:11" ht="14.25">
      <c r="A42" s="18"/>
      <c r="B42" s="30"/>
      <c r="C42" s="18"/>
      <c r="D42" s="18"/>
      <c r="E42" s="18"/>
      <c r="F42" s="19"/>
      <c r="G42" s="18"/>
      <c r="H42" s="18"/>
      <c r="I42" s="19"/>
      <c r="J42" s="18"/>
      <c r="K42" s="18"/>
    </row>
    <row r="43" spans="1:11" ht="14.25">
      <c r="A43" s="18"/>
      <c r="B43" s="30"/>
      <c r="C43" s="18"/>
      <c r="D43" s="18"/>
      <c r="E43" s="18"/>
      <c r="F43" s="19"/>
      <c r="G43" s="18"/>
      <c r="H43" s="18"/>
      <c r="I43" s="19"/>
      <c r="J43" s="18"/>
      <c r="K43" s="18"/>
    </row>
    <row r="44" spans="1:11" ht="14.25">
      <c r="A44" s="18"/>
      <c r="B44" s="30"/>
      <c r="C44" s="18"/>
      <c r="D44" s="18"/>
      <c r="E44" s="18"/>
      <c r="F44" s="19"/>
      <c r="G44" s="18"/>
      <c r="H44" s="18"/>
      <c r="I44" s="19"/>
      <c r="J44" s="18"/>
      <c r="K44" s="18"/>
    </row>
    <row r="45" spans="1:11" ht="14.25">
      <c r="A45" s="18"/>
      <c r="B45" s="30"/>
      <c r="C45" s="18"/>
      <c r="D45" s="18"/>
      <c r="E45" s="18"/>
      <c r="F45" s="19"/>
      <c r="G45" s="18"/>
      <c r="H45" s="18"/>
      <c r="I45" s="19"/>
      <c r="J45" s="18"/>
      <c r="K45" s="18"/>
    </row>
    <row r="46" spans="1:11" ht="14.25">
      <c r="A46" s="18"/>
      <c r="B46" s="30"/>
      <c r="C46" s="18"/>
      <c r="D46" s="18"/>
      <c r="E46" s="18"/>
      <c r="F46" s="19"/>
      <c r="G46" s="18"/>
      <c r="H46" s="18"/>
      <c r="I46" s="19"/>
      <c r="J46" s="18"/>
      <c r="K46" s="18"/>
    </row>
    <row r="47" spans="1:11" ht="14.25">
      <c r="A47" s="18"/>
      <c r="B47" s="30"/>
      <c r="C47" s="18"/>
      <c r="D47" s="18"/>
      <c r="E47" s="18"/>
      <c r="F47" s="19"/>
      <c r="G47" s="18"/>
      <c r="H47" s="18"/>
      <c r="I47" s="19"/>
      <c r="J47" s="18"/>
      <c r="K47" s="18"/>
    </row>
    <row r="48" spans="1:11" ht="14.25">
      <c r="A48" s="18"/>
      <c r="B48" s="30"/>
      <c r="C48" s="18"/>
      <c r="D48" s="18"/>
      <c r="E48" s="18"/>
      <c r="F48" s="19"/>
      <c r="G48" s="18"/>
      <c r="H48" s="18"/>
      <c r="I48" s="19"/>
      <c r="J48" s="18"/>
      <c r="K48" s="18"/>
    </row>
    <row r="49" spans="1:11" ht="14.25">
      <c r="A49" s="18"/>
      <c r="B49" s="30"/>
      <c r="C49" s="18"/>
      <c r="D49" s="18"/>
      <c r="E49" s="18"/>
      <c r="F49" s="19"/>
      <c r="G49" s="18"/>
      <c r="H49" s="18"/>
      <c r="I49" s="19"/>
      <c r="J49" s="18"/>
      <c r="K49" s="18"/>
    </row>
    <row r="50" spans="1:11" ht="14.25">
      <c r="A50" s="18"/>
      <c r="B50" s="30"/>
      <c r="C50" s="18"/>
      <c r="D50" s="18"/>
      <c r="E50" s="18"/>
      <c r="F50" s="19"/>
      <c r="G50" s="18"/>
      <c r="H50" s="18"/>
      <c r="I50" s="19"/>
      <c r="J50" s="18"/>
      <c r="K50" s="18"/>
    </row>
    <row r="51" spans="1:11" ht="14.25">
      <c r="A51" s="18"/>
      <c r="B51" s="30"/>
      <c r="C51" s="18"/>
      <c r="D51" s="18"/>
      <c r="E51" s="18"/>
      <c r="F51" s="19"/>
      <c r="G51" s="18"/>
      <c r="H51" s="18"/>
      <c r="I51" s="19"/>
      <c r="J51" s="18"/>
      <c r="K51" s="18"/>
    </row>
    <row r="52" spans="1:11" ht="14.25">
      <c r="A52" s="18"/>
      <c r="B52" s="30"/>
      <c r="C52" s="18"/>
      <c r="D52" s="18"/>
      <c r="E52" s="18"/>
      <c r="F52" s="19"/>
      <c r="G52" s="18"/>
      <c r="H52" s="18"/>
      <c r="I52" s="19"/>
      <c r="J52" s="18"/>
      <c r="K52" s="18"/>
    </row>
    <row r="53" spans="1:11" ht="14.25">
      <c r="A53" s="18"/>
      <c r="B53" s="30"/>
      <c r="C53" s="18"/>
      <c r="D53" s="18"/>
      <c r="E53" s="18"/>
      <c r="F53" s="19"/>
      <c r="G53" s="18"/>
      <c r="H53" s="18"/>
      <c r="I53" s="19"/>
      <c r="J53" s="18"/>
      <c r="K53" s="18"/>
    </row>
    <row r="54" spans="1:11" ht="14.25">
      <c r="A54" s="18"/>
      <c r="B54" s="30"/>
      <c r="C54" s="18"/>
      <c r="D54" s="18"/>
      <c r="E54" s="18"/>
      <c r="F54" s="19"/>
      <c r="G54" s="18"/>
      <c r="H54" s="18"/>
      <c r="I54" s="19"/>
      <c r="J54" s="18"/>
      <c r="K54" s="18"/>
    </row>
    <row r="55" spans="1:11" ht="14.25">
      <c r="A55" s="18"/>
      <c r="B55" s="30"/>
      <c r="C55" s="18"/>
      <c r="D55" s="18"/>
      <c r="E55" s="18"/>
      <c r="F55" s="19"/>
      <c r="G55" s="18"/>
      <c r="H55" s="18"/>
      <c r="I55" s="19"/>
      <c r="J55" s="18"/>
      <c r="K55" s="18"/>
    </row>
    <row r="56" spans="1:11" ht="14.25">
      <c r="A56" s="18"/>
      <c r="B56" s="30"/>
      <c r="C56" s="18"/>
      <c r="D56" s="18"/>
      <c r="E56" s="18"/>
      <c r="F56" s="19"/>
      <c r="G56" s="18"/>
      <c r="H56" s="18"/>
      <c r="I56" s="19"/>
      <c r="J56" s="18"/>
      <c r="K56" s="18"/>
    </row>
    <row r="57" spans="1:11" ht="14.25">
      <c r="A57" s="18"/>
      <c r="B57" s="30"/>
      <c r="C57" s="18"/>
      <c r="D57" s="18"/>
      <c r="E57" s="18"/>
      <c r="F57" s="19"/>
      <c r="G57" s="18"/>
      <c r="H57" s="18"/>
      <c r="I57" s="19"/>
      <c r="J57" s="18"/>
      <c r="K57" s="18"/>
    </row>
    <row r="58" spans="1:11" ht="14.25">
      <c r="A58" s="18"/>
      <c r="B58" s="30"/>
      <c r="C58" s="18"/>
      <c r="D58" s="18"/>
      <c r="E58" s="18"/>
      <c r="F58" s="19"/>
      <c r="G58" s="18"/>
      <c r="H58" s="18"/>
      <c r="I58" s="19"/>
      <c r="J58" s="18"/>
      <c r="K58" s="18"/>
    </row>
    <row r="59" spans="1:11" ht="14.25">
      <c r="A59" s="18"/>
      <c r="B59" s="30"/>
      <c r="C59" s="18"/>
      <c r="D59" s="18"/>
      <c r="E59" s="18"/>
      <c r="F59" s="19"/>
      <c r="G59" s="18"/>
      <c r="H59" s="18"/>
      <c r="I59" s="19"/>
      <c r="J59" s="18"/>
      <c r="K59" s="18"/>
    </row>
    <row r="60" spans="1:11" ht="14.25">
      <c r="A60" s="18"/>
      <c r="B60" s="30"/>
      <c r="C60" s="18"/>
      <c r="D60" s="18"/>
      <c r="E60" s="18"/>
      <c r="F60" s="19"/>
      <c r="G60" s="18"/>
      <c r="H60" s="18"/>
      <c r="I60" s="19"/>
      <c r="J60" s="18"/>
      <c r="K60" s="18"/>
    </row>
    <row r="61" spans="1:11" ht="14.25">
      <c r="A61" s="18"/>
      <c r="B61" s="30"/>
      <c r="C61" s="18"/>
      <c r="D61" s="18"/>
      <c r="E61" s="18"/>
      <c r="F61" s="19"/>
      <c r="G61" s="18"/>
      <c r="H61" s="18"/>
      <c r="I61" s="19"/>
      <c r="J61" s="18"/>
      <c r="K61" s="18"/>
    </row>
    <row r="62" spans="1:11" ht="14.25">
      <c r="A62" s="18"/>
      <c r="B62" s="30"/>
      <c r="C62" s="18"/>
      <c r="D62" s="18"/>
      <c r="E62" s="18"/>
      <c r="F62" s="19"/>
      <c r="G62" s="18"/>
      <c r="H62" s="18"/>
      <c r="I62" s="19"/>
      <c r="J62" s="18"/>
      <c r="K62" s="18"/>
    </row>
    <row r="63" spans="1:11" ht="14.25">
      <c r="A63" s="18"/>
      <c r="B63" s="30"/>
      <c r="C63" s="18"/>
      <c r="D63" s="18"/>
      <c r="E63" s="18"/>
      <c r="F63" s="19"/>
      <c r="G63" s="18"/>
      <c r="H63" s="18"/>
      <c r="I63" s="19"/>
      <c r="J63" s="18"/>
      <c r="K63" s="18"/>
    </row>
    <row r="64" spans="1:11" ht="14.25">
      <c r="A64" s="18"/>
      <c r="B64" s="30"/>
      <c r="C64" s="18"/>
      <c r="D64" s="18"/>
      <c r="E64" s="18"/>
      <c r="F64" s="19"/>
      <c r="G64" s="18"/>
      <c r="H64" s="18"/>
      <c r="I64" s="19"/>
      <c r="J64" s="18"/>
      <c r="K64" s="18"/>
    </row>
    <row r="65" spans="1:11" ht="14.25">
      <c r="A65" s="18"/>
      <c r="B65" s="30"/>
      <c r="C65" s="18"/>
      <c r="D65" s="18"/>
      <c r="E65" s="18"/>
      <c r="F65" s="19"/>
      <c r="G65" s="18"/>
      <c r="H65" s="18"/>
      <c r="I65" s="19"/>
      <c r="J65" s="18"/>
      <c r="K65" s="18"/>
    </row>
    <row r="66" spans="1:11" ht="14.25">
      <c r="A66" s="18"/>
      <c r="B66" s="30"/>
      <c r="C66" s="18"/>
      <c r="D66" s="18"/>
      <c r="E66" s="18"/>
      <c r="F66" s="19"/>
      <c r="G66" s="18"/>
      <c r="H66" s="18"/>
      <c r="I66" s="19"/>
      <c r="J66" s="18"/>
      <c r="K66" s="18"/>
    </row>
    <row r="67" spans="1:11" ht="14.25">
      <c r="A67" s="18"/>
      <c r="B67" s="30"/>
      <c r="C67" s="18"/>
      <c r="D67" s="18"/>
      <c r="E67" s="18"/>
      <c r="F67" s="19"/>
      <c r="G67" s="18"/>
      <c r="H67" s="18"/>
      <c r="I67" s="19"/>
      <c r="J67" s="18"/>
      <c r="K67" s="18"/>
    </row>
    <row r="68" spans="1:11" ht="14.25">
      <c r="A68" s="18"/>
      <c r="B68" s="30"/>
      <c r="C68" s="18"/>
      <c r="D68" s="18"/>
      <c r="E68" s="18"/>
      <c r="F68" s="19"/>
      <c r="G68" s="18"/>
      <c r="H68" s="18"/>
      <c r="I68" s="19"/>
      <c r="J68" s="18"/>
      <c r="K68" s="18"/>
    </row>
    <row r="69" spans="1:11" ht="14.25">
      <c r="A69" s="18"/>
      <c r="B69" s="30"/>
      <c r="C69" s="18"/>
      <c r="D69" s="18"/>
      <c r="E69" s="18"/>
      <c r="F69" s="19"/>
      <c r="G69" s="18"/>
      <c r="H69" s="18"/>
      <c r="I69" s="19"/>
      <c r="J69" s="18"/>
      <c r="K69" s="18"/>
    </row>
    <row r="70" spans="1:11" ht="14.25">
      <c r="A70" s="18"/>
      <c r="B70" s="30"/>
      <c r="C70" s="18"/>
      <c r="D70" s="18"/>
      <c r="E70" s="18"/>
      <c r="F70" s="19"/>
      <c r="G70" s="18"/>
      <c r="H70" s="18"/>
      <c r="I70" s="19"/>
      <c r="J70" s="18"/>
      <c r="K70" s="18"/>
    </row>
    <row r="71" spans="1:11" ht="14.25">
      <c r="A71" s="18"/>
      <c r="B71" s="30"/>
      <c r="C71" s="18"/>
      <c r="D71" s="18"/>
      <c r="E71" s="18"/>
      <c r="F71" s="19"/>
      <c r="G71" s="18"/>
      <c r="H71" s="18"/>
      <c r="I71" s="19"/>
      <c r="J71" s="18"/>
      <c r="K71" s="18"/>
    </row>
    <row r="72" spans="1:11" ht="14.25">
      <c r="A72" s="18"/>
      <c r="B72" s="30"/>
      <c r="C72" s="18"/>
      <c r="D72" s="18"/>
      <c r="E72" s="18"/>
      <c r="F72" s="19"/>
      <c r="G72" s="18"/>
      <c r="H72" s="18"/>
      <c r="I72" s="19"/>
      <c r="J72" s="18"/>
      <c r="K72" s="18"/>
    </row>
    <row r="73" spans="1:11" ht="14.25">
      <c r="A73" s="18"/>
      <c r="B73" s="30"/>
      <c r="C73" s="18"/>
      <c r="D73" s="18"/>
      <c r="E73" s="18"/>
      <c r="F73" s="19"/>
      <c r="G73" s="18"/>
      <c r="H73" s="18"/>
      <c r="I73" s="19"/>
      <c r="J73" s="18"/>
      <c r="K73" s="18"/>
    </row>
    <row r="74" spans="1:11" ht="14.25">
      <c r="A74" s="18"/>
      <c r="B74" s="30"/>
      <c r="C74" s="18"/>
      <c r="D74" s="18"/>
      <c r="E74" s="18"/>
      <c r="F74" s="19"/>
      <c r="G74" s="18"/>
      <c r="H74" s="18"/>
      <c r="I74" s="19"/>
      <c r="J74" s="18"/>
      <c r="K74" s="18"/>
    </row>
    <row r="75" spans="1:11" ht="14.25">
      <c r="A75" s="18"/>
      <c r="B75" s="30"/>
      <c r="C75" s="18"/>
      <c r="D75" s="18"/>
      <c r="E75" s="18"/>
      <c r="F75" s="19"/>
      <c r="G75" s="18"/>
      <c r="H75" s="18"/>
      <c r="I75" s="19"/>
      <c r="J75" s="18"/>
      <c r="K75" s="18"/>
    </row>
    <row r="76" spans="1:11" ht="14.25">
      <c r="A76" s="18"/>
      <c r="B76" s="30"/>
      <c r="C76" s="18"/>
      <c r="D76" s="18"/>
      <c r="E76" s="18"/>
      <c r="F76" s="19"/>
      <c r="G76" s="18"/>
      <c r="H76" s="18"/>
      <c r="I76" s="19"/>
      <c r="J76" s="18"/>
      <c r="K76" s="18"/>
    </row>
    <row r="77" spans="1:11" ht="14.25">
      <c r="A77" s="18"/>
      <c r="B77" s="30"/>
      <c r="C77" s="18"/>
      <c r="D77" s="18"/>
      <c r="E77" s="18"/>
      <c r="F77" s="19"/>
      <c r="G77" s="18"/>
      <c r="H77" s="18"/>
      <c r="I77" s="19"/>
      <c r="J77" s="18"/>
      <c r="K77" s="18"/>
    </row>
    <row r="78" spans="1:11" ht="14.25">
      <c r="A78" s="18"/>
      <c r="B78" s="30"/>
      <c r="C78" s="18"/>
      <c r="D78" s="18"/>
      <c r="E78" s="18"/>
      <c r="F78" s="19"/>
      <c r="G78" s="18"/>
      <c r="H78" s="18"/>
      <c r="I78" s="19"/>
      <c r="J78" s="18"/>
      <c r="K78" s="18"/>
    </row>
    <row r="79" spans="1:11" ht="14.25">
      <c r="A79" s="18"/>
      <c r="B79" s="30"/>
      <c r="C79" s="18"/>
      <c r="D79" s="18"/>
      <c r="E79" s="18"/>
      <c r="F79" s="19"/>
      <c r="G79" s="18"/>
      <c r="H79" s="18"/>
      <c r="I79" s="19"/>
      <c r="J79" s="18"/>
      <c r="K79" s="18"/>
    </row>
    <row r="80" spans="1:11" ht="14.25">
      <c r="A80" s="18"/>
      <c r="B80" s="30"/>
      <c r="C80" s="18"/>
      <c r="D80" s="18"/>
      <c r="E80" s="18"/>
      <c r="F80" s="19"/>
      <c r="G80" s="18"/>
      <c r="H80" s="18"/>
      <c r="I80" s="19"/>
      <c r="J80" s="18"/>
      <c r="K80" s="18"/>
    </row>
    <row r="81" spans="1:11" ht="14.25">
      <c r="A81" s="18"/>
      <c r="B81" s="30"/>
      <c r="C81" s="18"/>
      <c r="D81" s="18"/>
      <c r="E81" s="18"/>
      <c r="F81" s="19"/>
      <c r="G81" s="18"/>
      <c r="H81" s="18"/>
      <c r="I81" s="19"/>
      <c r="J81" s="18"/>
      <c r="K81" s="18"/>
    </row>
    <row r="82" spans="1:11" ht="14.25">
      <c r="A82" s="18"/>
      <c r="B82" s="30"/>
      <c r="C82" s="18"/>
      <c r="D82" s="18"/>
      <c r="E82" s="18"/>
      <c r="F82" s="19"/>
      <c r="G82" s="18"/>
      <c r="H82" s="18"/>
      <c r="I82" s="19"/>
      <c r="J82" s="18"/>
      <c r="K82" s="18"/>
    </row>
    <row r="83" spans="1:11" ht="14.25">
      <c r="A83" s="18"/>
      <c r="B83" s="30"/>
      <c r="C83" s="18"/>
      <c r="D83" s="18"/>
      <c r="E83" s="18"/>
      <c r="F83" s="19"/>
      <c r="G83" s="18"/>
      <c r="H83" s="18"/>
      <c r="I83" s="19"/>
      <c r="J83" s="18"/>
      <c r="K83" s="18"/>
    </row>
    <row r="84" spans="1:11" ht="14.25">
      <c r="A84" s="18"/>
      <c r="B84" s="30"/>
      <c r="C84" s="18"/>
      <c r="D84" s="18"/>
      <c r="E84" s="18"/>
      <c r="F84" s="19"/>
      <c r="G84" s="18"/>
      <c r="H84" s="18"/>
      <c r="I84" s="19"/>
      <c r="J84" s="18"/>
      <c r="K84" s="18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3.9">
      <c r="C243" s="18"/>
      <c r="D243" s="18"/>
      <c r="E243" s="18"/>
      <c r="F243" s="19"/>
      <c r="G243" s="18"/>
      <c r="H243" s="18"/>
      <c r="I243" s="19"/>
      <c r="J243" s="18"/>
      <c r="K243" s="18"/>
    </row>
  </sheetData>
  <mergeCells count="4">
    <mergeCell ref="G1:I1"/>
    <mergeCell ref="A1:C1"/>
    <mergeCell ref="D1:F1"/>
    <mergeCell ref="A2:B2"/>
  </mergeCells>
  <conditionalFormatting sqref="F2 I2 F4:F39 I4:I39">
    <cfRule type="cellIs" dxfId="40" priority="7" stopIfTrue="1" operator="lessThanOrEqual">
      <formula>-0.1</formula>
    </cfRule>
    <cfRule type="expression" dxfId="39" priority="8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243"/>
  <sheetViews>
    <sheetView workbookViewId="0">
      <pane xSplit="2" ySplit="3" topLeftCell="C4" activePane="bottomRight" state="frozen"/>
      <selection pane="bottomRight" activeCell="H10" sqref="H10"/>
      <selection pane="bottomLeft" activeCell="J4" activeCellId="3" sqref="A39:XFD137 C4:D38 G4:G38 J4:K37"/>
      <selection pane="topRight" activeCell="J4" activeCellId="3" sqref="A39:XFD137 C4:D38 G4:G38 J4:K37"/>
    </sheetView>
  </sheetViews>
  <sheetFormatPr defaultRowHeight="13.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Cushman &amp; Wakefield</v>
      </c>
      <c r="B1" s="66"/>
      <c r="C1" s="66"/>
      <c r="D1" s="67" t="s">
        <v>26</v>
      </c>
      <c r="E1" s="67"/>
      <c r="F1" s="67"/>
      <c r="G1" s="65" t="s">
        <v>27</v>
      </c>
      <c r="H1" s="65"/>
      <c r="I1" s="65"/>
      <c r="J1" s="5"/>
      <c r="K1" s="5"/>
    </row>
    <row r="2" spans="1:11" ht="19.5" customHeight="1">
      <c r="A2" s="68" t="s">
        <v>2</v>
      </c>
      <c r="B2" s="68"/>
      <c r="C2" s="6">
        <f>SUM(C4:C38)</f>
        <v>0</v>
      </c>
      <c r="D2" s="6">
        <f>SUM(D4:D38)</f>
        <v>0</v>
      </c>
      <c r="E2" s="6">
        <f>C2-D2</f>
        <v>0</v>
      </c>
      <c r="F2" s="7">
        <f>IFERROR(E2/D2, 0)</f>
        <v>0</v>
      </c>
      <c r="G2" s="6">
        <f>SUM(G4:G38)</f>
        <v>0</v>
      </c>
      <c r="H2" s="8">
        <f>C2-G2</f>
        <v>0</v>
      </c>
      <c r="I2" s="7">
        <f>IFERROR(H2/G2, 0)</f>
        <v>0</v>
      </c>
      <c r="J2" s="23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38">Sites[Site]</f>
        <v xml:space="preserve"> Adelanto - Bank of America</v>
      </c>
      <c r="B4" s="26" t="str" cm="1">
        <f t="array" ref="B4:B38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 xml:space="preserve"> Apple Valley - Bank of America</v>
      </c>
      <c r="B5" s="28" t="str">
        <v>CA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 xml:space="preserve"> Arvin - Bank of America</v>
      </c>
      <c r="B6" s="26" t="str">
        <v>CA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 xml:space="preserve"> Bell - Bank of America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 xml:space="preserve"> Chula Vista - Bank of America</v>
      </c>
      <c r="B8" s="26" t="str">
        <v>CA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 xml:space="preserve"> Cupertino - Bank of America</v>
      </c>
      <c r="B9" s="28" t="str">
        <v>CA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 xml:space="preserve"> Diamond Bar - Bank of America</v>
      </c>
      <c r="B10" s="26" t="str">
        <v>CA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 xml:space="preserve"> El Centro - Bank of America</v>
      </c>
      <c r="B11" s="28" t="str">
        <v>CA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 xml:space="preserve"> Moreno Valley - Bank of America</v>
      </c>
      <c r="B12" s="26" t="str">
        <v>CA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 xml:space="preserve"> Redlands - Bank of America</v>
      </c>
      <c r="B13" s="28" t="str">
        <v>CA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 xml:space="preserve"> Roseville - Bank of America</v>
      </c>
      <c r="B14" s="26" t="str">
        <v>CA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 xml:space="preserve"> San Bernardino - Bank of America</v>
      </c>
      <c r="B15" s="28" t="str">
        <v>CA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 xml:space="preserve"> San Diego - Bank of America</v>
      </c>
      <c r="B16" s="26" t="str">
        <v>CA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 xml:space="preserve"> Stockton - Bank of America</v>
      </c>
      <c r="B17" s="28" t="str">
        <v>CA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 xml:space="preserve"> Victorville - Bank of America</v>
      </c>
      <c r="B18" s="26" t="str">
        <v>CA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 xml:space="preserve"> Aurora - BA - Colfax Ave</v>
      </c>
      <c r="B19" s="28" t="str">
        <v>CO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 xml:space="preserve"> Aurora - BA - Parker Rd</v>
      </c>
      <c r="B20" s="26" t="str">
        <v>CO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 xml:space="preserve"> Broomfield - Bank of America</v>
      </c>
      <c r="B21" s="28" t="str">
        <v>CO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 xml:space="preserve"> Colorado Springs - Bank of America</v>
      </c>
      <c r="B22" s="26" t="str">
        <v>CO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 xml:space="preserve"> Denver - BA - 49th Ave</v>
      </c>
      <c r="B23" s="28" t="str">
        <v>CO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 xml:space="preserve"> Denver - BA Wadsworth Blvd</v>
      </c>
      <c r="B24" s="26" t="str">
        <v>CO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 xml:space="preserve"> Fort Collins - Bank of America</v>
      </c>
      <c r="B25" s="28" t="str">
        <v>CO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 xml:space="preserve"> Lafayette - Bank of America</v>
      </c>
      <c r="B26" s="26" t="str">
        <v>CO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 xml:space="preserve"> Lakewood - Bank of America</v>
      </c>
      <c r="B27" s="28" t="str">
        <v>CO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 xml:space="preserve"> Longmont - Bank of America</v>
      </c>
      <c r="B28" s="26" t="str">
        <v>CO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 xml:space="preserve"> Thornton - Bank of America</v>
      </c>
      <c r="B29" s="28" t="str">
        <v>CO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 xml:space="preserve"> Calumet City - Bank of America</v>
      </c>
      <c r="B30" s="26" t="str">
        <v>IL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 xml:space="preserve"> Downers Grove - Bank of America</v>
      </c>
      <c r="B31" s="28" t="str">
        <v>IL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 xml:space="preserve"> Bloomington - Bank of America</v>
      </c>
      <c r="B32" s="26" t="str">
        <v>MN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 xml:space="preserve"> Clayton - Bank of America</v>
      </c>
      <c r="B33" s="28" t="str">
        <v>MO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 xml:space="preserve"> Manchester - Bank of America</v>
      </c>
      <c r="B34" s="26" t="str">
        <v>MO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 xml:space="preserve"> Las Vegas - BA - Eastern Ave</v>
      </c>
      <c r="B35" s="28" t="str">
        <v>NV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 xml:space="preserve"> Las Vegas - BA - Town Ctr Dr</v>
      </c>
      <c r="B36" s="26" t="str">
        <v>NV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 xml:space="preserve"> Riverton - Bank of America</v>
      </c>
      <c r="B37" s="28" t="str">
        <v>UT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 xml:space="preserve"> Salt Lake City - Bank of America</v>
      </c>
      <c r="B38" s="26" t="str">
        <v>UT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4.25">
      <c r="A39" s="18"/>
      <c r="B39" s="30"/>
      <c r="C39" s="18"/>
      <c r="D39" s="18"/>
      <c r="E39" s="18"/>
      <c r="F39" s="19"/>
      <c r="G39" s="18"/>
      <c r="H39" s="18"/>
      <c r="I39" s="19"/>
      <c r="J39" s="18"/>
      <c r="K39" s="18"/>
    </row>
    <row r="40" spans="1:11" ht="14.25">
      <c r="A40" s="18"/>
      <c r="B40" s="30"/>
      <c r="C40" s="18"/>
      <c r="D40" s="18"/>
      <c r="E40" s="18"/>
      <c r="F40" s="19"/>
      <c r="G40" s="18"/>
      <c r="H40" s="18"/>
      <c r="I40" s="19"/>
      <c r="J40" s="18"/>
      <c r="K40" s="18"/>
    </row>
    <row r="41" spans="1:11" ht="14.25">
      <c r="A41" s="18"/>
      <c r="B41" s="30"/>
      <c r="C41" s="18"/>
      <c r="D41" s="18"/>
      <c r="E41" s="18"/>
      <c r="F41" s="19"/>
      <c r="G41" s="18"/>
      <c r="H41" s="18"/>
      <c r="I41" s="19"/>
      <c r="J41" s="18"/>
      <c r="K41" s="18"/>
    </row>
    <row r="42" spans="1:11" ht="14.25">
      <c r="A42" s="18"/>
      <c r="B42" s="30"/>
      <c r="C42" s="18"/>
      <c r="D42" s="18"/>
      <c r="E42" s="18"/>
      <c r="F42" s="19"/>
      <c r="G42" s="18"/>
      <c r="H42" s="18"/>
      <c r="I42" s="19"/>
      <c r="J42" s="18"/>
      <c r="K42" s="18"/>
    </row>
    <row r="43" spans="1:11" ht="14.25">
      <c r="A43" s="18"/>
      <c r="B43" s="30"/>
      <c r="C43" s="18"/>
      <c r="D43" s="18"/>
      <c r="E43" s="18"/>
      <c r="F43" s="19"/>
      <c r="G43" s="18"/>
      <c r="H43" s="18"/>
      <c r="I43" s="19"/>
      <c r="J43" s="18"/>
      <c r="K43" s="18"/>
    </row>
    <row r="44" spans="1:11" ht="14.25">
      <c r="A44" s="18"/>
      <c r="B44" s="30"/>
      <c r="C44" s="18"/>
      <c r="D44" s="18"/>
      <c r="E44" s="18"/>
      <c r="F44" s="19"/>
      <c r="G44" s="18"/>
      <c r="H44" s="18"/>
      <c r="I44" s="19"/>
      <c r="J44" s="18"/>
      <c r="K44" s="18"/>
    </row>
    <row r="45" spans="1:11" ht="14.25">
      <c r="A45" s="18"/>
      <c r="B45" s="30"/>
      <c r="C45" s="18"/>
      <c r="D45" s="18"/>
      <c r="E45" s="18"/>
      <c r="F45" s="19"/>
      <c r="G45" s="18"/>
      <c r="H45" s="18"/>
      <c r="I45" s="19"/>
      <c r="J45" s="18"/>
      <c r="K45" s="18"/>
    </row>
    <row r="46" spans="1:11" ht="14.25">
      <c r="A46" s="18"/>
      <c r="B46" s="30"/>
      <c r="C46" s="18"/>
      <c r="D46" s="18"/>
      <c r="E46" s="18"/>
      <c r="F46" s="19"/>
      <c r="G46" s="18"/>
      <c r="H46" s="18"/>
      <c r="I46" s="19"/>
      <c r="J46" s="18"/>
      <c r="K46" s="18"/>
    </row>
    <row r="47" spans="1:11" ht="14.25">
      <c r="A47" s="18"/>
      <c r="B47" s="30"/>
      <c r="C47" s="18"/>
      <c r="D47" s="18"/>
      <c r="E47" s="18"/>
      <c r="F47" s="19"/>
      <c r="G47" s="18"/>
      <c r="H47" s="18"/>
      <c r="I47" s="19"/>
      <c r="J47" s="18"/>
      <c r="K47" s="18"/>
    </row>
    <row r="48" spans="1:11" ht="14.25">
      <c r="A48" s="18"/>
      <c r="B48" s="30"/>
      <c r="C48" s="18"/>
      <c r="D48" s="18"/>
      <c r="E48" s="18"/>
      <c r="F48" s="19"/>
      <c r="G48" s="18"/>
      <c r="H48" s="18"/>
      <c r="I48" s="19"/>
      <c r="J48" s="18"/>
      <c r="K48" s="18"/>
    </row>
    <row r="49" spans="1:11" ht="14.25">
      <c r="A49" s="18"/>
      <c r="B49" s="30"/>
      <c r="C49" s="18"/>
      <c r="D49" s="18"/>
      <c r="E49" s="18"/>
      <c r="F49" s="19"/>
      <c r="G49" s="18"/>
      <c r="H49" s="18"/>
      <c r="I49" s="19"/>
      <c r="J49" s="18"/>
      <c r="K49" s="18"/>
    </row>
    <row r="50" spans="1:11" ht="14.25">
      <c r="A50" s="18"/>
      <c r="B50" s="30"/>
      <c r="C50" s="18"/>
      <c r="D50" s="18"/>
      <c r="E50" s="18"/>
      <c r="F50" s="19"/>
      <c r="G50" s="18"/>
      <c r="H50" s="18"/>
      <c r="I50" s="19"/>
      <c r="J50" s="18"/>
      <c r="K50" s="18"/>
    </row>
    <row r="51" spans="1:11" ht="14.25">
      <c r="A51" s="18"/>
      <c r="B51" s="30"/>
      <c r="C51" s="18"/>
      <c r="D51" s="18"/>
      <c r="E51" s="18"/>
      <c r="F51" s="19"/>
      <c r="G51" s="18"/>
      <c r="H51" s="18"/>
      <c r="I51" s="19"/>
      <c r="J51" s="18"/>
      <c r="K51" s="18"/>
    </row>
    <row r="52" spans="1:11" ht="14.25">
      <c r="A52" s="18"/>
      <c r="B52" s="30"/>
      <c r="C52" s="18"/>
      <c r="D52" s="18"/>
      <c r="E52" s="18"/>
      <c r="F52" s="19"/>
      <c r="G52" s="18"/>
      <c r="H52" s="18"/>
      <c r="I52" s="19"/>
      <c r="J52" s="18"/>
      <c r="K52" s="18"/>
    </row>
    <row r="53" spans="1:11" ht="14.25">
      <c r="A53" s="18"/>
      <c r="B53" s="30"/>
      <c r="C53" s="18"/>
      <c r="D53" s="18"/>
      <c r="E53" s="18"/>
      <c r="F53" s="19"/>
      <c r="G53" s="18"/>
      <c r="H53" s="18"/>
      <c r="I53" s="19"/>
      <c r="J53" s="18"/>
      <c r="K53" s="18"/>
    </row>
    <row r="54" spans="1:11" ht="14.25">
      <c r="A54" s="18"/>
      <c r="B54" s="30"/>
      <c r="C54" s="18"/>
      <c r="D54" s="18"/>
      <c r="E54" s="18"/>
      <c r="F54" s="19"/>
      <c r="G54" s="18"/>
      <c r="H54" s="18"/>
      <c r="I54" s="19"/>
      <c r="J54" s="18"/>
      <c r="K54" s="18"/>
    </row>
    <row r="55" spans="1:11" ht="14.25">
      <c r="A55" s="18"/>
      <c r="B55" s="30"/>
      <c r="C55" s="18"/>
      <c r="D55" s="18"/>
      <c r="E55" s="18"/>
      <c r="F55" s="19"/>
      <c r="G55" s="18"/>
      <c r="H55" s="18"/>
      <c r="I55" s="19"/>
      <c r="J55" s="18"/>
      <c r="K55" s="18"/>
    </row>
    <row r="56" spans="1:11" ht="14.25">
      <c r="A56" s="18"/>
      <c r="B56" s="30"/>
      <c r="C56" s="18"/>
      <c r="D56" s="18"/>
      <c r="E56" s="18"/>
      <c r="F56" s="19"/>
      <c r="G56" s="18"/>
      <c r="H56" s="18"/>
      <c r="I56" s="19"/>
      <c r="J56" s="18"/>
      <c r="K56" s="18"/>
    </row>
    <row r="57" spans="1:11" ht="14.25">
      <c r="A57" s="18"/>
      <c r="B57" s="30"/>
      <c r="C57" s="18"/>
      <c r="D57" s="18"/>
      <c r="E57" s="18"/>
      <c r="F57" s="19"/>
      <c r="G57" s="18"/>
      <c r="H57" s="18"/>
      <c r="I57" s="19"/>
      <c r="J57" s="18"/>
      <c r="K57" s="18"/>
    </row>
    <row r="58" spans="1:11" ht="14.25">
      <c r="A58" s="18"/>
      <c r="B58" s="30"/>
      <c r="C58" s="18"/>
      <c r="D58" s="18"/>
      <c r="E58" s="18"/>
      <c r="F58" s="19"/>
      <c r="G58" s="18"/>
      <c r="H58" s="18"/>
      <c r="I58" s="19"/>
      <c r="J58" s="18"/>
      <c r="K58" s="18"/>
    </row>
    <row r="59" spans="1:11" ht="14.25">
      <c r="A59" s="18"/>
      <c r="B59" s="30"/>
      <c r="C59" s="18"/>
      <c r="D59" s="18"/>
      <c r="E59" s="18"/>
      <c r="F59" s="19"/>
      <c r="G59" s="18"/>
      <c r="H59" s="18"/>
      <c r="I59" s="19"/>
      <c r="J59" s="18"/>
      <c r="K59" s="18"/>
    </row>
    <row r="60" spans="1:11" ht="14.25">
      <c r="A60" s="18"/>
      <c r="B60" s="30"/>
      <c r="C60" s="18"/>
      <c r="D60" s="18"/>
      <c r="E60" s="18"/>
      <c r="F60" s="19"/>
      <c r="G60" s="18"/>
      <c r="H60" s="18"/>
      <c r="I60" s="19"/>
      <c r="J60" s="18"/>
      <c r="K60" s="18"/>
    </row>
    <row r="61" spans="1:11" ht="14.25">
      <c r="A61" s="18"/>
      <c r="B61" s="30"/>
      <c r="C61" s="18"/>
      <c r="D61" s="18"/>
      <c r="E61" s="18"/>
      <c r="F61" s="19"/>
      <c r="G61" s="18"/>
      <c r="H61" s="18"/>
      <c r="I61" s="19"/>
      <c r="J61" s="18"/>
      <c r="K61" s="18"/>
    </row>
    <row r="62" spans="1:11" ht="14.25">
      <c r="A62" s="18"/>
      <c r="B62" s="30"/>
      <c r="C62" s="18"/>
      <c r="D62" s="18"/>
      <c r="E62" s="18"/>
      <c r="F62" s="19"/>
      <c r="G62" s="18"/>
      <c r="H62" s="18"/>
      <c r="I62" s="19"/>
      <c r="J62" s="18"/>
      <c r="K62" s="18"/>
    </row>
    <row r="63" spans="1:11" ht="14.25">
      <c r="A63" s="18"/>
      <c r="B63" s="30"/>
      <c r="C63" s="18"/>
      <c r="D63" s="18"/>
      <c r="E63" s="18"/>
      <c r="F63" s="19"/>
      <c r="G63" s="18"/>
      <c r="H63" s="18"/>
      <c r="I63" s="19"/>
      <c r="J63" s="18"/>
      <c r="K63" s="18"/>
    </row>
    <row r="64" spans="1:11" ht="14.25">
      <c r="A64" s="18"/>
      <c r="B64" s="30"/>
      <c r="C64" s="18"/>
      <c r="D64" s="18"/>
      <c r="E64" s="18"/>
      <c r="F64" s="19"/>
      <c r="G64" s="18"/>
      <c r="H64" s="18"/>
      <c r="I64" s="19"/>
      <c r="J64" s="18"/>
      <c r="K64" s="18"/>
    </row>
    <row r="65" spans="1:11" ht="14.25">
      <c r="A65" s="18"/>
      <c r="B65" s="30"/>
      <c r="C65" s="18"/>
      <c r="D65" s="18"/>
      <c r="E65" s="18"/>
      <c r="F65" s="19"/>
      <c r="G65" s="18"/>
      <c r="H65" s="18"/>
      <c r="I65" s="19"/>
      <c r="J65" s="18"/>
      <c r="K65" s="18"/>
    </row>
    <row r="66" spans="1:11" ht="14.25">
      <c r="A66" s="18"/>
      <c r="B66" s="30"/>
      <c r="C66" s="18"/>
      <c r="D66" s="18"/>
      <c r="E66" s="18"/>
      <c r="F66" s="19"/>
      <c r="G66" s="18"/>
      <c r="H66" s="18"/>
      <c r="I66" s="19"/>
      <c r="J66" s="18"/>
      <c r="K66" s="18"/>
    </row>
    <row r="67" spans="1:11" ht="14.25">
      <c r="A67" s="18"/>
      <c r="B67" s="30"/>
      <c r="C67" s="18"/>
      <c r="D67" s="18"/>
      <c r="E67" s="18"/>
      <c r="F67" s="19"/>
      <c r="G67" s="18"/>
      <c r="H67" s="18"/>
      <c r="I67" s="19"/>
      <c r="J67" s="18"/>
      <c r="K67" s="18"/>
    </row>
    <row r="68" spans="1:11" ht="14.25">
      <c r="A68" s="18"/>
      <c r="B68" s="30"/>
      <c r="C68" s="18"/>
      <c r="D68" s="18"/>
      <c r="E68" s="18"/>
      <c r="F68" s="19"/>
      <c r="G68" s="18"/>
      <c r="H68" s="18"/>
      <c r="I68" s="19"/>
      <c r="J68" s="18"/>
      <c r="K68" s="18"/>
    </row>
    <row r="69" spans="1:11" ht="14.25">
      <c r="A69" s="18"/>
      <c r="B69" s="30"/>
      <c r="C69" s="18"/>
      <c r="D69" s="18"/>
      <c r="E69" s="18"/>
      <c r="F69" s="19"/>
      <c r="G69" s="18"/>
      <c r="H69" s="18"/>
      <c r="I69" s="19"/>
      <c r="J69" s="18"/>
      <c r="K69" s="18"/>
    </row>
    <row r="70" spans="1:11" ht="14.25">
      <c r="A70" s="18"/>
      <c r="B70" s="30"/>
      <c r="C70" s="18"/>
      <c r="D70" s="18"/>
      <c r="E70" s="18"/>
      <c r="F70" s="19"/>
      <c r="G70" s="18"/>
      <c r="H70" s="18"/>
      <c r="I70" s="19"/>
      <c r="J70" s="18"/>
      <c r="K70" s="18"/>
    </row>
    <row r="71" spans="1:11" ht="14.25">
      <c r="A71" s="18"/>
      <c r="B71" s="30"/>
      <c r="C71" s="18"/>
      <c r="D71" s="18"/>
      <c r="E71" s="18"/>
      <c r="F71" s="19"/>
      <c r="G71" s="18"/>
      <c r="H71" s="18"/>
      <c r="I71" s="19"/>
      <c r="J71" s="18"/>
      <c r="K71" s="18"/>
    </row>
    <row r="72" spans="1:11" ht="14.25">
      <c r="A72" s="18"/>
      <c r="B72" s="30"/>
      <c r="C72" s="18"/>
      <c r="D72" s="18"/>
      <c r="E72" s="18"/>
      <c r="F72" s="19"/>
      <c r="G72" s="18"/>
      <c r="H72" s="18"/>
      <c r="I72" s="19"/>
      <c r="J72" s="18"/>
      <c r="K72" s="18"/>
    </row>
    <row r="73" spans="1:11" ht="14.25">
      <c r="A73" s="18"/>
      <c r="B73" s="30"/>
      <c r="C73" s="18"/>
      <c r="D73" s="18"/>
      <c r="E73" s="18"/>
      <c r="F73" s="19"/>
      <c r="G73" s="18"/>
      <c r="H73" s="18"/>
      <c r="I73" s="19"/>
      <c r="J73" s="18"/>
      <c r="K73" s="18"/>
    </row>
    <row r="74" spans="1:11" ht="14.25">
      <c r="A74" s="18"/>
      <c r="B74" s="30"/>
      <c r="C74" s="18"/>
      <c r="D74" s="18"/>
      <c r="E74" s="18"/>
      <c r="F74" s="19"/>
      <c r="G74" s="18"/>
      <c r="H74" s="18"/>
      <c r="I74" s="19"/>
      <c r="J74" s="18"/>
      <c r="K74" s="18"/>
    </row>
    <row r="75" spans="1:11" ht="14.25">
      <c r="A75" s="18"/>
      <c r="B75" s="30"/>
      <c r="C75" s="18"/>
      <c r="D75" s="18"/>
      <c r="E75" s="18"/>
      <c r="F75" s="19"/>
      <c r="G75" s="18"/>
      <c r="H75" s="18"/>
      <c r="I75" s="19"/>
      <c r="J75" s="18"/>
      <c r="K75" s="18"/>
    </row>
    <row r="76" spans="1:11" ht="14.25">
      <c r="A76" s="18"/>
      <c r="B76" s="30"/>
      <c r="C76" s="18"/>
      <c r="D76" s="18"/>
      <c r="E76" s="18"/>
      <c r="F76" s="19"/>
      <c r="G76" s="18"/>
      <c r="H76" s="18"/>
      <c r="I76" s="19"/>
      <c r="J76" s="18"/>
      <c r="K76" s="18"/>
    </row>
    <row r="77" spans="1:11" ht="14.25">
      <c r="A77" s="18"/>
      <c r="B77" s="30"/>
      <c r="C77" s="18"/>
      <c r="D77" s="18"/>
      <c r="E77" s="18"/>
      <c r="F77" s="19"/>
      <c r="G77" s="18"/>
      <c r="H77" s="18"/>
      <c r="I77" s="19"/>
      <c r="J77" s="18"/>
      <c r="K77" s="18"/>
    </row>
    <row r="78" spans="1:11" ht="14.25">
      <c r="A78" s="18"/>
      <c r="B78" s="30"/>
      <c r="C78" s="18"/>
      <c r="D78" s="18"/>
      <c r="E78" s="18"/>
      <c r="F78" s="19"/>
      <c r="G78" s="18"/>
      <c r="H78" s="18"/>
      <c r="I78" s="19"/>
      <c r="J78" s="18"/>
      <c r="K78" s="18"/>
    </row>
    <row r="79" spans="1:11" ht="14.25">
      <c r="A79" s="18"/>
      <c r="B79" s="30"/>
      <c r="C79" s="18"/>
      <c r="D79" s="18"/>
      <c r="E79" s="18"/>
      <c r="F79" s="19"/>
      <c r="G79" s="18"/>
      <c r="H79" s="18"/>
      <c r="I79" s="19"/>
      <c r="J79" s="18"/>
      <c r="K79" s="18"/>
    </row>
    <row r="80" spans="1:11" ht="14.25">
      <c r="A80" s="18"/>
      <c r="B80" s="30"/>
      <c r="C80" s="18"/>
      <c r="D80" s="18"/>
      <c r="E80" s="18"/>
      <c r="F80" s="19"/>
      <c r="G80" s="18"/>
      <c r="H80" s="18"/>
      <c r="I80" s="19"/>
      <c r="J80" s="18"/>
      <c r="K80" s="18"/>
    </row>
    <row r="81" spans="1:11" ht="14.25">
      <c r="A81" s="18"/>
      <c r="B81" s="30"/>
      <c r="C81" s="18"/>
      <c r="D81" s="18"/>
      <c r="E81" s="18"/>
      <c r="F81" s="19"/>
      <c r="G81" s="18"/>
      <c r="H81" s="18"/>
      <c r="I81" s="19"/>
      <c r="J81" s="18"/>
      <c r="K81" s="18"/>
    </row>
    <row r="82" spans="1:11" ht="14.25">
      <c r="A82" s="18"/>
      <c r="B82" s="30"/>
      <c r="C82" s="18"/>
      <c r="D82" s="18"/>
      <c r="E82" s="18"/>
      <c r="F82" s="19"/>
      <c r="G82" s="18"/>
      <c r="H82" s="18"/>
      <c r="I82" s="19"/>
      <c r="J82" s="18"/>
      <c r="K82" s="18"/>
    </row>
    <row r="83" spans="1:11" ht="14.25">
      <c r="A83" s="18"/>
      <c r="B83" s="30"/>
      <c r="C83" s="18"/>
      <c r="D83" s="18"/>
      <c r="E83" s="18"/>
      <c r="F83" s="19"/>
      <c r="G83" s="18"/>
      <c r="H83" s="18"/>
      <c r="I83" s="19"/>
      <c r="J83" s="18"/>
      <c r="K83" s="18"/>
    </row>
    <row r="84" spans="1:11" ht="14.25">
      <c r="A84" s="18"/>
      <c r="B84" s="30"/>
      <c r="C84" s="18"/>
      <c r="D84" s="18"/>
      <c r="E84" s="18"/>
      <c r="F84" s="19"/>
      <c r="G84" s="18"/>
      <c r="H84" s="18"/>
      <c r="I84" s="19"/>
      <c r="J84" s="18"/>
      <c r="K84" s="18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3.9">
      <c r="C243" s="18"/>
      <c r="D243" s="18"/>
      <c r="E243" s="18"/>
      <c r="F243" s="19"/>
      <c r="G243" s="18"/>
      <c r="H243" s="18"/>
      <c r="I243" s="19"/>
      <c r="J243" s="18"/>
      <c r="K243" s="18"/>
    </row>
  </sheetData>
  <mergeCells count="4">
    <mergeCell ref="G1:I1"/>
    <mergeCell ref="A1:C1"/>
    <mergeCell ref="D1:F1"/>
    <mergeCell ref="A2:B2"/>
  </mergeCells>
  <conditionalFormatting sqref="F2 I2">
    <cfRule type="cellIs" dxfId="38" priority="5" stopIfTrue="1" operator="lessThanOrEqual">
      <formula>-0.1</formula>
    </cfRule>
    <cfRule type="expression" dxfId="37" priority="6">
      <formula>AND(ISNUMBER(F2), F2&gt;=0.1)</formula>
    </cfRule>
  </conditionalFormatting>
  <conditionalFormatting sqref="F4:F38 I4:I38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243"/>
  <sheetViews>
    <sheetView workbookViewId="0">
      <pane xSplit="2" ySplit="3" topLeftCell="C4" activePane="bottomRight" state="frozen"/>
      <selection pane="bottomRight" activeCell="H10" sqref="H10"/>
      <selection pane="bottomLeft" activeCell="J4" activeCellId="3" sqref="A39:XFD137 C4:D38 G4:G38 J4:K37"/>
      <selection pane="topRight" activeCell="J4" activeCellId="3" sqref="A39:XFD137 C4:D38 G4:G38 J4:K37"/>
    </sheetView>
  </sheetViews>
  <sheetFormatPr defaultRowHeight="13.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Cushman &amp; Wakefield</v>
      </c>
      <c r="B1" s="66"/>
      <c r="C1" s="66"/>
      <c r="D1" s="67" t="s">
        <v>28</v>
      </c>
      <c r="E1" s="67"/>
      <c r="F1" s="67"/>
      <c r="G1" s="65" t="s">
        <v>29</v>
      </c>
      <c r="H1" s="65"/>
      <c r="I1" s="65"/>
      <c r="J1" s="5"/>
      <c r="K1" s="5"/>
    </row>
    <row r="2" spans="1:11" ht="19.5" customHeight="1">
      <c r="A2" s="68" t="s">
        <v>2</v>
      </c>
      <c r="B2" s="68"/>
      <c r="C2" s="6">
        <f>SUM(C4:C38)</f>
        <v>0</v>
      </c>
      <c r="D2" s="6">
        <f>SUM(D4:D38)</f>
        <v>0</v>
      </c>
      <c r="E2" s="6">
        <f>C2-D2</f>
        <v>0</v>
      </c>
      <c r="F2" s="7">
        <f>IFERROR(E2/D2, 0)</f>
        <v>0</v>
      </c>
      <c r="G2" s="6">
        <f>SUM(G4:G38)</f>
        <v>0</v>
      </c>
      <c r="H2" s="8">
        <f>C2-G2</f>
        <v>0</v>
      </c>
      <c r="I2" s="7">
        <f>IFERROR(H2/G2, 0)</f>
        <v>0</v>
      </c>
      <c r="J2" s="23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38">Sites[Site]</f>
        <v xml:space="preserve"> Adelanto - Bank of America</v>
      </c>
      <c r="B4" s="26" t="str" cm="1">
        <f t="array" ref="B4:B38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 xml:space="preserve"> Apple Valley - Bank of America</v>
      </c>
      <c r="B5" s="28" t="str">
        <v>CA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 xml:space="preserve"> Arvin - Bank of America</v>
      </c>
      <c r="B6" s="26" t="str">
        <v>CA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 xml:space="preserve"> Bell - Bank of America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 xml:space="preserve"> Chula Vista - Bank of America</v>
      </c>
      <c r="B8" s="26" t="str">
        <v>CA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 xml:space="preserve"> Cupertino - Bank of America</v>
      </c>
      <c r="B9" s="28" t="str">
        <v>CA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 xml:space="preserve"> Diamond Bar - Bank of America</v>
      </c>
      <c r="B10" s="26" t="str">
        <v>CA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 xml:space="preserve"> El Centro - Bank of America</v>
      </c>
      <c r="B11" s="28" t="str">
        <v>CA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 xml:space="preserve"> Moreno Valley - Bank of America</v>
      </c>
      <c r="B12" s="26" t="str">
        <v>CA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 xml:space="preserve"> Redlands - Bank of America</v>
      </c>
      <c r="B13" s="28" t="str">
        <v>CA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 xml:space="preserve"> Roseville - Bank of America</v>
      </c>
      <c r="B14" s="26" t="str">
        <v>CA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 xml:space="preserve"> San Bernardino - Bank of America</v>
      </c>
      <c r="B15" s="28" t="str">
        <v>CA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 xml:space="preserve"> San Diego - Bank of America</v>
      </c>
      <c r="B16" s="26" t="str">
        <v>CA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 xml:space="preserve"> Stockton - Bank of America</v>
      </c>
      <c r="B17" s="28" t="str">
        <v>CA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 xml:space="preserve"> Victorville - Bank of America</v>
      </c>
      <c r="B18" s="26" t="str">
        <v>CA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 xml:space="preserve"> Aurora - BA - Colfax Ave</v>
      </c>
      <c r="B19" s="28" t="str">
        <v>CO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 xml:space="preserve"> Aurora - BA - Parker Rd</v>
      </c>
      <c r="B20" s="26" t="str">
        <v>CO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 xml:space="preserve"> Broomfield - Bank of America</v>
      </c>
      <c r="B21" s="28" t="str">
        <v>CO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 xml:space="preserve"> Colorado Springs - Bank of America</v>
      </c>
      <c r="B22" s="26" t="str">
        <v>CO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 xml:space="preserve"> Denver - BA - 49th Ave</v>
      </c>
      <c r="B23" s="28" t="str">
        <v>CO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 xml:space="preserve"> Denver - BA Wadsworth Blvd</v>
      </c>
      <c r="B24" s="26" t="str">
        <v>CO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 xml:space="preserve"> Fort Collins - Bank of America</v>
      </c>
      <c r="B25" s="28" t="str">
        <v>CO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 xml:space="preserve"> Lafayette - Bank of America</v>
      </c>
      <c r="B26" s="26" t="str">
        <v>CO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 xml:space="preserve"> Lakewood - Bank of America</v>
      </c>
      <c r="B27" s="28" t="str">
        <v>CO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 xml:space="preserve"> Longmont - Bank of America</v>
      </c>
      <c r="B28" s="26" t="str">
        <v>CO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 xml:space="preserve"> Thornton - Bank of America</v>
      </c>
      <c r="B29" s="28" t="str">
        <v>CO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 xml:space="preserve"> Calumet City - Bank of America</v>
      </c>
      <c r="B30" s="26" t="str">
        <v>IL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 xml:space="preserve"> Downers Grove - Bank of America</v>
      </c>
      <c r="B31" s="28" t="str">
        <v>IL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 xml:space="preserve"> Bloomington - Bank of America</v>
      </c>
      <c r="B32" s="26" t="str">
        <v>MN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 xml:space="preserve"> Clayton - Bank of America</v>
      </c>
      <c r="B33" s="28" t="str">
        <v>MO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 xml:space="preserve"> Manchester - Bank of America</v>
      </c>
      <c r="B34" s="26" t="str">
        <v>MO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 xml:space="preserve"> Las Vegas - BA - Eastern Ave</v>
      </c>
      <c r="B35" s="28" t="str">
        <v>NV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 xml:space="preserve"> Las Vegas - BA - Town Ctr Dr</v>
      </c>
      <c r="B36" s="26" t="str">
        <v>NV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 xml:space="preserve"> Riverton - Bank of America</v>
      </c>
      <c r="B37" s="28" t="str">
        <v>UT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 xml:space="preserve"> Salt Lake City - Bank of America</v>
      </c>
      <c r="B38" s="26" t="str">
        <v>UT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4.25">
      <c r="A39" s="18"/>
      <c r="B39" s="30"/>
      <c r="C39" s="18"/>
      <c r="D39" s="18"/>
      <c r="E39" s="18"/>
      <c r="F39" s="19"/>
      <c r="G39" s="18"/>
      <c r="H39" s="18"/>
      <c r="I39" s="19"/>
      <c r="J39" s="18"/>
      <c r="K39" s="18"/>
    </row>
    <row r="40" spans="1:11" ht="14.25">
      <c r="A40" s="18"/>
      <c r="B40" s="30"/>
      <c r="C40" s="18"/>
      <c r="D40" s="18"/>
      <c r="E40" s="18"/>
      <c r="F40" s="19"/>
      <c r="G40" s="18"/>
      <c r="H40" s="18"/>
      <c r="I40" s="19"/>
      <c r="J40" s="18"/>
      <c r="K40" s="18"/>
    </row>
    <row r="41" spans="1:11" ht="14.25">
      <c r="A41" s="18"/>
      <c r="B41" s="30"/>
      <c r="C41" s="18"/>
      <c r="D41" s="18"/>
      <c r="E41" s="18"/>
      <c r="F41" s="19"/>
      <c r="G41" s="18"/>
      <c r="H41" s="18"/>
      <c r="I41" s="19"/>
      <c r="J41" s="18"/>
      <c r="K41" s="18"/>
    </row>
    <row r="42" spans="1:11" ht="14.25">
      <c r="A42" s="18"/>
      <c r="B42" s="30"/>
      <c r="C42" s="18"/>
      <c r="D42" s="18"/>
      <c r="E42" s="18"/>
      <c r="F42" s="19"/>
      <c r="G42" s="18"/>
      <c r="H42" s="18"/>
      <c r="I42" s="19"/>
      <c r="J42" s="18"/>
      <c r="K42" s="18"/>
    </row>
    <row r="43" spans="1:11" ht="14.25">
      <c r="A43" s="18"/>
      <c r="B43" s="30"/>
      <c r="C43" s="18"/>
      <c r="D43" s="18"/>
      <c r="E43" s="18"/>
      <c r="F43" s="19"/>
      <c r="G43" s="18"/>
      <c r="H43" s="18"/>
      <c r="I43" s="19"/>
      <c r="J43" s="18"/>
      <c r="K43" s="18"/>
    </row>
    <row r="44" spans="1:11" ht="14.25">
      <c r="A44" s="18"/>
      <c r="B44" s="30"/>
      <c r="C44" s="18"/>
      <c r="D44" s="18"/>
      <c r="E44" s="18"/>
      <c r="F44" s="19"/>
      <c r="G44" s="18"/>
      <c r="H44" s="18"/>
      <c r="I44" s="19"/>
      <c r="J44" s="18"/>
      <c r="K44" s="18"/>
    </row>
    <row r="45" spans="1:11" ht="14.25">
      <c r="A45" s="18"/>
      <c r="B45" s="30"/>
      <c r="C45" s="18"/>
      <c r="D45" s="18"/>
      <c r="E45" s="18"/>
      <c r="F45" s="19"/>
      <c r="G45" s="18"/>
      <c r="H45" s="18"/>
      <c r="I45" s="19"/>
      <c r="J45" s="18"/>
      <c r="K45" s="18"/>
    </row>
    <row r="46" spans="1:11" ht="14.25">
      <c r="A46" s="18"/>
      <c r="B46" s="30"/>
      <c r="C46" s="18"/>
      <c r="D46" s="18"/>
      <c r="E46" s="18"/>
      <c r="F46" s="19"/>
      <c r="G46" s="18"/>
      <c r="H46" s="18"/>
      <c r="I46" s="19"/>
      <c r="J46" s="18"/>
      <c r="K46" s="18"/>
    </row>
    <row r="47" spans="1:11" ht="14.25">
      <c r="A47" s="18"/>
      <c r="B47" s="30"/>
      <c r="C47" s="18"/>
      <c r="D47" s="18"/>
      <c r="E47" s="18"/>
      <c r="F47" s="19"/>
      <c r="G47" s="18"/>
      <c r="H47" s="18"/>
      <c r="I47" s="19"/>
      <c r="J47" s="18"/>
      <c r="K47" s="18"/>
    </row>
    <row r="48" spans="1:11" ht="14.25">
      <c r="A48" s="18"/>
      <c r="B48" s="30"/>
      <c r="C48" s="18"/>
      <c r="D48" s="18"/>
      <c r="E48" s="18"/>
      <c r="F48" s="19"/>
      <c r="G48" s="18"/>
      <c r="H48" s="18"/>
      <c r="I48" s="19"/>
      <c r="J48" s="18"/>
      <c r="K48" s="18"/>
    </row>
    <row r="49" spans="1:11" ht="14.25">
      <c r="A49" s="18"/>
      <c r="B49" s="30"/>
      <c r="C49" s="18"/>
      <c r="D49" s="18"/>
      <c r="E49" s="18"/>
      <c r="F49" s="19"/>
      <c r="G49" s="18"/>
      <c r="H49" s="18"/>
      <c r="I49" s="19"/>
      <c r="J49" s="18"/>
      <c r="K49" s="18"/>
    </row>
    <row r="50" spans="1:11" ht="14.25">
      <c r="A50" s="18"/>
      <c r="B50" s="30"/>
      <c r="C50" s="18"/>
      <c r="D50" s="18"/>
      <c r="E50" s="18"/>
      <c r="F50" s="19"/>
      <c r="G50" s="18"/>
      <c r="H50" s="18"/>
      <c r="I50" s="19"/>
      <c r="J50" s="18"/>
      <c r="K50" s="18"/>
    </row>
    <row r="51" spans="1:11" ht="14.25">
      <c r="A51" s="18"/>
      <c r="B51" s="30"/>
      <c r="C51" s="18"/>
      <c r="D51" s="18"/>
      <c r="E51" s="18"/>
      <c r="F51" s="19"/>
      <c r="G51" s="18"/>
      <c r="H51" s="18"/>
      <c r="I51" s="19"/>
      <c r="J51" s="18"/>
      <c r="K51" s="18"/>
    </row>
    <row r="52" spans="1:11" ht="14.25">
      <c r="A52" s="18"/>
      <c r="B52" s="30"/>
      <c r="C52" s="18"/>
      <c r="D52" s="18"/>
      <c r="E52" s="18"/>
      <c r="F52" s="19"/>
      <c r="G52" s="18"/>
      <c r="H52" s="18"/>
      <c r="I52" s="19"/>
      <c r="J52" s="18"/>
      <c r="K52" s="18"/>
    </row>
    <row r="53" spans="1:11" ht="14.25">
      <c r="A53" s="18"/>
      <c r="B53" s="30"/>
      <c r="C53" s="18"/>
      <c r="D53" s="18"/>
      <c r="E53" s="18"/>
      <c r="F53" s="19"/>
      <c r="G53" s="18"/>
      <c r="H53" s="18"/>
      <c r="I53" s="19"/>
      <c r="J53" s="18"/>
      <c r="K53" s="18"/>
    </row>
    <row r="54" spans="1:11" ht="14.25">
      <c r="A54" s="18"/>
      <c r="B54" s="30"/>
      <c r="C54" s="18"/>
      <c r="D54" s="18"/>
      <c r="E54" s="18"/>
      <c r="F54" s="19"/>
      <c r="G54" s="18"/>
      <c r="H54" s="18"/>
      <c r="I54" s="19"/>
      <c r="J54" s="18"/>
      <c r="K54" s="18"/>
    </row>
    <row r="55" spans="1:11" ht="14.25">
      <c r="A55" s="18"/>
      <c r="B55" s="30"/>
      <c r="C55" s="18"/>
      <c r="D55" s="18"/>
      <c r="E55" s="18"/>
      <c r="F55" s="19"/>
      <c r="G55" s="18"/>
      <c r="H55" s="18"/>
      <c r="I55" s="19"/>
      <c r="J55" s="18"/>
      <c r="K55" s="18"/>
    </row>
    <row r="56" spans="1:11" ht="14.25">
      <c r="A56" s="18"/>
      <c r="B56" s="30"/>
      <c r="C56" s="18"/>
      <c r="D56" s="18"/>
      <c r="E56" s="18"/>
      <c r="F56" s="19"/>
      <c r="G56" s="18"/>
      <c r="H56" s="18"/>
      <c r="I56" s="19"/>
      <c r="J56" s="18"/>
      <c r="K56" s="18"/>
    </row>
    <row r="57" spans="1:11" ht="14.25">
      <c r="A57" s="18"/>
      <c r="B57" s="30"/>
      <c r="C57" s="18"/>
      <c r="D57" s="18"/>
      <c r="E57" s="18"/>
      <c r="F57" s="19"/>
      <c r="G57" s="18"/>
      <c r="H57" s="18"/>
      <c r="I57" s="19"/>
      <c r="J57" s="18"/>
      <c r="K57" s="18"/>
    </row>
    <row r="58" spans="1:11" ht="14.25">
      <c r="A58" s="18"/>
      <c r="B58" s="30"/>
      <c r="C58" s="18"/>
      <c r="D58" s="18"/>
      <c r="E58" s="18"/>
      <c r="F58" s="19"/>
      <c r="G58" s="18"/>
      <c r="H58" s="18"/>
      <c r="I58" s="19"/>
      <c r="J58" s="18"/>
      <c r="K58" s="18"/>
    </row>
    <row r="59" spans="1:11" ht="14.25">
      <c r="A59" s="18"/>
      <c r="B59" s="30"/>
      <c r="C59" s="18"/>
      <c r="D59" s="18"/>
      <c r="E59" s="18"/>
      <c r="F59" s="19"/>
      <c r="G59" s="18"/>
      <c r="H59" s="18"/>
      <c r="I59" s="19"/>
      <c r="J59" s="18"/>
      <c r="K59" s="18"/>
    </row>
    <row r="60" spans="1:11" ht="14.25">
      <c r="A60" s="18"/>
      <c r="B60" s="30"/>
      <c r="C60" s="18"/>
      <c r="D60" s="18"/>
      <c r="E60" s="18"/>
      <c r="F60" s="19"/>
      <c r="G60" s="18"/>
      <c r="H60" s="18"/>
      <c r="I60" s="19"/>
      <c r="J60" s="18"/>
      <c r="K60" s="18"/>
    </row>
    <row r="61" spans="1:11" ht="14.25">
      <c r="A61" s="18"/>
      <c r="B61" s="30"/>
      <c r="C61" s="18"/>
      <c r="D61" s="18"/>
      <c r="E61" s="18"/>
      <c r="F61" s="19"/>
      <c r="G61" s="18"/>
      <c r="H61" s="18"/>
      <c r="I61" s="19"/>
      <c r="J61" s="18"/>
      <c r="K61" s="18"/>
    </row>
    <row r="62" spans="1:11" ht="14.25">
      <c r="A62" s="18"/>
      <c r="B62" s="30"/>
      <c r="C62" s="18"/>
      <c r="D62" s="18"/>
      <c r="E62" s="18"/>
      <c r="F62" s="19"/>
      <c r="G62" s="18"/>
      <c r="H62" s="18"/>
      <c r="I62" s="19"/>
      <c r="J62" s="18"/>
      <c r="K62" s="18"/>
    </row>
    <row r="63" spans="1:11" ht="14.25">
      <c r="A63" s="18"/>
      <c r="B63" s="30"/>
      <c r="C63" s="18"/>
      <c r="D63" s="18"/>
      <c r="E63" s="18"/>
      <c r="F63" s="19"/>
      <c r="G63" s="18"/>
      <c r="H63" s="18"/>
      <c r="I63" s="19"/>
      <c r="J63" s="18"/>
      <c r="K63" s="18"/>
    </row>
    <row r="64" spans="1:11" ht="14.25">
      <c r="A64" s="18"/>
      <c r="B64" s="30"/>
      <c r="C64" s="18"/>
      <c r="D64" s="18"/>
      <c r="E64" s="18"/>
      <c r="F64" s="19"/>
      <c r="G64" s="18"/>
      <c r="H64" s="18"/>
      <c r="I64" s="19"/>
      <c r="J64" s="18"/>
      <c r="K64" s="18"/>
    </row>
    <row r="65" spans="1:11" ht="14.25">
      <c r="A65" s="18"/>
      <c r="B65" s="30"/>
      <c r="C65" s="18"/>
      <c r="D65" s="18"/>
      <c r="E65" s="18"/>
      <c r="F65" s="19"/>
      <c r="G65" s="18"/>
      <c r="H65" s="18"/>
      <c r="I65" s="19"/>
      <c r="J65" s="18"/>
      <c r="K65" s="18"/>
    </row>
    <row r="66" spans="1:11" ht="14.25">
      <c r="A66" s="18"/>
      <c r="B66" s="30"/>
      <c r="C66" s="18"/>
      <c r="D66" s="18"/>
      <c r="E66" s="18"/>
      <c r="F66" s="19"/>
      <c r="G66" s="18"/>
      <c r="H66" s="18"/>
      <c r="I66" s="19"/>
      <c r="J66" s="18"/>
      <c r="K66" s="18"/>
    </row>
    <row r="67" spans="1:11" ht="14.25">
      <c r="A67" s="18"/>
      <c r="B67" s="30"/>
      <c r="C67" s="18"/>
      <c r="D67" s="18"/>
      <c r="E67" s="18"/>
      <c r="F67" s="19"/>
      <c r="G67" s="18"/>
      <c r="H67" s="18"/>
      <c r="I67" s="19"/>
      <c r="J67" s="18"/>
      <c r="K67" s="18"/>
    </row>
    <row r="68" spans="1:11" ht="14.25">
      <c r="A68" s="18"/>
      <c r="B68" s="30"/>
      <c r="C68" s="18"/>
      <c r="D68" s="18"/>
      <c r="E68" s="18"/>
      <c r="F68" s="19"/>
      <c r="G68" s="18"/>
      <c r="H68" s="18"/>
      <c r="I68" s="19"/>
      <c r="J68" s="18"/>
      <c r="K68" s="18"/>
    </row>
    <row r="69" spans="1:11" ht="14.25">
      <c r="A69" s="18"/>
      <c r="B69" s="30"/>
      <c r="C69" s="18"/>
      <c r="D69" s="18"/>
      <c r="E69" s="18"/>
      <c r="F69" s="19"/>
      <c r="G69" s="18"/>
      <c r="H69" s="18"/>
      <c r="I69" s="19"/>
      <c r="J69" s="18"/>
      <c r="K69" s="18"/>
    </row>
    <row r="70" spans="1:11" ht="14.25">
      <c r="A70" s="18"/>
      <c r="B70" s="30"/>
      <c r="C70" s="18"/>
      <c r="D70" s="18"/>
      <c r="E70" s="18"/>
      <c r="F70" s="19"/>
      <c r="G70" s="18"/>
      <c r="H70" s="18"/>
      <c r="I70" s="19"/>
      <c r="J70" s="18"/>
      <c r="K70" s="18"/>
    </row>
    <row r="71" spans="1:11" ht="14.25">
      <c r="A71" s="18"/>
      <c r="B71" s="30"/>
      <c r="C71" s="18"/>
      <c r="D71" s="18"/>
      <c r="E71" s="18"/>
      <c r="F71" s="19"/>
      <c r="G71" s="18"/>
      <c r="H71" s="18"/>
      <c r="I71" s="19"/>
      <c r="J71" s="18"/>
      <c r="K71" s="18"/>
    </row>
    <row r="72" spans="1:11" ht="14.25">
      <c r="A72" s="18"/>
      <c r="B72" s="30"/>
      <c r="C72" s="18"/>
      <c r="D72" s="18"/>
      <c r="E72" s="18"/>
      <c r="F72" s="19"/>
      <c r="G72" s="18"/>
      <c r="H72" s="18"/>
      <c r="I72" s="19"/>
      <c r="J72" s="18"/>
      <c r="K72" s="18"/>
    </row>
    <row r="73" spans="1:11" ht="14.25">
      <c r="A73" s="18"/>
      <c r="B73" s="30"/>
      <c r="C73" s="18"/>
      <c r="D73" s="18"/>
      <c r="E73" s="18"/>
      <c r="F73" s="19"/>
      <c r="G73" s="18"/>
      <c r="H73" s="18"/>
      <c r="I73" s="19"/>
      <c r="J73" s="18"/>
      <c r="K73" s="18"/>
    </row>
    <row r="74" spans="1:11" ht="14.25">
      <c r="A74" s="18"/>
      <c r="B74" s="30"/>
      <c r="C74" s="18"/>
      <c r="D74" s="18"/>
      <c r="E74" s="18"/>
      <c r="F74" s="19"/>
      <c r="G74" s="18"/>
      <c r="H74" s="18"/>
      <c r="I74" s="19"/>
      <c r="J74" s="18"/>
      <c r="K74" s="18"/>
    </row>
    <row r="75" spans="1:11" ht="14.25">
      <c r="A75" s="18"/>
      <c r="B75" s="30"/>
      <c r="C75" s="18"/>
      <c r="D75" s="18"/>
      <c r="E75" s="18"/>
      <c r="F75" s="19"/>
      <c r="G75" s="18"/>
      <c r="H75" s="18"/>
      <c r="I75" s="19"/>
      <c r="J75" s="18"/>
      <c r="K75" s="18"/>
    </row>
    <row r="76" spans="1:11" ht="14.25">
      <c r="A76" s="18"/>
      <c r="B76" s="30"/>
      <c r="C76" s="18"/>
      <c r="D76" s="18"/>
      <c r="E76" s="18"/>
      <c r="F76" s="19"/>
      <c r="G76" s="18"/>
      <c r="H76" s="18"/>
      <c r="I76" s="19"/>
      <c r="J76" s="18"/>
      <c r="K76" s="18"/>
    </row>
    <row r="77" spans="1:11" ht="14.25">
      <c r="A77" s="18"/>
      <c r="B77" s="30"/>
      <c r="C77" s="18"/>
      <c r="D77" s="18"/>
      <c r="E77" s="18"/>
      <c r="F77" s="19"/>
      <c r="G77" s="18"/>
      <c r="H77" s="18"/>
      <c r="I77" s="19"/>
      <c r="J77" s="18"/>
      <c r="K77" s="18"/>
    </row>
    <row r="78" spans="1:11" ht="14.25">
      <c r="A78" s="18"/>
      <c r="B78" s="30"/>
      <c r="C78" s="18"/>
      <c r="D78" s="18"/>
      <c r="E78" s="18"/>
      <c r="F78" s="19"/>
      <c r="G78" s="18"/>
      <c r="H78" s="18"/>
      <c r="I78" s="19"/>
      <c r="J78" s="18"/>
      <c r="K78" s="18"/>
    </row>
    <row r="79" spans="1:11" ht="14.25">
      <c r="A79" s="18"/>
      <c r="B79" s="30"/>
      <c r="C79" s="18"/>
      <c r="D79" s="18"/>
      <c r="E79" s="18"/>
      <c r="F79" s="19"/>
      <c r="G79" s="18"/>
      <c r="H79" s="18"/>
      <c r="I79" s="19"/>
      <c r="J79" s="18"/>
      <c r="K79" s="18"/>
    </row>
    <row r="80" spans="1:11" ht="14.25">
      <c r="A80" s="18"/>
      <c r="B80" s="30"/>
      <c r="C80" s="18"/>
      <c r="D80" s="18"/>
      <c r="E80" s="18"/>
      <c r="F80" s="19"/>
      <c r="G80" s="18"/>
      <c r="H80" s="18"/>
      <c r="I80" s="19"/>
      <c r="J80" s="18"/>
      <c r="K80" s="18"/>
    </row>
    <row r="81" spans="1:11" ht="14.25">
      <c r="A81" s="18"/>
      <c r="B81" s="30"/>
      <c r="C81" s="18"/>
      <c r="D81" s="18"/>
      <c r="E81" s="18"/>
      <c r="F81" s="19"/>
      <c r="G81" s="18"/>
      <c r="H81" s="18"/>
      <c r="I81" s="19"/>
      <c r="J81" s="18"/>
      <c r="K81" s="18"/>
    </row>
    <row r="82" spans="1:11" ht="14.25">
      <c r="A82" s="18"/>
      <c r="B82" s="30"/>
      <c r="C82" s="18"/>
      <c r="D82" s="18"/>
      <c r="E82" s="18"/>
      <c r="F82" s="19"/>
      <c r="G82" s="18"/>
      <c r="H82" s="18"/>
      <c r="I82" s="19"/>
      <c r="J82" s="18"/>
      <c r="K82" s="18"/>
    </row>
    <row r="83" spans="1:11" ht="14.25">
      <c r="A83" s="18"/>
      <c r="B83" s="30"/>
      <c r="C83" s="18"/>
      <c r="D83" s="18"/>
      <c r="E83" s="18"/>
      <c r="F83" s="19"/>
      <c r="G83" s="18"/>
      <c r="H83" s="18"/>
      <c r="I83" s="19"/>
      <c r="J83" s="18"/>
      <c r="K83" s="18"/>
    </row>
    <row r="84" spans="1:11" ht="14.25">
      <c r="A84" s="18"/>
      <c r="B84" s="30"/>
      <c r="C84" s="18"/>
      <c r="D84" s="18"/>
      <c r="E84" s="18"/>
      <c r="F84" s="19"/>
      <c r="G84" s="18"/>
      <c r="H84" s="18"/>
      <c r="I84" s="19"/>
      <c r="J84" s="18"/>
      <c r="K84" s="18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3.9">
      <c r="C243" s="18"/>
      <c r="D243" s="18"/>
      <c r="E243" s="18"/>
      <c r="F243" s="19"/>
      <c r="G243" s="18"/>
      <c r="H243" s="18"/>
      <c r="I243" s="19"/>
      <c r="J243" s="18"/>
      <c r="K243" s="18"/>
    </row>
  </sheetData>
  <mergeCells count="4">
    <mergeCell ref="G1:I1"/>
    <mergeCell ref="A1:C1"/>
    <mergeCell ref="D1:F1"/>
    <mergeCell ref="A2:B2"/>
  </mergeCells>
  <conditionalFormatting sqref="F2 I2">
    <cfRule type="cellIs" dxfId="34" priority="5" stopIfTrue="1" operator="lessThanOrEqual">
      <formula>-0.1</formula>
    </cfRule>
    <cfRule type="expression" dxfId="33" priority="6">
      <formula>AND(ISNUMBER(F2), F2&gt;=0.1)</formula>
    </cfRule>
  </conditionalFormatting>
  <conditionalFormatting sqref="F4:F38 I4:I38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243"/>
  <sheetViews>
    <sheetView workbookViewId="0">
      <pane xSplit="2" ySplit="3" topLeftCell="C4" activePane="bottomRight" state="frozen"/>
      <selection pane="bottomRight" activeCell="J4" activeCellId="3" sqref="A39:XFD137 C4:D38 G4:G38 J4:K37"/>
      <selection pane="bottomLeft" activeCell="J4" activeCellId="3" sqref="A39:XFD137 C4:D38 G4:G38 J4:K37"/>
      <selection pane="topRight" activeCell="J4" activeCellId="3" sqref="A39:XFD137 C4:D38 G4:G38 J4:K37"/>
    </sheetView>
  </sheetViews>
  <sheetFormatPr defaultRowHeight="13.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Cushman &amp; Wakefield</v>
      </c>
      <c r="B1" s="66"/>
      <c r="C1" s="66"/>
      <c r="D1" s="67" t="s">
        <v>30</v>
      </c>
      <c r="E1" s="67"/>
      <c r="F1" s="67"/>
      <c r="G1" s="65" t="s">
        <v>31</v>
      </c>
      <c r="H1" s="65"/>
      <c r="I1" s="65"/>
      <c r="J1" s="5"/>
      <c r="K1" s="5"/>
    </row>
    <row r="2" spans="1:11" ht="19.5" customHeight="1">
      <c r="A2" s="68" t="s">
        <v>2</v>
      </c>
      <c r="B2" s="68"/>
      <c r="C2" s="6">
        <f>SUM(C4:C38)</f>
        <v>0</v>
      </c>
      <c r="D2" s="6">
        <f>SUM(D4:D38)</f>
        <v>0</v>
      </c>
      <c r="E2" s="6">
        <f>C2-D2</f>
        <v>0</v>
      </c>
      <c r="F2" s="7">
        <f>IFERROR(E2/D2, 0)</f>
        <v>0</v>
      </c>
      <c r="G2" s="6">
        <f>SUM(G4:G38)</f>
        <v>0</v>
      </c>
      <c r="H2" s="8">
        <f>C2-G2</f>
        <v>0</v>
      </c>
      <c r="I2" s="7">
        <f>IFERROR(H2/G2, 0)</f>
        <v>0</v>
      </c>
      <c r="J2" s="23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38">Sites[Site]</f>
        <v xml:space="preserve"> Adelanto - Bank of America</v>
      </c>
      <c r="B4" s="26" t="str" cm="1">
        <f t="array" ref="B4:B38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 xml:space="preserve"> Apple Valley - Bank of America</v>
      </c>
      <c r="B5" s="28" t="str">
        <v>CA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 xml:space="preserve"> Arvin - Bank of America</v>
      </c>
      <c r="B6" s="26" t="str">
        <v>CA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 xml:space="preserve"> Bell - Bank of America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 xml:space="preserve"> Chula Vista - Bank of America</v>
      </c>
      <c r="B8" s="26" t="str">
        <v>CA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 xml:space="preserve"> Cupertino - Bank of America</v>
      </c>
      <c r="B9" s="28" t="str">
        <v>CA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 xml:space="preserve"> Diamond Bar - Bank of America</v>
      </c>
      <c r="B10" s="26" t="str">
        <v>CA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 xml:space="preserve"> El Centro - Bank of America</v>
      </c>
      <c r="B11" s="28" t="str">
        <v>CA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 xml:space="preserve"> Moreno Valley - Bank of America</v>
      </c>
      <c r="B12" s="26" t="str">
        <v>CA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 xml:space="preserve"> Redlands - Bank of America</v>
      </c>
      <c r="B13" s="28" t="str">
        <v>CA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 xml:space="preserve"> Roseville - Bank of America</v>
      </c>
      <c r="B14" s="26" t="str">
        <v>CA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 xml:space="preserve"> San Bernardino - Bank of America</v>
      </c>
      <c r="B15" s="28" t="str">
        <v>CA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 xml:space="preserve"> San Diego - Bank of America</v>
      </c>
      <c r="B16" s="26" t="str">
        <v>CA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 xml:space="preserve"> Stockton - Bank of America</v>
      </c>
      <c r="B17" s="28" t="str">
        <v>CA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 xml:space="preserve"> Victorville - Bank of America</v>
      </c>
      <c r="B18" s="26" t="str">
        <v>CA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 xml:space="preserve"> Aurora - BA - Colfax Ave</v>
      </c>
      <c r="B19" s="28" t="str">
        <v>CO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 xml:space="preserve"> Aurora - BA - Parker Rd</v>
      </c>
      <c r="B20" s="26" t="str">
        <v>CO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 xml:space="preserve"> Broomfield - Bank of America</v>
      </c>
      <c r="B21" s="28" t="str">
        <v>CO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 xml:space="preserve"> Colorado Springs - Bank of America</v>
      </c>
      <c r="B22" s="26" t="str">
        <v>CO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 xml:space="preserve"> Denver - BA - 49th Ave</v>
      </c>
      <c r="B23" s="28" t="str">
        <v>CO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 xml:space="preserve"> Denver - BA Wadsworth Blvd</v>
      </c>
      <c r="B24" s="26" t="str">
        <v>CO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 xml:space="preserve"> Fort Collins - Bank of America</v>
      </c>
      <c r="B25" s="28" t="str">
        <v>CO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 xml:space="preserve"> Lafayette - Bank of America</v>
      </c>
      <c r="B26" s="26" t="str">
        <v>CO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 xml:space="preserve"> Lakewood - Bank of America</v>
      </c>
      <c r="B27" s="28" t="str">
        <v>CO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 xml:space="preserve"> Longmont - Bank of America</v>
      </c>
      <c r="B28" s="26" t="str">
        <v>CO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 xml:space="preserve"> Thornton - Bank of America</v>
      </c>
      <c r="B29" s="28" t="str">
        <v>CO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 xml:space="preserve"> Calumet City - Bank of America</v>
      </c>
      <c r="B30" s="26" t="str">
        <v>IL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 xml:space="preserve"> Downers Grove - Bank of America</v>
      </c>
      <c r="B31" s="28" t="str">
        <v>IL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 xml:space="preserve"> Bloomington - Bank of America</v>
      </c>
      <c r="B32" s="26" t="str">
        <v>MN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 xml:space="preserve"> Clayton - Bank of America</v>
      </c>
      <c r="B33" s="28" t="str">
        <v>MO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 xml:space="preserve"> Manchester - Bank of America</v>
      </c>
      <c r="B34" s="26" t="str">
        <v>MO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 xml:space="preserve"> Las Vegas - BA - Eastern Ave</v>
      </c>
      <c r="B35" s="28" t="str">
        <v>NV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 xml:space="preserve"> Las Vegas - BA - Town Ctr Dr</v>
      </c>
      <c r="B36" s="26" t="str">
        <v>NV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 xml:space="preserve"> Riverton - Bank of America</v>
      </c>
      <c r="B37" s="28" t="str">
        <v>UT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 xml:space="preserve"> Salt Lake City - Bank of America</v>
      </c>
      <c r="B38" s="26" t="str">
        <v>UT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4.25">
      <c r="A39" s="18"/>
      <c r="B39" s="30"/>
      <c r="C39" s="18"/>
      <c r="D39" s="18"/>
      <c r="E39" s="18"/>
      <c r="F39" s="19"/>
      <c r="G39" s="18"/>
      <c r="H39" s="18"/>
      <c r="I39" s="19"/>
      <c r="J39" s="18"/>
      <c r="K39" s="18"/>
    </row>
    <row r="40" spans="1:11" ht="14.25">
      <c r="A40" s="18"/>
      <c r="B40" s="30"/>
      <c r="C40" s="18"/>
      <c r="D40" s="18"/>
      <c r="E40" s="18"/>
      <c r="F40" s="19"/>
      <c r="G40" s="18"/>
      <c r="H40" s="18"/>
      <c r="I40" s="19"/>
      <c r="J40" s="18"/>
      <c r="K40" s="18"/>
    </row>
    <row r="41" spans="1:11" ht="14.25">
      <c r="A41" s="18"/>
      <c r="B41" s="30"/>
      <c r="C41" s="18"/>
      <c r="D41" s="18"/>
      <c r="E41" s="18"/>
      <c r="F41" s="19"/>
      <c r="G41" s="18"/>
      <c r="H41" s="18"/>
      <c r="I41" s="19"/>
      <c r="J41" s="18"/>
      <c r="K41" s="18"/>
    </row>
    <row r="42" spans="1:11" ht="14.25">
      <c r="A42" s="18"/>
      <c r="B42" s="30"/>
      <c r="C42" s="18"/>
      <c r="D42" s="18"/>
      <c r="E42" s="18"/>
      <c r="F42" s="19"/>
      <c r="G42" s="18"/>
      <c r="H42" s="18"/>
      <c r="I42" s="19"/>
      <c r="J42" s="18"/>
      <c r="K42" s="18"/>
    </row>
    <row r="43" spans="1:11" ht="14.25">
      <c r="A43" s="18"/>
      <c r="B43" s="30"/>
      <c r="C43" s="18"/>
      <c r="D43" s="18"/>
      <c r="E43" s="18"/>
      <c r="F43" s="19"/>
      <c r="G43" s="18"/>
      <c r="H43" s="18"/>
      <c r="I43" s="19"/>
      <c r="J43" s="18"/>
      <c r="K43" s="18"/>
    </row>
    <row r="44" spans="1:11" ht="14.25">
      <c r="A44" s="18"/>
      <c r="B44" s="30"/>
      <c r="C44" s="18"/>
      <c r="D44" s="18"/>
      <c r="E44" s="18"/>
      <c r="F44" s="19"/>
      <c r="G44" s="18"/>
      <c r="H44" s="18"/>
      <c r="I44" s="19"/>
      <c r="J44" s="18"/>
      <c r="K44" s="18"/>
    </row>
    <row r="45" spans="1:11" ht="14.25">
      <c r="A45" s="18"/>
      <c r="B45" s="30"/>
      <c r="C45" s="18"/>
      <c r="D45" s="18"/>
      <c r="E45" s="18"/>
      <c r="F45" s="19"/>
      <c r="G45" s="18"/>
      <c r="H45" s="18"/>
      <c r="I45" s="19"/>
      <c r="J45" s="18"/>
      <c r="K45" s="18"/>
    </row>
    <row r="46" spans="1:11" ht="14.25">
      <c r="A46" s="18"/>
      <c r="B46" s="30"/>
      <c r="C46" s="18"/>
      <c r="D46" s="18"/>
      <c r="E46" s="18"/>
      <c r="F46" s="19"/>
      <c r="G46" s="18"/>
      <c r="H46" s="18"/>
      <c r="I46" s="19"/>
      <c r="J46" s="18"/>
      <c r="K46" s="18"/>
    </row>
    <row r="47" spans="1:11" ht="14.25">
      <c r="A47" s="18"/>
      <c r="B47" s="30"/>
      <c r="C47" s="18"/>
      <c r="D47" s="18"/>
      <c r="E47" s="18"/>
      <c r="F47" s="19"/>
      <c r="G47" s="18"/>
      <c r="H47" s="18"/>
      <c r="I47" s="19"/>
      <c r="J47" s="18"/>
      <c r="K47" s="18"/>
    </row>
    <row r="48" spans="1:11" ht="14.25">
      <c r="A48" s="18"/>
      <c r="B48" s="30"/>
      <c r="C48" s="18"/>
      <c r="D48" s="18"/>
      <c r="E48" s="18"/>
      <c r="F48" s="19"/>
      <c r="G48" s="18"/>
      <c r="H48" s="18"/>
      <c r="I48" s="19"/>
      <c r="J48" s="18"/>
      <c r="K48" s="18"/>
    </row>
    <row r="49" spans="1:11" ht="14.25">
      <c r="A49" s="18"/>
      <c r="B49" s="30"/>
      <c r="C49" s="18"/>
      <c r="D49" s="18"/>
      <c r="E49" s="18"/>
      <c r="F49" s="19"/>
      <c r="G49" s="18"/>
      <c r="H49" s="18"/>
      <c r="I49" s="19"/>
      <c r="J49" s="18"/>
      <c r="K49" s="18"/>
    </row>
    <row r="50" spans="1:11" ht="14.25">
      <c r="A50" s="18"/>
      <c r="B50" s="30"/>
      <c r="C50" s="18"/>
      <c r="D50" s="18"/>
      <c r="E50" s="18"/>
      <c r="F50" s="19"/>
      <c r="G50" s="18"/>
      <c r="H50" s="18"/>
      <c r="I50" s="19"/>
      <c r="J50" s="18"/>
      <c r="K50" s="18"/>
    </row>
    <row r="51" spans="1:11" ht="14.25">
      <c r="A51" s="18"/>
      <c r="B51" s="30"/>
      <c r="C51" s="18"/>
      <c r="D51" s="18"/>
      <c r="E51" s="18"/>
      <c r="F51" s="19"/>
      <c r="G51" s="18"/>
      <c r="H51" s="18"/>
      <c r="I51" s="19"/>
      <c r="J51" s="18"/>
      <c r="K51" s="18"/>
    </row>
    <row r="52" spans="1:11" ht="14.25">
      <c r="A52" s="18"/>
      <c r="B52" s="30"/>
      <c r="C52" s="18"/>
      <c r="D52" s="18"/>
      <c r="E52" s="18"/>
      <c r="F52" s="19"/>
      <c r="G52" s="18"/>
      <c r="H52" s="18"/>
      <c r="I52" s="19"/>
      <c r="J52" s="18"/>
      <c r="K52" s="18"/>
    </row>
    <row r="53" spans="1:11" ht="14.25">
      <c r="A53" s="18"/>
      <c r="B53" s="30"/>
      <c r="C53" s="18"/>
      <c r="D53" s="18"/>
      <c r="E53" s="18"/>
      <c r="F53" s="19"/>
      <c r="G53" s="18"/>
      <c r="H53" s="18"/>
      <c r="I53" s="19"/>
      <c r="J53" s="18"/>
      <c r="K53" s="18"/>
    </row>
    <row r="54" spans="1:11" ht="14.25">
      <c r="A54" s="18"/>
      <c r="B54" s="30"/>
      <c r="C54" s="18"/>
      <c r="D54" s="18"/>
      <c r="E54" s="18"/>
      <c r="F54" s="19"/>
      <c r="G54" s="18"/>
      <c r="H54" s="18"/>
      <c r="I54" s="19"/>
      <c r="J54" s="18"/>
      <c r="K54" s="18"/>
    </row>
    <row r="55" spans="1:11" ht="14.25">
      <c r="A55" s="18"/>
      <c r="B55" s="30"/>
      <c r="C55" s="18"/>
      <c r="D55" s="18"/>
      <c r="E55" s="18"/>
      <c r="F55" s="19"/>
      <c r="G55" s="18"/>
      <c r="H55" s="18"/>
      <c r="I55" s="19"/>
      <c r="J55" s="18"/>
      <c r="K55" s="18"/>
    </row>
    <row r="56" spans="1:11" ht="14.25">
      <c r="A56" s="18"/>
      <c r="B56" s="30"/>
      <c r="C56" s="18"/>
      <c r="D56" s="18"/>
      <c r="E56" s="18"/>
      <c r="F56" s="19"/>
      <c r="G56" s="18"/>
      <c r="H56" s="18"/>
      <c r="I56" s="19"/>
      <c r="J56" s="18"/>
      <c r="K56" s="18"/>
    </row>
    <row r="57" spans="1:11" ht="14.25">
      <c r="A57" s="18"/>
      <c r="B57" s="30"/>
      <c r="C57" s="18"/>
      <c r="D57" s="18"/>
      <c r="E57" s="18"/>
      <c r="F57" s="19"/>
      <c r="G57" s="18"/>
      <c r="H57" s="18"/>
      <c r="I57" s="19"/>
      <c r="J57" s="18"/>
      <c r="K57" s="18"/>
    </row>
    <row r="58" spans="1:11" ht="14.25">
      <c r="A58" s="18"/>
      <c r="B58" s="30"/>
      <c r="C58" s="18"/>
      <c r="D58" s="18"/>
      <c r="E58" s="18"/>
      <c r="F58" s="19"/>
      <c r="G58" s="18"/>
      <c r="H58" s="18"/>
      <c r="I58" s="19"/>
      <c r="J58" s="18"/>
      <c r="K58" s="18"/>
    </row>
    <row r="59" spans="1:11" ht="14.25">
      <c r="A59" s="18"/>
      <c r="B59" s="30"/>
      <c r="C59" s="18"/>
      <c r="D59" s="18"/>
      <c r="E59" s="18"/>
      <c r="F59" s="19"/>
      <c r="G59" s="18"/>
      <c r="H59" s="18"/>
      <c r="I59" s="19"/>
      <c r="J59" s="18"/>
      <c r="K59" s="18"/>
    </row>
    <row r="60" spans="1:11" ht="14.25">
      <c r="A60" s="18"/>
      <c r="B60" s="30"/>
      <c r="C60" s="18"/>
      <c r="D60" s="18"/>
      <c r="E60" s="18"/>
      <c r="F60" s="19"/>
      <c r="G60" s="18"/>
      <c r="H60" s="18"/>
      <c r="I60" s="19"/>
      <c r="J60" s="18"/>
      <c r="K60" s="18"/>
    </row>
    <row r="61" spans="1:11" ht="14.25">
      <c r="A61" s="18"/>
      <c r="B61" s="30"/>
      <c r="C61" s="18"/>
      <c r="D61" s="18"/>
      <c r="E61" s="18"/>
      <c r="F61" s="19"/>
      <c r="G61" s="18"/>
      <c r="H61" s="18"/>
      <c r="I61" s="19"/>
      <c r="J61" s="18"/>
      <c r="K61" s="18"/>
    </row>
    <row r="62" spans="1:11" ht="14.25">
      <c r="A62" s="18"/>
      <c r="B62" s="30"/>
      <c r="C62" s="18"/>
      <c r="D62" s="18"/>
      <c r="E62" s="18"/>
      <c r="F62" s="19"/>
      <c r="G62" s="18"/>
      <c r="H62" s="18"/>
      <c r="I62" s="19"/>
      <c r="J62" s="18"/>
      <c r="K62" s="18"/>
    </row>
    <row r="63" spans="1:11" ht="14.25">
      <c r="A63" s="18"/>
      <c r="B63" s="30"/>
      <c r="C63" s="18"/>
      <c r="D63" s="18"/>
      <c r="E63" s="18"/>
      <c r="F63" s="19"/>
      <c r="G63" s="18"/>
      <c r="H63" s="18"/>
      <c r="I63" s="19"/>
      <c r="J63" s="18"/>
      <c r="K63" s="18"/>
    </row>
    <row r="64" spans="1:11" ht="14.25">
      <c r="A64" s="18"/>
      <c r="B64" s="30"/>
      <c r="C64" s="18"/>
      <c r="D64" s="18"/>
      <c r="E64" s="18"/>
      <c r="F64" s="19"/>
      <c r="G64" s="18"/>
      <c r="H64" s="18"/>
      <c r="I64" s="19"/>
      <c r="J64" s="18"/>
      <c r="K64" s="18"/>
    </row>
    <row r="65" spans="1:11" ht="14.25">
      <c r="A65" s="18"/>
      <c r="B65" s="30"/>
      <c r="C65" s="18"/>
      <c r="D65" s="18"/>
      <c r="E65" s="18"/>
      <c r="F65" s="19"/>
      <c r="G65" s="18"/>
      <c r="H65" s="18"/>
      <c r="I65" s="19"/>
      <c r="J65" s="18"/>
      <c r="K65" s="18"/>
    </row>
    <row r="66" spans="1:11" ht="14.25">
      <c r="A66" s="18"/>
      <c r="B66" s="30"/>
      <c r="C66" s="18"/>
      <c r="D66" s="18"/>
      <c r="E66" s="18"/>
      <c r="F66" s="19"/>
      <c r="G66" s="18"/>
      <c r="H66" s="18"/>
      <c r="I66" s="19"/>
      <c r="J66" s="18"/>
      <c r="K66" s="18"/>
    </row>
    <row r="67" spans="1:11" ht="14.25">
      <c r="A67" s="18"/>
      <c r="B67" s="30"/>
      <c r="C67" s="18"/>
      <c r="D67" s="18"/>
      <c r="E67" s="18"/>
      <c r="F67" s="19"/>
      <c r="G67" s="18"/>
      <c r="H67" s="18"/>
      <c r="I67" s="19"/>
      <c r="J67" s="18"/>
      <c r="K67" s="18"/>
    </row>
    <row r="68" spans="1:11" ht="14.25">
      <c r="A68" s="18"/>
      <c r="B68" s="30"/>
      <c r="C68" s="18"/>
      <c r="D68" s="18"/>
      <c r="E68" s="18"/>
      <c r="F68" s="19"/>
      <c r="G68" s="18"/>
      <c r="H68" s="18"/>
      <c r="I68" s="19"/>
      <c r="J68" s="18"/>
      <c r="K68" s="18"/>
    </row>
    <row r="69" spans="1:11" ht="14.25">
      <c r="A69" s="18"/>
      <c r="B69" s="30"/>
      <c r="C69" s="18"/>
      <c r="D69" s="18"/>
      <c r="E69" s="18"/>
      <c r="F69" s="19"/>
      <c r="G69" s="18"/>
      <c r="H69" s="18"/>
      <c r="I69" s="19"/>
      <c r="J69" s="18"/>
      <c r="K69" s="18"/>
    </row>
    <row r="70" spans="1:11" ht="14.25">
      <c r="A70" s="18"/>
      <c r="B70" s="30"/>
      <c r="C70" s="18"/>
      <c r="D70" s="18"/>
      <c r="E70" s="18"/>
      <c r="F70" s="19"/>
      <c r="G70" s="18"/>
      <c r="H70" s="18"/>
      <c r="I70" s="19"/>
      <c r="J70" s="18"/>
      <c r="K70" s="18"/>
    </row>
    <row r="71" spans="1:11" ht="14.25">
      <c r="A71" s="18"/>
      <c r="B71" s="30"/>
      <c r="C71" s="18"/>
      <c r="D71" s="18"/>
      <c r="E71" s="18"/>
      <c r="F71" s="19"/>
      <c r="G71" s="18"/>
      <c r="H71" s="18"/>
      <c r="I71" s="19"/>
      <c r="J71" s="18"/>
      <c r="K71" s="18"/>
    </row>
    <row r="72" spans="1:11" ht="14.25">
      <c r="A72" s="18"/>
      <c r="B72" s="30"/>
      <c r="C72" s="18"/>
      <c r="D72" s="18"/>
      <c r="E72" s="18"/>
      <c r="F72" s="19"/>
      <c r="G72" s="18"/>
      <c r="H72" s="18"/>
      <c r="I72" s="19"/>
      <c r="J72" s="18"/>
      <c r="K72" s="18"/>
    </row>
    <row r="73" spans="1:11" ht="14.25">
      <c r="A73" s="18"/>
      <c r="B73" s="30"/>
      <c r="C73" s="18"/>
      <c r="D73" s="18"/>
      <c r="E73" s="18"/>
      <c r="F73" s="19"/>
      <c r="G73" s="18"/>
      <c r="H73" s="18"/>
      <c r="I73" s="19"/>
      <c r="J73" s="18"/>
      <c r="K73" s="18"/>
    </row>
    <row r="74" spans="1:11" ht="14.25">
      <c r="A74" s="18"/>
      <c r="B74" s="30"/>
      <c r="C74" s="18"/>
      <c r="D74" s="18"/>
      <c r="E74" s="18"/>
      <c r="F74" s="19"/>
      <c r="G74" s="18"/>
      <c r="H74" s="18"/>
      <c r="I74" s="19"/>
      <c r="J74" s="18"/>
      <c r="K74" s="18"/>
    </row>
    <row r="75" spans="1:11" ht="14.25">
      <c r="A75" s="18"/>
      <c r="B75" s="30"/>
      <c r="C75" s="18"/>
      <c r="D75" s="18"/>
      <c r="E75" s="18"/>
      <c r="F75" s="19"/>
      <c r="G75" s="18"/>
      <c r="H75" s="18"/>
      <c r="I75" s="19"/>
      <c r="J75" s="18"/>
      <c r="K75" s="18"/>
    </row>
    <row r="76" spans="1:11" ht="14.25">
      <c r="A76" s="18"/>
      <c r="B76" s="30"/>
      <c r="C76" s="18"/>
      <c r="D76" s="18"/>
      <c r="E76" s="18"/>
      <c r="F76" s="19"/>
      <c r="G76" s="18"/>
      <c r="H76" s="18"/>
      <c r="I76" s="19"/>
      <c r="J76" s="18"/>
      <c r="K76" s="18"/>
    </row>
    <row r="77" spans="1:11" ht="14.25">
      <c r="A77" s="18"/>
      <c r="B77" s="30"/>
      <c r="C77" s="18"/>
      <c r="D77" s="18"/>
      <c r="E77" s="18"/>
      <c r="F77" s="19"/>
      <c r="G77" s="18"/>
      <c r="H77" s="18"/>
      <c r="I77" s="19"/>
      <c r="J77" s="18"/>
      <c r="K77" s="18"/>
    </row>
    <row r="78" spans="1:11" ht="14.25">
      <c r="A78" s="18"/>
      <c r="B78" s="30"/>
      <c r="C78" s="18"/>
      <c r="D78" s="18"/>
      <c r="E78" s="18"/>
      <c r="F78" s="19"/>
      <c r="G78" s="18"/>
      <c r="H78" s="18"/>
      <c r="I78" s="19"/>
      <c r="J78" s="18"/>
      <c r="K78" s="18"/>
    </row>
    <row r="79" spans="1:11" ht="14.25">
      <c r="A79" s="18"/>
      <c r="B79" s="30"/>
      <c r="C79" s="18"/>
      <c r="D79" s="18"/>
      <c r="E79" s="18"/>
      <c r="F79" s="19"/>
      <c r="G79" s="18"/>
      <c r="H79" s="18"/>
      <c r="I79" s="19"/>
      <c r="J79" s="18"/>
      <c r="K79" s="18"/>
    </row>
    <row r="80" spans="1:11" ht="14.25">
      <c r="A80" s="18"/>
      <c r="B80" s="30"/>
      <c r="C80" s="18"/>
      <c r="D80" s="18"/>
      <c r="E80" s="18"/>
      <c r="F80" s="19"/>
      <c r="G80" s="18"/>
      <c r="H80" s="18"/>
      <c r="I80" s="19"/>
      <c r="J80" s="18"/>
      <c r="K80" s="18"/>
    </row>
    <row r="81" spans="1:11" ht="14.25">
      <c r="A81" s="18"/>
      <c r="B81" s="30"/>
      <c r="C81" s="18"/>
      <c r="D81" s="18"/>
      <c r="E81" s="18"/>
      <c r="F81" s="19"/>
      <c r="G81" s="18"/>
      <c r="H81" s="18"/>
      <c r="I81" s="19"/>
      <c r="J81" s="18"/>
      <c r="K81" s="18"/>
    </row>
    <row r="82" spans="1:11" ht="14.25">
      <c r="A82" s="18"/>
      <c r="B82" s="30"/>
      <c r="C82" s="18"/>
      <c r="D82" s="18"/>
      <c r="E82" s="18"/>
      <c r="F82" s="19"/>
      <c r="G82" s="18"/>
      <c r="H82" s="18"/>
      <c r="I82" s="19"/>
      <c r="J82" s="18"/>
      <c r="K82" s="18"/>
    </row>
    <row r="83" spans="1:11" ht="14.25">
      <c r="A83" s="18"/>
      <c r="B83" s="30"/>
      <c r="C83" s="18"/>
      <c r="D83" s="18"/>
      <c r="E83" s="18"/>
      <c r="F83" s="19"/>
      <c r="G83" s="18"/>
      <c r="H83" s="18"/>
      <c r="I83" s="19"/>
      <c r="J83" s="18"/>
      <c r="K83" s="18"/>
    </row>
    <row r="84" spans="1:11" ht="14.25">
      <c r="A84" s="18"/>
      <c r="B84" s="30"/>
      <c r="C84" s="18"/>
      <c r="D84" s="18"/>
      <c r="E84" s="18"/>
      <c r="F84" s="19"/>
      <c r="G84" s="18"/>
      <c r="H84" s="18"/>
      <c r="I84" s="19"/>
      <c r="J84" s="18"/>
      <c r="K84" s="18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3.9">
      <c r="C243" s="18"/>
      <c r="D243" s="18"/>
      <c r="E243" s="18"/>
      <c r="F243" s="19"/>
      <c r="G243" s="18"/>
      <c r="H243" s="18"/>
      <c r="I243" s="19"/>
      <c r="J243" s="18"/>
      <c r="K243" s="18"/>
    </row>
  </sheetData>
  <mergeCells count="4">
    <mergeCell ref="G1:I1"/>
    <mergeCell ref="A1:C1"/>
    <mergeCell ref="D1:F1"/>
    <mergeCell ref="A2:B2"/>
  </mergeCells>
  <conditionalFormatting sqref="F2 I2">
    <cfRule type="cellIs" dxfId="30" priority="5" stopIfTrue="1" operator="lessThanOrEqual">
      <formula>-0.1</formula>
    </cfRule>
    <cfRule type="expression" dxfId="29" priority="6">
      <formula>AND(ISNUMBER(F2), F2&gt;=0.1)</formula>
    </cfRule>
  </conditionalFormatting>
  <conditionalFormatting sqref="F4:F38 I4:I38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243"/>
  <sheetViews>
    <sheetView workbookViewId="0">
      <pane xSplit="2" ySplit="3" topLeftCell="C4" activePane="bottomRight" state="frozen"/>
      <selection pane="bottomRight" activeCell="J4" activeCellId="3" sqref="A39:XFD137 C4:D38 G4:G38 J4:K37"/>
      <selection pane="bottomLeft" activeCell="J4" activeCellId="3" sqref="A39:XFD137 C4:D38 G4:G38 J4:K37"/>
      <selection pane="topRight" activeCell="J4" activeCellId="3" sqref="A39:XFD137 C4:D38 G4:G38 J4:K37"/>
    </sheetView>
  </sheetViews>
  <sheetFormatPr defaultRowHeight="13.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Cushman &amp; Wakefield</v>
      </c>
      <c r="B1" s="66"/>
      <c r="C1" s="66"/>
      <c r="D1" s="67" t="s">
        <v>32</v>
      </c>
      <c r="E1" s="67"/>
      <c r="F1" s="67"/>
      <c r="G1" s="65" t="s">
        <v>33</v>
      </c>
      <c r="H1" s="65"/>
      <c r="I1" s="65"/>
      <c r="J1" s="5"/>
      <c r="K1" s="5"/>
    </row>
    <row r="2" spans="1:11" ht="19.5" customHeight="1">
      <c r="A2" s="68" t="s">
        <v>2</v>
      </c>
      <c r="B2" s="68"/>
      <c r="C2" s="6">
        <f>SUM(C4:C38)</f>
        <v>0</v>
      </c>
      <c r="D2" s="6">
        <f>SUM(D4:D38)</f>
        <v>0</v>
      </c>
      <c r="E2" s="6">
        <f>C2-D2</f>
        <v>0</v>
      </c>
      <c r="F2" s="7">
        <f>IFERROR(E2/D2, 0)</f>
        <v>0</v>
      </c>
      <c r="G2" s="6">
        <f>SUM(G4:G38)</f>
        <v>0</v>
      </c>
      <c r="H2" s="8">
        <f>C2-G2</f>
        <v>0</v>
      </c>
      <c r="I2" s="7">
        <f>IFERROR(H2/G2, 0)</f>
        <v>0</v>
      </c>
      <c r="J2" s="23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38">Sites[Site]</f>
        <v xml:space="preserve"> Adelanto - Bank of America</v>
      </c>
      <c r="B4" s="26" t="str" cm="1">
        <f t="array" ref="B4:B38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 xml:space="preserve"> Apple Valley - Bank of America</v>
      </c>
      <c r="B5" s="28" t="str">
        <v>CA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 xml:space="preserve"> Arvin - Bank of America</v>
      </c>
      <c r="B6" s="26" t="str">
        <v>CA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 xml:space="preserve"> Bell - Bank of America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 xml:space="preserve"> Chula Vista - Bank of America</v>
      </c>
      <c r="B8" s="26" t="str">
        <v>CA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 xml:space="preserve"> Cupertino - Bank of America</v>
      </c>
      <c r="B9" s="28" t="str">
        <v>CA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 xml:space="preserve"> Diamond Bar - Bank of America</v>
      </c>
      <c r="B10" s="26" t="str">
        <v>CA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 xml:space="preserve"> El Centro - Bank of America</v>
      </c>
      <c r="B11" s="28" t="str">
        <v>CA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 xml:space="preserve"> Moreno Valley - Bank of America</v>
      </c>
      <c r="B12" s="26" t="str">
        <v>CA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 xml:space="preserve"> Redlands - Bank of America</v>
      </c>
      <c r="B13" s="28" t="str">
        <v>CA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 xml:space="preserve"> Roseville - Bank of America</v>
      </c>
      <c r="B14" s="26" t="str">
        <v>CA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 xml:space="preserve"> San Bernardino - Bank of America</v>
      </c>
      <c r="B15" s="28" t="str">
        <v>CA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 xml:space="preserve"> San Diego - Bank of America</v>
      </c>
      <c r="B16" s="26" t="str">
        <v>CA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 xml:space="preserve"> Stockton - Bank of America</v>
      </c>
      <c r="B17" s="28" t="str">
        <v>CA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 xml:space="preserve"> Victorville - Bank of America</v>
      </c>
      <c r="B18" s="26" t="str">
        <v>CA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 xml:space="preserve"> Aurora - BA - Colfax Ave</v>
      </c>
      <c r="B19" s="28" t="str">
        <v>CO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 xml:space="preserve"> Aurora - BA - Parker Rd</v>
      </c>
      <c r="B20" s="26" t="str">
        <v>CO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 xml:space="preserve"> Broomfield - Bank of America</v>
      </c>
      <c r="B21" s="28" t="str">
        <v>CO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 xml:space="preserve"> Colorado Springs - Bank of America</v>
      </c>
      <c r="B22" s="26" t="str">
        <v>CO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 xml:space="preserve"> Denver - BA - 49th Ave</v>
      </c>
      <c r="B23" s="28" t="str">
        <v>CO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 xml:space="preserve"> Denver - BA Wadsworth Blvd</v>
      </c>
      <c r="B24" s="26" t="str">
        <v>CO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 xml:space="preserve"> Fort Collins - Bank of America</v>
      </c>
      <c r="B25" s="28" t="str">
        <v>CO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 xml:space="preserve"> Lafayette - Bank of America</v>
      </c>
      <c r="B26" s="26" t="str">
        <v>CO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 xml:space="preserve"> Lakewood - Bank of America</v>
      </c>
      <c r="B27" s="28" t="str">
        <v>CO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 xml:space="preserve"> Longmont - Bank of America</v>
      </c>
      <c r="B28" s="26" t="str">
        <v>CO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 xml:space="preserve"> Thornton - Bank of America</v>
      </c>
      <c r="B29" s="28" t="str">
        <v>CO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 xml:space="preserve"> Calumet City - Bank of America</v>
      </c>
      <c r="B30" s="26" t="str">
        <v>IL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 xml:space="preserve"> Downers Grove - Bank of America</v>
      </c>
      <c r="B31" s="28" t="str">
        <v>IL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 xml:space="preserve"> Bloomington - Bank of America</v>
      </c>
      <c r="B32" s="26" t="str">
        <v>MN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 xml:space="preserve"> Clayton - Bank of America</v>
      </c>
      <c r="B33" s="28" t="str">
        <v>MO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 xml:space="preserve"> Manchester - Bank of America</v>
      </c>
      <c r="B34" s="26" t="str">
        <v>MO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 xml:space="preserve"> Las Vegas - BA - Eastern Ave</v>
      </c>
      <c r="B35" s="28" t="str">
        <v>NV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 xml:space="preserve"> Las Vegas - BA - Town Ctr Dr</v>
      </c>
      <c r="B36" s="26" t="str">
        <v>NV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 xml:space="preserve"> Riverton - Bank of America</v>
      </c>
      <c r="B37" s="28" t="str">
        <v>UT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 xml:space="preserve"> Salt Lake City - Bank of America</v>
      </c>
      <c r="B38" s="26" t="str">
        <v>UT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4.25">
      <c r="A39" s="18"/>
      <c r="B39" s="30"/>
      <c r="C39" s="18"/>
      <c r="D39" s="18"/>
      <c r="E39" s="18"/>
      <c r="F39" s="19"/>
      <c r="G39" s="18"/>
      <c r="H39" s="18"/>
      <c r="I39" s="19"/>
      <c r="J39" s="18"/>
      <c r="K39" s="18"/>
    </row>
    <row r="40" spans="1:11" ht="14.25">
      <c r="A40" s="18"/>
      <c r="B40" s="30"/>
      <c r="C40" s="18"/>
      <c r="D40" s="18"/>
      <c r="E40" s="18"/>
      <c r="F40" s="19"/>
      <c r="G40" s="18"/>
      <c r="H40" s="18"/>
      <c r="I40" s="19"/>
      <c r="J40" s="18"/>
      <c r="K40" s="18"/>
    </row>
    <row r="41" spans="1:11" ht="14.25">
      <c r="A41" s="18"/>
      <c r="B41" s="30"/>
      <c r="C41" s="18"/>
      <c r="D41" s="18"/>
      <c r="E41" s="18"/>
      <c r="F41" s="19"/>
      <c r="G41" s="18"/>
      <c r="H41" s="18"/>
      <c r="I41" s="19"/>
      <c r="J41" s="18"/>
      <c r="K41" s="18"/>
    </row>
    <row r="42" spans="1:11" ht="14.25">
      <c r="A42" s="18"/>
      <c r="B42" s="30"/>
      <c r="C42" s="18"/>
      <c r="D42" s="18"/>
      <c r="E42" s="18"/>
      <c r="F42" s="19"/>
      <c r="G42" s="18"/>
      <c r="H42" s="18"/>
      <c r="I42" s="19"/>
      <c r="J42" s="18"/>
      <c r="K42" s="18"/>
    </row>
    <row r="43" spans="1:11" ht="14.25">
      <c r="A43" s="18"/>
      <c r="B43" s="30"/>
      <c r="C43" s="18"/>
      <c r="D43" s="18"/>
      <c r="E43" s="18"/>
      <c r="F43" s="19"/>
      <c r="G43" s="18"/>
      <c r="H43" s="18"/>
      <c r="I43" s="19"/>
      <c r="J43" s="18"/>
      <c r="K43" s="18"/>
    </row>
    <row r="44" spans="1:11" ht="14.25">
      <c r="A44" s="18"/>
      <c r="B44" s="30"/>
      <c r="C44" s="18"/>
      <c r="D44" s="18"/>
      <c r="E44" s="18"/>
      <c r="F44" s="19"/>
      <c r="G44" s="18"/>
      <c r="H44" s="18"/>
      <c r="I44" s="19"/>
      <c r="J44" s="18"/>
      <c r="K44" s="18"/>
    </row>
    <row r="45" spans="1:11" ht="14.25">
      <c r="A45" s="18"/>
      <c r="B45" s="30"/>
      <c r="C45" s="18"/>
      <c r="D45" s="18"/>
      <c r="E45" s="18"/>
      <c r="F45" s="19"/>
      <c r="G45" s="18"/>
      <c r="H45" s="18"/>
      <c r="I45" s="19"/>
      <c r="J45" s="18"/>
      <c r="K45" s="18"/>
    </row>
    <row r="46" spans="1:11" ht="14.25">
      <c r="A46" s="18"/>
      <c r="B46" s="30"/>
      <c r="C46" s="18"/>
      <c r="D46" s="18"/>
      <c r="E46" s="18"/>
      <c r="F46" s="19"/>
      <c r="G46" s="18"/>
      <c r="H46" s="18"/>
      <c r="I46" s="19"/>
      <c r="J46" s="18"/>
      <c r="K46" s="18"/>
    </row>
    <row r="47" spans="1:11" ht="14.25">
      <c r="A47" s="18"/>
      <c r="B47" s="30"/>
      <c r="C47" s="18"/>
      <c r="D47" s="18"/>
      <c r="E47" s="18"/>
      <c r="F47" s="19"/>
      <c r="G47" s="18"/>
      <c r="H47" s="18"/>
      <c r="I47" s="19"/>
      <c r="J47" s="18"/>
      <c r="K47" s="18"/>
    </row>
    <row r="48" spans="1:11" ht="14.25">
      <c r="A48" s="18"/>
      <c r="B48" s="30"/>
      <c r="C48" s="18"/>
      <c r="D48" s="18"/>
      <c r="E48" s="18"/>
      <c r="F48" s="19"/>
      <c r="G48" s="18"/>
      <c r="H48" s="18"/>
      <c r="I48" s="19"/>
      <c r="J48" s="18"/>
      <c r="K48" s="18"/>
    </row>
    <row r="49" spans="1:11" ht="14.25">
      <c r="A49" s="18"/>
      <c r="B49" s="30"/>
      <c r="C49" s="18"/>
      <c r="D49" s="18"/>
      <c r="E49" s="18"/>
      <c r="F49" s="19"/>
      <c r="G49" s="18"/>
      <c r="H49" s="18"/>
      <c r="I49" s="19"/>
      <c r="J49" s="18"/>
      <c r="K49" s="18"/>
    </row>
    <row r="50" spans="1:11" ht="14.25">
      <c r="A50" s="18"/>
      <c r="B50" s="30"/>
      <c r="C50" s="18"/>
      <c r="D50" s="18"/>
      <c r="E50" s="18"/>
      <c r="F50" s="19"/>
      <c r="G50" s="18"/>
      <c r="H50" s="18"/>
      <c r="I50" s="19"/>
      <c r="J50" s="18"/>
      <c r="K50" s="18"/>
    </row>
    <row r="51" spans="1:11" ht="14.25">
      <c r="A51" s="18"/>
      <c r="B51" s="30"/>
      <c r="C51" s="18"/>
      <c r="D51" s="18"/>
      <c r="E51" s="18"/>
      <c r="F51" s="19"/>
      <c r="G51" s="18"/>
      <c r="H51" s="18"/>
      <c r="I51" s="19"/>
      <c r="J51" s="18"/>
      <c r="K51" s="18"/>
    </row>
    <row r="52" spans="1:11" ht="14.25">
      <c r="A52" s="18"/>
      <c r="B52" s="30"/>
      <c r="C52" s="18"/>
      <c r="D52" s="18"/>
      <c r="E52" s="18"/>
      <c r="F52" s="19"/>
      <c r="G52" s="18"/>
      <c r="H52" s="18"/>
      <c r="I52" s="19"/>
      <c r="J52" s="18"/>
      <c r="K52" s="18"/>
    </row>
    <row r="53" spans="1:11" ht="14.25">
      <c r="A53" s="18"/>
      <c r="B53" s="30"/>
      <c r="C53" s="18"/>
      <c r="D53" s="18"/>
      <c r="E53" s="18"/>
      <c r="F53" s="19"/>
      <c r="G53" s="18"/>
      <c r="H53" s="18"/>
      <c r="I53" s="19"/>
      <c r="J53" s="18"/>
      <c r="K53" s="18"/>
    </row>
    <row r="54" spans="1:11" ht="14.25">
      <c r="A54" s="18"/>
      <c r="B54" s="30"/>
      <c r="C54" s="18"/>
      <c r="D54" s="18"/>
      <c r="E54" s="18"/>
      <c r="F54" s="19"/>
      <c r="G54" s="18"/>
      <c r="H54" s="18"/>
      <c r="I54" s="19"/>
      <c r="J54" s="18"/>
      <c r="K54" s="18"/>
    </row>
    <row r="55" spans="1:11" ht="14.25">
      <c r="A55" s="18"/>
      <c r="B55" s="30"/>
      <c r="C55" s="18"/>
      <c r="D55" s="18"/>
      <c r="E55" s="18"/>
      <c r="F55" s="19"/>
      <c r="G55" s="18"/>
      <c r="H55" s="18"/>
      <c r="I55" s="19"/>
      <c r="J55" s="18"/>
      <c r="K55" s="18"/>
    </row>
    <row r="56" spans="1:11" ht="14.25">
      <c r="A56" s="18"/>
      <c r="B56" s="30"/>
      <c r="C56" s="18"/>
      <c r="D56" s="18"/>
      <c r="E56" s="18"/>
      <c r="F56" s="19"/>
      <c r="G56" s="18"/>
      <c r="H56" s="18"/>
      <c r="I56" s="19"/>
      <c r="J56" s="18"/>
      <c r="K56" s="18"/>
    </row>
    <row r="57" spans="1:11" ht="14.25">
      <c r="A57" s="18"/>
      <c r="B57" s="30"/>
      <c r="C57" s="18"/>
      <c r="D57" s="18"/>
      <c r="E57" s="18"/>
      <c r="F57" s="19"/>
      <c r="G57" s="18"/>
      <c r="H57" s="18"/>
      <c r="I57" s="19"/>
      <c r="J57" s="18"/>
      <c r="K57" s="18"/>
    </row>
    <row r="58" spans="1:11" ht="14.25">
      <c r="A58" s="18"/>
      <c r="B58" s="30"/>
      <c r="C58" s="18"/>
      <c r="D58" s="18"/>
      <c r="E58" s="18"/>
      <c r="F58" s="19"/>
      <c r="G58" s="18"/>
      <c r="H58" s="18"/>
      <c r="I58" s="19"/>
      <c r="J58" s="18"/>
      <c r="K58" s="18"/>
    </row>
    <row r="59" spans="1:11" ht="14.25">
      <c r="A59" s="18"/>
      <c r="B59" s="30"/>
      <c r="C59" s="18"/>
      <c r="D59" s="18"/>
      <c r="E59" s="18"/>
      <c r="F59" s="19"/>
      <c r="G59" s="18"/>
      <c r="H59" s="18"/>
      <c r="I59" s="19"/>
      <c r="J59" s="18"/>
      <c r="K59" s="18"/>
    </row>
    <row r="60" spans="1:11" ht="14.25">
      <c r="A60" s="18"/>
      <c r="B60" s="30"/>
      <c r="C60" s="18"/>
      <c r="D60" s="18"/>
      <c r="E60" s="18"/>
      <c r="F60" s="19"/>
      <c r="G60" s="18"/>
      <c r="H60" s="18"/>
      <c r="I60" s="19"/>
      <c r="J60" s="18"/>
      <c r="K60" s="18"/>
    </row>
    <row r="61" spans="1:11" ht="14.25">
      <c r="A61" s="18"/>
      <c r="B61" s="30"/>
      <c r="C61" s="18"/>
      <c r="D61" s="18"/>
      <c r="E61" s="18"/>
      <c r="F61" s="19"/>
      <c r="G61" s="18"/>
      <c r="H61" s="18"/>
      <c r="I61" s="19"/>
      <c r="J61" s="18"/>
      <c r="K61" s="18"/>
    </row>
    <row r="62" spans="1:11" ht="14.25">
      <c r="A62" s="18"/>
      <c r="B62" s="30"/>
      <c r="C62" s="18"/>
      <c r="D62" s="18"/>
      <c r="E62" s="18"/>
      <c r="F62" s="19"/>
      <c r="G62" s="18"/>
      <c r="H62" s="18"/>
      <c r="I62" s="19"/>
      <c r="J62" s="18"/>
      <c r="K62" s="18"/>
    </row>
    <row r="63" spans="1:11" ht="14.25">
      <c r="A63" s="18"/>
      <c r="B63" s="30"/>
      <c r="C63" s="18"/>
      <c r="D63" s="18"/>
      <c r="E63" s="18"/>
      <c r="F63" s="19"/>
      <c r="G63" s="18"/>
      <c r="H63" s="18"/>
      <c r="I63" s="19"/>
      <c r="J63" s="18"/>
      <c r="K63" s="18"/>
    </row>
    <row r="64" spans="1:11" ht="14.25">
      <c r="A64" s="18"/>
      <c r="B64" s="30"/>
      <c r="C64" s="18"/>
      <c r="D64" s="18"/>
      <c r="E64" s="18"/>
      <c r="F64" s="19"/>
      <c r="G64" s="18"/>
      <c r="H64" s="18"/>
      <c r="I64" s="19"/>
      <c r="J64" s="18"/>
      <c r="K64" s="18"/>
    </row>
    <row r="65" spans="1:11" ht="14.25">
      <c r="A65" s="18"/>
      <c r="B65" s="30"/>
      <c r="C65" s="18"/>
      <c r="D65" s="18"/>
      <c r="E65" s="18"/>
      <c r="F65" s="19"/>
      <c r="G65" s="18"/>
      <c r="H65" s="18"/>
      <c r="I65" s="19"/>
      <c r="J65" s="18"/>
      <c r="K65" s="18"/>
    </row>
    <row r="66" spans="1:11" ht="14.25">
      <c r="A66" s="18"/>
      <c r="B66" s="30"/>
      <c r="C66" s="18"/>
      <c r="D66" s="18"/>
      <c r="E66" s="18"/>
      <c r="F66" s="19"/>
      <c r="G66" s="18"/>
      <c r="H66" s="18"/>
      <c r="I66" s="19"/>
      <c r="J66" s="18"/>
      <c r="K66" s="18"/>
    </row>
    <row r="67" spans="1:11" ht="14.25">
      <c r="A67" s="18"/>
      <c r="B67" s="30"/>
      <c r="C67" s="18"/>
      <c r="D67" s="18"/>
      <c r="E67" s="18"/>
      <c r="F67" s="19"/>
      <c r="G67" s="18"/>
      <c r="H67" s="18"/>
      <c r="I67" s="19"/>
      <c r="J67" s="18"/>
      <c r="K67" s="18"/>
    </row>
    <row r="68" spans="1:11" ht="14.25">
      <c r="A68" s="18"/>
      <c r="B68" s="30"/>
      <c r="C68" s="18"/>
      <c r="D68" s="18"/>
      <c r="E68" s="18"/>
      <c r="F68" s="19"/>
      <c r="G68" s="18"/>
      <c r="H68" s="18"/>
      <c r="I68" s="19"/>
      <c r="J68" s="18"/>
      <c r="K68" s="18"/>
    </row>
    <row r="69" spans="1:11" ht="14.25">
      <c r="A69" s="18"/>
      <c r="B69" s="30"/>
      <c r="C69" s="18"/>
      <c r="D69" s="18"/>
      <c r="E69" s="18"/>
      <c r="F69" s="19"/>
      <c r="G69" s="18"/>
      <c r="H69" s="18"/>
      <c r="I69" s="19"/>
      <c r="J69" s="18"/>
      <c r="K69" s="18"/>
    </row>
    <row r="70" spans="1:11" ht="14.25">
      <c r="A70" s="18"/>
      <c r="B70" s="30"/>
      <c r="C70" s="18"/>
      <c r="D70" s="18"/>
      <c r="E70" s="18"/>
      <c r="F70" s="19"/>
      <c r="G70" s="18"/>
      <c r="H70" s="18"/>
      <c r="I70" s="19"/>
      <c r="J70" s="18"/>
      <c r="K70" s="18"/>
    </row>
    <row r="71" spans="1:11" ht="14.25">
      <c r="A71" s="18"/>
      <c r="B71" s="30"/>
      <c r="C71" s="18"/>
      <c r="D71" s="18"/>
      <c r="E71" s="18"/>
      <c r="F71" s="19"/>
      <c r="G71" s="18"/>
      <c r="H71" s="18"/>
      <c r="I71" s="19"/>
      <c r="J71" s="18"/>
      <c r="K71" s="18"/>
    </row>
    <row r="72" spans="1:11" ht="14.25">
      <c r="A72" s="18"/>
      <c r="B72" s="30"/>
      <c r="C72" s="18"/>
      <c r="D72" s="18"/>
      <c r="E72" s="18"/>
      <c r="F72" s="19"/>
      <c r="G72" s="18"/>
      <c r="H72" s="18"/>
      <c r="I72" s="19"/>
      <c r="J72" s="18"/>
      <c r="K72" s="18"/>
    </row>
    <row r="73" spans="1:11" ht="14.25">
      <c r="A73" s="18"/>
      <c r="B73" s="30"/>
      <c r="C73" s="18"/>
      <c r="D73" s="18"/>
      <c r="E73" s="18"/>
      <c r="F73" s="19"/>
      <c r="G73" s="18"/>
      <c r="H73" s="18"/>
      <c r="I73" s="19"/>
      <c r="J73" s="18"/>
      <c r="K73" s="18"/>
    </row>
    <row r="74" spans="1:11" ht="14.25">
      <c r="A74" s="18"/>
      <c r="B74" s="30"/>
      <c r="C74" s="18"/>
      <c r="D74" s="18"/>
      <c r="E74" s="18"/>
      <c r="F74" s="19"/>
      <c r="G74" s="18"/>
      <c r="H74" s="18"/>
      <c r="I74" s="19"/>
      <c r="J74" s="18"/>
      <c r="K74" s="18"/>
    </row>
    <row r="75" spans="1:11" ht="14.25">
      <c r="A75" s="18"/>
      <c r="B75" s="30"/>
      <c r="C75" s="18"/>
      <c r="D75" s="18"/>
      <c r="E75" s="18"/>
      <c r="F75" s="19"/>
      <c r="G75" s="18"/>
      <c r="H75" s="18"/>
      <c r="I75" s="19"/>
      <c r="J75" s="18"/>
      <c r="K75" s="18"/>
    </row>
    <row r="76" spans="1:11" ht="14.25">
      <c r="A76" s="18"/>
      <c r="B76" s="30"/>
      <c r="C76" s="18"/>
      <c r="D76" s="18"/>
      <c r="E76" s="18"/>
      <c r="F76" s="19"/>
      <c r="G76" s="18"/>
      <c r="H76" s="18"/>
      <c r="I76" s="19"/>
      <c r="J76" s="18"/>
      <c r="K76" s="18"/>
    </row>
    <row r="77" spans="1:11" ht="14.25">
      <c r="A77" s="18"/>
      <c r="B77" s="30"/>
      <c r="C77" s="18"/>
      <c r="D77" s="18"/>
      <c r="E77" s="18"/>
      <c r="F77" s="19"/>
      <c r="G77" s="18"/>
      <c r="H77" s="18"/>
      <c r="I77" s="19"/>
      <c r="J77" s="18"/>
      <c r="K77" s="18"/>
    </row>
    <row r="78" spans="1:11" ht="14.25">
      <c r="A78" s="18"/>
      <c r="B78" s="30"/>
      <c r="C78" s="18"/>
      <c r="D78" s="18"/>
      <c r="E78" s="18"/>
      <c r="F78" s="19"/>
      <c r="G78" s="18"/>
      <c r="H78" s="18"/>
      <c r="I78" s="19"/>
      <c r="J78" s="18"/>
      <c r="K78" s="18"/>
    </row>
    <row r="79" spans="1:11" ht="14.25">
      <c r="A79" s="18"/>
      <c r="B79" s="30"/>
      <c r="C79" s="18"/>
      <c r="D79" s="18"/>
      <c r="E79" s="18"/>
      <c r="F79" s="19"/>
      <c r="G79" s="18"/>
      <c r="H79" s="18"/>
      <c r="I79" s="19"/>
      <c r="J79" s="18"/>
      <c r="K79" s="18"/>
    </row>
    <row r="80" spans="1:11" ht="14.25">
      <c r="A80" s="18"/>
      <c r="B80" s="30"/>
      <c r="C80" s="18"/>
      <c r="D80" s="18"/>
      <c r="E80" s="18"/>
      <c r="F80" s="19"/>
      <c r="G80" s="18"/>
      <c r="H80" s="18"/>
      <c r="I80" s="19"/>
      <c r="J80" s="18"/>
      <c r="K80" s="18"/>
    </row>
    <row r="81" spans="1:11" ht="14.25">
      <c r="A81" s="18"/>
      <c r="B81" s="30"/>
      <c r="C81" s="18"/>
      <c r="D81" s="18"/>
      <c r="E81" s="18"/>
      <c r="F81" s="19"/>
      <c r="G81" s="18"/>
      <c r="H81" s="18"/>
      <c r="I81" s="19"/>
      <c r="J81" s="18"/>
      <c r="K81" s="18"/>
    </row>
    <row r="82" spans="1:11" ht="14.25">
      <c r="A82" s="18"/>
      <c r="B82" s="30"/>
      <c r="C82" s="18"/>
      <c r="D82" s="18"/>
      <c r="E82" s="18"/>
      <c r="F82" s="19"/>
      <c r="G82" s="18"/>
      <c r="H82" s="18"/>
      <c r="I82" s="19"/>
      <c r="J82" s="18"/>
      <c r="K82" s="18"/>
    </row>
    <row r="83" spans="1:11" ht="14.25">
      <c r="A83" s="18"/>
      <c r="B83" s="30"/>
      <c r="C83" s="18"/>
      <c r="D83" s="18"/>
      <c r="E83" s="18"/>
      <c r="F83" s="19"/>
      <c r="G83" s="18"/>
      <c r="H83" s="18"/>
      <c r="I83" s="19"/>
      <c r="J83" s="18"/>
      <c r="K83" s="18"/>
    </row>
    <row r="84" spans="1:11" ht="14.25">
      <c r="A84" s="18"/>
      <c r="B84" s="30"/>
      <c r="C84" s="18"/>
      <c r="D84" s="18"/>
      <c r="E84" s="18"/>
      <c r="F84" s="19"/>
      <c r="G84" s="18"/>
      <c r="H84" s="18"/>
      <c r="I84" s="19"/>
      <c r="J84" s="18"/>
      <c r="K84" s="18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3.9">
      <c r="C243" s="18"/>
      <c r="D243" s="18"/>
      <c r="E243" s="18"/>
      <c r="F243" s="19"/>
      <c r="G243" s="18"/>
      <c r="H243" s="18"/>
      <c r="I243" s="19"/>
      <c r="J243" s="18"/>
      <c r="K243" s="18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6" priority="5" stopIfTrue="1" operator="lessThanOrEqual">
      <formula>-0.1</formula>
    </cfRule>
    <cfRule type="expression" dxfId="25" priority="6">
      <formula>AND(ISNUMBER(F2), F2&gt;=0.1)</formula>
    </cfRule>
  </conditionalFormatting>
  <conditionalFormatting sqref="F4:F38 I4:I38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43"/>
  <sheetViews>
    <sheetView workbookViewId="0">
      <pane xSplit="2" ySplit="3" topLeftCell="C4" activePane="bottomRight" state="frozen"/>
      <selection pane="bottomRight" activeCell="J4" activeCellId="3" sqref="A39:XFD137 C4:D38 G4:G38 J4:K37"/>
      <selection pane="bottomLeft" activeCell="J4" activeCellId="3" sqref="A39:XFD137 C4:D38 G4:G38 J4:K37"/>
      <selection pane="topRight" activeCell="J4" activeCellId="3" sqref="A39:XFD137 C4:D38 G4:G38 J4:K37"/>
    </sheetView>
  </sheetViews>
  <sheetFormatPr defaultRowHeight="13.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Cushman &amp; Wakefield</v>
      </c>
      <c r="B1" s="66"/>
      <c r="C1" s="66"/>
      <c r="D1" s="67" t="s">
        <v>34</v>
      </c>
      <c r="E1" s="67"/>
      <c r="F1" s="67"/>
      <c r="G1" s="65" t="s">
        <v>35</v>
      </c>
      <c r="H1" s="65"/>
      <c r="I1" s="65"/>
      <c r="J1" s="5"/>
      <c r="K1" s="5"/>
    </row>
    <row r="2" spans="1:11" ht="19.5" customHeight="1">
      <c r="A2" s="68" t="s">
        <v>2</v>
      </c>
      <c r="B2" s="68"/>
      <c r="C2" s="6">
        <f>SUM(C4:C38)</f>
        <v>0</v>
      </c>
      <c r="D2" s="6">
        <f>SUM(D4:D38)</f>
        <v>0</v>
      </c>
      <c r="E2" s="6">
        <f>C2-D2</f>
        <v>0</v>
      </c>
      <c r="F2" s="7">
        <f>IFERROR(E2/D2, 0)</f>
        <v>0</v>
      </c>
      <c r="G2" s="6">
        <f>SUM(G4:G38)</f>
        <v>0</v>
      </c>
      <c r="H2" s="8">
        <f>C2-G2</f>
        <v>0</v>
      </c>
      <c r="I2" s="7">
        <f>IFERROR(H2/G2, 0)</f>
        <v>0</v>
      </c>
      <c r="J2" s="23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38">Sites[Site]</f>
        <v xml:space="preserve"> Adelanto - Bank of America</v>
      </c>
      <c r="B4" s="26" t="str" cm="1">
        <f t="array" ref="B4:B38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 xml:space="preserve"> Apple Valley - Bank of America</v>
      </c>
      <c r="B5" s="28" t="str">
        <v>CA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 xml:space="preserve"> Arvin - Bank of America</v>
      </c>
      <c r="B6" s="26" t="str">
        <v>CA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 xml:space="preserve"> Bell - Bank of America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 xml:space="preserve"> Chula Vista - Bank of America</v>
      </c>
      <c r="B8" s="26" t="str">
        <v>CA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 xml:space="preserve"> Cupertino - Bank of America</v>
      </c>
      <c r="B9" s="28" t="str">
        <v>CA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 xml:space="preserve"> Diamond Bar - Bank of America</v>
      </c>
      <c r="B10" s="26" t="str">
        <v>CA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 xml:space="preserve"> El Centro - Bank of America</v>
      </c>
      <c r="B11" s="28" t="str">
        <v>CA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 xml:space="preserve"> Moreno Valley - Bank of America</v>
      </c>
      <c r="B12" s="26" t="str">
        <v>CA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 xml:space="preserve"> Redlands - Bank of America</v>
      </c>
      <c r="B13" s="28" t="str">
        <v>CA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 xml:space="preserve"> Roseville - Bank of America</v>
      </c>
      <c r="B14" s="26" t="str">
        <v>CA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 xml:space="preserve"> San Bernardino - Bank of America</v>
      </c>
      <c r="B15" s="28" t="str">
        <v>CA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 xml:space="preserve"> San Diego - Bank of America</v>
      </c>
      <c r="B16" s="26" t="str">
        <v>CA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 xml:space="preserve"> Stockton - Bank of America</v>
      </c>
      <c r="B17" s="28" t="str">
        <v>CA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 xml:space="preserve"> Victorville - Bank of America</v>
      </c>
      <c r="B18" s="26" t="str">
        <v>CA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 xml:space="preserve"> Aurora - BA - Colfax Ave</v>
      </c>
      <c r="B19" s="28" t="str">
        <v>CO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 xml:space="preserve"> Aurora - BA - Parker Rd</v>
      </c>
      <c r="B20" s="26" t="str">
        <v>CO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 xml:space="preserve"> Broomfield - Bank of America</v>
      </c>
      <c r="B21" s="28" t="str">
        <v>CO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 xml:space="preserve"> Colorado Springs - Bank of America</v>
      </c>
      <c r="B22" s="26" t="str">
        <v>CO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 xml:space="preserve"> Denver - BA - 49th Ave</v>
      </c>
      <c r="B23" s="28" t="str">
        <v>CO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 xml:space="preserve"> Denver - BA Wadsworth Blvd</v>
      </c>
      <c r="B24" s="26" t="str">
        <v>CO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 xml:space="preserve"> Fort Collins - Bank of America</v>
      </c>
      <c r="B25" s="28" t="str">
        <v>CO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 xml:space="preserve"> Lafayette - Bank of America</v>
      </c>
      <c r="B26" s="26" t="str">
        <v>CO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 xml:space="preserve"> Lakewood - Bank of America</v>
      </c>
      <c r="B27" s="28" t="str">
        <v>CO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 xml:space="preserve"> Longmont - Bank of America</v>
      </c>
      <c r="B28" s="26" t="str">
        <v>CO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 xml:space="preserve"> Thornton - Bank of America</v>
      </c>
      <c r="B29" s="28" t="str">
        <v>CO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 xml:space="preserve"> Calumet City - Bank of America</v>
      </c>
      <c r="B30" s="26" t="str">
        <v>IL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 xml:space="preserve"> Downers Grove - Bank of America</v>
      </c>
      <c r="B31" s="28" t="str">
        <v>IL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 xml:space="preserve"> Bloomington - Bank of America</v>
      </c>
      <c r="B32" s="26" t="str">
        <v>MN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 xml:space="preserve"> Clayton - Bank of America</v>
      </c>
      <c r="B33" s="28" t="str">
        <v>MO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 xml:space="preserve"> Manchester - Bank of America</v>
      </c>
      <c r="B34" s="26" t="str">
        <v>MO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 xml:space="preserve"> Las Vegas - BA - Eastern Ave</v>
      </c>
      <c r="B35" s="28" t="str">
        <v>NV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 xml:space="preserve"> Las Vegas - BA - Town Ctr Dr</v>
      </c>
      <c r="B36" s="26" t="str">
        <v>NV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 xml:space="preserve"> Riverton - Bank of America</v>
      </c>
      <c r="B37" s="28" t="str">
        <v>UT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 xml:space="preserve"> Salt Lake City - Bank of America</v>
      </c>
      <c r="B38" s="26" t="str">
        <v>UT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4.25">
      <c r="A39" s="18"/>
      <c r="B39" s="30"/>
      <c r="C39" s="18"/>
      <c r="D39" s="18"/>
      <c r="E39" s="18"/>
      <c r="F39" s="19"/>
      <c r="G39" s="18"/>
      <c r="H39" s="18"/>
      <c r="I39" s="19"/>
      <c r="J39" s="18"/>
      <c r="K39" s="18"/>
    </row>
    <row r="40" spans="1:11" ht="14.25">
      <c r="A40" s="18"/>
      <c r="B40" s="30"/>
      <c r="C40" s="18"/>
      <c r="D40" s="18"/>
      <c r="E40" s="18"/>
      <c r="F40" s="19"/>
      <c r="G40" s="18"/>
      <c r="H40" s="18"/>
      <c r="I40" s="19"/>
      <c r="J40" s="18"/>
      <c r="K40" s="18"/>
    </row>
    <row r="41" spans="1:11" ht="14.25">
      <c r="A41" s="18"/>
      <c r="B41" s="30"/>
      <c r="C41" s="18"/>
      <c r="D41" s="18"/>
      <c r="E41" s="18"/>
      <c r="F41" s="19"/>
      <c r="G41" s="18"/>
      <c r="H41" s="18"/>
      <c r="I41" s="19"/>
      <c r="J41" s="18"/>
      <c r="K41" s="18"/>
    </row>
    <row r="42" spans="1:11" ht="14.25">
      <c r="A42" s="18"/>
      <c r="B42" s="30"/>
      <c r="C42" s="18"/>
      <c r="D42" s="18"/>
      <c r="E42" s="18"/>
      <c r="F42" s="19"/>
      <c r="G42" s="18"/>
      <c r="H42" s="18"/>
      <c r="I42" s="19"/>
      <c r="J42" s="18"/>
      <c r="K42" s="18"/>
    </row>
    <row r="43" spans="1:11" ht="14.25">
      <c r="A43" s="18"/>
      <c r="B43" s="30"/>
      <c r="C43" s="18"/>
      <c r="D43" s="18"/>
      <c r="E43" s="18"/>
      <c r="F43" s="19"/>
      <c r="G43" s="18"/>
      <c r="H43" s="18"/>
      <c r="I43" s="19"/>
      <c r="J43" s="18"/>
      <c r="K43" s="18"/>
    </row>
    <row r="44" spans="1:11" ht="14.25">
      <c r="A44" s="18"/>
      <c r="B44" s="30"/>
      <c r="C44" s="18"/>
      <c r="D44" s="18"/>
      <c r="E44" s="18"/>
      <c r="F44" s="19"/>
      <c r="G44" s="18"/>
      <c r="H44" s="18"/>
      <c r="I44" s="19"/>
      <c r="J44" s="18"/>
      <c r="K44" s="18"/>
    </row>
    <row r="45" spans="1:11" ht="14.25">
      <c r="A45" s="18"/>
      <c r="B45" s="30"/>
      <c r="C45" s="18"/>
      <c r="D45" s="18"/>
      <c r="E45" s="18"/>
      <c r="F45" s="19"/>
      <c r="G45" s="18"/>
      <c r="H45" s="18"/>
      <c r="I45" s="19"/>
      <c r="J45" s="18"/>
      <c r="K45" s="18"/>
    </row>
    <row r="46" spans="1:11" ht="14.25">
      <c r="A46" s="18"/>
      <c r="B46" s="30"/>
      <c r="C46" s="18"/>
      <c r="D46" s="18"/>
      <c r="E46" s="18"/>
      <c r="F46" s="19"/>
      <c r="G46" s="18"/>
      <c r="H46" s="18"/>
      <c r="I46" s="19"/>
      <c r="J46" s="18"/>
      <c r="K46" s="18"/>
    </row>
    <row r="47" spans="1:11" ht="14.25">
      <c r="A47" s="18"/>
      <c r="B47" s="30"/>
      <c r="C47" s="18"/>
      <c r="D47" s="18"/>
      <c r="E47" s="18"/>
      <c r="F47" s="19"/>
      <c r="G47" s="18"/>
      <c r="H47" s="18"/>
      <c r="I47" s="19"/>
      <c r="J47" s="18"/>
      <c r="K47" s="18"/>
    </row>
    <row r="48" spans="1:11" ht="14.25">
      <c r="A48" s="18"/>
      <c r="B48" s="30"/>
      <c r="C48" s="18"/>
      <c r="D48" s="18"/>
      <c r="E48" s="18"/>
      <c r="F48" s="19"/>
      <c r="G48" s="18"/>
      <c r="H48" s="18"/>
      <c r="I48" s="19"/>
      <c r="J48" s="18"/>
      <c r="K48" s="18"/>
    </row>
    <row r="49" spans="1:11" ht="14.25">
      <c r="A49" s="18"/>
      <c r="B49" s="30"/>
      <c r="C49" s="18"/>
      <c r="D49" s="18"/>
      <c r="E49" s="18"/>
      <c r="F49" s="19"/>
      <c r="G49" s="18"/>
      <c r="H49" s="18"/>
      <c r="I49" s="19"/>
      <c r="J49" s="18"/>
      <c r="K49" s="18"/>
    </row>
    <row r="50" spans="1:11" ht="14.25">
      <c r="A50" s="18"/>
      <c r="B50" s="30"/>
      <c r="C50" s="18"/>
      <c r="D50" s="18"/>
      <c r="E50" s="18"/>
      <c r="F50" s="19"/>
      <c r="G50" s="18"/>
      <c r="H50" s="18"/>
      <c r="I50" s="19"/>
      <c r="J50" s="18"/>
      <c r="K50" s="18"/>
    </row>
    <row r="51" spans="1:11" ht="14.25">
      <c r="A51" s="18"/>
      <c r="B51" s="30"/>
      <c r="C51" s="18"/>
      <c r="D51" s="18"/>
      <c r="E51" s="18"/>
      <c r="F51" s="19"/>
      <c r="G51" s="18"/>
      <c r="H51" s="18"/>
      <c r="I51" s="19"/>
      <c r="J51" s="18"/>
      <c r="K51" s="18"/>
    </row>
    <row r="52" spans="1:11" ht="14.25">
      <c r="A52" s="18"/>
      <c r="B52" s="30"/>
      <c r="C52" s="18"/>
      <c r="D52" s="18"/>
      <c r="E52" s="18"/>
      <c r="F52" s="19"/>
      <c r="G52" s="18"/>
      <c r="H52" s="18"/>
      <c r="I52" s="19"/>
      <c r="J52" s="18"/>
      <c r="K52" s="18"/>
    </row>
    <row r="53" spans="1:11" ht="14.25">
      <c r="A53" s="18"/>
      <c r="B53" s="30"/>
      <c r="C53" s="18"/>
      <c r="D53" s="18"/>
      <c r="E53" s="18"/>
      <c r="F53" s="19"/>
      <c r="G53" s="18"/>
      <c r="H53" s="18"/>
      <c r="I53" s="19"/>
      <c r="J53" s="18"/>
      <c r="K53" s="18"/>
    </row>
    <row r="54" spans="1:11" ht="14.25">
      <c r="A54" s="18"/>
      <c r="B54" s="30"/>
      <c r="C54" s="18"/>
      <c r="D54" s="18"/>
      <c r="E54" s="18"/>
      <c r="F54" s="19"/>
      <c r="G54" s="18"/>
      <c r="H54" s="18"/>
      <c r="I54" s="19"/>
      <c r="J54" s="18"/>
      <c r="K54" s="18"/>
    </row>
    <row r="55" spans="1:11" ht="14.25">
      <c r="A55" s="18"/>
      <c r="B55" s="30"/>
      <c r="C55" s="18"/>
      <c r="D55" s="18"/>
      <c r="E55" s="18"/>
      <c r="F55" s="19"/>
      <c r="G55" s="18"/>
      <c r="H55" s="18"/>
      <c r="I55" s="19"/>
      <c r="J55" s="18"/>
      <c r="K55" s="18"/>
    </row>
    <row r="56" spans="1:11" ht="14.25">
      <c r="A56" s="18"/>
      <c r="B56" s="30"/>
      <c r="C56" s="18"/>
      <c r="D56" s="18"/>
      <c r="E56" s="18"/>
      <c r="F56" s="19"/>
      <c r="G56" s="18"/>
      <c r="H56" s="18"/>
      <c r="I56" s="19"/>
      <c r="J56" s="18"/>
      <c r="K56" s="18"/>
    </row>
    <row r="57" spans="1:11" ht="14.25">
      <c r="A57" s="18"/>
      <c r="B57" s="30"/>
      <c r="C57" s="18"/>
      <c r="D57" s="18"/>
      <c r="E57" s="18"/>
      <c r="F57" s="19"/>
      <c r="G57" s="18"/>
      <c r="H57" s="18"/>
      <c r="I57" s="19"/>
      <c r="J57" s="18"/>
      <c r="K57" s="18"/>
    </row>
    <row r="58" spans="1:11" ht="14.25">
      <c r="A58" s="18"/>
      <c r="B58" s="30"/>
      <c r="C58" s="18"/>
      <c r="D58" s="18"/>
      <c r="E58" s="18"/>
      <c r="F58" s="19"/>
      <c r="G58" s="18"/>
      <c r="H58" s="18"/>
      <c r="I58" s="19"/>
      <c r="J58" s="18"/>
      <c r="K58" s="18"/>
    </row>
    <row r="59" spans="1:11" ht="14.25">
      <c r="A59" s="18"/>
      <c r="B59" s="30"/>
      <c r="C59" s="18"/>
      <c r="D59" s="18"/>
      <c r="E59" s="18"/>
      <c r="F59" s="19"/>
      <c r="G59" s="18"/>
      <c r="H59" s="18"/>
      <c r="I59" s="19"/>
      <c r="J59" s="18"/>
      <c r="K59" s="18"/>
    </row>
    <row r="60" spans="1:11" ht="14.25">
      <c r="A60" s="18"/>
      <c r="B60" s="30"/>
      <c r="C60" s="18"/>
      <c r="D60" s="18"/>
      <c r="E60" s="18"/>
      <c r="F60" s="19"/>
      <c r="G60" s="18"/>
      <c r="H60" s="18"/>
      <c r="I60" s="19"/>
      <c r="J60" s="18"/>
      <c r="K60" s="18"/>
    </row>
    <row r="61" spans="1:11" ht="14.25">
      <c r="A61" s="18"/>
      <c r="B61" s="30"/>
      <c r="C61" s="18"/>
      <c r="D61" s="18"/>
      <c r="E61" s="18"/>
      <c r="F61" s="19"/>
      <c r="G61" s="18"/>
      <c r="H61" s="18"/>
      <c r="I61" s="19"/>
      <c r="J61" s="18"/>
      <c r="K61" s="18"/>
    </row>
    <row r="62" spans="1:11" ht="14.25">
      <c r="A62" s="18"/>
      <c r="B62" s="30"/>
      <c r="C62" s="18"/>
      <c r="D62" s="18"/>
      <c r="E62" s="18"/>
      <c r="F62" s="19"/>
      <c r="G62" s="18"/>
      <c r="H62" s="18"/>
      <c r="I62" s="19"/>
      <c r="J62" s="18"/>
      <c r="K62" s="18"/>
    </row>
    <row r="63" spans="1:11" ht="14.25">
      <c r="A63" s="18"/>
      <c r="B63" s="30"/>
      <c r="C63" s="18"/>
      <c r="D63" s="18"/>
      <c r="E63" s="18"/>
      <c r="F63" s="19"/>
      <c r="G63" s="18"/>
      <c r="H63" s="18"/>
      <c r="I63" s="19"/>
      <c r="J63" s="18"/>
      <c r="K63" s="18"/>
    </row>
    <row r="64" spans="1:11" ht="14.25">
      <c r="A64" s="18"/>
      <c r="B64" s="30"/>
      <c r="C64" s="18"/>
      <c r="D64" s="18"/>
      <c r="E64" s="18"/>
      <c r="F64" s="19"/>
      <c r="G64" s="18"/>
      <c r="H64" s="18"/>
      <c r="I64" s="19"/>
      <c r="J64" s="18"/>
      <c r="K64" s="18"/>
    </row>
    <row r="65" spans="1:11" ht="14.25">
      <c r="A65" s="18"/>
      <c r="B65" s="30"/>
      <c r="C65" s="18"/>
      <c r="D65" s="18"/>
      <c r="E65" s="18"/>
      <c r="F65" s="19"/>
      <c r="G65" s="18"/>
      <c r="H65" s="18"/>
      <c r="I65" s="19"/>
      <c r="J65" s="18"/>
      <c r="K65" s="18"/>
    </row>
    <row r="66" spans="1:11" ht="14.25">
      <c r="A66" s="18"/>
      <c r="B66" s="30"/>
      <c r="C66" s="18"/>
      <c r="D66" s="18"/>
      <c r="E66" s="18"/>
      <c r="F66" s="19"/>
      <c r="G66" s="18"/>
      <c r="H66" s="18"/>
      <c r="I66" s="19"/>
      <c r="J66" s="18"/>
      <c r="K66" s="18"/>
    </row>
    <row r="67" spans="1:11" ht="14.25">
      <c r="A67" s="18"/>
      <c r="B67" s="30"/>
      <c r="C67" s="18"/>
      <c r="D67" s="18"/>
      <c r="E67" s="18"/>
      <c r="F67" s="19"/>
      <c r="G67" s="18"/>
      <c r="H67" s="18"/>
      <c r="I67" s="19"/>
      <c r="J67" s="18"/>
      <c r="K67" s="18"/>
    </row>
    <row r="68" spans="1:11" ht="14.25">
      <c r="A68" s="18"/>
      <c r="B68" s="30"/>
      <c r="C68" s="18"/>
      <c r="D68" s="18"/>
      <c r="E68" s="18"/>
      <c r="F68" s="19"/>
      <c r="G68" s="18"/>
      <c r="H68" s="18"/>
      <c r="I68" s="19"/>
      <c r="J68" s="18"/>
      <c r="K68" s="18"/>
    </row>
    <row r="69" spans="1:11" ht="14.25">
      <c r="A69" s="18"/>
      <c r="B69" s="30"/>
      <c r="C69" s="18"/>
      <c r="D69" s="18"/>
      <c r="E69" s="18"/>
      <c r="F69" s="19"/>
      <c r="G69" s="18"/>
      <c r="H69" s="18"/>
      <c r="I69" s="19"/>
      <c r="J69" s="18"/>
      <c r="K69" s="18"/>
    </row>
    <row r="70" spans="1:11" ht="14.25">
      <c r="A70" s="18"/>
      <c r="B70" s="30"/>
      <c r="C70" s="18"/>
      <c r="D70" s="18"/>
      <c r="E70" s="18"/>
      <c r="F70" s="19"/>
      <c r="G70" s="18"/>
      <c r="H70" s="18"/>
      <c r="I70" s="19"/>
      <c r="J70" s="18"/>
      <c r="K70" s="18"/>
    </row>
    <row r="71" spans="1:11" ht="14.25">
      <c r="A71" s="18"/>
      <c r="B71" s="30"/>
      <c r="C71" s="18"/>
      <c r="D71" s="18"/>
      <c r="E71" s="18"/>
      <c r="F71" s="19"/>
      <c r="G71" s="18"/>
      <c r="H71" s="18"/>
      <c r="I71" s="19"/>
      <c r="J71" s="18"/>
      <c r="K71" s="18"/>
    </row>
    <row r="72" spans="1:11" ht="14.25">
      <c r="A72" s="18"/>
      <c r="B72" s="30"/>
      <c r="C72" s="18"/>
      <c r="D72" s="18"/>
      <c r="E72" s="18"/>
      <c r="F72" s="19"/>
      <c r="G72" s="18"/>
      <c r="H72" s="18"/>
      <c r="I72" s="19"/>
      <c r="J72" s="18"/>
      <c r="K72" s="18"/>
    </row>
    <row r="73" spans="1:11" ht="14.25">
      <c r="A73" s="18"/>
      <c r="B73" s="30"/>
      <c r="C73" s="18"/>
      <c r="D73" s="18"/>
      <c r="E73" s="18"/>
      <c r="F73" s="19"/>
      <c r="G73" s="18"/>
      <c r="H73" s="18"/>
      <c r="I73" s="19"/>
      <c r="J73" s="18"/>
      <c r="K73" s="18"/>
    </row>
    <row r="74" spans="1:11" ht="14.25">
      <c r="A74" s="18"/>
      <c r="B74" s="30"/>
      <c r="C74" s="18"/>
      <c r="D74" s="18"/>
      <c r="E74" s="18"/>
      <c r="F74" s="19"/>
      <c r="G74" s="18"/>
      <c r="H74" s="18"/>
      <c r="I74" s="19"/>
      <c r="J74" s="18"/>
      <c r="K74" s="18"/>
    </row>
    <row r="75" spans="1:11" ht="14.25">
      <c r="A75" s="18"/>
      <c r="B75" s="30"/>
      <c r="C75" s="18"/>
      <c r="D75" s="18"/>
      <c r="E75" s="18"/>
      <c r="F75" s="19"/>
      <c r="G75" s="18"/>
      <c r="H75" s="18"/>
      <c r="I75" s="19"/>
      <c r="J75" s="18"/>
      <c r="K75" s="18"/>
    </row>
    <row r="76" spans="1:11" ht="14.25">
      <c r="A76" s="18"/>
      <c r="B76" s="30"/>
      <c r="C76" s="18"/>
      <c r="D76" s="18"/>
      <c r="E76" s="18"/>
      <c r="F76" s="19"/>
      <c r="G76" s="18"/>
      <c r="H76" s="18"/>
      <c r="I76" s="19"/>
      <c r="J76" s="18"/>
      <c r="K76" s="18"/>
    </row>
    <row r="77" spans="1:11" ht="14.25">
      <c r="A77" s="18"/>
      <c r="B77" s="30"/>
      <c r="C77" s="18"/>
      <c r="D77" s="18"/>
      <c r="E77" s="18"/>
      <c r="F77" s="19"/>
      <c r="G77" s="18"/>
      <c r="H77" s="18"/>
      <c r="I77" s="19"/>
      <c r="J77" s="18"/>
      <c r="K77" s="18"/>
    </row>
    <row r="78" spans="1:11" ht="14.25">
      <c r="A78" s="18"/>
      <c r="B78" s="30"/>
      <c r="C78" s="18"/>
      <c r="D78" s="18"/>
      <c r="E78" s="18"/>
      <c r="F78" s="19"/>
      <c r="G78" s="18"/>
      <c r="H78" s="18"/>
      <c r="I78" s="19"/>
      <c r="J78" s="18"/>
      <c r="K78" s="18"/>
    </row>
    <row r="79" spans="1:11" ht="14.25">
      <c r="A79" s="18"/>
      <c r="B79" s="30"/>
      <c r="C79" s="18"/>
      <c r="D79" s="18"/>
      <c r="E79" s="18"/>
      <c r="F79" s="19"/>
      <c r="G79" s="18"/>
      <c r="H79" s="18"/>
      <c r="I79" s="19"/>
      <c r="J79" s="18"/>
      <c r="K79" s="18"/>
    </row>
    <row r="80" spans="1:11" ht="14.25">
      <c r="A80" s="18"/>
      <c r="B80" s="30"/>
      <c r="C80" s="18"/>
      <c r="D80" s="18"/>
      <c r="E80" s="18"/>
      <c r="F80" s="19"/>
      <c r="G80" s="18"/>
      <c r="H80" s="18"/>
      <c r="I80" s="19"/>
      <c r="J80" s="18"/>
      <c r="K80" s="18"/>
    </row>
    <row r="81" spans="1:11" ht="14.25">
      <c r="A81" s="18"/>
      <c r="B81" s="30"/>
      <c r="C81" s="18"/>
      <c r="D81" s="18"/>
      <c r="E81" s="18"/>
      <c r="F81" s="19"/>
      <c r="G81" s="18"/>
      <c r="H81" s="18"/>
      <c r="I81" s="19"/>
      <c r="J81" s="18"/>
      <c r="K81" s="18"/>
    </row>
    <row r="82" spans="1:11" ht="14.25">
      <c r="A82" s="18"/>
      <c r="B82" s="30"/>
      <c r="C82" s="18"/>
      <c r="D82" s="18"/>
      <c r="E82" s="18"/>
      <c r="F82" s="19"/>
      <c r="G82" s="18"/>
      <c r="H82" s="18"/>
      <c r="I82" s="19"/>
      <c r="J82" s="18"/>
      <c r="K82" s="18"/>
    </row>
    <row r="83" spans="1:11" ht="14.25">
      <c r="A83" s="18"/>
      <c r="B83" s="30"/>
      <c r="C83" s="18"/>
      <c r="D83" s="18"/>
      <c r="E83" s="18"/>
      <c r="F83" s="19"/>
      <c r="G83" s="18"/>
      <c r="H83" s="18"/>
      <c r="I83" s="19"/>
      <c r="J83" s="18"/>
      <c r="K83" s="18"/>
    </row>
    <row r="84" spans="1:11" ht="14.25">
      <c r="A84" s="18"/>
      <c r="B84" s="30"/>
      <c r="C84" s="18"/>
      <c r="D84" s="18"/>
      <c r="E84" s="18"/>
      <c r="F84" s="19"/>
      <c r="G84" s="18"/>
      <c r="H84" s="18"/>
      <c r="I84" s="19"/>
      <c r="J84" s="18"/>
      <c r="K84" s="18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3.9">
      <c r="C243" s="18"/>
      <c r="D243" s="18"/>
      <c r="E243" s="18"/>
      <c r="F243" s="19"/>
      <c r="G243" s="18"/>
      <c r="H243" s="18"/>
      <c r="I243" s="19"/>
      <c r="J243" s="18"/>
      <c r="K243" s="18"/>
    </row>
  </sheetData>
  <mergeCells count="4">
    <mergeCell ref="G1:I1"/>
    <mergeCell ref="A1:C1"/>
    <mergeCell ref="D1:F1"/>
    <mergeCell ref="A2:B2"/>
  </mergeCells>
  <conditionalFormatting sqref="F2 I2">
    <cfRule type="cellIs" dxfId="22" priority="5" stopIfTrue="1" operator="lessThanOrEqual">
      <formula>-0.1</formula>
    </cfRule>
    <cfRule type="expression" dxfId="21" priority="6">
      <formula>AND(ISNUMBER(F2), F2&gt;=0.1)</formula>
    </cfRule>
  </conditionalFormatting>
  <conditionalFormatting sqref="F4:F38 I4:I38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243"/>
  <sheetViews>
    <sheetView workbookViewId="0">
      <pane xSplit="2" ySplit="3" topLeftCell="C4" activePane="bottomRight" state="frozen"/>
      <selection pane="bottomRight" activeCell="J4" activeCellId="3" sqref="A39:XFD137 C4:D38 G4:G38 J4:K37"/>
      <selection pane="bottomLeft" activeCell="J4" activeCellId="3" sqref="A39:XFD137 C4:D38 G4:G38 J4:K37"/>
      <selection pane="topRight" activeCell="J4" activeCellId="3" sqref="A39:XFD137 C4:D38 G4:G38 J4:K37"/>
    </sheetView>
  </sheetViews>
  <sheetFormatPr defaultRowHeight="13.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Cushman &amp; Wakefield</v>
      </c>
      <c r="B1" s="66"/>
      <c r="C1" s="66"/>
      <c r="D1" s="67" t="s">
        <v>36</v>
      </c>
      <c r="E1" s="67"/>
      <c r="F1" s="67"/>
      <c r="G1" s="65" t="s">
        <v>37</v>
      </c>
      <c r="H1" s="65"/>
      <c r="I1" s="65"/>
      <c r="J1" s="5"/>
      <c r="K1" s="5"/>
    </row>
    <row r="2" spans="1:11" ht="19.5" customHeight="1">
      <c r="A2" s="68" t="s">
        <v>2</v>
      </c>
      <c r="B2" s="68"/>
      <c r="C2" s="6">
        <f>SUM(C4:C38)</f>
        <v>0</v>
      </c>
      <c r="D2" s="6">
        <f>SUM(D4:D38)</f>
        <v>0</v>
      </c>
      <c r="E2" s="6">
        <f>C2-D2</f>
        <v>0</v>
      </c>
      <c r="F2" s="7">
        <f>IFERROR(E2/D2, 0)</f>
        <v>0</v>
      </c>
      <c r="G2" s="6">
        <f>SUM(G4:G38)</f>
        <v>0</v>
      </c>
      <c r="H2" s="8">
        <f>C2-G2</f>
        <v>0</v>
      </c>
      <c r="I2" s="7">
        <f>IFERROR(H2/G2, 0)</f>
        <v>0</v>
      </c>
      <c r="J2" s="23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38">Sites[Site]</f>
        <v xml:space="preserve"> Adelanto - Bank of America</v>
      </c>
      <c r="B4" s="26" t="str" cm="1">
        <f t="array" ref="B4:B38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 xml:space="preserve"> Apple Valley - Bank of America</v>
      </c>
      <c r="B5" s="28" t="str">
        <v>CA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 xml:space="preserve"> Arvin - Bank of America</v>
      </c>
      <c r="B6" s="26" t="str">
        <v>CA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 xml:space="preserve"> Bell - Bank of America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 xml:space="preserve"> Chula Vista - Bank of America</v>
      </c>
      <c r="B8" s="26" t="str">
        <v>CA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 xml:space="preserve"> Cupertino - Bank of America</v>
      </c>
      <c r="B9" s="28" t="str">
        <v>CA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 xml:space="preserve"> Diamond Bar - Bank of America</v>
      </c>
      <c r="B10" s="26" t="str">
        <v>CA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 xml:space="preserve"> El Centro - Bank of America</v>
      </c>
      <c r="B11" s="28" t="str">
        <v>CA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 xml:space="preserve"> Moreno Valley - Bank of America</v>
      </c>
      <c r="B12" s="26" t="str">
        <v>CA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 xml:space="preserve"> Redlands - Bank of America</v>
      </c>
      <c r="B13" s="28" t="str">
        <v>CA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 xml:space="preserve"> Roseville - Bank of America</v>
      </c>
      <c r="B14" s="26" t="str">
        <v>CA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 xml:space="preserve"> San Bernardino - Bank of America</v>
      </c>
      <c r="B15" s="28" t="str">
        <v>CA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 xml:space="preserve"> San Diego - Bank of America</v>
      </c>
      <c r="B16" s="26" t="str">
        <v>CA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 xml:space="preserve"> Stockton - Bank of America</v>
      </c>
      <c r="B17" s="28" t="str">
        <v>CA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 xml:space="preserve"> Victorville - Bank of America</v>
      </c>
      <c r="B18" s="26" t="str">
        <v>CA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 xml:space="preserve"> Aurora - BA - Colfax Ave</v>
      </c>
      <c r="B19" s="28" t="str">
        <v>CO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 xml:space="preserve"> Aurora - BA - Parker Rd</v>
      </c>
      <c r="B20" s="26" t="str">
        <v>CO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 xml:space="preserve"> Broomfield - Bank of America</v>
      </c>
      <c r="B21" s="28" t="str">
        <v>CO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 xml:space="preserve"> Colorado Springs - Bank of America</v>
      </c>
      <c r="B22" s="26" t="str">
        <v>CO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 xml:space="preserve"> Denver - BA - 49th Ave</v>
      </c>
      <c r="B23" s="28" t="str">
        <v>CO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 xml:space="preserve"> Denver - BA Wadsworth Blvd</v>
      </c>
      <c r="B24" s="26" t="str">
        <v>CO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 xml:space="preserve"> Fort Collins - Bank of America</v>
      </c>
      <c r="B25" s="28" t="str">
        <v>CO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 xml:space="preserve"> Lafayette - Bank of America</v>
      </c>
      <c r="B26" s="26" t="str">
        <v>CO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 xml:space="preserve"> Lakewood - Bank of America</v>
      </c>
      <c r="B27" s="28" t="str">
        <v>CO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 xml:space="preserve"> Longmont - Bank of America</v>
      </c>
      <c r="B28" s="26" t="str">
        <v>CO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 xml:space="preserve"> Thornton - Bank of America</v>
      </c>
      <c r="B29" s="28" t="str">
        <v>CO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 xml:space="preserve"> Calumet City - Bank of America</v>
      </c>
      <c r="B30" s="26" t="str">
        <v>IL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 xml:space="preserve"> Downers Grove - Bank of America</v>
      </c>
      <c r="B31" s="28" t="str">
        <v>IL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 xml:space="preserve"> Bloomington - Bank of America</v>
      </c>
      <c r="B32" s="26" t="str">
        <v>MN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 xml:space="preserve"> Clayton - Bank of America</v>
      </c>
      <c r="B33" s="28" t="str">
        <v>MO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 xml:space="preserve"> Manchester - Bank of America</v>
      </c>
      <c r="B34" s="26" t="str">
        <v>MO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 xml:space="preserve"> Las Vegas - BA - Eastern Ave</v>
      </c>
      <c r="B35" s="28" t="str">
        <v>NV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 xml:space="preserve"> Las Vegas - BA - Town Ctr Dr</v>
      </c>
      <c r="B36" s="26" t="str">
        <v>NV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 xml:space="preserve"> Riverton - Bank of America</v>
      </c>
      <c r="B37" s="28" t="str">
        <v>UT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 xml:space="preserve"> Salt Lake City - Bank of America</v>
      </c>
      <c r="B38" s="26" t="str">
        <v>UT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4.25">
      <c r="A39" s="18"/>
      <c r="B39" s="30"/>
      <c r="C39" s="18"/>
      <c r="D39" s="18"/>
      <c r="E39" s="18"/>
      <c r="F39" s="19"/>
      <c r="G39" s="18"/>
      <c r="H39" s="18"/>
      <c r="I39" s="19"/>
      <c r="J39" s="18"/>
      <c r="K39" s="18"/>
    </row>
    <row r="40" spans="1:11" ht="14.25">
      <c r="A40" s="18"/>
      <c r="B40" s="30"/>
      <c r="C40" s="18"/>
      <c r="D40" s="18"/>
      <c r="E40" s="18"/>
      <c r="F40" s="19"/>
      <c r="G40" s="18"/>
      <c r="H40" s="18"/>
      <c r="I40" s="19"/>
      <c r="J40" s="18"/>
      <c r="K40" s="18"/>
    </row>
    <row r="41" spans="1:11" ht="14.25">
      <c r="A41" s="18"/>
      <c r="B41" s="30"/>
      <c r="C41" s="18"/>
      <c r="D41" s="18"/>
      <c r="E41" s="18"/>
      <c r="F41" s="19"/>
      <c r="G41" s="18"/>
      <c r="H41" s="18"/>
      <c r="I41" s="19"/>
      <c r="J41" s="18"/>
      <c r="K41" s="18"/>
    </row>
    <row r="42" spans="1:11" ht="14.25">
      <c r="A42" s="18"/>
      <c r="B42" s="30"/>
      <c r="C42" s="18"/>
      <c r="D42" s="18"/>
      <c r="E42" s="18"/>
      <c r="F42" s="19"/>
      <c r="G42" s="18"/>
      <c r="H42" s="18"/>
      <c r="I42" s="19"/>
      <c r="J42" s="18"/>
      <c r="K42" s="18"/>
    </row>
    <row r="43" spans="1:11" ht="14.25">
      <c r="A43" s="18"/>
      <c r="B43" s="30"/>
      <c r="C43" s="18"/>
      <c r="D43" s="18"/>
      <c r="E43" s="18"/>
      <c r="F43" s="19"/>
      <c r="G43" s="18"/>
      <c r="H43" s="18"/>
      <c r="I43" s="19"/>
      <c r="J43" s="18"/>
      <c r="K43" s="18"/>
    </row>
    <row r="44" spans="1:11" ht="14.25">
      <c r="A44" s="18"/>
      <c r="B44" s="30"/>
      <c r="C44" s="18"/>
      <c r="D44" s="18"/>
      <c r="E44" s="18"/>
      <c r="F44" s="19"/>
      <c r="G44" s="18"/>
      <c r="H44" s="18"/>
      <c r="I44" s="19"/>
      <c r="J44" s="18"/>
      <c r="K44" s="18"/>
    </row>
    <row r="45" spans="1:11" ht="14.25">
      <c r="A45" s="18"/>
      <c r="B45" s="30"/>
      <c r="C45" s="18"/>
      <c r="D45" s="18"/>
      <c r="E45" s="18"/>
      <c r="F45" s="19"/>
      <c r="G45" s="18"/>
      <c r="H45" s="18"/>
      <c r="I45" s="19"/>
      <c r="J45" s="18"/>
      <c r="K45" s="18"/>
    </row>
    <row r="46" spans="1:11" ht="14.25">
      <c r="A46" s="18"/>
      <c r="B46" s="30"/>
      <c r="C46" s="18"/>
      <c r="D46" s="18"/>
      <c r="E46" s="18"/>
      <c r="F46" s="19"/>
      <c r="G46" s="18"/>
      <c r="H46" s="18"/>
      <c r="I46" s="19"/>
      <c r="J46" s="18"/>
      <c r="K46" s="18"/>
    </row>
    <row r="47" spans="1:11" ht="14.25">
      <c r="A47" s="18"/>
      <c r="B47" s="30"/>
      <c r="C47" s="18"/>
      <c r="D47" s="18"/>
      <c r="E47" s="18"/>
      <c r="F47" s="19"/>
      <c r="G47" s="18"/>
      <c r="H47" s="18"/>
      <c r="I47" s="19"/>
      <c r="J47" s="18"/>
      <c r="K47" s="18"/>
    </row>
    <row r="48" spans="1:11" ht="14.25">
      <c r="A48" s="18"/>
      <c r="B48" s="30"/>
      <c r="C48" s="18"/>
      <c r="D48" s="18"/>
      <c r="E48" s="18"/>
      <c r="F48" s="19"/>
      <c r="G48" s="18"/>
      <c r="H48" s="18"/>
      <c r="I48" s="19"/>
      <c r="J48" s="18"/>
      <c r="K48" s="18"/>
    </row>
    <row r="49" spans="1:11" ht="14.25">
      <c r="A49" s="18"/>
      <c r="B49" s="30"/>
      <c r="C49" s="18"/>
      <c r="D49" s="18"/>
      <c r="E49" s="18"/>
      <c r="F49" s="19"/>
      <c r="G49" s="18"/>
      <c r="H49" s="18"/>
      <c r="I49" s="19"/>
      <c r="J49" s="18"/>
      <c r="K49" s="18"/>
    </row>
    <row r="50" spans="1:11" ht="14.25">
      <c r="A50" s="18"/>
      <c r="B50" s="30"/>
      <c r="C50" s="18"/>
      <c r="D50" s="18"/>
      <c r="E50" s="18"/>
      <c r="F50" s="19"/>
      <c r="G50" s="18"/>
      <c r="H50" s="18"/>
      <c r="I50" s="19"/>
      <c r="J50" s="18"/>
      <c r="K50" s="18"/>
    </row>
    <row r="51" spans="1:11" ht="14.25">
      <c r="A51" s="18"/>
      <c r="B51" s="30"/>
      <c r="C51" s="18"/>
      <c r="D51" s="18"/>
      <c r="E51" s="18"/>
      <c r="F51" s="19"/>
      <c r="G51" s="18"/>
      <c r="H51" s="18"/>
      <c r="I51" s="19"/>
      <c r="J51" s="18"/>
      <c r="K51" s="18"/>
    </row>
    <row r="52" spans="1:11" ht="14.25">
      <c r="A52" s="18"/>
      <c r="B52" s="30"/>
      <c r="C52" s="18"/>
      <c r="D52" s="18"/>
      <c r="E52" s="18"/>
      <c r="F52" s="19"/>
      <c r="G52" s="18"/>
      <c r="H52" s="18"/>
      <c r="I52" s="19"/>
      <c r="J52" s="18"/>
      <c r="K52" s="18"/>
    </row>
    <row r="53" spans="1:11" ht="14.25">
      <c r="A53" s="18"/>
      <c r="B53" s="30"/>
      <c r="C53" s="18"/>
      <c r="D53" s="18"/>
      <c r="E53" s="18"/>
      <c r="F53" s="19"/>
      <c r="G53" s="18"/>
      <c r="H53" s="18"/>
      <c r="I53" s="19"/>
      <c r="J53" s="18"/>
      <c r="K53" s="18"/>
    </row>
    <row r="54" spans="1:11" ht="14.25">
      <c r="A54" s="18"/>
      <c r="B54" s="30"/>
      <c r="C54" s="18"/>
      <c r="D54" s="18"/>
      <c r="E54" s="18"/>
      <c r="F54" s="19"/>
      <c r="G54" s="18"/>
      <c r="H54" s="18"/>
      <c r="I54" s="19"/>
      <c r="J54" s="18"/>
      <c r="K54" s="18"/>
    </row>
    <row r="55" spans="1:11" ht="14.25">
      <c r="A55" s="18"/>
      <c r="B55" s="30"/>
      <c r="C55" s="18"/>
      <c r="D55" s="18"/>
      <c r="E55" s="18"/>
      <c r="F55" s="19"/>
      <c r="G55" s="18"/>
      <c r="H55" s="18"/>
      <c r="I55" s="19"/>
      <c r="J55" s="18"/>
      <c r="K55" s="18"/>
    </row>
    <row r="56" spans="1:11" ht="14.25">
      <c r="A56" s="18"/>
      <c r="B56" s="30"/>
      <c r="C56" s="18"/>
      <c r="D56" s="18"/>
      <c r="E56" s="18"/>
      <c r="F56" s="19"/>
      <c r="G56" s="18"/>
      <c r="H56" s="18"/>
      <c r="I56" s="19"/>
      <c r="J56" s="18"/>
      <c r="K56" s="18"/>
    </row>
    <row r="57" spans="1:11" ht="14.25">
      <c r="A57" s="18"/>
      <c r="B57" s="30"/>
      <c r="C57" s="18"/>
      <c r="D57" s="18"/>
      <c r="E57" s="18"/>
      <c r="F57" s="19"/>
      <c r="G57" s="18"/>
      <c r="H57" s="18"/>
      <c r="I57" s="19"/>
      <c r="J57" s="18"/>
      <c r="K57" s="18"/>
    </row>
    <row r="58" spans="1:11" ht="14.25">
      <c r="A58" s="18"/>
      <c r="B58" s="30"/>
      <c r="C58" s="18"/>
      <c r="D58" s="18"/>
      <c r="E58" s="18"/>
      <c r="F58" s="19"/>
      <c r="G58" s="18"/>
      <c r="H58" s="18"/>
      <c r="I58" s="19"/>
      <c r="J58" s="18"/>
      <c r="K58" s="18"/>
    </row>
    <row r="59" spans="1:11" ht="14.25">
      <c r="A59" s="18"/>
      <c r="B59" s="30"/>
      <c r="C59" s="18"/>
      <c r="D59" s="18"/>
      <c r="E59" s="18"/>
      <c r="F59" s="19"/>
      <c r="G59" s="18"/>
      <c r="H59" s="18"/>
      <c r="I59" s="19"/>
      <c r="J59" s="18"/>
      <c r="K59" s="18"/>
    </row>
    <row r="60" spans="1:11" ht="14.25">
      <c r="A60" s="18"/>
      <c r="B60" s="30"/>
      <c r="C60" s="18"/>
      <c r="D60" s="18"/>
      <c r="E60" s="18"/>
      <c r="F60" s="19"/>
      <c r="G60" s="18"/>
      <c r="H60" s="18"/>
      <c r="I60" s="19"/>
      <c r="J60" s="18"/>
      <c r="K60" s="18"/>
    </row>
    <row r="61" spans="1:11" ht="14.25">
      <c r="A61" s="18"/>
      <c r="B61" s="30"/>
      <c r="C61" s="18"/>
      <c r="D61" s="18"/>
      <c r="E61" s="18"/>
      <c r="F61" s="19"/>
      <c r="G61" s="18"/>
      <c r="H61" s="18"/>
      <c r="I61" s="19"/>
      <c r="J61" s="18"/>
      <c r="K61" s="18"/>
    </row>
    <row r="62" spans="1:11" ht="14.25">
      <c r="A62" s="18"/>
      <c r="B62" s="30"/>
      <c r="C62" s="18"/>
      <c r="D62" s="18"/>
      <c r="E62" s="18"/>
      <c r="F62" s="19"/>
      <c r="G62" s="18"/>
      <c r="H62" s="18"/>
      <c r="I62" s="19"/>
      <c r="J62" s="18"/>
      <c r="K62" s="18"/>
    </row>
    <row r="63" spans="1:11" ht="14.25">
      <c r="A63" s="18"/>
      <c r="B63" s="30"/>
      <c r="C63" s="18"/>
      <c r="D63" s="18"/>
      <c r="E63" s="18"/>
      <c r="F63" s="19"/>
      <c r="G63" s="18"/>
      <c r="H63" s="18"/>
      <c r="I63" s="19"/>
      <c r="J63" s="18"/>
      <c r="K63" s="18"/>
    </row>
    <row r="64" spans="1:11" ht="14.25">
      <c r="A64" s="18"/>
      <c r="B64" s="30"/>
      <c r="C64" s="18"/>
      <c r="D64" s="18"/>
      <c r="E64" s="18"/>
      <c r="F64" s="19"/>
      <c r="G64" s="18"/>
      <c r="H64" s="18"/>
      <c r="I64" s="19"/>
      <c r="J64" s="18"/>
      <c r="K64" s="18"/>
    </row>
    <row r="65" spans="1:11" ht="14.25">
      <c r="A65" s="18"/>
      <c r="B65" s="30"/>
      <c r="C65" s="18"/>
      <c r="D65" s="18"/>
      <c r="E65" s="18"/>
      <c r="F65" s="19"/>
      <c r="G65" s="18"/>
      <c r="H65" s="18"/>
      <c r="I65" s="19"/>
      <c r="J65" s="18"/>
      <c r="K65" s="18"/>
    </row>
    <row r="66" spans="1:11" ht="14.25">
      <c r="A66" s="18"/>
      <c r="B66" s="30"/>
      <c r="C66" s="18"/>
      <c r="D66" s="18"/>
      <c r="E66" s="18"/>
      <c r="F66" s="19"/>
      <c r="G66" s="18"/>
      <c r="H66" s="18"/>
      <c r="I66" s="19"/>
      <c r="J66" s="18"/>
      <c r="K66" s="18"/>
    </row>
    <row r="67" spans="1:11" ht="14.25">
      <c r="A67" s="18"/>
      <c r="B67" s="30"/>
      <c r="C67" s="18"/>
      <c r="D67" s="18"/>
      <c r="E67" s="18"/>
      <c r="F67" s="19"/>
      <c r="G67" s="18"/>
      <c r="H67" s="18"/>
      <c r="I67" s="19"/>
      <c r="J67" s="18"/>
      <c r="K67" s="18"/>
    </row>
    <row r="68" spans="1:11" ht="14.25">
      <c r="A68" s="18"/>
      <c r="B68" s="30"/>
      <c r="C68" s="18"/>
      <c r="D68" s="18"/>
      <c r="E68" s="18"/>
      <c r="F68" s="19"/>
      <c r="G68" s="18"/>
      <c r="H68" s="18"/>
      <c r="I68" s="19"/>
      <c r="J68" s="18"/>
      <c r="K68" s="18"/>
    </row>
    <row r="69" spans="1:11" ht="14.25">
      <c r="A69" s="18"/>
      <c r="B69" s="30"/>
      <c r="C69" s="18"/>
      <c r="D69" s="18"/>
      <c r="E69" s="18"/>
      <c r="F69" s="19"/>
      <c r="G69" s="18"/>
      <c r="H69" s="18"/>
      <c r="I69" s="19"/>
      <c r="J69" s="18"/>
      <c r="K69" s="18"/>
    </row>
    <row r="70" spans="1:11" ht="14.25">
      <c r="A70" s="18"/>
      <c r="B70" s="30"/>
      <c r="C70" s="18"/>
      <c r="D70" s="18"/>
      <c r="E70" s="18"/>
      <c r="F70" s="19"/>
      <c r="G70" s="18"/>
      <c r="H70" s="18"/>
      <c r="I70" s="19"/>
      <c r="J70" s="18"/>
      <c r="K70" s="18"/>
    </row>
    <row r="71" spans="1:11" ht="14.25">
      <c r="A71" s="18"/>
      <c r="B71" s="30"/>
      <c r="C71" s="18"/>
      <c r="D71" s="18"/>
      <c r="E71" s="18"/>
      <c r="F71" s="19"/>
      <c r="G71" s="18"/>
      <c r="H71" s="18"/>
      <c r="I71" s="19"/>
      <c r="J71" s="18"/>
      <c r="K71" s="18"/>
    </row>
    <row r="72" spans="1:11" ht="14.25">
      <c r="A72" s="18"/>
      <c r="B72" s="30"/>
      <c r="C72" s="18"/>
      <c r="D72" s="18"/>
      <c r="E72" s="18"/>
      <c r="F72" s="19"/>
      <c r="G72" s="18"/>
      <c r="H72" s="18"/>
      <c r="I72" s="19"/>
      <c r="J72" s="18"/>
      <c r="K72" s="18"/>
    </row>
    <row r="73" spans="1:11" ht="14.25">
      <c r="A73" s="18"/>
      <c r="B73" s="30"/>
      <c r="C73" s="18"/>
      <c r="D73" s="18"/>
      <c r="E73" s="18"/>
      <c r="F73" s="19"/>
      <c r="G73" s="18"/>
      <c r="H73" s="18"/>
      <c r="I73" s="19"/>
      <c r="J73" s="18"/>
      <c r="K73" s="18"/>
    </row>
    <row r="74" spans="1:11" ht="14.25">
      <c r="A74" s="18"/>
      <c r="B74" s="30"/>
      <c r="C74" s="18"/>
      <c r="D74" s="18"/>
      <c r="E74" s="18"/>
      <c r="F74" s="19"/>
      <c r="G74" s="18"/>
      <c r="H74" s="18"/>
      <c r="I74" s="19"/>
      <c r="J74" s="18"/>
      <c r="K74" s="18"/>
    </row>
    <row r="75" spans="1:11" ht="14.25">
      <c r="A75" s="18"/>
      <c r="B75" s="30"/>
      <c r="C75" s="18"/>
      <c r="D75" s="18"/>
      <c r="E75" s="18"/>
      <c r="F75" s="19"/>
      <c r="G75" s="18"/>
      <c r="H75" s="18"/>
      <c r="I75" s="19"/>
      <c r="J75" s="18"/>
      <c r="K75" s="18"/>
    </row>
    <row r="76" spans="1:11" ht="14.25">
      <c r="A76" s="18"/>
      <c r="B76" s="30"/>
      <c r="C76" s="18"/>
      <c r="D76" s="18"/>
      <c r="E76" s="18"/>
      <c r="F76" s="19"/>
      <c r="G76" s="18"/>
      <c r="H76" s="18"/>
      <c r="I76" s="19"/>
      <c r="J76" s="18"/>
      <c r="K76" s="18"/>
    </row>
    <row r="77" spans="1:11" ht="14.25">
      <c r="A77" s="18"/>
      <c r="B77" s="30"/>
      <c r="C77" s="18"/>
      <c r="D77" s="18"/>
      <c r="E77" s="18"/>
      <c r="F77" s="19"/>
      <c r="G77" s="18"/>
      <c r="H77" s="18"/>
      <c r="I77" s="19"/>
      <c r="J77" s="18"/>
      <c r="K77" s="18"/>
    </row>
    <row r="78" spans="1:11" ht="14.25">
      <c r="A78" s="18"/>
      <c r="B78" s="30"/>
      <c r="C78" s="18"/>
      <c r="D78" s="18"/>
      <c r="E78" s="18"/>
      <c r="F78" s="19"/>
      <c r="G78" s="18"/>
      <c r="H78" s="18"/>
      <c r="I78" s="19"/>
      <c r="J78" s="18"/>
      <c r="K78" s="18"/>
    </row>
    <row r="79" spans="1:11" ht="14.25">
      <c r="A79" s="18"/>
      <c r="B79" s="30"/>
      <c r="C79" s="18"/>
      <c r="D79" s="18"/>
      <c r="E79" s="18"/>
      <c r="F79" s="19"/>
      <c r="G79" s="18"/>
      <c r="H79" s="18"/>
      <c r="I79" s="19"/>
      <c r="J79" s="18"/>
      <c r="K79" s="18"/>
    </row>
    <row r="80" spans="1:11" ht="14.25">
      <c r="A80" s="18"/>
      <c r="B80" s="30"/>
      <c r="C80" s="18"/>
      <c r="D80" s="18"/>
      <c r="E80" s="18"/>
      <c r="F80" s="19"/>
      <c r="G80" s="18"/>
      <c r="H80" s="18"/>
      <c r="I80" s="19"/>
      <c r="J80" s="18"/>
      <c r="K80" s="18"/>
    </row>
    <row r="81" spans="1:11" ht="14.25">
      <c r="A81" s="18"/>
      <c r="B81" s="30"/>
      <c r="C81" s="18"/>
      <c r="D81" s="18"/>
      <c r="E81" s="18"/>
      <c r="F81" s="19"/>
      <c r="G81" s="18"/>
      <c r="H81" s="18"/>
      <c r="I81" s="19"/>
      <c r="J81" s="18"/>
      <c r="K81" s="18"/>
    </row>
    <row r="82" spans="1:11" ht="14.25">
      <c r="A82" s="18"/>
      <c r="B82" s="30"/>
      <c r="C82" s="18"/>
      <c r="D82" s="18"/>
      <c r="E82" s="18"/>
      <c r="F82" s="19"/>
      <c r="G82" s="18"/>
      <c r="H82" s="18"/>
      <c r="I82" s="19"/>
      <c r="J82" s="18"/>
      <c r="K82" s="18"/>
    </row>
    <row r="83" spans="1:11" ht="14.25">
      <c r="A83" s="18"/>
      <c r="B83" s="30"/>
      <c r="C83" s="18"/>
      <c r="D83" s="18"/>
      <c r="E83" s="18"/>
      <c r="F83" s="19"/>
      <c r="G83" s="18"/>
      <c r="H83" s="18"/>
      <c r="I83" s="19"/>
      <c r="J83" s="18"/>
      <c r="K83" s="18"/>
    </row>
    <row r="84" spans="1:11" ht="14.25">
      <c r="A84" s="18"/>
      <c r="B84" s="30"/>
      <c r="C84" s="18"/>
      <c r="D84" s="18"/>
      <c r="E84" s="18"/>
      <c r="F84" s="19"/>
      <c r="G84" s="18"/>
      <c r="H84" s="18"/>
      <c r="I84" s="19"/>
      <c r="J84" s="18"/>
      <c r="K84" s="18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3.9">
      <c r="C243" s="18"/>
      <c r="D243" s="18"/>
      <c r="E243" s="18"/>
      <c r="F243" s="19"/>
      <c r="G243" s="18"/>
      <c r="H243" s="18"/>
      <c r="I243" s="19"/>
      <c r="J243" s="18"/>
      <c r="K243" s="18"/>
    </row>
  </sheetData>
  <mergeCells count="4">
    <mergeCell ref="G1:I1"/>
    <mergeCell ref="A1:C1"/>
    <mergeCell ref="D1:F1"/>
    <mergeCell ref="A2:B2"/>
  </mergeCells>
  <conditionalFormatting sqref="F2 I2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conditionalFormatting sqref="F4:F38 I4:I38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243"/>
  <sheetViews>
    <sheetView workbookViewId="0">
      <pane xSplit="2" ySplit="3" topLeftCell="C4" activePane="bottomRight" state="frozen"/>
      <selection pane="bottomRight" activeCell="J4" activeCellId="3" sqref="A39:XFD137 C4:D38 G4:G38 J4:K37"/>
      <selection pane="bottomLeft" activeCell="J4" activeCellId="3" sqref="A39:XFD137 C4:D38 G4:G38 J4:K37"/>
      <selection pane="topRight" activeCell="J4" activeCellId="3" sqref="A39:XFD137 C4:D38 G4:G38 J4:K37"/>
    </sheetView>
  </sheetViews>
  <sheetFormatPr defaultRowHeight="13.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Cushman &amp; Wakefield</v>
      </c>
      <c r="B1" s="66"/>
      <c r="C1" s="66"/>
      <c r="D1" s="67" t="s">
        <v>38</v>
      </c>
      <c r="E1" s="67"/>
      <c r="F1" s="67"/>
      <c r="G1" s="65" t="s">
        <v>39</v>
      </c>
      <c r="H1" s="65"/>
      <c r="I1" s="65"/>
      <c r="J1" s="5"/>
      <c r="K1" s="5"/>
    </row>
    <row r="2" spans="1:11" ht="19.5" customHeight="1">
      <c r="A2" s="68" t="s">
        <v>2</v>
      </c>
      <c r="B2" s="68"/>
      <c r="C2" s="6">
        <f>SUM(C4:C38)</f>
        <v>0</v>
      </c>
      <c r="D2" s="6">
        <f>SUM(D4:D38)</f>
        <v>0</v>
      </c>
      <c r="E2" s="6">
        <f>C2-D2</f>
        <v>0</v>
      </c>
      <c r="F2" s="7">
        <f>IFERROR(E2/D2, 0)</f>
        <v>0</v>
      </c>
      <c r="G2" s="6">
        <f>SUM(G4:G38)</f>
        <v>0</v>
      </c>
      <c r="H2" s="8">
        <f>C2-G2</f>
        <v>0</v>
      </c>
      <c r="I2" s="7">
        <f>IFERROR(H2/G2, 0)</f>
        <v>0</v>
      </c>
      <c r="J2" s="23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38">Sites[Site]</f>
        <v xml:space="preserve"> Adelanto - Bank of America</v>
      </c>
      <c r="B4" s="26" t="str" cm="1">
        <f t="array" ref="B4:B38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 xml:space="preserve"> Apple Valley - Bank of America</v>
      </c>
      <c r="B5" s="28" t="str">
        <v>CA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 xml:space="preserve"> Arvin - Bank of America</v>
      </c>
      <c r="B6" s="26" t="str">
        <v>CA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 xml:space="preserve"> Bell - Bank of America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 xml:space="preserve"> Chula Vista - Bank of America</v>
      </c>
      <c r="B8" s="26" t="str">
        <v>CA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 xml:space="preserve"> Cupertino - Bank of America</v>
      </c>
      <c r="B9" s="28" t="str">
        <v>CA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 xml:space="preserve"> Diamond Bar - Bank of America</v>
      </c>
      <c r="B10" s="26" t="str">
        <v>CA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 xml:space="preserve"> El Centro - Bank of America</v>
      </c>
      <c r="B11" s="28" t="str">
        <v>CA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 xml:space="preserve"> Moreno Valley - Bank of America</v>
      </c>
      <c r="B12" s="26" t="str">
        <v>CA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 xml:space="preserve"> Redlands - Bank of America</v>
      </c>
      <c r="B13" s="28" t="str">
        <v>CA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 xml:space="preserve"> Roseville - Bank of America</v>
      </c>
      <c r="B14" s="26" t="str">
        <v>CA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 xml:space="preserve"> San Bernardino - Bank of America</v>
      </c>
      <c r="B15" s="28" t="str">
        <v>CA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 xml:space="preserve"> San Diego - Bank of America</v>
      </c>
      <c r="B16" s="26" t="str">
        <v>CA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 xml:space="preserve"> Stockton - Bank of America</v>
      </c>
      <c r="B17" s="28" t="str">
        <v>CA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 xml:space="preserve"> Victorville - Bank of America</v>
      </c>
      <c r="B18" s="26" t="str">
        <v>CA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 xml:space="preserve"> Aurora - BA - Colfax Ave</v>
      </c>
      <c r="B19" s="28" t="str">
        <v>CO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 xml:space="preserve"> Aurora - BA - Parker Rd</v>
      </c>
      <c r="B20" s="26" t="str">
        <v>CO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 xml:space="preserve"> Broomfield - Bank of America</v>
      </c>
      <c r="B21" s="28" t="str">
        <v>CO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 xml:space="preserve"> Colorado Springs - Bank of America</v>
      </c>
      <c r="B22" s="26" t="str">
        <v>CO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 xml:space="preserve"> Denver - BA - 49th Ave</v>
      </c>
      <c r="B23" s="28" t="str">
        <v>CO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 xml:space="preserve"> Denver - BA Wadsworth Blvd</v>
      </c>
      <c r="B24" s="26" t="str">
        <v>CO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 xml:space="preserve"> Fort Collins - Bank of America</v>
      </c>
      <c r="B25" s="28" t="str">
        <v>CO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 xml:space="preserve"> Lafayette - Bank of America</v>
      </c>
      <c r="B26" s="26" t="str">
        <v>CO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 xml:space="preserve"> Lakewood - Bank of America</v>
      </c>
      <c r="B27" s="28" t="str">
        <v>CO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 xml:space="preserve"> Longmont - Bank of America</v>
      </c>
      <c r="B28" s="26" t="str">
        <v>CO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 xml:space="preserve"> Thornton - Bank of America</v>
      </c>
      <c r="B29" s="28" t="str">
        <v>CO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 xml:space="preserve"> Calumet City - Bank of America</v>
      </c>
      <c r="B30" s="26" t="str">
        <v>IL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 xml:space="preserve"> Downers Grove - Bank of America</v>
      </c>
      <c r="B31" s="28" t="str">
        <v>IL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 xml:space="preserve"> Bloomington - Bank of America</v>
      </c>
      <c r="B32" s="26" t="str">
        <v>MN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 xml:space="preserve"> Clayton - Bank of America</v>
      </c>
      <c r="B33" s="28" t="str">
        <v>MO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 xml:space="preserve"> Manchester - Bank of America</v>
      </c>
      <c r="B34" s="26" t="str">
        <v>MO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 xml:space="preserve"> Las Vegas - BA - Eastern Ave</v>
      </c>
      <c r="B35" s="28" t="str">
        <v>NV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 xml:space="preserve"> Las Vegas - BA - Town Ctr Dr</v>
      </c>
      <c r="B36" s="26" t="str">
        <v>NV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 xml:space="preserve"> Riverton - Bank of America</v>
      </c>
      <c r="B37" s="28" t="str">
        <v>UT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 xml:space="preserve"> Salt Lake City - Bank of America</v>
      </c>
      <c r="B38" s="26" t="str">
        <v>UT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4.25">
      <c r="A39" s="18"/>
      <c r="B39" s="30"/>
      <c r="C39" s="18"/>
      <c r="D39" s="18"/>
      <c r="E39" s="18"/>
      <c r="F39" s="19"/>
      <c r="G39" s="18"/>
      <c r="H39" s="18"/>
      <c r="I39" s="19"/>
      <c r="J39" s="18"/>
      <c r="K39" s="18"/>
    </row>
    <row r="40" spans="1:11" ht="14.25">
      <c r="A40" s="18"/>
      <c r="B40" s="30"/>
      <c r="C40" s="18"/>
      <c r="D40" s="18"/>
      <c r="E40" s="18"/>
      <c r="F40" s="19"/>
      <c r="G40" s="18"/>
      <c r="H40" s="18"/>
      <c r="I40" s="19"/>
      <c r="J40" s="18"/>
      <c r="K40" s="18"/>
    </row>
    <row r="41" spans="1:11" ht="14.25">
      <c r="A41" s="18"/>
      <c r="B41" s="30"/>
      <c r="C41" s="18"/>
      <c r="D41" s="18"/>
      <c r="E41" s="18"/>
      <c r="F41" s="19"/>
      <c r="G41" s="18"/>
      <c r="H41" s="18"/>
      <c r="I41" s="19"/>
      <c r="J41" s="18"/>
      <c r="K41" s="18"/>
    </row>
    <row r="42" spans="1:11" ht="14.25">
      <c r="A42" s="18"/>
      <c r="B42" s="30"/>
      <c r="C42" s="18"/>
      <c r="D42" s="18"/>
      <c r="E42" s="18"/>
      <c r="F42" s="19"/>
      <c r="G42" s="18"/>
      <c r="H42" s="18"/>
      <c r="I42" s="19"/>
      <c r="J42" s="18"/>
      <c r="K42" s="18"/>
    </row>
    <row r="43" spans="1:11" ht="14.25">
      <c r="A43" s="18"/>
      <c r="B43" s="30"/>
      <c r="C43" s="18"/>
      <c r="D43" s="18"/>
      <c r="E43" s="18"/>
      <c r="F43" s="19"/>
      <c r="G43" s="18"/>
      <c r="H43" s="18"/>
      <c r="I43" s="19"/>
      <c r="J43" s="18"/>
      <c r="K43" s="18"/>
    </row>
    <row r="44" spans="1:11" ht="14.25">
      <c r="A44" s="18"/>
      <c r="B44" s="30"/>
      <c r="C44" s="18"/>
      <c r="D44" s="18"/>
      <c r="E44" s="18"/>
      <c r="F44" s="19"/>
      <c r="G44" s="18"/>
      <c r="H44" s="18"/>
      <c r="I44" s="19"/>
      <c r="J44" s="18"/>
      <c r="K44" s="18"/>
    </row>
    <row r="45" spans="1:11" ht="14.25">
      <c r="A45" s="18"/>
      <c r="B45" s="30"/>
      <c r="C45" s="18"/>
      <c r="D45" s="18"/>
      <c r="E45" s="18"/>
      <c r="F45" s="19"/>
      <c r="G45" s="18"/>
      <c r="H45" s="18"/>
      <c r="I45" s="19"/>
      <c r="J45" s="18"/>
      <c r="K45" s="18"/>
    </row>
    <row r="46" spans="1:11" ht="14.25">
      <c r="A46" s="18"/>
      <c r="B46" s="30"/>
      <c r="C46" s="18"/>
      <c r="D46" s="18"/>
      <c r="E46" s="18"/>
      <c r="F46" s="19"/>
      <c r="G46" s="18"/>
      <c r="H46" s="18"/>
      <c r="I46" s="19"/>
      <c r="J46" s="18"/>
      <c r="K46" s="18"/>
    </row>
    <row r="47" spans="1:11" ht="14.25">
      <c r="A47" s="18"/>
      <c r="B47" s="30"/>
      <c r="C47" s="18"/>
      <c r="D47" s="18"/>
      <c r="E47" s="18"/>
      <c r="F47" s="19"/>
      <c r="G47" s="18"/>
      <c r="H47" s="18"/>
      <c r="I47" s="19"/>
      <c r="J47" s="18"/>
      <c r="K47" s="18"/>
    </row>
    <row r="48" spans="1:11" ht="14.25">
      <c r="A48" s="18"/>
      <c r="B48" s="30"/>
      <c r="C48" s="18"/>
      <c r="D48" s="18"/>
      <c r="E48" s="18"/>
      <c r="F48" s="19"/>
      <c r="G48" s="18"/>
      <c r="H48" s="18"/>
      <c r="I48" s="19"/>
      <c r="J48" s="18"/>
      <c r="K48" s="18"/>
    </row>
    <row r="49" spans="1:11" ht="14.25">
      <c r="A49" s="18"/>
      <c r="B49" s="30"/>
      <c r="C49" s="18"/>
      <c r="D49" s="18"/>
      <c r="E49" s="18"/>
      <c r="F49" s="19"/>
      <c r="G49" s="18"/>
      <c r="H49" s="18"/>
      <c r="I49" s="19"/>
      <c r="J49" s="18"/>
      <c r="K49" s="18"/>
    </row>
    <row r="50" spans="1:11" ht="14.25">
      <c r="A50" s="18"/>
      <c r="B50" s="30"/>
      <c r="C50" s="18"/>
      <c r="D50" s="18"/>
      <c r="E50" s="18"/>
      <c r="F50" s="19"/>
      <c r="G50" s="18"/>
      <c r="H50" s="18"/>
      <c r="I50" s="19"/>
      <c r="J50" s="18"/>
      <c r="K50" s="18"/>
    </row>
    <row r="51" spans="1:11" ht="14.25">
      <c r="A51" s="18"/>
      <c r="B51" s="30"/>
      <c r="C51" s="18"/>
      <c r="D51" s="18"/>
      <c r="E51" s="18"/>
      <c r="F51" s="19"/>
      <c r="G51" s="18"/>
      <c r="H51" s="18"/>
      <c r="I51" s="19"/>
      <c r="J51" s="18"/>
      <c r="K51" s="18"/>
    </row>
    <row r="52" spans="1:11" ht="14.25">
      <c r="A52" s="18"/>
      <c r="B52" s="30"/>
      <c r="C52" s="18"/>
      <c r="D52" s="18"/>
      <c r="E52" s="18"/>
      <c r="F52" s="19"/>
      <c r="G52" s="18"/>
      <c r="H52" s="18"/>
      <c r="I52" s="19"/>
      <c r="J52" s="18"/>
      <c r="K52" s="18"/>
    </row>
    <row r="53" spans="1:11" ht="14.25">
      <c r="A53" s="18"/>
      <c r="B53" s="30"/>
      <c r="C53" s="18"/>
      <c r="D53" s="18"/>
      <c r="E53" s="18"/>
      <c r="F53" s="19"/>
      <c r="G53" s="18"/>
      <c r="H53" s="18"/>
      <c r="I53" s="19"/>
      <c r="J53" s="18"/>
      <c r="K53" s="18"/>
    </row>
    <row r="54" spans="1:11" ht="14.25">
      <c r="A54" s="18"/>
      <c r="B54" s="30"/>
      <c r="C54" s="18"/>
      <c r="D54" s="18"/>
      <c r="E54" s="18"/>
      <c r="F54" s="19"/>
      <c r="G54" s="18"/>
      <c r="H54" s="18"/>
      <c r="I54" s="19"/>
      <c r="J54" s="18"/>
      <c r="K54" s="18"/>
    </row>
    <row r="55" spans="1:11" ht="14.25">
      <c r="A55" s="18"/>
      <c r="B55" s="30"/>
      <c r="C55" s="18"/>
      <c r="D55" s="18"/>
      <c r="E55" s="18"/>
      <c r="F55" s="19"/>
      <c r="G55" s="18"/>
      <c r="H55" s="18"/>
      <c r="I55" s="19"/>
      <c r="J55" s="18"/>
      <c r="K55" s="18"/>
    </row>
    <row r="56" spans="1:11" ht="14.25">
      <c r="A56" s="18"/>
      <c r="B56" s="30"/>
      <c r="C56" s="18"/>
      <c r="D56" s="18"/>
      <c r="E56" s="18"/>
      <c r="F56" s="19"/>
      <c r="G56" s="18"/>
      <c r="H56" s="18"/>
      <c r="I56" s="19"/>
      <c r="J56" s="18"/>
      <c r="K56" s="18"/>
    </row>
    <row r="57" spans="1:11" ht="14.25">
      <c r="A57" s="18"/>
      <c r="B57" s="30"/>
      <c r="C57" s="18"/>
      <c r="D57" s="18"/>
      <c r="E57" s="18"/>
      <c r="F57" s="19"/>
      <c r="G57" s="18"/>
      <c r="H57" s="18"/>
      <c r="I57" s="19"/>
      <c r="J57" s="18"/>
      <c r="K57" s="18"/>
    </row>
    <row r="58" spans="1:11" ht="14.25">
      <c r="A58" s="18"/>
      <c r="B58" s="30"/>
      <c r="C58" s="18"/>
      <c r="D58" s="18"/>
      <c r="E58" s="18"/>
      <c r="F58" s="19"/>
      <c r="G58" s="18"/>
      <c r="H58" s="18"/>
      <c r="I58" s="19"/>
      <c r="J58" s="18"/>
      <c r="K58" s="18"/>
    </row>
    <row r="59" spans="1:11" ht="14.25">
      <c r="A59" s="18"/>
      <c r="B59" s="30"/>
      <c r="C59" s="18"/>
      <c r="D59" s="18"/>
      <c r="E59" s="18"/>
      <c r="F59" s="19"/>
      <c r="G59" s="18"/>
      <c r="H59" s="18"/>
      <c r="I59" s="19"/>
      <c r="J59" s="18"/>
      <c r="K59" s="18"/>
    </row>
    <row r="60" spans="1:11" ht="14.25">
      <c r="A60" s="18"/>
      <c r="B60" s="30"/>
      <c r="C60" s="18"/>
      <c r="D60" s="18"/>
      <c r="E60" s="18"/>
      <c r="F60" s="19"/>
      <c r="G60" s="18"/>
      <c r="H60" s="18"/>
      <c r="I60" s="19"/>
      <c r="J60" s="18"/>
      <c r="K60" s="18"/>
    </row>
    <row r="61" spans="1:11" ht="14.25">
      <c r="A61" s="18"/>
      <c r="B61" s="30"/>
      <c r="C61" s="18"/>
      <c r="D61" s="18"/>
      <c r="E61" s="18"/>
      <c r="F61" s="19"/>
      <c r="G61" s="18"/>
      <c r="H61" s="18"/>
      <c r="I61" s="19"/>
      <c r="J61" s="18"/>
      <c r="K61" s="18"/>
    </row>
    <row r="62" spans="1:11" ht="14.25">
      <c r="A62" s="18"/>
      <c r="B62" s="30"/>
      <c r="C62" s="18"/>
      <c r="D62" s="18"/>
      <c r="E62" s="18"/>
      <c r="F62" s="19"/>
      <c r="G62" s="18"/>
      <c r="H62" s="18"/>
      <c r="I62" s="19"/>
      <c r="J62" s="18"/>
      <c r="K62" s="18"/>
    </row>
    <row r="63" spans="1:11" ht="14.25">
      <c r="A63" s="18"/>
      <c r="B63" s="30"/>
      <c r="C63" s="18"/>
      <c r="D63" s="18"/>
      <c r="E63" s="18"/>
      <c r="F63" s="19"/>
      <c r="G63" s="18"/>
      <c r="H63" s="18"/>
      <c r="I63" s="19"/>
      <c r="J63" s="18"/>
      <c r="K63" s="18"/>
    </row>
    <row r="64" spans="1:11" ht="14.25">
      <c r="A64" s="18"/>
      <c r="B64" s="30"/>
      <c r="C64" s="18"/>
      <c r="D64" s="18"/>
      <c r="E64" s="18"/>
      <c r="F64" s="19"/>
      <c r="G64" s="18"/>
      <c r="H64" s="18"/>
      <c r="I64" s="19"/>
      <c r="J64" s="18"/>
      <c r="K64" s="18"/>
    </row>
    <row r="65" spans="1:11" ht="14.25">
      <c r="A65" s="18"/>
      <c r="B65" s="30"/>
      <c r="C65" s="18"/>
      <c r="D65" s="18"/>
      <c r="E65" s="18"/>
      <c r="F65" s="19"/>
      <c r="G65" s="18"/>
      <c r="H65" s="18"/>
      <c r="I65" s="19"/>
      <c r="J65" s="18"/>
      <c r="K65" s="18"/>
    </row>
    <row r="66" spans="1:11" ht="14.25">
      <c r="A66" s="18"/>
      <c r="B66" s="30"/>
      <c r="C66" s="18"/>
      <c r="D66" s="18"/>
      <c r="E66" s="18"/>
      <c r="F66" s="19"/>
      <c r="G66" s="18"/>
      <c r="H66" s="18"/>
      <c r="I66" s="19"/>
      <c r="J66" s="18"/>
      <c r="K66" s="18"/>
    </row>
    <row r="67" spans="1:11" ht="14.25">
      <c r="A67" s="18"/>
      <c r="B67" s="30"/>
      <c r="C67" s="18"/>
      <c r="D67" s="18"/>
      <c r="E67" s="18"/>
      <c r="F67" s="19"/>
      <c r="G67" s="18"/>
      <c r="H67" s="18"/>
      <c r="I67" s="19"/>
      <c r="J67" s="18"/>
      <c r="K67" s="18"/>
    </row>
    <row r="68" spans="1:11" ht="14.25">
      <c r="A68" s="18"/>
      <c r="B68" s="30"/>
      <c r="C68" s="18"/>
      <c r="D68" s="18"/>
      <c r="E68" s="18"/>
      <c r="F68" s="19"/>
      <c r="G68" s="18"/>
      <c r="H68" s="18"/>
      <c r="I68" s="19"/>
      <c r="J68" s="18"/>
      <c r="K68" s="18"/>
    </row>
    <row r="69" spans="1:11" ht="14.25">
      <c r="A69" s="18"/>
      <c r="B69" s="30"/>
      <c r="C69" s="18"/>
      <c r="D69" s="18"/>
      <c r="E69" s="18"/>
      <c r="F69" s="19"/>
      <c r="G69" s="18"/>
      <c r="H69" s="18"/>
      <c r="I69" s="19"/>
      <c r="J69" s="18"/>
      <c r="K69" s="18"/>
    </row>
    <row r="70" spans="1:11" ht="14.25">
      <c r="A70" s="18"/>
      <c r="B70" s="30"/>
      <c r="C70" s="18"/>
      <c r="D70" s="18"/>
      <c r="E70" s="18"/>
      <c r="F70" s="19"/>
      <c r="G70" s="18"/>
      <c r="H70" s="18"/>
      <c r="I70" s="19"/>
      <c r="J70" s="18"/>
      <c r="K70" s="18"/>
    </row>
    <row r="71" spans="1:11" ht="14.25">
      <c r="A71" s="18"/>
      <c r="B71" s="30"/>
      <c r="C71" s="18"/>
      <c r="D71" s="18"/>
      <c r="E71" s="18"/>
      <c r="F71" s="19"/>
      <c r="G71" s="18"/>
      <c r="H71" s="18"/>
      <c r="I71" s="19"/>
      <c r="J71" s="18"/>
      <c r="K71" s="18"/>
    </row>
    <row r="72" spans="1:11" ht="14.25">
      <c r="A72" s="18"/>
      <c r="B72" s="30"/>
      <c r="C72" s="18"/>
      <c r="D72" s="18"/>
      <c r="E72" s="18"/>
      <c r="F72" s="19"/>
      <c r="G72" s="18"/>
      <c r="H72" s="18"/>
      <c r="I72" s="19"/>
      <c r="J72" s="18"/>
      <c r="K72" s="18"/>
    </row>
    <row r="73" spans="1:11" ht="14.25">
      <c r="A73" s="18"/>
      <c r="B73" s="30"/>
      <c r="C73" s="18"/>
      <c r="D73" s="18"/>
      <c r="E73" s="18"/>
      <c r="F73" s="19"/>
      <c r="G73" s="18"/>
      <c r="H73" s="18"/>
      <c r="I73" s="19"/>
      <c r="J73" s="18"/>
      <c r="K73" s="18"/>
    </row>
    <row r="74" spans="1:11" ht="14.25">
      <c r="A74" s="18"/>
      <c r="B74" s="30"/>
      <c r="C74" s="18"/>
      <c r="D74" s="18"/>
      <c r="E74" s="18"/>
      <c r="F74" s="19"/>
      <c r="G74" s="18"/>
      <c r="H74" s="18"/>
      <c r="I74" s="19"/>
      <c r="J74" s="18"/>
      <c r="K74" s="18"/>
    </row>
    <row r="75" spans="1:11" ht="14.25">
      <c r="A75" s="18"/>
      <c r="B75" s="30"/>
      <c r="C75" s="18"/>
      <c r="D75" s="18"/>
      <c r="E75" s="18"/>
      <c r="F75" s="19"/>
      <c r="G75" s="18"/>
      <c r="H75" s="18"/>
      <c r="I75" s="19"/>
      <c r="J75" s="18"/>
      <c r="K75" s="18"/>
    </row>
    <row r="76" spans="1:11" ht="14.25">
      <c r="A76" s="18"/>
      <c r="B76" s="30"/>
      <c r="C76" s="18"/>
      <c r="D76" s="18"/>
      <c r="E76" s="18"/>
      <c r="F76" s="19"/>
      <c r="G76" s="18"/>
      <c r="H76" s="18"/>
      <c r="I76" s="19"/>
      <c r="J76" s="18"/>
      <c r="K76" s="18"/>
    </row>
    <row r="77" spans="1:11" ht="14.25">
      <c r="A77" s="18"/>
      <c r="B77" s="30"/>
      <c r="C77" s="18"/>
      <c r="D77" s="18"/>
      <c r="E77" s="18"/>
      <c r="F77" s="19"/>
      <c r="G77" s="18"/>
      <c r="H77" s="18"/>
      <c r="I77" s="19"/>
      <c r="J77" s="18"/>
      <c r="K77" s="18"/>
    </row>
    <row r="78" spans="1:11" ht="14.25">
      <c r="A78" s="18"/>
      <c r="B78" s="30"/>
      <c r="C78" s="18"/>
      <c r="D78" s="18"/>
      <c r="E78" s="18"/>
      <c r="F78" s="19"/>
      <c r="G78" s="18"/>
      <c r="H78" s="18"/>
      <c r="I78" s="19"/>
      <c r="J78" s="18"/>
      <c r="K78" s="18"/>
    </row>
    <row r="79" spans="1:11" ht="14.25">
      <c r="A79" s="18"/>
      <c r="B79" s="30"/>
      <c r="C79" s="18"/>
      <c r="D79" s="18"/>
      <c r="E79" s="18"/>
      <c r="F79" s="19"/>
      <c r="G79" s="18"/>
      <c r="H79" s="18"/>
      <c r="I79" s="19"/>
      <c r="J79" s="18"/>
      <c r="K79" s="18"/>
    </row>
    <row r="80" spans="1:11" ht="14.25">
      <c r="A80" s="18"/>
      <c r="B80" s="30"/>
      <c r="C80" s="18"/>
      <c r="D80" s="18"/>
      <c r="E80" s="18"/>
      <c r="F80" s="19"/>
      <c r="G80" s="18"/>
      <c r="H80" s="18"/>
      <c r="I80" s="19"/>
      <c r="J80" s="18"/>
      <c r="K80" s="18"/>
    </row>
    <row r="81" spans="1:11" ht="14.25">
      <c r="A81" s="18"/>
      <c r="B81" s="30"/>
      <c r="C81" s="18"/>
      <c r="D81" s="18"/>
      <c r="E81" s="18"/>
      <c r="F81" s="19"/>
      <c r="G81" s="18"/>
      <c r="H81" s="18"/>
      <c r="I81" s="19"/>
      <c r="J81" s="18"/>
      <c r="K81" s="18"/>
    </row>
    <row r="82" spans="1:11" ht="14.25">
      <c r="A82" s="18"/>
      <c r="B82" s="30"/>
      <c r="C82" s="18"/>
      <c r="D82" s="18"/>
      <c r="E82" s="18"/>
      <c r="F82" s="19"/>
      <c r="G82" s="18"/>
      <c r="H82" s="18"/>
      <c r="I82" s="19"/>
      <c r="J82" s="18"/>
      <c r="K82" s="18"/>
    </row>
    <row r="83" spans="1:11" ht="14.25">
      <c r="A83" s="18"/>
      <c r="B83" s="30"/>
      <c r="C83" s="18"/>
      <c r="D83" s="18"/>
      <c r="E83" s="18"/>
      <c r="F83" s="19"/>
      <c r="G83" s="18"/>
      <c r="H83" s="18"/>
      <c r="I83" s="19"/>
      <c r="J83" s="18"/>
      <c r="K83" s="18"/>
    </row>
    <row r="84" spans="1:11" ht="14.25">
      <c r="A84" s="18"/>
      <c r="B84" s="30"/>
      <c r="C84" s="18"/>
      <c r="D84" s="18"/>
      <c r="E84" s="18"/>
      <c r="F84" s="19"/>
      <c r="G84" s="18"/>
      <c r="H84" s="18"/>
      <c r="I84" s="19"/>
      <c r="J84" s="18"/>
      <c r="K84" s="18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3.9">
      <c r="C243" s="18"/>
      <c r="D243" s="18"/>
      <c r="E243" s="18"/>
      <c r="F243" s="19"/>
      <c r="G243" s="18"/>
      <c r="H243" s="18"/>
      <c r="I243" s="19"/>
      <c r="J243" s="18"/>
      <c r="K243" s="18"/>
    </row>
  </sheetData>
  <mergeCells count="4">
    <mergeCell ref="G1:I1"/>
    <mergeCell ref="A1:C1"/>
    <mergeCell ref="D1:F1"/>
    <mergeCell ref="A2:B2"/>
  </mergeCells>
  <conditionalFormatting sqref="F2 I2">
    <cfRule type="cellIs" dxfId="14" priority="5" stopIfTrue="1" operator="lessThanOrEqual">
      <formula>-0.1</formula>
    </cfRule>
    <cfRule type="expression" dxfId="13" priority="6">
      <formula>AND(ISNUMBER(F2), F2&gt;=0.1)</formula>
    </cfRule>
  </conditionalFormatting>
  <conditionalFormatting sqref="F4:F38 I4:I38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243"/>
  <sheetViews>
    <sheetView workbookViewId="0">
      <pane xSplit="2" ySplit="3" topLeftCell="C4" activePane="bottomRight" state="frozen"/>
      <selection pane="bottomRight" activeCell="J4" activeCellId="3" sqref="A39:XFD137 C4:D38 G4:G38 J4:K37"/>
      <selection pane="bottomLeft" activeCell="J4" activeCellId="3" sqref="A39:XFD137 C4:D38 G4:G38 J4:K37"/>
      <selection pane="topRight" activeCell="J4" activeCellId="3" sqref="A39:XFD137 C4:D38 G4:G38 J4:K37"/>
    </sheetView>
  </sheetViews>
  <sheetFormatPr defaultRowHeight="13.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Cushman &amp; Wakefield</v>
      </c>
      <c r="B1" s="66"/>
      <c r="C1" s="66"/>
      <c r="D1" s="67" t="s">
        <v>40</v>
      </c>
      <c r="E1" s="67"/>
      <c r="F1" s="67"/>
      <c r="G1" s="65" t="s">
        <v>41</v>
      </c>
      <c r="H1" s="65"/>
      <c r="I1" s="65"/>
      <c r="J1" s="5"/>
      <c r="K1" s="5"/>
    </row>
    <row r="2" spans="1:11" ht="19.5" customHeight="1">
      <c r="A2" s="68" t="s">
        <v>2</v>
      </c>
      <c r="B2" s="68"/>
      <c r="C2" s="6">
        <f>SUM(C4:C38)</f>
        <v>0</v>
      </c>
      <c r="D2" s="6">
        <f>SUM(D4:D38)</f>
        <v>0</v>
      </c>
      <c r="E2" s="6">
        <f>C2-D2</f>
        <v>0</v>
      </c>
      <c r="F2" s="7">
        <f>IFERROR(E2/D2, 0)</f>
        <v>0</v>
      </c>
      <c r="G2" s="6">
        <f>SUM(G4:G38)</f>
        <v>0</v>
      </c>
      <c r="H2" s="8">
        <f>C2-G2</f>
        <v>0</v>
      </c>
      <c r="I2" s="7">
        <f>IFERROR(H2/G2, 0)</f>
        <v>0</v>
      </c>
      <c r="J2" s="23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38">Sites[Site]</f>
        <v xml:space="preserve"> Adelanto - Bank of America</v>
      </c>
      <c r="B4" s="26" t="str" cm="1">
        <f t="array" ref="B4:B38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 xml:space="preserve"> Apple Valley - Bank of America</v>
      </c>
      <c r="B5" s="28" t="str">
        <v>CA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 xml:space="preserve"> Arvin - Bank of America</v>
      </c>
      <c r="B6" s="26" t="str">
        <v>CA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 xml:space="preserve"> Bell - Bank of America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 xml:space="preserve"> Chula Vista - Bank of America</v>
      </c>
      <c r="B8" s="26" t="str">
        <v>CA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 xml:space="preserve"> Cupertino - Bank of America</v>
      </c>
      <c r="B9" s="28" t="str">
        <v>CA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 xml:space="preserve"> Diamond Bar - Bank of America</v>
      </c>
      <c r="B10" s="26" t="str">
        <v>CA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 xml:space="preserve"> El Centro - Bank of America</v>
      </c>
      <c r="B11" s="28" t="str">
        <v>CA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 xml:space="preserve"> Moreno Valley - Bank of America</v>
      </c>
      <c r="B12" s="26" t="str">
        <v>CA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 xml:space="preserve"> Redlands - Bank of America</v>
      </c>
      <c r="B13" s="28" t="str">
        <v>CA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 xml:space="preserve"> Roseville - Bank of America</v>
      </c>
      <c r="B14" s="26" t="str">
        <v>CA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 xml:space="preserve"> San Bernardino - Bank of America</v>
      </c>
      <c r="B15" s="28" t="str">
        <v>CA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 xml:space="preserve"> San Diego - Bank of America</v>
      </c>
      <c r="B16" s="26" t="str">
        <v>CA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 xml:space="preserve"> Stockton - Bank of America</v>
      </c>
      <c r="B17" s="28" t="str">
        <v>CA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 xml:space="preserve"> Victorville - Bank of America</v>
      </c>
      <c r="B18" s="26" t="str">
        <v>CA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 xml:space="preserve"> Aurora - BA - Colfax Ave</v>
      </c>
      <c r="B19" s="28" t="str">
        <v>CO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 xml:space="preserve"> Aurora - BA - Parker Rd</v>
      </c>
      <c r="B20" s="26" t="str">
        <v>CO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 xml:space="preserve"> Broomfield - Bank of America</v>
      </c>
      <c r="B21" s="28" t="str">
        <v>CO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 xml:space="preserve"> Colorado Springs - Bank of America</v>
      </c>
      <c r="B22" s="26" t="str">
        <v>CO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 xml:space="preserve"> Denver - BA - 49th Ave</v>
      </c>
      <c r="B23" s="28" t="str">
        <v>CO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 xml:space="preserve"> Denver - BA Wadsworth Blvd</v>
      </c>
      <c r="B24" s="26" t="str">
        <v>CO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 xml:space="preserve"> Fort Collins - Bank of America</v>
      </c>
      <c r="B25" s="28" t="str">
        <v>CO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 xml:space="preserve"> Lafayette - Bank of America</v>
      </c>
      <c r="B26" s="26" t="str">
        <v>CO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 xml:space="preserve"> Lakewood - Bank of America</v>
      </c>
      <c r="B27" s="28" t="str">
        <v>CO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 xml:space="preserve"> Longmont - Bank of America</v>
      </c>
      <c r="B28" s="26" t="str">
        <v>CO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 xml:space="preserve"> Thornton - Bank of America</v>
      </c>
      <c r="B29" s="28" t="str">
        <v>CO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 xml:space="preserve"> Calumet City - Bank of America</v>
      </c>
      <c r="B30" s="26" t="str">
        <v>IL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 xml:space="preserve"> Downers Grove - Bank of America</v>
      </c>
      <c r="B31" s="28" t="str">
        <v>IL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 xml:space="preserve"> Bloomington - Bank of America</v>
      </c>
      <c r="B32" s="26" t="str">
        <v>MN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 xml:space="preserve"> Clayton - Bank of America</v>
      </c>
      <c r="B33" s="28" t="str">
        <v>MO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 xml:space="preserve"> Manchester - Bank of America</v>
      </c>
      <c r="B34" s="26" t="str">
        <v>MO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 xml:space="preserve"> Las Vegas - BA - Eastern Ave</v>
      </c>
      <c r="B35" s="28" t="str">
        <v>NV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 xml:space="preserve"> Las Vegas - BA - Town Ctr Dr</v>
      </c>
      <c r="B36" s="26" t="str">
        <v>NV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 xml:space="preserve"> Riverton - Bank of America</v>
      </c>
      <c r="B37" s="28" t="str">
        <v>UT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 xml:space="preserve"> Salt Lake City - Bank of America</v>
      </c>
      <c r="B38" s="26" t="str">
        <v>UT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4.25">
      <c r="A39" s="18"/>
      <c r="B39" s="30"/>
      <c r="C39" s="18"/>
      <c r="D39" s="18"/>
      <c r="E39" s="18"/>
      <c r="F39" s="19"/>
      <c r="G39" s="18"/>
      <c r="H39" s="18"/>
      <c r="I39" s="19"/>
      <c r="J39" s="18"/>
      <c r="K39" s="18"/>
    </row>
    <row r="40" spans="1:11" ht="14.25">
      <c r="A40" s="18"/>
      <c r="B40" s="30"/>
      <c r="C40" s="18"/>
      <c r="D40" s="18"/>
      <c r="E40" s="18"/>
      <c r="F40" s="19"/>
      <c r="G40" s="18"/>
      <c r="H40" s="18"/>
      <c r="I40" s="19"/>
      <c r="J40" s="18"/>
      <c r="K40" s="18"/>
    </row>
    <row r="41" spans="1:11" ht="14.25">
      <c r="A41" s="18"/>
      <c r="B41" s="30"/>
      <c r="C41" s="18"/>
      <c r="D41" s="18"/>
      <c r="E41" s="18"/>
      <c r="F41" s="19"/>
      <c r="G41" s="18"/>
      <c r="H41" s="18"/>
      <c r="I41" s="19"/>
      <c r="J41" s="18"/>
      <c r="K41" s="18"/>
    </row>
    <row r="42" spans="1:11" ht="14.25">
      <c r="A42" s="18"/>
      <c r="B42" s="30"/>
      <c r="C42" s="18"/>
      <c r="D42" s="18"/>
      <c r="E42" s="18"/>
      <c r="F42" s="19"/>
      <c r="G42" s="18"/>
      <c r="H42" s="18"/>
      <c r="I42" s="19"/>
      <c r="J42" s="18"/>
      <c r="K42" s="18"/>
    </row>
    <row r="43" spans="1:11" ht="14.25">
      <c r="A43" s="18"/>
      <c r="B43" s="30"/>
      <c r="C43" s="18"/>
      <c r="D43" s="18"/>
      <c r="E43" s="18"/>
      <c r="F43" s="19"/>
      <c r="G43" s="18"/>
      <c r="H43" s="18"/>
      <c r="I43" s="19"/>
      <c r="J43" s="18"/>
      <c r="K43" s="18"/>
    </row>
    <row r="44" spans="1:11" ht="14.25">
      <c r="A44" s="18"/>
      <c r="B44" s="30"/>
      <c r="C44" s="18"/>
      <c r="D44" s="18"/>
      <c r="E44" s="18"/>
      <c r="F44" s="19"/>
      <c r="G44" s="18"/>
      <c r="H44" s="18"/>
      <c r="I44" s="19"/>
      <c r="J44" s="18"/>
      <c r="K44" s="18"/>
    </row>
    <row r="45" spans="1:11" ht="14.25">
      <c r="A45" s="18"/>
      <c r="B45" s="30"/>
      <c r="C45" s="18"/>
      <c r="D45" s="18"/>
      <c r="E45" s="18"/>
      <c r="F45" s="19"/>
      <c r="G45" s="18"/>
      <c r="H45" s="18"/>
      <c r="I45" s="19"/>
      <c r="J45" s="18"/>
      <c r="K45" s="18"/>
    </row>
    <row r="46" spans="1:11" ht="14.25">
      <c r="A46" s="18"/>
      <c r="B46" s="30"/>
      <c r="C46" s="18"/>
      <c r="D46" s="18"/>
      <c r="E46" s="18"/>
      <c r="F46" s="19"/>
      <c r="G46" s="18"/>
      <c r="H46" s="18"/>
      <c r="I46" s="19"/>
      <c r="J46" s="18"/>
      <c r="K46" s="18"/>
    </row>
    <row r="47" spans="1:11" ht="14.25">
      <c r="A47" s="18"/>
      <c r="B47" s="30"/>
      <c r="C47" s="18"/>
      <c r="D47" s="18"/>
      <c r="E47" s="18"/>
      <c r="F47" s="19"/>
      <c r="G47" s="18"/>
      <c r="H47" s="18"/>
      <c r="I47" s="19"/>
      <c r="J47" s="18"/>
      <c r="K47" s="18"/>
    </row>
    <row r="48" spans="1:11" ht="14.25">
      <c r="A48" s="18"/>
      <c r="B48" s="30"/>
      <c r="C48" s="18"/>
      <c r="D48" s="18"/>
      <c r="E48" s="18"/>
      <c r="F48" s="19"/>
      <c r="G48" s="18"/>
      <c r="H48" s="18"/>
      <c r="I48" s="19"/>
      <c r="J48" s="18"/>
      <c r="K48" s="18"/>
    </row>
    <row r="49" spans="1:11" ht="14.25">
      <c r="A49" s="18"/>
      <c r="B49" s="30"/>
      <c r="C49" s="18"/>
      <c r="D49" s="18"/>
      <c r="E49" s="18"/>
      <c r="F49" s="19"/>
      <c r="G49" s="18"/>
      <c r="H49" s="18"/>
      <c r="I49" s="19"/>
      <c r="J49" s="18"/>
      <c r="K49" s="18"/>
    </row>
    <row r="50" spans="1:11" ht="14.25">
      <c r="A50" s="18"/>
      <c r="B50" s="30"/>
      <c r="C50" s="18"/>
      <c r="D50" s="18"/>
      <c r="E50" s="18"/>
      <c r="F50" s="19"/>
      <c r="G50" s="18"/>
      <c r="H50" s="18"/>
      <c r="I50" s="19"/>
      <c r="J50" s="18"/>
      <c r="K50" s="18"/>
    </row>
    <row r="51" spans="1:11" ht="14.25">
      <c r="A51" s="18"/>
      <c r="B51" s="30"/>
      <c r="C51" s="18"/>
      <c r="D51" s="18"/>
      <c r="E51" s="18"/>
      <c r="F51" s="19"/>
      <c r="G51" s="18"/>
      <c r="H51" s="18"/>
      <c r="I51" s="19"/>
      <c r="J51" s="18"/>
      <c r="K51" s="18"/>
    </row>
    <row r="52" spans="1:11" ht="14.25">
      <c r="A52" s="18"/>
      <c r="B52" s="30"/>
      <c r="C52" s="18"/>
      <c r="D52" s="18"/>
      <c r="E52" s="18"/>
      <c r="F52" s="19"/>
      <c r="G52" s="18"/>
      <c r="H52" s="18"/>
      <c r="I52" s="19"/>
      <c r="J52" s="18"/>
      <c r="K52" s="18"/>
    </row>
    <row r="53" spans="1:11" ht="14.25">
      <c r="A53" s="18"/>
      <c r="B53" s="30"/>
      <c r="C53" s="18"/>
      <c r="D53" s="18"/>
      <c r="E53" s="18"/>
      <c r="F53" s="19"/>
      <c r="G53" s="18"/>
      <c r="H53" s="18"/>
      <c r="I53" s="19"/>
      <c r="J53" s="18"/>
      <c r="K53" s="18"/>
    </row>
    <row r="54" spans="1:11" ht="14.25">
      <c r="A54" s="18"/>
      <c r="B54" s="30"/>
      <c r="C54" s="18"/>
      <c r="D54" s="18"/>
      <c r="E54" s="18"/>
      <c r="F54" s="19"/>
      <c r="G54" s="18"/>
      <c r="H54" s="18"/>
      <c r="I54" s="19"/>
      <c r="J54" s="18"/>
      <c r="K54" s="18"/>
    </row>
    <row r="55" spans="1:11" ht="14.25">
      <c r="A55" s="18"/>
      <c r="B55" s="30"/>
      <c r="C55" s="18"/>
      <c r="D55" s="18"/>
      <c r="E55" s="18"/>
      <c r="F55" s="19"/>
      <c r="G55" s="18"/>
      <c r="H55" s="18"/>
      <c r="I55" s="19"/>
      <c r="J55" s="18"/>
      <c r="K55" s="18"/>
    </row>
    <row r="56" spans="1:11" ht="14.25">
      <c r="A56" s="18"/>
      <c r="B56" s="30"/>
      <c r="C56" s="18"/>
      <c r="D56" s="18"/>
      <c r="E56" s="18"/>
      <c r="F56" s="19"/>
      <c r="G56" s="18"/>
      <c r="H56" s="18"/>
      <c r="I56" s="19"/>
      <c r="J56" s="18"/>
      <c r="K56" s="18"/>
    </row>
    <row r="57" spans="1:11" ht="14.25">
      <c r="A57" s="18"/>
      <c r="B57" s="30"/>
      <c r="C57" s="18"/>
      <c r="D57" s="18"/>
      <c r="E57" s="18"/>
      <c r="F57" s="19"/>
      <c r="G57" s="18"/>
      <c r="H57" s="18"/>
      <c r="I57" s="19"/>
      <c r="J57" s="18"/>
      <c r="K57" s="18"/>
    </row>
    <row r="58" spans="1:11" ht="14.25">
      <c r="A58" s="18"/>
      <c r="B58" s="30"/>
      <c r="C58" s="18"/>
      <c r="D58" s="18"/>
      <c r="E58" s="18"/>
      <c r="F58" s="19"/>
      <c r="G58" s="18"/>
      <c r="H58" s="18"/>
      <c r="I58" s="19"/>
      <c r="J58" s="18"/>
      <c r="K58" s="18"/>
    </row>
    <row r="59" spans="1:11" ht="14.25">
      <c r="A59" s="18"/>
      <c r="B59" s="30"/>
      <c r="C59" s="18"/>
      <c r="D59" s="18"/>
      <c r="E59" s="18"/>
      <c r="F59" s="19"/>
      <c r="G59" s="18"/>
      <c r="H59" s="18"/>
      <c r="I59" s="19"/>
      <c r="J59" s="18"/>
      <c r="K59" s="18"/>
    </row>
    <row r="60" spans="1:11" ht="14.25">
      <c r="A60" s="18"/>
      <c r="B60" s="30"/>
      <c r="C60" s="18"/>
      <c r="D60" s="18"/>
      <c r="E60" s="18"/>
      <c r="F60" s="19"/>
      <c r="G60" s="18"/>
      <c r="H60" s="18"/>
      <c r="I60" s="19"/>
      <c r="J60" s="18"/>
      <c r="K60" s="18"/>
    </row>
    <row r="61" spans="1:11" ht="14.25">
      <c r="A61" s="18"/>
      <c r="B61" s="30"/>
      <c r="C61" s="18"/>
      <c r="D61" s="18"/>
      <c r="E61" s="18"/>
      <c r="F61" s="19"/>
      <c r="G61" s="18"/>
      <c r="H61" s="18"/>
      <c r="I61" s="19"/>
      <c r="J61" s="18"/>
      <c r="K61" s="18"/>
    </row>
    <row r="62" spans="1:11" ht="14.25">
      <c r="A62" s="18"/>
      <c r="B62" s="30"/>
      <c r="C62" s="18"/>
      <c r="D62" s="18"/>
      <c r="E62" s="18"/>
      <c r="F62" s="19"/>
      <c r="G62" s="18"/>
      <c r="H62" s="18"/>
      <c r="I62" s="19"/>
      <c r="J62" s="18"/>
      <c r="K62" s="18"/>
    </row>
    <row r="63" spans="1:11" ht="14.25">
      <c r="A63" s="18"/>
      <c r="B63" s="30"/>
      <c r="C63" s="18"/>
      <c r="D63" s="18"/>
      <c r="E63" s="18"/>
      <c r="F63" s="19"/>
      <c r="G63" s="18"/>
      <c r="H63" s="18"/>
      <c r="I63" s="19"/>
      <c r="J63" s="18"/>
      <c r="K63" s="18"/>
    </row>
    <row r="64" spans="1:11" ht="14.25">
      <c r="A64" s="18"/>
      <c r="B64" s="30"/>
      <c r="C64" s="18"/>
      <c r="D64" s="18"/>
      <c r="E64" s="18"/>
      <c r="F64" s="19"/>
      <c r="G64" s="18"/>
      <c r="H64" s="18"/>
      <c r="I64" s="19"/>
      <c r="J64" s="18"/>
      <c r="K64" s="18"/>
    </row>
    <row r="65" spans="1:11" ht="14.25">
      <c r="A65" s="18"/>
      <c r="B65" s="30"/>
      <c r="C65" s="18"/>
      <c r="D65" s="18"/>
      <c r="E65" s="18"/>
      <c r="F65" s="19"/>
      <c r="G65" s="18"/>
      <c r="H65" s="18"/>
      <c r="I65" s="19"/>
      <c r="J65" s="18"/>
      <c r="K65" s="18"/>
    </row>
    <row r="66" spans="1:11" ht="14.25">
      <c r="A66" s="18"/>
      <c r="B66" s="30"/>
      <c r="C66" s="18"/>
      <c r="D66" s="18"/>
      <c r="E66" s="18"/>
      <c r="F66" s="19"/>
      <c r="G66" s="18"/>
      <c r="H66" s="18"/>
      <c r="I66" s="19"/>
      <c r="J66" s="18"/>
      <c r="K66" s="18"/>
    </row>
    <row r="67" spans="1:11" ht="14.25">
      <c r="A67" s="18"/>
      <c r="B67" s="30"/>
      <c r="C67" s="18"/>
      <c r="D67" s="18"/>
      <c r="E67" s="18"/>
      <c r="F67" s="19"/>
      <c r="G67" s="18"/>
      <c r="H67" s="18"/>
      <c r="I67" s="19"/>
      <c r="J67" s="18"/>
      <c r="K67" s="18"/>
    </row>
    <row r="68" spans="1:11" ht="14.25">
      <c r="A68" s="18"/>
      <c r="B68" s="30"/>
      <c r="C68" s="18"/>
      <c r="D68" s="18"/>
      <c r="E68" s="18"/>
      <c r="F68" s="19"/>
      <c r="G68" s="18"/>
      <c r="H68" s="18"/>
      <c r="I68" s="19"/>
      <c r="J68" s="18"/>
      <c r="K68" s="18"/>
    </row>
    <row r="69" spans="1:11" ht="14.25">
      <c r="A69" s="18"/>
      <c r="B69" s="30"/>
      <c r="C69" s="18"/>
      <c r="D69" s="18"/>
      <c r="E69" s="18"/>
      <c r="F69" s="19"/>
      <c r="G69" s="18"/>
      <c r="H69" s="18"/>
      <c r="I69" s="19"/>
      <c r="J69" s="18"/>
      <c r="K69" s="18"/>
    </row>
    <row r="70" spans="1:11" ht="14.25">
      <c r="A70" s="18"/>
      <c r="B70" s="30"/>
      <c r="C70" s="18"/>
      <c r="D70" s="18"/>
      <c r="E70" s="18"/>
      <c r="F70" s="19"/>
      <c r="G70" s="18"/>
      <c r="H70" s="18"/>
      <c r="I70" s="19"/>
      <c r="J70" s="18"/>
      <c r="K70" s="18"/>
    </row>
    <row r="71" spans="1:11" ht="14.25">
      <c r="A71" s="18"/>
      <c r="B71" s="30"/>
      <c r="C71" s="18"/>
      <c r="D71" s="18"/>
      <c r="E71" s="18"/>
      <c r="F71" s="19"/>
      <c r="G71" s="18"/>
      <c r="H71" s="18"/>
      <c r="I71" s="19"/>
      <c r="J71" s="18"/>
      <c r="K71" s="18"/>
    </row>
    <row r="72" spans="1:11" ht="14.25">
      <c r="A72" s="18"/>
      <c r="B72" s="30"/>
      <c r="C72" s="18"/>
      <c r="D72" s="18"/>
      <c r="E72" s="18"/>
      <c r="F72" s="19"/>
      <c r="G72" s="18"/>
      <c r="H72" s="18"/>
      <c r="I72" s="19"/>
      <c r="J72" s="18"/>
      <c r="K72" s="18"/>
    </row>
    <row r="73" spans="1:11" ht="14.25">
      <c r="A73" s="18"/>
      <c r="B73" s="30"/>
      <c r="C73" s="18"/>
      <c r="D73" s="18"/>
      <c r="E73" s="18"/>
      <c r="F73" s="19"/>
      <c r="G73" s="18"/>
      <c r="H73" s="18"/>
      <c r="I73" s="19"/>
      <c r="J73" s="18"/>
      <c r="K73" s="18"/>
    </row>
    <row r="74" spans="1:11" ht="14.25">
      <c r="A74" s="18"/>
      <c r="B74" s="30"/>
      <c r="C74" s="18"/>
      <c r="D74" s="18"/>
      <c r="E74" s="18"/>
      <c r="F74" s="19"/>
      <c r="G74" s="18"/>
      <c r="H74" s="18"/>
      <c r="I74" s="19"/>
      <c r="J74" s="18"/>
      <c r="K74" s="18"/>
    </row>
    <row r="75" spans="1:11" ht="14.25">
      <c r="A75" s="18"/>
      <c r="B75" s="30"/>
      <c r="C75" s="18"/>
      <c r="D75" s="18"/>
      <c r="E75" s="18"/>
      <c r="F75" s="19"/>
      <c r="G75" s="18"/>
      <c r="H75" s="18"/>
      <c r="I75" s="19"/>
      <c r="J75" s="18"/>
      <c r="K75" s="18"/>
    </row>
    <row r="76" spans="1:11" ht="14.25">
      <c r="A76" s="18"/>
      <c r="B76" s="30"/>
      <c r="C76" s="18"/>
      <c r="D76" s="18"/>
      <c r="E76" s="18"/>
      <c r="F76" s="19"/>
      <c r="G76" s="18"/>
      <c r="H76" s="18"/>
      <c r="I76" s="19"/>
      <c r="J76" s="18"/>
      <c r="K76" s="18"/>
    </row>
    <row r="77" spans="1:11" ht="14.25">
      <c r="A77" s="18"/>
      <c r="B77" s="30"/>
      <c r="C77" s="18"/>
      <c r="D77" s="18"/>
      <c r="E77" s="18"/>
      <c r="F77" s="19"/>
      <c r="G77" s="18"/>
      <c r="H77" s="18"/>
      <c r="I77" s="19"/>
      <c r="J77" s="18"/>
      <c r="K77" s="18"/>
    </row>
    <row r="78" spans="1:11" ht="14.25">
      <c r="A78" s="18"/>
      <c r="B78" s="30"/>
      <c r="C78" s="18"/>
      <c r="D78" s="18"/>
      <c r="E78" s="18"/>
      <c r="F78" s="19"/>
      <c r="G78" s="18"/>
      <c r="H78" s="18"/>
      <c r="I78" s="19"/>
      <c r="J78" s="18"/>
      <c r="K78" s="18"/>
    </row>
    <row r="79" spans="1:11" ht="14.25">
      <c r="A79" s="18"/>
      <c r="B79" s="30"/>
      <c r="C79" s="18"/>
      <c r="D79" s="18"/>
      <c r="E79" s="18"/>
      <c r="F79" s="19"/>
      <c r="G79" s="18"/>
      <c r="H79" s="18"/>
      <c r="I79" s="19"/>
      <c r="J79" s="18"/>
      <c r="K79" s="18"/>
    </row>
    <row r="80" spans="1:11" ht="14.25">
      <c r="A80" s="18"/>
      <c r="B80" s="30"/>
      <c r="C80" s="18"/>
      <c r="D80" s="18"/>
      <c r="E80" s="18"/>
      <c r="F80" s="19"/>
      <c r="G80" s="18"/>
      <c r="H80" s="18"/>
      <c r="I80" s="19"/>
      <c r="J80" s="18"/>
      <c r="K80" s="18"/>
    </row>
    <row r="81" spans="1:11" ht="14.25">
      <c r="A81" s="18"/>
      <c r="B81" s="30"/>
      <c r="C81" s="18"/>
      <c r="D81" s="18"/>
      <c r="E81" s="18"/>
      <c r="F81" s="19"/>
      <c r="G81" s="18"/>
      <c r="H81" s="18"/>
      <c r="I81" s="19"/>
      <c r="J81" s="18"/>
      <c r="K81" s="18"/>
    </row>
    <row r="82" spans="1:11" ht="14.25">
      <c r="A82" s="18"/>
      <c r="B82" s="30"/>
      <c r="C82" s="18"/>
      <c r="D82" s="18"/>
      <c r="E82" s="18"/>
      <c r="F82" s="19"/>
      <c r="G82" s="18"/>
      <c r="H82" s="18"/>
      <c r="I82" s="19"/>
      <c r="J82" s="18"/>
      <c r="K82" s="18"/>
    </row>
    <row r="83" spans="1:11" ht="14.25">
      <c r="A83" s="18"/>
      <c r="B83" s="30"/>
      <c r="C83" s="18"/>
      <c r="D83" s="18"/>
      <c r="E83" s="18"/>
      <c r="F83" s="19"/>
      <c r="G83" s="18"/>
      <c r="H83" s="18"/>
      <c r="I83" s="19"/>
      <c r="J83" s="18"/>
      <c r="K83" s="18"/>
    </row>
    <row r="84" spans="1:11" ht="14.25">
      <c r="A84" s="18"/>
      <c r="B84" s="30"/>
      <c r="C84" s="18"/>
      <c r="D84" s="18"/>
      <c r="E84" s="18"/>
      <c r="F84" s="19"/>
      <c r="G84" s="18"/>
      <c r="H84" s="18"/>
      <c r="I84" s="19"/>
      <c r="J84" s="18"/>
      <c r="K84" s="18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3.9">
      <c r="C243" s="18"/>
      <c r="D243" s="18"/>
      <c r="E243" s="18"/>
      <c r="F243" s="19"/>
      <c r="G243" s="18"/>
      <c r="H243" s="18"/>
      <c r="I243" s="19"/>
      <c r="J243" s="18"/>
      <c r="K243" s="18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38 I4:I38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243"/>
  <sheetViews>
    <sheetView workbookViewId="0">
      <pane xSplit="2" ySplit="3" topLeftCell="C4" activePane="bottomRight" state="frozen"/>
      <selection pane="bottomRight" activeCell="J4" activeCellId="3" sqref="A39:XFD137 C4:D38 G4:G38 J4:K37"/>
      <selection pane="bottomLeft" activeCell="J4" activeCellId="3" sqref="A39:XFD137 C4:D38 G4:G38 J4:K37"/>
      <selection pane="topRight" activeCell="J4" activeCellId="3" sqref="A39:XFD137 C4:D38 G4:G38 J4:K37"/>
    </sheetView>
  </sheetViews>
  <sheetFormatPr defaultRowHeight="13.5"/>
  <cols>
    <col min="1" max="1" width="35.85546875" bestFit="1" customWidth="1"/>
    <col min="2" max="2" width="8.42578125" style="3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6" t="str" cm="1">
        <f t="array" ref="A1">portfolio</f>
        <v>Cushman &amp; Wakefield</v>
      </c>
      <c r="B1" s="66"/>
      <c r="C1" s="66"/>
      <c r="D1" s="67" t="s">
        <v>42</v>
      </c>
      <c r="E1" s="67"/>
      <c r="F1" s="67"/>
      <c r="G1" s="65" t="s">
        <v>43</v>
      </c>
      <c r="H1" s="65"/>
      <c r="I1" s="65"/>
      <c r="J1" s="5"/>
      <c r="K1" s="5"/>
    </row>
    <row r="2" spans="1:11" ht="19.5" customHeight="1">
      <c r="A2" s="68" t="s">
        <v>2</v>
      </c>
      <c r="B2" s="68"/>
      <c r="C2" s="6">
        <f>SUM(C4:C38)</f>
        <v>0</v>
      </c>
      <c r="D2" s="6">
        <f>SUM(D4:D38)</f>
        <v>0</v>
      </c>
      <c r="E2" s="6">
        <f>C2-D2</f>
        <v>0</v>
      </c>
      <c r="F2" s="7">
        <f>IFERROR(E2/D2, 0)</f>
        <v>0</v>
      </c>
      <c r="G2" s="6">
        <f>SUM(G4:G38)</f>
        <v>0</v>
      </c>
      <c r="H2" s="8">
        <f>C2-G2</f>
        <v>0</v>
      </c>
      <c r="I2" s="7">
        <f>IFERROR(H2/G2, 0)</f>
        <v>0</v>
      </c>
      <c r="J2" s="23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0" t="s">
        <v>5</v>
      </c>
      <c r="D3" s="32" t="s">
        <v>6</v>
      </c>
      <c r="E3" s="32" t="s">
        <v>7</v>
      </c>
      <c r="F3" s="33" t="s">
        <v>8</v>
      </c>
      <c r="G3" s="34" t="s">
        <v>9</v>
      </c>
      <c r="H3" s="35" t="s">
        <v>7</v>
      </c>
      <c r="I3" s="36" t="s">
        <v>8</v>
      </c>
      <c r="J3" s="22" t="s">
        <v>20</v>
      </c>
      <c r="K3" s="22" t="s">
        <v>21</v>
      </c>
    </row>
    <row r="4" spans="1:11" ht="15.75">
      <c r="A4" s="29" t="str" cm="1">
        <f t="array" ref="A4:A38">Sites[Site]</f>
        <v xml:space="preserve"> Adelanto - Bank of America</v>
      </c>
      <c r="B4" s="26" t="str" cm="1">
        <f t="array" ref="B4:B38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75">
      <c r="A5" s="27" t="str">
        <v xml:space="preserve"> Apple Valley - Bank of America</v>
      </c>
      <c r="B5" s="28" t="str">
        <v>CA</v>
      </c>
      <c r="C5" s="10"/>
      <c r="D5" s="15"/>
      <c r="E5" s="15" t="str">
        <f t="shared" ref="E5:E17" si="0">IF(AND(ISNUMBER(C5),ISNUMBER(D5)), C5-D5, "")</f>
        <v/>
      </c>
      <c r="F5" s="16" t="str">
        <f>IFERROR(E5/D5, "")</f>
        <v/>
      </c>
      <c r="G5" s="17"/>
      <c r="H5" s="17" t="str">
        <f t="shared" ref="H5:H17" si="1">IF(AND(ISNUMBER(C5),ISNUMBER(G5)), C5-G5, "")</f>
        <v/>
      </c>
      <c r="I5" s="16" t="str">
        <f t="shared" ref="I5:I17" si="2">IFERROR(H5/G5, "")</f>
        <v/>
      </c>
      <c r="J5" s="39"/>
      <c r="K5" s="39"/>
    </row>
    <row r="6" spans="1:11" ht="15.75">
      <c r="A6" s="25" t="str">
        <v xml:space="preserve"> Arvin - Bank of America</v>
      </c>
      <c r="B6" s="26" t="str">
        <v>CA</v>
      </c>
      <c r="C6" s="21"/>
      <c r="D6" s="11"/>
      <c r="E6" s="11" t="str">
        <f t="shared" si="0"/>
        <v/>
      </c>
      <c r="F6" s="12" t="str">
        <f t="shared" ref="F6:F1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75">
      <c r="A7" s="27" t="str">
        <v xml:space="preserve"> Bell - Bank of America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75">
      <c r="A8" s="25" t="str">
        <v xml:space="preserve"> Chula Vista - Bank of America</v>
      </c>
      <c r="B8" s="26" t="str">
        <v>CA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75">
      <c r="A9" s="27" t="str">
        <v xml:space="preserve"> Cupertino - Bank of America</v>
      </c>
      <c r="B9" s="28" t="str">
        <v>CA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75">
      <c r="A10" s="25" t="str">
        <v xml:space="preserve"> Diamond Bar - Bank of America</v>
      </c>
      <c r="B10" s="26" t="str">
        <v>CA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75">
      <c r="A11" s="27" t="str">
        <v xml:space="preserve"> El Centro - Bank of America</v>
      </c>
      <c r="B11" s="28" t="str">
        <v>CA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75">
      <c r="A12" s="25" t="str">
        <v xml:space="preserve"> Moreno Valley - Bank of America</v>
      </c>
      <c r="B12" s="26" t="str">
        <v>CA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75">
      <c r="A13" s="27" t="str">
        <v xml:space="preserve"> Redlands - Bank of America</v>
      </c>
      <c r="B13" s="28" t="str">
        <v>CA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75">
      <c r="A14" s="25" t="str">
        <v xml:space="preserve"> Roseville - Bank of America</v>
      </c>
      <c r="B14" s="26" t="str">
        <v>CA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75">
      <c r="A15" s="27" t="str">
        <v xml:space="preserve"> San Bernardino - Bank of America</v>
      </c>
      <c r="B15" s="28" t="str">
        <v>CA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75">
      <c r="A16" s="25" t="str">
        <v xml:space="preserve"> San Diego - Bank of America</v>
      </c>
      <c r="B16" s="26" t="str">
        <v>CA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75">
      <c r="A17" s="27" t="str">
        <v xml:space="preserve"> Stockton - Bank of America</v>
      </c>
      <c r="B17" s="28" t="str">
        <v>CA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39"/>
    </row>
    <row r="18" spans="1:11" ht="12.75" customHeight="1">
      <c r="A18" s="25" t="str">
        <v xml:space="preserve"> Victorville - Bank of America</v>
      </c>
      <c r="B18" s="26" t="str">
        <v>CA</v>
      </c>
      <c r="C18" s="21"/>
      <c r="D18" s="11"/>
      <c r="E18" s="11"/>
      <c r="F18" s="12"/>
      <c r="G18" s="13"/>
      <c r="H18" s="13"/>
      <c r="I18" s="14"/>
      <c r="J18" s="38"/>
      <c r="K18" s="38"/>
    </row>
    <row r="19" spans="1:11" ht="15.75">
      <c r="A19" s="27" t="str">
        <v xml:space="preserve"> Aurora - BA - Colfax Ave</v>
      </c>
      <c r="B19" s="28" t="str">
        <v>CO</v>
      </c>
      <c r="C19" s="10"/>
      <c r="D19" s="15"/>
      <c r="E19" s="15"/>
      <c r="F19" s="16"/>
      <c r="G19" s="17"/>
      <c r="H19" s="17"/>
      <c r="I19" s="16"/>
      <c r="J19" s="39"/>
      <c r="K19" s="40"/>
    </row>
    <row r="20" spans="1:11" ht="15.75">
      <c r="A20" s="25" t="str">
        <v xml:space="preserve"> Aurora - BA - Parker Rd</v>
      </c>
      <c r="B20" s="26" t="str">
        <v>CO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1" ht="15.75">
      <c r="A21" s="27" t="str">
        <v xml:space="preserve"> Broomfield - Bank of America</v>
      </c>
      <c r="B21" s="28" t="str">
        <v>CO</v>
      </c>
      <c r="C21" s="10"/>
      <c r="D21" s="15"/>
      <c r="E21" s="15"/>
      <c r="F21" s="16"/>
      <c r="G21" s="17"/>
      <c r="H21" s="17"/>
      <c r="I21" s="16"/>
      <c r="J21" s="39"/>
      <c r="K21" s="40"/>
    </row>
    <row r="22" spans="1:11" ht="15.75">
      <c r="A22" s="25" t="str">
        <v xml:space="preserve"> Colorado Springs - Bank of America</v>
      </c>
      <c r="B22" s="26" t="str">
        <v>CO</v>
      </c>
      <c r="C22" s="21"/>
      <c r="D22" s="11"/>
      <c r="E22" s="11"/>
      <c r="F22" s="12"/>
      <c r="G22" s="13"/>
      <c r="H22" s="13"/>
      <c r="I22" s="14"/>
      <c r="J22" s="38"/>
      <c r="K22" s="38"/>
    </row>
    <row r="23" spans="1:11" ht="15.75">
      <c r="A23" s="27" t="str">
        <v xml:space="preserve"> Denver - BA - 49th Ave</v>
      </c>
      <c r="B23" s="28" t="str">
        <v>CO</v>
      </c>
      <c r="C23" s="10"/>
      <c r="D23" s="15"/>
      <c r="E23" s="15"/>
      <c r="F23" s="16"/>
      <c r="G23" s="17"/>
      <c r="H23" s="17"/>
      <c r="I23" s="16"/>
      <c r="J23" s="39"/>
      <c r="K23" s="40"/>
    </row>
    <row r="24" spans="1:11" ht="15.75">
      <c r="A24" s="25" t="str">
        <v xml:space="preserve"> Denver - BA Wadsworth Blvd</v>
      </c>
      <c r="B24" s="26" t="str">
        <v>CO</v>
      </c>
      <c r="C24" s="21"/>
      <c r="D24" s="11"/>
      <c r="E24" s="11"/>
      <c r="F24" s="12"/>
      <c r="G24" s="13"/>
      <c r="H24" s="13"/>
      <c r="I24" s="14"/>
      <c r="J24" s="38"/>
      <c r="K24" s="38"/>
    </row>
    <row r="25" spans="1:11" ht="15.75">
      <c r="A25" s="27" t="str">
        <v xml:space="preserve"> Fort Collins - Bank of America</v>
      </c>
      <c r="B25" s="28" t="str">
        <v>CO</v>
      </c>
      <c r="C25" s="10"/>
      <c r="D25" s="15"/>
      <c r="E25" s="15"/>
      <c r="F25" s="16"/>
      <c r="G25" s="17"/>
      <c r="H25" s="17"/>
      <c r="I25" s="16"/>
      <c r="J25" s="39"/>
      <c r="K25" s="40"/>
    </row>
    <row r="26" spans="1:11" ht="15.75">
      <c r="A26" s="25" t="str">
        <v xml:space="preserve"> Lafayette - Bank of America</v>
      </c>
      <c r="B26" s="26" t="str">
        <v>CO</v>
      </c>
      <c r="C26" s="21"/>
      <c r="D26" s="11"/>
      <c r="E26" s="11"/>
      <c r="F26" s="12"/>
      <c r="G26" s="13"/>
      <c r="H26" s="13"/>
      <c r="I26" s="14"/>
      <c r="J26" s="38"/>
      <c r="K26" s="38"/>
    </row>
    <row r="27" spans="1:11" ht="15.75">
      <c r="A27" s="27" t="str">
        <v xml:space="preserve"> Lakewood - Bank of America</v>
      </c>
      <c r="B27" s="28" t="str">
        <v>CO</v>
      </c>
      <c r="C27" s="10"/>
      <c r="D27" s="15"/>
      <c r="E27" s="15"/>
      <c r="F27" s="16"/>
      <c r="G27" s="17"/>
      <c r="H27" s="17"/>
      <c r="I27" s="16"/>
      <c r="J27" s="39"/>
      <c r="K27" s="40"/>
    </row>
    <row r="28" spans="1:11" ht="15.75">
      <c r="A28" s="25" t="str">
        <v xml:space="preserve"> Longmont - Bank of America</v>
      </c>
      <c r="B28" s="26" t="str">
        <v>CO</v>
      </c>
      <c r="C28" s="21"/>
      <c r="D28" s="11"/>
      <c r="E28" s="11"/>
      <c r="F28" s="12"/>
      <c r="G28" s="13"/>
      <c r="H28" s="13"/>
      <c r="I28" s="14"/>
      <c r="J28" s="38"/>
      <c r="K28" s="38"/>
    </row>
    <row r="29" spans="1:11" ht="15.75">
      <c r="A29" s="27" t="str">
        <v xml:space="preserve"> Thornton - Bank of America</v>
      </c>
      <c r="B29" s="28" t="str">
        <v>CO</v>
      </c>
      <c r="C29" s="10"/>
      <c r="D29" s="15"/>
      <c r="E29" s="15"/>
      <c r="F29" s="16"/>
      <c r="G29" s="17"/>
      <c r="H29" s="17"/>
      <c r="I29" s="16"/>
      <c r="J29" s="39"/>
      <c r="K29" s="39"/>
    </row>
    <row r="30" spans="1:11" ht="15.75">
      <c r="A30" s="25" t="str">
        <v xml:space="preserve"> Calumet City - Bank of America</v>
      </c>
      <c r="B30" s="26" t="str">
        <v>IL</v>
      </c>
      <c r="C30" s="21"/>
      <c r="D30" s="11"/>
      <c r="E30" s="11"/>
      <c r="F30" s="12"/>
      <c r="G30" s="13"/>
      <c r="H30" s="13"/>
      <c r="I30" s="14"/>
      <c r="J30" s="38"/>
      <c r="K30" s="38"/>
    </row>
    <row r="31" spans="1:11" ht="15.75">
      <c r="A31" s="27" t="str">
        <v xml:space="preserve"> Downers Grove - Bank of America</v>
      </c>
      <c r="B31" s="28" t="str">
        <v>IL</v>
      </c>
      <c r="C31" s="10"/>
      <c r="D31" s="15"/>
      <c r="E31" s="15"/>
      <c r="F31" s="16"/>
      <c r="G31" s="17"/>
      <c r="H31" s="17"/>
      <c r="I31" s="16"/>
      <c r="J31" s="39"/>
      <c r="K31" s="40"/>
    </row>
    <row r="32" spans="1:11" ht="15.75">
      <c r="A32" s="25" t="str">
        <v xml:space="preserve"> Bloomington - Bank of America</v>
      </c>
      <c r="B32" s="26" t="str">
        <v>MN</v>
      </c>
      <c r="C32" s="21"/>
      <c r="D32" s="11"/>
      <c r="E32" s="11"/>
      <c r="F32" s="12"/>
      <c r="G32" s="13"/>
      <c r="H32" s="13"/>
      <c r="I32" s="14"/>
      <c r="J32" s="38"/>
      <c r="K32" s="38"/>
    </row>
    <row r="33" spans="1:11" ht="15.75">
      <c r="A33" s="27" t="str">
        <v xml:space="preserve"> Clayton - Bank of America</v>
      </c>
      <c r="B33" s="28" t="str">
        <v>MO</v>
      </c>
      <c r="C33" s="10"/>
      <c r="D33" s="15"/>
      <c r="E33" s="15"/>
      <c r="F33" s="16"/>
      <c r="G33" s="17"/>
      <c r="H33" s="17"/>
      <c r="I33" s="16"/>
      <c r="J33" s="39"/>
      <c r="K33" s="40"/>
    </row>
    <row r="34" spans="1:11" ht="15.75">
      <c r="A34" s="25" t="str">
        <v xml:space="preserve"> Manchester - Bank of America</v>
      </c>
      <c r="B34" s="26" t="str">
        <v>MO</v>
      </c>
      <c r="C34" s="21"/>
      <c r="D34" s="11"/>
      <c r="E34" s="11"/>
      <c r="F34" s="12"/>
      <c r="G34" s="13"/>
      <c r="H34" s="13"/>
      <c r="I34" s="14"/>
      <c r="J34" s="38"/>
      <c r="K34" s="38"/>
    </row>
    <row r="35" spans="1:11" ht="15.75">
      <c r="A35" s="27" t="str">
        <v xml:space="preserve"> Las Vegas - BA - Eastern Ave</v>
      </c>
      <c r="B35" s="28" t="str">
        <v>NV</v>
      </c>
      <c r="C35" s="10"/>
      <c r="D35" s="15"/>
      <c r="E35" s="15"/>
      <c r="F35" s="16"/>
      <c r="G35" s="17"/>
      <c r="H35" s="17"/>
      <c r="I35" s="16"/>
      <c r="J35" s="39"/>
      <c r="K35" s="40"/>
    </row>
    <row r="36" spans="1:11" ht="15.75">
      <c r="A36" s="25" t="str">
        <v xml:space="preserve"> Las Vegas - BA - Town Ctr Dr</v>
      </c>
      <c r="B36" s="26" t="str">
        <v>NV</v>
      </c>
      <c r="C36" s="21"/>
      <c r="D36" s="11"/>
      <c r="E36" s="11"/>
      <c r="F36" s="12"/>
      <c r="G36" s="13"/>
      <c r="H36" s="13"/>
      <c r="I36" s="14"/>
      <c r="J36" s="38"/>
      <c r="K36" s="38"/>
    </row>
    <row r="37" spans="1:11" ht="15.75">
      <c r="A37" s="27" t="str">
        <v xml:space="preserve"> Riverton - Bank of America</v>
      </c>
      <c r="B37" s="28" t="str">
        <v>UT</v>
      </c>
      <c r="C37" s="10"/>
      <c r="D37" s="15"/>
      <c r="E37" s="15"/>
      <c r="F37" s="16"/>
      <c r="G37" s="17"/>
      <c r="H37" s="17"/>
      <c r="I37" s="16"/>
      <c r="J37" s="39"/>
      <c r="K37" s="40"/>
    </row>
    <row r="38" spans="1:11" ht="15.75">
      <c r="A38" s="25" t="str">
        <v xml:space="preserve"> Salt Lake City - Bank of America</v>
      </c>
      <c r="B38" s="26" t="str">
        <v>UT</v>
      </c>
      <c r="C38" s="21"/>
      <c r="D38" s="11"/>
      <c r="E38" s="11"/>
      <c r="F38" s="12"/>
      <c r="G38" s="13"/>
      <c r="H38" s="13"/>
      <c r="I38" s="14"/>
      <c r="J38" s="38"/>
      <c r="K38" s="38"/>
    </row>
    <row r="39" spans="1:11" ht="14.25">
      <c r="A39" s="18"/>
      <c r="B39" s="30"/>
      <c r="C39" s="18"/>
      <c r="D39" s="18"/>
      <c r="E39" s="18"/>
      <c r="F39" s="19"/>
      <c r="G39" s="18"/>
      <c r="H39" s="18"/>
      <c r="I39" s="19"/>
      <c r="J39" s="18"/>
      <c r="K39" s="18"/>
    </row>
    <row r="40" spans="1:11" ht="14.25">
      <c r="A40" s="18"/>
      <c r="B40" s="30"/>
      <c r="C40" s="18"/>
      <c r="D40" s="18"/>
      <c r="E40" s="18"/>
      <c r="F40" s="19"/>
      <c r="G40" s="18"/>
      <c r="H40" s="18"/>
      <c r="I40" s="19"/>
      <c r="J40" s="18"/>
      <c r="K40" s="18"/>
    </row>
    <row r="41" spans="1:11" ht="14.25">
      <c r="A41" s="18"/>
      <c r="B41" s="30"/>
      <c r="C41" s="18"/>
      <c r="D41" s="18"/>
      <c r="E41" s="18"/>
      <c r="F41" s="19"/>
      <c r="G41" s="18"/>
      <c r="H41" s="18"/>
      <c r="I41" s="19"/>
      <c r="J41" s="18"/>
      <c r="K41" s="18"/>
    </row>
    <row r="42" spans="1:11" ht="14.25">
      <c r="A42" s="18"/>
      <c r="B42" s="30"/>
      <c r="C42" s="18"/>
      <c r="D42" s="18"/>
      <c r="E42" s="18"/>
      <c r="F42" s="19"/>
      <c r="G42" s="18"/>
      <c r="H42" s="18"/>
      <c r="I42" s="19"/>
      <c r="J42" s="18"/>
      <c r="K42" s="18"/>
    </row>
    <row r="43" spans="1:11" ht="14.25">
      <c r="A43" s="18"/>
      <c r="B43" s="30"/>
      <c r="C43" s="18"/>
      <c r="D43" s="18"/>
      <c r="E43" s="18"/>
      <c r="F43" s="19"/>
      <c r="G43" s="18"/>
      <c r="H43" s="18"/>
      <c r="I43" s="19"/>
      <c r="J43" s="18"/>
      <c r="K43" s="18"/>
    </row>
    <row r="44" spans="1:11" ht="14.25">
      <c r="A44" s="18"/>
      <c r="B44" s="30"/>
      <c r="C44" s="18"/>
      <c r="D44" s="18"/>
      <c r="E44" s="18"/>
      <c r="F44" s="19"/>
      <c r="G44" s="18"/>
      <c r="H44" s="18"/>
      <c r="I44" s="19"/>
      <c r="J44" s="18"/>
      <c r="K44" s="18"/>
    </row>
    <row r="45" spans="1:11" ht="14.25">
      <c r="A45" s="18"/>
      <c r="B45" s="30"/>
      <c r="C45" s="18"/>
      <c r="D45" s="18"/>
      <c r="E45" s="18"/>
      <c r="F45" s="19"/>
      <c r="G45" s="18"/>
      <c r="H45" s="18"/>
      <c r="I45" s="19"/>
      <c r="J45" s="18"/>
      <c r="K45" s="18"/>
    </row>
    <row r="46" spans="1:11" ht="14.25">
      <c r="A46" s="18"/>
      <c r="B46" s="30"/>
      <c r="C46" s="18"/>
      <c r="D46" s="18"/>
      <c r="E46" s="18"/>
      <c r="F46" s="19"/>
      <c r="G46" s="18"/>
      <c r="H46" s="18"/>
      <c r="I46" s="19"/>
      <c r="J46" s="18"/>
      <c r="K46" s="18"/>
    </row>
    <row r="47" spans="1:11" ht="14.25">
      <c r="A47" s="18"/>
      <c r="B47" s="30"/>
      <c r="C47" s="18"/>
      <c r="D47" s="18"/>
      <c r="E47" s="18"/>
      <c r="F47" s="19"/>
      <c r="G47" s="18"/>
      <c r="H47" s="18"/>
      <c r="I47" s="19"/>
      <c r="J47" s="18"/>
      <c r="K47" s="18"/>
    </row>
    <row r="48" spans="1:11" ht="14.25">
      <c r="A48" s="18"/>
      <c r="B48" s="30"/>
      <c r="C48" s="18"/>
      <c r="D48" s="18"/>
      <c r="E48" s="18"/>
      <c r="F48" s="19"/>
      <c r="G48" s="18"/>
      <c r="H48" s="18"/>
      <c r="I48" s="19"/>
      <c r="J48" s="18"/>
      <c r="K48" s="18"/>
    </row>
    <row r="49" spans="1:11" ht="14.25">
      <c r="A49" s="18"/>
      <c r="B49" s="30"/>
      <c r="C49" s="18"/>
      <c r="D49" s="18"/>
      <c r="E49" s="18"/>
      <c r="F49" s="19"/>
      <c r="G49" s="18"/>
      <c r="H49" s="18"/>
      <c r="I49" s="19"/>
      <c r="J49" s="18"/>
      <c r="K49" s="18"/>
    </row>
    <row r="50" spans="1:11" ht="14.25">
      <c r="A50" s="18"/>
      <c r="B50" s="30"/>
      <c r="C50" s="18"/>
      <c r="D50" s="18"/>
      <c r="E50" s="18"/>
      <c r="F50" s="19"/>
      <c r="G50" s="18"/>
      <c r="H50" s="18"/>
      <c r="I50" s="19"/>
      <c r="J50" s="18"/>
      <c r="K50" s="18"/>
    </row>
    <row r="51" spans="1:11" ht="14.25">
      <c r="A51" s="18"/>
      <c r="B51" s="30"/>
      <c r="C51" s="18"/>
      <c r="D51" s="18"/>
      <c r="E51" s="18"/>
      <c r="F51" s="19"/>
      <c r="G51" s="18"/>
      <c r="H51" s="18"/>
      <c r="I51" s="19"/>
      <c r="J51" s="18"/>
      <c r="K51" s="18"/>
    </row>
    <row r="52" spans="1:11" ht="14.25">
      <c r="A52" s="18"/>
      <c r="B52" s="30"/>
      <c r="C52" s="18"/>
      <c r="D52" s="18"/>
      <c r="E52" s="18"/>
      <c r="F52" s="19"/>
      <c r="G52" s="18"/>
      <c r="H52" s="18"/>
      <c r="I52" s="19"/>
      <c r="J52" s="18"/>
      <c r="K52" s="18"/>
    </row>
    <row r="53" spans="1:11" ht="14.25">
      <c r="A53" s="18"/>
      <c r="B53" s="30"/>
      <c r="C53" s="18"/>
      <c r="D53" s="18"/>
      <c r="E53" s="18"/>
      <c r="F53" s="19"/>
      <c r="G53" s="18"/>
      <c r="H53" s="18"/>
      <c r="I53" s="19"/>
      <c r="J53" s="18"/>
      <c r="K53" s="18"/>
    </row>
    <row r="54" spans="1:11" ht="14.25">
      <c r="A54" s="18"/>
      <c r="B54" s="30"/>
      <c r="C54" s="18"/>
      <c r="D54" s="18"/>
      <c r="E54" s="18"/>
      <c r="F54" s="19"/>
      <c r="G54" s="18"/>
      <c r="H54" s="18"/>
      <c r="I54" s="19"/>
      <c r="J54" s="18"/>
      <c r="K54" s="18"/>
    </row>
    <row r="55" spans="1:11" ht="14.25">
      <c r="A55" s="18"/>
      <c r="B55" s="30"/>
      <c r="C55" s="18"/>
      <c r="D55" s="18"/>
      <c r="E55" s="18"/>
      <c r="F55" s="19"/>
      <c r="G55" s="18"/>
      <c r="H55" s="18"/>
      <c r="I55" s="19"/>
      <c r="J55" s="18"/>
      <c r="K55" s="18"/>
    </row>
    <row r="56" spans="1:11" ht="14.25">
      <c r="A56" s="18"/>
      <c r="B56" s="30"/>
      <c r="C56" s="18"/>
      <c r="D56" s="18"/>
      <c r="E56" s="18"/>
      <c r="F56" s="19"/>
      <c r="G56" s="18"/>
      <c r="H56" s="18"/>
      <c r="I56" s="19"/>
      <c r="J56" s="18"/>
      <c r="K56" s="18"/>
    </row>
    <row r="57" spans="1:11" ht="14.25">
      <c r="A57" s="18"/>
      <c r="B57" s="30"/>
      <c r="C57" s="18"/>
      <c r="D57" s="18"/>
      <c r="E57" s="18"/>
      <c r="F57" s="19"/>
      <c r="G57" s="18"/>
      <c r="H57" s="18"/>
      <c r="I57" s="19"/>
      <c r="J57" s="18"/>
      <c r="K57" s="18"/>
    </row>
    <row r="58" spans="1:11" ht="14.25">
      <c r="A58" s="18"/>
      <c r="B58" s="30"/>
      <c r="C58" s="18"/>
      <c r="D58" s="18"/>
      <c r="E58" s="18"/>
      <c r="F58" s="19"/>
      <c r="G58" s="18"/>
      <c r="H58" s="18"/>
      <c r="I58" s="19"/>
      <c r="J58" s="18"/>
      <c r="K58" s="18"/>
    </row>
    <row r="59" spans="1:11" ht="14.25">
      <c r="A59" s="18"/>
      <c r="B59" s="30"/>
      <c r="C59" s="18"/>
      <c r="D59" s="18"/>
      <c r="E59" s="18"/>
      <c r="F59" s="19"/>
      <c r="G59" s="18"/>
      <c r="H59" s="18"/>
      <c r="I59" s="19"/>
      <c r="J59" s="18"/>
      <c r="K59" s="18"/>
    </row>
    <row r="60" spans="1:11" ht="14.25">
      <c r="A60" s="18"/>
      <c r="B60" s="30"/>
      <c r="C60" s="18"/>
      <c r="D60" s="18"/>
      <c r="E60" s="18"/>
      <c r="F60" s="19"/>
      <c r="G60" s="18"/>
      <c r="H60" s="18"/>
      <c r="I60" s="19"/>
      <c r="J60" s="18"/>
      <c r="K60" s="18"/>
    </row>
    <row r="61" spans="1:11" ht="14.25">
      <c r="A61" s="18"/>
      <c r="B61" s="30"/>
      <c r="C61" s="18"/>
      <c r="D61" s="18"/>
      <c r="E61" s="18"/>
      <c r="F61" s="19"/>
      <c r="G61" s="18"/>
      <c r="H61" s="18"/>
      <c r="I61" s="19"/>
      <c r="J61" s="18"/>
      <c r="K61" s="18"/>
    </row>
    <row r="62" spans="1:11" ht="14.25">
      <c r="A62" s="18"/>
      <c r="B62" s="30"/>
      <c r="C62" s="18"/>
      <c r="D62" s="18"/>
      <c r="E62" s="18"/>
      <c r="F62" s="19"/>
      <c r="G62" s="18"/>
      <c r="H62" s="18"/>
      <c r="I62" s="19"/>
      <c r="J62" s="18"/>
      <c r="K62" s="18"/>
    </row>
    <row r="63" spans="1:11" ht="14.25">
      <c r="A63" s="18"/>
      <c r="B63" s="30"/>
      <c r="C63" s="18"/>
      <c r="D63" s="18"/>
      <c r="E63" s="18"/>
      <c r="F63" s="19"/>
      <c r="G63" s="18"/>
      <c r="H63" s="18"/>
      <c r="I63" s="19"/>
      <c r="J63" s="18"/>
      <c r="K63" s="18"/>
    </row>
    <row r="64" spans="1:11" ht="14.25">
      <c r="A64" s="18"/>
      <c r="B64" s="30"/>
      <c r="C64" s="18"/>
      <c r="D64" s="18"/>
      <c r="E64" s="18"/>
      <c r="F64" s="19"/>
      <c r="G64" s="18"/>
      <c r="H64" s="18"/>
      <c r="I64" s="19"/>
      <c r="J64" s="18"/>
      <c r="K64" s="18"/>
    </row>
    <row r="65" spans="1:11" ht="14.25">
      <c r="A65" s="18"/>
      <c r="B65" s="30"/>
      <c r="C65" s="18"/>
      <c r="D65" s="18"/>
      <c r="E65" s="18"/>
      <c r="F65" s="19"/>
      <c r="G65" s="18"/>
      <c r="H65" s="18"/>
      <c r="I65" s="19"/>
      <c r="J65" s="18"/>
      <c r="K65" s="18"/>
    </row>
    <row r="66" spans="1:11" ht="14.25">
      <c r="A66" s="18"/>
      <c r="B66" s="30"/>
      <c r="C66" s="18"/>
      <c r="D66" s="18"/>
      <c r="E66" s="18"/>
      <c r="F66" s="19"/>
      <c r="G66" s="18"/>
      <c r="H66" s="18"/>
      <c r="I66" s="19"/>
      <c r="J66" s="18"/>
      <c r="K66" s="18"/>
    </row>
    <row r="67" spans="1:11" ht="14.25">
      <c r="A67" s="18"/>
      <c r="B67" s="30"/>
      <c r="C67" s="18"/>
      <c r="D67" s="18"/>
      <c r="E67" s="18"/>
      <c r="F67" s="19"/>
      <c r="G67" s="18"/>
      <c r="H67" s="18"/>
      <c r="I67" s="19"/>
      <c r="J67" s="18"/>
      <c r="K67" s="18"/>
    </row>
    <row r="68" spans="1:11" ht="14.25">
      <c r="A68" s="18"/>
      <c r="B68" s="30"/>
      <c r="C68" s="18"/>
      <c r="D68" s="18"/>
      <c r="E68" s="18"/>
      <c r="F68" s="19"/>
      <c r="G68" s="18"/>
      <c r="H68" s="18"/>
      <c r="I68" s="19"/>
      <c r="J68" s="18"/>
      <c r="K68" s="18"/>
    </row>
    <row r="69" spans="1:11" ht="14.25">
      <c r="A69" s="18"/>
      <c r="B69" s="30"/>
      <c r="C69" s="18"/>
      <c r="D69" s="18"/>
      <c r="E69" s="18"/>
      <c r="F69" s="19"/>
      <c r="G69" s="18"/>
      <c r="H69" s="18"/>
      <c r="I69" s="19"/>
      <c r="J69" s="18"/>
      <c r="K69" s="18"/>
    </row>
    <row r="70" spans="1:11" ht="14.25">
      <c r="A70" s="18"/>
      <c r="B70" s="30"/>
      <c r="C70" s="18"/>
      <c r="D70" s="18"/>
      <c r="E70" s="18"/>
      <c r="F70" s="19"/>
      <c r="G70" s="18"/>
      <c r="H70" s="18"/>
      <c r="I70" s="19"/>
      <c r="J70" s="18"/>
      <c r="K70" s="18"/>
    </row>
    <row r="71" spans="1:11" ht="14.25">
      <c r="A71" s="18"/>
      <c r="B71" s="30"/>
      <c r="C71" s="18"/>
      <c r="D71" s="18"/>
      <c r="E71" s="18"/>
      <c r="F71" s="19"/>
      <c r="G71" s="18"/>
      <c r="H71" s="18"/>
      <c r="I71" s="19"/>
      <c r="J71" s="18"/>
      <c r="K71" s="18"/>
    </row>
    <row r="72" spans="1:11" ht="14.25">
      <c r="A72" s="18"/>
      <c r="B72" s="30"/>
      <c r="C72" s="18"/>
      <c r="D72" s="18"/>
      <c r="E72" s="18"/>
      <c r="F72" s="19"/>
      <c r="G72" s="18"/>
      <c r="H72" s="18"/>
      <c r="I72" s="19"/>
      <c r="J72" s="18"/>
      <c r="K72" s="18"/>
    </row>
    <row r="73" spans="1:11" ht="14.25">
      <c r="A73" s="18"/>
      <c r="B73" s="30"/>
      <c r="C73" s="18"/>
      <c r="D73" s="18"/>
      <c r="E73" s="18"/>
      <c r="F73" s="19"/>
      <c r="G73" s="18"/>
      <c r="H73" s="18"/>
      <c r="I73" s="19"/>
      <c r="J73" s="18"/>
      <c r="K73" s="18"/>
    </row>
    <row r="74" spans="1:11" ht="14.25">
      <c r="A74" s="18"/>
      <c r="B74" s="30"/>
      <c r="C74" s="18"/>
      <c r="D74" s="18"/>
      <c r="E74" s="18"/>
      <c r="F74" s="19"/>
      <c r="G74" s="18"/>
      <c r="H74" s="18"/>
      <c r="I74" s="19"/>
      <c r="J74" s="18"/>
      <c r="K74" s="18"/>
    </row>
    <row r="75" spans="1:11" ht="14.25">
      <c r="A75" s="18"/>
      <c r="B75" s="30"/>
      <c r="C75" s="18"/>
      <c r="D75" s="18"/>
      <c r="E75" s="18"/>
      <c r="F75" s="19"/>
      <c r="G75" s="18"/>
      <c r="H75" s="18"/>
      <c r="I75" s="19"/>
      <c r="J75" s="18"/>
      <c r="K75" s="18"/>
    </row>
    <row r="76" spans="1:11" ht="14.25">
      <c r="A76" s="18"/>
      <c r="B76" s="30"/>
      <c r="C76" s="18"/>
      <c r="D76" s="18"/>
      <c r="E76" s="18"/>
      <c r="F76" s="19"/>
      <c r="G76" s="18"/>
      <c r="H76" s="18"/>
      <c r="I76" s="19"/>
      <c r="J76" s="18"/>
      <c r="K76" s="18"/>
    </row>
    <row r="77" spans="1:11" ht="14.25">
      <c r="A77" s="18"/>
      <c r="B77" s="30"/>
      <c r="C77" s="18"/>
      <c r="D77" s="18"/>
      <c r="E77" s="18"/>
      <c r="F77" s="19"/>
      <c r="G77" s="18"/>
      <c r="H77" s="18"/>
      <c r="I77" s="19"/>
      <c r="J77" s="18"/>
      <c r="K77" s="18"/>
    </row>
    <row r="78" spans="1:11" ht="14.25">
      <c r="A78" s="18"/>
      <c r="B78" s="30"/>
      <c r="C78" s="18"/>
      <c r="D78" s="18"/>
      <c r="E78" s="18"/>
      <c r="F78" s="19"/>
      <c r="G78" s="18"/>
      <c r="H78" s="18"/>
      <c r="I78" s="19"/>
      <c r="J78" s="18"/>
      <c r="K78" s="18"/>
    </row>
    <row r="79" spans="1:11" ht="14.25">
      <c r="A79" s="18"/>
      <c r="B79" s="30"/>
      <c r="C79" s="18"/>
      <c r="D79" s="18"/>
      <c r="E79" s="18"/>
      <c r="F79" s="19"/>
      <c r="G79" s="18"/>
      <c r="H79" s="18"/>
      <c r="I79" s="19"/>
      <c r="J79" s="18"/>
      <c r="K79" s="18"/>
    </row>
    <row r="80" spans="1:11" ht="14.25">
      <c r="A80" s="18"/>
      <c r="B80" s="30"/>
      <c r="C80" s="18"/>
      <c r="D80" s="18"/>
      <c r="E80" s="18"/>
      <c r="F80" s="19"/>
      <c r="G80" s="18"/>
      <c r="H80" s="18"/>
      <c r="I80" s="19"/>
      <c r="J80" s="18"/>
      <c r="K80" s="18"/>
    </row>
    <row r="81" spans="1:11" ht="14.25">
      <c r="A81" s="18"/>
      <c r="B81" s="30"/>
      <c r="C81" s="18"/>
      <c r="D81" s="18"/>
      <c r="E81" s="18"/>
      <c r="F81" s="19"/>
      <c r="G81" s="18"/>
      <c r="H81" s="18"/>
      <c r="I81" s="19"/>
      <c r="J81" s="18"/>
      <c r="K81" s="18"/>
    </row>
    <row r="82" spans="1:11" ht="14.25">
      <c r="A82" s="18"/>
      <c r="B82" s="30"/>
      <c r="C82" s="18"/>
      <c r="D82" s="18"/>
      <c r="E82" s="18"/>
      <c r="F82" s="19"/>
      <c r="G82" s="18"/>
      <c r="H82" s="18"/>
      <c r="I82" s="19"/>
      <c r="J82" s="18"/>
      <c r="K82" s="18"/>
    </row>
    <row r="83" spans="1:11" ht="14.25">
      <c r="A83" s="18"/>
      <c r="B83" s="30"/>
      <c r="C83" s="18"/>
      <c r="D83" s="18"/>
      <c r="E83" s="18"/>
      <c r="F83" s="19"/>
      <c r="G83" s="18"/>
      <c r="H83" s="18"/>
      <c r="I83" s="19"/>
      <c r="J83" s="18"/>
      <c r="K83" s="18"/>
    </row>
    <row r="84" spans="1:11" ht="14.25">
      <c r="A84" s="18"/>
      <c r="B84" s="30"/>
      <c r="C84" s="18"/>
      <c r="D84" s="18"/>
      <c r="E84" s="18"/>
      <c r="F84" s="19"/>
      <c r="G84" s="18"/>
      <c r="H84" s="18"/>
      <c r="I84" s="19"/>
      <c r="J84" s="18"/>
      <c r="K84" s="18"/>
    </row>
    <row r="85" spans="1:11" ht="14.25">
      <c r="A85" s="18"/>
      <c r="B85" s="30"/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25">
      <c r="A86" s="18"/>
      <c r="B86" s="30"/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25">
      <c r="A87" s="18"/>
      <c r="B87" s="30"/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25">
      <c r="A88" s="18"/>
      <c r="B88" s="30"/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25">
      <c r="A89" s="18"/>
      <c r="B89" s="30"/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25">
      <c r="A90" s="18"/>
      <c r="B90" s="30"/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2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2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2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2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2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2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2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2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2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2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2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2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2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2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2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2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2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2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2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2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2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2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2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2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2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2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2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2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2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2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2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2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2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2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2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2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2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2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2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2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2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2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2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2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2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2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2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2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2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2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2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2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2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2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2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2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2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2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2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2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2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2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2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2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2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2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2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2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2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2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2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2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2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2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2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2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2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2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2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2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2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2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2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2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2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2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2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2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2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2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2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2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2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2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2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2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2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2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2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2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2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2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2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2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2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2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2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2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2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2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2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2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2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2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2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2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2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2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2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2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2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2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2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2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2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2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2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2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2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2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2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2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2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2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2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2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2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2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2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2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2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2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2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2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2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2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2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2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2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2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2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2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3.9">
      <c r="C243" s="18"/>
      <c r="D243" s="18"/>
      <c r="E243" s="18"/>
      <c r="F243" s="19"/>
      <c r="G243" s="18"/>
      <c r="H243" s="18"/>
      <c r="I243" s="19"/>
      <c r="J243" s="18"/>
      <c r="K243" s="18"/>
    </row>
  </sheetData>
  <mergeCells count="4">
    <mergeCell ref="G1:I1"/>
    <mergeCell ref="A1:C1"/>
    <mergeCell ref="D1:F1"/>
    <mergeCell ref="A2:B2"/>
  </mergeCells>
  <conditionalFormatting sqref="F2 I2">
    <cfRule type="cellIs" dxfId="6" priority="5" stopIfTrue="1" operator="lessThanOrEqual">
      <formula>-0.1</formula>
    </cfRule>
    <cfRule type="expression" dxfId="5" priority="6">
      <formula>AND(ISNUMBER(F2), F2&gt;=0.1)</formula>
    </cfRule>
  </conditionalFormatting>
  <conditionalFormatting sqref="F4:F38 I4:I38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38"/>
  <sheetViews>
    <sheetView workbookViewId="0">
      <pane ySplit="3" topLeftCell="A4" activePane="bottomLeft" state="frozen"/>
      <selection pane="bottomLeft" activeCell="N26" sqref="N26"/>
    </sheetView>
  </sheetViews>
  <sheetFormatPr defaultRowHeight="12.75" customHeight="1"/>
  <cols>
    <col min="1" max="1" width="53.28515625" bestFit="1" customWidth="1"/>
    <col min="2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25">
      <c r="A4" s="41" t="s">
        <v>49</v>
      </c>
      <c r="B4" s="4" t="s">
        <v>50</v>
      </c>
      <c r="C4" s="4" t="s">
        <v>51</v>
      </c>
      <c r="E4" t="s">
        <v>52</v>
      </c>
      <c r="G4" s="3"/>
    </row>
    <row r="5" spans="1:7" ht="14.25">
      <c r="A5" s="41" t="s">
        <v>49</v>
      </c>
      <c r="B5" s="4" t="s">
        <v>53</v>
      </c>
      <c r="C5" s="4" t="s">
        <v>51</v>
      </c>
      <c r="E5" t="s">
        <v>52</v>
      </c>
      <c r="G5" s="3"/>
    </row>
    <row r="6" spans="1:7" ht="14.25">
      <c r="A6" s="41" t="s">
        <v>54</v>
      </c>
      <c r="B6" s="4" t="s">
        <v>55</v>
      </c>
      <c r="C6" s="4" t="s">
        <v>51</v>
      </c>
      <c r="E6" t="s">
        <v>52</v>
      </c>
      <c r="G6" s="3"/>
    </row>
    <row r="7" spans="1:7" ht="12.75" customHeight="1">
      <c r="A7" s="41" t="s">
        <v>56</v>
      </c>
      <c r="B7" s="4" t="s">
        <v>57</v>
      </c>
      <c r="C7" s="4" t="s">
        <v>51</v>
      </c>
      <c r="E7" t="s">
        <v>52</v>
      </c>
    </row>
    <row r="8" spans="1:7" ht="12.75" customHeight="1">
      <c r="A8" s="41" t="s">
        <v>58</v>
      </c>
      <c r="B8" s="4" t="s">
        <v>59</v>
      </c>
      <c r="C8" s="4" t="s">
        <v>51</v>
      </c>
      <c r="E8" t="s">
        <v>52</v>
      </c>
    </row>
    <row r="9" spans="1:7" ht="12.75" customHeight="1">
      <c r="A9" s="41" t="s">
        <v>60</v>
      </c>
      <c r="B9" s="4" t="s">
        <v>61</v>
      </c>
      <c r="C9" s="4" t="s">
        <v>51</v>
      </c>
      <c r="E9" t="s">
        <v>52</v>
      </c>
    </row>
    <row r="10" spans="1:7" ht="12.75" customHeight="1">
      <c r="A10" s="41" t="s">
        <v>62</v>
      </c>
      <c r="B10" s="4" t="s">
        <v>63</v>
      </c>
      <c r="C10" s="4" t="s">
        <v>51</v>
      </c>
      <c r="E10" t="s">
        <v>52</v>
      </c>
    </row>
    <row r="11" spans="1:7" ht="12.75" customHeight="1">
      <c r="A11" s="41" t="s">
        <v>64</v>
      </c>
      <c r="B11" s="4" t="s">
        <v>65</v>
      </c>
      <c r="C11" s="4" t="s">
        <v>51</v>
      </c>
      <c r="E11" t="s">
        <v>52</v>
      </c>
    </row>
    <row r="12" spans="1:7" ht="12.75" customHeight="1">
      <c r="A12" s="41" t="s">
        <v>66</v>
      </c>
      <c r="B12" s="4" t="s">
        <v>67</v>
      </c>
      <c r="C12" s="4" t="s">
        <v>51</v>
      </c>
      <c r="E12" t="s">
        <v>52</v>
      </c>
    </row>
    <row r="13" spans="1:7" ht="12.75" customHeight="1">
      <c r="A13" s="41" t="s">
        <v>49</v>
      </c>
      <c r="B13" s="4" t="s">
        <v>68</v>
      </c>
      <c r="C13" s="4" t="s">
        <v>51</v>
      </c>
      <c r="E13" t="s">
        <v>52</v>
      </c>
    </row>
    <row r="14" spans="1:7" ht="12.75" customHeight="1">
      <c r="A14" s="41" t="s">
        <v>69</v>
      </c>
      <c r="B14" s="4" t="s">
        <v>70</v>
      </c>
      <c r="C14" s="4" t="s">
        <v>51</v>
      </c>
      <c r="E14" t="s">
        <v>52</v>
      </c>
    </row>
    <row r="15" spans="1:7" ht="12.75" customHeight="1">
      <c r="A15" s="41" t="s">
        <v>71</v>
      </c>
      <c r="B15" s="4" t="s">
        <v>72</v>
      </c>
      <c r="C15" s="4" t="s">
        <v>51</v>
      </c>
      <c r="E15" t="s">
        <v>52</v>
      </c>
    </row>
    <row r="16" spans="1:7" ht="12.75" customHeight="1">
      <c r="A16" s="41" t="s">
        <v>73</v>
      </c>
      <c r="B16" s="4" t="s">
        <v>74</v>
      </c>
      <c r="C16" s="4" t="s">
        <v>51</v>
      </c>
      <c r="E16" t="s">
        <v>52</v>
      </c>
    </row>
    <row r="17" spans="1:5" ht="12.75" customHeight="1">
      <c r="A17" s="41" t="s">
        <v>75</v>
      </c>
      <c r="B17" s="4" t="s">
        <v>76</v>
      </c>
      <c r="C17" s="4" t="s">
        <v>51</v>
      </c>
      <c r="E17" t="s">
        <v>52</v>
      </c>
    </row>
    <row r="18" spans="1:5" ht="12.75" customHeight="1">
      <c r="A18" s="41"/>
      <c r="B18" s="4" t="s">
        <v>77</v>
      </c>
      <c r="C18" s="4" t="s">
        <v>51</v>
      </c>
      <c r="E18" t="s">
        <v>52</v>
      </c>
    </row>
    <row r="19" spans="1:5" ht="12.75" customHeight="1">
      <c r="A19" s="41" t="s">
        <v>78</v>
      </c>
      <c r="B19" s="4" t="s">
        <v>79</v>
      </c>
      <c r="C19" s="4" t="s">
        <v>80</v>
      </c>
      <c r="E19" t="s">
        <v>52</v>
      </c>
    </row>
    <row r="20" spans="1:5" ht="12.75" customHeight="1">
      <c r="A20" s="41" t="s">
        <v>81</v>
      </c>
      <c r="B20" s="4" t="s">
        <v>82</v>
      </c>
      <c r="C20" s="4" t="s">
        <v>80</v>
      </c>
      <c r="E20" t="s">
        <v>52</v>
      </c>
    </row>
    <row r="21" spans="1:5" ht="12.75" customHeight="1">
      <c r="A21" s="41" t="s">
        <v>83</v>
      </c>
      <c r="B21" s="4" t="s">
        <v>84</v>
      </c>
      <c r="C21" s="4" t="s">
        <v>80</v>
      </c>
      <c r="E21" t="s">
        <v>52</v>
      </c>
    </row>
    <row r="22" spans="1:5" ht="12.75" customHeight="1">
      <c r="A22" s="41" t="s">
        <v>85</v>
      </c>
      <c r="B22" s="4" t="s">
        <v>86</v>
      </c>
      <c r="C22" s="4" t="s">
        <v>80</v>
      </c>
      <c r="E22" t="s">
        <v>52</v>
      </c>
    </row>
    <row r="23" spans="1:5" ht="12.75" customHeight="1">
      <c r="A23" s="42" t="s">
        <v>87</v>
      </c>
      <c r="B23" t="s">
        <v>88</v>
      </c>
      <c r="C23" s="4" t="s">
        <v>80</v>
      </c>
      <c r="E23" t="s">
        <v>52</v>
      </c>
    </row>
    <row r="24" spans="1:5" ht="12.75" customHeight="1">
      <c r="A24" s="41" t="s">
        <v>89</v>
      </c>
      <c r="B24" s="4" t="s">
        <v>90</v>
      </c>
      <c r="C24" s="4" t="s">
        <v>80</v>
      </c>
      <c r="E24" t="s">
        <v>52</v>
      </c>
    </row>
    <row r="25" spans="1:5" ht="12.75" customHeight="1">
      <c r="A25" s="42" t="s">
        <v>91</v>
      </c>
      <c r="B25" t="s">
        <v>92</v>
      </c>
      <c r="C25" s="4" t="s">
        <v>80</v>
      </c>
      <c r="E25" t="s">
        <v>52</v>
      </c>
    </row>
    <row r="26" spans="1:5" ht="12.75" customHeight="1">
      <c r="A26" s="41" t="s">
        <v>93</v>
      </c>
      <c r="B26" s="4" t="s">
        <v>94</v>
      </c>
      <c r="C26" s="4" t="s">
        <v>80</v>
      </c>
      <c r="E26" t="s">
        <v>52</v>
      </c>
    </row>
    <row r="27" spans="1:5" ht="12.75" customHeight="1">
      <c r="A27" s="41" t="s">
        <v>95</v>
      </c>
      <c r="B27" s="4" t="s">
        <v>96</v>
      </c>
      <c r="C27" s="4" t="s">
        <v>80</v>
      </c>
      <c r="E27" t="s">
        <v>52</v>
      </c>
    </row>
    <row r="28" spans="1:5" ht="12.75" customHeight="1">
      <c r="A28" s="41" t="s">
        <v>97</v>
      </c>
      <c r="B28" s="4" t="s">
        <v>98</v>
      </c>
      <c r="C28" s="4" t="s">
        <v>80</v>
      </c>
      <c r="E28" t="s">
        <v>52</v>
      </c>
    </row>
    <row r="29" spans="1:5" ht="12.75" customHeight="1">
      <c r="A29" s="41" t="s">
        <v>99</v>
      </c>
      <c r="B29" s="4" t="s">
        <v>100</v>
      </c>
      <c r="C29" s="4" t="s">
        <v>80</v>
      </c>
      <c r="E29" t="s">
        <v>52</v>
      </c>
    </row>
    <row r="30" spans="1:5" ht="12.75" customHeight="1">
      <c r="A30" s="41" t="s">
        <v>101</v>
      </c>
      <c r="B30" s="4" t="s">
        <v>102</v>
      </c>
      <c r="C30" s="4" t="s">
        <v>103</v>
      </c>
      <c r="E30" t="s">
        <v>52</v>
      </c>
    </row>
    <row r="31" spans="1:5" ht="12.75" customHeight="1">
      <c r="A31" s="41" t="s">
        <v>104</v>
      </c>
      <c r="B31" s="4" t="s">
        <v>105</v>
      </c>
      <c r="C31" s="4" t="s">
        <v>103</v>
      </c>
      <c r="E31" t="s">
        <v>52</v>
      </c>
    </row>
    <row r="32" spans="1:5" ht="12.75" customHeight="1">
      <c r="A32" s="42" t="s">
        <v>49</v>
      </c>
      <c r="B32" t="s">
        <v>106</v>
      </c>
      <c r="C32" s="4" t="s">
        <v>107</v>
      </c>
      <c r="E32" t="s">
        <v>52</v>
      </c>
    </row>
    <row r="33" spans="1:5" ht="12.75" customHeight="1">
      <c r="A33" s="42" t="s">
        <v>108</v>
      </c>
      <c r="B33" t="s">
        <v>109</v>
      </c>
      <c r="C33" s="4" t="s">
        <v>110</v>
      </c>
      <c r="E33" t="s">
        <v>52</v>
      </c>
    </row>
    <row r="34" spans="1:5" ht="12.75" customHeight="1">
      <c r="A34" s="41" t="s">
        <v>111</v>
      </c>
      <c r="B34" s="4" t="s">
        <v>112</v>
      </c>
      <c r="C34" s="4" t="s">
        <v>110</v>
      </c>
      <c r="E34" t="s">
        <v>52</v>
      </c>
    </row>
    <row r="35" spans="1:5" ht="12.75" customHeight="1">
      <c r="A35" s="41" t="s">
        <v>113</v>
      </c>
      <c r="B35" s="4" t="s">
        <v>114</v>
      </c>
      <c r="C35" s="4" t="s">
        <v>115</v>
      </c>
      <c r="E35" t="s">
        <v>52</v>
      </c>
    </row>
    <row r="36" spans="1:5" ht="12.75" customHeight="1">
      <c r="A36" s="41" t="s">
        <v>49</v>
      </c>
      <c r="B36" s="4" t="s">
        <v>116</v>
      </c>
      <c r="C36" s="4" t="s">
        <v>115</v>
      </c>
      <c r="E36" t="s">
        <v>52</v>
      </c>
    </row>
    <row r="37" spans="1:5" ht="12.75" customHeight="1">
      <c r="A37" s="42" t="s">
        <v>117</v>
      </c>
      <c r="B37" t="s">
        <v>118</v>
      </c>
      <c r="C37" s="4" t="s">
        <v>119</v>
      </c>
      <c r="E37" t="s">
        <v>52</v>
      </c>
    </row>
    <row r="38" spans="1:5" ht="12.75" customHeight="1">
      <c r="A38" s="41" t="s">
        <v>120</v>
      </c>
      <c r="B38" s="4" t="s">
        <v>121</v>
      </c>
      <c r="C38" s="4" t="s">
        <v>119</v>
      </c>
      <c r="E38" t="s">
        <v>52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C0BCDC1E-6052-4E48-9BAF-94A40814E7C2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F6B2B1A1-1C4B-4AC9-9A7D-7A102DD1C942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Chase, Henry</cp:lastModifiedBy>
  <cp:revision/>
  <dcterms:created xsi:type="dcterms:W3CDTF">2021-01-01T16:39:53Z</dcterms:created>
  <dcterms:modified xsi:type="dcterms:W3CDTF">2024-05-20T15:58:46Z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