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B4993A29-6FF7-483A-B786-7ACF8FC71CA2}" xr6:coauthVersionLast="47" xr6:coauthVersionMax="47" xr10:uidLastSave="{00000000-0000-0000-0000-000000000000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<sst xmlns="http://schemas.openxmlformats.org/spreadsheetml/2006/main" count="246" uniqueCount="60">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</sst>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2124443</v>
      </c>
      <c r="D2" s="5">
        <f>SUM(D4:D79)</f>
        <v>2437629</v>
      </c>
      <c r="E2" s="5">
        <f>C2-D2</f>
        <v>-313186</v>
      </c>
      <c r="F2" s="6">
        <f>IFERROR(E2/D2, 0)</f>
        <v>-0.12847976455810134</v>
      </c>
      <c r="G2" s="5">
        <f>SUM(G4:G79)</f>
        <v>1820407</v>
      </c>
      <c r="H2" s="7">
        <f>C2-G2</f>
        <v>304036</v>
      </c>
      <c r="I2" s="6">
        <f>IFERROR(H2/G2, 0)</f>
        <v>0.16701539820490693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2124443</v>
      </c>
      <c r="D4" s="12">
        <f>SUM('1st Qtr'!D4, '2nd Qtr'!D4, '3rd Qtr'!D4, '4th Qtr'!D4)</f>
        <v>2437629</v>
      </c>
      <c r="E4" s="12">
        <f>IF(AND(ISNUMBER(C4),ISNUMBER(D4)), C4-D4, "")</f>
        <v>-313186</v>
      </c>
      <c r="F4" s="13">
        <f>IFERROR(E4/D4, "")</f>
        <v>-0.12847976455810134</v>
      </c>
      <c r="G4" s="14">
        <f>SUM('1st Qtr'!G4, '2nd Qtr'!G4, '3rd Qtr'!G4, '4th Qtr'!G4)</f>
        <v>1820407</v>
      </c>
      <c r="H4" s="14">
        <f>SUM('1st Qtr'!H4, '2nd Qtr'!H4, '3rd Qtr'!H4, '4th Qtr'!H4)</f>
        <v>-535878</v>
      </c>
      <c r="I4" s="15">
        <f>IFERROR(H4/G4, "")</f>
        <v>-0.2943726320542604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0</v>
      </c>
      <c r="H2" s="7">
        <f>C2-G2</f>
        <v>736702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736702</v>
      </c>
      <c r="D4" s="12">
        <f>SUM(Apr!D4, May!D4, Jun!D4)</f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/>
      <c r="H4" s="14">
        <f>SUM(Apr!H4, May!H4, Jun!H4)</f>
        <v>-103212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0.7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0.7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40</v>
      </c>
      <c r="E1" s="61"/>
      <c r="F1" s="61"/>
      <c r="G1" s="59" t="s">
        <v>41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5" t="s">
        <v>55</v>
      </c>
      <c r="B4" t="s">
        <v>56</v>
      </c>
      <c r="C4" s="43" t="s">
        <v>57</v>
      </c>
      <c r="D4" s="42" t="s">
        <v>58</v>
      </c>
      <c r="E4" t="s">
        <v>59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2024-05-13T19:07:39Z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