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esktop\Monthly reports\"/>
    </mc:Choice>
  </mc:AlternateContent>
  <xr:revisionPtr revIDLastSave="0" documentId="8_{8AF5BA9A-7589-4377-B1EF-AEAB5D60C07C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I25" i="21" s="1"/>
  <c r="E25" i="21"/>
  <c r="F25" i="21" s="1"/>
  <c r="E24" i="21"/>
  <c r="F24" i="21" s="1"/>
  <c r="E23" i="21"/>
  <c r="F23" i="21" s="1"/>
  <c r="E22" i="21"/>
  <c r="F22" i="21"/>
  <c r="E21" i="21"/>
  <c r="F21" i="21" s="1"/>
  <c r="E20" i="21"/>
  <c r="F20" i="21" s="1"/>
  <c r="E19" i="21"/>
  <c r="F19" i="21" s="1"/>
  <c r="E18" i="21"/>
  <c r="F18" i="21"/>
  <c r="H23" i="4"/>
  <c r="I23" i="4" s="1"/>
  <c r="H24" i="4"/>
  <c r="I24" i="4" s="1"/>
  <c r="H25" i="4"/>
  <c r="I25" i="4" s="1"/>
  <c r="I22" i="4"/>
  <c r="E25" i="4"/>
  <c r="F25" i="4"/>
  <c r="E24" i="4"/>
  <c r="F24" i="4" s="1"/>
  <c r="E23" i="4"/>
  <c r="F23" i="4"/>
  <c r="E22" i="4"/>
  <c r="F22" i="4"/>
  <c r="E21" i="4"/>
  <c r="F21" i="4" s="1"/>
  <c r="E20" i="4"/>
  <c r="F20" i="4" s="1"/>
  <c r="E19" i="4"/>
  <c r="F19" i="4" s="1"/>
  <c r="E18" i="4"/>
  <c r="F18" i="4"/>
  <c r="I18" i="4"/>
  <c r="I19" i="4"/>
  <c r="H18" i="4"/>
  <c r="H19" i="4"/>
  <c r="H20" i="4"/>
  <c r="I20" i="4" s="1"/>
  <c r="H21" i="4"/>
  <c r="I21" i="4" s="1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18" i="3" l="1"/>
  <c r="E19" i="3"/>
  <c r="E20" i="3"/>
  <c r="E21" i="3"/>
  <c r="E22" i="3"/>
  <c r="E23" i="3"/>
  <c r="E24" i="3"/>
  <c r="E25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20" i="18" l="1"/>
  <c r="F20" i="18" s="1"/>
  <c r="E17" i="18"/>
  <c r="F17" i="18" s="1"/>
  <c r="E23" i="34"/>
  <c r="F23" i="34" s="1"/>
  <c r="E22" i="34"/>
  <c r="F22" i="34" s="1"/>
  <c r="E19" i="34"/>
  <c r="F19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E21" i="34"/>
  <c r="F21" i="34" s="1"/>
  <c r="E25" i="34"/>
  <c r="F25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D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H16" i="3"/>
  <c r="I16" i="3" s="1"/>
  <c r="E17" i="3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H5" i="3"/>
  <c r="I5" i="3" s="1"/>
  <c r="E6" i="3"/>
  <c r="H6" i="3"/>
  <c r="I6" i="3" s="1"/>
  <c r="E7" i="3"/>
  <c r="H7" i="3"/>
  <c r="I7" i="3" s="1"/>
  <c r="E8" i="3"/>
  <c r="H8" i="3"/>
  <c r="I8" i="3" s="1"/>
  <c r="E9" i="3"/>
  <c r="H9" i="3"/>
  <c r="I9" i="3" s="1"/>
  <c r="E10" i="3"/>
  <c r="H10" i="3"/>
  <c r="I10" i="3" s="1"/>
  <c r="E11" i="3"/>
  <c r="H11" i="3"/>
  <c r="I11" i="3" s="1"/>
  <c r="E12" i="3"/>
  <c r="H12" i="3"/>
  <c r="I12" i="3" s="1"/>
  <c r="E13" i="3"/>
  <c r="H13" i="3"/>
  <c r="I13" i="3" s="1"/>
  <c r="E14" i="3"/>
  <c r="H14" i="3"/>
  <c r="I14" i="3"/>
  <c r="E15" i="3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34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I16" i="21" l="1"/>
  <c r="H16" i="18"/>
  <c r="I16" i="18" s="1"/>
  <c r="E16" i="18"/>
  <c r="F16" i="18" s="1"/>
  <c r="E15" i="18"/>
  <c r="F15" i="18" s="1"/>
  <c r="E12" i="18"/>
  <c r="F12" i="18" s="1"/>
  <c r="E9" i="18"/>
  <c r="F9" i="18" s="1"/>
  <c r="D2" i="18"/>
  <c r="E8" i="18"/>
  <c r="F8" i="18" s="1"/>
  <c r="E6" i="18"/>
  <c r="F6" i="18" s="1"/>
  <c r="E4" i="18"/>
  <c r="F4" i="18" s="1"/>
  <c r="I17" i="21"/>
  <c r="H17" i="18"/>
  <c r="I17" i="18" s="1"/>
  <c r="E24" i="1"/>
  <c r="F24" i="1" s="1"/>
  <c r="E23" i="1"/>
  <c r="F23" i="1" s="1"/>
  <c r="H17" i="1"/>
  <c r="I17" i="1" s="1"/>
  <c r="H16" i="1"/>
  <c r="I16" i="1" s="1"/>
  <c r="E21" i="1"/>
  <c r="F21" i="1" s="1"/>
  <c r="I25" i="72"/>
  <c r="H25" i="34"/>
  <c r="I25" i="34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<sst xmlns="http://schemas.openxmlformats.org/spreadsheetml/2006/main" count="373" uniqueCount="128">
  <si>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</si>
  <si>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</si>
  <si>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</si>
  <si>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</si>
  <si>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</si>
  <si>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</si>
  <si>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</si>
  <si>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</si>
  <si>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</si>
  <si>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</si>
  <si>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</si>
  <si>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</si>
  <si>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</si>
  <si>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</si>
  <si>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</si>
  <si>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</si>
  <si>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</si>
  <si>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</si>
  <si>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</si>
  <si>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</si>
  <si>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</si>
  <si>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</si>
  <si>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</si>
  <si>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</si>
  <si>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</si>
  <si>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</si>
  <si>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</si>
  <si>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</si>
  <si>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</si>
  <si>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</si>
  <si>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</si>
  <si>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</si>
  <si>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</si>
  <si>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</si>
  <si>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</si>
  <si>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</si>
  <si>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</si>
  <si>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</si>
  <si>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</si>
  <si>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</si>
  <si>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</si>
  <si>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</si>
  <si>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</si>
  <si>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</si>
  <si>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</si>
  <si>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</si>
  <si>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</si>
  <si>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</si>
  <si>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</si>
  <si>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</si>
  <si>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</si>
  <si>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</si>
  <si>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</si>
  <si>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</si>
  <si>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</si>
  <si>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</si>
  <si>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</si>
  <si>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</si>
  <si>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</si>
  <si>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</si>
  <si>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</si>
  <si>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</si>
  <si>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</si>
  <si>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</si>
  <si>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</si>
  <si>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</si>
  <si>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</si>
  <si>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</si>
  <si>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</si>
  <si>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</si>
  <si>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</si>
  <si>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</si>
  <si>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</si>
  <si>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</si>
  <si>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</si>
  <si>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</si>
  <si>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</si>
  <si>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</si>
  <si>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</si>
  <si>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</si>
  <si>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</si>
  <si>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</si>
  <si>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</si>
  <si>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</si>
  <si>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FA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</si>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</sst>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P8" sqref="P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Silicon Ranch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5">
        <f>SUM(C4:C100)</f>
        <v>1639732.35</v>
      </c>
      <c r="D2" s="5">
        <f>SUM(D4:D100)</f>
        <v>0</v>
      </c>
      <c r="E2" s="5">
        <f>C2-D2</f>
        <v>1639732.35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3" t="str" cm="1">
        <f t="array" ref="A4:A25">Sites[Site]</f>
        <v>Iron Mountain - Windsor</v>
      </c>
      <c r="B4" s="32" t="str" cm="1">
        <f t="array" ref="B4:B25">Sites[State]</f>
        <v>CT</v>
      </c>
      <c r="C4" s="24">
        <f>SUM('1st Qtr'!C4, '2nd Qtr'!C4, '3rd Qtr'!C4, '4th Qtr'!C4)</f>
        <v>78618.75</v>
      </c>
      <c r="D4" s="13">
        <f>SUM('1st Qtr'!D4, '2nd Qtr'!D4, '3rd Qtr'!D4, '4th Qtr'!D4)</f>
        <v>0</v>
      </c>
      <c r="E4" s="13">
        <f>IF(AND(ISNUMBER(C4),ISNUMBER(D4)), C4-D4, "")</f>
        <v>78618.75</v>
      </c>
      <c r="F4" s="14" t="str">
        <f>IFERROR(E4/D4, "")</f>
        <v/>
      </c>
      <c r="G4" s="15">
        <f>SUM('1st Qtr'!G4, '2nd Qtr'!G4, '3rd Qtr'!G4, '4th Qtr'!G4)</f>
        <v>88459.170000000013</v>
      </c>
      <c r="H4" s="15">
        <f>SUM('1st Qtr'!H4, '2nd Qtr'!H4, '3rd Qtr'!H4, '4th Qtr'!H4)</f>
        <v>-9840.4200000000019</v>
      </c>
      <c r="I4" s="16">
        <f>IFERROR(H4/G4, "")</f>
        <v>-0.11124250883204082</v>
      </c>
    </row>
    <row r="5" spans="1:9" ht="15.75">
      <c r="A5" s="54" t="str">
        <v>Kohls - Auburn</v>
      </c>
      <c r="B5" s="3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SUM('1st Qtr'!G5, '2nd Qtr'!G5, '3rd Qtr'!G5, '4th Qtr'!G5)</f>
        <v>73510.48000000001</v>
      </c>
      <c r="H5" s="20">
        <f>SUM(Jan!H5, Feb!H5, Mar!H5)</f>
        <v>5388.09</v>
      </c>
      <c r="I5" s="19">
        <f>IFERROR(H5/G5, "")</f>
        <v>7.3296895898380746E-2</v>
      </c>
    </row>
    <row r="6" spans="1:9" ht="15.75">
      <c r="A6" s="55" t="str">
        <v>Kohls - Bensalem</v>
      </c>
      <c r="B6" s="28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SUM('1st Qtr'!G6, '2nd Qtr'!G6, '3rd Qtr'!G6, '4th Qtr'!G6)</f>
        <v>99527.789999999979</v>
      </c>
      <c r="H6" s="15">
        <f>SUM(Jan!H6, Feb!H6, Mar!H6)</f>
        <v>1265.9800000000014</v>
      </c>
      <c r="I6" s="16">
        <f t="shared" ref="I6:I15" si="2">IFERROR(H6/G6, "")</f>
        <v>1.2719864472023359E-2</v>
      </c>
    </row>
    <row r="7" spans="1:9" ht="15.75">
      <c r="A7" s="54" t="str">
        <v>Kohls - Brick</v>
      </c>
      <c r="B7" s="3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SUM('1st Qtr'!G7, '2nd Qtr'!G7, '3rd Qtr'!G7, '4th Qtr'!G7)</f>
        <v>116426.45</v>
      </c>
      <c r="H7" s="20">
        <f>SUM(Jan!H7, Feb!H7, Mar!H7)</f>
        <v>-1190.8600000000006</v>
      </c>
      <c r="I7" s="19">
        <f t="shared" si="2"/>
        <v>-1.022843176958501E-2</v>
      </c>
    </row>
    <row r="8" spans="1:9" ht="15.75">
      <c r="A8" s="55" t="str">
        <v>Kohls - Buffalo</v>
      </c>
      <c r="B8" s="28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SUM('1st Qtr'!G8, '2nd Qtr'!G8, '3rd Qtr'!G8, '4th Qtr'!G8)</f>
        <v>99014.5</v>
      </c>
      <c r="H8" s="15">
        <f>SUM(Jan!H8, Feb!H8, Mar!H8)</f>
        <v>-818.3700000000008</v>
      </c>
      <c r="I8" s="16">
        <f t="shared" si="2"/>
        <v>-8.2651530836392734E-3</v>
      </c>
    </row>
    <row r="9" spans="1:9" ht="15.75">
      <c r="A9" s="54" t="str">
        <v>Kohls - Canton</v>
      </c>
      <c r="B9" s="3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SUM('1st Qtr'!G9, '2nd Qtr'!G9, '3rd Qtr'!G9, '4th Qtr'!G9)</f>
        <v>37773.300000000003</v>
      </c>
      <c r="H9" s="20">
        <f>SUM(Jan!H9, Feb!H9, Mar!H9)</f>
        <v>509.94999999999982</v>
      </c>
      <c r="I9" s="19">
        <f t="shared" si="2"/>
        <v>1.3500276650438266E-2</v>
      </c>
    </row>
    <row r="10" spans="1:9" ht="15.75">
      <c r="A10" s="55" t="str">
        <v>Kohls - East Amherst</v>
      </c>
      <c r="B10" s="28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SUM('1st Qtr'!G10, '2nd Qtr'!G10, '3rd Qtr'!G10, '4th Qtr'!G10)</f>
        <v>90513.16</v>
      </c>
      <c r="H10" s="15">
        <f>SUM(Jan!H10, Feb!H10, Mar!H10)</f>
        <v>-2308.6900000000005</v>
      </c>
      <c r="I10" s="16">
        <f t="shared" si="2"/>
        <v>-2.5506677702999216E-2</v>
      </c>
    </row>
    <row r="11" spans="1:9" ht="15.75">
      <c r="A11" s="54" t="str">
        <v>Kohls - East Brunswick</v>
      </c>
      <c r="B11" s="3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SUM('1st Qtr'!G11, '2nd Qtr'!G11, '3rd Qtr'!G11, '4th Qtr'!G11)</f>
        <v>153301.68</v>
      </c>
      <c r="H11" s="20">
        <f>SUM(Jan!H11, Feb!H11, Mar!H11)</f>
        <v>-20451.719999999998</v>
      </c>
      <c r="I11" s="19">
        <f t="shared" si="2"/>
        <v>-0.13340832272679595</v>
      </c>
    </row>
    <row r="12" spans="1:9" ht="15.75">
      <c r="A12" s="55" t="str">
        <v>Kohls - Edgewood</v>
      </c>
      <c r="B12" s="28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SUM('1st Qtr'!G12, '2nd Qtr'!G12, '3rd Qtr'!G12, '4th Qtr'!G12)</f>
        <v>827979.36</v>
      </c>
      <c r="H12" s="15">
        <f>SUM(Jan!H12, Feb!H12, Mar!H12)</f>
        <v>-55603.870000000024</v>
      </c>
      <c r="I12" s="16">
        <f t="shared" si="2"/>
        <v>-6.7156106403425356E-2</v>
      </c>
    </row>
    <row r="13" spans="1:9" ht="15.75">
      <c r="A13" s="54" t="str">
        <v>Kohls - Granite Run</v>
      </c>
      <c r="B13" s="3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SUM('1st Qtr'!G13, '2nd Qtr'!G13, '3rd Qtr'!G13, '4th Qtr'!G13)</f>
        <v>99592.790000000008</v>
      </c>
      <c r="H13" s="20">
        <f>SUM(Jan!H13, Feb!H13, Mar!H13)</f>
        <v>-2068.1600000000035</v>
      </c>
      <c r="I13" s="19">
        <f t="shared" si="2"/>
        <v>-2.0766161887823438E-2</v>
      </c>
    </row>
    <row r="14" spans="1:9" ht="15.75">
      <c r="A14" s="55" t="str">
        <v>Kohls - Greece</v>
      </c>
      <c r="B14" s="28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SUM('1st Qtr'!G14, '2nd Qtr'!G14, '3rd Qtr'!G14, '4th Qtr'!G14)</f>
        <v>93645.22</v>
      </c>
      <c r="H14" s="15">
        <f>SUM(Jan!H14, Feb!H14, Mar!H14)</f>
        <v>-11100.830000000002</v>
      </c>
      <c r="I14" s="16">
        <f t="shared" si="2"/>
        <v>-0.11854134145875253</v>
      </c>
    </row>
    <row r="15" spans="1:9" ht="15.75">
      <c r="A15" s="54" t="str">
        <v>Kohls - Hanover</v>
      </c>
      <c r="B15" s="3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SUM('1st Qtr'!G15, '2nd Qtr'!G15, '3rd Qtr'!G15, '4th Qtr'!G15)</f>
        <v>113122.78</v>
      </c>
      <c r="H15" s="20">
        <f>SUM(Jan!H15, Feb!H15, Mar!H15)</f>
        <v>-9545.6699999999983</v>
      </c>
      <c r="I15" s="19">
        <f t="shared" si="2"/>
        <v>-8.4383269223051255E-2</v>
      </c>
    </row>
    <row r="16" spans="1:9" ht="15.75">
      <c r="A16" s="55" t="str">
        <v>Kohls - Horsehead</v>
      </c>
      <c r="B16" s="28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9" si="3">IF(AND(ISNUMBER(C16),ISNUMBER(D16)), C16-D16, "")</f>
        <v>44058</v>
      </c>
      <c r="F16" s="14" t="str">
        <f t="shared" ref="F16:F19" si="4">IFERROR(E16/D16, "")</f>
        <v/>
      </c>
      <c r="G16" s="15">
        <f>SUM('1st Qtr'!G16, '2nd Qtr'!G16, '3rd Qtr'!G16, '4th Qtr'!G16)</f>
        <v>82496.540000000008</v>
      </c>
      <c r="H16" s="15">
        <f>SUM(Jan!H16, Feb!H16, Mar!H16)</f>
        <v>-9727.880000000001</v>
      </c>
      <c r="I16" s="16">
        <f t="shared" ref="I16:I19" si="5">IFERROR(H16/G16, "")</f>
        <v>-0.11791864240609364</v>
      </c>
    </row>
    <row r="17" spans="1:9" ht="15.75">
      <c r="A17" s="54" t="str">
        <v>Kohls - Hudson</v>
      </c>
      <c r="B17" s="3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SUM('1st Qtr'!G17, '2nd Qtr'!G17, '3rd Qtr'!G17, '4th Qtr'!G17)</f>
        <v>94046.069999999992</v>
      </c>
      <c r="H17" s="20">
        <f>SUM(Jan!H17, Feb!H17, Mar!H17)</f>
        <v>-40461.81</v>
      </c>
      <c r="I17" s="19">
        <f t="shared" si="5"/>
        <v>-0.43023392684032413</v>
      </c>
    </row>
    <row r="18" spans="1:9" ht="12.75" customHeight="1">
      <c r="A18" s="55" t="str">
        <v>Kohls - Ithaca</v>
      </c>
      <c r="B18" s="28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SUM('1st Qtr'!G18, '2nd Qtr'!G18, '3rd Qtr'!G18, '4th Qtr'!G18)</f>
        <v>91491.92</v>
      </c>
      <c r="H18" s="15">
        <f>SUM(Jan!H18, Feb!H18, Mar!H18)</f>
        <v>-13588.449999999999</v>
      </c>
      <c r="I18" s="16">
        <f t="shared" si="5"/>
        <v>-0.14852076554956983</v>
      </c>
    </row>
    <row r="19" spans="1:9" ht="15.75">
      <c r="A19" s="54" t="str">
        <v>Kohls - Kingston</v>
      </c>
      <c r="B19" s="3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si="3"/>
        <v>87519</v>
      </c>
      <c r="F19" s="19" t="str">
        <f t="shared" si="4"/>
        <v/>
      </c>
      <c r="G19" s="20">
        <f>SUM('1st Qtr'!G19, '2nd Qtr'!G19, '3rd Qtr'!G19, '4th Qtr'!G19)</f>
        <v>142341.5</v>
      </c>
      <c r="H19" s="20">
        <f>SUM(Jan!H19, Feb!H19, Mar!H19)</f>
        <v>-1325.5890000000036</v>
      </c>
      <c r="I19" s="19">
        <f t="shared" si="5"/>
        <v>-9.312737325375969E-3</v>
      </c>
    </row>
    <row r="20" spans="1:9" ht="15.75">
      <c r="A20" s="55" t="str">
        <v>Kohls - Mechanicsburg</v>
      </c>
      <c r="B20" s="28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ref="E20:E25" si="6">IF(AND(ISNUMBER(C20),ISNUMBER(D20)), C20-D20, "")</f>
        <v>83627</v>
      </c>
      <c r="F20" s="14" t="str">
        <f t="shared" ref="F20:F25" si="7">IFERROR(E20/D20, "")</f>
        <v/>
      </c>
      <c r="G20" s="15">
        <f>SUM('1st Qtr'!G20, '2nd Qtr'!G20, '3rd Qtr'!G20, '4th Qtr'!G20)</f>
        <v>130451</v>
      </c>
      <c r="H20" s="15">
        <f>SUM(Jan!H20, Feb!H20, Mar!H20)</f>
        <v>-821.72000000000116</v>
      </c>
      <c r="I20" s="16">
        <f t="shared" ref="I20:I25" si="8">IFERROR(H20/G20, "")</f>
        <v>-6.2990701489448239E-3</v>
      </c>
    </row>
    <row r="21" spans="1:9" ht="15.75">
      <c r="A21" s="54" t="str">
        <v>Kohls - Middletown</v>
      </c>
      <c r="B21" s="3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SUM('1st Qtr'!G21, '2nd Qtr'!G21, '3rd Qtr'!G21, '4th Qtr'!G21)</f>
        <v>179721</v>
      </c>
      <c r="H21" s="20">
        <f>SUM(Jan!H21, Feb!H21, Mar!H21)</f>
        <v>-88345.459999999992</v>
      </c>
      <c r="I21" s="19">
        <f t="shared" si="8"/>
        <v>-0.49157004468036564</v>
      </c>
    </row>
    <row r="22" spans="1:9" ht="15.75">
      <c r="A22" s="55" t="str">
        <v>Kohls - North Amherst</v>
      </c>
      <c r="B22" s="28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SUM('1st Qtr'!G22, '2nd Qtr'!G22, '3rd Qtr'!G22, '4th Qtr'!G22)</f>
        <v>81844.01999999999</v>
      </c>
      <c r="H22" s="15">
        <f>SUM(Jan!H22, Feb!H22, Mar!H22)</f>
        <v>-6786.4499999999989</v>
      </c>
      <c r="I22" s="16">
        <f t="shared" si="8"/>
        <v>-8.2919314080613343E-2</v>
      </c>
    </row>
    <row r="23" spans="1:9" ht="15.75">
      <c r="A23" s="54" t="str">
        <v>Kohls - Staten Island</v>
      </c>
      <c r="B23" s="3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SUM('1st Qtr'!G23, '2nd Qtr'!G23, '3rd Qtr'!G23, '4th Qtr'!G23)</f>
        <v>110242.17000000001</v>
      </c>
      <c r="H23" s="20">
        <f>SUM(Jan!H23, Feb!H23, Mar!H23)</f>
        <v>-8920.7000000000007</v>
      </c>
      <c r="I23" s="19">
        <f t="shared" si="8"/>
        <v>-8.0919125594135166E-2</v>
      </c>
    </row>
    <row r="24" spans="1:9" ht="15.75">
      <c r="A24" s="55" t="str">
        <v>Kohls - Warminster</v>
      </c>
      <c r="B24" s="28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SUM('1st Qtr'!G24, '2nd Qtr'!G24, '3rd Qtr'!G24, '4th Qtr'!G24)</f>
        <v>114082.19</v>
      </c>
      <c r="H24" s="15">
        <f>SUM(Jan!H24, Feb!H24, Mar!H24)</f>
        <v>-40277.78</v>
      </c>
      <c r="I24" s="16">
        <f t="shared" si="8"/>
        <v>-0.3530593162701382</v>
      </c>
    </row>
    <row r="25" spans="1:9" ht="15.75">
      <c r="A25" s="54" t="str">
        <v xml:space="preserve">Kohls - Waterbury </v>
      </c>
      <c r="B25" s="3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 t="e">
        <f>SUM('1st Qtr'!G25, '2nd Qtr'!G25, '3rd Qtr'!G25, '4th Qtr'!G25)</f>
        <v>#REF!</v>
      </c>
      <c r="H25" s="20">
        <f>SUM(Jan!H25, Feb!H25, Mar!H25)</f>
        <v>-2028.6800000000021</v>
      </c>
      <c r="I25" s="19" t="str">
        <f t="shared" si="8"/>
        <v/>
      </c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Silicon Ranch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51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50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51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50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51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50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51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50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51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50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51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50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51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50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51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50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51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50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51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50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51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 t="e">
        <f>SUM(Jan!G25, Feb!G25, Mar!#REF!)</f>
        <v>#REF!</v>
      </c>
      <c r="H25" s="20">
        <f>SUM(Jan!H25, Feb!H25, Mar!H25)</f>
        <v>-2028.6800000000021</v>
      </c>
      <c r="I25" s="16" t="str">
        <f t="shared" si="8"/>
        <v/>
      </c>
    </row>
    <row r="26" spans="1:9" ht="15">
      <c r="A26" s="21"/>
      <c r="B26" s="10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tabSelected="1"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Silicon Ranch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28698</v>
      </c>
      <c r="D4" s="13">
        <f>SUM(Apr!D4, May!D4, Jun!D4)</f>
        <v>0</v>
      </c>
      <c r="E4" s="13">
        <f>IF(AND(ISNUMBER(C4),ISNUMBER(D4)), C4-D4, "")</f>
        <v>28698</v>
      </c>
      <c r="F4" s="14" t="str">
        <f>IFERROR(E4/D4, "")</f>
        <v/>
      </c>
      <c r="G4" s="15">
        <f>SUM(Apr!G4, May!G4, Jun!G4)</f>
        <v>31152.93</v>
      </c>
      <c r="H4" s="15">
        <f>SUM(Apr!H4, May!H4, Jun!H4)</f>
        <v>-2454.9300000000003</v>
      </c>
      <c r="I4" s="16">
        <f>IFERROR(H4/G4, "")</f>
        <v>-7.8802539600608998E-2</v>
      </c>
    </row>
    <row r="5" spans="1:9" ht="15.75">
      <c r="A5" s="51" t="str">
        <v>Kohls - Auburn</v>
      </c>
      <c r="B5" s="10" t="str">
        <v>NY</v>
      </c>
      <c r="C5" s="11">
        <f>SUM(Apr!C5, May!C5, Jun!C5)</f>
        <v>28241</v>
      </c>
      <c r="D5" s="18">
        <f>SUM(Apr!D5, May!D5, Jun!D5)</f>
        <v>0</v>
      </c>
      <c r="E5" s="18">
        <f t="shared" ref="E5:E15" si="0">IF(AND(ISNUMBER(C5),ISNUMBER(D5)), C5-D5, "")</f>
        <v>28241</v>
      </c>
      <c r="F5" s="19" t="str">
        <f>IFERROR(E5/D5, "")</f>
        <v/>
      </c>
      <c r="G5" s="20">
        <f>SUM(Apr!G5, May!G5, Jun!G5)</f>
        <v>34098.57</v>
      </c>
      <c r="H5" s="20">
        <f>SUM(Apr!H5, May!H5, Jun!H5)</f>
        <v>-5857.57</v>
      </c>
      <c r="I5" s="19">
        <f>IFERROR(H5/G5, "")</f>
        <v>-0.17178345015641416</v>
      </c>
    </row>
    <row r="6" spans="1:9" ht="15.75">
      <c r="A6" s="50" t="str">
        <v>Kohls - Bensalem</v>
      </c>
      <c r="B6" s="9" t="str">
        <v>PA</v>
      </c>
      <c r="C6" s="24">
        <f>SUM(Apr!C6, May!C6, Jun!C6)</f>
        <v>35384</v>
      </c>
      <c r="D6" s="13">
        <f>SUM(Apr!D6, May!D6, Jun!D6)</f>
        <v>0</v>
      </c>
      <c r="E6" s="13">
        <f t="shared" si="0"/>
        <v>35384</v>
      </c>
      <c r="F6" s="14" t="str">
        <f t="shared" ref="F6:F15" si="1">IFERROR(E6/D6, "")</f>
        <v/>
      </c>
      <c r="G6" s="15">
        <f>SUM(Apr!G6, May!G6, Jun!G6)</f>
        <v>33865.769999999997</v>
      </c>
      <c r="H6" s="15">
        <f>SUM(Apr!H6, May!H6, Jun!H6)</f>
        <v>1518.2300000000032</v>
      </c>
      <c r="I6" s="16">
        <f t="shared" ref="I6:I15" si="2">IFERROR(H6/G6, "")</f>
        <v>4.4830812941799442E-2</v>
      </c>
    </row>
    <row r="7" spans="1:9" ht="15.75">
      <c r="A7" s="51" t="str">
        <v>Kohls - Brick</v>
      </c>
      <c r="B7" s="10" t="str">
        <v>NJ</v>
      </c>
      <c r="C7" s="11">
        <f>SUM(Apr!C7, May!C7, Jun!C7)</f>
        <v>38934</v>
      </c>
      <c r="D7" s="18">
        <f>SUM(Apr!D7, May!D7, Jun!D7)</f>
        <v>0</v>
      </c>
      <c r="E7" s="18">
        <f t="shared" si="0"/>
        <v>38934</v>
      </c>
      <c r="F7" s="19" t="str">
        <f t="shared" si="1"/>
        <v/>
      </c>
      <c r="G7" s="20">
        <f>SUM(Apr!G7, May!G7, Jun!G7)</f>
        <v>41145.589999999997</v>
      </c>
      <c r="H7" s="20">
        <f>SUM(Apr!H7, May!H7, Jun!H7)</f>
        <v>-2211.5899999999965</v>
      </c>
      <c r="I7" s="19">
        <f t="shared" si="2"/>
        <v>-5.3750353318545115E-2</v>
      </c>
    </row>
    <row r="8" spans="1:9" ht="15.75">
      <c r="A8" s="50" t="str">
        <v>Kohls - Buffalo</v>
      </c>
      <c r="B8" s="9" t="str">
        <v>NY</v>
      </c>
      <c r="C8" s="24">
        <f>SUM(Apr!C8, May!C8, Jun!C8)</f>
        <v>34857</v>
      </c>
      <c r="D8" s="13">
        <f>SUM(Apr!D8, May!D8, Jun!D8)</f>
        <v>0</v>
      </c>
      <c r="E8" s="13">
        <f t="shared" si="0"/>
        <v>34857</v>
      </c>
      <c r="F8" s="14" t="str">
        <f t="shared" si="1"/>
        <v/>
      </c>
      <c r="G8" s="15">
        <f>SUM(Apr!G8, May!G8, Jun!G8)</f>
        <v>44287.13</v>
      </c>
      <c r="H8" s="15">
        <f>SUM(Apr!H8, May!H8, Jun!H8)</f>
        <v>-9430.1299999999974</v>
      </c>
      <c r="I8" s="16">
        <f t="shared" si="2"/>
        <v>-0.21293161241200317</v>
      </c>
    </row>
    <row r="9" spans="1:9" ht="15.75">
      <c r="A9" s="51" t="str">
        <v>Kohls - Canton</v>
      </c>
      <c r="B9" s="10" t="str">
        <v>CT</v>
      </c>
      <c r="C9" s="11">
        <f>SUM(Apr!C9, May!C9, Jun!C9)</f>
        <v>13928</v>
      </c>
      <c r="D9" s="18">
        <f>SUM(Apr!D9, May!D9, Jun!D9)</f>
        <v>0</v>
      </c>
      <c r="E9" s="18">
        <f t="shared" si="0"/>
        <v>13928</v>
      </c>
      <c r="F9" s="19" t="str">
        <f t="shared" si="1"/>
        <v/>
      </c>
      <c r="G9" s="20">
        <f>SUM(Apr!G9, May!G9, Jun!G9)</f>
        <v>13718.25</v>
      </c>
      <c r="H9" s="20">
        <f>SUM(Apr!H9, May!H9, Jun!H9)</f>
        <v>209.75</v>
      </c>
      <c r="I9" s="19">
        <f t="shared" si="2"/>
        <v>1.5289851110746632E-2</v>
      </c>
    </row>
    <row r="10" spans="1:9" ht="15.75">
      <c r="A10" s="50" t="str">
        <v>Kohls - East Amherst</v>
      </c>
      <c r="B10" s="9" t="str">
        <v>NY</v>
      </c>
      <c r="C10" s="24">
        <f>SUM(Apr!C10, May!C10, Jun!C10)</f>
        <v>32595</v>
      </c>
      <c r="D10" s="13">
        <f>SUM(Apr!D10, May!D10, Jun!D10)</f>
        <v>0</v>
      </c>
      <c r="E10" s="13">
        <f t="shared" si="0"/>
        <v>32595</v>
      </c>
      <c r="F10" s="14" t="str">
        <f t="shared" si="1"/>
        <v/>
      </c>
      <c r="G10" s="15">
        <f>SUM(Apr!G10, May!G10, Jun!G10)</f>
        <v>38964.47</v>
      </c>
      <c r="H10" s="15">
        <f>SUM(Apr!H10, May!H10, Jun!H10)</f>
        <v>-6369.4700000000012</v>
      </c>
      <c r="I10" s="16">
        <f t="shared" si="2"/>
        <v>-0.16346866773755683</v>
      </c>
    </row>
    <row r="11" spans="1:9" ht="15.75">
      <c r="A11" s="51" t="str">
        <v>Kohls - East Brunswick</v>
      </c>
      <c r="B11" s="10" t="str">
        <v>NJ</v>
      </c>
      <c r="C11" s="11">
        <f>SUM(Apr!C11, May!C11, Jun!C11)</f>
        <v>45596</v>
      </c>
      <c r="D11" s="18">
        <f>SUM(Apr!D11, May!D11, Jun!D11)</f>
        <v>0</v>
      </c>
      <c r="E11" s="18">
        <f t="shared" si="0"/>
        <v>45596</v>
      </c>
      <c r="F11" s="19" t="str">
        <f t="shared" si="1"/>
        <v/>
      </c>
      <c r="G11" s="20">
        <f>SUM(Apr!G11, May!G11, Jun!G11)</f>
        <v>52856.959999999999</v>
      </c>
      <c r="H11" s="20">
        <f>SUM(Apr!H11, May!H11, Jun!H11)</f>
        <v>-7260.9599999999991</v>
      </c>
      <c r="I11" s="19">
        <f t="shared" si="2"/>
        <v>-0.1373699887394205</v>
      </c>
    </row>
    <row r="12" spans="1:9" ht="15.75">
      <c r="A12" s="50" t="str">
        <v>Kohls - Edgewood</v>
      </c>
      <c r="B12" s="9" t="str">
        <v>MD</v>
      </c>
      <c r="C12" s="24">
        <f>SUM(Apr!C12, May!C12, Jun!C12)</f>
        <v>236845</v>
      </c>
      <c r="D12" s="13">
        <f>SUM(Apr!D12, May!D12, Jun!D12)</f>
        <v>0</v>
      </c>
      <c r="E12" s="13">
        <f t="shared" si="0"/>
        <v>236845</v>
      </c>
      <c r="F12" s="14" t="str">
        <f t="shared" si="1"/>
        <v/>
      </c>
      <c r="G12" s="15">
        <f>SUM(Apr!G12, May!G12, Jun!G12)</f>
        <v>283313.49</v>
      </c>
      <c r="H12" s="15">
        <f>SUM(Apr!H12, May!H12, Jun!H12)</f>
        <v>-46468.489999999991</v>
      </c>
      <c r="I12" s="16">
        <f t="shared" si="2"/>
        <v>-0.16401792233754908</v>
      </c>
    </row>
    <row r="13" spans="1:9" ht="15.75">
      <c r="A13" s="51" t="str">
        <v>Kohls - Granite Run</v>
      </c>
      <c r="B13" s="10" t="str">
        <v>PA</v>
      </c>
      <c r="C13" s="11">
        <f>SUM(Apr!C13, May!C13, Jun!C13)</f>
        <v>32668</v>
      </c>
      <c r="D13" s="18">
        <f>SUM(Apr!D13, May!D13, Jun!D13)</f>
        <v>0</v>
      </c>
      <c r="E13" s="18">
        <f t="shared" si="0"/>
        <v>32668</v>
      </c>
      <c r="F13" s="19" t="str">
        <f t="shared" si="1"/>
        <v/>
      </c>
      <c r="G13" s="20">
        <f>SUM(Apr!G13, May!G13, Jun!G13)</f>
        <v>33875.629999999997</v>
      </c>
      <c r="H13" s="20">
        <f>SUM(Apr!H13, May!H13, Jun!H13)</f>
        <v>-1207.6299999999974</v>
      </c>
      <c r="I13" s="19">
        <f t="shared" si="2"/>
        <v>-3.5648931104749856E-2</v>
      </c>
    </row>
    <row r="14" spans="1:9" ht="15.75">
      <c r="A14" s="50" t="str">
        <v>Kohls - Greece</v>
      </c>
      <c r="B14" s="9" t="str">
        <v>NY</v>
      </c>
      <c r="C14" s="24">
        <f>SUM(Apr!C14, May!C14, Jun!C14)</f>
        <v>27098</v>
      </c>
      <c r="D14" s="13">
        <f>SUM(Apr!D14, May!D14, Jun!D14)</f>
        <v>0</v>
      </c>
      <c r="E14" s="13">
        <f t="shared" si="0"/>
        <v>27098</v>
      </c>
      <c r="F14" s="14" t="str">
        <f t="shared" si="1"/>
        <v/>
      </c>
      <c r="G14" s="15">
        <f>SUM(Apr!G14, May!G14, Jun!G14)</f>
        <v>41686.39</v>
      </c>
      <c r="H14" s="15">
        <f>SUM(Apr!H14, May!H14, Jun!H14)</f>
        <v>-14588.39</v>
      </c>
      <c r="I14" s="16">
        <f t="shared" si="2"/>
        <v>-0.34995570496749656</v>
      </c>
    </row>
    <row r="15" spans="1:9" ht="15.75">
      <c r="A15" s="51" t="str">
        <v>Kohls - Hanover</v>
      </c>
      <c r="B15" s="10" t="str">
        <v>PA</v>
      </c>
      <c r="C15" s="11">
        <f>SUM(Apr!C15, May!C15, Jun!C15)</f>
        <v>22308</v>
      </c>
      <c r="D15" s="18">
        <f>SUM(Apr!D15, May!D15, Jun!D15)</f>
        <v>0</v>
      </c>
      <c r="E15" s="18">
        <f t="shared" si="0"/>
        <v>22308</v>
      </c>
      <c r="F15" s="19" t="str">
        <f t="shared" si="1"/>
        <v/>
      </c>
      <c r="G15" s="20">
        <f>SUM(Apr!G15, May!G15, Jun!G15)</f>
        <v>39384.11</v>
      </c>
      <c r="H15" s="20">
        <f>SUM(Apr!H15, May!H15, Jun!H15)</f>
        <v>-17076.11</v>
      </c>
      <c r="I15" s="19">
        <f t="shared" si="2"/>
        <v>-0.43357866916378207</v>
      </c>
    </row>
    <row r="16" spans="1:9" ht="15.75">
      <c r="A16" s="50" t="str">
        <v>Kohls - Horsehead</v>
      </c>
      <c r="B16" s="9" t="str">
        <v>NY</v>
      </c>
      <c r="C16" s="24">
        <f>SUM(Apr!C16, May!C16, Jun!C16)</f>
        <v>25184</v>
      </c>
      <c r="D16" s="13">
        <f>SUM(Apr!D16, May!D16, Jun!D16)</f>
        <v>0</v>
      </c>
      <c r="E16" s="13">
        <f t="shared" ref="E16:E18" si="3">IF(AND(ISNUMBER(C16),ISNUMBER(D16)), C16-D16, "")</f>
        <v>25184</v>
      </c>
      <c r="F16" s="14" t="str">
        <f t="shared" ref="F16:F18" si="4">IFERROR(E16/D16, "")</f>
        <v/>
      </c>
      <c r="G16" s="15">
        <f>SUM(Apr!G16, May!G16, Jun!G16)</f>
        <v>28710.66</v>
      </c>
      <c r="H16" s="15">
        <f>SUM(Apr!H16, May!H16, Jun!H16)</f>
        <v>-3526.66</v>
      </c>
      <c r="I16" s="16">
        <f t="shared" ref="I16:I18" si="5">IFERROR(H16/G16, "")</f>
        <v>-0.12283451512434754</v>
      </c>
    </row>
    <row r="17" spans="1:9" ht="15.75">
      <c r="A17" s="51" t="str">
        <v>Kohls - Hudson</v>
      </c>
      <c r="B17" s="10" t="str">
        <v>NY</v>
      </c>
      <c r="C17" s="24">
        <f>SUM(Apr!C17, May!C17, Jun!C17)</f>
        <v>29971</v>
      </c>
      <c r="D17" s="13">
        <f>SUM(Apr!D17, May!D17, Jun!D17)</f>
        <v>0</v>
      </c>
      <c r="E17" s="13">
        <f t="shared" si="3"/>
        <v>29971</v>
      </c>
      <c r="F17" s="14" t="str">
        <f t="shared" si="4"/>
        <v/>
      </c>
      <c r="G17" s="20">
        <f>SUM(Apr!G17, May!G17, Jun!G17)</f>
        <v>32756.26</v>
      </c>
      <c r="H17" s="15">
        <f>SUM(Apr!H17, May!H17, Jun!H17)</f>
        <v>-2785.2599999999984</v>
      </c>
      <c r="I17" s="16">
        <f t="shared" si="5"/>
        <v>-8.5029853835572142E-2</v>
      </c>
    </row>
    <row r="18" spans="1:9" ht="12.75" customHeight="1">
      <c r="A18" s="50" t="str">
        <v>Kohls - Ithaca</v>
      </c>
      <c r="B18" s="9" t="str">
        <v>NY</v>
      </c>
      <c r="C18" s="11">
        <f>SUM(Apr!C18, May!C18, Jun!C18)</f>
        <v>26588</v>
      </c>
      <c r="D18" s="18">
        <f>SUM(Apr!D18, May!D18, Jun!D18)</f>
        <v>0</v>
      </c>
      <c r="E18" s="18">
        <f t="shared" si="3"/>
        <v>26588</v>
      </c>
      <c r="F18" s="19" t="str">
        <f t="shared" si="4"/>
        <v/>
      </c>
      <c r="G18" s="15">
        <f>SUM(Apr!G18, May!G18, Jun!G18)</f>
        <v>34443.47</v>
      </c>
      <c r="H18" s="20">
        <f>SUM(Apr!H18, May!H18, Jun!H18)</f>
        <v>-7855.4700000000012</v>
      </c>
      <c r="I18" s="19">
        <f t="shared" si="5"/>
        <v>-0.22806848438905838</v>
      </c>
    </row>
    <row r="19" spans="1:9" ht="15.75">
      <c r="A19" s="51" t="str">
        <v>Kohls - Kingston</v>
      </c>
      <c r="B19" s="10" t="str">
        <v>NY</v>
      </c>
      <c r="C19" s="24">
        <f>SUM(Apr!C19, May!C19, Jun!C19)</f>
        <v>36617</v>
      </c>
      <c r="D19" s="13">
        <f>SUM(Apr!D19, May!D19, Jun!D19)</f>
        <v>0</v>
      </c>
      <c r="E19" s="13">
        <f t="shared" ref="E19:E25" si="6">IF(AND(ISNUMBER(C19),ISNUMBER(D19)), C19-D19, "")</f>
        <v>36617</v>
      </c>
      <c r="F19" s="14" t="str">
        <f t="shared" ref="F19:F25" si="7">IFERROR(E19/D19, "")</f>
        <v/>
      </c>
      <c r="G19" s="20">
        <f>SUM(Apr!G19, May!G19, Jun!G19)</f>
        <v>53496.911</v>
      </c>
      <c r="H19" s="15">
        <f>SUM(Apr!H19, May!H19, Jun!H19)</f>
        <v>-16879.911</v>
      </c>
      <c r="I19" s="16">
        <f t="shared" ref="I19:I25" si="8">IFERROR(H19/G19, "")</f>
        <v>-0.31553057334469276</v>
      </c>
    </row>
    <row r="20" spans="1:9" ht="15.75">
      <c r="A20" s="50" t="str">
        <v>Kohls - Mechanicsburg</v>
      </c>
      <c r="B20" s="9" t="str">
        <v>PA</v>
      </c>
      <c r="C20" s="24">
        <f>SUM(Apr!C20, May!C20, Jun!C20)</f>
        <v>41872</v>
      </c>
      <c r="D20" s="13">
        <f>SUM(Apr!D20, May!D20, Jun!D20)</f>
        <v>0</v>
      </c>
      <c r="E20" s="13">
        <f t="shared" si="6"/>
        <v>41872</v>
      </c>
      <c r="F20" s="14" t="str">
        <f t="shared" si="7"/>
        <v/>
      </c>
      <c r="G20" s="15">
        <f>SUM(Apr!G20, May!G20, Jun!G20)</f>
        <v>46002.28</v>
      </c>
      <c r="H20" s="15">
        <f>SUM(Apr!H20, May!H20, Jun!H20)</f>
        <v>-4130.2799999999988</v>
      </c>
      <c r="I20" s="16">
        <f t="shared" si="8"/>
        <v>-8.9784245476528537E-2</v>
      </c>
    </row>
    <row r="21" spans="1:9" ht="15.75">
      <c r="A21" s="51" t="str">
        <v>Kohls - Middletown</v>
      </c>
      <c r="B21" s="10" t="str">
        <v>NJ</v>
      </c>
      <c r="C21" s="11">
        <f>SUM(Apr!C21, May!C21, Jun!C21)</f>
        <v>59946</v>
      </c>
      <c r="D21" s="18">
        <f>SUM(Apr!D21, May!D21, Jun!D21)</f>
        <v>0</v>
      </c>
      <c r="E21" s="18">
        <f t="shared" si="6"/>
        <v>59946</v>
      </c>
      <c r="F21" s="19" t="str">
        <f t="shared" si="7"/>
        <v/>
      </c>
      <c r="G21" s="20">
        <f>SUM(Apr!G21, May!G21, Jun!G21)</f>
        <v>60664.54</v>
      </c>
      <c r="H21" s="20">
        <f>SUM(Apr!H21, May!H21, Jun!H21)</f>
        <v>-718.54000000000087</v>
      </c>
      <c r="I21" s="19">
        <f t="shared" si="8"/>
        <v>-1.1844481141701575E-2</v>
      </c>
    </row>
    <row r="22" spans="1:9" ht="15.75">
      <c r="A22" s="50" t="str">
        <v>Kohls - North Amherst</v>
      </c>
      <c r="B22" s="9" t="str">
        <v>NY</v>
      </c>
      <c r="C22" s="24">
        <f>SUM(Apr!C22, May!C22, Jun!C22)</f>
        <v>24695</v>
      </c>
      <c r="D22" s="13">
        <f>SUM(Apr!D22, May!D22, Jun!D22)</f>
        <v>0</v>
      </c>
      <c r="E22" s="13">
        <f t="shared" si="6"/>
        <v>24695</v>
      </c>
      <c r="F22" s="14" t="str">
        <f t="shared" si="7"/>
        <v/>
      </c>
      <c r="G22" s="15">
        <f>SUM(Apr!G22, May!G22, Jun!G22)</f>
        <v>37286.57</v>
      </c>
      <c r="H22" s="15">
        <f>SUM(Apr!H22, May!H22, Jun!H22)</f>
        <v>-12591.57</v>
      </c>
      <c r="I22" s="16">
        <f t="shared" si="8"/>
        <v>-0.33769719231347911</v>
      </c>
    </row>
    <row r="23" spans="1:9" ht="15.75">
      <c r="A23" s="51" t="str">
        <v>Kohls - Staten Island</v>
      </c>
      <c r="B23" s="10" t="str">
        <v>NY</v>
      </c>
      <c r="C23" s="24">
        <f>SUM(Apr!C23, May!C23, Jun!C23)</f>
        <v>33544.199999999997</v>
      </c>
      <c r="D23" s="13">
        <f>SUM(Apr!D23, May!D23, Jun!D23)</f>
        <v>0</v>
      </c>
      <c r="E23" s="13">
        <f t="shared" si="6"/>
        <v>33544.199999999997</v>
      </c>
      <c r="F23" s="14" t="str">
        <f t="shared" si="7"/>
        <v/>
      </c>
      <c r="G23" s="20">
        <f>SUM(Apr!G23, May!G23, Jun!G23)</f>
        <v>36840.44</v>
      </c>
      <c r="H23" s="15">
        <f>SUM(Apr!H23, May!H23, Jun!H23)</f>
        <v>-3296.2400000000052</v>
      </c>
      <c r="I23" s="16">
        <f t="shared" si="8"/>
        <v>-8.9473415626957903E-2</v>
      </c>
    </row>
    <row r="24" spans="1:9" ht="15.75">
      <c r="A24" s="50" t="str">
        <v>Kohls - Warminster</v>
      </c>
      <c r="B24" s="9" t="str">
        <v>PA</v>
      </c>
      <c r="C24" s="11">
        <f>SUM(Apr!C24, May!C24, Jun!C24)</f>
        <v>41689</v>
      </c>
      <c r="D24" s="18">
        <f>SUM(Apr!D24, May!D24, Jun!D24)</f>
        <v>0</v>
      </c>
      <c r="E24" s="18">
        <f t="shared" si="6"/>
        <v>41689</v>
      </c>
      <c r="F24" s="19" t="str">
        <f t="shared" si="7"/>
        <v/>
      </c>
      <c r="G24" s="15">
        <f>SUM(Apr!G24, May!G24, Jun!G24)</f>
        <v>41345.56</v>
      </c>
      <c r="H24" s="20">
        <f>SUM(Apr!H24, May!H24, Jun!H24)</f>
        <v>343.44000000000233</v>
      </c>
      <c r="I24" s="19">
        <f t="shared" si="8"/>
        <v>8.306575119553402E-3</v>
      </c>
    </row>
    <row r="25" spans="1:9" ht="15.75">
      <c r="A25" s="51" t="str">
        <v xml:space="preserve">Kohls - Waterbury </v>
      </c>
      <c r="B25" s="10" t="str">
        <v>CT</v>
      </c>
      <c r="C25" s="24">
        <f>SUM(Apr!C25, May!C25, Jun!C25)</f>
        <v>34568</v>
      </c>
      <c r="D25" s="13">
        <f>SUM(Apr!D25, May!D25, Jun!D25)</f>
        <v>0</v>
      </c>
      <c r="E25" s="13">
        <f t="shared" si="6"/>
        <v>34568</v>
      </c>
      <c r="F25" s="14" t="str">
        <f t="shared" si="7"/>
        <v/>
      </c>
      <c r="G25" s="20">
        <f>SUM(Apr!G25, May!G25, Jun!G25)</f>
        <v>37214.31</v>
      </c>
      <c r="H25" s="15">
        <f>SUM(Apr!H25, May!H25, Jun!H25)</f>
        <v>-2646.3099999999977</v>
      </c>
      <c r="I25" s="16">
        <f t="shared" si="8"/>
        <v>-7.1110011175808382E-2</v>
      </c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Silicon Ranch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51" t="str">
        <v>Kohls - Kingston</v>
      </c>
      <c r="B19" s="17" t="str">
        <v>NY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50" t="str">
        <v>Kohls - Mechanicsburg</v>
      </c>
      <c r="B20" s="12" t="str">
        <v>PA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75">
      <c r="A21" s="51" t="str">
        <v>Kohls - Middletown</v>
      </c>
      <c r="B21" s="17" t="str">
        <v>NJ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50" t="str">
        <v>Kohls - North Amherst</v>
      </c>
      <c r="B22" s="12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51" t="str">
        <v>Kohls - Staten Island</v>
      </c>
      <c r="B23" s="17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50" t="str">
        <v>Kohls - Warminster</v>
      </c>
      <c r="B24" s="12" t="str">
        <v>PA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51" t="str">
        <v xml:space="preserve">Kohls - Waterbury </v>
      </c>
      <c r="B25" s="17" t="str">
        <v>CT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75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75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4" sqref="A4:A2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Silicon Ranch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51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75">
      <c r="A20" s="50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51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50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51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50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75">
      <c r="A25" s="51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7"/>
      <c r="B26" s="10"/>
      <c r="C26" s="47"/>
      <c r="D26" s="18"/>
      <c r="E26" s="18"/>
      <c r="F26" s="19"/>
      <c r="G26" s="20"/>
      <c r="H26" s="20"/>
      <c r="I26" s="19"/>
    </row>
    <row r="27" spans="1:9" ht="15">
      <c r="A27" s="21"/>
      <c r="B27" s="10"/>
      <c r="C27" s="47"/>
      <c r="D27" s="18"/>
      <c r="E27" s="18"/>
      <c r="F27" s="19"/>
      <c r="G27" s="20"/>
      <c r="H27" s="20"/>
      <c r="I27" s="19"/>
    </row>
    <row r="28" spans="1:9" ht="15">
      <c r="A28" s="21"/>
      <c r="B28" s="10"/>
      <c r="C28" s="47"/>
      <c r="D28" s="18"/>
      <c r="E28" s="18"/>
      <c r="F28" s="19"/>
      <c r="G28" s="20"/>
      <c r="H28" s="20"/>
      <c r="I28" s="19"/>
    </row>
    <row r="29" spans="1:9" ht="15">
      <c r="A29" s="21"/>
      <c r="B29" s="10"/>
      <c r="C29" s="47"/>
      <c r="D29" s="18"/>
      <c r="E29" s="18"/>
      <c r="F29" s="19"/>
      <c r="G29" s="20"/>
      <c r="H29" s="20"/>
      <c r="I29" s="19"/>
    </row>
    <row r="30" spans="1:9" ht="15">
      <c r="A30" s="21"/>
      <c r="B30" s="10"/>
      <c r="C30" s="47"/>
      <c r="D30" s="18"/>
      <c r="E30" s="18"/>
      <c r="F30" s="19"/>
      <c r="G30" s="20"/>
      <c r="H30" s="20"/>
      <c r="I30" s="19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2"/>
      <c r="G33" s="21"/>
      <c r="H33" s="21"/>
      <c r="I33" s="22"/>
    </row>
    <row r="34" spans="1:9">
      <c r="A34" s="21"/>
      <c r="B34" s="21"/>
      <c r="C34" s="21"/>
      <c r="D34" s="21"/>
      <c r="E34" s="21"/>
      <c r="F34" s="22"/>
      <c r="G34" s="21"/>
      <c r="H34" s="21"/>
      <c r="I34" s="22"/>
    </row>
    <row r="35" spans="1:9">
      <c r="A35" s="21"/>
      <c r="B35" s="21"/>
      <c r="C35" s="21"/>
      <c r="D35" s="21"/>
      <c r="E35" s="21"/>
      <c r="F35" s="22"/>
      <c r="G35" s="21"/>
      <c r="H35" s="21"/>
      <c r="I35" s="22"/>
    </row>
    <row r="36" spans="1:9">
      <c r="A36" s="21"/>
      <c r="B36" s="21"/>
      <c r="C36" s="21"/>
      <c r="D36" s="21"/>
      <c r="E36" s="21"/>
      <c r="F36" s="22"/>
      <c r="G36" s="21"/>
      <c r="H36" s="21"/>
      <c r="I36" s="22"/>
    </row>
    <row r="37" spans="1:9">
      <c r="A37" s="21"/>
      <c r="B37" s="21"/>
      <c r="C37" s="21"/>
      <c r="D37" s="21"/>
      <c r="E37" s="21"/>
      <c r="F37" s="22"/>
      <c r="G37" s="21"/>
      <c r="H37" s="21"/>
      <c r="I37" s="22"/>
    </row>
    <row r="38" spans="1:9">
      <c r="A38" s="21"/>
      <c r="B38" s="21"/>
      <c r="C38" s="21"/>
      <c r="D38" s="21"/>
      <c r="E38" s="21"/>
      <c r="F38" s="22"/>
      <c r="G38" s="21"/>
      <c r="H38" s="21"/>
      <c r="I38" s="22"/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27" activePane="bottomRight" state="frozen"/>
      <selection pane="bottomRight" activeCell="D27" sqref="D27"/>
      <selection pane="bottomLeft"/>
      <selection pane="topRight"/>
    </sheetView>
  </sheetViews>
  <sheetFormatPr defaultRowHeight="14.25"/>
  <cols>
    <col min="1" max="1" width="24.5703125" bestFit="1" customWidth="1"/>
    <col min="2" max="2" width="5.7109375" style="34" bestFit="1" customWidth="1"/>
    <col min="3" max="3" width="8.8554687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30">
      <c r="A5" s="54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5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4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5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4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5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5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4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5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4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5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4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5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4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5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4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5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4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30">
      <c r="A24" s="55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4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26:F99">
    <cfRule type="cellIs" dxfId="46" priority="1" stopIfTrue="1" operator="lessThanOrEqual">
      <formula>-0.1</formula>
    </cfRule>
    <cfRule type="expression" dxfId="45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D19" sqref="D19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36</v>
      </c>
      <c r="E1" s="65"/>
      <c r="F1" s="65"/>
      <c r="G1" s="63" t="s">
        <v>37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4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5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4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30">
      <c r="A8" s="55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4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5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5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4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5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4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5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4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3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4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5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30">
      <c r="A21" s="54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5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4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5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4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">
      <c r="A26" s="21"/>
      <c r="B26" s="33"/>
      <c r="C26" s="21"/>
      <c r="D26" s="21"/>
      <c r="E26" s="21"/>
      <c r="F26" s="19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19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26:F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AC58" activePane="bottomRight" state="frozen"/>
      <selection pane="bottomRight" activeCell="AD67" sqref="AD6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42</v>
      </c>
      <c r="E1" s="65"/>
      <c r="F1" s="65"/>
      <c r="G1" s="63" t="s">
        <v>43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7" t="s">
        <v>44</v>
      </c>
      <c r="K21" s="56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J20" sqref="J20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47</v>
      </c>
      <c r="E1" s="65"/>
      <c r="F1" s="65"/>
      <c r="G1" s="63" t="s">
        <v>48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8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30.7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7" t="s">
        <v>49</v>
      </c>
      <c r="K15" s="57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9"/>
      <c r="K16" s="59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7"/>
      <c r="K17" s="61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9"/>
      <c r="K18" s="59"/>
    </row>
    <row r="19" spans="1:11" ht="30.7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7" t="s">
        <v>51</v>
      </c>
      <c r="K19" s="57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9"/>
      <c r="K20" s="59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7" t="s">
        <v>53</v>
      </c>
      <c r="K21" s="57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60"/>
      <c r="K22" s="59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2"/>
      <c r="K23" s="62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F30" activePane="bottomRight" state="frozen"/>
      <selection pane="bottomRight" activeCell="G30" sqref="G30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55</v>
      </c>
      <c r="E1" s="65"/>
      <c r="F1" s="65"/>
      <c r="G1" s="63" t="s">
        <v>56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J30" sqref="J30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57</v>
      </c>
      <c r="E1" s="65"/>
      <c r="F1" s="65"/>
      <c r="G1" s="63" t="s">
        <v>58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59</v>
      </c>
      <c r="E1" s="65"/>
      <c r="F1" s="65"/>
      <c r="G1" s="63" t="s">
        <v>60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61</v>
      </c>
      <c r="E1" s="65"/>
      <c r="F1" s="65"/>
      <c r="G1" s="63" t="s">
        <v>62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:H3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63</v>
      </c>
      <c r="E1" s="65"/>
      <c r="F1" s="65"/>
      <c r="G1" s="63" t="s">
        <v>64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65</v>
      </c>
      <c r="E1" s="65"/>
      <c r="F1" s="65"/>
      <c r="G1" s="63" t="s">
        <v>66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67</v>
      </c>
      <c r="E1" s="65"/>
      <c r="F1" s="65"/>
      <c r="G1" s="63" t="s">
        <v>68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Silicon Ranch</v>
      </c>
      <c r="B1" s="64"/>
      <c r="C1" s="64"/>
      <c r="D1" s="65" t="s">
        <v>69</v>
      </c>
      <c r="E1" s="65"/>
      <c r="F1" s="65"/>
      <c r="G1" s="63" t="s">
        <v>70</v>
      </c>
      <c r="H1" s="63"/>
      <c r="I1" s="63"/>
      <c r="J1" s="4"/>
      <c r="K1" s="4"/>
    </row>
    <row r="2" spans="1:11" ht="19.5" customHeight="1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H30" sqref="H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71</v>
      </c>
      <c r="B1" t="s">
        <v>72</v>
      </c>
    </row>
    <row r="3" spans="1:12">
      <c r="A3" t="s">
        <v>73</v>
      </c>
      <c r="B3" t="s">
        <v>3</v>
      </c>
      <c r="C3" t="s">
        <v>4</v>
      </c>
      <c r="D3" t="s">
        <v>74</v>
      </c>
      <c r="E3" s="2" t="s">
        <v>75</v>
      </c>
    </row>
    <row r="4" spans="1:12" ht="15">
      <c r="A4" s="52" t="s">
        <v>76</v>
      </c>
      <c r="B4" t="s">
        <v>77</v>
      </c>
      <c r="C4" s="49" t="s">
        <v>78</v>
      </c>
      <c r="D4" s="48" t="s">
        <v>79</v>
      </c>
      <c r="E4" t="s">
        <v>80</v>
      </c>
      <c r="G4" s="3"/>
    </row>
    <row r="5" spans="1:12" ht="15">
      <c r="A5" s="52" t="s">
        <v>81</v>
      </c>
      <c r="B5" t="s">
        <v>82</v>
      </c>
      <c r="C5" s="49" t="s">
        <v>83</v>
      </c>
      <c r="D5" s="48" t="s">
        <v>84</v>
      </c>
      <c r="E5" t="s">
        <v>80</v>
      </c>
      <c r="G5" s="3"/>
    </row>
    <row r="6" spans="1:12" ht="15">
      <c r="A6" s="52" t="s">
        <v>85</v>
      </c>
      <c r="B6" t="s">
        <v>86</v>
      </c>
      <c r="C6" s="49" t="s">
        <v>87</v>
      </c>
      <c r="D6" s="48" t="s">
        <v>84</v>
      </c>
      <c r="E6" t="s">
        <v>80</v>
      </c>
      <c r="G6" s="3"/>
    </row>
    <row r="7" spans="1:12" ht="12.75" customHeight="1">
      <c r="A7" s="52" t="s">
        <v>88</v>
      </c>
      <c r="B7" t="s">
        <v>89</v>
      </c>
      <c r="C7" s="49" t="s">
        <v>90</v>
      </c>
      <c r="D7" s="48" t="s">
        <v>84</v>
      </c>
      <c r="E7" t="s">
        <v>80</v>
      </c>
    </row>
    <row r="8" spans="1:12" ht="12.75" customHeight="1">
      <c r="A8" s="52" t="s">
        <v>91</v>
      </c>
      <c r="B8" t="s">
        <v>92</v>
      </c>
      <c r="C8" s="49" t="s">
        <v>83</v>
      </c>
      <c r="D8" s="48" t="s">
        <v>84</v>
      </c>
      <c r="E8" t="s">
        <v>80</v>
      </c>
    </row>
    <row r="9" spans="1:12" ht="12.75" customHeight="1">
      <c r="A9" s="52" t="s">
        <v>93</v>
      </c>
      <c r="B9" t="s">
        <v>94</v>
      </c>
      <c r="C9" s="49" t="s">
        <v>78</v>
      </c>
      <c r="D9" s="48" t="s">
        <v>84</v>
      </c>
      <c r="E9" t="s">
        <v>80</v>
      </c>
    </row>
    <row r="10" spans="1:12" ht="12.75" customHeight="1">
      <c r="A10" s="52" t="s">
        <v>95</v>
      </c>
      <c r="B10" t="s">
        <v>96</v>
      </c>
      <c r="C10" s="49" t="s">
        <v>83</v>
      </c>
      <c r="D10" s="48" t="s">
        <v>84</v>
      </c>
      <c r="E10" t="s">
        <v>80</v>
      </c>
      <c r="K10" s="44"/>
      <c r="L10" s="44"/>
    </row>
    <row r="11" spans="1:12" ht="12.75" customHeight="1">
      <c r="A11" s="52" t="s">
        <v>97</v>
      </c>
      <c r="B11" t="s">
        <v>98</v>
      </c>
      <c r="C11" s="49" t="s">
        <v>90</v>
      </c>
      <c r="D11" s="48" t="s">
        <v>84</v>
      </c>
      <c r="E11" t="s">
        <v>80</v>
      </c>
      <c r="K11" s="44"/>
      <c r="L11" s="44"/>
    </row>
    <row r="12" spans="1:12" ht="12.75" customHeight="1">
      <c r="A12" s="52" t="s">
        <v>99</v>
      </c>
      <c r="B12" t="s">
        <v>100</v>
      </c>
      <c r="C12" s="49" t="s">
        <v>101</v>
      </c>
      <c r="D12" s="48" t="s">
        <v>84</v>
      </c>
      <c r="E12" t="s">
        <v>80</v>
      </c>
      <c r="K12" s="44"/>
      <c r="L12" s="44"/>
    </row>
    <row r="13" spans="1:12" ht="12.75" customHeight="1">
      <c r="A13" s="52" t="s">
        <v>102</v>
      </c>
      <c r="B13" t="s">
        <v>103</v>
      </c>
      <c r="C13" s="49" t="s">
        <v>87</v>
      </c>
      <c r="D13" s="48" t="s">
        <v>84</v>
      </c>
      <c r="E13" t="s">
        <v>80</v>
      </c>
      <c r="K13" s="44"/>
      <c r="L13" s="44"/>
    </row>
    <row r="14" spans="1:12" ht="12.75" customHeight="1">
      <c r="A14" s="52" t="s">
        <v>104</v>
      </c>
      <c r="B14" t="s">
        <v>105</v>
      </c>
      <c r="C14" s="49" t="s">
        <v>83</v>
      </c>
      <c r="D14" s="48" t="s">
        <v>84</v>
      </c>
      <c r="E14" t="s">
        <v>80</v>
      </c>
      <c r="K14" s="44"/>
      <c r="L14" s="44"/>
    </row>
    <row r="15" spans="1:12" ht="12.75" customHeight="1">
      <c r="A15" s="52" t="s">
        <v>106</v>
      </c>
      <c r="B15" t="s">
        <v>107</v>
      </c>
      <c r="C15" s="49" t="s">
        <v>87</v>
      </c>
      <c r="D15" s="48" t="s">
        <v>84</v>
      </c>
      <c r="E15" t="s">
        <v>80</v>
      </c>
      <c r="K15" s="44"/>
      <c r="L15" s="44"/>
    </row>
    <row r="16" spans="1:12" ht="12.75" customHeight="1">
      <c r="A16" s="52" t="s">
        <v>108</v>
      </c>
      <c r="B16" t="s">
        <v>109</v>
      </c>
      <c r="C16" s="49" t="s">
        <v>83</v>
      </c>
      <c r="D16" s="48" t="s">
        <v>84</v>
      </c>
      <c r="E16" t="s">
        <v>80</v>
      </c>
      <c r="K16" s="44"/>
      <c r="L16" s="44"/>
    </row>
    <row r="17" spans="1:12" ht="12.75" customHeight="1">
      <c r="A17" s="52" t="s">
        <v>110</v>
      </c>
      <c r="B17" t="s">
        <v>111</v>
      </c>
      <c r="C17" s="49" t="s">
        <v>83</v>
      </c>
      <c r="D17" s="48" t="s">
        <v>84</v>
      </c>
      <c r="E17" t="s">
        <v>80</v>
      </c>
      <c r="K17" s="44"/>
      <c r="L17" s="44"/>
    </row>
    <row r="18" spans="1:12" ht="12.75" customHeight="1">
      <c r="A18" s="52" t="s">
        <v>112</v>
      </c>
      <c r="B18" t="s">
        <v>113</v>
      </c>
      <c r="C18" s="49" t="s">
        <v>83</v>
      </c>
      <c r="D18" s="48" t="s">
        <v>84</v>
      </c>
      <c r="E18" t="s">
        <v>80</v>
      </c>
      <c r="K18" s="44"/>
      <c r="L18" s="44"/>
    </row>
    <row r="19" spans="1:12" ht="12.75" customHeight="1">
      <c r="A19" s="52" t="s">
        <v>114</v>
      </c>
      <c r="B19" t="s">
        <v>115</v>
      </c>
      <c r="C19" s="49" t="s">
        <v>83</v>
      </c>
      <c r="D19" s="48" t="s">
        <v>84</v>
      </c>
      <c r="E19" t="s">
        <v>80</v>
      </c>
      <c r="K19" s="44"/>
      <c r="L19" s="44"/>
    </row>
    <row r="20" spans="1:12" ht="12.75" customHeight="1">
      <c r="A20" s="52" t="s">
        <v>116</v>
      </c>
      <c r="B20" t="s">
        <v>117</v>
      </c>
      <c r="C20" s="49" t="s">
        <v>87</v>
      </c>
      <c r="D20" s="48" t="s">
        <v>84</v>
      </c>
      <c r="E20" t="s">
        <v>80</v>
      </c>
      <c r="K20" s="44"/>
      <c r="L20" s="44"/>
    </row>
    <row r="21" spans="1:12" ht="12.75" customHeight="1">
      <c r="A21" s="52" t="s">
        <v>118</v>
      </c>
      <c r="B21" t="s">
        <v>119</v>
      </c>
      <c r="C21" s="49" t="s">
        <v>90</v>
      </c>
      <c r="D21" s="48" t="s">
        <v>84</v>
      </c>
      <c r="E21" t="s">
        <v>80</v>
      </c>
      <c r="K21" s="44"/>
      <c r="L21" s="44"/>
    </row>
    <row r="22" spans="1:12" ht="12.75" customHeight="1">
      <c r="A22" s="52" t="s">
        <v>120</v>
      </c>
      <c r="B22" t="s">
        <v>121</v>
      </c>
      <c r="C22" s="49" t="s">
        <v>83</v>
      </c>
      <c r="D22" s="48" t="s">
        <v>84</v>
      </c>
      <c r="E22" t="s">
        <v>80</v>
      </c>
      <c r="K22" s="44"/>
      <c r="L22" s="44"/>
    </row>
    <row r="23" spans="1:12" ht="12.75" customHeight="1">
      <c r="A23" s="52" t="s">
        <v>122</v>
      </c>
      <c r="B23" t="s">
        <v>123</v>
      </c>
      <c r="C23" s="49" t="s">
        <v>83</v>
      </c>
      <c r="D23" s="48" t="s">
        <v>84</v>
      </c>
      <c r="E23" t="s">
        <v>80</v>
      </c>
      <c r="K23" s="44"/>
      <c r="L23" s="44"/>
    </row>
    <row r="24" spans="1:12" ht="12.75" customHeight="1">
      <c r="A24" s="52" t="s">
        <v>124</v>
      </c>
      <c r="B24" t="s">
        <v>125</v>
      </c>
      <c r="C24" s="49" t="s">
        <v>87</v>
      </c>
      <c r="D24" s="48" t="s">
        <v>84</v>
      </c>
      <c r="E24" t="s">
        <v>80</v>
      </c>
      <c r="K24" s="44"/>
      <c r="L24" s="44"/>
    </row>
    <row r="25" spans="1:12" ht="12.75" customHeight="1">
      <c r="A25" s="52" t="s">
        <v>126</v>
      </c>
      <c r="B25" t="s">
        <v>127</v>
      </c>
      <c r="C25" s="49" t="s">
        <v>78</v>
      </c>
      <c r="D25" s="48" t="s">
        <v>84</v>
      </c>
      <c r="E25" t="s">
        <v>80</v>
      </c>
      <c r="K25" s="44"/>
      <c r="L25" s="44"/>
    </row>
    <row r="26" spans="1:12" ht="12.75" customHeight="1">
      <c r="K26" s="44"/>
      <c r="L26" s="44"/>
    </row>
    <row r="27" spans="1:12" ht="12.75" customHeight="1">
      <c r="K27" s="44"/>
      <c r="L27" s="44"/>
    </row>
    <row r="28" spans="1:12" ht="12.75" customHeight="1">
      <c r="K28" s="44"/>
      <c r="L28" s="44"/>
    </row>
    <row r="29" spans="1:12" ht="12.75" customHeight="1">
      <c r="K29" s="44"/>
      <c r="L29" s="44"/>
    </row>
    <row r="30" spans="1:12" ht="12.75" customHeight="1">
      <c r="K30" s="44"/>
      <c r="L30" s="44"/>
    </row>
    <row r="31" spans="1:12" ht="12.75" customHeight="1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2A442927-BFE3-4B7B-90C5-357A90195B6B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2025-05-06T04:12:45Z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