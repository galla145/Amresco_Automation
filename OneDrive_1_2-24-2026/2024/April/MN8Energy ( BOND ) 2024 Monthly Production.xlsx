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ly reports\"/>
    </mc:Choice>
  </mc:AlternateContent>
  <xr:revisionPtr revIDLastSave="153" documentId="13_ncr:1_{39AD4063-4611-405B-AC46-FF6F2E72E4BA}" xr6:coauthVersionLast="47" xr6:coauthVersionMax="47" xr10:uidLastSave="{5D8D4160-BABC-4817-8771-3A8C9271D241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4" i="18"/>
  <c r="H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E16" i="29" s="1"/>
  <c r="F16" i="29" s="1"/>
  <c r="C16" i="18"/>
  <c r="D16" i="18"/>
  <c r="C16" i="1"/>
  <c r="D16" i="1"/>
  <c r="G16" i="1"/>
  <c r="G16" i="34" s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D5" i="29"/>
  <c r="C5" i="29"/>
  <c r="E5" i="29" s="1"/>
  <c r="F5" i="29" s="1"/>
  <c r="D4" i="29"/>
  <c r="C4" i="29"/>
  <c r="D15" i="18"/>
  <c r="C15" i="18"/>
  <c r="D14" i="18"/>
  <c r="C14" i="18"/>
  <c r="D13" i="18"/>
  <c r="C13" i="18"/>
  <c r="E13" i="18" s="1"/>
  <c r="F13" i="18" s="1"/>
  <c r="D12" i="18"/>
  <c r="C12" i="18"/>
  <c r="D11" i="18"/>
  <c r="C11" i="18"/>
  <c r="E11" i="18" s="1"/>
  <c r="F11" i="18" s="1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4" i="1"/>
  <c r="D6" i="1"/>
  <c r="D7" i="1"/>
  <c r="D7" i="34" s="1"/>
  <c r="D8" i="1"/>
  <c r="D8" i="34" s="1"/>
  <c r="D9" i="1"/>
  <c r="D10" i="1"/>
  <c r="D10" i="34" s="1"/>
  <c r="D11" i="1"/>
  <c r="D11" i="34" s="1"/>
  <c r="D12" i="1"/>
  <c r="D12" i="34" s="1"/>
  <c r="D13" i="1"/>
  <c r="D14" i="1"/>
  <c r="D14" i="34" s="1"/>
  <c r="D15" i="1"/>
  <c r="D5" i="1"/>
  <c r="D5" i="34" s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6" i="18" l="1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E7" i="34" s="1"/>
  <c r="F7" i="34" s="1"/>
  <c r="D6" i="34"/>
  <c r="C6" i="34"/>
  <c r="D2" i="18"/>
  <c r="C5" i="34"/>
  <c r="E5" i="34" s="1"/>
  <c r="F5" i="34" s="1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34" s="1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13" i="34"/>
  <c r="F13" i="34" s="1"/>
  <c r="G2" i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6" i="34" l="1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<sst xmlns="http://schemas.openxmlformats.org/spreadsheetml/2006/main" count="382" uniqueCount="145">
  <si>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</si>
  <si>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</si>
  <si>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</si>
  <si>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</si>
  <si>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</si>
  <si>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</si>
  <si>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</si>
  <si>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</si>
  <si>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</si>
  <si>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</si>
  <si>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</si>
  <si>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</si>
  <si>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</si>
  <si>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</si>
  <si>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</si>
  <si>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</si>
  <si>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</si>
  <si>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</si>
  <si>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</si>
  <si>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</si>
  <si>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</si>
  <si>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</si>
  <si>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</si>
  <si>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</si>
  <si>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</si>
  <si>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</si>
  <si>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</si>
  <si>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</si>
  <si>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</si>
  <si>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</si>
  <si>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</si>
  <si>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</si>
  <si>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</si>
  <si>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</si>
  <si>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</si>
  <si>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</si>
  <si>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</si>
  <si>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</si>
  <si>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</si>
  <si>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</si>
  <si>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</si>
  <si>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</si>
  <si>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</si>
  <si>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</si>
  <si>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</si>
  <si>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</si>
  <si>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</si>
  <si>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</si>
  <si>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</si>
  <si>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</si>
  <si>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</si>
  <si>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</si>
  <si>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</si>
  <si>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</si>
  <si>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</si>
  <si>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</si>
  <si>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</si>
  <si>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</si>
  <si>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</si>
  <si>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</si>
  <si>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</si>
  <si>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</si>
  <si>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</si>
  <si>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</si>
  <si>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</si>
  <si>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</si>
  <si>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</si>
  <si>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</si>
  <si>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</si>
  <si>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</si>
  <si>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</si>
  <si>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</si>
  <si>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</si>
  <si>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</si>
  <si>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</si>
  <si>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</si>
  <si>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</si>
  <si>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</si>
  <si>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</si>
  <si>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</si>
  <si>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</si>
  <si>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</si>
  <si>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</si>
  <si>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</si>
  <si>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</si>
  <si>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</si>
  <si>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</si>
  <si>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</si>
  <si>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</si>
  <si>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</si>
  <si>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</si>
  <si>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</si>
  <si>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</si>
  <si>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4B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</si>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</sst>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0" fontId="38" fillId="0" borderId="0" xfId="0" applyFont="1" applyAlignment="1">
      <alignment wrapText="1"/>
    </xf>
    <xf numFmtId="3" fontId="31" fillId="0" borderId="1" xfId="1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0</v>
      </c>
      <c r="E1" s="93"/>
      <c r="F1" s="93"/>
      <c r="G1" s="91" t="s">
        <v>1</v>
      </c>
      <c r="H1" s="91"/>
      <c r="I1" s="91"/>
    </row>
    <row r="2" spans="1:9" ht="19.5" customHeight="1">
      <c r="A2" s="94" t="s">
        <v>2</v>
      </c>
      <c r="B2" s="94"/>
      <c r="C2" s="5">
        <f>SUM(C4:C91)</f>
        <v>7795490.2903214516</v>
      </c>
      <c r="D2" s="5">
        <f>SUM(D4:D91)</f>
        <v>8510006.9400000013</v>
      </c>
      <c r="E2" s="5">
        <f>C2-D2</f>
        <v>-714516.64967854973</v>
      </c>
      <c r="F2" s="6">
        <f>IFERROR(E2/D2, 0)</f>
        <v>-8.3961935015595845E-2</v>
      </c>
      <c r="G2" s="5">
        <f>SUM(G4:G91)</f>
        <v>8445100.870000001</v>
      </c>
      <c r="H2" s="7">
        <f>C2-G2</f>
        <v>-649610.57967854943</v>
      </c>
      <c r="I2" s="6">
        <f>IFERROR(H2/G2, 0)</f>
        <v>-7.6921589176773136E-2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1222546.1607960199</v>
      </c>
      <c r="D4" s="56">
        <f>SUM('1st Qtr'!D4, '2nd Qtr'!D4, '3rd Qtr'!D4, '4th Qtr'!D4)</f>
        <v>1257311.5</v>
      </c>
      <c r="E4" s="56">
        <f>IF(AND(ISNUMBER(C4),ISNUMBER(D4)), C4-D4, "")</f>
        <v>-34765.339203980053</v>
      </c>
      <c r="F4" s="69">
        <f>IFERROR(E4/D4, "")</f>
        <v>-2.7650537837266304E-2</v>
      </c>
      <c r="G4" s="58">
        <f>SUM('1st Qtr'!G4, '2nd Qtr'!G4, '3rd Qtr'!G4, '4th Qtr'!G4)</f>
        <v>1391536</v>
      </c>
      <c r="H4" s="58">
        <f>SUM('1st Qtr'!H4, '2nd Qtr'!H4, '3rd Qtr'!H4, '4th Qtr'!H4)</f>
        <v>-168989.83920397999</v>
      </c>
      <c r="I4" s="57">
        <f>IFERROR(H4/G4, "")</f>
        <v>-0.12144122696357118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423271.99953658786</v>
      </c>
      <c r="D5" s="62">
        <f>SUM('1st Qtr'!D5, '2nd Qtr'!D5, '3rd Qtr'!D5, '4th Qtr'!D5)</f>
        <v>462520.32000000001</v>
      </c>
      <c r="E5" s="62">
        <f t="shared" ref="E5:E15" si="0">IF(AND(ISNUMBER(C5),ISNUMBER(D5)), C5-D5, "")</f>
        <v>-39248.32046341215</v>
      </c>
      <c r="F5" s="63">
        <f>IFERROR(E5/D5, "")</f>
        <v>-8.485750520844608E-2</v>
      </c>
      <c r="G5" s="64">
        <f>SUM('1st Qtr'!G5, '2nd Qtr'!G5, '3rd Qtr'!G5, '4th Qtr'!G5)</f>
        <v>495075.78</v>
      </c>
      <c r="H5" s="64">
        <f>SUM(Jan!H5, Feb!H5, Mar!H5)</f>
        <v>-59831.780463412106</v>
      </c>
      <c r="I5" s="63">
        <f>IFERROR(H5/G5, "")</f>
        <v>-0.12085378214909262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355898</v>
      </c>
      <c r="D6" s="56">
        <f>SUM('1st Qtr'!D6, '2nd Qtr'!D6, '3rd Qtr'!D6, '4th Qtr'!D6)</f>
        <v>380173.83999999997</v>
      </c>
      <c r="E6" s="56">
        <f t="shared" si="0"/>
        <v>-24275.839999999967</v>
      </c>
      <c r="F6" s="69">
        <f t="shared" ref="F6:F15" si="1">IFERROR(E6/D6, "")</f>
        <v>-6.3854577684776967E-2</v>
      </c>
      <c r="G6" s="58">
        <f>SUM('1st Qtr'!G6, '2nd Qtr'!G6, '3rd Qtr'!G6, '4th Qtr'!G6)</f>
        <v>373024.49</v>
      </c>
      <c r="H6" s="58">
        <f>SUM(Jan!H6, Feb!H6, Mar!H6)</f>
        <v>1599.6099999999933</v>
      </c>
      <c r="I6" s="57">
        <f t="shared" ref="I6:I15" si="2">IFERROR(H6/G6, "")</f>
        <v>4.2882171087479893E-3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458508.99508884398</v>
      </c>
      <c r="D7" s="62">
        <f>SUM('1st Qtr'!D7, '2nd Qtr'!D7, '3rd Qtr'!D7, '4th Qtr'!D7)</f>
        <v>478517.43</v>
      </c>
      <c r="E7" s="62">
        <f t="shared" si="0"/>
        <v>-20008.434911156015</v>
      </c>
      <c r="F7" s="63">
        <f t="shared" si="1"/>
        <v>-4.1813387886740126E-2</v>
      </c>
      <c r="G7" s="64">
        <f>SUM('1st Qtr'!G7, '2nd Qtr'!G7, '3rd Qtr'!G7, '4th Qtr'!G7)</f>
        <v>481403.32999999996</v>
      </c>
      <c r="H7" s="64">
        <f>SUM(Jan!H7, Feb!H7, Mar!H7)</f>
        <v>-21065.929999999993</v>
      </c>
      <c r="I7" s="63">
        <f t="shared" si="2"/>
        <v>-4.3759418947101995E-2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472602.11</v>
      </c>
      <c r="D8" s="56">
        <f>SUM('1st Qtr'!D8, '2nd Qtr'!D8, '3rd Qtr'!D8, '4th Qtr'!D8)</f>
        <v>541350.97</v>
      </c>
      <c r="E8" s="56">
        <f t="shared" si="0"/>
        <v>-68748.859999999986</v>
      </c>
      <c r="F8" s="69">
        <f t="shared" si="1"/>
        <v>-0.12699498811279492</v>
      </c>
      <c r="G8" s="58">
        <f>SUM('1st Qtr'!G8, '2nd Qtr'!G8, '3rd Qtr'!G8, '4th Qtr'!G8)</f>
        <v>487597</v>
      </c>
      <c r="H8" s="58">
        <f>SUM(Jan!H8, Feb!H8, Mar!H8)</f>
        <v>-12609.89</v>
      </c>
      <c r="I8" s="57">
        <f t="shared" si="2"/>
        <v>-2.5861295290988254E-2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934059.12</v>
      </c>
      <c r="D9" s="62">
        <f>SUM('1st Qtr'!D9, '2nd Qtr'!D9, '3rd Qtr'!D9, '4th Qtr'!D9)</f>
        <v>887296</v>
      </c>
      <c r="E9" s="62">
        <f t="shared" si="0"/>
        <v>46763.119999999995</v>
      </c>
      <c r="F9" s="63">
        <f t="shared" si="1"/>
        <v>5.2702953693017883E-2</v>
      </c>
      <c r="G9" s="64">
        <f>SUM('1st Qtr'!G9, '2nd Qtr'!G9, '3rd Qtr'!G9, '4th Qtr'!G9)</f>
        <v>934422.3</v>
      </c>
      <c r="H9" s="64">
        <f>SUM(Jan!H9, Feb!H9, Mar!H9)</f>
        <v>-5460.9800000000105</v>
      </c>
      <c r="I9" s="63">
        <f t="shared" si="2"/>
        <v>-5.8442312431970112E-3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930130.63640000112</v>
      </c>
      <c r="D10" s="56">
        <f>SUM('1st Qtr'!D10, '2nd Qtr'!D10, '3rd Qtr'!D10, '4th Qtr'!D10)</f>
        <v>1051641.3999999999</v>
      </c>
      <c r="E10" s="56">
        <f t="shared" si="0"/>
        <v>-121510.76359999878</v>
      </c>
      <c r="F10" s="69">
        <f t="shared" si="1"/>
        <v>-0.11554391411368818</v>
      </c>
      <c r="G10" s="58">
        <f>SUM('1st Qtr'!G10, '2nd Qtr'!G10, '3rd Qtr'!G10, '4th Qtr'!G10)</f>
        <v>974103.6</v>
      </c>
      <c r="H10" s="58">
        <f>SUM(Jan!H10, Feb!H10, Mar!H10)</f>
        <v>-37845.963599998795</v>
      </c>
      <c r="I10" s="57">
        <f t="shared" si="2"/>
        <v>-3.8852092939599847E-2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843094.39</v>
      </c>
      <c r="D11" s="62">
        <f>SUM('1st Qtr'!D11, '2nd Qtr'!D11, '3rd Qtr'!D11, '4th Qtr'!D11)</f>
        <v>1018210</v>
      </c>
      <c r="E11" s="62">
        <f t="shared" si="0"/>
        <v>-175115.61</v>
      </c>
      <c r="F11" s="63">
        <f t="shared" si="1"/>
        <v>-0.17198378527022912</v>
      </c>
      <c r="G11" s="64">
        <f>SUM('1st Qtr'!G11, '2nd Qtr'!G11, '3rd Qtr'!G11, '4th Qtr'!G11)</f>
        <v>956250.9</v>
      </c>
      <c r="H11" s="64">
        <f>SUM(Jan!H11, Feb!H11, Mar!H11)</f>
        <v>-90612.409999999974</v>
      </c>
      <c r="I11" s="63">
        <f t="shared" si="2"/>
        <v>-9.4757986633006011E-2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822559.42999999993</v>
      </c>
      <c r="D12" s="56">
        <f>SUM('1st Qtr'!D12, '2nd Qtr'!D12, '3rd Qtr'!D12, '4th Qtr'!D12)</f>
        <v>879612.60000000009</v>
      </c>
      <c r="E12" s="56">
        <f t="shared" si="0"/>
        <v>-57053.170000000158</v>
      </c>
      <c r="F12" s="69">
        <f t="shared" si="1"/>
        <v>-6.4861701617280332E-2</v>
      </c>
      <c r="G12" s="58">
        <f>SUM('1st Qtr'!G12, '2nd Qtr'!G12, '3rd Qtr'!G12, '4th Qtr'!G12)</f>
        <v>917480.4</v>
      </c>
      <c r="H12" s="58">
        <f>SUM(Jan!H12, Feb!H12, Mar!H12)</f>
        <v>-80776.570000000036</v>
      </c>
      <c r="I12" s="57">
        <f t="shared" si="2"/>
        <v>-8.8041739093282029E-2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239820.34</v>
      </c>
      <c r="D13" s="62">
        <f>SUM('1st Qtr'!D13, '2nd Qtr'!D13, '3rd Qtr'!D13, '4th Qtr'!D13)</f>
        <v>225671.33000000002</v>
      </c>
      <c r="E13" s="62">
        <f t="shared" si="0"/>
        <v>14149.00999999998</v>
      </c>
      <c r="F13" s="63">
        <f t="shared" si="1"/>
        <v>6.2697419295574583E-2</v>
      </c>
      <c r="G13" s="64">
        <f>SUM('1st Qtr'!G13, '2nd Qtr'!G13, '3rd Qtr'!G13, '4th Qtr'!G13)</f>
        <v>235404.01</v>
      </c>
      <c r="H13" s="64">
        <f>SUM(Jan!H13, Feb!H13, Mar!H13)</f>
        <v>3513.7800000000134</v>
      </c>
      <c r="I13" s="63">
        <f t="shared" si="2"/>
        <v>1.4926593646386963E-2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453385.12000000011</v>
      </c>
      <c r="D14" s="56">
        <f>SUM('1st Qtr'!D14, '2nd Qtr'!D14, '3rd Qtr'!D14, '4th Qtr'!D14)</f>
        <v>543685.08000000007</v>
      </c>
      <c r="E14" s="56">
        <f t="shared" si="0"/>
        <v>-90299.959999999963</v>
      </c>
      <c r="F14" s="69">
        <f t="shared" si="1"/>
        <v>-0.1660887218019666</v>
      </c>
      <c r="G14" s="58">
        <f>SUM('1st Qtr'!G14, '2nd Qtr'!G14, '3rd Qtr'!G14, '4th Qtr'!G14)</f>
        <v>492983.29000000004</v>
      </c>
      <c r="H14" s="58">
        <f>SUM(Jan!H14, Feb!H14, Mar!H14)</f>
        <v>-38015.669999999911</v>
      </c>
      <c r="I14" s="57">
        <f t="shared" si="2"/>
        <v>-7.7113506220464201E-2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454240.4</v>
      </c>
      <c r="D15" s="62">
        <f>SUM('1st Qtr'!D15, '2nd Qtr'!D15, '3rd Qtr'!D15, '4th Qtr'!D15)</f>
        <v>537664.96</v>
      </c>
      <c r="E15" s="62">
        <f t="shared" si="0"/>
        <v>-83424.559999999939</v>
      </c>
      <c r="F15" s="63">
        <f t="shared" si="1"/>
        <v>-0.15516086449077868</v>
      </c>
      <c r="G15" s="64">
        <f>SUM('1st Qtr'!G15, '2nd Qtr'!G15, '3rd Qtr'!G15, '4th Qtr'!G15)</f>
        <v>485323.29</v>
      </c>
      <c r="H15" s="64">
        <f>SUM(Jan!H15, Feb!H15, Mar!H15)</f>
        <v>-30572.690000000017</v>
      </c>
      <c r="I15" s="63">
        <f t="shared" si="2"/>
        <v>-6.299448353282204E-2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185373.58850000001</v>
      </c>
      <c r="D16" s="56">
        <f>SUM('1st Qtr'!D16, '2nd Qtr'!D16, '3rd Qtr'!D16, '4th Qtr'!D16)</f>
        <v>246351.50999999998</v>
      </c>
      <c r="E16" s="56">
        <f t="shared" ref="E16" si="3">IF(AND(ISNUMBER(C16),ISNUMBER(D16)), C16-D16, "")</f>
        <v>-60977.921499999968</v>
      </c>
      <c r="F16" s="69">
        <f t="shared" ref="F16" si="4">IFERROR(E16/D16, "")</f>
        <v>-0.24752404196751207</v>
      </c>
      <c r="G16" s="58">
        <f>SUM('1st Qtr'!G16, '2nd Qtr'!G16, '3rd Qtr'!G16, '4th Qtr'!G16)</f>
        <v>220496.47999999998</v>
      </c>
      <c r="H16" s="58">
        <f>SUM(Jan!H16, Feb!H16, Mar!H16)</f>
        <v>-28589.281500000005</v>
      </c>
      <c r="I16" s="57">
        <f t="shared" ref="I16" si="5">IFERROR(H16/G16, "")</f>
        <v>-0.12965867527681171</v>
      </c>
    </row>
    <row r="17" spans="1:9" ht="15">
      <c r="A17" s="19"/>
      <c r="B17" s="19"/>
      <c r="C17" s="86"/>
      <c r="D17" s="19"/>
      <c r="E17" s="19"/>
      <c r="F17" s="19"/>
      <c r="G17" s="19"/>
      <c r="H17" s="19"/>
      <c r="I17" s="19"/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10</v>
      </c>
      <c r="E1" s="93"/>
      <c r="F1" s="93"/>
      <c r="G1" s="91" t="s">
        <v>11</v>
      </c>
      <c r="H1" s="91"/>
      <c r="I1" s="91"/>
    </row>
    <row r="2" spans="1:9" ht="19.5" customHeight="1">
      <c r="A2" s="94" t="s">
        <v>2</v>
      </c>
      <c r="B2" s="94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5">
      <c r="A17" s="19"/>
      <c r="B17" s="9"/>
      <c r="C17" s="19"/>
      <c r="D17" s="19"/>
      <c r="E17" s="19"/>
      <c r="F17" s="19"/>
      <c r="G17" s="19"/>
      <c r="H17" s="19"/>
      <c r="I17" s="19"/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12</v>
      </c>
      <c r="E1" s="93"/>
      <c r="F1" s="93"/>
      <c r="G1" s="91" t="s">
        <v>13</v>
      </c>
      <c r="H1" s="91"/>
      <c r="I1" s="91"/>
    </row>
    <row r="2" spans="1:9" ht="19.5" customHeight="1">
      <c r="A2" s="94" t="s">
        <v>2</v>
      </c>
      <c r="B2" s="94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406325.32</v>
      </c>
      <c r="D4" s="56">
        <f>SUM(Apr!D4, May!D4, Jun!D4)</f>
        <v>383163.7</v>
      </c>
      <c r="E4" s="56">
        <f>IF(AND(ISNUMBER(C4),ISNUMBER(D4)), C4-D4, "")</f>
        <v>23161.619999999995</v>
      </c>
      <c r="F4" s="69">
        <f>IFERROR(E4/D4, "")</f>
        <v>6.0448367107844493E-2</v>
      </c>
      <c r="G4" s="58">
        <f>SUM(Apr!G4+May!G4+Jun!G4)</f>
        <v>444997</v>
      </c>
      <c r="H4" s="58">
        <f>SUM(Apr!H4, May!H4, Jun!H4)</f>
        <v>-38671.679999999993</v>
      </c>
      <c r="I4" s="57">
        <f>IFERROR(H4/G4, "")</f>
        <v>-8.6903237549916051E-2</v>
      </c>
    </row>
    <row r="5" spans="1:9" ht="15.75">
      <c r="A5" s="79" t="str">
        <v>Clara Barton</v>
      </c>
      <c r="B5" s="77" t="str">
        <v>MA</v>
      </c>
      <c r="C5" s="71">
        <f>SUM(Apr!C5, May!C5, Jun!C5)</f>
        <v>151790</v>
      </c>
      <c r="D5" s="62">
        <f>SUM(Apr!D5, May!D5, Jun!D5)</f>
        <v>150612.29999999999</v>
      </c>
      <c r="E5" s="62">
        <f t="shared" ref="E5:E15" si="0">IF(AND(ISNUMBER(C5),ISNUMBER(D5)), C5-D5, "")</f>
        <v>1177.7000000000116</v>
      </c>
      <c r="F5" s="63">
        <f>IFERROR(E5/D5, "")</f>
        <v>7.8194144834121231E-3</v>
      </c>
      <c r="G5" s="90">
        <f>SUM(Apr!G5+May!G5+Jun!G5)</f>
        <v>163762</v>
      </c>
      <c r="H5" s="64">
        <f>SUM(Apr!H5, May!H5, Jun!H5)</f>
        <v>-11972</v>
      </c>
      <c r="I5" s="63">
        <f>IFERROR(H5/G5, "")</f>
        <v>-7.3106092988605417E-2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104937</v>
      </c>
      <c r="D6" s="56">
        <f>SUM(Apr!D6, May!D6, Jun!D6)</f>
        <v>105598</v>
      </c>
      <c r="E6" s="56">
        <f t="shared" si="0"/>
        <v>-661</v>
      </c>
      <c r="F6" s="69">
        <f t="shared" ref="F6:F15" si="1">IFERROR(E6/D6, "")</f>
        <v>-6.2595882497774582E-3</v>
      </c>
      <c r="G6" s="58">
        <f>SUM(Apr!G6+May!G6+Jun!G6)</f>
        <v>123663.1</v>
      </c>
      <c r="H6" s="58">
        <f>SUM(Apr!H6, May!H6, Jun!H6)</f>
        <v>-18726.100000000006</v>
      </c>
      <c r="I6" s="57">
        <f t="shared" ref="I6:I15" si="2">IFERROR(H6/G6, "")</f>
        <v>-0.15142835655907061</v>
      </c>
    </row>
    <row r="7" spans="1:9" ht="15.75">
      <c r="A7" s="79" t="str">
        <v>Plympton-1</v>
      </c>
      <c r="B7" s="77" t="str">
        <v>MA</v>
      </c>
      <c r="C7" s="71">
        <f>SUM(Apr!C7, May!C7, Jun!C7)</f>
        <v>161073.99508884401</v>
      </c>
      <c r="D7" s="62">
        <f>SUM(Apr!D7, May!D7, Jun!D7)</f>
        <v>160586.20000000001</v>
      </c>
      <c r="E7" s="62">
        <f t="shared" si="0"/>
        <v>487.79508884399547</v>
      </c>
      <c r="F7" s="63">
        <f t="shared" si="1"/>
        <v>3.0375903336899148E-3</v>
      </c>
      <c r="G7" s="90">
        <f>SUM(Apr!G7+May!G7+Jun!G7)</f>
        <v>162902.39999999999</v>
      </c>
      <c r="H7" s="64">
        <f>SUM(Apr!H7, May!H7, Jun!H7)</f>
        <v>-1828.4049111559871</v>
      </c>
      <c r="I7" s="63">
        <f t="shared" si="2"/>
        <v>-1.1223928629387824E-2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152350</v>
      </c>
      <c r="D8" s="56">
        <f>SUM(Apr!D8, May!D8, Jun!D8)</f>
        <v>168447.2</v>
      </c>
      <c r="E8" s="56">
        <f t="shared" si="0"/>
        <v>-16097.200000000012</v>
      </c>
      <c r="F8" s="69">
        <f t="shared" si="1"/>
        <v>-9.5562288954639849E-2</v>
      </c>
      <c r="G8" s="58">
        <f>SUM(Apr!G8+May!G8+Jun!G8)</f>
        <v>154735</v>
      </c>
      <c r="H8" s="58">
        <f>SUM(Apr!H8, May!H8, Jun!H8)</f>
        <v>-2385</v>
      </c>
      <c r="I8" s="57">
        <f t="shared" si="2"/>
        <v>-1.5413448799560539E-2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301481</v>
      </c>
      <c r="D9" s="62">
        <f>SUM(Apr!D9, May!D9, Jun!D9)</f>
        <v>320682.3</v>
      </c>
      <c r="E9" s="62">
        <f t="shared" si="0"/>
        <v>-19201.299999999988</v>
      </c>
      <c r="F9" s="63">
        <f t="shared" si="1"/>
        <v>-5.9876394799463488E-2</v>
      </c>
      <c r="G9" s="90">
        <f>SUM(Apr!G9+May!G9+Jun!G9)</f>
        <v>296383.2</v>
      </c>
      <c r="H9" s="64">
        <f>SUM(Apr!H9, May!H9, Jun!H9)</f>
        <v>5097.7999999999884</v>
      </c>
      <c r="I9" s="63">
        <f t="shared" si="2"/>
        <v>1.720003023113317E-2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302821</v>
      </c>
      <c r="D10" s="56">
        <f>SUM(Apr!D10, May!D10, Jun!D10)</f>
        <v>326893.3</v>
      </c>
      <c r="E10" s="56">
        <f t="shared" si="0"/>
        <v>-24072.299999999988</v>
      </c>
      <c r="F10" s="69">
        <f t="shared" si="1"/>
        <v>-7.3639624917365976E-2</v>
      </c>
      <c r="G10" s="58">
        <f>SUM(Apr!G10+May!G10+Jun!G10)</f>
        <v>308948</v>
      </c>
      <c r="H10" s="58">
        <f>SUM(Apr!H10, May!H10, Jun!H10)</f>
        <v>-6127</v>
      </c>
      <c r="I10" s="57">
        <f t="shared" si="2"/>
        <v>-1.9831816357445266E-2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280833</v>
      </c>
      <c r="D11" s="62">
        <f>SUM(Apr!D11, May!D11, Jun!D11)</f>
        <v>316928.7</v>
      </c>
      <c r="E11" s="62">
        <f t="shared" si="0"/>
        <v>-36095.700000000012</v>
      </c>
      <c r="F11" s="63">
        <f t="shared" si="1"/>
        <v>-0.11389217827227389</v>
      </c>
      <c r="G11" s="90">
        <f>SUM(Apr!G11+May!G11+Jun!G11)</f>
        <v>303377.09999999998</v>
      </c>
      <c r="H11" s="64">
        <f>SUM(Apr!H11, May!H11, Jun!H11)</f>
        <v>-22544.099999999977</v>
      </c>
      <c r="I11" s="63">
        <f t="shared" si="2"/>
        <v>-7.4310486849534715E-2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276927</v>
      </c>
      <c r="D12" s="56">
        <f>SUM(Apr!D12, May!D12, Jun!D12)</f>
        <v>274522.2</v>
      </c>
      <c r="E12" s="56">
        <f t="shared" si="0"/>
        <v>2404.7999999999884</v>
      </c>
      <c r="F12" s="69">
        <f t="shared" si="1"/>
        <v>8.7599472829519368E-3</v>
      </c>
      <c r="G12" s="58">
        <f>SUM(Apr!G12+May!G12+Jun!G12)</f>
        <v>291071.40000000002</v>
      </c>
      <c r="H12" s="58">
        <f>SUM(Apr!H12, May!H12, Jun!H12)</f>
        <v>-14144.400000000023</v>
      </c>
      <c r="I12" s="57">
        <f t="shared" si="2"/>
        <v>-4.8594262438700686E-2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75569.09</v>
      </c>
      <c r="D13" s="62">
        <f>SUM(Apr!D13, May!D13, Jun!D13)</f>
        <v>79753.7</v>
      </c>
      <c r="E13" s="62">
        <f t="shared" si="0"/>
        <v>-4184.6100000000006</v>
      </c>
      <c r="F13" s="63">
        <f t="shared" si="1"/>
        <v>-5.2469164440019721E-2</v>
      </c>
      <c r="G13" s="90">
        <f>SUM(Apr!G13+May!G13+Jun!G13)</f>
        <v>74666.539999999994</v>
      </c>
      <c r="H13" s="64">
        <f>SUM(Apr!H13, May!H13, Jun!H13)</f>
        <v>902.55000000000291</v>
      </c>
      <c r="I13" s="63">
        <f t="shared" si="2"/>
        <v>1.2087743720279565E-2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154773</v>
      </c>
      <c r="D14" s="56">
        <f>SUM(Apr!D14, May!D14, Jun!D14)</f>
        <v>170679</v>
      </c>
      <c r="E14" s="56">
        <f t="shared" si="0"/>
        <v>-15906</v>
      </c>
      <c r="F14" s="69">
        <f t="shared" si="1"/>
        <v>-9.3192484136888548E-2</v>
      </c>
      <c r="G14" s="58">
        <f>SUM(Apr!G14+May!G14+Jun!G14)</f>
        <v>156355.5</v>
      </c>
      <c r="H14" s="58">
        <f>SUM(Apr!H14, May!H14, Jun!H14)</f>
        <v>-1582.5</v>
      </c>
      <c r="I14" s="57">
        <f t="shared" si="2"/>
        <v>-1.0121166188589464E-2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153420</v>
      </c>
      <c r="D15" s="62">
        <f>SUM(Apr!D15, May!D15, Jun!D15)</f>
        <v>166403.6</v>
      </c>
      <c r="E15" s="62">
        <f t="shared" si="0"/>
        <v>-12983.600000000006</v>
      </c>
      <c r="F15" s="63">
        <f t="shared" si="1"/>
        <v>-7.8024754272143185E-2</v>
      </c>
      <c r="G15" s="90">
        <f>SUM(Apr!G15+May!G15+Jun!G15)</f>
        <v>153930.20000000001</v>
      </c>
      <c r="H15" s="64">
        <f>SUM(Apr!H15, May!H15, Jun!H15)</f>
        <v>-510.20000000001164</v>
      </c>
      <c r="I15" s="63">
        <f t="shared" si="2"/>
        <v>-3.314489294498491E-3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63423.69</v>
      </c>
      <c r="D16" s="56">
        <f>SUM(Apr!D16, May!D16, Jun!D16)</f>
        <v>80983.100000000006</v>
      </c>
      <c r="E16" s="56">
        <f t="shared" ref="E16" si="3">IF(AND(ISNUMBER(C16),ISNUMBER(D16)), C16-D16, "")</f>
        <v>-17559.410000000003</v>
      </c>
      <c r="F16" s="69">
        <f t="shared" ref="F16" si="4">IFERROR(E16/D16, "")</f>
        <v>-0.2168280789448663</v>
      </c>
      <c r="G16" s="58">
        <f>SUM(Apr!G16+May!G16+Jun!G16)</f>
        <v>69957.3</v>
      </c>
      <c r="H16" s="58">
        <f>SUM(Apr!H16, May!H16, Jun!H16)</f>
        <v>-6533.6100000000006</v>
      </c>
      <c r="I16" s="57">
        <f t="shared" ref="I16" si="5">IFERROR(H16/G16, "")</f>
        <v>-9.3394256210574164E-2</v>
      </c>
    </row>
    <row r="17" spans="1:9">
      <c r="A17" s="19"/>
      <c r="B17" s="19"/>
      <c r="C17" s="19"/>
      <c r="D17" s="19"/>
      <c r="E17" s="19"/>
      <c r="F17" s="19"/>
      <c r="G17" s="19"/>
      <c r="H17" s="19"/>
      <c r="I17" s="19"/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14</v>
      </c>
      <c r="E1" s="93"/>
      <c r="F1" s="93"/>
      <c r="G1" s="91" t="s">
        <v>15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0</v>
      </c>
      <c r="D4" s="56">
        <f>SUM(Jul!D4, Aug!D4, Sep!D4)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SUM(Jul!H4, Aug!H4, Sep!H4)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SUM(Jul!C5, Aug!C5, Sep!C5)</f>
        <v>0</v>
      </c>
      <c r="D5" s="62">
        <f>SUM(Jul!D5, Aug!D5, Sep!D5)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SUM(Jul!H5, Aug!H5, Sep!H5)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SUM(Jul!C6, Aug!C6, Sep!C6)</f>
        <v>0</v>
      </c>
      <c r="D6" s="56">
        <f>SUM(Jul!D6, Aug!D6, Sep!D6)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SUM(Jul!H6, Aug!H6, Sep!H6)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SUM(Jul!C7, Aug!C7, Sep!C7)</f>
        <v>0</v>
      </c>
      <c r="D7" s="62">
        <f>SUM(Jul!D7, Aug!D7, Sep!D7)</f>
        <v>0</v>
      </c>
      <c r="E7" s="62">
        <f t="shared" si="0"/>
        <v>0</v>
      </c>
      <c r="F7" s="63" t="str">
        <f t="shared" si="1"/>
        <v/>
      </c>
      <c r="G7" s="64"/>
      <c r="H7" s="64">
        <f>SUM(Jul!H7, Aug!H7, Sep!H7)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SUM(Jul!C8, Aug!C8, Sep!C8)</f>
        <v>0</v>
      </c>
      <c r="D8" s="56">
        <f>SUM(Jul!D8, Aug!D8, Sep!D8)</f>
        <v>0</v>
      </c>
      <c r="E8" s="56">
        <f t="shared" si="0"/>
        <v>0</v>
      </c>
      <c r="F8" s="69" t="str">
        <f t="shared" si="1"/>
        <v/>
      </c>
      <c r="G8" s="58"/>
      <c r="H8" s="58">
        <f>SUM(Jul!H8, Aug!H8, Sep!H8)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SUM(Jul!C9, Aug!C9, Sep!C9)</f>
        <v>0</v>
      </c>
      <c r="D9" s="62">
        <f>SUM(Jul!D9, Aug!D9, Sep!D9)</f>
        <v>0</v>
      </c>
      <c r="E9" s="62">
        <f t="shared" si="0"/>
        <v>0</v>
      </c>
      <c r="F9" s="63" t="str">
        <f t="shared" si="1"/>
        <v/>
      </c>
      <c r="G9" s="64"/>
      <c r="H9" s="64">
        <f>SUM(Jul!H9, Aug!H9, Sep!H9)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0</v>
      </c>
      <c r="D10" s="56">
        <f>SUM(Jul!D10, Aug!D10, Sep!D10)</f>
        <v>0</v>
      </c>
      <c r="E10" s="56">
        <f t="shared" si="0"/>
        <v>0</v>
      </c>
      <c r="F10" s="69" t="str">
        <f t="shared" si="1"/>
        <v/>
      </c>
      <c r="G10" s="58"/>
      <c r="H10" s="58">
        <f>SUM(Jul!H10, Aug!H10, Sep!H10)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0</v>
      </c>
      <c r="D11" s="62">
        <f>SUM(Jul!D11, Aug!D11, Sep!D11)</f>
        <v>0</v>
      </c>
      <c r="E11" s="62">
        <f t="shared" si="0"/>
        <v>0</v>
      </c>
      <c r="F11" s="63" t="str">
        <f t="shared" si="1"/>
        <v/>
      </c>
      <c r="G11" s="64"/>
      <c r="H11" s="64">
        <f>SUM(Jul!H11, Aug!H11, Sep!H11)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0</v>
      </c>
      <c r="D12" s="56">
        <f>SUM(Jul!D12, Aug!D12, Sep!D12)</f>
        <v>0</v>
      </c>
      <c r="E12" s="56">
        <f t="shared" si="0"/>
        <v>0</v>
      </c>
      <c r="F12" s="69" t="str">
        <f t="shared" si="1"/>
        <v/>
      </c>
      <c r="G12" s="58"/>
      <c r="H12" s="58">
        <f>SUM(Jul!H12, Aug!H12, Sep!H12)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0</v>
      </c>
      <c r="D13" s="62">
        <f>SUM(Jul!D13, Aug!D13, Sep!D13)</f>
        <v>0</v>
      </c>
      <c r="E13" s="62">
        <f t="shared" si="0"/>
        <v>0</v>
      </c>
      <c r="F13" s="63" t="str">
        <f t="shared" si="1"/>
        <v/>
      </c>
      <c r="G13" s="64"/>
      <c r="H13" s="64">
        <f>SUM(Jul!H13, Aug!H13, Sep!H13)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0</v>
      </c>
      <c r="D14" s="56">
        <f>SUM(Jul!D14, Aug!D14, Sep!D14)</f>
        <v>0</v>
      </c>
      <c r="E14" s="56">
        <f t="shared" si="0"/>
        <v>0</v>
      </c>
      <c r="F14" s="69" t="str">
        <f t="shared" si="1"/>
        <v/>
      </c>
      <c r="G14" s="58"/>
      <c r="H14" s="58">
        <f>SUM(Jul!H14, Aug!H14, Sep!H14)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0</v>
      </c>
      <c r="D15" s="62">
        <f>SUM(Jul!D15, Aug!D15, Sep!D15)</f>
        <v>0</v>
      </c>
      <c r="E15" s="62">
        <f t="shared" si="0"/>
        <v>0</v>
      </c>
      <c r="F15" s="63" t="str">
        <f t="shared" si="1"/>
        <v/>
      </c>
      <c r="G15" s="64"/>
      <c r="H15" s="64">
        <f>SUM(Jul!H15, Aug!H15, Sep!H15)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0</v>
      </c>
      <c r="D16" s="56">
        <f>SUM(Jul!D16, Aug!D16, Sep!D16)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SUM(Jul!H16, Aug!H16, Sep!H16)</f>
        <v>0</v>
      </c>
      <c r="I16" s="57" t="str">
        <f t="shared" ref="I16" si="5">IFERROR(H16/G16, "")</f>
        <v/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16</v>
      </c>
      <c r="E1" s="93"/>
      <c r="F1" s="93"/>
      <c r="G1" s="91" t="s">
        <v>17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5">
      <c r="A21" s="19"/>
      <c r="B21" s="9"/>
      <c r="C21" s="43"/>
      <c r="D21" s="16"/>
      <c r="E21" s="16"/>
      <c r="F21" s="17"/>
      <c r="G21" s="18"/>
      <c r="H21" s="18"/>
      <c r="I21" s="17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20"/>
      <c r="G24" s="19"/>
      <c r="H24" s="19"/>
      <c r="I24" s="20"/>
    </row>
    <row r="25" spans="1:9">
      <c r="A25" s="19"/>
      <c r="B25" s="19"/>
      <c r="C25" s="19"/>
      <c r="D25" s="19"/>
      <c r="E25" s="19"/>
      <c r="F25" s="20"/>
      <c r="G25" s="19"/>
      <c r="H25" s="19"/>
      <c r="I25" s="20"/>
    </row>
    <row r="26" spans="1:9">
      <c r="A26" s="19"/>
      <c r="B26" s="19"/>
      <c r="C26" s="19"/>
      <c r="D26" s="19"/>
      <c r="E26" s="19"/>
      <c r="F26" s="20"/>
      <c r="G26" s="19"/>
      <c r="H26" s="19"/>
      <c r="I26" s="20"/>
    </row>
    <row r="27" spans="1:9">
      <c r="A27" s="19"/>
      <c r="B27" s="19"/>
      <c r="C27" s="19"/>
      <c r="D27" s="19"/>
      <c r="E27" s="19"/>
      <c r="F27" s="20"/>
      <c r="G27" s="19"/>
      <c r="H27" s="19"/>
      <c r="I27" s="20"/>
    </row>
    <row r="28" spans="1:9">
      <c r="A28" s="19"/>
      <c r="B28" s="19"/>
      <c r="C28" s="19"/>
      <c r="D28" s="19"/>
      <c r="E28" s="19"/>
      <c r="F28" s="20"/>
      <c r="G28" s="19"/>
      <c r="H28" s="19"/>
      <c r="I28" s="20"/>
    </row>
    <row r="29" spans="1:9">
      <c r="A29" s="19"/>
      <c r="B29" s="19"/>
      <c r="C29" s="19"/>
      <c r="D29" s="19"/>
      <c r="E29" s="19"/>
      <c r="F29" s="20"/>
      <c r="G29" s="19"/>
      <c r="H29" s="19"/>
      <c r="I29" s="20"/>
    </row>
    <row r="30" spans="1:9">
      <c r="A30" s="19"/>
      <c r="B30" s="19"/>
      <c r="C30" s="19"/>
      <c r="D30" s="19"/>
      <c r="E30" s="19"/>
      <c r="F30" s="20"/>
      <c r="G30" s="19"/>
      <c r="H30" s="19"/>
      <c r="I30" s="20"/>
    </row>
    <row r="31" spans="1:9">
      <c r="A31" s="19"/>
      <c r="B31" s="19"/>
      <c r="C31" s="19"/>
      <c r="D31" s="19"/>
      <c r="E31" s="19"/>
      <c r="F31" s="20"/>
      <c r="G31" s="19"/>
      <c r="H31" s="19"/>
      <c r="I31" s="20"/>
    </row>
    <row r="32" spans="1:9">
      <c r="A32" s="19"/>
      <c r="B32" s="19"/>
      <c r="C32" s="19"/>
      <c r="D32" s="19"/>
      <c r="E32" s="19"/>
      <c r="F32" s="20"/>
      <c r="G32" s="19"/>
      <c r="H32" s="19"/>
      <c r="I32" s="20"/>
    </row>
    <row r="33" spans="1:9">
      <c r="A33" s="19"/>
      <c r="B33" s="19"/>
      <c r="C33" s="19"/>
      <c r="D33" s="19"/>
      <c r="E33" s="19"/>
      <c r="F33" s="20"/>
      <c r="G33" s="19"/>
      <c r="H33" s="19"/>
      <c r="I33" s="20"/>
    </row>
    <row r="34" spans="1:9">
      <c r="A34" s="19"/>
      <c r="B34" s="19"/>
      <c r="C34" s="19"/>
      <c r="D34" s="19"/>
      <c r="E34" s="19"/>
      <c r="F34" s="20"/>
      <c r="G34" s="19"/>
      <c r="H34" s="19"/>
      <c r="I34" s="20"/>
    </row>
    <row r="35" spans="1:9">
      <c r="A35" s="19"/>
      <c r="B35" s="19"/>
      <c r="C35" s="19"/>
      <c r="D35" s="19"/>
      <c r="E35" s="19"/>
      <c r="F35" s="20"/>
      <c r="G35" s="19"/>
      <c r="H35" s="19"/>
      <c r="I35" s="20"/>
    </row>
    <row r="36" spans="1:9">
      <c r="A36" s="19"/>
      <c r="B36" s="19"/>
      <c r="C36" s="19"/>
      <c r="D36" s="19"/>
      <c r="E36" s="19"/>
      <c r="F36" s="20"/>
      <c r="G36" s="19"/>
      <c r="H36" s="19"/>
      <c r="I36" s="20"/>
    </row>
    <row r="37" spans="1:9">
      <c r="A37" s="19"/>
      <c r="B37" s="19"/>
      <c r="C37" s="19"/>
      <c r="D37" s="19"/>
      <c r="E37" s="19"/>
      <c r="F37" s="20"/>
      <c r="G37" s="19"/>
      <c r="H37" s="19"/>
      <c r="I37" s="20"/>
    </row>
    <row r="38" spans="1:9">
      <c r="A38" s="19"/>
      <c r="B38" s="19"/>
      <c r="C38" s="19"/>
      <c r="D38" s="19"/>
      <c r="E38" s="19"/>
      <c r="F38" s="20"/>
      <c r="G38" s="19"/>
      <c r="H38" s="19"/>
      <c r="I38" s="20"/>
    </row>
    <row r="39" spans="1:9">
      <c r="A39" s="19"/>
      <c r="B39" s="19"/>
      <c r="C39" s="19"/>
      <c r="D39" s="19"/>
      <c r="E39" s="19"/>
      <c r="F39" s="20"/>
      <c r="G39" s="19"/>
      <c r="H39" s="19"/>
      <c r="I39" s="20"/>
    </row>
    <row r="40" spans="1:9">
      <c r="A40" s="19"/>
      <c r="B40" s="19"/>
      <c r="C40" s="19"/>
      <c r="D40" s="19"/>
      <c r="E40" s="19"/>
      <c r="F40" s="20"/>
      <c r="G40" s="19"/>
      <c r="H40" s="19"/>
      <c r="I40" s="20"/>
    </row>
    <row r="41" spans="1:9">
      <c r="A41" s="19"/>
      <c r="B41" s="19"/>
      <c r="C41" s="19"/>
      <c r="D41" s="19"/>
      <c r="E41" s="19"/>
      <c r="F41" s="20"/>
      <c r="G41" s="19"/>
      <c r="H41" s="19"/>
      <c r="I41" s="20"/>
    </row>
    <row r="42" spans="1:9">
      <c r="A42" s="19"/>
      <c r="B42" s="19"/>
      <c r="C42" s="19"/>
      <c r="D42" s="19"/>
      <c r="E42" s="19"/>
      <c r="F42" s="20"/>
      <c r="G42" s="19"/>
      <c r="H42" s="19"/>
      <c r="I42" s="20"/>
    </row>
    <row r="43" spans="1:9">
      <c r="A43" s="19"/>
      <c r="B43" s="19"/>
      <c r="C43" s="19"/>
      <c r="D43" s="19"/>
      <c r="E43" s="19"/>
      <c r="F43" s="20"/>
      <c r="G43" s="19"/>
      <c r="H43" s="19"/>
      <c r="I43" s="20"/>
    </row>
    <row r="44" spans="1:9">
      <c r="A44" s="19"/>
      <c r="B44" s="19"/>
      <c r="C44" s="19"/>
      <c r="D44" s="19"/>
      <c r="E44" s="19"/>
      <c r="F44" s="20"/>
      <c r="G44" s="19"/>
      <c r="H44" s="19"/>
      <c r="I44" s="20"/>
    </row>
    <row r="45" spans="1:9">
      <c r="A45" s="19"/>
      <c r="B45" s="19"/>
      <c r="C45" s="19"/>
      <c r="D45" s="19"/>
      <c r="E45" s="19"/>
      <c r="F45" s="20"/>
      <c r="G45" s="19"/>
      <c r="H45" s="19"/>
      <c r="I45" s="20"/>
    </row>
    <row r="46" spans="1:9">
      <c r="A46" s="19"/>
      <c r="B46" s="19"/>
      <c r="C46" s="19"/>
      <c r="D46" s="19"/>
      <c r="E46" s="19"/>
      <c r="F46" s="20"/>
      <c r="G46" s="19"/>
      <c r="H46" s="19"/>
      <c r="I46" s="20"/>
    </row>
    <row r="47" spans="1:9">
      <c r="A47" s="19"/>
      <c r="B47" s="19"/>
      <c r="C47" s="19"/>
      <c r="D47" s="19"/>
      <c r="E47" s="19"/>
      <c r="F47" s="20"/>
      <c r="G47" s="19"/>
      <c r="H47" s="19"/>
      <c r="I47" s="20"/>
    </row>
    <row r="48" spans="1:9">
      <c r="A48" s="19"/>
      <c r="B48" s="19"/>
      <c r="C48" s="19"/>
      <c r="D48" s="19"/>
      <c r="E48" s="19"/>
      <c r="F48" s="20"/>
      <c r="G48" s="19"/>
      <c r="H48" s="19"/>
      <c r="I48" s="20"/>
    </row>
    <row r="49" spans="1:9">
      <c r="A49" s="19"/>
      <c r="B49" s="19"/>
      <c r="C49" s="19"/>
      <c r="D49" s="19"/>
      <c r="E49" s="19"/>
      <c r="F49" s="20"/>
      <c r="G49" s="19"/>
      <c r="H49" s="19"/>
      <c r="I49" s="20"/>
    </row>
    <row r="50" spans="1:9">
      <c r="A50" s="19"/>
      <c r="B50" s="19"/>
      <c r="C50" s="19"/>
      <c r="D50" s="19"/>
      <c r="E50" s="19"/>
      <c r="F50" s="20"/>
      <c r="G50" s="19"/>
      <c r="H50" s="19"/>
      <c r="I50" s="20"/>
    </row>
    <row r="51" spans="1:9">
      <c r="A51" s="19"/>
      <c r="B51" s="19"/>
      <c r="C51" s="19"/>
      <c r="D51" s="19"/>
      <c r="E51" s="19"/>
      <c r="F51" s="20"/>
      <c r="G51" s="19"/>
      <c r="H51" s="19"/>
      <c r="I51" s="20"/>
    </row>
    <row r="52" spans="1:9">
      <c r="A52" s="19"/>
      <c r="B52" s="19"/>
      <c r="C52" s="19"/>
      <c r="D52" s="19"/>
      <c r="E52" s="19"/>
      <c r="F52" s="20"/>
      <c r="G52" s="19"/>
      <c r="H52" s="19"/>
      <c r="I52" s="20"/>
    </row>
    <row r="53" spans="1:9">
      <c r="A53" s="19"/>
      <c r="B53" s="19"/>
      <c r="C53" s="19"/>
      <c r="D53" s="19"/>
      <c r="E53" s="19"/>
      <c r="F53" s="20"/>
      <c r="G53" s="19"/>
      <c r="H53" s="19"/>
      <c r="I53" s="20"/>
    </row>
    <row r="54" spans="1:9">
      <c r="A54" s="19"/>
      <c r="B54" s="19"/>
      <c r="C54" s="19"/>
      <c r="D54" s="19"/>
      <c r="E54" s="19"/>
      <c r="F54" s="20"/>
      <c r="G54" s="19"/>
      <c r="H54" s="19"/>
      <c r="I54" s="20"/>
    </row>
    <row r="55" spans="1:9">
      <c r="A55" s="19"/>
      <c r="B55" s="19"/>
      <c r="C55" s="19"/>
      <c r="D55" s="19"/>
      <c r="E55" s="19"/>
      <c r="F55" s="20"/>
      <c r="G55" s="19"/>
      <c r="H55" s="19"/>
      <c r="I55" s="20"/>
    </row>
    <row r="56" spans="1:9">
      <c r="A56" s="19"/>
      <c r="B56" s="19"/>
      <c r="C56" s="19"/>
      <c r="D56" s="19"/>
      <c r="E56" s="19"/>
      <c r="F56" s="20"/>
      <c r="G56" s="19"/>
      <c r="H56" s="19"/>
      <c r="I56" s="20"/>
    </row>
    <row r="57" spans="1:9">
      <c r="A57" s="19"/>
      <c r="B57" s="19"/>
      <c r="C57" s="19"/>
      <c r="D57" s="19"/>
      <c r="E57" s="19"/>
      <c r="F57" s="20"/>
      <c r="G57" s="19"/>
      <c r="H57" s="19"/>
      <c r="I57" s="20"/>
    </row>
    <row r="58" spans="1:9">
      <c r="A58" s="19"/>
      <c r="B58" s="19"/>
      <c r="C58" s="19"/>
      <c r="D58" s="19"/>
      <c r="E58" s="19"/>
      <c r="F58" s="20"/>
      <c r="G58" s="19"/>
      <c r="H58" s="19"/>
      <c r="I58" s="20"/>
    </row>
    <row r="59" spans="1:9">
      <c r="A59" s="19"/>
      <c r="B59" s="19"/>
      <c r="C59" s="19"/>
      <c r="D59" s="19"/>
      <c r="E59" s="19"/>
      <c r="F59" s="20"/>
      <c r="G59" s="19"/>
      <c r="H59" s="19"/>
      <c r="I59" s="20"/>
    </row>
    <row r="60" spans="1:9">
      <c r="A60" s="19"/>
      <c r="B60" s="19"/>
      <c r="C60" s="19"/>
      <c r="D60" s="19"/>
      <c r="E60" s="19"/>
      <c r="F60" s="20"/>
      <c r="G60" s="19"/>
      <c r="H60" s="19"/>
      <c r="I60" s="20"/>
    </row>
    <row r="61" spans="1:9">
      <c r="A61" s="19"/>
      <c r="B61" s="19"/>
      <c r="C61" s="19"/>
      <c r="D61" s="19"/>
      <c r="E61" s="19"/>
      <c r="F61" s="20"/>
      <c r="G61" s="19"/>
      <c r="H61" s="19"/>
      <c r="I61" s="20"/>
    </row>
    <row r="62" spans="1:9">
      <c r="A62" s="19"/>
      <c r="B62" s="19"/>
      <c r="C62" s="19"/>
      <c r="D62" s="19"/>
      <c r="E62" s="19"/>
      <c r="F62" s="20"/>
      <c r="G62" s="19"/>
      <c r="H62" s="19"/>
      <c r="I62" s="20"/>
    </row>
    <row r="63" spans="1:9">
      <c r="A63" s="19"/>
      <c r="B63" s="19"/>
      <c r="C63" s="19"/>
      <c r="D63" s="19"/>
      <c r="E63" s="19"/>
      <c r="F63" s="20"/>
      <c r="G63" s="19"/>
      <c r="H63" s="19"/>
      <c r="I63" s="20"/>
    </row>
    <row r="64" spans="1:9">
      <c r="A64" s="19"/>
      <c r="B64" s="19"/>
      <c r="C64" s="19"/>
      <c r="D64" s="19"/>
      <c r="E64" s="19"/>
      <c r="F64" s="20"/>
      <c r="G64" s="19"/>
      <c r="H64" s="19"/>
      <c r="I64" s="20"/>
    </row>
    <row r="65" spans="1:9">
      <c r="A65" s="19"/>
      <c r="B65" s="19"/>
      <c r="C65" s="19"/>
      <c r="D65" s="19"/>
      <c r="E65" s="19"/>
      <c r="F65" s="20"/>
      <c r="G65" s="19"/>
      <c r="H65" s="19"/>
      <c r="I65" s="20"/>
    </row>
    <row r="66" spans="1:9">
      <c r="A66" s="19"/>
      <c r="B66" s="19"/>
      <c r="C66" s="19"/>
      <c r="D66" s="19"/>
      <c r="E66" s="19"/>
      <c r="F66" s="20"/>
      <c r="G66" s="19"/>
      <c r="H66" s="19"/>
      <c r="I66" s="20"/>
    </row>
    <row r="67" spans="1:9">
      <c r="A67" s="19"/>
      <c r="B67" s="19"/>
      <c r="C67" s="19"/>
      <c r="D67" s="19"/>
      <c r="E67" s="19"/>
      <c r="F67" s="20"/>
      <c r="G67" s="19"/>
      <c r="H67" s="19"/>
      <c r="I67" s="20"/>
    </row>
    <row r="68" spans="1:9">
      <c r="A68" s="19"/>
      <c r="B68" s="19"/>
      <c r="C68" s="19"/>
      <c r="D68" s="19"/>
      <c r="E68" s="19"/>
      <c r="F68" s="20"/>
      <c r="G68" s="19"/>
      <c r="H68" s="19"/>
      <c r="I68" s="20"/>
    </row>
    <row r="69" spans="1:9">
      <c r="A69" s="19"/>
      <c r="B69" s="19"/>
      <c r="C69" s="19"/>
      <c r="D69" s="19"/>
      <c r="E69" s="19"/>
      <c r="F69" s="20"/>
      <c r="G69" s="19"/>
      <c r="H69" s="19"/>
      <c r="I69" s="20"/>
    </row>
    <row r="70" spans="1:9">
      <c r="A70" s="19"/>
      <c r="B70" s="19"/>
      <c r="C70" s="19"/>
      <c r="D70" s="19"/>
      <c r="E70" s="19"/>
      <c r="F70" s="20"/>
      <c r="G70" s="19"/>
      <c r="H70" s="19"/>
      <c r="I70" s="20"/>
    </row>
    <row r="71" spans="1:9">
      <c r="A71" s="19"/>
      <c r="B71" s="19"/>
      <c r="C71" s="19"/>
      <c r="D71" s="19"/>
      <c r="E71" s="19"/>
      <c r="F71" s="20"/>
      <c r="G71" s="19"/>
      <c r="H71" s="19"/>
      <c r="I71" s="20"/>
    </row>
    <row r="72" spans="1:9">
      <c r="A72" s="19"/>
      <c r="B72" s="19"/>
      <c r="C72" s="19"/>
      <c r="D72" s="19"/>
      <c r="E72" s="19"/>
      <c r="F72" s="20"/>
      <c r="G72" s="19"/>
      <c r="H72" s="19"/>
      <c r="I72" s="20"/>
    </row>
    <row r="73" spans="1:9">
      <c r="A73" s="19"/>
      <c r="B73" s="19"/>
      <c r="C73" s="19"/>
      <c r="D73" s="19"/>
      <c r="E73" s="19"/>
      <c r="F73" s="20"/>
      <c r="G73" s="19"/>
      <c r="H73" s="19"/>
      <c r="I73" s="20"/>
    </row>
    <row r="74" spans="1:9">
      <c r="A74" s="19"/>
      <c r="B74" s="19"/>
      <c r="C74" s="19"/>
      <c r="D74" s="19"/>
      <c r="E74" s="19"/>
      <c r="F74" s="20"/>
      <c r="G74" s="19"/>
      <c r="H74" s="19"/>
      <c r="I74" s="20"/>
    </row>
    <row r="75" spans="1:9">
      <c r="A75" s="19"/>
      <c r="B75" s="19"/>
      <c r="C75" s="19"/>
      <c r="D75" s="19"/>
      <c r="E75" s="19"/>
      <c r="F75" s="20"/>
      <c r="G75" s="19"/>
      <c r="H75" s="19"/>
      <c r="I75" s="20"/>
    </row>
    <row r="76" spans="1:9">
      <c r="A76" s="19"/>
      <c r="B76" s="19"/>
      <c r="C76" s="19"/>
      <c r="D76" s="19"/>
      <c r="E76" s="19"/>
      <c r="F76" s="20"/>
      <c r="G76" s="19"/>
      <c r="H76" s="19"/>
      <c r="I76" s="20"/>
    </row>
    <row r="77" spans="1:9">
      <c r="A77" s="19"/>
      <c r="B77" s="19"/>
      <c r="C77" s="19"/>
      <c r="D77" s="19"/>
      <c r="E77" s="19"/>
      <c r="F77" s="20"/>
      <c r="G77" s="19"/>
      <c r="H77" s="19"/>
      <c r="I77" s="20"/>
    </row>
    <row r="78" spans="1:9">
      <c r="A78" s="19"/>
      <c r="B78" s="19"/>
      <c r="C78" s="19"/>
      <c r="D78" s="19"/>
      <c r="E78" s="19"/>
      <c r="F78" s="20"/>
      <c r="G78" s="19"/>
      <c r="H78" s="19"/>
      <c r="I78" s="20"/>
    </row>
    <row r="79" spans="1:9">
      <c r="A79" s="19"/>
      <c r="B79" s="19"/>
      <c r="C79" s="19"/>
      <c r="D79" s="19"/>
      <c r="E79" s="19"/>
      <c r="F79" s="20"/>
      <c r="G79" s="19"/>
      <c r="H79" s="19"/>
      <c r="I79" s="20"/>
    </row>
    <row r="80" spans="1:9">
      <c r="A80" s="19"/>
      <c r="B80" s="19"/>
      <c r="C80" s="19"/>
      <c r="D80" s="19"/>
      <c r="E80" s="19"/>
      <c r="F80" s="20"/>
      <c r="G80" s="19"/>
      <c r="H80" s="19"/>
      <c r="I80" s="20"/>
    </row>
    <row r="81" spans="1:9">
      <c r="A81" s="19"/>
      <c r="B81" s="19"/>
      <c r="C81" s="19"/>
      <c r="D81" s="19"/>
      <c r="E81" s="19"/>
      <c r="F81" s="20"/>
      <c r="G81" s="19"/>
      <c r="H81" s="19"/>
      <c r="I81" s="20"/>
    </row>
    <row r="82" spans="1:9">
      <c r="A82" s="19"/>
      <c r="B82" s="19"/>
      <c r="C82" s="19"/>
      <c r="D82" s="19"/>
      <c r="E82" s="19"/>
      <c r="F82" s="20"/>
      <c r="G82" s="19"/>
      <c r="H82" s="19"/>
      <c r="I82" s="20"/>
    </row>
    <row r="83" spans="1:9">
      <c r="A83" s="19"/>
      <c r="B83" s="19"/>
      <c r="C83" s="19"/>
      <c r="D83" s="19"/>
      <c r="E83" s="19"/>
      <c r="F83" s="20"/>
      <c r="G83" s="19"/>
      <c r="H83" s="19"/>
      <c r="I83" s="20"/>
    </row>
    <row r="84" spans="1:9">
      <c r="A84" s="19"/>
      <c r="B84" s="19"/>
      <c r="C84" s="19"/>
      <c r="D84" s="19"/>
      <c r="E84" s="19"/>
      <c r="F84" s="20"/>
      <c r="G84" s="19"/>
      <c r="H84" s="19"/>
      <c r="I84" s="20"/>
    </row>
    <row r="85" spans="1:9">
      <c r="A85" s="19"/>
      <c r="B85" s="19"/>
      <c r="C85" s="19"/>
      <c r="D85" s="19"/>
      <c r="E85" s="19"/>
      <c r="F85" s="20"/>
      <c r="G85" s="19"/>
      <c r="H85" s="19"/>
      <c r="I85" s="20"/>
    </row>
    <row r="86" spans="1:9">
      <c r="A86" s="19"/>
      <c r="B86" s="19"/>
      <c r="C86" s="19"/>
      <c r="D86" s="19"/>
      <c r="E86" s="19"/>
      <c r="F86" s="20"/>
      <c r="G86" s="19"/>
      <c r="H86" s="19"/>
      <c r="I86" s="20"/>
    </row>
    <row r="87" spans="1:9">
      <c r="A87" s="19"/>
      <c r="B87" s="19"/>
      <c r="C87" s="19"/>
      <c r="D87" s="19"/>
      <c r="E87" s="19"/>
      <c r="F87" s="20"/>
      <c r="G87" s="19"/>
      <c r="H87" s="19"/>
      <c r="I87" s="20"/>
    </row>
    <row r="88" spans="1:9">
      <c r="A88" s="19"/>
      <c r="B88" s="19"/>
      <c r="C88" s="19"/>
      <c r="D88" s="19"/>
      <c r="E88" s="19"/>
      <c r="F88" s="20"/>
      <c r="G88" s="19"/>
      <c r="H88" s="19"/>
      <c r="I88" s="20"/>
    </row>
    <row r="89" spans="1:9">
      <c r="A89" s="19"/>
      <c r="B89" s="19"/>
      <c r="C89" s="19"/>
      <c r="D89" s="19"/>
      <c r="E89" s="19"/>
      <c r="F89" s="20"/>
      <c r="G89" s="19"/>
      <c r="H89" s="19"/>
      <c r="I89" s="20"/>
    </row>
    <row r="90" spans="1:9">
      <c r="A90" s="19"/>
      <c r="B90" s="19"/>
      <c r="C90" s="19"/>
      <c r="D90" s="19"/>
      <c r="E90" s="19"/>
      <c r="F90" s="20"/>
      <c r="G90" s="19"/>
      <c r="H90" s="19"/>
      <c r="I90" s="20"/>
    </row>
    <row r="91" spans="1:9">
      <c r="A91" s="19"/>
      <c r="B91" s="19"/>
      <c r="C91" s="19"/>
      <c r="D91" s="19"/>
      <c r="E91" s="19"/>
      <c r="F91" s="20"/>
      <c r="G91" s="19"/>
      <c r="H91" s="19"/>
      <c r="I91" s="20"/>
    </row>
    <row r="92" spans="1:9">
      <c r="A92" s="19"/>
      <c r="B92" s="19"/>
      <c r="C92" s="19"/>
      <c r="D92" s="19"/>
      <c r="E92" s="19"/>
      <c r="F92" s="20"/>
      <c r="G92" s="19"/>
      <c r="H92" s="19"/>
      <c r="I92" s="20"/>
    </row>
    <row r="93" spans="1:9">
      <c r="A93" s="19"/>
      <c r="B93" s="19"/>
      <c r="C93" s="19"/>
      <c r="D93" s="19"/>
      <c r="E93" s="19"/>
      <c r="F93" s="20"/>
      <c r="G93" s="19"/>
      <c r="H93" s="19"/>
      <c r="I93" s="20"/>
    </row>
    <row r="94" spans="1:9">
      <c r="A94" s="19"/>
      <c r="B94" s="19"/>
      <c r="C94" s="19"/>
      <c r="D94" s="19"/>
      <c r="E94" s="19"/>
      <c r="F94" s="20"/>
      <c r="G94" s="19"/>
      <c r="H94" s="19"/>
      <c r="I94" s="20"/>
    </row>
    <row r="95" spans="1:9">
      <c r="A95" s="19"/>
      <c r="B95" s="19"/>
      <c r="C95" s="19"/>
      <c r="D95" s="19"/>
      <c r="E95" s="19"/>
      <c r="F95" s="20"/>
      <c r="G95" s="19"/>
      <c r="H95" s="19"/>
      <c r="I95" s="20"/>
    </row>
    <row r="96" spans="1:9">
      <c r="A96" s="19"/>
      <c r="B96" s="19"/>
      <c r="C96" s="19"/>
      <c r="D96" s="19"/>
      <c r="E96" s="19"/>
      <c r="F96" s="20"/>
      <c r="G96" s="19"/>
      <c r="H96" s="19"/>
      <c r="I96" s="20"/>
    </row>
    <row r="97" spans="1:9">
      <c r="A97" s="19"/>
      <c r="B97" s="19"/>
      <c r="C97" s="19"/>
      <c r="D97" s="19"/>
      <c r="E97" s="19"/>
      <c r="F97" s="20"/>
      <c r="G97" s="19"/>
      <c r="H97" s="19"/>
      <c r="I97" s="20"/>
    </row>
    <row r="98" spans="1:9">
      <c r="A98" s="19"/>
      <c r="B98" s="19"/>
      <c r="C98" s="19"/>
      <c r="D98" s="19"/>
      <c r="E98" s="19"/>
      <c r="F98" s="20"/>
      <c r="G98" s="19"/>
      <c r="H98" s="19"/>
      <c r="I98" s="20"/>
    </row>
    <row r="99" spans="1:9">
      <c r="A99" s="19"/>
      <c r="B99" s="19"/>
      <c r="C99" s="19"/>
      <c r="D99" s="19"/>
      <c r="E99" s="19"/>
      <c r="F99" s="20"/>
      <c r="G99" s="19"/>
      <c r="H99" s="19"/>
      <c r="I99" s="20"/>
    </row>
    <row r="100" spans="1: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75">
      <c r="A1" s="92" t="str" cm="1">
        <f t="array" ref="A1">portfolio</f>
        <v>MN8 Bond</v>
      </c>
      <c r="B1" s="92"/>
      <c r="C1" s="92"/>
      <c r="D1" s="93" t="s">
        <v>18</v>
      </c>
      <c r="E1" s="93"/>
      <c r="F1" s="93"/>
      <c r="G1" s="91" t="s">
        <v>19</v>
      </c>
      <c r="H1" s="91"/>
      <c r="I1" s="91"/>
      <c r="J1" s="4"/>
      <c r="K1" s="4"/>
    </row>
    <row r="2" spans="1:11" ht="15.75">
      <c r="A2" s="94" t="s">
        <v>2</v>
      </c>
      <c r="B2" s="94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7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30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30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35</v>
      </c>
      <c r="E1" s="93"/>
      <c r="F1" s="93"/>
      <c r="G1" s="91" t="s">
        <v>36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20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60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30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30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5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53</v>
      </c>
      <c r="E1" s="93"/>
      <c r="F1" s="93"/>
      <c r="G1" s="91" t="s">
        <v>54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90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30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4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30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10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60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30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30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30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tabSelected="1" workbookViewId="0">
      <pane xSplit="2" ySplit="3" topLeftCell="C4" activePane="bottomRight" state="frozen"/>
      <selection pane="bottomRight" activeCell="L11" sqref="L1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2" t="str" cm="1">
        <f t="array" ref="A1">portfolio</f>
        <v>MN8 Bond</v>
      </c>
      <c r="B1" s="92"/>
      <c r="C1" s="92"/>
      <c r="D1" s="93" t="s">
        <v>76</v>
      </c>
      <c r="E1" s="93"/>
      <c r="F1" s="93"/>
      <c r="G1" s="91" t="s">
        <v>77</v>
      </c>
      <c r="H1" s="91"/>
      <c r="I1" s="91"/>
      <c r="J1" s="4"/>
      <c r="K1" s="4"/>
    </row>
    <row r="2" spans="1:12" ht="19.5" customHeight="1">
      <c r="A2" s="94" t="s">
        <v>2</v>
      </c>
      <c r="B2" s="94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6.5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52.2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6.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5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89" t="s">
        <v>89</v>
      </c>
      <c r="K11" s="89" t="s">
        <v>90</v>
      </c>
    </row>
    <row r="12" spans="1:12" ht="121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5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95</v>
      </c>
      <c r="E1" s="93"/>
      <c r="F1" s="93"/>
      <c r="G1" s="91" t="s">
        <v>96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97</v>
      </c>
      <c r="E1" s="93"/>
      <c r="F1" s="93"/>
      <c r="G1" s="91" t="s">
        <v>98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99</v>
      </c>
      <c r="E1" s="93"/>
      <c r="F1" s="93"/>
      <c r="G1" s="91" t="s">
        <v>100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101</v>
      </c>
      <c r="E1" s="93"/>
      <c r="F1" s="93"/>
      <c r="G1" s="91" t="s">
        <v>102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103</v>
      </c>
      <c r="E1" s="93"/>
      <c r="F1" s="93"/>
      <c r="G1" s="91" t="s">
        <v>104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105</v>
      </c>
      <c r="E1" s="93"/>
      <c r="F1" s="93"/>
      <c r="G1" s="91" t="s">
        <v>106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107</v>
      </c>
      <c r="E1" s="93"/>
      <c r="F1" s="93"/>
      <c r="G1" s="91" t="s">
        <v>108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109</v>
      </c>
      <c r="E1" s="93"/>
      <c r="F1" s="93"/>
      <c r="G1" s="91" t="s">
        <v>110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E25" sqref="E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111</v>
      </c>
      <c r="B1" t="s">
        <v>112</v>
      </c>
    </row>
    <row r="3" spans="1:12">
      <c r="A3" t="s">
        <v>113</v>
      </c>
      <c r="B3" t="s">
        <v>3</v>
      </c>
      <c r="C3" t="s">
        <v>4</v>
      </c>
      <c r="D3" t="s">
        <v>114</v>
      </c>
      <c r="E3" s="2" t="s">
        <v>115</v>
      </c>
    </row>
    <row r="4" spans="1:12" ht="15">
      <c r="A4" s="46" t="s">
        <v>116</v>
      </c>
      <c r="B4" t="s">
        <v>117</v>
      </c>
      <c r="C4" s="45" t="s">
        <v>118</v>
      </c>
      <c r="D4" s="44" t="s">
        <v>119</v>
      </c>
      <c r="E4" t="s">
        <v>120</v>
      </c>
      <c r="G4" s="3"/>
    </row>
    <row r="5" spans="1:12" ht="15">
      <c r="A5" s="46" t="s">
        <v>121</v>
      </c>
      <c r="B5" t="s">
        <v>122</v>
      </c>
      <c r="C5" s="45" t="s">
        <v>118</v>
      </c>
      <c r="D5" s="44" t="s">
        <v>119</v>
      </c>
      <c r="E5" t="s">
        <v>120</v>
      </c>
      <c r="G5" s="3"/>
    </row>
    <row r="6" spans="1:12" ht="15">
      <c r="A6" s="46" t="s">
        <v>123</v>
      </c>
      <c r="B6" t="s">
        <v>124</v>
      </c>
      <c r="C6" s="45" t="s">
        <v>118</v>
      </c>
      <c r="D6" s="44" t="s">
        <v>119</v>
      </c>
      <c r="E6" t="s">
        <v>120</v>
      </c>
      <c r="G6" s="3"/>
    </row>
    <row r="7" spans="1:12" ht="12.75" customHeight="1">
      <c r="A7" s="46" t="s">
        <v>125</v>
      </c>
      <c r="B7" t="s">
        <v>126</v>
      </c>
      <c r="C7" s="45" t="s">
        <v>118</v>
      </c>
      <c r="D7" s="44" t="s">
        <v>119</v>
      </c>
      <c r="E7" t="s">
        <v>120</v>
      </c>
    </row>
    <row r="8" spans="1:12" ht="12.75" customHeight="1">
      <c r="A8" s="46" t="s">
        <v>127</v>
      </c>
      <c r="B8" t="s">
        <v>128</v>
      </c>
      <c r="C8" s="45" t="s">
        <v>118</v>
      </c>
      <c r="D8" s="44" t="s">
        <v>119</v>
      </c>
      <c r="E8" t="s">
        <v>120</v>
      </c>
    </row>
    <row r="9" spans="1:12" ht="12.75" customHeight="1">
      <c r="A9" s="46" t="s">
        <v>129</v>
      </c>
      <c r="B9" t="s">
        <v>130</v>
      </c>
      <c r="C9" s="45" t="s">
        <v>118</v>
      </c>
      <c r="D9" s="44" t="s">
        <v>119</v>
      </c>
      <c r="E9" t="s">
        <v>120</v>
      </c>
    </row>
    <row r="10" spans="1:12" ht="12.75" customHeight="1">
      <c r="A10" s="46" t="s">
        <v>131</v>
      </c>
      <c r="B10" t="s">
        <v>132</v>
      </c>
      <c r="C10" s="45" t="s">
        <v>118</v>
      </c>
      <c r="D10" s="44" t="s">
        <v>119</v>
      </c>
      <c r="E10" t="s">
        <v>120</v>
      </c>
      <c r="K10" s="41"/>
      <c r="L10" s="41"/>
    </row>
    <row r="11" spans="1:12" ht="12.75" customHeight="1">
      <c r="A11" s="46" t="s">
        <v>133</v>
      </c>
      <c r="B11" t="s">
        <v>134</v>
      </c>
      <c r="C11" s="45" t="s">
        <v>118</v>
      </c>
      <c r="D11" s="44" t="s">
        <v>119</v>
      </c>
      <c r="E11" t="s">
        <v>120</v>
      </c>
      <c r="K11" s="41"/>
      <c r="L11" s="41"/>
    </row>
    <row r="12" spans="1:12" ht="12.75" customHeight="1">
      <c r="A12" s="46" t="s">
        <v>135</v>
      </c>
      <c r="B12" t="s">
        <v>136</v>
      </c>
      <c r="C12" s="45" t="s">
        <v>118</v>
      </c>
      <c r="D12" s="44" t="s">
        <v>119</v>
      </c>
      <c r="E12" t="s">
        <v>120</v>
      </c>
      <c r="K12" s="41"/>
      <c r="L12" s="41"/>
    </row>
    <row r="13" spans="1:12" ht="12.75" customHeight="1">
      <c r="A13" s="46" t="s">
        <v>137</v>
      </c>
      <c r="B13" t="s">
        <v>138</v>
      </c>
      <c r="C13" s="45" t="s">
        <v>118</v>
      </c>
      <c r="D13" s="44" t="s">
        <v>119</v>
      </c>
      <c r="E13" t="s">
        <v>120</v>
      </c>
      <c r="K13" s="41"/>
      <c r="L13" s="41"/>
    </row>
    <row r="14" spans="1:12" ht="12.75" customHeight="1">
      <c r="A14" s="46" t="s">
        <v>139</v>
      </c>
      <c r="B14" t="s">
        <v>140</v>
      </c>
      <c r="C14" s="45" t="s">
        <v>118</v>
      </c>
      <c r="D14" s="44" t="s">
        <v>119</v>
      </c>
      <c r="E14" t="s">
        <v>120</v>
      </c>
      <c r="K14" s="41"/>
      <c r="L14" s="41"/>
    </row>
    <row r="15" spans="1:12" ht="12.75" customHeight="1">
      <c r="A15" s="46" t="s">
        <v>141</v>
      </c>
      <c r="B15" t="s">
        <v>142</v>
      </c>
      <c r="C15" s="45" t="s">
        <v>118</v>
      </c>
      <c r="D15" s="44" t="s">
        <v>119</v>
      </c>
      <c r="E15" t="s">
        <v>120</v>
      </c>
      <c r="K15" s="41"/>
      <c r="L15" s="41"/>
    </row>
    <row r="16" spans="1:12" ht="12.75" customHeight="1">
      <c r="A16" s="46" t="s">
        <v>143</v>
      </c>
      <c r="B16" t="s">
        <v>144</v>
      </c>
      <c r="C16" s="45" t="s">
        <v>118</v>
      </c>
      <c r="D16" s="44" t="s">
        <v>119</v>
      </c>
      <c r="E16" t="s">
        <v>120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2024-06-05T06:17:06Z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