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Montly reports\"/>
    </mc:Choice>
  </mc:AlternateContent>
  <xr:revisionPtr revIDLastSave="59" documentId="13_ncr:1_{F7318330-1419-43F7-8CD7-AC9993034140}" xr6:coauthVersionLast="47" xr6:coauthVersionMax="47" xr10:uidLastSave="{ADF27CC0-2FC5-433A-BA85-60DC87247976}"/>
  <bookViews>
    <workbookView xWindow="-120" yWindow="-120" windowWidth="29040" windowHeight="15720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H4" i="18"/>
  <c r="I16" i="21"/>
  <c r="I17" i="21"/>
  <c r="I18" i="21"/>
  <c r="I19" i="21"/>
  <c r="I20" i="21"/>
  <c r="I21" i="21"/>
  <c r="I22" i="21"/>
  <c r="I23" i="21"/>
  <c r="I24" i="21"/>
  <c r="H18" i="21"/>
  <c r="H19" i="21"/>
  <c r="H20" i="21"/>
  <c r="H21" i="21"/>
  <c r="H22" i="21"/>
  <c r="H23" i="21"/>
  <c r="H24" i="21"/>
  <c r="F18" i="21"/>
  <c r="F19" i="21"/>
  <c r="F20" i="21"/>
  <c r="F21" i="21"/>
  <c r="F22" i="21"/>
  <c r="F23" i="21"/>
  <c r="F24" i="21"/>
  <c r="E18" i="21"/>
  <c r="E19" i="21"/>
  <c r="E20" i="21"/>
  <c r="E21" i="21"/>
  <c r="E22" i="21"/>
  <c r="E23" i="21"/>
  <c r="E24" i="2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I18" i="18" s="1"/>
  <c r="C19" i="18"/>
  <c r="D19" i="18"/>
  <c r="H19" i="18"/>
  <c r="I19" i="18" s="1"/>
  <c r="C20" i="18"/>
  <c r="D20" i="18"/>
  <c r="H20" i="18"/>
  <c r="I20" i="18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E20" i="18" l="1"/>
  <c r="F20" i="18" s="1"/>
  <c r="E17" i="18"/>
  <c r="F17" i="18" s="1"/>
  <c r="E22" i="34"/>
  <c r="F22" i="34" s="1"/>
  <c r="E23" i="34"/>
  <c r="F23" i="34" s="1"/>
  <c r="E19" i="34"/>
  <c r="F19" i="34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E18" i="34"/>
  <c r="F18" i="34" s="1"/>
  <c r="E21" i="34"/>
  <c r="F21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D19" i="30"/>
  <c r="H19" i="30"/>
  <c r="I19" i="30" s="1"/>
  <c r="C20" i="30"/>
  <c r="D20" i="30"/>
  <c r="E20" i="30" s="1"/>
  <c r="F20" i="30" s="1"/>
  <c r="H20" i="30"/>
  <c r="I20" i="30" s="1"/>
  <c r="C21" i="30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E16" i="30" s="1"/>
  <c r="F16" i="30" s="1"/>
  <c r="H16" i="30"/>
  <c r="I16" i="30"/>
  <c r="C17" i="30"/>
  <c r="E17" i="30" s="1"/>
  <c r="F17" i="30" s="1"/>
  <c r="D17" i="30"/>
  <c r="C16" i="29"/>
  <c r="E16" i="29" s="1"/>
  <c r="F16" i="29" s="1"/>
  <c r="D16" i="29"/>
  <c r="C17" i="29"/>
  <c r="D17" i="29"/>
  <c r="E17" i="29"/>
  <c r="F17" i="29"/>
  <c r="C16" i="18"/>
  <c r="D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E11" i="18" s="1"/>
  <c r="F11" i="18" s="1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16" i="18" l="1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I16" i="29" s="1"/>
  <c r="E19" i="30"/>
  <c r="F19" i="30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E21" i="30"/>
  <c r="F21" i="30" s="1"/>
  <c r="E21" i="1"/>
  <c r="F21" i="1" s="1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3" i="1"/>
  <c r="I23" i="1" s="1"/>
  <c r="H21" i="1"/>
  <c r="I21" i="1" s="1"/>
  <c r="I19" i="72"/>
  <c r="H19" i="34"/>
  <c r="I19" i="34" s="1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I4" i="18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<sst xmlns="http://schemas.openxmlformats.org/spreadsheetml/2006/main" count="452" uniqueCount="161">
  <si>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</si>
  <si>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</si>
  <si>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</si>
  <si>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</si>
  <si>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</si>
  <si>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</si>
  <si>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</si>
  <si>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</si>
  <si>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</si>
  <si>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</si>
  <si>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</si>
  <si>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</si>
  <si>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</si>
  <si>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</si>
  <si>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</si>
  <si>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</si>
  <si>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</si>
  <si>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</si>
  <si>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</si>
  <si>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</si>
  <si>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</si>
  <si>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</si>
  <si>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</si>
  <si>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</si>
  <si>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</si>
  <si>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</si>
  <si>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</si>
  <si>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</si>
  <si>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</si>
  <si>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</si>
  <si>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</si>
  <si>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</si>
  <si>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</si>
  <si>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</si>
  <si>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</si>
  <si>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</si>
  <si>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</si>
  <si>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</si>
  <si>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</si>
  <si>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</si>
  <si>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</si>
  <si>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</si>
  <si>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</si>
  <si>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</si>
  <si>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</si>
  <si>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</si>
  <si>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</si>
  <si>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</si>
  <si>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</si>
  <si>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</si>
  <si>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</si>
  <si>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</si>
  <si>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</si>
  <si>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</si>
  <si>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</si>
  <si>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</si>
  <si>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</si>
  <si>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</si>
  <si>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</si>
  <si>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</si>
  <si>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</si>
  <si>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</si>
  <si>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</si>
  <si>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</si>
  <si>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</si>
  <si>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</si>
  <si>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</si>
  <si>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</si>
  <si>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</si>
  <si>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</si>
  <si>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</si>
  <si>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</si>
  <si>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</si>
  <si>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</si>
  <si>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</si>
  <si>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</si>
  <si>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</si>
  <si>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</si>
  <si>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</si>
  <si>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</si>
  <si>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</si>
  <si>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</si>
  <si>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</si>
  <si>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</si>
  <si>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</si>
  <si>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</si>
  <si>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</si>
  <si>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</si>
  <si>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</si>
  <si>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</si>
  <si>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</si>
  <si>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</si>
  <si>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</si>
  <si>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</si>
  <si>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</si>
  <si>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</si>
  <si>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</si>
  <si>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</si>
  <si>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</si>
  <si>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</si>
  <si>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</si>
  <si>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</si>
  <si>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</si>
  <si>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</si>
  <si>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April Actual v. Expected</t>
  </si>
  <si>
    <t>April Actual v. Forecasted</t>
  </si>
  <si>
    <t>1. Inverter 1 is offline on 04/12 and back online at 11:15am on 04/12</t>
  </si>
  <si>
    <t>1. SR083350</t>
  </si>
  <si>
    <t>1. Site tripped offline on 04/16 at 14:00 and back online on 04/17 at 08:00am and again site is offline from 02:00 am on 04/26 to 11:00am on 04/26
2. Inverter 2 was offline from 15:45 on 04/26 to 11:00am on 04/26</t>
  </si>
  <si>
    <t>1. SR083515
2. SR083821</t>
  </si>
  <si>
    <t>1. Inverter C is derated 241kW compared to inverter D on 04/08/2024 from 08:00am to 11: 45am
2. Inverters A and B are tripped offline on 04/09 at 08:30 am and back online on 04/17 at 16:30 and Technician deenergised the site to troubleshoot inverters.</t>
  </si>
  <si>
    <t>1. SR083171
2. SR083244</t>
  </si>
  <si>
    <t>1. Site is offline on 04/04 from 05:05 am to 14:35
2. Site was deenergised by technician to change transformer taps.
3. Site is offline from 04/17 to 05/02 due to planned utility outage</t>
  </si>
  <si>
    <t>1. SR083058
2. SR083456
3. SR082333</t>
  </si>
  <si>
    <t>1. SR083057
2. SR083456
3. SR082334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</si>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</sst>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4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39" fillId="38" borderId="1" xfId="2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1"/>
  <sheetViews>
    <sheetView workbookViewId="0">
      <pane xSplit="2" ySplit="3" topLeftCell="C4" activePane="bottomRight" state="frozen"/>
      <selection pane="bottomRight" activeCell="A26" sqref="A2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38 DN</v>
      </c>
      <c r="B1" s="71"/>
      <c r="C1" s="71"/>
      <c r="D1" s="72" t="s">
        <v>0</v>
      </c>
      <c r="E1" s="72"/>
      <c r="F1" s="72"/>
      <c r="G1" s="70" t="s">
        <v>1</v>
      </c>
      <c r="H1" s="70"/>
      <c r="I1" s="70"/>
    </row>
    <row r="2" spans="1:9" ht="19.5" customHeight="1">
      <c r="A2" s="73" t="s">
        <v>2</v>
      </c>
      <c r="B2" s="73"/>
      <c r="C2" s="5">
        <f>SUM(C4:C99)</f>
        <v>7857279.5</v>
      </c>
      <c r="D2" s="5">
        <f>SUM(D4:D99)</f>
        <v>9827272.0899999999</v>
      </c>
      <c r="E2" s="5">
        <f>C2-D2</f>
        <v>-1969992.5899999999</v>
      </c>
      <c r="F2" s="6">
        <f>IFERROR(E2/D2, 0)</f>
        <v>-0.20046179366546876</v>
      </c>
      <c r="G2" s="5">
        <f>SUM(G4:G99)</f>
        <v>13489931.949999999</v>
      </c>
      <c r="H2" s="7">
        <f>C2-G2</f>
        <v>-5632652.4499999993</v>
      </c>
      <c r="I2" s="6">
        <f>IFERROR(H2/G2, 0)</f>
        <v>-0.41754491207792932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636409</v>
      </c>
      <c r="D4" s="37">
        <f>SUM('1st Qtr'!D4, '2nd Qtr'!D4, '3rd Qtr'!D4, '4th Qtr'!D4)</f>
        <v>615313.1</v>
      </c>
      <c r="E4" s="37">
        <f>IF(AND(ISNUMBER(C4),ISNUMBER(D4)), C4-D4, "")</f>
        <v>21095.900000000023</v>
      </c>
      <c r="F4" s="38">
        <f>IFERROR(E4/D4, "")</f>
        <v>3.4284821824856357E-2</v>
      </c>
      <c r="G4" s="39">
        <f>SUM('1st Qtr'!G4, '2nd Qtr'!G4, '3rd Qtr'!G4, '4th Qtr'!G4)</f>
        <v>706932.4</v>
      </c>
      <c r="H4" s="39">
        <f>SUM('1st Qtr'!H4, '2nd Qtr'!H4, '3rd Qtr'!H4, '4th Qtr'!H4)</f>
        <v>-70523.400000000023</v>
      </c>
      <c r="I4" s="40">
        <f>IFERROR(H4/G4, "")</f>
        <v>-9.975975072015375E-2</v>
      </c>
    </row>
    <row r="5" spans="1:9" ht="15.75">
      <c r="A5" s="41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SUM('1st Qtr'!G5, '2nd Qtr'!G5, '3rd Qtr'!G5, '4th Qtr'!G5)</f>
        <v>473907.63</v>
      </c>
      <c r="H5" s="46">
        <f>SUM(Jan!H5, Feb!H5, Mar!H5)</f>
        <v>-31399.929999999993</v>
      </c>
      <c r="I5" s="45">
        <f>IFERROR(H5/G5, "")</f>
        <v>-6.625748988257478E-2</v>
      </c>
    </row>
    <row r="6" spans="1:9" ht="15.75">
      <c r="A6" s="34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SUM('1st Qtr'!G6, '2nd Qtr'!G6, '3rd Qtr'!G6, '4th Qtr'!G6)</f>
        <v>1016850.5</v>
      </c>
      <c r="H6" s="39">
        <f>SUM(Jan!H6, Feb!H6, Mar!H6)</f>
        <v>-84457.999999999971</v>
      </c>
      <c r="I6" s="40">
        <f t="shared" ref="I6:I15" si="2">IFERROR(H6/G6, "")</f>
        <v>-8.3058424025950692E-2</v>
      </c>
    </row>
    <row r="7" spans="1:9" ht="15.75">
      <c r="A7" s="41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SUM('1st Qtr'!G7, '2nd Qtr'!G7, '3rd Qtr'!G7, '4th Qtr'!G7)</f>
        <v>508401.34</v>
      </c>
      <c r="H7" s="46">
        <f>SUM(Jan!H7, Feb!H7, Mar!H7)</f>
        <v>-46244.540000000008</v>
      </c>
      <c r="I7" s="45">
        <f t="shared" si="2"/>
        <v>-9.0960696523734591E-2</v>
      </c>
    </row>
    <row r="8" spans="1:9" ht="15.75">
      <c r="A8" s="34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SUM('1st Qtr'!G8, '2nd Qtr'!G8, '3rd Qtr'!G8, '4th Qtr'!G8)</f>
        <v>1300931.8</v>
      </c>
      <c r="H8" s="39">
        <f>SUM(Jan!H8, Feb!H8, Mar!H8)</f>
        <v>-24305.299999999988</v>
      </c>
      <c r="I8" s="40">
        <f t="shared" si="2"/>
        <v>-1.8682993220705334E-2</v>
      </c>
    </row>
    <row r="9" spans="1:9" ht="15.75">
      <c r="A9" s="41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SUM('1st Qtr'!G9, '2nd Qtr'!G9, '3rd Qtr'!G9, '4th Qtr'!G9)</f>
        <v>492182</v>
      </c>
      <c r="H9" s="46">
        <f>SUM(Jan!H9, Feb!H9, Mar!H9)</f>
        <v>-46680</v>
      </c>
      <c r="I9" s="45">
        <f t="shared" si="2"/>
        <v>-9.4842964594398005E-2</v>
      </c>
    </row>
    <row r="10" spans="1:9" ht="15.75">
      <c r="A10" s="34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SUM('1st Qtr'!G10, '2nd Qtr'!G10, '3rd Qtr'!G10, '4th Qtr'!G10)</f>
        <v>595195.80000000005</v>
      </c>
      <c r="H10" s="39">
        <f>SUM(Jan!H10, Feb!H10, Mar!H10)</f>
        <v>-141140.20000000001</v>
      </c>
      <c r="I10" s="40">
        <f t="shared" si="2"/>
        <v>-0.2371323856787968</v>
      </c>
    </row>
    <row r="11" spans="1:9" ht="15.75">
      <c r="A11" s="41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SUM('1st Qtr'!G11, '2nd Qtr'!G11, '3rd Qtr'!G11, '4th Qtr'!G11)</f>
        <v>1066285</v>
      </c>
      <c r="H11" s="46">
        <f>SUM(Jan!H11, Feb!H11, Mar!H11)</f>
        <v>-68152.899999999994</v>
      </c>
      <c r="I11" s="45">
        <f t="shared" si="2"/>
        <v>-6.3916213770239663E-2</v>
      </c>
    </row>
    <row r="12" spans="1:9" ht="15.75">
      <c r="A12" s="34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SUM('1st Qtr'!G12, '2nd Qtr'!G12, '3rd Qtr'!G12, '4th Qtr'!G12)</f>
        <v>517489.33</v>
      </c>
      <c r="H12" s="39">
        <f>SUM(Jan!H12, Feb!H12, Mar!H12)</f>
        <v>-39098.029999999984</v>
      </c>
      <c r="I12" s="40">
        <f t="shared" si="2"/>
        <v>-7.5553306577354901E-2</v>
      </c>
    </row>
    <row r="13" spans="1:9" ht="15.75">
      <c r="A13" s="41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SUM('1st Qtr'!G13, '2nd Qtr'!G13, '3rd Qtr'!G13, '4th Qtr'!G13)</f>
        <v>496964.32999999996</v>
      </c>
      <c r="H13" s="46">
        <f>SUM(Jan!H13, Feb!H13, Mar!H13)</f>
        <v>-33626.930000000008</v>
      </c>
      <c r="I13" s="45">
        <f t="shared" si="2"/>
        <v>-6.7664675249428888E-2</v>
      </c>
    </row>
    <row r="14" spans="1:9" ht="15.75">
      <c r="A14" s="34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SUM('1st Qtr'!G14, '2nd Qtr'!G14, '3rd Qtr'!G14, '4th Qtr'!G14)</f>
        <v>504134.08999999997</v>
      </c>
      <c r="H14" s="39">
        <f>SUM(Jan!H14, Feb!H14, Mar!H14)</f>
        <v>-17504.989999999991</v>
      </c>
      <c r="I14" s="40">
        <f t="shared" si="2"/>
        <v>-3.4722884937219763E-2</v>
      </c>
    </row>
    <row r="15" spans="1:9" ht="15.75">
      <c r="A15" s="41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SUM('1st Qtr'!G15, '2nd Qtr'!G15, '3rd Qtr'!G15, '4th Qtr'!G15)</f>
        <v>227691.15</v>
      </c>
      <c r="H15" s="46">
        <f>SUM(Jan!H15, Feb!H15, Mar!H15)</f>
        <v>-11730.430000000008</v>
      </c>
      <c r="I15" s="45">
        <f t="shared" si="2"/>
        <v>-5.1519042351887666E-2</v>
      </c>
    </row>
    <row r="16" spans="1:9" ht="15.75">
      <c r="A16" s="34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9" si="3">IF(AND(ISNUMBER(C16),ISNUMBER(D16)), C16-D16, "")</f>
        <v>-202502.30000000005</v>
      </c>
      <c r="F16" s="38">
        <f t="shared" ref="F16:F19" si="4">IFERROR(E16/D16, "")</f>
        <v>-0.24306402185606865</v>
      </c>
      <c r="G16" s="39">
        <f>SUM('1st Qtr'!G16, '2nd Qtr'!G16, '3rd Qtr'!G16, '4th Qtr'!G16)</f>
        <v>1175749.7</v>
      </c>
      <c r="H16" s="39">
        <f>SUM(Jan!H16, Feb!H16, Mar!H16)</f>
        <v>-196429.69999999998</v>
      </c>
      <c r="I16" s="40">
        <f t="shared" ref="I16:I19" si="5">IFERROR(H16/G16, "")</f>
        <v>-0.16706761651735907</v>
      </c>
    </row>
    <row r="17" spans="1:9" ht="15.75">
      <c r="A17" s="41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SUM('1st Qtr'!G17, '2nd Qtr'!G17, '3rd Qtr'!G17, '4th Qtr'!G17)</f>
        <v>572552.10000000009</v>
      </c>
      <c r="H17" s="46">
        <f>SUM(Jan!H17, Feb!H17, Mar!H17)</f>
        <v>-113116.4</v>
      </c>
      <c r="I17" s="45">
        <f t="shared" si="5"/>
        <v>-0.19756525214037285</v>
      </c>
    </row>
    <row r="18" spans="1:9" ht="12.75" customHeight="1">
      <c r="A18" s="34" t="str">
        <v>Ledeaux</v>
      </c>
      <c r="B18" s="41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SUM('1st Qtr'!G18, '2nd Qtr'!G18, '3rd Qtr'!G18, '4th Qtr'!G18)</f>
        <v>546724.09</v>
      </c>
      <c r="H18" s="39">
        <f>SUM(Jan!H18, Feb!H18, Mar!H18)</f>
        <v>-116096.19</v>
      </c>
      <c r="I18" s="40">
        <f t="shared" si="5"/>
        <v>-0.21234877358339926</v>
      </c>
    </row>
    <row r="19" spans="1:9" ht="15.75">
      <c r="A19" s="41" t="str">
        <v>Palombo A</v>
      </c>
      <c r="B19" s="41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si="3"/>
        <v>-218385.00000000047</v>
      </c>
      <c r="F19" s="45">
        <f t="shared" si="4"/>
        <v>-0.26194234473692474</v>
      </c>
      <c r="G19" s="46">
        <f>SUM('1st Qtr'!G19, '2nd Qtr'!G19, '3rd Qtr'!G19, '4th Qtr'!G19)</f>
        <v>1267162</v>
      </c>
      <c r="H19" s="46">
        <f>SUM(Jan!H19, Feb!H19, Mar!H19)</f>
        <v>-290292.00000000041</v>
      </c>
      <c r="I19" s="45">
        <f t="shared" si="5"/>
        <v>-0.22908830915068509</v>
      </c>
    </row>
    <row r="20" spans="1:9" ht="15.75">
      <c r="A20" s="34" t="str">
        <v>Palombo B</v>
      </c>
      <c r="B20" s="41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ref="E20:E24" si="6">IF(AND(ISNUMBER(C20),ISNUMBER(D20)), C20-D20, "")</f>
        <v>-99142.849999999977</v>
      </c>
      <c r="F20" s="38">
        <f t="shared" ref="F20:F24" si="7">IFERROR(E20/D20, "")</f>
        <v>-0.25362464452575739</v>
      </c>
      <c r="G20" s="39">
        <f>SUM('1st Qtr'!G20, '2nd Qtr'!G20, '3rd Qtr'!G20, '4th Qtr'!G20)</f>
        <v>492148.19000000006</v>
      </c>
      <c r="H20" s="39">
        <f>SUM(Jan!H20, Feb!H20, Mar!H20)</f>
        <v>-30222.289999999994</v>
      </c>
      <c r="I20" s="40">
        <f t="shared" ref="I20:I24" si="8">IFERROR(H20/G20, "")</f>
        <v>-6.1408922381691558E-2</v>
      </c>
    </row>
    <row r="21" spans="1:9" ht="15.75">
      <c r="A21" s="41" t="str">
        <v>St Josephs Church</v>
      </c>
      <c r="B21" s="41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SUM('1st Qtr'!G21, '2nd Qtr'!G21, '3rd Qtr'!G21, '4th Qtr'!G21)</f>
        <v>527850.02</v>
      </c>
      <c r="H21" s="46">
        <f>SUM(Jan!H21, Feb!H21, Mar!H21)</f>
        <v>-79594.820000000007</v>
      </c>
      <c r="I21" s="45">
        <f t="shared" si="8"/>
        <v>-0.15079059767772673</v>
      </c>
    </row>
    <row r="22" spans="1:9" ht="15.75">
      <c r="A22" s="34" t="str">
        <v>Sunset A</v>
      </c>
      <c r="B22" s="41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SUM('1st Qtr'!G22, '2nd Qtr'!G22, '3rd Qtr'!G22, '4th Qtr'!G22)</f>
        <v>223117.68000000002</v>
      </c>
      <c r="H22" s="39">
        <f>SUM(Jan!H22, Feb!H22, Mar!H22)</f>
        <v>-8226.9600000000028</v>
      </c>
      <c r="I22" s="40">
        <f t="shared" si="8"/>
        <v>-3.6872739085490679E-2</v>
      </c>
    </row>
    <row r="23" spans="1:9" ht="15.75">
      <c r="A23" s="41" t="str">
        <v>Sunset B</v>
      </c>
      <c r="B23" s="41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SUM('1st Qtr'!G23, '2nd Qtr'!G23, '3rd Qtr'!G23, '4th Qtr'!G23)</f>
        <v>220443.9</v>
      </c>
      <c r="H23" s="46">
        <f>SUM(Jan!H23, Feb!H23, Mar!H23)</f>
        <v>-18118.310000000005</v>
      </c>
      <c r="I23" s="45">
        <f t="shared" si="8"/>
        <v>-8.2190117304221183E-2</v>
      </c>
    </row>
    <row r="24" spans="1:9" ht="15.75">
      <c r="A24" s="34" t="str">
        <v>Woodchuck</v>
      </c>
      <c r="B24" s="41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SUM('1st Qtr'!G24, '2nd Qtr'!G24, '3rd Qtr'!G24, '4th Qtr'!G24)</f>
        <v>557218.9</v>
      </c>
      <c r="H24" s="39">
        <f>SUM(Jan!H24, Feb!H24, Mar!H24)</f>
        <v>-95543.8</v>
      </c>
      <c r="I24" s="40">
        <f t="shared" si="8"/>
        <v>-0.17146546895663445</v>
      </c>
    </row>
    <row r="25" spans="1:9">
      <c r="A25" s="13"/>
      <c r="B25" s="13"/>
      <c r="C25" s="13"/>
      <c r="D25" s="13"/>
      <c r="E25" s="13"/>
      <c r="F25" s="13"/>
      <c r="G25" s="13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  <row r="29" spans="1:9">
      <c r="A29" s="13"/>
      <c r="B29" s="13"/>
      <c r="C29" s="13"/>
      <c r="D29" s="13"/>
      <c r="E29" s="13"/>
      <c r="F29" s="13"/>
      <c r="G29" s="13"/>
      <c r="H29" s="13"/>
      <c r="I29" s="13"/>
    </row>
    <row r="30" spans="1:9">
      <c r="A30" s="13"/>
      <c r="B30" s="13"/>
      <c r="C30" s="13"/>
      <c r="D30" s="13"/>
      <c r="E30" s="13"/>
      <c r="F30" s="13"/>
      <c r="G30" s="13"/>
      <c r="H30" s="13"/>
      <c r="I30" s="13"/>
    </row>
    <row r="31" spans="1:9">
      <c r="A31" s="13"/>
      <c r="B31" s="13"/>
      <c r="C31" s="13"/>
      <c r="D31" s="13"/>
      <c r="E31" s="13"/>
      <c r="F31" s="13"/>
      <c r="G31" s="13"/>
      <c r="H31" s="13"/>
      <c r="I31" s="13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workbookViewId="0">
      <pane xSplit="2" ySplit="3" topLeftCell="C4" activePane="bottomRight" state="frozen"/>
      <selection pane="bottomRight" activeCell="O14" sqref="O1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38 DN</v>
      </c>
      <c r="B1" s="71"/>
      <c r="C1" s="71"/>
      <c r="D1" s="72" t="s">
        <v>10</v>
      </c>
      <c r="E1" s="72"/>
      <c r="F1" s="72"/>
      <c r="G1" s="70" t="s">
        <v>11</v>
      </c>
      <c r="H1" s="70"/>
      <c r="I1" s="70"/>
    </row>
    <row r="2" spans="1:9" ht="19.5" customHeight="1">
      <c r="A2" s="73" t="s">
        <v>2</v>
      </c>
      <c r="B2" s="73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75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75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75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75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75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75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75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75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75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75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75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75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75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75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75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75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75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75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75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5">
      <c r="A25" s="13"/>
      <c r="B25" s="8"/>
      <c r="C25" s="13"/>
      <c r="D25" s="13"/>
      <c r="E25" s="13"/>
      <c r="F25" s="13"/>
      <c r="G25" s="13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  <row r="29" spans="1:9">
      <c r="A29" s="13"/>
      <c r="B29" s="13"/>
      <c r="C29" s="13"/>
      <c r="D29" s="13"/>
      <c r="E29" s="13"/>
      <c r="F29" s="13"/>
      <c r="G29" s="13"/>
      <c r="H29" s="13"/>
      <c r="I29" s="13"/>
    </row>
    <row r="30" spans="1:9">
      <c r="A30" s="13"/>
      <c r="B30" s="13"/>
      <c r="C30" s="13"/>
      <c r="D30" s="13"/>
      <c r="E30" s="13"/>
      <c r="F30" s="13"/>
      <c r="G30" s="13"/>
      <c r="H30" s="13"/>
      <c r="I30" s="13"/>
    </row>
    <row r="31" spans="1:9">
      <c r="A31" s="13"/>
      <c r="B31" s="13"/>
      <c r="C31" s="13"/>
      <c r="D31" s="13"/>
      <c r="E31" s="13"/>
      <c r="F31" s="13"/>
      <c r="G31" s="13"/>
      <c r="H31" s="13"/>
      <c r="I31" s="13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4" activePane="bottomRight" state="frozen"/>
      <selection pane="bottomRight" activeCell="G4" sqref="G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38 DN</v>
      </c>
      <c r="B1" s="71"/>
      <c r="C1" s="71"/>
      <c r="D1" s="72" t="s">
        <v>12</v>
      </c>
      <c r="E1" s="72"/>
      <c r="F1" s="72"/>
      <c r="G1" s="70" t="s">
        <v>13</v>
      </c>
      <c r="H1" s="70"/>
      <c r="I1" s="70"/>
    </row>
    <row r="2" spans="1:9" ht="19.5" customHeight="1">
      <c r="A2" s="73" t="s">
        <v>2</v>
      </c>
      <c r="B2" s="73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220985.3</v>
      </c>
      <c r="D4" s="37">
        <f>SUM(Apr!D4, May!D4, Jun!D4)</f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f>SUM(Apr!G4, May!G4, Jun!G4)</f>
        <v>220814.1</v>
      </c>
      <c r="H4" s="39">
        <f>SUM(Apr!H4, May!H4, Jun!H4)</f>
        <v>171.19999999998254</v>
      </c>
      <c r="I4" s="40">
        <f>IFERROR(H4/G4, "")</f>
        <v>7.7531280837583535E-4</v>
      </c>
    </row>
    <row r="5" spans="1:9" ht="15.75">
      <c r="A5" s="56" t="str">
        <v>Barton Acres</v>
      </c>
      <c r="B5" s="42" t="str">
        <v>MA</v>
      </c>
      <c r="C5" s="43">
        <f>SUM(Apr!C5, May!C5, Jun!C5)</f>
        <v>154260</v>
      </c>
      <c r="D5" s="44">
        <f>SUM(Apr!D5, May!D5, Jun!D5)</f>
        <v>159778.79999999999</v>
      </c>
      <c r="E5" s="44">
        <f t="shared" ref="E5:E15" si="0">IF(AND(ISNUMBER(C5),ISNUMBER(D5)), C5-D5, "")</f>
        <v>-5518.7999999999884</v>
      </c>
      <c r="F5" s="45">
        <f>IFERROR(E5/D5, "")</f>
        <v>-3.4540251898249261E-2</v>
      </c>
      <c r="G5" s="46">
        <f>SUM(Apr!G5, May!G5, Jun!G5)</f>
        <v>163604.70000000001</v>
      </c>
      <c r="H5" s="46">
        <f>SUM(Apr!H5, May!H5, Jun!H5)</f>
        <v>-9344.7000000000116</v>
      </c>
      <c r="I5" s="45">
        <f>IFERROR(H5/G5, "")</f>
        <v>-5.711755224635974E-2</v>
      </c>
    </row>
    <row r="6" spans="1:9" ht="15.75">
      <c r="A6" s="55" t="str">
        <v>Bowden</v>
      </c>
      <c r="B6" s="35" t="str">
        <v>MA</v>
      </c>
      <c r="C6" s="36">
        <f>SUM(Apr!C6, May!C6, Jun!C6)</f>
        <v>311418</v>
      </c>
      <c r="D6" s="37">
        <f>SUM(Apr!D6, May!D6, Jun!D6)</f>
        <v>314418.7</v>
      </c>
      <c r="E6" s="37">
        <f t="shared" si="0"/>
        <v>-3000.7000000000116</v>
      </c>
      <c r="F6" s="38">
        <f t="shared" ref="F6:F15" si="1">IFERROR(E6/D6, "")</f>
        <v>-9.5436435555519162E-3</v>
      </c>
      <c r="G6" s="39">
        <f>SUM(Apr!G6, May!G6, Jun!G6)</f>
        <v>332611.5</v>
      </c>
      <c r="H6" s="39">
        <f>SUM(Apr!H6, May!H6, Jun!H6)</f>
        <v>-21193.5</v>
      </c>
      <c r="I6" s="40">
        <f t="shared" ref="I6:I15" si="2">IFERROR(H6/G6, "")</f>
        <v>-6.3718482373579993E-2</v>
      </c>
    </row>
    <row r="7" spans="1:9" ht="15.75">
      <c r="A7" s="56" t="str">
        <v>Blair Wire Village</v>
      </c>
      <c r="B7" s="42" t="str">
        <v>MA</v>
      </c>
      <c r="C7" s="43">
        <f>SUM(Apr!C7, May!C7, Jun!C7)</f>
        <v>149056</v>
      </c>
      <c r="D7" s="44">
        <f>SUM(Apr!D7, May!D7, Jun!D7)</f>
        <v>169562.6</v>
      </c>
      <c r="E7" s="44">
        <f t="shared" si="0"/>
        <v>-20506.600000000006</v>
      </c>
      <c r="F7" s="45">
        <f t="shared" si="1"/>
        <v>-0.12093822576440798</v>
      </c>
      <c r="G7" s="46">
        <f>SUM(Apr!G7, May!G7, Jun!G7)</f>
        <v>167094.79999999999</v>
      </c>
      <c r="H7" s="46">
        <f>SUM(Apr!H7, May!H7, Jun!H7)</f>
        <v>-18038.799999999988</v>
      </c>
      <c r="I7" s="45">
        <f t="shared" si="2"/>
        <v>-0.10795548395282192</v>
      </c>
    </row>
    <row r="8" spans="1:9" ht="15.75">
      <c r="A8" s="55" t="str">
        <v>Boutilier</v>
      </c>
      <c r="B8" s="35" t="str">
        <v>MA</v>
      </c>
      <c r="C8" s="36">
        <f>SUM(Apr!C8, May!C8, Jun!C8)</f>
        <v>431826</v>
      </c>
      <c r="D8" s="37">
        <f>SUM(Apr!D8, May!D8, Jun!D8)</f>
        <v>447646.3</v>
      </c>
      <c r="E8" s="37">
        <f t="shared" si="0"/>
        <v>-15820.299999999988</v>
      </c>
      <c r="F8" s="38">
        <f t="shared" si="1"/>
        <v>-3.5341071734536815E-2</v>
      </c>
      <c r="G8" s="39">
        <f>SUM(Apr!G8, May!G8, Jun!G8)</f>
        <v>449109.5</v>
      </c>
      <c r="H8" s="39">
        <f>SUM(Apr!H8, May!H8, Jun!H8)</f>
        <v>-17283.5</v>
      </c>
      <c r="I8" s="40">
        <f t="shared" si="2"/>
        <v>-3.8483933205599077E-2</v>
      </c>
    </row>
    <row r="9" spans="1:9" ht="15.75">
      <c r="A9" s="56" t="str">
        <v>Cherry Valley</v>
      </c>
      <c r="B9" s="42" t="str">
        <v>MA</v>
      </c>
      <c r="C9" s="43">
        <f>SUM(Apr!C9, May!C9, Jun!C9)</f>
        <v>152661</v>
      </c>
      <c r="D9" s="44">
        <f>SUM(Apr!D9, May!D9, Jun!D9)</f>
        <v>165093.29999999999</v>
      </c>
      <c r="E9" s="44">
        <f t="shared" si="0"/>
        <v>-12432.299999999988</v>
      </c>
      <c r="F9" s="45">
        <f t="shared" si="1"/>
        <v>-7.53046913472563E-2</v>
      </c>
      <c r="G9" s="46">
        <f>SUM(Apr!G9, May!G9, Jun!G9)</f>
        <v>163486</v>
      </c>
      <c r="H9" s="46">
        <f>SUM(Apr!H9, May!H9, Jun!H9)</f>
        <v>-10825</v>
      </c>
      <c r="I9" s="45">
        <f t="shared" si="2"/>
        <v>-6.6213620738167181E-2</v>
      </c>
    </row>
    <row r="10" spans="1:9" ht="15.75">
      <c r="A10" s="55" t="str">
        <v>Cohasse</v>
      </c>
      <c r="B10" s="35" t="str">
        <v>MA</v>
      </c>
      <c r="C10" s="36">
        <f>SUM(Apr!C10, May!C10, Jun!C10)</f>
        <v>143028</v>
      </c>
      <c r="D10" s="37">
        <f>SUM(Apr!D10, May!D10, Jun!D10)</f>
        <v>148253.5</v>
      </c>
      <c r="E10" s="37">
        <f t="shared" si="0"/>
        <v>-5225.5</v>
      </c>
      <c r="F10" s="38">
        <f t="shared" si="1"/>
        <v>-3.5247059934504076E-2</v>
      </c>
      <c r="G10" s="39">
        <f>SUM(Apr!G10, May!G10, Jun!G10)</f>
        <v>173435.6</v>
      </c>
      <c r="H10" s="39">
        <f>SUM(Apr!H10, May!H10, Jun!H10)</f>
        <v>-30407.600000000006</v>
      </c>
      <c r="I10" s="40">
        <f t="shared" si="2"/>
        <v>-0.17532501977679327</v>
      </c>
    </row>
    <row r="11" spans="1:9" ht="15.75">
      <c r="A11" s="56" t="str">
        <v>ISM Dighton Solar 2</v>
      </c>
      <c r="B11" s="42" t="str">
        <v>MA</v>
      </c>
      <c r="C11" s="43">
        <f>SUM(Apr!C11, May!C11, Jun!C11)</f>
        <v>336392</v>
      </c>
      <c r="D11" s="44">
        <f>SUM(Apr!D11, May!D11, Jun!D11)</f>
        <v>321701.3</v>
      </c>
      <c r="E11" s="44">
        <f t="shared" si="0"/>
        <v>14690.700000000012</v>
      </c>
      <c r="F11" s="45">
        <f t="shared" si="1"/>
        <v>4.566565320065543E-2</v>
      </c>
      <c r="G11" s="46">
        <f>SUM(Apr!G11, May!G11, Jun!G11)</f>
        <v>338965.1</v>
      </c>
      <c r="H11" s="46">
        <f>SUM(Apr!H11, May!H11, Jun!H11)</f>
        <v>-2573.0999999999767</v>
      </c>
      <c r="I11" s="45">
        <f t="shared" si="2"/>
        <v>-7.5910469838929642E-3</v>
      </c>
    </row>
    <row r="12" spans="1:9" ht="15.75">
      <c r="A12" s="55" t="str">
        <v>Dudley River 1</v>
      </c>
      <c r="B12" s="35" t="str">
        <v>MA</v>
      </c>
      <c r="C12" s="36">
        <f>SUM(Apr!C12, May!C12, Jun!C12)</f>
        <v>156406</v>
      </c>
      <c r="D12" s="37">
        <f>SUM(Apr!D12, May!D12, Jun!D12)</f>
        <v>156601.5</v>
      </c>
      <c r="E12" s="37">
        <f t="shared" si="0"/>
        <v>-195.5</v>
      </c>
      <c r="F12" s="38">
        <f t="shared" si="1"/>
        <v>-1.248391618215662E-3</v>
      </c>
      <c r="G12" s="39">
        <f>SUM(Apr!G12, May!G12, Jun!G12)</f>
        <v>167511.29999999999</v>
      </c>
      <c r="H12" s="39">
        <f>SUM(Apr!H12, May!H12, Jun!H12)</f>
        <v>-11105.299999999988</v>
      </c>
      <c r="I12" s="40">
        <f t="shared" si="2"/>
        <v>-6.6295826012931602E-2</v>
      </c>
    </row>
    <row r="13" spans="1:9" ht="15.75">
      <c r="A13" s="56" t="str">
        <v>Dudley River 2</v>
      </c>
      <c r="B13" s="42" t="str">
        <v>MA</v>
      </c>
      <c r="C13" s="43">
        <f>SUM(Apr!C13, May!C13, Jun!C13)</f>
        <v>150087</v>
      </c>
      <c r="D13" s="44">
        <f>SUM(Apr!D13, May!D13, Jun!D13)</f>
        <v>156204.20000000001</v>
      </c>
      <c r="E13" s="44">
        <f t="shared" si="0"/>
        <v>-6117.2000000000116</v>
      </c>
      <c r="F13" s="45">
        <f t="shared" si="1"/>
        <v>-3.9161559036184755E-2</v>
      </c>
      <c r="G13" s="46">
        <f>SUM(Apr!G13, May!G13, Jun!G13)</f>
        <v>161407.4</v>
      </c>
      <c r="H13" s="46">
        <f>SUM(Apr!H13, May!H13, Jun!H13)</f>
        <v>-11320.399999999994</v>
      </c>
      <c r="I13" s="45">
        <f t="shared" si="2"/>
        <v>-7.013556999245385E-2</v>
      </c>
    </row>
    <row r="14" spans="1:9" ht="15.75">
      <c r="A14" s="55" t="str">
        <v>Dudley River 3</v>
      </c>
      <c r="B14" s="35" t="str">
        <v>MA</v>
      </c>
      <c r="C14" s="36">
        <f>SUM(Apr!C14, May!C14, Jun!C14)</f>
        <v>154781.00332225999</v>
      </c>
      <c r="D14" s="37">
        <f>SUM(Apr!D14, May!D14, Jun!D14)</f>
        <v>157088.29999999999</v>
      </c>
      <c r="E14" s="37">
        <f t="shared" si="0"/>
        <v>-2307.2966777399997</v>
      </c>
      <c r="F14" s="38">
        <f t="shared" si="1"/>
        <v>-1.4687896410744784E-2</v>
      </c>
      <c r="G14" s="39">
        <f>SUM(Apr!G14, May!G14, Jun!G14)</f>
        <v>163247.1</v>
      </c>
      <c r="H14" s="39">
        <f>SUM(Apr!H14, May!H14, Jun!H14)</f>
        <v>-8466.0966777400172</v>
      </c>
      <c r="I14" s="40">
        <f t="shared" si="2"/>
        <v>-5.1860625259131814E-2</v>
      </c>
    </row>
    <row r="15" spans="1:9" ht="15.75">
      <c r="A15" s="56" t="str">
        <v>Flint Pond</v>
      </c>
      <c r="B15" s="42" t="str">
        <v>MA</v>
      </c>
      <c r="C15" s="43">
        <f>SUM(Apr!C15, May!C15, Jun!C15)</f>
        <v>75671.5</v>
      </c>
      <c r="D15" s="44">
        <f>SUM(Apr!D15, May!D15, Jun!D15)</f>
        <v>70499.98</v>
      </c>
      <c r="E15" s="44">
        <f t="shared" si="0"/>
        <v>5171.5200000000041</v>
      </c>
      <c r="F15" s="45">
        <f t="shared" si="1"/>
        <v>7.3354914426926141E-2</v>
      </c>
      <c r="G15" s="46">
        <f>SUM(Apr!G15, May!G15, Jun!G15)</f>
        <v>78106.22</v>
      </c>
      <c r="H15" s="46">
        <f>SUM(Apr!H15, May!H15, Jun!H15)</f>
        <v>-2434.7200000000012</v>
      </c>
      <c r="I15" s="45">
        <f t="shared" si="2"/>
        <v>-3.1171909228227934E-2</v>
      </c>
    </row>
    <row r="16" spans="1:9" ht="15.75">
      <c r="A16" s="55" t="str">
        <v>Incom</v>
      </c>
      <c r="B16" s="35" t="str">
        <v>MA</v>
      </c>
      <c r="C16" s="36">
        <f>SUM(Apr!C16, May!C16, Jun!C16)</f>
        <v>276036</v>
      </c>
      <c r="D16" s="37">
        <f>SUM(Apr!D16, May!D16, Jun!D16)</f>
        <v>363748.3</v>
      </c>
      <c r="E16" s="37">
        <f t="shared" ref="E16:E18" si="3">IF(AND(ISNUMBER(C16),ISNUMBER(D16)), C16-D16, "")</f>
        <v>-87712.299999999988</v>
      </c>
      <c r="F16" s="38">
        <f t="shared" ref="F16:F18" si="4">IFERROR(E16/D16, "")</f>
        <v>-0.24113459774244991</v>
      </c>
      <c r="G16" s="39">
        <f>SUM(Apr!G16, May!G16, Jun!G16)</f>
        <v>348699</v>
      </c>
      <c r="H16" s="39">
        <f>SUM(Apr!H16, May!H16, Jun!H16)</f>
        <v>-72663</v>
      </c>
      <c r="I16" s="40">
        <f t="shared" ref="I16:I18" si="5">IFERROR(H16/G16, "")</f>
        <v>-0.20838316140855007</v>
      </c>
    </row>
    <row r="17" spans="1:9" ht="15.75">
      <c r="A17" s="56" t="str">
        <v>JH</v>
      </c>
      <c r="B17" s="42" t="str">
        <v>MA</v>
      </c>
      <c r="C17" s="36">
        <f>SUM(Apr!C17, May!C17, Jun!C17)</f>
        <v>146209</v>
      </c>
      <c r="D17" s="37">
        <f>SUM(Apr!D17, May!D17, Jun!D17)</f>
        <v>157141.20000000001</v>
      </c>
      <c r="E17" s="37">
        <f t="shared" si="3"/>
        <v>-10932.200000000012</v>
      </c>
      <c r="F17" s="38">
        <f t="shared" si="4"/>
        <v>-6.9569279094215966E-2</v>
      </c>
      <c r="G17" s="46">
        <f>SUM(Apr!G17, May!G17, Jun!G17)</f>
        <v>171272.7</v>
      </c>
      <c r="H17" s="39">
        <f>SUM(Apr!H17, May!H17, Jun!H17)</f>
        <v>-25063.700000000012</v>
      </c>
      <c r="I17" s="40">
        <f t="shared" si="5"/>
        <v>-0.14633797446995353</v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136748</v>
      </c>
      <c r="D18" s="44">
        <f>SUM(Apr!D18, May!D18, Jun!D18)</f>
        <v>145052.6</v>
      </c>
      <c r="E18" s="44">
        <f t="shared" si="3"/>
        <v>-8304.6000000000058</v>
      </c>
      <c r="F18" s="45">
        <f t="shared" si="4"/>
        <v>-5.7252334670319635E-2</v>
      </c>
      <c r="G18" s="39">
        <f>SUM(Apr!G18, May!G18, Jun!G18)</f>
        <v>166011.9</v>
      </c>
      <c r="H18" s="46">
        <f>SUM(Apr!H18, May!H18, Jun!H18)</f>
        <v>-29263.899999999994</v>
      </c>
      <c r="I18" s="45">
        <f t="shared" si="5"/>
        <v>-0.17627591756976455</v>
      </c>
    </row>
    <row r="19" spans="1:9" ht="15.75">
      <c r="A19" s="56" t="str">
        <v>Palombo A</v>
      </c>
      <c r="B19" s="42" t="str">
        <v>MA</v>
      </c>
      <c r="C19" s="36">
        <f>SUM(Apr!C19, May!C19, Jun!C19)</f>
        <v>309094.00662251899</v>
      </c>
      <c r="D19" s="37">
        <f>SUM(Apr!D19, May!D19, Jun!D19)</f>
        <v>321228.2</v>
      </c>
      <c r="E19" s="37">
        <f t="shared" ref="E19:E24" si="6">IF(AND(ISNUMBER(C19),ISNUMBER(D19)), C19-D19, "")</f>
        <v>-12134.193377481017</v>
      </c>
      <c r="F19" s="38">
        <f t="shared" ref="F19:F24" si="7">IFERROR(E19/D19, "")</f>
        <v>-3.777437154484263E-2</v>
      </c>
      <c r="G19" s="46">
        <f>SUM(Apr!G19, May!G19, Jun!G19)</f>
        <v>361541</v>
      </c>
      <c r="H19" s="39">
        <f>SUM(Apr!H19, May!H19, Jun!H19)</f>
        <v>-52446.993377481005</v>
      </c>
      <c r="I19" s="40">
        <f t="shared" ref="I19:I24" si="8">IFERROR(H19/G19, "")</f>
        <v>-0.14506513335273455</v>
      </c>
    </row>
    <row r="20" spans="1:9" ht="15.75">
      <c r="A20" s="55" t="str">
        <v>Palombo B</v>
      </c>
      <c r="B20" s="35" t="str">
        <v>MA</v>
      </c>
      <c r="C20" s="36">
        <f>SUM(Apr!C20, May!C20, Jun!C20)</f>
        <v>157158</v>
      </c>
      <c r="D20" s="37">
        <f>SUM(Apr!D20, May!D20, Jun!D20)</f>
        <v>140110.70000000001</v>
      </c>
      <c r="E20" s="37">
        <f t="shared" si="6"/>
        <v>17047.299999999988</v>
      </c>
      <c r="F20" s="38">
        <f t="shared" si="7"/>
        <v>0.12167022218859792</v>
      </c>
      <c r="G20" s="39">
        <f>SUM(Apr!G20, May!G20, Jun!G20)</f>
        <v>170164.9</v>
      </c>
      <c r="H20" s="39">
        <f>SUM(Apr!H20, May!H20, Jun!H20)</f>
        <v>-13006.899999999994</v>
      </c>
      <c r="I20" s="40">
        <f t="shared" si="8"/>
        <v>-7.6437032549015654E-2</v>
      </c>
    </row>
    <row r="21" spans="1:9" ht="15.75">
      <c r="A21" s="56" t="str">
        <v>St Josephs Church</v>
      </c>
      <c r="B21" s="42" t="str">
        <v>MA</v>
      </c>
      <c r="C21" s="43">
        <f>SUM(Apr!C21, May!C21, Jun!C21)</f>
        <v>149164</v>
      </c>
      <c r="D21" s="44">
        <f>SUM(Apr!D21, May!D21, Jun!D21)</f>
        <v>168316.4</v>
      </c>
      <c r="E21" s="44">
        <f t="shared" si="6"/>
        <v>-19152.399999999994</v>
      </c>
      <c r="F21" s="45">
        <f t="shared" si="7"/>
        <v>-0.11378808006825238</v>
      </c>
      <c r="G21" s="46">
        <f>SUM(Apr!G21, May!G21, Jun!G21)</f>
        <v>165493.20000000001</v>
      </c>
      <c r="H21" s="46">
        <f>SUM(Apr!H21, May!H21, Jun!H21)</f>
        <v>-16329.200000000012</v>
      </c>
      <c r="I21" s="45">
        <f t="shared" si="8"/>
        <v>-9.8669915138507258E-2</v>
      </c>
    </row>
    <row r="22" spans="1:9" ht="15.75">
      <c r="A22" s="55" t="str">
        <v>Sunset A</v>
      </c>
      <c r="B22" s="35" t="str">
        <v>MA</v>
      </c>
      <c r="C22" s="36">
        <f>SUM(Apr!C22, May!C22, Jun!C22)</f>
        <v>33136.5</v>
      </c>
      <c r="D22" s="37">
        <f>SUM(Apr!D22, May!D22, Jun!D22)</f>
        <v>46425.54</v>
      </c>
      <c r="E22" s="37">
        <f t="shared" si="6"/>
        <v>-13289.04</v>
      </c>
      <c r="F22" s="38">
        <f t="shared" si="7"/>
        <v>-0.2862441664652689</v>
      </c>
      <c r="G22" s="39">
        <f>SUM(Apr!G22, May!G22, Jun!G22)</f>
        <v>77027.22</v>
      </c>
      <c r="H22" s="39">
        <f>SUM(Apr!H22, May!H22, Jun!H22)</f>
        <v>-43890.720000000001</v>
      </c>
      <c r="I22" s="40">
        <f t="shared" si="8"/>
        <v>-0.56980791984963242</v>
      </c>
    </row>
    <row r="23" spans="1:9" ht="15.75">
      <c r="A23" s="56" t="str">
        <v>Sunset B</v>
      </c>
      <c r="B23" s="42" t="str">
        <v>MA</v>
      </c>
      <c r="C23" s="36">
        <f>SUM(Apr!C23, May!C23, Jun!C23)</f>
        <v>30996.75</v>
      </c>
      <c r="D23" s="37">
        <f>SUM(Apr!D23, May!D23, Jun!D23)</f>
        <v>36795.879999999997</v>
      </c>
      <c r="E23" s="37">
        <f t="shared" si="6"/>
        <v>-5799.1299999999974</v>
      </c>
      <c r="F23" s="38">
        <f t="shared" si="7"/>
        <v>-0.15760269899782253</v>
      </c>
      <c r="G23" s="46">
        <f>SUM(Apr!G23, May!G23, Jun!G23)</f>
        <v>76102.09</v>
      </c>
      <c r="H23" s="39">
        <f>SUM(Apr!H23, May!H23, Jun!H23)</f>
        <v>-45105.34</v>
      </c>
      <c r="I23" s="40">
        <f t="shared" si="8"/>
        <v>-0.59269515462715938</v>
      </c>
    </row>
    <row r="24" spans="1:9" ht="15.75">
      <c r="A24" s="55" t="str">
        <v>Woodchuck</v>
      </c>
      <c r="B24" s="35" t="str">
        <v>MA</v>
      </c>
      <c r="C24" s="43">
        <f>SUM(Apr!C24, May!C24, Jun!C24)</f>
        <v>153366</v>
      </c>
      <c r="D24" s="44">
        <f>SUM(Apr!D24, May!D24, Jun!D24)</f>
        <v>160720.70000000001</v>
      </c>
      <c r="E24" s="44">
        <f t="shared" si="6"/>
        <v>-7354.7000000000116</v>
      </c>
      <c r="F24" s="45">
        <f t="shared" si="7"/>
        <v>-4.5760751415343581E-2</v>
      </c>
      <c r="G24" s="39">
        <f>SUM(Apr!G24, May!G24, Jun!G24)</f>
        <v>175256.1</v>
      </c>
      <c r="H24" s="46">
        <f>SUM(Apr!H24, May!H24, Jun!H24)</f>
        <v>-21890.100000000006</v>
      </c>
      <c r="I24" s="45">
        <f t="shared" si="8"/>
        <v>-0.1249034983661054</v>
      </c>
    </row>
    <row r="25" spans="1:9">
      <c r="A25" s="13"/>
      <c r="B25" s="13"/>
      <c r="C25" s="13"/>
      <c r="D25" s="13"/>
      <c r="E25" s="13"/>
      <c r="F25" s="13"/>
      <c r="G25" s="13"/>
      <c r="H25" s="13"/>
      <c r="I25" s="13"/>
    </row>
    <row r="26" spans="1:9">
      <c r="A26" s="13"/>
      <c r="B26" s="13"/>
      <c r="C26" s="13"/>
      <c r="D26" s="13"/>
      <c r="E26" s="13"/>
      <c r="F26" s="13"/>
      <c r="G26" s="13"/>
      <c r="H26" s="13"/>
      <c r="I26" s="13"/>
    </row>
    <row r="27" spans="1:9">
      <c r="A27" s="13"/>
      <c r="B27" s="13"/>
      <c r="C27" s="13"/>
      <c r="D27" s="13"/>
      <c r="E27" s="13"/>
      <c r="F27" s="13"/>
      <c r="G27" s="13"/>
      <c r="H27" s="13"/>
      <c r="I27" s="13"/>
    </row>
    <row r="28" spans="1:9">
      <c r="A28" s="13"/>
      <c r="B28" s="13"/>
      <c r="C28" s="13"/>
      <c r="D28" s="13"/>
      <c r="E28" s="13"/>
      <c r="F28" s="13"/>
      <c r="G28" s="13"/>
      <c r="H28" s="13"/>
      <c r="I28" s="13"/>
    </row>
    <row r="29" spans="1:9">
      <c r="A29" s="13"/>
      <c r="B29" s="13"/>
      <c r="C29" s="13"/>
      <c r="D29" s="13"/>
      <c r="E29" s="13"/>
      <c r="F29" s="13"/>
      <c r="G29" s="13"/>
      <c r="H29" s="13"/>
      <c r="I29" s="13"/>
    </row>
    <row r="30" spans="1:9">
      <c r="A30" s="13"/>
      <c r="B30" s="13"/>
      <c r="C30" s="13"/>
      <c r="D30" s="13"/>
      <c r="E30" s="13"/>
      <c r="F30" s="13"/>
      <c r="G30" s="13"/>
      <c r="H30" s="13"/>
      <c r="I30" s="13"/>
    </row>
    <row r="31" spans="1:9">
      <c r="A31" s="13"/>
      <c r="B31" s="13"/>
      <c r="C31" s="13"/>
      <c r="D31" s="13"/>
      <c r="E31" s="13"/>
      <c r="F31" s="13"/>
      <c r="G31" s="13"/>
      <c r="H31" s="13"/>
      <c r="I31" s="13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38 DN</v>
      </c>
      <c r="B1" s="71"/>
      <c r="C1" s="71"/>
      <c r="D1" s="72" t="s">
        <v>14</v>
      </c>
      <c r="E1" s="72"/>
      <c r="F1" s="72"/>
      <c r="G1" s="70" t="s">
        <v>15</v>
      </c>
      <c r="H1" s="70"/>
      <c r="I1" s="70"/>
    </row>
    <row r="2" spans="1:9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SUM(Jul!C16, Aug!C16, Sep!C16)</f>
        <v>0</v>
      </c>
      <c r="D16" s="37">
        <f>SUM(Jul!D16, Aug!D16, Sep!D16)</f>
        <v>0</v>
      </c>
      <c r="E16" s="37">
        <f t="shared" ref="E16:E19" si="3">IF(AND(ISNUMBER(C16),ISNUMBER(D16)), C16-D16, "")</f>
        <v>0</v>
      </c>
      <c r="F16" s="38" t="str">
        <f t="shared" ref="F16:F19" si="4">IFERROR(E16/D16, "")</f>
        <v/>
      </c>
      <c r="G16" s="39"/>
      <c r="H16" s="39">
        <f>SUM(Jul!H16, Aug!H16, Sep!H16)</f>
        <v>0</v>
      </c>
      <c r="I16" s="40" t="str">
        <f t="shared" ref="I16:I19" si="5">IFERROR(H16/G16, "")</f>
        <v/>
      </c>
    </row>
    <row r="17" spans="1:9" ht="15.75">
      <c r="A17" s="56" t="str">
        <v>JH</v>
      </c>
      <c r="B17" s="42" t="str">
        <v>MA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0</v>
      </c>
      <c r="D18" s="37">
        <f>SUM(Jul!D18, Aug!D18, Sep!D18)</f>
        <v>0</v>
      </c>
      <c r="E18" s="37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75">
      <c r="A19" s="56" t="str">
        <v>Palombo A</v>
      </c>
      <c r="B19" s="41" t="str">
        <v>MA</v>
      </c>
      <c r="C19" s="43">
        <f>SUM(Jul!C19, Aug!C19, Sep!C19)</f>
        <v>0</v>
      </c>
      <c r="D19" s="44">
        <f>SUM(Jul!D19, Aug!D19, Sep!D19)</f>
        <v>0</v>
      </c>
      <c r="E19" s="44">
        <f t="shared" si="3"/>
        <v>0</v>
      </c>
      <c r="F19" s="45" t="str">
        <f t="shared" si="4"/>
        <v/>
      </c>
      <c r="G19" s="46"/>
      <c r="H19" s="46">
        <f>SUM(Jul!H19, Aug!H19, Sep!H19)</f>
        <v>0</v>
      </c>
      <c r="I19" s="45" t="str">
        <f t="shared" si="5"/>
        <v/>
      </c>
    </row>
    <row r="20" spans="1:9" ht="15.75">
      <c r="A20" s="55" t="str">
        <v>Palombo B</v>
      </c>
      <c r="B20" s="34" t="str">
        <v>MA</v>
      </c>
      <c r="C20" s="36">
        <f>SUM(Jul!C20, Aug!C20, Sep!C20)</f>
        <v>0</v>
      </c>
      <c r="D20" s="37">
        <f>SUM(Jul!D20, Aug!D20, Sep!D20)</f>
        <v>0</v>
      </c>
      <c r="E20" s="37">
        <f t="shared" ref="E20:E24" si="6">IF(AND(ISNUMBER(C20),ISNUMBER(D20)), C20-D20, "")</f>
        <v>0</v>
      </c>
      <c r="F20" s="38" t="str">
        <f t="shared" ref="F20:F24" si="7">IFERROR(E20/D20, "")</f>
        <v/>
      </c>
      <c r="G20" s="39"/>
      <c r="H20" s="39">
        <f>SUM(Jul!H20, Aug!H20, Sep!H20)</f>
        <v>0</v>
      </c>
      <c r="I20" s="40" t="str">
        <f t="shared" ref="I20:I24" si="8">IFERROR(H20/G20, "")</f>
        <v/>
      </c>
    </row>
    <row r="21" spans="1:9" ht="15.75">
      <c r="A21" s="56" t="str">
        <v>St Josephs Church</v>
      </c>
      <c r="B21" s="41" t="str">
        <v>MA</v>
      </c>
      <c r="C21" s="43">
        <f>SUM(Jul!C21, Aug!C21, Sep!C21)</f>
        <v>0</v>
      </c>
      <c r="D21" s="44">
        <f>SUM(Jul!D21, Aug!D21, Sep!D21)</f>
        <v>0</v>
      </c>
      <c r="E21" s="44">
        <f t="shared" si="6"/>
        <v>0</v>
      </c>
      <c r="F21" s="45" t="str">
        <f t="shared" si="7"/>
        <v/>
      </c>
      <c r="G21" s="46"/>
      <c r="H21" s="46">
        <f>SUM(Jul!H21, Aug!H21, Sep!H21)</f>
        <v>0</v>
      </c>
      <c r="I21" s="45" t="str">
        <f t="shared" si="8"/>
        <v/>
      </c>
    </row>
    <row r="22" spans="1:9" ht="15.75">
      <c r="A22" s="55" t="str">
        <v>Sunset A</v>
      </c>
      <c r="B22" s="34" t="str">
        <v>MA</v>
      </c>
      <c r="C22" s="36">
        <f>SUM(Jul!C22, Aug!C22, Sep!C22)</f>
        <v>0</v>
      </c>
      <c r="D22" s="37">
        <f>SUM(Jul!D22, Aug!D22, Sep!D22)</f>
        <v>0</v>
      </c>
      <c r="E22" s="37">
        <f t="shared" si="6"/>
        <v>0</v>
      </c>
      <c r="F22" s="38" t="str">
        <f t="shared" si="7"/>
        <v/>
      </c>
      <c r="G22" s="39"/>
      <c r="H22" s="39">
        <f>SUM(Jul!H22, Aug!H22, Sep!H22)</f>
        <v>0</v>
      </c>
      <c r="I22" s="40" t="str">
        <f t="shared" si="8"/>
        <v/>
      </c>
    </row>
    <row r="23" spans="1:9" ht="15.75">
      <c r="A23" s="56" t="str">
        <v>Sunset B</v>
      </c>
      <c r="B23" s="41" t="str">
        <v>MA</v>
      </c>
      <c r="C23" s="43">
        <f>SUM(Jul!C23, Aug!C23, Sep!C23)</f>
        <v>0</v>
      </c>
      <c r="D23" s="44">
        <f>SUM(Jul!D23, Aug!D23, Sep!D23)</f>
        <v>0</v>
      </c>
      <c r="E23" s="44">
        <f t="shared" si="6"/>
        <v>0</v>
      </c>
      <c r="F23" s="45" t="str">
        <f t="shared" si="7"/>
        <v/>
      </c>
      <c r="G23" s="46"/>
      <c r="H23" s="46">
        <f>SUM(Jul!H23, Aug!H23, Sep!H23)</f>
        <v>0</v>
      </c>
      <c r="I23" s="45" t="str">
        <f t="shared" si="8"/>
        <v/>
      </c>
    </row>
    <row r="24" spans="1:9" ht="15.75">
      <c r="A24" s="55" t="str">
        <v>Woodchuck</v>
      </c>
      <c r="B24" s="34" t="str">
        <v>MA</v>
      </c>
      <c r="C24" s="36">
        <f>SUM(Jul!C24, Aug!C24, Sep!C24)</f>
        <v>0</v>
      </c>
      <c r="D24" s="37">
        <f>SUM(Jul!D24, Aug!D24, Sep!D24)</f>
        <v>0</v>
      </c>
      <c r="E24" s="37">
        <f t="shared" si="6"/>
        <v>0</v>
      </c>
      <c r="F24" s="38" t="str">
        <f t="shared" si="7"/>
        <v/>
      </c>
      <c r="G24" s="39"/>
      <c r="H24" s="39">
        <f>SUM(Jul!H24, Aug!H24, Sep!H24)</f>
        <v>0</v>
      </c>
      <c r="I24" s="40" t="str">
        <f t="shared" si="8"/>
        <v/>
      </c>
    </row>
    <row r="25" spans="1:9" ht="15.75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75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75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75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75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75">
      <c r="A30" s="9"/>
      <c r="B30" s="13"/>
      <c r="C30" s="13"/>
      <c r="D30" s="13"/>
      <c r="E30" s="13"/>
      <c r="F30" s="13"/>
      <c r="G30" s="13"/>
      <c r="H30" s="13"/>
      <c r="I30" s="13"/>
    </row>
    <row r="31" spans="1:9">
      <c r="A31" s="13"/>
      <c r="B31" s="13"/>
      <c r="C31" s="13"/>
      <c r="D31" s="13"/>
      <c r="E31" s="13"/>
      <c r="F31" s="13"/>
      <c r="G31" s="13"/>
      <c r="H31" s="13"/>
      <c r="I31" s="13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1" t="str" cm="1">
        <f t="array" ref="A1">portfolio</f>
        <v>38 DN</v>
      </c>
      <c r="B1" s="71"/>
      <c r="C1" s="71"/>
      <c r="D1" s="72" t="s">
        <v>16</v>
      </c>
      <c r="E1" s="72"/>
      <c r="F1" s="72"/>
      <c r="G1" s="70" t="s">
        <v>17</v>
      </c>
      <c r="H1" s="70"/>
      <c r="I1" s="70"/>
    </row>
    <row r="2" spans="1:9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75">
      <c r="A25" s="9"/>
      <c r="B25" s="8"/>
      <c r="C25" s="23"/>
      <c r="D25" s="10"/>
      <c r="E25" s="10"/>
      <c r="F25" s="11"/>
      <c r="G25" s="12"/>
      <c r="H25" s="12"/>
      <c r="I25" s="11"/>
    </row>
    <row r="26" spans="1:9" ht="1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5">
      <c r="A29" s="13"/>
      <c r="B29" s="8"/>
      <c r="C29" s="23"/>
      <c r="D29" s="10"/>
      <c r="E29" s="10"/>
      <c r="F29" s="11"/>
      <c r="G29" s="12"/>
      <c r="H29" s="12"/>
      <c r="I29" s="11"/>
    </row>
    <row r="30" spans="1:9">
      <c r="A30" s="13"/>
      <c r="B30" s="13"/>
      <c r="C30" s="13"/>
      <c r="D30" s="13"/>
      <c r="E30" s="13"/>
      <c r="F30" s="13"/>
      <c r="G30" s="13"/>
      <c r="H30" s="13"/>
      <c r="I30" s="13"/>
    </row>
    <row r="31" spans="1:9">
      <c r="A31" s="13"/>
      <c r="B31" s="13"/>
      <c r="C31" s="13"/>
      <c r="D31" s="13"/>
      <c r="E31" s="13"/>
      <c r="F31" s="13"/>
      <c r="G31" s="13"/>
      <c r="H31" s="13"/>
      <c r="I31" s="13"/>
    </row>
    <row r="32" spans="1:9">
      <c r="A32" s="13"/>
      <c r="B32" s="13"/>
      <c r="C32" s="13"/>
      <c r="D32" s="13"/>
      <c r="E32" s="13"/>
      <c r="F32" s="14"/>
      <c r="G32" s="13"/>
      <c r="H32" s="13"/>
      <c r="I32" s="14"/>
    </row>
    <row r="33" spans="1:9">
      <c r="A33" s="13"/>
      <c r="B33" s="13"/>
      <c r="C33" s="13"/>
      <c r="D33" s="13"/>
      <c r="E33" s="13"/>
      <c r="F33" s="14"/>
      <c r="G33" s="13"/>
      <c r="H33" s="13"/>
      <c r="I33" s="14"/>
    </row>
    <row r="34" spans="1:9">
      <c r="A34" s="13"/>
      <c r="B34" s="13"/>
      <c r="C34" s="13"/>
      <c r="D34" s="13"/>
      <c r="E34" s="13"/>
      <c r="F34" s="14"/>
      <c r="G34" s="13"/>
      <c r="H34" s="13"/>
      <c r="I34" s="14"/>
    </row>
    <row r="35" spans="1:9">
      <c r="A35" s="13"/>
      <c r="B35" s="13"/>
      <c r="C35" s="13"/>
      <c r="D35" s="13"/>
      <c r="E35" s="13"/>
      <c r="F35" s="14"/>
      <c r="G35" s="13"/>
      <c r="H35" s="13"/>
      <c r="I35" s="14"/>
    </row>
    <row r="36" spans="1:9">
      <c r="A36" s="13"/>
      <c r="B36" s="13"/>
      <c r="C36" s="13"/>
      <c r="D36" s="13"/>
      <c r="E36" s="13"/>
      <c r="F36" s="14"/>
      <c r="G36" s="13"/>
      <c r="H36" s="13"/>
      <c r="I36" s="14"/>
    </row>
    <row r="37" spans="1:9">
      <c r="A37" s="13"/>
      <c r="B37" s="13"/>
      <c r="C37" s="13"/>
      <c r="D37" s="13"/>
      <c r="E37" s="13"/>
      <c r="F37" s="14"/>
      <c r="G37" s="13"/>
      <c r="H37" s="13"/>
      <c r="I37" s="14"/>
    </row>
    <row r="38" spans="1:9">
      <c r="A38" s="13"/>
      <c r="B38" s="13"/>
      <c r="C38" s="13"/>
      <c r="D38" s="13"/>
      <c r="E38" s="13"/>
      <c r="F38" s="14"/>
      <c r="G38" s="13"/>
      <c r="H38" s="13"/>
      <c r="I38" s="14"/>
    </row>
    <row r="39" spans="1:9">
      <c r="A39" s="13"/>
      <c r="B39" s="13"/>
      <c r="C39" s="13"/>
      <c r="D39" s="13"/>
      <c r="E39" s="13"/>
      <c r="F39" s="14"/>
      <c r="G39" s="13"/>
      <c r="H39" s="13"/>
      <c r="I39" s="14"/>
    </row>
    <row r="40" spans="1:9">
      <c r="A40" s="13"/>
      <c r="B40" s="13"/>
      <c r="C40" s="13"/>
      <c r="D40" s="13"/>
      <c r="E40" s="13"/>
      <c r="F40" s="14"/>
      <c r="G40" s="13"/>
      <c r="H40" s="13"/>
      <c r="I40" s="14"/>
    </row>
    <row r="41" spans="1:9">
      <c r="A41" s="13"/>
      <c r="B41" s="13"/>
      <c r="C41" s="13"/>
      <c r="D41" s="13"/>
      <c r="E41" s="13"/>
      <c r="F41" s="14"/>
      <c r="G41" s="13"/>
      <c r="H41" s="13"/>
      <c r="I41" s="14"/>
    </row>
    <row r="42" spans="1:9">
      <c r="A42" s="13"/>
      <c r="B42" s="13"/>
      <c r="C42" s="13"/>
      <c r="D42" s="13"/>
      <c r="E42" s="13"/>
      <c r="F42" s="14"/>
      <c r="G42" s="13"/>
      <c r="H42" s="13"/>
      <c r="I42" s="14"/>
    </row>
    <row r="43" spans="1:9">
      <c r="A43" s="13"/>
      <c r="B43" s="13"/>
      <c r="C43" s="13"/>
      <c r="D43" s="13"/>
      <c r="E43" s="13"/>
      <c r="F43" s="14"/>
      <c r="G43" s="13"/>
      <c r="H43" s="13"/>
      <c r="I43" s="14"/>
    </row>
    <row r="44" spans="1:9">
      <c r="A44" s="13"/>
      <c r="B44" s="13"/>
      <c r="C44" s="13"/>
      <c r="D44" s="13"/>
      <c r="E44" s="13"/>
      <c r="F44" s="14"/>
      <c r="G44" s="13"/>
      <c r="H44" s="13"/>
      <c r="I44" s="14"/>
    </row>
    <row r="45" spans="1:9">
      <c r="A45" s="13"/>
      <c r="B45" s="13"/>
      <c r="C45" s="13"/>
      <c r="D45" s="13"/>
      <c r="E45" s="13"/>
      <c r="F45" s="14"/>
      <c r="G45" s="13"/>
      <c r="H45" s="13"/>
      <c r="I45" s="14"/>
    </row>
    <row r="46" spans="1:9">
      <c r="A46" s="13"/>
      <c r="B46" s="13"/>
      <c r="C46" s="13"/>
      <c r="D46" s="13"/>
      <c r="E46" s="13"/>
      <c r="F46" s="14"/>
      <c r="G46" s="13"/>
      <c r="H46" s="13"/>
      <c r="I46" s="14"/>
    </row>
    <row r="47" spans="1:9">
      <c r="A47" s="13"/>
      <c r="B47" s="13"/>
      <c r="C47" s="13"/>
      <c r="D47" s="13"/>
      <c r="E47" s="13"/>
      <c r="F47" s="14"/>
      <c r="G47" s="13"/>
      <c r="H47" s="13"/>
      <c r="I47" s="14"/>
    </row>
    <row r="48" spans="1:9">
      <c r="A48" s="13"/>
      <c r="B48" s="13"/>
      <c r="C48" s="13"/>
      <c r="D48" s="13"/>
      <c r="E48" s="13"/>
      <c r="F48" s="14"/>
      <c r="G48" s="13"/>
      <c r="H48" s="13"/>
      <c r="I48" s="14"/>
    </row>
    <row r="49" spans="1:9">
      <c r="A49" s="13"/>
      <c r="B49" s="13"/>
      <c r="C49" s="13"/>
      <c r="D49" s="13"/>
      <c r="E49" s="13"/>
      <c r="F49" s="14"/>
      <c r="G49" s="13"/>
      <c r="H49" s="13"/>
      <c r="I49" s="14"/>
    </row>
    <row r="50" spans="1:9">
      <c r="A50" s="13"/>
      <c r="B50" s="13"/>
      <c r="C50" s="13"/>
      <c r="D50" s="13"/>
      <c r="E50" s="13"/>
      <c r="F50" s="14"/>
      <c r="G50" s="13"/>
      <c r="H50" s="13"/>
      <c r="I50" s="14"/>
    </row>
    <row r="51" spans="1:9">
      <c r="A51" s="13"/>
      <c r="B51" s="13"/>
      <c r="C51" s="13"/>
      <c r="D51" s="13"/>
      <c r="E51" s="13"/>
      <c r="F51" s="14"/>
      <c r="G51" s="13"/>
      <c r="H51" s="13"/>
      <c r="I51" s="14"/>
    </row>
    <row r="52" spans="1:9">
      <c r="A52" s="13"/>
      <c r="B52" s="13"/>
      <c r="C52" s="13"/>
      <c r="D52" s="13"/>
      <c r="E52" s="13"/>
      <c r="F52" s="14"/>
      <c r="G52" s="13"/>
      <c r="H52" s="13"/>
      <c r="I52" s="14"/>
    </row>
    <row r="53" spans="1:9">
      <c r="A53" s="13"/>
      <c r="B53" s="13"/>
      <c r="C53" s="13"/>
      <c r="D53" s="13"/>
      <c r="E53" s="13"/>
      <c r="F53" s="14"/>
      <c r="G53" s="13"/>
      <c r="H53" s="13"/>
      <c r="I53" s="14"/>
    </row>
    <row r="54" spans="1:9">
      <c r="A54" s="13"/>
      <c r="B54" s="13"/>
      <c r="C54" s="13"/>
      <c r="D54" s="13"/>
      <c r="E54" s="13"/>
      <c r="F54" s="14"/>
      <c r="G54" s="13"/>
      <c r="H54" s="13"/>
      <c r="I54" s="14"/>
    </row>
    <row r="55" spans="1:9">
      <c r="A55" s="13"/>
      <c r="B55" s="13"/>
      <c r="C55" s="13"/>
      <c r="D55" s="13"/>
      <c r="E55" s="13"/>
      <c r="F55" s="14"/>
      <c r="G55" s="13"/>
      <c r="H55" s="13"/>
      <c r="I55" s="14"/>
    </row>
    <row r="56" spans="1:9">
      <c r="A56" s="13"/>
      <c r="B56" s="13"/>
      <c r="C56" s="13"/>
      <c r="D56" s="13"/>
      <c r="E56" s="13"/>
      <c r="F56" s="14"/>
      <c r="G56" s="13"/>
      <c r="H56" s="13"/>
      <c r="I56" s="14"/>
    </row>
    <row r="57" spans="1:9">
      <c r="A57" s="13"/>
      <c r="B57" s="13"/>
      <c r="C57" s="13"/>
      <c r="D57" s="13"/>
      <c r="E57" s="13"/>
      <c r="F57" s="14"/>
      <c r="G57" s="13"/>
      <c r="H57" s="13"/>
      <c r="I57" s="14"/>
    </row>
    <row r="58" spans="1:9">
      <c r="A58" s="13"/>
      <c r="B58" s="13"/>
      <c r="C58" s="13"/>
      <c r="D58" s="13"/>
      <c r="E58" s="13"/>
      <c r="F58" s="14"/>
      <c r="G58" s="13"/>
      <c r="H58" s="13"/>
      <c r="I58" s="14"/>
    </row>
    <row r="59" spans="1:9">
      <c r="A59" s="13"/>
      <c r="B59" s="13"/>
      <c r="C59" s="13"/>
      <c r="D59" s="13"/>
      <c r="E59" s="13"/>
      <c r="F59" s="14"/>
      <c r="G59" s="13"/>
      <c r="H59" s="13"/>
      <c r="I59" s="14"/>
    </row>
    <row r="60" spans="1:9">
      <c r="A60" s="13"/>
      <c r="B60" s="13"/>
      <c r="C60" s="13"/>
      <c r="D60" s="13"/>
      <c r="E60" s="13"/>
      <c r="F60" s="14"/>
      <c r="G60" s="13"/>
      <c r="H60" s="13"/>
      <c r="I60" s="14"/>
    </row>
    <row r="61" spans="1:9">
      <c r="A61" s="13"/>
      <c r="B61" s="13"/>
      <c r="C61" s="13"/>
      <c r="D61" s="13"/>
      <c r="E61" s="13"/>
      <c r="F61" s="14"/>
      <c r="G61" s="13"/>
      <c r="H61" s="13"/>
      <c r="I61" s="14"/>
    </row>
    <row r="62" spans="1:9">
      <c r="A62" s="13"/>
      <c r="B62" s="13"/>
      <c r="C62" s="13"/>
      <c r="D62" s="13"/>
      <c r="E62" s="13"/>
      <c r="F62" s="14"/>
      <c r="G62" s="13"/>
      <c r="H62" s="13"/>
      <c r="I62" s="14"/>
    </row>
    <row r="63" spans="1:9">
      <c r="A63" s="13"/>
      <c r="B63" s="13"/>
      <c r="C63" s="13"/>
      <c r="D63" s="13"/>
      <c r="E63" s="13"/>
      <c r="F63" s="14"/>
      <c r="G63" s="13"/>
      <c r="H63" s="13"/>
      <c r="I63" s="14"/>
    </row>
    <row r="64" spans="1:9">
      <c r="A64" s="13"/>
      <c r="B64" s="13"/>
      <c r="C64" s="13"/>
      <c r="D64" s="13"/>
      <c r="E64" s="13"/>
      <c r="F64" s="14"/>
      <c r="G64" s="13"/>
      <c r="H64" s="13"/>
      <c r="I64" s="14"/>
    </row>
    <row r="65" spans="1:9">
      <c r="A65" s="13"/>
      <c r="B65" s="13"/>
      <c r="C65" s="13"/>
      <c r="D65" s="13"/>
      <c r="E65" s="13"/>
      <c r="F65" s="14"/>
      <c r="G65" s="13"/>
      <c r="H65" s="13"/>
      <c r="I65" s="14"/>
    </row>
    <row r="66" spans="1:9">
      <c r="A66" s="13"/>
      <c r="B66" s="13"/>
      <c r="C66" s="13"/>
      <c r="D66" s="13"/>
      <c r="E66" s="13"/>
      <c r="F66" s="14"/>
      <c r="G66" s="13"/>
      <c r="H66" s="13"/>
      <c r="I66" s="14"/>
    </row>
    <row r="67" spans="1:9">
      <c r="A67" s="13"/>
      <c r="B67" s="13"/>
      <c r="C67" s="13"/>
      <c r="D67" s="13"/>
      <c r="E67" s="13"/>
      <c r="F67" s="14"/>
      <c r="G67" s="13"/>
      <c r="H67" s="13"/>
      <c r="I67" s="14"/>
    </row>
    <row r="68" spans="1:9">
      <c r="A68" s="13"/>
      <c r="B68" s="13"/>
      <c r="C68" s="13"/>
      <c r="D68" s="13"/>
      <c r="E68" s="13"/>
      <c r="F68" s="14"/>
      <c r="G68" s="13"/>
      <c r="H68" s="13"/>
      <c r="I68" s="14"/>
    </row>
    <row r="69" spans="1:9">
      <c r="A69" s="13"/>
      <c r="B69" s="13"/>
      <c r="C69" s="13"/>
      <c r="D69" s="13"/>
      <c r="E69" s="13"/>
      <c r="F69" s="14"/>
      <c r="G69" s="13"/>
      <c r="H69" s="13"/>
      <c r="I69" s="14"/>
    </row>
    <row r="70" spans="1:9">
      <c r="A70" s="13"/>
      <c r="B70" s="13"/>
      <c r="C70" s="13"/>
      <c r="D70" s="13"/>
      <c r="E70" s="13"/>
      <c r="F70" s="14"/>
      <c r="G70" s="13"/>
      <c r="H70" s="13"/>
      <c r="I70" s="14"/>
    </row>
    <row r="71" spans="1:9">
      <c r="A71" s="13"/>
      <c r="B71" s="13"/>
      <c r="C71" s="13"/>
      <c r="D71" s="13"/>
      <c r="E71" s="13"/>
      <c r="F71" s="14"/>
      <c r="G71" s="13"/>
      <c r="H71" s="13"/>
      <c r="I71" s="14"/>
    </row>
    <row r="72" spans="1:9">
      <c r="A72" s="13"/>
      <c r="B72" s="13"/>
      <c r="C72" s="13"/>
      <c r="D72" s="13"/>
      <c r="E72" s="13"/>
      <c r="F72" s="14"/>
      <c r="G72" s="13"/>
      <c r="H72" s="13"/>
      <c r="I72" s="14"/>
    </row>
    <row r="73" spans="1:9">
      <c r="A73" s="13"/>
      <c r="B73" s="13"/>
      <c r="C73" s="13"/>
      <c r="D73" s="13"/>
      <c r="E73" s="13"/>
      <c r="F73" s="14"/>
      <c r="G73" s="13"/>
      <c r="H73" s="13"/>
      <c r="I73" s="14"/>
    </row>
    <row r="74" spans="1:9">
      <c r="A74" s="13"/>
      <c r="B74" s="13"/>
      <c r="C74" s="13"/>
      <c r="D74" s="13"/>
      <c r="E74" s="13"/>
      <c r="F74" s="14"/>
      <c r="G74" s="13"/>
      <c r="H74" s="13"/>
      <c r="I74" s="14"/>
    </row>
    <row r="75" spans="1:9">
      <c r="A75" s="13"/>
      <c r="B75" s="13"/>
      <c r="C75" s="13"/>
      <c r="D75" s="13"/>
      <c r="E75" s="13"/>
      <c r="F75" s="14"/>
      <c r="G75" s="13"/>
      <c r="H75" s="13"/>
      <c r="I75" s="14"/>
    </row>
    <row r="76" spans="1:9">
      <c r="A76" s="13"/>
      <c r="B76" s="13"/>
      <c r="C76" s="13"/>
      <c r="D76" s="13"/>
      <c r="E76" s="13"/>
      <c r="F76" s="14"/>
      <c r="G76" s="13"/>
      <c r="H76" s="13"/>
      <c r="I76" s="14"/>
    </row>
    <row r="77" spans="1:9">
      <c r="A77" s="13"/>
      <c r="B77" s="13"/>
      <c r="C77" s="13"/>
      <c r="D77" s="13"/>
      <c r="E77" s="13"/>
      <c r="F77" s="14"/>
      <c r="G77" s="13"/>
      <c r="H77" s="13"/>
      <c r="I77" s="14"/>
    </row>
    <row r="78" spans="1:9">
      <c r="A78" s="13"/>
      <c r="B78" s="13"/>
      <c r="C78" s="13"/>
      <c r="D78" s="13"/>
      <c r="E78" s="13"/>
      <c r="F78" s="14"/>
      <c r="G78" s="13"/>
      <c r="H78" s="13"/>
      <c r="I78" s="14"/>
    </row>
    <row r="79" spans="1:9">
      <c r="A79" s="13"/>
      <c r="B79" s="13"/>
      <c r="C79" s="13"/>
      <c r="D79" s="13"/>
      <c r="E79" s="13"/>
      <c r="F79" s="14"/>
      <c r="G79" s="13"/>
      <c r="H79" s="13"/>
      <c r="I79" s="14"/>
    </row>
    <row r="80" spans="1:9">
      <c r="A80" s="13"/>
      <c r="B80" s="13"/>
      <c r="C80" s="13"/>
      <c r="D80" s="13"/>
      <c r="E80" s="13"/>
      <c r="F80" s="14"/>
      <c r="G80" s="13"/>
      <c r="H80" s="13"/>
      <c r="I80" s="14"/>
    </row>
    <row r="81" spans="1:9">
      <c r="A81" s="13"/>
      <c r="B81" s="13"/>
      <c r="C81" s="13"/>
      <c r="D81" s="13"/>
      <c r="E81" s="13"/>
      <c r="F81" s="14"/>
      <c r="G81" s="13"/>
      <c r="H81" s="13"/>
      <c r="I81" s="14"/>
    </row>
    <row r="82" spans="1:9">
      <c r="A82" s="13"/>
      <c r="B82" s="13"/>
      <c r="C82" s="13"/>
      <c r="D82" s="13"/>
      <c r="E82" s="13"/>
      <c r="F82" s="14"/>
      <c r="G82" s="13"/>
      <c r="H82" s="13"/>
      <c r="I82" s="14"/>
    </row>
    <row r="83" spans="1:9">
      <c r="A83" s="13"/>
      <c r="B83" s="13"/>
      <c r="C83" s="13"/>
      <c r="D83" s="13"/>
      <c r="E83" s="13"/>
      <c r="F83" s="14"/>
      <c r="G83" s="13"/>
      <c r="H83" s="13"/>
      <c r="I83" s="14"/>
    </row>
    <row r="84" spans="1:9">
      <c r="A84" s="13"/>
      <c r="B84" s="13"/>
      <c r="C84" s="13"/>
      <c r="D84" s="13"/>
      <c r="E84" s="13"/>
      <c r="F84" s="14"/>
      <c r="G84" s="13"/>
      <c r="H84" s="13"/>
      <c r="I84" s="14"/>
    </row>
    <row r="85" spans="1:9">
      <c r="A85" s="13"/>
      <c r="B85" s="13"/>
      <c r="C85" s="13"/>
      <c r="D85" s="13"/>
      <c r="E85" s="13"/>
      <c r="F85" s="14"/>
      <c r="G85" s="13"/>
      <c r="H85" s="13"/>
      <c r="I85" s="14"/>
    </row>
    <row r="86" spans="1:9">
      <c r="A86" s="13"/>
      <c r="B86" s="13"/>
      <c r="C86" s="13"/>
      <c r="D86" s="13"/>
      <c r="E86" s="13"/>
      <c r="F86" s="14"/>
      <c r="G86" s="13"/>
      <c r="H86" s="13"/>
      <c r="I86" s="14"/>
    </row>
    <row r="87" spans="1:9">
      <c r="A87" s="13"/>
      <c r="B87" s="13"/>
      <c r="C87" s="13"/>
      <c r="D87" s="13"/>
      <c r="E87" s="13"/>
      <c r="F87" s="14"/>
      <c r="G87" s="13"/>
      <c r="H87" s="13"/>
      <c r="I87" s="14"/>
    </row>
    <row r="88" spans="1:9">
      <c r="A88" s="13"/>
      <c r="B88" s="13"/>
      <c r="C88" s="13"/>
      <c r="D88" s="13"/>
      <c r="E88" s="13"/>
      <c r="F88" s="14"/>
      <c r="G88" s="13"/>
      <c r="H88" s="13"/>
      <c r="I88" s="14"/>
    </row>
    <row r="89" spans="1:9">
      <c r="A89" s="13"/>
      <c r="B89" s="13"/>
      <c r="C89" s="13"/>
      <c r="D89" s="13"/>
      <c r="E89" s="13"/>
      <c r="F89" s="14"/>
      <c r="G89" s="13"/>
      <c r="H89" s="13"/>
      <c r="I89" s="14"/>
    </row>
    <row r="90" spans="1:9">
      <c r="A90" s="13"/>
      <c r="B90" s="13"/>
      <c r="C90" s="13"/>
      <c r="D90" s="13"/>
      <c r="E90" s="13"/>
      <c r="F90" s="14"/>
      <c r="G90" s="13"/>
      <c r="H90" s="13"/>
      <c r="I90" s="14"/>
    </row>
    <row r="91" spans="1:9">
      <c r="A91" s="13"/>
      <c r="B91" s="13"/>
      <c r="C91" s="13"/>
      <c r="D91" s="13"/>
      <c r="E91" s="13"/>
      <c r="F91" s="14"/>
      <c r="G91" s="13"/>
      <c r="H91" s="13"/>
      <c r="I91" s="14"/>
    </row>
    <row r="92" spans="1:9">
      <c r="A92" s="13"/>
      <c r="B92" s="13"/>
      <c r="C92" s="13"/>
      <c r="D92" s="13"/>
      <c r="E92" s="13"/>
      <c r="F92" s="14"/>
      <c r="G92" s="13"/>
      <c r="H92" s="13"/>
      <c r="I92" s="14"/>
    </row>
    <row r="93" spans="1:9">
      <c r="A93" s="13"/>
      <c r="B93" s="13"/>
      <c r="C93" s="13"/>
      <c r="D93" s="13"/>
      <c r="E93" s="13"/>
      <c r="F93" s="14"/>
      <c r="G93" s="13"/>
      <c r="H93" s="13"/>
      <c r="I93" s="14"/>
    </row>
    <row r="94" spans="1:9">
      <c r="A94" s="13"/>
      <c r="B94" s="13"/>
      <c r="C94" s="13"/>
      <c r="D94" s="13"/>
      <c r="E94" s="13"/>
      <c r="F94" s="14"/>
      <c r="G94" s="13"/>
      <c r="H94" s="13"/>
      <c r="I94" s="14"/>
    </row>
    <row r="95" spans="1:9">
      <c r="A95" s="13"/>
      <c r="B95" s="13"/>
      <c r="C95" s="13"/>
      <c r="D95" s="13"/>
      <c r="E95" s="13"/>
      <c r="F95" s="14"/>
      <c r="G95" s="13"/>
      <c r="H95" s="13"/>
      <c r="I95" s="14"/>
    </row>
    <row r="96" spans="1:9">
      <c r="A96" s="13"/>
      <c r="B96" s="13"/>
      <c r="C96" s="13"/>
      <c r="D96" s="13"/>
      <c r="E96" s="13"/>
      <c r="F96" s="14"/>
      <c r="G96" s="13"/>
      <c r="H96" s="13"/>
      <c r="I96" s="14"/>
    </row>
    <row r="97" spans="1:9">
      <c r="A97" s="13"/>
      <c r="B97" s="13"/>
      <c r="C97" s="13"/>
      <c r="D97" s="13"/>
      <c r="E97" s="13"/>
      <c r="F97" s="14"/>
      <c r="G97" s="13"/>
      <c r="H97" s="13"/>
      <c r="I97" s="14"/>
    </row>
    <row r="98" spans="1:9">
      <c r="A98" s="13"/>
      <c r="B98" s="13"/>
      <c r="C98" s="13"/>
      <c r="D98" s="13"/>
      <c r="E98" s="13"/>
      <c r="F98" s="14"/>
      <c r="G98" s="13"/>
      <c r="H98" s="13"/>
      <c r="I98" s="14"/>
    </row>
    <row r="99" spans="1:9">
      <c r="A99" s="13"/>
      <c r="B99" s="13"/>
      <c r="C99" s="13"/>
      <c r="D99" s="13"/>
      <c r="E99" s="13"/>
      <c r="F99" s="14"/>
      <c r="G99" s="13"/>
      <c r="H99" s="13"/>
      <c r="I99" s="14"/>
    </row>
    <row r="100" spans="1: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C4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4.25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75">
      <c r="A1" s="71" t="str" cm="1">
        <f t="array" ref="A1">portfolio</f>
        <v>38 DN</v>
      </c>
      <c r="B1" s="71"/>
      <c r="C1" s="71"/>
      <c r="D1" s="72" t="s">
        <v>18</v>
      </c>
      <c r="E1" s="72"/>
      <c r="F1" s="72"/>
      <c r="G1" s="70" t="s">
        <v>19</v>
      </c>
      <c r="H1" s="70"/>
      <c r="I1" s="70"/>
      <c r="J1" s="4"/>
      <c r="K1" s="4"/>
    </row>
    <row r="2" spans="1:11" ht="15.75">
      <c r="A2" s="73" t="s">
        <v>2</v>
      </c>
      <c r="B2" s="73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75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75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75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75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75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60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75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30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75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75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75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75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75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75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75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75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75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75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75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75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75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C12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40</v>
      </c>
      <c r="E1" s="72"/>
      <c r="F1" s="72"/>
      <c r="G1" s="70" t="s">
        <v>41</v>
      </c>
      <c r="H1" s="70"/>
      <c r="I1" s="70"/>
      <c r="J1" s="60"/>
      <c r="K1" s="60"/>
    </row>
    <row r="2" spans="1:11" ht="19.5" customHeight="1">
      <c r="A2" s="73" t="s">
        <v>2</v>
      </c>
      <c r="B2" s="73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30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75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75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75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50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75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75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75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75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75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75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75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75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75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60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30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workbookViewId="0">
      <pane xSplit="2" ySplit="3" topLeftCell="C4" activePane="bottomRight" state="frozen"/>
      <selection pane="bottomRight" activeCell="F11" sqref="F11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66</v>
      </c>
      <c r="E1" s="72"/>
      <c r="F1" s="72"/>
      <c r="G1" s="70" t="s">
        <v>67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3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75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30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30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30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75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75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60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75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30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75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75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75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75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75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75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75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75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30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30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30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tabSelected="1" workbookViewId="0">
      <pane xSplit="2" ySplit="3" topLeftCell="C4" activePane="bottomRight" state="frozen"/>
      <selection pane="bottomRight" activeCell="F11" sqref="F11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104</v>
      </c>
      <c r="E1" s="72"/>
      <c r="F1" s="72"/>
      <c r="G1" s="70" t="s">
        <v>105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3828480.0599447787</v>
      </c>
      <c r="D2" s="5">
        <f>SUM(D4:D99)</f>
        <v>4041167.0000000005</v>
      </c>
      <c r="E2" s="5">
        <f>C2-D2</f>
        <v>-212686.94005522178</v>
      </c>
      <c r="F2" s="6">
        <f>IFERROR(E2/D2, 0)</f>
        <v>-5.2630079394200183E-2</v>
      </c>
      <c r="G2" s="5">
        <f>SUM(G4:G99)</f>
        <v>4290961.4300000006</v>
      </c>
      <c r="H2" s="7">
        <f>C2-G2</f>
        <v>-462481.37005522195</v>
      </c>
      <c r="I2" s="6">
        <f>IFERROR(H2/G2, 0)</f>
        <v>-0.10778036055551818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220985.3</v>
      </c>
      <c r="D4" s="37">
        <v>234779</v>
      </c>
      <c r="E4" s="37">
        <f>IF(AND(ISNUMBER(C4),ISNUMBER(D4)), C4-D4, "")</f>
        <v>-13793.700000000012</v>
      </c>
      <c r="F4" s="38">
        <f>IFERROR(E4/D4, "")</f>
        <v>-5.8751847482100238E-2</v>
      </c>
      <c r="G4" s="39">
        <v>220814.1</v>
      </c>
      <c r="H4" s="39">
        <f>IF(AND(ISNUMBER(C4),ISNUMBER(G4)), C4-G4, "")</f>
        <v>171.19999999998254</v>
      </c>
      <c r="I4" s="40">
        <f>IFERROR(H4/G4, "")</f>
        <v>7.7531280837583535E-4</v>
      </c>
      <c r="J4" s="57"/>
      <c r="K4" s="57"/>
    </row>
    <row r="5" spans="1:11" ht="15.75">
      <c r="A5" s="49" t="str">
        <v>Barton Acres</v>
      </c>
      <c r="B5" s="50" t="str">
        <v>MA</v>
      </c>
      <c r="C5" s="43">
        <v>154260</v>
      </c>
      <c r="D5" s="44">
        <v>159778.79999999999</v>
      </c>
      <c r="E5" s="44">
        <f t="shared" ref="E5:E24" si="0">IF(AND(ISNUMBER(C5),ISNUMBER(D5)), C5-D5, "")</f>
        <v>-5518.7999999999884</v>
      </c>
      <c r="F5" s="45">
        <f>IFERROR(E5/D5, "")</f>
        <v>-3.4540251898249261E-2</v>
      </c>
      <c r="G5" s="46">
        <v>163604.70000000001</v>
      </c>
      <c r="H5" s="46">
        <f t="shared" ref="H5:H24" si="1">IF(AND(ISNUMBER(C5),ISNUMBER(G5)), C5-G5, "")</f>
        <v>-9344.7000000000116</v>
      </c>
      <c r="I5" s="45">
        <f t="shared" ref="I5:I24" si="2">IFERROR(H5/G5, "")</f>
        <v>-5.711755224635974E-2</v>
      </c>
      <c r="J5" s="58" t="s">
        <v>106</v>
      </c>
      <c r="K5" s="58" t="s">
        <v>107</v>
      </c>
    </row>
    <row r="6" spans="1:11" ht="15.75">
      <c r="A6" s="51" t="str">
        <v>Bowden</v>
      </c>
      <c r="B6" s="48" t="str">
        <v>MA</v>
      </c>
      <c r="C6" s="36">
        <v>311418</v>
      </c>
      <c r="D6" s="37">
        <v>314418.7</v>
      </c>
      <c r="E6" s="37">
        <f t="shared" si="0"/>
        <v>-3000.7000000000116</v>
      </c>
      <c r="F6" s="38">
        <f t="shared" ref="F6:F24" si="3">IFERROR(E6/D6, "")</f>
        <v>-9.5436435555519162E-3</v>
      </c>
      <c r="G6" s="39">
        <v>332611.5</v>
      </c>
      <c r="H6" s="39">
        <f t="shared" si="1"/>
        <v>-21193.5</v>
      </c>
      <c r="I6" s="40">
        <f t="shared" si="2"/>
        <v>-6.3718482373579993E-2</v>
      </c>
      <c r="J6" s="57"/>
      <c r="K6" s="57"/>
    </row>
    <row r="7" spans="1:11" ht="45.75">
      <c r="A7" s="49" t="str">
        <v>Blair Wire Village</v>
      </c>
      <c r="B7" s="50" t="str">
        <v>MA</v>
      </c>
      <c r="C7" s="43">
        <v>149056</v>
      </c>
      <c r="D7" s="44">
        <v>169562.6</v>
      </c>
      <c r="E7" s="44">
        <f t="shared" si="0"/>
        <v>-20506.600000000006</v>
      </c>
      <c r="F7" s="45">
        <f t="shared" si="3"/>
        <v>-0.12093822576440798</v>
      </c>
      <c r="G7" s="46">
        <v>167094.79999999999</v>
      </c>
      <c r="H7" s="46">
        <f t="shared" si="1"/>
        <v>-18038.799999999988</v>
      </c>
      <c r="I7" s="45">
        <f t="shared" si="2"/>
        <v>-0.10795548395282192</v>
      </c>
      <c r="J7" s="67" t="s">
        <v>108</v>
      </c>
      <c r="K7" s="68" t="s">
        <v>109</v>
      </c>
    </row>
    <row r="8" spans="1:11" ht="15.75">
      <c r="A8" s="51" t="str">
        <v>Boutilier</v>
      </c>
      <c r="B8" s="48" t="str">
        <v>MA</v>
      </c>
      <c r="C8" s="36">
        <v>431826</v>
      </c>
      <c r="D8" s="37">
        <v>447646.3</v>
      </c>
      <c r="E8" s="37">
        <f t="shared" si="0"/>
        <v>-15820.299999999988</v>
      </c>
      <c r="F8" s="38">
        <f t="shared" si="3"/>
        <v>-3.5341071734536815E-2</v>
      </c>
      <c r="G8" s="39">
        <v>449109.5</v>
      </c>
      <c r="H8" s="39">
        <f t="shared" si="1"/>
        <v>-17283.5</v>
      </c>
      <c r="I8" s="40">
        <f t="shared" si="2"/>
        <v>-3.8483933205599077E-2</v>
      </c>
      <c r="J8" s="57"/>
      <c r="K8" s="57"/>
    </row>
    <row r="9" spans="1:11" ht="15.75">
      <c r="A9" s="49" t="str">
        <v>Cherry Valley</v>
      </c>
      <c r="B9" s="50" t="str">
        <v>MA</v>
      </c>
      <c r="C9" s="43">
        <v>152661</v>
      </c>
      <c r="D9" s="44">
        <v>165093.29999999999</v>
      </c>
      <c r="E9" s="44">
        <f t="shared" si="0"/>
        <v>-12432.299999999988</v>
      </c>
      <c r="F9" s="45">
        <f t="shared" si="3"/>
        <v>-7.53046913472563E-2</v>
      </c>
      <c r="G9" s="46">
        <v>163486</v>
      </c>
      <c r="H9" s="46">
        <f t="shared" si="1"/>
        <v>-10825</v>
      </c>
      <c r="I9" s="45">
        <f t="shared" si="2"/>
        <v>-6.6213620738167181E-2</v>
      </c>
      <c r="J9" s="58"/>
      <c r="K9" s="59"/>
    </row>
    <row r="10" spans="1:11" ht="15.75">
      <c r="A10" s="51" t="str">
        <v>Cohasse</v>
      </c>
      <c r="B10" s="48" t="str">
        <v>MA</v>
      </c>
      <c r="C10" s="36">
        <v>143028</v>
      </c>
      <c r="D10" s="37">
        <v>148253.5</v>
      </c>
      <c r="E10" s="37">
        <f t="shared" si="0"/>
        <v>-5225.5</v>
      </c>
      <c r="F10" s="38">
        <f t="shared" si="3"/>
        <v>-3.5247059934504076E-2</v>
      </c>
      <c r="G10" s="39">
        <v>173435.6</v>
      </c>
      <c r="H10" s="39">
        <f t="shared" si="1"/>
        <v>-30407.600000000006</v>
      </c>
      <c r="I10" s="40">
        <f t="shared" si="2"/>
        <v>-0.17532501977679327</v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>
        <v>336392</v>
      </c>
      <c r="D11" s="44">
        <v>321701.3</v>
      </c>
      <c r="E11" s="44">
        <f t="shared" si="0"/>
        <v>14690.700000000012</v>
      </c>
      <c r="F11" s="45">
        <f t="shared" si="3"/>
        <v>4.566565320065543E-2</v>
      </c>
      <c r="G11" s="46">
        <v>338965.1</v>
      </c>
      <c r="H11" s="46">
        <f t="shared" si="1"/>
        <v>-2573.0999999999767</v>
      </c>
      <c r="I11" s="45">
        <f t="shared" si="2"/>
        <v>-7.5910469838929642E-3</v>
      </c>
      <c r="J11" s="58"/>
      <c r="K11" s="59"/>
    </row>
    <row r="12" spans="1:11" ht="15.75">
      <c r="A12" s="51" t="str">
        <v>Dudley River 1</v>
      </c>
      <c r="B12" s="48" t="str">
        <v>MA</v>
      </c>
      <c r="C12" s="36">
        <v>156406</v>
      </c>
      <c r="D12" s="37">
        <v>156601.5</v>
      </c>
      <c r="E12" s="37">
        <f t="shared" si="0"/>
        <v>-195.5</v>
      </c>
      <c r="F12" s="38">
        <f t="shared" si="3"/>
        <v>-1.248391618215662E-3</v>
      </c>
      <c r="G12" s="39">
        <v>167511.29999999999</v>
      </c>
      <c r="H12" s="39">
        <f t="shared" si="1"/>
        <v>-11105.299999999988</v>
      </c>
      <c r="I12" s="40">
        <f t="shared" si="2"/>
        <v>-6.6295826012931602E-2</v>
      </c>
      <c r="J12" s="57"/>
      <c r="K12" s="57"/>
    </row>
    <row r="13" spans="1:11" ht="15.75">
      <c r="A13" s="49" t="str">
        <v>Dudley River 2</v>
      </c>
      <c r="B13" s="50" t="str">
        <v>MA</v>
      </c>
      <c r="C13" s="43">
        <v>150087</v>
      </c>
      <c r="D13" s="44">
        <v>156204.20000000001</v>
      </c>
      <c r="E13" s="44">
        <f t="shared" si="0"/>
        <v>-6117.2000000000116</v>
      </c>
      <c r="F13" s="45">
        <f t="shared" si="3"/>
        <v>-3.9161559036184755E-2</v>
      </c>
      <c r="G13" s="46">
        <v>161407.4</v>
      </c>
      <c r="H13" s="46">
        <f t="shared" si="1"/>
        <v>-11320.399999999994</v>
      </c>
      <c r="I13" s="45">
        <f t="shared" si="2"/>
        <v>-7.013556999245385E-2</v>
      </c>
      <c r="J13" s="58"/>
      <c r="K13" s="59"/>
    </row>
    <row r="14" spans="1:11" ht="15.75">
      <c r="A14" s="51" t="str">
        <v>Dudley River 3</v>
      </c>
      <c r="B14" s="48" t="str">
        <v>MA</v>
      </c>
      <c r="C14" s="36">
        <v>154781.00332225999</v>
      </c>
      <c r="D14" s="37">
        <v>157088.29999999999</v>
      </c>
      <c r="E14" s="37">
        <f t="shared" si="0"/>
        <v>-2307.2966777399997</v>
      </c>
      <c r="F14" s="38">
        <f t="shared" si="3"/>
        <v>-1.4687896410744784E-2</v>
      </c>
      <c r="G14" s="39">
        <v>163247.1</v>
      </c>
      <c r="H14" s="39">
        <f t="shared" si="1"/>
        <v>-8466.0966777400172</v>
      </c>
      <c r="I14" s="40">
        <f t="shared" si="2"/>
        <v>-5.1860625259131814E-2</v>
      </c>
      <c r="J14" s="57"/>
      <c r="K14" s="57"/>
    </row>
    <row r="15" spans="1:11" ht="15.75">
      <c r="A15" s="49" t="str">
        <v>Flint Pond</v>
      </c>
      <c r="B15" s="50" t="str">
        <v>MA</v>
      </c>
      <c r="C15" s="43">
        <v>75671.5</v>
      </c>
      <c r="D15" s="44">
        <v>70499.98</v>
      </c>
      <c r="E15" s="44">
        <f t="shared" si="0"/>
        <v>5171.5200000000041</v>
      </c>
      <c r="F15" s="45">
        <f t="shared" si="3"/>
        <v>7.3354914426926141E-2</v>
      </c>
      <c r="G15" s="46">
        <v>78106.22</v>
      </c>
      <c r="H15" s="46">
        <f t="shared" si="1"/>
        <v>-2434.7200000000012</v>
      </c>
      <c r="I15" s="45">
        <f t="shared" si="2"/>
        <v>-3.1171909228227934E-2</v>
      </c>
      <c r="J15" s="58"/>
      <c r="K15" s="59"/>
    </row>
    <row r="16" spans="1:11" ht="60.75">
      <c r="A16" s="51" t="str">
        <v>Incom</v>
      </c>
      <c r="B16" s="48" t="str">
        <v>MA</v>
      </c>
      <c r="C16" s="36">
        <v>276036</v>
      </c>
      <c r="D16" s="37">
        <v>363748.3</v>
      </c>
      <c r="E16" s="37">
        <f t="shared" si="0"/>
        <v>-87712.299999999988</v>
      </c>
      <c r="F16" s="38">
        <f t="shared" si="3"/>
        <v>-0.24113459774244991</v>
      </c>
      <c r="G16" s="39">
        <v>348699</v>
      </c>
      <c r="H16" s="39">
        <f t="shared" si="1"/>
        <v>-72663</v>
      </c>
      <c r="I16" s="40">
        <f t="shared" si="2"/>
        <v>-0.20838316140855007</v>
      </c>
      <c r="J16" s="69" t="s">
        <v>110</v>
      </c>
      <c r="K16" s="57" t="s">
        <v>111</v>
      </c>
    </row>
    <row r="17" spans="1:11" ht="15.75">
      <c r="A17" s="49" t="str">
        <v>JH</v>
      </c>
      <c r="B17" s="50" t="str">
        <v>MA</v>
      </c>
      <c r="C17" s="43">
        <v>146209</v>
      </c>
      <c r="D17" s="44">
        <v>157141.20000000001</v>
      </c>
      <c r="E17" s="44">
        <f t="shared" si="0"/>
        <v>-10932.200000000012</v>
      </c>
      <c r="F17" s="45">
        <f t="shared" si="3"/>
        <v>-6.9569279094215966E-2</v>
      </c>
      <c r="G17" s="46">
        <v>171272.7</v>
      </c>
      <c r="H17" s="46">
        <f t="shared" si="1"/>
        <v>-25063.700000000012</v>
      </c>
      <c r="I17" s="45">
        <f t="shared" si="2"/>
        <v>-0.14633797446995353</v>
      </c>
      <c r="J17" s="58"/>
      <c r="K17" s="59"/>
    </row>
    <row r="18" spans="1:11" ht="15.75">
      <c r="A18" s="47" t="str">
        <v>Ledeaux</v>
      </c>
      <c r="B18" s="48" t="str">
        <v>MA</v>
      </c>
      <c r="C18" s="36">
        <v>136748</v>
      </c>
      <c r="D18" s="37">
        <v>145052.6</v>
      </c>
      <c r="E18" s="37">
        <f t="shared" si="0"/>
        <v>-8304.6000000000058</v>
      </c>
      <c r="F18" s="38">
        <f t="shared" si="3"/>
        <v>-5.7252334670319635E-2</v>
      </c>
      <c r="G18" s="39">
        <v>166011.9</v>
      </c>
      <c r="H18" s="39">
        <f t="shared" si="1"/>
        <v>-29263.899999999994</v>
      </c>
      <c r="I18" s="40">
        <f t="shared" si="2"/>
        <v>-0.17627591756976455</v>
      </c>
      <c r="J18" s="57"/>
      <c r="K18" s="57"/>
    </row>
    <row r="19" spans="1:11" ht="15.75">
      <c r="A19" s="49" t="str">
        <v>Palombo A</v>
      </c>
      <c r="B19" s="50" t="str">
        <v>MA</v>
      </c>
      <c r="C19" s="43">
        <v>309094.00662251899</v>
      </c>
      <c r="D19" s="44">
        <v>321228.2</v>
      </c>
      <c r="E19" s="44">
        <f t="shared" si="0"/>
        <v>-12134.193377481017</v>
      </c>
      <c r="F19" s="45">
        <f t="shared" si="3"/>
        <v>-3.777437154484263E-2</v>
      </c>
      <c r="G19" s="46">
        <v>361541</v>
      </c>
      <c r="H19" s="46">
        <f t="shared" si="1"/>
        <v>-52446.993377481005</v>
      </c>
      <c r="I19" s="45">
        <f t="shared" si="2"/>
        <v>-0.14506513335273455</v>
      </c>
      <c r="J19" s="58"/>
      <c r="K19" s="58"/>
    </row>
    <row r="20" spans="1:11" ht="15.75">
      <c r="A20" s="51" t="str">
        <v>Palombo B</v>
      </c>
      <c r="B20" s="48" t="str">
        <v>MA</v>
      </c>
      <c r="C20" s="36">
        <v>157158</v>
      </c>
      <c r="D20" s="37">
        <v>140110.70000000001</v>
      </c>
      <c r="E20" s="37">
        <f t="shared" si="0"/>
        <v>17047.299999999988</v>
      </c>
      <c r="F20" s="38">
        <f t="shared" si="3"/>
        <v>0.12167022218859792</v>
      </c>
      <c r="G20" s="39">
        <v>170164.9</v>
      </c>
      <c r="H20" s="39">
        <f t="shared" si="1"/>
        <v>-13006.899999999994</v>
      </c>
      <c r="I20" s="40">
        <f t="shared" si="2"/>
        <v>-7.6437032549015654E-2</v>
      </c>
      <c r="J20" s="57"/>
      <c r="K20" s="57"/>
    </row>
    <row r="21" spans="1:11" ht="15.75">
      <c r="A21" s="49" t="str">
        <v>St Josephs Church</v>
      </c>
      <c r="B21" s="50" t="str">
        <v>MA</v>
      </c>
      <c r="C21" s="43">
        <v>149164</v>
      </c>
      <c r="D21" s="44">
        <v>168316.4</v>
      </c>
      <c r="E21" s="44">
        <f t="shared" si="0"/>
        <v>-19152.399999999994</v>
      </c>
      <c r="F21" s="45">
        <f t="shared" si="3"/>
        <v>-0.11378808006825238</v>
      </c>
      <c r="G21" s="46">
        <v>165493.20000000001</v>
      </c>
      <c r="H21" s="46">
        <f t="shared" si="1"/>
        <v>-16329.200000000012</v>
      </c>
      <c r="I21" s="45">
        <f t="shared" si="2"/>
        <v>-9.8669915138507258E-2</v>
      </c>
      <c r="J21" s="58"/>
      <c r="K21" s="59"/>
    </row>
    <row r="22" spans="1:11" ht="45.75">
      <c r="A22" s="51" t="str">
        <v>Sunset A</v>
      </c>
      <c r="B22" s="48" t="str">
        <v>MA</v>
      </c>
      <c r="C22" s="36">
        <v>33136.5</v>
      </c>
      <c r="D22" s="37">
        <v>46425.54</v>
      </c>
      <c r="E22" s="37">
        <f t="shared" si="0"/>
        <v>-13289.04</v>
      </c>
      <c r="F22" s="38">
        <f t="shared" si="3"/>
        <v>-0.2862441664652689</v>
      </c>
      <c r="G22" s="39">
        <v>77027.22</v>
      </c>
      <c r="H22" s="39">
        <f t="shared" si="1"/>
        <v>-43890.720000000001</v>
      </c>
      <c r="I22" s="40">
        <f t="shared" si="2"/>
        <v>-0.56980791984963242</v>
      </c>
      <c r="J22" s="57" t="s">
        <v>112</v>
      </c>
      <c r="K22" s="57" t="s">
        <v>113</v>
      </c>
    </row>
    <row r="23" spans="1:11" ht="45.75">
      <c r="A23" s="49" t="str">
        <v>Sunset B</v>
      </c>
      <c r="B23" s="50" t="str">
        <v>MA</v>
      </c>
      <c r="C23" s="43">
        <v>30996.75</v>
      </c>
      <c r="D23" s="44">
        <v>36795.879999999997</v>
      </c>
      <c r="E23" s="44">
        <f t="shared" si="0"/>
        <v>-5799.1299999999974</v>
      </c>
      <c r="F23" s="45">
        <f t="shared" si="3"/>
        <v>-0.15760269899782253</v>
      </c>
      <c r="G23" s="46">
        <v>76102.09</v>
      </c>
      <c r="H23" s="46">
        <f t="shared" si="1"/>
        <v>-45105.34</v>
      </c>
      <c r="I23" s="45">
        <f t="shared" si="2"/>
        <v>-0.59269515462715938</v>
      </c>
      <c r="J23" s="58" t="s">
        <v>112</v>
      </c>
      <c r="K23" s="58" t="s">
        <v>114</v>
      </c>
    </row>
    <row r="24" spans="1:11" ht="15.75">
      <c r="A24" s="51" t="str">
        <v>Woodchuck</v>
      </c>
      <c r="B24" s="48" t="str">
        <v>MA</v>
      </c>
      <c r="C24" s="36">
        <v>153366</v>
      </c>
      <c r="D24" s="37">
        <v>160720.70000000001</v>
      </c>
      <c r="E24" s="37">
        <f t="shared" si="0"/>
        <v>-7354.7000000000116</v>
      </c>
      <c r="F24" s="38">
        <f t="shared" si="3"/>
        <v>-4.5760751415343581E-2</v>
      </c>
      <c r="G24" s="39">
        <v>175256.1</v>
      </c>
      <c r="H24" s="39">
        <f t="shared" si="1"/>
        <v>-21890.100000000006</v>
      </c>
      <c r="I24" s="40">
        <f t="shared" si="2"/>
        <v>-0.1249034983661054</v>
      </c>
      <c r="J24" s="57"/>
      <c r="K24" s="57"/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workbookViewId="0">
      <pane xSplit="2" ySplit="3" topLeftCell="J4" activePane="bottomRight" state="frozen"/>
      <selection pane="bottomRight" activeCell="J4" sqref="J4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115</v>
      </c>
      <c r="E1" s="72"/>
      <c r="F1" s="72"/>
      <c r="G1" s="70" t="s">
        <v>116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117</v>
      </c>
      <c r="E1" s="72"/>
      <c r="F1" s="72"/>
      <c r="G1" s="70" t="s">
        <v>118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119</v>
      </c>
      <c r="E1" s="72"/>
      <c r="F1" s="72"/>
      <c r="G1" s="70" t="s">
        <v>120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121</v>
      </c>
      <c r="E1" s="72"/>
      <c r="F1" s="72"/>
      <c r="G1" s="70" t="s">
        <v>122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123</v>
      </c>
      <c r="E1" s="72"/>
      <c r="F1" s="72"/>
      <c r="G1" s="70" t="s">
        <v>124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125</v>
      </c>
      <c r="E1" s="72"/>
      <c r="F1" s="72"/>
      <c r="G1" s="70" t="s">
        <v>126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127</v>
      </c>
      <c r="E1" s="72"/>
      <c r="F1" s="72"/>
      <c r="G1" s="70" t="s">
        <v>128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4.2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1" t="str" cm="1">
        <f t="array" ref="A1">portfolio</f>
        <v>38 DN</v>
      </c>
      <c r="B1" s="71"/>
      <c r="C1" s="71"/>
      <c r="D1" s="72" t="s">
        <v>129</v>
      </c>
      <c r="E1" s="72"/>
      <c r="F1" s="72"/>
      <c r="G1" s="70" t="s">
        <v>130</v>
      </c>
      <c r="H1" s="70"/>
      <c r="I1" s="70"/>
      <c r="J1" s="4"/>
      <c r="K1" s="4"/>
    </row>
    <row r="2" spans="1:11" ht="19.5" customHeight="1">
      <c r="A2" s="73" t="s">
        <v>2</v>
      </c>
      <c r="B2" s="73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G37" sqref="G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131</v>
      </c>
      <c r="B1" t="s">
        <v>132</v>
      </c>
    </row>
    <row r="3" spans="1:12">
      <c r="A3" t="s">
        <v>133</v>
      </c>
      <c r="B3" t="s">
        <v>3</v>
      </c>
      <c r="C3" t="s">
        <v>4</v>
      </c>
      <c r="D3" t="s">
        <v>134</v>
      </c>
      <c r="E3" s="2" t="s">
        <v>135</v>
      </c>
    </row>
    <row r="4" spans="1:12" ht="15">
      <c r="A4" s="26" t="s">
        <v>136</v>
      </c>
      <c r="B4" t="s">
        <v>136</v>
      </c>
      <c r="C4" s="25" t="s">
        <v>137</v>
      </c>
      <c r="D4" s="24" t="s">
        <v>138</v>
      </c>
      <c r="E4" t="s">
        <v>139</v>
      </c>
      <c r="G4" s="3"/>
    </row>
    <row r="5" spans="1:12" ht="15">
      <c r="A5" s="26" t="s">
        <v>140</v>
      </c>
      <c r="B5" t="s">
        <v>140</v>
      </c>
      <c r="C5" s="25" t="s">
        <v>141</v>
      </c>
      <c r="D5" s="24" t="s">
        <v>138</v>
      </c>
      <c r="E5" t="s">
        <v>139</v>
      </c>
      <c r="G5" s="3"/>
    </row>
    <row r="6" spans="1:12" ht="15">
      <c r="A6" s="26" t="s">
        <v>142</v>
      </c>
      <c r="B6" t="s">
        <v>142</v>
      </c>
      <c r="C6" s="25" t="s">
        <v>141</v>
      </c>
      <c r="D6" s="24" t="s">
        <v>138</v>
      </c>
      <c r="E6" t="s">
        <v>139</v>
      </c>
      <c r="G6" s="3"/>
    </row>
    <row r="7" spans="1:12" ht="12.75" customHeight="1">
      <c r="A7" s="26" t="s">
        <v>143</v>
      </c>
      <c r="B7" t="s">
        <v>143</v>
      </c>
      <c r="C7" s="25" t="s">
        <v>141</v>
      </c>
      <c r="D7" s="24" t="s">
        <v>138</v>
      </c>
      <c r="E7" t="s">
        <v>139</v>
      </c>
    </row>
    <row r="8" spans="1:12" ht="12.75" customHeight="1">
      <c r="A8" s="26" t="s">
        <v>144</v>
      </c>
      <c r="B8" t="s">
        <v>144</v>
      </c>
      <c r="C8" s="25" t="s">
        <v>141</v>
      </c>
      <c r="D8" s="24" t="s">
        <v>138</v>
      </c>
      <c r="E8" t="s">
        <v>139</v>
      </c>
    </row>
    <row r="9" spans="1:12" ht="12.75" customHeight="1">
      <c r="A9" s="26" t="s">
        <v>145</v>
      </c>
      <c r="B9" t="s">
        <v>145</v>
      </c>
      <c r="C9" s="25" t="s">
        <v>141</v>
      </c>
      <c r="D9" s="24" t="s">
        <v>138</v>
      </c>
      <c r="E9" t="s">
        <v>139</v>
      </c>
    </row>
    <row r="10" spans="1:12" ht="12.75" customHeight="1">
      <c r="A10" s="26" t="s">
        <v>146</v>
      </c>
      <c r="B10" t="s">
        <v>146</v>
      </c>
      <c r="C10" s="25" t="s">
        <v>141</v>
      </c>
      <c r="D10" s="24" t="s">
        <v>138</v>
      </c>
      <c r="E10" t="s">
        <v>139</v>
      </c>
      <c r="K10" s="21"/>
      <c r="L10" s="21"/>
    </row>
    <row r="11" spans="1:12" ht="12.75" customHeight="1">
      <c r="A11" s="26" t="s">
        <v>147</v>
      </c>
      <c r="B11" t="s">
        <v>147</v>
      </c>
      <c r="C11" s="25" t="s">
        <v>141</v>
      </c>
      <c r="D11" s="24" t="s">
        <v>138</v>
      </c>
      <c r="E11" t="s">
        <v>139</v>
      </c>
      <c r="K11" s="21"/>
      <c r="L11" s="21"/>
    </row>
    <row r="12" spans="1:12" ht="12.75" customHeight="1">
      <c r="A12" s="26" t="s">
        <v>148</v>
      </c>
      <c r="B12" t="s">
        <v>148</v>
      </c>
      <c r="C12" s="25" t="s">
        <v>141</v>
      </c>
      <c r="D12" s="24" t="s">
        <v>138</v>
      </c>
      <c r="E12" t="s">
        <v>139</v>
      </c>
      <c r="K12" s="21"/>
      <c r="L12" s="21"/>
    </row>
    <row r="13" spans="1:12" ht="12.75" customHeight="1">
      <c r="A13" s="26" t="s">
        <v>149</v>
      </c>
      <c r="B13" t="s">
        <v>149</v>
      </c>
      <c r="C13" s="25" t="s">
        <v>141</v>
      </c>
      <c r="D13" s="24" t="s">
        <v>138</v>
      </c>
      <c r="E13" t="s">
        <v>139</v>
      </c>
      <c r="K13" s="21"/>
      <c r="L13" s="21"/>
    </row>
    <row r="14" spans="1:12" ht="12.75" customHeight="1">
      <c r="A14" s="26" t="s">
        <v>150</v>
      </c>
      <c r="B14" t="s">
        <v>150</v>
      </c>
      <c r="C14" s="25" t="s">
        <v>141</v>
      </c>
      <c r="D14" s="24" t="s">
        <v>138</v>
      </c>
      <c r="E14" t="s">
        <v>139</v>
      </c>
      <c r="K14" s="21"/>
      <c r="L14" s="21"/>
    </row>
    <row r="15" spans="1:12" ht="12.75" customHeight="1">
      <c r="A15" s="26" t="s">
        <v>151</v>
      </c>
      <c r="B15" t="s">
        <v>151</v>
      </c>
      <c r="C15" s="25" t="s">
        <v>141</v>
      </c>
      <c r="D15" s="24" t="s">
        <v>138</v>
      </c>
      <c r="E15" t="s">
        <v>139</v>
      </c>
      <c r="K15" s="21"/>
      <c r="L15" s="21"/>
    </row>
    <row r="16" spans="1:12" ht="12.75" customHeight="1">
      <c r="A16" s="26" t="s">
        <v>152</v>
      </c>
      <c r="B16" t="s">
        <v>152</v>
      </c>
      <c r="C16" s="25" t="s">
        <v>141</v>
      </c>
      <c r="D16" s="24" t="s">
        <v>138</v>
      </c>
      <c r="E16" t="s">
        <v>139</v>
      </c>
      <c r="K16" s="21"/>
      <c r="L16" s="21"/>
    </row>
    <row r="17" spans="1:12" ht="12.75" customHeight="1">
      <c r="A17" s="26" t="s">
        <v>153</v>
      </c>
      <c r="B17" t="s">
        <v>153</v>
      </c>
      <c r="C17" s="25" t="s">
        <v>141</v>
      </c>
      <c r="D17" s="24" t="s">
        <v>138</v>
      </c>
      <c r="E17" t="s">
        <v>139</v>
      </c>
      <c r="K17" s="21"/>
      <c r="L17" s="21"/>
    </row>
    <row r="18" spans="1:12" ht="12.75" customHeight="1">
      <c r="A18" s="26" t="s">
        <v>154</v>
      </c>
      <c r="B18" t="s">
        <v>154</v>
      </c>
      <c r="C18" s="25" t="s">
        <v>141</v>
      </c>
      <c r="D18" s="24" t="s">
        <v>138</v>
      </c>
      <c r="E18" t="s">
        <v>139</v>
      </c>
      <c r="K18" s="21"/>
      <c r="L18" s="21"/>
    </row>
    <row r="19" spans="1:12" ht="12.75" customHeight="1">
      <c r="A19" s="26" t="s">
        <v>155</v>
      </c>
      <c r="B19" t="s">
        <v>155</v>
      </c>
      <c r="C19" s="25" t="s">
        <v>141</v>
      </c>
      <c r="D19" s="24" t="s">
        <v>138</v>
      </c>
      <c r="E19" t="s">
        <v>139</v>
      </c>
      <c r="K19" s="21"/>
      <c r="L19" s="21"/>
    </row>
    <row r="20" spans="1:12" ht="12.75" customHeight="1">
      <c r="A20" s="26" t="s">
        <v>156</v>
      </c>
      <c r="B20" t="s">
        <v>156</v>
      </c>
      <c r="C20" s="25" t="s">
        <v>141</v>
      </c>
      <c r="D20" s="24" t="s">
        <v>138</v>
      </c>
      <c r="E20" t="s">
        <v>139</v>
      </c>
      <c r="K20" s="21"/>
      <c r="L20" s="21"/>
    </row>
    <row r="21" spans="1:12" ht="12.75" customHeight="1">
      <c r="A21" s="26" t="s">
        <v>157</v>
      </c>
      <c r="B21" t="s">
        <v>157</v>
      </c>
      <c r="C21" s="25" t="s">
        <v>141</v>
      </c>
      <c r="D21" s="24" t="s">
        <v>138</v>
      </c>
      <c r="E21" t="s">
        <v>139</v>
      </c>
      <c r="K21" s="21"/>
      <c r="L21" s="21"/>
    </row>
    <row r="22" spans="1:12" ht="12.75" customHeight="1">
      <c r="A22" s="26" t="s">
        <v>158</v>
      </c>
      <c r="B22" t="s">
        <v>158</v>
      </c>
      <c r="C22" s="25" t="s">
        <v>141</v>
      </c>
      <c r="D22" s="24" t="s">
        <v>138</v>
      </c>
      <c r="E22" t="s">
        <v>139</v>
      </c>
      <c r="K22" s="21"/>
      <c r="L22" s="21"/>
    </row>
    <row r="23" spans="1:12" ht="12.75" customHeight="1">
      <c r="A23" s="26" t="s">
        <v>159</v>
      </c>
      <c r="B23" t="s">
        <v>159</v>
      </c>
      <c r="C23" s="25" t="s">
        <v>141</v>
      </c>
      <c r="D23" s="24" t="s">
        <v>138</v>
      </c>
      <c r="E23" t="s">
        <v>139</v>
      </c>
      <c r="K23" s="21"/>
      <c r="L23" s="21"/>
    </row>
    <row r="24" spans="1:12" ht="12.75" customHeight="1">
      <c r="A24" s="26" t="s">
        <v>160</v>
      </c>
      <c r="B24" t="s">
        <v>160</v>
      </c>
      <c r="C24" s="25" t="s">
        <v>141</v>
      </c>
      <c r="D24" s="24" t="s">
        <v>138</v>
      </c>
      <c r="E24" t="s">
        <v>139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CB52044A-5C0B-44A2-99D0-C1C315EC302D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F6B2B1A1-1C4B-4AC9-9A7D-7A102DD1C94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2024-07-04T11:28:34Z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