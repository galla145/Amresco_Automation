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E04847EB-9083-47E0-877F-242EEE7E0A81}" xr6:coauthVersionLast="47" xr6:coauthVersionMax="47" xr10:uidLastSave="{94B4FFC9-42FC-4DC6-A126-4B4A8C5F57F8}"/>
  <bookViews>
    <workbookView xWindow="-108" yWindow="-108" windowWidth="23256" windowHeight="1245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1" l="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<sst xmlns="http://schemas.openxmlformats.org/spreadsheetml/2006/main" count="239" uniqueCount="52">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</sst>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E16" sqref="E16:E17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74619.7</v>
      </c>
      <c r="D2" s="6">
        <f>SUM(D4:D60)</f>
        <v>76011.600000000006</v>
      </c>
      <c r="E2" s="6">
        <f>C2-D2</f>
        <v>-1391.9000000000087</v>
      </c>
      <c r="F2" s="7">
        <f>IFERROR(E2/D2, 0)</f>
        <v>-1.83116787437708E-2</v>
      </c>
      <c r="G2" s="6">
        <f>SUM(G4:G60)</f>
        <v>0</v>
      </c>
      <c r="H2" s="8">
        <f>C2-G2</f>
        <v>74619.7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74619.7</v>
      </c>
      <c r="D4" s="14">
        <f>SUM('1st Qtr'!D4, '2nd Qtr'!D4, '3rd Qtr'!D4, '4th Qtr'!D4)</f>
        <v>76011.600000000006</v>
      </c>
      <c r="E4" s="14">
        <f>IF(AND(ISNUMBER(C4),ISNUMBER(D4)), C4-D4, "")</f>
        <v>-1391.9000000000087</v>
      </c>
      <c r="F4" s="15">
        <f>IFERROR(E4/D4, "")</f>
        <v>-1.83116787437708E-2</v>
      </c>
      <c r="G4" s="16">
        <f>SUM('1st Qtr'!G4,'2nd Qtr'!G4,'3rd Qtr'!G4,'4th Qtr'!G4)</f>
        <v>0</v>
      </c>
      <c r="H4" s="16">
        <f>SUM('1st Qtr'!H4, '2nd Qtr'!H4, '3rd Qtr'!H4, '4th Qtr'!H4)</f>
        <v>74619.7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D10" sqref="D10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46580</v>
      </c>
      <c r="D2" s="6">
        <f>SUM(D4:D68)</f>
        <v>52597</v>
      </c>
      <c r="E2" s="6">
        <f>C2-D2</f>
        <v>-6017</v>
      </c>
      <c r="F2" s="7">
        <f>IFERROR(E2/D2, 0)</f>
        <v>-0.11439815959085119</v>
      </c>
      <c r="G2" s="6">
        <f>SUM(G4:G68)</f>
        <v>0</v>
      </c>
      <c r="H2" s="8">
        <f>C2-G2</f>
        <v>46580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46580</v>
      </c>
      <c r="D4" s="14">
        <f>SUM(Jan!D4, Feb!D4, Mar!D4)</f>
        <v>52597</v>
      </c>
      <c r="E4" s="14">
        <f>IF(AND(ISNUMBER(C4),ISNUMBER(D4)), C4-D4, "")</f>
        <v>-6017</v>
      </c>
      <c r="F4" s="15">
        <f>IFERROR(E4/D4, "")</f>
        <v>-0.11439815959085119</v>
      </c>
      <c r="G4" s="16">
        <f>SUM(Jan!G4, Feb!G4, Mar!G4)</f>
        <v>0</v>
      </c>
      <c r="H4" s="16">
        <f>SUM(Jan!H4, Feb!H4, Mar!H4)</f>
        <v>46580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M16" sqref="M16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28039.7</v>
      </c>
      <c r="D2" s="6">
        <f>SUM(D4:D90)</f>
        <v>23414.6</v>
      </c>
      <c r="E2" s="6">
        <f>C2-D2</f>
        <v>4625.1000000000022</v>
      </c>
      <c r="F2" s="7">
        <f>IFERROR(E2/D2, 0)</f>
        <v>0.19753060056545926</v>
      </c>
      <c r="G2" s="6">
        <f>SUM(G4:G90)</f>
        <v>0</v>
      </c>
      <c r="H2" s="8">
        <f>C2-G2</f>
        <v>28039.7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28039.7</v>
      </c>
      <c r="D4" s="14">
        <f>SUM(Apr!D4, May!D4, Jun!D4)</f>
        <v>23414.6</v>
      </c>
      <c r="E4" s="14">
        <f>IF(AND(ISNUMBER(C4),ISNUMBER(D4)), C4-D4, "")</f>
        <v>4625.1000000000022</v>
      </c>
      <c r="F4" s="15">
        <f>IFERROR(E4/D4, "")</f>
        <v>0.19753060056545926</v>
      </c>
      <c r="G4" s="16">
        <f>SUM(Apr!G4+May!G4+Jun!G4)</f>
        <v>0</v>
      </c>
      <c r="H4" s="16">
        <f>SUM(Apr!H4, May!H4, Jun!H4)</f>
        <v>28039.7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C5" sqref="C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5897</v>
      </c>
      <c r="D2" s="6">
        <f>SUM(D4:D89)</f>
        <v>11503</v>
      </c>
      <c r="E2" s="6">
        <f>C2-D2</f>
        <v>-5606</v>
      </c>
      <c r="F2" s="7">
        <f>IFERROR(E2/D2, 0)</f>
        <v>-0.48735112579327133</v>
      </c>
      <c r="G2" s="6">
        <f>SUM(G4:G89)</f>
        <v>0</v>
      </c>
      <c r="H2" s="8">
        <f>C2-G2</f>
        <v>5897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5897</v>
      </c>
      <c r="D4" s="14">
        <v>11503</v>
      </c>
      <c r="E4" s="14">
        <f>IF(AND(ISNUMBER(C4),ISNUMBER(D4)), C4-D4, "")</f>
        <v>-5606</v>
      </c>
      <c r="F4" s="15">
        <f>IFERROR(E4/D4, "")</f>
        <v>-0.48735112579327133</v>
      </c>
      <c r="G4" s="16">
        <v>0</v>
      </c>
      <c r="H4" s="16">
        <f>IF(AND(ISNUMBER(C4),ISNUMBER(G4)), C4-G4, "")</f>
        <v>5897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F17" sqref="F17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18044</v>
      </c>
      <c r="D2" s="6">
        <f>SUM(D4:D85)</f>
        <v>18309</v>
      </c>
      <c r="E2" s="6">
        <f>C2-D2</f>
        <v>-265</v>
      </c>
      <c r="F2" s="7">
        <f>IFERROR(E2/D2, 0)</f>
        <v>-1.4473756076246654E-2</v>
      </c>
      <c r="G2" s="6">
        <f>SUM(G4:G85)</f>
        <v>0</v>
      </c>
      <c r="H2" s="8">
        <f>C2-G2</f>
        <v>18044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18044</v>
      </c>
      <c r="D4" s="14">
        <v>18309</v>
      </c>
      <c r="E4" s="14">
        <f>IF(AND(ISNUMBER(C4),ISNUMBER(D4)), C4-D4, "")</f>
        <v>-265</v>
      </c>
      <c r="F4" s="15">
        <f>IFERROR(E4/D4, "")</f>
        <v>-1.4473756076246654E-2</v>
      </c>
      <c r="G4" s="16">
        <v>0</v>
      </c>
      <c r="H4" s="16">
        <f>IF(AND(ISNUMBER(C4),ISNUMBER(G4)), C4-G4, "")</f>
        <v>18044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C4" sqref="C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22639</v>
      </c>
      <c r="D2" s="6">
        <f>SUM(D4:D90)</f>
        <v>22785</v>
      </c>
      <c r="E2" s="6">
        <f>C2-D2</f>
        <v>-146</v>
      </c>
      <c r="F2" s="7">
        <f>IFERROR(E2/D2, 0)</f>
        <v>-6.4077243800746107E-3</v>
      </c>
      <c r="G2" s="6">
        <f>SUM(G4:G90)</f>
        <v>0</v>
      </c>
      <c r="H2" s="8">
        <f>C2-G2</f>
        <v>22639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22639</v>
      </c>
      <c r="D4" s="14">
        <v>22785</v>
      </c>
      <c r="E4" s="14">
        <f>IF(AND(ISNUMBER(C4),ISNUMBER(D4)), C4-D4, "")</f>
        <v>-146</v>
      </c>
      <c r="F4" s="15">
        <f>IFERROR(E4/D4, "")</f>
        <v>-6.4077243800746107E-3</v>
      </c>
      <c r="G4" s="16">
        <v>0</v>
      </c>
      <c r="H4" s="16">
        <f>IF(AND(ISNUMBER(C4),ISNUMBER(G4)), C4-G4, "")</f>
        <v>22639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abSelected="1" workbookViewId="0">
      <pane ySplit="2" topLeftCell="A3" activePane="bottomLeft" state="frozen"/>
      <selection pane="bottomLeft" activeCell="J11" sqref="J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28039.7</v>
      </c>
      <c r="D2" s="6">
        <f>SUM(D4:D90)</f>
        <v>23414.6</v>
      </c>
      <c r="E2" s="6">
        <f>C2-D2</f>
        <v>4625.1000000000022</v>
      </c>
      <c r="F2" s="7">
        <f>IFERROR(E2/D2, 0)</f>
        <v>0.19753060056545926</v>
      </c>
      <c r="G2" s="6">
        <f>SUM(G4:G90)</f>
        <v>0</v>
      </c>
      <c r="H2" s="8">
        <f>C2-G2</f>
        <v>28039.7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28039.7</v>
      </c>
      <c r="D4" s="14">
        <v>23414.6</v>
      </c>
      <c r="E4" s="14">
        <f>IF(AND(ISNUMBER(C4),ISNUMBER(D4)), C4-D4, "")</f>
        <v>4625.1000000000022</v>
      </c>
      <c r="F4" s="15">
        <f>IFERROR(E4/D4, "")</f>
        <v>0.19753060056545926</v>
      </c>
      <c r="G4" s="16">
        <v>0</v>
      </c>
      <c r="H4" s="16">
        <f>IF(AND(ISNUMBER(C4),ISNUMBER(G4)), C4-G4, "")</f>
        <v>28039.7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49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 [AGS]</cp:lastModifiedBy>
  <cp:revision/>
  <dcterms:created xsi:type="dcterms:W3CDTF">2021-01-01T16:39:53Z</dcterms:created>
  <dcterms:modified xsi:type="dcterms:W3CDTF">2024-05-14T11:01:05Z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