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Montly reports\"/>
    </mc:Choice>
  </mc:AlternateContent>
  <xr:revisionPtr revIDLastSave="106" documentId="13_ncr:1_{21962DA0-8160-436C-8A43-3C62799F5F7B}" xr6:coauthVersionLast="47" xr6:coauthVersionMax="47" xr10:uidLastSave="{F1116D0D-95E7-4C75-8502-836B49BFF291}"/>
  <bookViews>
    <workbookView xWindow="-120" yWindow="-120" windowWidth="29040" windowHeight="15720" tabRatio="866" firstSheet="8" activeTab="8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8" l="1"/>
  <c r="G6" i="18"/>
  <c r="G7" i="18"/>
  <c r="G8" i="18"/>
  <c r="G9" i="18"/>
  <c r="G10" i="18"/>
  <c r="G11" i="18"/>
  <c r="G12" i="18"/>
  <c r="G13" i="18"/>
  <c r="G14" i="18"/>
  <c r="G15" i="18"/>
  <c r="G16" i="18"/>
  <c r="G17" i="18"/>
  <c r="G4" i="18"/>
  <c r="E4" i="4"/>
  <c r="F4" i="4"/>
  <c r="H4" i="4"/>
  <c r="I4" i="4"/>
  <c r="E5" i="4"/>
  <c r="F5" i="4"/>
  <c r="H5" i="4"/>
  <c r="I5" i="4"/>
  <c r="E6" i="4"/>
  <c r="F6" i="4"/>
  <c r="H6" i="4"/>
  <c r="I6" i="4"/>
  <c r="E7" i="4"/>
  <c r="F7" i="4"/>
  <c r="H7" i="4"/>
  <c r="I7" i="4"/>
  <c r="E8" i="4"/>
  <c r="F8" i="4"/>
  <c r="H8" i="4"/>
  <c r="I8" i="4"/>
  <c r="E9" i="4"/>
  <c r="F9" i="4"/>
  <c r="H9" i="4"/>
  <c r="I9" i="4"/>
  <c r="E10" i="4"/>
  <c r="F10" i="4"/>
  <c r="H10" i="4"/>
  <c r="I10" i="4"/>
  <c r="E11" i="4"/>
  <c r="F11" i="4"/>
  <c r="H11" i="4"/>
  <c r="I11" i="4"/>
  <c r="E12" i="4"/>
  <c r="F12" i="4"/>
  <c r="H12" i="4"/>
  <c r="I12" i="4"/>
  <c r="E13" i="4"/>
  <c r="F13" i="4"/>
  <c r="H13" i="4"/>
  <c r="I13" i="4"/>
  <c r="E14" i="4"/>
  <c r="F14" i="4"/>
  <c r="H14" i="4"/>
  <c r="I14" i="4"/>
  <c r="E15" i="4"/>
  <c r="F15" i="4"/>
  <c r="H15" i="4"/>
  <c r="I15" i="4"/>
  <c r="E16" i="4"/>
  <c r="F16" i="4"/>
  <c r="H16" i="4"/>
  <c r="I16" i="4"/>
  <c r="E17" i="4"/>
  <c r="F17" i="4"/>
  <c r="H17" i="4"/>
  <c r="I17" i="4"/>
  <c r="C17" i="18"/>
  <c r="D17" i="18"/>
  <c r="E17" i="18" l="1"/>
  <c r="F17" i="18" s="1"/>
  <c r="C16" i="30"/>
  <c r="D16" i="30"/>
  <c r="E16" i="30" s="1"/>
  <c r="F16" i="30" s="1"/>
  <c r="C17" i="30"/>
  <c r="E17" i="30" s="1"/>
  <c r="F17" i="30" s="1"/>
  <c r="D17" i="30"/>
  <c r="C16" i="29"/>
  <c r="D16" i="29"/>
  <c r="C17" i="29"/>
  <c r="D17" i="29"/>
  <c r="E17" i="29" s="1"/>
  <c r="F17" i="29" s="1"/>
  <c r="C16" i="18"/>
  <c r="D16" i="18"/>
  <c r="C16" i="1"/>
  <c r="D16" i="1"/>
  <c r="G16" i="1"/>
  <c r="G16" i="34" s="1"/>
  <c r="C17" i="1"/>
  <c r="D17" i="1"/>
  <c r="G17" i="1"/>
  <c r="G17" i="34" s="1"/>
  <c r="C16" i="34"/>
  <c r="D16" i="34"/>
  <c r="C17" i="34"/>
  <c r="D17" i="34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E17" i="21"/>
  <c r="F17" i="21" s="1"/>
  <c r="H16" i="21"/>
  <c r="I16" i="21" s="1"/>
  <c r="E16" i="21"/>
  <c r="F16" i="21" s="1"/>
  <c r="E16" i="3"/>
  <c r="F16" i="3"/>
  <c r="H16" i="3"/>
  <c r="I16" i="3"/>
  <c r="E17" i="3"/>
  <c r="F17" i="3" s="1"/>
  <c r="H17" i="3"/>
  <c r="I17" i="3" s="1"/>
  <c r="E16" i="72"/>
  <c r="F16" i="72" s="1"/>
  <c r="H16" i="72"/>
  <c r="E17" i="72"/>
  <c r="F17" i="72" s="1"/>
  <c r="H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D15" i="34"/>
  <c r="D14" i="34"/>
  <c r="D13" i="34"/>
  <c r="D12" i="34"/>
  <c r="D11" i="34"/>
  <c r="D10" i="34"/>
  <c r="D9" i="34"/>
  <c r="D8" i="34"/>
  <c r="D7" i="34"/>
  <c r="D6" i="34"/>
  <c r="D5" i="34"/>
  <c r="C15" i="34"/>
  <c r="C14" i="34"/>
  <c r="C13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A1" i="34" a="1"/>
  <c r="A1" i="34" s="1"/>
  <c r="D15" i="30"/>
  <c r="C15" i="30"/>
  <c r="D14" i="30"/>
  <c r="C14" i="30"/>
  <c r="D13" i="30"/>
  <c r="C13" i="30"/>
  <c r="D12" i="30"/>
  <c r="C12" i="30"/>
  <c r="D11" i="30"/>
  <c r="C11" i="30"/>
  <c r="D10" i="30"/>
  <c r="C10" i="30"/>
  <c r="D9" i="30"/>
  <c r="C9" i="30"/>
  <c r="D8" i="30"/>
  <c r="C8" i="30"/>
  <c r="D7" i="30"/>
  <c r="C7" i="30"/>
  <c r="D6" i="30"/>
  <c r="C6" i="30"/>
  <c r="D5" i="30"/>
  <c r="C5" i="30"/>
  <c r="D4" i="30"/>
  <c r="C4" i="30"/>
  <c r="D15" i="29"/>
  <c r="C15" i="29"/>
  <c r="D14" i="29"/>
  <c r="C14" i="29"/>
  <c r="D13" i="29"/>
  <c r="C13" i="29"/>
  <c r="D12" i="29"/>
  <c r="C12" i="29"/>
  <c r="D11" i="29"/>
  <c r="C11" i="29"/>
  <c r="E11" i="29" s="1"/>
  <c r="F11" i="29" s="1"/>
  <c r="D10" i="29"/>
  <c r="C10" i="29"/>
  <c r="D9" i="29"/>
  <c r="C9" i="29"/>
  <c r="D8" i="29"/>
  <c r="C8" i="29"/>
  <c r="D7" i="29"/>
  <c r="C7" i="29"/>
  <c r="D6" i="29"/>
  <c r="C6" i="29"/>
  <c r="D5" i="29"/>
  <c r="C5" i="29"/>
  <c r="D4" i="29"/>
  <c r="C4" i="29"/>
  <c r="D15" i="18"/>
  <c r="C15" i="18"/>
  <c r="E15" i="18" s="1"/>
  <c r="F15" i="18" s="1"/>
  <c r="D14" i="18"/>
  <c r="C14" i="18"/>
  <c r="D13" i="18"/>
  <c r="C13" i="18"/>
  <c r="D12" i="18"/>
  <c r="C12" i="18"/>
  <c r="D11" i="18"/>
  <c r="C11" i="18"/>
  <c r="D10" i="18"/>
  <c r="C10" i="18"/>
  <c r="D9" i="18"/>
  <c r="C9" i="18"/>
  <c r="D8" i="18"/>
  <c r="C8" i="18"/>
  <c r="D7" i="18"/>
  <c r="C7" i="18"/>
  <c r="E7" i="18" s="1"/>
  <c r="F7" i="18" s="1"/>
  <c r="D6" i="18"/>
  <c r="C6" i="18"/>
  <c r="D5" i="18"/>
  <c r="C5" i="18"/>
  <c r="D4" i="18"/>
  <c r="C4" i="18"/>
  <c r="E11" i="30"/>
  <c r="F11" i="30" s="1"/>
  <c r="E13" i="29"/>
  <c r="F13" i="29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H13" i="29" s="1"/>
  <c r="I13" i="29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F12" i="19"/>
  <c r="E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E11" i="18" l="1"/>
  <c r="F11" i="18" s="1"/>
  <c r="E9" i="18"/>
  <c r="F9" i="18" s="1"/>
  <c r="D4" i="34"/>
  <c r="D2" i="34" s="1"/>
  <c r="D2" i="18"/>
  <c r="E15" i="30"/>
  <c r="F15" i="30" s="1"/>
  <c r="H16" i="18"/>
  <c r="I16" i="18" s="1"/>
  <c r="E16" i="29"/>
  <c r="F16" i="29" s="1"/>
  <c r="E16" i="18"/>
  <c r="F16" i="18" s="1"/>
  <c r="E8" i="30"/>
  <c r="F8" i="30" s="1"/>
  <c r="E12" i="30"/>
  <c r="F12" i="30" s="1"/>
  <c r="H16" i="30"/>
  <c r="I16" i="30" s="1"/>
  <c r="E10" i="30"/>
  <c r="F10" i="30" s="1"/>
  <c r="E14" i="30"/>
  <c r="F14" i="30" s="1"/>
  <c r="H16" i="1"/>
  <c r="I16" i="1" s="1"/>
  <c r="H6" i="30"/>
  <c r="I6" i="30" s="1"/>
  <c r="I13" i="27"/>
  <c r="H17" i="1"/>
  <c r="I17" i="1" s="1"/>
  <c r="H10" i="29"/>
  <c r="I10" i="29" s="1"/>
  <c r="H7" i="29"/>
  <c r="I7" i="29" s="1"/>
  <c r="E4" i="18"/>
  <c r="F4" i="18" s="1"/>
  <c r="E8" i="18"/>
  <c r="F8" i="18" s="1"/>
  <c r="E12" i="18"/>
  <c r="F12" i="18" s="1"/>
  <c r="E8" i="29"/>
  <c r="F8" i="29" s="1"/>
  <c r="E12" i="29"/>
  <c r="F12" i="29" s="1"/>
  <c r="E4" i="30"/>
  <c r="F4" i="30" s="1"/>
  <c r="H17" i="30"/>
  <c r="I17" i="30" s="1"/>
  <c r="H15" i="29"/>
  <c r="I15" i="29" s="1"/>
  <c r="H12" i="29"/>
  <c r="I12" i="29" s="1"/>
  <c r="D2" i="29"/>
  <c r="I10" i="27"/>
  <c r="E5" i="18"/>
  <c r="F5" i="18" s="1"/>
  <c r="E13" i="18"/>
  <c r="F13" i="18" s="1"/>
  <c r="E5" i="29"/>
  <c r="F5" i="29" s="1"/>
  <c r="E9" i="29"/>
  <c r="F9" i="29" s="1"/>
  <c r="E5" i="30"/>
  <c r="F5" i="30" s="1"/>
  <c r="I17" i="21"/>
  <c r="H17" i="18"/>
  <c r="I17" i="18" s="1"/>
  <c r="H16" i="29"/>
  <c r="I16" i="29" s="1"/>
  <c r="H9" i="29"/>
  <c r="I9" i="29" s="1"/>
  <c r="E9" i="30"/>
  <c r="F9" i="30" s="1"/>
  <c r="E6" i="18"/>
  <c r="F6" i="18" s="1"/>
  <c r="E10" i="18"/>
  <c r="F10" i="18" s="1"/>
  <c r="E14" i="18"/>
  <c r="F14" i="18" s="1"/>
  <c r="E6" i="29"/>
  <c r="F6" i="29" s="1"/>
  <c r="E10" i="29"/>
  <c r="F10" i="29" s="1"/>
  <c r="E14" i="29"/>
  <c r="F14" i="29" s="1"/>
  <c r="E6" i="30"/>
  <c r="F6" i="30" s="1"/>
  <c r="H17" i="29"/>
  <c r="I17" i="29" s="1"/>
  <c r="D2" i="30"/>
  <c r="E16" i="34"/>
  <c r="F16" i="34" s="1"/>
  <c r="E17" i="1"/>
  <c r="F17" i="1" s="1"/>
  <c r="E17" i="34"/>
  <c r="F17" i="34" s="1"/>
  <c r="E16" i="1"/>
  <c r="F16" i="1" s="1"/>
  <c r="I17" i="72"/>
  <c r="H16" i="34"/>
  <c r="I16" i="34" s="1"/>
  <c r="I16" i="72"/>
  <c r="H17" i="34"/>
  <c r="I17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<sst xmlns="http://schemas.openxmlformats.org/spreadsheetml/2006/main" count="386" uniqueCount="147">
  <si>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</si>
  <si>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</si>
  <si>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</si>
  <si>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</si>
  <si>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</si>
  <si>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</si>
  <si>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</si>
  <si>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</si>
  <si>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</si>
  <si>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</si>
  <si>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</si>
  <si>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</si>
  <si>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</si>
  <si>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</si>
  <si>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</si>
  <si>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</si>
  <si>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</si>
  <si>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</si>
  <si>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</si>
  <si>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</si>
  <si>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</si>
  <si>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</si>
  <si>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 xml:space="preserve">1.Inverter 5 tripped offline on 01/19/2024 at 12:30 &amp; back online at 14:00. </t>
  </si>
  <si>
    <t>1.SR080353</t>
  </si>
  <si>
    <t>1. Site frequently experiencing outages due to its ongoing curtailment by CAISO</t>
  </si>
  <si>
    <t xml:space="preserve">1. SR077480, SR079342 </t>
  </si>
  <si>
    <t xml:space="preserve">1. SIte was offline from 01/15/2024 - 01/17/2024. </t>
  </si>
  <si>
    <t>1. SR080251</t>
  </si>
  <si>
    <t xml:space="preserve">1. Site was offline on 01/27/2024 &amp; back online on 01/29/2024. </t>
  </si>
  <si>
    <t>1. SR080523</t>
  </si>
  <si>
    <t/>
  </si>
  <si>
    <t xml:space="preserve">1. Site tripped offlline at 01/31/2024 at 09:30 &amp; back online at 11:41. 
2. Inverter 1 was offline on 01/10/2024 &amp; back online at 01/11/2024 at 16:30. </t>
  </si>
  <si>
    <t>1.SR080616
2. SR080129</t>
  </si>
  <si>
    <t xml:space="preserve"> </t>
  </si>
  <si>
    <t xml:space="preserve">1. Inverter 6 tripping on &amp; off throught out the month. 
2. Inverter 7 has tripping event on 01/12,1/14,1/16,1/19. </t>
  </si>
  <si>
    <t>1. SR074295
2. SR079995</t>
  </si>
  <si>
    <t>February Actual v. Expected</t>
  </si>
  <si>
    <t>February Actual v. Forecasted</t>
  </si>
  <si>
    <t xml:space="preserve">1. Inverter 5 tripped offline most of the days. </t>
  </si>
  <si>
    <t>1. SR080353</t>
  </si>
  <si>
    <t>1. Expected data was not populated for multiple days due to a weather station issue.
2. Inverter 4 turned offline on 02/23 &amp; continued. 
3. Site frequently experiencing outages due to its ongoing curtailment by CAISO</t>
  </si>
  <si>
    <t>1. SR081023
2. SR081269
3. SR081208</t>
  </si>
  <si>
    <t xml:space="preserve">1. Inverter tripped offline on 02/23/2024 &amp; back online on 02/26/2024. </t>
  </si>
  <si>
    <t>1. SR081287</t>
  </si>
  <si>
    <t>1. Inverter 1 is offline from 02/05 to 02/14 &amp; tripped offline from 02/20 at 10:30 &amp; back online on 02/26 at 16:30. 
2. Inverter 13 tripping on and off during high irradiance days.</t>
  </si>
  <si>
    <t>1.SR080728
2. SR081303</t>
  </si>
  <si>
    <t xml:space="preserve">1. Inverter 2  tripping on &amp; off on 02/03 &amp; 02/04 &amp; continued offline from 02/05 to 02/28. 
2. Site was taken offline on 02/27/2023 at 12:53 &amp; back online on 02/28. </t>
  </si>
  <si>
    <t>1. SR080713
2. SR081369</t>
  </si>
  <si>
    <t xml:space="preserve">1. Site tripped offline on 02/10 &amp; back online on 02/12 at 15:15. </t>
  </si>
  <si>
    <t>1.SR080915</t>
  </si>
  <si>
    <t xml:space="preserve">1. Site tripped offline on 02/10 &amp; back online on 02/12 at 15:15. 
2. Inverter 4.4 is offline on 02/18 and back online next day.
3. Inverter 4.4 was derating on multiple days this month due to a fan fault... 
3. Inverters 3.1 through 3.6, and inverters 3.8 through 3.10 started derating on 02/25 &amp; continued. </t>
  </si>
  <si>
    <t>1. SR080916
2. SR081087
3. SR081047
4. SR081344</t>
  </si>
  <si>
    <t>1. Inverter 6 tripping on &amp; off throught out the month.</t>
  </si>
  <si>
    <t>1.SR074295</t>
  </si>
  <si>
    <t>March Actual v. Expected</t>
  </si>
  <si>
    <t>March Actual v. Forecasted</t>
  </si>
  <si>
    <t xml:space="preserve">1. Site was offline on 03/20 between 10:50am to 12:15pm 
2. Inverter 5 has tripping events on daily bases </t>
  </si>
  <si>
    <t>1. SR082279
2. SR082780</t>
  </si>
  <si>
    <t>1. Weather station reporting zero from 03/01 and resolved on 03/20 at 13:00 due to that expected energy is low
2. Sit was offline on 03/27 between 08:00am to 12:00 pm
3. Inverter 4 is offline throughout the month, breaker need to be replaced</t>
  </si>
  <si>
    <t>1. SR081023
2. SR082819
3. SR081269</t>
  </si>
  <si>
    <t xml:space="preserve">1. Inverter tripped offline on 03/24 at 12:00pm and back online on 03/25 at 10:15am </t>
  </si>
  <si>
    <t>1. SR082618</t>
  </si>
  <si>
    <t>1. Site tripped offline on 03/10 at 17:30 and back online on 03/11 at 11:00am
2. Site tripped offline on 03/13 at 12:25pm and back online on 03/14 at 08:35am</t>
  </si>
  <si>
    <t xml:space="preserve">1. SR081733
2. SR081870
</t>
  </si>
  <si>
    <t>1.  Inverters 3.1 to 3.10  are derating from 02/26 to 03/09.
2. Site tripped offline, Voltages available at the meter. Possible main breaker trip at 12:15 on 03/13 and back online at 8:30 on 03/14.</t>
  </si>
  <si>
    <t>1. SR081344
2. SR081871</t>
  </si>
  <si>
    <t>1. Inverter 3 is derating on sunny days resolved on 03/26
2. Site was offline on 03/13 between 08:30am to 09:15</t>
  </si>
  <si>
    <t>1. SR081571
2. SR081844</t>
  </si>
  <si>
    <t>1. Site tripped offline due to  missing "Phase A voltages" at 11:45 on 03/17 and back online at 10:30 on 03/25.</t>
  </si>
  <si>
    <t>1. SR081970</t>
  </si>
  <si>
    <t>1. Inverter 6 tripping on &amp; off on 03/05, 03/18, 03/25, 03/26.</t>
  </si>
  <si>
    <t>1. SR074295</t>
  </si>
  <si>
    <t>April Actual v. Expected</t>
  </si>
  <si>
    <t>April Actual v. Forecasted</t>
  </si>
  <si>
    <t>1. Inverter 5 has tripping events on daily bases.</t>
  </si>
  <si>
    <t>1.  SR082780</t>
  </si>
  <si>
    <t>1. Inverter 4 is offline throughout the month, breaker need to be replaced</t>
  </si>
  <si>
    <t>1. SR081269</t>
  </si>
  <si>
    <t xml:space="preserve">1. Inverter 6 tripped offline on 04/28 at 6:30AM and back online  on 04/28 at 7:45am </t>
  </si>
  <si>
    <t>1. SR083896</t>
  </si>
  <si>
    <t>1. Site was offline from 13:15 to 15:00 on 04/29.
2. Site is offline on 04/03 at 18:45 and back online on 9:30am on 04/05 and again offline on 04/07 10:00am and back online on 04/07 at 12:30pm.</t>
  </si>
  <si>
    <t>1. SR083973
2. SR082599</t>
  </si>
  <si>
    <t xml:space="preserve">1. Site tripped offline on 04/09 at 17:52 and back online on 04/10 at 16:00
2. Site tripped offline on 04/17 at 10:52 and back online on 12:00pm </t>
  </si>
  <si>
    <t>1. SR083278
2. SR083540</t>
  </si>
  <si>
    <t>1. Inverter 1.3 is offline on 04/08 and back online on 04/08 at 15:15
2. All inverters tripped offline at 15:02 on 04/19 and back online on 04/22 at 8:30am</t>
  </si>
  <si>
    <t>1. SR083167
2. SR083639</t>
  </si>
  <si>
    <t>1. All inverters tripped offline at 15:02 on 04/19 and back online on 04/22 at 8:30am</t>
  </si>
  <si>
    <t>1. SR083640</t>
  </si>
  <si>
    <t>1.  Site is offline on 04/13 at 21:00 on 04/13/2024 and back online on 04/13 at 23:00.</t>
  </si>
  <si>
    <t>1. SR083388</t>
  </si>
  <si>
    <t xml:space="preserve">1. Inverter 6 tripping on and off on 04/02, 04/06, 04/20, 04/22, 04/27, 04/29 &amp; 04/30  with fault "Fault to stop DC wrong polarity." </t>
  </si>
  <si>
    <t>1. SR083891</t>
  </si>
  <si>
    <t>1. Inverter 6 tripping on &amp; off 04/12, 04/14, 04/17, 04/18, 04/20, 04/21 &amp; 04/27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</si>
  <si>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</si>
  <si>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</si>
  <si>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</si>
  <si>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</si>
  <si>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</si>
  <si>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</si>
  <si>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</si>
  <si>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</si>
  <si>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</si>
  <si>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</si>
  <si>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</si>
  <si>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</si>
  <si>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</si>
  <si>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</si>
  <si>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</si>
  <si>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</si>
  <si>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</si>
  <si>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Catalyze</t>
  </si>
  <si>
    <t>Site DAS Name</t>
  </si>
  <si>
    <t>Update</t>
  </si>
  <si>
    <t>DAS</t>
  </si>
  <si>
    <t>CA Fresno - 3150 Shaw Ave - 19600</t>
  </si>
  <si>
    <t>Fresno - 3150 Shaw Ave</t>
  </si>
  <si>
    <t>CA</t>
  </si>
  <si>
    <t>AEF</t>
  </si>
  <si>
    <t>PowerTrack</t>
  </si>
  <si>
    <t>Sheep Creek Solar</t>
  </si>
  <si>
    <t>Adelanto - 1 Sheep Creek Road</t>
  </si>
  <si>
    <t>Aderis</t>
  </si>
  <si>
    <t>MA Blackstone - 83 Federal St - 18170</t>
  </si>
  <si>
    <t>Blackstone - 83 Federal Street</t>
  </si>
  <si>
    <t>MA</t>
  </si>
  <si>
    <t>MA Charlton - 299 Worcester Rd - 18063</t>
  </si>
  <si>
    <t>Charlton - 299 Worcester Road</t>
  </si>
  <si>
    <t>MA Wareham - 8 Thatcher Ln - 1010</t>
  </si>
  <si>
    <t>Wareham - 8 Thatcher Drive</t>
  </si>
  <si>
    <t>MA West Yarmouth - 42 Mid-Tech Drive - 17944</t>
  </si>
  <si>
    <t>West Yarmouth - 42 Mid Tech</t>
  </si>
  <si>
    <t>NY Harrison - 130 Union Ave - 18141</t>
  </si>
  <si>
    <t>Harrison - 130 Union Street</t>
  </si>
  <si>
    <t>NY</t>
  </si>
  <si>
    <t>NY Staten Island - 1 Ellis St - 18195</t>
  </si>
  <si>
    <t>Staten Island - Ellis Storage</t>
  </si>
  <si>
    <t>Amherst Community Solar</t>
  </si>
  <si>
    <t>Amherst - 595 Scholles Road</t>
  </si>
  <si>
    <t>Lancaster 1 - Gunnville Road</t>
  </si>
  <si>
    <t>Lancaster 2 - Shisler Road</t>
  </si>
  <si>
    <t>Fullerton - 200 W Orangethorpe - 19603</t>
  </si>
  <si>
    <t>Fullerton - 200 W Orangethorpe</t>
  </si>
  <si>
    <t>TX El Paso - 10500 Railroad Drive - 19648</t>
  </si>
  <si>
    <t>El Paso - 10500 Railroad Drive</t>
  </si>
  <si>
    <t>TX</t>
  </si>
  <si>
    <t>TX Friona - 900 Millard Ave - 19506</t>
  </si>
  <si>
    <t>Friona - 900 Millard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</si>
</sst>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73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30" fillId="0" borderId="0" xfId="0" applyFont="1"/>
    <xf numFmtId="0" fontId="25" fillId="0" borderId="0" xfId="0" applyFont="1"/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9" fontId="24" fillId="41" borderId="11" xfId="2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/>
    </xf>
    <xf numFmtId="0" fontId="24" fillId="42" borderId="11" xfId="0" applyFont="1" applyFill="1" applyBorder="1" applyAlignment="1">
      <alignment horizontal="center" vertical="center" wrapText="1"/>
    </xf>
    <xf numFmtId="9" fontId="24" fillId="42" borderId="11" xfId="2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49" fontId="27" fillId="40" borderId="1" xfId="0" applyNumberFormat="1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164" fontId="28" fillId="44" borderId="1" xfId="1" applyNumberFormat="1" applyFont="1" applyFill="1" applyBorder="1" applyAlignment="1">
      <alignment horizontal="center" vertical="center"/>
    </xf>
    <xf numFmtId="3" fontId="30" fillId="3" borderId="1" xfId="0" applyNumberFormat="1" applyFont="1" applyFill="1" applyBorder="1" applyAlignment="1">
      <alignment horizontal="right" vertical="center"/>
    </xf>
    <xf numFmtId="9" fontId="30" fillId="3" borderId="1" xfId="2" applyFont="1" applyFill="1" applyBorder="1" applyAlignment="1">
      <alignment horizontal="center" vertical="center"/>
    </xf>
    <xf numFmtId="3" fontId="30" fillId="4" borderId="1" xfId="1" applyNumberFormat="1" applyFont="1" applyFill="1" applyBorder="1" applyAlignment="1">
      <alignment vertical="center"/>
    </xf>
    <xf numFmtId="9" fontId="30" fillId="37" borderId="1" xfId="2" applyFont="1" applyFill="1" applyBorder="1" applyAlignment="1">
      <alignment horizontal="center" vertical="center"/>
    </xf>
    <xf numFmtId="49" fontId="27" fillId="0" borderId="1" xfId="0" applyNumberFormat="1" applyFont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164" fontId="28" fillId="0" borderId="1" xfId="1" applyNumberFormat="1" applyFont="1" applyBorder="1" applyAlignment="1">
      <alignment horizontal="center" vertical="center"/>
    </xf>
    <xf numFmtId="3" fontId="30" fillId="0" borderId="1" xfId="0" applyNumberFormat="1" applyFont="1" applyBorder="1" applyAlignment="1">
      <alignment horizontal="right" vertical="center"/>
    </xf>
    <xf numFmtId="9" fontId="30" fillId="0" borderId="1" xfId="2" applyFont="1" applyFill="1" applyBorder="1" applyAlignment="1">
      <alignment horizontal="center" vertical="center"/>
    </xf>
    <xf numFmtId="3" fontId="30" fillId="0" borderId="1" xfId="1" applyNumberFormat="1" applyFont="1" applyFill="1" applyBorder="1" applyAlignment="1">
      <alignment vertical="center"/>
    </xf>
    <xf numFmtId="0" fontId="34" fillId="40" borderId="1" xfId="0" applyFont="1" applyFill="1" applyBorder="1" applyAlignment="1">
      <alignment horizontal="center"/>
    </xf>
    <xf numFmtId="0" fontId="28" fillId="40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7" fillId="40" borderId="1" xfId="0" applyFont="1" applyFill="1" applyBorder="1" applyAlignment="1">
      <alignment horizontal="center" vertical="center"/>
    </xf>
    <xf numFmtId="0" fontId="34" fillId="40" borderId="1" xfId="0" applyFont="1" applyFill="1" applyBorder="1" applyAlignment="1">
      <alignment horizontal="left"/>
    </xf>
    <xf numFmtId="0" fontId="27" fillId="0" borderId="1" xfId="0" applyFont="1" applyBorder="1" applyAlignment="1">
      <alignment horizontal="left" vertical="center"/>
    </xf>
    <xf numFmtId="0" fontId="27" fillId="40" borderId="1" xfId="0" applyFont="1" applyFill="1" applyBorder="1" applyAlignment="1">
      <alignment horizontal="left" vertical="center"/>
    </xf>
    <xf numFmtId="49" fontId="27" fillId="40" borderId="1" xfId="0" applyNumberFormat="1" applyFont="1" applyFill="1" applyBorder="1" applyAlignment="1">
      <alignment horizontal="left" vertical="center"/>
    </xf>
    <xf numFmtId="49" fontId="27" fillId="0" borderId="1" xfId="0" applyNumberFormat="1" applyFont="1" applyBorder="1" applyAlignment="1">
      <alignment horizontal="left" vertical="center"/>
    </xf>
    <xf numFmtId="49" fontId="30" fillId="38" borderId="1" xfId="2" applyNumberFormat="1" applyFont="1" applyFill="1" applyBorder="1" applyAlignment="1">
      <alignment vertical="top" wrapText="1"/>
    </xf>
    <xf numFmtId="49" fontId="28" fillId="0" borderId="1" xfId="0" applyNumberFormat="1" applyFont="1" applyBorder="1" applyAlignment="1">
      <alignment vertical="center" wrapText="1"/>
    </xf>
    <xf numFmtId="49" fontId="27" fillId="0" borderId="1" xfId="0" applyNumberFormat="1" applyFont="1" applyBorder="1" applyAlignment="1">
      <alignment vertical="center" wrapText="1"/>
    </xf>
    <xf numFmtId="14" fontId="0" fillId="0" borderId="0" xfId="0" applyNumberFormat="1"/>
    <xf numFmtId="49" fontId="30" fillId="38" borderId="1" xfId="2" applyNumberFormat="1" applyFont="1" applyFill="1" applyBorder="1" applyAlignment="1">
      <alignment horizontal="left" wrapText="1"/>
    </xf>
    <xf numFmtId="49" fontId="28" fillId="0" borderId="1" xfId="0" applyNumberFormat="1" applyFont="1" applyBorder="1" applyAlignment="1">
      <alignment horizontal="left" wrapText="1"/>
    </xf>
    <xf numFmtId="49" fontId="27" fillId="0" borderId="1" xfId="0" applyNumberFormat="1" applyFont="1" applyBorder="1" applyAlignment="1">
      <alignment horizontal="left" wrapText="1"/>
    </xf>
    <xf numFmtId="3" fontId="30" fillId="0" borderId="1" xfId="1" applyNumberFormat="1" applyFont="1" applyFill="1" applyBorder="1" applyAlignment="1">
      <alignment horizontal="right" vertical="center" wrapText="1"/>
    </xf>
    <xf numFmtId="3" fontId="30" fillId="0" borderId="1" xfId="0" applyNumberFormat="1" applyFont="1" applyBorder="1" applyAlignment="1">
      <alignment horizontal="center" vertical="center"/>
    </xf>
    <xf numFmtId="3" fontId="30" fillId="0" borderId="1" xfId="1" applyNumberFormat="1" applyFont="1" applyFill="1" applyBorder="1" applyAlignment="1">
      <alignment horizontal="center" vertical="center"/>
    </xf>
    <xf numFmtId="0" fontId="23" fillId="0" borderId="12" xfId="0" applyFont="1" applyBorder="1"/>
    <xf numFmtId="49" fontId="28" fillId="0" borderId="13" xfId="0" applyNumberFormat="1" applyFont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7" totalsRowShown="0">
  <autoFilter ref="A3:E1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4"/>
  <sheetViews>
    <sheetView workbookViewId="0">
      <pane xSplit="2" ySplit="3" topLeftCell="C4" activePane="bottomRight" state="frozen"/>
      <selection pane="bottomRight" activeCell="A18" sqref="A18:XFD24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0" t="str" cm="1">
        <f t="array" ref="A1">portfolio</f>
        <v>Catalyze</v>
      </c>
      <c r="B1" s="70"/>
      <c r="C1" s="70"/>
      <c r="D1" s="71" t="s">
        <v>0</v>
      </c>
      <c r="E1" s="71"/>
      <c r="F1" s="71"/>
      <c r="G1" s="69" t="s">
        <v>1</v>
      </c>
      <c r="H1" s="69"/>
      <c r="I1" s="69"/>
    </row>
    <row r="2" spans="1:9" ht="19.5" customHeight="1">
      <c r="A2" s="72" t="s">
        <v>2</v>
      </c>
      <c r="B2" s="72"/>
      <c r="C2" s="5">
        <f>SUM(C4:C92)</f>
        <v>6033745.0343271438</v>
      </c>
      <c r="D2" s="5">
        <f>SUM(D4:D92)</f>
        <v>7478720.1230000006</v>
      </c>
      <c r="E2" s="5">
        <f>C2-D2</f>
        <v>-1444975.0886728568</v>
      </c>
      <c r="F2" s="6">
        <f>IFERROR(E2/D2, 0)</f>
        <v>-0.19321154755196562</v>
      </c>
      <c r="G2" s="5">
        <f>SUM(G4:G92)</f>
        <v>13358093.540000001</v>
      </c>
      <c r="H2" s="7">
        <f>C2-G2</f>
        <v>-7324348.5056728572</v>
      </c>
      <c r="I2" s="6">
        <f>IFERROR(H2/G2, 0)</f>
        <v>-0.54830792161625008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34" t="str" cm="1">
        <f t="array" ref="A4:A17">Sites[Site]</f>
        <v>Fresno - 3150 Shaw Ave</v>
      </c>
      <c r="B4" s="35" t="str" cm="1">
        <f t="array" ref="B4:B17">Sites[State]</f>
        <v>CA</v>
      </c>
      <c r="C4" s="36">
        <f>SUM('1st Qtr'!C4, '2nd Qtr'!C4, '3rd Qtr'!C4, '4th Qtr'!C4)</f>
        <v>302802.49999999988</v>
      </c>
      <c r="D4" s="37">
        <f>SUM('1st Qtr'!D4, '2nd Qtr'!D4, '3rd Qtr'!D4, '4th Qtr'!D4)</f>
        <v>300762.92</v>
      </c>
      <c r="E4" s="37">
        <f>IF(AND(ISNUMBER(C4),ISNUMBER(D4)), C4-D4, "")</f>
        <v>2039.5799999998999</v>
      </c>
      <c r="F4" s="38">
        <f>IFERROR(E4/D4, "")</f>
        <v>6.781354563255005E-3</v>
      </c>
      <c r="G4" s="39">
        <f>SUM('1st Qtr'!G4, '2nd Qtr'!G4, '3rd Qtr'!G4, '4th Qtr'!G4)</f>
        <v>336743.67999999999</v>
      </c>
      <c r="H4" s="39">
        <f>SUM('1st Qtr'!H4, '2nd Qtr'!H4, '3rd Qtr'!H4, '4th Qtr'!H4)</f>
        <v>-33941.180000000102</v>
      </c>
      <c r="I4" s="40">
        <f>IFERROR(H4/G4, "")</f>
        <v>-0.1007923296437222</v>
      </c>
    </row>
    <row r="5" spans="1:9" ht="15.75">
      <c r="A5" s="41" t="str">
        <v>Adelanto - 1 Sheep Creek Road</v>
      </c>
      <c r="B5" s="42" t="str">
        <v>CA</v>
      </c>
      <c r="C5" s="43">
        <f>SUM(Jan!C5, Feb!C5, Mar!C5)</f>
        <v>698121</v>
      </c>
      <c r="D5" s="44">
        <f>SUM(Jan!D5, Feb!D5, Mar!D5)</f>
        <v>899827.54</v>
      </c>
      <c r="E5" s="44">
        <f t="shared" ref="E5:E15" si="0">IF(AND(ISNUMBER(C5),ISNUMBER(D5)), C5-D5, "")</f>
        <v>-201706.54000000004</v>
      </c>
      <c r="F5" s="45">
        <f>IFERROR(E5/D5, "")</f>
        <v>-0.22416133207036543</v>
      </c>
      <c r="G5" s="46">
        <f>SUM('1st Qtr'!G5, '2nd Qtr'!G5, '3rd Qtr'!G5, '4th Qtr'!G5)</f>
        <v>2794868.45</v>
      </c>
      <c r="H5" s="46">
        <f>SUM(Jan!H5, Feb!H5, Mar!H5)</f>
        <v>-1198363.4500000002</v>
      </c>
      <c r="I5" s="45">
        <f>IFERROR(H5/G5, "")</f>
        <v>-0.42877275672849652</v>
      </c>
    </row>
    <row r="6" spans="1:9" ht="15.75">
      <c r="A6" s="34" t="str">
        <v>Blackstone - 83 Federal Street</v>
      </c>
      <c r="B6" s="35" t="str">
        <v>MA</v>
      </c>
      <c r="C6" s="36">
        <f>SUM(Jan!C6, Feb!C6, Mar!C6)</f>
        <v>1021429</v>
      </c>
      <c r="D6" s="37">
        <f>SUM(Jan!D6, Feb!D6, Mar!D6)</f>
        <v>1250983.5</v>
      </c>
      <c r="E6" s="37">
        <f t="shared" si="0"/>
        <v>-229554.5</v>
      </c>
      <c r="F6" s="38">
        <f t="shared" ref="F6:F15" si="1">IFERROR(E6/D6, "")</f>
        <v>-0.18349922281149192</v>
      </c>
      <c r="G6" s="39">
        <f>SUM('1st Qtr'!G6, '2nd Qtr'!G6, '3rd Qtr'!G6, '4th Qtr'!G6)</f>
        <v>2263183.5999999996</v>
      </c>
      <c r="H6" s="39">
        <f>SUM(Jan!H6, Feb!H6, Mar!H6)</f>
        <v>-471279.3</v>
      </c>
      <c r="I6" s="40">
        <f t="shared" ref="I6:I15" si="2">IFERROR(H6/G6, "")</f>
        <v>-0.20823732550907495</v>
      </c>
    </row>
    <row r="7" spans="1:9" ht="15.75">
      <c r="A7" s="41" t="str">
        <v>Charlton - 299 Worcester Road</v>
      </c>
      <c r="B7" s="42" t="str">
        <v>MA</v>
      </c>
      <c r="C7" s="43">
        <f>SUM(Jan!C7, Feb!C7, Mar!C7)</f>
        <v>106387.5</v>
      </c>
      <c r="D7" s="44">
        <f>SUM(Jan!D7, Feb!D7, Mar!D7)</f>
        <v>122897.92</v>
      </c>
      <c r="E7" s="44">
        <f t="shared" si="0"/>
        <v>-16510.419999999998</v>
      </c>
      <c r="F7" s="45">
        <f t="shared" si="1"/>
        <v>-0.13434255030516382</v>
      </c>
      <c r="G7" s="46">
        <f>SUM('1st Qtr'!G7, '2nd Qtr'!G7, '3rd Qtr'!G7, '4th Qtr'!G7)</f>
        <v>195041.82</v>
      </c>
      <c r="H7" s="46">
        <f>SUM(Jan!H7, Feb!H7, Mar!H7)</f>
        <v>-17768.789999999997</v>
      </c>
      <c r="I7" s="45">
        <f t="shared" si="2"/>
        <v>-9.1102462025836287E-2</v>
      </c>
    </row>
    <row r="8" spans="1:9" ht="15.75">
      <c r="A8" s="34" t="str">
        <v>Wareham - 8 Thatcher Drive</v>
      </c>
      <c r="B8" s="35" t="str">
        <v>MA</v>
      </c>
      <c r="C8" s="36">
        <f>SUM(Jan!C8, Feb!C8, Mar!C8)</f>
        <v>26732.624999999651</v>
      </c>
      <c r="D8" s="37">
        <f>SUM(Jan!D8, Feb!D8, Mar!D8)</f>
        <v>32689.431</v>
      </c>
      <c r="E8" s="37">
        <f t="shared" si="0"/>
        <v>-5956.8060000003497</v>
      </c>
      <c r="F8" s="38">
        <f t="shared" si="1"/>
        <v>-0.18222421797431559</v>
      </c>
      <c r="G8" s="39">
        <f>SUM('1st Qtr'!G8, '2nd Qtr'!G8, '3rd Qtr'!G8, '4th Qtr'!G8)</f>
        <v>54449.758999999998</v>
      </c>
      <c r="H8" s="39">
        <f>SUM(Jan!H8, Feb!H8, Mar!H8)</f>
        <v>-9322.2040000003508</v>
      </c>
      <c r="I8" s="40">
        <f t="shared" si="2"/>
        <v>-0.17120744280980843</v>
      </c>
    </row>
    <row r="9" spans="1:9" ht="15.75">
      <c r="A9" s="41" t="str">
        <v>West Yarmouth - 42 Mid Tech</v>
      </c>
      <c r="B9" s="42" t="str">
        <v>MA</v>
      </c>
      <c r="C9" s="43">
        <f>SUM(Jan!C9, Feb!C9, Mar!C9)</f>
        <v>21092.294170894031</v>
      </c>
      <c r="D9" s="44">
        <f>SUM(Jan!D9, Feb!D9, Mar!D9)</f>
        <v>26594.646000000001</v>
      </c>
      <c r="E9" s="44">
        <f t="shared" si="0"/>
        <v>-5502.35182910597</v>
      </c>
      <c r="F9" s="45">
        <f t="shared" si="1"/>
        <v>-0.20689697577121235</v>
      </c>
      <c r="G9" s="46">
        <f>SUM('1st Qtr'!G9, '2nd Qtr'!G9, '3rd Qtr'!G9, '4th Qtr'!G9)</f>
        <v>46631.671000000002</v>
      </c>
      <c r="H9" s="46">
        <f>SUM(Jan!H9, Feb!H9, Mar!H9)</f>
        <v>-6768.8868291059707</v>
      </c>
      <c r="I9" s="45">
        <f t="shared" si="2"/>
        <v>-0.14515642875216653</v>
      </c>
    </row>
    <row r="10" spans="1:9" ht="15.75">
      <c r="A10" s="34" t="str">
        <v>Harrison - 130 Union Street</v>
      </c>
      <c r="B10" s="35" t="str">
        <v>NY</v>
      </c>
      <c r="C10" s="36">
        <f>SUM(Jan!C10, Feb!C10, Mar!C10)</f>
        <v>38110</v>
      </c>
      <c r="D10" s="37">
        <f>SUM(Jan!D10, Feb!D10, Mar!D10)</f>
        <v>49114.895999999993</v>
      </c>
      <c r="E10" s="37">
        <f t="shared" si="0"/>
        <v>-11004.895999999993</v>
      </c>
      <c r="F10" s="38">
        <f t="shared" si="1"/>
        <v>-0.22406432459920092</v>
      </c>
      <c r="G10" s="39">
        <f>SUM('1st Qtr'!G10, '2nd Qtr'!G10, '3rd Qtr'!G10, '4th Qtr'!G10)</f>
        <v>72651.72</v>
      </c>
      <c r="H10" s="39">
        <f>SUM(Jan!H10, Feb!H10, Mar!H10)</f>
        <v>-8334.25</v>
      </c>
      <c r="I10" s="40">
        <f t="shared" si="2"/>
        <v>-0.11471510929128725</v>
      </c>
    </row>
    <row r="11" spans="1:9" ht="15.75">
      <c r="A11" s="41" t="str">
        <v>Staten Island - Ellis Storage</v>
      </c>
      <c r="B11" s="42" t="str">
        <v>NY</v>
      </c>
      <c r="C11" s="43">
        <f>SUM(Jan!C11, Feb!C11, Mar!C11)</f>
        <v>90871.75</v>
      </c>
      <c r="D11" s="44">
        <f>SUM(Jan!D11, Feb!D11, Mar!D11)</f>
        <v>116168.45999999999</v>
      </c>
      <c r="E11" s="44">
        <f t="shared" si="0"/>
        <v>-25296.709999999992</v>
      </c>
      <c r="F11" s="45">
        <f t="shared" si="1"/>
        <v>-0.21775884779741414</v>
      </c>
      <c r="G11" s="46">
        <f>SUM('1st Qtr'!G11, '2nd Qtr'!G11, '3rd Qtr'!G11, '4th Qtr'!G11)</f>
        <v>163418.53</v>
      </c>
      <c r="H11" s="46">
        <f>SUM(Jan!H11, Feb!H11, Mar!H11)</f>
        <v>-11927.27</v>
      </c>
      <c r="I11" s="45">
        <f t="shared" si="2"/>
        <v>-7.298603163301004E-2</v>
      </c>
    </row>
    <row r="12" spans="1:9" ht="15.75">
      <c r="A12" s="34" t="str">
        <v>Amherst - 595 Scholles Road</v>
      </c>
      <c r="B12" s="35" t="str">
        <v>NY</v>
      </c>
      <c r="C12" s="36">
        <f>SUM(Jan!C12, Feb!C12, Mar!C12)</f>
        <v>1004650</v>
      </c>
      <c r="D12" s="37">
        <f>SUM(Jan!D12, Feb!D12, Mar!D12)</f>
        <v>1305937.17</v>
      </c>
      <c r="E12" s="37">
        <f t="shared" si="0"/>
        <v>-301287.16999999993</v>
      </c>
      <c r="F12" s="38">
        <f t="shared" si="1"/>
        <v>-0.23070571611036994</v>
      </c>
      <c r="G12" s="39">
        <f>SUM('1st Qtr'!G12, '2nd Qtr'!G12, '3rd Qtr'!G12, '4th Qtr'!G12)</f>
        <v>2466753</v>
      </c>
      <c r="H12" s="39">
        <f>SUM(Jan!H12, Feb!H12, Mar!H12)</f>
        <v>-509052</v>
      </c>
      <c r="I12" s="40">
        <f t="shared" si="2"/>
        <v>-0.20636520965009467</v>
      </c>
    </row>
    <row r="13" spans="1:9" ht="15.75">
      <c r="A13" s="41" t="str">
        <v>Lancaster 1 - Gunnville Road</v>
      </c>
      <c r="B13" s="42" t="str">
        <v>NY</v>
      </c>
      <c r="C13" s="43">
        <f>SUM(Jan!C13, Feb!C13, Mar!C13)</f>
        <v>993680</v>
      </c>
      <c r="D13" s="44">
        <f>SUM(Jan!D13, Feb!D13, Mar!D13)</f>
        <v>1203596.5</v>
      </c>
      <c r="E13" s="44">
        <f t="shared" si="0"/>
        <v>-209916.5</v>
      </c>
      <c r="F13" s="45">
        <f t="shared" si="1"/>
        <v>-0.17440770224905108</v>
      </c>
      <c r="G13" s="46">
        <f>SUM('1st Qtr'!G13, '2nd Qtr'!G13, '3rd Qtr'!G13, '4th Qtr'!G13)</f>
        <v>1772590.6</v>
      </c>
      <c r="H13" s="46">
        <f>SUM(Jan!H13, Feb!H13, Mar!H13)</f>
        <v>-32019.999999999942</v>
      </c>
      <c r="I13" s="45">
        <f t="shared" si="2"/>
        <v>-1.8063956787314532E-2</v>
      </c>
    </row>
    <row r="14" spans="1:9" ht="15.75">
      <c r="A14" s="34" t="str">
        <v>Lancaster 2 - Shisler Road</v>
      </c>
      <c r="B14" s="35" t="str">
        <v>NY</v>
      </c>
      <c r="C14" s="36">
        <f>SUM(Jan!C14, Feb!C14, Mar!C14)</f>
        <v>951657</v>
      </c>
      <c r="D14" s="37">
        <f>SUM(Jan!D14, Feb!D14, Mar!D14)</f>
        <v>1317386.2</v>
      </c>
      <c r="E14" s="37">
        <f t="shared" si="0"/>
        <v>-365729.19999999995</v>
      </c>
      <c r="F14" s="38">
        <f t="shared" si="1"/>
        <v>-0.27761730007495145</v>
      </c>
      <c r="G14" s="39">
        <f>SUM('1st Qtr'!G14, '2nd Qtr'!G14, '3rd Qtr'!G14, '4th Qtr'!G14)</f>
        <v>1939774.5</v>
      </c>
      <c r="H14" s="39">
        <f>SUM(Jan!H14, Feb!H14, Mar!H14)</f>
        <v>-167958.09999999998</v>
      </c>
      <c r="I14" s="40">
        <f t="shared" si="2"/>
        <v>-8.6586404759934718E-2</v>
      </c>
    </row>
    <row r="15" spans="1:9" ht="15.75">
      <c r="A15" s="41" t="str">
        <v>Fullerton - 200 W Orangethorpe</v>
      </c>
      <c r="B15" s="42" t="str">
        <v>CA</v>
      </c>
      <c r="C15" s="43">
        <f>SUM(Jan!C15, Feb!C15, Mar!C15)</f>
        <v>228387.86515625002</v>
      </c>
      <c r="D15" s="44">
        <f>SUM(Jan!D15, Feb!D15, Mar!D15)</f>
        <v>237208.44</v>
      </c>
      <c r="E15" s="44">
        <f t="shared" si="0"/>
        <v>-8820.574843749986</v>
      </c>
      <c r="F15" s="45">
        <f t="shared" si="1"/>
        <v>-3.7184911480173242E-2</v>
      </c>
      <c r="G15" s="46">
        <f>SUM('1st Qtr'!G15, '2nd Qtr'!G15, '3rd Qtr'!G15, '4th Qtr'!G15)</f>
        <v>390408.07000000007</v>
      </c>
      <c r="H15" s="46">
        <f>SUM(Jan!H15, Feb!H15, Mar!H15)</f>
        <v>-40178.804843750004</v>
      </c>
      <c r="I15" s="45">
        <f t="shared" si="2"/>
        <v>-0.10291489323914334</v>
      </c>
    </row>
    <row r="16" spans="1:9" ht="15.75">
      <c r="A16" s="34" t="str">
        <v>El Paso - 10500 Railroad Drive</v>
      </c>
      <c r="B16" s="35" t="str">
        <v>TX</v>
      </c>
      <c r="C16" s="36">
        <f>SUM(Jan!C16, Feb!C16, Mar!C16)</f>
        <v>302499.25</v>
      </c>
      <c r="D16" s="37">
        <f>SUM(Jan!D16, Feb!D16, Mar!D16)</f>
        <v>350397.5</v>
      </c>
      <c r="E16" s="37">
        <f t="shared" ref="E16:E17" si="3">IF(AND(ISNUMBER(C16),ISNUMBER(D16)), C16-D16, "")</f>
        <v>-47898.25</v>
      </c>
      <c r="F16" s="38">
        <f t="shared" ref="F16:F17" si="4">IFERROR(E16/D16, "")</f>
        <v>-0.13669689424153997</v>
      </c>
      <c r="G16" s="39">
        <f>SUM('1st Qtr'!G16, '2nd Qtr'!G16, '3rd Qtr'!G16, '4th Qtr'!G16)</f>
        <v>478928.97</v>
      </c>
      <c r="H16" s="39">
        <f>SUM(Jan!H16, Feb!H16, Mar!H16)</f>
        <v>-28355.72</v>
      </c>
      <c r="I16" s="40">
        <f t="shared" ref="I16:I17" si="5">IFERROR(H16/G16, "")</f>
        <v>-5.9206524925815206E-2</v>
      </c>
    </row>
    <row r="17" spans="1:9" ht="15.75">
      <c r="A17" s="41" t="str">
        <v>Friona - 900 Millard Ave</v>
      </c>
      <c r="B17" s="42" t="str">
        <v>TX</v>
      </c>
      <c r="C17" s="43">
        <f>SUM(Jan!C17, Feb!C17, Mar!C17)</f>
        <v>247324.25</v>
      </c>
      <c r="D17" s="44">
        <f>SUM(Jan!D17, Feb!D17, Mar!D17)</f>
        <v>265155</v>
      </c>
      <c r="E17" s="44">
        <f t="shared" si="3"/>
        <v>-17830.75</v>
      </c>
      <c r="F17" s="45">
        <f t="shared" si="4"/>
        <v>-6.7246516188644384E-2</v>
      </c>
      <c r="G17" s="46">
        <f>SUM('1st Qtr'!G17, '2nd Qtr'!G17, '3rd Qtr'!G17, '4th Qtr'!G17)</f>
        <v>382649.17000000004</v>
      </c>
      <c r="H17" s="46">
        <f>SUM(Jan!H17, Feb!H17, Mar!H17)</f>
        <v>-10606.319999999992</v>
      </c>
      <c r="I17" s="45">
        <f t="shared" si="5"/>
        <v>-2.7718131467526747E-2</v>
      </c>
    </row>
    <row r="18" spans="1:9">
      <c r="A18" s="13"/>
      <c r="B18" s="13"/>
      <c r="C18" s="13"/>
      <c r="D18" s="13"/>
      <c r="E18" s="13"/>
      <c r="F18" s="13"/>
      <c r="G18" s="13"/>
      <c r="H18" s="13"/>
      <c r="I18" s="13"/>
    </row>
    <row r="19" spans="1:9">
      <c r="A19" s="13"/>
      <c r="B19" s="13"/>
      <c r="C19" s="13"/>
      <c r="D19" s="13"/>
      <c r="E19" s="13"/>
      <c r="F19" s="13"/>
      <c r="G19" s="13"/>
      <c r="H19" s="13"/>
      <c r="I19" s="13"/>
    </row>
    <row r="20" spans="1:9">
      <c r="A20" s="13"/>
      <c r="B20" s="13"/>
      <c r="C20" s="13"/>
      <c r="D20" s="13"/>
      <c r="E20" s="13"/>
      <c r="F20" s="13"/>
      <c r="G20" s="13"/>
      <c r="H20" s="13"/>
      <c r="I20" s="13"/>
    </row>
    <row r="21" spans="1:9">
      <c r="A21" s="13"/>
      <c r="B21" s="13"/>
      <c r="C21" s="13"/>
      <c r="D21" s="13"/>
      <c r="E21" s="13"/>
      <c r="F21" s="13"/>
      <c r="G21" s="13"/>
      <c r="H21" s="13"/>
      <c r="I21" s="13"/>
    </row>
    <row r="22" spans="1:9">
      <c r="A22" s="13"/>
      <c r="B22" s="13"/>
      <c r="C22" s="13"/>
      <c r="D22" s="13"/>
      <c r="E22" s="13"/>
      <c r="F22" s="13"/>
      <c r="G22" s="13"/>
      <c r="H22" s="13"/>
      <c r="I22" s="13"/>
    </row>
    <row r="23" spans="1:9">
      <c r="A23" s="13"/>
      <c r="B23" s="13"/>
      <c r="C23" s="13"/>
      <c r="D23" s="13"/>
      <c r="E23" s="13"/>
      <c r="F23" s="13"/>
      <c r="G23" s="13"/>
      <c r="H23" s="13"/>
      <c r="I23" s="13"/>
    </row>
    <row r="24" spans="1:9">
      <c r="A24" s="13"/>
      <c r="B24" s="13"/>
      <c r="C24" s="13"/>
      <c r="D24" s="13"/>
      <c r="E24" s="13"/>
      <c r="F24" s="13"/>
      <c r="G24" s="13"/>
      <c r="H24" s="13"/>
      <c r="I24" s="13"/>
    </row>
    <row r="25" spans="1:9">
      <c r="A25" s="13"/>
      <c r="B25" s="13"/>
      <c r="C25" s="13"/>
      <c r="D25" s="13"/>
      <c r="E25" s="13"/>
      <c r="F25" s="14"/>
      <c r="G25" s="13"/>
      <c r="H25" s="13"/>
      <c r="I25" s="14"/>
    </row>
    <row r="26" spans="1:9">
      <c r="A26" s="13"/>
      <c r="B26" s="13"/>
      <c r="C26" s="13"/>
      <c r="D26" s="13"/>
      <c r="E26" s="13"/>
      <c r="F26" s="14"/>
      <c r="G26" s="13"/>
      <c r="H26" s="13"/>
      <c r="I26" s="14"/>
    </row>
    <row r="27" spans="1:9">
      <c r="A27" s="13"/>
      <c r="B27" s="13"/>
      <c r="C27" s="13"/>
      <c r="D27" s="13"/>
      <c r="E27" s="13"/>
      <c r="F27" s="14"/>
      <c r="G27" s="13"/>
      <c r="H27" s="13"/>
      <c r="I27" s="14"/>
    </row>
    <row r="28" spans="1:9">
      <c r="A28" s="13"/>
      <c r="B28" s="13"/>
      <c r="C28" s="13"/>
      <c r="D28" s="13"/>
      <c r="E28" s="13"/>
      <c r="F28" s="14"/>
      <c r="G28" s="13"/>
      <c r="H28" s="13"/>
      <c r="I28" s="14"/>
    </row>
    <row r="29" spans="1:9">
      <c r="A29" s="13"/>
      <c r="B29" s="13"/>
      <c r="C29" s="13"/>
      <c r="D29" s="13"/>
      <c r="E29" s="13"/>
      <c r="F29" s="14"/>
      <c r="G29" s="13"/>
      <c r="H29" s="13"/>
      <c r="I29" s="14"/>
    </row>
    <row r="30" spans="1:9">
      <c r="A30" s="13"/>
      <c r="B30" s="13"/>
      <c r="C30" s="13"/>
      <c r="D30" s="13"/>
      <c r="E30" s="13"/>
      <c r="F30" s="14"/>
      <c r="G30" s="13"/>
      <c r="H30" s="13"/>
      <c r="I30" s="14"/>
    </row>
    <row r="31" spans="1:9">
      <c r="A31" s="13"/>
      <c r="B31" s="13"/>
      <c r="C31" s="13"/>
      <c r="D31" s="13"/>
      <c r="E31" s="13"/>
      <c r="F31" s="14"/>
      <c r="G31" s="13"/>
      <c r="H31" s="13"/>
      <c r="I31" s="14"/>
    </row>
    <row r="32" spans="1:9">
      <c r="A32" s="13"/>
      <c r="B32" s="13"/>
      <c r="C32" s="13"/>
      <c r="D32" s="13"/>
      <c r="E32" s="13"/>
      <c r="F32" s="14"/>
      <c r="G32" s="13"/>
      <c r="H32" s="13"/>
      <c r="I32" s="14"/>
    </row>
    <row r="33" spans="1:9">
      <c r="A33" s="13"/>
      <c r="B33" s="13"/>
      <c r="C33" s="13"/>
      <c r="D33" s="13"/>
      <c r="E33" s="13"/>
      <c r="F33" s="14"/>
      <c r="G33" s="13"/>
      <c r="H33" s="13"/>
      <c r="I33" s="14"/>
    </row>
    <row r="34" spans="1:9">
      <c r="A34" s="13"/>
      <c r="B34" s="13"/>
      <c r="C34" s="13"/>
      <c r="D34" s="13"/>
      <c r="E34" s="13"/>
      <c r="F34" s="14"/>
      <c r="G34" s="13"/>
      <c r="H34" s="13"/>
      <c r="I34" s="14"/>
    </row>
    <row r="35" spans="1:9">
      <c r="A35" s="13"/>
      <c r="B35" s="13"/>
      <c r="C35" s="13"/>
      <c r="D35" s="13"/>
      <c r="E35" s="13"/>
      <c r="F35" s="14"/>
      <c r="G35" s="13"/>
      <c r="H35" s="13"/>
      <c r="I35" s="14"/>
    </row>
    <row r="36" spans="1:9">
      <c r="A36" s="13"/>
      <c r="B36" s="13"/>
      <c r="C36" s="13"/>
      <c r="D36" s="13"/>
      <c r="E36" s="13"/>
      <c r="F36" s="14"/>
      <c r="G36" s="13"/>
      <c r="H36" s="13"/>
      <c r="I36" s="14"/>
    </row>
    <row r="37" spans="1:9">
      <c r="A37" s="13"/>
      <c r="B37" s="13"/>
      <c r="C37" s="13"/>
      <c r="D37" s="13"/>
      <c r="E37" s="13"/>
      <c r="F37" s="14"/>
      <c r="G37" s="13"/>
      <c r="H37" s="13"/>
      <c r="I37" s="14"/>
    </row>
    <row r="38" spans="1:9">
      <c r="A38" s="13"/>
      <c r="B38" s="13"/>
      <c r="C38" s="13"/>
      <c r="D38" s="13"/>
      <c r="E38" s="13"/>
      <c r="F38" s="14"/>
      <c r="G38" s="13"/>
      <c r="H38" s="13"/>
      <c r="I38" s="14"/>
    </row>
    <row r="39" spans="1:9">
      <c r="A39" s="13"/>
      <c r="B39" s="13"/>
      <c r="C39" s="13"/>
      <c r="D39" s="13"/>
      <c r="E39" s="13"/>
      <c r="F39" s="14"/>
      <c r="G39" s="13"/>
      <c r="H39" s="13"/>
      <c r="I39" s="14"/>
    </row>
    <row r="40" spans="1:9">
      <c r="A40" s="13"/>
      <c r="B40" s="13"/>
      <c r="C40" s="13"/>
      <c r="D40" s="13"/>
      <c r="E40" s="13"/>
      <c r="F40" s="14"/>
      <c r="G40" s="13"/>
      <c r="H40" s="13"/>
      <c r="I40" s="14"/>
    </row>
    <row r="41" spans="1:9">
      <c r="A41" s="13"/>
      <c r="B41" s="13"/>
      <c r="C41" s="13"/>
      <c r="D41" s="13"/>
      <c r="E41" s="13"/>
      <c r="F41" s="14"/>
      <c r="G41" s="13"/>
      <c r="H41" s="13"/>
      <c r="I41" s="14"/>
    </row>
    <row r="42" spans="1:9">
      <c r="A42" s="13"/>
      <c r="B42" s="13"/>
      <c r="C42" s="13"/>
      <c r="D42" s="13"/>
      <c r="E42" s="13"/>
      <c r="F42" s="14"/>
      <c r="G42" s="13"/>
      <c r="H42" s="13"/>
      <c r="I42" s="14"/>
    </row>
    <row r="43" spans="1:9">
      <c r="A43" s="13"/>
      <c r="B43" s="13"/>
      <c r="C43" s="13"/>
      <c r="D43" s="13"/>
      <c r="E43" s="13"/>
      <c r="F43" s="14"/>
      <c r="G43" s="13"/>
      <c r="H43" s="13"/>
      <c r="I43" s="14"/>
    </row>
    <row r="44" spans="1:9">
      <c r="A44" s="13"/>
      <c r="B44" s="13"/>
      <c r="C44" s="13"/>
      <c r="D44" s="13"/>
      <c r="E44" s="13"/>
      <c r="F44" s="14"/>
      <c r="G44" s="13"/>
      <c r="H44" s="13"/>
      <c r="I44" s="14"/>
    </row>
    <row r="45" spans="1:9">
      <c r="A45" s="13"/>
      <c r="B45" s="13"/>
      <c r="C45" s="13"/>
      <c r="D45" s="13"/>
      <c r="E45" s="13"/>
      <c r="F45" s="14"/>
      <c r="G45" s="13"/>
      <c r="H45" s="13"/>
      <c r="I45" s="14"/>
    </row>
    <row r="46" spans="1:9">
      <c r="A46" s="13"/>
      <c r="B46" s="13"/>
      <c r="C46" s="13"/>
      <c r="D46" s="13"/>
      <c r="E46" s="13"/>
      <c r="F46" s="14"/>
      <c r="G46" s="13"/>
      <c r="H46" s="13"/>
      <c r="I46" s="14"/>
    </row>
    <row r="47" spans="1:9">
      <c r="A47" s="13"/>
      <c r="B47" s="13"/>
      <c r="C47" s="13"/>
      <c r="D47" s="13"/>
      <c r="E47" s="13"/>
      <c r="F47" s="14"/>
      <c r="G47" s="13"/>
      <c r="H47" s="13"/>
      <c r="I47" s="14"/>
    </row>
    <row r="48" spans="1:9">
      <c r="A48" s="13"/>
      <c r="B48" s="13"/>
      <c r="C48" s="13"/>
      <c r="D48" s="13"/>
      <c r="E48" s="13"/>
      <c r="F48" s="14"/>
      <c r="G48" s="13"/>
      <c r="H48" s="13"/>
      <c r="I48" s="14"/>
    </row>
    <row r="49" spans="1:9">
      <c r="A49" s="13"/>
      <c r="B49" s="13"/>
      <c r="C49" s="13"/>
      <c r="D49" s="13"/>
      <c r="E49" s="13"/>
      <c r="F49" s="14"/>
      <c r="G49" s="13"/>
      <c r="H49" s="13"/>
      <c r="I49" s="14"/>
    </row>
    <row r="50" spans="1:9">
      <c r="A50" s="13"/>
      <c r="B50" s="13"/>
      <c r="C50" s="13"/>
      <c r="D50" s="13"/>
      <c r="E50" s="13"/>
      <c r="F50" s="14"/>
      <c r="G50" s="13"/>
      <c r="H50" s="13"/>
      <c r="I50" s="14"/>
    </row>
    <row r="51" spans="1:9">
      <c r="A51" s="13"/>
      <c r="B51" s="13"/>
      <c r="C51" s="13"/>
      <c r="D51" s="13"/>
      <c r="E51" s="13"/>
      <c r="F51" s="14"/>
      <c r="G51" s="13"/>
      <c r="H51" s="13"/>
      <c r="I51" s="14"/>
    </row>
    <row r="52" spans="1:9">
      <c r="A52" s="13"/>
      <c r="B52" s="13"/>
      <c r="C52" s="13"/>
      <c r="D52" s="13"/>
      <c r="E52" s="13"/>
      <c r="F52" s="14"/>
      <c r="G52" s="13"/>
      <c r="H52" s="13"/>
      <c r="I52" s="14"/>
    </row>
    <row r="53" spans="1:9">
      <c r="A53" s="13"/>
      <c r="B53" s="13"/>
      <c r="C53" s="13"/>
      <c r="D53" s="13"/>
      <c r="E53" s="13"/>
      <c r="F53" s="14"/>
      <c r="G53" s="13"/>
      <c r="H53" s="13"/>
      <c r="I53" s="14"/>
    </row>
    <row r="54" spans="1:9">
      <c r="A54" s="13"/>
      <c r="B54" s="13"/>
      <c r="C54" s="13"/>
      <c r="D54" s="13"/>
      <c r="E54" s="13"/>
      <c r="F54" s="14"/>
      <c r="G54" s="13"/>
      <c r="H54" s="13"/>
      <c r="I54" s="14"/>
    </row>
    <row r="55" spans="1:9">
      <c r="A55" s="13"/>
      <c r="B55" s="13"/>
      <c r="C55" s="13"/>
      <c r="D55" s="13"/>
      <c r="E55" s="13"/>
      <c r="F55" s="14"/>
      <c r="G55" s="13"/>
      <c r="H55" s="13"/>
      <c r="I55" s="14"/>
    </row>
    <row r="56" spans="1:9">
      <c r="A56" s="13"/>
      <c r="B56" s="13"/>
      <c r="C56" s="13"/>
      <c r="D56" s="13"/>
      <c r="E56" s="13"/>
      <c r="F56" s="14"/>
      <c r="G56" s="13"/>
      <c r="H56" s="13"/>
      <c r="I56" s="14"/>
    </row>
    <row r="57" spans="1:9">
      <c r="A57" s="13"/>
      <c r="B57" s="13"/>
      <c r="C57" s="13"/>
      <c r="D57" s="13"/>
      <c r="E57" s="13"/>
      <c r="F57" s="14"/>
      <c r="G57" s="13"/>
      <c r="H57" s="13"/>
      <c r="I57" s="14"/>
    </row>
    <row r="58" spans="1:9">
      <c r="A58" s="13"/>
      <c r="B58" s="13"/>
      <c r="C58" s="13"/>
      <c r="D58" s="13"/>
      <c r="E58" s="13"/>
      <c r="F58" s="14"/>
      <c r="G58" s="13"/>
      <c r="H58" s="13"/>
      <c r="I58" s="14"/>
    </row>
    <row r="59" spans="1:9">
      <c r="A59" s="13"/>
      <c r="B59" s="13"/>
      <c r="C59" s="13"/>
      <c r="D59" s="13"/>
      <c r="E59" s="13"/>
      <c r="F59" s="14"/>
      <c r="G59" s="13"/>
      <c r="H59" s="13"/>
      <c r="I59" s="14"/>
    </row>
    <row r="60" spans="1:9">
      <c r="A60" s="13"/>
      <c r="B60" s="13"/>
      <c r="C60" s="13"/>
      <c r="D60" s="13"/>
      <c r="E60" s="13"/>
      <c r="F60" s="14"/>
      <c r="G60" s="13"/>
      <c r="H60" s="13"/>
      <c r="I60" s="14"/>
    </row>
    <row r="61" spans="1:9">
      <c r="A61" s="13"/>
      <c r="B61" s="13"/>
      <c r="C61" s="13"/>
      <c r="D61" s="13"/>
      <c r="E61" s="13"/>
      <c r="F61" s="14"/>
      <c r="G61" s="13"/>
      <c r="H61" s="13"/>
      <c r="I61" s="14"/>
    </row>
    <row r="62" spans="1:9">
      <c r="A62" s="13"/>
      <c r="B62" s="13"/>
      <c r="C62" s="13"/>
      <c r="D62" s="13"/>
      <c r="E62" s="13"/>
      <c r="F62" s="14"/>
      <c r="G62" s="13"/>
      <c r="H62" s="13"/>
      <c r="I62" s="14"/>
    </row>
    <row r="63" spans="1:9">
      <c r="A63" s="13"/>
      <c r="B63" s="13"/>
      <c r="C63" s="13"/>
      <c r="D63" s="13"/>
      <c r="E63" s="13"/>
      <c r="F63" s="14"/>
      <c r="G63" s="13"/>
      <c r="H63" s="13"/>
      <c r="I63" s="14"/>
    </row>
    <row r="64" spans="1:9">
      <c r="A64" s="13"/>
      <c r="B64" s="13"/>
      <c r="C64" s="13"/>
      <c r="D64" s="13"/>
      <c r="E64" s="13"/>
      <c r="F64" s="14"/>
      <c r="G64" s="13"/>
      <c r="H64" s="13"/>
      <c r="I64" s="14"/>
    </row>
    <row r="65" spans="1:9">
      <c r="A65" s="13"/>
      <c r="B65" s="13"/>
      <c r="C65" s="13"/>
      <c r="D65" s="13"/>
      <c r="E65" s="13"/>
      <c r="F65" s="14"/>
      <c r="G65" s="13"/>
      <c r="H65" s="13"/>
      <c r="I65" s="14"/>
    </row>
    <row r="66" spans="1:9">
      <c r="A66" s="13"/>
      <c r="B66" s="13"/>
      <c r="C66" s="13"/>
      <c r="D66" s="13"/>
      <c r="E66" s="13"/>
      <c r="F66" s="14"/>
      <c r="G66" s="13"/>
      <c r="H66" s="13"/>
      <c r="I66" s="14"/>
    </row>
    <row r="67" spans="1:9">
      <c r="A67" s="13"/>
      <c r="B67" s="13"/>
      <c r="C67" s="13"/>
      <c r="D67" s="13"/>
      <c r="E67" s="13"/>
      <c r="F67" s="14"/>
      <c r="G67" s="13"/>
      <c r="H67" s="13"/>
      <c r="I67" s="14"/>
    </row>
    <row r="68" spans="1:9">
      <c r="A68" s="13"/>
      <c r="B68" s="13"/>
      <c r="C68" s="13"/>
      <c r="D68" s="13"/>
      <c r="E68" s="13"/>
      <c r="F68" s="14"/>
      <c r="G68" s="13"/>
      <c r="H68" s="13"/>
      <c r="I68" s="14"/>
    </row>
    <row r="69" spans="1:9">
      <c r="A69" s="13"/>
      <c r="B69" s="13"/>
      <c r="C69" s="13"/>
      <c r="D69" s="13"/>
      <c r="E69" s="13"/>
      <c r="F69" s="14"/>
      <c r="G69" s="13"/>
      <c r="H69" s="13"/>
      <c r="I69" s="14"/>
    </row>
    <row r="70" spans="1:9">
      <c r="A70" s="13"/>
      <c r="B70" s="13"/>
      <c r="C70" s="13"/>
      <c r="D70" s="13"/>
      <c r="E70" s="13"/>
      <c r="F70" s="14"/>
      <c r="G70" s="13"/>
      <c r="H70" s="13"/>
      <c r="I70" s="14"/>
    </row>
    <row r="71" spans="1:9">
      <c r="A71" s="13"/>
      <c r="B71" s="13"/>
      <c r="C71" s="13"/>
      <c r="D71" s="13"/>
      <c r="E71" s="13"/>
      <c r="F71" s="14"/>
      <c r="G71" s="13"/>
      <c r="H71" s="13"/>
      <c r="I71" s="14"/>
    </row>
    <row r="72" spans="1:9">
      <c r="A72" s="13"/>
      <c r="B72" s="13"/>
      <c r="C72" s="13"/>
      <c r="D72" s="13"/>
      <c r="E72" s="13"/>
      <c r="F72" s="14"/>
      <c r="G72" s="13"/>
      <c r="H72" s="13"/>
      <c r="I72" s="14"/>
    </row>
    <row r="73" spans="1:9">
      <c r="A73" s="13"/>
      <c r="B73" s="13"/>
      <c r="C73" s="13"/>
      <c r="D73" s="13"/>
      <c r="E73" s="13"/>
      <c r="F73" s="14"/>
      <c r="G73" s="13"/>
      <c r="H73" s="13"/>
      <c r="I73" s="14"/>
    </row>
    <row r="74" spans="1:9">
      <c r="A74" s="13"/>
      <c r="B74" s="13"/>
      <c r="C74" s="13"/>
      <c r="D74" s="13"/>
      <c r="E74" s="13"/>
      <c r="F74" s="14"/>
      <c r="G74" s="13"/>
      <c r="H74" s="13"/>
      <c r="I74" s="14"/>
    </row>
    <row r="75" spans="1:9">
      <c r="A75" s="13"/>
      <c r="B75" s="13"/>
      <c r="C75" s="13"/>
      <c r="D75" s="13"/>
      <c r="E75" s="13"/>
      <c r="F75" s="14"/>
      <c r="G75" s="13"/>
      <c r="H75" s="13"/>
      <c r="I75" s="14"/>
    </row>
    <row r="76" spans="1:9">
      <c r="A76" s="13"/>
      <c r="B76" s="13"/>
      <c r="C76" s="13"/>
      <c r="D76" s="13"/>
      <c r="E76" s="13"/>
      <c r="F76" s="14"/>
      <c r="G76" s="13"/>
      <c r="H76" s="13"/>
      <c r="I76" s="14"/>
    </row>
    <row r="77" spans="1:9">
      <c r="A77" s="13"/>
      <c r="B77" s="13"/>
      <c r="C77" s="13"/>
      <c r="D77" s="13"/>
      <c r="E77" s="13"/>
      <c r="F77" s="14"/>
      <c r="G77" s="13"/>
      <c r="H77" s="13"/>
      <c r="I77" s="14"/>
    </row>
    <row r="78" spans="1:9">
      <c r="A78" s="13"/>
      <c r="B78" s="13"/>
      <c r="C78" s="13"/>
      <c r="D78" s="13"/>
      <c r="E78" s="13"/>
      <c r="F78" s="14"/>
      <c r="G78" s="13"/>
      <c r="H78" s="13"/>
      <c r="I78" s="14"/>
    </row>
    <row r="79" spans="1:9">
      <c r="A79" s="13"/>
      <c r="B79" s="13"/>
      <c r="C79" s="13"/>
      <c r="D79" s="13"/>
      <c r="E79" s="13"/>
      <c r="F79" s="14"/>
      <c r="G79" s="13"/>
      <c r="H79" s="13"/>
      <c r="I79" s="14"/>
    </row>
    <row r="80" spans="1:9">
      <c r="A80" s="13"/>
      <c r="B80" s="13"/>
      <c r="C80" s="13"/>
      <c r="D80" s="13"/>
      <c r="E80" s="13"/>
      <c r="F80" s="14"/>
      <c r="G80" s="13"/>
      <c r="H80" s="13"/>
      <c r="I80" s="14"/>
    </row>
    <row r="81" spans="1:9">
      <c r="A81" s="13"/>
      <c r="B81" s="13"/>
      <c r="C81" s="13"/>
      <c r="D81" s="13"/>
      <c r="E81" s="13"/>
      <c r="F81" s="14"/>
      <c r="G81" s="13"/>
      <c r="H81" s="13"/>
      <c r="I81" s="14"/>
    </row>
    <row r="82" spans="1:9">
      <c r="A82" s="13"/>
      <c r="B82" s="13"/>
      <c r="C82" s="13"/>
      <c r="D82" s="13"/>
      <c r="E82" s="13"/>
      <c r="F82" s="14"/>
      <c r="G82" s="13"/>
      <c r="H82" s="13"/>
      <c r="I82" s="14"/>
    </row>
    <row r="83" spans="1:9">
      <c r="A83" s="13"/>
      <c r="B83" s="13"/>
      <c r="C83" s="13"/>
      <c r="D83" s="13"/>
      <c r="E83" s="13"/>
      <c r="F83" s="14"/>
      <c r="G83" s="13"/>
      <c r="H83" s="13"/>
      <c r="I83" s="14"/>
    </row>
    <row r="84" spans="1:9">
      <c r="A84" s="13"/>
      <c r="B84" s="13"/>
      <c r="C84" s="13"/>
      <c r="D84" s="13"/>
      <c r="E84" s="13"/>
      <c r="F84" s="14"/>
      <c r="G84" s="13"/>
      <c r="H84" s="13"/>
      <c r="I84" s="14"/>
    </row>
    <row r="85" spans="1:9">
      <c r="A85" s="13"/>
      <c r="B85" s="13"/>
      <c r="C85" s="13"/>
      <c r="D85" s="13"/>
      <c r="E85" s="13"/>
      <c r="F85" s="14"/>
      <c r="G85" s="13"/>
      <c r="H85" s="13"/>
      <c r="I85" s="14"/>
    </row>
    <row r="86" spans="1:9">
      <c r="A86" s="13"/>
      <c r="B86" s="13"/>
      <c r="C86" s="13"/>
      <c r="D86" s="13"/>
      <c r="E86" s="13"/>
      <c r="F86" s="14"/>
      <c r="G86" s="13"/>
      <c r="H86" s="13"/>
      <c r="I86" s="14"/>
    </row>
    <row r="87" spans="1:9">
      <c r="A87" s="13"/>
      <c r="B87" s="13"/>
      <c r="C87" s="13"/>
      <c r="D87" s="13"/>
      <c r="E87" s="13"/>
      <c r="F87" s="14"/>
      <c r="G87" s="13"/>
      <c r="H87" s="13"/>
      <c r="I87" s="14"/>
    </row>
    <row r="88" spans="1:9">
      <c r="A88" s="13"/>
      <c r="B88" s="13"/>
      <c r="C88" s="13"/>
      <c r="D88" s="13"/>
      <c r="E88" s="13"/>
      <c r="F88" s="14"/>
      <c r="G88" s="13"/>
      <c r="H88" s="13"/>
      <c r="I88" s="14"/>
    </row>
    <row r="89" spans="1:9">
      <c r="A89" s="13"/>
      <c r="B89" s="13"/>
      <c r="C89" s="13"/>
      <c r="D89" s="13"/>
      <c r="E89" s="13"/>
      <c r="F89" s="14"/>
      <c r="G89" s="13"/>
      <c r="H89" s="13"/>
      <c r="I89" s="14"/>
    </row>
    <row r="90" spans="1:9">
      <c r="A90" s="13"/>
      <c r="B90" s="13"/>
      <c r="C90" s="13"/>
      <c r="D90" s="13"/>
      <c r="E90" s="13"/>
      <c r="F90" s="14"/>
      <c r="G90" s="13"/>
      <c r="H90" s="13"/>
      <c r="I90" s="14"/>
    </row>
    <row r="91" spans="1:9">
      <c r="A91" s="13"/>
      <c r="B91" s="13"/>
      <c r="C91" s="13"/>
      <c r="D91" s="13"/>
      <c r="E91" s="13"/>
      <c r="F91" s="14"/>
      <c r="G91" s="13"/>
      <c r="H91" s="13"/>
      <c r="I91" s="14"/>
    </row>
    <row r="92" spans="1:9">
      <c r="A92" s="13"/>
      <c r="B92" s="13"/>
      <c r="C92" s="13"/>
      <c r="D92" s="13"/>
      <c r="E92" s="13"/>
      <c r="F92" s="14"/>
      <c r="G92" s="13"/>
      <c r="H92" s="13"/>
      <c r="I92" s="14"/>
    </row>
    <row r="93" spans="1:9">
      <c r="A93" s="13"/>
      <c r="B93" s="13"/>
      <c r="C93" s="13"/>
      <c r="D93" s="13"/>
      <c r="E93" s="13"/>
      <c r="F93" s="14"/>
      <c r="G93" s="13"/>
      <c r="H93" s="13"/>
      <c r="I93" s="14"/>
    </row>
    <row r="94" spans="1:9">
      <c r="A94" s="13"/>
      <c r="B94" s="13"/>
      <c r="C94" s="13"/>
      <c r="D94" s="13"/>
      <c r="E94" s="13"/>
      <c r="F94" s="14"/>
      <c r="G94" s="13"/>
      <c r="H94" s="13"/>
      <c r="I94" s="14"/>
    </row>
    <row r="95" spans="1:9">
      <c r="A95" s="13"/>
      <c r="B95" s="13"/>
      <c r="C95" s="13"/>
      <c r="D95" s="13"/>
      <c r="E95" s="13"/>
      <c r="F95" s="14"/>
      <c r="G95" s="13"/>
      <c r="H95" s="13"/>
      <c r="I95" s="14"/>
    </row>
    <row r="96" spans="1:9">
      <c r="A96" s="13"/>
      <c r="B96" s="13"/>
      <c r="C96" s="13"/>
      <c r="D96" s="13"/>
      <c r="E96" s="13"/>
      <c r="F96" s="14"/>
      <c r="G96" s="13"/>
      <c r="H96" s="13"/>
      <c r="I96" s="14"/>
    </row>
    <row r="97" spans="1:9">
      <c r="A97" s="13"/>
      <c r="B97" s="13"/>
      <c r="C97" s="13"/>
      <c r="D97" s="13"/>
      <c r="E97" s="13"/>
      <c r="F97" s="14"/>
      <c r="G97" s="13"/>
      <c r="H97" s="13"/>
      <c r="I97" s="14"/>
    </row>
    <row r="98" spans="1:9">
      <c r="A98" s="13"/>
      <c r="B98" s="13"/>
      <c r="C98" s="13"/>
      <c r="D98" s="13"/>
      <c r="E98" s="13"/>
      <c r="F98" s="14"/>
      <c r="G98" s="13"/>
      <c r="H98" s="13"/>
      <c r="I98" s="14"/>
    </row>
    <row r="99" spans="1:9">
      <c r="A99" s="13"/>
      <c r="B99" s="13"/>
      <c r="C99" s="13"/>
      <c r="D99" s="13"/>
      <c r="E99" s="13"/>
      <c r="F99" s="14"/>
      <c r="G99" s="13"/>
      <c r="H99" s="13"/>
      <c r="I99" s="14"/>
    </row>
    <row r="100" spans="1: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>
      <c r="A334" s="13"/>
      <c r="B334" s="13"/>
      <c r="C334" s="13"/>
      <c r="D334" s="13"/>
      <c r="E334" s="13"/>
      <c r="F334" s="14"/>
      <c r="G334" s="13"/>
      <c r="H334" s="13"/>
      <c r="I334" s="1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2 I4:I92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4"/>
  <sheetViews>
    <sheetView workbookViewId="0">
      <pane xSplit="2" ySplit="3" topLeftCell="C4" activePane="bottomRight" state="frozen"/>
      <selection pane="bottomRight" activeCell="A18" sqref="A18"/>
      <selection pane="bottomLeft" activeCell="A18" sqref="A18:XFD24"/>
      <selection pane="topRight" activeCell="A18" sqref="A18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0" t="str" cm="1">
        <f t="array" ref="A1">portfolio</f>
        <v>Catalyze</v>
      </c>
      <c r="B1" s="70"/>
      <c r="C1" s="70"/>
      <c r="D1" s="71" t="s">
        <v>10</v>
      </c>
      <c r="E1" s="71"/>
      <c r="F1" s="71"/>
      <c r="G1" s="69" t="s">
        <v>11</v>
      </c>
      <c r="H1" s="69"/>
      <c r="I1" s="69"/>
    </row>
    <row r="2" spans="1:9" ht="19.5" customHeight="1">
      <c r="A2" s="72" t="s">
        <v>2</v>
      </c>
      <c r="B2" s="72"/>
      <c r="C2" s="5">
        <f>SUM(C4:C92)</f>
        <v>5923301.0999521436</v>
      </c>
      <c r="D2" s="5">
        <f>SUM(D4:D92)</f>
        <v>7368149.3230000008</v>
      </c>
      <c r="E2" s="5">
        <f>C2-D2</f>
        <v>-1444848.2230478572</v>
      </c>
      <c r="F2" s="6">
        <f>IFERROR(E2/D2, 0)</f>
        <v>-0.19609377602292888</v>
      </c>
      <c r="G2" s="5">
        <f>SUM(G4:G92)</f>
        <v>8460490.5099999979</v>
      </c>
      <c r="H2" s="7">
        <f>C2-G2</f>
        <v>-2537189.4100478543</v>
      </c>
      <c r="I2" s="6">
        <f>IFERROR(H2/G2, 0)</f>
        <v>-0.29988679817665265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17">Sites[Site]</f>
        <v>Fresno - 3150 Shaw Ave</v>
      </c>
      <c r="B4" s="35" t="str" cm="1">
        <f t="array" ref="B4:B17">Sites[State]</f>
        <v>CA</v>
      </c>
      <c r="C4" s="36">
        <f>SUM(Jan!C4, Feb!C4, Mar!C4)</f>
        <v>192358.5656249999</v>
      </c>
      <c r="D4" s="37">
        <f>SUM(Jan!D4, Feb!D4, Mar!D4)</f>
        <v>190192.12</v>
      </c>
      <c r="E4" s="37">
        <f>IF(AND(ISNUMBER(C4),ISNUMBER(D4)), C4-D4, "")</f>
        <v>2166.4456249999057</v>
      </c>
      <c r="F4" s="38">
        <f>IFERROR(E4/D4, "")</f>
        <v>1.1390827469612862E-2</v>
      </c>
      <c r="G4" s="39">
        <f>SUM(Jan!G4, Feb!G4, Mar!G4)</f>
        <v>217612.88</v>
      </c>
      <c r="H4" s="39">
        <f>SUM(Jan!H4, Feb!H4, Mar!H4)</f>
        <v>-25254.314375000096</v>
      </c>
      <c r="I4" s="40">
        <f>IFERROR(H4/G4, "")</f>
        <v>-0.11605156080375434</v>
      </c>
    </row>
    <row r="5" spans="1:9" ht="15.75">
      <c r="A5" s="56" t="str">
        <v>Adelanto - 1 Sheep Creek Road</v>
      </c>
      <c r="B5" s="42" t="str">
        <v>CA</v>
      </c>
      <c r="C5" s="43">
        <f>SUM(Jan!C5, Feb!C5, Mar!C5)</f>
        <v>698121</v>
      </c>
      <c r="D5" s="44">
        <f>SUM(Jan!D5, Feb!D5, Mar!D5)</f>
        <v>899827.54</v>
      </c>
      <c r="E5" s="44">
        <f t="shared" ref="E5:E15" si="0">IF(AND(ISNUMBER(C5),ISNUMBER(D5)), C5-D5, "")</f>
        <v>-201706.54000000004</v>
      </c>
      <c r="F5" s="45">
        <f>IFERROR(E5/D5, "")</f>
        <v>-0.22416133207036543</v>
      </c>
      <c r="G5" s="46">
        <f>SUM(Jan!G5, Feb!G5, Mar!G5)</f>
        <v>1896484.4500000002</v>
      </c>
      <c r="H5" s="46">
        <f>SUM(Jan!H5, Feb!H5, Mar!H5)</f>
        <v>-1198363.4500000002</v>
      </c>
      <c r="I5" s="45">
        <f>IFERROR(H5/G5, "")</f>
        <v>-0.63188677871838073</v>
      </c>
    </row>
    <row r="6" spans="1:9" ht="15.75">
      <c r="A6" s="55" t="str">
        <v>Blackstone - 83 Federal Street</v>
      </c>
      <c r="B6" s="35" t="str">
        <v>MA</v>
      </c>
      <c r="C6" s="36">
        <f>SUM(Jan!C6, Feb!C6, Mar!C6)</f>
        <v>1021429</v>
      </c>
      <c r="D6" s="37">
        <f>SUM(Jan!D6, Feb!D6, Mar!D6)</f>
        <v>1250983.5</v>
      </c>
      <c r="E6" s="37">
        <f t="shared" si="0"/>
        <v>-229554.5</v>
      </c>
      <c r="F6" s="38">
        <f t="shared" ref="F6:F15" si="1">IFERROR(E6/D6, "")</f>
        <v>-0.18349922281149192</v>
      </c>
      <c r="G6" s="39">
        <f>SUM(Jan!G6, Feb!G6, Mar!G6)</f>
        <v>1492708.2999999998</v>
      </c>
      <c r="H6" s="39">
        <f>SUM(Jan!H6, Feb!H6, Mar!H6)</f>
        <v>-471279.3</v>
      </c>
      <c r="I6" s="40">
        <f t="shared" ref="I6:I15" si="2">IFERROR(H6/G6, "")</f>
        <v>-0.31572096169090774</v>
      </c>
    </row>
    <row r="7" spans="1:9" ht="15.75">
      <c r="A7" s="56" t="str">
        <v>Charlton - 299 Worcester Road</v>
      </c>
      <c r="B7" s="42" t="str">
        <v>MA</v>
      </c>
      <c r="C7" s="43">
        <f>SUM(Jan!C7, Feb!C7, Mar!C7)</f>
        <v>106387.5</v>
      </c>
      <c r="D7" s="44">
        <f>SUM(Jan!D7, Feb!D7, Mar!D7)</f>
        <v>122897.92</v>
      </c>
      <c r="E7" s="44">
        <f t="shared" si="0"/>
        <v>-16510.419999999998</v>
      </c>
      <c r="F7" s="45">
        <f t="shared" si="1"/>
        <v>-0.13434255030516382</v>
      </c>
      <c r="G7" s="46">
        <f>SUM(Jan!G7, Feb!G7, Mar!G7)</f>
        <v>124156.29</v>
      </c>
      <c r="H7" s="46">
        <f>SUM(Jan!H7, Feb!H7, Mar!H7)</f>
        <v>-17768.789999999997</v>
      </c>
      <c r="I7" s="45">
        <f t="shared" si="2"/>
        <v>-0.14311630929049182</v>
      </c>
    </row>
    <row r="8" spans="1:9" ht="15.75">
      <c r="A8" s="55" t="str">
        <v>Wareham - 8 Thatcher Drive</v>
      </c>
      <c r="B8" s="35" t="str">
        <v>MA</v>
      </c>
      <c r="C8" s="36">
        <f>SUM(Jan!C8, Feb!C8, Mar!C8)</f>
        <v>26732.624999999651</v>
      </c>
      <c r="D8" s="37">
        <f>SUM(Jan!D8, Feb!D8, Mar!D8)</f>
        <v>32689.431</v>
      </c>
      <c r="E8" s="37">
        <f t="shared" si="0"/>
        <v>-5956.8060000003497</v>
      </c>
      <c r="F8" s="38">
        <f t="shared" si="1"/>
        <v>-0.18222421797431559</v>
      </c>
      <c r="G8" s="39">
        <f>SUM(Jan!G8, Feb!G8, Mar!G8)</f>
        <v>36054.828999999998</v>
      </c>
      <c r="H8" s="39">
        <f>SUM(Jan!H8, Feb!H8, Mar!H8)</f>
        <v>-9322.2040000003508</v>
      </c>
      <c r="I8" s="40">
        <f t="shared" si="2"/>
        <v>-0.25855632264960543</v>
      </c>
    </row>
    <row r="9" spans="1:9" ht="15.75">
      <c r="A9" s="56" t="str">
        <v>West Yarmouth - 42 Mid Tech</v>
      </c>
      <c r="B9" s="42" t="str">
        <v>MA</v>
      </c>
      <c r="C9" s="43">
        <f>SUM(Jan!C9, Feb!C9, Mar!C9)</f>
        <v>21092.294170894031</v>
      </c>
      <c r="D9" s="44">
        <f>SUM(Jan!D9, Feb!D9, Mar!D9)</f>
        <v>26594.646000000001</v>
      </c>
      <c r="E9" s="44">
        <f t="shared" si="0"/>
        <v>-5502.35182910597</v>
      </c>
      <c r="F9" s="45">
        <f t="shared" si="1"/>
        <v>-0.20689697577121235</v>
      </c>
      <c r="G9" s="46">
        <f>SUM(Jan!G9, Feb!G9, Mar!G9)</f>
        <v>27861.181</v>
      </c>
      <c r="H9" s="46">
        <f>SUM(Jan!H9, Feb!H9, Mar!H9)</f>
        <v>-6768.8868291059707</v>
      </c>
      <c r="I9" s="45">
        <f t="shared" si="2"/>
        <v>-0.24295046319486494</v>
      </c>
    </row>
    <row r="10" spans="1:9" ht="15.75">
      <c r="A10" s="55" t="str">
        <v>Harrison - 130 Union Street</v>
      </c>
      <c r="B10" s="35" t="str">
        <v>NY</v>
      </c>
      <c r="C10" s="36">
        <f>SUM(Jan!C10, Feb!C10, Mar!C10)</f>
        <v>38110</v>
      </c>
      <c r="D10" s="37">
        <f>SUM(Jan!D10, Feb!D10, Mar!D10)</f>
        <v>49114.895999999993</v>
      </c>
      <c r="E10" s="37">
        <f t="shared" si="0"/>
        <v>-11004.895999999993</v>
      </c>
      <c r="F10" s="38">
        <f t="shared" si="1"/>
        <v>-0.22406432459920092</v>
      </c>
      <c r="G10" s="39">
        <f>SUM(Jan!G10, Feb!G10, Mar!G10)</f>
        <v>46444.25</v>
      </c>
      <c r="H10" s="39">
        <f>SUM(Jan!H10, Feb!H10, Mar!H10)</f>
        <v>-8334.25</v>
      </c>
      <c r="I10" s="40">
        <f t="shared" si="2"/>
        <v>-0.17944632543318065</v>
      </c>
    </row>
    <row r="11" spans="1:9" ht="15.75">
      <c r="A11" s="56" t="str">
        <v>Staten Island - Ellis Storage</v>
      </c>
      <c r="B11" s="42" t="str">
        <v>NY</v>
      </c>
      <c r="C11" s="43">
        <f>SUM(Jan!C11, Feb!C11, Mar!C11)</f>
        <v>90871.75</v>
      </c>
      <c r="D11" s="44">
        <f>SUM(Jan!D11, Feb!D11, Mar!D11)</f>
        <v>116168.45999999999</v>
      </c>
      <c r="E11" s="44">
        <f t="shared" si="0"/>
        <v>-25296.709999999992</v>
      </c>
      <c r="F11" s="45">
        <f t="shared" si="1"/>
        <v>-0.21775884779741414</v>
      </c>
      <c r="G11" s="46">
        <f>SUM(Jan!G11, Feb!G11, Mar!G11)</f>
        <v>102799.02</v>
      </c>
      <c r="H11" s="46">
        <f>SUM(Jan!H11, Feb!H11, Mar!H11)</f>
        <v>-11927.27</v>
      </c>
      <c r="I11" s="45">
        <f t="shared" si="2"/>
        <v>-0.11602513331352769</v>
      </c>
    </row>
    <row r="12" spans="1:9" ht="15.75">
      <c r="A12" s="55" t="str">
        <v>Amherst - 595 Scholles Road</v>
      </c>
      <c r="B12" s="35" t="str">
        <v>NY</v>
      </c>
      <c r="C12" s="36">
        <f>SUM(Jan!C12, Feb!C12, Mar!C12)</f>
        <v>1004650</v>
      </c>
      <c r="D12" s="37">
        <f>SUM(Jan!D12, Feb!D12, Mar!D12)</f>
        <v>1305937.17</v>
      </c>
      <c r="E12" s="37">
        <f t="shared" si="0"/>
        <v>-301287.16999999993</v>
      </c>
      <c r="F12" s="38">
        <f t="shared" si="1"/>
        <v>-0.23070571611036994</v>
      </c>
      <c r="G12" s="39">
        <f>SUM(Jan!G12, Feb!G12, Mar!G12)</f>
        <v>1513702</v>
      </c>
      <c r="H12" s="39">
        <f>SUM(Jan!H12, Feb!H12, Mar!H12)</f>
        <v>-509052</v>
      </c>
      <c r="I12" s="40">
        <f t="shared" si="2"/>
        <v>-0.33629604770291643</v>
      </c>
    </row>
    <row r="13" spans="1:9" ht="15.75">
      <c r="A13" s="56" t="str">
        <v>Lancaster 1 - Gunnville Road</v>
      </c>
      <c r="B13" s="42" t="str">
        <v>NY</v>
      </c>
      <c r="C13" s="43">
        <f>SUM(Jan!C13, Feb!C13, Mar!C13)</f>
        <v>993680</v>
      </c>
      <c r="D13" s="44">
        <f>SUM(Jan!D13, Feb!D13, Mar!D13)</f>
        <v>1203596.5</v>
      </c>
      <c r="E13" s="44">
        <f t="shared" si="0"/>
        <v>-209916.5</v>
      </c>
      <c r="F13" s="45">
        <f t="shared" si="1"/>
        <v>-0.17440770224905108</v>
      </c>
      <c r="G13" s="46">
        <f>SUM(Jan!G13, Feb!G13, Mar!G13)</f>
        <v>1025700</v>
      </c>
      <c r="H13" s="46">
        <f>SUM(Jan!H13, Feb!H13, Mar!H13)</f>
        <v>-32019.999999999942</v>
      </c>
      <c r="I13" s="45">
        <f t="shared" si="2"/>
        <v>-3.1217704981963482E-2</v>
      </c>
    </row>
    <row r="14" spans="1:9" ht="15.75">
      <c r="A14" s="55" t="str">
        <v>Lancaster 2 - Shisler Road</v>
      </c>
      <c r="B14" s="35" t="str">
        <v>NY</v>
      </c>
      <c r="C14" s="36">
        <f>SUM(Jan!C14, Feb!C14, Mar!C14)</f>
        <v>951657</v>
      </c>
      <c r="D14" s="37">
        <f>SUM(Jan!D14, Feb!D14, Mar!D14)</f>
        <v>1317386.2</v>
      </c>
      <c r="E14" s="37">
        <f t="shared" si="0"/>
        <v>-365729.19999999995</v>
      </c>
      <c r="F14" s="38">
        <f t="shared" si="1"/>
        <v>-0.27761730007495145</v>
      </c>
      <c r="G14" s="39">
        <f>SUM(Jan!G14, Feb!G14, Mar!G14)</f>
        <v>1119615.1000000001</v>
      </c>
      <c r="H14" s="39">
        <f>SUM(Jan!H14, Feb!H14, Mar!H14)</f>
        <v>-167958.09999999998</v>
      </c>
      <c r="I14" s="40">
        <f t="shared" si="2"/>
        <v>-0.15001414325333765</v>
      </c>
    </row>
    <row r="15" spans="1:9" ht="15.75">
      <c r="A15" s="56" t="str">
        <v>Fullerton - 200 W Orangethorpe</v>
      </c>
      <c r="B15" s="42" t="str">
        <v>CA</v>
      </c>
      <c r="C15" s="43">
        <f>SUM(Jan!C15, Feb!C15, Mar!C15)</f>
        <v>228387.86515625002</v>
      </c>
      <c r="D15" s="44">
        <f>SUM(Jan!D15, Feb!D15, Mar!D15)</f>
        <v>237208.44</v>
      </c>
      <c r="E15" s="44">
        <f t="shared" si="0"/>
        <v>-8820.574843749986</v>
      </c>
      <c r="F15" s="45">
        <f t="shared" si="1"/>
        <v>-3.7184911480173242E-2</v>
      </c>
      <c r="G15" s="46">
        <f>SUM(Jan!G15, Feb!G15, Mar!G15)</f>
        <v>268566.67000000004</v>
      </c>
      <c r="H15" s="46">
        <f>SUM(Jan!H15, Feb!H15, Mar!H15)</f>
        <v>-40178.804843750004</v>
      </c>
      <c r="I15" s="45">
        <f t="shared" si="2"/>
        <v>-0.14960458363560153</v>
      </c>
    </row>
    <row r="16" spans="1:9" ht="15.75">
      <c r="A16" s="55" t="str">
        <v>El Paso - 10500 Railroad Drive</v>
      </c>
      <c r="B16" s="35" t="str">
        <v>TX</v>
      </c>
      <c r="C16" s="36">
        <f>SUM(Jan!C16, Feb!C16, Mar!C16)</f>
        <v>302499.25</v>
      </c>
      <c r="D16" s="37">
        <f>SUM(Jan!D16, Feb!D16, Mar!D16)</f>
        <v>350397.5</v>
      </c>
      <c r="E16" s="37">
        <f t="shared" ref="E16:E17" si="3">IF(AND(ISNUMBER(C16),ISNUMBER(D16)), C16-D16, "")</f>
        <v>-47898.25</v>
      </c>
      <c r="F16" s="38">
        <f t="shared" ref="F16:F17" si="4">IFERROR(E16/D16, "")</f>
        <v>-0.13669689424153997</v>
      </c>
      <c r="G16" s="39">
        <f>SUM(Jan!G16, Feb!G16, Mar!G16)</f>
        <v>330854.96999999997</v>
      </c>
      <c r="H16" s="39">
        <f>SUM(Jan!H16, Feb!H16, Mar!H16)</f>
        <v>-28355.72</v>
      </c>
      <c r="I16" s="40">
        <f t="shared" ref="I16:I17" si="5">IFERROR(H16/G16, "")</f>
        <v>-8.570437977703646E-2</v>
      </c>
    </row>
    <row r="17" spans="1:9" ht="15.75">
      <c r="A17" s="56" t="str">
        <v>Friona - 900 Millard Ave</v>
      </c>
      <c r="B17" s="42" t="str">
        <v>TX</v>
      </c>
      <c r="C17" s="43">
        <f>SUM(Jan!C17, Feb!C17, Mar!C17)</f>
        <v>247324.25</v>
      </c>
      <c r="D17" s="44">
        <f>SUM(Jan!D17, Feb!D17, Mar!D17)</f>
        <v>265155</v>
      </c>
      <c r="E17" s="44">
        <f t="shared" si="3"/>
        <v>-17830.75</v>
      </c>
      <c r="F17" s="45">
        <f t="shared" si="4"/>
        <v>-6.7246516188644384E-2</v>
      </c>
      <c r="G17" s="46">
        <f>SUM(Jan!G17, Feb!G17, Mar!G17)</f>
        <v>257930.57</v>
      </c>
      <c r="H17" s="46">
        <f>SUM(Jan!H17, Feb!H17, Mar!H17)</f>
        <v>-10606.319999999992</v>
      </c>
      <c r="I17" s="45">
        <f t="shared" si="5"/>
        <v>-4.1120833408773504E-2</v>
      </c>
    </row>
    <row r="18" spans="1:9" ht="15">
      <c r="A18" s="13"/>
      <c r="B18" s="8"/>
      <c r="C18" s="13"/>
      <c r="D18" s="13"/>
      <c r="E18" s="13"/>
      <c r="F18" s="13"/>
      <c r="G18" s="13"/>
      <c r="H18" s="13"/>
      <c r="I18" s="13"/>
    </row>
    <row r="19" spans="1:9">
      <c r="A19" s="13"/>
      <c r="B19" s="13"/>
      <c r="C19" s="13"/>
      <c r="D19" s="13"/>
      <c r="E19" s="13"/>
      <c r="F19" s="13"/>
      <c r="G19" s="13"/>
      <c r="H19" s="13"/>
      <c r="I19" s="13"/>
    </row>
    <row r="20" spans="1:9">
      <c r="A20" s="13"/>
      <c r="B20" s="13"/>
      <c r="C20" s="13"/>
      <c r="D20" s="13"/>
      <c r="E20" s="13"/>
      <c r="F20" s="13"/>
      <c r="G20" s="13"/>
      <c r="H20" s="13"/>
      <c r="I20" s="13"/>
    </row>
    <row r="21" spans="1:9">
      <c r="A21" s="13"/>
      <c r="B21" s="13"/>
      <c r="C21" s="13"/>
      <c r="D21" s="13"/>
      <c r="E21" s="13"/>
      <c r="F21" s="13"/>
      <c r="G21" s="13"/>
      <c r="H21" s="13"/>
      <c r="I21" s="13"/>
    </row>
    <row r="22" spans="1:9">
      <c r="A22" s="13"/>
      <c r="B22" s="13"/>
      <c r="C22" s="13"/>
      <c r="D22" s="13"/>
      <c r="E22" s="13"/>
      <c r="F22" s="13"/>
      <c r="G22" s="13"/>
      <c r="H22" s="13"/>
      <c r="I22" s="13"/>
    </row>
    <row r="23" spans="1:9">
      <c r="A23" s="13"/>
      <c r="B23" s="13"/>
      <c r="C23" s="13"/>
      <c r="D23" s="13"/>
      <c r="E23" s="13"/>
      <c r="F23" s="13"/>
      <c r="G23" s="13"/>
      <c r="H23" s="13"/>
      <c r="I23" s="13"/>
    </row>
    <row r="24" spans="1:9">
      <c r="A24" s="13"/>
      <c r="B24" s="13"/>
      <c r="C24" s="13"/>
      <c r="D24" s="13"/>
      <c r="E24" s="13"/>
      <c r="F24" s="13"/>
      <c r="G24" s="13"/>
      <c r="H24" s="13"/>
      <c r="I24" s="13"/>
    </row>
    <row r="25" spans="1:9">
      <c r="A25" s="13"/>
      <c r="B25" s="13"/>
      <c r="C25" s="13"/>
      <c r="D25" s="13"/>
      <c r="E25" s="13"/>
      <c r="F25" s="14"/>
      <c r="G25" s="13"/>
      <c r="H25" s="13"/>
      <c r="I25" s="14"/>
    </row>
    <row r="26" spans="1:9">
      <c r="A26" s="13"/>
      <c r="B26" s="13"/>
      <c r="C26" s="13"/>
      <c r="D26" s="13"/>
      <c r="E26" s="13"/>
      <c r="F26" s="14"/>
      <c r="G26" s="13"/>
      <c r="H26" s="13"/>
      <c r="I26" s="14"/>
    </row>
    <row r="27" spans="1:9">
      <c r="A27" s="13"/>
      <c r="B27" s="13"/>
      <c r="C27" s="13"/>
      <c r="D27" s="13"/>
      <c r="E27" s="13"/>
      <c r="F27" s="14"/>
      <c r="G27" s="13"/>
      <c r="H27" s="13"/>
      <c r="I27" s="14"/>
    </row>
    <row r="28" spans="1:9">
      <c r="A28" s="13"/>
      <c r="B28" s="13"/>
      <c r="C28" s="13"/>
      <c r="D28" s="13"/>
      <c r="E28" s="13"/>
      <c r="F28" s="14"/>
      <c r="G28" s="13"/>
      <c r="H28" s="13"/>
      <c r="I28" s="14"/>
    </row>
    <row r="29" spans="1:9">
      <c r="A29" s="13"/>
      <c r="B29" s="13"/>
      <c r="C29" s="13"/>
      <c r="D29" s="13"/>
      <c r="E29" s="13"/>
      <c r="F29" s="14"/>
      <c r="G29" s="13"/>
      <c r="H29" s="13"/>
      <c r="I29" s="14"/>
    </row>
    <row r="30" spans="1:9">
      <c r="A30" s="13"/>
      <c r="B30" s="13"/>
      <c r="C30" s="13"/>
      <c r="D30" s="13"/>
      <c r="E30" s="13"/>
      <c r="F30" s="14"/>
      <c r="G30" s="13"/>
      <c r="H30" s="13"/>
      <c r="I30" s="14"/>
    </row>
    <row r="31" spans="1:9">
      <c r="A31" s="13"/>
      <c r="B31" s="13"/>
      <c r="C31" s="13"/>
      <c r="D31" s="13"/>
      <c r="E31" s="13"/>
      <c r="F31" s="14"/>
      <c r="G31" s="13"/>
      <c r="H31" s="13"/>
      <c r="I31" s="14"/>
    </row>
    <row r="32" spans="1:9">
      <c r="A32" s="13"/>
      <c r="B32" s="13"/>
      <c r="C32" s="13"/>
      <c r="D32" s="13"/>
      <c r="E32" s="13"/>
      <c r="F32" s="14"/>
      <c r="G32" s="13"/>
      <c r="H32" s="13"/>
      <c r="I32" s="14"/>
    </row>
    <row r="33" spans="1:9">
      <c r="A33" s="13"/>
      <c r="B33" s="13"/>
      <c r="C33" s="13"/>
      <c r="D33" s="13"/>
      <c r="E33" s="13"/>
      <c r="F33" s="14"/>
      <c r="G33" s="13"/>
      <c r="H33" s="13"/>
      <c r="I33" s="14"/>
    </row>
    <row r="34" spans="1:9">
      <c r="A34" s="13"/>
      <c r="B34" s="13"/>
      <c r="C34" s="13"/>
      <c r="D34" s="13"/>
      <c r="E34" s="13"/>
      <c r="F34" s="14"/>
      <c r="G34" s="13"/>
      <c r="H34" s="13"/>
      <c r="I34" s="14"/>
    </row>
    <row r="35" spans="1:9">
      <c r="A35" s="13"/>
      <c r="B35" s="13"/>
      <c r="C35" s="13"/>
      <c r="D35" s="13"/>
      <c r="E35" s="13"/>
      <c r="F35" s="14"/>
      <c r="G35" s="13"/>
      <c r="H35" s="13"/>
      <c r="I35" s="14"/>
    </row>
    <row r="36" spans="1:9">
      <c r="A36" s="13"/>
      <c r="B36" s="13"/>
      <c r="C36" s="13"/>
      <c r="D36" s="13"/>
      <c r="E36" s="13"/>
      <c r="F36" s="14"/>
      <c r="G36" s="13"/>
      <c r="H36" s="13"/>
      <c r="I36" s="14"/>
    </row>
    <row r="37" spans="1:9">
      <c r="A37" s="13"/>
      <c r="B37" s="13"/>
      <c r="C37" s="13"/>
      <c r="D37" s="13"/>
      <c r="E37" s="13"/>
      <c r="F37" s="14"/>
      <c r="G37" s="13"/>
      <c r="H37" s="13"/>
      <c r="I37" s="14"/>
    </row>
    <row r="38" spans="1:9">
      <c r="A38" s="13"/>
      <c r="B38" s="13"/>
      <c r="C38" s="13"/>
      <c r="D38" s="13"/>
      <c r="E38" s="13"/>
      <c r="F38" s="14"/>
      <c r="G38" s="13"/>
      <c r="H38" s="13"/>
      <c r="I38" s="14"/>
    </row>
    <row r="39" spans="1:9">
      <c r="A39" s="13"/>
      <c r="B39" s="13"/>
      <c r="C39" s="13"/>
      <c r="D39" s="13"/>
      <c r="E39" s="13"/>
      <c r="F39" s="14"/>
      <c r="G39" s="13"/>
      <c r="H39" s="13"/>
      <c r="I39" s="14"/>
    </row>
    <row r="40" spans="1:9">
      <c r="A40" s="13"/>
      <c r="B40" s="13"/>
      <c r="C40" s="13"/>
      <c r="D40" s="13"/>
      <c r="E40" s="13"/>
      <c r="F40" s="14"/>
      <c r="G40" s="13"/>
      <c r="H40" s="13"/>
      <c r="I40" s="14"/>
    </row>
    <row r="41" spans="1:9">
      <c r="A41" s="13"/>
      <c r="B41" s="13"/>
      <c r="C41" s="13"/>
      <c r="D41" s="13"/>
      <c r="E41" s="13"/>
      <c r="F41" s="14"/>
      <c r="G41" s="13"/>
      <c r="H41" s="13"/>
      <c r="I41" s="14"/>
    </row>
    <row r="42" spans="1:9">
      <c r="A42" s="13"/>
      <c r="B42" s="13"/>
      <c r="C42" s="13"/>
      <c r="D42" s="13"/>
      <c r="E42" s="13"/>
      <c r="F42" s="14"/>
      <c r="G42" s="13"/>
      <c r="H42" s="13"/>
      <c r="I42" s="14"/>
    </row>
    <row r="43" spans="1:9">
      <c r="A43" s="13"/>
      <c r="B43" s="13"/>
      <c r="C43" s="13"/>
      <c r="D43" s="13"/>
      <c r="E43" s="13"/>
      <c r="F43" s="14"/>
      <c r="G43" s="13"/>
      <c r="H43" s="13"/>
      <c r="I43" s="14"/>
    </row>
    <row r="44" spans="1:9">
      <c r="A44" s="13"/>
      <c r="B44" s="13"/>
      <c r="C44" s="13"/>
      <c r="D44" s="13"/>
      <c r="E44" s="13"/>
      <c r="F44" s="14"/>
      <c r="G44" s="13"/>
      <c r="H44" s="13"/>
      <c r="I44" s="14"/>
    </row>
    <row r="45" spans="1:9">
      <c r="A45" s="13"/>
      <c r="B45" s="13"/>
      <c r="C45" s="13"/>
      <c r="D45" s="13"/>
      <c r="E45" s="13"/>
      <c r="F45" s="14"/>
      <c r="G45" s="13"/>
      <c r="H45" s="13"/>
      <c r="I45" s="14"/>
    </row>
    <row r="46" spans="1:9">
      <c r="A46" s="13"/>
      <c r="B46" s="13"/>
      <c r="C46" s="13"/>
      <c r="D46" s="13"/>
      <c r="E46" s="13"/>
      <c r="F46" s="14"/>
      <c r="G46" s="13"/>
      <c r="H46" s="13"/>
      <c r="I46" s="14"/>
    </row>
    <row r="47" spans="1:9">
      <c r="A47" s="13"/>
      <c r="B47" s="13"/>
      <c r="C47" s="13"/>
      <c r="D47" s="13"/>
      <c r="E47" s="13"/>
      <c r="F47" s="14"/>
      <c r="G47" s="13"/>
      <c r="H47" s="13"/>
      <c r="I47" s="14"/>
    </row>
    <row r="48" spans="1:9">
      <c r="A48" s="13"/>
      <c r="B48" s="13"/>
      <c r="C48" s="13"/>
      <c r="D48" s="13"/>
      <c r="E48" s="13"/>
      <c r="F48" s="14"/>
      <c r="G48" s="13"/>
      <c r="H48" s="13"/>
      <c r="I48" s="14"/>
    </row>
    <row r="49" spans="1:9">
      <c r="A49" s="13"/>
      <c r="B49" s="13"/>
      <c r="C49" s="13"/>
      <c r="D49" s="13"/>
      <c r="E49" s="13"/>
      <c r="F49" s="14"/>
      <c r="G49" s="13"/>
      <c r="H49" s="13"/>
      <c r="I49" s="14"/>
    </row>
    <row r="50" spans="1:9">
      <c r="A50" s="13"/>
      <c r="B50" s="13"/>
      <c r="C50" s="13"/>
      <c r="D50" s="13"/>
      <c r="E50" s="13"/>
      <c r="F50" s="14"/>
      <c r="G50" s="13"/>
      <c r="H50" s="13"/>
      <c r="I50" s="14"/>
    </row>
    <row r="51" spans="1:9">
      <c r="A51" s="13"/>
      <c r="B51" s="13"/>
      <c r="C51" s="13"/>
      <c r="D51" s="13"/>
      <c r="E51" s="13"/>
      <c r="F51" s="14"/>
      <c r="G51" s="13"/>
      <c r="H51" s="13"/>
      <c r="I51" s="14"/>
    </row>
    <row r="52" spans="1:9">
      <c r="A52" s="13"/>
      <c r="B52" s="13"/>
      <c r="C52" s="13"/>
      <c r="D52" s="13"/>
      <c r="E52" s="13"/>
      <c r="F52" s="14"/>
      <c r="G52" s="13"/>
      <c r="H52" s="13"/>
      <c r="I52" s="14"/>
    </row>
    <row r="53" spans="1:9">
      <c r="A53" s="13"/>
      <c r="B53" s="13"/>
      <c r="C53" s="13"/>
      <c r="D53" s="13"/>
      <c r="E53" s="13"/>
      <c r="F53" s="14"/>
      <c r="G53" s="13"/>
      <c r="H53" s="13"/>
      <c r="I53" s="14"/>
    </row>
    <row r="54" spans="1:9">
      <c r="A54" s="13"/>
      <c r="B54" s="13"/>
      <c r="C54" s="13"/>
      <c r="D54" s="13"/>
      <c r="E54" s="13"/>
      <c r="F54" s="14"/>
      <c r="G54" s="13"/>
      <c r="H54" s="13"/>
      <c r="I54" s="14"/>
    </row>
    <row r="55" spans="1:9">
      <c r="A55" s="13"/>
      <c r="B55" s="13"/>
      <c r="C55" s="13"/>
      <c r="D55" s="13"/>
      <c r="E55" s="13"/>
      <c r="F55" s="14"/>
      <c r="G55" s="13"/>
      <c r="H55" s="13"/>
      <c r="I55" s="14"/>
    </row>
    <row r="56" spans="1:9">
      <c r="A56" s="13"/>
      <c r="B56" s="13"/>
      <c r="C56" s="13"/>
      <c r="D56" s="13"/>
      <c r="E56" s="13"/>
      <c r="F56" s="14"/>
      <c r="G56" s="13"/>
      <c r="H56" s="13"/>
      <c r="I56" s="14"/>
    </row>
    <row r="57" spans="1:9">
      <c r="A57" s="13"/>
      <c r="B57" s="13"/>
      <c r="C57" s="13"/>
      <c r="D57" s="13"/>
      <c r="E57" s="13"/>
      <c r="F57" s="14"/>
      <c r="G57" s="13"/>
      <c r="H57" s="13"/>
      <c r="I57" s="14"/>
    </row>
    <row r="58" spans="1:9">
      <c r="A58" s="13"/>
      <c r="B58" s="13"/>
      <c r="C58" s="13"/>
      <c r="D58" s="13"/>
      <c r="E58" s="13"/>
      <c r="F58" s="14"/>
      <c r="G58" s="13"/>
      <c r="H58" s="13"/>
      <c r="I58" s="14"/>
    </row>
    <row r="59" spans="1:9">
      <c r="A59" s="13"/>
      <c r="B59" s="13"/>
      <c r="C59" s="13"/>
      <c r="D59" s="13"/>
      <c r="E59" s="13"/>
      <c r="F59" s="14"/>
      <c r="G59" s="13"/>
      <c r="H59" s="13"/>
      <c r="I59" s="14"/>
    </row>
    <row r="60" spans="1:9">
      <c r="A60" s="13"/>
      <c r="B60" s="13"/>
      <c r="C60" s="13"/>
      <c r="D60" s="13"/>
      <c r="E60" s="13"/>
      <c r="F60" s="14"/>
      <c r="G60" s="13"/>
      <c r="H60" s="13"/>
      <c r="I60" s="14"/>
    </row>
    <row r="61" spans="1:9">
      <c r="A61" s="13"/>
      <c r="B61" s="13"/>
      <c r="C61" s="13"/>
      <c r="D61" s="13"/>
      <c r="E61" s="13"/>
      <c r="F61" s="14"/>
      <c r="G61" s="13"/>
      <c r="H61" s="13"/>
      <c r="I61" s="14"/>
    </row>
    <row r="62" spans="1:9">
      <c r="A62" s="13"/>
      <c r="B62" s="13"/>
      <c r="C62" s="13"/>
      <c r="D62" s="13"/>
      <c r="E62" s="13"/>
      <c r="F62" s="14"/>
      <c r="G62" s="13"/>
      <c r="H62" s="13"/>
      <c r="I62" s="14"/>
    </row>
    <row r="63" spans="1:9">
      <c r="A63" s="13"/>
      <c r="B63" s="13"/>
      <c r="C63" s="13"/>
      <c r="D63" s="13"/>
      <c r="E63" s="13"/>
      <c r="F63" s="14"/>
      <c r="G63" s="13"/>
      <c r="H63" s="13"/>
      <c r="I63" s="14"/>
    </row>
    <row r="64" spans="1:9">
      <c r="A64" s="13"/>
      <c r="B64" s="13"/>
      <c r="C64" s="13"/>
      <c r="D64" s="13"/>
      <c r="E64" s="13"/>
      <c r="F64" s="14"/>
      <c r="G64" s="13"/>
      <c r="H64" s="13"/>
      <c r="I64" s="14"/>
    </row>
    <row r="65" spans="1:9">
      <c r="A65" s="13"/>
      <c r="B65" s="13"/>
      <c r="C65" s="13"/>
      <c r="D65" s="13"/>
      <c r="E65" s="13"/>
      <c r="F65" s="14"/>
      <c r="G65" s="13"/>
      <c r="H65" s="13"/>
      <c r="I65" s="14"/>
    </row>
    <row r="66" spans="1:9">
      <c r="A66" s="13"/>
      <c r="B66" s="13"/>
      <c r="C66" s="13"/>
      <c r="D66" s="13"/>
      <c r="E66" s="13"/>
      <c r="F66" s="14"/>
      <c r="G66" s="13"/>
      <c r="H66" s="13"/>
      <c r="I66" s="14"/>
    </row>
    <row r="67" spans="1:9">
      <c r="A67" s="13"/>
      <c r="B67" s="13"/>
      <c r="C67" s="13"/>
      <c r="D67" s="13"/>
      <c r="E67" s="13"/>
      <c r="F67" s="14"/>
      <c r="G67" s="13"/>
      <c r="H67" s="13"/>
      <c r="I67" s="14"/>
    </row>
    <row r="68" spans="1:9">
      <c r="A68" s="13"/>
      <c r="B68" s="13"/>
      <c r="C68" s="13"/>
      <c r="D68" s="13"/>
      <c r="E68" s="13"/>
      <c r="F68" s="14"/>
      <c r="G68" s="13"/>
      <c r="H68" s="13"/>
      <c r="I68" s="14"/>
    </row>
    <row r="69" spans="1:9">
      <c r="A69" s="13"/>
      <c r="B69" s="13"/>
      <c r="C69" s="13"/>
      <c r="D69" s="13"/>
      <c r="E69" s="13"/>
      <c r="F69" s="14"/>
      <c r="G69" s="13"/>
      <c r="H69" s="13"/>
      <c r="I69" s="14"/>
    </row>
    <row r="70" spans="1:9">
      <c r="A70" s="13"/>
      <c r="B70" s="13"/>
      <c r="C70" s="13"/>
      <c r="D70" s="13"/>
      <c r="E70" s="13"/>
      <c r="F70" s="14"/>
      <c r="G70" s="13"/>
      <c r="H70" s="13"/>
      <c r="I70" s="14"/>
    </row>
    <row r="71" spans="1:9">
      <c r="A71" s="13"/>
      <c r="B71" s="13"/>
      <c r="C71" s="13"/>
      <c r="D71" s="13"/>
      <c r="E71" s="13"/>
      <c r="F71" s="14"/>
      <c r="G71" s="13"/>
      <c r="H71" s="13"/>
      <c r="I71" s="14"/>
    </row>
    <row r="72" spans="1:9">
      <c r="A72" s="13"/>
      <c r="B72" s="13"/>
      <c r="C72" s="13"/>
      <c r="D72" s="13"/>
      <c r="E72" s="13"/>
      <c r="F72" s="14"/>
      <c r="G72" s="13"/>
      <c r="H72" s="13"/>
      <c r="I72" s="14"/>
    </row>
    <row r="73" spans="1:9">
      <c r="A73" s="13"/>
      <c r="B73" s="13"/>
      <c r="C73" s="13"/>
      <c r="D73" s="13"/>
      <c r="E73" s="13"/>
      <c r="F73" s="14"/>
      <c r="G73" s="13"/>
      <c r="H73" s="13"/>
      <c r="I73" s="14"/>
    </row>
    <row r="74" spans="1:9">
      <c r="A74" s="13"/>
      <c r="B74" s="13"/>
      <c r="C74" s="13"/>
      <c r="D74" s="13"/>
      <c r="E74" s="13"/>
      <c r="F74" s="14"/>
      <c r="G74" s="13"/>
      <c r="H74" s="13"/>
      <c r="I74" s="14"/>
    </row>
    <row r="75" spans="1:9">
      <c r="A75" s="13"/>
      <c r="B75" s="13"/>
      <c r="C75" s="13"/>
      <c r="D75" s="13"/>
      <c r="E75" s="13"/>
      <c r="F75" s="14"/>
      <c r="G75" s="13"/>
      <c r="H75" s="13"/>
      <c r="I75" s="14"/>
    </row>
    <row r="76" spans="1:9">
      <c r="A76" s="13"/>
      <c r="B76" s="13"/>
      <c r="C76" s="13"/>
      <c r="D76" s="13"/>
      <c r="E76" s="13"/>
      <c r="F76" s="14"/>
      <c r="G76" s="13"/>
      <c r="H76" s="13"/>
      <c r="I76" s="14"/>
    </row>
    <row r="77" spans="1:9">
      <c r="A77" s="13"/>
      <c r="B77" s="13"/>
      <c r="C77" s="13"/>
      <c r="D77" s="13"/>
      <c r="E77" s="13"/>
      <c r="F77" s="14"/>
      <c r="G77" s="13"/>
      <c r="H77" s="13"/>
      <c r="I77" s="14"/>
    </row>
    <row r="78" spans="1:9">
      <c r="A78" s="13"/>
      <c r="B78" s="13"/>
      <c r="C78" s="13"/>
      <c r="D78" s="13"/>
      <c r="E78" s="13"/>
      <c r="F78" s="14"/>
      <c r="G78" s="13"/>
      <c r="H78" s="13"/>
      <c r="I78" s="14"/>
    </row>
    <row r="79" spans="1:9">
      <c r="A79" s="13"/>
      <c r="B79" s="13"/>
      <c r="C79" s="13"/>
      <c r="D79" s="13"/>
      <c r="E79" s="13"/>
      <c r="F79" s="14"/>
      <c r="G79" s="13"/>
      <c r="H79" s="13"/>
      <c r="I79" s="14"/>
    </row>
    <row r="80" spans="1:9">
      <c r="A80" s="13"/>
      <c r="B80" s="13"/>
      <c r="C80" s="13"/>
      <c r="D80" s="13"/>
      <c r="E80" s="13"/>
      <c r="F80" s="14"/>
      <c r="G80" s="13"/>
      <c r="H80" s="13"/>
      <c r="I80" s="14"/>
    </row>
    <row r="81" spans="1:9">
      <c r="A81" s="13"/>
      <c r="B81" s="13"/>
      <c r="C81" s="13"/>
      <c r="D81" s="13"/>
      <c r="E81" s="13"/>
      <c r="F81" s="14"/>
      <c r="G81" s="13"/>
      <c r="H81" s="13"/>
      <c r="I81" s="14"/>
    </row>
    <row r="82" spans="1:9">
      <c r="A82" s="13"/>
      <c r="B82" s="13"/>
      <c r="C82" s="13"/>
      <c r="D82" s="13"/>
      <c r="E82" s="13"/>
      <c r="F82" s="14"/>
      <c r="G82" s="13"/>
      <c r="H82" s="13"/>
      <c r="I82" s="14"/>
    </row>
    <row r="83" spans="1:9">
      <c r="A83" s="13"/>
      <c r="B83" s="13"/>
      <c r="C83" s="13"/>
      <c r="D83" s="13"/>
      <c r="E83" s="13"/>
      <c r="F83" s="14"/>
      <c r="G83" s="13"/>
      <c r="H83" s="13"/>
      <c r="I83" s="14"/>
    </row>
    <row r="84" spans="1:9">
      <c r="A84" s="13"/>
      <c r="B84" s="13"/>
      <c r="C84" s="13"/>
      <c r="D84" s="13"/>
      <c r="E84" s="13"/>
      <c r="F84" s="14"/>
      <c r="G84" s="13"/>
      <c r="H84" s="13"/>
      <c r="I84" s="14"/>
    </row>
    <row r="85" spans="1:9">
      <c r="A85" s="13"/>
      <c r="B85" s="13"/>
      <c r="C85" s="13"/>
      <c r="D85" s="13"/>
      <c r="E85" s="13"/>
      <c r="F85" s="14"/>
      <c r="G85" s="13"/>
      <c r="H85" s="13"/>
      <c r="I85" s="14"/>
    </row>
    <row r="86" spans="1:9">
      <c r="A86" s="13"/>
      <c r="B86" s="13"/>
      <c r="C86" s="13"/>
      <c r="D86" s="13"/>
      <c r="E86" s="13"/>
      <c r="F86" s="14"/>
      <c r="G86" s="13"/>
      <c r="H86" s="13"/>
      <c r="I86" s="14"/>
    </row>
    <row r="87" spans="1:9">
      <c r="A87" s="13"/>
      <c r="B87" s="13"/>
      <c r="C87" s="13"/>
      <c r="D87" s="13"/>
      <c r="E87" s="13"/>
      <c r="F87" s="14"/>
      <c r="G87" s="13"/>
      <c r="H87" s="13"/>
      <c r="I87" s="14"/>
    </row>
    <row r="88" spans="1:9">
      <c r="A88" s="13"/>
      <c r="B88" s="13"/>
      <c r="C88" s="13"/>
      <c r="D88" s="13"/>
      <c r="E88" s="13"/>
      <c r="F88" s="14"/>
      <c r="G88" s="13"/>
      <c r="H88" s="13"/>
      <c r="I88" s="14"/>
    </row>
    <row r="89" spans="1:9">
      <c r="A89" s="13"/>
      <c r="B89" s="13"/>
      <c r="C89" s="13"/>
      <c r="D89" s="13"/>
      <c r="E89" s="13"/>
      <c r="F89" s="14"/>
      <c r="G89" s="13"/>
      <c r="H89" s="13"/>
      <c r="I89" s="14"/>
    </row>
    <row r="90" spans="1:9">
      <c r="A90" s="13"/>
      <c r="B90" s="13"/>
      <c r="C90" s="13"/>
      <c r="D90" s="13"/>
      <c r="E90" s="13"/>
      <c r="F90" s="14"/>
      <c r="G90" s="13"/>
      <c r="H90" s="13"/>
      <c r="I90" s="14"/>
    </row>
    <row r="91" spans="1:9">
      <c r="A91" s="13"/>
      <c r="B91" s="13"/>
      <c r="C91" s="13"/>
      <c r="D91" s="13"/>
      <c r="E91" s="13"/>
      <c r="F91" s="14"/>
      <c r="G91" s="13"/>
      <c r="H91" s="13"/>
      <c r="I91" s="14"/>
    </row>
    <row r="92" spans="1:9">
      <c r="A92" s="13"/>
      <c r="B92" s="13"/>
      <c r="C92" s="13"/>
      <c r="D92" s="13"/>
      <c r="E92" s="13"/>
      <c r="F92" s="14"/>
      <c r="G92" s="13"/>
      <c r="H92" s="13"/>
      <c r="I92" s="14"/>
    </row>
    <row r="93" spans="1:9">
      <c r="A93" s="13"/>
      <c r="B93" s="13"/>
      <c r="C93" s="13"/>
      <c r="D93" s="13"/>
      <c r="E93" s="13"/>
      <c r="F93" s="14"/>
      <c r="G93" s="13"/>
      <c r="H93" s="13"/>
      <c r="I93" s="14"/>
    </row>
    <row r="94" spans="1:9">
      <c r="A94" s="13"/>
      <c r="B94" s="13"/>
      <c r="C94" s="13"/>
      <c r="D94" s="13"/>
      <c r="E94" s="13"/>
      <c r="F94" s="14"/>
      <c r="G94" s="13"/>
      <c r="H94" s="13"/>
      <c r="I94" s="14"/>
    </row>
    <row r="95" spans="1:9">
      <c r="A95" s="13"/>
      <c r="B95" s="13"/>
      <c r="C95" s="13"/>
      <c r="D95" s="13"/>
      <c r="E95" s="13"/>
      <c r="F95" s="14"/>
      <c r="G95" s="13"/>
      <c r="H95" s="13"/>
      <c r="I95" s="14"/>
    </row>
    <row r="96" spans="1:9">
      <c r="A96" s="13"/>
      <c r="B96" s="13"/>
      <c r="C96" s="13"/>
      <c r="D96" s="13"/>
      <c r="E96" s="13"/>
      <c r="F96" s="14"/>
      <c r="G96" s="13"/>
      <c r="H96" s="13"/>
      <c r="I96" s="14"/>
    </row>
    <row r="97" spans="1:9">
      <c r="A97" s="13"/>
      <c r="B97" s="13"/>
      <c r="C97" s="13"/>
      <c r="D97" s="13"/>
      <c r="E97" s="13"/>
      <c r="F97" s="14"/>
      <c r="G97" s="13"/>
      <c r="H97" s="13"/>
      <c r="I97" s="14"/>
    </row>
    <row r="98" spans="1:9">
      <c r="A98" s="13"/>
      <c r="B98" s="13"/>
      <c r="C98" s="13"/>
      <c r="D98" s="13"/>
      <c r="E98" s="13"/>
      <c r="F98" s="14"/>
      <c r="G98" s="13"/>
      <c r="H98" s="13"/>
      <c r="I98" s="14"/>
    </row>
    <row r="99" spans="1:9">
      <c r="A99" s="13"/>
      <c r="B99" s="13"/>
      <c r="C99" s="13"/>
      <c r="D99" s="13"/>
      <c r="E99" s="13"/>
      <c r="F99" s="14"/>
      <c r="G99" s="13"/>
      <c r="H99" s="13"/>
      <c r="I99" s="14"/>
    </row>
    <row r="100" spans="1: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>
      <c r="A334" s="13"/>
      <c r="B334" s="13"/>
      <c r="C334" s="13"/>
      <c r="D334" s="13"/>
      <c r="E334" s="13"/>
      <c r="F334" s="14"/>
      <c r="G334" s="13"/>
      <c r="H334" s="13"/>
      <c r="I334" s="1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2 I4:I92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4"/>
  <sheetViews>
    <sheetView workbookViewId="0">
      <pane xSplit="2" ySplit="3" topLeftCell="C4" activePane="bottomRight" state="frozen"/>
      <selection pane="bottomRight" activeCell="K31" sqref="K31"/>
      <selection pane="bottomLeft" activeCell="A18" sqref="A18:XFD24"/>
      <selection pane="topRight" activeCell="A18" sqref="A18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0" t="str" cm="1">
        <f t="array" ref="A1">portfolio</f>
        <v>Catalyze</v>
      </c>
      <c r="B1" s="70"/>
      <c r="C1" s="70"/>
      <c r="D1" s="71" t="s">
        <v>12</v>
      </c>
      <c r="E1" s="71"/>
      <c r="F1" s="71"/>
      <c r="G1" s="69" t="s">
        <v>13</v>
      </c>
      <c r="H1" s="69"/>
      <c r="I1" s="69"/>
    </row>
    <row r="2" spans="1:9" ht="19.5" customHeight="1">
      <c r="A2" s="72" t="s">
        <v>2</v>
      </c>
      <c r="B2" s="72"/>
      <c r="C2" s="5">
        <f>SUM(C4:C92)</f>
        <v>3586730.2794104535</v>
      </c>
      <c r="D2" s="5">
        <f>SUM(D4:D92)</f>
        <v>4172026.29</v>
      </c>
      <c r="E2" s="5">
        <f>C2-D2</f>
        <v>-585296.01058954652</v>
      </c>
      <c r="F2" s="6">
        <f>IFERROR(E2/D2, 0)</f>
        <v>-0.14029058541468264</v>
      </c>
      <c r="G2" s="5">
        <f>SUM(G4:G92)</f>
        <v>4897603.03</v>
      </c>
      <c r="H2" s="7">
        <f>C2-G2</f>
        <v>-1310872.7505895467</v>
      </c>
      <c r="I2" s="6">
        <f>IFERROR(H2/G2, 0)</f>
        <v>-0.26765598243872912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17">Sites[Site]</f>
        <v>Fresno - 3150 Shaw Ave</v>
      </c>
      <c r="B4" s="35" t="str" cm="1">
        <f t="array" ref="B4:B17">Sites[State]</f>
        <v>CA</v>
      </c>
      <c r="C4" s="36">
        <f>SUM(Apr!C4, May!C4, Jun!C4)</f>
        <v>110443.934375</v>
      </c>
      <c r="D4" s="37">
        <f>SUM(Apr!D4, May!D4, Jun!D4)</f>
        <v>110570.8</v>
      </c>
      <c r="E4" s="37">
        <f>IF(AND(ISNUMBER(C4),ISNUMBER(D4)), C4-D4, "")</f>
        <v>-126.86562500000582</v>
      </c>
      <c r="F4" s="38">
        <f>IFERROR(E4/D4, "")</f>
        <v>-1.1473700561088988E-3</v>
      </c>
      <c r="G4" s="39">
        <f>SUM(Apr!G4+May!G4+Jun!G4)</f>
        <v>119130.8</v>
      </c>
      <c r="H4" s="39">
        <f>SUM(Apr!H4, May!H4, Jun!H4)</f>
        <v>-8686.8656250000058</v>
      </c>
      <c r="I4" s="40">
        <f>IFERROR(H4/G4, "")</f>
        <v>-7.2918721480926887E-2</v>
      </c>
    </row>
    <row r="5" spans="1:9" ht="15.75">
      <c r="A5" s="56" t="str">
        <v>Adelanto - 1 Sheep Creek Road</v>
      </c>
      <c r="B5" s="42" t="str">
        <v>CA</v>
      </c>
      <c r="C5" s="43">
        <f>SUM(Apr!C5, May!C5, Jun!C5)</f>
        <v>402561</v>
      </c>
      <c r="D5" s="44">
        <f>SUM(Apr!D5, May!D5, Jun!D5)</f>
        <v>693821</v>
      </c>
      <c r="E5" s="44">
        <f t="shared" ref="E5:E15" si="0">IF(AND(ISNUMBER(C5),ISNUMBER(D5)), C5-D5, "")</f>
        <v>-291260</v>
      </c>
      <c r="F5" s="45">
        <f>IFERROR(E5/D5, "")</f>
        <v>-0.41979127181218212</v>
      </c>
      <c r="G5" s="46">
        <f>SUM(Apr!G5+May!G5+Jun!G5)</f>
        <v>898384</v>
      </c>
      <c r="H5" s="46">
        <f>SUM(Apr!H5, May!H5, Jun!H5)</f>
        <v>-495823</v>
      </c>
      <c r="I5" s="45">
        <f>IFERROR(H5/G5, "")</f>
        <v>-0.55190542128978259</v>
      </c>
    </row>
    <row r="6" spans="1:9" ht="15.75">
      <c r="A6" s="55" t="str">
        <v>Blackstone - 83 Federal Street</v>
      </c>
      <c r="B6" s="35" t="str">
        <v>MA</v>
      </c>
      <c r="C6" s="36">
        <f>SUM(Apr!C6, May!C6, Jun!C6)</f>
        <v>606024</v>
      </c>
      <c r="D6" s="37">
        <f>SUM(Apr!D6, May!D6, Jun!D6)</f>
        <v>680455.2</v>
      </c>
      <c r="E6" s="37">
        <f t="shared" si="0"/>
        <v>-74431.199999999953</v>
      </c>
      <c r="F6" s="38">
        <f t="shared" ref="F6:F15" si="1">IFERROR(E6/D6, "")</f>
        <v>-0.10938442383863031</v>
      </c>
      <c r="G6" s="39">
        <f>SUM(Apr!G6+May!G6+Jun!G6)</f>
        <v>770475.3</v>
      </c>
      <c r="H6" s="39">
        <f>SUM(Apr!H6, May!H6, Jun!H6)</f>
        <v>-164451.30000000005</v>
      </c>
      <c r="I6" s="40">
        <f t="shared" ref="I6:I15" si="2">IFERROR(H6/G6, "")</f>
        <v>-0.21344136534941488</v>
      </c>
    </row>
    <row r="7" spans="1:9" ht="15.75">
      <c r="A7" s="56" t="str">
        <v>Charlton - 299 Worcester Road</v>
      </c>
      <c r="B7" s="42" t="str">
        <v>MA</v>
      </c>
      <c r="C7" s="43">
        <f>SUM(Apr!C7, May!C7, Jun!C7)</f>
        <v>56399</v>
      </c>
      <c r="D7" s="44">
        <f>SUM(Apr!D7, May!D7, Jun!D7)</f>
        <v>57742.91</v>
      </c>
      <c r="E7" s="44">
        <f t="shared" si="0"/>
        <v>-1343.9100000000035</v>
      </c>
      <c r="F7" s="45">
        <f t="shared" si="1"/>
        <v>-2.3274026196462967E-2</v>
      </c>
      <c r="G7" s="46">
        <f>SUM(Apr!G7+May!G7+Jun!G7)</f>
        <v>70885.53</v>
      </c>
      <c r="H7" s="46">
        <f>SUM(Apr!H7, May!H7, Jun!H7)</f>
        <v>-14486.529999999999</v>
      </c>
      <c r="I7" s="45">
        <f t="shared" si="2"/>
        <v>-0.2043651221906643</v>
      </c>
    </row>
    <row r="8" spans="1:9" ht="15.75">
      <c r="A8" s="55" t="str">
        <v>Wareham - 8 Thatcher Drive</v>
      </c>
      <c r="B8" s="35" t="str">
        <v>MA</v>
      </c>
      <c r="C8" s="36">
        <f>SUM(Apr!C8, May!C8, Jun!C8)</f>
        <v>16925.875</v>
      </c>
      <c r="D8" s="37">
        <f>SUM(Apr!D8, May!D8, Jun!D8)</f>
        <v>17111.189999999999</v>
      </c>
      <c r="E8" s="37">
        <f t="shared" si="0"/>
        <v>-185.31499999999869</v>
      </c>
      <c r="F8" s="38">
        <f t="shared" si="1"/>
        <v>-1.0830047471858983E-2</v>
      </c>
      <c r="G8" s="39">
        <f>SUM(Apr!G8+May!G8+Jun!G8)</f>
        <v>18394.93</v>
      </c>
      <c r="H8" s="39">
        <f>SUM(Apr!H8, May!H8, Jun!H8)</f>
        <v>-1469.0550000000003</v>
      </c>
      <c r="I8" s="40">
        <f t="shared" si="2"/>
        <v>-7.9861951091958511E-2</v>
      </c>
    </row>
    <row r="9" spans="1:9" ht="15.75">
      <c r="A9" s="56" t="str">
        <v>West Yarmouth - 42 Mid Tech</v>
      </c>
      <c r="B9" s="42" t="str">
        <v>MA</v>
      </c>
      <c r="C9" s="43">
        <f>SUM(Apr!C9, May!C9, Jun!C9)</f>
        <v>16282.5226917034</v>
      </c>
      <c r="D9" s="44">
        <f>SUM(Apr!D9, May!D9, Jun!D9)</f>
        <v>16635.099999999999</v>
      </c>
      <c r="E9" s="44">
        <f t="shared" si="0"/>
        <v>-352.57730829659886</v>
      </c>
      <c r="F9" s="45">
        <f t="shared" si="1"/>
        <v>-2.1194781413793658E-2</v>
      </c>
      <c r="G9" s="46">
        <f>SUM(Apr!G9+May!G9+Jun!G9)</f>
        <v>18770.490000000002</v>
      </c>
      <c r="H9" s="46">
        <f>SUM(Apr!H9, May!H9, Jun!H9)</f>
        <v>-2487.9673082966019</v>
      </c>
      <c r="I9" s="45">
        <f t="shared" si="2"/>
        <v>-0.13254674269540123</v>
      </c>
    </row>
    <row r="10" spans="1:9" ht="15.75">
      <c r="A10" s="55" t="str">
        <v>Harrison - 130 Union Street</v>
      </c>
      <c r="B10" s="35" t="str">
        <v>NY</v>
      </c>
      <c r="C10" s="36">
        <f>SUM(Apr!C10, May!C10, Jun!C10)</f>
        <v>21737.375</v>
      </c>
      <c r="D10" s="37">
        <f>SUM(Apr!D10, May!D10, Jun!D10)</f>
        <v>23442.16</v>
      </c>
      <c r="E10" s="37">
        <f t="shared" si="0"/>
        <v>-1704.7849999999999</v>
      </c>
      <c r="F10" s="38">
        <f t="shared" si="1"/>
        <v>-7.2723034054882313E-2</v>
      </c>
      <c r="G10" s="39">
        <f>SUM(Apr!G10+May!G10+Jun!G10)</f>
        <v>26207.47</v>
      </c>
      <c r="H10" s="39">
        <f>SUM(Apr!H10, May!H10, Jun!H10)</f>
        <v>-4470.0950000000012</v>
      </c>
      <c r="I10" s="40">
        <f t="shared" si="2"/>
        <v>-0.17056568222724289</v>
      </c>
    </row>
    <row r="11" spans="1:9" ht="15.75">
      <c r="A11" s="56" t="str">
        <v>Staten Island - Ellis Storage</v>
      </c>
      <c r="B11" s="42" t="str">
        <v>NY</v>
      </c>
      <c r="C11" s="43">
        <f>SUM(Apr!C11, May!C11, Jun!C11)</f>
        <v>56581</v>
      </c>
      <c r="D11" s="44">
        <f>SUM(Apr!D11, May!D11, Jun!D11)</f>
        <v>60019.33</v>
      </c>
      <c r="E11" s="44">
        <f t="shared" si="0"/>
        <v>-3438.3300000000017</v>
      </c>
      <c r="F11" s="45">
        <f t="shared" si="1"/>
        <v>-5.7287044023983637E-2</v>
      </c>
      <c r="G11" s="46">
        <f>SUM(Apr!G11+May!G11+Jun!G11)</f>
        <v>60619.51</v>
      </c>
      <c r="H11" s="46">
        <f>SUM(Apr!H11, May!H11, Jun!H11)</f>
        <v>-4038.510000000002</v>
      </c>
      <c r="I11" s="45">
        <f t="shared" si="2"/>
        <v>-6.6620630882697693E-2</v>
      </c>
    </row>
    <row r="12" spans="1:9" ht="15.75">
      <c r="A12" s="55" t="str">
        <v>Amherst - 595 Scholles Road</v>
      </c>
      <c r="B12" s="35" t="str">
        <v>NY</v>
      </c>
      <c r="C12" s="36">
        <f>SUM(Apr!C12, May!C12, Jun!C12)</f>
        <v>718270</v>
      </c>
      <c r="D12" s="37">
        <f>SUM(Apr!D12, May!D12, Jun!D12)</f>
        <v>768638</v>
      </c>
      <c r="E12" s="37">
        <f t="shared" si="0"/>
        <v>-50368</v>
      </c>
      <c r="F12" s="38">
        <f t="shared" si="1"/>
        <v>-6.5528896567695061E-2</v>
      </c>
      <c r="G12" s="39">
        <f>SUM(Apr!G12+May!G12+Jun!G12)</f>
        <v>953051</v>
      </c>
      <c r="H12" s="39">
        <f>SUM(Apr!H12, May!H12, Jun!H12)</f>
        <v>-234781</v>
      </c>
      <c r="I12" s="40">
        <f t="shared" si="2"/>
        <v>-0.24634673275616939</v>
      </c>
    </row>
    <row r="13" spans="1:9" ht="15.75">
      <c r="A13" s="56" t="str">
        <v>Lancaster 1 - Gunnville Road</v>
      </c>
      <c r="B13" s="42" t="str">
        <v>NY</v>
      </c>
      <c r="C13" s="43">
        <f>SUM(Apr!C13, May!C13, Jun!C13)</f>
        <v>557874</v>
      </c>
      <c r="D13" s="44">
        <f>SUM(Apr!D13, May!D13, Jun!D13)</f>
        <v>635837.5</v>
      </c>
      <c r="E13" s="44">
        <f t="shared" si="0"/>
        <v>-77963.5</v>
      </c>
      <c r="F13" s="45">
        <f t="shared" si="1"/>
        <v>-0.12261544812943559</v>
      </c>
      <c r="G13" s="46">
        <f>SUM(Apr!G13+May!G13+Jun!G13)</f>
        <v>746890.6</v>
      </c>
      <c r="H13" s="46">
        <f>SUM(Apr!H13, May!H13, Jun!H13)</f>
        <v>-189016.59999999998</v>
      </c>
      <c r="I13" s="45">
        <f t="shared" si="2"/>
        <v>-0.25307133333851034</v>
      </c>
    </row>
    <row r="14" spans="1:9" ht="15.75">
      <c r="A14" s="55" t="str">
        <v>Lancaster 2 - Shisler Road</v>
      </c>
      <c r="B14" s="35" t="str">
        <v>NY</v>
      </c>
      <c r="C14" s="36">
        <f>SUM(Apr!C14, May!C14, Jun!C14)</f>
        <v>609258</v>
      </c>
      <c r="D14" s="37">
        <f>SUM(Apr!D14, May!D14, Jun!D14)</f>
        <v>678559.1</v>
      </c>
      <c r="E14" s="37">
        <f t="shared" si="0"/>
        <v>-69301.099999999977</v>
      </c>
      <c r="F14" s="38">
        <f t="shared" si="1"/>
        <v>-0.10212979237917519</v>
      </c>
      <c r="G14" s="39">
        <f>SUM(Apr!G14+May!G14+Jun!G14)</f>
        <v>820159.4</v>
      </c>
      <c r="H14" s="39">
        <f>SUM(Apr!H14, May!H14, Jun!H14)</f>
        <v>-210901.40000000002</v>
      </c>
      <c r="I14" s="40">
        <f t="shared" si="2"/>
        <v>-0.25714684243087382</v>
      </c>
    </row>
    <row r="15" spans="1:9" ht="15.75">
      <c r="A15" s="56" t="str">
        <v>Fullerton - 200 W Orangethorpe</v>
      </c>
      <c r="B15" s="42" t="str">
        <v>CA</v>
      </c>
      <c r="C15" s="43">
        <f>SUM(Apr!C15, May!C15, Jun!C15)</f>
        <v>118417.19734375</v>
      </c>
      <c r="D15" s="44">
        <f>SUM(Apr!D15, May!D15, Jun!D15)</f>
        <v>125423.7</v>
      </c>
      <c r="E15" s="44">
        <f t="shared" si="0"/>
        <v>-7006.5026562499988</v>
      </c>
      <c r="F15" s="45">
        <f t="shared" si="1"/>
        <v>-5.5862669146660472E-2</v>
      </c>
      <c r="G15" s="46">
        <f>SUM(Apr!G15+May!G15+Jun!G15)</f>
        <v>121841.4</v>
      </c>
      <c r="H15" s="46">
        <f>SUM(Apr!H15, May!H15, Jun!H15)</f>
        <v>-3424.2026562499959</v>
      </c>
      <c r="I15" s="45">
        <f t="shared" si="2"/>
        <v>-2.8103769788019477E-2</v>
      </c>
    </row>
    <row r="16" spans="1:9" ht="15.75">
      <c r="A16" s="55" t="str">
        <v>El Paso - 10500 Railroad Drive</v>
      </c>
      <c r="B16" s="35" t="str">
        <v>TX</v>
      </c>
      <c r="C16" s="36">
        <f>SUM(Apr!C16, May!C16, Jun!C16)</f>
        <v>160423.625</v>
      </c>
      <c r="D16" s="37">
        <f>SUM(Apr!D16, May!D16, Jun!D16)</f>
        <v>160278.5</v>
      </c>
      <c r="E16" s="37">
        <f t="shared" ref="E16:E17" si="3">IF(AND(ISNUMBER(C16),ISNUMBER(D16)), C16-D16, "")</f>
        <v>145.125</v>
      </c>
      <c r="F16" s="38">
        <f t="shared" ref="F16:F17" si="4">IFERROR(E16/D16, "")</f>
        <v>9.05455192056327E-4</v>
      </c>
      <c r="G16" s="39">
        <f>SUM(Apr!G16+May!G16+Jun!G16)</f>
        <v>148074</v>
      </c>
      <c r="H16" s="39">
        <f>SUM(Apr!H16, May!H16, Jun!H16)</f>
        <v>12349.625</v>
      </c>
      <c r="I16" s="40">
        <f t="shared" ref="I16:I17" si="5">IFERROR(H16/G16, "")</f>
        <v>8.3401711306508905E-2</v>
      </c>
    </row>
    <row r="17" spans="1:9" ht="15.75">
      <c r="A17" s="56" t="str">
        <v>Friona - 900 Millard Ave</v>
      </c>
      <c r="B17" s="42" t="str">
        <v>TX</v>
      </c>
      <c r="C17" s="43">
        <f>SUM(Apr!C17, May!C17, Jun!C17)</f>
        <v>135532.75</v>
      </c>
      <c r="D17" s="44">
        <f>SUM(Apr!D17, May!D17, Jun!D17)</f>
        <v>143491.79999999999</v>
      </c>
      <c r="E17" s="44">
        <f t="shared" si="3"/>
        <v>-7959.0499999999884</v>
      </c>
      <c r="F17" s="65">
        <f t="shared" si="4"/>
        <v>-5.5466932605208026E-2</v>
      </c>
      <c r="G17" s="46">
        <f>SUM(Apr!G17+May!G17+Jun!G17)</f>
        <v>124718.6</v>
      </c>
      <c r="H17" s="46">
        <f>SUM(Apr!H17, May!H17, Jun!H17)</f>
        <v>10814.149999999994</v>
      </c>
      <c r="I17" s="66">
        <f t="shared" si="5"/>
        <v>8.6708397945454763E-2</v>
      </c>
    </row>
    <row r="18" spans="1:9">
      <c r="A18" s="13"/>
      <c r="B18" s="13"/>
      <c r="C18" s="13"/>
      <c r="D18" s="13"/>
      <c r="E18" s="13"/>
      <c r="F18" s="13"/>
      <c r="G18" s="13"/>
      <c r="H18" s="13"/>
      <c r="I18" s="13"/>
    </row>
    <row r="19" spans="1:9">
      <c r="A19" s="13"/>
      <c r="B19" s="13"/>
      <c r="C19" s="13"/>
      <c r="D19" s="13"/>
      <c r="E19" s="13"/>
      <c r="F19" s="13"/>
      <c r="G19" s="13"/>
      <c r="H19" s="13"/>
      <c r="I19" s="13"/>
    </row>
    <row r="20" spans="1:9">
      <c r="A20" s="13"/>
      <c r="B20" s="13"/>
      <c r="C20" s="13"/>
      <c r="D20" s="13"/>
      <c r="E20" s="13"/>
      <c r="F20" s="13"/>
      <c r="G20" s="13"/>
      <c r="H20" s="13"/>
      <c r="I20" s="13"/>
    </row>
    <row r="21" spans="1:9">
      <c r="A21" s="13"/>
      <c r="B21" s="13"/>
      <c r="C21" s="13"/>
      <c r="D21" s="13"/>
      <c r="E21" s="13"/>
      <c r="F21" s="13"/>
      <c r="G21" s="13"/>
      <c r="H21" s="13"/>
      <c r="I21" s="13"/>
    </row>
    <row r="22" spans="1:9">
      <c r="A22" s="13"/>
      <c r="B22" s="13"/>
      <c r="C22" s="13"/>
      <c r="D22" s="13"/>
      <c r="E22" s="13"/>
      <c r="F22" s="13"/>
      <c r="G22" s="13"/>
      <c r="H22" s="13"/>
      <c r="I22" s="13"/>
    </row>
    <row r="23" spans="1:9">
      <c r="A23" s="13"/>
      <c r="B23" s="13"/>
      <c r="C23" s="13"/>
      <c r="D23" s="13"/>
      <c r="E23" s="13"/>
      <c r="F23" s="13"/>
      <c r="G23" s="13"/>
      <c r="H23" s="13"/>
      <c r="I23" s="13"/>
    </row>
    <row r="24" spans="1:9">
      <c r="A24" s="13"/>
      <c r="B24" s="13"/>
      <c r="C24" s="13"/>
      <c r="D24" s="13"/>
      <c r="E24" s="13"/>
      <c r="F24" s="13"/>
      <c r="G24" s="13"/>
      <c r="H24" s="13"/>
      <c r="I24" s="13"/>
    </row>
    <row r="25" spans="1:9">
      <c r="A25" s="13"/>
      <c r="B25" s="13"/>
      <c r="C25" s="13"/>
      <c r="D25" s="13"/>
      <c r="E25" s="13"/>
      <c r="F25" s="14"/>
      <c r="G25" s="13"/>
      <c r="H25" s="13"/>
      <c r="I25" s="14"/>
    </row>
    <row r="26" spans="1:9">
      <c r="A26" s="13"/>
      <c r="B26" s="13"/>
      <c r="C26" s="13"/>
      <c r="D26" s="13"/>
      <c r="E26" s="13"/>
      <c r="F26" s="14"/>
      <c r="G26" s="13"/>
      <c r="H26" s="13"/>
      <c r="I26" s="14"/>
    </row>
    <row r="27" spans="1:9">
      <c r="A27" s="13"/>
      <c r="B27" s="13"/>
      <c r="C27" s="13"/>
      <c r="D27" s="13"/>
      <c r="E27" s="13"/>
      <c r="F27" s="14"/>
      <c r="G27" s="13"/>
      <c r="H27" s="13"/>
      <c r="I27" s="14"/>
    </row>
    <row r="28" spans="1:9">
      <c r="A28" s="13"/>
      <c r="B28" s="13"/>
      <c r="C28" s="13"/>
      <c r="D28" s="13"/>
      <c r="E28" s="13"/>
      <c r="F28" s="14"/>
      <c r="G28" s="13"/>
      <c r="H28" s="13"/>
      <c r="I28" s="14"/>
    </row>
    <row r="29" spans="1:9">
      <c r="A29" s="13"/>
      <c r="B29" s="13"/>
      <c r="C29" s="13"/>
      <c r="D29" s="13"/>
      <c r="E29" s="13"/>
      <c r="F29" s="14"/>
      <c r="G29" s="13"/>
      <c r="H29" s="13"/>
      <c r="I29" s="14"/>
    </row>
    <row r="30" spans="1:9">
      <c r="A30" s="13"/>
      <c r="B30" s="13"/>
      <c r="C30" s="13"/>
      <c r="D30" s="13"/>
      <c r="E30" s="13"/>
      <c r="F30" s="14"/>
      <c r="G30" s="13"/>
      <c r="H30" s="13"/>
      <c r="I30" s="14"/>
    </row>
    <row r="31" spans="1:9">
      <c r="A31" s="13"/>
      <c r="B31" s="13"/>
      <c r="C31" s="13"/>
      <c r="D31" s="13"/>
      <c r="E31" s="13"/>
      <c r="F31" s="14"/>
      <c r="G31" s="13"/>
      <c r="H31" s="13"/>
      <c r="I31" s="14"/>
    </row>
    <row r="32" spans="1:9">
      <c r="A32" s="13"/>
      <c r="B32" s="13"/>
      <c r="C32" s="13"/>
      <c r="D32" s="13"/>
      <c r="E32" s="13"/>
      <c r="F32" s="14"/>
      <c r="G32" s="13"/>
      <c r="H32" s="13"/>
      <c r="I32" s="14"/>
    </row>
    <row r="33" spans="1:9">
      <c r="A33" s="13"/>
      <c r="B33" s="13"/>
      <c r="C33" s="13"/>
      <c r="D33" s="13"/>
      <c r="E33" s="13"/>
      <c r="F33" s="14"/>
      <c r="G33" s="13"/>
      <c r="H33" s="13"/>
      <c r="I33" s="14"/>
    </row>
    <row r="34" spans="1:9">
      <c r="A34" s="13"/>
      <c r="B34" s="13"/>
      <c r="C34" s="13"/>
      <c r="D34" s="13"/>
      <c r="E34" s="13"/>
      <c r="F34" s="14"/>
      <c r="G34" s="13"/>
      <c r="H34" s="13"/>
      <c r="I34" s="14"/>
    </row>
    <row r="35" spans="1:9">
      <c r="A35" s="13"/>
      <c r="B35" s="13"/>
      <c r="C35" s="13"/>
      <c r="D35" s="13"/>
      <c r="E35" s="13"/>
      <c r="F35" s="14"/>
      <c r="G35" s="13"/>
      <c r="H35" s="13"/>
      <c r="I35" s="14"/>
    </row>
    <row r="36" spans="1:9">
      <c r="A36" s="13"/>
      <c r="B36" s="13"/>
      <c r="C36" s="13"/>
      <c r="D36" s="13"/>
      <c r="E36" s="13"/>
      <c r="F36" s="14"/>
      <c r="G36" s="13"/>
      <c r="H36" s="13"/>
      <c r="I36" s="14"/>
    </row>
    <row r="37" spans="1:9">
      <c r="A37" s="13"/>
      <c r="B37" s="13"/>
      <c r="C37" s="13"/>
      <c r="D37" s="13"/>
      <c r="E37" s="13"/>
      <c r="F37" s="14"/>
      <c r="G37" s="13"/>
      <c r="H37" s="13"/>
      <c r="I37" s="14"/>
    </row>
    <row r="38" spans="1:9">
      <c r="A38" s="13"/>
      <c r="B38" s="13"/>
      <c r="C38" s="13"/>
      <c r="D38" s="13"/>
      <c r="E38" s="13"/>
      <c r="F38" s="14"/>
      <c r="G38" s="13"/>
      <c r="H38" s="13"/>
      <c r="I38" s="14"/>
    </row>
    <row r="39" spans="1:9">
      <c r="A39" s="13"/>
      <c r="B39" s="13"/>
      <c r="C39" s="13"/>
      <c r="D39" s="13"/>
      <c r="E39" s="13"/>
      <c r="F39" s="14"/>
      <c r="G39" s="13"/>
      <c r="H39" s="13"/>
      <c r="I39" s="14"/>
    </row>
    <row r="40" spans="1:9">
      <c r="A40" s="13"/>
      <c r="B40" s="13"/>
      <c r="C40" s="13"/>
      <c r="D40" s="13"/>
      <c r="E40" s="13"/>
      <c r="F40" s="14"/>
      <c r="G40" s="13"/>
      <c r="H40" s="13"/>
      <c r="I40" s="14"/>
    </row>
    <row r="41" spans="1:9">
      <c r="A41" s="13"/>
      <c r="B41" s="13"/>
      <c r="C41" s="13"/>
      <c r="D41" s="13"/>
      <c r="E41" s="13"/>
      <c r="F41" s="14"/>
      <c r="G41" s="13"/>
      <c r="H41" s="13"/>
      <c r="I41" s="14"/>
    </row>
    <row r="42" spans="1:9">
      <c r="A42" s="13"/>
      <c r="B42" s="13"/>
      <c r="C42" s="13"/>
      <c r="D42" s="13"/>
      <c r="E42" s="13"/>
      <c r="F42" s="14"/>
      <c r="G42" s="13"/>
      <c r="H42" s="13"/>
      <c r="I42" s="14"/>
    </row>
    <row r="43" spans="1:9">
      <c r="A43" s="13"/>
      <c r="B43" s="13"/>
      <c r="C43" s="13"/>
      <c r="D43" s="13"/>
      <c r="E43" s="13"/>
      <c r="F43" s="14"/>
      <c r="G43" s="13"/>
      <c r="H43" s="13"/>
      <c r="I43" s="14"/>
    </row>
    <row r="44" spans="1:9">
      <c r="A44" s="13"/>
      <c r="B44" s="13"/>
      <c r="C44" s="13"/>
      <c r="D44" s="13"/>
      <c r="E44" s="13"/>
      <c r="F44" s="14"/>
      <c r="G44" s="13"/>
      <c r="H44" s="13"/>
      <c r="I44" s="14"/>
    </row>
    <row r="45" spans="1:9">
      <c r="A45" s="13"/>
      <c r="B45" s="13"/>
      <c r="C45" s="13"/>
      <c r="D45" s="13"/>
      <c r="E45" s="13"/>
      <c r="F45" s="14"/>
      <c r="G45" s="13"/>
      <c r="H45" s="13"/>
      <c r="I45" s="14"/>
    </row>
    <row r="46" spans="1:9">
      <c r="A46" s="13"/>
      <c r="B46" s="13"/>
      <c r="C46" s="13"/>
      <c r="D46" s="13"/>
      <c r="E46" s="13"/>
      <c r="F46" s="14"/>
      <c r="G46" s="13"/>
      <c r="H46" s="13"/>
      <c r="I46" s="14"/>
    </row>
    <row r="47" spans="1:9">
      <c r="A47" s="13"/>
      <c r="B47" s="13"/>
      <c r="C47" s="13"/>
      <c r="D47" s="13"/>
      <c r="E47" s="13"/>
      <c r="F47" s="14"/>
      <c r="G47" s="13"/>
      <c r="H47" s="13"/>
      <c r="I47" s="14"/>
    </row>
    <row r="48" spans="1:9">
      <c r="A48" s="13"/>
      <c r="B48" s="13"/>
      <c r="C48" s="13"/>
      <c r="D48" s="13"/>
      <c r="E48" s="13"/>
      <c r="F48" s="14"/>
      <c r="G48" s="13"/>
      <c r="H48" s="13"/>
      <c r="I48" s="14"/>
    </row>
    <row r="49" spans="1:9">
      <c r="A49" s="13"/>
      <c r="B49" s="13"/>
      <c r="C49" s="13"/>
      <c r="D49" s="13"/>
      <c r="E49" s="13"/>
      <c r="F49" s="14"/>
      <c r="G49" s="13"/>
      <c r="H49" s="13"/>
      <c r="I49" s="14"/>
    </row>
    <row r="50" spans="1:9">
      <c r="A50" s="13"/>
      <c r="B50" s="13"/>
      <c r="C50" s="13"/>
      <c r="D50" s="13"/>
      <c r="E50" s="13"/>
      <c r="F50" s="14"/>
      <c r="G50" s="13"/>
      <c r="H50" s="13"/>
      <c r="I50" s="14"/>
    </row>
    <row r="51" spans="1:9">
      <c r="A51" s="13"/>
      <c r="B51" s="13"/>
      <c r="C51" s="13"/>
      <c r="D51" s="13"/>
      <c r="E51" s="13"/>
      <c r="F51" s="14"/>
      <c r="G51" s="13"/>
      <c r="H51" s="13"/>
      <c r="I51" s="14"/>
    </row>
    <row r="52" spans="1:9">
      <c r="A52" s="13"/>
      <c r="B52" s="13"/>
      <c r="C52" s="13"/>
      <c r="D52" s="13"/>
      <c r="E52" s="13"/>
      <c r="F52" s="14"/>
      <c r="G52" s="13"/>
      <c r="H52" s="13"/>
      <c r="I52" s="14"/>
    </row>
    <row r="53" spans="1:9">
      <c r="A53" s="13"/>
      <c r="B53" s="13"/>
      <c r="C53" s="13"/>
      <c r="D53" s="13"/>
      <c r="E53" s="13"/>
      <c r="F53" s="14"/>
      <c r="G53" s="13"/>
      <c r="H53" s="13"/>
      <c r="I53" s="14"/>
    </row>
    <row r="54" spans="1:9">
      <c r="A54" s="13"/>
      <c r="B54" s="13"/>
      <c r="C54" s="13"/>
      <c r="D54" s="13"/>
      <c r="E54" s="13"/>
      <c r="F54" s="14"/>
      <c r="G54" s="13"/>
      <c r="H54" s="13"/>
      <c r="I54" s="14"/>
    </row>
    <row r="55" spans="1:9">
      <c r="A55" s="13"/>
      <c r="B55" s="13"/>
      <c r="C55" s="13"/>
      <c r="D55" s="13"/>
      <c r="E55" s="13"/>
      <c r="F55" s="14"/>
      <c r="G55" s="13"/>
      <c r="H55" s="13"/>
      <c r="I55" s="14"/>
    </row>
    <row r="56" spans="1:9">
      <c r="A56" s="13"/>
      <c r="B56" s="13"/>
      <c r="C56" s="13"/>
      <c r="D56" s="13"/>
      <c r="E56" s="13"/>
      <c r="F56" s="14"/>
      <c r="G56" s="13"/>
      <c r="H56" s="13"/>
      <c r="I56" s="14"/>
    </row>
    <row r="57" spans="1:9">
      <c r="A57" s="13"/>
      <c r="B57" s="13"/>
      <c r="C57" s="13"/>
      <c r="D57" s="13"/>
      <c r="E57" s="13"/>
      <c r="F57" s="14"/>
      <c r="G57" s="13"/>
      <c r="H57" s="13"/>
      <c r="I57" s="14"/>
    </row>
    <row r="58" spans="1:9">
      <c r="A58" s="13"/>
      <c r="B58" s="13"/>
      <c r="C58" s="13"/>
      <c r="D58" s="13"/>
      <c r="E58" s="13"/>
      <c r="F58" s="14"/>
      <c r="G58" s="13"/>
      <c r="H58" s="13"/>
      <c r="I58" s="14"/>
    </row>
    <row r="59" spans="1:9">
      <c r="A59" s="13"/>
      <c r="B59" s="13"/>
      <c r="C59" s="13"/>
      <c r="D59" s="13"/>
      <c r="E59" s="13"/>
      <c r="F59" s="14"/>
      <c r="G59" s="13"/>
      <c r="H59" s="13"/>
      <c r="I59" s="14"/>
    </row>
    <row r="60" spans="1:9">
      <c r="A60" s="13"/>
      <c r="B60" s="13"/>
      <c r="C60" s="13"/>
      <c r="D60" s="13"/>
      <c r="E60" s="13"/>
      <c r="F60" s="14"/>
      <c r="G60" s="13"/>
      <c r="H60" s="13"/>
      <c r="I60" s="14"/>
    </row>
    <row r="61" spans="1:9">
      <c r="A61" s="13"/>
      <c r="B61" s="13"/>
      <c r="C61" s="13"/>
      <c r="D61" s="13"/>
      <c r="E61" s="13"/>
      <c r="F61" s="14"/>
      <c r="G61" s="13"/>
      <c r="H61" s="13"/>
      <c r="I61" s="14"/>
    </row>
    <row r="62" spans="1:9">
      <c r="A62" s="13"/>
      <c r="B62" s="13"/>
      <c r="C62" s="13"/>
      <c r="D62" s="13"/>
      <c r="E62" s="13"/>
      <c r="F62" s="14"/>
      <c r="G62" s="13"/>
      <c r="H62" s="13"/>
      <c r="I62" s="14"/>
    </row>
    <row r="63" spans="1:9">
      <c r="A63" s="13"/>
      <c r="B63" s="13"/>
      <c r="C63" s="13"/>
      <c r="D63" s="13"/>
      <c r="E63" s="13"/>
      <c r="F63" s="14"/>
      <c r="G63" s="13"/>
      <c r="H63" s="13"/>
      <c r="I63" s="14"/>
    </row>
    <row r="64" spans="1:9">
      <c r="A64" s="13"/>
      <c r="B64" s="13"/>
      <c r="C64" s="13"/>
      <c r="D64" s="13"/>
      <c r="E64" s="13"/>
      <c r="F64" s="14"/>
      <c r="G64" s="13"/>
      <c r="H64" s="13"/>
      <c r="I64" s="14"/>
    </row>
    <row r="65" spans="1:9">
      <c r="A65" s="13"/>
      <c r="B65" s="13"/>
      <c r="C65" s="13"/>
      <c r="D65" s="13"/>
      <c r="E65" s="13"/>
      <c r="F65" s="14"/>
      <c r="G65" s="13"/>
      <c r="H65" s="13"/>
      <c r="I65" s="14"/>
    </row>
    <row r="66" spans="1:9">
      <c r="A66" s="13"/>
      <c r="B66" s="13"/>
      <c r="C66" s="13"/>
      <c r="D66" s="13"/>
      <c r="E66" s="13"/>
      <c r="F66" s="14"/>
      <c r="G66" s="13"/>
      <c r="H66" s="13"/>
      <c r="I66" s="14"/>
    </row>
    <row r="67" spans="1:9">
      <c r="A67" s="13"/>
      <c r="B67" s="13"/>
      <c r="C67" s="13"/>
      <c r="D67" s="13"/>
      <c r="E67" s="13"/>
      <c r="F67" s="14"/>
      <c r="G67" s="13"/>
      <c r="H67" s="13"/>
      <c r="I67" s="14"/>
    </row>
    <row r="68" spans="1:9">
      <c r="A68" s="13"/>
      <c r="B68" s="13"/>
      <c r="C68" s="13"/>
      <c r="D68" s="13"/>
      <c r="E68" s="13"/>
      <c r="F68" s="14"/>
      <c r="G68" s="13"/>
      <c r="H68" s="13"/>
      <c r="I68" s="14"/>
    </row>
    <row r="69" spans="1:9">
      <c r="A69" s="13"/>
      <c r="B69" s="13"/>
      <c r="C69" s="13"/>
      <c r="D69" s="13"/>
      <c r="E69" s="13"/>
      <c r="F69" s="14"/>
      <c r="G69" s="13"/>
      <c r="H69" s="13"/>
      <c r="I69" s="14"/>
    </row>
    <row r="70" spans="1:9">
      <c r="A70" s="13"/>
      <c r="B70" s="13"/>
      <c r="C70" s="13"/>
      <c r="D70" s="13"/>
      <c r="E70" s="13"/>
      <c r="F70" s="14"/>
      <c r="G70" s="13"/>
      <c r="H70" s="13"/>
      <c r="I70" s="14"/>
    </row>
    <row r="71" spans="1:9">
      <c r="A71" s="13"/>
      <c r="B71" s="13"/>
      <c r="C71" s="13"/>
      <c r="D71" s="13"/>
      <c r="E71" s="13"/>
      <c r="F71" s="14"/>
      <c r="G71" s="13"/>
      <c r="H71" s="13"/>
      <c r="I71" s="14"/>
    </row>
    <row r="72" spans="1:9">
      <c r="A72" s="13"/>
      <c r="B72" s="13"/>
      <c r="C72" s="13"/>
      <c r="D72" s="13"/>
      <c r="E72" s="13"/>
      <c r="F72" s="14"/>
      <c r="G72" s="13"/>
      <c r="H72" s="13"/>
      <c r="I72" s="14"/>
    </row>
    <row r="73" spans="1:9">
      <c r="A73" s="13"/>
      <c r="B73" s="13"/>
      <c r="C73" s="13"/>
      <c r="D73" s="13"/>
      <c r="E73" s="13"/>
      <c r="F73" s="14"/>
      <c r="G73" s="13"/>
      <c r="H73" s="13"/>
      <c r="I73" s="14"/>
    </row>
    <row r="74" spans="1:9">
      <c r="A74" s="13"/>
      <c r="B74" s="13"/>
      <c r="C74" s="13"/>
      <c r="D74" s="13"/>
      <c r="E74" s="13"/>
      <c r="F74" s="14"/>
      <c r="G74" s="13"/>
      <c r="H74" s="13"/>
      <c r="I74" s="14"/>
    </row>
    <row r="75" spans="1:9">
      <c r="A75" s="13"/>
      <c r="B75" s="13"/>
      <c r="C75" s="13"/>
      <c r="D75" s="13"/>
      <c r="E75" s="13"/>
      <c r="F75" s="14"/>
      <c r="G75" s="13"/>
      <c r="H75" s="13"/>
      <c r="I75" s="14"/>
    </row>
    <row r="76" spans="1:9">
      <c r="A76" s="13"/>
      <c r="B76" s="13"/>
      <c r="C76" s="13"/>
      <c r="D76" s="13"/>
      <c r="E76" s="13"/>
      <c r="F76" s="14"/>
      <c r="G76" s="13"/>
      <c r="H76" s="13"/>
      <c r="I76" s="14"/>
    </row>
    <row r="77" spans="1:9">
      <c r="A77" s="13"/>
      <c r="B77" s="13"/>
      <c r="C77" s="13"/>
      <c r="D77" s="13"/>
      <c r="E77" s="13"/>
      <c r="F77" s="14"/>
      <c r="G77" s="13"/>
      <c r="H77" s="13"/>
      <c r="I77" s="14"/>
    </row>
    <row r="78" spans="1:9">
      <c r="A78" s="13"/>
      <c r="B78" s="13"/>
      <c r="C78" s="13"/>
      <c r="D78" s="13"/>
      <c r="E78" s="13"/>
      <c r="F78" s="14"/>
      <c r="G78" s="13"/>
      <c r="H78" s="13"/>
      <c r="I78" s="14"/>
    </row>
    <row r="79" spans="1:9">
      <c r="A79" s="13"/>
      <c r="B79" s="13"/>
      <c r="C79" s="13"/>
      <c r="D79" s="13"/>
      <c r="E79" s="13"/>
      <c r="F79" s="14"/>
      <c r="G79" s="13"/>
      <c r="H79" s="13"/>
      <c r="I79" s="14"/>
    </row>
    <row r="80" spans="1:9">
      <c r="A80" s="13"/>
      <c r="B80" s="13"/>
      <c r="C80" s="13"/>
      <c r="D80" s="13"/>
      <c r="E80" s="13"/>
      <c r="F80" s="14"/>
      <c r="G80" s="13"/>
      <c r="H80" s="13"/>
      <c r="I80" s="14"/>
    </row>
    <row r="81" spans="1:9">
      <c r="A81" s="13"/>
      <c r="B81" s="13"/>
      <c r="C81" s="13"/>
      <c r="D81" s="13"/>
      <c r="E81" s="13"/>
      <c r="F81" s="14"/>
      <c r="G81" s="13"/>
      <c r="H81" s="13"/>
      <c r="I81" s="14"/>
    </row>
    <row r="82" spans="1:9">
      <c r="A82" s="13"/>
      <c r="B82" s="13"/>
      <c r="C82" s="13"/>
      <c r="D82" s="13"/>
      <c r="E82" s="13"/>
      <c r="F82" s="14"/>
      <c r="G82" s="13"/>
      <c r="H82" s="13"/>
      <c r="I82" s="14"/>
    </row>
    <row r="83" spans="1:9">
      <c r="A83" s="13"/>
      <c r="B83" s="13"/>
      <c r="C83" s="13"/>
      <c r="D83" s="13"/>
      <c r="E83" s="13"/>
      <c r="F83" s="14"/>
      <c r="G83" s="13"/>
      <c r="H83" s="13"/>
      <c r="I83" s="14"/>
    </row>
    <row r="84" spans="1:9">
      <c r="A84" s="13"/>
      <c r="B84" s="13"/>
      <c r="C84" s="13"/>
      <c r="D84" s="13"/>
      <c r="E84" s="13"/>
      <c r="F84" s="14"/>
      <c r="G84" s="13"/>
      <c r="H84" s="13"/>
      <c r="I84" s="14"/>
    </row>
    <row r="85" spans="1:9">
      <c r="A85" s="13"/>
      <c r="B85" s="13"/>
      <c r="C85" s="13"/>
      <c r="D85" s="13"/>
      <c r="E85" s="13"/>
      <c r="F85" s="14"/>
      <c r="G85" s="13"/>
      <c r="H85" s="13"/>
      <c r="I85" s="14"/>
    </row>
    <row r="86" spans="1:9">
      <c r="A86" s="13"/>
      <c r="B86" s="13"/>
      <c r="C86" s="13"/>
      <c r="D86" s="13"/>
      <c r="E86" s="13"/>
      <c r="F86" s="14"/>
      <c r="G86" s="13"/>
      <c r="H86" s="13"/>
      <c r="I86" s="14"/>
    </row>
    <row r="87" spans="1:9">
      <c r="A87" s="13"/>
      <c r="B87" s="13"/>
      <c r="C87" s="13"/>
      <c r="D87" s="13"/>
      <c r="E87" s="13"/>
      <c r="F87" s="14"/>
      <c r="G87" s="13"/>
      <c r="H87" s="13"/>
      <c r="I87" s="14"/>
    </row>
    <row r="88" spans="1:9">
      <c r="A88" s="13"/>
      <c r="B88" s="13"/>
      <c r="C88" s="13"/>
      <c r="D88" s="13"/>
      <c r="E88" s="13"/>
      <c r="F88" s="14"/>
      <c r="G88" s="13"/>
      <c r="H88" s="13"/>
      <c r="I88" s="14"/>
    </row>
    <row r="89" spans="1:9">
      <c r="A89" s="13"/>
      <c r="B89" s="13"/>
      <c r="C89" s="13"/>
      <c r="D89" s="13"/>
      <c r="E89" s="13"/>
      <c r="F89" s="14"/>
      <c r="G89" s="13"/>
      <c r="H89" s="13"/>
      <c r="I89" s="14"/>
    </row>
    <row r="90" spans="1:9">
      <c r="A90" s="13"/>
      <c r="B90" s="13"/>
      <c r="C90" s="13"/>
      <c r="D90" s="13"/>
      <c r="E90" s="13"/>
      <c r="F90" s="14"/>
      <c r="G90" s="13"/>
      <c r="H90" s="13"/>
      <c r="I90" s="14"/>
    </row>
    <row r="91" spans="1:9">
      <c r="A91" s="13"/>
      <c r="B91" s="13"/>
      <c r="C91" s="13"/>
      <c r="D91" s="13"/>
      <c r="E91" s="13"/>
      <c r="F91" s="14"/>
      <c r="G91" s="13"/>
      <c r="H91" s="13"/>
      <c r="I91" s="14"/>
    </row>
    <row r="92" spans="1:9">
      <c r="A92" s="13"/>
      <c r="B92" s="13"/>
      <c r="C92" s="13"/>
      <c r="D92" s="13"/>
      <c r="E92" s="13"/>
      <c r="F92" s="14"/>
      <c r="G92" s="13"/>
      <c r="H92" s="13"/>
      <c r="I92" s="14"/>
    </row>
    <row r="93" spans="1:9">
      <c r="A93" s="13"/>
      <c r="B93" s="13"/>
      <c r="C93" s="13"/>
      <c r="D93" s="13"/>
      <c r="E93" s="13"/>
      <c r="F93" s="14"/>
      <c r="G93" s="13"/>
      <c r="H93" s="13"/>
      <c r="I93" s="14"/>
    </row>
    <row r="94" spans="1:9">
      <c r="A94" s="13"/>
      <c r="B94" s="13"/>
      <c r="C94" s="13"/>
      <c r="D94" s="13"/>
      <c r="E94" s="13"/>
      <c r="F94" s="14"/>
      <c r="G94" s="13"/>
      <c r="H94" s="13"/>
      <c r="I94" s="14"/>
    </row>
    <row r="95" spans="1:9">
      <c r="A95" s="13"/>
      <c r="B95" s="13"/>
      <c r="C95" s="13"/>
      <c r="D95" s="13"/>
      <c r="E95" s="13"/>
      <c r="F95" s="14"/>
      <c r="G95" s="13"/>
      <c r="H95" s="13"/>
      <c r="I95" s="14"/>
    </row>
    <row r="96" spans="1:9">
      <c r="A96" s="13"/>
      <c r="B96" s="13"/>
      <c r="C96" s="13"/>
      <c r="D96" s="13"/>
      <c r="E96" s="13"/>
      <c r="F96" s="14"/>
      <c r="G96" s="13"/>
      <c r="H96" s="13"/>
      <c r="I96" s="14"/>
    </row>
    <row r="97" spans="1:9">
      <c r="A97" s="13"/>
      <c r="B97" s="13"/>
      <c r="C97" s="13"/>
      <c r="D97" s="13"/>
      <c r="E97" s="13"/>
      <c r="F97" s="14"/>
      <c r="G97" s="13"/>
      <c r="H97" s="13"/>
      <c r="I97" s="14"/>
    </row>
    <row r="98" spans="1:9">
      <c r="A98" s="13"/>
      <c r="B98" s="13"/>
      <c r="C98" s="13"/>
      <c r="D98" s="13"/>
      <c r="E98" s="13"/>
      <c r="F98" s="14"/>
      <c r="G98" s="13"/>
      <c r="H98" s="13"/>
      <c r="I98" s="14"/>
    </row>
    <row r="99" spans="1:9">
      <c r="A99" s="13"/>
      <c r="B99" s="13"/>
      <c r="C99" s="13"/>
      <c r="D99" s="13"/>
      <c r="E99" s="13"/>
      <c r="F99" s="14"/>
      <c r="G99" s="13"/>
      <c r="H99" s="13"/>
      <c r="I99" s="14"/>
    </row>
    <row r="100" spans="1: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>
      <c r="A334" s="13"/>
      <c r="B334" s="13"/>
      <c r="C334" s="13"/>
      <c r="D334" s="13"/>
      <c r="E334" s="13"/>
      <c r="F334" s="14"/>
      <c r="G334" s="13"/>
      <c r="H334" s="13"/>
      <c r="I334" s="1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6 I4:I16 I18:I92 F18:F92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0" t="str" cm="1">
        <f t="array" ref="A1">portfolio</f>
        <v>Catalyze</v>
      </c>
      <c r="B1" s="70"/>
      <c r="C1" s="70"/>
      <c r="D1" s="71" t="s">
        <v>14</v>
      </c>
      <c r="E1" s="71"/>
      <c r="F1" s="71"/>
      <c r="G1" s="69" t="s">
        <v>15</v>
      </c>
      <c r="H1" s="69"/>
      <c r="I1" s="69"/>
    </row>
    <row r="2" spans="1:9" ht="19.5" customHeight="1">
      <c r="A2" s="72" t="s">
        <v>2</v>
      </c>
      <c r="B2" s="72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17">Sites[Site]</f>
        <v>Fresno - 3150 Shaw Ave</v>
      </c>
      <c r="B4" s="35" t="str" cm="1">
        <f t="array" ref="B4:B17">Sites[State]</f>
        <v>CA</v>
      </c>
      <c r="C4" s="36">
        <f>SUM(Jul!C4, Aug!C4, Sep!C4)</f>
        <v>0</v>
      </c>
      <c r="D4" s="37">
        <f>SUM(Jul!D4, Aug!D4, Sep!D4)</f>
        <v>0</v>
      </c>
      <c r="E4" s="37">
        <f>IF(AND(ISNUMBER(C4),ISNUMBER(D4)), C4-D4, "")</f>
        <v>0</v>
      </c>
      <c r="F4" s="38" t="str">
        <f>IFERROR(E4/D4, "")</f>
        <v/>
      </c>
      <c r="G4" s="39"/>
      <c r="H4" s="39">
        <f>SUM(Jul!H4, Aug!H4, Sep!H4)</f>
        <v>0</v>
      </c>
      <c r="I4" s="40" t="str">
        <f>IFERROR(H4/G4, "")</f>
        <v/>
      </c>
    </row>
    <row r="5" spans="1:9" ht="15.75">
      <c r="A5" s="56" t="str">
        <v>Adelanto - 1 Sheep Creek Road</v>
      </c>
      <c r="B5" s="42" t="str">
        <v>CA</v>
      </c>
      <c r="C5" s="43">
        <f>SUM(Jul!C5, Aug!C5, Sep!C5)</f>
        <v>0</v>
      </c>
      <c r="D5" s="44">
        <f>SUM(Jul!D5, Aug!D5, Sep!D5)</f>
        <v>0</v>
      </c>
      <c r="E5" s="44">
        <f t="shared" ref="E5:E15" si="0">IF(AND(ISNUMBER(C5),ISNUMBER(D5)), C5-D5, "")</f>
        <v>0</v>
      </c>
      <c r="F5" s="45" t="str">
        <f>IFERROR(E5/D5, "")</f>
        <v/>
      </c>
      <c r="G5" s="46"/>
      <c r="H5" s="46">
        <f>SUM(Jul!H5, Aug!H5, Sep!H5)</f>
        <v>0</v>
      </c>
      <c r="I5" s="45" t="str">
        <f>IFERROR(H5/G5, "")</f>
        <v/>
      </c>
    </row>
    <row r="6" spans="1:9" ht="15.75">
      <c r="A6" s="55" t="str">
        <v>Blackstone - 83 Federal Street</v>
      </c>
      <c r="B6" s="35" t="str">
        <v>MA</v>
      </c>
      <c r="C6" s="36">
        <f>SUM(Jul!C6, Aug!C6, Sep!C6)</f>
        <v>0</v>
      </c>
      <c r="D6" s="37">
        <f>SUM(Jul!D6, Aug!D6, Sep!D6)</f>
        <v>0</v>
      </c>
      <c r="E6" s="37">
        <f t="shared" si="0"/>
        <v>0</v>
      </c>
      <c r="F6" s="38" t="str">
        <f t="shared" ref="F6:F15" si="1">IFERROR(E6/D6, "")</f>
        <v/>
      </c>
      <c r="G6" s="39"/>
      <c r="H6" s="39">
        <f>SUM(Jul!H6, Aug!H6, Sep!H6)</f>
        <v>0</v>
      </c>
      <c r="I6" s="40" t="str">
        <f t="shared" ref="I6:I15" si="2">IFERROR(H6/G6, "")</f>
        <v/>
      </c>
    </row>
    <row r="7" spans="1:9" ht="15.75">
      <c r="A7" s="56" t="str">
        <v>Charlton - 299 Worcester Road</v>
      </c>
      <c r="B7" s="42" t="str">
        <v>MA</v>
      </c>
      <c r="C7" s="43">
        <f>SUM(Jul!C7, Aug!C7, Sep!C7)</f>
        <v>0</v>
      </c>
      <c r="D7" s="44">
        <f>SUM(Jul!D7, Aug!D7, Sep!D7)</f>
        <v>0</v>
      </c>
      <c r="E7" s="44">
        <f t="shared" si="0"/>
        <v>0</v>
      </c>
      <c r="F7" s="45" t="str">
        <f t="shared" si="1"/>
        <v/>
      </c>
      <c r="G7" s="46"/>
      <c r="H7" s="46">
        <f>SUM(Jul!H7, Aug!H7, Sep!H7)</f>
        <v>0</v>
      </c>
      <c r="I7" s="45" t="str">
        <f t="shared" si="2"/>
        <v/>
      </c>
    </row>
    <row r="8" spans="1:9" ht="15.75">
      <c r="A8" s="55" t="str">
        <v>Wareham - 8 Thatcher Drive</v>
      </c>
      <c r="B8" s="35" t="str">
        <v>MA</v>
      </c>
      <c r="C8" s="36">
        <f>SUM(Jul!C8, Aug!C8, Sep!C8)</f>
        <v>0</v>
      </c>
      <c r="D8" s="37">
        <f>SUM(Jul!D8, Aug!D8, Sep!D8)</f>
        <v>0</v>
      </c>
      <c r="E8" s="37">
        <f t="shared" si="0"/>
        <v>0</v>
      </c>
      <c r="F8" s="38" t="str">
        <f t="shared" si="1"/>
        <v/>
      </c>
      <c r="G8" s="39"/>
      <c r="H8" s="39">
        <f>SUM(Jul!H8, Aug!H8, Sep!H8)</f>
        <v>0</v>
      </c>
      <c r="I8" s="40" t="str">
        <f t="shared" si="2"/>
        <v/>
      </c>
    </row>
    <row r="9" spans="1:9" ht="15.75">
      <c r="A9" s="56" t="str">
        <v>West Yarmouth - 42 Mid Tech</v>
      </c>
      <c r="B9" s="42" t="str">
        <v>MA</v>
      </c>
      <c r="C9" s="43">
        <f>SUM(Jul!C9, Aug!C9, Sep!C9)</f>
        <v>0</v>
      </c>
      <c r="D9" s="44">
        <f>SUM(Jul!D9, Aug!D9, Sep!D9)</f>
        <v>0</v>
      </c>
      <c r="E9" s="44">
        <f t="shared" si="0"/>
        <v>0</v>
      </c>
      <c r="F9" s="45" t="str">
        <f t="shared" si="1"/>
        <v/>
      </c>
      <c r="G9" s="46"/>
      <c r="H9" s="46">
        <f>SUM(Jul!H9, Aug!H9, Sep!H9)</f>
        <v>0</v>
      </c>
      <c r="I9" s="45" t="str">
        <f t="shared" si="2"/>
        <v/>
      </c>
    </row>
    <row r="10" spans="1:9" ht="15.75">
      <c r="A10" s="55" t="str">
        <v>Harrison - 130 Union Street</v>
      </c>
      <c r="B10" s="35" t="str">
        <v>NY</v>
      </c>
      <c r="C10" s="36">
        <f>SUM(Jul!C10, Aug!C10, Sep!C10)</f>
        <v>0</v>
      </c>
      <c r="D10" s="37">
        <f>SUM(Jul!D10, Aug!D10, Sep!D10)</f>
        <v>0</v>
      </c>
      <c r="E10" s="37">
        <f t="shared" si="0"/>
        <v>0</v>
      </c>
      <c r="F10" s="38" t="str">
        <f t="shared" si="1"/>
        <v/>
      </c>
      <c r="G10" s="39"/>
      <c r="H10" s="39">
        <f>SUM(Jul!H10, Aug!H10, Sep!H10)</f>
        <v>0</v>
      </c>
      <c r="I10" s="40" t="str">
        <f t="shared" si="2"/>
        <v/>
      </c>
    </row>
    <row r="11" spans="1:9" ht="15.75">
      <c r="A11" s="56" t="str">
        <v>Staten Island - Ellis Storage</v>
      </c>
      <c r="B11" s="42" t="str">
        <v>NY</v>
      </c>
      <c r="C11" s="43">
        <f>SUM(Jul!C11, Aug!C11, Sep!C11)</f>
        <v>0</v>
      </c>
      <c r="D11" s="44">
        <f>SUM(Jul!D11, Aug!D11, Sep!D11)</f>
        <v>0</v>
      </c>
      <c r="E11" s="44">
        <f t="shared" si="0"/>
        <v>0</v>
      </c>
      <c r="F11" s="45" t="str">
        <f t="shared" si="1"/>
        <v/>
      </c>
      <c r="G11" s="46"/>
      <c r="H11" s="46">
        <f>SUM(Jul!H11, Aug!H11, Sep!H11)</f>
        <v>0</v>
      </c>
      <c r="I11" s="45" t="str">
        <f t="shared" si="2"/>
        <v/>
      </c>
    </row>
    <row r="12" spans="1:9" ht="15.75">
      <c r="A12" s="55" t="str">
        <v>Amherst - 595 Scholles Road</v>
      </c>
      <c r="B12" s="35" t="str">
        <v>NY</v>
      </c>
      <c r="C12" s="36">
        <f>SUM(Jul!C12, Aug!C12, Sep!C12)</f>
        <v>0</v>
      </c>
      <c r="D12" s="37">
        <f>SUM(Jul!D12, Aug!D12, Sep!D12)</f>
        <v>0</v>
      </c>
      <c r="E12" s="37">
        <f t="shared" si="0"/>
        <v>0</v>
      </c>
      <c r="F12" s="38" t="str">
        <f t="shared" si="1"/>
        <v/>
      </c>
      <c r="G12" s="39"/>
      <c r="H12" s="39">
        <f>SUM(Jul!H12, Aug!H12, Sep!H12)</f>
        <v>0</v>
      </c>
      <c r="I12" s="40" t="str">
        <f t="shared" si="2"/>
        <v/>
      </c>
    </row>
    <row r="13" spans="1:9" ht="15.75">
      <c r="A13" s="56" t="str">
        <v>Lancaster 1 - Gunnville Road</v>
      </c>
      <c r="B13" s="42" t="str">
        <v>NY</v>
      </c>
      <c r="C13" s="43">
        <f>SUM(Jul!C13, Aug!C13, Sep!C13)</f>
        <v>0</v>
      </c>
      <c r="D13" s="44">
        <f>SUM(Jul!D13, Aug!D13, Sep!D13)</f>
        <v>0</v>
      </c>
      <c r="E13" s="44">
        <f t="shared" si="0"/>
        <v>0</v>
      </c>
      <c r="F13" s="45" t="str">
        <f t="shared" si="1"/>
        <v/>
      </c>
      <c r="G13" s="46"/>
      <c r="H13" s="46">
        <f>SUM(Jul!H13, Aug!H13, Sep!H13)</f>
        <v>0</v>
      </c>
      <c r="I13" s="45" t="str">
        <f t="shared" si="2"/>
        <v/>
      </c>
    </row>
    <row r="14" spans="1:9" ht="15.75">
      <c r="A14" s="55" t="str">
        <v>Lancaster 2 - Shisler Road</v>
      </c>
      <c r="B14" s="35" t="str">
        <v>NY</v>
      </c>
      <c r="C14" s="36">
        <f>SUM(Jul!C14, Aug!C14, Sep!C14)</f>
        <v>0</v>
      </c>
      <c r="D14" s="37">
        <f>SUM(Jul!D14, Aug!D14, Sep!D14)</f>
        <v>0</v>
      </c>
      <c r="E14" s="37">
        <f t="shared" si="0"/>
        <v>0</v>
      </c>
      <c r="F14" s="38" t="str">
        <f t="shared" si="1"/>
        <v/>
      </c>
      <c r="G14" s="39"/>
      <c r="H14" s="39">
        <f>SUM(Jul!H14, Aug!H14, Sep!H14)</f>
        <v>0</v>
      </c>
      <c r="I14" s="40" t="str">
        <f t="shared" si="2"/>
        <v/>
      </c>
    </row>
    <row r="15" spans="1:9" ht="15.75">
      <c r="A15" s="56" t="str">
        <v>Fullerton - 200 W Orangethorpe</v>
      </c>
      <c r="B15" s="42" t="str">
        <v>CA</v>
      </c>
      <c r="C15" s="43">
        <f>SUM(Jul!C15, Aug!C15, Sep!C15)</f>
        <v>0</v>
      </c>
      <c r="D15" s="44">
        <f>SUM(Jul!D15, Aug!D15, Sep!D15)</f>
        <v>0</v>
      </c>
      <c r="E15" s="44">
        <f t="shared" si="0"/>
        <v>0</v>
      </c>
      <c r="F15" s="45" t="str">
        <f t="shared" si="1"/>
        <v/>
      </c>
      <c r="G15" s="46"/>
      <c r="H15" s="46">
        <f>SUM(Jul!H15, Aug!H15, Sep!H15)</f>
        <v>0</v>
      </c>
      <c r="I15" s="45" t="str">
        <f t="shared" si="2"/>
        <v/>
      </c>
    </row>
    <row r="16" spans="1:9" ht="15.75">
      <c r="A16" s="55" t="str">
        <v>El Paso - 10500 Railroad Drive</v>
      </c>
      <c r="B16" s="35" t="str">
        <v>TX</v>
      </c>
      <c r="C16" s="36">
        <f>SUM(Jul!C16, Aug!C16, Sep!C16)</f>
        <v>0</v>
      </c>
      <c r="D16" s="37">
        <f>SUM(Jul!D16, Aug!D16, Sep!D16)</f>
        <v>0</v>
      </c>
      <c r="E16" s="37">
        <f t="shared" ref="E16:E17" si="3">IF(AND(ISNUMBER(C16),ISNUMBER(D16)), C16-D16, "")</f>
        <v>0</v>
      </c>
      <c r="F16" s="38" t="str">
        <f t="shared" ref="F16:F17" si="4">IFERROR(E16/D16, "")</f>
        <v/>
      </c>
      <c r="G16" s="39"/>
      <c r="H16" s="39">
        <f>SUM(Jul!H16, Aug!H16, Sep!H16)</f>
        <v>0</v>
      </c>
      <c r="I16" s="40" t="str">
        <f t="shared" ref="I16:I17" si="5">IFERROR(H16/G16, "")</f>
        <v/>
      </c>
    </row>
    <row r="17" spans="1:9" ht="15.75">
      <c r="A17" s="56" t="str">
        <v>Friona - 900 Millard Ave</v>
      </c>
      <c r="B17" s="42" t="str">
        <v>TX</v>
      </c>
      <c r="C17" s="43">
        <f>SUM(Jul!C17, Aug!C17, Sep!C17)</f>
        <v>0</v>
      </c>
      <c r="D17" s="44">
        <f>SUM(Jul!D17, Aug!D17, Sep!D17)</f>
        <v>0</v>
      </c>
      <c r="E17" s="44">
        <f t="shared" si="3"/>
        <v>0</v>
      </c>
      <c r="F17" s="45" t="str">
        <f t="shared" si="4"/>
        <v/>
      </c>
      <c r="G17" s="46"/>
      <c r="H17" s="46">
        <f>SUM(Jul!H17, Aug!H17, Sep!H17)</f>
        <v>0</v>
      </c>
      <c r="I17" s="45" t="str">
        <f t="shared" si="5"/>
        <v/>
      </c>
    </row>
    <row r="18" spans="1:9" ht="15.75">
      <c r="A18" s="9"/>
      <c r="B18" s="13"/>
      <c r="C18" s="13"/>
      <c r="D18" s="13"/>
      <c r="E18" s="13"/>
      <c r="F18" s="13"/>
      <c r="G18" s="13"/>
      <c r="H18" s="13"/>
      <c r="I18" s="13"/>
    </row>
    <row r="19" spans="1:9" ht="15.75">
      <c r="A19" s="9"/>
      <c r="B19" s="13"/>
      <c r="C19" s="13"/>
      <c r="D19" s="13"/>
      <c r="E19" s="13"/>
      <c r="F19" s="13"/>
      <c r="G19" s="13"/>
      <c r="H19" s="13"/>
      <c r="I19" s="13"/>
    </row>
    <row r="20" spans="1:9" ht="15.75">
      <c r="A20" s="9"/>
      <c r="B20" s="13"/>
      <c r="C20" s="13"/>
      <c r="D20" s="13"/>
      <c r="E20" s="13"/>
      <c r="F20" s="13"/>
      <c r="G20" s="13"/>
      <c r="H20" s="13"/>
      <c r="I20" s="13"/>
    </row>
    <row r="21" spans="1:9" ht="15.75">
      <c r="A21" s="9"/>
      <c r="B21" s="13"/>
      <c r="C21" s="13"/>
      <c r="D21" s="13"/>
      <c r="E21" s="13"/>
      <c r="F21" s="13"/>
      <c r="G21" s="13"/>
      <c r="H21" s="13"/>
      <c r="I21" s="13"/>
    </row>
    <row r="22" spans="1:9" ht="15.75">
      <c r="A22" s="9"/>
      <c r="B22" s="13"/>
      <c r="C22" s="13"/>
      <c r="D22" s="13"/>
      <c r="E22" s="13"/>
      <c r="F22" s="13"/>
      <c r="G22" s="13"/>
      <c r="H22" s="13"/>
      <c r="I22" s="13"/>
    </row>
    <row r="23" spans="1:9" ht="15.75">
      <c r="A23" s="9"/>
      <c r="B23" s="13"/>
      <c r="C23" s="13"/>
      <c r="D23" s="13"/>
      <c r="E23" s="13"/>
      <c r="F23" s="13"/>
      <c r="G23" s="13"/>
      <c r="H23" s="13"/>
      <c r="I23" s="13"/>
    </row>
    <row r="24" spans="1:9">
      <c r="A24" s="13"/>
      <c r="B24" s="13"/>
      <c r="C24" s="13"/>
      <c r="D24" s="13"/>
      <c r="E24" s="13"/>
      <c r="F24" s="13"/>
      <c r="G24" s="13"/>
      <c r="H24" s="13"/>
      <c r="I24" s="13"/>
    </row>
    <row r="25" spans="1:9">
      <c r="A25" s="13"/>
      <c r="B25" s="13"/>
      <c r="C25" s="13"/>
      <c r="D25" s="13"/>
      <c r="E25" s="13"/>
      <c r="F25" s="14"/>
      <c r="G25" s="13"/>
      <c r="H25" s="13"/>
      <c r="I25" s="14"/>
    </row>
    <row r="26" spans="1:9">
      <c r="A26" s="13"/>
      <c r="B26" s="13"/>
      <c r="C26" s="13"/>
      <c r="D26" s="13"/>
      <c r="E26" s="13"/>
      <c r="F26" s="14"/>
      <c r="G26" s="13"/>
      <c r="H26" s="13"/>
      <c r="I26" s="14"/>
    </row>
    <row r="27" spans="1:9">
      <c r="A27" s="13"/>
      <c r="B27" s="13"/>
      <c r="C27" s="13"/>
      <c r="D27" s="13"/>
      <c r="E27" s="13"/>
      <c r="F27" s="14"/>
      <c r="G27" s="13"/>
      <c r="H27" s="13"/>
      <c r="I27" s="14"/>
    </row>
    <row r="28" spans="1:9">
      <c r="A28" s="13"/>
      <c r="B28" s="13"/>
      <c r="C28" s="13"/>
      <c r="D28" s="13"/>
      <c r="E28" s="13"/>
      <c r="F28" s="14"/>
      <c r="G28" s="13"/>
      <c r="H28" s="13"/>
      <c r="I28" s="14"/>
    </row>
    <row r="29" spans="1:9">
      <c r="A29" s="13"/>
      <c r="B29" s="13"/>
      <c r="C29" s="13"/>
      <c r="D29" s="13"/>
      <c r="E29" s="13"/>
      <c r="F29" s="14"/>
      <c r="G29" s="13"/>
      <c r="H29" s="13"/>
      <c r="I29" s="14"/>
    </row>
    <row r="30" spans="1:9">
      <c r="A30" s="13"/>
      <c r="B30" s="13"/>
      <c r="C30" s="13"/>
      <c r="D30" s="13"/>
      <c r="E30" s="13"/>
      <c r="F30" s="14"/>
      <c r="G30" s="13"/>
      <c r="H30" s="13"/>
      <c r="I30" s="14"/>
    </row>
    <row r="31" spans="1:9">
      <c r="A31" s="13"/>
      <c r="B31" s="13"/>
      <c r="C31" s="13"/>
      <c r="D31" s="13"/>
      <c r="E31" s="13"/>
      <c r="F31" s="14"/>
      <c r="G31" s="13"/>
      <c r="H31" s="13"/>
      <c r="I31" s="14"/>
    </row>
    <row r="32" spans="1:9">
      <c r="A32" s="13"/>
      <c r="B32" s="13"/>
      <c r="C32" s="13"/>
      <c r="D32" s="13"/>
      <c r="E32" s="13"/>
      <c r="F32" s="14"/>
      <c r="G32" s="13"/>
      <c r="H32" s="13"/>
      <c r="I32" s="14"/>
    </row>
    <row r="33" spans="1:9">
      <c r="A33" s="13"/>
      <c r="B33" s="13"/>
      <c r="C33" s="13"/>
      <c r="D33" s="13"/>
      <c r="E33" s="13"/>
      <c r="F33" s="14"/>
      <c r="G33" s="13"/>
      <c r="H33" s="13"/>
      <c r="I33" s="14"/>
    </row>
    <row r="34" spans="1:9">
      <c r="A34" s="13"/>
      <c r="B34" s="13"/>
      <c r="C34" s="13"/>
      <c r="D34" s="13"/>
      <c r="E34" s="13"/>
      <c r="F34" s="14"/>
      <c r="G34" s="13"/>
      <c r="H34" s="13"/>
      <c r="I34" s="14"/>
    </row>
    <row r="35" spans="1:9">
      <c r="A35" s="13"/>
      <c r="B35" s="13"/>
      <c r="C35" s="13"/>
      <c r="D35" s="13"/>
      <c r="E35" s="13"/>
      <c r="F35" s="14"/>
      <c r="G35" s="13"/>
      <c r="H35" s="13"/>
      <c r="I35" s="14"/>
    </row>
    <row r="36" spans="1:9">
      <c r="A36" s="13"/>
      <c r="B36" s="13"/>
      <c r="C36" s="13"/>
      <c r="D36" s="13"/>
      <c r="E36" s="13"/>
      <c r="F36" s="14"/>
      <c r="G36" s="13"/>
      <c r="H36" s="13"/>
      <c r="I36" s="14"/>
    </row>
    <row r="37" spans="1:9">
      <c r="A37" s="13"/>
      <c r="B37" s="13"/>
      <c r="C37" s="13"/>
      <c r="D37" s="13"/>
      <c r="E37" s="13"/>
      <c r="F37" s="14"/>
      <c r="G37" s="13"/>
      <c r="H37" s="13"/>
      <c r="I37" s="14"/>
    </row>
    <row r="38" spans="1:9">
      <c r="A38" s="13"/>
      <c r="B38" s="13"/>
      <c r="C38" s="13"/>
      <c r="D38" s="13"/>
      <c r="E38" s="13"/>
      <c r="F38" s="14"/>
      <c r="G38" s="13"/>
      <c r="H38" s="13"/>
      <c r="I38" s="14"/>
    </row>
    <row r="39" spans="1:9">
      <c r="A39" s="13"/>
      <c r="B39" s="13"/>
      <c r="C39" s="13"/>
      <c r="D39" s="13"/>
      <c r="E39" s="13"/>
      <c r="F39" s="14"/>
      <c r="G39" s="13"/>
      <c r="H39" s="13"/>
      <c r="I39" s="14"/>
    </row>
    <row r="40" spans="1:9">
      <c r="A40" s="13"/>
      <c r="B40" s="13"/>
      <c r="C40" s="13"/>
      <c r="D40" s="13"/>
      <c r="E40" s="13"/>
      <c r="F40" s="14"/>
      <c r="G40" s="13"/>
      <c r="H40" s="13"/>
      <c r="I40" s="14"/>
    </row>
    <row r="41" spans="1:9">
      <c r="A41" s="13"/>
      <c r="B41" s="13"/>
      <c r="C41" s="13"/>
      <c r="D41" s="13"/>
      <c r="E41" s="13"/>
      <c r="F41" s="14"/>
      <c r="G41" s="13"/>
      <c r="H41" s="13"/>
      <c r="I41" s="14"/>
    </row>
    <row r="42" spans="1:9">
      <c r="A42" s="13"/>
      <c r="B42" s="13"/>
      <c r="C42" s="13"/>
      <c r="D42" s="13"/>
      <c r="E42" s="13"/>
      <c r="F42" s="14"/>
      <c r="G42" s="13"/>
      <c r="H42" s="13"/>
      <c r="I42" s="14"/>
    </row>
    <row r="43" spans="1:9">
      <c r="A43" s="13"/>
      <c r="B43" s="13"/>
      <c r="C43" s="13"/>
      <c r="D43" s="13"/>
      <c r="E43" s="13"/>
      <c r="F43" s="14"/>
      <c r="G43" s="13"/>
      <c r="H43" s="13"/>
      <c r="I43" s="14"/>
    </row>
    <row r="44" spans="1:9">
      <c r="A44" s="13"/>
      <c r="B44" s="13"/>
      <c r="C44" s="13"/>
      <c r="D44" s="13"/>
      <c r="E44" s="13"/>
      <c r="F44" s="14"/>
      <c r="G44" s="13"/>
      <c r="H44" s="13"/>
      <c r="I44" s="14"/>
    </row>
    <row r="45" spans="1:9">
      <c r="A45" s="13"/>
      <c r="B45" s="13"/>
      <c r="C45" s="13"/>
      <c r="D45" s="13"/>
      <c r="E45" s="13"/>
      <c r="F45" s="14"/>
      <c r="G45" s="13"/>
      <c r="H45" s="13"/>
      <c r="I45" s="14"/>
    </row>
    <row r="46" spans="1:9">
      <c r="A46" s="13"/>
      <c r="B46" s="13"/>
      <c r="C46" s="13"/>
      <c r="D46" s="13"/>
      <c r="E46" s="13"/>
      <c r="F46" s="14"/>
      <c r="G46" s="13"/>
      <c r="H46" s="13"/>
      <c r="I46" s="14"/>
    </row>
    <row r="47" spans="1:9">
      <c r="A47" s="13"/>
      <c r="B47" s="13"/>
      <c r="C47" s="13"/>
      <c r="D47" s="13"/>
      <c r="E47" s="13"/>
      <c r="F47" s="14"/>
      <c r="G47" s="13"/>
      <c r="H47" s="13"/>
      <c r="I47" s="14"/>
    </row>
    <row r="48" spans="1:9">
      <c r="A48" s="13"/>
      <c r="B48" s="13"/>
      <c r="C48" s="13"/>
      <c r="D48" s="13"/>
      <c r="E48" s="13"/>
      <c r="F48" s="14"/>
      <c r="G48" s="13"/>
      <c r="H48" s="13"/>
      <c r="I48" s="14"/>
    </row>
    <row r="49" spans="1:9">
      <c r="A49" s="13"/>
      <c r="B49" s="13"/>
      <c r="C49" s="13"/>
      <c r="D49" s="13"/>
      <c r="E49" s="13"/>
      <c r="F49" s="14"/>
      <c r="G49" s="13"/>
      <c r="H49" s="13"/>
      <c r="I49" s="14"/>
    </row>
    <row r="50" spans="1:9">
      <c r="A50" s="13"/>
      <c r="B50" s="13"/>
      <c r="C50" s="13"/>
      <c r="D50" s="13"/>
      <c r="E50" s="13"/>
      <c r="F50" s="14"/>
      <c r="G50" s="13"/>
      <c r="H50" s="13"/>
      <c r="I50" s="14"/>
    </row>
    <row r="51" spans="1:9">
      <c r="A51" s="13"/>
      <c r="B51" s="13"/>
      <c r="C51" s="13"/>
      <c r="D51" s="13"/>
      <c r="E51" s="13"/>
      <c r="F51" s="14"/>
      <c r="G51" s="13"/>
      <c r="H51" s="13"/>
      <c r="I51" s="14"/>
    </row>
    <row r="52" spans="1:9">
      <c r="A52" s="13"/>
      <c r="B52" s="13"/>
      <c r="C52" s="13"/>
      <c r="D52" s="13"/>
      <c r="E52" s="13"/>
      <c r="F52" s="14"/>
      <c r="G52" s="13"/>
      <c r="H52" s="13"/>
      <c r="I52" s="14"/>
    </row>
    <row r="53" spans="1:9">
      <c r="A53" s="13"/>
      <c r="B53" s="13"/>
      <c r="C53" s="13"/>
      <c r="D53" s="13"/>
      <c r="E53" s="13"/>
      <c r="F53" s="14"/>
      <c r="G53" s="13"/>
      <c r="H53" s="13"/>
      <c r="I53" s="14"/>
    </row>
    <row r="54" spans="1:9">
      <c r="A54" s="13"/>
      <c r="B54" s="13"/>
      <c r="C54" s="13"/>
      <c r="D54" s="13"/>
      <c r="E54" s="13"/>
      <c r="F54" s="14"/>
      <c r="G54" s="13"/>
      <c r="H54" s="13"/>
      <c r="I54" s="14"/>
    </row>
    <row r="55" spans="1:9">
      <c r="A55" s="13"/>
      <c r="B55" s="13"/>
      <c r="C55" s="13"/>
      <c r="D55" s="13"/>
      <c r="E55" s="13"/>
      <c r="F55" s="14"/>
      <c r="G55" s="13"/>
      <c r="H55" s="13"/>
      <c r="I55" s="14"/>
    </row>
    <row r="56" spans="1:9">
      <c r="A56" s="13"/>
      <c r="B56" s="13"/>
      <c r="C56" s="13"/>
      <c r="D56" s="13"/>
      <c r="E56" s="13"/>
      <c r="F56" s="14"/>
      <c r="G56" s="13"/>
      <c r="H56" s="13"/>
      <c r="I56" s="14"/>
    </row>
    <row r="57" spans="1:9">
      <c r="A57" s="13"/>
      <c r="B57" s="13"/>
      <c r="C57" s="13"/>
      <c r="D57" s="13"/>
      <c r="E57" s="13"/>
      <c r="F57" s="14"/>
      <c r="G57" s="13"/>
      <c r="H57" s="13"/>
      <c r="I57" s="14"/>
    </row>
    <row r="58" spans="1:9">
      <c r="A58" s="13"/>
      <c r="B58" s="13"/>
      <c r="C58" s="13"/>
      <c r="D58" s="13"/>
      <c r="E58" s="13"/>
      <c r="F58" s="14"/>
      <c r="G58" s="13"/>
      <c r="H58" s="13"/>
      <c r="I58" s="14"/>
    </row>
    <row r="59" spans="1:9">
      <c r="A59" s="13"/>
      <c r="B59" s="13"/>
      <c r="C59" s="13"/>
      <c r="D59" s="13"/>
      <c r="E59" s="13"/>
      <c r="F59" s="14"/>
      <c r="G59" s="13"/>
      <c r="H59" s="13"/>
      <c r="I59" s="14"/>
    </row>
    <row r="60" spans="1:9">
      <c r="A60" s="13"/>
      <c r="B60" s="13"/>
      <c r="C60" s="13"/>
      <c r="D60" s="13"/>
      <c r="E60" s="13"/>
      <c r="F60" s="14"/>
      <c r="G60" s="13"/>
      <c r="H60" s="13"/>
      <c r="I60" s="14"/>
    </row>
    <row r="61" spans="1:9">
      <c r="A61" s="13"/>
      <c r="B61" s="13"/>
      <c r="C61" s="13"/>
      <c r="D61" s="13"/>
      <c r="E61" s="13"/>
      <c r="F61" s="14"/>
      <c r="G61" s="13"/>
      <c r="H61" s="13"/>
      <c r="I61" s="14"/>
    </row>
    <row r="62" spans="1:9">
      <c r="A62" s="13"/>
      <c r="B62" s="13"/>
      <c r="C62" s="13"/>
      <c r="D62" s="13"/>
      <c r="E62" s="13"/>
      <c r="F62" s="14"/>
      <c r="G62" s="13"/>
      <c r="H62" s="13"/>
      <c r="I62" s="14"/>
    </row>
    <row r="63" spans="1:9">
      <c r="A63" s="13"/>
      <c r="B63" s="13"/>
      <c r="C63" s="13"/>
      <c r="D63" s="13"/>
      <c r="E63" s="13"/>
      <c r="F63" s="14"/>
      <c r="G63" s="13"/>
      <c r="H63" s="13"/>
      <c r="I63" s="14"/>
    </row>
    <row r="64" spans="1:9">
      <c r="A64" s="13"/>
      <c r="B64" s="13"/>
      <c r="C64" s="13"/>
      <c r="D64" s="13"/>
      <c r="E64" s="13"/>
      <c r="F64" s="14"/>
      <c r="G64" s="13"/>
      <c r="H64" s="13"/>
      <c r="I64" s="14"/>
    </row>
    <row r="65" spans="1:9">
      <c r="A65" s="13"/>
      <c r="B65" s="13"/>
      <c r="C65" s="13"/>
      <c r="D65" s="13"/>
      <c r="E65" s="13"/>
      <c r="F65" s="14"/>
      <c r="G65" s="13"/>
      <c r="H65" s="13"/>
      <c r="I65" s="14"/>
    </row>
    <row r="66" spans="1:9">
      <c r="A66" s="13"/>
      <c r="B66" s="13"/>
      <c r="C66" s="13"/>
      <c r="D66" s="13"/>
      <c r="E66" s="13"/>
      <c r="F66" s="14"/>
      <c r="G66" s="13"/>
      <c r="H66" s="13"/>
      <c r="I66" s="14"/>
    </row>
    <row r="67" spans="1:9">
      <c r="A67" s="13"/>
      <c r="B67" s="13"/>
      <c r="C67" s="13"/>
      <c r="D67" s="13"/>
      <c r="E67" s="13"/>
      <c r="F67" s="14"/>
      <c r="G67" s="13"/>
      <c r="H67" s="13"/>
      <c r="I67" s="14"/>
    </row>
    <row r="68" spans="1:9">
      <c r="A68" s="13"/>
      <c r="B68" s="13"/>
      <c r="C68" s="13"/>
      <c r="D68" s="13"/>
      <c r="E68" s="13"/>
      <c r="F68" s="14"/>
      <c r="G68" s="13"/>
      <c r="H68" s="13"/>
      <c r="I68" s="14"/>
    </row>
    <row r="69" spans="1:9">
      <c r="A69" s="13"/>
      <c r="B69" s="13"/>
      <c r="C69" s="13"/>
      <c r="D69" s="13"/>
      <c r="E69" s="13"/>
      <c r="F69" s="14"/>
      <c r="G69" s="13"/>
      <c r="H69" s="13"/>
      <c r="I69" s="14"/>
    </row>
    <row r="70" spans="1:9">
      <c r="A70" s="13"/>
      <c r="B70" s="13"/>
      <c r="C70" s="13"/>
      <c r="D70" s="13"/>
      <c r="E70" s="13"/>
      <c r="F70" s="14"/>
      <c r="G70" s="13"/>
      <c r="H70" s="13"/>
      <c r="I70" s="14"/>
    </row>
    <row r="71" spans="1:9">
      <c r="A71" s="13"/>
      <c r="B71" s="13"/>
      <c r="C71" s="13"/>
      <c r="D71" s="13"/>
      <c r="E71" s="13"/>
      <c r="F71" s="14"/>
      <c r="G71" s="13"/>
      <c r="H71" s="13"/>
      <c r="I71" s="14"/>
    </row>
    <row r="72" spans="1:9">
      <c r="A72" s="13"/>
      <c r="B72" s="13"/>
      <c r="C72" s="13"/>
      <c r="D72" s="13"/>
      <c r="E72" s="13"/>
      <c r="F72" s="14"/>
      <c r="G72" s="13"/>
      <c r="H72" s="13"/>
      <c r="I72" s="14"/>
    </row>
    <row r="73" spans="1:9">
      <c r="A73" s="13"/>
      <c r="B73" s="13"/>
      <c r="C73" s="13"/>
      <c r="D73" s="13"/>
      <c r="E73" s="13"/>
      <c r="F73" s="14"/>
      <c r="G73" s="13"/>
      <c r="H73" s="13"/>
      <c r="I73" s="14"/>
    </row>
    <row r="74" spans="1:9">
      <c r="A74" s="13"/>
      <c r="B74" s="13"/>
      <c r="C74" s="13"/>
      <c r="D74" s="13"/>
      <c r="E74" s="13"/>
      <c r="F74" s="14"/>
      <c r="G74" s="13"/>
      <c r="H74" s="13"/>
      <c r="I74" s="14"/>
    </row>
    <row r="75" spans="1:9">
      <c r="A75" s="13"/>
      <c r="B75" s="13"/>
      <c r="C75" s="13"/>
      <c r="D75" s="13"/>
      <c r="E75" s="13"/>
      <c r="F75" s="14"/>
      <c r="G75" s="13"/>
      <c r="H75" s="13"/>
      <c r="I75" s="14"/>
    </row>
    <row r="76" spans="1:9">
      <c r="A76" s="13"/>
      <c r="B76" s="13"/>
      <c r="C76" s="13"/>
      <c r="D76" s="13"/>
      <c r="E76" s="13"/>
      <c r="F76" s="14"/>
      <c r="G76" s="13"/>
      <c r="H76" s="13"/>
      <c r="I76" s="14"/>
    </row>
    <row r="77" spans="1:9">
      <c r="A77" s="13"/>
      <c r="B77" s="13"/>
      <c r="C77" s="13"/>
      <c r="D77" s="13"/>
      <c r="E77" s="13"/>
      <c r="F77" s="14"/>
      <c r="G77" s="13"/>
      <c r="H77" s="13"/>
      <c r="I77" s="14"/>
    </row>
    <row r="78" spans="1:9">
      <c r="A78" s="13"/>
      <c r="B78" s="13"/>
      <c r="C78" s="13"/>
      <c r="D78" s="13"/>
      <c r="E78" s="13"/>
      <c r="F78" s="14"/>
      <c r="G78" s="13"/>
      <c r="H78" s="13"/>
      <c r="I78" s="14"/>
    </row>
    <row r="79" spans="1:9">
      <c r="A79" s="13"/>
      <c r="B79" s="13"/>
      <c r="C79" s="13"/>
      <c r="D79" s="13"/>
      <c r="E79" s="13"/>
      <c r="F79" s="14"/>
      <c r="G79" s="13"/>
      <c r="H79" s="13"/>
      <c r="I79" s="14"/>
    </row>
    <row r="80" spans="1:9">
      <c r="A80" s="13"/>
      <c r="B80" s="13"/>
      <c r="C80" s="13"/>
      <c r="D80" s="13"/>
      <c r="E80" s="13"/>
      <c r="F80" s="14"/>
      <c r="G80" s="13"/>
      <c r="H80" s="13"/>
      <c r="I80" s="14"/>
    </row>
    <row r="81" spans="1:9">
      <c r="A81" s="13"/>
      <c r="B81" s="13"/>
      <c r="C81" s="13"/>
      <c r="D81" s="13"/>
      <c r="E81" s="13"/>
      <c r="F81" s="14"/>
      <c r="G81" s="13"/>
      <c r="H81" s="13"/>
      <c r="I81" s="14"/>
    </row>
    <row r="82" spans="1:9">
      <c r="A82" s="13"/>
      <c r="B82" s="13"/>
      <c r="C82" s="13"/>
      <c r="D82" s="13"/>
      <c r="E82" s="13"/>
      <c r="F82" s="14"/>
      <c r="G82" s="13"/>
      <c r="H82" s="13"/>
      <c r="I82" s="14"/>
    </row>
    <row r="83" spans="1:9">
      <c r="A83" s="13"/>
      <c r="B83" s="13"/>
      <c r="C83" s="13"/>
      <c r="D83" s="13"/>
      <c r="E83" s="13"/>
      <c r="F83" s="14"/>
      <c r="G83" s="13"/>
      <c r="H83" s="13"/>
      <c r="I83" s="14"/>
    </row>
    <row r="84" spans="1:9">
      <c r="A84" s="13"/>
      <c r="B84" s="13"/>
      <c r="C84" s="13"/>
      <c r="D84" s="13"/>
      <c r="E84" s="13"/>
      <c r="F84" s="14"/>
      <c r="G84" s="13"/>
      <c r="H84" s="13"/>
      <c r="I84" s="14"/>
    </row>
    <row r="85" spans="1:9">
      <c r="A85" s="13"/>
      <c r="B85" s="13"/>
      <c r="C85" s="13"/>
      <c r="D85" s="13"/>
      <c r="E85" s="13"/>
      <c r="F85" s="14"/>
      <c r="G85" s="13"/>
      <c r="H85" s="13"/>
      <c r="I85" s="14"/>
    </row>
    <row r="86" spans="1:9">
      <c r="A86" s="13"/>
      <c r="B86" s="13"/>
      <c r="C86" s="13"/>
      <c r="D86" s="13"/>
      <c r="E86" s="13"/>
      <c r="F86" s="14"/>
      <c r="G86" s="13"/>
      <c r="H86" s="13"/>
      <c r="I86" s="14"/>
    </row>
    <row r="87" spans="1:9">
      <c r="A87" s="13"/>
      <c r="B87" s="13"/>
      <c r="C87" s="13"/>
      <c r="D87" s="13"/>
      <c r="E87" s="13"/>
      <c r="F87" s="14"/>
      <c r="G87" s="13"/>
      <c r="H87" s="13"/>
      <c r="I87" s="14"/>
    </row>
    <row r="88" spans="1:9">
      <c r="A88" s="13"/>
      <c r="B88" s="13"/>
      <c r="C88" s="13"/>
      <c r="D88" s="13"/>
      <c r="E88" s="13"/>
      <c r="F88" s="14"/>
      <c r="G88" s="13"/>
      <c r="H88" s="13"/>
      <c r="I88" s="14"/>
    </row>
    <row r="89" spans="1:9">
      <c r="A89" s="13"/>
      <c r="B89" s="13"/>
      <c r="C89" s="13"/>
      <c r="D89" s="13"/>
      <c r="E89" s="13"/>
      <c r="F89" s="14"/>
      <c r="G89" s="13"/>
      <c r="H89" s="13"/>
      <c r="I89" s="14"/>
    </row>
    <row r="90" spans="1:9">
      <c r="A90" s="13"/>
      <c r="B90" s="13"/>
      <c r="C90" s="13"/>
      <c r="D90" s="13"/>
      <c r="E90" s="13"/>
      <c r="F90" s="14"/>
      <c r="G90" s="13"/>
      <c r="H90" s="13"/>
      <c r="I90" s="14"/>
    </row>
    <row r="91" spans="1:9">
      <c r="A91" s="13"/>
      <c r="B91" s="13"/>
      <c r="C91" s="13"/>
      <c r="D91" s="13"/>
      <c r="E91" s="13"/>
      <c r="F91" s="14"/>
      <c r="G91" s="13"/>
      <c r="H91" s="13"/>
      <c r="I91" s="14"/>
    </row>
    <row r="92" spans="1:9">
      <c r="A92" s="13"/>
      <c r="B92" s="13"/>
      <c r="C92" s="13"/>
      <c r="D92" s="13"/>
      <c r="E92" s="13"/>
      <c r="F92" s="14"/>
      <c r="G92" s="13"/>
      <c r="H92" s="13"/>
      <c r="I92" s="14"/>
    </row>
    <row r="93" spans="1:9">
      <c r="A93" s="13"/>
      <c r="B93" s="13"/>
      <c r="C93" s="13"/>
      <c r="D93" s="13"/>
      <c r="E93" s="13"/>
      <c r="F93" s="14"/>
      <c r="G93" s="13"/>
      <c r="H93" s="13"/>
      <c r="I93" s="14"/>
    </row>
    <row r="94" spans="1:9">
      <c r="A94" s="13"/>
      <c r="B94" s="13"/>
      <c r="C94" s="13"/>
      <c r="D94" s="13"/>
      <c r="E94" s="13"/>
      <c r="F94" s="14"/>
      <c r="G94" s="13"/>
      <c r="H94" s="13"/>
      <c r="I94" s="14"/>
    </row>
    <row r="95" spans="1:9">
      <c r="A95" s="13"/>
      <c r="B95" s="13"/>
      <c r="C95" s="13"/>
      <c r="D95" s="13"/>
      <c r="E95" s="13"/>
      <c r="F95" s="14"/>
      <c r="G95" s="13"/>
      <c r="H95" s="13"/>
      <c r="I95" s="14"/>
    </row>
    <row r="96" spans="1:9">
      <c r="A96" s="13"/>
      <c r="B96" s="13"/>
      <c r="C96" s="13"/>
      <c r="D96" s="13"/>
      <c r="E96" s="13"/>
      <c r="F96" s="14"/>
      <c r="G96" s="13"/>
      <c r="H96" s="13"/>
      <c r="I96" s="14"/>
    </row>
    <row r="97" spans="1:9">
      <c r="A97" s="13"/>
      <c r="B97" s="13"/>
      <c r="C97" s="13"/>
      <c r="D97" s="13"/>
      <c r="E97" s="13"/>
      <c r="F97" s="14"/>
      <c r="G97" s="13"/>
      <c r="H97" s="13"/>
      <c r="I97" s="14"/>
    </row>
    <row r="98" spans="1:9">
      <c r="A98" s="13"/>
      <c r="B98" s="13"/>
      <c r="C98" s="13"/>
      <c r="D98" s="13"/>
      <c r="E98" s="13"/>
      <c r="F98" s="14"/>
      <c r="G98" s="13"/>
      <c r="H98" s="13"/>
      <c r="I98" s="14"/>
    </row>
    <row r="99" spans="1:9">
      <c r="A99" s="13"/>
      <c r="B99" s="13"/>
      <c r="C99" s="13"/>
      <c r="D99" s="13"/>
      <c r="E99" s="13"/>
      <c r="F99" s="14"/>
      <c r="G99" s="13"/>
      <c r="H99" s="13"/>
      <c r="I99" s="14"/>
    </row>
    <row r="100" spans="1: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>
      <c r="A334" s="13"/>
      <c r="B334" s="13"/>
      <c r="C334" s="13"/>
      <c r="D334" s="13"/>
      <c r="E334" s="13"/>
      <c r="F334" s="14"/>
      <c r="G334" s="13"/>
      <c r="H334" s="13"/>
      <c r="I334" s="14"/>
    </row>
  </sheetData>
  <mergeCells count="4">
    <mergeCell ref="G1:I1"/>
    <mergeCell ref="A1:C1"/>
    <mergeCell ref="D1:F1"/>
    <mergeCell ref="A2:B2"/>
  </mergeCells>
  <conditionalFormatting sqref="F2 I2 F4:F92 I4:I92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0" t="str" cm="1">
        <f t="array" ref="A1">portfolio</f>
        <v>Catalyze</v>
      </c>
      <c r="B1" s="70"/>
      <c r="C1" s="70"/>
      <c r="D1" s="71" t="s">
        <v>16</v>
      </c>
      <c r="E1" s="71"/>
      <c r="F1" s="71"/>
      <c r="G1" s="69" t="s">
        <v>17</v>
      </c>
      <c r="H1" s="69"/>
      <c r="I1" s="69"/>
    </row>
    <row r="2" spans="1:9" ht="19.5" customHeight="1">
      <c r="A2" s="72" t="s">
        <v>2</v>
      </c>
      <c r="B2" s="72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17">Sites[Site]</f>
        <v>Fresno - 3150 Shaw Ave</v>
      </c>
      <c r="B4" s="35" t="str" cm="1">
        <f t="array" ref="B4:B17">Sites[State]</f>
        <v>CA</v>
      </c>
      <c r="C4" s="36">
        <f>SUM(Oct!C4, Nov!C4, Dec!C4)</f>
        <v>0</v>
      </c>
      <c r="D4" s="37">
        <f>SUM(Oct!D4, Nov!D4, Dec!D4)</f>
        <v>0</v>
      </c>
      <c r="E4" s="37">
        <f>IF(AND(ISNUMBER(C4),ISNUMBER(D4)), C4-D4, "")</f>
        <v>0</v>
      </c>
      <c r="F4" s="38" t="str">
        <f>IFERROR(E4/D4, "")</f>
        <v/>
      </c>
      <c r="G4" s="39"/>
      <c r="H4" s="39">
        <f>SUM(Oct!H4, Nov!H4, Dec!H4)</f>
        <v>0</v>
      </c>
      <c r="I4" s="40" t="str">
        <f>IFERROR(H4/G4, "")</f>
        <v/>
      </c>
    </row>
    <row r="5" spans="1:9" ht="15.75">
      <c r="A5" s="56" t="str">
        <v>Adelanto - 1 Sheep Creek Road</v>
      </c>
      <c r="B5" s="42" t="str">
        <v>CA</v>
      </c>
      <c r="C5" s="43">
        <f>SUM(Oct!C5, Nov!C5, Dec!C5)</f>
        <v>0</v>
      </c>
      <c r="D5" s="44">
        <f>SUM(Oct!D5, Nov!D5, Dec!D5)</f>
        <v>0</v>
      </c>
      <c r="E5" s="44">
        <f t="shared" ref="E5:E15" si="0">IF(AND(ISNUMBER(C5),ISNUMBER(D5)), C5-D5, "")</f>
        <v>0</v>
      </c>
      <c r="F5" s="45" t="str">
        <f>IFERROR(E5/D5, "")</f>
        <v/>
      </c>
      <c r="G5" s="46"/>
      <c r="H5" s="46">
        <f>SUM(Oct!H5, Nov!H5, Dec!H5)</f>
        <v>0</v>
      </c>
      <c r="I5" s="45" t="str">
        <f>IFERROR(H5/G5, "")</f>
        <v/>
      </c>
    </row>
    <row r="6" spans="1:9" ht="15.75">
      <c r="A6" s="55" t="str">
        <v>Blackstone - 83 Federal Street</v>
      </c>
      <c r="B6" s="35" t="str">
        <v>MA</v>
      </c>
      <c r="C6" s="36">
        <f>SUM(Oct!C6, Nov!C6, Dec!C6)</f>
        <v>0</v>
      </c>
      <c r="D6" s="37">
        <f>SUM(Oct!D6, Nov!D6, Dec!D6)</f>
        <v>0</v>
      </c>
      <c r="E6" s="37">
        <f t="shared" si="0"/>
        <v>0</v>
      </c>
      <c r="F6" s="38" t="str">
        <f t="shared" ref="F6:F15" si="1">IFERROR(E6/D6, "")</f>
        <v/>
      </c>
      <c r="G6" s="39"/>
      <c r="H6" s="39">
        <f>SUM(Oct!H6, Nov!H6, Dec!H6)</f>
        <v>0</v>
      </c>
      <c r="I6" s="40" t="str">
        <f t="shared" ref="I6:I15" si="2">IFERROR(H6/G6, "")</f>
        <v/>
      </c>
    </row>
    <row r="7" spans="1:9" ht="15.75">
      <c r="A7" s="56" t="str">
        <v>Charlton - 299 Worcester Road</v>
      </c>
      <c r="B7" s="42" t="str">
        <v>MA</v>
      </c>
      <c r="C7" s="43">
        <f>SUM(Oct!C7, Nov!C7, Dec!C7)</f>
        <v>0</v>
      </c>
      <c r="D7" s="44">
        <f>SUM(Oct!D7, Nov!D7, Dec!D7)</f>
        <v>0</v>
      </c>
      <c r="E7" s="44">
        <f t="shared" si="0"/>
        <v>0</v>
      </c>
      <c r="F7" s="45" t="str">
        <f t="shared" si="1"/>
        <v/>
      </c>
      <c r="G7" s="46"/>
      <c r="H7" s="46">
        <f>SUM(Oct!H7, Nov!H7, Dec!H7)</f>
        <v>0</v>
      </c>
      <c r="I7" s="45" t="str">
        <f t="shared" si="2"/>
        <v/>
      </c>
    </row>
    <row r="8" spans="1:9" ht="15.75">
      <c r="A8" s="55" t="str">
        <v>Wareham - 8 Thatcher Drive</v>
      </c>
      <c r="B8" s="35" t="str">
        <v>MA</v>
      </c>
      <c r="C8" s="36">
        <f>SUM(Oct!C8, Nov!C8, Dec!C8)</f>
        <v>0</v>
      </c>
      <c r="D8" s="37">
        <f>SUM(Oct!D8, Nov!D8, Dec!D8)</f>
        <v>0</v>
      </c>
      <c r="E8" s="37">
        <f t="shared" si="0"/>
        <v>0</v>
      </c>
      <c r="F8" s="38" t="str">
        <f t="shared" si="1"/>
        <v/>
      </c>
      <c r="G8" s="39"/>
      <c r="H8" s="39">
        <f>SUM(Oct!H8, Nov!H8, Dec!H8)</f>
        <v>0</v>
      </c>
      <c r="I8" s="40" t="str">
        <f t="shared" si="2"/>
        <v/>
      </c>
    </row>
    <row r="9" spans="1:9" ht="15.75">
      <c r="A9" s="56" t="str">
        <v>West Yarmouth - 42 Mid Tech</v>
      </c>
      <c r="B9" s="42" t="str">
        <v>MA</v>
      </c>
      <c r="C9" s="43">
        <f>SUM(Oct!C9, Nov!C9, Dec!C9)</f>
        <v>0</v>
      </c>
      <c r="D9" s="44">
        <f>SUM(Oct!D9, Nov!D9, Dec!D9)</f>
        <v>0</v>
      </c>
      <c r="E9" s="44">
        <f t="shared" si="0"/>
        <v>0</v>
      </c>
      <c r="F9" s="45" t="str">
        <f t="shared" si="1"/>
        <v/>
      </c>
      <c r="G9" s="46"/>
      <c r="H9" s="46">
        <f>SUM(Oct!H9, Nov!H9, Dec!H9)</f>
        <v>0</v>
      </c>
      <c r="I9" s="45" t="str">
        <f t="shared" si="2"/>
        <v/>
      </c>
    </row>
    <row r="10" spans="1:9" ht="15.75">
      <c r="A10" s="55" t="str">
        <v>Harrison - 130 Union Street</v>
      </c>
      <c r="B10" s="35" t="str">
        <v>NY</v>
      </c>
      <c r="C10" s="36">
        <f>SUM(Oct!C10, Nov!C10, Dec!C10)</f>
        <v>0</v>
      </c>
      <c r="D10" s="37">
        <f>SUM(Oct!D10, Nov!D10, Dec!D10)</f>
        <v>0</v>
      </c>
      <c r="E10" s="37">
        <f t="shared" si="0"/>
        <v>0</v>
      </c>
      <c r="F10" s="38" t="str">
        <f t="shared" si="1"/>
        <v/>
      </c>
      <c r="G10" s="39"/>
      <c r="H10" s="39">
        <f>SUM(Oct!H10, Nov!H10, Dec!H10)</f>
        <v>0</v>
      </c>
      <c r="I10" s="40" t="str">
        <f t="shared" si="2"/>
        <v/>
      </c>
    </row>
    <row r="11" spans="1:9" ht="15.75">
      <c r="A11" s="56" t="str">
        <v>Staten Island - Ellis Storage</v>
      </c>
      <c r="B11" s="42" t="str">
        <v>NY</v>
      </c>
      <c r="C11" s="43">
        <f>SUM(Oct!C11, Nov!C11, Dec!C11)</f>
        <v>0</v>
      </c>
      <c r="D11" s="44">
        <f>SUM(Oct!D11, Nov!D11, Dec!D11)</f>
        <v>0</v>
      </c>
      <c r="E11" s="44">
        <f t="shared" si="0"/>
        <v>0</v>
      </c>
      <c r="F11" s="45" t="str">
        <f t="shared" si="1"/>
        <v/>
      </c>
      <c r="G11" s="46"/>
      <c r="H11" s="46">
        <f>SUM(Oct!H11, Nov!H11, Dec!H11)</f>
        <v>0</v>
      </c>
      <c r="I11" s="45" t="str">
        <f t="shared" si="2"/>
        <v/>
      </c>
    </row>
    <row r="12" spans="1:9" ht="15.75">
      <c r="A12" s="55" t="str">
        <v>Amherst - 595 Scholles Road</v>
      </c>
      <c r="B12" s="35" t="str">
        <v>NY</v>
      </c>
      <c r="C12" s="36">
        <f>SUM(Oct!C12, Nov!C12, Dec!C12)</f>
        <v>0</v>
      </c>
      <c r="D12" s="37">
        <f>SUM(Oct!D12, Nov!D12, Dec!D12)</f>
        <v>0</v>
      </c>
      <c r="E12" s="37">
        <f t="shared" si="0"/>
        <v>0</v>
      </c>
      <c r="F12" s="38" t="str">
        <f t="shared" si="1"/>
        <v/>
      </c>
      <c r="G12" s="39"/>
      <c r="H12" s="39">
        <f>SUM(Oct!H12, Nov!H12, Dec!H12)</f>
        <v>0</v>
      </c>
      <c r="I12" s="40" t="str">
        <f t="shared" si="2"/>
        <v/>
      </c>
    </row>
    <row r="13" spans="1:9" ht="15.75">
      <c r="A13" s="56" t="str">
        <v>Lancaster 1 - Gunnville Road</v>
      </c>
      <c r="B13" s="42" t="str">
        <v>NY</v>
      </c>
      <c r="C13" s="43">
        <f>SUM(Oct!C13, Nov!C13, Dec!C13)</f>
        <v>0</v>
      </c>
      <c r="D13" s="44">
        <f>SUM(Oct!D13, Nov!D13, Dec!D13)</f>
        <v>0</v>
      </c>
      <c r="E13" s="44">
        <f t="shared" si="0"/>
        <v>0</v>
      </c>
      <c r="F13" s="45" t="str">
        <f t="shared" si="1"/>
        <v/>
      </c>
      <c r="G13" s="46"/>
      <c r="H13" s="46">
        <f>SUM(Oct!H13, Nov!H13, Dec!H13)</f>
        <v>0</v>
      </c>
      <c r="I13" s="45" t="str">
        <f t="shared" si="2"/>
        <v/>
      </c>
    </row>
    <row r="14" spans="1:9" ht="15.75">
      <c r="A14" s="55" t="str">
        <v>Lancaster 2 - Shisler Road</v>
      </c>
      <c r="B14" s="35" t="str">
        <v>NY</v>
      </c>
      <c r="C14" s="36">
        <f>SUM(Oct!C14, Nov!C14, Dec!C14)</f>
        <v>0</v>
      </c>
      <c r="D14" s="37">
        <f>SUM(Oct!D14, Nov!D14, Dec!D14)</f>
        <v>0</v>
      </c>
      <c r="E14" s="37">
        <f t="shared" si="0"/>
        <v>0</v>
      </c>
      <c r="F14" s="38" t="str">
        <f t="shared" si="1"/>
        <v/>
      </c>
      <c r="G14" s="39"/>
      <c r="H14" s="39">
        <f>SUM(Oct!H14, Nov!H14, Dec!H14)</f>
        <v>0</v>
      </c>
      <c r="I14" s="40" t="str">
        <f t="shared" si="2"/>
        <v/>
      </c>
    </row>
    <row r="15" spans="1:9" ht="15.75">
      <c r="A15" s="56" t="str">
        <v>Fullerton - 200 W Orangethorpe</v>
      </c>
      <c r="B15" s="42" t="str">
        <v>CA</v>
      </c>
      <c r="C15" s="43">
        <f>SUM(Oct!C15, Nov!C15, Dec!C15)</f>
        <v>0</v>
      </c>
      <c r="D15" s="44">
        <f>SUM(Oct!D15, Nov!D15, Dec!D15)</f>
        <v>0</v>
      </c>
      <c r="E15" s="44">
        <f t="shared" si="0"/>
        <v>0</v>
      </c>
      <c r="F15" s="45" t="str">
        <f t="shared" si="1"/>
        <v/>
      </c>
      <c r="G15" s="46"/>
      <c r="H15" s="46">
        <f>SUM(Oct!H15, Nov!H15, Dec!H15)</f>
        <v>0</v>
      </c>
      <c r="I15" s="45" t="str">
        <f t="shared" si="2"/>
        <v/>
      </c>
    </row>
    <row r="16" spans="1:9" ht="15.75">
      <c r="A16" s="55" t="str">
        <v>El Paso - 10500 Railroad Drive</v>
      </c>
      <c r="B16" s="35" t="str">
        <v>TX</v>
      </c>
      <c r="C16" s="36">
        <f>SUM(Oct!C16, Nov!C16, Dec!C16)</f>
        <v>0</v>
      </c>
      <c r="D16" s="37">
        <f>SUM(Oct!D16, Nov!D16, Dec!D16)</f>
        <v>0</v>
      </c>
      <c r="E16" s="37">
        <f t="shared" ref="E16:E17" si="3">IF(AND(ISNUMBER(C16),ISNUMBER(D16)), C16-D16, "")</f>
        <v>0</v>
      </c>
      <c r="F16" s="38" t="str">
        <f t="shared" ref="F16:F17" si="4">IFERROR(E16/D16, "")</f>
        <v/>
      </c>
      <c r="G16" s="39"/>
      <c r="H16" s="39">
        <f>SUM(Oct!H16, Nov!H16, Dec!H16)</f>
        <v>0</v>
      </c>
      <c r="I16" s="40" t="str">
        <f t="shared" ref="I16:I17" si="5">IFERROR(H16/G16, "")</f>
        <v/>
      </c>
    </row>
    <row r="17" spans="1:9" ht="15.75">
      <c r="A17" s="56" t="str">
        <v>Friona - 900 Millard Ave</v>
      </c>
      <c r="B17" s="42" t="str">
        <v>TX</v>
      </c>
      <c r="C17" s="43">
        <f>SUM(Oct!C17, Nov!C17, Dec!C17)</f>
        <v>0</v>
      </c>
      <c r="D17" s="44">
        <f>SUM(Oct!D17, Nov!D17, Dec!D17)</f>
        <v>0</v>
      </c>
      <c r="E17" s="44">
        <f t="shared" si="3"/>
        <v>0</v>
      </c>
      <c r="F17" s="45" t="str">
        <f t="shared" si="4"/>
        <v/>
      </c>
      <c r="G17" s="46"/>
      <c r="H17" s="46">
        <f>SUM(Oct!H17, Nov!H17, Dec!H17)</f>
        <v>0</v>
      </c>
      <c r="I17" s="45" t="str">
        <f t="shared" si="5"/>
        <v/>
      </c>
    </row>
    <row r="18" spans="1:9" ht="15.75">
      <c r="A18" s="9"/>
      <c r="B18" s="8"/>
      <c r="C18" s="23"/>
      <c r="D18" s="10"/>
      <c r="E18" s="10"/>
      <c r="F18" s="11"/>
      <c r="G18" s="12"/>
      <c r="H18" s="12"/>
      <c r="I18" s="11"/>
    </row>
    <row r="19" spans="1:9" ht="15">
      <c r="A19" s="13"/>
      <c r="B19" s="8"/>
      <c r="C19" s="23"/>
      <c r="D19" s="10"/>
      <c r="E19" s="10"/>
      <c r="F19" s="11"/>
      <c r="G19" s="12"/>
      <c r="H19" s="12"/>
      <c r="I19" s="11"/>
    </row>
    <row r="20" spans="1:9" ht="15">
      <c r="A20" s="13"/>
      <c r="B20" s="8"/>
      <c r="C20" s="23"/>
      <c r="D20" s="10"/>
      <c r="E20" s="10"/>
      <c r="F20" s="11"/>
      <c r="G20" s="12"/>
      <c r="H20" s="12"/>
      <c r="I20" s="11"/>
    </row>
    <row r="21" spans="1:9" ht="15">
      <c r="A21" s="13"/>
      <c r="B21" s="8"/>
      <c r="C21" s="23"/>
      <c r="D21" s="10"/>
      <c r="E21" s="10"/>
      <c r="F21" s="11"/>
      <c r="G21" s="12"/>
      <c r="H21" s="12"/>
      <c r="I21" s="11"/>
    </row>
    <row r="22" spans="1:9" ht="15">
      <c r="A22" s="13"/>
      <c r="B22" s="8"/>
      <c r="C22" s="23"/>
      <c r="D22" s="10"/>
      <c r="E22" s="10"/>
      <c r="F22" s="11"/>
      <c r="G22" s="12"/>
      <c r="H22" s="12"/>
      <c r="I22" s="11"/>
    </row>
    <row r="23" spans="1:9">
      <c r="A23" s="13"/>
      <c r="B23" s="13"/>
      <c r="C23" s="13"/>
      <c r="D23" s="13"/>
      <c r="E23" s="13"/>
      <c r="F23" s="13"/>
      <c r="G23" s="13"/>
      <c r="H23" s="13"/>
      <c r="I23" s="13"/>
    </row>
    <row r="24" spans="1:9">
      <c r="A24" s="13"/>
      <c r="B24" s="13"/>
      <c r="C24" s="13"/>
      <c r="D24" s="13"/>
      <c r="E24" s="13"/>
      <c r="F24" s="13"/>
      <c r="G24" s="13"/>
      <c r="H24" s="13"/>
      <c r="I24" s="13"/>
    </row>
    <row r="25" spans="1:9">
      <c r="A25" s="13"/>
      <c r="B25" s="13"/>
      <c r="C25" s="13"/>
      <c r="D25" s="13"/>
      <c r="E25" s="13"/>
      <c r="F25" s="14"/>
      <c r="G25" s="13"/>
      <c r="H25" s="13"/>
      <c r="I25" s="14"/>
    </row>
    <row r="26" spans="1:9">
      <c r="A26" s="13"/>
      <c r="B26" s="13"/>
      <c r="C26" s="13"/>
      <c r="D26" s="13"/>
      <c r="E26" s="13"/>
      <c r="F26" s="14"/>
      <c r="G26" s="13"/>
      <c r="H26" s="13"/>
      <c r="I26" s="14"/>
    </row>
    <row r="27" spans="1:9">
      <c r="A27" s="13"/>
      <c r="B27" s="13"/>
      <c r="C27" s="13"/>
      <c r="D27" s="13"/>
      <c r="E27" s="13"/>
      <c r="F27" s="14"/>
      <c r="G27" s="13"/>
      <c r="H27" s="13"/>
      <c r="I27" s="14"/>
    </row>
    <row r="28" spans="1:9">
      <c r="A28" s="13"/>
      <c r="B28" s="13"/>
      <c r="C28" s="13"/>
      <c r="D28" s="13"/>
      <c r="E28" s="13"/>
      <c r="F28" s="14"/>
      <c r="G28" s="13"/>
      <c r="H28" s="13"/>
      <c r="I28" s="14"/>
    </row>
    <row r="29" spans="1:9">
      <c r="A29" s="13"/>
      <c r="B29" s="13"/>
      <c r="C29" s="13"/>
      <c r="D29" s="13"/>
      <c r="E29" s="13"/>
      <c r="F29" s="14"/>
      <c r="G29" s="13"/>
      <c r="H29" s="13"/>
      <c r="I29" s="14"/>
    </row>
    <row r="30" spans="1:9">
      <c r="A30" s="13"/>
      <c r="B30" s="13"/>
      <c r="C30" s="13"/>
      <c r="D30" s="13"/>
      <c r="E30" s="13"/>
      <c r="F30" s="14"/>
      <c r="G30" s="13"/>
      <c r="H30" s="13"/>
      <c r="I30" s="14"/>
    </row>
    <row r="31" spans="1:9">
      <c r="A31" s="13"/>
      <c r="B31" s="13"/>
      <c r="C31" s="13"/>
      <c r="D31" s="13"/>
      <c r="E31" s="13"/>
      <c r="F31" s="14"/>
      <c r="G31" s="13"/>
      <c r="H31" s="13"/>
      <c r="I31" s="14"/>
    </row>
    <row r="32" spans="1:9">
      <c r="A32" s="13"/>
      <c r="B32" s="13"/>
      <c r="C32" s="13"/>
      <c r="D32" s="13"/>
      <c r="E32" s="13"/>
      <c r="F32" s="14"/>
      <c r="G32" s="13"/>
      <c r="H32" s="13"/>
      <c r="I32" s="14"/>
    </row>
    <row r="33" spans="1:9">
      <c r="A33" s="13"/>
      <c r="B33" s="13"/>
      <c r="C33" s="13"/>
      <c r="D33" s="13"/>
      <c r="E33" s="13"/>
      <c r="F33" s="14"/>
      <c r="G33" s="13"/>
      <c r="H33" s="13"/>
      <c r="I33" s="14"/>
    </row>
    <row r="34" spans="1:9">
      <c r="A34" s="13"/>
      <c r="B34" s="13"/>
      <c r="C34" s="13"/>
      <c r="D34" s="13"/>
      <c r="E34" s="13"/>
      <c r="F34" s="14"/>
      <c r="G34" s="13"/>
      <c r="H34" s="13"/>
      <c r="I34" s="14"/>
    </row>
    <row r="35" spans="1:9">
      <c r="A35" s="13"/>
      <c r="B35" s="13"/>
      <c r="C35" s="13"/>
      <c r="D35" s="13"/>
      <c r="E35" s="13"/>
      <c r="F35" s="14"/>
      <c r="G35" s="13"/>
      <c r="H35" s="13"/>
      <c r="I35" s="14"/>
    </row>
    <row r="36" spans="1:9">
      <c r="A36" s="13"/>
      <c r="B36" s="13"/>
      <c r="C36" s="13"/>
      <c r="D36" s="13"/>
      <c r="E36" s="13"/>
      <c r="F36" s="14"/>
      <c r="G36" s="13"/>
      <c r="H36" s="13"/>
      <c r="I36" s="14"/>
    </row>
    <row r="37" spans="1:9">
      <c r="A37" s="13"/>
      <c r="B37" s="13"/>
      <c r="C37" s="13"/>
      <c r="D37" s="13"/>
      <c r="E37" s="13"/>
      <c r="F37" s="14"/>
      <c r="G37" s="13"/>
      <c r="H37" s="13"/>
      <c r="I37" s="14"/>
    </row>
    <row r="38" spans="1:9">
      <c r="A38" s="13"/>
      <c r="B38" s="13"/>
      <c r="C38" s="13"/>
      <c r="D38" s="13"/>
      <c r="E38" s="13"/>
      <c r="F38" s="14"/>
      <c r="G38" s="13"/>
      <c r="H38" s="13"/>
      <c r="I38" s="14"/>
    </row>
    <row r="39" spans="1:9">
      <c r="A39" s="13"/>
      <c r="B39" s="13"/>
      <c r="C39" s="13"/>
      <c r="D39" s="13"/>
      <c r="E39" s="13"/>
      <c r="F39" s="14"/>
      <c r="G39" s="13"/>
      <c r="H39" s="13"/>
      <c r="I39" s="14"/>
    </row>
    <row r="40" spans="1:9">
      <c r="A40" s="13"/>
      <c r="B40" s="13"/>
      <c r="C40" s="13"/>
      <c r="D40" s="13"/>
      <c r="E40" s="13"/>
      <c r="F40" s="14"/>
      <c r="G40" s="13"/>
      <c r="H40" s="13"/>
      <c r="I40" s="14"/>
    </row>
    <row r="41" spans="1:9">
      <c r="A41" s="13"/>
      <c r="B41" s="13"/>
      <c r="C41" s="13"/>
      <c r="D41" s="13"/>
      <c r="E41" s="13"/>
      <c r="F41" s="14"/>
      <c r="G41" s="13"/>
      <c r="H41" s="13"/>
      <c r="I41" s="14"/>
    </row>
    <row r="42" spans="1:9">
      <c r="A42" s="13"/>
      <c r="B42" s="13"/>
      <c r="C42" s="13"/>
      <c r="D42" s="13"/>
      <c r="E42" s="13"/>
      <c r="F42" s="14"/>
      <c r="G42" s="13"/>
      <c r="H42" s="13"/>
      <c r="I42" s="14"/>
    </row>
    <row r="43" spans="1:9">
      <c r="A43" s="13"/>
      <c r="B43" s="13"/>
      <c r="C43" s="13"/>
      <c r="D43" s="13"/>
      <c r="E43" s="13"/>
      <c r="F43" s="14"/>
      <c r="G43" s="13"/>
      <c r="H43" s="13"/>
      <c r="I43" s="14"/>
    </row>
    <row r="44" spans="1:9">
      <c r="A44" s="13"/>
      <c r="B44" s="13"/>
      <c r="C44" s="13"/>
      <c r="D44" s="13"/>
      <c r="E44" s="13"/>
      <c r="F44" s="14"/>
      <c r="G44" s="13"/>
      <c r="H44" s="13"/>
      <c r="I44" s="14"/>
    </row>
    <row r="45" spans="1:9">
      <c r="A45" s="13"/>
      <c r="B45" s="13"/>
      <c r="C45" s="13"/>
      <c r="D45" s="13"/>
      <c r="E45" s="13"/>
      <c r="F45" s="14"/>
      <c r="G45" s="13"/>
      <c r="H45" s="13"/>
      <c r="I45" s="14"/>
    </row>
    <row r="46" spans="1:9">
      <c r="A46" s="13"/>
      <c r="B46" s="13"/>
      <c r="C46" s="13"/>
      <c r="D46" s="13"/>
      <c r="E46" s="13"/>
      <c r="F46" s="14"/>
      <c r="G46" s="13"/>
      <c r="H46" s="13"/>
      <c r="I46" s="14"/>
    </row>
    <row r="47" spans="1:9">
      <c r="A47" s="13"/>
      <c r="B47" s="13"/>
      <c r="C47" s="13"/>
      <c r="D47" s="13"/>
      <c r="E47" s="13"/>
      <c r="F47" s="14"/>
      <c r="G47" s="13"/>
      <c r="H47" s="13"/>
      <c r="I47" s="14"/>
    </row>
    <row r="48" spans="1:9">
      <c r="A48" s="13"/>
      <c r="B48" s="13"/>
      <c r="C48" s="13"/>
      <c r="D48" s="13"/>
      <c r="E48" s="13"/>
      <c r="F48" s="14"/>
      <c r="G48" s="13"/>
      <c r="H48" s="13"/>
      <c r="I48" s="14"/>
    </row>
    <row r="49" spans="1:9">
      <c r="A49" s="13"/>
      <c r="B49" s="13"/>
      <c r="C49" s="13"/>
      <c r="D49" s="13"/>
      <c r="E49" s="13"/>
      <c r="F49" s="14"/>
      <c r="G49" s="13"/>
      <c r="H49" s="13"/>
      <c r="I49" s="14"/>
    </row>
    <row r="50" spans="1:9">
      <c r="A50" s="13"/>
      <c r="B50" s="13"/>
      <c r="C50" s="13"/>
      <c r="D50" s="13"/>
      <c r="E50" s="13"/>
      <c r="F50" s="14"/>
      <c r="G50" s="13"/>
      <c r="H50" s="13"/>
      <c r="I50" s="14"/>
    </row>
    <row r="51" spans="1:9">
      <c r="A51" s="13"/>
      <c r="B51" s="13"/>
      <c r="C51" s="13"/>
      <c r="D51" s="13"/>
      <c r="E51" s="13"/>
      <c r="F51" s="14"/>
      <c r="G51" s="13"/>
      <c r="H51" s="13"/>
      <c r="I51" s="14"/>
    </row>
    <row r="52" spans="1:9">
      <c r="A52" s="13"/>
      <c r="B52" s="13"/>
      <c r="C52" s="13"/>
      <c r="D52" s="13"/>
      <c r="E52" s="13"/>
      <c r="F52" s="14"/>
      <c r="G52" s="13"/>
      <c r="H52" s="13"/>
      <c r="I52" s="14"/>
    </row>
    <row r="53" spans="1:9">
      <c r="A53" s="13"/>
      <c r="B53" s="13"/>
      <c r="C53" s="13"/>
      <c r="D53" s="13"/>
      <c r="E53" s="13"/>
      <c r="F53" s="14"/>
      <c r="G53" s="13"/>
      <c r="H53" s="13"/>
      <c r="I53" s="14"/>
    </row>
    <row r="54" spans="1:9">
      <c r="A54" s="13"/>
      <c r="B54" s="13"/>
      <c r="C54" s="13"/>
      <c r="D54" s="13"/>
      <c r="E54" s="13"/>
      <c r="F54" s="14"/>
      <c r="G54" s="13"/>
      <c r="H54" s="13"/>
      <c r="I54" s="14"/>
    </row>
    <row r="55" spans="1:9">
      <c r="A55" s="13"/>
      <c r="B55" s="13"/>
      <c r="C55" s="13"/>
      <c r="D55" s="13"/>
      <c r="E55" s="13"/>
      <c r="F55" s="14"/>
      <c r="G55" s="13"/>
      <c r="H55" s="13"/>
      <c r="I55" s="14"/>
    </row>
    <row r="56" spans="1:9">
      <c r="A56" s="13"/>
      <c r="B56" s="13"/>
      <c r="C56" s="13"/>
      <c r="D56" s="13"/>
      <c r="E56" s="13"/>
      <c r="F56" s="14"/>
      <c r="G56" s="13"/>
      <c r="H56" s="13"/>
      <c r="I56" s="14"/>
    </row>
    <row r="57" spans="1:9">
      <c r="A57" s="13"/>
      <c r="B57" s="13"/>
      <c r="C57" s="13"/>
      <c r="D57" s="13"/>
      <c r="E57" s="13"/>
      <c r="F57" s="14"/>
      <c r="G57" s="13"/>
      <c r="H57" s="13"/>
      <c r="I57" s="14"/>
    </row>
    <row r="58" spans="1:9">
      <c r="A58" s="13"/>
      <c r="B58" s="13"/>
      <c r="C58" s="13"/>
      <c r="D58" s="13"/>
      <c r="E58" s="13"/>
      <c r="F58" s="14"/>
      <c r="G58" s="13"/>
      <c r="H58" s="13"/>
      <c r="I58" s="14"/>
    </row>
    <row r="59" spans="1:9">
      <c r="A59" s="13"/>
      <c r="B59" s="13"/>
      <c r="C59" s="13"/>
      <c r="D59" s="13"/>
      <c r="E59" s="13"/>
      <c r="F59" s="14"/>
      <c r="G59" s="13"/>
      <c r="H59" s="13"/>
      <c r="I59" s="14"/>
    </row>
    <row r="60" spans="1:9">
      <c r="A60" s="13"/>
      <c r="B60" s="13"/>
      <c r="C60" s="13"/>
      <c r="D60" s="13"/>
      <c r="E60" s="13"/>
      <c r="F60" s="14"/>
      <c r="G60" s="13"/>
      <c r="H60" s="13"/>
      <c r="I60" s="14"/>
    </row>
    <row r="61" spans="1:9">
      <c r="A61" s="13"/>
      <c r="B61" s="13"/>
      <c r="C61" s="13"/>
      <c r="D61" s="13"/>
      <c r="E61" s="13"/>
      <c r="F61" s="14"/>
      <c r="G61" s="13"/>
      <c r="H61" s="13"/>
      <c r="I61" s="14"/>
    </row>
    <row r="62" spans="1:9">
      <c r="A62" s="13"/>
      <c r="B62" s="13"/>
      <c r="C62" s="13"/>
      <c r="D62" s="13"/>
      <c r="E62" s="13"/>
      <c r="F62" s="14"/>
      <c r="G62" s="13"/>
      <c r="H62" s="13"/>
      <c r="I62" s="14"/>
    </row>
    <row r="63" spans="1:9">
      <c r="A63" s="13"/>
      <c r="B63" s="13"/>
      <c r="C63" s="13"/>
      <c r="D63" s="13"/>
      <c r="E63" s="13"/>
      <c r="F63" s="14"/>
      <c r="G63" s="13"/>
      <c r="H63" s="13"/>
      <c r="I63" s="14"/>
    </row>
    <row r="64" spans="1:9">
      <c r="A64" s="13"/>
      <c r="B64" s="13"/>
      <c r="C64" s="13"/>
      <c r="D64" s="13"/>
      <c r="E64" s="13"/>
      <c r="F64" s="14"/>
      <c r="G64" s="13"/>
      <c r="H64" s="13"/>
      <c r="I64" s="14"/>
    </row>
    <row r="65" spans="1:9">
      <c r="A65" s="13"/>
      <c r="B65" s="13"/>
      <c r="C65" s="13"/>
      <c r="D65" s="13"/>
      <c r="E65" s="13"/>
      <c r="F65" s="14"/>
      <c r="G65" s="13"/>
      <c r="H65" s="13"/>
      <c r="I65" s="14"/>
    </row>
    <row r="66" spans="1:9">
      <c r="A66" s="13"/>
      <c r="B66" s="13"/>
      <c r="C66" s="13"/>
      <c r="D66" s="13"/>
      <c r="E66" s="13"/>
      <c r="F66" s="14"/>
      <c r="G66" s="13"/>
      <c r="H66" s="13"/>
      <c r="I66" s="14"/>
    </row>
    <row r="67" spans="1:9">
      <c r="A67" s="13"/>
      <c r="B67" s="13"/>
      <c r="C67" s="13"/>
      <c r="D67" s="13"/>
      <c r="E67" s="13"/>
      <c r="F67" s="14"/>
      <c r="G67" s="13"/>
      <c r="H67" s="13"/>
      <c r="I67" s="14"/>
    </row>
    <row r="68" spans="1:9">
      <c r="A68" s="13"/>
      <c r="B68" s="13"/>
      <c r="C68" s="13"/>
      <c r="D68" s="13"/>
      <c r="E68" s="13"/>
      <c r="F68" s="14"/>
      <c r="G68" s="13"/>
      <c r="H68" s="13"/>
      <c r="I68" s="14"/>
    </row>
    <row r="69" spans="1:9">
      <c r="A69" s="13"/>
      <c r="B69" s="13"/>
      <c r="C69" s="13"/>
      <c r="D69" s="13"/>
      <c r="E69" s="13"/>
      <c r="F69" s="14"/>
      <c r="G69" s="13"/>
      <c r="H69" s="13"/>
      <c r="I69" s="14"/>
    </row>
    <row r="70" spans="1:9">
      <c r="A70" s="13"/>
      <c r="B70" s="13"/>
      <c r="C70" s="13"/>
      <c r="D70" s="13"/>
      <c r="E70" s="13"/>
      <c r="F70" s="14"/>
      <c r="G70" s="13"/>
      <c r="H70" s="13"/>
      <c r="I70" s="14"/>
    </row>
    <row r="71" spans="1:9">
      <c r="A71" s="13"/>
      <c r="B71" s="13"/>
      <c r="C71" s="13"/>
      <c r="D71" s="13"/>
      <c r="E71" s="13"/>
      <c r="F71" s="14"/>
      <c r="G71" s="13"/>
      <c r="H71" s="13"/>
      <c r="I71" s="14"/>
    </row>
    <row r="72" spans="1:9">
      <c r="A72" s="13"/>
      <c r="B72" s="13"/>
      <c r="C72" s="13"/>
      <c r="D72" s="13"/>
      <c r="E72" s="13"/>
      <c r="F72" s="14"/>
      <c r="G72" s="13"/>
      <c r="H72" s="13"/>
      <c r="I72" s="14"/>
    </row>
    <row r="73" spans="1:9">
      <c r="A73" s="13"/>
      <c r="B73" s="13"/>
      <c r="C73" s="13"/>
      <c r="D73" s="13"/>
      <c r="E73" s="13"/>
      <c r="F73" s="14"/>
      <c r="G73" s="13"/>
      <c r="H73" s="13"/>
      <c r="I73" s="14"/>
    </row>
    <row r="74" spans="1:9">
      <c r="A74" s="13"/>
      <c r="B74" s="13"/>
      <c r="C74" s="13"/>
      <c r="D74" s="13"/>
      <c r="E74" s="13"/>
      <c r="F74" s="14"/>
      <c r="G74" s="13"/>
      <c r="H74" s="13"/>
      <c r="I74" s="14"/>
    </row>
    <row r="75" spans="1:9">
      <c r="A75" s="13"/>
      <c r="B75" s="13"/>
      <c r="C75" s="13"/>
      <c r="D75" s="13"/>
      <c r="E75" s="13"/>
      <c r="F75" s="14"/>
      <c r="G75" s="13"/>
      <c r="H75" s="13"/>
      <c r="I75" s="14"/>
    </row>
    <row r="76" spans="1:9">
      <c r="A76" s="13"/>
      <c r="B76" s="13"/>
      <c r="C76" s="13"/>
      <c r="D76" s="13"/>
      <c r="E76" s="13"/>
      <c r="F76" s="14"/>
      <c r="G76" s="13"/>
      <c r="H76" s="13"/>
      <c r="I76" s="14"/>
    </row>
    <row r="77" spans="1:9">
      <c r="A77" s="13"/>
      <c r="B77" s="13"/>
      <c r="C77" s="13"/>
      <c r="D77" s="13"/>
      <c r="E77" s="13"/>
      <c r="F77" s="14"/>
      <c r="G77" s="13"/>
      <c r="H77" s="13"/>
      <c r="I77" s="14"/>
    </row>
    <row r="78" spans="1:9">
      <c r="A78" s="13"/>
      <c r="B78" s="13"/>
      <c r="C78" s="13"/>
      <c r="D78" s="13"/>
      <c r="E78" s="13"/>
      <c r="F78" s="14"/>
      <c r="G78" s="13"/>
      <c r="H78" s="13"/>
      <c r="I78" s="14"/>
    </row>
    <row r="79" spans="1:9">
      <c r="A79" s="13"/>
      <c r="B79" s="13"/>
      <c r="C79" s="13"/>
      <c r="D79" s="13"/>
      <c r="E79" s="13"/>
      <c r="F79" s="14"/>
      <c r="G79" s="13"/>
      <c r="H79" s="13"/>
      <c r="I79" s="14"/>
    </row>
    <row r="80" spans="1:9">
      <c r="A80" s="13"/>
      <c r="B80" s="13"/>
      <c r="C80" s="13"/>
      <c r="D80" s="13"/>
      <c r="E80" s="13"/>
      <c r="F80" s="14"/>
      <c r="G80" s="13"/>
      <c r="H80" s="13"/>
      <c r="I80" s="14"/>
    </row>
    <row r="81" spans="1:9">
      <c r="A81" s="13"/>
      <c r="B81" s="13"/>
      <c r="C81" s="13"/>
      <c r="D81" s="13"/>
      <c r="E81" s="13"/>
      <c r="F81" s="14"/>
      <c r="G81" s="13"/>
      <c r="H81" s="13"/>
      <c r="I81" s="14"/>
    </row>
    <row r="82" spans="1:9">
      <c r="A82" s="13"/>
      <c r="B82" s="13"/>
      <c r="C82" s="13"/>
      <c r="D82" s="13"/>
      <c r="E82" s="13"/>
      <c r="F82" s="14"/>
      <c r="G82" s="13"/>
      <c r="H82" s="13"/>
      <c r="I82" s="14"/>
    </row>
    <row r="83" spans="1:9">
      <c r="A83" s="13"/>
      <c r="B83" s="13"/>
      <c r="C83" s="13"/>
      <c r="D83" s="13"/>
      <c r="E83" s="13"/>
      <c r="F83" s="14"/>
      <c r="G83" s="13"/>
      <c r="H83" s="13"/>
      <c r="I83" s="14"/>
    </row>
    <row r="84" spans="1:9">
      <c r="A84" s="13"/>
      <c r="B84" s="13"/>
      <c r="C84" s="13"/>
      <c r="D84" s="13"/>
      <c r="E84" s="13"/>
      <c r="F84" s="14"/>
      <c r="G84" s="13"/>
      <c r="H84" s="13"/>
      <c r="I84" s="14"/>
    </row>
    <row r="85" spans="1:9">
      <c r="A85" s="13"/>
      <c r="B85" s="13"/>
      <c r="C85" s="13"/>
      <c r="D85" s="13"/>
      <c r="E85" s="13"/>
      <c r="F85" s="14"/>
      <c r="G85" s="13"/>
      <c r="H85" s="13"/>
      <c r="I85" s="14"/>
    </row>
    <row r="86" spans="1:9">
      <c r="A86" s="13"/>
      <c r="B86" s="13"/>
      <c r="C86" s="13"/>
      <c r="D86" s="13"/>
      <c r="E86" s="13"/>
      <c r="F86" s="14"/>
      <c r="G86" s="13"/>
      <c r="H86" s="13"/>
      <c r="I86" s="14"/>
    </row>
    <row r="87" spans="1:9">
      <c r="A87" s="13"/>
      <c r="B87" s="13"/>
      <c r="C87" s="13"/>
      <c r="D87" s="13"/>
      <c r="E87" s="13"/>
      <c r="F87" s="14"/>
      <c r="G87" s="13"/>
      <c r="H87" s="13"/>
      <c r="I87" s="14"/>
    </row>
    <row r="88" spans="1:9">
      <c r="A88" s="13"/>
      <c r="B88" s="13"/>
      <c r="C88" s="13"/>
      <c r="D88" s="13"/>
      <c r="E88" s="13"/>
      <c r="F88" s="14"/>
      <c r="G88" s="13"/>
      <c r="H88" s="13"/>
      <c r="I88" s="14"/>
    </row>
    <row r="89" spans="1:9">
      <c r="A89" s="13"/>
      <c r="B89" s="13"/>
      <c r="C89" s="13"/>
      <c r="D89" s="13"/>
      <c r="E89" s="13"/>
      <c r="F89" s="14"/>
      <c r="G89" s="13"/>
      <c r="H89" s="13"/>
      <c r="I89" s="14"/>
    </row>
    <row r="90" spans="1:9">
      <c r="A90" s="13"/>
      <c r="B90" s="13"/>
      <c r="C90" s="13"/>
      <c r="D90" s="13"/>
      <c r="E90" s="13"/>
      <c r="F90" s="14"/>
      <c r="G90" s="13"/>
      <c r="H90" s="13"/>
      <c r="I90" s="14"/>
    </row>
    <row r="91" spans="1:9">
      <c r="A91" s="13"/>
      <c r="B91" s="13"/>
      <c r="C91" s="13"/>
      <c r="D91" s="13"/>
      <c r="E91" s="13"/>
      <c r="F91" s="14"/>
      <c r="G91" s="13"/>
      <c r="H91" s="13"/>
      <c r="I91" s="14"/>
    </row>
    <row r="92" spans="1:9">
      <c r="A92" s="13"/>
      <c r="B92" s="13"/>
      <c r="C92" s="13"/>
      <c r="D92" s="13"/>
      <c r="E92" s="13"/>
      <c r="F92" s="14"/>
      <c r="G92" s="13"/>
      <c r="H92" s="13"/>
      <c r="I92" s="14"/>
    </row>
    <row r="93" spans="1:9">
      <c r="A93" s="13"/>
      <c r="B93" s="13"/>
      <c r="C93" s="13"/>
      <c r="D93" s="13"/>
      <c r="E93" s="13"/>
      <c r="F93" s="14"/>
      <c r="G93" s="13"/>
      <c r="H93" s="13"/>
      <c r="I93" s="14"/>
    </row>
    <row r="94" spans="1:9">
      <c r="A94" s="13"/>
      <c r="B94" s="13"/>
      <c r="C94" s="13"/>
      <c r="D94" s="13"/>
      <c r="E94" s="13"/>
      <c r="F94" s="14"/>
      <c r="G94" s="13"/>
      <c r="H94" s="13"/>
      <c r="I94" s="14"/>
    </row>
    <row r="95" spans="1:9">
      <c r="A95" s="13"/>
      <c r="B95" s="13"/>
      <c r="C95" s="13"/>
      <c r="D95" s="13"/>
      <c r="E95" s="13"/>
      <c r="F95" s="14"/>
      <c r="G95" s="13"/>
      <c r="H95" s="13"/>
      <c r="I95" s="14"/>
    </row>
    <row r="96" spans="1:9">
      <c r="A96" s="13"/>
      <c r="B96" s="13"/>
      <c r="C96" s="13"/>
      <c r="D96" s="13"/>
      <c r="E96" s="13"/>
      <c r="F96" s="14"/>
      <c r="G96" s="13"/>
      <c r="H96" s="13"/>
      <c r="I96" s="14"/>
    </row>
    <row r="97" spans="1:9">
      <c r="A97" s="13"/>
      <c r="B97" s="13"/>
      <c r="C97" s="13"/>
      <c r="D97" s="13"/>
      <c r="E97" s="13"/>
      <c r="F97" s="14"/>
      <c r="G97" s="13"/>
      <c r="H97" s="13"/>
      <c r="I97" s="14"/>
    </row>
    <row r="98" spans="1:9">
      <c r="A98" s="13"/>
      <c r="B98" s="13"/>
      <c r="C98" s="13"/>
      <c r="D98" s="13"/>
      <c r="E98" s="13"/>
      <c r="F98" s="14"/>
      <c r="G98" s="13"/>
      <c r="H98" s="13"/>
      <c r="I98" s="14"/>
    </row>
    <row r="99" spans="1:9">
      <c r="A99" s="13"/>
      <c r="B99" s="13"/>
      <c r="C99" s="13"/>
      <c r="D99" s="13"/>
      <c r="E99" s="13"/>
      <c r="F99" s="14"/>
      <c r="G99" s="13"/>
      <c r="H99" s="13"/>
      <c r="I99" s="14"/>
    </row>
    <row r="100" spans="1: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>
      <c r="A334" s="13"/>
      <c r="B334" s="13"/>
      <c r="C334" s="13"/>
      <c r="D334" s="13"/>
      <c r="E334" s="13"/>
      <c r="F334" s="14"/>
      <c r="G334" s="13"/>
      <c r="H334" s="13"/>
      <c r="I334" s="14"/>
    </row>
  </sheetData>
  <mergeCells count="4">
    <mergeCell ref="G1:I1"/>
    <mergeCell ref="A1:C1"/>
    <mergeCell ref="D1:F1"/>
    <mergeCell ref="A2:B2"/>
  </mergeCells>
  <conditionalFormatting sqref="F2 I2 F4:F92 I4:I92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3"/>
  <sheetViews>
    <sheetView workbookViewId="0">
      <pane xSplit="2" ySplit="3" topLeftCell="E4" activePane="bottomRight" state="frozen"/>
      <selection pane="bottomRight" activeCell="F8" sqref="F8"/>
      <selection pane="bottomLeft" activeCell="A18" sqref="A18:XFD24"/>
      <selection pane="topRight" activeCell="A18" sqref="A18:XFD24"/>
    </sheetView>
  </sheetViews>
  <sheetFormatPr defaultRowHeight="14.25"/>
  <cols>
    <col min="1" max="1" width="28.7109375" bestFit="1" customWidth="1"/>
    <col min="2" max="2" width="14.5703125" style="19" customWidth="1"/>
    <col min="3" max="5" width="14.5703125" customWidth="1"/>
    <col min="6" max="6" width="14.5703125" style="1" customWidth="1"/>
    <col min="7" max="8" width="14.5703125" customWidth="1"/>
    <col min="9" max="9" width="14.5703125" style="1" customWidth="1"/>
    <col min="10" max="10" width="96.140625" bestFit="1" customWidth="1"/>
    <col min="11" max="11" width="19.28515625" bestFit="1" customWidth="1"/>
  </cols>
  <sheetData>
    <row r="1" spans="1:11" ht="15.75">
      <c r="A1" s="70" t="str" cm="1">
        <f t="array" ref="A1">portfolio</f>
        <v>Catalyze</v>
      </c>
      <c r="B1" s="70"/>
      <c r="C1" s="70"/>
      <c r="D1" s="71" t="s">
        <v>18</v>
      </c>
      <c r="E1" s="71"/>
      <c r="F1" s="71"/>
      <c r="G1" s="69" t="s">
        <v>19</v>
      </c>
      <c r="H1" s="69"/>
      <c r="I1" s="69"/>
      <c r="J1" s="4"/>
      <c r="K1" s="4"/>
    </row>
    <row r="2" spans="1:11" ht="15.75">
      <c r="A2" s="72" t="s">
        <v>2</v>
      </c>
      <c r="B2" s="72"/>
      <c r="C2" s="5">
        <f>SUM(C4:C91)</f>
        <v>592532.492188612</v>
      </c>
      <c r="D2" s="5">
        <f>SUM(D4:D91)</f>
        <v>833649.63500000001</v>
      </c>
      <c r="E2" s="5">
        <f>C2-D2</f>
        <v>-241117.14281138801</v>
      </c>
      <c r="F2" s="6">
        <f>IFERROR(E2/D2, 0)</f>
        <v>-0.28923079035641636</v>
      </c>
      <c r="G2" s="5">
        <f>SUM(G4:G91)</f>
        <v>1493236.8489999999</v>
      </c>
      <c r="H2" s="7">
        <f>C2-G2</f>
        <v>-900704.35681138793</v>
      </c>
      <c r="I2" s="6">
        <f>IFERROR(H2/G2, 0)</f>
        <v>-0.60318921101804923</v>
      </c>
      <c r="J2" s="16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5.75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3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52" t="str" cm="1">
        <f t="array" ref="A4:A17">Sites[Site]</f>
        <v>Fresno - 3150 Shaw Ave</v>
      </c>
      <c r="B4" s="48" t="str" cm="1">
        <f t="array" ref="B4:B17">Sites[State]</f>
        <v>CA</v>
      </c>
      <c r="C4" s="37">
        <v>40368.4375</v>
      </c>
      <c r="D4" s="37">
        <v>39837.75</v>
      </c>
      <c r="E4" s="37">
        <f>IF(AND(ISNUMBER(C4),ISNUMBER(D4)), C4-D4, "")</f>
        <v>530.6875</v>
      </c>
      <c r="F4" s="40">
        <f>IFERROR(E4/D4, "")</f>
        <v>1.3321221705543109E-2</v>
      </c>
      <c r="G4" s="39">
        <v>48161.71</v>
      </c>
      <c r="H4" s="39">
        <f>IF(AND(ISNUMBER(C4),ISNUMBER(G4)), C4-G4, "")</f>
        <v>-7793.2724999999991</v>
      </c>
      <c r="I4" s="40">
        <f>IFERROR(H4/G4, "")</f>
        <v>-0.16181469677883115</v>
      </c>
      <c r="J4" s="57" t="s">
        <v>22</v>
      </c>
      <c r="K4" s="57" t="s">
        <v>23</v>
      </c>
    </row>
    <row r="5" spans="1:11" ht="30">
      <c r="A5" s="53" t="str">
        <v>Adelanto - 1 Sheep Creek Road</v>
      </c>
      <c r="B5" s="50" t="str">
        <v>CA</v>
      </c>
      <c r="C5" s="44">
        <v>80417</v>
      </c>
      <c r="D5" s="44">
        <v>352340</v>
      </c>
      <c r="E5" s="44">
        <f t="shared" ref="E5:E15" si="0">IF(AND(ISNUMBER(C5),ISNUMBER(D5)), C5-D5, "")</f>
        <v>-271923</v>
      </c>
      <c r="F5" s="45">
        <f t="shared" ref="F5:F17" si="1">IFERROR(E5/D5, "")</f>
        <v>-0.77176306976216158</v>
      </c>
      <c r="G5" s="46">
        <v>479912</v>
      </c>
      <c r="H5" s="46">
        <f t="shared" ref="H5:H6" si="2">IF(AND(ISNUMBER(C5),ISNUMBER(G5)), C5-G5, "")</f>
        <v>-399495</v>
      </c>
      <c r="I5" s="45">
        <f t="shared" ref="I5:I6" si="3">IFERROR(H5/G5, "")</f>
        <v>-0.83243386287486043</v>
      </c>
      <c r="J5" s="58" t="s">
        <v>24</v>
      </c>
      <c r="K5" s="58" t="s">
        <v>25</v>
      </c>
    </row>
    <row r="6" spans="1:11" ht="15.75">
      <c r="A6" s="54" t="str">
        <v>Blackstone - 83 Federal Street</v>
      </c>
      <c r="B6" s="48" t="str">
        <v>MA</v>
      </c>
      <c r="C6" s="37">
        <v>106968</v>
      </c>
      <c r="D6" s="37">
        <v>0</v>
      </c>
      <c r="E6" s="37">
        <f t="shared" si="0"/>
        <v>106968</v>
      </c>
      <c r="F6" s="40" t="str">
        <f t="shared" si="1"/>
        <v/>
      </c>
      <c r="G6" s="39">
        <v>352931.5</v>
      </c>
      <c r="H6" s="39">
        <f t="shared" si="2"/>
        <v>-245963.5</v>
      </c>
      <c r="I6" s="40">
        <f t="shared" si="3"/>
        <v>-0.69691569043851287</v>
      </c>
      <c r="J6" s="57" t="s">
        <v>26</v>
      </c>
      <c r="K6" s="57" t="s">
        <v>27</v>
      </c>
    </row>
    <row r="7" spans="1:11" ht="15.75">
      <c r="A7" s="53" t="str">
        <v>Charlton - 299 Worcester Road</v>
      </c>
      <c r="B7" s="50" t="str">
        <v>MA</v>
      </c>
      <c r="C7" s="44">
        <v>11889</v>
      </c>
      <c r="D7" s="44">
        <v>21739.23</v>
      </c>
      <c r="E7" s="44">
        <f t="shared" si="0"/>
        <v>-9850.23</v>
      </c>
      <c r="F7" s="45">
        <f t="shared" si="1"/>
        <v>-0.45310850476304815</v>
      </c>
      <c r="G7" s="46">
        <v>32151.25</v>
      </c>
      <c r="H7" s="46">
        <f t="shared" ref="H7:H15" si="4">IF(AND(ISNUMBER(C7),ISNUMBER(G7)), C7-G7, "")</f>
        <v>-20262.25</v>
      </c>
      <c r="I7" s="45">
        <f t="shared" ref="I7:I15" si="5">IFERROR(H7/G7, "")</f>
        <v>-0.63021655456630765</v>
      </c>
      <c r="J7" s="58" t="s">
        <v>28</v>
      </c>
      <c r="K7" s="58" t="s">
        <v>29</v>
      </c>
    </row>
    <row r="8" spans="1:11" ht="15.75">
      <c r="A8" s="54" t="str">
        <v>Wareham - 8 Thatcher Drive</v>
      </c>
      <c r="B8" s="48" t="str">
        <v>MA</v>
      </c>
      <c r="C8" s="37">
        <v>5780.1686557785097</v>
      </c>
      <c r="D8" s="37">
        <v>7080.0609999999997</v>
      </c>
      <c r="E8" s="37">
        <f t="shared" si="0"/>
        <v>-1299.89234422149</v>
      </c>
      <c r="F8" s="40">
        <f t="shared" si="1"/>
        <v>-0.18359903173454156</v>
      </c>
      <c r="G8" s="39">
        <v>8785.3289999999997</v>
      </c>
      <c r="H8" s="39">
        <f t="shared" si="4"/>
        <v>-3005.16034422149</v>
      </c>
      <c r="I8" s="40">
        <f t="shared" si="5"/>
        <v>-0.34206577172254904</v>
      </c>
      <c r="J8" s="57" t="s">
        <v>30</v>
      </c>
      <c r="K8" s="57" t="s">
        <v>30</v>
      </c>
    </row>
    <row r="9" spans="1:11" ht="15.75">
      <c r="A9" s="53" t="str">
        <v>West Yarmouth - 42 Mid Tech</v>
      </c>
      <c r="B9" s="50" t="str">
        <v>MA</v>
      </c>
      <c r="C9" s="44">
        <v>4426.7571265835404</v>
      </c>
      <c r="D9" s="44">
        <v>5459.4780000000001</v>
      </c>
      <c r="E9" s="44">
        <f t="shared" si="0"/>
        <v>-1032.7208734164597</v>
      </c>
      <c r="F9" s="45">
        <f t="shared" si="1"/>
        <v>-0.18916110174204559</v>
      </c>
      <c r="G9" s="46">
        <v>6769.56</v>
      </c>
      <c r="H9" s="46">
        <f t="shared" si="4"/>
        <v>-2342.80287341646</v>
      </c>
      <c r="I9" s="45">
        <f t="shared" si="5"/>
        <v>-0.34607904700105468</v>
      </c>
      <c r="J9" s="58" t="s">
        <v>30</v>
      </c>
      <c r="K9" s="58" t="s">
        <v>30</v>
      </c>
    </row>
    <row r="10" spans="1:11" ht="15.75">
      <c r="A10" s="54" t="str">
        <v>Harrison - 130 Union Street</v>
      </c>
      <c r="B10" s="48" t="str">
        <v>NY</v>
      </c>
      <c r="C10" s="37">
        <v>5693.0625</v>
      </c>
      <c r="D10" s="37">
        <v>9025.6859999999997</v>
      </c>
      <c r="E10" s="37">
        <f t="shared" si="0"/>
        <v>-3332.6234999999997</v>
      </c>
      <c r="F10" s="40">
        <f t="shared" si="1"/>
        <v>-0.36923769561670988</v>
      </c>
      <c r="G10" s="39">
        <v>10708.14</v>
      </c>
      <c r="H10" s="39">
        <f t="shared" si="4"/>
        <v>-5015.0774999999994</v>
      </c>
      <c r="I10" s="40">
        <f t="shared" si="5"/>
        <v>-0.46834254128167913</v>
      </c>
      <c r="J10" s="57" t="s">
        <v>30</v>
      </c>
      <c r="K10" s="57" t="s">
        <v>30</v>
      </c>
    </row>
    <row r="11" spans="1:11" ht="15.75">
      <c r="A11" s="53" t="str">
        <v>Staten Island - Ellis Storage</v>
      </c>
      <c r="B11" s="50" t="str">
        <v>NY</v>
      </c>
      <c r="C11" s="44">
        <v>12897.375</v>
      </c>
      <c r="D11" s="44">
        <v>21330.59</v>
      </c>
      <c r="E11" s="44">
        <f t="shared" si="0"/>
        <v>-8433.2150000000001</v>
      </c>
      <c r="F11" s="45">
        <f t="shared" si="1"/>
        <v>-0.39535779366627927</v>
      </c>
      <c r="G11" s="46">
        <v>23412.400000000001</v>
      </c>
      <c r="H11" s="46">
        <f t="shared" si="4"/>
        <v>-10515.025000000001</v>
      </c>
      <c r="I11" s="45">
        <f t="shared" si="5"/>
        <v>-0.44912204643693088</v>
      </c>
      <c r="J11" s="58" t="s">
        <v>30</v>
      </c>
      <c r="K11" s="58" t="s">
        <v>30</v>
      </c>
    </row>
    <row r="12" spans="1:11" ht="30">
      <c r="A12" s="54" t="str">
        <v>Amherst - 595 Scholles Road</v>
      </c>
      <c r="B12" s="48" t="str">
        <v>NY</v>
      </c>
      <c r="C12" s="37">
        <v>99935</v>
      </c>
      <c r="D12" s="37">
        <v>131383.59999999998</v>
      </c>
      <c r="E12" s="37">
        <f t="shared" si="0"/>
        <v>-31448.599999999977</v>
      </c>
      <c r="F12" s="40">
        <f t="shared" si="1"/>
        <v>-0.23936473045342024</v>
      </c>
      <c r="G12" s="39">
        <v>286492</v>
      </c>
      <c r="H12" s="39">
        <f t="shared" si="4"/>
        <v>-186557</v>
      </c>
      <c r="I12" s="40">
        <f t="shared" si="5"/>
        <v>-0.65117699621629921</v>
      </c>
      <c r="J12" s="57" t="s">
        <v>31</v>
      </c>
      <c r="K12" s="57" t="s">
        <v>32</v>
      </c>
    </row>
    <row r="13" spans="1:11" ht="15.75">
      <c r="A13" s="53" t="str">
        <v>Lancaster 1 - Gunnville Road</v>
      </c>
      <c r="B13" s="50" t="str">
        <v>NY</v>
      </c>
      <c r="C13" s="44" t="s">
        <v>30</v>
      </c>
      <c r="D13" s="44" t="s">
        <v>30</v>
      </c>
      <c r="E13" s="44" t="str">
        <f t="shared" si="0"/>
        <v/>
      </c>
      <c r="F13" s="45" t="str">
        <f t="shared" si="1"/>
        <v/>
      </c>
      <c r="G13" s="46" t="s">
        <v>30</v>
      </c>
      <c r="H13" s="46" t="str">
        <f t="shared" si="4"/>
        <v/>
      </c>
      <c r="I13" s="45" t="str">
        <f t="shared" si="5"/>
        <v/>
      </c>
      <c r="J13" s="58" t="s">
        <v>30</v>
      </c>
      <c r="K13" s="58" t="s">
        <v>30</v>
      </c>
    </row>
    <row r="14" spans="1:11" ht="15.75">
      <c r="A14" s="54" t="str">
        <v>Lancaster 2 - Shisler Road</v>
      </c>
      <c r="B14" s="48" t="str">
        <v>NY</v>
      </c>
      <c r="C14" s="37" t="s">
        <v>30</v>
      </c>
      <c r="D14" s="37" t="s">
        <v>30</v>
      </c>
      <c r="E14" s="37" t="str">
        <f t="shared" si="0"/>
        <v/>
      </c>
      <c r="F14" s="40" t="str">
        <f t="shared" si="1"/>
        <v/>
      </c>
      <c r="G14" s="39" t="s">
        <v>30</v>
      </c>
      <c r="H14" s="39" t="str">
        <f t="shared" si="4"/>
        <v/>
      </c>
      <c r="I14" s="40" t="str">
        <f t="shared" si="5"/>
        <v/>
      </c>
      <c r="J14" s="57" t="s">
        <v>30</v>
      </c>
      <c r="K14" s="57" t="s">
        <v>30</v>
      </c>
    </row>
    <row r="15" spans="1:11" ht="15.75">
      <c r="A15" s="53" t="str">
        <v>Fullerton - 200 W Orangethorpe</v>
      </c>
      <c r="B15" s="50" t="str">
        <v>CA</v>
      </c>
      <c r="C15" s="44">
        <v>66219.87890625</v>
      </c>
      <c r="D15" s="44">
        <v>65950.86</v>
      </c>
      <c r="E15" s="44">
        <f t="shared" si="0"/>
        <v>269.01890624999942</v>
      </c>
      <c r="F15" s="45">
        <f t="shared" si="1"/>
        <v>4.0790810953791872E-3</v>
      </c>
      <c r="G15" s="46">
        <v>75151.27</v>
      </c>
      <c r="H15" s="46">
        <f t="shared" si="4"/>
        <v>-8931.3910937500041</v>
      </c>
      <c r="I15" s="45">
        <f t="shared" si="5"/>
        <v>-0.11884551111045766</v>
      </c>
      <c r="J15" s="58" t="s">
        <v>30</v>
      </c>
      <c r="K15" s="58" t="s">
        <v>30</v>
      </c>
    </row>
    <row r="16" spans="1:11" ht="15.75">
      <c r="A16" s="54" t="str">
        <v>El Paso - 10500 Railroad Drive</v>
      </c>
      <c r="B16" s="48" t="str">
        <v>TX</v>
      </c>
      <c r="C16" s="37">
        <v>94436.375</v>
      </c>
      <c r="D16" s="37">
        <v>110748.9</v>
      </c>
      <c r="E16" s="37">
        <f t="shared" ref="E16:E17" si="6">IF(AND(ISNUMBER(C16),ISNUMBER(D16)), C16-D16, "")</f>
        <v>-16312.524999999994</v>
      </c>
      <c r="F16" s="40">
        <f t="shared" si="1"/>
        <v>-0.14729288507605939</v>
      </c>
      <c r="G16" s="39">
        <v>95880.07</v>
      </c>
      <c r="H16" s="39">
        <f t="shared" ref="H16:H17" si="7">IF(AND(ISNUMBER(C16),ISNUMBER(G16)), C16-G16, "")</f>
        <v>-1443.695000000007</v>
      </c>
      <c r="I16" s="40">
        <f t="shared" ref="I16:I17" si="8">IFERROR(H16/G16, "")</f>
        <v>-1.5057300229338662E-2</v>
      </c>
      <c r="J16" s="57" t="s">
        <v>30</v>
      </c>
      <c r="K16" s="57" t="s">
        <v>33</v>
      </c>
    </row>
    <row r="17" spans="1:11" ht="30">
      <c r="A17" s="53" t="str">
        <v>Friona - 900 Millard Ave</v>
      </c>
      <c r="B17" s="49" t="str">
        <v>TX</v>
      </c>
      <c r="C17" s="44">
        <v>63501.4375</v>
      </c>
      <c r="D17" s="44">
        <v>68753.48</v>
      </c>
      <c r="E17" s="44">
        <f t="shared" si="6"/>
        <v>-5252.0424999999959</v>
      </c>
      <c r="F17" s="40">
        <f t="shared" si="1"/>
        <v>-7.6389478758020629E-2</v>
      </c>
      <c r="G17" s="46">
        <v>72881.62</v>
      </c>
      <c r="H17" s="46">
        <f t="shared" si="7"/>
        <v>-9380.1824999999953</v>
      </c>
      <c r="I17" s="40">
        <f t="shared" si="8"/>
        <v>-0.12870436332233004</v>
      </c>
      <c r="J17" s="58" t="s">
        <v>34</v>
      </c>
      <c r="K17" s="58" t="s">
        <v>35</v>
      </c>
    </row>
    <row r="18" spans="1:11" ht="15">
      <c r="A18" s="13"/>
      <c r="B18" s="18"/>
      <c r="C18" s="21"/>
      <c r="D18" s="13"/>
      <c r="E18" s="13"/>
      <c r="F18" s="13"/>
      <c r="G18" s="13"/>
      <c r="H18" s="13"/>
      <c r="I18" s="13"/>
      <c r="J18" s="22"/>
      <c r="K18" s="13"/>
    </row>
    <row r="19" spans="1:11" ht="15">
      <c r="A19" s="13"/>
      <c r="B19" s="18"/>
      <c r="C19" s="13"/>
      <c r="D19" s="13"/>
      <c r="E19" s="13"/>
      <c r="F19" s="13"/>
      <c r="G19" s="13"/>
      <c r="H19" s="13"/>
      <c r="I19" s="13"/>
      <c r="J19" s="20"/>
      <c r="K19" s="13"/>
    </row>
    <row r="20" spans="1:11" ht="1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5">
      <c r="A24" s="13"/>
      <c r="B24" s="18"/>
      <c r="C24" s="13"/>
      <c r="D24" s="13"/>
      <c r="E24" s="13"/>
      <c r="F24" s="14"/>
      <c r="G24" s="13"/>
      <c r="H24" s="13"/>
      <c r="I24" s="14"/>
      <c r="J24" s="13"/>
      <c r="K24" s="13"/>
    </row>
    <row r="25" spans="1:11" ht="1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</sheetData>
  <mergeCells count="4">
    <mergeCell ref="D1:F1"/>
    <mergeCell ref="A1:C1"/>
    <mergeCell ref="G1:I1"/>
    <mergeCell ref="A2:B2"/>
  </mergeCells>
  <conditionalFormatting sqref="F2 I2 F4:F91 I4:I91">
    <cfRule type="cellIs" dxfId="26" priority="6" stopIfTrue="1" operator="lessThanOrEqual">
      <formula>-0.1</formula>
    </cfRule>
    <cfRule type="expression" dxfId="25" priority="7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4"/>
  <sheetViews>
    <sheetView workbookViewId="0">
      <pane xSplit="2" ySplit="3" topLeftCell="C4" activePane="bottomRight" state="frozen"/>
      <selection pane="bottomRight" activeCell="L10" sqref="L10"/>
      <selection pane="bottomLeft" activeCell="A18" sqref="A18:XFD24"/>
      <selection pane="topRight" activeCell="A18" sqref="A18:XFD24"/>
    </sheetView>
  </sheetViews>
  <sheetFormatPr defaultRowHeight="14.2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0.28515625" customWidth="1"/>
    <col min="11" max="11" width="20.5703125" bestFit="1" customWidth="1"/>
  </cols>
  <sheetData>
    <row r="1" spans="1:11" ht="19.5" customHeight="1">
      <c r="A1" s="70" t="str" cm="1">
        <f t="array" ref="A1">portfolio</f>
        <v>Catalyze</v>
      </c>
      <c r="B1" s="70"/>
      <c r="C1" s="70"/>
      <c r="D1" s="71" t="s">
        <v>36</v>
      </c>
      <c r="E1" s="71"/>
      <c r="F1" s="71"/>
      <c r="G1" s="69" t="s">
        <v>37</v>
      </c>
      <c r="H1" s="69"/>
      <c r="I1" s="69"/>
      <c r="J1" s="4"/>
      <c r="K1" s="4"/>
    </row>
    <row r="2" spans="1:11" ht="19.5" customHeight="1">
      <c r="A2" s="72" t="s">
        <v>2</v>
      </c>
      <c r="B2" s="72"/>
      <c r="C2" s="5">
        <f>SUM(C4:C92)</f>
        <v>2118917.294964686</v>
      </c>
      <c r="D2" s="5">
        <f>SUM(D4:D92)</f>
        <v>2947649.7779999999</v>
      </c>
      <c r="E2" s="5">
        <f>C2-D2</f>
        <v>-828732.4830353139</v>
      </c>
      <c r="F2" s="6">
        <f>IFERROR(E2/D2, 0)</f>
        <v>-0.28115025374473573</v>
      </c>
      <c r="G2" s="5">
        <f>SUM(G4:G92)</f>
        <v>2750893.591</v>
      </c>
      <c r="H2" s="7">
        <f>C2-G2</f>
        <v>-631976.29603531398</v>
      </c>
      <c r="I2" s="6">
        <f>IFERROR(H2/G2, 0)</f>
        <v>-0.22973491163123436</v>
      </c>
      <c r="J2" s="1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52" t="str" cm="1">
        <f t="array" ref="A4:A17">Sites[Site]</f>
        <v>Fresno - 3150 Shaw Ave</v>
      </c>
      <c r="B4" s="48" t="str" cm="1">
        <f t="array" ref="B4:B17">Sites[State]</f>
        <v>CA</v>
      </c>
      <c r="C4" s="36">
        <v>58842.25</v>
      </c>
      <c r="D4" s="37">
        <v>57965.88</v>
      </c>
      <c r="E4" s="37">
        <f>IF(AND(ISNUMBER(C4),ISNUMBER(D4)), C4-D4, "")</f>
        <v>876.37000000000262</v>
      </c>
      <c r="F4" s="38">
        <f>IFERROR(E4/D4, "")</f>
        <v>1.5118721565169073E-2</v>
      </c>
      <c r="G4" s="39">
        <v>67323.77</v>
      </c>
      <c r="H4" s="39">
        <f>IF(AND(ISNUMBER(C4),ISNUMBER(G4)), C4-G4, "")</f>
        <v>-8481.5200000000041</v>
      </c>
      <c r="I4" s="40">
        <f>IFERROR(H4/G4, "")</f>
        <v>-0.12598106136955795</v>
      </c>
      <c r="J4" s="57" t="s">
        <v>38</v>
      </c>
      <c r="K4" s="57" t="s">
        <v>39</v>
      </c>
    </row>
    <row r="5" spans="1:11" ht="45.75">
      <c r="A5" s="53" t="str">
        <v>Adelanto - 1 Sheep Creek Road</v>
      </c>
      <c r="B5" s="50" t="str">
        <v>CA</v>
      </c>
      <c r="C5" s="43">
        <v>300982</v>
      </c>
      <c r="D5" s="44">
        <v>344128.5400000001</v>
      </c>
      <c r="E5" s="44">
        <f t="shared" ref="E5:E15" si="0">IF(AND(ISNUMBER(C5),ISNUMBER(D5)), C5-D5, "")</f>
        <v>-43146.540000000095</v>
      </c>
      <c r="F5" s="45">
        <f>IFERROR(E5/D5, "")</f>
        <v>-0.12537913885317412</v>
      </c>
      <c r="G5" s="46">
        <v>597256.79</v>
      </c>
      <c r="H5" s="46">
        <f t="shared" ref="H5:H15" si="1">IF(AND(ISNUMBER(C5),ISNUMBER(G5)), C5-G5, "")</f>
        <v>-296274.79000000004</v>
      </c>
      <c r="I5" s="45">
        <f t="shared" ref="I5:I15" si="2">IFERROR(H5/G5, "")</f>
        <v>-0.49605930809091348</v>
      </c>
      <c r="J5" s="58" t="s">
        <v>40</v>
      </c>
      <c r="K5" s="58" t="s">
        <v>41</v>
      </c>
    </row>
    <row r="6" spans="1:11" ht="15.75">
      <c r="A6" s="54" t="str">
        <v>Blackstone - 83 Federal Street</v>
      </c>
      <c r="B6" s="48" t="str">
        <v>MA</v>
      </c>
      <c r="C6" s="36">
        <v>371405</v>
      </c>
      <c r="D6" s="44">
        <v>591797.9</v>
      </c>
      <c r="E6" s="37">
        <f t="shared" si="0"/>
        <v>-220392.90000000002</v>
      </c>
      <c r="F6" s="38">
        <f t="shared" ref="F6:F15" si="3">IFERROR(E6/D6, "")</f>
        <v>-0.37241244012525226</v>
      </c>
      <c r="G6" s="39">
        <v>474063.7</v>
      </c>
      <c r="H6" s="39">
        <f t="shared" si="1"/>
        <v>-102658.70000000001</v>
      </c>
      <c r="I6" s="40">
        <f t="shared" si="2"/>
        <v>-0.21655043404504501</v>
      </c>
      <c r="J6" s="57" t="s">
        <v>42</v>
      </c>
      <c r="K6" s="57" t="s">
        <v>43</v>
      </c>
    </row>
    <row r="7" spans="1:11" ht="40.5" customHeight="1">
      <c r="A7" s="53" t="str">
        <v>Charlton - 299 Worcester Road</v>
      </c>
      <c r="B7" s="50" t="str">
        <v>MA</v>
      </c>
      <c r="C7" s="43">
        <v>41404</v>
      </c>
      <c r="D7" s="44">
        <v>47717.86</v>
      </c>
      <c r="E7" s="44">
        <f t="shared" si="0"/>
        <v>-6313.8600000000006</v>
      </c>
      <c r="F7" s="45">
        <f t="shared" si="3"/>
        <v>-0.13231649533319392</v>
      </c>
      <c r="G7" s="46">
        <v>31813.95</v>
      </c>
      <c r="H7" s="46">
        <f t="shared" si="1"/>
        <v>9590.0499999999993</v>
      </c>
      <c r="I7" s="45">
        <f t="shared" si="2"/>
        <v>0.301441663169773</v>
      </c>
      <c r="J7" s="58" t="s">
        <v>44</v>
      </c>
      <c r="K7" s="58" t="s">
        <v>45</v>
      </c>
    </row>
    <row r="8" spans="1:11" ht="15.75">
      <c r="A8" s="54" t="str">
        <v>Wareham - 8 Thatcher Drive</v>
      </c>
      <c r="B8" s="48" t="str">
        <v>MA</v>
      </c>
      <c r="C8" s="36">
        <v>7001.2688442211402</v>
      </c>
      <c r="D8" s="37">
        <v>11238.1</v>
      </c>
      <c r="E8" s="37">
        <f t="shared" si="0"/>
        <v>-4236.8311557788602</v>
      </c>
      <c r="F8" s="38">
        <f t="shared" si="3"/>
        <v>-0.37700600241845689</v>
      </c>
      <c r="G8" s="39">
        <v>11253.3</v>
      </c>
      <c r="H8" s="39">
        <f t="shared" si="1"/>
        <v>-4252.0311557788591</v>
      </c>
      <c r="I8" s="40">
        <f t="shared" si="2"/>
        <v>-0.37784748969447712</v>
      </c>
      <c r="J8" s="57"/>
      <c r="K8" s="57"/>
    </row>
    <row r="9" spans="1:11" ht="15.75">
      <c r="A9" s="53" t="str">
        <v>West Yarmouth - 42 Mid Tech</v>
      </c>
      <c r="B9" s="50" t="str">
        <v>MA</v>
      </c>
      <c r="C9" s="43">
        <v>4449.0054052906899</v>
      </c>
      <c r="D9" s="44">
        <v>8729.4680000000008</v>
      </c>
      <c r="E9" s="44">
        <f t="shared" si="0"/>
        <v>-4280.4625947093109</v>
      </c>
      <c r="F9" s="45">
        <f t="shared" si="3"/>
        <v>-0.49034632977740572</v>
      </c>
      <c r="G9" s="46">
        <v>7749.5110000000004</v>
      </c>
      <c r="H9" s="46">
        <f t="shared" si="1"/>
        <v>-3300.5055947093106</v>
      </c>
      <c r="I9" s="45">
        <f t="shared" si="2"/>
        <v>-0.42589856246533625</v>
      </c>
      <c r="J9" s="58"/>
      <c r="K9" s="58"/>
    </row>
    <row r="10" spans="1:11" ht="15.75">
      <c r="A10" s="54" t="str">
        <v>Harrison - 130 Union Street</v>
      </c>
      <c r="B10" s="48" t="str">
        <v>NY</v>
      </c>
      <c r="C10" s="36">
        <v>10644.0444651742</v>
      </c>
      <c r="D10" s="37">
        <v>17668.439999999999</v>
      </c>
      <c r="E10" s="37">
        <f t="shared" si="0"/>
        <v>-7024.3955348257987</v>
      </c>
      <c r="F10" s="38">
        <f t="shared" si="3"/>
        <v>-0.39756738765990657</v>
      </c>
      <c r="G10" s="39">
        <v>14230.04</v>
      </c>
      <c r="H10" s="39">
        <f t="shared" si="1"/>
        <v>-3585.9955348258009</v>
      </c>
      <c r="I10" s="40">
        <f t="shared" si="2"/>
        <v>-0.25200178880915308</v>
      </c>
      <c r="J10" s="57"/>
      <c r="K10" s="57"/>
    </row>
    <row r="11" spans="1:11" ht="15.75">
      <c r="A11" s="53" t="str">
        <v>Staten Island - Ellis Storage</v>
      </c>
      <c r="B11" s="50" t="str">
        <v>NY</v>
      </c>
      <c r="C11" s="43">
        <v>28780.5</v>
      </c>
      <c r="D11" s="44">
        <v>41920.19</v>
      </c>
      <c r="E11" s="44">
        <f t="shared" si="0"/>
        <v>-13139.690000000002</v>
      </c>
      <c r="F11" s="45">
        <f t="shared" si="3"/>
        <v>-0.31344538276186251</v>
      </c>
      <c r="G11" s="46">
        <v>28582.98</v>
      </c>
      <c r="H11" s="46">
        <f t="shared" si="1"/>
        <v>197.52000000000044</v>
      </c>
      <c r="I11" s="45">
        <f t="shared" si="2"/>
        <v>6.9104061228045651E-3</v>
      </c>
      <c r="J11" s="58"/>
      <c r="K11" s="58"/>
    </row>
    <row r="12" spans="1:11" ht="30.75">
      <c r="A12" s="54" t="str">
        <v>Amherst - 595 Scholles Road</v>
      </c>
      <c r="B12" s="48" t="str">
        <v>NY</v>
      </c>
      <c r="C12" s="36">
        <v>238762</v>
      </c>
      <c r="D12" s="37">
        <v>462549</v>
      </c>
      <c r="E12" s="37">
        <f t="shared" si="0"/>
        <v>-223787</v>
      </c>
      <c r="F12" s="38">
        <f t="shared" si="3"/>
        <v>-0.48381252580807654</v>
      </c>
      <c r="G12" s="39">
        <v>462796</v>
      </c>
      <c r="H12" s="39">
        <f t="shared" si="1"/>
        <v>-224034</v>
      </c>
      <c r="I12" s="40">
        <f t="shared" si="2"/>
        <v>-0.48408802150407521</v>
      </c>
      <c r="J12" s="57" t="s">
        <v>46</v>
      </c>
      <c r="K12" s="57" t="s">
        <v>47</v>
      </c>
    </row>
    <row r="13" spans="1:11" ht="15.75">
      <c r="A13" s="53" t="str">
        <v>Lancaster 1 - Gunnville Road</v>
      </c>
      <c r="B13" s="50" t="str">
        <v>NY</v>
      </c>
      <c r="C13" s="43">
        <v>422356</v>
      </c>
      <c r="D13" s="44">
        <v>522536.7</v>
      </c>
      <c r="E13" s="44">
        <f t="shared" si="0"/>
        <v>-100180.70000000001</v>
      </c>
      <c r="F13" s="45">
        <f t="shared" si="3"/>
        <v>-0.1917199308680137</v>
      </c>
      <c r="G13" s="46">
        <v>381411.8</v>
      </c>
      <c r="H13" s="46">
        <f t="shared" si="1"/>
        <v>40944.200000000012</v>
      </c>
      <c r="I13" s="45">
        <f t="shared" si="2"/>
        <v>0.10734906471168436</v>
      </c>
      <c r="J13" s="58" t="s">
        <v>48</v>
      </c>
      <c r="K13" s="58" t="s">
        <v>49</v>
      </c>
    </row>
    <row r="14" spans="1:11" ht="76.5">
      <c r="A14" s="54" t="str">
        <v>Lancaster 2 - Shisler Road</v>
      </c>
      <c r="B14" s="48" t="str">
        <v>NY</v>
      </c>
      <c r="C14" s="36">
        <v>393093</v>
      </c>
      <c r="D14" s="37">
        <v>577373.1</v>
      </c>
      <c r="E14" s="37">
        <f t="shared" si="0"/>
        <v>-184280.09999999998</v>
      </c>
      <c r="F14" s="38">
        <f t="shared" si="3"/>
        <v>-0.31916987473091485</v>
      </c>
      <c r="G14" s="39">
        <v>412202.9</v>
      </c>
      <c r="H14" s="39">
        <f t="shared" si="1"/>
        <v>-19109.900000000023</v>
      </c>
      <c r="I14" s="40">
        <f t="shared" si="2"/>
        <v>-4.6360421045072757E-2</v>
      </c>
      <c r="J14" s="57" t="s">
        <v>50</v>
      </c>
      <c r="K14" s="57" t="s">
        <v>51</v>
      </c>
    </row>
    <row r="15" spans="1:11" ht="15.75">
      <c r="A15" s="53" t="str">
        <v>Fullerton - 200 W Orangethorpe</v>
      </c>
      <c r="B15" s="50" t="str">
        <v>CA</v>
      </c>
      <c r="C15" s="43">
        <v>64169.35125</v>
      </c>
      <c r="D15" s="44">
        <v>65724.88</v>
      </c>
      <c r="E15" s="44">
        <f t="shared" si="0"/>
        <v>-1555.5287500000049</v>
      </c>
      <c r="F15" s="45">
        <f t="shared" si="3"/>
        <v>-2.3667274097723796E-2</v>
      </c>
      <c r="G15" s="46">
        <v>81499</v>
      </c>
      <c r="H15" s="46">
        <f t="shared" si="1"/>
        <v>-17329.64875</v>
      </c>
      <c r="I15" s="45">
        <f t="shared" si="2"/>
        <v>-0.21263633602866294</v>
      </c>
      <c r="J15" s="58"/>
      <c r="K15" s="58"/>
    </row>
    <row r="16" spans="1:11" ht="15.75">
      <c r="A16" s="54" t="str">
        <v>El Paso - 10500 Railroad Drive</v>
      </c>
      <c r="B16" s="48" t="str">
        <v>TX</v>
      </c>
      <c r="C16" s="36">
        <v>102707.75</v>
      </c>
      <c r="D16" s="37">
        <v>113239.9</v>
      </c>
      <c r="E16" s="37">
        <f t="shared" ref="E16:E17" si="4">IF(AND(ISNUMBER(C16),ISNUMBER(D16)), C16-D16, "")</f>
        <v>-10532.149999999994</v>
      </c>
      <c r="F16" s="38">
        <f t="shared" ref="F16:F17" si="5">IFERROR(E16/D16, "")</f>
        <v>-9.3007411698526707E-2</v>
      </c>
      <c r="G16" s="39">
        <v>101578.9</v>
      </c>
      <c r="H16" s="39">
        <f t="shared" ref="H16:H17" si="6">IF(AND(ISNUMBER(C16),ISNUMBER(G16)), C16-G16, "")</f>
        <v>1128.8500000000058</v>
      </c>
      <c r="I16" s="40">
        <f t="shared" ref="I16:I17" si="7">IFERROR(H16/G16, "")</f>
        <v>1.1113036270327852E-2</v>
      </c>
      <c r="J16" s="57"/>
      <c r="K16" s="57"/>
    </row>
    <row r="17" spans="1:11" ht="15.75">
      <c r="A17" s="53" t="str">
        <v>Friona - 900 Millard Ave</v>
      </c>
      <c r="B17" s="50" t="str">
        <v>TX</v>
      </c>
      <c r="C17" s="43">
        <v>74321.125</v>
      </c>
      <c r="D17" s="44">
        <v>85059.82</v>
      </c>
      <c r="E17" s="44">
        <f t="shared" si="4"/>
        <v>-10738.695000000007</v>
      </c>
      <c r="F17" s="45">
        <f t="shared" si="5"/>
        <v>-0.12624873882874435</v>
      </c>
      <c r="G17" s="46">
        <v>79130.95</v>
      </c>
      <c r="H17" s="46">
        <f t="shared" si="6"/>
        <v>-4809.8249999999971</v>
      </c>
      <c r="I17" s="45">
        <f t="shared" si="7"/>
        <v>-6.0783106989111053E-2</v>
      </c>
      <c r="J17" s="67" t="s">
        <v>52</v>
      </c>
      <c r="K17" s="68" t="s">
        <v>53</v>
      </c>
    </row>
    <row r="18" spans="1:11" ht="1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5">
      <c r="A23" s="13"/>
      <c r="B23" s="18"/>
      <c r="C23" s="13"/>
      <c r="D23" s="13"/>
      <c r="E23" s="13"/>
      <c r="F23" s="44"/>
      <c r="G23" s="13"/>
      <c r="H23" s="13"/>
      <c r="I23" s="13"/>
      <c r="J23" s="13"/>
      <c r="K23" s="13"/>
    </row>
    <row r="24" spans="1:11" ht="1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22 I4:I92 F24:F92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M334"/>
  <sheetViews>
    <sheetView workbookViewId="0">
      <pane xSplit="2" ySplit="3" topLeftCell="C4" activePane="bottomRight" state="frozen"/>
      <selection pane="bottomRight" activeCell="N20" sqref="N20"/>
      <selection pane="bottomLeft" activeCell="A18" sqref="A18:XFD24"/>
      <selection pane="topRight" activeCell="A18" sqref="A18:XFD24"/>
    </sheetView>
  </sheetViews>
  <sheetFormatPr defaultRowHeight="14.2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4.85546875" bestFit="1" customWidth="1"/>
    <col min="11" max="11" width="20.5703125" bestFit="1" customWidth="1"/>
  </cols>
  <sheetData>
    <row r="1" spans="1:13" ht="19.5" customHeight="1">
      <c r="A1" s="70" t="str" cm="1">
        <f t="array" ref="A1">portfolio</f>
        <v>Catalyze</v>
      </c>
      <c r="B1" s="70"/>
      <c r="C1" s="70"/>
      <c r="D1" s="71" t="s">
        <v>54</v>
      </c>
      <c r="E1" s="71"/>
      <c r="F1" s="71"/>
      <c r="G1" s="69" t="s">
        <v>55</v>
      </c>
      <c r="H1" s="69"/>
      <c r="I1" s="69"/>
      <c r="J1" s="4"/>
      <c r="K1" s="4"/>
    </row>
    <row r="2" spans="1:13" ht="19.5" customHeight="1">
      <c r="A2" s="72" t="s">
        <v>2</v>
      </c>
      <c r="B2" s="72"/>
      <c r="C2" s="5">
        <f>SUM(C4:C92)</f>
        <v>3211851.3127988456</v>
      </c>
      <c r="D2" s="5">
        <f>SUM(D4:D92)</f>
        <v>3586849.9100000006</v>
      </c>
      <c r="E2" s="5">
        <f>C2-D2</f>
        <v>-374998.59720115503</v>
      </c>
      <c r="F2" s="6">
        <f>IFERROR(E2/D2, 0)</f>
        <v>-0.10454817084921041</v>
      </c>
      <c r="G2" s="5">
        <f>SUM(G4:G92)</f>
        <v>4216360.07</v>
      </c>
      <c r="H2" s="7">
        <f>C2-G2</f>
        <v>-1004508.7572011547</v>
      </c>
      <c r="I2" s="6">
        <f>IFERROR(H2/G2, 0)</f>
        <v>-0.23824074332464557</v>
      </c>
      <c r="J2" s="1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3" ht="30.75">
      <c r="A4" s="52" t="str" cm="1">
        <f t="array" ref="A4:A17">Sites[Site]</f>
        <v>Fresno - 3150 Shaw Ave</v>
      </c>
      <c r="B4" s="48" t="str" cm="1">
        <f t="array" ref="B4:B17">Sites[State]</f>
        <v>CA</v>
      </c>
      <c r="C4" s="36">
        <v>93147.878124999901</v>
      </c>
      <c r="D4" s="37">
        <v>92388.49</v>
      </c>
      <c r="E4" s="37">
        <f>IF(AND(ISNUMBER(C4),ISNUMBER(D4)), C4-D4, "")</f>
        <v>759.38812499989581</v>
      </c>
      <c r="F4" s="38">
        <f>IFERROR(E4/D4, "")</f>
        <v>8.2195100818283299E-3</v>
      </c>
      <c r="G4" s="39">
        <v>102127.4</v>
      </c>
      <c r="H4" s="39">
        <f>IF(AND(ISNUMBER(C4),ISNUMBER(G4)), C4-G4, "")</f>
        <v>-8979.5218750000931</v>
      </c>
      <c r="I4" s="40">
        <f>IFERROR(H4/G4, "")</f>
        <v>-8.792470850134336E-2</v>
      </c>
      <c r="J4" s="61" t="s">
        <v>56</v>
      </c>
      <c r="K4" s="61" t="s">
        <v>57</v>
      </c>
      <c r="M4" s="60"/>
    </row>
    <row r="5" spans="1:13" ht="60.75">
      <c r="A5" s="53" t="str">
        <v>Adelanto - 1 Sheep Creek Road</v>
      </c>
      <c r="B5" s="50" t="str">
        <v>CA</v>
      </c>
      <c r="C5" s="43">
        <v>316722</v>
      </c>
      <c r="D5" s="44">
        <v>203359</v>
      </c>
      <c r="E5" s="44">
        <f t="shared" ref="E5:E17" si="0">IF(AND(ISNUMBER(C5),ISNUMBER(D5)), C5-D5, "")</f>
        <v>113363</v>
      </c>
      <c r="F5" s="45">
        <f>IFERROR(E5/D5, "")</f>
        <v>0.55745258385416918</v>
      </c>
      <c r="G5" s="46">
        <v>819315.66</v>
      </c>
      <c r="H5" s="46">
        <f t="shared" ref="H5:H17" si="1">IF(AND(ISNUMBER(C5),ISNUMBER(G5)), C5-G5, "")</f>
        <v>-502593.66000000003</v>
      </c>
      <c r="I5" s="45">
        <f t="shared" ref="I5:I17" si="2">IFERROR(H5/G5, "")</f>
        <v>-0.61343104317083363</v>
      </c>
      <c r="J5" s="62" t="s">
        <v>58</v>
      </c>
      <c r="K5" s="62" t="s">
        <v>59</v>
      </c>
      <c r="M5" s="60"/>
    </row>
    <row r="6" spans="1:13" ht="30">
      <c r="A6" s="54" t="str">
        <v>Blackstone - 83 Federal Street</v>
      </c>
      <c r="B6" s="48" t="str">
        <v>MA</v>
      </c>
      <c r="C6" s="36">
        <v>543056</v>
      </c>
      <c r="D6" s="37">
        <v>659185.6</v>
      </c>
      <c r="E6" s="37">
        <f t="shared" si="0"/>
        <v>-116129.59999999998</v>
      </c>
      <c r="F6" s="38">
        <f t="shared" ref="F6:F17" si="3">IFERROR(E6/D6, "")</f>
        <v>-0.17617132413086692</v>
      </c>
      <c r="G6" s="39">
        <v>665713.1</v>
      </c>
      <c r="H6" s="39">
        <f t="shared" si="1"/>
        <v>-122657.09999999998</v>
      </c>
      <c r="I6" s="40">
        <f t="shared" si="2"/>
        <v>-0.1842491908301038</v>
      </c>
      <c r="J6" s="61" t="s">
        <v>60</v>
      </c>
      <c r="K6" s="61" t="s">
        <v>61</v>
      </c>
      <c r="M6" s="60"/>
    </row>
    <row r="7" spans="1:13" ht="15.75">
      <c r="A7" s="53" t="str">
        <v>Charlton - 299 Worcester Road</v>
      </c>
      <c r="B7" s="50" t="str">
        <v>MA</v>
      </c>
      <c r="C7" s="43">
        <v>53094.5</v>
      </c>
      <c r="D7" s="44">
        <v>53440.83</v>
      </c>
      <c r="E7" s="44">
        <f t="shared" si="0"/>
        <v>-346.33000000000175</v>
      </c>
      <c r="F7" s="45">
        <f t="shared" si="3"/>
        <v>-6.4806253944783739E-3</v>
      </c>
      <c r="G7" s="46">
        <v>60191.09</v>
      </c>
      <c r="H7" s="46">
        <f t="shared" si="1"/>
        <v>-7096.5899999999965</v>
      </c>
      <c r="I7" s="45">
        <f t="shared" si="2"/>
        <v>-0.11790100494940359</v>
      </c>
      <c r="J7" s="62"/>
      <c r="K7" s="63"/>
      <c r="M7" s="60"/>
    </row>
    <row r="8" spans="1:13" ht="15.75">
      <c r="A8" s="54" t="str">
        <v>Wareham - 8 Thatcher Drive</v>
      </c>
      <c r="B8" s="48" t="str">
        <v>MA</v>
      </c>
      <c r="C8" s="36">
        <v>13951.1875</v>
      </c>
      <c r="D8" s="37">
        <v>14371.27</v>
      </c>
      <c r="E8" s="37">
        <f t="shared" si="0"/>
        <v>-420.08250000000044</v>
      </c>
      <c r="F8" s="38">
        <f t="shared" si="3"/>
        <v>-2.9230715169918903E-2</v>
      </c>
      <c r="G8" s="39">
        <v>16016.2</v>
      </c>
      <c r="H8" s="39">
        <f t="shared" si="1"/>
        <v>-2065.0125000000007</v>
      </c>
      <c r="I8" s="40">
        <f t="shared" si="2"/>
        <v>-0.12893273685393544</v>
      </c>
      <c r="J8" s="61"/>
      <c r="K8" s="61"/>
      <c r="M8" s="60"/>
    </row>
    <row r="9" spans="1:13" ht="15.75">
      <c r="A9" s="53" t="str">
        <v>West Yarmouth - 42 Mid Tech</v>
      </c>
      <c r="B9" s="50" t="str">
        <v>MA</v>
      </c>
      <c r="C9" s="43">
        <v>12216.5316390198</v>
      </c>
      <c r="D9" s="44">
        <v>12405.7</v>
      </c>
      <c r="E9" s="44">
        <f t="shared" si="0"/>
        <v>-189.1683609802003</v>
      </c>
      <c r="F9" s="45">
        <f t="shared" si="3"/>
        <v>-1.5248503589495175E-2</v>
      </c>
      <c r="G9" s="46">
        <v>13342.11</v>
      </c>
      <c r="H9" s="46">
        <f t="shared" si="1"/>
        <v>-1125.5783609802002</v>
      </c>
      <c r="I9" s="45">
        <f t="shared" si="2"/>
        <v>-8.4362845230641942E-2</v>
      </c>
      <c r="J9" s="62"/>
      <c r="K9" s="63"/>
      <c r="M9" s="60"/>
    </row>
    <row r="10" spans="1:13" ht="15.75">
      <c r="A10" s="54" t="str">
        <v>Harrison - 130 Union Street</v>
      </c>
      <c r="B10" s="48" t="str">
        <v>NY</v>
      </c>
      <c r="C10" s="36">
        <v>21772.8930348258</v>
      </c>
      <c r="D10" s="37">
        <v>22420.77</v>
      </c>
      <c r="E10" s="37">
        <f t="shared" si="0"/>
        <v>-647.87696517420045</v>
      </c>
      <c r="F10" s="38">
        <f t="shared" si="3"/>
        <v>-2.8896285237937878E-2</v>
      </c>
      <c r="G10" s="39">
        <v>21506.07</v>
      </c>
      <c r="H10" s="39">
        <f t="shared" si="1"/>
        <v>266.82303482580028</v>
      </c>
      <c r="I10" s="40">
        <f t="shared" si="2"/>
        <v>1.240687093577768E-2</v>
      </c>
      <c r="J10" s="61"/>
      <c r="K10" s="61"/>
      <c r="M10" s="60"/>
    </row>
    <row r="11" spans="1:13" ht="15.75">
      <c r="A11" s="53" t="str">
        <v>Staten Island - Ellis Storage</v>
      </c>
      <c r="B11" s="50" t="str">
        <v>NY</v>
      </c>
      <c r="C11" s="43">
        <v>49193.875</v>
      </c>
      <c r="D11" s="44">
        <v>52917.68</v>
      </c>
      <c r="E11" s="44">
        <f t="shared" si="0"/>
        <v>-3723.8050000000003</v>
      </c>
      <c r="F11" s="45">
        <f t="shared" si="3"/>
        <v>-7.0369770556834702E-2</v>
      </c>
      <c r="G11" s="46">
        <v>50803.64</v>
      </c>
      <c r="H11" s="46">
        <f t="shared" si="1"/>
        <v>-1609.7649999999994</v>
      </c>
      <c r="I11" s="45">
        <f t="shared" si="2"/>
        <v>-3.1686016986184444E-2</v>
      </c>
      <c r="J11" s="62"/>
      <c r="K11" s="63"/>
      <c r="M11" s="60"/>
    </row>
    <row r="12" spans="1:13" ht="15.75">
      <c r="A12" s="54" t="str">
        <v>Amherst - 595 Scholles Road</v>
      </c>
      <c r="B12" s="48" t="str">
        <v>NY</v>
      </c>
      <c r="C12" s="36">
        <v>665953</v>
      </c>
      <c r="D12" s="37">
        <v>712004.57</v>
      </c>
      <c r="E12" s="37">
        <f t="shared" si="0"/>
        <v>-46051.569999999949</v>
      </c>
      <c r="F12" s="38">
        <f t="shared" si="3"/>
        <v>-6.4678756205174284E-2</v>
      </c>
      <c r="G12" s="39">
        <v>764414</v>
      </c>
      <c r="H12" s="39">
        <f t="shared" si="1"/>
        <v>-98461</v>
      </c>
      <c r="I12" s="40">
        <f t="shared" si="2"/>
        <v>-0.12880585651230878</v>
      </c>
      <c r="J12" s="61"/>
      <c r="K12" s="61"/>
      <c r="M12" s="60"/>
    </row>
    <row r="13" spans="1:13" ht="47.25">
      <c r="A13" s="53" t="str">
        <v>Lancaster 1 - Gunnville Road</v>
      </c>
      <c r="B13" s="50" t="str">
        <v>NY</v>
      </c>
      <c r="C13" s="43">
        <v>571324</v>
      </c>
      <c r="D13" s="44">
        <v>681059.8</v>
      </c>
      <c r="E13" s="44">
        <f t="shared" si="0"/>
        <v>-109735.80000000005</v>
      </c>
      <c r="F13" s="45">
        <f t="shared" si="3"/>
        <v>-0.16112505832821147</v>
      </c>
      <c r="G13" s="46">
        <v>644288.19999999995</v>
      </c>
      <c r="H13" s="46">
        <f t="shared" si="1"/>
        <v>-72964.199999999953</v>
      </c>
      <c r="I13" s="45">
        <f t="shared" si="2"/>
        <v>-0.11324776707069904</v>
      </c>
      <c r="J13" s="62" t="s">
        <v>62</v>
      </c>
      <c r="K13" s="63" t="s">
        <v>63</v>
      </c>
      <c r="M13" s="60"/>
    </row>
    <row r="14" spans="1:13" ht="45">
      <c r="A14" s="54" t="str">
        <v>Lancaster 2 - Shisler Road</v>
      </c>
      <c r="B14" s="48" t="str">
        <v>NY</v>
      </c>
      <c r="C14" s="36">
        <v>558564</v>
      </c>
      <c r="D14" s="37">
        <v>740013.1</v>
      </c>
      <c r="E14" s="37">
        <f t="shared" si="0"/>
        <v>-181449.09999999998</v>
      </c>
      <c r="F14" s="38">
        <f t="shared" si="3"/>
        <v>-0.24519714583431021</v>
      </c>
      <c r="G14" s="39">
        <v>707412.2</v>
      </c>
      <c r="H14" s="39">
        <f t="shared" si="1"/>
        <v>-148848.19999999995</v>
      </c>
      <c r="I14" s="40">
        <f t="shared" si="2"/>
        <v>-0.21041226034835131</v>
      </c>
      <c r="J14" s="61" t="s">
        <v>64</v>
      </c>
      <c r="K14" s="61" t="s">
        <v>65</v>
      </c>
      <c r="M14" s="60"/>
    </row>
    <row r="15" spans="1:13" ht="31.5">
      <c r="A15" s="53" t="str">
        <v>Fullerton - 200 W Orangethorpe</v>
      </c>
      <c r="B15" s="50" t="str">
        <v>CA</v>
      </c>
      <c r="C15" s="43">
        <v>97998.634999999995</v>
      </c>
      <c r="D15" s="44">
        <v>105532.7</v>
      </c>
      <c r="E15" s="44">
        <f t="shared" si="0"/>
        <v>-7534.0650000000023</v>
      </c>
      <c r="F15" s="45">
        <f t="shared" si="3"/>
        <v>-7.1390810620783909E-2</v>
      </c>
      <c r="G15" s="46">
        <v>111916.4</v>
      </c>
      <c r="H15" s="46">
        <f t="shared" si="1"/>
        <v>-13917.764999999999</v>
      </c>
      <c r="I15" s="45">
        <f t="shared" si="2"/>
        <v>-0.12435858372856883</v>
      </c>
      <c r="J15" s="62" t="s">
        <v>66</v>
      </c>
      <c r="K15" s="63" t="s">
        <v>67</v>
      </c>
      <c r="M15" s="60"/>
    </row>
    <row r="16" spans="1:13" ht="30">
      <c r="A16" s="54" t="str">
        <v>El Paso - 10500 Railroad Drive</v>
      </c>
      <c r="B16" s="48" t="str">
        <v>TX</v>
      </c>
      <c r="C16" s="36">
        <v>105355.125</v>
      </c>
      <c r="D16" s="37">
        <v>126408.7</v>
      </c>
      <c r="E16" s="37">
        <f t="shared" si="0"/>
        <v>-21053.574999999997</v>
      </c>
      <c r="F16" s="38">
        <f t="shared" si="3"/>
        <v>-0.16655162975333182</v>
      </c>
      <c r="G16" s="39">
        <v>133396</v>
      </c>
      <c r="H16" s="39">
        <f t="shared" si="1"/>
        <v>-28040.875</v>
      </c>
      <c r="I16" s="40">
        <f t="shared" si="2"/>
        <v>-0.21020776485052026</v>
      </c>
      <c r="J16" s="61" t="s">
        <v>68</v>
      </c>
      <c r="K16" s="61" t="s">
        <v>69</v>
      </c>
      <c r="M16" s="60"/>
    </row>
    <row r="17" spans="1:13" ht="15.75">
      <c r="A17" s="53" t="str">
        <v>Friona - 900 Millard Ave</v>
      </c>
      <c r="B17" s="50" t="str">
        <v>TX</v>
      </c>
      <c r="C17" s="43">
        <v>109501.6875</v>
      </c>
      <c r="D17" s="44">
        <v>111341.7</v>
      </c>
      <c r="E17" s="44">
        <f t="shared" si="0"/>
        <v>-1840.0124999999971</v>
      </c>
      <c r="F17" s="45">
        <f t="shared" si="3"/>
        <v>-1.6525816473073406E-2</v>
      </c>
      <c r="G17" s="46">
        <v>105918</v>
      </c>
      <c r="H17" s="46">
        <f t="shared" si="1"/>
        <v>3583.6875</v>
      </c>
      <c r="I17" s="45">
        <f t="shared" si="2"/>
        <v>3.3834546535999543E-2</v>
      </c>
      <c r="J17" s="62" t="s">
        <v>70</v>
      </c>
      <c r="K17" s="63" t="s">
        <v>71</v>
      </c>
      <c r="M17" s="60"/>
    </row>
    <row r="18" spans="1:13" ht="1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  <c r="M18" s="60"/>
    </row>
    <row r="19" spans="1:13" ht="1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  <c r="M19" s="60"/>
    </row>
    <row r="20" spans="1:13" ht="1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  <c r="M20" s="60"/>
    </row>
    <row r="21" spans="1:13" ht="1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  <c r="M21" s="60"/>
    </row>
    <row r="22" spans="1:13" ht="1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  <c r="M22" s="60"/>
    </row>
    <row r="23" spans="1:13" ht="1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  <c r="M23" s="60"/>
    </row>
    <row r="24" spans="1:13" ht="1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  <c r="M24" s="60"/>
    </row>
    <row r="25" spans="1:13" ht="1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  <c r="M25" s="60"/>
    </row>
    <row r="26" spans="1:13" ht="1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  <c r="M26" s="60"/>
    </row>
    <row r="27" spans="1:13" ht="1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  <c r="M27" s="60"/>
    </row>
    <row r="28" spans="1:13" ht="1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  <c r="M28" s="60"/>
    </row>
    <row r="29" spans="1:13" ht="1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  <c r="M29" s="60"/>
    </row>
    <row r="30" spans="1:13" ht="1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  <c r="M30" s="60"/>
    </row>
    <row r="31" spans="1:13" ht="1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  <c r="M31" s="60"/>
    </row>
    <row r="32" spans="1:13" ht="1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  <c r="M32" s="60"/>
    </row>
    <row r="33" spans="1:13" ht="1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  <c r="M33" s="60"/>
    </row>
    <row r="34" spans="1:13" ht="1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  <c r="M34" s="60"/>
    </row>
    <row r="35" spans="1:13" ht="1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  <c r="M35" s="60"/>
    </row>
    <row r="36" spans="1:13" ht="1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  <c r="M36" s="60"/>
    </row>
    <row r="37" spans="1:13" ht="1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  <c r="M37" s="60"/>
    </row>
    <row r="38" spans="1:13" ht="1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  <c r="M38" s="60"/>
    </row>
    <row r="39" spans="1:13" ht="1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  <c r="M39" s="60"/>
    </row>
    <row r="40" spans="1:13" ht="1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  <c r="M40" s="60"/>
    </row>
    <row r="41" spans="1:13" ht="1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  <c r="M41" s="60"/>
    </row>
    <row r="42" spans="1:13" ht="1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3" ht="1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3" ht="1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3" ht="1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3" ht="1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3" ht="1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3" ht="1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4"/>
  <sheetViews>
    <sheetView tabSelected="1" workbookViewId="0">
      <pane xSplit="2" ySplit="3" topLeftCell="C4" activePane="bottomRight" state="frozen"/>
      <selection pane="bottomRight" activeCell="Q17" sqref="Q17"/>
      <selection pane="bottomLeft" activeCell="A18" sqref="A18:XFD24"/>
      <selection pane="topRight" activeCell="A18" sqref="A18:XFD24"/>
    </sheetView>
  </sheetViews>
  <sheetFormatPr defaultRowHeight="14.2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0" t="str" cm="1">
        <f t="array" ref="A1">portfolio</f>
        <v>Catalyze</v>
      </c>
      <c r="B1" s="70"/>
      <c r="C1" s="70"/>
      <c r="D1" s="71" t="s">
        <v>72</v>
      </c>
      <c r="E1" s="71"/>
      <c r="F1" s="71"/>
      <c r="G1" s="69" t="s">
        <v>73</v>
      </c>
      <c r="H1" s="69"/>
      <c r="I1" s="69"/>
      <c r="J1" s="4"/>
      <c r="K1" s="4"/>
    </row>
    <row r="2" spans="1:11" ht="19.5" customHeight="1">
      <c r="A2" s="72" t="s">
        <v>2</v>
      </c>
      <c r="B2" s="72"/>
      <c r="C2" s="5">
        <f>SUM(C4:C92)</f>
        <v>3586730.2794104535</v>
      </c>
      <c r="D2" s="5">
        <f>SUM(D4:D92)</f>
        <v>4172026.29</v>
      </c>
      <c r="E2" s="5">
        <f>C2-D2</f>
        <v>-585296.01058954652</v>
      </c>
      <c r="F2" s="6">
        <f>IFERROR(E2/D2, 0)</f>
        <v>-0.14029058541468264</v>
      </c>
      <c r="G2" s="5">
        <f>SUM(G4:G92)</f>
        <v>4897603.03</v>
      </c>
      <c r="H2" s="7">
        <f>C2-G2</f>
        <v>-1310872.7505895467</v>
      </c>
      <c r="I2" s="6">
        <f>IFERROR(H2/G2, 0)</f>
        <v>-0.26765598243872912</v>
      </c>
      <c r="J2" s="1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>
        <v>110443.934375</v>
      </c>
      <c r="D4" s="37">
        <v>110570.8</v>
      </c>
      <c r="E4" s="37">
        <f>IF(AND(ISNUMBER(C4),ISNUMBER(D4)), C4-D4, "")</f>
        <v>-126.86562500000582</v>
      </c>
      <c r="F4" s="38">
        <f>IFERROR(E4/D4, "")</f>
        <v>-1.1473700561088988E-3</v>
      </c>
      <c r="G4" s="39">
        <v>119130.8</v>
      </c>
      <c r="H4" s="39">
        <f>IF(AND(ISNUMBER(C4),ISNUMBER(G4)), C4-G4, "")</f>
        <v>-8686.8656250000058</v>
      </c>
      <c r="I4" s="40">
        <f>IFERROR(H4/G4, "")</f>
        <v>-7.2918721480926887E-2</v>
      </c>
      <c r="J4" s="57" t="s">
        <v>74</v>
      </c>
      <c r="K4" s="57" t="s">
        <v>75</v>
      </c>
    </row>
    <row r="5" spans="1:11" ht="15.75">
      <c r="A5" s="49" t="str">
        <v>Adelanto - 1 Sheep Creek Road</v>
      </c>
      <c r="B5" s="50" t="str">
        <v>CA</v>
      </c>
      <c r="C5" s="43">
        <v>402561</v>
      </c>
      <c r="D5" s="44">
        <v>693821</v>
      </c>
      <c r="E5" s="44">
        <f t="shared" ref="E5:E17" si="0">IF(AND(ISNUMBER(C5),ISNUMBER(D5)), C5-D5, "")</f>
        <v>-291260</v>
      </c>
      <c r="F5" s="45">
        <f>IFERROR(E5/D5, "")</f>
        <v>-0.41979127181218212</v>
      </c>
      <c r="G5" s="64">
        <v>898384</v>
      </c>
      <c r="H5" s="46">
        <f t="shared" ref="H5:H17" si="1">IF(AND(ISNUMBER(C5),ISNUMBER(G5)), C5-G5, "")</f>
        <v>-495823</v>
      </c>
      <c r="I5" s="45">
        <f t="shared" ref="I5:I17" si="2">IFERROR(H5/G5, "")</f>
        <v>-0.55190542128978259</v>
      </c>
      <c r="J5" s="58" t="s">
        <v>76</v>
      </c>
      <c r="K5" s="58" t="s">
        <v>77</v>
      </c>
    </row>
    <row r="6" spans="1:11" ht="15.75">
      <c r="A6" s="51" t="str">
        <v>Blackstone - 83 Federal Street</v>
      </c>
      <c r="B6" s="48" t="str">
        <v>MA</v>
      </c>
      <c r="C6" s="36">
        <v>606024</v>
      </c>
      <c r="D6" s="37">
        <v>680455.2</v>
      </c>
      <c r="E6" s="37">
        <f t="shared" si="0"/>
        <v>-74431.199999999953</v>
      </c>
      <c r="F6" s="38">
        <f t="shared" ref="F6:F17" si="3">IFERROR(E6/D6, "")</f>
        <v>-0.10938442383863031</v>
      </c>
      <c r="G6" s="39">
        <v>770475.3</v>
      </c>
      <c r="H6" s="39">
        <f t="shared" si="1"/>
        <v>-164451.30000000005</v>
      </c>
      <c r="I6" s="40">
        <f t="shared" si="2"/>
        <v>-0.21344136534941488</v>
      </c>
      <c r="J6" s="57"/>
      <c r="K6" s="57"/>
    </row>
    <row r="7" spans="1:11" ht="30.75">
      <c r="A7" s="49" t="str">
        <v>Charlton - 299 Worcester Road</v>
      </c>
      <c r="B7" s="50" t="str">
        <v>MA</v>
      </c>
      <c r="C7" s="43">
        <v>56399</v>
      </c>
      <c r="D7" s="44">
        <v>57742.91</v>
      </c>
      <c r="E7" s="44">
        <f t="shared" si="0"/>
        <v>-1343.9100000000035</v>
      </c>
      <c r="F7" s="45">
        <f t="shared" si="3"/>
        <v>-2.3274026196462967E-2</v>
      </c>
      <c r="G7" s="46">
        <v>70885.53</v>
      </c>
      <c r="H7" s="46">
        <f t="shared" si="1"/>
        <v>-14486.529999999999</v>
      </c>
      <c r="I7" s="45">
        <f t="shared" si="2"/>
        <v>-0.2043651221906643</v>
      </c>
      <c r="J7" s="58" t="s">
        <v>78</v>
      </c>
      <c r="K7" s="59" t="s">
        <v>79</v>
      </c>
    </row>
    <row r="8" spans="1:11" ht="15.75">
      <c r="A8" s="51" t="str">
        <v>Wareham - 8 Thatcher Drive</v>
      </c>
      <c r="B8" s="48" t="str">
        <v>MA</v>
      </c>
      <c r="C8" s="36">
        <v>16925.875</v>
      </c>
      <c r="D8" s="37">
        <v>17111.189999999999</v>
      </c>
      <c r="E8" s="37">
        <f t="shared" si="0"/>
        <v>-185.31499999999869</v>
      </c>
      <c r="F8" s="38">
        <f t="shared" si="3"/>
        <v>-1.0830047471858983E-2</v>
      </c>
      <c r="G8" s="39">
        <v>18394.93</v>
      </c>
      <c r="H8" s="39">
        <f t="shared" si="1"/>
        <v>-1469.0550000000003</v>
      </c>
      <c r="I8" s="40">
        <f t="shared" si="2"/>
        <v>-7.9861951091958511E-2</v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>
        <v>16282.5226917034</v>
      </c>
      <c r="D9" s="44">
        <v>16635.099999999999</v>
      </c>
      <c r="E9" s="44">
        <f t="shared" si="0"/>
        <v>-352.57730829659886</v>
      </c>
      <c r="F9" s="45">
        <f t="shared" si="3"/>
        <v>-2.1194781413793658E-2</v>
      </c>
      <c r="G9" s="46">
        <v>18770.490000000002</v>
      </c>
      <c r="H9" s="46">
        <f t="shared" si="1"/>
        <v>-2487.9673082966019</v>
      </c>
      <c r="I9" s="45">
        <f t="shared" si="2"/>
        <v>-0.13254674269540123</v>
      </c>
      <c r="J9" s="58"/>
      <c r="K9" s="59"/>
    </row>
    <row r="10" spans="1:11" ht="45.75">
      <c r="A10" s="51" t="str">
        <v>Harrison - 130 Union Street</v>
      </c>
      <c r="B10" s="48" t="str">
        <v>NY</v>
      </c>
      <c r="C10" s="36">
        <v>21737.375</v>
      </c>
      <c r="D10" s="37">
        <v>23442.16</v>
      </c>
      <c r="E10" s="37">
        <f t="shared" si="0"/>
        <v>-1704.7849999999999</v>
      </c>
      <c r="F10" s="38">
        <f t="shared" si="3"/>
        <v>-7.2723034054882313E-2</v>
      </c>
      <c r="G10" s="39">
        <v>26207.47</v>
      </c>
      <c r="H10" s="39">
        <f t="shared" si="1"/>
        <v>-4470.0950000000012</v>
      </c>
      <c r="I10" s="40">
        <f t="shared" si="2"/>
        <v>-0.17056568222724289</v>
      </c>
      <c r="J10" s="57" t="s">
        <v>80</v>
      </c>
      <c r="K10" s="57" t="s">
        <v>81</v>
      </c>
    </row>
    <row r="11" spans="1:11" ht="15.75">
      <c r="A11" s="49" t="str">
        <v>Staten Island - Ellis Storage</v>
      </c>
      <c r="B11" s="50" t="str">
        <v>NY</v>
      </c>
      <c r="C11" s="43">
        <v>56581</v>
      </c>
      <c r="D11" s="44">
        <v>60019.33</v>
      </c>
      <c r="E11" s="44">
        <f t="shared" si="0"/>
        <v>-3438.3300000000017</v>
      </c>
      <c r="F11" s="45">
        <f t="shared" si="3"/>
        <v>-5.7287044023983637E-2</v>
      </c>
      <c r="G11" s="46">
        <v>60619.51</v>
      </c>
      <c r="H11" s="46">
        <f t="shared" si="1"/>
        <v>-4038.510000000002</v>
      </c>
      <c r="I11" s="45">
        <f t="shared" si="2"/>
        <v>-6.6620630882697693E-2</v>
      </c>
      <c r="J11" s="58"/>
      <c r="K11" s="59"/>
    </row>
    <row r="12" spans="1:11" ht="30.75">
      <c r="A12" s="51" t="str">
        <v>Amherst - 595 Scholles Road</v>
      </c>
      <c r="B12" s="48" t="str">
        <v>NY</v>
      </c>
      <c r="C12" s="36">
        <v>718270</v>
      </c>
      <c r="D12" s="37">
        <v>768638</v>
      </c>
      <c r="E12" s="37">
        <f t="shared" si="0"/>
        <v>-50368</v>
      </c>
      <c r="F12" s="38">
        <f t="shared" si="3"/>
        <v>-6.5528896567695061E-2</v>
      </c>
      <c r="G12" s="39">
        <v>953051</v>
      </c>
      <c r="H12" s="39">
        <f t="shared" si="1"/>
        <v>-234781</v>
      </c>
      <c r="I12" s="40">
        <f t="shared" si="2"/>
        <v>-0.24634673275616939</v>
      </c>
      <c r="J12" s="57" t="s">
        <v>82</v>
      </c>
      <c r="K12" s="57" t="s">
        <v>83</v>
      </c>
    </row>
    <row r="13" spans="1:11" ht="45.75">
      <c r="A13" s="49" t="str">
        <v>Lancaster 1 - Gunnville Road</v>
      </c>
      <c r="B13" s="50" t="str">
        <v>NY</v>
      </c>
      <c r="C13" s="43">
        <v>557874</v>
      </c>
      <c r="D13" s="44">
        <v>635837.5</v>
      </c>
      <c r="E13" s="44">
        <f t="shared" si="0"/>
        <v>-77963.5</v>
      </c>
      <c r="F13" s="45">
        <f t="shared" si="3"/>
        <v>-0.12261544812943559</v>
      </c>
      <c r="G13" s="46">
        <v>746890.6</v>
      </c>
      <c r="H13" s="46">
        <f t="shared" si="1"/>
        <v>-189016.59999999998</v>
      </c>
      <c r="I13" s="45">
        <f t="shared" si="2"/>
        <v>-0.25307133333851034</v>
      </c>
      <c r="J13" s="58" t="s">
        <v>84</v>
      </c>
      <c r="K13" s="59" t="s">
        <v>85</v>
      </c>
    </row>
    <row r="14" spans="1:11" ht="30.75">
      <c r="A14" s="51" t="str">
        <v>Lancaster 2 - Shisler Road</v>
      </c>
      <c r="B14" s="48" t="str">
        <v>NY</v>
      </c>
      <c r="C14" s="36">
        <v>609258</v>
      </c>
      <c r="D14" s="37">
        <v>678559.1</v>
      </c>
      <c r="E14" s="37">
        <f t="shared" si="0"/>
        <v>-69301.099999999977</v>
      </c>
      <c r="F14" s="38">
        <f t="shared" si="3"/>
        <v>-0.10212979237917519</v>
      </c>
      <c r="G14" s="39">
        <v>820159.4</v>
      </c>
      <c r="H14" s="39">
        <f t="shared" si="1"/>
        <v>-210901.40000000002</v>
      </c>
      <c r="I14" s="40">
        <f t="shared" si="2"/>
        <v>-0.25714684243087382</v>
      </c>
      <c r="J14" s="57" t="s">
        <v>86</v>
      </c>
      <c r="K14" s="57" t="s">
        <v>87</v>
      </c>
    </row>
    <row r="15" spans="1:11" ht="30.75">
      <c r="A15" s="49" t="str">
        <v>Fullerton - 200 W Orangethorpe</v>
      </c>
      <c r="B15" s="50" t="str">
        <v>CA</v>
      </c>
      <c r="C15" s="43">
        <v>118417.19734375</v>
      </c>
      <c r="D15" s="44">
        <v>125423.7</v>
      </c>
      <c r="E15" s="44">
        <f t="shared" si="0"/>
        <v>-7006.5026562499988</v>
      </c>
      <c r="F15" s="45">
        <f t="shared" si="3"/>
        <v>-5.5862669146660472E-2</v>
      </c>
      <c r="G15" s="46">
        <v>121841.4</v>
      </c>
      <c r="H15" s="46">
        <f t="shared" si="1"/>
        <v>-3424.2026562499959</v>
      </c>
      <c r="I15" s="45">
        <f t="shared" si="2"/>
        <v>-2.8103769788019477E-2</v>
      </c>
      <c r="J15" s="58" t="s">
        <v>88</v>
      </c>
      <c r="K15" s="59" t="s">
        <v>89</v>
      </c>
    </row>
    <row r="16" spans="1:11" ht="30.75">
      <c r="A16" s="51" t="str">
        <v>El Paso - 10500 Railroad Drive</v>
      </c>
      <c r="B16" s="48" t="str">
        <v>TX</v>
      </c>
      <c r="C16" s="36">
        <v>160423.625</v>
      </c>
      <c r="D16" s="37">
        <v>160278.5</v>
      </c>
      <c r="E16" s="37">
        <f t="shared" si="0"/>
        <v>145.125</v>
      </c>
      <c r="F16" s="38">
        <f t="shared" si="3"/>
        <v>9.05455192056327E-4</v>
      </c>
      <c r="G16" s="39">
        <v>148074</v>
      </c>
      <c r="H16" s="39">
        <f t="shared" si="1"/>
        <v>12349.625</v>
      </c>
      <c r="I16" s="40">
        <f t="shared" si="2"/>
        <v>8.3401711306508905E-2</v>
      </c>
      <c r="J16" s="57" t="s">
        <v>90</v>
      </c>
      <c r="K16" s="57" t="s">
        <v>91</v>
      </c>
    </row>
    <row r="17" spans="1:11" ht="16.5">
      <c r="A17" s="49" t="str">
        <v>Friona - 900 Millard Ave</v>
      </c>
      <c r="B17" s="50" t="str">
        <v>TX</v>
      </c>
      <c r="C17" s="43">
        <v>135532.75</v>
      </c>
      <c r="D17" s="44">
        <v>143491.79999999999</v>
      </c>
      <c r="E17" s="44">
        <f t="shared" si="0"/>
        <v>-7959.0499999999884</v>
      </c>
      <c r="F17" s="45">
        <f t="shared" si="3"/>
        <v>-5.5466932605208026E-2</v>
      </c>
      <c r="G17" s="46">
        <v>124718.6</v>
      </c>
      <c r="H17" s="46">
        <f t="shared" si="1"/>
        <v>10814.149999999994</v>
      </c>
      <c r="I17" s="45">
        <f t="shared" si="2"/>
        <v>8.6708397945454763E-2</v>
      </c>
      <c r="J17" s="58" t="s">
        <v>92</v>
      </c>
      <c r="K17" s="59" t="s">
        <v>71</v>
      </c>
    </row>
    <row r="18" spans="1:11" ht="1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4"/>
  <sheetViews>
    <sheetView workbookViewId="0">
      <pane xSplit="2" ySplit="3" topLeftCell="C18" activePane="bottomRight" state="frozen"/>
      <selection pane="bottomRight" activeCell="A18" sqref="A18"/>
      <selection pane="bottomLeft" activeCell="A18" sqref="A18:XFD24"/>
      <selection pane="topRight" activeCell="A18" sqref="A18:XFD24"/>
    </sheetView>
  </sheetViews>
  <sheetFormatPr defaultRowHeight="14.2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0" t="str" cm="1">
        <f t="array" ref="A1">portfolio</f>
        <v>Catalyze</v>
      </c>
      <c r="B1" s="70"/>
      <c r="C1" s="70"/>
      <c r="D1" s="71" t="s">
        <v>93</v>
      </c>
      <c r="E1" s="71"/>
      <c r="F1" s="71"/>
      <c r="G1" s="69" t="s">
        <v>94</v>
      </c>
      <c r="H1" s="69"/>
      <c r="I1" s="69"/>
      <c r="J1" s="4"/>
      <c r="K1" s="4"/>
    </row>
    <row r="2" spans="1:11" ht="19.5" customHeight="1">
      <c r="A2" s="72" t="s">
        <v>2</v>
      </c>
      <c r="B2" s="72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Charlton - 299 Worcester Road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Lancaster 1 - Gunnville Road</v>
      </c>
      <c r="B13" s="50" t="str">
        <v>NY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Lancaster 2 - Shisler Road</v>
      </c>
      <c r="B14" s="48" t="str">
        <v>NY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Fullerton - 200 W Orangethorpe</v>
      </c>
      <c r="B15" s="50" t="str">
        <v>CA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Friona - 900 Millard Ave</v>
      </c>
      <c r="B17" s="50" t="str">
        <v>TX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4.2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0" t="str" cm="1">
        <f t="array" ref="A1">portfolio</f>
        <v>Catalyze</v>
      </c>
      <c r="B1" s="70"/>
      <c r="C1" s="70"/>
      <c r="D1" s="71" t="s">
        <v>95</v>
      </c>
      <c r="E1" s="71"/>
      <c r="F1" s="71"/>
      <c r="G1" s="69" t="s">
        <v>96</v>
      </c>
      <c r="H1" s="69"/>
      <c r="I1" s="69"/>
      <c r="J1" s="4"/>
      <c r="K1" s="4"/>
    </row>
    <row r="2" spans="1:11" ht="19.5" customHeight="1">
      <c r="A2" s="72" t="s">
        <v>2</v>
      </c>
      <c r="B2" s="72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Charlton - 299 Worcester Road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Lancaster 1 - Gunnville Road</v>
      </c>
      <c r="B13" s="50" t="str">
        <v>NY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Lancaster 2 - Shisler Road</v>
      </c>
      <c r="B14" s="48" t="str">
        <v>NY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Fullerton - 200 W Orangethorpe</v>
      </c>
      <c r="B15" s="50" t="str">
        <v>CA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Friona - 900 Millard Ave</v>
      </c>
      <c r="B17" s="50" t="str">
        <v>TX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4.2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0" t="str" cm="1">
        <f t="array" ref="A1">portfolio</f>
        <v>Catalyze</v>
      </c>
      <c r="B1" s="70"/>
      <c r="C1" s="70"/>
      <c r="D1" s="71" t="s">
        <v>97</v>
      </c>
      <c r="E1" s="71"/>
      <c r="F1" s="71"/>
      <c r="G1" s="69" t="s">
        <v>98</v>
      </c>
      <c r="H1" s="69"/>
      <c r="I1" s="69"/>
      <c r="J1" s="4"/>
      <c r="K1" s="4"/>
    </row>
    <row r="2" spans="1:11" ht="19.5" customHeight="1">
      <c r="A2" s="72" t="s">
        <v>2</v>
      </c>
      <c r="B2" s="72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Charlton - 299 Worcester Road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Lancaster 1 - Gunnville Road</v>
      </c>
      <c r="B13" s="50" t="str">
        <v>NY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Lancaster 2 - Shisler Road</v>
      </c>
      <c r="B14" s="48" t="str">
        <v>NY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Fullerton - 200 W Orangethorpe</v>
      </c>
      <c r="B15" s="50" t="str">
        <v>CA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Friona - 900 Millard Ave</v>
      </c>
      <c r="B17" s="50" t="str">
        <v>TX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>
      <c r="C334" s="13"/>
      <c r="D334" s="13"/>
      <c r="E334" s="13"/>
      <c r="F334" s="14"/>
      <c r="G334" s="13"/>
      <c r="H334" s="13"/>
      <c r="I334" s="14"/>
      <c r="J334" s="13"/>
      <c r="K334" s="13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92 I4:I9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4.2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0" t="str" cm="1">
        <f t="array" ref="A1">portfolio</f>
        <v>Catalyze</v>
      </c>
      <c r="B1" s="70"/>
      <c r="C1" s="70"/>
      <c r="D1" s="71" t="s">
        <v>99</v>
      </c>
      <c r="E1" s="71"/>
      <c r="F1" s="71"/>
      <c r="G1" s="69" t="s">
        <v>100</v>
      </c>
      <c r="H1" s="69"/>
      <c r="I1" s="69"/>
      <c r="J1" s="4"/>
      <c r="K1" s="4"/>
    </row>
    <row r="2" spans="1:11" ht="19.5" customHeight="1">
      <c r="A2" s="72" t="s">
        <v>2</v>
      </c>
      <c r="B2" s="72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Charlton - 299 Worcester Road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Lancaster 1 - Gunnville Road</v>
      </c>
      <c r="B13" s="50" t="str">
        <v>NY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Lancaster 2 - Shisler Road</v>
      </c>
      <c r="B14" s="48" t="str">
        <v>NY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Fullerton - 200 W Orangethorpe</v>
      </c>
      <c r="B15" s="50" t="str">
        <v>CA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Friona - 900 Millard Ave</v>
      </c>
      <c r="B17" s="50" t="str">
        <v>TX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4.2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0" t="str" cm="1">
        <f t="array" ref="A1">portfolio</f>
        <v>Catalyze</v>
      </c>
      <c r="B1" s="70"/>
      <c r="C1" s="70"/>
      <c r="D1" s="71" t="s">
        <v>101</v>
      </c>
      <c r="E1" s="71"/>
      <c r="F1" s="71"/>
      <c r="G1" s="69" t="s">
        <v>102</v>
      </c>
      <c r="H1" s="69"/>
      <c r="I1" s="69"/>
      <c r="J1" s="4"/>
      <c r="K1" s="4"/>
    </row>
    <row r="2" spans="1:11" ht="19.5" customHeight="1">
      <c r="A2" s="72" t="s">
        <v>2</v>
      </c>
      <c r="B2" s="72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Charlton - 299 Worcester Road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Lancaster 1 - Gunnville Road</v>
      </c>
      <c r="B13" s="50" t="str">
        <v>NY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Lancaster 2 - Shisler Road</v>
      </c>
      <c r="B14" s="48" t="str">
        <v>NY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Fullerton - 200 W Orangethorpe</v>
      </c>
      <c r="B15" s="50" t="str">
        <v>CA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Friona - 900 Millard Ave</v>
      </c>
      <c r="B17" s="50" t="str">
        <v>TX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4.2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0" t="str" cm="1">
        <f t="array" ref="A1">portfolio</f>
        <v>Catalyze</v>
      </c>
      <c r="B1" s="70"/>
      <c r="C1" s="70"/>
      <c r="D1" s="71" t="s">
        <v>103</v>
      </c>
      <c r="E1" s="71"/>
      <c r="F1" s="71"/>
      <c r="G1" s="69" t="s">
        <v>104</v>
      </c>
      <c r="H1" s="69"/>
      <c r="I1" s="69"/>
      <c r="J1" s="4"/>
      <c r="K1" s="4"/>
    </row>
    <row r="2" spans="1:11" ht="19.5" customHeight="1">
      <c r="A2" s="72" t="s">
        <v>2</v>
      </c>
      <c r="B2" s="72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Charlton - 299 Worcester Road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Lancaster 1 - Gunnville Road</v>
      </c>
      <c r="B13" s="50" t="str">
        <v>NY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Lancaster 2 - Shisler Road</v>
      </c>
      <c r="B14" s="48" t="str">
        <v>NY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Fullerton - 200 W Orangethorpe</v>
      </c>
      <c r="B15" s="50" t="str">
        <v>CA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Friona - 900 Millard Ave</v>
      </c>
      <c r="B17" s="50" t="str">
        <v>TX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4.2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0" t="str" cm="1">
        <f t="array" ref="A1">portfolio</f>
        <v>Catalyze</v>
      </c>
      <c r="B1" s="70"/>
      <c r="C1" s="70"/>
      <c r="D1" s="71" t="s">
        <v>105</v>
      </c>
      <c r="E1" s="71"/>
      <c r="F1" s="71"/>
      <c r="G1" s="69" t="s">
        <v>106</v>
      </c>
      <c r="H1" s="69"/>
      <c r="I1" s="69"/>
      <c r="J1" s="4"/>
      <c r="K1" s="4"/>
    </row>
    <row r="2" spans="1:11" ht="19.5" customHeight="1">
      <c r="A2" s="72" t="s">
        <v>2</v>
      </c>
      <c r="B2" s="72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Charlton - 299 Worcester Road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Lancaster 1 - Gunnville Road</v>
      </c>
      <c r="B13" s="50" t="str">
        <v>NY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Lancaster 2 - Shisler Road</v>
      </c>
      <c r="B14" s="48" t="str">
        <v>NY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Fullerton - 200 W Orangethorpe</v>
      </c>
      <c r="B15" s="50" t="str">
        <v>CA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Friona - 900 Millard Ave</v>
      </c>
      <c r="B17" s="50" t="str">
        <v>TX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4.2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0" t="str" cm="1">
        <f t="array" ref="A1">portfolio</f>
        <v>Catalyze</v>
      </c>
      <c r="B1" s="70"/>
      <c r="C1" s="70"/>
      <c r="D1" s="71" t="s">
        <v>107</v>
      </c>
      <c r="E1" s="71"/>
      <c r="F1" s="71"/>
      <c r="G1" s="69" t="s">
        <v>108</v>
      </c>
      <c r="H1" s="69"/>
      <c r="I1" s="69"/>
      <c r="J1" s="4"/>
      <c r="K1" s="4"/>
    </row>
    <row r="2" spans="1:11" ht="19.5" customHeight="1">
      <c r="A2" s="72" t="s">
        <v>2</v>
      </c>
      <c r="B2" s="72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Charlton - 299 Worcester Road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Lancaster 1 - Gunnville Road</v>
      </c>
      <c r="B13" s="50" t="str">
        <v>NY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Lancaster 2 - Shisler Road</v>
      </c>
      <c r="B14" s="48" t="str">
        <v>NY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Fullerton - 200 W Orangethorpe</v>
      </c>
      <c r="B15" s="50" t="str">
        <v>CA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Friona - 900 Millard Ave</v>
      </c>
      <c r="B17" s="50" t="str">
        <v>TX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23"/>
  <sheetViews>
    <sheetView workbookViewId="0">
      <pane ySplit="3" topLeftCell="A4" activePane="bottomLeft" state="frozen"/>
      <selection pane="bottomLeft" activeCell="E29" sqref="E29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109</v>
      </c>
      <c r="B1" t="s">
        <v>110</v>
      </c>
    </row>
    <row r="3" spans="1:12">
      <c r="A3" t="s">
        <v>111</v>
      </c>
      <c r="B3" t="s">
        <v>3</v>
      </c>
      <c r="C3" t="s">
        <v>4</v>
      </c>
      <c r="D3" t="s">
        <v>112</v>
      </c>
      <c r="E3" s="2" t="s">
        <v>113</v>
      </c>
    </row>
    <row r="4" spans="1:12" ht="15">
      <c r="A4" s="26" t="s">
        <v>114</v>
      </c>
      <c r="B4" t="s">
        <v>115</v>
      </c>
      <c r="C4" s="25" t="s">
        <v>116</v>
      </c>
      <c r="D4" s="24" t="s">
        <v>117</v>
      </c>
      <c r="E4" t="s">
        <v>118</v>
      </c>
      <c r="G4" s="3"/>
    </row>
    <row r="5" spans="1:12" ht="15">
      <c r="A5" s="26" t="s">
        <v>119</v>
      </c>
      <c r="B5" t="s">
        <v>120</v>
      </c>
      <c r="C5" s="25" t="s">
        <v>116</v>
      </c>
      <c r="D5" s="24"/>
      <c r="E5" t="s">
        <v>121</v>
      </c>
      <c r="G5" s="3"/>
    </row>
    <row r="6" spans="1:12" ht="15">
      <c r="A6" s="26" t="s">
        <v>122</v>
      </c>
      <c r="B6" t="s">
        <v>123</v>
      </c>
      <c r="C6" s="25" t="s">
        <v>124</v>
      </c>
      <c r="D6" s="24" t="s">
        <v>117</v>
      </c>
      <c r="E6" t="s">
        <v>118</v>
      </c>
      <c r="G6" s="3"/>
    </row>
    <row r="7" spans="1:12" ht="12.75" customHeight="1">
      <c r="A7" s="26" t="s">
        <v>125</v>
      </c>
      <c r="B7" t="s">
        <v>126</v>
      </c>
      <c r="C7" s="25" t="s">
        <v>124</v>
      </c>
      <c r="D7" s="24" t="s">
        <v>117</v>
      </c>
      <c r="E7" t="s">
        <v>118</v>
      </c>
    </row>
    <row r="8" spans="1:12" ht="12.75" customHeight="1">
      <c r="A8" s="26" t="s">
        <v>127</v>
      </c>
      <c r="B8" t="s">
        <v>128</v>
      </c>
      <c r="C8" s="25" t="s">
        <v>124</v>
      </c>
      <c r="D8" s="24" t="s">
        <v>117</v>
      </c>
      <c r="E8" t="s">
        <v>118</v>
      </c>
    </row>
    <row r="9" spans="1:12" ht="12.75" customHeight="1">
      <c r="A9" s="26" t="s">
        <v>129</v>
      </c>
      <c r="B9" t="s">
        <v>130</v>
      </c>
      <c r="C9" s="25" t="s">
        <v>124</v>
      </c>
      <c r="D9" s="24" t="s">
        <v>117</v>
      </c>
      <c r="E9" t="s">
        <v>118</v>
      </c>
    </row>
    <row r="10" spans="1:12" ht="12.75" customHeight="1">
      <c r="A10" s="26" t="s">
        <v>131</v>
      </c>
      <c r="B10" t="s">
        <v>132</v>
      </c>
      <c r="C10" s="25" t="s">
        <v>133</v>
      </c>
      <c r="D10" s="24" t="s">
        <v>117</v>
      </c>
      <c r="E10" t="s">
        <v>118</v>
      </c>
      <c r="K10" s="21"/>
      <c r="L10" s="21"/>
    </row>
    <row r="11" spans="1:12" ht="12.75" customHeight="1">
      <c r="A11" s="26" t="s">
        <v>134</v>
      </c>
      <c r="B11" t="s">
        <v>135</v>
      </c>
      <c r="C11" s="25" t="s">
        <v>133</v>
      </c>
      <c r="D11" s="24" t="s">
        <v>117</v>
      </c>
      <c r="E11" t="s">
        <v>118</v>
      </c>
      <c r="K11" s="21"/>
      <c r="L11" s="21"/>
    </row>
    <row r="12" spans="1:12" ht="12.75" customHeight="1">
      <c r="A12" s="26" t="s">
        <v>136</v>
      </c>
      <c r="B12" t="s">
        <v>137</v>
      </c>
      <c r="C12" s="25" t="s">
        <v>133</v>
      </c>
      <c r="D12" s="24"/>
      <c r="E12" t="s">
        <v>121</v>
      </c>
      <c r="K12" s="21"/>
      <c r="L12" s="21"/>
    </row>
    <row r="13" spans="1:12" ht="12.75" customHeight="1">
      <c r="A13" s="26" t="s">
        <v>138</v>
      </c>
      <c r="B13" t="s">
        <v>138</v>
      </c>
      <c r="C13" s="25" t="s">
        <v>133</v>
      </c>
      <c r="D13" s="24"/>
      <c r="E13" t="s">
        <v>118</v>
      </c>
      <c r="K13" s="21"/>
      <c r="L13" s="21"/>
    </row>
    <row r="14" spans="1:12" ht="12.75" customHeight="1">
      <c r="A14" s="26" t="s">
        <v>139</v>
      </c>
      <c r="B14" t="s">
        <v>139</v>
      </c>
      <c r="C14" s="25" t="s">
        <v>133</v>
      </c>
      <c r="D14" s="24"/>
      <c r="E14" t="s">
        <v>118</v>
      </c>
      <c r="K14" s="21"/>
      <c r="L14" s="21"/>
    </row>
    <row r="15" spans="1:12" ht="12.75" customHeight="1">
      <c r="A15" s="26" t="s">
        <v>140</v>
      </c>
      <c r="B15" t="s">
        <v>141</v>
      </c>
      <c r="C15" s="25" t="s">
        <v>116</v>
      </c>
      <c r="D15" s="24"/>
      <c r="E15" t="s">
        <v>118</v>
      </c>
      <c r="K15" s="21"/>
      <c r="L15" s="21"/>
    </row>
    <row r="16" spans="1:12" ht="12.75" customHeight="1">
      <c r="A16" s="26" t="s">
        <v>142</v>
      </c>
      <c r="B16" t="s">
        <v>143</v>
      </c>
      <c r="C16" s="25" t="s">
        <v>144</v>
      </c>
      <c r="D16" s="24" t="s">
        <v>117</v>
      </c>
      <c r="E16" t="s">
        <v>118</v>
      </c>
      <c r="K16" s="21"/>
      <c r="L16" s="21"/>
    </row>
    <row r="17" spans="1:12" ht="12.75" customHeight="1">
      <c r="A17" s="26" t="s">
        <v>145</v>
      </c>
      <c r="B17" t="s">
        <v>146</v>
      </c>
      <c r="C17" s="25" t="s">
        <v>144</v>
      </c>
      <c r="D17" s="24" t="s">
        <v>117</v>
      </c>
      <c r="E17" t="s">
        <v>118</v>
      </c>
      <c r="K17" s="21"/>
      <c r="L17" s="21"/>
    </row>
    <row r="18" spans="1:12" ht="12.75" customHeight="1">
      <c r="K18" s="21"/>
      <c r="L18" s="21"/>
    </row>
    <row r="19" spans="1:12" ht="12.75" customHeight="1">
      <c r="K19" s="21"/>
      <c r="L19" s="21"/>
    </row>
    <row r="20" spans="1:12" ht="12.75" customHeight="1">
      <c r="K20" s="21"/>
      <c r="L20" s="21"/>
    </row>
    <row r="21" spans="1:12" ht="12.75" customHeight="1">
      <c r="K21" s="21"/>
      <c r="L21" s="21"/>
    </row>
    <row r="22" spans="1:12" ht="12.75" customHeight="1">
      <c r="K22" s="21"/>
      <c r="L22" s="21"/>
    </row>
    <row r="23" spans="1:12" ht="12.75" customHeight="1">
      <c r="K23" s="21"/>
      <c r="L23" s="2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6.xml>��
</file>

<file path=customXml/item17.xml>��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2BC74AAC-D69B-4AF1-9649-B21EF3C1C463}"/>
</file>

<file path=customXml/itemProps2.xml><?xml version="1.0" encoding="utf-8"?>
<ds:datastoreItem xmlns:ds="http://schemas.openxmlformats.org/officeDocument/2006/customXml" ds:itemID="{98A113BB-8B7A-453C-8BD4-8EFC67FC2D3F}"/>
</file>

<file path=customXml/itemProps3.xml><?xml version="1.0" encoding="utf-8"?>
<ds:datastoreItem xmlns:ds="http://schemas.openxmlformats.org/officeDocument/2006/customXml" ds:itemID="{F6B2B1A1-1C4B-4AC9-9A7D-7A102DD1C942}"/>
</file>

<file path=customXml/itemProps4.xml><?xml version="1.0" encoding="utf-8"?>
<ds:datastoreItem xmlns:ds="http://schemas.openxmlformats.org/officeDocument/2006/customXml" ds:itemID="{7946C510-7D04-49D8-9B25-EEC04582A1CA}"/>
</file>

<file path=customXml/itemProps5.xml><?xml version="1.0" encoding="utf-8"?>
<ds:datastoreItem xmlns:ds="http://schemas.openxmlformats.org/officeDocument/2006/customXml" ds:itemID="{F12EFA50-0068-4A8C-85A0-F1B26389EBC3}"/>
</file>

<file path=customXml/itemProps6.xml><?xml version="1.0" encoding="utf-8"?>
<ds:datastoreItem xmlns:ds="http://schemas.openxmlformats.org/officeDocument/2006/customXml" ds:itemID="{E3716282-BFD2-4ED2-BA47-BFA1123827F0}"/>
</file>

<file path=customXml/itemProps7.xml><?xml version="1.0" encoding="utf-8"?>
<ds:datastoreItem xmlns:ds="http://schemas.openxmlformats.org/officeDocument/2006/customXml" ds:itemID="{078388C9-06F9-42F4-B857-EF76B5CAF1FD}"/>
</file>

<file path=customXml/itemProps8.xml><?xml version="1.0" encoding="utf-8"?>
<ds:datastoreItem xmlns:ds="http://schemas.openxmlformats.org/officeDocument/2006/customXml" ds:itemID="{89CF5C07-45EB-4100-9AFB-2C6AF77FA787}"/>
</file>

<file path=customXml/itemProps9.xml><?xml version="1.0" encoding="utf-8"?>
<ds:datastoreItem xmlns:ds="http://schemas.openxmlformats.org/officeDocument/2006/customXml" ds:itemID="{66B09F59-6532-46F8-924A-9A02417E070D}"/>
</file>

<file path=customXml/itemProps10.xml><?xml version="1.0" encoding="utf-8"?>
<ds:datastoreItem xmlns:ds="http://schemas.openxmlformats.org/officeDocument/2006/customXml" ds:itemID="{1954BBA4-0359-438C-B0EC-A756015F7C02}"/>
</file>

<file path=customXml/itemProps11.xml><?xml version="1.0" encoding="utf-8"?>
<ds:datastoreItem xmlns:ds="http://schemas.openxmlformats.org/officeDocument/2006/customXml" ds:itemID="{E20E8303-6A67-485C-B6F4-303542CC295C}"/>
</file>

<file path=customXml/itemProps12.xml><?xml version="1.0" encoding="utf-8"?>
<ds:datastoreItem xmlns:ds="http://schemas.openxmlformats.org/officeDocument/2006/customXml" ds:itemID="{3AEAA9D8-2182-46BA-A58E-96C72DDA1C54}"/>
</file>

<file path=customXml/itemProps13.xml><?xml version="1.0" encoding="utf-8"?>
<ds:datastoreItem xmlns:ds="http://schemas.openxmlformats.org/officeDocument/2006/customXml" ds:itemID="{CB52044A-5C0B-44A2-99D0-C1C315EC302D}"/>
</file>

<file path=customXml/itemProps14.xml><?xml version="1.0" encoding="utf-8"?>
<ds:datastoreItem xmlns:ds="http://schemas.openxmlformats.org/officeDocument/2006/customXml" ds:itemID="{0389C43E-394D-44C0-87DC-4780FCFCFB40}"/>
</file>

<file path=customXml/itemProps15.xml><?xml version="1.0" encoding="utf-8"?>
<ds:datastoreItem xmlns:ds="http://schemas.openxmlformats.org/officeDocument/2006/customXml" ds:itemID="{8D732231-4216-4543-A665-18A2886B0EB7}"/>
</file>

<file path=customXml/itemProps16.xml><?xml version="1.0" encoding="utf-8"?>
<ds:datastoreItem xmlns:ds="http://schemas.openxmlformats.org/officeDocument/2006/customXml" ds:itemID="{14966E4F-347B-477B-B74C-9DAC05405806}"/>
</file>

<file path=customXml/itemProps17.xml><?xml version="1.0" encoding="utf-8"?>
<ds:datastoreItem xmlns:ds="http://schemas.openxmlformats.org/officeDocument/2006/customXml" ds:itemID="{BE26B669-A686-459C-A5E9-FEC3409C4C81}"/>
</file>

<file path=customXml/itemProps18.xml><?xml version="1.0" encoding="utf-8"?>
<ds:datastoreItem xmlns:ds="http://schemas.openxmlformats.org/officeDocument/2006/customXml" ds:itemID="{C0BCDC1E-6052-4E48-9BAF-94A40814E7C2}"/>
</file>

<file path=customXml/itemProps19.xml><?xml version="1.0" encoding="utf-8"?>
<ds:datastoreItem xmlns:ds="http://schemas.openxmlformats.org/officeDocument/2006/customXml" ds:itemID="{D3A7101F-9A85-4235-8B03-415370C100B2}"/>
</file>

<file path=customXml/itemProps20.xml><?xml version="1.0" encoding="utf-8"?>
<ds:datastoreItem xmlns:ds="http://schemas.openxmlformats.org/officeDocument/2006/customXml" ds:itemID="{BF5C6359-7763-4C37-8EAF-2BC4698CB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Charishma Pillala [Libsys]</cp:lastModifiedBy>
  <cp:revision/>
  <dcterms:created xsi:type="dcterms:W3CDTF">2021-01-01T16:39:53Z</dcterms:created>
  <dcterms:modified xsi:type="dcterms:W3CDTF">2024-06-06T05:15:31Z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