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28C09669-FB81-49F8-846E-98784E226586}" xr6:coauthVersionLast="47" xr6:coauthVersionMax="47" xr10:uidLastSave="{1A4F3F6E-9A98-4330-93CB-C34C9DD89754}"/>
  <bookViews>
    <workbookView xWindow="-108" yWindow="-108" windowWidth="23256" windowHeight="12456" tabRatio="866" firstSheet="2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C4" i="34" l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<sst xmlns="http://schemas.openxmlformats.org/spreadsheetml/2006/main" count="240" uniqueCount="54">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</sst>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C4" sqref="C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25635.80749511718</v>
      </c>
      <c r="D2" s="6">
        <f>SUM(D4:D60)</f>
        <v>0</v>
      </c>
      <c r="E2" s="6">
        <f>C2-D2</f>
        <v>25635.80749511718</v>
      </c>
      <c r="F2" s="7">
        <f>IFERROR(E2/D2, 0)</f>
        <v>0</v>
      </c>
      <c r="G2" s="6">
        <f>SUM(G4:G60)</f>
        <v>16191.391</v>
      </c>
      <c r="H2" s="8">
        <f>C2-G2</f>
        <v>9444.4164951171806</v>
      </c>
      <c r="I2" s="7">
        <f>IFERROR(H2/G2, 0)</f>
        <v>0.5832986489621047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25635.80749511718</v>
      </c>
      <c r="D4" s="14">
        <f>SUM('1st Qtr'!D4, '2nd Qtr'!D4, '3rd Qtr'!D4, '4th Qtr'!D4)</f>
        <v>0</v>
      </c>
      <c r="E4" s="14">
        <f>IF(AND(ISNUMBER(C4),ISNUMBER(D4)), C4-D4, "")</f>
        <v>25635.80749511718</v>
      </c>
      <c r="F4" s="15" t="str">
        <f>IFERROR(E4/D4, "")</f>
        <v/>
      </c>
      <c r="G4" s="16">
        <f>SUM('1st Qtr'!G4,'2nd Qtr'!G4,'3rd Qtr'!G4,'4th Qtr'!G4)</f>
        <v>16191.391</v>
      </c>
      <c r="H4" s="16">
        <f>SUM('1st Qtr'!H4, '2nd Qtr'!H4, '3rd Qtr'!H4, '4th Qtr'!H4)</f>
        <v>9444.4164951171806</v>
      </c>
      <c r="I4" s="17">
        <f>IFERROR(H4/G4, "")</f>
        <v>0.5832986489621047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15705.26751708984</v>
      </c>
      <c r="D2" s="6">
        <f>SUM(D4:D68)</f>
        <v>0</v>
      </c>
      <c r="E2" s="6">
        <f>C2-D2</f>
        <v>15705.26751708984</v>
      </c>
      <c r="F2" s="7">
        <f>IFERROR(E2/D2, 0)</f>
        <v>0</v>
      </c>
      <c r="G2" s="6">
        <f>SUM(G4:G68)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15705.26751708984</v>
      </c>
      <c r="D4" s="14">
        <f>SUM(Jan!D4, Feb!D4, Mar!D4)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SUM(Jan!G4, Feb!G4, Mar!G4)</f>
        <v>10485</v>
      </c>
      <c r="H4" s="16">
        <f>SUM(Jan!H4, Feb!H4, Mar!H4)</f>
        <v>5220.2675170898401</v>
      </c>
      <c r="I4" s="17">
        <f>IFERROR(H4/G4, "")</f>
        <v>0.4978795915202518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9930.5399780273401</v>
      </c>
      <c r="D2" s="6">
        <f>SUM(D4:D90)</f>
        <v>0</v>
      </c>
      <c r="E2" s="6">
        <f>C2-D2</f>
        <v>9930.5399780273401</v>
      </c>
      <c r="F2" s="7">
        <f>IFERROR(E2/D2, 0)</f>
        <v>0</v>
      </c>
      <c r="G2" s="6">
        <f>SUM(G4:G90)</f>
        <v>5706.3909999999996</v>
      </c>
      <c r="H2" s="8">
        <f>C2-G2</f>
        <v>4224.1489780273405</v>
      </c>
      <c r="I2" s="7">
        <f>IFERROR(H2/G2, 0)</f>
        <v>0.74024878036351538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9930.5399780273401</v>
      </c>
      <c r="D4" s="14">
        <f>SUM(Apr!D4, May!D4, Jun!D4)</f>
        <v>0</v>
      </c>
      <c r="E4" s="14">
        <f>IF(AND(ISNUMBER(C4),ISNUMBER(D4)), C4-D4, "")</f>
        <v>9930.5399780273401</v>
      </c>
      <c r="F4" s="15" t="str">
        <f>IFERROR(E4/D4, "")</f>
        <v/>
      </c>
      <c r="G4" s="16">
        <f>SUM(Apr!G4+May!G4+Jun!G4)</f>
        <v>5706.3909999999996</v>
      </c>
      <c r="H4" s="16">
        <f>SUM(Apr!H4, May!H4, Jun!H4)</f>
        <v>4224.1489780273405</v>
      </c>
      <c r="I4" s="17">
        <f>IFERROR(H4/G4, "")</f>
        <v>0.74024878036351538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8" sqref="E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E21" sqref="E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6" sqref="G6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7942</v>
      </c>
      <c r="D2" s="6">
        <f>SUM(D4:D90)</f>
        <v>0</v>
      </c>
      <c r="E2" s="6">
        <f>C2-D2</f>
        <v>7942</v>
      </c>
      <c r="F2" s="7">
        <f>IFERROR(E2/D2, 0)</f>
        <v>0</v>
      </c>
      <c r="G2" s="6">
        <f>SUM(G4:G90)</f>
        <v>4953</v>
      </c>
      <c r="H2" s="8">
        <f>C2-G2</f>
        <v>2989</v>
      </c>
      <c r="I2" s="7">
        <f>IFERROR(H2/G2, 0)</f>
        <v>0.60347264284272162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7942</v>
      </c>
      <c r="D4" s="14">
        <v>0</v>
      </c>
      <c r="E4" s="14">
        <f>IF(AND(ISNUMBER(C4),ISNUMBER(D4)), C4-D4, "")</f>
        <v>7942</v>
      </c>
      <c r="F4" s="15" t="str">
        <f>IFERROR(E4/D4, "")</f>
        <v/>
      </c>
      <c r="G4" s="16">
        <v>4953</v>
      </c>
      <c r="H4" s="16">
        <f>IF(AND(ISNUMBER(C4),ISNUMBER(G4)), C4-G4, "")</f>
        <v>2989</v>
      </c>
      <c r="I4" s="17">
        <f>IFERROR(H4/G4, "")</f>
        <v>0.60347264284272162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workbookViewId="0">
      <pane ySplit="2" topLeftCell="A3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9930.5399780273401</v>
      </c>
      <c r="D2" s="6">
        <f>SUM(D4:D90)</f>
        <v>0</v>
      </c>
      <c r="E2" s="6">
        <f>C2-D2</f>
        <v>9930.5399780273401</v>
      </c>
      <c r="F2" s="7">
        <f>IFERROR(E2/D2, 0)</f>
        <v>0</v>
      </c>
      <c r="G2" s="6">
        <f>SUM(G4:G90)</f>
        <v>5706.3909999999996</v>
      </c>
      <c r="H2" s="8">
        <f>C2-G2</f>
        <v>4224.1489780273405</v>
      </c>
      <c r="I2" s="7">
        <f>IFERROR(H2/G2, 0)</f>
        <v>0.74024878036351538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9930.5399780273401</v>
      </c>
      <c r="D4" s="14">
        <v>0</v>
      </c>
      <c r="E4" s="14">
        <f>IF(AND(ISNUMBER(C4),ISNUMBER(D4)), C4-D4, "")</f>
        <v>9930.5399780273401</v>
      </c>
      <c r="F4" s="15" t="str">
        <f>IFERROR(E4/D4, "")</f>
        <v/>
      </c>
      <c r="G4" s="16">
        <v>5706.3909999999996</v>
      </c>
      <c r="H4" s="16">
        <f>IF(AND(ISNUMBER(C4),ISNUMBER(G4)), C4-G4, "")</f>
        <v>4224.1489780273405</v>
      </c>
      <c r="I4" s="17">
        <f>IFERROR(H4/G4, "")</f>
        <v>0.74024878036351538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 [AGS]</cp:lastModifiedBy>
  <cp:revision/>
  <dcterms:created xsi:type="dcterms:W3CDTF">2021-01-01T16:39:53Z</dcterms:created>
  <dcterms:modified xsi:type="dcterms:W3CDTF">2024-05-14T08:47:21Z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