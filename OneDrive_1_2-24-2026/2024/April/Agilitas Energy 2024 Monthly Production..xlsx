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ly reports\"/>
    </mc:Choice>
  </mc:AlternateContent>
  <xr:revisionPtr revIDLastSave="25" documentId="13_ncr:1_{38A14A13-5741-4897-96EB-E34535E83579}" xr6:coauthVersionLast="47" xr6:coauthVersionMax="47" xr10:uidLastSave="{E1B1D3BF-8E28-4F98-8962-DEC500C40C89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5" i="18"/>
  <c r="G6" i="18"/>
  <c r="G7" i="18"/>
  <c r="G8" i="18"/>
  <c r="E4" i="4"/>
  <c r="E4" i="72"/>
  <c r="F4" i="72" s="1"/>
  <c r="E5" i="72"/>
  <c r="E6" i="72"/>
  <c r="E7" i="72"/>
  <c r="F7" i="72" s="1"/>
  <c r="E8" i="72"/>
  <c r="F8" i="72" s="1"/>
  <c r="F5" i="72"/>
  <c r="F6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6" i="34" s="1"/>
  <c r="G7" i="1"/>
  <c r="G7" i="34" s="1"/>
  <c r="G8" i="1"/>
  <c r="G8" i="34" s="1"/>
  <c r="G5" i="1"/>
  <c r="G5" i="34" s="1"/>
  <c r="G4" i="1"/>
  <c r="G4" i="34" s="1"/>
  <c r="D8" i="34"/>
  <c r="D7" i="34"/>
  <c r="D6" i="34"/>
  <c r="D5" i="34"/>
  <c r="C8" i="34"/>
  <c r="C7" i="34"/>
  <c r="C6" i="34"/>
  <c r="C5" i="34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E5" i="30" s="1"/>
  <c r="F5" i="30" s="1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8" i="18"/>
  <c r="F8" i="18" s="1"/>
  <c r="E6" i="30"/>
  <c r="F6" i="30" s="1"/>
  <c r="H7" i="29"/>
  <c r="I7" i="29" s="1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D2" i="34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<sst xmlns="http://schemas.openxmlformats.org/spreadsheetml/2006/main" count="282" uniqueCount="83">
  <si>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</si>
  <si>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</si>
  <si>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</si>
  <si>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</si>
  <si>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</si>
  <si>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</si>
  <si>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</si>
  <si>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</si>
  <si>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</si>
  <si>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</si>
  <si>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</si>
  <si>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</si>
  <si>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</si>
  <si>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</si>
  <si>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</si>
  <si>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</si>
  <si>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</si>
  <si>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</si>
  <si>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</si>
  <si>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</si>
  <si>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</si>
  <si>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</si>
  <si>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</si>
  <si>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was offline on 01/07 at 10:00AM and later back online on 01/08 at 15:30.
2. Site tripped offline on 01/22 at 10:15AM and later back online on 01/25 at 15:45.
3. Inverters 28, 29 &amp; 39 are offline from 01/26 and later back online on 01/31 at 14:45.</t>
  </si>
  <si>
    <t>1. SR080001
2. SR080133
3. SR080577</t>
  </si>
  <si>
    <t>1. Site was offline on 01/13 from 06:15 to 11:30 .
2. Site was offline from 01/14  at 11:00 to 01/15 at 15:00.</t>
  </si>
  <si>
    <t>1. SR080191
2. SR080222</t>
  </si>
  <si>
    <t>February Actual v. Expected</t>
  </si>
  <si>
    <t>February Actual v. Forecasted</t>
  </si>
  <si>
    <t>1. Site relay tripped open at 15:00 on 02/29 and back online next day.</t>
  </si>
  <si>
    <t>1. SR081475</t>
  </si>
  <si>
    <t>1. Inverter 11 tripped offline twice this month and self-resolved itself each time.</t>
  </si>
  <si>
    <t>1. SR081067</t>
  </si>
  <si>
    <t>March Actual v. Expected</t>
  </si>
  <si>
    <t>March Actual v. Forecasted</t>
  </si>
  <si>
    <t>1. inverters 13, 14, 15 are offline on 03/22 and back online at 16:15 on 03/22.
2. Inverters 7, 8, and 9 tripped offline on an AC disconnected fault at 16:15 on 03/25 and back online at 16:30 on 03/25.</t>
  </si>
  <si>
    <t>1. SR082379
2. SR082723</t>
  </si>
  <si>
    <t>1. Site has not started on 03/24 and has started on 10:45am on 03/24.</t>
  </si>
  <si>
    <t>1. SR082614</t>
  </si>
  <si>
    <t>1. Inverter 11 tripped offline at 10:00am on 03/21 and back online on 03/22
2.  Inverter 22 is offline on 03/24 and back online on 03/25.</t>
  </si>
  <si>
    <t>1. SR082351
2. SR082691</t>
  </si>
  <si>
    <t>April Actual v. Expected</t>
  </si>
  <si>
    <t>April Actual v. Forecasted</t>
  </si>
  <si>
    <t>1. Inverter 1 tripped offline on 04/28 at 07:00 and back online on 04/29 at 07:00 and again tripped offline at 14:00 on 04/29 and back online on 04/30, again inverter tripped offline at 18:00 on 04/30</t>
  </si>
  <si>
    <t>1. SR083899</t>
  </si>
  <si>
    <t>1. Inverter 12 tripped offline on 04/02 at 01:35 PM and back online on 04/03 at 12:00 PM.
2. Site tripped offline on 04/04 at 09:15 and back online on 04/06 at 08:20 AM. Inverters 11 and 22 are offline after site re-energized and back online on 04/07.</t>
  </si>
  <si>
    <t>1. SR083024
2. SR083071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</si>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</sst>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35" fillId="4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H26" sqref="H26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SUM(C4:C80)</f>
        <v>4160583.6172722308</v>
      </c>
      <c r="D2" s="5">
        <f>SUM(D4:D80)</f>
        <v>3529083.5580000002</v>
      </c>
      <c r="E2" s="5">
        <f>C2-D2</f>
        <v>631500.0592722306</v>
      </c>
      <c r="F2" s="6">
        <f>IFERROR(E2/D2, 0)</f>
        <v>0.17894165691846467</v>
      </c>
      <c r="G2" s="5">
        <f>SUM(G4:G80)</f>
        <v>2493202.83</v>
      </c>
      <c r="H2" s="7">
        <f>C2-G2</f>
        <v>1667380.7872722307</v>
      </c>
      <c r="I2" s="6">
        <f>IFERROR(H2/G2, 0)</f>
        <v>0.66877061393044812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51" t="str" cm="1">
        <f t="array" ref="A4:A8">Sites[Site]</f>
        <v>Rowley - Central Street Solar</v>
      </c>
      <c r="B4" s="31" t="str" cm="1">
        <f t="array" ref="B4:B8">Sites[State]</f>
        <v>MA</v>
      </c>
      <c r="C4" s="23">
        <f>SUM('1st Qtr'!C4, '2nd Qtr'!C4, '3rd Qtr'!C4, '4th Qtr'!C4)</f>
        <v>236405.63860556507</v>
      </c>
      <c r="D4" s="12">
        <f>SUM('1st Qtr'!D4, '2nd Qtr'!D4, '3rd Qtr'!D4, '4th Qtr'!D4)</f>
        <v>245377.01699999999</v>
      </c>
      <c r="E4" s="12">
        <f>IF(AND(ISNUMBER(C4),ISNUMBER(D4)), C4-D4, "")</f>
        <v>-8971.378394434927</v>
      </c>
      <c r="F4" s="13">
        <f>IFERROR(E4/D4, "")</f>
        <v>-3.6561608353218047E-2</v>
      </c>
      <c r="G4" s="14">
        <f>SUM('1st Qtr'!G4, '2nd Qtr'!G4, '3rd Qtr'!G4, '4th Qtr'!G4)</f>
        <v>245653.47</v>
      </c>
      <c r="H4" s="14">
        <f>SUM('1st Qtr'!H4, '2nd Qtr'!H4, '3rd Qtr'!H4, '4th Qtr'!H4)</f>
        <v>-9247.8313944348993</v>
      </c>
      <c r="I4" s="15">
        <f>IFERROR(H4/G4, "")</f>
        <v>-3.7645840681326009E-2</v>
      </c>
    </row>
    <row r="5" spans="1:9" ht="15.75">
      <c r="A5" s="52" t="str">
        <v>Auburn - Leicester Street Solar</v>
      </c>
      <c r="B5" s="29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SUM('1st Qtr'!G5, '2nd Qtr'!G5, '3rd Qtr'!G5, '4th Qtr'!G5)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53" t="str">
        <v>Rochester - Old Middleboro</v>
      </c>
      <c r="B6" s="27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SUM('1st Qtr'!G6, '2nd Qtr'!G6, '3rd Qtr'!G6, '4th Qtr'!G6)</f>
        <v>2247549.36</v>
      </c>
      <c r="H6" s="14">
        <f>SUM(Jan!H6, Feb!H6, Mar!H6)</f>
        <v>585028.85200000007</v>
      </c>
      <c r="I6" s="15">
        <f t="shared" ref="I6:I8" si="2">IFERROR(H6/G6, "")</f>
        <v>0.26029633093352844</v>
      </c>
    </row>
    <row r="7" spans="1:9" ht="15.75">
      <c r="A7" s="52" t="str">
        <v>Dover - Littleworth Road</v>
      </c>
      <c r="B7" s="29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SUM('1st Qtr'!G7, '2nd Qtr'!G7, '3rd Qtr'!G7, '4th Qtr'!G7)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53" t="str">
        <v>Milton - Landfill</v>
      </c>
      <c r="B8" s="27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SUM('1st Qtr'!G8, '2nd Qtr'!G8, '3rd Qtr'!G8, '4th Qtr'!G8)</f>
        <v>0</v>
      </c>
      <c r="H8" s="14">
        <f>SUM(Jan!H8, Feb!H8, Mar!H8)</f>
        <v>231101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K10" sqref="K10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SUM(C4:C80)</f>
        <v>4081355.2196509624</v>
      </c>
      <c r="D2" s="5">
        <f>SUM(D4:D80)</f>
        <v>3449243.358</v>
      </c>
      <c r="E2" s="5">
        <f>C2-D2</f>
        <v>632111.86165096238</v>
      </c>
      <c r="F2" s="6">
        <f>IFERROR(E2/D2, 0)</f>
        <v>0.18326102163388217</v>
      </c>
      <c r="G2" s="5">
        <f>SUM(G4:G80)</f>
        <v>1712996.49</v>
      </c>
      <c r="H2" s="7">
        <f>C2-G2</f>
        <v>2368358.7296509622</v>
      </c>
      <c r="I2" s="6">
        <f>IFERROR(H2/G2, 0)</f>
        <v>1.3825823599037044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SUM(Jan!C4, Feb!C4, Mar!C4)</f>
        <v>157177.24098429648</v>
      </c>
      <c r="D4" s="12">
        <f>SUM(Jan!D4, Feb!D4, Mar!D4)</f>
        <v>165536.81700000001</v>
      </c>
      <c r="E4" s="12">
        <f>IF(AND(ISNUMBER(C4),ISNUMBER(D4)), C4-D4, "")</f>
        <v>-8359.5760157035256</v>
      </c>
      <c r="F4" s="13">
        <f>IFERROR(E4/D4, "")</f>
        <v>-5.0499799181855265E-2</v>
      </c>
      <c r="G4" s="14">
        <f>SUM(Jan!G4, Feb!G4, Mar!G4)</f>
        <v>163392.03</v>
      </c>
      <c r="H4" s="14">
        <f>SUM(Jan!H4, Feb!H4, Mar!H4)</f>
        <v>-6214.7890157034926</v>
      </c>
      <c r="I4" s="15">
        <f>IFERROR(H4/G4, "")</f>
        <v>-3.8036059749692153E-2</v>
      </c>
    </row>
    <row r="5" spans="1:9" ht="15.75">
      <c r="A5" s="49" t="str">
        <v>Auburn - Leicester Street Solar</v>
      </c>
      <c r="B5" s="10" t="str">
        <v>MA</v>
      </c>
      <c r="C5" s="11">
        <f>SUM(Jan!C5, Feb!C5, Mar!C5)</f>
        <v>1481682.666666666</v>
      </c>
      <c r="D5" s="17">
        <f>SUM(Jan!D5, Feb!D5, Mar!D5)</f>
        <v>1323328.5870000001</v>
      </c>
      <c r="E5" s="17">
        <f t="shared" ref="E5:E8" si="0">IF(AND(ISNUMBER(C5),ISNUMBER(D5)), C5-D5, "")</f>
        <v>158354.07966666599</v>
      </c>
      <c r="F5" s="18">
        <f>IFERROR(E5/D5, "")</f>
        <v>0.11966346168464204</v>
      </c>
      <c r="G5" s="19">
        <f>SUM(Jan!G5, Feb!G5, Mar!G5)</f>
        <v>0</v>
      </c>
      <c r="H5" s="19">
        <f>SUM(Jan!H5, Feb!H5, Mar!H5)</f>
        <v>1481682.666666666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SUM(Jan!C6, Feb!C6, Mar!C6)</f>
        <v>2134633.3119999999</v>
      </c>
      <c r="D6" s="12">
        <f>SUM(Jan!D6, Feb!D6, Mar!D6)</f>
        <v>1960377.9539999999</v>
      </c>
      <c r="E6" s="12">
        <f t="shared" si="0"/>
        <v>174255.35800000001</v>
      </c>
      <c r="F6" s="13">
        <f t="shared" ref="F6:F8" si="1">IFERROR(E6/D6, "")</f>
        <v>8.888865417224541E-2</v>
      </c>
      <c r="G6" s="14">
        <f>SUM(Jan!G6, Feb!G6, Mar!G6)</f>
        <v>1549604.46</v>
      </c>
      <c r="H6" s="14">
        <f>SUM(Jan!H6, Feb!H6, Mar!H6)</f>
        <v>585028.85200000007</v>
      </c>
      <c r="I6" s="15">
        <f t="shared" ref="I6:I8" si="2">IFERROR(H6/G6, "")</f>
        <v>0.37753431091699369</v>
      </c>
    </row>
    <row r="7" spans="1:9" ht="15.75">
      <c r="A7" s="49" t="str">
        <v>Dover - Littleworth Road</v>
      </c>
      <c r="B7" s="10" t="str">
        <v>NH</v>
      </c>
      <c r="C7" s="11">
        <f>SUM(Jan!C7, Feb!C7, Mar!C7)</f>
        <v>76761</v>
      </c>
      <c r="D7" s="17">
        <f>SUM(Jan!D7, Feb!D7, Mar!D7)</f>
        <v>0</v>
      </c>
      <c r="E7" s="17">
        <f t="shared" si="0"/>
        <v>76761</v>
      </c>
      <c r="F7" s="18" t="str">
        <f t="shared" si="1"/>
        <v/>
      </c>
      <c r="G7" s="19">
        <f>SUM(Jan!G7, Feb!G7, Mar!G7)</f>
        <v>0</v>
      </c>
      <c r="H7" s="19">
        <f>SUM(Jan!H7, Feb!H7, Mar!H7)</f>
        <v>76761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SUM(Jan!C8, Feb!C8, Mar!C8)</f>
        <v>231101</v>
      </c>
      <c r="D8" s="12">
        <f>SUM(Jan!D8, Feb!D8, Mar!D8)</f>
        <v>0</v>
      </c>
      <c r="E8" s="12">
        <f t="shared" si="0"/>
        <v>231101</v>
      </c>
      <c r="F8" s="13" t="str">
        <f t="shared" si="1"/>
        <v/>
      </c>
      <c r="G8" s="14">
        <f>SUM(Jan!G8, Feb!G8, Mar!G8)</f>
        <v>0</v>
      </c>
      <c r="H8" s="14">
        <f>SUM(Jan!H8, Feb!H8, Mar!H8)</f>
        <v>231101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5" sqref="G5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SUM(Apr!C4, May!C4, Jun!C4)</f>
        <v>79228.397621268596</v>
      </c>
      <c r="D4" s="12">
        <f>SUM(Apr!D4, May!D4, Jun!D4)</f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f>SUM(Apr!G4+May!G4+Jun!G4)</f>
        <v>82261.440000000002</v>
      </c>
      <c r="H4" s="14">
        <f>SUM(Apr!H4, May!H4, Jun!H4)</f>
        <v>-3033.0423787314066</v>
      </c>
      <c r="I4" s="15">
        <f>IFERROR(H4/G4, "")</f>
        <v>-3.6870766895539475E-2</v>
      </c>
    </row>
    <row r="5" spans="1:9" ht="15.75">
      <c r="A5" s="49" t="str">
        <v>Auburn - Leicester Street Solar</v>
      </c>
      <c r="B5" s="10" t="str">
        <v>MA</v>
      </c>
      <c r="C5" s="11">
        <f>SUM(Apr!C5, May!C5, Jun!C5)</f>
        <v>806444</v>
      </c>
      <c r="D5" s="17">
        <f>SUM(Apr!D5, May!D5, Jun!D5)</f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f>SUM(Apr!G5+May!G5+Jun!G5)</f>
        <v>0</v>
      </c>
      <c r="H5" s="19">
        <f>SUM(Apr!H5, May!H5, Jun!H5)</f>
        <v>806444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SUM(Apr!C6, May!C6, Jun!C6)</f>
        <v>1051496.22748868</v>
      </c>
      <c r="D6" s="12">
        <f>SUM(Apr!D6, May!D6, Jun!D6)</f>
        <v>887126.7</v>
      </c>
      <c r="E6" s="12">
        <f t="shared" si="0"/>
        <v>164369.52748868009</v>
      </c>
      <c r="F6" s="13">
        <f t="shared" ref="F6:F8" si="1">IFERROR(E6/D6, "")</f>
        <v>0.1852830350937246</v>
      </c>
      <c r="G6" s="14">
        <f>SUM(Apr!G6+May!G6+Jun!G6)</f>
        <v>697944.9</v>
      </c>
      <c r="H6" s="14">
        <f>SUM(Apr!H6, May!H6, Jun!H6)</f>
        <v>353551.32748868002</v>
      </c>
      <c r="I6" s="15">
        <f t="shared" ref="I6:I8" si="2">IFERROR(H6/G6, "")</f>
        <v>0.50656051428799032</v>
      </c>
    </row>
    <row r="7" spans="1:9" ht="15.75">
      <c r="A7" s="49" t="str">
        <v>Dover - Littleworth Road</v>
      </c>
      <c r="B7" s="10" t="str">
        <v>NH</v>
      </c>
      <c r="C7" s="11">
        <f>SUM(Apr!C7, May!C7, Jun!C7)</f>
        <v>39653</v>
      </c>
      <c r="D7" s="17">
        <f>SUM(Apr!D7, May!D7, Jun!D7)</f>
        <v>0</v>
      </c>
      <c r="E7" s="17">
        <f t="shared" si="0"/>
        <v>39653</v>
      </c>
      <c r="F7" s="18" t="str">
        <f t="shared" si="1"/>
        <v/>
      </c>
      <c r="G7" s="19">
        <f>SUM(Apr!G7+May!G7+Jun!G7)</f>
        <v>0</v>
      </c>
      <c r="H7" s="19">
        <f>SUM(Apr!H7, May!H7, Jun!H7)</f>
        <v>39653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SUM(Apr!C8, May!C8, Jun!C8)</f>
        <v>110082</v>
      </c>
      <c r="D8" s="12">
        <f>SUM(Apr!D8, May!D8, Jun!D8)</f>
        <v>0</v>
      </c>
      <c r="E8" s="12">
        <f t="shared" si="0"/>
        <v>110082</v>
      </c>
      <c r="F8" s="13" t="str">
        <f t="shared" si="1"/>
        <v/>
      </c>
      <c r="G8" s="14">
        <f>SUM(Apr!G8+May!G8+Jun!G8)</f>
        <v>0</v>
      </c>
      <c r="H8" s="14">
        <f>SUM(Apr!H8, May!H8, Jun!H8)</f>
        <v>110082</v>
      </c>
      <c r="I8" s="15" t="str">
        <f t="shared" si="2"/>
        <v/>
      </c>
    </row>
    <row r="9" spans="1:9">
      <c r="A9" s="20"/>
      <c r="B9" s="20"/>
      <c r="C9" s="20"/>
      <c r="D9" s="20"/>
      <c r="E9" s="20"/>
      <c r="F9" s="20"/>
      <c r="G9" s="20"/>
      <c r="H9" s="20"/>
      <c r="I9" s="20"/>
    </row>
    <row r="10" spans="1:9">
      <c r="A10" s="20"/>
      <c r="B10" s="20"/>
      <c r="C10" s="20"/>
      <c r="D10" s="20"/>
      <c r="E10" s="20"/>
      <c r="F10" s="20"/>
      <c r="G10" s="20"/>
      <c r="H10" s="20"/>
      <c r="I10" s="20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SUM(Jul!H5, Aug!H5, Sep!H5)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SUM(Jul!H6, Aug!H6, Sep!H6)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9"/>
      <c r="H7" s="19">
        <f>SUM(Jul!H7, Aug!H7, Sep!H7)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/>
      <c r="H8" s="14">
        <f>SUM(Jul!H8, Aug!H8, Sep!H8)</f>
        <v>0</v>
      </c>
      <c r="I8" s="15" t="str">
        <f t="shared" si="2"/>
        <v/>
      </c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5.75">
      <c r="A11" s="16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Agilitas Energy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75">
      <c r="A4" s="48" t="str" cm="1">
        <f t="array" ref="A4:A8">Sites[Site]</f>
        <v>Rowley - Central Street Solar</v>
      </c>
      <c r="B4" s="9" t="str" cm="1">
        <f t="array" ref="B4:B8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>
      <c r="A5" s="49" t="str">
        <v>Auburn - Leicester Street Solar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:E8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5.75">
      <c r="A6" s="48" t="str">
        <v>Rochester - Old Middleboro</v>
      </c>
      <c r="B6" s="9" t="str">
        <v>MA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8" si="1">IFERROR(E6/D6, "")</f>
        <v/>
      </c>
      <c r="G6" s="14"/>
      <c r="H6" s="14">
        <f>SUM(Oct!H6, Nov!H6, Dec!H6)</f>
        <v>0</v>
      </c>
      <c r="I6" s="15" t="str">
        <f t="shared" ref="I6:I8" si="2">IFERROR(H6/G6, "")</f>
        <v/>
      </c>
    </row>
    <row r="7" spans="1:9" ht="15.75">
      <c r="A7" s="49" t="str">
        <v>Dover - Littleworth Road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9"/>
      <c r="H7" s="19">
        <f>SUM(Oct!H7, Nov!H7, Dec!H7)</f>
        <v>0</v>
      </c>
      <c r="I7" s="18" t="str">
        <f t="shared" si="2"/>
        <v/>
      </c>
    </row>
    <row r="8" spans="1:9" ht="15.75">
      <c r="A8" s="48" t="str">
        <v>Milton - Landfill</v>
      </c>
      <c r="B8" s="9" t="str">
        <v>NH</v>
      </c>
      <c r="C8" s="23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/>
      <c r="H8" s="14">
        <f>SUM(Oct!H8, Nov!H8, Dec!H8)</f>
        <v>0</v>
      </c>
      <c r="I8" s="15" t="str">
        <f t="shared" si="2"/>
        <v/>
      </c>
    </row>
    <row r="9" spans="1:9" ht="15">
      <c r="A9" s="20"/>
      <c r="B9" s="10"/>
      <c r="C9" s="45"/>
      <c r="D9" s="17"/>
      <c r="E9" s="17"/>
      <c r="F9" s="18"/>
      <c r="G9" s="19"/>
      <c r="H9" s="19"/>
      <c r="I9" s="18"/>
    </row>
    <row r="10" spans="1:9" ht="15">
      <c r="A10" s="20"/>
      <c r="B10" s="10"/>
      <c r="C10" s="45"/>
      <c r="D10" s="17"/>
      <c r="E10" s="17"/>
      <c r="F10" s="18"/>
      <c r="G10" s="19"/>
      <c r="H10" s="19"/>
      <c r="I10" s="18"/>
    </row>
    <row r="11" spans="1:9">
      <c r="A11" s="20"/>
      <c r="B11" s="20"/>
      <c r="C11" s="20"/>
      <c r="D11" s="20"/>
      <c r="E11" s="20"/>
      <c r="F11" s="20"/>
      <c r="G11" s="20"/>
      <c r="H11" s="20"/>
      <c r="I11" s="20"/>
    </row>
    <row r="12" spans="1:9">
      <c r="A12" s="20"/>
      <c r="B12" s="20"/>
      <c r="C12" s="20"/>
      <c r="D12" s="20"/>
      <c r="E12" s="20"/>
      <c r="F12" s="20"/>
      <c r="G12" s="20"/>
      <c r="H12" s="20"/>
      <c r="I12" s="20"/>
    </row>
    <row r="13" spans="1:9">
      <c r="A13" s="20"/>
      <c r="B13" s="20"/>
      <c r="C13" s="20"/>
      <c r="D13" s="20"/>
      <c r="E13" s="20"/>
      <c r="F13" s="21"/>
      <c r="G13" s="20"/>
      <c r="H13" s="20"/>
      <c r="I13" s="21"/>
    </row>
    <row r="14" spans="1:9">
      <c r="A14" s="20"/>
      <c r="B14" s="20"/>
      <c r="C14" s="20"/>
      <c r="D14" s="20"/>
      <c r="E14" s="20"/>
      <c r="F14" s="21"/>
      <c r="G14" s="20"/>
      <c r="H14" s="20"/>
      <c r="I14" s="21"/>
    </row>
    <row r="15" spans="1:9">
      <c r="A15" s="20"/>
      <c r="B15" s="20"/>
      <c r="C15" s="20"/>
      <c r="D15" s="20"/>
      <c r="E15" s="20"/>
      <c r="F15" s="21"/>
      <c r="G15" s="20"/>
      <c r="H15" s="20"/>
      <c r="I15" s="21"/>
    </row>
    <row r="16" spans="1:9">
      <c r="A16" s="20"/>
      <c r="B16" s="20"/>
      <c r="C16" s="20"/>
      <c r="D16" s="20"/>
      <c r="E16" s="20"/>
      <c r="F16" s="21"/>
      <c r="G16" s="20"/>
      <c r="H16" s="20"/>
      <c r="I16" s="21"/>
    </row>
    <row r="17" spans="1:9">
      <c r="A17" s="20"/>
      <c r="B17" s="20"/>
      <c r="C17" s="20"/>
      <c r="D17" s="20"/>
      <c r="E17" s="20"/>
      <c r="F17" s="21"/>
      <c r="G17" s="20"/>
      <c r="H17" s="20"/>
      <c r="I17" s="21"/>
    </row>
    <row r="18" spans="1:9">
      <c r="A18" s="20"/>
      <c r="B18" s="20"/>
      <c r="C18" s="20"/>
      <c r="D18" s="20"/>
      <c r="E18" s="20"/>
      <c r="F18" s="21"/>
      <c r="G18" s="20"/>
      <c r="H18" s="20"/>
      <c r="I18" s="21"/>
    </row>
    <row r="19" spans="1:9">
      <c r="A19" s="20"/>
      <c r="B19" s="20"/>
      <c r="C19" s="20"/>
      <c r="D19" s="20"/>
      <c r="E19" s="20"/>
      <c r="F19" s="21"/>
      <c r="G19" s="20"/>
      <c r="H19" s="20"/>
      <c r="I19" s="21"/>
    </row>
    <row r="20" spans="1:9">
      <c r="A20" s="20"/>
      <c r="B20" s="20"/>
      <c r="C20" s="20"/>
      <c r="D20" s="20"/>
      <c r="E20" s="20"/>
      <c r="F20" s="21"/>
      <c r="G20" s="20"/>
      <c r="H20" s="20"/>
      <c r="I20" s="21"/>
    </row>
    <row r="21" spans="1:9">
      <c r="A21" s="20"/>
      <c r="B21" s="20"/>
      <c r="C21" s="20"/>
      <c r="D21" s="20"/>
      <c r="E21" s="20"/>
      <c r="F21" s="21"/>
      <c r="G21" s="20"/>
      <c r="H21" s="20"/>
      <c r="I21" s="21"/>
    </row>
    <row r="22" spans="1:9">
      <c r="A22" s="20"/>
      <c r="B22" s="20"/>
      <c r="C22" s="20"/>
      <c r="D22" s="20"/>
      <c r="E22" s="20"/>
      <c r="F22" s="21"/>
      <c r="G22" s="20"/>
      <c r="H22" s="20"/>
      <c r="I22" s="21"/>
    </row>
    <row r="23" spans="1:9">
      <c r="A23" s="20"/>
      <c r="B23" s="20"/>
      <c r="C23" s="20"/>
      <c r="D23" s="20"/>
      <c r="E23" s="20"/>
      <c r="F23" s="21"/>
      <c r="G23" s="20"/>
      <c r="H23" s="20"/>
      <c r="I23" s="21"/>
    </row>
    <row r="24" spans="1:9">
      <c r="A24" s="20"/>
      <c r="B24" s="20"/>
      <c r="C24" s="20"/>
      <c r="D24" s="20"/>
      <c r="E24" s="20"/>
      <c r="F24" s="21"/>
      <c r="G24" s="20"/>
      <c r="H24" s="20"/>
      <c r="I24" s="21"/>
    </row>
    <row r="25" spans="1:9">
      <c r="A25" s="20"/>
      <c r="B25" s="20"/>
      <c r="C25" s="20"/>
      <c r="D25" s="20"/>
      <c r="E25" s="20"/>
      <c r="F25" s="21"/>
      <c r="G25" s="20"/>
      <c r="H25" s="20"/>
      <c r="I25" s="21"/>
    </row>
    <row r="26" spans="1:9">
      <c r="A26" s="20"/>
      <c r="B26" s="20"/>
      <c r="C26" s="20"/>
      <c r="D26" s="20"/>
      <c r="E26" s="20"/>
      <c r="F26" s="21"/>
      <c r="G26" s="20"/>
      <c r="H26" s="20"/>
      <c r="I26" s="21"/>
    </row>
    <row r="27" spans="1:9">
      <c r="A27" s="20"/>
      <c r="B27" s="20"/>
      <c r="C27" s="20"/>
      <c r="D27" s="20"/>
      <c r="E27" s="20"/>
      <c r="F27" s="21"/>
      <c r="G27" s="20"/>
      <c r="H27" s="20"/>
      <c r="I27" s="21"/>
    </row>
    <row r="28" spans="1:9">
      <c r="A28" s="20"/>
      <c r="B28" s="20"/>
      <c r="C28" s="20"/>
      <c r="D28" s="20"/>
      <c r="E28" s="20"/>
      <c r="F28" s="21"/>
      <c r="G28" s="20"/>
      <c r="H28" s="20"/>
      <c r="I28" s="21"/>
    </row>
    <row r="29" spans="1:9">
      <c r="A29" s="20"/>
      <c r="B29" s="20"/>
      <c r="C29" s="20"/>
      <c r="D29" s="20"/>
      <c r="E29" s="20"/>
      <c r="F29" s="21"/>
      <c r="G29" s="20"/>
      <c r="H29" s="20"/>
      <c r="I29" s="21"/>
    </row>
    <row r="30" spans="1:9">
      <c r="A30" s="20"/>
      <c r="B30" s="20"/>
      <c r="C30" s="20"/>
      <c r="D30" s="20"/>
      <c r="E30" s="20"/>
      <c r="F30" s="21"/>
      <c r="G30" s="20"/>
      <c r="H30" s="20"/>
      <c r="I30" s="21"/>
    </row>
    <row r="31" spans="1:9">
      <c r="A31" s="20"/>
      <c r="B31" s="20"/>
      <c r="C31" s="20"/>
      <c r="D31" s="20"/>
      <c r="E31" s="20"/>
      <c r="F31" s="21"/>
      <c r="G31" s="20"/>
      <c r="H31" s="20"/>
      <c r="I31" s="21"/>
    </row>
    <row r="32" spans="1:9">
      <c r="A32" s="20"/>
      <c r="B32" s="20"/>
      <c r="C32" s="20"/>
      <c r="D32" s="20"/>
      <c r="E32" s="20"/>
      <c r="F32" s="21"/>
      <c r="G32" s="20"/>
      <c r="H32" s="20"/>
      <c r="I32" s="21"/>
    </row>
    <row r="33" spans="1:9">
      <c r="A33" s="20"/>
      <c r="B33" s="20"/>
      <c r="C33" s="20"/>
      <c r="D33" s="20"/>
      <c r="E33" s="20"/>
      <c r="F33" s="21"/>
      <c r="G33" s="20"/>
      <c r="H33" s="20"/>
      <c r="I33" s="21"/>
    </row>
    <row r="34" spans="1:9">
      <c r="A34" s="20"/>
      <c r="B34" s="20"/>
      <c r="C34" s="20"/>
      <c r="D34" s="20"/>
      <c r="E34" s="20"/>
      <c r="F34" s="21"/>
      <c r="G34" s="20"/>
      <c r="H34" s="20"/>
      <c r="I34" s="21"/>
    </row>
    <row r="35" spans="1:9">
      <c r="A35" s="20"/>
      <c r="B35" s="20"/>
      <c r="C35" s="20"/>
      <c r="D35" s="20"/>
      <c r="E35" s="20"/>
      <c r="F35" s="21"/>
      <c r="G35" s="20"/>
      <c r="H35" s="20"/>
      <c r="I35" s="21"/>
    </row>
    <row r="36" spans="1:9">
      <c r="A36" s="20"/>
      <c r="B36" s="20"/>
      <c r="C36" s="20"/>
      <c r="D36" s="20"/>
      <c r="E36" s="20"/>
      <c r="F36" s="21"/>
      <c r="G36" s="20"/>
      <c r="H36" s="20"/>
      <c r="I36" s="21"/>
    </row>
    <row r="37" spans="1:9">
      <c r="A37" s="20"/>
      <c r="B37" s="20"/>
      <c r="C37" s="20"/>
      <c r="D37" s="20"/>
      <c r="E37" s="20"/>
      <c r="F37" s="21"/>
      <c r="G37" s="20"/>
      <c r="H37" s="20"/>
      <c r="I37" s="21"/>
    </row>
    <row r="38" spans="1:9">
      <c r="A38" s="20"/>
      <c r="B38" s="20"/>
      <c r="C38" s="20"/>
      <c r="D38" s="20"/>
      <c r="E38" s="20"/>
      <c r="F38" s="21"/>
      <c r="G38" s="20"/>
      <c r="H38" s="20"/>
      <c r="I38" s="21"/>
    </row>
    <row r="39" spans="1:9">
      <c r="A39" s="20"/>
      <c r="B39" s="20"/>
      <c r="C39" s="20"/>
      <c r="D39" s="20"/>
      <c r="E39" s="20"/>
      <c r="F39" s="21"/>
      <c r="G39" s="20"/>
      <c r="H39" s="20"/>
      <c r="I39" s="21"/>
    </row>
    <row r="40" spans="1:9">
      <c r="A40" s="20"/>
      <c r="B40" s="20"/>
      <c r="C40" s="20"/>
      <c r="D40" s="20"/>
      <c r="E40" s="20"/>
      <c r="F40" s="21"/>
      <c r="G40" s="20"/>
      <c r="H40" s="20"/>
      <c r="I40" s="21"/>
    </row>
    <row r="41" spans="1:9">
      <c r="A41" s="20"/>
      <c r="B41" s="20"/>
      <c r="C41" s="20"/>
      <c r="D41" s="20"/>
      <c r="E41" s="20"/>
      <c r="F41" s="21"/>
      <c r="G41" s="20"/>
      <c r="H41" s="20"/>
      <c r="I41" s="21"/>
    </row>
    <row r="42" spans="1:9">
      <c r="A42" s="20"/>
      <c r="B42" s="20"/>
      <c r="C42" s="20"/>
      <c r="D42" s="20"/>
      <c r="E42" s="20"/>
      <c r="F42" s="21"/>
      <c r="G42" s="20"/>
      <c r="H42" s="20"/>
      <c r="I42" s="21"/>
    </row>
    <row r="43" spans="1:9">
      <c r="A43" s="20"/>
      <c r="B43" s="20"/>
      <c r="C43" s="20"/>
      <c r="D43" s="20"/>
      <c r="E43" s="20"/>
      <c r="F43" s="21"/>
      <c r="G43" s="20"/>
      <c r="H43" s="20"/>
      <c r="I43" s="21"/>
    </row>
    <row r="44" spans="1:9">
      <c r="A44" s="20"/>
      <c r="B44" s="20"/>
      <c r="C44" s="20"/>
      <c r="D44" s="20"/>
      <c r="E44" s="20"/>
      <c r="F44" s="21"/>
      <c r="G44" s="20"/>
      <c r="H44" s="20"/>
      <c r="I44" s="21"/>
    </row>
    <row r="45" spans="1:9">
      <c r="A45" s="20"/>
      <c r="B45" s="20"/>
      <c r="C45" s="20"/>
      <c r="D45" s="20"/>
      <c r="E45" s="20"/>
      <c r="F45" s="21"/>
      <c r="G45" s="20"/>
      <c r="H45" s="20"/>
      <c r="I45" s="21"/>
    </row>
    <row r="46" spans="1:9">
      <c r="A46" s="20"/>
      <c r="B46" s="20"/>
      <c r="C46" s="20"/>
      <c r="D46" s="20"/>
      <c r="E46" s="20"/>
      <c r="F46" s="21"/>
      <c r="G46" s="20"/>
      <c r="H46" s="20"/>
      <c r="I46" s="21"/>
    </row>
    <row r="47" spans="1:9">
      <c r="A47" s="20"/>
      <c r="B47" s="20"/>
      <c r="C47" s="20"/>
      <c r="D47" s="20"/>
      <c r="E47" s="20"/>
      <c r="F47" s="21"/>
      <c r="G47" s="20"/>
      <c r="H47" s="20"/>
      <c r="I47" s="21"/>
    </row>
    <row r="48" spans="1:9">
      <c r="A48" s="20"/>
      <c r="B48" s="20"/>
      <c r="C48" s="20"/>
      <c r="D48" s="20"/>
      <c r="E48" s="20"/>
      <c r="F48" s="21"/>
      <c r="G48" s="20"/>
      <c r="H48" s="20"/>
      <c r="I48" s="21"/>
    </row>
    <row r="49" spans="1:9">
      <c r="A49" s="20"/>
      <c r="B49" s="20"/>
      <c r="C49" s="20"/>
      <c r="D49" s="20"/>
      <c r="E49" s="20"/>
      <c r="F49" s="21"/>
      <c r="G49" s="20"/>
      <c r="H49" s="20"/>
      <c r="I49" s="21"/>
    </row>
    <row r="50" spans="1:9">
      <c r="A50" s="20"/>
      <c r="B50" s="20"/>
      <c r="C50" s="20"/>
      <c r="D50" s="20"/>
      <c r="E50" s="20"/>
      <c r="F50" s="21"/>
      <c r="G50" s="20"/>
      <c r="H50" s="20"/>
      <c r="I50" s="21"/>
    </row>
    <row r="51" spans="1:9">
      <c r="A51" s="20"/>
      <c r="B51" s="20"/>
      <c r="C51" s="20"/>
      <c r="D51" s="20"/>
      <c r="E51" s="20"/>
      <c r="F51" s="21"/>
      <c r="G51" s="20"/>
      <c r="H51" s="20"/>
      <c r="I51" s="21"/>
    </row>
    <row r="52" spans="1:9">
      <c r="A52" s="20"/>
      <c r="B52" s="20"/>
      <c r="C52" s="20"/>
      <c r="D52" s="20"/>
      <c r="E52" s="20"/>
      <c r="F52" s="21"/>
      <c r="G52" s="20"/>
      <c r="H52" s="20"/>
      <c r="I52" s="21"/>
    </row>
    <row r="53" spans="1:9">
      <c r="A53" s="20"/>
      <c r="B53" s="20"/>
      <c r="C53" s="20"/>
      <c r="D53" s="20"/>
      <c r="E53" s="20"/>
      <c r="F53" s="21"/>
      <c r="G53" s="20"/>
      <c r="H53" s="20"/>
      <c r="I53" s="21"/>
    </row>
    <row r="54" spans="1:9">
      <c r="A54" s="20"/>
      <c r="B54" s="20"/>
      <c r="C54" s="20"/>
      <c r="D54" s="20"/>
      <c r="E54" s="20"/>
      <c r="F54" s="21"/>
      <c r="G54" s="20"/>
      <c r="H54" s="20"/>
      <c r="I54" s="21"/>
    </row>
    <row r="55" spans="1:9">
      <c r="A55" s="20"/>
      <c r="B55" s="20"/>
      <c r="C55" s="20"/>
      <c r="D55" s="20"/>
      <c r="E55" s="20"/>
      <c r="F55" s="21"/>
      <c r="G55" s="20"/>
      <c r="H55" s="20"/>
      <c r="I55" s="21"/>
    </row>
    <row r="56" spans="1:9">
      <c r="A56" s="20"/>
      <c r="B56" s="20"/>
      <c r="C56" s="20"/>
      <c r="D56" s="20"/>
      <c r="E56" s="20"/>
      <c r="F56" s="21"/>
      <c r="G56" s="20"/>
      <c r="H56" s="20"/>
      <c r="I56" s="21"/>
    </row>
    <row r="57" spans="1:9">
      <c r="A57" s="20"/>
      <c r="B57" s="20"/>
      <c r="C57" s="20"/>
      <c r="D57" s="20"/>
      <c r="E57" s="20"/>
      <c r="F57" s="21"/>
      <c r="G57" s="20"/>
      <c r="H57" s="20"/>
      <c r="I57" s="21"/>
    </row>
    <row r="58" spans="1:9">
      <c r="A58" s="20"/>
      <c r="B58" s="20"/>
      <c r="C58" s="20"/>
      <c r="D58" s="20"/>
      <c r="E58" s="20"/>
      <c r="F58" s="21"/>
      <c r="G58" s="20"/>
      <c r="H58" s="20"/>
      <c r="I58" s="21"/>
    </row>
    <row r="59" spans="1:9">
      <c r="A59" s="20"/>
      <c r="B59" s="20"/>
      <c r="C59" s="20"/>
      <c r="D59" s="20"/>
      <c r="E59" s="20"/>
      <c r="F59" s="21"/>
      <c r="G59" s="20"/>
      <c r="H59" s="20"/>
      <c r="I59" s="21"/>
    </row>
    <row r="60" spans="1:9">
      <c r="A60" s="20"/>
      <c r="B60" s="20"/>
      <c r="C60" s="20"/>
      <c r="D60" s="20"/>
      <c r="E60" s="20"/>
      <c r="F60" s="21"/>
      <c r="G60" s="20"/>
      <c r="H60" s="20"/>
      <c r="I60" s="21"/>
    </row>
    <row r="61" spans="1:9">
      <c r="A61" s="20"/>
      <c r="B61" s="20"/>
      <c r="C61" s="20"/>
      <c r="D61" s="20"/>
      <c r="E61" s="20"/>
      <c r="F61" s="21"/>
      <c r="G61" s="20"/>
      <c r="H61" s="20"/>
      <c r="I61" s="21"/>
    </row>
    <row r="62" spans="1:9">
      <c r="A62" s="20"/>
      <c r="B62" s="20"/>
      <c r="C62" s="20"/>
      <c r="D62" s="20"/>
      <c r="E62" s="20"/>
      <c r="F62" s="21"/>
      <c r="G62" s="20"/>
      <c r="H62" s="20"/>
      <c r="I62" s="21"/>
    </row>
    <row r="63" spans="1:9">
      <c r="A63" s="20"/>
      <c r="B63" s="20"/>
      <c r="C63" s="20"/>
      <c r="D63" s="20"/>
      <c r="E63" s="20"/>
      <c r="F63" s="21"/>
      <c r="G63" s="20"/>
      <c r="H63" s="20"/>
      <c r="I63" s="21"/>
    </row>
    <row r="64" spans="1:9">
      <c r="A64" s="20"/>
      <c r="B64" s="20"/>
      <c r="C64" s="20"/>
      <c r="D64" s="20"/>
      <c r="E64" s="20"/>
      <c r="F64" s="21"/>
      <c r="G64" s="20"/>
      <c r="H64" s="20"/>
      <c r="I64" s="21"/>
    </row>
    <row r="65" spans="1:9">
      <c r="A65" s="20"/>
      <c r="B65" s="20"/>
      <c r="C65" s="20"/>
      <c r="D65" s="20"/>
      <c r="E65" s="20"/>
      <c r="F65" s="21"/>
      <c r="G65" s="20"/>
      <c r="H65" s="20"/>
      <c r="I65" s="21"/>
    </row>
    <row r="66" spans="1:9">
      <c r="A66" s="20"/>
      <c r="B66" s="20"/>
      <c r="C66" s="20"/>
      <c r="D66" s="20"/>
      <c r="E66" s="20"/>
      <c r="F66" s="21"/>
      <c r="G66" s="20"/>
      <c r="H66" s="20"/>
      <c r="I66" s="21"/>
    </row>
    <row r="67" spans="1:9">
      <c r="A67" s="20"/>
      <c r="B67" s="20"/>
      <c r="C67" s="20"/>
      <c r="D67" s="20"/>
      <c r="E67" s="20"/>
      <c r="F67" s="21"/>
      <c r="G67" s="20"/>
      <c r="H67" s="20"/>
      <c r="I67" s="21"/>
    </row>
    <row r="68" spans="1:9">
      <c r="A68" s="20"/>
      <c r="B68" s="20"/>
      <c r="C68" s="20"/>
      <c r="D68" s="20"/>
      <c r="E68" s="20"/>
      <c r="F68" s="21"/>
      <c r="G68" s="20"/>
      <c r="H68" s="20"/>
      <c r="I68" s="21"/>
    </row>
    <row r="69" spans="1:9">
      <c r="A69" s="20"/>
      <c r="B69" s="20"/>
      <c r="C69" s="20"/>
      <c r="D69" s="20"/>
      <c r="E69" s="20"/>
      <c r="F69" s="21"/>
      <c r="G69" s="20"/>
      <c r="H69" s="20"/>
      <c r="I69" s="21"/>
    </row>
    <row r="70" spans="1:9">
      <c r="A70" s="20"/>
      <c r="B70" s="20"/>
      <c r="C70" s="20"/>
      <c r="D70" s="20"/>
      <c r="E70" s="20"/>
      <c r="F70" s="21"/>
      <c r="G70" s="20"/>
      <c r="H70" s="20"/>
      <c r="I70" s="21"/>
    </row>
    <row r="71" spans="1:9">
      <c r="A71" s="20"/>
      <c r="B71" s="20"/>
      <c r="C71" s="20"/>
      <c r="D71" s="20"/>
      <c r="E71" s="20"/>
      <c r="F71" s="21"/>
      <c r="G71" s="20"/>
      <c r="H71" s="20"/>
      <c r="I71" s="21"/>
    </row>
    <row r="72" spans="1:9">
      <c r="A72" s="20"/>
      <c r="B72" s="20"/>
      <c r="C72" s="20"/>
      <c r="D72" s="20"/>
      <c r="E72" s="20"/>
      <c r="F72" s="21"/>
      <c r="G72" s="20"/>
      <c r="H72" s="20"/>
      <c r="I72" s="21"/>
    </row>
    <row r="73" spans="1:9">
      <c r="A73" s="20"/>
      <c r="B73" s="20"/>
      <c r="C73" s="20"/>
      <c r="D73" s="20"/>
      <c r="E73" s="20"/>
      <c r="F73" s="21"/>
      <c r="G73" s="20"/>
      <c r="H73" s="20"/>
      <c r="I73" s="21"/>
    </row>
    <row r="74" spans="1:9">
      <c r="A74" s="20"/>
      <c r="B74" s="20"/>
      <c r="C74" s="20"/>
      <c r="D74" s="20"/>
      <c r="E74" s="20"/>
      <c r="F74" s="21"/>
      <c r="G74" s="20"/>
      <c r="H74" s="20"/>
      <c r="I74" s="21"/>
    </row>
    <row r="75" spans="1:9">
      <c r="A75" s="20"/>
      <c r="B75" s="20"/>
      <c r="C75" s="20"/>
      <c r="D75" s="20"/>
      <c r="E75" s="20"/>
      <c r="F75" s="21"/>
      <c r="G75" s="20"/>
      <c r="H75" s="20"/>
      <c r="I75" s="21"/>
    </row>
    <row r="76" spans="1:9">
      <c r="A76" s="20"/>
      <c r="B76" s="20"/>
      <c r="C76" s="20"/>
      <c r="D76" s="20"/>
      <c r="E76" s="20"/>
      <c r="F76" s="21"/>
      <c r="G76" s="20"/>
      <c r="H76" s="20"/>
      <c r="I76" s="21"/>
    </row>
    <row r="77" spans="1:9">
      <c r="A77" s="20"/>
      <c r="B77" s="20"/>
      <c r="C77" s="20"/>
      <c r="D77" s="20"/>
      <c r="E77" s="20"/>
      <c r="F77" s="21"/>
      <c r="G77" s="20"/>
      <c r="H77" s="20"/>
      <c r="I77" s="21"/>
    </row>
    <row r="78" spans="1:9">
      <c r="A78" s="20"/>
      <c r="B78" s="20"/>
      <c r="C78" s="20"/>
      <c r="D78" s="20"/>
      <c r="E78" s="20"/>
      <c r="F78" s="21"/>
      <c r="G78" s="20"/>
      <c r="H78" s="20"/>
      <c r="I78" s="21"/>
    </row>
    <row r="79" spans="1:9">
      <c r="A79" s="20"/>
      <c r="B79" s="20"/>
      <c r="C79" s="20"/>
      <c r="D79" s="20"/>
      <c r="E79" s="20"/>
      <c r="F79" s="21"/>
      <c r="G79" s="20"/>
      <c r="H79" s="20"/>
      <c r="I79" s="21"/>
    </row>
    <row r="80" spans="1:9">
      <c r="A80" s="20"/>
      <c r="B80" s="20"/>
      <c r="C80" s="20"/>
      <c r="D80" s="20"/>
      <c r="E80" s="20"/>
      <c r="F80" s="21"/>
      <c r="G80" s="20"/>
      <c r="H80" s="20"/>
      <c r="I80" s="21"/>
    </row>
    <row r="81" spans="1:9">
      <c r="A81" s="20"/>
      <c r="B81" s="20"/>
      <c r="C81" s="20"/>
      <c r="D81" s="20"/>
      <c r="E81" s="20"/>
      <c r="F81" s="21"/>
      <c r="G81" s="20"/>
      <c r="H81" s="20"/>
      <c r="I81" s="21"/>
    </row>
    <row r="82" spans="1:9">
      <c r="A82" s="20"/>
      <c r="B82" s="20"/>
      <c r="C82" s="20"/>
      <c r="D82" s="20"/>
      <c r="E82" s="20"/>
      <c r="F82" s="21"/>
      <c r="G82" s="20"/>
      <c r="H82" s="20"/>
      <c r="I82" s="21"/>
    </row>
    <row r="83" spans="1:9">
      <c r="A83" s="20"/>
      <c r="B83" s="20"/>
      <c r="C83" s="20"/>
      <c r="D83" s="20"/>
      <c r="E83" s="20"/>
      <c r="F83" s="21"/>
      <c r="G83" s="20"/>
      <c r="H83" s="20"/>
      <c r="I83" s="21"/>
    </row>
    <row r="84" spans="1:9">
      <c r="A84" s="20"/>
      <c r="B84" s="20"/>
      <c r="C84" s="20"/>
      <c r="D84" s="20"/>
      <c r="E84" s="20"/>
      <c r="F84" s="21"/>
      <c r="G84" s="20"/>
      <c r="H84" s="20"/>
      <c r="I84" s="21"/>
    </row>
    <row r="85" spans="1:9">
      <c r="A85" s="20"/>
      <c r="B85" s="20"/>
      <c r="C85" s="20"/>
      <c r="D85" s="20"/>
      <c r="E85" s="20"/>
      <c r="F85" s="21"/>
      <c r="G85" s="20"/>
      <c r="H85" s="20"/>
      <c r="I85" s="21"/>
    </row>
    <row r="86" spans="1:9">
      <c r="A86" s="20"/>
      <c r="B86" s="20"/>
      <c r="C86" s="20"/>
      <c r="D86" s="20"/>
      <c r="E86" s="20"/>
      <c r="F86" s="21"/>
      <c r="G86" s="20"/>
      <c r="H86" s="20"/>
      <c r="I86" s="21"/>
    </row>
    <row r="87" spans="1:9">
      <c r="A87" s="20"/>
      <c r="B87" s="20"/>
      <c r="C87" s="20"/>
      <c r="D87" s="20"/>
      <c r="E87" s="20"/>
      <c r="F87" s="21"/>
      <c r="G87" s="20"/>
      <c r="H87" s="20"/>
      <c r="I87" s="21"/>
    </row>
    <row r="88" spans="1:9">
      <c r="A88" s="20"/>
      <c r="B88" s="20"/>
      <c r="C88" s="20"/>
      <c r="D88" s="20"/>
      <c r="E88" s="20"/>
      <c r="F88" s="21"/>
      <c r="G88" s="20"/>
      <c r="H88" s="20"/>
      <c r="I88" s="21"/>
    </row>
    <row r="89" spans="1:9">
      <c r="A89" s="20"/>
      <c r="B89" s="20"/>
      <c r="C89" s="20"/>
      <c r="D89" s="20"/>
      <c r="E89" s="20"/>
      <c r="F89" s="21"/>
      <c r="G89" s="20"/>
      <c r="H89" s="20"/>
      <c r="I89" s="21"/>
    </row>
    <row r="90" spans="1:9">
      <c r="A90" s="20"/>
      <c r="B90" s="20"/>
      <c r="C90" s="20"/>
      <c r="D90" s="20"/>
      <c r="E90" s="20"/>
      <c r="F90" s="21"/>
      <c r="G90" s="20"/>
      <c r="H90" s="20"/>
      <c r="I90" s="21"/>
    </row>
    <row r="91" spans="1:9">
      <c r="A91" s="20"/>
      <c r="B91" s="20"/>
      <c r="C91" s="20"/>
      <c r="D91" s="20"/>
      <c r="E91" s="20"/>
      <c r="F91" s="21"/>
      <c r="G91" s="20"/>
      <c r="H91" s="20"/>
      <c r="I91" s="21"/>
    </row>
    <row r="92" spans="1:9">
      <c r="A92" s="20"/>
      <c r="B92" s="20"/>
      <c r="C92" s="20"/>
      <c r="D92" s="20"/>
      <c r="E92" s="20"/>
      <c r="F92" s="21"/>
      <c r="G92" s="20"/>
      <c r="H92" s="20"/>
      <c r="I92" s="21"/>
    </row>
    <row r="93" spans="1:9">
      <c r="A93" s="20"/>
      <c r="B93" s="20"/>
      <c r="C93" s="20"/>
      <c r="D93" s="20"/>
      <c r="E93" s="20"/>
      <c r="F93" s="21"/>
      <c r="G93" s="20"/>
      <c r="H93" s="20"/>
      <c r="I93" s="21"/>
    </row>
    <row r="94" spans="1:9">
      <c r="A94" s="20"/>
      <c r="B94" s="20"/>
      <c r="C94" s="20"/>
      <c r="D94" s="20"/>
      <c r="E94" s="20"/>
      <c r="F94" s="21"/>
      <c r="G94" s="20"/>
      <c r="H94" s="20"/>
      <c r="I94" s="21"/>
    </row>
    <row r="95" spans="1:9">
      <c r="A95" s="20"/>
      <c r="B95" s="20"/>
      <c r="C95" s="20"/>
      <c r="D95" s="20"/>
      <c r="E95" s="20"/>
      <c r="F95" s="21"/>
      <c r="G95" s="20"/>
      <c r="H95" s="20"/>
      <c r="I95" s="21"/>
    </row>
    <row r="96" spans="1:9">
      <c r="A96" s="20"/>
      <c r="B96" s="20"/>
      <c r="C96" s="20"/>
      <c r="D96" s="20"/>
      <c r="E96" s="20"/>
      <c r="F96" s="21"/>
      <c r="G96" s="20"/>
      <c r="H96" s="20"/>
      <c r="I96" s="21"/>
    </row>
    <row r="97" spans="1:9">
      <c r="A97" s="20"/>
      <c r="B97" s="20"/>
      <c r="C97" s="20"/>
      <c r="D97" s="20"/>
      <c r="E97" s="20"/>
      <c r="F97" s="21"/>
      <c r="G97" s="20"/>
      <c r="H97" s="20"/>
      <c r="I97" s="21"/>
    </row>
    <row r="98" spans="1:9">
      <c r="A98" s="20"/>
      <c r="B98" s="20"/>
      <c r="C98" s="20"/>
      <c r="D98" s="20"/>
      <c r="E98" s="20"/>
      <c r="F98" s="21"/>
      <c r="G98" s="20"/>
      <c r="H98" s="20"/>
      <c r="I98" s="21"/>
    </row>
    <row r="99" spans="1:9">
      <c r="A99" s="20"/>
      <c r="B99" s="20"/>
      <c r="C99" s="20"/>
      <c r="D99" s="20"/>
      <c r="E99" s="20"/>
      <c r="F99" s="21"/>
      <c r="G99" s="20"/>
      <c r="H99" s="20"/>
      <c r="I99" s="21"/>
    </row>
    <row r="100" spans="1: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>
      <c r="A322" s="20"/>
      <c r="B322" s="20"/>
      <c r="C322" s="20"/>
      <c r="D322" s="20"/>
      <c r="E322" s="20"/>
      <c r="F322" s="21"/>
      <c r="G322" s="20"/>
      <c r="H322" s="20"/>
      <c r="I322" s="21"/>
    </row>
  </sheetData>
  <mergeCells count="4">
    <mergeCell ref="G1:I1"/>
    <mergeCell ref="A1:C1"/>
    <mergeCell ref="D1:F1"/>
    <mergeCell ref="A2:B2"/>
  </mergeCells>
  <conditionalFormatting sqref="F2 I2 F4:F80 I4:I8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F29" sqref="F29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SUM(C4:C79)</f>
        <v>643797.64335669298</v>
      </c>
      <c r="D2" s="5">
        <f>SUM(D4:D79)</f>
        <v>502858.5</v>
      </c>
      <c r="E2" s="5">
        <f>C2-D2</f>
        <v>140939.14335669298</v>
      </c>
      <c r="F2" s="6">
        <f>IFERROR(E2/D2, 0)</f>
        <v>0.28027594911231085</v>
      </c>
      <c r="G2" s="5">
        <f>SUM(G4:G79)</f>
        <v>459223.17</v>
      </c>
      <c r="H2" s="7">
        <f>C2-G2</f>
        <v>184574.47335669299</v>
      </c>
      <c r="I2" s="6">
        <f>IFERROR(H2/G2, 0)</f>
        <v>0.40192761475143557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12">
        <v>23660.310023359001</v>
      </c>
      <c r="D4" s="12">
        <v>29500.5</v>
      </c>
      <c r="E4" s="12">
        <f>IF(AND(ISNUMBER(C4),ISNUMBER(D4)), C4-D4, "")</f>
        <v>-5840.1899766409988</v>
      </c>
      <c r="F4" s="44">
        <f>IFERROR(E4/D4, "")</f>
        <v>-0.1979691861711157</v>
      </c>
      <c r="G4" s="14">
        <v>37551.17</v>
      </c>
      <c r="H4" s="14">
        <f>IF(AND(ISNUMBER(C4),ISNUMBER(G4)), C4-G4, "")</f>
        <v>-13890.859976640997</v>
      </c>
      <c r="I4" s="15">
        <f>IFERROR(H4/G4, "")</f>
        <v>-0.36991816704089375</v>
      </c>
      <c r="J4" s="40" t="s">
        <v>22</v>
      </c>
      <c r="K4" s="40" t="s">
        <v>22</v>
      </c>
    </row>
    <row r="5" spans="1:11" ht="75">
      <c r="A5" s="52" t="str">
        <v>Auburn - Leicester Street Solar</v>
      </c>
      <c r="B5" s="30" t="str">
        <v>MA</v>
      </c>
      <c r="C5" s="17">
        <v>172284.33333333401</v>
      </c>
      <c r="D5" s="17">
        <v>0</v>
      </c>
      <c r="E5" s="17">
        <f t="shared" ref="E5:E8" si="0">IF(AND(ISNUMBER(C5),ISNUMBER(D5)), C5-D5, "")</f>
        <v>172284.33333333401</v>
      </c>
      <c r="F5" s="44" t="str">
        <f t="shared" ref="F5:F8" si="1">IFERROR(E5/D5, "")</f>
        <v/>
      </c>
      <c r="G5" s="19">
        <v>0</v>
      </c>
      <c r="H5" s="19">
        <f t="shared" ref="H5:H6" si="2">IF(AND(ISNUMBER(C5),ISNUMBER(G5)), C5-G5, "")</f>
        <v>172284.33333333401</v>
      </c>
      <c r="I5" s="18" t="str">
        <f t="shared" ref="I5:I6" si="3">IFERROR(H5/G5, "")</f>
        <v/>
      </c>
      <c r="J5" s="41" t="s">
        <v>23</v>
      </c>
      <c r="K5" s="41" t="s">
        <v>24</v>
      </c>
    </row>
    <row r="6" spans="1:11" ht="30">
      <c r="A6" s="53" t="str">
        <v>Rochester - Old Middleboro</v>
      </c>
      <c r="B6" s="28" t="str">
        <v>MA</v>
      </c>
      <c r="C6" s="12">
        <v>406951</v>
      </c>
      <c r="D6" s="12">
        <v>473358</v>
      </c>
      <c r="E6" s="12">
        <f t="shared" si="0"/>
        <v>-66407</v>
      </c>
      <c r="F6" s="44">
        <f t="shared" si="1"/>
        <v>-0.14028916802927172</v>
      </c>
      <c r="G6" s="14">
        <v>421672</v>
      </c>
      <c r="H6" s="14">
        <f t="shared" si="2"/>
        <v>-14721</v>
      </c>
      <c r="I6" s="15">
        <f t="shared" si="3"/>
        <v>-3.4911020888273352E-2</v>
      </c>
      <c r="J6" s="40" t="s">
        <v>25</v>
      </c>
      <c r="K6" s="40" t="s">
        <v>26</v>
      </c>
    </row>
    <row r="7" spans="1:11" ht="15.75">
      <c r="A7" s="52" t="str">
        <v>Dover - Littleworth Road</v>
      </c>
      <c r="B7" s="30" t="str">
        <v>NH</v>
      </c>
      <c r="C7" s="17">
        <v>10197</v>
      </c>
      <c r="D7" s="17">
        <v>0</v>
      </c>
      <c r="E7" s="17">
        <f t="shared" si="0"/>
        <v>10197</v>
      </c>
      <c r="F7" s="44" t="str">
        <f t="shared" si="1"/>
        <v/>
      </c>
      <c r="G7" s="19">
        <v>0</v>
      </c>
      <c r="H7" s="19">
        <f t="shared" ref="H7:H8" si="4">IF(AND(ISNUMBER(C7),ISNUMBER(G7)), C7-G7, "")</f>
        <v>10197</v>
      </c>
      <c r="I7" s="18" t="str">
        <f t="shared" ref="I7:I8" si="5">IFERROR(H7/G7, "")</f>
        <v/>
      </c>
      <c r="J7" s="41" t="s">
        <v>22</v>
      </c>
      <c r="K7" s="41" t="s">
        <v>22</v>
      </c>
    </row>
    <row r="8" spans="1:11" ht="15.75">
      <c r="A8" s="53" t="str">
        <v>Milton - Landfill</v>
      </c>
      <c r="B8" s="28" t="str">
        <v>NH</v>
      </c>
      <c r="C8" s="12">
        <v>30705</v>
      </c>
      <c r="D8" s="12">
        <v>0</v>
      </c>
      <c r="E8" s="12">
        <f t="shared" si="0"/>
        <v>30705</v>
      </c>
      <c r="F8" s="44" t="str">
        <f t="shared" si="1"/>
        <v/>
      </c>
      <c r="G8" s="14">
        <v>0</v>
      </c>
      <c r="H8" s="14">
        <f t="shared" si="4"/>
        <v>30705</v>
      </c>
      <c r="I8" s="15" t="str">
        <f t="shared" si="5"/>
        <v/>
      </c>
      <c r="J8" s="40" t="s">
        <v>22</v>
      </c>
      <c r="K8" s="40" t="s">
        <v>22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D1:F1"/>
    <mergeCell ref="A1:C1"/>
    <mergeCell ref="G1:I1"/>
    <mergeCell ref="A2:B2"/>
  </mergeCells>
  <conditionalFormatting sqref="F2 I2 I4:I79 F9:F79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C7" sqref="C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27</v>
      </c>
      <c r="E1" s="59"/>
      <c r="F1" s="59"/>
      <c r="G1" s="57" t="s">
        <v>28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1572309.9732942695</v>
      </c>
      <c r="D2" s="5">
        <f>SUM(D4:D80)</f>
        <v>1222939.1599999999</v>
      </c>
      <c r="E2" s="5">
        <f>C2-D2</f>
        <v>349370.81329426961</v>
      </c>
      <c r="F2" s="6">
        <f>IFERROR(E2/D2, 0)</f>
        <v>0.28568127076270061</v>
      </c>
      <c r="G2" s="5">
        <f>SUM(G4:G80)</f>
        <v>544279.55999999994</v>
      </c>
      <c r="H2" s="7">
        <f>C2-G2</f>
        <v>1028030.4132942696</v>
      </c>
      <c r="I2" s="6">
        <f>IFERROR(H2/G2, 0)</f>
        <v>1.8887911449297667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51" t="str" cm="1">
        <f t="array" ref="A4:A8">Sites[Site]</f>
        <v>Rowley - Central Street Solar</v>
      </c>
      <c r="B4" s="28" t="str" cm="1">
        <f t="array" ref="B4:B8">Sites[State]</f>
        <v>MA</v>
      </c>
      <c r="C4" s="23">
        <v>65179.6399609375</v>
      </c>
      <c r="D4" s="12">
        <v>66094.16</v>
      </c>
      <c r="E4" s="12">
        <f>IF(AND(ISNUMBER(C4),ISNUMBER(D4)), C4-D4, "")</f>
        <v>-914.5200390625032</v>
      </c>
      <c r="F4" s="13">
        <f>IFERROR(E4/D4, "")</f>
        <v>-1.3836623978011116E-2</v>
      </c>
      <c r="G4" s="14">
        <v>53397.96</v>
      </c>
      <c r="H4" s="14">
        <f>IF(AND(ISNUMBER(C4),ISNUMBER(G4)), C4-G4, "")</f>
        <v>11781.679960937501</v>
      </c>
      <c r="I4" s="15">
        <f>IFERROR(H4/G4, "")</f>
        <v>0.22063913978993768</v>
      </c>
      <c r="J4" s="40"/>
      <c r="K4" s="40"/>
    </row>
    <row r="5" spans="1:11" ht="15.75">
      <c r="A5" s="52" t="str">
        <v>Auburn - Leicester Street Solar</v>
      </c>
      <c r="B5" s="30" t="str">
        <v>MA</v>
      </c>
      <c r="C5" s="11">
        <v>610539.33333333198</v>
      </c>
      <c r="D5" s="17">
        <v>467792.3</v>
      </c>
      <c r="E5" s="17">
        <f t="shared" ref="E5:E8" si="0">IF(AND(ISNUMBER(C5),ISNUMBER(D5)), C5-D5, "")</f>
        <v>142747.03333333199</v>
      </c>
      <c r="F5" s="13">
        <f t="shared" ref="F5:F8" si="1">IFERROR(E5/D5, "")</f>
        <v>0.30515045530533957</v>
      </c>
      <c r="G5" s="19">
        <v>0</v>
      </c>
      <c r="H5" s="19">
        <f t="shared" ref="H5:H8" si="2">IF(AND(ISNUMBER(C5),ISNUMBER(G5)), C5-G5, "")</f>
        <v>610539.33333333198</v>
      </c>
      <c r="I5" s="18" t="str">
        <f t="shared" ref="I5:I8" si="3">IFERROR(H5/G5, "")</f>
        <v/>
      </c>
      <c r="J5" s="41"/>
      <c r="K5" s="41"/>
    </row>
    <row r="6" spans="1:11" ht="15.75">
      <c r="A6" s="53" t="str">
        <v>Rochester - Old Middleboro</v>
      </c>
      <c r="B6" s="28" t="str">
        <v>MA</v>
      </c>
      <c r="C6" s="23">
        <v>761805</v>
      </c>
      <c r="D6" s="12">
        <v>689052.7</v>
      </c>
      <c r="E6" s="12">
        <f t="shared" si="0"/>
        <v>72752.300000000047</v>
      </c>
      <c r="F6" s="13">
        <f t="shared" si="1"/>
        <v>0.10558307078689344</v>
      </c>
      <c r="G6" s="14">
        <v>490881.6</v>
      </c>
      <c r="H6" s="14">
        <f t="shared" si="2"/>
        <v>270923.40000000002</v>
      </c>
      <c r="I6" s="15">
        <f t="shared" si="3"/>
        <v>0.55191190706679583</v>
      </c>
      <c r="J6" s="40" t="s">
        <v>29</v>
      </c>
      <c r="K6" s="40" t="s">
        <v>30</v>
      </c>
    </row>
    <row r="7" spans="1:11" ht="15.75">
      <c r="A7" s="52" t="str">
        <v>Dover - Littleworth Road</v>
      </c>
      <c r="B7" s="30" t="str">
        <v>NH</v>
      </c>
      <c r="C7" s="11">
        <v>33324</v>
      </c>
      <c r="D7" s="17">
        <v>0</v>
      </c>
      <c r="E7" s="17">
        <f t="shared" si="0"/>
        <v>33324</v>
      </c>
      <c r="F7" s="13" t="str">
        <f t="shared" si="1"/>
        <v/>
      </c>
      <c r="G7" s="19">
        <v>0</v>
      </c>
      <c r="H7" s="19">
        <f t="shared" si="2"/>
        <v>33324</v>
      </c>
      <c r="I7" s="18" t="str">
        <f t="shared" si="3"/>
        <v/>
      </c>
      <c r="J7" s="41"/>
      <c r="K7" s="42"/>
    </row>
    <row r="8" spans="1:11" ht="30">
      <c r="A8" s="53" t="str">
        <v>Milton - Landfill</v>
      </c>
      <c r="B8" s="28" t="str">
        <v>NH</v>
      </c>
      <c r="C8" s="23">
        <v>101462</v>
      </c>
      <c r="D8" s="12">
        <v>0</v>
      </c>
      <c r="E8" s="12">
        <f t="shared" si="0"/>
        <v>101462</v>
      </c>
      <c r="F8" s="13" t="str">
        <f t="shared" si="1"/>
        <v/>
      </c>
      <c r="G8" s="14">
        <v>0</v>
      </c>
      <c r="H8" s="14">
        <f t="shared" si="2"/>
        <v>101462</v>
      </c>
      <c r="I8" s="15" t="str">
        <f t="shared" si="3"/>
        <v/>
      </c>
      <c r="J8" s="40" t="s">
        <v>31</v>
      </c>
      <c r="K8" s="40" t="s">
        <v>32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workbookViewId="0">
      <pane xSplit="2" ySplit="3" topLeftCell="D4" activePane="bottomRight" state="frozen"/>
      <selection pane="bottomRight" activeCell="D34" sqref="D34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33</v>
      </c>
      <c r="E1" s="59"/>
      <c r="F1" s="59"/>
      <c r="G1" s="57" t="s">
        <v>34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1865247.6030000001</v>
      </c>
      <c r="D2" s="5">
        <f>SUM(D4:D80)</f>
        <v>1723445.6979999999</v>
      </c>
      <c r="E2" s="5">
        <f>C2-D2</f>
        <v>141801.90500000026</v>
      </c>
      <c r="F2" s="6">
        <f>IFERROR(E2/D2, 0)</f>
        <v>8.2278139174652584E-2</v>
      </c>
      <c r="G2" s="5">
        <f>SUM(G4:G80)</f>
        <v>709493.76000000001</v>
      </c>
      <c r="H2" s="7">
        <f>C2-G2</f>
        <v>1155753.8430000001</v>
      </c>
      <c r="I2" s="6">
        <f>IFERROR(H2/G2, 0)</f>
        <v>1.6289838024791086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68337.290999999997</v>
      </c>
      <c r="D4" s="12">
        <v>69942.157000000007</v>
      </c>
      <c r="E4" s="12">
        <f>IF(AND(ISNUMBER(C4),ISNUMBER(D4)), C4-D4, "")</f>
        <v>-1604.8660000000091</v>
      </c>
      <c r="F4" s="13">
        <f>IFERROR(E4/D4, "")</f>
        <v>-2.2945617762403423E-2</v>
      </c>
      <c r="G4" s="14">
        <v>72442.899999999994</v>
      </c>
      <c r="H4" s="14">
        <f>IF(AND(ISNUMBER(C4),ISNUMBER(G4)), C4-G4, "")</f>
        <v>-4105.6089999999967</v>
      </c>
      <c r="I4" s="15">
        <f>IFERROR(H4/G4, "")</f>
        <v>-5.6673725099354075E-2</v>
      </c>
      <c r="J4" s="40"/>
      <c r="K4" s="40"/>
    </row>
    <row r="5" spans="1:11" ht="45">
      <c r="A5" s="29" t="str">
        <v>Auburn - Leicester Street Solar</v>
      </c>
      <c r="B5" s="30" t="str">
        <v>MA</v>
      </c>
      <c r="C5" s="11">
        <v>698859</v>
      </c>
      <c r="D5" s="17">
        <v>855536.28700000001</v>
      </c>
      <c r="E5" s="17">
        <f t="shared" ref="E5:E8" si="0">IF(AND(ISNUMBER(C5),ISNUMBER(D5)), C5-D5, "")</f>
        <v>-156677.28700000001</v>
      </c>
      <c r="F5" s="18">
        <f>IFERROR(E5/D5, "")</f>
        <v>-0.18313342096733298</v>
      </c>
      <c r="G5" s="19">
        <v>0</v>
      </c>
      <c r="H5" s="19">
        <f t="shared" ref="H5:H8" si="1">IF(AND(ISNUMBER(C5),ISNUMBER(G5)), C5-G5, "")</f>
        <v>698859</v>
      </c>
      <c r="I5" s="18" t="str">
        <f t="shared" ref="I5:I8" si="2">IFERROR(H5/G5, "")</f>
        <v/>
      </c>
      <c r="J5" s="55" t="s">
        <v>35</v>
      </c>
      <c r="K5" s="54" t="s">
        <v>36</v>
      </c>
    </row>
    <row r="6" spans="1:11" ht="15.75">
      <c r="A6" s="27" t="str">
        <v>Rochester - Old Middleboro</v>
      </c>
      <c r="B6" s="28" t="str">
        <v>MA</v>
      </c>
      <c r="C6" s="23">
        <v>965877.31200000003</v>
      </c>
      <c r="D6" s="12">
        <v>797967.25399999996</v>
      </c>
      <c r="E6" s="12">
        <f t="shared" si="0"/>
        <v>167910.05800000008</v>
      </c>
      <c r="F6" s="13">
        <f t="shared" ref="F6:F8" si="3">IFERROR(E6/D6, "")</f>
        <v>0.21042224121141703</v>
      </c>
      <c r="G6" s="14">
        <v>637050.86</v>
      </c>
      <c r="H6" s="14">
        <f t="shared" si="1"/>
        <v>328826.45200000005</v>
      </c>
      <c r="I6" s="15">
        <f t="shared" si="2"/>
        <v>0.51616985808637017</v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>
        <v>33240</v>
      </c>
      <c r="D7" s="17">
        <v>0</v>
      </c>
      <c r="E7" s="17">
        <f t="shared" si="0"/>
        <v>33240</v>
      </c>
      <c r="F7" s="18" t="str">
        <f t="shared" si="3"/>
        <v/>
      </c>
      <c r="G7" s="19">
        <v>0</v>
      </c>
      <c r="H7" s="19">
        <f t="shared" si="1"/>
        <v>33240</v>
      </c>
      <c r="I7" s="18" t="str">
        <f t="shared" si="2"/>
        <v/>
      </c>
      <c r="J7" s="41" t="s">
        <v>37</v>
      </c>
      <c r="K7" s="42" t="s">
        <v>38</v>
      </c>
    </row>
    <row r="8" spans="1:11" ht="30">
      <c r="A8" s="27" t="str">
        <v>Milton - Landfill</v>
      </c>
      <c r="B8" s="28" t="str">
        <v>NH</v>
      </c>
      <c r="C8" s="23">
        <v>98934</v>
      </c>
      <c r="D8" s="12">
        <v>0</v>
      </c>
      <c r="E8" s="12">
        <f t="shared" si="0"/>
        <v>98934</v>
      </c>
      <c r="F8" s="13" t="str">
        <f t="shared" si="3"/>
        <v/>
      </c>
      <c r="G8" s="14">
        <v>0</v>
      </c>
      <c r="H8" s="14">
        <f t="shared" si="1"/>
        <v>98934</v>
      </c>
      <c r="I8" s="15" t="str">
        <f t="shared" si="2"/>
        <v/>
      </c>
      <c r="J8" s="40" t="s">
        <v>39</v>
      </c>
      <c r="K8" s="40" t="s">
        <v>40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tabSelected="1" workbookViewId="0">
      <pane xSplit="2" ySplit="3" topLeftCell="C4" activePane="bottomRight" state="frozen"/>
      <selection pane="bottomRight" activeCell="J8" sqref="J8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41</v>
      </c>
      <c r="E1" s="59"/>
      <c r="F1" s="59"/>
      <c r="G1" s="57" t="s">
        <v>42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2086903.6251099487</v>
      </c>
      <c r="D2" s="5">
        <f>SUM(D4:D80)</f>
        <v>1814581.2999999998</v>
      </c>
      <c r="E2" s="5">
        <f>C2-D2</f>
        <v>272322.32510994887</v>
      </c>
      <c r="F2" s="6">
        <f>IFERROR(E2/D2, 0)</f>
        <v>0.15007446903037572</v>
      </c>
      <c r="G2" s="5">
        <f>SUM(G4:G80)</f>
        <v>780206.34000000008</v>
      </c>
      <c r="H2" s="7">
        <f>C2-G2</f>
        <v>1306697.2851099486</v>
      </c>
      <c r="I2" s="6">
        <f>IFERROR(H2/G2, 0)</f>
        <v>1.6748098779996436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56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>
        <v>79228.397621268596</v>
      </c>
      <c r="D4" s="12">
        <v>79840.2</v>
      </c>
      <c r="E4" s="12">
        <f>IF(AND(ISNUMBER(C4),ISNUMBER(D4)), C4-D4, "")</f>
        <v>-611.8023787314014</v>
      </c>
      <c r="F4" s="13">
        <f>IFERROR(E4/D4, "")</f>
        <v>-7.6628362495509963E-3</v>
      </c>
      <c r="G4" s="14">
        <v>82261.440000000002</v>
      </c>
      <c r="H4" s="14">
        <f>IF(AND(ISNUMBER(C4),ISNUMBER(G4)), C4-G4, "")</f>
        <v>-3033.0423787314066</v>
      </c>
      <c r="I4" s="15">
        <f>IFERROR(H4/G4, "")</f>
        <v>-3.6870766895539475E-2</v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>
        <v>806444</v>
      </c>
      <c r="D5" s="17">
        <v>847614.4</v>
      </c>
      <c r="E5" s="17">
        <f t="shared" ref="E5:E8" si="0">IF(AND(ISNUMBER(C5),ISNUMBER(D5)), C5-D5, "")</f>
        <v>-41170.400000000023</v>
      </c>
      <c r="F5" s="18">
        <f>IFERROR(E5/D5, "")</f>
        <v>-4.8572086552564495E-2</v>
      </c>
      <c r="G5" s="19">
        <v>0</v>
      </c>
      <c r="H5" s="19">
        <f t="shared" ref="H5:H8" si="1">IF(AND(ISNUMBER(C5),ISNUMBER(G5)), C5-G5, "")</f>
        <v>806444</v>
      </c>
      <c r="I5" s="18" t="str">
        <f t="shared" ref="I5:I8" si="2">IFERROR(H5/G5, "")</f>
        <v/>
      </c>
      <c r="J5" s="41"/>
      <c r="K5" s="41"/>
    </row>
    <row r="6" spans="1:11" ht="45.75">
      <c r="A6" s="27" t="str">
        <v>Rochester - Old Middleboro</v>
      </c>
      <c r="B6" s="28" t="str">
        <v>MA</v>
      </c>
      <c r="C6" s="23">
        <v>1051496.22748868</v>
      </c>
      <c r="D6" s="12">
        <v>887126.7</v>
      </c>
      <c r="E6" s="12">
        <f t="shared" si="0"/>
        <v>164369.52748868009</v>
      </c>
      <c r="F6" s="13">
        <f t="shared" ref="F6:F8" si="3">IFERROR(E6/D6, "")</f>
        <v>0.1852830350937246</v>
      </c>
      <c r="G6" s="14">
        <v>697944.9</v>
      </c>
      <c r="H6" s="14">
        <f t="shared" si="1"/>
        <v>353551.32748868002</v>
      </c>
      <c r="I6" s="15">
        <f t="shared" si="2"/>
        <v>0.50656051428799032</v>
      </c>
      <c r="J6" s="40" t="s">
        <v>43</v>
      </c>
      <c r="K6" s="40" t="s">
        <v>44</v>
      </c>
    </row>
    <row r="7" spans="1:11" ht="15.75">
      <c r="A7" s="29" t="str">
        <v>Dover - Littleworth Road</v>
      </c>
      <c r="B7" s="30" t="str">
        <v>NH</v>
      </c>
      <c r="C7" s="11">
        <v>39653</v>
      </c>
      <c r="D7" s="17">
        <v>0</v>
      </c>
      <c r="E7" s="17">
        <f t="shared" si="0"/>
        <v>39653</v>
      </c>
      <c r="F7" s="18" t="str">
        <f t="shared" si="3"/>
        <v/>
      </c>
      <c r="G7" s="19">
        <v>0</v>
      </c>
      <c r="H7" s="19">
        <f t="shared" si="1"/>
        <v>39653</v>
      </c>
      <c r="I7" s="18" t="str">
        <f t="shared" si="2"/>
        <v/>
      </c>
      <c r="J7" s="41"/>
      <c r="K7" s="42"/>
    </row>
    <row r="8" spans="1:11" ht="76.5" customHeight="1">
      <c r="A8" s="27" t="str">
        <v>Milton - Landfill</v>
      </c>
      <c r="B8" s="28" t="str">
        <v>NH</v>
      </c>
      <c r="C8" s="23">
        <v>110082</v>
      </c>
      <c r="D8" s="12">
        <v>0</v>
      </c>
      <c r="E8" s="12">
        <f t="shared" si="0"/>
        <v>110082</v>
      </c>
      <c r="F8" s="13" t="str">
        <f t="shared" si="3"/>
        <v/>
      </c>
      <c r="G8" s="14">
        <v>0</v>
      </c>
      <c r="H8" s="14">
        <f t="shared" si="1"/>
        <v>110082</v>
      </c>
      <c r="I8" s="15" t="str">
        <f t="shared" si="2"/>
        <v/>
      </c>
      <c r="J8" s="40" t="s">
        <v>45</v>
      </c>
      <c r="K8" s="40" t="s">
        <v>46</v>
      </c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47</v>
      </c>
      <c r="E1" s="59"/>
      <c r="F1" s="59"/>
      <c r="G1" s="57" t="s">
        <v>48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49</v>
      </c>
      <c r="E1" s="59"/>
      <c r="F1" s="59"/>
      <c r="G1" s="57" t="s">
        <v>50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51</v>
      </c>
      <c r="E1" s="59"/>
      <c r="F1" s="59"/>
      <c r="G1" s="57" t="s">
        <v>52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53</v>
      </c>
      <c r="E1" s="59"/>
      <c r="F1" s="59"/>
      <c r="G1" s="57" t="s">
        <v>54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F4" activePane="bottomRight" state="frozen"/>
      <selection pane="bottomRight" activeCell="F4" sqref="F4:J5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55</v>
      </c>
      <c r="E1" s="59"/>
      <c r="F1" s="59"/>
      <c r="G1" s="57" t="s">
        <v>56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57</v>
      </c>
      <c r="E1" s="59"/>
      <c r="F1" s="59"/>
      <c r="G1" s="57" t="s">
        <v>58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59</v>
      </c>
      <c r="E1" s="59"/>
      <c r="F1" s="59"/>
      <c r="G1" s="57" t="s">
        <v>60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27" sqref="F27"/>
      <selection pane="bottomLeft" activeCell="F27" sqref="F27"/>
      <selection pane="topRight" activeCell="F27" sqref="F27"/>
    </sheetView>
  </sheetViews>
  <sheetFormatPr defaultRowHeight="14.25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Agilitas Energy</v>
      </c>
      <c r="B1" s="58"/>
      <c r="C1" s="58"/>
      <c r="D1" s="59" t="s">
        <v>61</v>
      </c>
      <c r="E1" s="59"/>
      <c r="F1" s="59"/>
      <c r="G1" s="57" t="s">
        <v>62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75">
      <c r="A4" s="31" t="str" cm="1">
        <f t="array" ref="A4:A8">Sites[Site]</f>
        <v>Rowley - Central Street Solar</v>
      </c>
      <c r="B4" s="28" t="str" cm="1">
        <f t="array" ref="B4:B8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75">
      <c r="A5" s="29" t="str">
        <v>Auburn - Leicester Street Solar</v>
      </c>
      <c r="B5" s="30" t="str">
        <v>MA</v>
      </c>
      <c r="C5" s="11"/>
      <c r="D5" s="17"/>
      <c r="E5" s="17" t="str">
        <f t="shared" ref="E5:E8" si="0">IF(AND(ISNUMBER(C5),ISNUMBER(D5)), C5-D5, "")</f>
        <v/>
      </c>
      <c r="F5" s="18" t="str">
        <f>IFERROR(E5/D5, "")</f>
        <v/>
      </c>
      <c r="G5" s="19"/>
      <c r="H5" s="19" t="str">
        <f t="shared" ref="H5:H8" si="1">IF(AND(ISNUMBER(C5),ISNUMBER(G5)), C5-G5, "")</f>
        <v/>
      </c>
      <c r="I5" s="18" t="str">
        <f t="shared" ref="I5:I8" si="2">IFERROR(H5/G5, "")</f>
        <v/>
      </c>
      <c r="J5" s="41"/>
      <c r="K5" s="41"/>
    </row>
    <row r="6" spans="1:11" ht="15.75">
      <c r="A6" s="27" t="str">
        <v>Rochester - Old Middleboro</v>
      </c>
      <c r="B6" s="28" t="str">
        <v>MA</v>
      </c>
      <c r="C6" s="23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75">
      <c r="A7" s="29" t="str">
        <v>Dover - Littleworth Road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5.75">
      <c r="A8" s="27" t="str">
        <v>Milton - Landfill</v>
      </c>
      <c r="B8" s="28" t="str">
        <v>NH</v>
      </c>
      <c r="C8" s="23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40"/>
      <c r="K8" s="40"/>
    </row>
    <row r="9" spans="1:11" ht="15">
      <c r="A9" s="20"/>
      <c r="B9" s="32"/>
      <c r="C9" s="20"/>
      <c r="D9" s="20"/>
      <c r="E9" s="20"/>
      <c r="F9" s="20"/>
      <c r="G9" s="20"/>
      <c r="H9" s="20"/>
      <c r="I9" s="20"/>
      <c r="J9" s="20"/>
      <c r="K9" s="20"/>
    </row>
    <row r="10" spans="1:11" ht="15">
      <c r="A10" s="20"/>
      <c r="B10" s="32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5">
      <c r="A12" s="20"/>
      <c r="B12" s="32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5">
      <c r="A321" s="20"/>
      <c r="B321" s="32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>
      <c r="C322" s="20"/>
      <c r="D322" s="20"/>
      <c r="E322" s="20"/>
      <c r="F322" s="21"/>
      <c r="G322" s="20"/>
      <c r="H322" s="20"/>
      <c r="I322" s="21"/>
      <c r="J322" s="20"/>
      <c r="K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63</v>
      </c>
      <c r="B1" t="s">
        <v>64</v>
      </c>
    </row>
    <row r="3" spans="1:12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12" ht="15">
      <c r="A4" s="50" t="s">
        <v>68</v>
      </c>
      <c r="B4" t="s">
        <v>69</v>
      </c>
      <c r="C4" s="47" t="s">
        <v>70</v>
      </c>
      <c r="D4" s="46" t="s">
        <v>71</v>
      </c>
      <c r="E4" t="s">
        <v>72</v>
      </c>
      <c r="G4" s="3"/>
    </row>
    <row r="5" spans="1:12" ht="15">
      <c r="A5" s="50" t="s">
        <v>73</v>
      </c>
      <c r="B5" t="s">
        <v>74</v>
      </c>
      <c r="C5" s="47" t="s">
        <v>70</v>
      </c>
      <c r="D5" s="46" t="s">
        <v>71</v>
      </c>
      <c r="E5" t="s">
        <v>72</v>
      </c>
      <c r="G5" s="3"/>
    </row>
    <row r="6" spans="1:12" ht="15">
      <c r="A6" s="50" t="s">
        <v>75</v>
      </c>
      <c r="B6" t="s">
        <v>76</v>
      </c>
      <c r="C6" s="47" t="s">
        <v>70</v>
      </c>
      <c r="D6" s="46" t="s">
        <v>71</v>
      </c>
      <c r="E6" t="s">
        <v>72</v>
      </c>
      <c r="G6" s="3"/>
    </row>
    <row r="7" spans="1:12" ht="12.75" customHeight="1">
      <c r="A7" s="50" t="s">
        <v>77</v>
      </c>
      <c r="B7" t="s">
        <v>78</v>
      </c>
      <c r="C7" s="47" t="s">
        <v>79</v>
      </c>
      <c r="D7" s="46"/>
      <c r="E7" t="s">
        <v>80</v>
      </c>
    </row>
    <row r="8" spans="1:12" ht="12.75" customHeight="1">
      <c r="A8" s="50" t="s">
        <v>81</v>
      </c>
      <c r="B8" t="s">
        <v>82</v>
      </c>
      <c r="C8" s="47" t="s">
        <v>79</v>
      </c>
      <c r="D8" s="46"/>
      <c r="E8" t="s">
        <v>80</v>
      </c>
    </row>
    <row r="9" spans="1:12" ht="12.75" customHeight="1">
      <c r="K9" s="43"/>
      <c r="L9" s="4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2024-06-14T11:55:00Z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