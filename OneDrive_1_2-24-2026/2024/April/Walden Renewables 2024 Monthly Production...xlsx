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C9CA3C7A-A522-402C-8A12-F72E0B1A5028}" xr6:coauthVersionLast="47" xr6:coauthVersionMax="47" xr10:uidLastSave="{DEEB81CE-30DB-427F-8B5F-D569B5CAF32A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<sst xmlns="http://schemas.openxmlformats.org/spreadsheetml/2006/main" count="247" uniqueCount="57">
  <si>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</si>
  <si>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</si>
  <si>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</si>
  <si>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</si>
  <si>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</si>
  <si>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</si>
  <si>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</si>
  <si>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</si>
  <si>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</si>
  <si>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</si>
  <si>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</si>
  <si>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</si>
  <si>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</si>
  <si>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</si>
  <si>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</si>
  <si>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</si>
  <si>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</si>
  <si>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</si>
  <si>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</si>
  <si>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</si>
  <si>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</si>
  <si>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</si>
  <si>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</si>
  <si>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</si>
  <si>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</si>
  <si>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</si>
  <si>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</si>
  <si>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</si>
  <si>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</si>
  <si>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</si>
  <si>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</si>
  <si>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</si>
  <si>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</si>
  <si>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</si>
  <si>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</si>
  <si>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</si>
  <si>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</si>
  <si>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</si>
  <si>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</si>
  <si>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</si>
  <si>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</si>
  <si>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</si>
  <si>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</si>
  <si>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</si>
  <si>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</si>
  <si>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</si>
  <si>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</si>
  <si>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</si>
  <si>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</si>
  <si>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</si>
  <si>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</si>
  <si>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</si>
  <si>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</si>
  <si>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</si>
  <si>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</si>
  <si>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</si>
  <si>
    <t>Walden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</si>
</sst>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261220</v>
      </c>
      <c r="D2" s="5">
        <f>SUM(D4:D77)</f>
        <v>0</v>
      </c>
      <c r="E2" s="5">
        <f>C2-D2</f>
        <v>261220</v>
      </c>
      <c r="F2" s="6">
        <f>IFERROR(E2/D2, 0)</f>
        <v>0</v>
      </c>
      <c r="G2" s="5">
        <f>SUM(G4:G77)</f>
        <v>0</v>
      </c>
      <c r="H2" s="7">
        <f>C2-G2</f>
        <v>261220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219875</v>
      </c>
      <c r="D4" s="12">
        <f>SUM('1st Qtr'!D4, '2nd Qtr'!D4, '3rd Qtr'!D4, '4th Qtr'!D4)</f>
        <v>0</v>
      </c>
      <c r="E4" s="12">
        <f>IF(AND(ISNUMBER(C4),ISNUMBER(D4)), C4-D4, "")</f>
        <v>219875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219875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67078</v>
      </c>
      <c r="D4" s="12">
        <f>SUM(Apr!D4, May!D4, Jun!D4)</f>
        <v>0</v>
      </c>
      <c r="E4" s="12">
        <f>IF(AND(ISNUMBER(C4),ISNUMBER(D4)), C4-D4, "")</f>
        <v>67078</v>
      </c>
      <c r="F4" s="13" t="str">
        <f>IFERROR(E4/D4, "")</f>
        <v/>
      </c>
      <c r="G4" s="14">
        <f>SUM(Apr!G4, May!G4, Jun!G4)</f>
        <v>0</v>
      </c>
      <c r="H4" s="14">
        <f>SUM(Apr!H4, May!H4, Jun!H4)</f>
        <v>67078</v>
      </c>
      <c r="I4" s="15" t="str">
        <f>IFERROR(H4/G4, "")</f>
        <v/>
      </c>
    </row>
    <row r="5" spans="1:9" ht="15.75">
      <c r="A5" s="44" t="str">
        <v>Walden Liberty</v>
      </c>
      <c r="B5" s="10" t="str">
        <v>MA</v>
      </c>
      <c r="C5" s="11">
        <f>SUM(Apr!C5, May!C5, Jun!C5)</f>
        <v>24863</v>
      </c>
      <c r="D5" s="17">
        <f>SUM(Apr!D5, May!D5, Jun!D5)</f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f>SUM(Apr!G5, May!G5, Jun!G5)</f>
        <v>0</v>
      </c>
      <c r="H5" s="19">
        <f>SUM(Apr!H5, May!H5, Jun!H5)</f>
        <v>24863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F28" sqref="F2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23</v>
      </c>
      <c r="E1" s="53"/>
      <c r="F1" s="53"/>
      <c r="G1" s="51" t="s">
        <v>24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7" sqref="H7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29</v>
      </c>
      <c r="E1" s="53"/>
      <c r="F1" s="53"/>
      <c r="G1" s="51" t="s">
        <v>30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C8" sqref="C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7" t="s">
        <v>50</v>
      </c>
      <c r="B4" s="47" t="s">
        <v>51</v>
      </c>
      <c r="C4" s="47" t="s">
        <v>52</v>
      </c>
      <c r="D4" s="49" t="s">
        <v>53</v>
      </c>
      <c r="E4" s="47" t="s">
        <v>54</v>
      </c>
      <c r="G4" s="3"/>
    </row>
    <row r="5" spans="1:12" ht="14.45">
      <c r="A5" s="48" t="s">
        <v>55</v>
      </c>
      <c r="B5" s="48" t="s">
        <v>56</v>
      </c>
      <c r="C5" s="48" t="s">
        <v>52</v>
      </c>
      <c r="D5" s="50" t="s">
        <v>53</v>
      </c>
      <c r="E5" s="48" t="s">
        <v>54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2024-05-14T12:09:09Z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