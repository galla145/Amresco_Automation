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ly reports\"/>
    </mc:Choice>
  </mc:AlternateContent>
  <xr:revisionPtr revIDLastSave="96" documentId="13_ncr:1_{248EC952-A3CE-4B98-A060-691E50C51F58}" xr6:coauthVersionLast="47" xr6:coauthVersionMax="47" xr10:uidLastSave="{FE561F1D-61CE-4760-870A-7CE0D60BC280}"/>
  <bookViews>
    <workbookView xWindow="-120" yWindow="-120" windowWidth="29040" windowHeight="15720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20" i="18" l="1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5" i="34" s="1"/>
  <c r="C14" i="1"/>
  <c r="C14" i="34" s="1"/>
  <c r="C13" i="1"/>
  <c r="C13" i="34" s="1"/>
  <c r="C12" i="1"/>
  <c r="C12" i="34" s="1"/>
  <c r="C11" i="1"/>
  <c r="C11" i="34" s="1"/>
  <c r="C10" i="1"/>
  <c r="C10" i="34" s="1"/>
  <c r="C9" i="1"/>
  <c r="C9" i="34" s="1"/>
  <c r="C8" i="1"/>
  <c r="C8" i="34" s="1"/>
  <c r="C7" i="1"/>
  <c r="C7" i="34" s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29" l="1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0" i="34" l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<sst xmlns="http://schemas.openxmlformats.org/spreadsheetml/2006/main" count="396" uniqueCount="142">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</sst>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SUM(C4:C95)</f>
        <v>7600948.0827415558</v>
      </c>
      <c r="D2" s="5">
        <f>SUM(D4:D95)</f>
        <v>5891064.4100000011</v>
      </c>
      <c r="E2" s="5">
        <f>C2-D2</f>
        <v>1709883.6727415547</v>
      </c>
      <c r="F2" s="6">
        <f>IFERROR(E2/D2, 0)</f>
        <v>0.29025037815560978</v>
      </c>
      <c r="G2" s="5">
        <f>SUM(G4:G95)</f>
        <v>8990673.9300000016</v>
      </c>
      <c r="H2" s="7">
        <f>C2-G2</f>
        <v>-1389725.8472584458</v>
      </c>
      <c r="I2" s="6">
        <f>IFERROR(H2/G2, 0)</f>
        <v>-0.15457415740784691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442772.1014991416</v>
      </c>
      <c r="D4" s="45">
        <f>SUM('1st Qtr'!D4, '2nd Qtr'!D4, '3rd Qtr'!D4, '4th Qtr'!D4)</f>
        <v>491459.24</v>
      </c>
      <c r="E4" s="45">
        <f>IF(AND(ISNUMBER(C4),ISNUMBER(D4)), C4-D4, "")</f>
        <v>-48687.138500858389</v>
      </c>
      <c r="F4" s="58">
        <f>IFERROR(E4/D4, "")</f>
        <v>-9.9066483114364459E-2</v>
      </c>
      <c r="G4" s="47">
        <f>SUM('1st Qtr'!G4, '2nd Qtr'!G4, '3rd Qtr'!G4, '4th Qtr'!G4)</f>
        <v>526416.99</v>
      </c>
      <c r="H4" s="47">
        <f>SUM('1st Qtr'!H4, '2nd Qtr'!H4, '3rd Qtr'!H4, '4th Qtr'!H4)</f>
        <v>-83644.888500858404</v>
      </c>
      <c r="I4" s="46">
        <f>IFERROR(H4/G4, "")</f>
        <v>-0.15889473571295334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362911.03124241409</v>
      </c>
      <c r="D5" s="51">
        <f>SUM(Jan!D5, Feb!D5, Mar!D5)</f>
        <v>258904.44999999998</v>
      </c>
      <c r="E5" s="51">
        <f t="shared" ref="E5:E15" si="0">IF(AND(ISNUMBER(C5),ISNUMBER(D5)), C5-D5, "")</f>
        <v>104006.5812424141</v>
      </c>
      <c r="F5" s="52">
        <f>IFERROR(E5/D5, "")</f>
        <v>0.40171801312188382</v>
      </c>
      <c r="G5" s="53">
        <f>SUM('1st Qtr'!G5, '2nd Qtr'!G5, '3rd Qtr'!G5, '4th Qtr'!G5)</f>
        <v>424868.99</v>
      </c>
      <c r="H5" s="53">
        <f>SUM(Jan!H5, Feb!H5, Mar!H5)</f>
        <v>-50872.194330708902</v>
      </c>
      <c r="I5" s="52">
        <f>IFERROR(H5/G5, "")</f>
        <v>-0.11973619051536076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391059</v>
      </c>
      <c r="D6" s="45">
        <f>SUM(Jan!D6, Feb!D6, Mar!D6)</f>
        <v>308555.5</v>
      </c>
      <c r="E6" s="45">
        <f t="shared" si="0"/>
        <v>82503.5</v>
      </c>
      <c r="F6" s="58">
        <f t="shared" ref="F6:F15" si="1">IFERROR(E6/D6, "")</f>
        <v>0.26738625628128487</v>
      </c>
      <c r="G6" s="47">
        <f>SUM('1st Qtr'!G6, '2nd Qtr'!G6, '3rd Qtr'!G6, '4th Qtr'!G6)</f>
        <v>297349.16000000003</v>
      </c>
      <c r="H6" s="47">
        <f>SUM(Jan!H6, Feb!H6, Mar!H6)</f>
        <v>70756.84</v>
      </c>
      <c r="I6" s="46">
        <f t="shared" ref="I6:I15" si="2">IFERROR(H6/G6, "")</f>
        <v>0.23795876874177141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424721</v>
      </c>
      <c r="D7" s="51">
        <f>SUM(Jan!D7, Feb!D7, Mar!D7)</f>
        <v>395445.18</v>
      </c>
      <c r="E7" s="51">
        <f t="shared" si="0"/>
        <v>29275.820000000007</v>
      </c>
      <c r="F7" s="52">
        <f t="shared" si="1"/>
        <v>7.4032562490709858E-2</v>
      </c>
      <c r="G7" s="53">
        <f>SUM('1st Qtr'!G7, '2nd Qtr'!G7, '3rd Qtr'!G7, '4th Qtr'!G7)</f>
        <v>333446.48</v>
      </c>
      <c r="H7" s="53">
        <f>SUM(Jan!H7, Feb!H7, Mar!H7)</f>
        <v>63957.32</v>
      </c>
      <c r="I7" s="52">
        <f t="shared" si="2"/>
        <v>0.19180685308178994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456230</v>
      </c>
      <c r="D8" s="45">
        <f>SUM(Jan!D8, Feb!D8, Mar!D8)</f>
        <v>356457.4</v>
      </c>
      <c r="E8" s="45">
        <f t="shared" si="0"/>
        <v>99772.599999999977</v>
      </c>
      <c r="F8" s="58">
        <f t="shared" si="1"/>
        <v>0.27990048740747131</v>
      </c>
      <c r="G8" s="47">
        <f>SUM('1st Qtr'!G8, '2nd Qtr'!G8, '3rd Qtr'!G8, '4th Qtr'!G8)</f>
        <v>556010.19999999995</v>
      </c>
      <c r="H8" s="47">
        <f>SUM(Jan!H8, Feb!H8, Mar!H8)</f>
        <v>-77950.400000000009</v>
      </c>
      <c r="I8" s="46">
        <f t="shared" si="2"/>
        <v>-0.14019598921026991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747653.5</v>
      </c>
      <c r="D9" s="51">
        <f>SUM(Jan!D9, Feb!D9, Mar!D9)</f>
        <v>566022.19999999995</v>
      </c>
      <c r="E9" s="51">
        <f t="shared" si="0"/>
        <v>181631.30000000005</v>
      </c>
      <c r="F9" s="52">
        <f t="shared" si="1"/>
        <v>0.32089077071535366</v>
      </c>
      <c r="G9" s="53">
        <f>SUM('1st Qtr'!G9, '2nd Qtr'!G9, '3rd Qtr'!G9, '4th Qtr'!G9)</f>
        <v>920105.5</v>
      </c>
      <c r="H9" s="53">
        <f>SUM(Jan!H9, Feb!H9, Mar!H9)</f>
        <v>-146117.19999999998</v>
      </c>
      <c r="I9" s="52">
        <f t="shared" si="2"/>
        <v>-0.15880483270668416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387441</v>
      </c>
      <c r="D10" s="45">
        <f>SUM(Jan!D10, Feb!D10, Mar!D10)</f>
        <v>302395.95</v>
      </c>
      <c r="E10" s="45">
        <f t="shared" si="0"/>
        <v>85045.049999999988</v>
      </c>
      <c r="F10" s="58">
        <f t="shared" si="1"/>
        <v>0.2812373975246692</v>
      </c>
      <c r="G10" s="47">
        <f>SUM('1st Qtr'!G10, '2nd Qtr'!G10, '3rd Qtr'!G10, '4th Qtr'!G10)</f>
        <v>520466.42000000004</v>
      </c>
      <c r="H10" s="47">
        <f>SUM(Jan!H10, Feb!H10, Mar!H10)</f>
        <v>-109860.32</v>
      </c>
      <c r="I10" s="46">
        <f t="shared" si="2"/>
        <v>-0.21108051505032735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392028</v>
      </c>
      <c r="D11" s="51">
        <f>SUM(Jan!D11, Feb!D11, Mar!D11)</f>
        <v>294516.74</v>
      </c>
      <c r="E11" s="51">
        <f t="shared" si="0"/>
        <v>97511.260000000009</v>
      </c>
      <c r="F11" s="52">
        <f t="shared" si="1"/>
        <v>0.33108902400590207</v>
      </c>
      <c r="G11" s="53">
        <f>SUM('1st Qtr'!G11, '2nd Qtr'!G11, '3rd Qtr'!G11, '4th Qtr'!G11)</f>
        <v>533488.96</v>
      </c>
      <c r="H11" s="53">
        <f>SUM(Jan!H11, Feb!H11, Mar!H11)</f>
        <v>-104920.85999999999</v>
      </c>
      <c r="I11" s="52">
        <f t="shared" si="2"/>
        <v>-0.19666922442031415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372347</v>
      </c>
      <c r="D12" s="45">
        <f>SUM(Jan!D12, Feb!D12, Mar!D12)</f>
        <v>254351.52999999997</v>
      </c>
      <c r="E12" s="45">
        <f t="shared" si="0"/>
        <v>117995.47000000003</v>
      </c>
      <c r="F12" s="58">
        <f t="shared" si="1"/>
        <v>0.46390705807824328</v>
      </c>
      <c r="G12" s="47">
        <f>SUM('1st Qtr'!G12, '2nd Qtr'!G12, '3rd Qtr'!G12, '4th Qtr'!G12)</f>
        <v>533488.96</v>
      </c>
      <c r="H12" s="47">
        <f>SUM(Jan!H12, Feb!H12, Mar!H12)</f>
        <v>-122625.85999999999</v>
      </c>
      <c r="I12" s="46">
        <f t="shared" si="2"/>
        <v>-0.22985641539798685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391093</v>
      </c>
      <c r="D13" s="51">
        <f>SUM(Jan!D13, Feb!D13, Mar!D13)</f>
        <v>280640.43000000005</v>
      </c>
      <c r="E13" s="51">
        <f t="shared" si="0"/>
        <v>110452.56999999995</v>
      </c>
      <c r="F13" s="52">
        <f t="shared" si="1"/>
        <v>0.39357326383800056</v>
      </c>
      <c r="G13" s="53">
        <f>SUM('1st Qtr'!G13, '2nd Qtr'!G13, '3rd Qtr'!G13, '4th Qtr'!G13)</f>
        <v>531065.29</v>
      </c>
      <c r="H13" s="53">
        <f>SUM(Jan!H13, Feb!H13, Mar!H13)</f>
        <v>-108476.99</v>
      </c>
      <c r="I13" s="52">
        <f t="shared" si="2"/>
        <v>-0.2042630012592237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475891</v>
      </c>
      <c r="D14" s="45">
        <f>SUM(Jan!D14, Feb!D14, Mar!D14)</f>
        <v>361411.34</v>
      </c>
      <c r="E14" s="45">
        <f t="shared" si="0"/>
        <v>114479.65999999997</v>
      </c>
      <c r="F14" s="58">
        <f t="shared" si="1"/>
        <v>0.31675724397579769</v>
      </c>
      <c r="G14" s="47">
        <f>SUM('1st Qtr'!G14, '2nd Qtr'!G14, '3rd Qtr'!G14, '4th Qtr'!G14)</f>
        <v>342753.70999999996</v>
      </c>
      <c r="H14" s="47">
        <f>SUM(Jan!H14, Feb!H14, Mar!H14)</f>
        <v>99719.689999999988</v>
      </c>
      <c r="I14" s="46">
        <f t="shared" si="2"/>
        <v>0.29093686542444719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412721.45</v>
      </c>
      <c r="D15" s="51">
        <f>SUM(Jan!D15, Feb!D15, Mar!D15)</f>
        <v>287011.73</v>
      </c>
      <c r="E15" s="51">
        <f t="shared" si="0"/>
        <v>125709.72000000003</v>
      </c>
      <c r="F15" s="52">
        <f t="shared" si="1"/>
        <v>0.43799506034126212</v>
      </c>
      <c r="G15" s="53">
        <f>SUM('1st Qtr'!G15, '2nd Qtr'!G15, '3rd Qtr'!G15, '4th Qtr'!G15)</f>
        <v>582144.29999999993</v>
      </c>
      <c r="H15" s="53">
        <f>SUM(Jan!H15, Feb!H15, Mar!H15)</f>
        <v>-123800.45</v>
      </c>
      <c r="I15" s="52">
        <f t="shared" si="2"/>
        <v>-0.21266282260257469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377711</v>
      </c>
      <c r="D16" s="45">
        <f>SUM(Jan!D16, Feb!D16, Mar!D16)</f>
        <v>280103.39</v>
      </c>
      <c r="E16" s="45">
        <f t="shared" ref="E16:E19" si="3">IF(AND(ISNUMBER(C16),ISNUMBER(D16)), C16-D16, "")</f>
        <v>97607.609999999986</v>
      </c>
      <c r="F16" s="58">
        <f t="shared" ref="F16:F19" si="4">IFERROR(E16/D16, "")</f>
        <v>0.34846993461949882</v>
      </c>
      <c r="G16" s="47">
        <f>SUM('1st Qtr'!G16, '2nd Qtr'!G16, '3rd Qtr'!G16, '4th Qtr'!G16)</f>
        <v>441106.19</v>
      </c>
      <c r="H16" s="47">
        <f>SUM(Jan!H16, Feb!H16, Mar!H16)</f>
        <v>-50948.990000000005</v>
      </c>
      <c r="I16" s="46">
        <f t="shared" ref="I16:I19" si="5">IFERROR(H16/G16, "")</f>
        <v>-0.11550277723375409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311432</v>
      </c>
      <c r="D17" s="51">
        <f>SUM(Jan!D17, Feb!D17, Mar!D17)</f>
        <v>180108.57</v>
      </c>
      <c r="E17" s="51">
        <f t="shared" si="3"/>
        <v>131323.43</v>
      </c>
      <c r="F17" s="52">
        <f t="shared" si="4"/>
        <v>0.72913482129140217</v>
      </c>
      <c r="G17" s="53">
        <f>SUM('1st Qtr'!G17, '2nd Qtr'!G17, '3rd Qtr'!G17, '4th Qtr'!G17)</f>
        <v>354060.47000000003</v>
      </c>
      <c r="H17" s="53">
        <f>SUM(Jan!H17, Feb!H17, Mar!H17)</f>
        <v>-33449.769999999997</v>
      </c>
      <c r="I17" s="52">
        <f t="shared" si="5"/>
        <v>-9.4474737606262557E-2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432740</v>
      </c>
      <c r="D18" s="45">
        <f>SUM(Jan!D18, Feb!D18, Mar!D18)</f>
        <v>324177.82</v>
      </c>
      <c r="E18" s="45">
        <f t="shared" si="3"/>
        <v>108562.18</v>
      </c>
      <c r="F18" s="58">
        <f t="shared" si="4"/>
        <v>0.33488466299144093</v>
      </c>
      <c r="G18" s="47">
        <f>SUM('1st Qtr'!G18, '2nd Qtr'!G18, '3rd Qtr'!G18, '4th Qtr'!G18)</f>
        <v>546685.37</v>
      </c>
      <c r="H18" s="47">
        <f>SUM(Jan!H18, Feb!H18, Mar!H18)</f>
        <v>-97796.77</v>
      </c>
      <c r="I18" s="46">
        <f t="shared" si="5"/>
        <v>-0.17889041003603226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773300</v>
      </c>
      <c r="D19" s="51">
        <f>SUM(Jan!D19, Feb!D19, Mar!D19)</f>
        <v>619098.5</v>
      </c>
      <c r="E19" s="51">
        <f t="shared" si="3"/>
        <v>154201.5</v>
      </c>
      <c r="F19" s="52">
        <f t="shared" si="4"/>
        <v>0.2490742587811148</v>
      </c>
      <c r="G19" s="53">
        <f>SUM('1st Qtr'!G19, '2nd Qtr'!G19, '3rd Qtr'!G19, '4th Qtr'!G19)</f>
        <v>999434.8</v>
      </c>
      <c r="H19" s="53">
        <f>SUM(Jan!H19, Feb!H19, Mar!H19)</f>
        <v>-135592.90000000002</v>
      </c>
      <c r="I19" s="52">
        <f t="shared" si="5"/>
        <v>-0.13566958044686858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448897</v>
      </c>
      <c r="D20" s="45">
        <f>SUM(Jan!D20, Feb!D20, Mar!D20)</f>
        <v>330404.44</v>
      </c>
      <c r="E20" s="45">
        <f t="shared" ref="E20" si="6">IF(AND(ISNUMBER(C20),ISNUMBER(D20)), C20-D20, "")</f>
        <v>118492.56</v>
      </c>
      <c r="F20" s="58">
        <f t="shared" ref="F20" si="7">IFERROR(E20/D20, "")</f>
        <v>0.35862883682797964</v>
      </c>
      <c r="G20" s="47">
        <f>SUM('1st Qtr'!G20, '2nd Qtr'!G20, '3rd Qtr'!G20, '4th Qtr'!G20)</f>
        <v>547782.14</v>
      </c>
      <c r="H20" s="47">
        <f>SUM(Jan!H20, Feb!H20, Mar!H20)</f>
        <v>-84032.239999999991</v>
      </c>
      <c r="I20" s="46">
        <f t="shared" ref="I20" si="8">IFERROR(H20/G20, "")</f>
        <v>-0.15340449033259826</v>
      </c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5">
      <c r="A21" s="14"/>
      <c r="B21" s="9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tabSelected="1"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143258.007224334</v>
      </c>
      <c r="D4" s="45">
        <f>SUM(Apr!D4, May!D4, Jun!D4)</f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f>SUM(Apr!G4+May!G4+Jun!G4)</f>
        <v>168203.5</v>
      </c>
      <c r="H4" s="47">
        <f>SUM(Apr!H4, May!H4, Jun!H4)</f>
        <v>-24945.492775666004</v>
      </c>
      <c r="I4" s="46">
        <f>IFERROR(H4/G4, "")</f>
        <v>-0.148305432263098</v>
      </c>
    </row>
    <row r="5" spans="1:9" ht="15.75">
      <c r="A5" s="67" t="str">
        <v>Orange A KB</v>
      </c>
      <c r="B5" s="64" t="str">
        <v>MA</v>
      </c>
      <c r="C5" s="59">
        <f>SUM(Apr!C5, May!C5, Jun!C5)</f>
        <v>115631.335573123</v>
      </c>
      <c r="D5" s="51">
        <f>SUM(Apr!D5, May!D5, Jun!D5)</f>
        <v>109834.3</v>
      </c>
      <c r="E5" s="51">
        <f t="shared" ref="E5:E15" si="0">IF(AND(ISNUMBER(C5),ISNUMBER(D5)), C5-D5, "")</f>
        <v>5797.0355731229938</v>
      </c>
      <c r="F5" s="52">
        <f>IFERROR(E5/D5, "")</f>
        <v>5.277982900717712E-2</v>
      </c>
      <c r="G5" s="47">
        <f>SUM(Apr!G5+May!G5+Jun!G5)</f>
        <v>126717.1</v>
      </c>
      <c r="H5" s="53">
        <f>SUM(Apr!H5, May!H5, Jun!H5)</f>
        <v>-11085.764426877009</v>
      </c>
      <c r="I5" s="52">
        <f>IFERROR(H5/G5, "")</f>
        <v>-8.74843602550643E-2</v>
      </c>
    </row>
    <row r="6" spans="1:9" ht="15.75">
      <c r="A6" s="66" t="str">
        <v>Goshen A</v>
      </c>
      <c r="B6" s="62" t="str">
        <v>MA</v>
      </c>
      <c r="C6" s="57">
        <f>SUM(Apr!C6, May!C6, Jun!C6)</f>
        <v>129214</v>
      </c>
      <c r="D6" s="45">
        <f>SUM(Apr!D6, May!D6, Jun!D6)</f>
        <v>130471</v>
      </c>
      <c r="E6" s="45">
        <f t="shared" si="0"/>
        <v>-1257</v>
      </c>
      <c r="F6" s="58">
        <f t="shared" ref="F6:F15" si="1">IFERROR(E6/D6, "")</f>
        <v>-9.6343248691280053E-3</v>
      </c>
      <c r="G6" s="47">
        <f>SUM(Apr!G6+May!G6+Jun!G6)</f>
        <v>106261</v>
      </c>
      <c r="H6" s="47">
        <f>SUM(Apr!H6, May!H6, Jun!H6)</f>
        <v>22953</v>
      </c>
      <c r="I6" s="46">
        <f t="shared" ref="I6:I15" si="2">IFERROR(H6/G6, "")</f>
        <v>0.21600587233321727</v>
      </c>
    </row>
    <row r="7" spans="1:9" ht="15.75">
      <c r="A7" s="67" t="str">
        <v>Phillipston A KB</v>
      </c>
      <c r="B7" s="64" t="str">
        <v>MA</v>
      </c>
      <c r="C7" s="59">
        <f>SUM(Apr!C7, May!C7, Jun!C7)</f>
        <v>142454</v>
      </c>
      <c r="D7" s="51">
        <f>SUM(Apr!D7, May!D7, Jun!D7)</f>
        <v>156407.6</v>
      </c>
      <c r="E7" s="51">
        <f t="shared" si="0"/>
        <v>-13953.600000000006</v>
      </c>
      <c r="F7" s="52">
        <f t="shared" si="1"/>
        <v>-8.9213056143051903E-2</v>
      </c>
      <c r="G7" s="47">
        <f>SUM(Apr!G7+May!G7+Jun!G7)</f>
        <v>115136.8</v>
      </c>
      <c r="H7" s="53">
        <f>SUM(Apr!H7, May!H7, Jun!H7)</f>
        <v>27317.199999999997</v>
      </c>
      <c r="I7" s="52">
        <f t="shared" si="2"/>
        <v>0.23725863494556038</v>
      </c>
    </row>
    <row r="8" spans="1:9" ht="15.75">
      <c r="A8" s="66" t="str">
        <v>Uxbridge D</v>
      </c>
      <c r="B8" s="62" t="str">
        <v>MA</v>
      </c>
      <c r="C8" s="57">
        <f>SUM(Apr!C8, May!C8, Jun!C8)</f>
        <v>144003</v>
      </c>
      <c r="D8" s="45">
        <f>SUM(Apr!D8, May!D8, Jun!D8)</f>
        <v>147586.70000000001</v>
      </c>
      <c r="E8" s="45">
        <f t="shared" si="0"/>
        <v>-3583.7000000000116</v>
      </c>
      <c r="F8" s="58">
        <f t="shared" si="1"/>
        <v>-2.4281998310145912E-2</v>
      </c>
      <c r="G8" s="47">
        <f>SUM(Apr!G8+May!G8+Jun!G8)</f>
        <v>165832.79999999999</v>
      </c>
      <c r="H8" s="47">
        <f>SUM(Apr!H8, May!H8, Jun!H8)</f>
        <v>-21829.799999999988</v>
      </c>
      <c r="I8" s="46">
        <f t="shared" si="2"/>
        <v>-0.13163740828111201</v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254331.5</v>
      </c>
      <c r="D9" s="51">
        <f>SUM(Apr!D9, May!D9, Jun!D9)</f>
        <v>261902.2</v>
      </c>
      <c r="E9" s="51">
        <f t="shared" si="0"/>
        <v>-7570.7000000000116</v>
      </c>
      <c r="F9" s="52">
        <f t="shared" si="1"/>
        <v>-2.8906591849934868E-2</v>
      </c>
      <c r="G9" s="47">
        <f>SUM(Apr!G9+May!G9+Jun!G9)</f>
        <v>280666.3</v>
      </c>
      <c r="H9" s="53">
        <f>SUM(Apr!H9, May!H9, Jun!H9)</f>
        <v>-26334.799999999988</v>
      </c>
      <c r="I9" s="52">
        <f t="shared" si="2"/>
        <v>-9.3829576261916695E-2</v>
      </c>
    </row>
    <row r="10" spans="1:9" ht="15.75">
      <c r="A10" s="66" t="str">
        <v>Sutton A</v>
      </c>
      <c r="B10" s="62" t="str">
        <v>MA</v>
      </c>
      <c r="C10" s="57">
        <f>SUM(Apr!C10, May!C10, Jun!C10)</f>
        <v>135968</v>
      </c>
      <c r="D10" s="45">
        <f>SUM(Apr!D10, May!D10, Jun!D10)</f>
        <v>139058.20000000001</v>
      </c>
      <c r="E10" s="45">
        <f t="shared" si="0"/>
        <v>-3090.2000000000116</v>
      </c>
      <c r="F10" s="58">
        <f t="shared" si="1"/>
        <v>-2.2222350066375168E-2</v>
      </c>
      <c r="G10" s="47">
        <f>SUM(Apr!G10+May!G10+Jun!G10)</f>
        <v>159133.1</v>
      </c>
      <c r="H10" s="47">
        <f>SUM(Apr!H10, May!H10, Jun!H10)</f>
        <v>-23165.100000000006</v>
      </c>
      <c r="I10" s="46">
        <f t="shared" si="2"/>
        <v>-0.14557059467829134</v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133243</v>
      </c>
      <c r="D11" s="51">
        <f>SUM(Apr!D11, May!D11, Jun!D11)</f>
        <v>136901.6</v>
      </c>
      <c r="E11" s="51">
        <f t="shared" si="0"/>
        <v>-3658.6000000000058</v>
      </c>
      <c r="F11" s="52">
        <f t="shared" si="1"/>
        <v>-2.672430417175552E-2</v>
      </c>
      <c r="G11" s="47">
        <f>SUM(Apr!G11+May!G11+Jun!G11)</f>
        <v>169783.1</v>
      </c>
      <c r="H11" s="53">
        <f>SUM(Apr!H11, May!H11, Jun!H11)</f>
        <v>-36540.100000000006</v>
      </c>
      <c r="I11" s="52">
        <f t="shared" si="2"/>
        <v>-0.21521635545587284</v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131267</v>
      </c>
      <c r="D12" s="45">
        <f>SUM(Apr!D12, May!D12, Jun!D12)</f>
        <v>118829.4</v>
      </c>
      <c r="E12" s="45">
        <f t="shared" si="0"/>
        <v>12437.600000000006</v>
      </c>
      <c r="F12" s="58">
        <f t="shared" si="1"/>
        <v>0.10466770008095645</v>
      </c>
      <c r="G12" s="47">
        <f>SUM(Apr!G12+May!G12+Jun!G12)</f>
        <v>169783.1</v>
      </c>
      <c r="H12" s="47">
        <f>SUM(Apr!H12, May!H12, Jun!H12)</f>
        <v>-38516.100000000006</v>
      </c>
      <c r="I12" s="46">
        <f t="shared" si="2"/>
        <v>-0.22685473406952755</v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137517</v>
      </c>
      <c r="D13" s="51">
        <f>SUM(Apr!D13, May!D13, Jun!D13)</f>
        <v>139764.5</v>
      </c>
      <c r="E13" s="51">
        <f t="shared" si="0"/>
        <v>-2247.5</v>
      </c>
      <c r="F13" s="52">
        <f t="shared" si="1"/>
        <v>-1.6080621330881589E-2</v>
      </c>
      <c r="G13" s="47">
        <f>SUM(Apr!G13+May!G13+Jun!G13)</f>
        <v>169012.3</v>
      </c>
      <c r="H13" s="53">
        <f>SUM(Apr!H13, May!H13, Jun!H13)</f>
        <v>-31495.299999999988</v>
      </c>
      <c r="I13" s="52">
        <f t="shared" si="2"/>
        <v>-0.18634915920320586</v>
      </c>
    </row>
    <row r="14" spans="1:9" ht="15.75">
      <c r="A14" s="66" t="str">
        <v>Swansea B</v>
      </c>
      <c r="B14" s="62" t="str">
        <v>MA</v>
      </c>
      <c r="C14" s="57">
        <f>SUM(Apr!C14, May!C14, Jun!C14)</f>
        <v>157217</v>
      </c>
      <c r="D14" s="45">
        <f>SUM(Apr!D14, May!D14, Jun!D14)</f>
        <v>159428.79999999999</v>
      </c>
      <c r="E14" s="45">
        <f t="shared" si="0"/>
        <v>-2211.7999999999884</v>
      </c>
      <c r="F14" s="58">
        <f t="shared" si="1"/>
        <v>-1.3873277601035626E-2</v>
      </c>
      <c r="G14" s="47">
        <f>SUM(Apr!G14+May!G14+Jun!G14)</f>
        <v>123799.4</v>
      </c>
      <c r="H14" s="47">
        <f>SUM(Apr!H14, May!H14, Jun!H14)</f>
        <v>33417.600000000006</v>
      </c>
      <c r="I14" s="46">
        <f t="shared" si="2"/>
        <v>0.26993345686651155</v>
      </c>
    </row>
    <row r="15" spans="1:9" ht="15.75">
      <c r="A15" s="67" t="str">
        <v>Wareham 2</v>
      </c>
      <c r="B15" s="64" t="str">
        <v>MA</v>
      </c>
      <c r="C15" s="59">
        <f>SUM(Apr!C15, May!C15, Jun!C15)</f>
        <v>140967.20000000001</v>
      </c>
      <c r="D15" s="51">
        <f>SUM(Apr!D15, May!D15, Jun!D15)</f>
        <v>137966</v>
      </c>
      <c r="E15" s="51">
        <f t="shared" si="0"/>
        <v>3001.2000000000116</v>
      </c>
      <c r="F15" s="52">
        <f t="shared" si="1"/>
        <v>2.1753185567458734E-2</v>
      </c>
      <c r="G15" s="47">
        <f>SUM(Apr!G15+May!G15+Jun!G15)</f>
        <v>186589.6</v>
      </c>
      <c r="H15" s="53">
        <f>SUM(Apr!H15, May!H15, Jun!H15)</f>
        <v>-45622.399999999994</v>
      </c>
      <c r="I15" s="52">
        <f t="shared" si="2"/>
        <v>-0.244506660607022</v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131349</v>
      </c>
      <c r="D16" s="45">
        <f>SUM(Apr!D16, May!D16, Jun!D16)</f>
        <v>130566.39999999999</v>
      </c>
      <c r="E16" s="45">
        <f t="shared" ref="E16:E18" si="3">IF(AND(ISNUMBER(C16),ISNUMBER(D16)), C16-D16, "")</f>
        <v>782.60000000000582</v>
      </c>
      <c r="F16" s="58">
        <f t="shared" ref="F16:F18" si="4">IFERROR(E16/D16, "")</f>
        <v>5.9938851036714334E-3</v>
      </c>
      <c r="G16" s="47">
        <f>SUM(Apr!G16+May!G16+Jun!G16)</f>
        <v>143795.20000000001</v>
      </c>
      <c r="H16" s="47">
        <f>SUM(Apr!H16, May!H16, Jun!H16)</f>
        <v>-12446.200000000012</v>
      </c>
      <c r="I16" s="46">
        <f t="shared" ref="I16:I18" si="5">IFERROR(H16/G16, "")</f>
        <v>-8.6555044952821861E-2</v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106240</v>
      </c>
      <c r="D17" s="45">
        <f>SUM(Apr!D17, May!D17, Jun!D17)</f>
        <v>89203.59</v>
      </c>
      <c r="E17" s="45">
        <f t="shared" si="3"/>
        <v>17036.410000000003</v>
      </c>
      <c r="F17" s="58">
        <f t="shared" si="4"/>
        <v>0.19098345705593245</v>
      </c>
      <c r="G17" s="47">
        <f>SUM(Apr!G17+May!G17+Jun!G17)</f>
        <v>115418.7</v>
      </c>
      <c r="H17" s="47">
        <f>SUM(Apr!H17, May!H17, Jun!H17)</f>
        <v>-9178.6999999999971</v>
      </c>
      <c r="I17" s="46">
        <f t="shared" si="5"/>
        <v>-7.9525241576971467E-2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150997</v>
      </c>
      <c r="D18" s="51">
        <f>SUM(Apr!D18, May!D18, Jun!D18)</f>
        <v>146964.1</v>
      </c>
      <c r="E18" s="51">
        <f t="shared" si="3"/>
        <v>4032.8999999999942</v>
      </c>
      <c r="F18" s="52">
        <f t="shared" si="4"/>
        <v>2.7441395551702722E-2</v>
      </c>
      <c r="G18" s="47">
        <f>SUM(Apr!G18+May!G18+Jun!G18)</f>
        <v>167145.60000000001</v>
      </c>
      <c r="H18" s="53">
        <f>SUM(Apr!H18, May!H18, Jun!H18)</f>
        <v>-16148.600000000006</v>
      </c>
      <c r="I18" s="52">
        <f t="shared" si="5"/>
        <v>-9.6613970095533505E-2</v>
      </c>
    </row>
    <row r="19" spans="1:9" ht="15.75">
      <c r="A19" s="67" t="str">
        <v>Fairhaven C</v>
      </c>
      <c r="B19" s="64" t="str">
        <v>MA</v>
      </c>
      <c r="C19" s="57">
        <f>SUM(Apr!C19, May!C19, Jun!C19)</f>
        <v>230664</v>
      </c>
      <c r="D19" s="45">
        <f>SUM(Apr!D19, May!D19, Jun!D19)</f>
        <v>278442.5</v>
      </c>
      <c r="E19" s="45">
        <f t="shared" ref="E19:E20" si="6">IF(AND(ISNUMBER(C19),ISNUMBER(D19)), C19-D19, "")</f>
        <v>-47778.5</v>
      </c>
      <c r="F19" s="58">
        <f t="shared" ref="F19:F20" si="7">IFERROR(E19/D19, "")</f>
        <v>-0.17159198039092452</v>
      </c>
      <c r="G19" s="47">
        <f>SUM(Apr!G19+May!G19+Jun!G19)</f>
        <v>321205.90000000002</v>
      </c>
      <c r="H19" s="47">
        <f>SUM(Apr!H19, May!H19, Jun!H19)</f>
        <v>-90541.900000000023</v>
      </c>
      <c r="I19" s="46">
        <f t="shared" ref="I19:I20" si="8">IFERROR(H19/G19, "")</f>
        <v>-0.28188118586862826</v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154728</v>
      </c>
      <c r="D20" s="45">
        <f>SUM(Apr!D20, May!D20, Jun!D20)</f>
        <v>155462.20000000001</v>
      </c>
      <c r="E20" s="45">
        <f t="shared" si="6"/>
        <v>-734.20000000001164</v>
      </c>
      <c r="F20" s="58">
        <f t="shared" si="7"/>
        <v>-4.722691432386854E-3</v>
      </c>
      <c r="G20" s="47">
        <f>SUM(Apr!G20+May!G20+Jun!G20)</f>
        <v>169580.9</v>
      </c>
      <c r="H20" s="47">
        <f>SUM(Apr!H20, May!H20, Jun!H20)</f>
        <v>-14852.899999999994</v>
      </c>
      <c r="I20" s="46">
        <f t="shared" si="8"/>
        <v>-8.7585925065853498E-2</v>
      </c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/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/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/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/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/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/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/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/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/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/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/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/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/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/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5">
      <c r="A25" s="14"/>
      <c r="B25" s="9"/>
      <c r="C25" s="32"/>
      <c r="D25" s="11"/>
      <c r="E25" s="11"/>
      <c r="F25" s="12"/>
      <c r="G25" s="13"/>
      <c r="H25" s="13"/>
      <c r="I25" s="12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30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4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30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30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60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30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38</v>
      </c>
      <c r="E1" s="77"/>
      <c r="F1" s="77"/>
      <c r="G1" s="75" t="s">
        <v>39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30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30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53</v>
      </c>
      <c r="E1" s="77"/>
      <c r="F1" s="77"/>
      <c r="G1" s="75" t="s">
        <v>54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30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7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30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workbookViewId="0">
      <pane xSplit="2" ySplit="3" topLeftCell="C4" activePane="bottomRight" state="frozen"/>
      <selection pane="bottomRight" activeCell="J19" sqref="J19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60</v>
      </c>
      <c r="E1" s="77"/>
      <c r="F1" s="77"/>
      <c r="G1" s="75" t="s">
        <v>61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75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6.5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75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75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75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6.5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75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6.5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75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workbookViewId="0">
      <pane xSplit="2" ySplit="3" topLeftCell="C4" activePane="bottomRight" state="frozen"/>
      <selection pane="bottomRight" activeCell="B31" sqref="B31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84</v>
      </c>
      <c r="E1" s="77"/>
      <c r="F1" s="77"/>
      <c r="G1" s="75" t="s">
        <v>85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86</v>
      </c>
      <c r="E1" s="77"/>
      <c r="F1" s="77"/>
      <c r="G1" s="75" t="s">
        <v>87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88</v>
      </c>
      <c r="E1" s="77"/>
      <c r="F1" s="77"/>
      <c r="G1" s="75" t="s">
        <v>89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90</v>
      </c>
      <c r="E1" s="77"/>
      <c r="F1" s="77"/>
      <c r="G1" s="75" t="s">
        <v>91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92</v>
      </c>
      <c r="E1" s="77"/>
      <c r="F1" s="77"/>
      <c r="G1" s="75" t="s">
        <v>93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94</v>
      </c>
      <c r="E1" s="77"/>
      <c r="F1" s="77"/>
      <c r="G1" s="75" t="s">
        <v>95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96</v>
      </c>
      <c r="E1" s="77"/>
      <c r="F1" s="77"/>
      <c r="G1" s="75" t="s">
        <v>97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98</v>
      </c>
      <c r="E1" s="77"/>
      <c r="F1" s="77"/>
      <c r="G1" s="75" t="s">
        <v>99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100</v>
      </c>
      <c r="B1" t="s">
        <v>101</v>
      </c>
    </row>
    <row r="3" spans="1:12">
      <c r="A3" t="s">
        <v>102</v>
      </c>
      <c r="B3" t="s">
        <v>3</v>
      </c>
      <c r="C3" t="s">
        <v>4</v>
      </c>
      <c r="D3" t="s">
        <v>103</v>
      </c>
      <c r="E3" s="2" t="s">
        <v>104</v>
      </c>
    </row>
    <row r="4" spans="1:12" ht="15">
      <c r="A4" s="35" t="s">
        <v>105</v>
      </c>
      <c r="B4" t="s">
        <v>106</v>
      </c>
      <c r="C4" s="34" t="s">
        <v>107</v>
      </c>
      <c r="D4" s="33" t="s">
        <v>108</v>
      </c>
      <c r="E4" t="s">
        <v>109</v>
      </c>
      <c r="G4" s="3"/>
    </row>
    <row r="5" spans="1:12" ht="15">
      <c r="A5" s="35" t="s">
        <v>110</v>
      </c>
      <c r="B5" t="s">
        <v>111</v>
      </c>
      <c r="C5" s="34" t="s">
        <v>107</v>
      </c>
      <c r="D5" s="33" t="s">
        <v>108</v>
      </c>
      <c r="E5" t="s">
        <v>109</v>
      </c>
      <c r="G5" s="3"/>
    </row>
    <row r="6" spans="1:12" ht="15">
      <c r="A6" s="35" t="s">
        <v>112</v>
      </c>
      <c r="B6" t="s">
        <v>113</v>
      </c>
      <c r="C6" s="34" t="s">
        <v>107</v>
      </c>
      <c r="D6" s="33" t="s">
        <v>108</v>
      </c>
      <c r="E6" t="s">
        <v>109</v>
      </c>
      <c r="G6" s="3"/>
    </row>
    <row r="7" spans="1:12" ht="12.75" customHeight="1">
      <c r="A7" s="35" t="s">
        <v>114</v>
      </c>
      <c r="B7" t="s">
        <v>115</v>
      </c>
      <c r="C7" s="34" t="s">
        <v>107</v>
      </c>
      <c r="D7" s="33" t="s">
        <v>108</v>
      </c>
      <c r="E7" t="s">
        <v>109</v>
      </c>
    </row>
    <row r="8" spans="1:12" ht="12.75" customHeight="1">
      <c r="A8" s="35" t="s">
        <v>116</v>
      </c>
      <c r="B8" t="s">
        <v>117</v>
      </c>
      <c r="C8" s="34" t="s">
        <v>107</v>
      </c>
      <c r="D8" s="33" t="s">
        <v>108</v>
      </c>
      <c r="E8" t="s">
        <v>109</v>
      </c>
    </row>
    <row r="9" spans="1:12" ht="12.75" customHeight="1">
      <c r="A9" s="35" t="s">
        <v>118</v>
      </c>
      <c r="B9" t="s">
        <v>119</v>
      </c>
      <c r="C9" s="34" t="s">
        <v>107</v>
      </c>
      <c r="D9" s="33" t="s">
        <v>108</v>
      </c>
      <c r="E9" t="s">
        <v>109</v>
      </c>
    </row>
    <row r="10" spans="1:12" ht="12.75" customHeight="1">
      <c r="A10" s="35" t="s">
        <v>120</v>
      </c>
      <c r="B10" t="s">
        <v>121</v>
      </c>
      <c r="C10" s="34" t="s">
        <v>107</v>
      </c>
      <c r="D10" s="33" t="s">
        <v>108</v>
      </c>
      <c r="E10" t="s">
        <v>109</v>
      </c>
      <c r="K10" s="30"/>
      <c r="L10" s="30"/>
    </row>
    <row r="11" spans="1:12" ht="12.75" customHeight="1">
      <c r="A11" s="35" t="s">
        <v>122</v>
      </c>
      <c r="B11" t="s">
        <v>123</v>
      </c>
      <c r="C11" s="34" t="s">
        <v>107</v>
      </c>
      <c r="D11" s="33" t="s">
        <v>108</v>
      </c>
      <c r="E11" t="s">
        <v>109</v>
      </c>
      <c r="K11" s="30"/>
      <c r="L11" s="30"/>
    </row>
    <row r="12" spans="1:12" ht="12.75" customHeight="1">
      <c r="A12" s="35" t="s">
        <v>124</v>
      </c>
      <c r="B12" t="s">
        <v>125</v>
      </c>
      <c r="C12" s="34" t="s">
        <v>107</v>
      </c>
      <c r="D12" s="33" t="s">
        <v>108</v>
      </c>
      <c r="E12" t="s">
        <v>109</v>
      </c>
      <c r="K12" s="30"/>
      <c r="L12" s="30"/>
    </row>
    <row r="13" spans="1:12" ht="12.75" customHeight="1">
      <c r="A13" s="35" t="s">
        <v>126</v>
      </c>
      <c r="B13" t="s">
        <v>127</v>
      </c>
      <c r="C13" s="34" t="s">
        <v>107</v>
      </c>
      <c r="D13" s="33" t="s">
        <v>108</v>
      </c>
      <c r="E13" t="s">
        <v>109</v>
      </c>
      <c r="K13" s="30"/>
      <c r="L13" s="30"/>
    </row>
    <row r="14" spans="1:12" ht="12.75" customHeight="1">
      <c r="A14" s="35" t="s">
        <v>128</v>
      </c>
      <c r="B14" t="s">
        <v>129</v>
      </c>
      <c r="C14" s="34" t="s">
        <v>107</v>
      </c>
      <c r="D14" s="33" t="s">
        <v>108</v>
      </c>
      <c r="E14" t="s">
        <v>109</v>
      </c>
      <c r="K14" s="30"/>
      <c r="L14" s="30"/>
    </row>
    <row r="15" spans="1:12" ht="12.75" customHeight="1">
      <c r="A15" s="35" t="s">
        <v>130</v>
      </c>
      <c r="B15" t="s">
        <v>131</v>
      </c>
      <c r="C15" s="34" t="s">
        <v>107</v>
      </c>
      <c r="D15" s="33" t="s">
        <v>108</v>
      </c>
      <c r="E15" t="s">
        <v>109</v>
      </c>
      <c r="K15" s="30"/>
      <c r="L15" s="30"/>
    </row>
    <row r="16" spans="1:12" ht="12.75" customHeight="1">
      <c r="A16" s="35" t="s">
        <v>132</v>
      </c>
      <c r="B16" t="s">
        <v>133</v>
      </c>
      <c r="C16" s="34" t="s">
        <v>107</v>
      </c>
      <c r="D16" s="33" t="s">
        <v>108</v>
      </c>
      <c r="E16" t="s">
        <v>109</v>
      </c>
      <c r="K16" s="30"/>
      <c r="L16" s="30"/>
    </row>
    <row r="17" spans="1:12" ht="12.75" customHeight="1">
      <c r="A17" s="35" t="s">
        <v>134</v>
      </c>
      <c r="B17" t="s">
        <v>135</v>
      </c>
      <c r="C17" s="34" t="s">
        <v>107</v>
      </c>
      <c r="D17" s="33" t="s">
        <v>108</v>
      </c>
      <c r="E17" t="s">
        <v>109</v>
      </c>
      <c r="K17" s="30"/>
      <c r="L17" s="30"/>
    </row>
    <row r="18" spans="1:12" ht="12.75" customHeight="1">
      <c r="A18" s="35" t="s">
        <v>136</v>
      </c>
      <c r="B18" t="s">
        <v>137</v>
      </c>
      <c r="C18" s="34" t="s">
        <v>107</v>
      </c>
      <c r="D18" s="33" t="s">
        <v>108</v>
      </c>
      <c r="E18" t="s">
        <v>109</v>
      </c>
      <c r="K18" s="30"/>
      <c r="L18" s="30"/>
    </row>
    <row r="19" spans="1:12" ht="12.75" customHeight="1">
      <c r="A19" s="35" t="s">
        <v>138</v>
      </c>
      <c r="B19" t="s">
        <v>139</v>
      </c>
      <c r="C19" s="34" t="s">
        <v>107</v>
      </c>
      <c r="D19" s="33" t="s">
        <v>108</v>
      </c>
      <c r="E19" t="s">
        <v>109</v>
      </c>
      <c r="K19" s="30"/>
      <c r="L19" s="30"/>
    </row>
    <row r="20" spans="1:12" ht="12.75" customHeight="1">
      <c r="A20" s="35" t="s">
        <v>140</v>
      </c>
      <c r="B20" t="s">
        <v>141</v>
      </c>
      <c r="C20" s="34" t="s">
        <v>107</v>
      </c>
      <c r="D20" s="33" t="s">
        <v>108</v>
      </c>
      <c r="E20" t="s">
        <v>109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2024-06-05T06:17:12Z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