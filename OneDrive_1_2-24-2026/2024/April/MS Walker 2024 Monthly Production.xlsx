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8B2F472F-602C-4494-B7B3-0134EBF224A8}" xr6:coauthVersionLast="47" xr6:coauthVersionMax="47" xr10:uidLastSave="{657B2B83-5EA7-4325-819B-9534115A4E11}"/>
  <bookViews>
    <workbookView xWindow="-108" yWindow="-108" windowWidth="23256" windowHeight="12456" tabRatio="866" firstSheet="2" activeTab="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<sst xmlns="http://schemas.openxmlformats.org/spreadsheetml/2006/main" count="239" uniqueCount="52">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</sst>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133111.82800000001</v>
      </c>
      <c r="D2" s="6">
        <f>SUM(D4:D60)</f>
        <v>0</v>
      </c>
      <c r="E2" s="6">
        <f>C2-D2</f>
        <v>133111.82800000001</v>
      </c>
      <c r="F2" s="7">
        <f>IFERROR(E2/D2, 0)</f>
        <v>0</v>
      </c>
      <c r="G2" s="6">
        <f>SUM(G4:G60)</f>
        <v>0</v>
      </c>
      <c r="H2" s="8">
        <f>C2-G2</f>
        <v>133111.82800000001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133111.82800000001</v>
      </c>
      <c r="D4" s="14">
        <f>SUM('1st Qtr'!D4, '2nd Qtr'!D4, '3rd Qtr'!D4, '4th Qtr'!D4)</f>
        <v>0</v>
      </c>
      <c r="E4" s="14">
        <f>IF(AND(ISNUMBER(C4),ISNUMBER(D4)), C4-D4, "")</f>
        <v>133111.82800000001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133111.82800000001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C34" sqref="C3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tabSelected="1"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61204.828000000001</v>
      </c>
      <c r="D4" s="14">
        <f>SUM(Apr!D4, May!D4, Jun!D4)</f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61204.828000000001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F3" activePane="bottomLeft" state="frozen"/>
      <selection pane="bottomLeft" activeCell="F8" sqref="F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45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 [AGS]</cp:lastModifiedBy>
  <cp:revision/>
  <dcterms:created xsi:type="dcterms:W3CDTF">2021-01-01T16:39:53Z</dcterms:created>
  <dcterms:modified xsi:type="dcterms:W3CDTF">2024-05-14T08:24:16Z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