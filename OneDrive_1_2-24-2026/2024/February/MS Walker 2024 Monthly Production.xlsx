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8" documentId="13_ncr:1_{F538C9AA-1220-4320-A079-3BD654738AC3}" xr6:coauthVersionLast="47" xr6:coauthVersionMax="47" xr10:uidLastSave="{4F485402-EEE9-4F68-A8E2-4100B0171441}"/>
  <bookViews>
    <workbookView xWindow="-28920" yWindow="7725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<sst xmlns="http://schemas.openxmlformats.org/spreadsheetml/2006/main" count="239" uniqueCount="52">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</sst>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37136</v>
      </c>
      <c r="D2" s="6">
        <f>SUM(D4:D60)</f>
        <v>0</v>
      </c>
      <c r="E2" s="6">
        <f>C2-D2</f>
        <v>37136</v>
      </c>
      <c r="F2" s="7">
        <f>IFERROR(E2/D2, 0)</f>
        <v>0</v>
      </c>
      <c r="G2" s="6">
        <f>SUM(G4:G60)</f>
        <v>0</v>
      </c>
      <c r="H2" s="8">
        <f>C2-G2</f>
        <v>37136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37136</v>
      </c>
      <c r="D4" s="14">
        <f>SUM('1st Qtr'!D4, '2nd Qtr'!D4, '3rd Qtr'!D4, '4th Qtr'!D4)</f>
        <v>0</v>
      </c>
      <c r="E4" s="14">
        <f>IF(AND(ISNUMBER(C4),ISNUMBER(D4)), C4-D4, "")</f>
        <v>37136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37136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37136</v>
      </c>
      <c r="D2" s="6">
        <f>SUM(D4:D68)</f>
        <v>0</v>
      </c>
      <c r="E2" s="6">
        <f>C2-D2</f>
        <v>37136</v>
      </c>
      <c r="F2" s="7">
        <f>IFERROR(E2/D2, 0)</f>
        <v>0</v>
      </c>
      <c r="G2" s="6">
        <f>SUM(G4:G68)</f>
        <v>0</v>
      </c>
      <c r="H2" s="8">
        <f>C2-G2</f>
        <v>37136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37136</v>
      </c>
      <c r="D4" s="14">
        <f>SUM(Jan!D4, Feb!D4, Mar!D4)</f>
        <v>0</v>
      </c>
      <c r="E4" s="14">
        <f>IF(AND(ISNUMBER(C4),ISNUMBER(D4)), C4-D4, "")</f>
        <v>37136</v>
      </c>
      <c r="F4" s="15" t="str">
        <f>IFERROR(E4/D4, "")</f>
        <v/>
      </c>
      <c r="G4" s="16">
        <f>SUM(Jan!G4, Feb!G4, Mar!G4)</f>
        <v>0</v>
      </c>
      <c r="H4" s="16">
        <f>SUM(Jan!H4, Feb!H4, Mar!H4)</f>
        <v>37136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24" sqref="E2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2" sqref="J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2024-03-14T11:10:39Z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