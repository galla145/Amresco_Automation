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712B641-4527-4AB0-90A9-D2D3E5814EB4}" xr6:coauthVersionLast="47" xr6:coauthVersionMax="47" xr10:uidLastSave="{00000000-0000-0000-0000-000000000000}"/>
  <bookViews>
    <workbookView xWindow="-12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2" l="1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E5" i="30" s="1"/>
  <c r="F5" i="30" s="1"/>
  <c r="D4" i="30"/>
  <c r="C4" i="30"/>
  <c r="E4" i="30" s="1"/>
  <c r="F4" i="30" s="1"/>
  <c r="D5" i="29"/>
  <c r="C5" i="29"/>
  <c r="D4" i="29"/>
  <c r="C4" i="29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29" l="1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<sst xmlns="http://schemas.openxmlformats.org/spreadsheetml/2006/main" count="253" uniqueCount="62">
  <si>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</si>
  <si>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</si>
  <si>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</si>
  <si>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</si>
  <si>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</si>
  <si>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</si>
  <si>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</si>
  <si>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</si>
  <si>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</si>
  <si>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</si>
  <si>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</si>
  <si>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</si>
  <si>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</si>
  <si>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</si>
  <si>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</si>
  <si>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</si>
  <si>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</si>
  <si>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</si>
  <si>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</si>
  <si>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</si>
  <si>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</si>
  <si>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</si>
  <si>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 3.1,4.1 Module 1 and 5.1 module 2 has not started production on 01/09, 01/16, 01/18, 01/19 and 01/31 
2.Inverter module 1.1 offline on 01/19 to 01/22 and started on 01/23 at 12:15</t>
  </si>
  <si>
    <t>1.SR080623, SR080624	
2.SR080390</t>
  </si>
  <si>
    <t>1.Production meter was damaged they had to by pass the meter.
2.Inverter 5.1 module 2 is offfline on 01/17 and started on 01/18 at 10:45
3.Site tripped offlinedue to Utility planned outage on 01/25 at 12:00 and back online 02/01.
Actual energy data is taken from Inverters data since production meter data is not available***</t>
  </si>
  <si>
    <t>1.SR073174
2.SR080283
3.SR080466</t>
  </si>
  <si>
    <t>February Actual v. Expected</t>
  </si>
  <si>
    <t>February Actual v. Forecasted</t>
  </si>
  <si>
    <t>1. Inverter 5.1 module 1 did not start for production and back online at 14:00 on 02/29</t>
  </si>
  <si>
    <t>1. SR081450</t>
  </si>
  <si>
    <t>1. Inverters 6.1 Combiner boxes 1,2,3, 12,18,19,20 were barely producing on 02/09 and and issue resolved due to inverter being powercycled at 14:00. Issue reoccurred on 02/13 and resolved due to inverter being powercycled at 09:00 on 02/14</t>
  </si>
  <si>
    <t>1. SR080883, SR080968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</si>
  <si>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</si>
  <si>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</si>
  <si>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</si>
  <si>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</si>
  <si>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</si>
  <si>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</si>
  <si>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</si>
  <si>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</si>
  <si>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</si>
  <si>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</si>
  <si>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</si>
  <si>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</si>
  <si>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</si>
  <si>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</si>
  <si>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</si>
  <si>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</si>
  <si>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</si>
  <si>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</si>
  <si>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</si>
  <si>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</si>
  <si>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</si>
  <si>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NY8</t>
  </si>
  <si>
    <t>Site DAS Name</t>
  </si>
  <si>
    <t>Update</t>
  </si>
  <si>
    <t>DAS</t>
  </si>
  <si>
    <t>Janis</t>
  </si>
  <si>
    <t>NY</t>
  </si>
  <si>
    <t>AEF</t>
  </si>
  <si>
    <t>PowerTrack</t>
  </si>
  <si>
    <t>Puckett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</si>
</sst>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F19" sqref="F1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SUM(C4:C80)</f>
        <v>6432212.9414540734</v>
      </c>
      <c r="D2" s="5">
        <f>SUM(D4:D80)</f>
        <v>5811926.4000000004</v>
      </c>
      <c r="E2" s="5">
        <f>C2-D2</f>
        <v>620286.54145407304</v>
      </c>
      <c r="F2" s="6">
        <f>IFERROR(E2/D2, 0)</f>
        <v>0.10672649630492104</v>
      </c>
      <c r="G2" s="5">
        <f>SUM(G4:G80)</f>
        <v>6339331</v>
      </c>
      <c r="H2" s="7">
        <f>C2-G2</f>
        <v>92881.941454073414</v>
      </c>
      <c r="I2" s="6">
        <f>IFERROR(H2/G2, 0)</f>
        <v>1.4651694548537285E-2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Janis</v>
      </c>
      <c r="B4" s="9" t="str" cm="1">
        <f t="array" ref="B4:B5">Sites[State]</f>
        <v>NY</v>
      </c>
      <c r="C4" s="24">
        <f>SUM('1st Qtr'!C4, '2nd Qtr'!C4, '3rd Qtr'!C4, '4th Qtr'!C4)</f>
        <v>3117477.9414540739</v>
      </c>
      <c r="D4" s="13">
        <f>SUM('1st Qtr'!D4, '2nd Qtr'!D4, '3rd Qtr'!D4, '4th Qtr'!D4)</f>
        <v>3420344</v>
      </c>
      <c r="E4" s="13">
        <f>IF(AND(ISNUMBER(C4),ISNUMBER(D4)), C4-D4, "")</f>
        <v>-302866.05854592612</v>
      </c>
      <c r="F4" s="14">
        <f>IFERROR(E4/D4, "")</f>
        <v>-8.8548420435466763E-2</v>
      </c>
      <c r="G4" s="15">
        <f>SUM('1st Qtr'!G4, '2nd Qtr'!G4, '3rd Qtr'!G4, '4th Qtr'!G4)</f>
        <v>3439319</v>
      </c>
      <c r="H4" s="15">
        <f>SUM('1st Qtr'!H4, '2nd Qtr'!H4, '3rd Qtr'!H4, '4th Qtr'!H4)</f>
        <v>-321841.05854592612</v>
      </c>
      <c r="I4" s="16">
        <f>IFERROR(H4/G4, "")</f>
        <v>-9.3576972227910851E-2</v>
      </c>
    </row>
    <row r="5" spans="1:9" ht="15.75">
      <c r="A5" s="17" t="str">
        <v>Puckett Solar</v>
      </c>
      <c r="B5" s="10" t="str">
        <v>NY</v>
      </c>
      <c r="C5" s="11">
        <f>SUM(Jan!C5, Feb!C5, Mar!C5)</f>
        <v>3314735</v>
      </c>
      <c r="D5" s="18">
        <f>SUM(Jan!D5, Feb!D5, Mar!D5)</f>
        <v>2391582.4</v>
      </c>
      <c r="E5" s="18">
        <f t="shared" ref="E5" si="0">IF(AND(ISNUMBER(C5),ISNUMBER(D5)), C5-D5, "")</f>
        <v>923152.60000000009</v>
      </c>
      <c r="F5" s="19">
        <f>IFERROR(E5/D5, "")</f>
        <v>0.38600074996370609</v>
      </c>
      <c r="G5" s="20">
        <f>SUM('1st Qtr'!G5, '2nd Qtr'!G5, '3rd Qtr'!G5, '4th Qtr'!G5)</f>
        <v>2900012</v>
      </c>
      <c r="H5" s="20">
        <f>SUM(Jan!H5, Feb!H5, Mar!H5)</f>
        <v>414723</v>
      </c>
      <c r="I5" s="19">
        <f>IFERROR(H5/G5, "")</f>
        <v>0.14300733927997539</v>
      </c>
    </row>
    <row r="6" spans="1:9">
      <c r="A6" s="21"/>
      <c r="B6" s="21"/>
      <c r="C6" s="21"/>
      <c r="D6" s="21"/>
      <c r="E6" s="21"/>
      <c r="F6" s="21"/>
      <c r="G6" s="21"/>
      <c r="H6" s="21"/>
      <c r="I6" s="21"/>
    </row>
    <row r="7" spans="1:9">
      <c r="A7" s="21"/>
      <c r="B7" s="21"/>
      <c r="C7" s="21"/>
      <c r="D7" s="21"/>
      <c r="E7" s="21"/>
      <c r="F7" s="21"/>
      <c r="G7" s="21"/>
      <c r="H7" s="21"/>
      <c r="I7" s="21"/>
    </row>
    <row r="8" spans="1:9">
      <c r="A8" s="21"/>
      <c r="B8" s="21"/>
      <c r="C8" s="21"/>
      <c r="D8" s="21"/>
      <c r="E8" s="21"/>
      <c r="F8" s="21"/>
      <c r="G8" s="21"/>
      <c r="H8" s="21"/>
      <c r="I8" s="21"/>
    </row>
    <row r="9" spans="1:9">
      <c r="A9" s="21"/>
      <c r="B9" s="21"/>
      <c r="C9" s="21"/>
      <c r="D9" s="21"/>
      <c r="E9" s="21"/>
      <c r="F9" s="21"/>
      <c r="G9" s="21"/>
      <c r="H9" s="21"/>
      <c r="I9" s="21"/>
    </row>
    <row r="10" spans="1:9">
      <c r="A10" s="21"/>
      <c r="B10" s="21"/>
      <c r="C10" s="21"/>
      <c r="D10" s="21"/>
      <c r="E10" s="21"/>
      <c r="F10" s="21"/>
      <c r="G10" s="21"/>
      <c r="H10" s="21"/>
      <c r="I10" s="21"/>
    </row>
    <row r="11" spans="1:9">
      <c r="A11" s="21"/>
      <c r="B11" s="21"/>
      <c r="C11" s="21"/>
      <c r="D11" s="21"/>
      <c r="E11" s="21"/>
      <c r="F11" s="21"/>
      <c r="G11" s="21"/>
      <c r="H11" s="21"/>
      <c r="I11" s="21"/>
    </row>
    <row r="12" spans="1:9">
      <c r="A12" s="21"/>
      <c r="B12" s="21"/>
      <c r="C12" s="21"/>
      <c r="D12" s="21"/>
      <c r="E12" s="21"/>
      <c r="F12" s="21"/>
      <c r="G12" s="21"/>
      <c r="H12" s="21"/>
      <c r="I12" s="21"/>
    </row>
    <row r="13" spans="1:9">
      <c r="A13" s="21"/>
      <c r="B13" s="21"/>
      <c r="C13" s="21"/>
      <c r="D13" s="21"/>
      <c r="E13" s="21"/>
      <c r="F13" s="22"/>
      <c r="G13" s="21"/>
      <c r="H13" s="21"/>
      <c r="I13" s="22"/>
    </row>
    <row r="14" spans="1:9">
      <c r="A14" s="21"/>
      <c r="B14" s="21"/>
      <c r="C14" s="21"/>
      <c r="D14" s="21"/>
      <c r="E14" s="21"/>
      <c r="F14" s="22"/>
      <c r="G14" s="21"/>
      <c r="H14" s="21"/>
      <c r="I14" s="22"/>
    </row>
    <row r="15" spans="1:9">
      <c r="A15" s="21"/>
      <c r="B15" s="21"/>
      <c r="C15" s="21"/>
      <c r="D15" s="21"/>
      <c r="E15" s="21"/>
      <c r="F15" s="22"/>
      <c r="G15" s="21"/>
      <c r="H15" s="21"/>
      <c r="I15" s="22"/>
    </row>
    <row r="16" spans="1:9">
      <c r="A16" s="21"/>
      <c r="B16" s="21"/>
      <c r="C16" s="21"/>
      <c r="D16" s="21"/>
      <c r="E16" s="21"/>
      <c r="F16" s="22"/>
      <c r="G16" s="21"/>
      <c r="H16" s="21"/>
      <c r="I16" s="22"/>
    </row>
    <row r="17" spans="1:9">
      <c r="A17" s="21"/>
      <c r="B17" s="21"/>
      <c r="C17" s="21"/>
      <c r="D17" s="21"/>
      <c r="E17" s="21"/>
      <c r="F17" s="22"/>
      <c r="G17" s="21"/>
      <c r="H17" s="21"/>
      <c r="I17" s="22"/>
    </row>
    <row r="18" spans="1:9">
      <c r="A18" s="21"/>
      <c r="B18" s="21"/>
      <c r="C18" s="21"/>
      <c r="D18" s="21"/>
      <c r="E18" s="21"/>
      <c r="F18" s="22"/>
      <c r="G18" s="21"/>
      <c r="H18" s="21"/>
      <c r="I18" s="22"/>
    </row>
    <row r="19" spans="1:9">
      <c r="A19" s="21"/>
      <c r="B19" s="21"/>
      <c r="C19" s="21"/>
      <c r="D19" s="21"/>
      <c r="E19" s="21"/>
      <c r="F19" s="22"/>
      <c r="G19" s="21"/>
      <c r="H19" s="21"/>
      <c r="I19" s="22"/>
    </row>
    <row r="20" spans="1:9">
      <c r="A20" s="21"/>
      <c r="B20" s="21"/>
      <c r="C20" s="21"/>
      <c r="D20" s="21"/>
      <c r="E20" s="21"/>
      <c r="F20" s="22"/>
      <c r="G20" s="21"/>
      <c r="H20" s="21"/>
      <c r="I20" s="22"/>
    </row>
    <row r="21" spans="1:9">
      <c r="A21" s="21"/>
      <c r="B21" s="21"/>
      <c r="C21" s="21"/>
      <c r="D21" s="21"/>
      <c r="E21" s="21"/>
      <c r="F21" s="22"/>
      <c r="G21" s="21"/>
      <c r="H21" s="21"/>
      <c r="I21" s="22"/>
    </row>
    <row r="22" spans="1:9">
      <c r="A22" s="21"/>
      <c r="B22" s="21"/>
      <c r="C22" s="21"/>
      <c r="D22" s="21"/>
      <c r="E22" s="21"/>
      <c r="F22" s="22"/>
      <c r="G22" s="21"/>
      <c r="H22" s="21"/>
      <c r="I22" s="22"/>
    </row>
    <row r="23" spans="1:9">
      <c r="A23" s="21"/>
      <c r="B23" s="21"/>
      <c r="C23" s="21"/>
      <c r="D23" s="21"/>
      <c r="E23" s="21"/>
      <c r="F23" s="22"/>
      <c r="G23" s="21"/>
      <c r="H23" s="21"/>
      <c r="I23" s="22"/>
    </row>
    <row r="24" spans="1:9">
      <c r="A24" s="21"/>
      <c r="B24" s="21"/>
      <c r="C24" s="21"/>
      <c r="D24" s="21"/>
      <c r="E24" s="21"/>
      <c r="F24" s="22"/>
      <c r="G24" s="21"/>
      <c r="H24" s="21"/>
      <c r="I24" s="22"/>
    </row>
    <row r="25" spans="1:9">
      <c r="A25" s="21"/>
      <c r="B25" s="21"/>
      <c r="C25" s="21"/>
      <c r="D25" s="21"/>
      <c r="E25" s="21"/>
      <c r="F25" s="22"/>
      <c r="G25" s="21"/>
      <c r="H25" s="21"/>
      <c r="I25" s="22"/>
    </row>
    <row r="26" spans="1:9">
      <c r="A26" s="21"/>
      <c r="B26" s="21"/>
      <c r="C26" s="21"/>
      <c r="D26" s="21"/>
      <c r="E26" s="21"/>
      <c r="F26" s="22"/>
      <c r="G26" s="21"/>
      <c r="H26" s="21"/>
      <c r="I26" s="22"/>
    </row>
    <row r="27" spans="1:9">
      <c r="A27" s="21"/>
      <c r="B27" s="21"/>
      <c r="C27" s="21"/>
      <c r="D27" s="21"/>
      <c r="E27" s="21"/>
      <c r="F27" s="22"/>
      <c r="G27" s="21"/>
      <c r="H27" s="21"/>
      <c r="I27" s="22"/>
    </row>
    <row r="28" spans="1:9">
      <c r="A28" s="21"/>
      <c r="B28" s="21"/>
      <c r="C28" s="21"/>
      <c r="D28" s="21"/>
      <c r="E28" s="21"/>
      <c r="F28" s="22"/>
      <c r="G28" s="21"/>
      <c r="H28" s="21"/>
      <c r="I28" s="22"/>
    </row>
    <row r="29" spans="1:9">
      <c r="A29" s="21"/>
      <c r="B29" s="21"/>
      <c r="C29" s="21"/>
      <c r="D29" s="21"/>
      <c r="E29" s="21"/>
      <c r="F29" s="22"/>
      <c r="G29" s="21"/>
      <c r="H29" s="21"/>
      <c r="I29" s="22"/>
    </row>
    <row r="30" spans="1:9">
      <c r="A30" s="21"/>
      <c r="B30" s="21"/>
      <c r="C30" s="21"/>
      <c r="D30" s="21"/>
      <c r="E30" s="21"/>
      <c r="F30" s="22"/>
      <c r="G30" s="21"/>
      <c r="H30" s="21"/>
      <c r="I30" s="22"/>
    </row>
    <row r="31" spans="1:9">
      <c r="A31" s="21"/>
      <c r="B31" s="21"/>
      <c r="C31" s="21"/>
      <c r="D31" s="21"/>
      <c r="E31" s="21"/>
      <c r="F31" s="22"/>
      <c r="G31" s="21"/>
      <c r="H31" s="21"/>
      <c r="I31" s="22"/>
    </row>
    <row r="32" spans="1:9">
      <c r="A32" s="21"/>
      <c r="B32" s="21"/>
      <c r="C32" s="21"/>
      <c r="D32" s="21"/>
      <c r="E32" s="21"/>
      <c r="F32" s="22"/>
      <c r="G32" s="21"/>
      <c r="H32" s="21"/>
      <c r="I32" s="22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E28" sqref="E28:E29"/>
      <selection pane="bottomLeft" activeCell="A6" sqref="A6:XFD25"/>
      <selection pane="topRight" activeCell="A6" sqref="A6:XFD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SUM(C4:C80)</f>
        <v>6432212.9414540734</v>
      </c>
      <c r="D2" s="5">
        <f>SUM(D4:D80)</f>
        <v>5811926.4000000004</v>
      </c>
      <c r="E2" s="5">
        <f>C2-D2</f>
        <v>620286.54145407304</v>
      </c>
      <c r="F2" s="6">
        <f>IFERROR(E2/D2, 0)</f>
        <v>0.10672649630492104</v>
      </c>
      <c r="G2" s="5">
        <f>SUM(G4:G80)</f>
        <v>6339331</v>
      </c>
      <c r="H2" s="7">
        <f>C2-G2</f>
        <v>92881.941454073414</v>
      </c>
      <c r="I2" s="6">
        <f>IFERROR(H2/G2, 0)</f>
        <v>1.4651694548537285E-2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5">Sites[Site]</f>
        <v>Janis</v>
      </c>
      <c r="B4" s="9" t="str" cm="1">
        <f t="array" ref="B4:B5">Sites[State]</f>
        <v>NY</v>
      </c>
      <c r="C4" s="24">
        <f>SUM(Jan!C4, Feb!C4, Mar!C4)</f>
        <v>3117477.9414540739</v>
      </c>
      <c r="D4" s="13">
        <f>SUM(Jan!D4, Feb!D4, Mar!D4)</f>
        <v>3420344</v>
      </c>
      <c r="E4" s="13">
        <f>IF(AND(ISNUMBER(C4),ISNUMBER(D4)), C4-D4, "")</f>
        <v>-302866.05854592612</v>
      </c>
      <c r="F4" s="14">
        <f>IFERROR(E4/D4, "")</f>
        <v>-8.8548420435466763E-2</v>
      </c>
      <c r="G4" s="15">
        <f>SUM(Jan!G4, Feb!G4, Mar!G4)</f>
        <v>3439319</v>
      </c>
      <c r="H4" s="15">
        <f>SUM(Jan!H4, Feb!H4, Mar!H4)</f>
        <v>-321841.05854592612</v>
      </c>
      <c r="I4" s="16">
        <f>IFERROR(H4/G4, "")</f>
        <v>-9.3576972227910851E-2</v>
      </c>
    </row>
    <row r="5" spans="1:9" ht="15.75">
      <c r="A5" s="49" t="str">
        <v>Puckett Solar</v>
      </c>
      <c r="B5" s="10" t="str">
        <v>NY</v>
      </c>
      <c r="C5" s="11">
        <f>SUM(Jan!C5, Feb!C5, Mar!C5)</f>
        <v>3314735</v>
      </c>
      <c r="D5" s="18">
        <f>SUM(Jan!D5, Feb!D5, Mar!D5)</f>
        <v>2391582.4</v>
      </c>
      <c r="E5" s="18">
        <f t="shared" ref="E5" si="0">IF(AND(ISNUMBER(C5),ISNUMBER(D5)), C5-D5, "")</f>
        <v>923152.60000000009</v>
      </c>
      <c r="F5" s="19">
        <f>IFERROR(E5/D5, "")</f>
        <v>0.38600074996370609</v>
      </c>
      <c r="G5" s="20">
        <f>SUM(Jan!G5, Feb!G5, Mar!G5)</f>
        <v>2900012</v>
      </c>
      <c r="H5" s="20">
        <f>SUM(Jan!H5, Feb!H5, Mar!H5)</f>
        <v>414723</v>
      </c>
      <c r="I5" s="19">
        <f>IFERROR(H5/G5, "")</f>
        <v>0.14300733927997539</v>
      </c>
    </row>
    <row r="6" spans="1:9" ht="15">
      <c r="A6" s="21"/>
      <c r="B6" s="10"/>
      <c r="C6" s="21"/>
      <c r="D6" s="21"/>
      <c r="E6" s="21"/>
      <c r="F6" s="21"/>
      <c r="G6" s="21"/>
      <c r="H6" s="21"/>
      <c r="I6" s="21"/>
    </row>
    <row r="7" spans="1:9">
      <c r="A7" s="21"/>
      <c r="B7" s="21"/>
      <c r="C7" s="21"/>
      <c r="D7" s="21"/>
      <c r="E7" s="21"/>
      <c r="F7" s="21"/>
      <c r="G7" s="21"/>
      <c r="H7" s="21"/>
      <c r="I7" s="21"/>
    </row>
    <row r="8" spans="1:9">
      <c r="A8" s="21"/>
      <c r="B8" s="21"/>
      <c r="C8" s="21"/>
      <c r="D8" s="21"/>
      <c r="E8" s="21"/>
      <c r="F8" s="21"/>
      <c r="G8" s="21"/>
      <c r="H8" s="21"/>
      <c r="I8" s="21"/>
    </row>
    <row r="9" spans="1:9">
      <c r="A9" s="21"/>
      <c r="B9" s="21"/>
      <c r="C9" s="21"/>
      <c r="D9" s="21"/>
      <c r="E9" s="21"/>
      <c r="F9" s="21"/>
      <c r="G9" s="21"/>
      <c r="H9" s="21"/>
      <c r="I9" s="21"/>
    </row>
    <row r="10" spans="1:9">
      <c r="A10" s="21"/>
      <c r="B10" s="21"/>
      <c r="C10" s="21"/>
      <c r="D10" s="21"/>
      <c r="E10" s="21"/>
      <c r="F10" s="21"/>
      <c r="G10" s="21"/>
      <c r="H10" s="21"/>
      <c r="I10" s="21"/>
    </row>
    <row r="11" spans="1:9">
      <c r="A11" s="21"/>
      <c r="B11" s="21"/>
      <c r="C11" s="21"/>
      <c r="D11" s="21"/>
      <c r="E11" s="21"/>
      <c r="F11" s="21"/>
      <c r="G11" s="21"/>
      <c r="H11" s="21"/>
      <c r="I11" s="21"/>
    </row>
    <row r="12" spans="1:9">
      <c r="A12" s="21"/>
      <c r="B12" s="21"/>
      <c r="C12" s="21"/>
      <c r="D12" s="21"/>
      <c r="E12" s="21"/>
      <c r="F12" s="21"/>
      <c r="G12" s="21"/>
      <c r="H12" s="21"/>
      <c r="I12" s="21"/>
    </row>
    <row r="13" spans="1:9">
      <c r="A13" s="21"/>
      <c r="B13" s="21"/>
      <c r="C13" s="21"/>
      <c r="D13" s="21"/>
      <c r="E13" s="21"/>
      <c r="F13" s="22"/>
      <c r="G13" s="21"/>
      <c r="H13" s="21"/>
      <c r="I13" s="22"/>
    </row>
    <row r="14" spans="1:9">
      <c r="A14" s="21"/>
      <c r="B14" s="21"/>
      <c r="C14" s="21"/>
      <c r="D14" s="21"/>
      <c r="E14" s="21"/>
      <c r="F14" s="22"/>
      <c r="G14" s="21"/>
      <c r="H14" s="21"/>
      <c r="I14" s="22"/>
    </row>
    <row r="15" spans="1:9">
      <c r="A15" s="21"/>
      <c r="B15" s="21"/>
      <c r="C15" s="21"/>
      <c r="D15" s="21"/>
      <c r="E15" s="21"/>
      <c r="F15" s="22"/>
      <c r="G15" s="21"/>
      <c r="H15" s="21"/>
      <c r="I15" s="22"/>
    </row>
    <row r="16" spans="1:9">
      <c r="A16" s="21"/>
      <c r="B16" s="21"/>
      <c r="C16" s="21"/>
      <c r="D16" s="21"/>
      <c r="E16" s="21"/>
      <c r="F16" s="22"/>
      <c r="G16" s="21"/>
      <c r="H16" s="21"/>
      <c r="I16" s="22"/>
    </row>
    <row r="17" spans="1:9">
      <c r="A17" s="21"/>
      <c r="B17" s="21"/>
      <c r="C17" s="21"/>
      <c r="D17" s="21"/>
      <c r="E17" s="21"/>
      <c r="F17" s="22"/>
      <c r="G17" s="21"/>
      <c r="H17" s="21"/>
      <c r="I17" s="22"/>
    </row>
    <row r="18" spans="1:9">
      <c r="A18" s="21"/>
      <c r="B18" s="21"/>
      <c r="C18" s="21"/>
      <c r="D18" s="21"/>
      <c r="E18" s="21"/>
      <c r="F18" s="22"/>
      <c r="G18" s="21"/>
      <c r="H18" s="21"/>
      <c r="I18" s="22"/>
    </row>
    <row r="19" spans="1:9">
      <c r="A19" s="21"/>
      <c r="B19" s="21"/>
      <c r="C19" s="21"/>
      <c r="D19" s="21"/>
      <c r="E19" s="21"/>
      <c r="F19" s="22"/>
      <c r="G19" s="21"/>
      <c r="H19" s="21"/>
      <c r="I19" s="22"/>
    </row>
    <row r="20" spans="1:9">
      <c r="A20" s="21"/>
      <c r="B20" s="21"/>
      <c r="C20" s="21"/>
      <c r="D20" s="21"/>
      <c r="E20" s="21"/>
      <c r="F20" s="22"/>
      <c r="G20" s="21"/>
      <c r="H20" s="21"/>
      <c r="I20" s="22"/>
    </row>
    <row r="21" spans="1:9">
      <c r="A21" s="21"/>
      <c r="B21" s="21"/>
      <c r="C21" s="21"/>
      <c r="D21" s="21"/>
      <c r="E21" s="21"/>
      <c r="F21" s="22"/>
      <c r="G21" s="21"/>
      <c r="H21" s="21"/>
      <c r="I21" s="22"/>
    </row>
    <row r="22" spans="1:9">
      <c r="A22" s="21"/>
      <c r="B22" s="21"/>
      <c r="C22" s="21"/>
      <c r="D22" s="21"/>
      <c r="E22" s="21"/>
      <c r="F22" s="22"/>
      <c r="G22" s="21"/>
      <c r="H22" s="21"/>
      <c r="I22" s="22"/>
    </row>
    <row r="23" spans="1:9">
      <c r="A23" s="21"/>
      <c r="B23" s="21"/>
      <c r="C23" s="21"/>
      <c r="D23" s="21"/>
      <c r="E23" s="21"/>
      <c r="F23" s="22"/>
      <c r="G23" s="21"/>
      <c r="H23" s="21"/>
      <c r="I23" s="22"/>
    </row>
    <row r="24" spans="1:9">
      <c r="A24" s="21"/>
      <c r="B24" s="21"/>
      <c r="C24" s="21"/>
      <c r="D24" s="21"/>
      <c r="E24" s="21"/>
      <c r="F24" s="22"/>
      <c r="G24" s="21"/>
      <c r="H24" s="21"/>
      <c r="I24" s="22"/>
    </row>
    <row r="25" spans="1:9">
      <c r="A25" s="21"/>
      <c r="B25" s="21"/>
      <c r="C25" s="21"/>
      <c r="D25" s="21"/>
      <c r="E25" s="21"/>
      <c r="F25" s="22"/>
      <c r="G25" s="21"/>
      <c r="H25" s="21"/>
      <c r="I25" s="22"/>
    </row>
    <row r="26" spans="1:9">
      <c r="A26" s="21"/>
      <c r="B26" s="21"/>
      <c r="C26" s="21"/>
      <c r="D26" s="21"/>
      <c r="E26" s="21"/>
      <c r="F26" s="22"/>
      <c r="G26" s="21"/>
      <c r="H26" s="21"/>
      <c r="I26" s="22"/>
    </row>
    <row r="27" spans="1:9">
      <c r="A27" s="21"/>
      <c r="B27" s="21"/>
      <c r="C27" s="21"/>
      <c r="D27" s="21"/>
      <c r="E27" s="21"/>
      <c r="F27" s="22"/>
      <c r="G27" s="21"/>
      <c r="H27" s="21"/>
      <c r="I27" s="22"/>
    </row>
    <row r="28" spans="1:9">
      <c r="A28" s="21"/>
      <c r="B28" s="21"/>
      <c r="C28" s="21"/>
      <c r="D28" s="21"/>
      <c r="E28" s="21"/>
      <c r="F28" s="22"/>
      <c r="G28" s="21"/>
      <c r="H28" s="21"/>
      <c r="I28" s="22"/>
    </row>
    <row r="29" spans="1:9">
      <c r="A29" s="21"/>
      <c r="B29" s="21"/>
      <c r="C29" s="21"/>
      <c r="D29" s="21"/>
      <c r="E29" s="21"/>
      <c r="F29" s="22"/>
      <c r="G29" s="21"/>
      <c r="H29" s="21"/>
      <c r="I29" s="22"/>
    </row>
    <row r="30" spans="1:9">
      <c r="A30" s="21"/>
      <c r="B30" s="21"/>
      <c r="C30" s="21"/>
      <c r="D30" s="21"/>
      <c r="E30" s="21"/>
      <c r="F30" s="22"/>
      <c r="G30" s="21"/>
      <c r="H30" s="21"/>
      <c r="I30" s="22"/>
    </row>
    <row r="31" spans="1:9">
      <c r="A31" s="21"/>
      <c r="B31" s="21"/>
      <c r="C31" s="21"/>
      <c r="D31" s="21"/>
      <c r="E31" s="21"/>
      <c r="F31" s="22"/>
      <c r="G31" s="21"/>
      <c r="H31" s="21"/>
      <c r="I31" s="22"/>
    </row>
    <row r="32" spans="1:9">
      <c r="A32" s="21"/>
      <c r="B32" s="21"/>
      <c r="C32" s="21"/>
      <c r="D32" s="21"/>
      <c r="E32" s="21"/>
      <c r="F32" s="22"/>
      <c r="G32" s="21"/>
      <c r="H32" s="21"/>
      <c r="I32" s="22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13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5">Sites[Site]</f>
        <v>Janis</v>
      </c>
      <c r="B4" s="9" t="str" cm="1">
        <f t="array" ref="B4:B5">Sites[State]</f>
        <v>NY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49" t="str">
        <v>Puckett Solar</v>
      </c>
      <c r="B5" s="10" t="str">
        <v>NY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>
      <c r="A6" s="21"/>
      <c r="B6" s="21"/>
      <c r="C6" s="21"/>
      <c r="D6" s="21"/>
      <c r="E6" s="21"/>
      <c r="F6" s="21"/>
      <c r="G6" s="21"/>
      <c r="H6" s="21"/>
      <c r="I6" s="21"/>
    </row>
    <row r="7" spans="1:9">
      <c r="A7" s="21"/>
      <c r="B7" s="21"/>
      <c r="C7" s="21"/>
      <c r="D7" s="21"/>
      <c r="E7" s="21"/>
      <c r="F7" s="21"/>
      <c r="G7" s="21"/>
      <c r="H7" s="21"/>
      <c r="I7" s="21"/>
    </row>
    <row r="8" spans="1:9">
      <c r="A8" s="21"/>
      <c r="B8" s="21"/>
      <c r="C8" s="21"/>
      <c r="D8" s="21"/>
      <c r="E8" s="21"/>
      <c r="F8" s="21"/>
      <c r="G8" s="21"/>
      <c r="H8" s="21"/>
      <c r="I8" s="21"/>
    </row>
    <row r="9" spans="1:9">
      <c r="A9" s="21"/>
      <c r="B9" s="21"/>
      <c r="C9" s="21"/>
      <c r="D9" s="21"/>
      <c r="E9" s="21"/>
      <c r="F9" s="21"/>
      <c r="G9" s="21"/>
      <c r="H9" s="21"/>
      <c r="I9" s="21"/>
    </row>
    <row r="10" spans="1:9">
      <c r="A10" s="21"/>
      <c r="B10" s="21"/>
      <c r="C10" s="21"/>
      <c r="D10" s="21"/>
      <c r="E10" s="21"/>
      <c r="F10" s="21"/>
      <c r="G10" s="21"/>
      <c r="H10" s="21"/>
      <c r="I10" s="21"/>
    </row>
    <row r="11" spans="1:9">
      <c r="A11" s="21"/>
      <c r="B11" s="21"/>
      <c r="C11" s="21"/>
      <c r="D11" s="21"/>
      <c r="E11" s="21"/>
      <c r="F11" s="21"/>
      <c r="G11" s="21"/>
      <c r="H11" s="21"/>
      <c r="I11" s="21"/>
    </row>
    <row r="12" spans="1:9">
      <c r="A12" s="21"/>
      <c r="B12" s="21"/>
      <c r="C12" s="21"/>
      <c r="D12" s="21"/>
      <c r="E12" s="21"/>
      <c r="F12" s="21"/>
      <c r="G12" s="21"/>
      <c r="H12" s="21"/>
      <c r="I12" s="21"/>
    </row>
    <row r="13" spans="1:9">
      <c r="A13" s="21"/>
      <c r="B13" s="21"/>
      <c r="C13" s="21"/>
      <c r="D13" s="21"/>
      <c r="E13" s="21"/>
      <c r="F13" s="22"/>
      <c r="G13" s="21"/>
      <c r="H13" s="21"/>
      <c r="I13" s="22"/>
    </row>
    <row r="14" spans="1:9">
      <c r="A14" s="21"/>
      <c r="B14" s="21"/>
      <c r="C14" s="21"/>
      <c r="D14" s="21"/>
      <c r="E14" s="21"/>
      <c r="F14" s="22"/>
      <c r="G14" s="21"/>
      <c r="H14" s="21"/>
      <c r="I14" s="22"/>
    </row>
    <row r="15" spans="1:9">
      <c r="A15" s="21"/>
      <c r="B15" s="21"/>
      <c r="C15" s="21"/>
      <c r="D15" s="21"/>
      <c r="E15" s="21"/>
      <c r="F15" s="22"/>
      <c r="G15" s="21"/>
      <c r="H15" s="21"/>
      <c r="I15" s="22"/>
    </row>
    <row r="16" spans="1:9">
      <c r="A16" s="21"/>
      <c r="B16" s="21"/>
      <c r="C16" s="21"/>
      <c r="D16" s="21"/>
      <c r="E16" s="21"/>
      <c r="F16" s="22"/>
      <c r="G16" s="21"/>
      <c r="H16" s="21"/>
      <c r="I16" s="22"/>
    </row>
    <row r="17" spans="1:9">
      <c r="A17" s="21"/>
      <c r="B17" s="21"/>
      <c r="C17" s="21"/>
      <c r="D17" s="21"/>
      <c r="E17" s="21"/>
      <c r="F17" s="22"/>
      <c r="G17" s="21"/>
      <c r="H17" s="21"/>
      <c r="I17" s="22"/>
    </row>
    <row r="18" spans="1:9">
      <c r="A18" s="21"/>
      <c r="B18" s="21"/>
      <c r="C18" s="21"/>
      <c r="D18" s="21"/>
      <c r="E18" s="21"/>
      <c r="F18" s="22"/>
      <c r="G18" s="21"/>
      <c r="H18" s="21"/>
      <c r="I18" s="22"/>
    </row>
    <row r="19" spans="1:9">
      <c r="A19" s="21"/>
      <c r="B19" s="21"/>
      <c r="C19" s="21"/>
      <c r="D19" s="21"/>
      <c r="E19" s="21"/>
      <c r="F19" s="22"/>
      <c r="G19" s="21"/>
      <c r="H19" s="21"/>
      <c r="I19" s="22"/>
    </row>
    <row r="20" spans="1:9">
      <c r="A20" s="21"/>
      <c r="B20" s="21"/>
      <c r="C20" s="21"/>
      <c r="D20" s="21"/>
      <c r="E20" s="21"/>
      <c r="F20" s="22"/>
      <c r="G20" s="21"/>
      <c r="H20" s="21"/>
      <c r="I20" s="22"/>
    </row>
    <row r="21" spans="1:9">
      <c r="A21" s="21"/>
      <c r="B21" s="21"/>
      <c r="C21" s="21"/>
      <c r="D21" s="21"/>
      <c r="E21" s="21"/>
      <c r="F21" s="22"/>
      <c r="G21" s="21"/>
      <c r="H21" s="21"/>
      <c r="I21" s="22"/>
    </row>
    <row r="22" spans="1:9">
      <c r="A22" s="21"/>
      <c r="B22" s="21"/>
      <c r="C22" s="21"/>
      <c r="D22" s="21"/>
      <c r="E22" s="21"/>
      <c r="F22" s="22"/>
      <c r="G22" s="21"/>
      <c r="H22" s="21"/>
      <c r="I22" s="22"/>
    </row>
    <row r="23" spans="1:9">
      <c r="A23" s="21"/>
      <c r="B23" s="21"/>
      <c r="C23" s="21"/>
      <c r="D23" s="21"/>
      <c r="E23" s="21"/>
      <c r="F23" s="22"/>
      <c r="G23" s="21"/>
      <c r="H23" s="21"/>
      <c r="I23" s="22"/>
    </row>
    <row r="24" spans="1:9">
      <c r="A24" s="21"/>
      <c r="B24" s="21"/>
      <c r="C24" s="21"/>
      <c r="D24" s="21"/>
      <c r="E24" s="21"/>
      <c r="F24" s="22"/>
      <c r="G24" s="21"/>
      <c r="H24" s="21"/>
      <c r="I24" s="22"/>
    </row>
    <row r="25" spans="1:9">
      <c r="A25" s="21"/>
      <c r="B25" s="21"/>
      <c r="C25" s="21"/>
      <c r="D25" s="21"/>
      <c r="E25" s="21"/>
      <c r="F25" s="22"/>
      <c r="G25" s="21"/>
      <c r="H25" s="21"/>
      <c r="I25" s="22"/>
    </row>
    <row r="26" spans="1:9">
      <c r="A26" s="21"/>
      <c r="B26" s="21"/>
      <c r="C26" s="21"/>
      <c r="D26" s="21"/>
      <c r="E26" s="21"/>
      <c r="F26" s="22"/>
      <c r="G26" s="21"/>
      <c r="H26" s="21"/>
      <c r="I26" s="22"/>
    </row>
    <row r="27" spans="1:9">
      <c r="A27" s="21"/>
      <c r="B27" s="21"/>
      <c r="C27" s="21"/>
      <c r="D27" s="21"/>
      <c r="E27" s="21"/>
      <c r="F27" s="22"/>
      <c r="G27" s="21"/>
      <c r="H27" s="21"/>
      <c r="I27" s="22"/>
    </row>
    <row r="28" spans="1:9">
      <c r="A28" s="21"/>
      <c r="B28" s="21"/>
      <c r="C28" s="21"/>
      <c r="D28" s="21"/>
      <c r="E28" s="21"/>
      <c r="F28" s="22"/>
      <c r="G28" s="21"/>
      <c r="H28" s="21"/>
      <c r="I28" s="22"/>
    </row>
    <row r="29" spans="1:9">
      <c r="A29" s="21"/>
      <c r="B29" s="21"/>
      <c r="C29" s="21"/>
      <c r="D29" s="21"/>
      <c r="E29" s="21"/>
      <c r="F29" s="22"/>
      <c r="G29" s="21"/>
      <c r="H29" s="21"/>
      <c r="I29" s="22"/>
    </row>
    <row r="30" spans="1:9">
      <c r="A30" s="21"/>
      <c r="B30" s="21"/>
      <c r="C30" s="21"/>
      <c r="D30" s="21"/>
      <c r="E30" s="21"/>
      <c r="F30" s="22"/>
      <c r="G30" s="21"/>
      <c r="H30" s="21"/>
      <c r="I30" s="22"/>
    </row>
    <row r="31" spans="1:9">
      <c r="A31" s="21"/>
      <c r="B31" s="21"/>
      <c r="C31" s="21"/>
      <c r="D31" s="21"/>
      <c r="E31" s="21"/>
      <c r="F31" s="22"/>
      <c r="G31" s="21"/>
      <c r="H31" s="21"/>
      <c r="I31" s="22"/>
    </row>
    <row r="32" spans="1:9">
      <c r="A32" s="21"/>
      <c r="B32" s="21"/>
      <c r="C32" s="21"/>
      <c r="D32" s="21"/>
      <c r="E32" s="21"/>
      <c r="F32" s="22"/>
      <c r="G32" s="21"/>
      <c r="H32" s="21"/>
      <c r="I32" s="22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5">Sites[Site]</f>
        <v>Janis</v>
      </c>
      <c r="B4" s="9" t="str" cm="1">
        <f t="array" ref="B4:B5">Sites[State]</f>
        <v>NY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49" t="str">
        <v>Puckett Solar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17"/>
      <c r="B6" s="21"/>
      <c r="C6" s="21"/>
      <c r="D6" s="21"/>
      <c r="E6" s="21"/>
      <c r="F6" s="21"/>
      <c r="G6" s="21"/>
      <c r="H6" s="21"/>
      <c r="I6" s="21"/>
    </row>
    <row r="7" spans="1:9" ht="15.75">
      <c r="A7" s="17"/>
      <c r="B7" s="21"/>
      <c r="C7" s="21"/>
      <c r="D7" s="21"/>
      <c r="E7" s="21"/>
      <c r="F7" s="21"/>
      <c r="G7" s="21"/>
      <c r="H7" s="21"/>
      <c r="I7" s="21"/>
    </row>
    <row r="8" spans="1:9" ht="15.75">
      <c r="A8" s="17"/>
      <c r="B8" s="21"/>
      <c r="C8" s="21"/>
      <c r="D8" s="21"/>
      <c r="E8" s="21"/>
      <c r="F8" s="21"/>
      <c r="G8" s="21"/>
      <c r="H8" s="21"/>
      <c r="I8" s="21"/>
    </row>
    <row r="9" spans="1:9" ht="15.75">
      <c r="A9" s="17"/>
      <c r="B9" s="21"/>
      <c r="C9" s="21"/>
      <c r="D9" s="21"/>
      <c r="E9" s="21"/>
      <c r="F9" s="21"/>
      <c r="G9" s="21"/>
      <c r="H9" s="21"/>
      <c r="I9" s="21"/>
    </row>
    <row r="10" spans="1:9" ht="15.75">
      <c r="A10" s="17"/>
      <c r="B10" s="21"/>
      <c r="C10" s="21"/>
      <c r="D10" s="21"/>
      <c r="E10" s="21"/>
      <c r="F10" s="21"/>
      <c r="G10" s="21"/>
      <c r="H10" s="21"/>
      <c r="I10" s="21"/>
    </row>
    <row r="11" spans="1:9" ht="15.75">
      <c r="A11" s="17"/>
      <c r="B11" s="21"/>
      <c r="C11" s="21"/>
      <c r="D11" s="21"/>
      <c r="E11" s="21"/>
      <c r="F11" s="21"/>
      <c r="G11" s="21"/>
      <c r="H11" s="21"/>
      <c r="I11" s="21"/>
    </row>
    <row r="12" spans="1:9">
      <c r="A12" s="21"/>
      <c r="B12" s="21"/>
      <c r="C12" s="21"/>
      <c r="D12" s="21"/>
      <c r="E12" s="21"/>
      <c r="F12" s="21"/>
      <c r="G12" s="21"/>
      <c r="H12" s="21"/>
      <c r="I12" s="21"/>
    </row>
    <row r="13" spans="1:9">
      <c r="A13" s="21"/>
      <c r="B13" s="21"/>
      <c r="C13" s="21"/>
      <c r="D13" s="21"/>
      <c r="E13" s="21"/>
      <c r="F13" s="22"/>
      <c r="G13" s="21"/>
      <c r="H13" s="21"/>
      <c r="I13" s="22"/>
    </row>
    <row r="14" spans="1:9">
      <c r="A14" s="21"/>
      <c r="B14" s="21"/>
      <c r="C14" s="21"/>
      <c r="D14" s="21"/>
      <c r="E14" s="21"/>
      <c r="F14" s="22"/>
      <c r="G14" s="21"/>
      <c r="H14" s="21"/>
      <c r="I14" s="22"/>
    </row>
    <row r="15" spans="1:9">
      <c r="A15" s="21"/>
      <c r="B15" s="21"/>
      <c r="C15" s="21"/>
      <c r="D15" s="21"/>
      <c r="E15" s="21"/>
      <c r="F15" s="22"/>
      <c r="G15" s="21"/>
      <c r="H15" s="21"/>
      <c r="I15" s="22"/>
    </row>
    <row r="16" spans="1:9">
      <c r="A16" s="21"/>
      <c r="B16" s="21"/>
      <c r="C16" s="21"/>
      <c r="D16" s="21"/>
      <c r="E16" s="21"/>
      <c r="F16" s="22"/>
      <c r="G16" s="21"/>
      <c r="H16" s="21"/>
      <c r="I16" s="22"/>
    </row>
    <row r="17" spans="1:9">
      <c r="A17" s="21"/>
      <c r="B17" s="21"/>
      <c r="C17" s="21"/>
      <c r="D17" s="21"/>
      <c r="E17" s="21"/>
      <c r="F17" s="22"/>
      <c r="G17" s="21"/>
      <c r="H17" s="21"/>
      <c r="I17" s="22"/>
    </row>
    <row r="18" spans="1:9">
      <c r="A18" s="21"/>
      <c r="B18" s="21"/>
      <c r="C18" s="21"/>
      <c r="D18" s="21"/>
      <c r="E18" s="21"/>
      <c r="F18" s="22"/>
      <c r="G18" s="21"/>
      <c r="H18" s="21"/>
      <c r="I18" s="22"/>
    </row>
    <row r="19" spans="1:9">
      <c r="A19" s="21"/>
      <c r="B19" s="21"/>
      <c r="C19" s="21"/>
      <c r="D19" s="21"/>
      <c r="E19" s="21"/>
      <c r="F19" s="22"/>
      <c r="G19" s="21"/>
      <c r="H19" s="21"/>
      <c r="I19" s="22"/>
    </row>
    <row r="20" spans="1:9">
      <c r="A20" s="21"/>
      <c r="B20" s="21"/>
      <c r="C20" s="21"/>
      <c r="D20" s="21"/>
      <c r="E20" s="21"/>
      <c r="F20" s="22"/>
      <c r="G20" s="21"/>
      <c r="H20" s="21"/>
      <c r="I20" s="22"/>
    </row>
    <row r="21" spans="1:9">
      <c r="A21" s="21"/>
      <c r="B21" s="21"/>
      <c r="C21" s="21"/>
      <c r="D21" s="21"/>
      <c r="E21" s="21"/>
      <c r="F21" s="22"/>
      <c r="G21" s="21"/>
      <c r="H21" s="21"/>
      <c r="I21" s="22"/>
    </row>
    <row r="22" spans="1:9">
      <c r="A22" s="21"/>
      <c r="B22" s="21"/>
      <c r="C22" s="21"/>
      <c r="D22" s="21"/>
      <c r="E22" s="21"/>
      <c r="F22" s="22"/>
      <c r="G22" s="21"/>
      <c r="H22" s="21"/>
      <c r="I22" s="22"/>
    </row>
    <row r="23" spans="1:9">
      <c r="A23" s="21"/>
      <c r="B23" s="21"/>
      <c r="C23" s="21"/>
      <c r="D23" s="21"/>
      <c r="E23" s="21"/>
      <c r="F23" s="22"/>
      <c r="G23" s="21"/>
      <c r="H23" s="21"/>
      <c r="I23" s="22"/>
    </row>
    <row r="24" spans="1:9">
      <c r="A24" s="21"/>
      <c r="B24" s="21"/>
      <c r="C24" s="21"/>
      <c r="D24" s="21"/>
      <c r="E24" s="21"/>
      <c r="F24" s="22"/>
      <c r="G24" s="21"/>
      <c r="H24" s="21"/>
      <c r="I24" s="22"/>
    </row>
    <row r="25" spans="1:9">
      <c r="A25" s="21"/>
      <c r="B25" s="21"/>
      <c r="C25" s="21"/>
      <c r="D25" s="21"/>
      <c r="E25" s="21"/>
      <c r="F25" s="22"/>
      <c r="G25" s="21"/>
      <c r="H25" s="21"/>
      <c r="I25" s="22"/>
    </row>
    <row r="26" spans="1:9">
      <c r="A26" s="21"/>
      <c r="B26" s="21"/>
      <c r="C26" s="21"/>
      <c r="D26" s="21"/>
      <c r="E26" s="21"/>
      <c r="F26" s="22"/>
      <c r="G26" s="21"/>
      <c r="H26" s="21"/>
      <c r="I26" s="22"/>
    </row>
    <row r="27" spans="1:9">
      <c r="A27" s="21"/>
      <c r="B27" s="21"/>
      <c r="C27" s="21"/>
      <c r="D27" s="21"/>
      <c r="E27" s="21"/>
      <c r="F27" s="22"/>
      <c r="G27" s="21"/>
      <c r="H27" s="21"/>
      <c r="I27" s="22"/>
    </row>
    <row r="28" spans="1:9">
      <c r="A28" s="21"/>
      <c r="B28" s="21"/>
      <c r="C28" s="21"/>
      <c r="D28" s="21"/>
      <c r="E28" s="21"/>
      <c r="F28" s="22"/>
      <c r="G28" s="21"/>
      <c r="H28" s="21"/>
      <c r="I28" s="22"/>
    </row>
    <row r="29" spans="1:9">
      <c r="A29" s="21"/>
      <c r="B29" s="21"/>
      <c r="C29" s="21"/>
      <c r="D29" s="21"/>
      <c r="E29" s="21"/>
      <c r="F29" s="22"/>
      <c r="G29" s="21"/>
      <c r="H29" s="21"/>
      <c r="I29" s="22"/>
    </row>
    <row r="30" spans="1:9">
      <c r="A30" s="21"/>
      <c r="B30" s="21"/>
      <c r="C30" s="21"/>
      <c r="D30" s="21"/>
      <c r="E30" s="21"/>
      <c r="F30" s="22"/>
      <c r="G30" s="21"/>
      <c r="H30" s="21"/>
      <c r="I30" s="22"/>
    </row>
    <row r="31" spans="1:9">
      <c r="A31" s="21"/>
      <c r="B31" s="21"/>
      <c r="C31" s="21"/>
      <c r="D31" s="21"/>
      <c r="E31" s="21"/>
      <c r="F31" s="22"/>
      <c r="G31" s="21"/>
      <c r="H31" s="21"/>
      <c r="I31" s="22"/>
    </row>
    <row r="32" spans="1:9">
      <c r="A32" s="21"/>
      <c r="B32" s="21"/>
      <c r="C32" s="21"/>
      <c r="D32" s="21"/>
      <c r="E32" s="21"/>
      <c r="F32" s="22"/>
      <c r="G32" s="21"/>
      <c r="H32" s="21"/>
      <c r="I32" s="22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5">Sites[Site]</f>
        <v>Janis</v>
      </c>
      <c r="B4" s="9" t="str" cm="1">
        <f t="array" ref="B4:B5">Sites[State]</f>
        <v>NY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9" t="str">
        <v>Puckett Solar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17"/>
      <c r="B6" s="10"/>
      <c r="C6" s="45"/>
      <c r="D6" s="18"/>
      <c r="E6" s="18"/>
      <c r="F6" s="19"/>
      <c r="G6" s="20"/>
      <c r="H6" s="20"/>
      <c r="I6" s="19"/>
    </row>
    <row r="7" spans="1:9" ht="15">
      <c r="A7" s="21"/>
      <c r="B7" s="10"/>
      <c r="C7" s="45"/>
      <c r="D7" s="18"/>
      <c r="E7" s="18"/>
      <c r="F7" s="19"/>
      <c r="G7" s="20"/>
      <c r="H7" s="20"/>
      <c r="I7" s="19"/>
    </row>
    <row r="8" spans="1:9" ht="15">
      <c r="A8" s="21"/>
      <c r="B8" s="10"/>
      <c r="C8" s="45"/>
      <c r="D8" s="18"/>
      <c r="E8" s="18"/>
      <c r="F8" s="19"/>
      <c r="G8" s="20"/>
      <c r="H8" s="20"/>
      <c r="I8" s="19"/>
    </row>
    <row r="9" spans="1:9" ht="15">
      <c r="A9" s="21"/>
      <c r="B9" s="10"/>
      <c r="C9" s="45"/>
      <c r="D9" s="18"/>
      <c r="E9" s="18"/>
      <c r="F9" s="19"/>
      <c r="G9" s="20"/>
      <c r="H9" s="20"/>
      <c r="I9" s="19"/>
    </row>
    <row r="10" spans="1:9" ht="15">
      <c r="A10" s="21"/>
      <c r="B10" s="10"/>
      <c r="C10" s="45"/>
      <c r="D10" s="18"/>
      <c r="E10" s="18"/>
      <c r="F10" s="19"/>
      <c r="G10" s="20"/>
      <c r="H10" s="20"/>
      <c r="I10" s="19"/>
    </row>
    <row r="11" spans="1:9">
      <c r="A11" s="21"/>
      <c r="B11" s="21"/>
      <c r="C11" s="21"/>
      <c r="D11" s="21"/>
      <c r="E11" s="21"/>
      <c r="F11" s="21"/>
      <c r="G11" s="21"/>
      <c r="H11" s="21"/>
      <c r="I11" s="21"/>
    </row>
    <row r="12" spans="1:9">
      <c r="A12" s="21"/>
      <c r="B12" s="21"/>
      <c r="C12" s="21"/>
      <c r="D12" s="21"/>
      <c r="E12" s="21"/>
      <c r="F12" s="21"/>
      <c r="G12" s="21"/>
      <c r="H12" s="21"/>
      <c r="I12" s="21"/>
    </row>
    <row r="13" spans="1:9">
      <c r="A13" s="21"/>
      <c r="B13" s="21"/>
      <c r="C13" s="21"/>
      <c r="D13" s="21"/>
      <c r="E13" s="21"/>
      <c r="F13" s="22"/>
      <c r="G13" s="21"/>
      <c r="H13" s="21"/>
      <c r="I13" s="22"/>
    </row>
    <row r="14" spans="1:9">
      <c r="A14" s="21"/>
      <c r="B14" s="21"/>
      <c r="C14" s="21"/>
      <c r="D14" s="21"/>
      <c r="E14" s="21"/>
      <c r="F14" s="22"/>
      <c r="G14" s="21"/>
      <c r="H14" s="21"/>
      <c r="I14" s="22"/>
    </row>
    <row r="15" spans="1:9">
      <c r="A15" s="21"/>
      <c r="B15" s="21"/>
      <c r="C15" s="21"/>
      <c r="D15" s="21"/>
      <c r="E15" s="21"/>
      <c r="F15" s="22"/>
      <c r="G15" s="21"/>
      <c r="H15" s="21"/>
      <c r="I15" s="22"/>
    </row>
    <row r="16" spans="1:9">
      <c r="A16" s="21"/>
      <c r="B16" s="21"/>
      <c r="C16" s="21"/>
      <c r="D16" s="21"/>
      <c r="E16" s="21"/>
      <c r="F16" s="22"/>
      <c r="G16" s="21"/>
      <c r="H16" s="21"/>
      <c r="I16" s="22"/>
    </row>
    <row r="17" spans="1:9">
      <c r="A17" s="21"/>
      <c r="B17" s="21"/>
      <c r="C17" s="21"/>
      <c r="D17" s="21"/>
      <c r="E17" s="21"/>
      <c r="F17" s="22"/>
      <c r="G17" s="21"/>
      <c r="H17" s="21"/>
      <c r="I17" s="22"/>
    </row>
    <row r="18" spans="1:9">
      <c r="A18" s="21"/>
      <c r="B18" s="21"/>
      <c r="C18" s="21"/>
      <c r="D18" s="21"/>
      <c r="E18" s="21"/>
      <c r="F18" s="22"/>
      <c r="G18" s="21"/>
      <c r="H18" s="21"/>
      <c r="I18" s="22"/>
    </row>
    <row r="19" spans="1:9">
      <c r="A19" s="21"/>
      <c r="B19" s="21"/>
      <c r="C19" s="21"/>
      <c r="D19" s="21"/>
      <c r="E19" s="21"/>
      <c r="F19" s="22"/>
      <c r="G19" s="21"/>
      <c r="H19" s="21"/>
      <c r="I19" s="22"/>
    </row>
    <row r="20" spans="1:9">
      <c r="A20" s="21"/>
      <c r="B20" s="21"/>
      <c r="C20" s="21"/>
      <c r="D20" s="21"/>
      <c r="E20" s="21"/>
      <c r="F20" s="22"/>
      <c r="G20" s="21"/>
      <c r="H20" s="21"/>
      <c r="I20" s="22"/>
    </row>
    <row r="21" spans="1:9">
      <c r="A21" s="21"/>
      <c r="B21" s="21"/>
      <c r="C21" s="21"/>
      <c r="D21" s="21"/>
      <c r="E21" s="21"/>
      <c r="F21" s="22"/>
      <c r="G21" s="21"/>
      <c r="H21" s="21"/>
      <c r="I21" s="22"/>
    </row>
    <row r="22" spans="1:9">
      <c r="A22" s="21"/>
      <c r="B22" s="21"/>
      <c r="C22" s="21"/>
      <c r="D22" s="21"/>
      <c r="E22" s="21"/>
      <c r="F22" s="22"/>
      <c r="G22" s="21"/>
      <c r="H22" s="21"/>
      <c r="I22" s="22"/>
    </row>
    <row r="23" spans="1:9">
      <c r="A23" s="21"/>
      <c r="B23" s="21"/>
      <c r="C23" s="21"/>
      <c r="D23" s="21"/>
      <c r="E23" s="21"/>
      <c r="F23" s="22"/>
      <c r="G23" s="21"/>
      <c r="H23" s="21"/>
      <c r="I23" s="22"/>
    </row>
    <row r="24" spans="1:9">
      <c r="A24" s="21"/>
      <c r="B24" s="21"/>
      <c r="C24" s="21"/>
      <c r="D24" s="21"/>
      <c r="E24" s="21"/>
      <c r="F24" s="22"/>
      <c r="G24" s="21"/>
      <c r="H24" s="21"/>
      <c r="I24" s="22"/>
    </row>
    <row r="25" spans="1:9">
      <c r="A25" s="21"/>
      <c r="B25" s="21"/>
      <c r="C25" s="21"/>
      <c r="D25" s="21"/>
      <c r="E25" s="21"/>
      <c r="F25" s="22"/>
      <c r="G25" s="21"/>
      <c r="H25" s="21"/>
      <c r="I25" s="22"/>
    </row>
    <row r="26" spans="1:9">
      <c r="A26" s="21"/>
      <c r="B26" s="21"/>
      <c r="C26" s="21"/>
      <c r="D26" s="21"/>
      <c r="E26" s="21"/>
      <c r="F26" s="22"/>
      <c r="G26" s="21"/>
      <c r="H26" s="21"/>
      <c r="I26" s="22"/>
    </row>
    <row r="27" spans="1:9">
      <c r="A27" s="21"/>
      <c r="B27" s="21"/>
      <c r="C27" s="21"/>
      <c r="D27" s="21"/>
      <c r="E27" s="21"/>
      <c r="F27" s="22"/>
      <c r="G27" s="21"/>
      <c r="H27" s="21"/>
      <c r="I27" s="22"/>
    </row>
    <row r="28" spans="1:9">
      <c r="A28" s="21"/>
      <c r="B28" s="21"/>
      <c r="C28" s="21"/>
      <c r="D28" s="21"/>
      <c r="E28" s="21"/>
      <c r="F28" s="22"/>
      <c r="G28" s="21"/>
      <c r="H28" s="21"/>
      <c r="I28" s="22"/>
    </row>
    <row r="29" spans="1:9">
      <c r="A29" s="21"/>
      <c r="B29" s="21"/>
      <c r="C29" s="21"/>
      <c r="D29" s="21"/>
      <c r="E29" s="21"/>
      <c r="F29" s="22"/>
      <c r="G29" s="21"/>
      <c r="H29" s="21"/>
      <c r="I29" s="22"/>
    </row>
    <row r="30" spans="1:9">
      <c r="A30" s="21"/>
      <c r="B30" s="21"/>
      <c r="C30" s="21"/>
      <c r="D30" s="21"/>
      <c r="E30" s="21"/>
      <c r="F30" s="22"/>
      <c r="G30" s="21"/>
      <c r="H30" s="21"/>
      <c r="I30" s="22"/>
    </row>
    <row r="31" spans="1:9">
      <c r="A31" s="21"/>
      <c r="B31" s="21"/>
      <c r="C31" s="21"/>
      <c r="D31" s="21"/>
      <c r="E31" s="21"/>
      <c r="F31" s="22"/>
      <c r="G31" s="21"/>
      <c r="H31" s="21"/>
      <c r="I31" s="22"/>
    </row>
    <row r="32" spans="1:9">
      <c r="A32" s="21"/>
      <c r="B32" s="21"/>
      <c r="C32" s="21"/>
      <c r="D32" s="21"/>
      <c r="E32" s="21"/>
      <c r="F32" s="22"/>
      <c r="G32" s="21"/>
      <c r="H32" s="21"/>
      <c r="I32" s="22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A3" sqref="A3:XFD3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6.710937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1386024.183989774</v>
      </c>
      <c r="D2" s="5">
        <f>SUM(D4:D79)</f>
        <v>1687476.4</v>
      </c>
      <c r="E2" s="5">
        <f>C2-D2</f>
        <v>-301452.21601022594</v>
      </c>
      <c r="F2" s="6">
        <f>IFERROR(E2/D2, 0)</f>
        <v>-0.17864084855363072</v>
      </c>
      <c r="G2" s="5">
        <f>SUM(G4:G79)</f>
        <v>2753954</v>
      </c>
      <c r="H2" s="7">
        <f>C2-G2</f>
        <v>-1367929.816010226</v>
      </c>
      <c r="I2" s="6">
        <f>IFERROR(H2/G2, 0)</f>
        <v>-0.49671483837791991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45">
      <c r="A4" s="51" t="str" cm="1">
        <f t="array" ref="A4:A5">Sites[Site]</f>
        <v>Janis</v>
      </c>
      <c r="B4" s="28" t="str" cm="1">
        <f t="array" ref="B4:B5">Sites[State]</f>
        <v>NY</v>
      </c>
      <c r="C4" s="13">
        <v>641158.18398977397</v>
      </c>
      <c r="D4" s="13">
        <v>1056577</v>
      </c>
      <c r="E4" s="13">
        <f>IF(AND(ISNUMBER(C4),ISNUMBER(D4)), C4-D4, "")</f>
        <v>-415418.81601022603</v>
      </c>
      <c r="F4" s="44">
        <f>IFERROR(E4/D4, "")</f>
        <v>-0.39317419933447922</v>
      </c>
      <c r="G4" s="15">
        <v>1516236</v>
      </c>
      <c r="H4" s="15">
        <f>IF(AND(ISNUMBER(C4),ISNUMBER(G4)), C4-G4, "")</f>
        <v>-875077.81601022603</v>
      </c>
      <c r="I4" s="16">
        <f>IFERROR(H4/G4, "")</f>
        <v>-0.57713826608141872</v>
      </c>
      <c r="J4" s="40" t="s">
        <v>22</v>
      </c>
      <c r="K4" s="40" t="s">
        <v>23</v>
      </c>
    </row>
    <row r="5" spans="1:11" ht="60">
      <c r="A5" s="52" t="str">
        <v>Puckett Solar</v>
      </c>
      <c r="B5" s="30" t="str">
        <v>NY</v>
      </c>
      <c r="C5" s="18">
        <v>744866</v>
      </c>
      <c r="D5" s="18">
        <v>630899.4</v>
      </c>
      <c r="E5" s="18">
        <f t="shared" ref="E5" si="0">IF(AND(ISNUMBER(C5),ISNUMBER(D5)), C5-D5, "")</f>
        <v>113966.59999999998</v>
      </c>
      <c r="F5" s="44">
        <f t="shared" ref="F5" si="1">IFERROR(E5/D5, "")</f>
        <v>0.18064147786477522</v>
      </c>
      <c r="G5" s="20">
        <v>1237718</v>
      </c>
      <c r="H5" s="20">
        <f t="shared" ref="H5" si="2">IF(AND(ISNUMBER(C5),ISNUMBER(G5)), C5-G5, "")</f>
        <v>-492852</v>
      </c>
      <c r="I5" s="19">
        <f t="shared" ref="I5" si="3">IFERROR(H5/G5, "")</f>
        <v>-0.39819409590876115</v>
      </c>
      <c r="J5" s="41" t="s">
        <v>24</v>
      </c>
      <c r="K5" s="41" t="s">
        <v>25</v>
      </c>
    </row>
    <row r="6" spans="1:11" ht="15">
      <c r="A6" s="21"/>
      <c r="B6" s="32"/>
      <c r="C6" s="42"/>
      <c r="D6" s="21"/>
      <c r="E6" s="21"/>
      <c r="F6" s="21"/>
      <c r="G6" s="21"/>
      <c r="H6" s="21"/>
      <c r="I6" s="21"/>
      <c r="J6" s="43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4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</sheetData>
  <mergeCells count="4">
    <mergeCell ref="D1:F1"/>
    <mergeCell ref="A1:C1"/>
    <mergeCell ref="G1:I1"/>
    <mergeCell ref="A2:B2"/>
  </mergeCells>
  <conditionalFormatting sqref="F2 I2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6:F79">
    <cfRule type="cellIs" dxfId="26" priority="1" stopIfTrue="1" operator="lessThanOrEqual">
      <formula>-0.1</formula>
    </cfRule>
    <cfRule type="expression" dxfId="25" priority="2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tabSelected="1" workbookViewId="0">
      <pane xSplit="2" ySplit="3" topLeftCell="D4" activePane="bottomRight" state="frozen"/>
      <selection pane="bottomRight" activeCell="J4" sqref="J4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5046188.7574642999</v>
      </c>
      <c r="D2" s="5">
        <f>SUM(D4:D80)</f>
        <v>4124450</v>
      </c>
      <c r="E2" s="5">
        <f>C2-D2</f>
        <v>921738.75746429991</v>
      </c>
      <c r="F2" s="6">
        <f>IFERROR(E2/D2, 0)</f>
        <v>0.22348161754035081</v>
      </c>
      <c r="G2" s="5">
        <f>SUM(G4:G80)</f>
        <v>3585377</v>
      </c>
      <c r="H2" s="7">
        <f>C2-G2</f>
        <v>1460811.7574642999</v>
      </c>
      <c r="I2" s="6">
        <f>IFERROR(H2/G2, 0)</f>
        <v>0.40743602624334901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0">
      <c r="A4" s="51" t="str" cm="1">
        <f t="array" ref="A4:A5">Sites[Site]</f>
        <v>Janis</v>
      </c>
      <c r="B4" s="28" t="str" cm="1">
        <f t="array" ref="B4:B5">Sites[State]</f>
        <v>NY</v>
      </c>
      <c r="C4" s="24">
        <v>2476319.7574642999</v>
      </c>
      <c r="D4" s="13">
        <v>2363767</v>
      </c>
      <c r="E4" s="13">
        <f>IF(AND(ISNUMBER(C4),ISNUMBER(D4)), C4-D4, "")</f>
        <v>112552.75746429991</v>
      </c>
      <c r="F4" s="14">
        <f>IFERROR(E4/D4, "")</f>
        <v>4.7615842620825112E-2</v>
      </c>
      <c r="G4" s="15">
        <v>1923083</v>
      </c>
      <c r="H4" s="15">
        <f>IF(AND(ISNUMBER(C4),ISNUMBER(G4)), C4-G4, "")</f>
        <v>553236.75746429991</v>
      </c>
      <c r="I4" s="16">
        <f>IFERROR(H4/G4, "")</f>
        <v>0.28768220480566875</v>
      </c>
      <c r="J4" s="40" t="s">
        <v>28</v>
      </c>
      <c r="K4" s="40" t="s">
        <v>29</v>
      </c>
    </row>
    <row r="5" spans="1:11" ht="60">
      <c r="A5" s="52" t="str">
        <v>Puckett Solar</v>
      </c>
      <c r="B5" s="30" t="str">
        <v>NY</v>
      </c>
      <c r="C5" s="11">
        <v>2569869</v>
      </c>
      <c r="D5" s="18">
        <v>1760683</v>
      </c>
      <c r="E5" s="18">
        <f t="shared" ref="E5" si="0">IF(AND(ISNUMBER(C5),ISNUMBER(D5)), C5-D5, "")</f>
        <v>809186</v>
      </c>
      <c r="F5" s="19">
        <f>IFERROR(E5/D5, "")</f>
        <v>0.45958642186015314</v>
      </c>
      <c r="G5" s="20">
        <v>1662294</v>
      </c>
      <c r="H5" s="20">
        <f t="shared" ref="H5" si="1">IF(AND(ISNUMBER(C5),ISNUMBER(G5)), C5-G5, "")</f>
        <v>907575</v>
      </c>
      <c r="I5" s="19">
        <f t="shared" ref="I5" si="2">IFERROR(H5/G5, "")</f>
        <v>0.54597742637583968</v>
      </c>
      <c r="J5" s="53" t="s">
        <v>30</v>
      </c>
      <c r="K5" s="53" t="s">
        <v>31</v>
      </c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1"/>
  <sheetViews>
    <sheetView workbookViewId="0">
      <pane ySplit="3" topLeftCell="A4" activePane="bottomLeft" state="frozen"/>
      <selection pane="bottomLeft" activeCell="C31" sqref="C3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5">
      <c r="A4" s="50" t="s">
        <v>57</v>
      </c>
      <c r="B4" t="s">
        <v>57</v>
      </c>
      <c r="C4" s="47" t="s">
        <v>58</v>
      </c>
      <c r="D4" s="46" t="s">
        <v>59</v>
      </c>
      <c r="E4" t="s">
        <v>60</v>
      </c>
      <c r="G4" s="3"/>
    </row>
    <row r="5" spans="1:12" ht="15">
      <c r="A5" s="50" t="s">
        <v>61</v>
      </c>
      <c r="B5" t="s">
        <v>61</v>
      </c>
      <c r="C5" s="47" t="s">
        <v>58</v>
      </c>
      <c r="D5" s="46" t="s">
        <v>59</v>
      </c>
      <c r="E5" t="s">
        <v>60</v>
      </c>
      <c r="G5" s="3"/>
    </row>
    <row r="6" spans="1:12" ht="12.75" customHeight="1">
      <c r="K6" s="42"/>
      <c r="L6" s="42"/>
    </row>
    <row r="7" spans="1:12" ht="12.75" customHeight="1">
      <c r="K7" s="42"/>
      <c r="L7" s="42"/>
    </row>
    <row r="8" spans="1:12" ht="12.75" customHeight="1">
      <c r="K8" s="42"/>
      <c r="L8" s="42"/>
    </row>
    <row r="9" spans="1:12" ht="12.75" customHeight="1">
      <c r="K9" s="42"/>
      <c r="L9" s="42"/>
    </row>
    <row r="10" spans="1:12" ht="12.75" customHeight="1">
      <c r="K10" s="42"/>
      <c r="L10" s="42"/>
    </row>
    <row r="11" spans="1:12" ht="12.75" customHeight="1">
      <c r="K11" s="42"/>
      <c r="L1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2024-03-13T15:16:55Z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