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" documentId="13_ncr:1_{F710E01F-5BF2-4F04-83FB-5A96D172A117}" xr6:coauthVersionLast="47" xr6:coauthVersionMax="47" xr10:uidLastSave="{BF5BAA36-B4F9-424D-A10C-44EE523A0FB5}"/>
  <bookViews>
    <workbookView xWindow="28690" yWindow="-8520" windowWidth="34620" windowHeight="1390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4" l="1"/>
  <c r="D6" i="34"/>
  <c r="D7" i="34"/>
  <c r="D8" i="34"/>
  <c r="D9" i="34"/>
  <c r="D10" i="34"/>
  <c r="D11" i="34"/>
  <c r="D12" i="34"/>
  <c r="D13" i="34"/>
  <c r="D14" i="34"/>
  <c r="D15" i="34"/>
  <c r="D16" i="34"/>
  <c r="D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6" i="30"/>
  <c r="E16" i="30" s="1"/>
  <c r="F16" i="30" s="1"/>
  <c r="D16" i="30"/>
  <c r="C16" i="29"/>
  <c r="D16" i="29"/>
  <c r="E16" i="29" s="1"/>
  <c r="F16" i="29" s="1"/>
  <c r="C16" i="18"/>
  <c r="E16" i="18" s="1"/>
  <c r="F16" i="18" s="1"/>
  <c r="D16" i="18"/>
  <c r="C16" i="1"/>
  <c r="D16" i="1"/>
  <c r="G16" i="1"/>
  <c r="G16" i="34" s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E15" i="30" s="1"/>
  <c r="F15" i="30" s="1"/>
  <c r="C15" i="30"/>
  <c r="D14" i="30"/>
  <c r="C14" i="30"/>
  <c r="E14" i="30" s="1"/>
  <c r="F14" i="30" s="1"/>
  <c r="D13" i="30"/>
  <c r="C13" i="30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E9" i="30" s="1"/>
  <c r="F9" i="30" s="1"/>
  <c r="D8" i="30"/>
  <c r="C8" i="30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E12" i="29" s="1"/>
  <c r="F12" i="29" s="1"/>
  <c r="D11" i="29"/>
  <c r="C11" i="29"/>
  <c r="E11" i="29" s="1"/>
  <c r="F11" i="29" s="1"/>
  <c r="D10" i="29"/>
  <c r="C10" i="29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D5" i="29"/>
  <c r="C5" i="29"/>
  <c r="E5" i="29" s="1"/>
  <c r="F5" i="29" s="1"/>
  <c r="D4" i="29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D2" i="18" s="1"/>
  <c r="C4" i="18"/>
  <c r="E4" i="18" s="1"/>
  <c r="F4" i="18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I11" i="4"/>
  <c r="H11" i="4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2" i="29" l="1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I16" i="30" s="1"/>
  <c r="H6" i="29"/>
  <c r="I6" i="29" s="1"/>
  <c r="H10" i="29"/>
  <c r="I10" i="29" s="1"/>
  <c r="H13" i="29"/>
  <c r="I13" i="29" s="1"/>
  <c r="H16" i="29"/>
  <c r="I16" i="29" s="1"/>
  <c r="I10" i="27"/>
  <c r="H6" i="30"/>
  <c r="I6" i="30" s="1"/>
  <c r="H7" i="29"/>
  <c r="I7" i="29" s="1"/>
  <c r="H15" i="29"/>
  <c r="I15" i="29" s="1"/>
  <c r="H16" i="1"/>
  <c r="I16" i="1" s="1"/>
  <c r="H16" i="18"/>
  <c r="I16" i="18" s="1"/>
  <c r="D2" i="30"/>
  <c r="E16" i="34"/>
  <c r="F16" i="34" s="1"/>
  <c r="E16" i="1"/>
  <c r="F16" i="1" s="1"/>
  <c r="H16" i="34"/>
  <c r="I16" i="34" s="1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<sst xmlns="http://schemas.openxmlformats.org/spreadsheetml/2006/main" count="342" uniqueCount="107">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</sst>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E22" sqref="E2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MN8 Bond</v>
      </c>
      <c r="B1" s="88"/>
      <c r="C1" s="88"/>
      <c r="D1" s="89" t="s">
        <v>0</v>
      </c>
      <c r="E1" s="89"/>
      <c r="F1" s="89"/>
      <c r="G1" s="87" t="s">
        <v>1</v>
      </c>
      <c r="H1" s="87"/>
      <c r="I1" s="87"/>
    </row>
    <row r="2" spans="1:9" ht="19.5" customHeight="1">
      <c r="A2" s="90" t="s">
        <v>2</v>
      </c>
      <c r="B2" s="90"/>
      <c r="C2" s="5">
        <f>SUM(C4:C91)</f>
        <v>2936839.4912326094</v>
      </c>
      <c r="D2" s="5">
        <f>SUM(D4:D91)</f>
        <v>3720310.86</v>
      </c>
      <c r="E2" s="5">
        <f>C2-D2</f>
        <v>-783471.36876739049</v>
      </c>
      <c r="F2" s="6">
        <f>IFERROR(E2/D2, 0)</f>
        <v>-0.21059298490110326</v>
      </c>
      <c r="G2" s="5">
        <f>SUM(G4:G91)</f>
        <v>3214758.8699999996</v>
      </c>
      <c r="H2" s="7">
        <f>C2-G2</f>
        <v>-277919.37876739027</v>
      </c>
      <c r="I2" s="6">
        <f>IFERROR(H2/G2, 0)</f>
        <v>-8.6451080782737E-2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432728.84079602</v>
      </c>
      <c r="D4" s="56">
        <f>SUM('1st Qtr'!D4, '2nd Qtr'!D4, '3rd Qtr'!D4, '4th Qtr'!D4)</f>
        <v>518430.5</v>
      </c>
      <c r="E4" s="56">
        <f>IF(AND(ISNUMBER(C4),ISNUMBER(D4)), C4-D4, "")</f>
        <v>-85701.659203980002</v>
      </c>
      <c r="F4" s="69">
        <f>IFERROR(E4/D4, "")</f>
        <v>-0.16530983266605651</v>
      </c>
      <c r="G4" s="58">
        <f>SUM('1st Qtr'!G4, '2nd Qtr'!G4, '3rd Qtr'!G4, '4th Qtr'!G4)</f>
        <v>541002</v>
      </c>
      <c r="H4" s="58">
        <f>SUM('1st Qtr'!H4, '2nd Qtr'!H4, '3rd Qtr'!H4, '4th Qtr'!H4)</f>
        <v>-108273.15920398</v>
      </c>
      <c r="I4" s="57">
        <f>IFERROR(H4/G4, "")</f>
        <v>-0.2001344897134946</v>
      </c>
    </row>
    <row r="5" spans="1:9" ht="15.75">
      <c r="A5" s="76" t="str">
        <v>Clara Barton</v>
      </c>
      <c r="B5" s="77" t="str">
        <v>MA</v>
      </c>
      <c r="C5" s="71">
        <f>SUM('1st Qtr'!C5, '2nd Qtr'!C5, '3rd Qtr'!C5, '4th Qtr'!C5)</f>
        <v>158181.45853658789</v>
      </c>
      <c r="D5" s="62">
        <f>SUM('1st Qtr'!D5, '2nd Qtr'!D5, '3rd Qtr'!D5, '4th Qtr'!D5)</f>
        <v>188274.12</v>
      </c>
      <c r="E5" s="62">
        <f t="shared" ref="E5:E15" si="0">IF(AND(ISNUMBER(C5),ISNUMBER(D5)), C5-D5, "")</f>
        <v>-30092.661463412107</v>
      </c>
      <c r="F5" s="63">
        <f>IFERROR(E5/D5, "")</f>
        <v>-0.15983429620285627</v>
      </c>
      <c r="G5" s="64">
        <f>SUM('1st Qtr'!G5, '2nd Qtr'!G5, '3rd Qtr'!G5, '4th Qtr'!G5)</f>
        <v>186458.78</v>
      </c>
      <c r="H5" s="64">
        <f>SUM(Jan!H5, Feb!H5, Mar!H5)</f>
        <v>-28277.321463412103</v>
      </c>
      <c r="I5" s="63">
        <f>IFERROR(H5/G5, "")</f>
        <v>-0.15165454511400378</v>
      </c>
    </row>
    <row r="6" spans="1:9" ht="15.75">
      <c r="A6" s="74" t="str">
        <v>Fairhaven Solar</v>
      </c>
      <c r="B6" s="75" t="str">
        <v>MA</v>
      </c>
      <c r="C6" s="68">
        <f>SUM('1st Qtr'!C6, '2nd Qtr'!C6, '3rd Qtr'!C6, '4th Qtr'!C6)</f>
        <v>144961</v>
      </c>
      <c r="D6" s="56">
        <f>SUM('1st Qtr'!D6, '2nd Qtr'!D6, '3rd Qtr'!D6, '4th Qtr'!D6)</f>
        <v>165573.84</v>
      </c>
      <c r="E6" s="56">
        <f t="shared" si="0"/>
        <v>-20612.839999999997</v>
      </c>
      <c r="F6" s="69">
        <f t="shared" ref="F6:F15" si="1">IFERROR(E6/D6, "")</f>
        <v>-0.12449333783646013</v>
      </c>
      <c r="G6" s="58">
        <f>SUM('1st Qtr'!G6, '2nd Qtr'!G6, '3rd Qtr'!G6, '4th Qtr'!G6)</f>
        <v>141847.29</v>
      </c>
      <c r="H6" s="58">
        <f>SUM(Jan!H6, Feb!H6, Mar!H6)</f>
        <v>3113.7099999999991</v>
      </c>
      <c r="I6" s="57">
        <f t="shared" ref="I6:I15" si="2">IFERROR(H6/G6, "")</f>
        <v>2.1951141964009317E-2</v>
      </c>
    </row>
    <row r="7" spans="1:9" ht="15.75">
      <c r="A7" s="76" t="str">
        <v>Plympton-1</v>
      </c>
      <c r="B7" s="77" t="str">
        <v>MA</v>
      </c>
      <c r="C7" s="71">
        <f>SUM('1st Qtr'!C7, '2nd Qtr'!C7, '3rd Qtr'!C7, '4th Qtr'!C7)</f>
        <v>181653</v>
      </c>
      <c r="D7" s="62">
        <f>SUM('1st Qtr'!D7, '2nd Qtr'!D7, '3rd Qtr'!D7, '4th Qtr'!D7)</f>
        <v>198094.63</v>
      </c>
      <c r="E7" s="62">
        <f t="shared" si="0"/>
        <v>-16441.630000000005</v>
      </c>
      <c r="F7" s="63">
        <f t="shared" si="1"/>
        <v>-8.2998867763351303E-2</v>
      </c>
      <c r="G7" s="64">
        <f>SUM('1st Qtr'!G7, '2nd Qtr'!G7, '3rd Qtr'!G7, '4th Qtr'!G7)</f>
        <v>177512.53</v>
      </c>
      <c r="H7" s="64">
        <f>SUM(Jan!H7, Feb!H7, Mar!H7)</f>
        <v>4140.4700000000012</v>
      </c>
      <c r="I7" s="63">
        <f t="shared" si="2"/>
        <v>2.3324945005290618E-2</v>
      </c>
    </row>
    <row r="8" spans="1:9" ht="15.75">
      <c r="A8" s="74" t="str">
        <v>French River 2</v>
      </c>
      <c r="B8" s="75" t="str">
        <v>MA</v>
      </c>
      <c r="C8" s="68">
        <f>SUM('1st Qtr'!C8, '2nd Qtr'!C8, '3rd Qtr'!C8, '4th Qtr'!C8)</f>
        <v>173694.11</v>
      </c>
      <c r="D8" s="56">
        <f>SUM('1st Qtr'!D8, '2nd Qtr'!D8, '3rd Qtr'!D8, '4th Qtr'!D8)</f>
        <v>236189.16999999998</v>
      </c>
      <c r="E8" s="56">
        <f t="shared" si="0"/>
        <v>-62495.06</v>
      </c>
      <c r="F8" s="69">
        <f t="shared" si="1"/>
        <v>-0.26459748344938933</v>
      </c>
      <c r="G8" s="58">
        <f>SUM('1st Qtr'!G8, '2nd Qtr'!G8, '3rd Qtr'!G8, '4th Qtr'!G8)</f>
        <v>185238</v>
      </c>
      <c r="H8" s="58">
        <f>SUM(Jan!H8, Feb!H8, Mar!H8)</f>
        <v>-11543.89</v>
      </c>
      <c r="I8" s="57">
        <f t="shared" si="2"/>
        <v>-6.2319232554875349E-2</v>
      </c>
    </row>
    <row r="9" spans="1:9" ht="15.75">
      <c r="A9" s="76" t="str">
        <v>French River 3</v>
      </c>
      <c r="B9" s="77" t="str">
        <v>MA</v>
      </c>
      <c r="C9" s="71">
        <f>SUM('1st Qtr'!C9, '2nd Qtr'!C9, '3rd Qtr'!C9, '4th Qtr'!C9)</f>
        <v>343554.12</v>
      </c>
      <c r="D9" s="62">
        <f>SUM('1st Qtr'!D9, '2nd Qtr'!D9, '3rd Qtr'!D9, '4th Qtr'!D9)</f>
        <v>449896.89999999997</v>
      </c>
      <c r="E9" s="62">
        <f t="shared" si="0"/>
        <v>-106342.77999999997</v>
      </c>
      <c r="F9" s="63">
        <f t="shared" si="1"/>
        <v>-0.23637144421310743</v>
      </c>
      <c r="G9" s="64">
        <f>SUM('1st Qtr'!G9, '2nd Qtr'!G9, '3rd Qtr'!G9, '4th Qtr'!G9)</f>
        <v>355203.30000000005</v>
      </c>
      <c r="H9" s="64">
        <f>SUM(Jan!H9, Feb!H9, Mar!H9)</f>
        <v>-11649.180000000022</v>
      </c>
      <c r="I9" s="63">
        <f t="shared" si="2"/>
        <v>-3.2795810174060941E-2</v>
      </c>
    </row>
    <row r="10" spans="1:9" ht="15.75">
      <c r="A10" s="74" t="str">
        <v>French River 4</v>
      </c>
      <c r="B10" s="75" t="str">
        <v>MA</v>
      </c>
      <c r="C10" s="68">
        <f>SUM('1st Qtr'!C10, '2nd Qtr'!C10, '3rd Qtr'!C10, '4th Qtr'!C10)</f>
        <v>351099.2164000012</v>
      </c>
      <c r="D10" s="56">
        <f>SUM('1st Qtr'!D10, '2nd Qtr'!D10, '3rd Qtr'!D10, '4th Qtr'!D10)</f>
        <v>458733</v>
      </c>
      <c r="E10" s="56">
        <f t="shared" si="0"/>
        <v>-107633.7835999988</v>
      </c>
      <c r="F10" s="69">
        <f t="shared" si="1"/>
        <v>-0.23463274628160347</v>
      </c>
      <c r="G10" s="58">
        <f>SUM('1st Qtr'!G10, '2nd Qtr'!G10, '3rd Qtr'!G10, '4th Qtr'!G10)</f>
        <v>370323.8</v>
      </c>
      <c r="H10" s="58">
        <f>SUM(Jan!H10, Feb!H10, Mar!H10)</f>
        <v>-19224.58359999879</v>
      </c>
      <c r="I10" s="57">
        <f t="shared" si="2"/>
        <v>-5.1912903248451193E-2</v>
      </c>
    </row>
    <row r="11" spans="1:9" ht="15.75">
      <c r="A11" s="76" t="str">
        <v>French River 5</v>
      </c>
      <c r="B11" s="77" t="str">
        <v>MA</v>
      </c>
      <c r="C11" s="71">
        <f>SUM('1st Qtr'!C11, '2nd Qtr'!C11, '3rd Qtr'!C11, '4th Qtr'!C11)</f>
        <v>327033.5</v>
      </c>
      <c r="D11" s="62">
        <f>SUM('1st Qtr'!D11, '2nd Qtr'!D11, '3rd Qtr'!D11, '4th Qtr'!D11)</f>
        <v>443236.1</v>
      </c>
      <c r="E11" s="62">
        <f t="shared" si="0"/>
        <v>-116202.59999999998</v>
      </c>
      <c r="F11" s="63">
        <f t="shared" si="1"/>
        <v>-0.26216862751025916</v>
      </c>
      <c r="G11" s="64">
        <f>SUM('1st Qtr'!G11, '2nd Qtr'!G11, '3rd Qtr'!G11, '4th Qtr'!G11)</f>
        <v>363390</v>
      </c>
      <c r="H11" s="64">
        <f>SUM(Jan!H11, Feb!H11, Mar!H11)</f>
        <v>-36356.5</v>
      </c>
      <c r="I11" s="63">
        <f t="shared" si="2"/>
        <v>-0.10004815762679216</v>
      </c>
    </row>
    <row r="12" spans="1:9" ht="15.75">
      <c r="A12" s="74" t="str">
        <v>French River 6</v>
      </c>
      <c r="B12" s="75" t="str">
        <v>MA</v>
      </c>
      <c r="C12" s="68">
        <f>SUM('1st Qtr'!C12, '2nd Qtr'!C12, '3rd Qtr'!C12, '4th Qtr'!C12)</f>
        <v>309307</v>
      </c>
      <c r="D12" s="56">
        <f>SUM('1st Qtr'!D12, '2nd Qtr'!D12, '3rd Qtr'!D12, '4th Qtr'!D12)</f>
        <v>379929</v>
      </c>
      <c r="E12" s="56">
        <f t="shared" si="0"/>
        <v>-70622</v>
      </c>
      <c r="F12" s="69">
        <f t="shared" si="1"/>
        <v>-0.18588209902376496</v>
      </c>
      <c r="G12" s="58">
        <f>SUM('1st Qtr'!G12, '2nd Qtr'!G12, '3rd Qtr'!G12, '4th Qtr'!G12)</f>
        <v>348668.6</v>
      </c>
      <c r="H12" s="58">
        <f>SUM(Jan!H12, Feb!H12, Mar!H12)</f>
        <v>-39361.600000000006</v>
      </c>
      <c r="I12" s="57">
        <f t="shared" si="2"/>
        <v>-0.11289115222879263</v>
      </c>
    </row>
    <row r="13" spans="1:9" ht="15.75">
      <c r="A13" s="76" t="str">
        <v>Stillwater River 1A</v>
      </c>
      <c r="B13" s="77" t="str">
        <v>MA</v>
      </c>
      <c r="C13" s="71">
        <f>SUM('1st Qtr'!C13, '2nd Qtr'!C13, '3rd Qtr'!C13, '4th Qtr'!C13)</f>
        <v>86440.812999999995</v>
      </c>
      <c r="D13" s="62">
        <f>SUM('1st Qtr'!D13, '2nd Qtr'!D13, '3rd Qtr'!D13, '4th Qtr'!D13)</f>
        <v>100837.04000000001</v>
      </c>
      <c r="E13" s="62">
        <f t="shared" si="0"/>
        <v>-14396.227000000014</v>
      </c>
      <c r="F13" s="63">
        <f t="shared" si="1"/>
        <v>-0.14276725100221122</v>
      </c>
      <c r="G13" s="64">
        <f>SUM('1st Qtr'!G13, '2nd Qtr'!G13, '3rd Qtr'!G13, '4th Qtr'!G13)</f>
        <v>89472.88</v>
      </c>
      <c r="H13" s="64">
        <f>SUM(Jan!H13, Feb!H13, Mar!H13)</f>
        <v>-3032.0669999999955</v>
      </c>
      <c r="I13" s="63">
        <f t="shared" si="2"/>
        <v>-3.3888112241385271E-2</v>
      </c>
    </row>
    <row r="14" spans="1:9" ht="15.75">
      <c r="A14" s="74" t="str">
        <v>Stillwater River 2</v>
      </c>
      <c r="B14" s="75" t="str">
        <v>MA</v>
      </c>
      <c r="C14" s="68">
        <f>SUM('1st Qtr'!C14, '2nd Qtr'!C14, '3rd Qtr'!C14, '4th Qtr'!C14)</f>
        <v>178736.12000000011</v>
      </c>
      <c r="D14" s="56">
        <f>SUM('1st Qtr'!D14, '2nd Qtr'!D14, '3rd Qtr'!D14, '4th Qtr'!D14)</f>
        <v>240871.88</v>
      </c>
      <c r="E14" s="56">
        <f t="shared" si="0"/>
        <v>-62135.759999999893</v>
      </c>
      <c r="F14" s="69">
        <f t="shared" si="1"/>
        <v>-0.25796186752891159</v>
      </c>
      <c r="G14" s="58">
        <f>SUM('1st Qtr'!G14, '2nd Qtr'!G14, '3rd Qtr'!G14, '4th Qtr'!G14)</f>
        <v>187392.09</v>
      </c>
      <c r="H14" s="58">
        <f>SUM(Jan!H14, Feb!H14, Mar!H14)</f>
        <v>-8655.9699999998993</v>
      </c>
      <c r="I14" s="57">
        <f t="shared" si="2"/>
        <v>-4.6191757613674618E-2</v>
      </c>
    </row>
    <row r="15" spans="1:9" ht="15.75">
      <c r="A15" s="76" t="str">
        <v>Stillwater River 3</v>
      </c>
      <c r="B15" s="77" t="str">
        <v>MA</v>
      </c>
      <c r="C15" s="71">
        <f>SUM('1st Qtr'!C15, '2nd Qtr'!C15, '3rd Qtr'!C15, '4th Qtr'!C15)</f>
        <v>178644</v>
      </c>
      <c r="D15" s="62">
        <f>SUM('1st Qtr'!D15, '2nd Qtr'!D15, '3rd Qtr'!D15, '4th Qtr'!D15)</f>
        <v>240388.65999999997</v>
      </c>
      <c r="E15" s="62">
        <f t="shared" si="0"/>
        <v>-61744.659999999974</v>
      </c>
      <c r="F15" s="63">
        <f t="shared" si="1"/>
        <v>-0.25685346388635794</v>
      </c>
      <c r="G15" s="64">
        <f>SUM('1st Qtr'!G15, '2nd Qtr'!G15, '3rd Qtr'!G15, '4th Qtr'!G15)</f>
        <v>184473.49</v>
      </c>
      <c r="H15" s="64">
        <f>SUM(Jan!H15, Feb!H15, Mar!H15)</f>
        <v>-5829.4900000000052</v>
      </c>
      <c r="I15" s="63">
        <f t="shared" si="2"/>
        <v>-3.1600692327119768E-2</v>
      </c>
    </row>
    <row r="16" spans="1:9" ht="15.75">
      <c r="A16" s="74" t="str">
        <v>Stillwater River 4</v>
      </c>
      <c r="B16" s="75" t="str">
        <v>MA</v>
      </c>
      <c r="C16" s="68">
        <f>SUM('1st Qtr'!C16, '2nd Qtr'!C16, '3rd Qtr'!C16, '4th Qtr'!C16)</f>
        <v>70806.3125</v>
      </c>
      <c r="D16" s="56">
        <f>SUM('1st Qtr'!D16, '2nd Qtr'!D16, '3rd Qtr'!D16, '4th Qtr'!D16)</f>
        <v>99856.01999999999</v>
      </c>
      <c r="E16" s="56">
        <f t="shared" ref="E16" si="3">IF(AND(ISNUMBER(C16),ISNUMBER(D16)), C16-D16, "")</f>
        <v>-29049.70749999999</v>
      </c>
      <c r="F16" s="69">
        <f t="shared" ref="F16" si="4">IFERROR(E16/D16, "")</f>
        <v>-0.2909159357643134</v>
      </c>
      <c r="G16" s="58">
        <f>SUM('1st Qtr'!G16, '2nd Qtr'!G16, '3rd Qtr'!G16, '4th Qtr'!G16)</f>
        <v>83776.11</v>
      </c>
      <c r="H16" s="58">
        <f>SUM(Jan!H16, Feb!H16, Mar!H16)</f>
        <v>-12969.797500000001</v>
      </c>
      <c r="I16" s="57">
        <f t="shared" ref="I16" si="5">IFERROR(H16/G16, "")</f>
        <v>-0.15481498842569796</v>
      </c>
    </row>
    <row r="17" spans="1:9" ht="14.45">
      <c r="A17" s="19"/>
      <c r="B17" s="19"/>
      <c r="C17" s="86"/>
      <c r="D17" s="19"/>
      <c r="E17" s="19"/>
      <c r="F17" s="19"/>
      <c r="G17" s="19"/>
      <c r="H17" s="19"/>
      <c r="I17" s="19"/>
    </row>
    <row r="18" spans="1:9" ht="12.9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2.9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2.9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2.9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2.9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2.9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9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2.9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2.9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2.9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2.9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2.9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2.9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2.9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2.9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2.9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2.9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2.9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2.9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2.9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2.9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2.9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2.9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2.9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2.9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2.9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2.9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2.9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2.9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2.9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2.9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2.9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2.9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2.9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2.9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2.9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2.9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2.9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2.9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2.9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2.9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2.9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2.9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2.9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2.9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2.9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2.9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2.9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2.9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2.9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2.9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2.9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2.9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2.9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2.9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2.9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2.9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2.9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2.9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2.9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2.9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2.9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2.9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2.9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2.9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2.9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2.9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2.9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2.9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2.9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2.9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2.9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2.9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2.9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2.9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2.9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2.9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2.9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2.9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2.9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2.9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2.9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2.9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2.9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2.9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2.9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2.9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2.9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2.9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2.9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2.9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2.9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2.9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2.9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2.9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2.9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2.9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2.9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2.9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2.9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2.9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2.9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2.9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2.9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2.9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2.9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2.9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2.9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2.9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2.9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2.9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2.9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2.9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2.9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2.9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2.9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2.9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2.9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2.9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2.9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2.9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2.9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2.9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2.9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2.9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2.9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2.9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2.9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2.9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2.9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2.9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2.9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2.9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2.9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2.9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2.9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2.9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2.9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2.9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2.9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2.9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2.9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2.9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2.9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2.9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2.9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2.9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2.9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2.9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2.9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2.9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2.9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2.9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2.9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2.9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2.9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2.9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2.9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2.9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2.9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2.9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2.9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2.9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2.9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2.9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2.9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2.9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2.9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2.9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2.9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2.9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2.9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2.9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2.9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2.9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2.9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2.9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2.9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2.9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2.9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2.9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2.9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2.9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2.9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2.9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2.9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2.9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2.9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2.9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2.9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2.9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2.9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2.9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2.9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2.9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2.9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2.9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2.9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2.9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2.9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2.9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2.9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2.9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2.9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2.9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2.9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2.9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2.9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2.9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2.9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2.9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2.9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2.9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2.9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2.9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2.9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2.9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2.9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2.9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2.9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2.9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2.9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2.9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2.9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2.9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2.9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2.9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2.9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2.9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2.9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2.9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2.9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2.9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2.9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2.9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2.9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2.9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2.9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2.9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2.9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2.9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2.9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2.9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2.9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2.9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2.9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2.9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2.9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2.9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2.9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2.9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2.9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2.9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2.9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2.9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2.9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2.9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2.9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2.9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2.9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2.9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2.9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2.9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2.9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2.9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2.9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2.9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2.9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2.9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2.9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2.9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2.9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2.9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2.9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2.9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2.9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2.9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2.9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2.9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2.9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2.9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2.9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2.9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2.9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2.9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2.9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2.9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2.9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2.9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2.9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2.9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2.9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2.9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2.9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2.9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2.9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2.9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2.9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2.9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2.9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2.9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2.9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2.9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2.9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2.9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2.9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2.9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2.9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2.9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2.9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2.9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2.9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2.9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2.9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2.9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2.95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D4" sqref="D4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MN8 Bond</v>
      </c>
      <c r="B1" s="88"/>
      <c r="C1" s="88"/>
      <c r="D1" s="89" t="s">
        <v>10</v>
      </c>
      <c r="E1" s="89"/>
      <c r="F1" s="89"/>
      <c r="G1" s="87" t="s">
        <v>11</v>
      </c>
      <c r="H1" s="87"/>
      <c r="I1" s="87"/>
    </row>
    <row r="2" spans="1:9" ht="19.5" customHeight="1">
      <c r="A2" s="90" t="s">
        <v>2</v>
      </c>
      <c r="B2" s="90"/>
      <c r="C2" s="5">
        <f>SUM(C4:C91)</f>
        <v>2936839.4912326094</v>
      </c>
      <c r="D2" s="5">
        <f>SUM(D4:D91)</f>
        <v>3720310.86</v>
      </c>
      <c r="E2" s="5">
        <f>C2-D2</f>
        <v>-783471.36876739049</v>
      </c>
      <c r="F2" s="6">
        <f>IFERROR(E2/D2, 0)</f>
        <v>-0.21059298490110326</v>
      </c>
      <c r="G2" s="5">
        <f>SUM(G4:G91)</f>
        <v>3214758.8699999996</v>
      </c>
      <c r="H2" s="7">
        <f>C2-G2</f>
        <v>-277919.37876739027</v>
      </c>
      <c r="I2" s="6">
        <f>IFERROR(H2/G2, 0)</f>
        <v>-8.6451080782737E-2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432728.84079602</v>
      </c>
      <c r="D4" s="56">
        <f>SUM(Jan!D4, Feb!D4, Mar!D4)</f>
        <v>518430.5</v>
      </c>
      <c r="E4" s="56">
        <f>IF(AND(ISNUMBER(C4),ISNUMBER(D4)), C4-D4, "")</f>
        <v>-85701.659203980002</v>
      </c>
      <c r="F4" s="69">
        <f>IFERROR(E4/D4, "")</f>
        <v>-0.16530983266605651</v>
      </c>
      <c r="G4" s="58">
        <f>SUM(Jan!G4, Feb!G4, Mar!G4)</f>
        <v>541002</v>
      </c>
      <c r="H4" s="58">
        <f>SUM(Jan!H4, Feb!H4, Mar!H4)</f>
        <v>-108273.15920398</v>
      </c>
      <c r="I4" s="57">
        <f>IFERROR(H4/G4, "")</f>
        <v>-0.2001344897134946</v>
      </c>
    </row>
    <row r="5" spans="1:9" ht="15.75">
      <c r="A5" s="79" t="str">
        <v>Clara Barton</v>
      </c>
      <c r="B5" s="77" t="str">
        <v>MA</v>
      </c>
      <c r="C5" s="71">
        <f>SUM(Jan!C5, Feb!C5, Mar!C5)</f>
        <v>158181.45853658789</v>
      </c>
      <c r="D5" s="62">
        <f>SUM(Jan!D5, Feb!D5, Mar!D5)</f>
        <v>188274.12</v>
      </c>
      <c r="E5" s="62">
        <f t="shared" ref="E5:E15" si="0">IF(AND(ISNUMBER(C5),ISNUMBER(D5)), C5-D5, "")</f>
        <v>-30092.661463412107</v>
      </c>
      <c r="F5" s="63">
        <f>IFERROR(E5/D5, "")</f>
        <v>-0.15983429620285627</v>
      </c>
      <c r="G5" s="64">
        <f>SUM(Jan!G5, Feb!G5, Mar!G5)</f>
        <v>186458.78</v>
      </c>
      <c r="H5" s="64">
        <f>SUM(Jan!H5, Feb!H5, Mar!H5)</f>
        <v>-28277.321463412103</v>
      </c>
      <c r="I5" s="63">
        <f>IFERROR(H5/G5, "")</f>
        <v>-0.15165454511400378</v>
      </c>
    </row>
    <row r="6" spans="1:9" ht="15.75">
      <c r="A6" s="78" t="str">
        <v>Fairhaven Solar</v>
      </c>
      <c r="B6" s="75" t="str">
        <v>MA</v>
      </c>
      <c r="C6" s="68">
        <f>SUM(Jan!C6, Feb!C6, Mar!C6)</f>
        <v>144961</v>
      </c>
      <c r="D6" s="56">
        <f>SUM(Jan!D6, Feb!D6, Mar!D6)</f>
        <v>165573.84</v>
      </c>
      <c r="E6" s="56">
        <f t="shared" si="0"/>
        <v>-20612.839999999997</v>
      </c>
      <c r="F6" s="69">
        <f t="shared" ref="F6:F15" si="1">IFERROR(E6/D6, "")</f>
        <v>-0.12449333783646013</v>
      </c>
      <c r="G6" s="58">
        <f>SUM(Jan!G6, Feb!G6, Mar!G6)</f>
        <v>141847.29</v>
      </c>
      <c r="H6" s="58">
        <f>SUM(Jan!H6, Feb!H6, Mar!H6)</f>
        <v>3113.7099999999991</v>
      </c>
      <c r="I6" s="57">
        <f t="shared" ref="I6:I15" si="2">IFERROR(H6/G6, "")</f>
        <v>2.1951141964009317E-2</v>
      </c>
    </row>
    <row r="7" spans="1:9" ht="15.75">
      <c r="A7" s="79" t="str">
        <v>Plympton-1</v>
      </c>
      <c r="B7" s="77" t="str">
        <v>MA</v>
      </c>
      <c r="C7" s="71">
        <f>SUM(Jan!C7, Feb!C7, Mar!C7)</f>
        <v>181653</v>
      </c>
      <c r="D7" s="62">
        <f>SUM(Jan!D7, Feb!D7, Mar!D7)</f>
        <v>198094.63</v>
      </c>
      <c r="E7" s="62">
        <f t="shared" si="0"/>
        <v>-16441.630000000005</v>
      </c>
      <c r="F7" s="63">
        <f t="shared" si="1"/>
        <v>-8.2998867763351303E-2</v>
      </c>
      <c r="G7" s="64">
        <f>SUM(Jan!G7, Feb!G7, Mar!G7)</f>
        <v>177512.53</v>
      </c>
      <c r="H7" s="64">
        <f>SUM(Jan!H7, Feb!H7, Mar!H7)</f>
        <v>4140.4700000000012</v>
      </c>
      <c r="I7" s="63">
        <f t="shared" si="2"/>
        <v>2.3324945005290618E-2</v>
      </c>
    </row>
    <row r="8" spans="1:9" ht="15.75">
      <c r="A8" s="78" t="str">
        <v>French River 2</v>
      </c>
      <c r="B8" s="75" t="str">
        <v>MA</v>
      </c>
      <c r="C8" s="68">
        <f>SUM(Jan!C8, Feb!C8, Mar!C8)</f>
        <v>173694.11</v>
      </c>
      <c r="D8" s="56">
        <f>SUM(Jan!D8, Feb!D8, Mar!D8)</f>
        <v>236189.16999999998</v>
      </c>
      <c r="E8" s="56">
        <f t="shared" si="0"/>
        <v>-62495.06</v>
      </c>
      <c r="F8" s="69">
        <f t="shared" si="1"/>
        <v>-0.26459748344938933</v>
      </c>
      <c r="G8" s="58">
        <f>SUM(Jan!G8, Feb!G8, Mar!G8)</f>
        <v>185238</v>
      </c>
      <c r="H8" s="58">
        <f>SUM(Jan!H8, Feb!H8, Mar!H8)</f>
        <v>-11543.89</v>
      </c>
      <c r="I8" s="57">
        <f t="shared" si="2"/>
        <v>-6.2319232554875349E-2</v>
      </c>
    </row>
    <row r="9" spans="1:9" ht="15.75">
      <c r="A9" s="79" t="str">
        <v>French River 3</v>
      </c>
      <c r="B9" s="77" t="str">
        <v>MA</v>
      </c>
      <c r="C9" s="71">
        <f>SUM(Jan!C9, Feb!C9, Mar!C9)</f>
        <v>343554.12</v>
      </c>
      <c r="D9" s="62">
        <f>SUM(Jan!D9, Feb!D9, Mar!D9)</f>
        <v>449896.89999999997</v>
      </c>
      <c r="E9" s="62">
        <f t="shared" si="0"/>
        <v>-106342.77999999997</v>
      </c>
      <c r="F9" s="63">
        <f t="shared" si="1"/>
        <v>-0.23637144421310743</v>
      </c>
      <c r="G9" s="64">
        <f>SUM(Jan!G9, Feb!G9, Mar!G9)</f>
        <v>355203.30000000005</v>
      </c>
      <c r="H9" s="64">
        <f>SUM(Jan!H9, Feb!H9, Mar!H9)</f>
        <v>-11649.180000000022</v>
      </c>
      <c r="I9" s="63">
        <f t="shared" si="2"/>
        <v>-3.2795810174060941E-2</v>
      </c>
    </row>
    <row r="10" spans="1:9" ht="15.75">
      <c r="A10" s="78" t="str">
        <v>French River 4</v>
      </c>
      <c r="B10" s="75" t="str">
        <v>MA</v>
      </c>
      <c r="C10" s="68">
        <f>SUM(Jan!C10, Feb!C10, Mar!C10)</f>
        <v>351099.2164000012</v>
      </c>
      <c r="D10" s="56">
        <f>SUM(Jan!D10, Feb!D10, Mar!D10)</f>
        <v>458733</v>
      </c>
      <c r="E10" s="56">
        <f t="shared" si="0"/>
        <v>-107633.7835999988</v>
      </c>
      <c r="F10" s="69">
        <f t="shared" si="1"/>
        <v>-0.23463274628160347</v>
      </c>
      <c r="G10" s="58">
        <f>SUM(Jan!G10, Feb!G10, Mar!G10)</f>
        <v>370323.8</v>
      </c>
      <c r="H10" s="58">
        <f>SUM(Jan!H10, Feb!H10, Mar!H10)</f>
        <v>-19224.58359999879</v>
      </c>
      <c r="I10" s="57">
        <f t="shared" si="2"/>
        <v>-5.1912903248451193E-2</v>
      </c>
    </row>
    <row r="11" spans="1:9" ht="15.75">
      <c r="A11" s="79" t="str">
        <v>French River 5</v>
      </c>
      <c r="B11" s="77" t="str">
        <v>MA</v>
      </c>
      <c r="C11" s="71">
        <f>SUM(Jan!C11, Feb!C11, Mar!C11)</f>
        <v>327033.5</v>
      </c>
      <c r="D11" s="62">
        <f>SUM(Jan!D11, Feb!D11, Mar!D11)</f>
        <v>443236.1</v>
      </c>
      <c r="E11" s="62">
        <f t="shared" si="0"/>
        <v>-116202.59999999998</v>
      </c>
      <c r="F11" s="63">
        <f t="shared" si="1"/>
        <v>-0.26216862751025916</v>
      </c>
      <c r="G11" s="64">
        <f>SUM(Jan!G11, Feb!G11, Mar!G11)</f>
        <v>363390</v>
      </c>
      <c r="H11" s="64">
        <f>SUM(Jan!H11, Feb!H11, Mar!H11)</f>
        <v>-36356.5</v>
      </c>
      <c r="I11" s="63">
        <f t="shared" si="2"/>
        <v>-0.10004815762679216</v>
      </c>
    </row>
    <row r="12" spans="1:9" ht="15.75">
      <c r="A12" s="78" t="str">
        <v>French River 6</v>
      </c>
      <c r="B12" s="75" t="str">
        <v>MA</v>
      </c>
      <c r="C12" s="68">
        <f>SUM(Jan!C12, Feb!C12, Mar!C12)</f>
        <v>309307</v>
      </c>
      <c r="D12" s="56">
        <f>SUM(Jan!D12, Feb!D12, Mar!D12)</f>
        <v>379929</v>
      </c>
      <c r="E12" s="56">
        <f t="shared" si="0"/>
        <v>-70622</v>
      </c>
      <c r="F12" s="69">
        <f t="shared" si="1"/>
        <v>-0.18588209902376496</v>
      </c>
      <c r="G12" s="58">
        <f>SUM(Jan!G12, Feb!G12, Mar!G12)</f>
        <v>348668.6</v>
      </c>
      <c r="H12" s="58">
        <f>SUM(Jan!H12, Feb!H12, Mar!H12)</f>
        <v>-39361.600000000006</v>
      </c>
      <c r="I12" s="57">
        <f t="shared" si="2"/>
        <v>-0.11289115222879263</v>
      </c>
    </row>
    <row r="13" spans="1:9" ht="15.75">
      <c r="A13" s="79" t="str">
        <v>Stillwater River 1A</v>
      </c>
      <c r="B13" s="77" t="str">
        <v>MA</v>
      </c>
      <c r="C13" s="71">
        <f>SUM(Jan!C13, Feb!C13, Mar!C13)</f>
        <v>86440.812999999995</v>
      </c>
      <c r="D13" s="62">
        <f>SUM(Jan!D13, Feb!D13, Mar!D13)</f>
        <v>100837.04000000001</v>
      </c>
      <c r="E13" s="62">
        <f t="shared" si="0"/>
        <v>-14396.227000000014</v>
      </c>
      <c r="F13" s="63">
        <f t="shared" si="1"/>
        <v>-0.14276725100221122</v>
      </c>
      <c r="G13" s="64">
        <f>SUM(Jan!G13, Feb!G13, Mar!G13)</f>
        <v>89472.88</v>
      </c>
      <c r="H13" s="64">
        <f>SUM(Jan!H13, Feb!H13, Mar!H13)</f>
        <v>-3032.0669999999955</v>
      </c>
      <c r="I13" s="63">
        <f t="shared" si="2"/>
        <v>-3.3888112241385271E-2</v>
      </c>
    </row>
    <row r="14" spans="1:9" ht="15.75">
      <c r="A14" s="78" t="str">
        <v>Stillwater River 2</v>
      </c>
      <c r="B14" s="75" t="str">
        <v>MA</v>
      </c>
      <c r="C14" s="68">
        <f>SUM(Jan!C14, Feb!C14, Mar!C14)</f>
        <v>178736.12000000011</v>
      </c>
      <c r="D14" s="56">
        <f>SUM(Jan!D14, Feb!D14, Mar!D14)</f>
        <v>240871.88</v>
      </c>
      <c r="E14" s="56">
        <f t="shared" si="0"/>
        <v>-62135.759999999893</v>
      </c>
      <c r="F14" s="69">
        <f t="shared" si="1"/>
        <v>-0.25796186752891159</v>
      </c>
      <c r="G14" s="58">
        <f>SUM(Jan!G14, Feb!G14, Mar!G14)</f>
        <v>187392.09</v>
      </c>
      <c r="H14" s="58">
        <f>SUM(Jan!H14, Feb!H14, Mar!H14)</f>
        <v>-8655.9699999998993</v>
      </c>
      <c r="I14" s="57">
        <f t="shared" si="2"/>
        <v>-4.6191757613674618E-2</v>
      </c>
    </row>
    <row r="15" spans="1:9" ht="15.75">
      <c r="A15" s="79" t="str">
        <v>Stillwater River 3</v>
      </c>
      <c r="B15" s="77" t="str">
        <v>MA</v>
      </c>
      <c r="C15" s="71">
        <f>SUM(Jan!C15, Feb!C15, Mar!C15)</f>
        <v>178644</v>
      </c>
      <c r="D15" s="62">
        <f>SUM(Jan!D15, Feb!D15, Mar!D15)</f>
        <v>240388.65999999997</v>
      </c>
      <c r="E15" s="62">
        <f t="shared" si="0"/>
        <v>-61744.659999999974</v>
      </c>
      <c r="F15" s="63">
        <f t="shared" si="1"/>
        <v>-0.25685346388635794</v>
      </c>
      <c r="G15" s="64">
        <f>SUM(Jan!G15, Feb!G15, Mar!G15)</f>
        <v>184473.49</v>
      </c>
      <c r="H15" s="64">
        <f>SUM(Jan!H15, Feb!H15, Mar!H15)</f>
        <v>-5829.4900000000052</v>
      </c>
      <c r="I15" s="63">
        <f t="shared" si="2"/>
        <v>-3.1600692327119768E-2</v>
      </c>
    </row>
    <row r="16" spans="1:9" ht="15.75">
      <c r="A16" s="78" t="str">
        <v>Stillwater River 4</v>
      </c>
      <c r="B16" s="75" t="str">
        <v>MA</v>
      </c>
      <c r="C16" s="68">
        <f>SUM(Jan!C16, Feb!C16, Mar!C16)</f>
        <v>70806.3125</v>
      </c>
      <c r="D16" s="56">
        <f>SUM(Jan!D16, Feb!D16, Mar!D16)</f>
        <v>99856.01999999999</v>
      </c>
      <c r="E16" s="56">
        <f t="shared" ref="E16" si="3">IF(AND(ISNUMBER(C16),ISNUMBER(D16)), C16-D16, "")</f>
        <v>-29049.70749999999</v>
      </c>
      <c r="F16" s="69">
        <f t="shared" ref="F16" si="4">IFERROR(E16/D16, "")</f>
        <v>-0.2909159357643134</v>
      </c>
      <c r="G16" s="58">
        <f>SUM(Jan!G16, Feb!G16, Mar!G16)</f>
        <v>83776.11</v>
      </c>
      <c r="H16" s="58">
        <f>SUM(Jan!H16, Feb!H16, Mar!H16)</f>
        <v>-12969.797500000001</v>
      </c>
      <c r="I16" s="57">
        <f t="shared" ref="I16" si="5">IFERROR(H16/G16, "")</f>
        <v>-0.15481498842569796</v>
      </c>
    </row>
    <row r="17" spans="1:9" ht="14.45">
      <c r="A17" s="19"/>
      <c r="B17" s="9"/>
      <c r="C17" s="19"/>
      <c r="D17" s="19"/>
      <c r="E17" s="19"/>
      <c r="F17" s="19"/>
      <c r="G17" s="19"/>
      <c r="H17" s="19"/>
      <c r="I17" s="19"/>
    </row>
    <row r="18" spans="1:9" ht="12.9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2.9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2.9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2.9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2.9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2.9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9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2.9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2.9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2.9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2.9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2.9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2.9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2.9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2.9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2.9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2.9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2.9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2.9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2.9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2.9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2.9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2.9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2.9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2.9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2.9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2.9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2.9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2.9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2.9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2.9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2.9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2.9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2.9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2.9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2.9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2.9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2.9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2.9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2.9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2.9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2.9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2.9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2.9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2.9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2.9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2.9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2.9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2.9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2.9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2.9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2.9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2.9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2.9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2.9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2.9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2.9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2.9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2.9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2.9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2.9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2.9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2.9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2.9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2.9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2.9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2.9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2.9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2.9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2.9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2.9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2.9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2.9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2.9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2.9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2.9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2.9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2.9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2.9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2.9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2.9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2.9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2.9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2.9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2.9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2.9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2.9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2.9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2.9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2.9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2.9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2.9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2.9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2.9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2.9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2.9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2.9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2.9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2.9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2.9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2.9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2.9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2.9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2.9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2.9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2.9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2.9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2.9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2.9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2.9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2.9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2.9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2.9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2.9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2.9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2.9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2.9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2.9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2.9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2.9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2.9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2.9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2.9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2.9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2.9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2.9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2.9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2.9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2.9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2.9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2.9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2.9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2.9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2.9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2.9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2.9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2.9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2.9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2.9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2.9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2.9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2.9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2.9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2.9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2.9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2.9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2.9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2.9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2.9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2.9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2.9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2.9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2.9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2.9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2.9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2.9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2.9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2.9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2.9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2.9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2.9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2.9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2.9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2.9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2.9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2.9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2.9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2.9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2.9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2.9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2.9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2.9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2.9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2.9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2.9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2.9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2.9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2.9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2.9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2.9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2.9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2.9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2.9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2.9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2.9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2.9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2.9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2.9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2.9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2.9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2.9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2.9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2.9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2.9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2.9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2.9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2.9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2.9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2.9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2.9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2.9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2.9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2.9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2.9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2.9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2.9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2.9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2.9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2.9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2.9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2.9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2.9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2.9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2.9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2.9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2.9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2.9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2.9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2.9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2.9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2.9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2.9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2.9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2.9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2.9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2.9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2.9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2.9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2.9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2.9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2.9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2.9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2.9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2.9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2.9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2.9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2.9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2.9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2.9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2.9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2.9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2.9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2.9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2.9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2.9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2.9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2.9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2.9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2.9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2.9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2.9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2.9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2.9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2.9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2.9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2.9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2.9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2.9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2.9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2.9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2.9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2.9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2.9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2.9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2.9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2.9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2.9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2.9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2.9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2.9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2.9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2.9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2.9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2.9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2.9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2.9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2.9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2.9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2.9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2.9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2.9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2.9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2.9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2.9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2.9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2.9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2.9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2.9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2.9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2.9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2.9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2.9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2.9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2.9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2.9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2.9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2.9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2.9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2.9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2.9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2.9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2.9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2.9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2.9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2.9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2.9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2.9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2.9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2.9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2.9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2.9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2.9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2.9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2.9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2.9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2.9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D5" sqref="D5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MN8 Bond</v>
      </c>
      <c r="B1" s="88"/>
      <c r="C1" s="88"/>
      <c r="D1" s="89" t="s">
        <v>12</v>
      </c>
      <c r="E1" s="89"/>
      <c r="F1" s="89"/>
      <c r="G1" s="87" t="s">
        <v>13</v>
      </c>
      <c r="H1" s="87"/>
      <c r="I1" s="87"/>
    </row>
    <row r="2" spans="1:9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0</v>
      </c>
      <c r="D4" s="56">
        <f>SUM(Apr!D4, May!D4, Jun!D4)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SUM(Apr!H4, May!H4, Jun!H4)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SUM(Apr!C5, May!C5, Jun!C5)</f>
        <v>0</v>
      </c>
      <c r="D5" s="62">
        <f>SUM(Apr!D5, May!D5, Jun!D5)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SUM(Apr!H5, May!H5, Jun!H5)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SUM(Apr!C6, May!C6, Jun!C6)</f>
        <v>0</v>
      </c>
      <c r="D6" s="56">
        <f>SUM(Apr!D6, May!D6, Jun!D6)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SUM(Apr!H6, May!H6, Jun!H6)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SUM(Apr!C7, May!C7, Jun!C7)</f>
        <v>0</v>
      </c>
      <c r="D7" s="62">
        <f>SUM(Apr!D7, May!D7, Jun!D7)</f>
        <v>0</v>
      </c>
      <c r="E7" s="62">
        <f t="shared" si="0"/>
        <v>0</v>
      </c>
      <c r="F7" s="63" t="str">
        <f t="shared" si="1"/>
        <v/>
      </c>
      <c r="G7" s="64"/>
      <c r="H7" s="64">
        <f>SUM(Apr!H7, May!H7, Jun!H7)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SUM(Apr!C8, May!C8, Jun!C8)</f>
        <v>0</v>
      </c>
      <c r="D8" s="56">
        <f>SUM(Apr!D8, May!D8, Jun!D8)</f>
        <v>0</v>
      </c>
      <c r="E8" s="56">
        <f t="shared" si="0"/>
        <v>0</v>
      </c>
      <c r="F8" s="69" t="str">
        <f t="shared" si="1"/>
        <v/>
      </c>
      <c r="G8" s="58"/>
      <c r="H8" s="58">
        <f>SUM(Apr!H8, May!H8, Jun!H8)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SUM(Apr!C9, May!C9, Jun!C9)</f>
        <v>0</v>
      </c>
      <c r="D9" s="62">
        <f>SUM(Apr!D9, May!D9, Jun!D9)</f>
        <v>0</v>
      </c>
      <c r="E9" s="62">
        <f t="shared" si="0"/>
        <v>0</v>
      </c>
      <c r="F9" s="63" t="str">
        <f t="shared" si="1"/>
        <v/>
      </c>
      <c r="G9" s="64"/>
      <c r="H9" s="64">
        <f>SUM(Apr!H9, May!H9, Jun!H9)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SUM(Apr!C10, May!C10, Jun!C10)</f>
        <v>0</v>
      </c>
      <c r="D10" s="56">
        <f>SUM(Apr!D10, May!D10, Jun!D10)</f>
        <v>0</v>
      </c>
      <c r="E10" s="56">
        <f t="shared" si="0"/>
        <v>0</v>
      </c>
      <c r="F10" s="69" t="str">
        <f t="shared" si="1"/>
        <v/>
      </c>
      <c r="G10" s="58"/>
      <c r="H10" s="58">
        <f>SUM(Apr!H10, May!H10, Jun!H10)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SUM(Apr!C11, May!C11, Jun!C11)</f>
        <v>0</v>
      </c>
      <c r="D11" s="62">
        <f>SUM(Apr!D11, May!D11, Jun!D11)</f>
        <v>0</v>
      </c>
      <c r="E11" s="62">
        <f t="shared" si="0"/>
        <v>0</v>
      </c>
      <c r="F11" s="63" t="str">
        <f t="shared" si="1"/>
        <v/>
      </c>
      <c r="G11" s="64"/>
      <c r="H11" s="64">
        <f>SUM(Apr!H11, May!H11, Jun!H11)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SUM(Apr!C12, May!C12, Jun!C12)</f>
        <v>0</v>
      </c>
      <c r="D12" s="56">
        <f>SUM(Apr!D12, May!D12, Jun!D12)</f>
        <v>0</v>
      </c>
      <c r="E12" s="56">
        <f t="shared" si="0"/>
        <v>0</v>
      </c>
      <c r="F12" s="69" t="str">
        <f t="shared" si="1"/>
        <v/>
      </c>
      <c r="G12" s="58"/>
      <c r="H12" s="58">
        <f>SUM(Apr!H12, May!H12, Jun!H12)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SUM(Apr!C13, May!C13, Jun!C13)</f>
        <v>0</v>
      </c>
      <c r="D13" s="62">
        <f>SUM(Apr!D13, May!D13, Jun!D13)</f>
        <v>0</v>
      </c>
      <c r="E13" s="62">
        <f t="shared" si="0"/>
        <v>0</v>
      </c>
      <c r="F13" s="63" t="str">
        <f t="shared" si="1"/>
        <v/>
      </c>
      <c r="G13" s="64"/>
      <c r="H13" s="64">
        <f>SUM(Apr!H13, May!H13, Jun!H13)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SUM(Apr!C14, May!C14, Jun!C14)</f>
        <v>0</v>
      </c>
      <c r="D14" s="56">
        <f>SUM(Apr!D14, May!D14, Jun!D14)</f>
        <v>0</v>
      </c>
      <c r="E14" s="56">
        <f t="shared" si="0"/>
        <v>0</v>
      </c>
      <c r="F14" s="69" t="str">
        <f t="shared" si="1"/>
        <v/>
      </c>
      <c r="G14" s="58"/>
      <c r="H14" s="58">
        <f>SUM(Apr!H14, May!H14, Jun!H14)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SUM(Apr!C15, May!C15, Jun!C15)</f>
        <v>0</v>
      </c>
      <c r="D15" s="62">
        <f>SUM(Apr!D15, May!D15, Jun!D15)</f>
        <v>0</v>
      </c>
      <c r="E15" s="62">
        <f t="shared" si="0"/>
        <v>0</v>
      </c>
      <c r="F15" s="63" t="str">
        <f t="shared" si="1"/>
        <v/>
      </c>
      <c r="G15" s="64"/>
      <c r="H15" s="64">
        <f>SUM(Apr!H15, May!H15, Jun!H15)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SUM(Apr!C16, May!C16, Jun!C16)</f>
        <v>0</v>
      </c>
      <c r="D16" s="56">
        <f>SUM(Apr!D16, May!D16, Jun!D16)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SUM(Apr!H16, May!H16, Jun!H16)</f>
        <v>0</v>
      </c>
      <c r="I16" s="57" t="str">
        <f t="shared" ref="I16" si="5">IFERROR(H16/G16, "")</f>
        <v/>
      </c>
    </row>
    <row r="17" spans="1:9" ht="12.9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2.9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2.9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2.9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2.9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2.9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2.9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9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2.9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2.9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2.9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2.9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2.9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2.9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2.9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2.9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2.9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2.9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2.9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2.9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2.9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2.9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2.9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2.9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2.9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2.9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2.9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2.9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2.9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2.9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2.9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2.9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2.9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2.9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2.9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2.9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2.9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2.9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2.9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2.9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2.9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2.9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2.9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2.9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2.9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2.9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2.9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2.9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2.9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2.9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2.9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2.9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2.9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2.9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2.9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2.9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2.9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2.9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2.9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2.9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2.9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2.9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2.9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2.9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2.9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2.9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2.9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2.9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2.9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2.9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2.9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2.9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2.9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2.9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2.9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2.9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2.9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2.9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2.9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2.9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2.9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2.9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2.9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2.9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2.9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2.9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2.9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2.9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2.9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2.9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2.9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2.9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2.9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2.9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2.9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2.9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2.9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2.9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2.9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2.9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2.9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2.9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2.9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2.9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2.9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2.9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2.9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2.9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2.9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2.9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2.9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2.9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2.9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2.9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2.9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2.9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2.9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2.9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2.9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2.9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2.9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2.9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2.9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2.9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2.9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2.9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2.9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2.9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2.9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2.9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2.9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2.9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2.9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2.9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2.9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2.9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2.9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2.9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2.9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2.9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2.9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2.9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2.9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2.9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2.9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2.9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2.9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2.9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2.9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2.9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2.9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2.9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2.9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2.9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2.9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2.9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2.9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2.9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2.9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2.9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2.9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2.9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2.9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2.9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2.9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2.9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2.9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2.9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2.9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2.9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2.9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2.9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2.9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2.9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2.9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2.9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2.9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2.9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2.9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2.9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2.9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2.9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2.9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2.9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2.9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2.9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2.9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2.9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2.9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2.9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2.9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2.9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2.9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2.9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2.9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2.9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2.9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2.9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2.9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2.9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2.9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2.9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2.9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2.9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2.9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2.9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2.9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2.9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2.9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2.9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2.9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2.9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2.9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2.9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2.9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2.9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2.9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2.9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2.9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2.9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2.9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2.9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2.9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2.9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2.9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2.9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2.9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2.9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2.9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2.9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2.9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2.9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2.9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2.9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2.9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2.9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2.9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2.9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2.9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2.9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2.9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2.9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2.9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2.9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2.9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2.9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2.9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2.9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2.9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2.9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2.9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2.9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2.9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2.9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2.9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2.9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2.9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2.9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2.9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2.9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2.9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2.9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2.9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2.9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2.9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2.9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2.9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2.9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2.9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2.9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2.9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2.9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2.9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2.9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2.9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2.9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2.9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2.9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2.9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2.9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2.9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2.9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2.9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2.9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2.9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2.9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2.9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2.9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2.9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2.9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2.9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2.9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2.9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2.9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2.9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2.9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2.9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2.9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2.9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2.9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2.9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2.9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2.9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2.9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2.9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2.9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2.9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2.9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2.9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2.9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2.9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2.9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2.9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2.9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2.9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2.9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2.9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MN8 Bond</v>
      </c>
      <c r="B1" s="88"/>
      <c r="C1" s="88"/>
      <c r="D1" s="89" t="s">
        <v>14</v>
      </c>
      <c r="E1" s="89"/>
      <c r="F1" s="89"/>
      <c r="G1" s="87" t="s">
        <v>15</v>
      </c>
      <c r="H1" s="87"/>
      <c r="I1" s="87"/>
    </row>
    <row r="2" spans="1:9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0</v>
      </c>
      <c r="D4" s="56">
        <f>SUM(Jul!D4, Aug!D4, Sep!D4)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SUM(Jul!H4, Aug!H4, Sep!H4)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SUM(Jul!C5, Aug!C5, Sep!C5)</f>
        <v>0</v>
      </c>
      <c r="D5" s="62">
        <f>SUM(Jul!D5, Aug!D5, Sep!D5)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SUM(Jul!H5, Aug!H5, Sep!H5)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SUM(Jul!C6, Aug!C6, Sep!C6)</f>
        <v>0</v>
      </c>
      <c r="D6" s="56">
        <f>SUM(Jul!D6, Aug!D6, Sep!D6)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SUM(Jul!H6, Aug!H6, Sep!H6)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SUM(Jul!C7, Aug!C7, Sep!C7)</f>
        <v>0</v>
      </c>
      <c r="D7" s="62">
        <f>SUM(Jul!D7, Aug!D7, Sep!D7)</f>
        <v>0</v>
      </c>
      <c r="E7" s="62">
        <f t="shared" si="0"/>
        <v>0</v>
      </c>
      <c r="F7" s="63" t="str">
        <f t="shared" si="1"/>
        <v/>
      </c>
      <c r="G7" s="64"/>
      <c r="H7" s="64">
        <f>SUM(Jul!H7, Aug!H7, Sep!H7)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SUM(Jul!C8, Aug!C8, Sep!C8)</f>
        <v>0</v>
      </c>
      <c r="D8" s="56">
        <f>SUM(Jul!D8, Aug!D8, Sep!D8)</f>
        <v>0</v>
      </c>
      <c r="E8" s="56">
        <f t="shared" si="0"/>
        <v>0</v>
      </c>
      <c r="F8" s="69" t="str">
        <f t="shared" si="1"/>
        <v/>
      </c>
      <c r="G8" s="58"/>
      <c r="H8" s="58">
        <f>SUM(Jul!H8, Aug!H8, Sep!H8)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SUM(Jul!C9, Aug!C9, Sep!C9)</f>
        <v>0</v>
      </c>
      <c r="D9" s="62">
        <f>SUM(Jul!D9, Aug!D9, Sep!D9)</f>
        <v>0</v>
      </c>
      <c r="E9" s="62">
        <f t="shared" si="0"/>
        <v>0</v>
      </c>
      <c r="F9" s="63" t="str">
        <f t="shared" si="1"/>
        <v/>
      </c>
      <c r="G9" s="64"/>
      <c r="H9" s="64">
        <f>SUM(Jul!H9, Aug!H9, Sep!H9)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SUM(Jul!C10, Aug!C10, Sep!C10)</f>
        <v>0</v>
      </c>
      <c r="D10" s="56">
        <f>SUM(Jul!D10, Aug!D10, Sep!D10)</f>
        <v>0</v>
      </c>
      <c r="E10" s="56">
        <f t="shared" si="0"/>
        <v>0</v>
      </c>
      <c r="F10" s="69" t="str">
        <f t="shared" si="1"/>
        <v/>
      </c>
      <c r="G10" s="58"/>
      <c r="H10" s="58">
        <f>SUM(Jul!H10, Aug!H10, Sep!H10)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SUM(Jul!C11, Aug!C11, Sep!C11)</f>
        <v>0</v>
      </c>
      <c r="D11" s="62">
        <f>SUM(Jul!D11, Aug!D11, Sep!D11)</f>
        <v>0</v>
      </c>
      <c r="E11" s="62">
        <f t="shared" si="0"/>
        <v>0</v>
      </c>
      <c r="F11" s="63" t="str">
        <f t="shared" si="1"/>
        <v/>
      </c>
      <c r="G11" s="64"/>
      <c r="H11" s="64">
        <f>SUM(Jul!H11, Aug!H11, Sep!H11)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SUM(Jul!C12, Aug!C12, Sep!C12)</f>
        <v>0</v>
      </c>
      <c r="D12" s="56">
        <f>SUM(Jul!D12, Aug!D12, Sep!D12)</f>
        <v>0</v>
      </c>
      <c r="E12" s="56">
        <f t="shared" si="0"/>
        <v>0</v>
      </c>
      <c r="F12" s="69" t="str">
        <f t="shared" si="1"/>
        <v/>
      </c>
      <c r="G12" s="58"/>
      <c r="H12" s="58">
        <f>SUM(Jul!H12, Aug!H12, Sep!H12)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SUM(Jul!C13, Aug!C13, Sep!C13)</f>
        <v>0</v>
      </c>
      <c r="D13" s="62">
        <f>SUM(Jul!D13, Aug!D13, Sep!D13)</f>
        <v>0</v>
      </c>
      <c r="E13" s="62">
        <f t="shared" si="0"/>
        <v>0</v>
      </c>
      <c r="F13" s="63" t="str">
        <f t="shared" si="1"/>
        <v/>
      </c>
      <c r="G13" s="64"/>
      <c r="H13" s="64">
        <f>SUM(Jul!H13, Aug!H13, Sep!H13)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SUM(Jul!C14, Aug!C14, Sep!C14)</f>
        <v>0</v>
      </c>
      <c r="D14" s="56">
        <f>SUM(Jul!D14, Aug!D14, Sep!D14)</f>
        <v>0</v>
      </c>
      <c r="E14" s="56">
        <f t="shared" si="0"/>
        <v>0</v>
      </c>
      <c r="F14" s="69" t="str">
        <f t="shared" si="1"/>
        <v/>
      </c>
      <c r="G14" s="58"/>
      <c r="H14" s="58">
        <f>SUM(Jul!H14, Aug!H14, Sep!H14)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SUM(Jul!C15, Aug!C15, Sep!C15)</f>
        <v>0</v>
      </c>
      <c r="D15" s="62">
        <f>SUM(Jul!D15, Aug!D15, Sep!D15)</f>
        <v>0</v>
      </c>
      <c r="E15" s="62">
        <f t="shared" si="0"/>
        <v>0</v>
      </c>
      <c r="F15" s="63" t="str">
        <f t="shared" si="1"/>
        <v/>
      </c>
      <c r="G15" s="64"/>
      <c r="H15" s="64">
        <f>SUM(Jul!H15, Aug!H15, Sep!H15)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SUM(Jul!C16, Aug!C16, Sep!C16)</f>
        <v>0</v>
      </c>
      <c r="D16" s="56">
        <f>SUM(Jul!D16, Aug!D16, Sep!D16)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SUM(Jul!H16, Aug!H16, Sep!H16)</f>
        <v>0</v>
      </c>
      <c r="I16" s="57" t="str">
        <f t="shared" ref="I16" si="5">IFERROR(H16/G16, "")</f>
        <v/>
      </c>
    </row>
    <row r="17" spans="1:9" ht="15.75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75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75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75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75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75">
      <c r="A22" s="15"/>
      <c r="B22" s="19"/>
      <c r="C22" s="19"/>
      <c r="D22" s="19"/>
      <c r="E22" s="19"/>
      <c r="F22" s="19"/>
      <c r="G22" s="19"/>
      <c r="H22" s="19"/>
      <c r="I22" s="19"/>
    </row>
    <row r="23" spans="1:9" ht="12.9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9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2.9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2.9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2.9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2.9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2.9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2.9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2.9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2.9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2.9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2.9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2.9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2.9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2.9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2.9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2.9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2.9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2.9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2.9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2.9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2.9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2.9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2.9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2.9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2.9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2.9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2.9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2.9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2.9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2.9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2.9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2.9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2.9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2.9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2.9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2.9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2.9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2.9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2.9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2.9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2.9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2.9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2.9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2.9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2.9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2.9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2.9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2.9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2.9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2.9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2.9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2.9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2.9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2.9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2.9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2.9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2.9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2.9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2.9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2.9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2.9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2.9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2.9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2.9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2.9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2.9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2.9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2.9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2.9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2.9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2.9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2.9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2.9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2.9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2.9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2.9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2.9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2.9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2.9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2.9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2.9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2.9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2.9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2.9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2.9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2.9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2.9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2.9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2.9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2.9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2.9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2.9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2.9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2.9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2.9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2.9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2.9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2.9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2.9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2.9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2.9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2.9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2.9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2.9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2.9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2.9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2.9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2.9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2.9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2.9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2.9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2.9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2.9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2.9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2.9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2.9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2.9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2.9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2.9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2.9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2.9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2.9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2.9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2.9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2.9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2.9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2.9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2.9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2.9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2.9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2.9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2.9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2.9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2.9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2.9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2.9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2.9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2.9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2.9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2.9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2.9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2.9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2.9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2.9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2.9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2.9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2.9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2.9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2.9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2.9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2.9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2.9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2.9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2.9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2.9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2.9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2.9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2.9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2.9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2.9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2.9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2.9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2.9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2.9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2.9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2.9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2.9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2.9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2.9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2.9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2.9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2.9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2.9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2.9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2.9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2.9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2.9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2.9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2.9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2.9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2.9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2.9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2.9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2.9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2.9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2.9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2.9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2.9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2.9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2.9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2.9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2.9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2.9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2.9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2.9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2.9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2.9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2.9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2.9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2.9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2.9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2.9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2.9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2.9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2.9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2.9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2.9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2.9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2.9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2.9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2.9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2.9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2.9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2.9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2.9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2.9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2.9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2.9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2.9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2.9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2.9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2.9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2.9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2.9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2.9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2.9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2.9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2.9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2.9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2.9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2.9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2.9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2.9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2.9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2.9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2.9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2.9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2.9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2.9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2.9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2.9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2.9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2.9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2.9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2.9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2.9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2.9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2.9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2.9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2.9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2.9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2.9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2.9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2.9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2.9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2.9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2.9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2.9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2.9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2.9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2.9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2.9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2.9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2.9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2.9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2.9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2.9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2.9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2.9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2.9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2.9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2.9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2.9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2.9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2.9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2.9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2.9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2.9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2.9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2.9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2.9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2.9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2.9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2.9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2.9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2.9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2.9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2.9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2.9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2.9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2.9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2.9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2.9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2.9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2.9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2.9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2.9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2.9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2.9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2.9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2.9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2.9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2.9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2.9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2.9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2.9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2.9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2.9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2.9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2.9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MN8 Bond</v>
      </c>
      <c r="B1" s="88"/>
      <c r="C1" s="88"/>
      <c r="D1" s="89" t="s">
        <v>16</v>
      </c>
      <c r="E1" s="89"/>
      <c r="F1" s="89"/>
      <c r="G1" s="87" t="s">
        <v>17</v>
      </c>
      <c r="H1" s="87"/>
      <c r="I1" s="87"/>
    </row>
    <row r="2" spans="1:9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0</v>
      </c>
      <c r="D4" s="56">
        <f>SUM(Oct!D4, Nov!D4, Dec!D4)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SUM(Oct!H4, Nov!H4, Dec!H4)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SUM(Oct!C5, Nov!C5, Dec!C5)</f>
        <v>0</v>
      </c>
      <c r="D5" s="62">
        <f>SUM(Oct!D5, Nov!D5, Dec!D5)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SUM(Oct!H5, Nov!H5, Dec!H5)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SUM(Oct!C6, Nov!C6, Dec!C6)</f>
        <v>0</v>
      </c>
      <c r="D6" s="56">
        <f>SUM(Oct!D6, Nov!D6, Dec!D6)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SUM(Oct!H6, Nov!H6, Dec!H6)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SUM(Oct!C7, Nov!C7, Dec!C7)</f>
        <v>0</v>
      </c>
      <c r="D7" s="62">
        <f>SUM(Oct!D7, Nov!D7, Dec!D7)</f>
        <v>0</v>
      </c>
      <c r="E7" s="62">
        <f t="shared" si="0"/>
        <v>0</v>
      </c>
      <c r="F7" s="63" t="str">
        <f t="shared" si="1"/>
        <v/>
      </c>
      <c r="G7" s="64"/>
      <c r="H7" s="64">
        <f>SUM(Oct!H7, Nov!H7, Dec!H7)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SUM(Oct!C8, Nov!C8, Dec!C8)</f>
        <v>0</v>
      </c>
      <c r="D8" s="56">
        <f>SUM(Oct!D8, Nov!D8, Dec!D8)</f>
        <v>0</v>
      </c>
      <c r="E8" s="56">
        <f t="shared" si="0"/>
        <v>0</v>
      </c>
      <c r="F8" s="69" t="str">
        <f t="shared" si="1"/>
        <v/>
      </c>
      <c r="G8" s="58"/>
      <c r="H8" s="58">
        <f>SUM(Oct!H8, Nov!H8, Dec!H8)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SUM(Oct!C9, Nov!C9, Dec!C9)</f>
        <v>0</v>
      </c>
      <c r="D9" s="62">
        <f>SUM(Oct!D9, Nov!D9, Dec!D9)</f>
        <v>0</v>
      </c>
      <c r="E9" s="62">
        <f t="shared" si="0"/>
        <v>0</v>
      </c>
      <c r="F9" s="63" t="str">
        <f t="shared" si="1"/>
        <v/>
      </c>
      <c r="G9" s="64"/>
      <c r="H9" s="64">
        <f>SUM(Oct!H9, Nov!H9, Dec!H9)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SUM(Oct!C10, Nov!C10, Dec!C10)</f>
        <v>0</v>
      </c>
      <c r="D10" s="56">
        <f>SUM(Oct!D10, Nov!D10, Dec!D10)</f>
        <v>0</v>
      </c>
      <c r="E10" s="56">
        <f t="shared" si="0"/>
        <v>0</v>
      </c>
      <c r="F10" s="69" t="str">
        <f t="shared" si="1"/>
        <v/>
      </c>
      <c r="G10" s="58"/>
      <c r="H10" s="58">
        <f>SUM(Oct!H10, Nov!H10, Dec!H10)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SUM(Oct!C11, Nov!C11, Dec!C11)</f>
        <v>0</v>
      </c>
      <c r="D11" s="62">
        <f>SUM(Oct!D11, Nov!D11, Dec!D11)</f>
        <v>0</v>
      </c>
      <c r="E11" s="62">
        <f t="shared" si="0"/>
        <v>0</v>
      </c>
      <c r="F11" s="63" t="str">
        <f t="shared" si="1"/>
        <v/>
      </c>
      <c r="G11" s="64"/>
      <c r="H11" s="64">
        <f>SUM(Oct!H11, Nov!H11, Dec!H11)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SUM(Oct!C12, Nov!C12, Dec!C12)</f>
        <v>0</v>
      </c>
      <c r="D12" s="56">
        <f>SUM(Oct!D12, Nov!D12, Dec!D12)</f>
        <v>0</v>
      </c>
      <c r="E12" s="56">
        <f t="shared" si="0"/>
        <v>0</v>
      </c>
      <c r="F12" s="69" t="str">
        <f t="shared" si="1"/>
        <v/>
      </c>
      <c r="G12" s="58"/>
      <c r="H12" s="58">
        <f>SUM(Oct!H12, Nov!H12, Dec!H12)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SUM(Oct!C13, Nov!C13, Dec!C13)</f>
        <v>0</v>
      </c>
      <c r="D13" s="62">
        <f>SUM(Oct!D13, Nov!D13, Dec!D13)</f>
        <v>0</v>
      </c>
      <c r="E13" s="62">
        <f t="shared" si="0"/>
        <v>0</v>
      </c>
      <c r="F13" s="63" t="str">
        <f t="shared" si="1"/>
        <v/>
      </c>
      <c r="G13" s="64"/>
      <c r="H13" s="64">
        <f>SUM(Oct!H13, Nov!H13, Dec!H13)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SUM(Oct!C14, Nov!C14, Dec!C14)</f>
        <v>0</v>
      </c>
      <c r="D14" s="56">
        <f>SUM(Oct!D14, Nov!D14, Dec!D14)</f>
        <v>0</v>
      </c>
      <c r="E14" s="56">
        <f t="shared" si="0"/>
        <v>0</v>
      </c>
      <c r="F14" s="69" t="str">
        <f t="shared" si="1"/>
        <v/>
      </c>
      <c r="G14" s="58"/>
      <c r="H14" s="58">
        <f>SUM(Oct!H14, Nov!H14, Dec!H14)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SUM(Oct!C15, Nov!C15, Dec!C15)</f>
        <v>0</v>
      </c>
      <c r="D15" s="62">
        <f>SUM(Oct!D15, Nov!D15, Dec!D15)</f>
        <v>0</v>
      </c>
      <c r="E15" s="62">
        <f t="shared" si="0"/>
        <v>0</v>
      </c>
      <c r="F15" s="63" t="str">
        <f t="shared" si="1"/>
        <v/>
      </c>
      <c r="G15" s="64"/>
      <c r="H15" s="64">
        <f>SUM(Oct!H15, Nov!H15, Dec!H15)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SUM(Oct!C16, Nov!C16, Dec!C16)</f>
        <v>0</v>
      </c>
      <c r="D16" s="56">
        <f>SUM(Oct!D16, Nov!D16, Dec!D16)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SUM(Oct!H16, Nov!H16, Dec!H16)</f>
        <v>0</v>
      </c>
      <c r="I16" s="57" t="str">
        <f t="shared" ref="I16" si="5">IFERROR(H16/G16, "")</f>
        <v/>
      </c>
    </row>
    <row r="17" spans="1:9" ht="15.75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4.4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4.4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4.4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4.45">
      <c r="A21" s="19"/>
      <c r="B21" s="9"/>
      <c r="C21" s="43"/>
      <c r="D21" s="16"/>
      <c r="E21" s="16"/>
      <c r="F21" s="17"/>
      <c r="G21" s="18"/>
      <c r="H21" s="18"/>
      <c r="I21" s="17"/>
    </row>
    <row r="22" spans="1:9" ht="12.9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2.9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9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2.9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2.9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2.9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2.9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2.9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2.9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2.9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2.9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2.9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2.9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2.9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2.9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2.9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2.9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2.9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2.9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2.9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2.9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2.9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2.9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2.9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2.9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2.9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2.9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2.9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2.9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2.9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2.9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2.9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2.9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2.9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2.9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2.9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2.9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2.9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2.9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2.9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2.9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2.9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2.9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2.9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2.9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2.9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2.9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2.9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2.9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2.9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2.9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2.9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2.9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2.9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2.9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2.9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2.9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2.9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2.9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2.9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2.9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2.9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2.9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2.9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2.9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2.9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2.9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2.9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2.9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2.9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2.9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2.9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2.9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2.9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2.9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2.9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2.9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2.9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2.9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2.9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2.9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2.9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2.9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2.9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2.9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2.9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2.9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2.9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2.9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2.9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2.9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2.9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2.9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2.9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2.9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2.9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2.9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2.9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2.9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2.9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2.9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2.9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2.9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2.9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2.9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2.9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2.9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2.9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2.9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2.9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2.9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2.9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2.9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2.9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2.9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2.9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2.9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2.9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2.9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2.9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2.9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2.9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2.9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2.9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2.9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2.9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2.9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2.9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2.9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2.9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2.9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2.9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2.9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2.9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2.9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2.9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2.9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2.9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2.9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2.9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2.9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2.9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2.9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2.9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2.9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2.9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2.9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2.9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2.9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2.9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2.9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2.9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2.9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2.9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2.9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2.9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2.9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2.9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2.9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2.9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2.9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2.9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2.9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2.9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2.9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2.9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2.9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2.9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2.9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2.9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2.9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2.9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2.9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2.9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2.9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2.9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2.9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2.9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2.9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2.9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2.9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2.9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2.9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2.9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2.9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2.9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2.9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2.9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2.9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2.9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2.9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2.9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2.9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2.9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2.9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2.9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2.9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2.9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2.9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2.9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2.9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2.9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2.9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2.9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2.9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2.9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2.9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2.9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2.9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2.9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2.9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2.9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2.9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2.9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2.9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2.9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2.9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2.9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2.9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2.9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2.9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2.9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2.9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2.9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2.9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2.9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2.9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2.9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2.9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2.9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2.9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2.9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2.9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2.9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2.9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2.9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2.9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2.9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2.9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2.9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2.9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2.9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2.9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2.9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2.9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2.9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2.9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2.9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2.9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2.9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2.9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2.9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2.9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2.9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2.9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2.9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2.9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2.9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2.9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2.9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2.9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2.9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2.9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2.9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2.9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2.9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2.9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2.9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2.9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2.9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2.9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2.9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2.9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2.9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2.9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2.9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2.9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2.9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2.9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2.9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2.9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2.9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2.9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2.9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2.9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2.9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2.9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2.9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2.9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2.9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2.9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2.9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2.9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2.9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2.9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2.9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2.9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2.9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2.9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2.9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2.9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2.9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2.9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2.9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2.9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2.9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2.9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2.9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2.9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2.9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2.9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2.9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C15" activePane="bottomRight" state="frozen"/>
      <selection pane="bottomRight" activeCell="I20" sqref="I20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.4">
      <c r="A1" s="88" t="str" cm="1">
        <f t="array" ref="A1">portfolio</f>
        <v>MN8 Bond</v>
      </c>
      <c r="B1" s="88"/>
      <c r="C1" s="88"/>
      <c r="D1" s="89" t="s">
        <v>18</v>
      </c>
      <c r="E1" s="89"/>
      <c r="F1" s="89"/>
      <c r="G1" s="87" t="s">
        <v>19</v>
      </c>
      <c r="H1" s="87"/>
      <c r="I1" s="87"/>
      <c r="J1" s="4"/>
      <c r="K1" s="4"/>
    </row>
    <row r="2" spans="1:11" ht="15.4">
      <c r="A2" s="90" t="s">
        <v>2</v>
      </c>
      <c r="B2" s="90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4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28.7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75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75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75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75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28.7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75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75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75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75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4.4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tabSelected="1" zoomScale="80" zoomScaleNormal="80" workbookViewId="0">
      <pane xSplit="2" ySplit="3" topLeftCell="C7" activePane="bottomRight" state="frozen"/>
      <selection pane="bottomRight" activeCell="P12" sqref="P12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35</v>
      </c>
      <c r="E1" s="89"/>
      <c r="F1" s="89"/>
      <c r="G1" s="87" t="s">
        <v>36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14.75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28.7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28.7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75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75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75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75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75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75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28.7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xSplit="2" ySplit="3" topLeftCell="C4" activePane="bottomRight" state="frozen"/>
      <selection pane="bottomRight" activeCell="H27" sqref="H27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53</v>
      </c>
      <c r="E1" s="89"/>
      <c r="F1" s="89"/>
      <c r="G1" s="87" t="s">
        <v>54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55</v>
      </c>
      <c r="E1" s="89"/>
      <c r="F1" s="89"/>
      <c r="G1" s="87" t="s">
        <v>56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57</v>
      </c>
      <c r="E1" s="89"/>
      <c r="F1" s="89"/>
      <c r="G1" s="87" t="s">
        <v>58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59</v>
      </c>
      <c r="E1" s="89"/>
      <c r="F1" s="89"/>
      <c r="G1" s="87" t="s">
        <v>60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61</v>
      </c>
      <c r="E1" s="89"/>
      <c r="F1" s="89"/>
      <c r="G1" s="87" t="s">
        <v>62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63</v>
      </c>
      <c r="E1" s="89"/>
      <c r="F1" s="89"/>
      <c r="G1" s="87" t="s">
        <v>64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65</v>
      </c>
      <c r="E1" s="89"/>
      <c r="F1" s="89"/>
      <c r="G1" s="87" t="s">
        <v>66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67</v>
      </c>
      <c r="E1" s="89"/>
      <c r="F1" s="89"/>
      <c r="G1" s="87" t="s">
        <v>68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69</v>
      </c>
      <c r="E1" s="89"/>
      <c r="F1" s="89"/>
      <c r="G1" s="87" t="s">
        <v>70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7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Bond</v>
      </c>
      <c r="B1" s="88"/>
      <c r="C1" s="88"/>
      <c r="D1" s="89" t="s">
        <v>71</v>
      </c>
      <c r="E1" s="89"/>
      <c r="F1" s="89"/>
      <c r="G1" s="87" t="s">
        <v>72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E25" sqref="E2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73</v>
      </c>
      <c r="B1" t="s">
        <v>74</v>
      </c>
    </row>
    <row r="3" spans="1:12">
      <c r="A3" t="s">
        <v>75</v>
      </c>
      <c r="B3" t="s">
        <v>3</v>
      </c>
      <c r="C3" t="s">
        <v>4</v>
      </c>
      <c r="D3" t="s">
        <v>76</v>
      </c>
      <c r="E3" s="2" t="s">
        <v>77</v>
      </c>
    </row>
    <row r="4" spans="1:12" ht="14.45">
      <c r="A4" s="46" t="s">
        <v>78</v>
      </c>
      <c r="B4" t="s">
        <v>79</v>
      </c>
      <c r="C4" s="45" t="s">
        <v>80</v>
      </c>
      <c r="D4" s="44" t="s">
        <v>81</v>
      </c>
      <c r="E4" t="s">
        <v>82</v>
      </c>
      <c r="G4" s="3"/>
    </row>
    <row r="5" spans="1:12" ht="14.45">
      <c r="A5" s="46" t="s">
        <v>83</v>
      </c>
      <c r="B5" t="s">
        <v>84</v>
      </c>
      <c r="C5" s="45" t="s">
        <v>80</v>
      </c>
      <c r="D5" s="44" t="s">
        <v>81</v>
      </c>
      <c r="E5" t="s">
        <v>82</v>
      </c>
      <c r="G5" s="3"/>
    </row>
    <row r="6" spans="1:12" ht="14.45">
      <c r="A6" s="46" t="s">
        <v>85</v>
      </c>
      <c r="B6" t="s">
        <v>86</v>
      </c>
      <c r="C6" s="45" t="s">
        <v>80</v>
      </c>
      <c r="D6" s="44" t="s">
        <v>81</v>
      </c>
      <c r="E6" t="s">
        <v>82</v>
      </c>
      <c r="G6" s="3"/>
    </row>
    <row r="7" spans="1:12" ht="12.75" customHeight="1">
      <c r="A7" s="46" t="s">
        <v>87</v>
      </c>
      <c r="B7" t="s">
        <v>88</v>
      </c>
      <c r="C7" s="45" t="s">
        <v>80</v>
      </c>
      <c r="D7" s="44" t="s">
        <v>81</v>
      </c>
      <c r="E7" t="s">
        <v>82</v>
      </c>
    </row>
    <row r="8" spans="1:12" ht="12.75" customHeight="1">
      <c r="A8" s="46" t="s">
        <v>89</v>
      </c>
      <c r="B8" t="s">
        <v>90</v>
      </c>
      <c r="C8" s="45" t="s">
        <v>80</v>
      </c>
      <c r="D8" s="44" t="s">
        <v>81</v>
      </c>
      <c r="E8" t="s">
        <v>82</v>
      </c>
    </row>
    <row r="9" spans="1:12" ht="12.75" customHeight="1">
      <c r="A9" s="46" t="s">
        <v>91</v>
      </c>
      <c r="B9" t="s">
        <v>92</v>
      </c>
      <c r="C9" s="45" t="s">
        <v>80</v>
      </c>
      <c r="D9" s="44" t="s">
        <v>81</v>
      </c>
      <c r="E9" t="s">
        <v>82</v>
      </c>
    </row>
    <row r="10" spans="1:12" ht="12.75" customHeight="1">
      <c r="A10" s="46" t="s">
        <v>93</v>
      </c>
      <c r="B10" t="s">
        <v>94</v>
      </c>
      <c r="C10" s="45" t="s">
        <v>80</v>
      </c>
      <c r="D10" s="44" t="s">
        <v>81</v>
      </c>
      <c r="E10" t="s">
        <v>82</v>
      </c>
      <c r="K10" s="41"/>
      <c r="L10" s="41"/>
    </row>
    <row r="11" spans="1:12" ht="12.75" customHeight="1">
      <c r="A11" s="46" t="s">
        <v>95</v>
      </c>
      <c r="B11" t="s">
        <v>96</v>
      </c>
      <c r="C11" s="45" t="s">
        <v>80</v>
      </c>
      <c r="D11" s="44" t="s">
        <v>81</v>
      </c>
      <c r="E11" t="s">
        <v>82</v>
      </c>
      <c r="K11" s="41"/>
      <c r="L11" s="41"/>
    </row>
    <row r="12" spans="1:12" ht="12.75" customHeight="1">
      <c r="A12" s="46" t="s">
        <v>97</v>
      </c>
      <c r="B12" t="s">
        <v>98</v>
      </c>
      <c r="C12" s="45" t="s">
        <v>80</v>
      </c>
      <c r="D12" s="44" t="s">
        <v>81</v>
      </c>
      <c r="E12" t="s">
        <v>82</v>
      </c>
      <c r="K12" s="41"/>
      <c r="L12" s="41"/>
    </row>
    <row r="13" spans="1:12" ht="12.75" customHeight="1">
      <c r="A13" s="46" t="s">
        <v>99</v>
      </c>
      <c r="B13" t="s">
        <v>100</v>
      </c>
      <c r="C13" s="45" t="s">
        <v>80</v>
      </c>
      <c r="D13" s="44" t="s">
        <v>81</v>
      </c>
      <c r="E13" t="s">
        <v>82</v>
      </c>
      <c r="K13" s="41"/>
      <c r="L13" s="41"/>
    </row>
    <row r="14" spans="1:12" ht="12.75" customHeight="1">
      <c r="A14" s="46" t="s">
        <v>101</v>
      </c>
      <c r="B14" t="s">
        <v>102</v>
      </c>
      <c r="C14" s="45" t="s">
        <v>80</v>
      </c>
      <c r="D14" s="44" t="s">
        <v>81</v>
      </c>
      <c r="E14" t="s">
        <v>82</v>
      </c>
      <c r="K14" s="41"/>
      <c r="L14" s="41"/>
    </row>
    <row r="15" spans="1:12" ht="12.75" customHeight="1">
      <c r="A15" s="46" t="s">
        <v>103</v>
      </c>
      <c r="B15" t="s">
        <v>104</v>
      </c>
      <c r="C15" s="45" t="s">
        <v>80</v>
      </c>
      <c r="D15" s="44" t="s">
        <v>81</v>
      </c>
      <c r="E15" t="s">
        <v>82</v>
      </c>
      <c r="K15" s="41"/>
      <c r="L15" s="41"/>
    </row>
    <row r="16" spans="1:12" ht="12.75" customHeight="1">
      <c r="A16" s="46" t="s">
        <v>105</v>
      </c>
      <c r="B16" t="s">
        <v>106</v>
      </c>
      <c r="C16" s="45" t="s">
        <v>80</v>
      </c>
      <c r="D16" s="44" t="s">
        <v>81</v>
      </c>
      <c r="E16" t="s">
        <v>82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2024-04-05T06:28:40Z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