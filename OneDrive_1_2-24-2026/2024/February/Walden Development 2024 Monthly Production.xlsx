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onthly Reports Libsys\Monthly Reports\New Format\"/>
    </mc:Choice>
  </mc:AlternateContent>
  <xr:revisionPtr revIDLastSave="14" documentId="13_ncr:1_{1177BCDF-DD68-4D4C-A326-6E99168A85E9}" xr6:coauthVersionLast="47" xr6:coauthVersionMax="47" xr10:uidLastSave="{7F5E7240-898A-454D-BE8F-A6FD84F99CCB}"/>
  <bookViews>
    <workbookView xWindow="-28920" yWindow="7725" windowWidth="29040" windowHeight="15720" tabRatio="866" firstSheet="6" activeTab="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J2" i="4" l="1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<sst xmlns="http://schemas.openxmlformats.org/spreadsheetml/2006/main" count="244" uniqueCount="58">
  <si>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</si>
  <si>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</si>
  <si>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</si>
  <si>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</si>
  <si>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</si>
  <si>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</si>
  <si>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</si>
  <si>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</si>
  <si>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</si>
  <si>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</si>
  <si>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</si>
  <si>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</si>
  <si>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</si>
  <si>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</si>
  <si>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</si>
  <si>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</si>
  <si>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</si>
  <si>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</si>
  <si>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</si>
  <si>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</si>
  <si>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</si>
  <si>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</si>
  <si>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22 was offline on 01/10,01/25 to 01/27, 01/29, 01/31</t>
  </si>
  <si>
    <t>1. SR079744</t>
  </si>
  <si>
    <t>February Actual v. Expected</t>
  </si>
  <si>
    <t>February Actual v. Forecasted</t>
  </si>
  <si>
    <t>1.Inverter 22 was offline on 02/02. The technician reset it on the same day, and it is back online.</t>
  </si>
  <si>
    <t>1.SR079744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</si>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</sst>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E16" sqref="E16:E17"/>
      <selection activeCell="A6" sqref="A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837247</v>
      </c>
      <c r="D2" s="6">
        <f>SUM(D4:D60)</f>
        <v>1079348.8999999999</v>
      </c>
      <c r="E2" s="6">
        <f>C2-D2</f>
        <v>-242101.89999999991</v>
      </c>
      <c r="F2" s="7">
        <f>IFERROR(E2/D2, 0)</f>
        <v>-0.22430365195165339</v>
      </c>
      <c r="G2" s="6">
        <f>SUM(G4:G60)</f>
        <v>991326.29999999993</v>
      </c>
      <c r="H2" s="8">
        <f>C2-G2</f>
        <v>-154079.29999999993</v>
      </c>
      <c r="I2" s="7">
        <f>IFERROR(H2/G2, 0)</f>
        <v>-0.155427430907462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837247</v>
      </c>
      <c r="D4" s="14">
        <f>SUM('1st Qtr'!D4, '2nd Qtr'!D4, '3rd Qtr'!D4, '4th Qtr'!D4)</f>
        <v>1079348.8999999999</v>
      </c>
      <c r="E4" s="14">
        <f>IF(AND(ISNUMBER(C4),ISNUMBER(D4)), C4-D4, "")</f>
        <v>-242101.89999999991</v>
      </c>
      <c r="F4" s="15">
        <f>IFERROR(E4/D4, "")</f>
        <v>-0.22430365195165339</v>
      </c>
      <c r="G4" s="16">
        <f>SUM('1st Qtr'!G4,'2nd Qtr'!G4,'3rd Qtr'!G4,'4th Qtr'!G4)</f>
        <v>991326.29999999993</v>
      </c>
      <c r="H4" s="16">
        <f>SUM('1st Qtr'!H4, '2nd Qtr'!H4, '3rd Qtr'!H4, '4th Qtr'!H4)</f>
        <v>-154079.29999999993</v>
      </c>
      <c r="I4" s="17">
        <f>IFERROR(H4/G4, "")</f>
        <v>-0.155427430907462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I18" sqref="I18"/>
      <selection activeCell="A16" sqref="A16:XFD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837247</v>
      </c>
      <c r="D2" s="6">
        <f>SUM(D4:D68)</f>
        <v>1079348.8999999999</v>
      </c>
      <c r="E2" s="6">
        <f>C2-D2</f>
        <v>-242101.89999999991</v>
      </c>
      <c r="F2" s="7">
        <f>IFERROR(E2/D2, 0)</f>
        <v>-0.22430365195165339</v>
      </c>
      <c r="G2" s="6">
        <f>SUM(G4:G68)</f>
        <v>991326.29999999993</v>
      </c>
      <c r="H2" s="8">
        <f>C2-G2</f>
        <v>-154079.29999999993</v>
      </c>
      <c r="I2" s="7">
        <f>IFERROR(H2/G2, 0)</f>
        <v>-0.155427430907462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837247</v>
      </c>
      <c r="D4" s="14">
        <f>SUM(Jan!D4, Feb!D4, Mar!D4)</f>
        <v>1079348.8999999999</v>
      </c>
      <c r="E4" s="14">
        <f>IF(AND(ISNUMBER(C4),ISNUMBER(D4)), C4-D4, "")</f>
        <v>-242101.89999999991</v>
      </c>
      <c r="F4" s="15">
        <f>IFERROR(E4/D4, "")</f>
        <v>-0.22430365195165339</v>
      </c>
      <c r="G4" s="16">
        <f>SUM(Jan!G4, Feb!G4, Mar!G4)</f>
        <v>991326.29999999993</v>
      </c>
      <c r="H4" s="16">
        <f>SUM(Jan!H4, Feb!H4, Mar!H4)</f>
        <v>-154079.29999999993</v>
      </c>
      <c r="I4" s="17">
        <f>IFERROR(H4/G4, "")</f>
        <v>-0.155427430907462</v>
      </c>
    </row>
    <row r="5" spans="1:9" ht="13.15">
      <c r="A5" s="23"/>
      <c r="B5" s="23"/>
      <c r="C5" s="23"/>
      <c r="D5" s="23"/>
      <c r="E5" s="23"/>
      <c r="F5" s="24"/>
      <c r="G5" s="23"/>
      <c r="H5" s="23"/>
      <c r="I5" s="24"/>
    </row>
    <row r="6" spans="1:9" ht="13.15">
      <c r="A6" s="23"/>
      <c r="B6" s="23"/>
      <c r="C6" s="23"/>
      <c r="D6" s="23"/>
      <c r="E6" s="23"/>
      <c r="F6" s="24"/>
      <c r="G6" s="23"/>
      <c r="H6" s="23"/>
      <c r="I6" s="24"/>
    </row>
    <row r="7" spans="1:9" ht="13.15">
      <c r="A7" s="23"/>
      <c r="B7" s="23"/>
      <c r="C7" s="23"/>
      <c r="D7" s="23"/>
      <c r="E7" s="23"/>
      <c r="F7" s="24"/>
      <c r="G7" s="23"/>
      <c r="H7" s="23"/>
      <c r="I7" s="24"/>
    </row>
    <row r="8" spans="1:9" ht="13.15">
      <c r="A8" s="23"/>
      <c r="B8" s="23"/>
      <c r="C8" s="23"/>
      <c r="D8" s="23"/>
      <c r="E8" s="23"/>
      <c r="F8" s="24"/>
      <c r="G8" s="23"/>
      <c r="H8" s="23"/>
      <c r="I8" s="24"/>
    </row>
    <row r="9" spans="1:9" ht="13.15">
      <c r="A9" s="23"/>
      <c r="B9" s="23"/>
      <c r="C9" s="23"/>
      <c r="D9" s="23"/>
      <c r="E9" s="23"/>
      <c r="F9" s="24"/>
      <c r="G9" s="23"/>
      <c r="H9" s="23"/>
      <c r="I9" s="24"/>
    </row>
    <row r="10" spans="1:9" ht="13.15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15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15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15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15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15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15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15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15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15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15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1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75">
      <c r="A5" s="19"/>
      <c r="B5" s="11"/>
      <c r="C5" s="12"/>
      <c r="D5" s="20"/>
      <c r="E5" s="20"/>
      <c r="F5" s="21"/>
      <c r="G5" s="22"/>
      <c r="H5" s="22"/>
      <c r="I5" s="21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E17" sqref="E17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Walden Renewables Dev't LLC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3.15">
      <c r="A5" s="23"/>
      <c r="B5" s="23"/>
      <c r="C5" s="23"/>
      <c r="D5" s="23"/>
      <c r="E5" s="23"/>
      <c r="F5" s="23"/>
      <c r="G5" s="23"/>
      <c r="H5" s="23"/>
      <c r="I5" s="23"/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15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213608</v>
      </c>
      <c r="D2" s="6">
        <f>SUM(D4:D89)</f>
        <v>396501.9</v>
      </c>
      <c r="E2" s="6">
        <f>C2-D2</f>
        <v>-182893.90000000002</v>
      </c>
      <c r="F2" s="7">
        <f>IFERROR(E2/D2, 0)</f>
        <v>-0.46126865974664943</v>
      </c>
      <c r="G2" s="6">
        <f>SUM(G4:G89)</f>
        <v>419715.6</v>
      </c>
      <c r="H2" s="8">
        <f>C2-G2</f>
        <v>-206107.59999999998</v>
      </c>
      <c r="I2" s="7">
        <f>IFERROR(H2/G2, 0)</f>
        <v>-0.49106490204319303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213608</v>
      </c>
      <c r="D4" s="14">
        <v>396501.9</v>
      </c>
      <c r="E4" s="14">
        <f>IF(AND(ISNUMBER(C4),ISNUMBER(D4)), C4-D4, "")</f>
        <v>-182893.90000000002</v>
      </c>
      <c r="F4" s="15">
        <f>IFERROR(E4/D4, "")</f>
        <v>-0.46126865974664943</v>
      </c>
      <c r="G4" s="16">
        <v>419715.6</v>
      </c>
      <c r="H4" s="16">
        <f>IF(AND(ISNUMBER(C4),ISNUMBER(G4)), C4-G4, "")</f>
        <v>-206107.59999999998</v>
      </c>
      <c r="I4" s="17">
        <f>IFERROR(H4/G4, "")</f>
        <v>-0.49106490204319303</v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tabSelected="1" workbookViewId="0">
      <pane ySplit="2" topLeftCell="A3" activePane="bottomLeft" state="frozen"/>
      <selection pane="bottomLeft" activeCell="J11" sqref="J11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623639</v>
      </c>
      <c r="D2" s="6">
        <f>SUM(D4:D85)</f>
        <v>682847</v>
      </c>
      <c r="E2" s="6">
        <f>C2-D2</f>
        <v>-59208</v>
      </c>
      <c r="F2" s="7">
        <f>IFERROR(E2/D2, 0)</f>
        <v>-8.670756406632818E-2</v>
      </c>
      <c r="G2" s="6">
        <f>SUM(G4:G85)</f>
        <v>571610.69999999995</v>
      </c>
      <c r="H2" s="8">
        <f>C2-G2</f>
        <v>52028.300000000047</v>
      </c>
      <c r="I2" s="7">
        <f>IFERROR(H2/G2, 0)</f>
        <v>9.1020514486520376E-2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30.75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623639</v>
      </c>
      <c r="D4" s="14">
        <v>682847</v>
      </c>
      <c r="E4" s="14">
        <f>IF(AND(ISNUMBER(C4),ISNUMBER(D4)), C4-D4, "")</f>
        <v>-59208</v>
      </c>
      <c r="F4" s="15">
        <f>IFERROR(E4/D4, "")</f>
        <v>-8.670756406632818E-2</v>
      </c>
      <c r="G4" s="16">
        <v>571610.69999999995</v>
      </c>
      <c r="H4" s="16">
        <f>IF(AND(ISNUMBER(C4),ISNUMBER(G4)), C4-G4, "")</f>
        <v>52028.300000000047</v>
      </c>
      <c r="I4" s="17">
        <f>IFERROR(H4/G4, "")</f>
        <v>9.1020514486520376E-2</v>
      </c>
      <c r="J4" s="18" t="s">
        <v>26</v>
      </c>
      <c r="K4" s="18" t="s">
        <v>27</v>
      </c>
    </row>
    <row r="5" spans="1:11" ht="14.2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3.9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2" sqref="J2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F28" sqref="F28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19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0</v>
      </c>
      <c r="D2" s="6">
        <f>SUM(D4:D30)</f>
        <v>0</v>
      </c>
      <c r="E2" s="6">
        <f>C2-D2</f>
        <v>0</v>
      </c>
      <c r="F2" s="7">
        <f>IFERROR(E2/D2, 0)</f>
        <v>0</v>
      </c>
      <c r="G2" s="6">
        <f>SUM(G4:G30)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2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2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2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2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2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2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2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2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2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2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2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2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2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2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2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2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2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3.9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44</v>
      </c>
      <c r="E1" s="45"/>
      <c r="F1" s="45"/>
      <c r="G1" s="43" t="s">
        <v>45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Walden Renewables Dev't LLC</v>
      </c>
      <c r="B1" s="44"/>
      <c r="C1" s="44"/>
      <c r="D1" s="45" t="s">
        <v>46</v>
      </c>
      <c r="E1" s="45"/>
      <c r="F1" s="45"/>
      <c r="G1" s="43" t="s">
        <v>47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9" sqref="B29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25">
      <c r="A4" t="s">
        <v>53</v>
      </c>
      <c r="B4" t="s">
        <v>54</v>
      </c>
      <c r="C4" s="4" t="s">
        <v>55</v>
      </c>
      <c r="D4" t="s">
        <v>56</v>
      </c>
      <c r="E4" t="s">
        <v>57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66B09F59-6532-46F8-924A-9A02417E070D}"/>
</file>

<file path=customXml/itemProps10.xml><?xml version="1.0" encoding="utf-8"?>
<ds:datastoreItem xmlns:ds="http://schemas.openxmlformats.org/officeDocument/2006/customXml" ds:itemID="{F6B2B1A1-1C4B-4AC9-9A7D-7A102DD1C942}"/>
</file>

<file path=customXml/itemProps11.xml><?xml version="1.0" encoding="utf-8"?>
<ds:datastoreItem xmlns:ds="http://schemas.openxmlformats.org/officeDocument/2006/customXml" ds:itemID="{D3A7101F-9A85-4235-8B03-415370C100B2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C0BCDC1E-6052-4E48-9BAF-94A40814E7C2}"/>
</file>

<file path=customXml/itemProps15.xml><?xml version="1.0" encoding="utf-8"?>
<ds:datastoreItem xmlns:ds="http://schemas.openxmlformats.org/officeDocument/2006/customXml" ds:itemID="{F12EFA50-0068-4A8C-85A0-F1B26389EBC3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8D732231-4216-4543-A665-18A2886B0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Harshith Devarakonda [Libsys]</cp:lastModifiedBy>
  <cp:revision/>
  <dcterms:created xsi:type="dcterms:W3CDTF">2021-01-01T16:39:53Z</dcterms:created>
  <dcterms:modified xsi:type="dcterms:W3CDTF">2024-03-14T19:36:06Z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