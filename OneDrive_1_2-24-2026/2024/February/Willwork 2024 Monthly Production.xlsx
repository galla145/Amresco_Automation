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Monthly Reports\New Format\"/>
    </mc:Choice>
  </mc:AlternateContent>
  <xr:revisionPtr revIDLastSave="0" documentId="13_ncr:1_{4DF16E89-CA54-4452-969A-1830ECFACA04}" xr6:coauthVersionLast="47" xr6:coauthVersionMax="47" xr10:uidLastSave="{00000000-0000-0000-0000-000000000000}"/>
  <bookViews>
    <workbookView xWindow="-98" yWindow="-98" windowWidth="21795" windowHeight="12975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G4" i="34" s="1"/>
  <c r="G2" i="34" s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J2" i="4" l="1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<sst xmlns="http://schemas.openxmlformats.org/spreadsheetml/2006/main" count="239" uniqueCount="53">
  <si>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</si>
  <si>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</si>
  <si>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</si>
  <si>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</si>
  <si>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</si>
  <si>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</si>
  <si>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</si>
  <si>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</si>
  <si>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</si>
  <si>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</si>
  <si>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</si>
  <si>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</si>
  <si>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</si>
  <si>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</si>
  <si>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</si>
  <si>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</si>
  <si>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</si>
  <si>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</si>
  <si>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</si>
  <si>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</si>
  <si>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</si>
  <si>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</si>
  <si>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</si>
  <si>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</si>
  <si>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</si>
  <si>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</si>
  <si>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</si>
  <si>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</si>
  <si>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</si>
  <si>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</si>
  <si>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</si>
  <si>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</si>
  <si>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</si>
  <si>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</si>
  <si>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</si>
  <si>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</si>
  <si>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</si>
  <si>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</si>
  <si>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</si>
  <si>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</si>
  <si>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</si>
  <si>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</si>
  <si>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</si>
  <si>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</si>
  <si>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</si>
  <si>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Willwork</t>
  </si>
  <si>
    <t>Site DAS Name</t>
  </si>
  <si>
    <t>Update</t>
  </si>
  <si>
    <t>DAS</t>
  </si>
  <si>
    <t>23 Norfolk Ave - Teamwork/Willwork</t>
  </si>
  <si>
    <t>MA: South Easton - Willwork</t>
  </si>
  <si>
    <t>MA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</si>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</sst>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164" fontId="28" fillId="4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E16" sqref="E16:E17"/>
      <selection activeCell="A6" sqref="A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SUM(C4:C60)</f>
        <v>7763.2675170898401</v>
      </c>
      <c r="D2" s="6">
        <f>SUM(D4:D60)</f>
        <v>0</v>
      </c>
      <c r="E2" s="6">
        <f>C2-D2</f>
        <v>7763.2675170898401</v>
      </c>
      <c r="F2" s="7">
        <f>IFERROR(E2/D2, 0)</f>
        <v>0</v>
      </c>
      <c r="G2" s="6">
        <f>SUM(G4:G60)</f>
        <v>5532</v>
      </c>
      <c r="H2" s="8">
        <f>C2-G2</f>
        <v>2231.2675170898401</v>
      </c>
      <c r="I2" s="7">
        <f>IFERROR(H2/G2, 0)</f>
        <v>0.40333830749997107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SUM('1st Qtr'!C4, '2nd Qtr'!C4, '3rd Qtr'!C4, '4th Qtr'!C4)</f>
        <v>7763.2675170898401</v>
      </c>
      <c r="D4" s="14">
        <f>SUM('1st Qtr'!D4, '2nd Qtr'!D4, '3rd Qtr'!D4, '4th Qtr'!D4)</f>
        <v>0</v>
      </c>
      <c r="E4" s="14">
        <f>IF(AND(ISNUMBER(C4),ISNUMBER(D4)), C4-D4, "")</f>
        <v>7763.2675170898401</v>
      </c>
      <c r="F4" s="15" t="str">
        <f>IFERROR(E4/D4, "")</f>
        <v/>
      </c>
      <c r="G4" s="16">
        <f>SUM('1st Qtr'!G4,'2nd Qtr'!G4,'3rd Qtr'!G4,'4th Qtr'!G4)</f>
        <v>5532</v>
      </c>
      <c r="H4" s="16">
        <f>SUM('1st Qtr'!H4, '2nd Qtr'!H4, '3rd Qtr'!H4, '4th Qtr'!H4)</f>
        <v>2231.2675170898401</v>
      </c>
      <c r="I4" s="17">
        <f>IFERROR(H4/G4, "")</f>
        <v>0.40333830749997107</v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F22" sqref="F22"/>
      <selection activeCell="A16" sqref="A16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SUM(C4:C68)</f>
        <v>7763.2675170898401</v>
      </c>
      <c r="D2" s="6">
        <f>SUM(D4:D68)</f>
        <v>0</v>
      </c>
      <c r="E2" s="6">
        <f>C2-D2</f>
        <v>7763.2675170898401</v>
      </c>
      <c r="F2" s="7">
        <f>IFERROR(E2/D2, 0)</f>
        <v>0</v>
      </c>
      <c r="G2" s="6">
        <f>SUM(G4:G68)</f>
        <v>5532</v>
      </c>
      <c r="H2" s="8">
        <f>C2-G2</f>
        <v>2231.2675170898401</v>
      </c>
      <c r="I2" s="7">
        <f>IFERROR(H2/G2, 0)</f>
        <v>0.40333830749997107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SUM(Jan!C4, Feb!C4, Mar!C4)</f>
        <v>7763.2675170898401</v>
      </c>
      <c r="D4" s="14">
        <f>SUM(Jan!D4, Feb!D4, Mar!D4)</f>
        <v>0</v>
      </c>
      <c r="E4" s="14">
        <f>IF(AND(ISNUMBER(C4),ISNUMBER(D4)), C4-D4, "")</f>
        <v>7763.2675170898401</v>
      </c>
      <c r="F4" s="15" t="str">
        <f>IFERROR(E4/D4, "")</f>
        <v/>
      </c>
      <c r="G4" s="16">
        <f>SUM(Jan!G4, Feb!G4, Mar!G4)</f>
        <v>5532</v>
      </c>
      <c r="H4" s="16">
        <f>SUM(Jan!H4, Feb!H4, Mar!H4)</f>
        <v>2231.2675170898401</v>
      </c>
      <c r="I4" s="17">
        <f>IFERROR(H4/G4, "")</f>
        <v>0.40333830749997107</v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F28" sqref="F28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75">
      <c r="A5" s="19"/>
      <c r="B5" s="11"/>
      <c r="C5" s="12"/>
      <c r="D5" s="20"/>
      <c r="E5" s="20"/>
      <c r="F5" s="21"/>
      <c r="G5" s="22"/>
      <c r="H5" s="22"/>
      <c r="I5" s="21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E17" sqref="E17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C4" sqref="C4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2222.2675170898401</v>
      </c>
      <c r="D2" s="6">
        <f>SUM(D4:D89)</f>
        <v>0</v>
      </c>
      <c r="E2" s="6">
        <f>C2-D2</f>
        <v>2222.2675170898401</v>
      </c>
      <c r="F2" s="7">
        <f>IFERROR(E2/D2, 0)</f>
        <v>0</v>
      </c>
      <c r="G2" s="6">
        <f>SUM(G4:G89)</f>
        <v>2327</v>
      </c>
      <c r="H2" s="8">
        <f>C2-G2</f>
        <v>-104.73248291015989</v>
      </c>
      <c r="I2" s="7">
        <f>IFERROR(H2/G2, 0)</f>
        <v>-4.500751306839703E-2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2222.2675170898401</v>
      </c>
      <c r="D4" s="14">
        <v>0</v>
      </c>
      <c r="E4" s="14">
        <f>IF(AND(ISNUMBER(C4),ISNUMBER(D4)), C4-D4, "")</f>
        <v>2222.2675170898401</v>
      </c>
      <c r="F4" s="15" t="str">
        <f>IFERROR(E4/D4, "")</f>
        <v/>
      </c>
      <c r="G4" s="16">
        <v>2327</v>
      </c>
      <c r="H4" s="16">
        <f>IF(AND(ISNUMBER(C4),ISNUMBER(G4)), C4-G4, "")</f>
        <v>-104.73248291015989</v>
      </c>
      <c r="I4" s="17">
        <f>IFERROR(H4/G4, "")</f>
        <v>-4.500751306839703E-2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tabSelected="1" workbookViewId="0">
      <pane ySplit="2" topLeftCell="A3" activePane="bottomLeft" state="frozen"/>
      <selection pane="bottomLeft" activeCell="E21" sqref="E21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22</v>
      </c>
      <c r="E1" s="45"/>
      <c r="F1" s="45"/>
      <c r="G1" s="43" t="s">
        <v>23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SUM(C4:C85)</f>
        <v>5541</v>
      </c>
      <c r="D2" s="6">
        <f>SUM(D4:D85)</f>
        <v>0</v>
      </c>
      <c r="E2" s="6">
        <f>C2-D2</f>
        <v>5541</v>
      </c>
      <c r="F2" s="7">
        <f>IFERROR(E2/D2, 0)</f>
        <v>0</v>
      </c>
      <c r="G2" s="6">
        <f>SUM(G4:G85)</f>
        <v>3205</v>
      </c>
      <c r="H2" s="8">
        <f>C2-G2</f>
        <v>2336</v>
      </c>
      <c r="I2" s="7">
        <f>IFERROR(H2/G2, 0)</f>
        <v>0.72886115444617783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42">
        <v>5541</v>
      </c>
      <c r="D4" s="14">
        <v>0</v>
      </c>
      <c r="E4" s="14">
        <f>IF(AND(ISNUMBER(C4),ISNUMBER(D4)), C4-D4, "")</f>
        <v>5541</v>
      </c>
      <c r="F4" s="15" t="str">
        <f>IFERROR(E4/D4, "")</f>
        <v/>
      </c>
      <c r="G4" s="16">
        <v>3205</v>
      </c>
      <c r="H4" s="16">
        <f>IF(AND(ISNUMBER(C4),ISNUMBER(G4)), C4-G4, "")</f>
        <v>2336</v>
      </c>
      <c r="I4" s="17">
        <f>IFERROR(H4/G4, "")</f>
        <v>0.72886115444617783</v>
      </c>
      <c r="J4" s="18"/>
      <c r="K4" s="18"/>
    </row>
    <row r="5" spans="1:11" ht="14.2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3.9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J2" sqref="J2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26</v>
      </c>
      <c r="E1" s="45"/>
      <c r="F1" s="45"/>
      <c r="G1" s="43" t="s">
        <v>27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F28" sqref="F28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19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2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2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2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2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2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2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2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2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2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2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2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2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2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3.9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5" sqref="E15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25">
      <c r="A4" t="s">
        <v>49</v>
      </c>
      <c r="B4" t="s">
        <v>50</v>
      </c>
      <c r="C4" s="4" t="s">
        <v>51</v>
      </c>
      <c r="E4" t="s">
        <v>52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14966E4F-347B-477B-B74C-9DAC05405806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E3716282-BFD2-4ED2-BA47-BFA1123827F0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2BC74AAC-D69B-4AF1-9649-B21EF3C1C463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CB52044A-5C0B-44A2-99D0-C1C315EC302D}"/>
</file>

<file path=customXml/itemProps16.xml><?xml version="1.0" encoding="utf-8"?>
<ds:datastoreItem xmlns:ds="http://schemas.openxmlformats.org/officeDocument/2006/customXml" ds:itemID="{C0BCDC1E-6052-4E48-9BAF-94A40814E7C2}"/>
</file>

<file path=customXml/itemProps17.xml><?xml version="1.0" encoding="utf-8"?>
<ds:datastoreItem xmlns:ds="http://schemas.openxmlformats.org/officeDocument/2006/customXml" ds:itemID="{1954BBA4-0359-438C-B0EC-A756015F7C02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66B09F59-6532-46F8-924A-9A02417E070D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Harshith Devarakonda [Libsys]</cp:lastModifiedBy>
  <cp:revision/>
  <dcterms:created xsi:type="dcterms:W3CDTF">2021-01-01T16:39:53Z</dcterms:created>
  <dcterms:modified xsi:type="dcterms:W3CDTF">2024-03-14T19:35:40Z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